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NVA 2025\"/>
    </mc:Choice>
  </mc:AlternateContent>
  <xr:revisionPtr revIDLastSave="0" documentId="13_ncr:1_{22C5EFDA-0D43-488D-BC9A-384C35EE88F2}" xr6:coauthVersionLast="47" xr6:coauthVersionMax="47" xr10:uidLastSave="{00000000-0000-0000-0000-000000000000}"/>
  <bookViews>
    <workbookView xWindow="-108" yWindow="-108" windowWidth="23256" windowHeight="12456" activeTab="10" xr2:uid="{D0A5539B-3B23-4858-92A7-AE98A620A81D}"/>
  </bookViews>
  <sheets>
    <sheet name="IE" sheetId="1" r:id="rId1"/>
    <sheet name="TOTAL" sheetId="5" r:id="rId2"/>
    <sheet name="1A" sheetId="6" r:id="rId3"/>
    <sheet name="1B" sheetId="7" r:id="rId4"/>
    <sheet name="2A" sheetId="8" r:id="rId5"/>
    <sheet name="2B" sheetId="9" r:id="rId6"/>
    <sheet name="3A" sheetId="10" r:id="rId7"/>
    <sheet name="3B" sheetId="11" r:id="rId8"/>
    <sheet name="4A" sheetId="12" r:id="rId9"/>
    <sheet name="4B" sheetId="13" r:id="rId10"/>
    <sheet name="5A" sheetId="14" r:id="rId11"/>
    <sheet name="5B" sheetId="15" r:id="rId12"/>
  </sheets>
  <externalReferences>
    <externalReference r:id="rId13"/>
  </externalReferences>
  <definedNames>
    <definedName name="_xlnm._FilterDatabase" localSheetId="2" hidden="1">'1A'!$A$5:$AP$232</definedName>
    <definedName name="_xlnm._FilterDatabase" localSheetId="3" hidden="1">'1B'!$A$5:$AP$232</definedName>
    <definedName name="_xlnm._FilterDatabase" localSheetId="4" hidden="1">'2A'!$A$5:$AP$232</definedName>
    <definedName name="_xlnm._FilterDatabase" localSheetId="5" hidden="1">'2B'!$A$5:$AP$232</definedName>
    <definedName name="_xlnm._FilterDatabase" localSheetId="6" hidden="1">'3A'!$A$5:$AP$232</definedName>
    <definedName name="_xlnm._FilterDatabase" localSheetId="7" hidden="1">'3B'!$A$5:$AP$232</definedName>
    <definedName name="_xlnm._FilterDatabase" localSheetId="8" hidden="1">'4A'!$A$5:$AP$232</definedName>
    <definedName name="_xlnm._FilterDatabase" localSheetId="9" hidden="1">'4B'!$A$5:$AP$232</definedName>
    <definedName name="_xlnm._FilterDatabase" localSheetId="10" hidden="1">'5A'!$A$5:$AP$232</definedName>
    <definedName name="_xlnm._FilterDatabase" localSheetId="11" hidden="1">'5B'!$A$5:$AP$232</definedName>
    <definedName name="_xlnm._FilterDatabase" localSheetId="1" hidden="1">TOTAL!$B$5:$AO$5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209" i="15" l="1"/>
  <c r="AO209" i="15" s="1"/>
  <c r="AI209" i="15"/>
  <c r="AN209" i="15" s="1"/>
  <c r="AH209" i="15"/>
  <c r="AM209" i="15" s="1"/>
  <c r="AG209" i="15"/>
  <c r="AL209" i="15" s="1"/>
  <c r="AJ228" i="15"/>
  <c r="AO228" i="15" s="1"/>
  <c r="AI228" i="15"/>
  <c r="AN228" i="15" s="1"/>
  <c r="AH228" i="15"/>
  <c r="AM228" i="15" s="1"/>
  <c r="AG228" i="15"/>
  <c r="AL228" i="15" s="1"/>
  <c r="AJ210" i="15"/>
  <c r="AO210" i="15" s="1"/>
  <c r="AI210" i="15"/>
  <c r="AN210" i="15" s="1"/>
  <c r="AH210" i="15"/>
  <c r="AM210" i="15" s="1"/>
  <c r="AG210" i="15"/>
  <c r="AL210" i="15" s="1"/>
  <c r="AJ218" i="15"/>
  <c r="AO218" i="15" s="1"/>
  <c r="AI218" i="15"/>
  <c r="AN218" i="15" s="1"/>
  <c r="AH218" i="15"/>
  <c r="AM218" i="15" s="1"/>
  <c r="AG218" i="15"/>
  <c r="AL218" i="15" s="1"/>
  <c r="AJ226" i="15"/>
  <c r="AO226" i="15" s="1"/>
  <c r="AI226" i="15"/>
  <c r="AN226" i="15" s="1"/>
  <c r="AH226" i="15"/>
  <c r="AM226" i="15" s="1"/>
  <c r="AG226" i="15"/>
  <c r="AL226" i="15" s="1"/>
  <c r="AJ207" i="15"/>
  <c r="AO207" i="15" s="1"/>
  <c r="AI207" i="15"/>
  <c r="AN207" i="15" s="1"/>
  <c r="AH207" i="15"/>
  <c r="AM207" i="15" s="1"/>
  <c r="AG207" i="15"/>
  <c r="AL207" i="15" s="1"/>
  <c r="AJ219" i="15"/>
  <c r="AO219" i="15" s="1"/>
  <c r="AI219" i="15"/>
  <c r="AN219" i="15" s="1"/>
  <c r="AH219" i="15"/>
  <c r="AM219" i="15" s="1"/>
  <c r="AG219" i="15"/>
  <c r="AL219" i="15" s="1"/>
  <c r="AJ208" i="15"/>
  <c r="AO208" i="15" s="1"/>
  <c r="AI208" i="15"/>
  <c r="AN208" i="15" s="1"/>
  <c r="AH208" i="15"/>
  <c r="AM208" i="15" s="1"/>
  <c r="AG208" i="15"/>
  <c r="AL208" i="15" s="1"/>
  <c r="AJ214" i="15"/>
  <c r="AO214" i="15" s="1"/>
  <c r="AI214" i="15"/>
  <c r="AN214" i="15" s="1"/>
  <c r="AH214" i="15"/>
  <c r="AM214" i="15" s="1"/>
  <c r="AG214" i="15"/>
  <c r="AL214" i="15" s="1"/>
  <c r="AJ232" i="15"/>
  <c r="AO232" i="15" s="1"/>
  <c r="AI232" i="15"/>
  <c r="AN232" i="15" s="1"/>
  <c r="AH232" i="15"/>
  <c r="AM232" i="15" s="1"/>
  <c r="AG232" i="15"/>
  <c r="AL232" i="15" s="1"/>
  <c r="AL217" i="15"/>
  <c r="AJ217" i="15"/>
  <c r="AO217" i="15" s="1"/>
  <c r="AI217" i="15"/>
  <c r="AN217" i="15" s="1"/>
  <c r="AH217" i="15"/>
  <c r="AM217" i="15" s="1"/>
  <c r="AG217" i="15"/>
  <c r="AJ225" i="15"/>
  <c r="AO225" i="15" s="1"/>
  <c r="AI225" i="15"/>
  <c r="AN225" i="15" s="1"/>
  <c r="AH225" i="15"/>
  <c r="AM225" i="15" s="1"/>
  <c r="AG225" i="15"/>
  <c r="AL225" i="15" s="1"/>
  <c r="AJ231" i="15"/>
  <c r="AO231" i="15" s="1"/>
  <c r="AI231" i="15"/>
  <c r="AN231" i="15" s="1"/>
  <c r="AH231" i="15"/>
  <c r="AM231" i="15" s="1"/>
  <c r="AG231" i="15"/>
  <c r="AL231" i="15" s="1"/>
  <c r="AJ221" i="15"/>
  <c r="AO221" i="15" s="1"/>
  <c r="AI221" i="15"/>
  <c r="AN221" i="15" s="1"/>
  <c r="AH221" i="15"/>
  <c r="AM221" i="15" s="1"/>
  <c r="AG221" i="15"/>
  <c r="AL221" i="15" s="1"/>
  <c r="AJ222" i="15"/>
  <c r="AO222" i="15" s="1"/>
  <c r="AI222" i="15"/>
  <c r="AN222" i="15" s="1"/>
  <c r="AH222" i="15"/>
  <c r="AM222" i="15" s="1"/>
  <c r="AG222" i="15"/>
  <c r="AL222" i="15" s="1"/>
  <c r="AO220" i="15"/>
  <c r="AJ220" i="15"/>
  <c r="AI220" i="15"/>
  <c r="AN220" i="15" s="1"/>
  <c r="AH220" i="15"/>
  <c r="AM220" i="15" s="1"/>
  <c r="AG220" i="15"/>
  <c r="AL220" i="15" s="1"/>
  <c r="AJ213" i="15"/>
  <c r="AO213" i="15" s="1"/>
  <c r="AI213" i="15"/>
  <c r="AN213" i="15" s="1"/>
  <c r="AH213" i="15"/>
  <c r="AM213" i="15" s="1"/>
  <c r="AG213" i="15"/>
  <c r="AL213" i="15" s="1"/>
  <c r="AJ212" i="15"/>
  <c r="AO212" i="15" s="1"/>
  <c r="AI212" i="15"/>
  <c r="AN212" i="15" s="1"/>
  <c r="AH212" i="15"/>
  <c r="AM212" i="15" s="1"/>
  <c r="AG212" i="15"/>
  <c r="AL212" i="15" s="1"/>
  <c r="AL224" i="15"/>
  <c r="AJ224" i="15"/>
  <c r="AO224" i="15" s="1"/>
  <c r="AI224" i="15"/>
  <c r="AN224" i="15" s="1"/>
  <c r="AH224" i="15"/>
  <c r="AM224" i="15" s="1"/>
  <c r="AG224" i="15"/>
  <c r="AJ229" i="15"/>
  <c r="AO229" i="15" s="1"/>
  <c r="AI229" i="15"/>
  <c r="AN229" i="15" s="1"/>
  <c r="AH229" i="15"/>
  <c r="AM229" i="15" s="1"/>
  <c r="AG229" i="15"/>
  <c r="AL229" i="15" s="1"/>
  <c r="AM223" i="15"/>
  <c r="AJ223" i="15"/>
  <c r="AO223" i="15" s="1"/>
  <c r="AI223" i="15"/>
  <c r="AN223" i="15" s="1"/>
  <c r="AH223" i="15"/>
  <c r="AG223" i="15"/>
  <c r="AL223" i="15" s="1"/>
  <c r="AL216" i="15"/>
  <c r="AJ216" i="15"/>
  <c r="AO216" i="15" s="1"/>
  <c r="AI216" i="15"/>
  <c r="AN216" i="15" s="1"/>
  <c r="AH216" i="15"/>
  <c r="AM216" i="15" s="1"/>
  <c r="AG216" i="15"/>
  <c r="AJ211" i="15"/>
  <c r="AO211" i="15" s="1"/>
  <c r="AI211" i="15"/>
  <c r="AN211" i="15" s="1"/>
  <c r="AH211" i="15"/>
  <c r="AM211" i="15" s="1"/>
  <c r="AG211" i="15"/>
  <c r="AL211" i="15" s="1"/>
  <c r="AJ227" i="15"/>
  <c r="AO227" i="15" s="1"/>
  <c r="AI227" i="15"/>
  <c r="AN227" i="15" s="1"/>
  <c r="AH227" i="15"/>
  <c r="AM227" i="15" s="1"/>
  <c r="AG227" i="15"/>
  <c r="AL227" i="15" s="1"/>
  <c r="AJ230" i="15"/>
  <c r="AO230" i="15" s="1"/>
  <c r="AI230" i="15"/>
  <c r="AN230" i="15" s="1"/>
  <c r="AH230" i="15"/>
  <c r="AM230" i="15" s="1"/>
  <c r="AG230" i="15"/>
  <c r="AL230" i="15" s="1"/>
  <c r="AJ215" i="15"/>
  <c r="AO215" i="15" s="1"/>
  <c r="AI215" i="15"/>
  <c r="AN215" i="15" s="1"/>
  <c r="AH215" i="15"/>
  <c r="AM215" i="15" s="1"/>
  <c r="AG215" i="15"/>
  <c r="AL215" i="15" s="1"/>
  <c r="AJ206" i="15"/>
  <c r="AO206" i="15" s="1"/>
  <c r="AI206" i="15"/>
  <c r="AN206" i="15" s="1"/>
  <c r="AH206" i="15"/>
  <c r="AM206" i="15" s="1"/>
  <c r="AG206" i="15"/>
  <c r="AL206" i="15" s="1"/>
  <c r="AJ205" i="15"/>
  <c r="AO205" i="15" s="1"/>
  <c r="AI205" i="15"/>
  <c r="AN205" i="15" s="1"/>
  <c r="AH205" i="15"/>
  <c r="AM205" i="15" s="1"/>
  <c r="AG205" i="15"/>
  <c r="AL205" i="15" s="1"/>
  <c r="AM204" i="15"/>
  <c r="AL204" i="15"/>
  <c r="AJ204" i="15"/>
  <c r="AO204" i="15" s="1"/>
  <c r="AI204" i="15"/>
  <c r="AN204" i="15" s="1"/>
  <c r="AH204" i="15"/>
  <c r="AG204" i="15"/>
  <c r="AM203" i="15"/>
  <c r="AL203" i="15"/>
  <c r="AJ203" i="15"/>
  <c r="AO203" i="15" s="1"/>
  <c r="AI203" i="15"/>
  <c r="AN203" i="15" s="1"/>
  <c r="AH203" i="15"/>
  <c r="AG203" i="15"/>
  <c r="AL202" i="15"/>
  <c r="AJ202" i="15"/>
  <c r="AO202" i="15" s="1"/>
  <c r="AI202" i="15"/>
  <c r="AN202" i="15" s="1"/>
  <c r="AH202" i="15"/>
  <c r="AM202" i="15" s="1"/>
  <c r="AG202" i="15"/>
  <c r="AO201" i="15"/>
  <c r="AJ201" i="15"/>
  <c r="AI201" i="15"/>
  <c r="AN201" i="15" s="1"/>
  <c r="AH201" i="15"/>
  <c r="AM201" i="15" s="1"/>
  <c r="AP201" i="15" s="1"/>
  <c r="AG201" i="15"/>
  <c r="AL201" i="15" s="1"/>
  <c r="AJ200" i="15"/>
  <c r="AO200" i="15" s="1"/>
  <c r="AI200" i="15"/>
  <c r="AN200" i="15" s="1"/>
  <c r="AH200" i="15"/>
  <c r="AM200" i="15" s="1"/>
  <c r="AG200" i="15"/>
  <c r="AL200" i="15" s="1"/>
  <c r="AJ199" i="15"/>
  <c r="AO199" i="15" s="1"/>
  <c r="AI199" i="15"/>
  <c r="AN199" i="15" s="1"/>
  <c r="AH199" i="15"/>
  <c r="AM199" i="15" s="1"/>
  <c r="AG199" i="15"/>
  <c r="AL199" i="15" s="1"/>
  <c r="AJ198" i="15"/>
  <c r="AO198" i="15" s="1"/>
  <c r="AI198" i="15"/>
  <c r="AN198" i="15" s="1"/>
  <c r="AH198" i="15"/>
  <c r="AM198" i="15" s="1"/>
  <c r="AG198" i="15"/>
  <c r="AL198" i="15" s="1"/>
  <c r="AM197" i="15"/>
  <c r="AL197" i="15"/>
  <c r="AJ197" i="15"/>
  <c r="AO197" i="15" s="1"/>
  <c r="AI197" i="15"/>
  <c r="AN197" i="15" s="1"/>
  <c r="AH197" i="15"/>
  <c r="AG197" i="15"/>
  <c r="AJ196" i="15"/>
  <c r="AO196" i="15" s="1"/>
  <c r="AI196" i="15"/>
  <c r="AN196" i="15" s="1"/>
  <c r="AH196" i="15"/>
  <c r="AM196" i="15" s="1"/>
  <c r="AG196" i="15"/>
  <c r="AL196" i="15" s="1"/>
  <c r="AP196" i="15" s="1"/>
  <c r="AJ195" i="15"/>
  <c r="AO195" i="15" s="1"/>
  <c r="AI195" i="15"/>
  <c r="AN195" i="15" s="1"/>
  <c r="AH195" i="15"/>
  <c r="AM195" i="15" s="1"/>
  <c r="AG195" i="15"/>
  <c r="AL195" i="15" s="1"/>
  <c r="AJ194" i="15"/>
  <c r="AO194" i="15" s="1"/>
  <c r="AI194" i="15"/>
  <c r="AN194" i="15" s="1"/>
  <c r="AH194" i="15"/>
  <c r="AM194" i="15" s="1"/>
  <c r="AG194" i="15"/>
  <c r="AL194" i="15" s="1"/>
  <c r="AP194" i="15" s="1"/>
  <c r="AN193" i="15"/>
  <c r="AJ193" i="15"/>
  <c r="AO193" i="15" s="1"/>
  <c r="AI193" i="15"/>
  <c r="AH193" i="15"/>
  <c r="AM193" i="15" s="1"/>
  <c r="AG193" i="15"/>
  <c r="AL193" i="15" s="1"/>
  <c r="AJ192" i="15"/>
  <c r="AO192" i="15" s="1"/>
  <c r="AI192" i="15"/>
  <c r="AN192" i="15" s="1"/>
  <c r="AH192" i="15"/>
  <c r="AM192" i="15" s="1"/>
  <c r="AG192" i="15"/>
  <c r="AL192" i="15" s="1"/>
  <c r="AJ191" i="15"/>
  <c r="AO191" i="15" s="1"/>
  <c r="AI191" i="15"/>
  <c r="AN191" i="15" s="1"/>
  <c r="AH191" i="15"/>
  <c r="AM191" i="15" s="1"/>
  <c r="AG191" i="15"/>
  <c r="AL191" i="15" s="1"/>
  <c r="AL190" i="15"/>
  <c r="AJ190" i="15"/>
  <c r="AO190" i="15" s="1"/>
  <c r="AI190" i="15"/>
  <c r="AN190" i="15" s="1"/>
  <c r="AH190" i="15"/>
  <c r="AM190" i="15" s="1"/>
  <c r="AG190" i="15"/>
  <c r="AJ189" i="15"/>
  <c r="AO189" i="15" s="1"/>
  <c r="AI189" i="15"/>
  <c r="AN189" i="15" s="1"/>
  <c r="AH189" i="15"/>
  <c r="AM189" i="15" s="1"/>
  <c r="AG189" i="15"/>
  <c r="AL189" i="15" s="1"/>
  <c r="AP189" i="15" s="1"/>
  <c r="AJ188" i="15"/>
  <c r="AO188" i="15" s="1"/>
  <c r="AI188" i="15"/>
  <c r="AN188" i="15" s="1"/>
  <c r="AH188" i="15"/>
  <c r="AM188" i="15" s="1"/>
  <c r="AG188" i="15"/>
  <c r="AL188" i="15" s="1"/>
  <c r="AN187" i="15"/>
  <c r="AM187" i="15"/>
  <c r="AJ187" i="15"/>
  <c r="AO187" i="15" s="1"/>
  <c r="AI187" i="15"/>
  <c r="AH187" i="15"/>
  <c r="AG187" i="15"/>
  <c r="AL187" i="15" s="1"/>
  <c r="AP187" i="15" s="1"/>
  <c r="AO186" i="15"/>
  <c r="AN186" i="15"/>
  <c r="AM186" i="15"/>
  <c r="AJ186" i="15"/>
  <c r="AI186" i="15"/>
  <c r="AH186" i="15"/>
  <c r="AG186" i="15"/>
  <c r="AL186" i="15" s="1"/>
  <c r="AP186" i="15" s="1"/>
  <c r="AO185" i="15"/>
  <c r="AN185" i="15"/>
  <c r="AJ185" i="15"/>
  <c r="AI185" i="15"/>
  <c r="AH185" i="15"/>
  <c r="AM185" i="15" s="1"/>
  <c r="AG185" i="15"/>
  <c r="AL185" i="15" s="1"/>
  <c r="AJ184" i="15"/>
  <c r="AO184" i="15" s="1"/>
  <c r="AI184" i="15"/>
  <c r="AN184" i="15" s="1"/>
  <c r="AH184" i="15"/>
  <c r="AM184" i="15" s="1"/>
  <c r="AG184" i="15"/>
  <c r="AL184" i="15" s="1"/>
  <c r="AJ183" i="15"/>
  <c r="AO183" i="15" s="1"/>
  <c r="AI183" i="15"/>
  <c r="AN183" i="15" s="1"/>
  <c r="AH183" i="15"/>
  <c r="AM183" i="15" s="1"/>
  <c r="AG183" i="15"/>
  <c r="AL183" i="15" s="1"/>
  <c r="AP183" i="15" s="1"/>
  <c r="AJ182" i="15"/>
  <c r="AO182" i="15" s="1"/>
  <c r="AI182" i="15"/>
  <c r="AN182" i="15" s="1"/>
  <c r="AH182" i="15"/>
  <c r="AM182" i="15" s="1"/>
  <c r="AG182" i="15"/>
  <c r="AL182" i="15" s="1"/>
  <c r="AP182" i="15" s="1"/>
  <c r="AJ181" i="15"/>
  <c r="AO181" i="15" s="1"/>
  <c r="AI181" i="15"/>
  <c r="AN181" i="15" s="1"/>
  <c r="AH181" i="15"/>
  <c r="AM181" i="15" s="1"/>
  <c r="AG181" i="15"/>
  <c r="AL181" i="15" s="1"/>
  <c r="AM180" i="15"/>
  <c r="AL180" i="15"/>
  <c r="AJ180" i="15"/>
  <c r="AO180" i="15" s="1"/>
  <c r="AI180" i="15"/>
  <c r="AN180" i="15" s="1"/>
  <c r="AH180" i="15"/>
  <c r="AG180" i="15"/>
  <c r="AN179" i="15"/>
  <c r="AM179" i="15"/>
  <c r="AL179" i="15"/>
  <c r="AJ179" i="15"/>
  <c r="AO179" i="15" s="1"/>
  <c r="AI179" i="15"/>
  <c r="AH179" i="15"/>
  <c r="AG179" i="15"/>
  <c r="AN178" i="15"/>
  <c r="AM178" i="15"/>
  <c r="AL178" i="15"/>
  <c r="AJ178" i="15"/>
  <c r="AO178" i="15" s="1"/>
  <c r="AI178" i="15"/>
  <c r="AH178" i="15"/>
  <c r="AG178" i="15"/>
  <c r="AJ177" i="15"/>
  <c r="AO177" i="15" s="1"/>
  <c r="AI177" i="15"/>
  <c r="AN177" i="15" s="1"/>
  <c r="AH177" i="15"/>
  <c r="AM177" i="15" s="1"/>
  <c r="AG177" i="15"/>
  <c r="AL177" i="15" s="1"/>
  <c r="AJ176" i="15"/>
  <c r="AO176" i="15" s="1"/>
  <c r="AI176" i="15"/>
  <c r="AN176" i="15" s="1"/>
  <c r="AH176" i="15"/>
  <c r="AM176" i="15" s="1"/>
  <c r="AG176" i="15"/>
  <c r="AL176" i="15" s="1"/>
  <c r="AJ175" i="15"/>
  <c r="AO175" i="15" s="1"/>
  <c r="AI175" i="15"/>
  <c r="AN175" i="15" s="1"/>
  <c r="AH175" i="15"/>
  <c r="AM175" i="15" s="1"/>
  <c r="AG175" i="15"/>
  <c r="AL175" i="15" s="1"/>
  <c r="AJ174" i="15"/>
  <c r="AO174" i="15" s="1"/>
  <c r="AI174" i="15"/>
  <c r="AN174" i="15" s="1"/>
  <c r="AH174" i="15"/>
  <c r="AM174" i="15" s="1"/>
  <c r="AG174" i="15"/>
  <c r="AL174" i="15" s="1"/>
  <c r="AP174" i="15" s="1"/>
  <c r="AM173" i="15"/>
  <c r="AJ173" i="15"/>
  <c r="AO173" i="15" s="1"/>
  <c r="AI173" i="15"/>
  <c r="AN173" i="15" s="1"/>
  <c r="AH173" i="15"/>
  <c r="AG173" i="15"/>
  <c r="AL173" i="15" s="1"/>
  <c r="AM172" i="15"/>
  <c r="AL172" i="15"/>
  <c r="AJ172" i="15"/>
  <c r="AO172" i="15" s="1"/>
  <c r="AI172" i="15"/>
  <c r="AN172" i="15" s="1"/>
  <c r="AH172" i="15"/>
  <c r="AG172" i="15"/>
  <c r="AJ171" i="15"/>
  <c r="AO171" i="15" s="1"/>
  <c r="AI171" i="15"/>
  <c r="AN171" i="15" s="1"/>
  <c r="AH171" i="15"/>
  <c r="AM171" i="15" s="1"/>
  <c r="AG171" i="15"/>
  <c r="AL171" i="15" s="1"/>
  <c r="AJ170" i="15"/>
  <c r="AO170" i="15" s="1"/>
  <c r="AI170" i="15"/>
  <c r="AN170" i="15" s="1"/>
  <c r="AH170" i="15"/>
  <c r="AM170" i="15" s="1"/>
  <c r="AG170" i="15"/>
  <c r="AL170" i="15" s="1"/>
  <c r="AO169" i="15"/>
  <c r="AJ169" i="15"/>
  <c r="AI169" i="15"/>
  <c r="AN169" i="15" s="1"/>
  <c r="AH169" i="15"/>
  <c r="AM169" i="15" s="1"/>
  <c r="AG169" i="15"/>
  <c r="AL169" i="15" s="1"/>
  <c r="AP169" i="15" s="1"/>
  <c r="AJ168" i="15"/>
  <c r="AO168" i="15" s="1"/>
  <c r="AI168" i="15"/>
  <c r="AN168" i="15" s="1"/>
  <c r="AH168" i="15"/>
  <c r="AM168" i="15" s="1"/>
  <c r="AG168" i="15"/>
  <c r="AL168" i="15" s="1"/>
  <c r="AJ167" i="15"/>
  <c r="AO167" i="15" s="1"/>
  <c r="AI167" i="15"/>
  <c r="AN167" i="15" s="1"/>
  <c r="AH167" i="15"/>
  <c r="AM167" i="15" s="1"/>
  <c r="AG167" i="15"/>
  <c r="AL167" i="15" s="1"/>
  <c r="AJ166" i="15"/>
  <c r="AO166" i="15" s="1"/>
  <c r="AI166" i="15"/>
  <c r="AN166" i="15" s="1"/>
  <c r="AH166" i="15"/>
  <c r="AM166" i="15" s="1"/>
  <c r="AG166" i="15"/>
  <c r="AL166" i="15" s="1"/>
  <c r="AM165" i="15"/>
  <c r="AL165" i="15"/>
  <c r="AP165" i="15" s="1"/>
  <c r="AJ165" i="15"/>
  <c r="AO165" i="15" s="1"/>
  <c r="AI165" i="15"/>
  <c r="AN165" i="15" s="1"/>
  <c r="AH165" i="15"/>
  <c r="AG165" i="15"/>
  <c r="AJ164" i="15"/>
  <c r="AO164" i="15" s="1"/>
  <c r="AI164" i="15"/>
  <c r="AN164" i="15" s="1"/>
  <c r="AH164" i="15"/>
  <c r="AM164" i="15" s="1"/>
  <c r="AG164" i="15"/>
  <c r="AL164" i="15" s="1"/>
  <c r="AJ163" i="15"/>
  <c r="AO163" i="15" s="1"/>
  <c r="AI163" i="15"/>
  <c r="AN163" i="15" s="1"/>
  <c r="AH163" i="15"/>
  <c r="AM163" i="15" s="1"/>
  <c r="AG163" i="15"/>
  <c r="AL163" i="15" s="1"/>
  <c r="AO162" i="15"/>
  <c r="AJ162" i="15"/>
  <c r="AI162" i="15"/>
  <c r="AN162" i="15" s="1"/>
  <c r="AH162" i="15"/>
  <c r="AM162" i="15" s="1"/>
  <c r="AG162" i="15"/>
  <c r="AL162" i="15" s="1"/>
  <c r="AJ161" i="15"/>
  <c r="AO161" i="15" s="1"/>
  <c r="AI161" i="15"/>
  <c r="AN161" i="15" s="1"/>
  <c r="AH161" i="15"/>
  <c r="AM161" i="15" s="1"/>
  <c r="AG161" i="15"/>
  <c r="AL161" i="15" s="1"/>
  <c r="AJ160" i="15"/>
  <c r="AO160" i="15" s="1"/>
  <c r="AI160" i="15"/>
  <c r="AN160" i="15" s="1"/>
  <c r="AH160" i="15"/>
  <c r="AM160" i="15" s="1"/>
  <c r="AG160" i="15"/>
  <c r="AL160" i="15" s="1"/>
  <c r="AJ159" i="15"/>
  <c r="AO159" i="15" s="1"/>
  <c r="AI159" i="15"/>
  <c r="AN159" i="15" s="1"/>
  <c r="AH159" i="15"/>
  <c r="AM159" i="15" s="1"/>
  <c r="AG159" i="15"/>
  <c r="AL159" i="15" s="1"/>
  <c r="AP159" i="15" s="1"/>
  <c r="AL158" i="15"/>
  <c r="AJ158" i="15"/>
  <c r="AO158" i="15" s="1"/>
  <c r="AI158" i="15"/>
  <c r="AN158" i="15" s="1"/>
  <c r="AH158" i="15"/>
  <c r="AM158" i="15" s="1"/>
  <c r="AG158" i="15"/>
  <c r="AJ157" i="15"/>
  <c r="AO157" i="15" s="1"/>
  <c r="AI157" i="15"/>
  <c r="AN157" i="15" s="1"/>
  <c r="AH157" i="15"/>
  <c r="AM157" i="15" s="1"/>
  <c r="AG157" i="15"/>
  <c r="AL157" i="15" s="1"/>
  <c r="AJ156" i="15"/>
  <c r="AO156" i="15" s="1"/>
  <c r="AI156" i="15"/>
  <c r="AN156" i="15" s="1"/>
  <c r="AH156" i="15"/>
  <c r="AM156" i="15" s="1"/>
  <c r="AG156" i="15"/>
  <c r="AL156" i="15" s="1"/>
  <c r="AN155" i="15"/>
  <c r="AM155" i="15"/>
  <c r="AJ155" i="15"/>
  <c r="AO155" i="15" s="1"/>
  <c r="AI155" i="15"/>
  <c r="AH155" i="15"/>
  <c r="AG155" i="15"/>
  <c r="AL155" i="15" s="1"/>
  <c r="AP155" i="15" s="1"/>
  <c r="AO154" i="15"/>
  <c r="AN154" i="15"/>
  <c r="AM154" i="15"/>
  <c r="AJ154" i="15"/>
  <c r="AI154" i="15"/>
  <c r="AH154" i="15"/>
  <c r="AG154" i="15"/>
  <c r="AL154" i="15" s="1"/>
  <c r="AP154" i="15" s="1"/>
  <c r="AO153" i="15"/>
  <c r="AP153" i="15" s="1"/>
  <c r="AN153" i="15"/>
  <c r="AJ153" i="15"/>
  <c r="AI153" i="15"/>
  <c r="AH153" i="15"/>
  <c r="AM153" i="15" s="1"/>
  <c r="AG153" i="15"/>
  <c r="AL153" i="15" s="1"/>
  <c r="AJ152" i="15"/>
  <c r="AO152" i="15" s="1"/>
  <c r="AI152" i="15"/>
  <c r="AN152" i="15" s="1"/>
  <c r="AH152" i="15"/>
  <c r="AM152" i="15" s="1"/>
  <c r="AG152" i="15"/>
  <c r="AL152" i="15" s="1"/>
  <c r="AJ151" i="15"/>
  <c r="AO151" i="15" s="1"/>
  <c r="AI151" i="15"/>
  <c r="AN151" i="15" s="1"/>
  <c r="AH151" i="15"/>
  <c r="AM151" i="15" s="1"/>
  <c r="AG151" i="15"/>
  <c r="AL151" i="15" s="1"/>
  <c r="AL150" i="15"/>
  <c r="AJ150" i="15"/>
  <c r="AO150" i="15" s="1"/>
  <c r="AI150" i="15"/>
  <c r="AN150" i="15" s="1"/>
  <c r="AH150" i="15"/>
  <c r="AM150" i="15" s="1"/>
  <c r="AG150" i="15"/>
  <c r="AJ149" i="15"/>
  <c r="AO149" i="15" s="1"/>
  <c r="AI149" i="15"/>
  <c r="AN149" i="15" s="1"/>
  <c r="AH149" i="15"/>
  <c r="AM149" i="15" s="1"/>
  <c r="AG149" i="15"/>
  <c r="AL149" i="15" s="1"/>
  <c r="AM148" i="15"/>
  <c r="AJ148" i="15"/>
  <c r="AO148" i="15" s="1"/>
  <c r="AI148" i="15"/>
  <c r="AN148" i="15" s="1"/>
  <c r="AH148" i="15"/>
  <c r="AG148" i="15"/>
  <c r="AL148" i="15" s="1"/>
  <c r="AP148" i="15" s="1"/>
  <c r="AN147" i="15"/>
  <c r="AM147" i="15"/>
  <c r="AL147" i="15"/>
  <c r="AJ147" i="15"/>
  <c r="AO147" i="15" s="1"/>
  <c r="AI147" i="15"/>
  <c r="AH147" i="15"/>
  <c r="AG147" i="15"/>
  <c r="AO146" i="15"/>
  <c r="AN146" i="15"/>
  <c r="AM146" i="15"/>
  <c r="AJ146" i="15"/>
  <c r="AI146" i="15"/>
  <c r="AH146" i="15"/>
  <c r="AG146" i="15"/>
  <c r="AL146" i="15" s="1"/>
  <c r="AN145" i="15"/>
  <c r="AL145" i="15"/>
  <c r="AJ145" i="15"/>
  <c r="AO145" i="15" s="1"/>
  <c r="AI145" i="15"/>
  <c r="AH145" i="15"/>
  <c r="AM145" i="15" s="1"/>
  <c r="AG145" i="15"/>
  <c r="AJ144" i="15"/>
  <c r="AO144" i="15" s="1"/>
  <c r="AI144" i="15"/>
  <c r="AN144" i="15" s="1"/>
  <c r="AH144" i="15"/>
  <c r="AM144" i="15" s="1"/>
  <c r="AG144" i="15"/>
  <c r="AL144" i="15" s="1"/>
  <c r="AJ143" i="15"/>
  <c r="AO143" i="15" s="1"/>
  <c r="AI143" i="15"/>
  <c r="AN143" i="15" s="1"/>
  <c r="AH143" i="15"/>
  <c r="AM143" i="15" s="1"/>
  <c r="AG143" i="15"/>
  <c r="AL143" i="15" s="1"/>
  <c r="AJ142" i="15"/>
  <c r="AO142" i="15" s="1"/>
  <c r="AI142" i="15"/>
  <c r="AN142" i="15" s="1"/>
  <c r="AH142" i="15"/>
  <c r="AM142" i="15" s="1"/>
  <c r="AG142" i="15"/>
  <c r="AL142" i="15" s="1"/>
  <c r="AJ141" i="15"/>
  <c r="AO141" i="15" s="1"/>
  <c r="AI141" i="15"/>
  <c r="AN141" i="15" s="1"/>
  <c r="AH141" i="15"/>
  <c r="AM141" i="15" s="1"/>
  <c r="AG141" i="15"/>
  <c r="AL141" i="15" s="1"/>
  <c r="AJ140" i="15"/>
  <c r="AO140" i="15" s="1"/>
  <c r="AI140" i="15"/>
  <c r="AN140" i="15" s="1"/>
  <c r="AH140" i="15"/>
  <c r="AM140" i="15" s="1"/>
  <c r="AG140" i="15"/>
  <c r="AL140" i="15" s="1"/>
  <c r="AJ139" i="15"/>
  <c r="AO139" i="15" s="1"/>
  <c r="AI139" i="15"/>
  <c r="AN139" i="15" s="1"/>
  <c r="AH139" i="15"/>
  <c r="AM139" i="15" s="1"/>
  <c r="AG139" i="15"/>
  <c r="AL139" i="15" s="1"/>
  <c r="AJ138" i="15"/>
  <c r="AO138" i="15" s="1"/>
  <c r="AI138" i="15"/>
  <c r="AN138" i="15" s="1"/>
  <c r="AH138" i="15"/>
  <c r="AM138" i="15" s="1"/>
  <c r="AG138" i="15"/>
  <c r="AL138" i="15" s="1"/>
  <c r="AN137" i="15"/>
  <c r="AJ137" i="15"/>
  <c r="AO137" i="15" s="1"/>
  <c r="AI137" i="15"/>
  <c r="AH137" i="15"/>
  <c r="AM137" i="15" s="1"/>
  <c r="AG137" i="15"/>
  <c r="AL137" i="15" s="1"/>
  <c r="AJ136" i="15"/>
  <c r="AO136" i="15" s="1"/>
  <c r="AI136" i="15"/>
  <c r="AN136" i="15" s="1"/>
  <c r="AH136" i="15"/>
  <c r="AM136" i="15" s="1"/>
  <c r="AG136" i="15"/>
  <c r="AL136" i="15" s="1"/>
  <c r="AN135" i="15"/>
  <c r="AJ135" i="15"/>
  <c r="AO135" i="15" s="1"/>
  <c r="AI135" i="15"/>
  <c r="AH135" i="15"/>
  <c r="AM135" i="15" s="1"/>
  <c r="AG135" i="15"/>
  <c r="AL135" i="15" s="1"/>
  <c r="AL134" i="15"/>
  <c r="AJ134" i="15"/>
  <c r="AO134" i="15" s="1"/>
  <c r="AI134" i="15"/>
  <c r="AN134" i="15" s="1"/>
  <c r="AH134" i="15"/>
  <c r="AM134" i="15" s="1"/>
  <c r="AG134" i="15"/>
  <c r="AJ133" i="15"/>
  <c r="AO133" i="15" s="1"/>
  <c r="AI133" i="15"/>
  <c r="AN133" i="15" s="1"/>
  <c r="AH133" i="15"/>
  <c r="AM133" i="15" s="1"/>
  <c r="AG133" i="15"/>
  <c r="AL133" i="15" s="1"/>
  <c r="AJ132" i="15"/>
  <c r="AO132" i="15" s="1"/>
  <c r="AI132" i="15"/>
  <c r="AN132" i="15" s="1"/>
  <c r="AH132" i="15"/>
  <c r="AM132" i="15" s="1"/>
  <c r="AG132" i="15"/>
  <c r="AL132" i="15" s="1"/>
  <c r="AL131" i="15"/>
  <c r="AJ131" i="15"/>
  <c r="AO131" i="15" s="1"/>
  <c r="AI131" i="15"/>
  <c r="AN131" i="15" s="1"/>
  <c r="AH131" i="15"/>
  <c r="AM131" i="15" s="1"/>
  <c r="AG131" i="15"/>
  <c r="AL130" i="15"/>
  <c r="AJ130" i="15"/>
  <c r="AO130" i="15" s="1"/>
  <c r="AI130" i="15"/>
  <c r="AN130" i="15" s="1"/>
  <c r="AH130" i="15"/>
  <c r="AM130" i="15" s="1"/>
  <c r="AG130" i="15"/>
  <c r="AN129" i="15"/>
  <c r="AJ129" i="15"/>
  <c r="AO129" i="15" s="1"/>
  <c r="AI129" i="15"/>
  <c r="AH129" i="15"/>
  <c r="AM129" i="15" s="1"/>
  <c r="AG129" i="15"/>
  <c r="AL129" i="15" s="1"/>
  <c r="AP129" i="15" s="1"/>
  <c r="AJ128" i="15"/>
  <c r="AO128" i="15" s="1"/>
  <c r="AI128" i="15"/>
  <c r="AN128" i="15" s="1"/>
  <c r="AH128" i="15"/>
  <c r="AM128" i="15" s="1"/>
  <c r="AG128" i="15"/>
  <c r="AL128" i="15" s="1"/>
  <c r="AJ127" i="15"/>
  <c r="AO127" i="15" s="1"/>
  <c r="AI127" i="15"/>
  <c r="AN127" i="15" s="1"/>
  <c r="AH127" i="15"/>
  <c r="AM127" i="15" s="1"/>
  <c r="AG127" i="15"/>
  <c r="AL127" i="15" s="1"/>
  <c r="AJ126" i="15"/>
  <c r="AO126" i="15" s="1"/>
  <c r="AI126" i="15"/>
  <c r="AN126" i="15" s="1"/>
  <c r="AH126" i="15"/>
  <c r="AM126" i="15" s="1"/>
  <c r="AG126" i="15"/>
  <c r="AL126" i="15" s="1"/>
  <c r="AO125" i="15"/>
  <c r="AJ125" i="15"/>
  <c r="AI125" i="15"/>
  <c r="AN125" i="15" s="1"/>
  <c r="AH125" i="15"/>
  <c r="AM125" i="15" s="1"/>
  <c r="AG125" i="15"/>
  <c r="AL125" i="15" s="1"/>
  <c r="AM124" i="15"/>
  <c r="AL124" i="15"/>
  <c r="AJ124" i="15"/>
  <c r="AO124" i="15" s="1"/>
  <c r="AI124" i="15"/>
  <c r="AN124" i="15" s="1"/>
  <c r="AH124" i="15"/>
  <c r="AG124" i="15"/>
  <c r="AL123" i="15"/>
  <c r="AJ123" i="15"/>
  <c r="AO123" i="15" s="1"/>
  <c r="AI123" i="15"/>
  <c r="AN123" i="15" s="1"/>
  <c r="AH123" i="15"/>
  <c r="AM123" i="15" s="1"/>
  <c r="AG123" i="15"/>
  <c r="AJ122" i="15"/>
  <c r="AO122" i="15" s="1"/>
  <c r="AI122" i="15"/>
  <c r="AN122" i="15" s="1"/>
  <c r="AH122" i="15"/>
  <c r="AM122" i="15" s="1"/>
  <c r="AG122" i="15"/>
  <c r="AL122" i="15" s="1"/>
  <c r="AJ121" i="15"/>
  <c r="AO121" i="15" s="1"/>
  <c r="AI121" i="15"/>
  <c r="AN121" i="15" s="1"/>
  <c r="AH121" i="15"/>
  <c r="AM121" i="15" s="1"/>
  <c r="AG121" i="15"/>
  <c r="AL121" i="15" s="1"/>
  <c r="AP121" i="15" s="1"/>
  <c r="AM120" i="15"/>
  <c r="AL120" i="15"/>
  <c r="AJ120" i="15"/>
  <c r="AO120" i="15" s="1"/>
  <c r="AI120" i="15"/>
  <c r="AN120" i="15" s="1"/>
  <c r="AH120" i="15"/>
  <c r="AG120" i="15"/>
  <c r="AJ119" i="15"/>
  <c r="AO119" i="15" s="1"/>
  <c r="AI119" i="15"/>
  <c r="AN119" i="15" s="1"/>
  <c r="AH119" i="15"/>
  <c r="AM119" i="15" s="1"/>
  <c r="AG119" i="15"/>
  <c r="AL119" i="15" s="1"/>
  <c r="AJ118" i="15"/>
  <c r="AO118" i="15" s="1"/>
  <c r="AI118" i="15"/>
  <c r="AN118" i="15" s="1"/>
  <c r="AH118" i="15"/>
  <c r="AM118" i="15" s="1"/>
  <c r="AG118" i="15"/>
  <c r="AL118" i="15" s="1"/>
  <c r="AM117" i="15"/>
  <c r="AJ117" i="15"/>
  <c r="AO117" i="15" s="1"/>
  <c r="AI117" i="15"/>
  <c r="AN117" i="15" s="1"/>
  <c r="AH117" i="15"/>
  <c r="AG117" i="15"/>
  <c r="AL117" i="15" s="1"/>
  <c r="AJ116" i="15"/>
  <c r="AO116" i="15" s="1"/>
  <c r="AI116" i="15"/>
  <c r="AN116" i="15" s="1"/>
  <c r="AH116" i="15"/>
  <c r="AM116" i="15" s="1"/>
  <c r="AG116" i="15"/>
  <c r="AL116" i="15" s="1"/>
  <c r="AN115" i="15"/>
  <c r="AJ115" i="15"/>
  <c r="AO115" i="15" s="1"/>
  <c r="AI115" i="15"/>
  <c r="AH115" i="15"/>
  <c r="AM115" i="15" s="1"/>
  <c r="AG115" i="15"/>
  <c r="AL115" i="15" s="1"/>
  <c r="AO114" i="15"/>
  <c r="AN114" i="15"/>
  <c r="AM114" i="15"/>
  <c r="AJ114" i="15"/>
  <c r="AI114" i="15"/>
  <c r="AH114" i="15"/>
  <c r="AG114" i="15"/>
  <c r="AL114" i="15" s="1"/>
  <c r="AN113" i="15"/>
  <c r="AJ113" i="15"/>
  <c r="AO113" i="15" s="1"/>
  <c r="AI113" i="15"/>
  <c r="AH113" i="15"/>
  <c r="AM113" i="15" s="1"/>
  <c r="AG113" i="15"/>
  <c r="AL113" i="15" s="1"/>
  <c r="AO112" i="15"/>
  <c r="AJ112" i="15"/>
  <c r="AI112" i="15"/>
  <c r="AN112" i="15" s="1"/>
  <c r="AH112" i="15"/>
  <c r="AM112" i="15" s="1"/>
  <c r="AG112" i="15"/>
  <c r="AL112" i="15" s="1"/>
  <c r="AP112" i="15" s="1"/>
  <c r="AJ111" i="15"/>
  <c r="AO111" i="15" s="1"/>
  <c r="AI111" i="15"/>
  <c r="AN111" i="15" s="1"/>
  <c r="AH111" i="15"/>
  <c r="AM111" i="15" s="1"/>
  <c r="AG111" i="15"/>
  <c r="AL111" i="15" s="1"/>
  <c r="AL110" i="15"/>
  <c r="AJ110" i="15"/>
  <c r="AO110" i="15" s="1"/>
  <c r="AI110" i="15"/>
  <c r="AN110" i="15" s="1"/>
  <c r="AH110" i="15"/>
  <c r="AM110" i="15" s="1"/>
  <c r="AG110" i="15"/>
  <c r="AO109" i="15"/>
  <c r="AJ109" i="15"/>
  <c r="AI109" i="15"/>
  <c r="AN109" i="15" s="1"/>
  <c r="AH109" i="15"/>
  <c r="AM109" i="15" s="1"/>
  <c r="AG109" i="15"/>
  <c r="AL109" i="15" s="1"/>
  <c r="AJ108" i="15"/>
  <c r="AO108" i="15" s="1"/>
  <c r="AI108" i="15"/>
  <c r="AN108" i="15" s="1"/>
  <c r="AH108" i="15"/>
  <c r="AM108" i="15" s="1"/>
  <c r="AG108" i="15"/>
  <c r="AL108" i="15" s="1"/>
  <c r="AJ107" i="15"/>
  <c r="AO107" i="15" s="1"/>
  <c r="AI107" i="15"/>
  <c r="AN107" i="15" s="1"/>
  <c r="AH107" i="15"/>
  <c r="AM107" i="15" s="1"/>
  <c r="AG107" i="15"/>
  <c r="AL107" i="15" s="1"/>
  <c r="AJ106" i="15"/>
  <c r="AO106" i="15" s="1"/>
  <c r="AI106" i="15"/>
  <c r="AN106" i="15" s="1"/>
  <c r="AH106" i="15"/>
  <c r="AM106" i="15" s="1"/>
  <c r="AG106" i="15"/>
  <c r="AL106" i="15" s="1"/>
  <c r="AJ105" i="15"/>
  <c r="AO105" i="15" s="1"/>
  <c r="AI105" i="15"/>
  <c r="AN105" i="15" s="1"/>
  <c r="AH105" i="15"/>
  <c r="AM105" i="15" s="1"/>
  <c r="AP105" i="15" s="1"/>
  <c r="AG105" i="15"/>
  <c r="AL105" i="15" s="1"/>
  <c r="AJ104" i="15"/>
  <c r="AO104" i="15" s="1"/>
  <c r="AI104" i="15"/>
  <c r="AN104" i="15" s="1"/>
  <c r="AH104" i="15"/>
  <c r="AM104" i="15" s="1"/>
  <c r="AG104" i="15"/>
  <c r="AL104" i="15" s="1"/>
  <c r="AJ103" i="15"/>
  <c r="AO103" i="15" s="1"/>
  <c r="AI103" i="15"/>
  <c r="AN103" i="15" s="1"/>
  <c r="AH103" i="15"/>
  <c r="AM103" i="15" s="1"/>
  <c r="AG103" i="15"/>
  <c r="AL103" i="15" s="1"/>
  <c r="AP103" i="15" s="1"/>
  <c r="AO102" i="15"/>
  <c r="AJ102" i="15"/>
  <c r="AI102" i="15"/>
  <c r="AN102" i="15" s="1"/>
  <c r="AH102" i="15"/>
  <c r="AM102" i="15" s="1"/>
  <c r="AG102" i="15"/>
  <c r="AL102" i="15" s="1"/>
  <c r="AJ101" i="15"/>
  <c r="AO101" i="15" s="1"/>
  <c r="AI101" i="15"/>
  <c r="AN101" i="15" s="1"/>
  <c r="AH101" i="15"/>
  <c r="AM101" i="15" s="1"/>
  <c r="AG101" i="15"/>
  <c r="AL101" i="15" s="1"/>
  <c r="AJ100" i="15"/>
  <c r="AO100" i="15" s="1"/>
  <c r="AI100" i="15"/>
  <c r="AN100" i="15" s="1"/>
  <c r="AH100" i="15"/>
  <c r="AM100" i="15" s="1"/>
  <c r="AG100" i="15"/>
  <c r="AL100" i="15" s="1"/>
  <c r="AJ99" i="15"/>
  <c r="AO99" i="15" s="1"/>
  <c r="AI99" i="15"/>
  <c r="AN99" i="15" s="1"/>
  <c r="AH99" i="15"/>
  <c r="AM99" i="15" s="1"/>
  <c r="AG99" i="15"/>
  <c r="AL99" i="15" s="1"/>
  <c r="AJ98" i="15"/>
  <c r="AO98" i="15" s="1"/>
  <c r="AI98" i="15"/>
  <c r="AN98" i="15" s="1"/>
  <c r="AH98" i="15"/>
  <c r="AM98" i="15" s="1"/>
  <c r="AG98" i="15"/>
  <c r="AL98" i="15" s="1"/>
  <c r="AJ97" i="15"/>
  <c r="AO97" i="15" s="1"/>
  <c r="AI97" i="15"/>
  <c r="AN97" i="15" s="1"/>
  <c r="AH97" i="15"/>
  <c r="AM97" i="15" s="1"/>
  <c r="AG97" i="15"/>
  <c r="AL97" i="15" s="1"/>
  <c r="AJ96" i="15"/>
  <c r="AO96" i="15" s="1"/>
  <c r="AI96" i="15"/>
  <c r="AN96" i="15" s="1"/>
  <c r="AH96" i="15"/>
  <c r="AM96" i="15" s="1"/>
  <c r="AG96" i="15"/>
  <c r="AL96" i="15" s="1"/>
  <c r="AJ95" i="15"/>
  <c r="AO95" i="15" s="1"/>
  <c r="AI95" i="15"/>
  <c r="AN95" i="15" s="1"/>
  <c r="AH95" i="15"/>
  <c r="AM95" i="15" s="1"/>
  <c r="AG95" i="15"/>
  <c r="AL95" i="15" s="1"/>
  <c r="AJ94" i="15"/>
  <c r="AO94" i="15" s="1"/>
  <c r="AI94" i="15"/>
  <c r="AN94" i="15" s="1"/>
  <c r="AH94" i="15"/>
  <c r="AM94" i="15" s="1"/>
  <c r="AG94" i="15"/>
  <c r="AL94" i="15" s="1"/>
  <c r="AJ93" i="15"/>
  <c r="AO93" i="15" s="1"/>
  <c r="AI93" i="15"/>
  <c r="AN93" i="15" s="1"/>
  <c r="AH93" i="15"/>
  <c r="AM93" i="15" s="1"/>
  <c r="AG93" i="15"/>
  <c r="AL93" i="15" s="1"/>
  <c r="AL92" i="15"/>
  <c r="AJ92" i="15"/>
  <c r="AO92" i="15" s="1"/>
  <c r="AI92" i="15"/>
  <c r="AN92" i="15" s="1"/>
  <c r="AH92" i="15"/>
  <c r="AM92" i="15" s="1"/>
  <c r="AG92" i="15"/>
  <c r="AJ91" i="15"/>
  <c r="AO91" i="15" s="1"/>
  <c r="AI91" i="15"/>
  <c r="AN91" i="15" s="1"/>
  <c r="AH91" i="15"/>
  <c r="AM91" i="15" s="1"/>
  <c r="AG91" i="15"/>
  <c r="AL91" i="15" s="1"/>
  <c r="AJ90" i="15"/>
  <c r="AO90" i="15" s="1"/>
  <c r="AI90" i="15"/>
  <c r="AN90" i="15" s="1"/>
  <c r="AH90" i="15"/>
  <c r="AM90" i="15" s="1"/>
  <c r="AG90" i="15"/>
  <c r="AL90" i="15" s="1"/>
  <c r="AL89" i="15"/>
  <c r="AJ89" i="15"/>
  <c r="AO89" i="15" s="1"/>
  <c r="AI89" i="15"/>
  <c r="AN89" i="15" s="1"/>
  <c r="AH89" i="15"/>
  <c r="AM89" i="15" s="1"/>
  <c r="AG89" i="15"/>
  <c r="AJ88" i="15"/>
  <c r="AO88" i="15" s="1"/>
  <c r="AI88" i="15"/>
  <c r="AN88" i="15" s="1"/>
  <c r="AH88" i="15"/>
  <c r="AM88" i="15" s="1"/>
  <c r="AG88" i="15"/>
  <c r="AL88" i="15" s="1"/>
  <c r="AL87" i="15"/>
  <c r="AJ87" i="15"/>
  <c r="AO87" i="15" s="1"/>
  <c r="AI87" i="15"/>
  <c r="AN87" i="15" s="1"/>
  <c r="AH87" i="15"/>
  <c r="AM87" i="15" s="1"/>
  <c r="AG87" i="15"/>
  <c r="AL86" i="15"/>
  <c r="AJ86" i="15"/>
  <c r="AO86" i="15" s="1"/>
  <c r="AI86" i="15"/>
  <c r="AN86" i="15" s="1"/>
  <c r="AH86" i="15"/>
  <c r="AM86" i="15" s="1"/>
  <c r="AG86" i="15"/>
  <c r="AJ85" i="15"/>
  <c r="AO85" i="15" s="1"/>
  <c r="AI85" i="15"/>
  <c r="AN85" i="15" s="1"/>
  <c r="AH85" i="15"/>
  <c r="AM85" i="15" s="1"/>
  <c r="AG85" i="15"/>
  <c r="AL85" i="15" s="1"/>
  <c r="AP85" i="15" s="1"/>
  <c r="AM84" i="15"/>
  <c r="AJ84" i="15"/>
  <c r="AO84" i="15" s="1"/>
  <c r="AI84" i="15"/>
  <c r="AN84" i="15" s="1"/>
  <c r="AH84" i="15"/>
  <c r="AG84" i="15"/>
  <c r="AL84" i="15" s="1"/>
  <c r="AM83" i="15"/>
  <c r="AL83" i="15"/>
  <c r="AJ83" i="15"/>
  <c r="AO83" i="15" s="1"/>
  <c r="AI83" i="15"/>
  <c r="AN83" i="15" s="1"/>
  <c r="AH83" i="15"/>
  <c r="AG83" i="15"/>
  <c r="AL82" i="15"/>
  <c r="AJ82" i="15"/>
  <c r="AO82" i="15" s="1"/>
  <c r="AI82" i="15"/>
  <c r="AN82" i="15" s="1"/>
  <c r="AH82" i="15"/>
  <c r="AM82" i="15" s="1"/>
  <c r="AG82" i="15"/>
  <c r="AJ81" i="15"/>
  <c r="AO81" i="15" s="1"/>
  <c r="AI81" i="15"/>
  <c r="AN81" i="15" s="1"/>
  <c r="AH81" i="15"/>
  <c r="AM81" i="15" s="1"/>
  <c r="AG81" i="15"/>
  <c r="AL81" i="15" s="1"/>
  <c r="AM80" i="15"/>
  <c r="AJ80" i="15"/>
  <c r="AO80" i="15" s="1"/>
  <c r="AI80" i="15"/>
  <c r="AN80" i="15" s="1"/>
  <c r="AH80" i="15"/>
  <c r="AG80" i="15"/>
  <c r="AL80" i="15" s="1"/>
  <c r="AM79" i="15"/>
  <c r="AL79" i="15"/>
  <c r="AJ79" i="15"/>
  <c r="AO79" i="15" s="1"/>
  <c r="AI79" i="15"/>
  <c r="AN79" i="15" s="1"/>
  <c r="AH79" i="15"/>
  <c r="AG79" i="15"/>
  <c r="AL78" i="15"/>
  <c r="AJ78" i="15"/>
  <c r="AO78" i="15" s="1"/>
  <c r="AI78" i="15"/>
  <c r="AN78" i="15" s="1"/>
  <c r="AH78" i="15"/>
  <c r="AM78" i="15" s="1"/>
  <c r="AG78" i="15"/>
  <c r="AJ77" i="15"/>
  <c r="AO77" i="15" s="1"/>
  <c r="AI77" i="15"/>
  <c r="AN77" i="15" s="1"/>
  <c r="AH77" i="15"/>
  <c r="AM77" i="15" s="1"/>
  <c r="AG77" i="15"/>
  <c r="AL77" i="15" s="1"/>
  <c r="AJ76" i="15"/>
  <c r="AO76" i="15" s="1"/>
  <c r="AI76" i="15"/>
  <c r="AN76" i="15" s="1"/>
  <c r="AH76" i="15"/>
  <c r="AM76" i="15" s="1"/>
  <c r="AG76" i="15"/>
  <c r="AL76" i="15" s="1"/>
  <c r="AN75" i="15"/>
  <c r="AJ75" i="15"/>
  <c r="AO75" i="15" s="1"/>
  <c r="AI75" i="15"/>
  <c r="AH75" i="15"/>
  <c r="AM75" i="15" s="1"/>
  <c r="AG75" i="15"/>
  <c r="AL75" i="15" s="1"/>
  <c r="AN74" i="15"/>
  <c r="AM74" i="15"/>
  <c r="AJ74" i="15"/>
  <c r="AO74" i="15" s="1"/>
  <c r="AI74" i="15"/>
  <c r="AH74" i="15"/>
  <c r="AG74" i="15"/>
  <c r="AL74" i="15" s="1"/>
  <c r="AL73" i="15"/>
  <c r="AJ73" i="15"/>
  <c r="AO73" i="15" s="1"/>
  <c r="AI73" i="15"/>
  <c r="AN73" i="15" s="1"/>
  <c r="AH73" i="15"/>
  <c r="AM73" i="15" s="1"/>
  <c r="AG73" i="15"/>
  <c r="AL72" i="15"/>
  <c r="AJ72" i="15"/>
  <c r="AO72" i="15" s="1"/>
  <c r="AI72" i="15"/>
  <c r="AN72" i="15" s="1"/>
  <c r="AH72" i="15"/>
  <c r="AM72" i="15" s="1"/>
  <c r="AG72" i="15"/>
  <c r="AJ71" i="15"/>
  <c r="AO71" i="15" s="1"/>
  <c r="AI71" i="15"/>
  <c r="AN71" i="15" s="1"/>
  <c r="AH71" i="15"/>
  <c r="AM71" i="15" s="1"/>
  <c r="AG71" i="15"/>
  <c r="AL71" i="15" s="1"/>
  <c r="AM70" i="15"/>
  <c r="AJ70" i="15"/>
  <c r="AO70" i="15" s="1"/>
  <c r="AI70" i="15"/>
  <c r="AN70" i="15" s="1"/>
  <c r="AH70" i="15"/>
  <c r="AG70" i="15"/>
  <c r="AL70" i="15" s="1"/>
  <c r="AO69" i="15"/>
  <c r="AN69" i="15"/>
  <c r="AM69" i="15"/>
  <c r="AJ69" i="15"/>
  <c r="AI69" i="15"/>
  <c r="AH69" i="15"/>
  <c r="AG69" i="15"/>
  <c r="AL69" i="15" s="1"/>
  <c r="AM68" i="15"/>
  <c r="AL68" i="15"/>
  <c r="AJ68" i="15"/>
  <c r="AO68" i="15" s="1"/>
  <c r="AI68" i="15"/>
  <c r="AN68" i="15" s="1"/>
  <c r="AH68" i="15"/>
  <c r="AG68" i="15"/>
  <c r="AM67" i="15"/>
  <c r="AL67" i="15"/>
  <c r="AJ67" i="15"/>
  <c r="AO67" i="15" s="1"/>
  <c r="AI67" i="15"/>
  <c r="AN67" i="15" s="1"/>
  <c r="AH67" i="15"/>
  <c r="AG67" i="15"/>
  <c r="AL66" i="15"/>
  <c r="AJ66" i="15"/>
  <c r="AO66" i="15" s="1"/>
  <c r="AI66" i="15"/>
  <c r="AN66" i="15" s="1"/>
  <c r="AH66" i="15"/>
  <c r="AM66" i="15" s="1"/>
  <c r="AG66" i="15"/>
  <c r="AJ65" i="15"/>
  <c r="AO65" i="15" s="1"/>
  <c r="AI65" i="15"/>
  <c r="AN65" i="15" s="1"/>
  <c r="AH65" i="15"/>
  <c r="AM65" i="15" s="1"/>
  <c r="AG65" i="15"/>
  <c r="AL65" i="15" s="1"/>
  <c r="AJ64" i="15"/>
  <c r="AO64" i="15" s="1"/>
  <c r="AI64" i="15"/>
  <c r="AN64" i="15" s="1"/>
  <c r="AH64" i="15"/>
  <c r="AM64" i="15" s="1"/>
  <c r="AG64" i="15"/>
  <c r="AL64" i="15" s="1"/>
  <c r="AP64" i="15" s="1"/>
  <c r="AO63" i="15"/>
  <c r="AN63" i="15"/>
  <c r="AJ63" i="15"/>
  <c r="AI63" i="15"/>
  <c r="AH63" i="15"/>
  <c r="AM63" i="15" s="1"/>
  <c r="AG63" i="15"/>
  <c r="AL63" i="15" s="1"/>
  <c r="AN62" i="15"/>
  <c r="AJ62" i="15"/>
  <c r="AO62" i="15" s="1"/>
  <c r="AI62" i="15"/>
  <c r="AH62" i="15"/>
  <c r="AM62" i="15" s="1"/>
  <c r="AG62" i="15"/>
  <c r="AL62" i="15" s="1"/>
  <c r="AO61" i="15"/>
  <c r="AJ61" i="15"/>
  <c r="AI61" i="15"/>
  <c r="AN61" i="15" s="1"/>
  <c r="AH61" i="15"/>
  <c r="AM61" i="15" s="1"/>
  <c r="AG61" i="15"/>
  <c r="AL61" i="15" s="1"/>
  <c r="AJ60" i="15"/>
  <c r="AO60" i="15" s="1"/>
  <c r="AI60" i="15"/>
  <c r="AN60" i="15" s="1"/>
  <c r="AH60" i="15"/>
  <c r="AM60" i="15" s="1"/>
  <c r="AG60" i="15"/>
  <c r="AL60" i="15" s="1"/>
  <c r="AJ59" i="15"/>
  <c r="AO59" i="15" s="1"/>
  <c r="AI59" i="15"/>
  <c r="AN59" i="15" s="1"/>
  <c r="AH59" i="15"/>
  <c r="AM59" i="15" s="1"/>
  <c r="AG59" i="15"/>
  <c r="AL59" i="15" s="1"/>
  <c r="AJ58" i="15"/>
  <c r="AO58" i="15" s="1"/>
  <c r="AI58" i="15"/>
  <c r="AN58" i="15" s="1"/>
  <c r="AH58" i="15"/>
  <c r="AM58" i="15" s="1"/>
  <c r="AG58" i="15"/>
  <c r="AL58" i="15" s="1"/>
  <c r="AN57" i="15"/>
  <c r="AM57" i="15"/>
  <c r="AJ57" i="15"/>
  <c r="AO57" i="15" s="1"/>
  <c r="AI57" i="15"/>
  <c r="AH57" i="15"/>
  <c r="AG57" i="15"/>
  <c r="AL57" i="15" s="1"/>
  <c r="AN56" i="15"/>
  <c r="AM56" i="15"/>
  <c r="AL56" i="15"/>
  <c r="AJ56" i="15"/>
  <c r="AO56" i="15" s="1"/>
  <c r="AI56" i="15"/>
  <c r="AH56" i="15"/>
  <c r="AG56" i="15"/>
  <c r="AO55" i="15"/>
  <c r="AN55" i="15"/>
  <c r="AM55" i="15"/>
  <c r="AL55" i="15"/>
  <c r="AP55" i="15" s="1"/>
  <c r="AJ55" i="15"/>
  <c r="AI55" i="15"/>
  <c r="AH55" i="15"/>
  <c r="AG55" i="15"/>
  <c r="AN54" i="15"/>
  <c r="AM54" i="15"/>
  <c r="AJ54" i="15"/>
  <c r="AO54" i="15" s="1"/>
  <c r="AI54" i="15"/>
  <c r="AH54" i="15"/>
  <c r="AG54" i="15"/>
  <c r="AL54" i="15" s="1"/>
  <c r="AP54" i="15" s="1"/>
  <c r="AO53" i="15"/>
  <c r="AJ53" i="15"/>
  <c r="AI53" i="15"/>
  <c r="AN53" i="15" s="1"/>
  <c r="AH53" i="15"/>
  <c r="AM53" i="15" s="1"/>
  <c r="AG53" i="15"/>
  <c r="AL53" i="15" s="1"/>
  <c r="AJ52" i="15"/>
  <c r="AO52" i="15" s="1"/>
  <c r="AI52" i="15"/>
  <c r="AN52" i="15" s="1"/>
  <c r="AH52" i="15"/>
  <c r="AM52" i="15" s="1"/>
  <c r="AG52" i="15"/>
  <c r="AL52" i="15" s="1"/>
  <c r="AJ51" i="15"/>
  <c r="AO51" i="15" s="1"/>
  <c r="AI51" i="15"/>
  <c r="AN51" i="15" s="1"/>
  <c r="AH51" i="15"/>
  <c r="AM51" i="15" s="1"/>
  <c r="AG51" i="15"/>
  <c r="AL51" i="15" s="1"/>
  <c r="AP51" i="15" s="1"/>
  <c r="AJ50" i="15"/>
  <c r="AO50" i="15" s="1"/>
  <c r="AI50" i="15"/>
  <c r="AN50" i="15" s="1"/>
  <c r="AH50" i="15"/>
  <c r="AM50" i="15" s="1"/>
  <c r="AG50" i="15"/>
  <c r="AL50" i="15" s="1"/>
  <c r="AJ49" i="15"/>
  <c r="AO49" i="15" s="1"/>
  <c r="AI49" i="15"/>
  <c r="AN49" i="15" s="1"/>
  <c r="AH49" i="15"/>
  <c r="AM49" i="15" s="1"/>
  <c r="AG49" i="15"/>
  <c r="AL49" i="15" s="1"/>
  <c r="AO48" i="15"/>
  <c r="AJ48" i="15"/>
  <c r="AI48" i="15"/>
  <c r="AN48" i="15" s="1"/>
  <c r="AH48" i="15"/>
  <c r="AM48" i="15" s="1"/>
  <c r="AG48" i="15"/>
  <c r="AL48" i="15" s="1"/>
  <c r="AO47" i="15"/>
  <c r="AJ47" i="15"/>
  <c r="AI47" i="15"/>
  <c r="AN47" i="15" s="1"/>
  <c r="AH47" i="15"/>
  <c r="AM47" i="15" s="1"/>
  <c r="AG47" i="15"/>
  <c r="AL47" i="15" s="1"/>
  <c r="AJ46" i="15"/>
  <c r="AO46" i="15" s="1"/>
  <c r="AI46" i="15"/>
  <c r="AN46" i="15" s="1"/>
  <c r="AH46" i="15"/>
  <c r="AM46" i="15" s="1"/>
  <c r="AG46" i="15"/>
  <c r="AL46" i="15" s="1"/>
  <c r="AJ45" i="15"/>
  <c r="AO45" i="15" s="1"/>
  <c r="AI45" i="15"/>
  <c r="AN45" i="15" s="1"/>
  <c r="AH45" i="15"/>
  <c r="AM45" i="15" s="1"/>
  <c r="AG45" i="15"/>
  <c r="AL45" i="15" s="1"/>
  <c r="AO44" i="15"/>
  <c r="AJ44" i="15"/>
  <c r="AI44" i="15"/>
  <c r="AN44" i="15" s="1"/>
  <c r="AH44" i="15"/>
  <c r="AM44" i="15" s="1"/>
  <c r="AG44" i="15"/>
  <c r="AL44" i="15" s="1"/>
  <c r="AJ43" i="15"/>
  <c r="AO43" i="15" s="1"/>
  <c r="AI43" i="15"/>
  <c r="AN43" i="15" s="1"/>
  <c r="AH43" i="15"/>
  <c r="AM43" i="15" s="1"/>
  <c r="AG43" i="15"/>
  <c r="AL43" i="15" s="1"/>
  <c r="AJ42" i="15"/>
  <c r="AO42" i="15" s="1"/>
  <c r="AI42" i="15"/>
  <c r="AN42" i="15" s="1"/>
  <c r="AH42" i="15"/>
  <c r="AM42" i="15" s="1"/>
  <c r="AG42" i="15"/>
  <c r="AL42" i="15" s="1"/>
  <c r="AN41" i="15"/>
  <c r="AJ41" i="15"/>
  <c r="AO41" i="15" s="1"/>
  <c r="AI41" i="15"/>
  <c r="AH41" i="15"/>
  <c r="AM41" i="15" s="1"/>
  <c r="AG41" i="15"/>
  <c r="AL41" i="15" s="1"/>
  <c r="AO40" i="15"/>
  <c r="AN40" i="15"/>
  <c r="AJ40" i="15"/>
  <c r="AI40" i="15"/>
  <c r="AH40" i="15"/>
  <c r="AM40" i="15" s="1"/>
  <c r="AG40" i="15"/>
  <c r="AL40" i="15" s="1"/>
  <c r="AN39" i="15"/>
  <c r="AJ39" i="15"/>
  <c r="AO39" i="15" s="1"/>
  <c r="AI39" i="15"/>
  <c r="AH39" i="15"/>
  <c r="AM39" i="15" s="1"/>
  <c r="AG39" i="15"/>
  <c r="AL39" i="15" s="1"/>
  <c r="AO38" i="15"/>
  <c r="AJ38" i="15"/>
  <c r="AI38" i="15"/>
  <c r="AN38" i="15" s="1"/>
  <c r="AH38" i="15"/>
  <c r="AM38" i="15" s="1"/>
  <c r="AG38" i="15"/>
  <c r="AL38" i="15" s="1"/>
  <c r="AJ37" i="15"/>
  <c r="AO37" i="15" s="1"/>
  <c r="AI37" i="15"/>
  <c r="AN37" i="15" s="1"/>
  <c r="AH37" i="15"/>
  <c r="AM37" i="15" s="1"/>
  <c r="AG37" i="15"/>
  <c r="AL37" i="15" s="1"/>
  <c r="AL36" i="15"/>
  <c r="AJ36" i="15"/>
  <c r="AO36" i="15" s="1"/>
  <c r="AI36" i="15"/>
  <c r="AN36" i="15" s="1"/>
  <c r="AH36" i="15"/>
  <c r="AM36" i="15" s="1"/>
  <c r="AG36" i="15"/>
  <c r="AJ35" i="15"/>
  <c r="AO35" i="15" s="1"/>
  <c r="AI35" i="15"/>
  <c r="AN35" i="15" s="1"/>
  <c r="AH35" i="15"/>
  <c r="AM35" i="15" s="1"/>
  <c r="AG35" i="15"/>
  <c r="AL35" i="15" s="1"/>
  <c r="AJ34" i="15"/>
  <c r="AO34" i="15" s="1"/>
  <c r="AI34" i="15"/>
  <c r="AN34" i="15" s="1"/>
  <c r="AH34" i="15"/>
  <c r="AM34" i="15" s="1"/>
  <c r="AG34" i="15"/>
  <c r="AL34" i="15" s="1"/>
  <c r="AO33" i="15"/>
  <c r="AJ33" i="15"/>
  <c r="AI33" i="15"/>
  <c r="AN33" i="15" s="1"/>
  <c r="AH33" i="15"/>
  <c r="AM33" i="15" s="1"/>
  <c r="AG33" i="15"/>
  <c r="AL33" i="15" s="1"/>
  <c r="AN32" i="15"/>
  <c r="AM32" i="15"/>
  <c r="AJ32" i="15"/>
  <c r="AO32" i="15" s="1"/>
  <c r="AI32" i="15"/>
  <c r="AH32" i="15"/>
  <c r="AG32" i="15"/>
  <c r="AL32" i="15" s="1"/>
  <c r="AL31" i="15"/>
  <c r="AJ31" i="15"/>
  <c r="AO31" i="15" s="1"/>
  <c r="AI31" i="15"/>
  <c r="AN31" i="15" s="1"/>
  <c r="AH31" i="15"/>
  <c r="AM31" i="15" s="1"/>
  <c r="AG31" i="15"/>
  <c r="AO30" i="15"/>
  <c r="AJ30" i="15"/>
  <c r="AI30" i="15"/>
  <c r="AN30" i="15" s="1"/>
  <c r="AH30" i="15"/>
  <c r="AM30" i="15" s="1"/>
  <c r="AG30" i="15"/>
  <c r="AL30" i="15" s="1"/>
  <c r="AJ29" i="15"/>
  <c r="AO29" i="15" s="1"/>
  <c r="AI29" i="15"/>
  <c r="AN29" i="15" s="1"/>
  <c r="AH29" i="15"/>
  <c r="AM29" i="15" s="1"/>
  <c r="AG29" i="15"/>
  <c r="AL29" i="15" s="1"/>
  <c r="AO28" i="15"/>
  <c r="AJ28" i="15"/>
  <c r="AI28" i="15"/>
  <c r="AN28" i="15" s="1"/>
  <c r="AH28" i="15"/>
  <c r="AM28" i="15" s="1"/>
  <c r="AG28" i="15"/>
  <c r="AL28" i="15" s="1"/>
  <c r="AJ27" i="15"/>
  <c r="AO27" i="15" s="1"/>
  <c r="AI27" i="15"/>
  <c r="AN27" i="15" s="1"/>
  <c r="AH27" i="15"/>
  <c r="AM27" i="15" s="1"/>
  <c r="AG27" i="15"/>
  <c r="AL27" i="15" s="1"/>
  <c r="AM26" i="15"/>
  <c r="AL26" i="15"/>
  <c r="AJ26" i="15"/>
  <c r="AO26" i="15" s="1"/>
  <c r="AI26" i="15"/>
  <c r="AN26" i="15" s="1"/>
  <c r="AH26" i="15"/>
  <c r="AG26" i="15"/>
  <c r="AM25" i="15"/>
  <c r="AL25" i="15"/>
  <c r="AJ25" i="15"/>
  <c r="AO25" i="15" s="1"/>
  <c r="AI25" i="15"/>
  <c r="AN25" i="15" s="1"/>
  <c r="AH25" i="15"/>
  <c r="AG25" i="15"/>
  <c r="AN24" i="15"/>
  <c r="AJ24" i="15"/>
  <c r="AO24" i="15" s="1"/>
  <c r="AI24" i="15"/>
  <c r="AH24" i="15"/>
  <c r="AM24" i="15" s="1"/>
  <c r="AG24" i="15"/>
  <c r="AL24" i="15" s="1"/>
  <c r="AJ23" i="15"/>
  <c r="AO23" i="15" s="1"/>
  <c r="AI23" i="15"/>
  <c r="AN23" i="15" s="1"/>
  <c r="AH23" i="15"/>
  <c r="AM23" i="15" s="1"/>
  <c r="AG23" i="15"/>
  <c r="AL23" i="15" s="1"/>
  <c r="AO22" i="15"/>
  <c r="AJ22" i="15"/>
  <c r="AI22" i="15"/>
  <c r="AN22" i="15" s="1"/>
  <c r="AH22" i="15"/>
  <c r="AM22" i="15" s="1"/>
  <c r="AG22" i="15"/>
  <c r="AL22" i="15" s="1"/>
  <c r="AJ21" i="15"/>
  <c r="AO21" i="15" s="1"/>
  <c r="AI21" i="15"/>
  <c r="AN21" i="15" s="1"/>
  <c r="AH21" i="15"/>
  <c r="AM21" i="15" s="1"/>
  <c r="AG21" i="15"/>
  <c r="AL21" i="15" s="1"/>
  <c r="AJ20" i="15"/>
  <c r="AO20" i="15" s="1"/>
  <c r="AI20" i="15"/>
  <c r="AN20" i="15" s="1"/>
  <c r="AH20" i="15"/>
  <c r="AM20" i="15" s="1"/>
  <c r="AG20" i="15"/>
  <c r="AL20" i="15" s="1"/>
  <c r="AL19" i="15"/>
  <c r="AJ19" i="15"/>
  <c r="AO19" i="15" s="1"/>
  <c r="AI19" i="15"/>
  <c r="AN19" i="15" s="1"/>
  <c r="AH19" i="15"/>
  <c r="AM19" i="15" s="1"/>
  <c r="AG19" i="15"/>
  <c r="AL18" i="15"/>
  <c r="AJ18" i="15"/>
  <c r="AO18" i="15" s="1"/>
  <c r="AI18" i="15"/>
  <c r="AN18" i="15" s="1"/>
  <c r="AH18" i="15"/>
  <c r="AM18" i="15" s="1"/>
  <c r="AG18" i="15"/>
  <c r="AJ17" i="15"/>
  <c r="AO17" i="15" s="1"/>
  <c r="AI17" i="15"/>
  <c r="AN17" i="15" s="1"/>
  <c r="AH17" i="15"/>
  <c r="AM17" i="15" s="1"/>
  <c r="AG17" i="15"/>
  <c r="AL17" i="15" s="1"/>
  <c r="AJ16" i="15"/>
  <c r="AO16" i="15" s="1"/>
  <c r="AI16" i="15"/>
  <c r="AN16" i="15" s="1"/>
  <c r="AH16" i="15"/>
  <c r="AM16" i="15" s="1"/>
  <c r="AG16" i="15"/>
  <c r="AL16" i="15" s="1"/>
  <c r="AM15" i="15"/>
  <c r="AJ15" i="15"/>
  <c r="AO15" i="15" s="1"/>
  <c r="AI15" i="15"/>
  <c r="AN15" i="15" s="1"/>
  <c r="AH15" i="15"/>
  <c r="AG15" i="15"/>
  <c r="AL15" i="15" s="1"/>
  <c r="AJ14" i="15"/>
  <c r="AO14" i="15" s="1"/>
  <c r="AI14" i="15"/>
  <c r="AN14" i="15" s="1"/>
  <c r="AH14" i="15"/>
  <c r="AM14" i="15" s="1"/>
  <c r="AG14" i="15"/>
  <c r="AL14" i="15" s="1"/>
  <c r="AJ13" i="15"/>
  <c r="AO13" i="15" s="1"/>
  <c r="AI13" i="15"/>
  <c r="AN13" i="15" s="1"/>
  <c r="AH13" i="15"/>
  <c r="AM13" i="15" s="1"/>
  <c r="AG13" i="15"/>
  <c r="AL13" i="15" s="1"/>
  <c r="AM12" i="15"/>
  <c r="AJ12" i="15"/>
  <c r="AO12" i="15" s="1"/>
  <c r="AI12" i="15"/>
  <c r="AN12" i="15" s="1"/>
  <c r="AH12" i="15"/>
  <c r="AG12" i="15"/>
  <c r="AL12" i="15" s="1"/>
  <c r="AL11" i="15"/>
  <c r="AJ11" i="15"/>
  <c r="AO11" i="15" s="1"/>
  <c r="AI11" i="15"/>
  <c r="AN11" i="15" s="1"/>
  <c r="AH11" i="15"/>
  <c r="AM11" i="15" s="1"/>
  <c r="AG11" i="15"/>
  <c r="AJ10" i="15"/>
  <c r="AO10" i="15" s="1"/>
  <c r="AI10" i="15"/>
  <c r="AN10" i="15" s="1"/>
  <c r="AH10" i="15"/>
  <c r="AM10" i="15" s="1"/>
  <c r="AG10" i="15"/>
  <c r="AL10" i="15" s="1"/>
  <c r="AJ9" i="15"/>
  <c r="AO9" i="15" s="1"/>
  <c r="AI9" i="15"/>
  <c r="AN9" i="15" s="1"/>
  <c r="AH9" i="15"/>
  <c r="AM9" i="15" s="1"/>
  <c r="AG9" i="15"/>
  <c r="AL9" i="15" s="1"/>
  <c r="AL8" i="15"/>
  <c r="AJ8" i="15"/>
  <c r="AO8" i="15" s="1"/>
  <c r="AI8" i="15"/>
  <c r="AN8" i="15" s="1"/>
  <c r="AH8" i="15"/>
  <c r="AM8" i="15" s="1"/>
  <c r="AG8" i="15"/>
  <c r="AM7" i="15"/>
  <c r="AL7" i="15"/>
  <c r="AJ7" i="15"/>
  <c r="AO7" i="15" s="1"/>
  <c r="AI7" i="15"/>
  <c r="AN7" i="15" s="1"/>
  <c r="AH7" i="15"/>
  <c r="AG7" i="15"/>
  <c r="AN6" i="15"/>
  <c r="AJ6" i="15"/>
  <c r="AO6" i="15" s="1"/>
  <c r="AI6" i="15"/>
  <c r="AH6" i="15"/>
  <c r="AM6" i="15" s="1"/>
  <c r="AG6" i="15"/>
  <c r="AL6" i="15" s="1"/>
  <c r="AJ232" i="14"/>
  <c r="AO232" i="14" s="1"/>
  <c r="AI232" i="14"/>
  <c r="AN232" i="14" s="1"/>
  <c r="AH232" i="14"/>
  <c r="AM232" i="14" s="1"/>
  <c r="AG232" i="14"/>
  <c r="AL232" i="14" s="1"/>
  <c r="AJ231" i="14"/>
  <c r="AO231" i="14" s="1"/>
  <c r="AI231" i="14"/>
  <c r="AN231" i="14" s="1"/>
  <c r="AH231" i="14"/>
  <c r="AM231" i="14" s="1"/>
  <c r="AG231" i="14"/>
  <c r="AL231" i="14" s="1"/>
  <c r="AJ230" i="14"/>
  <c r="AO230" i="14" s="1"/>
  <c r="AI230" i="14"/>
  <c r="AN230" i="14" s="1"/>
  <c r="AH230" i="14"/>
  <c r="AM230" i="14" s="1"/>
  <c r="AG230" i="14"/>
  <c r="AL230" i="14" s="1"/>
  <c r="AJ229" i="14"/>
  <c r="AO229" i="14" s="1"/>
  <c r="AI229" i="14"/>
  <c r="AN229" i="14" s="1"/>
  <c r="AH229" i="14"/>
  <c r="AM229" i="14" s="1"/>
  <c r="AG229" i="14"/>
  <c r="AL229" i="14" s="1"/>
  <c r="AJ228" i="14"/>
  <c r="AO228" i="14" s="1"/>
  <c r="AI228" i="14"/>
  <c r="AN228" i="14" s="1"/>
  <c r="AH228" i="14"/>
  <c r="AM228" i="14" s="1"/>
  <c r="AG228" i="14"/>
  <c r="AL228" i="14" s="1"/>
  <c r="AJ227" i="14"/>
  <c r="AO227" i="14" s="1"/>
  <c r="AI227" i="14"/>
  <c r="AN227" i="14" s="1"/>
  <c r="AH227" i="14"/>
  <c r="AM227" i="14" s="1"/>
  <c r="AG227" i="14"/>
  <c r="AL227" i="14" s="1"/>
  <c r="AJ226" i="14"/>
  <c r="AO226" i="14" s="1"/>
  <c r="AI226" i="14"/>
  <c r="AN226" i="14" s="1"/>
  <c r="AH226" i="14"/>
  <c r="AM226" i="14" s="1"/>
  <c r="AG226" i="14"/>
  <c r="AL226" i="14" s="1"/>
  <c r="AJ225" i="14"/>
  <c r="AO225" i="14" s="1"/>
  <c r="AI225" i="14"/>
  <c r="AN225" i="14" s="1"/>
  <c r="AH225" i="14"/>
  <c r="AM225" i="14" s="1"/>
  <c r="AG225" i="14"/>
  <c r="AL225" i="14" s="1"/>
  <c r="AJ224" i="14"/>
  <c r="AO224" i="14" s="1"/>
  <c r="AI224" i="14"/>
  <c r="AN224" i="14" s="1"/>
  <c r="AH224" i="14"/>
  <c r="AM224" i="14" s="1"/>
  <c r="AG224" i="14"/>
  <c r="AL224" i="14" s="1"/>
  <c r="AJ223" i="14"/>
  <c r="AO223" i="14" s="1"/>
  <c r="AI223" i="14"/>
  <c r="AN223" i="14" s="1"/>
  <c r="AH223" i="14"/>
  <c r="AM223" i="14" s="1"/>
  <c r="AG223" i="14"/>
  <c r="AL223" i="14" s="1"/>
  <c r="AJ222" i="14"/>
  <c r="AO222" i="14" s="1"/>
  <c r="AI222" i="14"/>
  <c r="AN222" i="14" s="1"/>
  <c r="AH222" i="14"/>
  <c r="AM222" i="14" s="1"/>
  <c r="AG222" i="14"/>
  <c r="AL222" i="14" s="1"/>
  <c r="AL221" i="14"/>
  <c r="AJ221" i="14"/>
  <c r="AO221" i="14" s="1"/>
  <c r="AI221" i="14"/>
  <c r="AN221" i="14" s="1"/>
  <c r="AH221" i="14"/>
  <c r="AM221" i="14" s="1"/>
  <c r="AG221" i="14"/>
  <c r="AJ220" i="14"/>
  <c r="AO220" i="14" s="1"/>
  <c r="AI220" i="14"/>
  <c r="AN220" i="14" s="1"/>
  <c r="AH220" i="14"/>
  <c r="AM220" i="14" s="1"/>
  <c r="AG220" i="14"/>
  <c r="AL220" i="14" s="1"/>
  <c r="AJ219" i="14"/>
  <c r="AO219" i="14" s="1"/>
  <c r="AI219" i="14"/>
  <c r="AN219" i="14" s="1"/>
  <c r="AH219" i="14"/>
  <c r="AM219" i="14" s="1"/>
  <c r="AG219" i="14"/>
  <c r="AL219" i="14" s="1"/>
  <c r="AN218" i="14"/>
  <c r="AJ218" i="14"/>
  <c r="AO218" i="14" s="1"/>
  <c r="AI218" i="14"/>
  <c r="AH218" i="14"/>
  <c r="AM218" i="14" s="1"/>
  <c r="AG218" i="14"/>
  <c r="AL218" i="14" s="1"/>
  <c r="AJ217" i="14"/>
  <c r="AO217" i="14" s="1"/>
  <c r="AI217" i="14"/>
  <c r="AN217" i="14" s="1"/>
  <c r="AH217" i="14"/>
  <c r="AM217" i="14" s="1"/>
  <c r="AG217" i="14"/>
  <c r="AL217" i="14" s="1"/>
  <c r="AJ216" i="14"/>
  <c r="AO216" i="14" s="1"/>
  <c r="AI216" i="14"/>
  <c r="AN216" i="14" s="1"/>
  <c r="AH216" i="14"/>
  <c r="AM216" i="14" s="1"/>
  <c r="AG216" i="14"/>
  <c r="AL216" i="14" s="1"/>
  <c r="AL215" i="14"/>
  <c r="AJ215" i="14"/>
  <c r="AO215" i="14" s="1"/>
  <c r="AI215" i="14"/>
  <c r="AN215" i="14" s="1"/>
  <c r="AH215" i="14"/>
  <c r="AM215" i="14" s="1"/>
  <c r="AG215" i="14"/>
  <c r="AL214" i="14"/>
  <c r="AJ214" i="14"/>
  <c r="AO214" i="14" s="1"/>
  <c r="AI214" i="14"/>
  <c r="AN214" i="14" s="1"/>
  <c r="AH214" i="14"/>
  <c r="AM214" i="14" s="1"/>
  <c r="AG214" i="14"/>
  <c r="AJ213" i="14"/>
  <c r="AO213" i="14" s="1"/>
  <c r="AI213" i="14"/>
  <c r="AN213" i="14" s="1"/>
  <c r="AH213" i="14"/>
  <c r="AM213" i="14" s="1"/>
  <c r="AG213" i="14"/>
  <c r="AL213" i="14" s="1"/>
  <c r="AJ212" i="14"/>
  <c r="AO212" i="14" s="1"/>
  <c r="AI212" i="14"/>
  <c r="AN212" i="14" s="1"/>
  <c r="AH212" i="14"/>
  <c r="AM212" i="14" s="1"/>
  <c r="AG212" i="14"/>
  <c r="AL212" i="14" s="1"/>
  <c r="AN211" i="14"/>
  <c r="AJ211" i="14"/>
  <c r="AO211" i="14" s="1"/>
  <c r="AI211" i="14"/>
  <c r="AH211" i="14"/>
  <c r="AM211" i="14" s="1"/>
  <c r="AG211" i="14"/>
  <c r="AL211" i="14" s="1"/>
  <c r="AN210" i="14"/>
  <c r="AJ210" i="14"/>
  <c r="AO210" i="14" s="1"/>
  <c r="AI210" i="14"/>
  <c r="AH210" i="14"/>
  <c r="AM210" i="14" s="1"/>
  <c r="AG210" i="14"/>
  <c r="AL210" i="14" s="1"/>
  <c r="AJ209" i="14"/>
  <c r="AO209" i="14" s="1"/>
  <c r="AI209" i="14"/>
  <c r="AN209" i="14" s="1"/>
  <c r="AH209" i="14"/>
  <c r="AM209" i="14" s="1"/>
  <c r="AG209" i="14"/>
  <c r="AL209" i="14" s="1"/>
  <c r="AJ208" i="14"/>
  <c r="AO208" i="14" s="1"/>
  <c r="AI208" i="14"/>
  <c r="AN208" i="14" s="1"/>
  <c r="AH208" i="14"/>
  <c r="AM208" i="14" s="1"/>
  <c r="AG208" i="14"/>
  <c r="AL208" i="14" s="1"/>
  <c r="AJ207" i="14"/>
  <c r="AO207" i="14" s="1"/>
  <c r="AI207" i="14"/>
  <c r="AN207" i="14" s="1"/>
  <c r="AH207" i="14"/>
  <c r="AM207" i="14" s="1"/>
  <c r="AG207" i="14"/>
  <c r="AL207" i="14" s="1"/>
  <c r="AJ195" i="14"/>
  <c r="AO195" i="14" s="1"/>
  <c r="AI195" i="14"/>
  <c r="AN195" i="14" s="1"/>
  <c r="AH195" i="14"/>
  <c r="AM195" i="14" s="1"/>
  <c r="AG195" i="14"/>
  <c r="AL195" i="14" s="1"/>
  <c r="AJ192" i="14"/>
  <c r="AO192" i="14" s="1"/>
  <c r="AI192" i="14"/>
  <c r="AN192" i="14" s="1"/>
  <c r="AH192" i="14"/>
  <c r="AM192" i="14" s="1"/>
  <c r="AG192" i="14"/>
  <c r="AL192" i="14" s="1"/>
  <c r="AJ200" i="14"/>
  <c r="AO200" i="14" s="1"/>
  <c r="AI200" i="14"/>
  <c r="AN200" i="14" s="1"/>
  <c r="AH200" i="14"/>
  <c r="AM200" i="14" s="1"/>
  <c r="AG200" i="14"/>
  <c r="AL200" i="14" s="1"/>
  <c r="AJ202" i="14"/>
  <c r="AO202" i="14" s="1"/>
  <c r="AI202" i="14"/>
  <c r="AN202" i="14" s="1"/>
  <c r="AH202" i="14"/>
  <c r="AM202" i="14" s="1"/>
  <c r="AG202" i="14"/>
  <c r="AL202" i="14" s="1"/>
  <c r="AJ183" i="14"/>
  <c r="AO183" i="14" s="1"/>
  <c r="AI183" i="14"/>
  <c r="AN183" i="14" s="1"/>
  <c r="AH183" i="14"/>
  <c r="AM183" i="14" s="1"/>
  <c r="AG183" i="14"/>
  <c r="AL183" i="14" s="1"/>
  <c r="AJ205" i="14"/>
  <c r="AO205" i="14" s="1"/>
  <c r="AI205" i="14"/>
  <c r="AN205" i="14" s="1"/>
  <c r="AP205" i="14" s="1"/>
  <c r="AH205" i="14"/>
  <c r="AM205" i="14" s="1"/>
  <c r="AG205" i="14"/>
  <c r="AL205" i="14" s="1"/>
  <c r="AJ201" i="14"/>
  <c r="AO201" i="14" s="1"/>
  <c r="AI201" i="14"/>
  <c r="AN201" i="14" s="1"/>
  <c r="AH201" i="14"/>
  <c r="AM201" i="14" s="1"/>
  <c r="AG201" i="14"/>
  <c r="AL201" i="14" s="1"/>
  <c r="AJ191" i="14"/>
  <c r="AO191" i="14" s="1"/>
  <c r="AI191" i="14"/>
  <c r="AN191" i="14" s="1"/>
  <c r="AH191" i="14"/>
  <c r="AM191" i="14" s="1"/>
  <c r="AG191" i="14"/>
  <c r="AL191" i="14" s="1"/>
  <c r="AJ182" i="14"/>
  <c r="AO182" i="14" s="1"/>
  <c r="AI182" i="14"/>
  <c r="AN182" i="14" s="1"/>
  <c r="AH182" i="14"/>
  <c r="AM182" i="14" s="1"/>
  <c r="AG182" i="14"/>
  <c r="AL182" i="14" s="1"/>
  <c r="AJ197" i="14"/>
  <c r="AO197" i="14" s="1"/>
  <c r="AI197" i="14"/>
  <c r="AN197" i="14" s="1"/>
  <c r="AH197" i="14"/>
  <c r="AM197" i="14" s="1"/>
  <c r="AG197" i="14"/>
  <c r="AL197" i="14" s="1"/>
  <c r="AJ193" i="14"/>
  <c r="AO193" i="14" s="1"/>
  <c r="AI193" i="14"/>
  <c r="AN193" i="14" s="1"/>
  <c r="AH193" i="14"/>
  <c r="AM193" i="14" s="1"/>
  <c r="AG193" i="14"/>
  <c r="AL193" i="14" s="1"/>
  <c r="AJ206" i="14"/>
  <c r="AO206" i="14" s="1"/>
  <c r="AI206" i="14"/>
  <c r="AN206" i="14" s="1"/>
  <c r="AH206" i="14"/>
  <c r="AM206" i="14" s="1"/>
  <c r="AG206" i="14"/>
  <c r="AL206" i="14" s="1"/>
  <c r="AJ186" i="14"/>
  <c r="AO186" i="14" s="1"/>
  <c r="AI186" i="14"/>
  <c r="AN186" i="14" s="1"/>
  <c r="AH186" i="14"/>
  <c r="AM186" i="14" s="1"/>
  <c r="AG186" i="14"/>
  <c r="AL186" i="14" s="1"/>
  <c r="AJ199" i="14"/>
  <c r="AO199" i="14" s="1"/>
  <c r="AI199" i="14"/>
  <c r="AN199" i="14" s="1"/>
  <c r="AH199" i="14"/>
  <c r="AM199" i="14" s="1"/>
  <c r="AG199" i="14"/>
  <c r="AL199" i="14" s="1"/>
  <c r="AJ180" i="14"/>
  <c r="AO180" i="14" s="1"/>
  <c r="AI180" i="14"/>
  <c r="AN180" i="14" s="1"/>
  <c r="AH180" i="14"/>
  <c r="AM180" i="14" s="1"/>
  <c r="AG180" i="14"/>
  <c r="AL180" i="14" s="1"/>
  <c r="AJ181" i="14"/>
  <c r="AO181" i="14" s="1"/>
  <c r="AI181" i="14"/>
  <c r="AN181" i="14" s="1"/>
  <c r="AH181" i="14"/>
  <c r="AM181" i="14" s="1"/>
  <c r="AG181" i="14"/>
  <c r="AL181" i="14" s="1"/>
  <c r="AJ179" i="14"/>
  <c r="AO179" i="14" s="1"/>
  <c r="AI179" i="14"/>
  <c r="AN179" i="14" s="1"/>
  <c r="AH179" i="14"/>
  <c r="AM179" i="14" s="1"/>
  <c r="AG179" i="14"/>
  <c r="AL179" i="14" s="1"/>
  <c r="AJ185" i="14"/>
  <c r="AO185" i="14" s="1"/>
  <c r="AI185" i="14"/>
  <c r="AN185" i="14" s="1"/>
  <c r="AH185" i="14"/>
  <c r="AM185" i="14" s="1"/>
  <c r="AG185" i="14"/>
  <c r="AL185" i="14" s="1"/>
  <c r="AJ190" i="14"/>
  <c r="AO190" i="14" s="1"/>
  <c r="AI190" i="14"/>
  <c r="AN190" i="14" s="1"/>
  <c r="AH190" i="14"/>
  <c r="AM190" i="14" s="1"/>
  <c r="AG190" i="14"/>
  <c r="AL190" i="14" s="1"/>
  <c r="AJ189" i="14"/>
  <c r="AO189" i="14" s="1"/>
  <c r="AI189" i="14"/>
  <c r="AN189" i="14" s="1"/>
  <c r="AH189" i="14"/>
  <c r="AM189" i="14" s="1"/>
  <c r="AG189" i="14"/>
  <c r="AL189" i="14" s="1"/>
  <c r="AO203" i="14"/>
  <c r="AJ203" i="14"/>
  <c r="AI203" i="14"/>
  <c r="AN203" i="14" s="1"/>
  <c r="AH203" i="14"/>
  <c r="AM203" i="14" s="1"/>
  <c r="AG203" i="14"/>
  <c r="AL203" i="14" s="1"/>
  <c r="AJ198" i="14"/>
  <c r="AO198" i="14" s="1"/>
  <c r="AI198" i="14"/>
  <c r="AN198" i="14" s="1"/>
  <c r="AH198" i="14"/>
  <c r="AM198" i="14" s="1"/>
  <c r="AG198" i="14"/>
  <c r="AL198" i="14" s="1"/>
  <c r="AJ184" i="14"/>
  <c r="AO184" i="14" s="1"/>
  <c r="AI184" i="14"/>
  <c r="AN184" i="14" s="1"/>
  <c r="AH184" i="14"/>
  <c r="AM184" i="14" s="1"/>
  <c r="AG184" i="14"/>
  <c r="AL184" i="14" s="1"/>
  <c r="AJ188" i="14"/>
  <c r="AO188" i="14" s="1"/>
  <c r="AI188" i="14"/>
  <c r="AN188" i="14" s="1"/>
  <c r="AH188" i="14"/>
  <c r="AM188" i="14" s="1"/>
  <c r="AG188" i="14"/>
  <c r="AL188" i="14" s="1"/>
  <c r="AJ204" i="14"/>
  <c r="AO204" i="14" s="1"/>
  <c r="AI204" i="14"/>
  <c r="AN204" i="14" s="1"/>
  <c r="AH204" i="14"/>
  <c r="AM204" i="14" s="1"/>
  <c r="AG204" i="14"/>
  <c r="AL204" i="14" s="1"/>
  <c r="AJ196" i="14"/>
  <c r="AO196" i="14" s="1"/>
  <c r="AI196" i="14"/>
  <c r="AN196" i="14" s="1"/>
  <c r="AH196" i="14"/>
  <c r="AM196" i="14" s="1"/>
  <c r="AG196" i="14"/>
  <c r="AL196" i="14" s="1"/>
  <c r="AJ187" i="14"/>
  <c r="AO187" i="14" s="1"/>
  <c r="AI187" i="14"/>
  <c r="AN187" i="14" s="1"/>
  <c r="AH187" i="14"/>
  <c r="AM187" i="14" s="1"/>
  <c r="AG187" i="14"/>
  <c r="AL187" i="14" s="1"/>
  <c r="AJ194" i="14"/>
  <c r="AO194" i="14" s="1"/>
  <c r="AI194" i="14"/>
  <c r="AN194" i="14" s="1"/>
  <c r="AH194" i="14"/>
  <c r="AM194" i="14" s="1"/>
  <c r="AG194" i="14"/>
  <c r="AL194" i="14" s="1"/>
  <c r="AJ178" i="14"/>
  <c r="AO178" i="14" s="1"/>
  <c r="AI178" i="14"/>
  <c r="AN178" i="14" s="1"/>
  <c r="AH178" i="14"/>
  <c r="AM178" i="14" s="1"/>
  <c r="AG178" i="14"/>
  <c r="AL178" i="14" s="1"/>
  <c r="AJ177" i="14"/>
  <c r="AO177" i="14" s="1"/>
  <c r="AI177" i="14"/>
  <c r="AN177" i="14" s="1"/>
  <c r="AH177" i="14"/>
  <c r="AM177" i="14" s="1"/>
  <c r="AG177" i="14"/>
  <c r="AL177" i="14" s="1"/>
  <c r="AJ176" i="14"/>
  <c r="AO176" i="14" s="1"/>
  <c r="AI176" i="14"/>
  <c r="AN176" i="14" s="1"/>
  <c r="AH176" i="14"/>
  <c r="AM176" i="14" s="1"/>
  <c r="AG176" i="14"/>
  <c r="AL176" i="14" s="1"/>
  <c r="AJ175" i="14"/>
  <c r="AO175" i="14" s="1"/>
  <c r="AI175" i="14"/>
  <c r="AN175" i="14" s="1"/>
  <c r="AH175" i="14"/>
  <c r="AM175" i="14" s="1"/>
  <c r="AG175" i="14"/>
  <c r="AL175" i="14" s="1"/>
  <c r="AL174" i="14"/>
  <c r="AJ174" i="14"/>
  <c r="AO174" i="14" s="1"/>
  <c r="AI174" i="14"/>
  <c r="AN174" i="14" s="1"/>
  <c r="AH174" i="14"/>
  <c r="AM174" i="14" s="1"/>
  <c r="AG174" i="14"/>
  <c r="AJ173" i="14"/>
  <c r="AO173" i="14" s="1"/>
  <c r="AI173" i="14"/>
  <c r="AN173" i="14" s="1"/>
  <c r="AH173" i="14"/>
  <c r="AM173" i="14" s="1"/>
  <c r="AG173" i="14"/>
  <c r="AL173" i="14" s="1"/>
  <c r="AM172" i="14"/>
  <c r="AJ172" i="14"/>
  <c r="AO172" i="14" s="1"/>
  <c r="AI172" i="14"/>
  <c r="AN172" i="14" s="1"/>
  <c r="AH172" i="14"/>
  <c r="AG172" i="14"/>
  <c r="AL172" i="14" s="1"/>
  <c r="AM171" i="14"/>
  <c r="AL171" i="14"/>
  <c r="AJ171" i="14"/>
  <c r="AO171" i="14" s="1"/>
  <c r="AI171" i="14"/>
  <c r="AN171" i="14" s="1"/>
  <c r="AH171" i="14"/>
  <c r="AG171" i="14"/>
  <c r="AO170" i="14"/>
  <c r="AM170" i="14"/>
  <c r="AJ170" i="14"/>
  <c r="AI170" i="14"/>
  <c r="AN170" i="14" s="1"/>
  <c r="AH170" i="14"/>
  <c r="AG170" i="14"/>
  <c r="AL170" i="14" s="1"/>
  <c r="AM169" i="14"/>
  <c r="AJ169" i="14"/>
  <c r="AO169" i="14" s="1"/>
  <c r="AI169" i="14"/>
  <c r="AN169" i="14" s="1"/>
  <c r="AH169" i="14"/>
  <c r="AG169" i="14"/>
  <c r="AL169" i="14" s="1"/>
  <c r="AJ168" i="14"/>
  <c r="AO168" i="14" s="1"/>
  <c r="AI168" i="14"/>
  <c r="AN168" i="14" s="1"/>
  <c r="AH168" i="14"/>
  <c r="AM168" i="14" s="1"/>
  <c r="AG168" i="14"/>
  <c r="AL168" i="14" s="1"/>
  <c r="AP168" i="14" s="1"/>
  <c r="AJ167" i="14"/>
  <c r="AO167" i="14" s="1"/>
  <c r="AI167" i="14"/>
  <c r="AN167" i="14" s="1"/>
  <c r="AH167" i="14"/>
  <c r="AM167" i="14" s="1"/>
  <c r="AG167" i="14"/>
  <c r="AL167" i="14" s="1"/>
  <c r="AJ166" i="14"/>
  <c r="AO166" i="14" s="1"/>
  <c r="AI166" i="14"/>
  <c r="AN166" i="14" s="1"/>
  <c r="AH166" i="14"/>
  <c r="AM166" i="14" s="1"/>
  <c r="AG166" i="14"/>
  <c r="AL166" i="14" s="1"/>
  <c r="AJ165" i="14"/>
  <c r="AO165" i="14" s="1"/>
  <c r="AI165" i="14"/>
  <c r="AN165" i="14" s="1"/>
  <c r="AH165" i="14"/>
  <c r="AM165" i="14" s="1"/>
  <c r="AG165" i="14"/>
  <c r="AL165" i="14" s="1"/>
  <c r="AJ164" i="14"/>
  <c r="AO164" i="14" s="1"/>
  <c r="AI164" i="14"/>
  <c r="AN164" i="14" s="1"/>
  <c r="AH164" i="14"/>
  <c r="AM164" i="14" s="1"/>
  <c r="AG164" i="14"/>
  <c r="AL164" i="14" s="1"/>
  <c r="AM163" i="14"/>
  <c r="AJ163" i="14"/>
  <c r="AO163" i="14" s="1"/>
  <c r="AI163" i="14"/>
  <c r="AN163" i="14" s="1"/>
  <c r="AH163" i="14"/>
  <c r="AG163" i="14"/>
  <c r="AL163" i="14" s="1"/>
  <c r="AM162" i="14"/>
  <c r="AJ162" i="14"/>
  <c r="AO162" i="14" s="1"/>
  <c r="AI162" i="14"/>
  <c r="AN162" i="14" s="1"/>
  <c r="AH162" i="14"/>
  <c r="AG162" i="14"/>
  <c r="AL162" i="14" s="1"/>
  <c r="AJ161" i="14"/>
  <c r="AO161" i="14" s="1"/>
  <c r="AI161" i="14"/>
  <c r="AN161" i="14" s="1"/>
  <c r="AH161" i="14"/>
  <c r="AM161" i="14" s="1"/>
  <c r="AG161" i="14"/>
  <c r="AL161" i="14" s="1"/>
  <c r="AJ160" i="14"/>
  <c r="AO160" i="14" s="1"/>
  <c r="AI160" i="14"/>
  <c r="AN160" i="14" s="1"/>
  <c r="AH160" i="14"/>
  <c r="AM160" i="14" s="1"/>
  <c r="AG160" i="14"/>
  <c r="AL160" i="14" s="1"/>
  <c r="AJ159" i="14"/>
  <c r="AO159" i="14" s="1"/>
  <c r="AI159" i="14"/>
  <c r="AN159" i="14" s="1"/>
  <c r="AH159" i="14"/>
  <c r="AM159" i="14" s="1"/>
  <c r="AG159" i="14"/>
  <c r="AL159" i="14" s="1"/>
  <c r="AJ158" i="14"/>
  <c r="AO158" i="14" s="1"/>
  <c r="AI158" i="14"/>
  <c r="AN158" i="14" s="1"/>
  <c r="AH158" i="14"/>
  <c r="AM158" i="14" s="1"/>
  <c r="AG158" i="14"/>
  <c r="AL158" i="14" s="1"/>
  <c r="AJ157" i="14"/>
  <c r="AO157" i="14" s="1"/>
  <c r="AI157" i="14"/>
  <c r="AN157" i="14" s="1"/>
  <c r="AH157" i="14"/>
  <c r="AM157" i="14" s="1"/>
  <c r="AG157" i="14"/>
  <c r="AL157" i="14" s="1"/>
  <c r="AL156" i="14"/>
  <c r="AJ156" i="14"/>
  <c r="AO156" i="14" s="1"/>
  <c r="AI156" i="14"/>
  <c r="AN156" i="14" s="1"/>
  <c r="AH156" i="14"/>
  <c r="AM156" i="14" s="1"/>
  <c r="AG156" i="14"/>
  <c r="AJ155" i="14"/>
  <c r="AO155" i="14" s="1"/>
  <c r="AI155" i="14"/>
  <c r="AN155" i="14" s="1"/>
  <c r="AH155" i="14"/>
  <c r="AM155" i="14" s="1"/>
  <c r="AG155" i="14"/>
  <c r="AL155" i="14" s="1"/>
  <c r="AJ154" i="14"/>
  <c r="AO154" i="14" s="1"/>
  <c r="AI154" i="14"/>
  <c r="AN154" i="14" s="1"/>
  <c r="AH154" i="14"/>
  <c r="AM154" i="14" s="1"/>
  <c r="AG154" i="14"/>
  <c r="AL154" i="14" s="1"/>
  <c r="AM153" i="14"/>
  <c r="AJ153" i="14"/>
  <c r="AO153" i="14" s="1"/>
  <c r="AI153" i="14"/>
  <c r="AN153" i="14" s="1"/>
  <c r="AH153" i="14"/>
  <c r="AG153" i="14"/>
  <c r="AL153" i="14" s="1"/>
  <c r="AJ152" i="14"/>
  <c r="AO152" i="14" s="1"/>
  <c r="AI152" i="14"/>
  <c r="AN152" i="14" s="1"/>
  <c r="AH152" i="14"/>
  <c r="AM152" i="14" s="1"/>
  <c r="AG152" i="14"/>
  <c r="AL152" i="14" s="1"/>
  <c r="AP152" i="14" s="1"/>
  <c r="AJ151" i="14"/>
  <c r="AO151" i="14" s="1"/>
  <c r="AI151" i="14"/>
  <c r="AN151" i="14" s="1"/>
  <c r="AH151" i="14"/>
  <c r="AM151" i="14" s="1"/>
  <c r="AG151" i="14"/>
  <c r="AL151" i="14" s="1"/>
  <c r="AJ150" i="14"/>
  <c r="AO150" i="14" s="1"/>
  <c r="AI150" i="14"/>
  <c r="AN150" i="14" s="1"/>
  <c r="AH150" i="14"/>
  <c r="AM150" i="14" s="1"/>
  <c r="AG150" i="14"/>
  <c r="AL150" i="14" s="1"/>
  <c r="AL149" i="14"/>
  <c r="AJ149" i="14"/>
  <c r="AO149" i="14" s="1"/>
  <c r="AI149" i="14"/>
  <c r="AN149" i="14" s="1"/>
  <c r="AH149" i="14"/>
  <c r="AM149" i="14" s="1"/>
  <c r="AG149" i="14"/>
  <c r="AJ148" i="14"/>
  <c r="AO148" i="14" s="1"/>
  <c r="AI148" i="14"/>
  <c r="AN148" i="14" s="1"/>
  <c r="AH148" i="14"/>
  <c r="AM148" i="14" s="1"/>
  <c r="AG148" i="14"/>
  <c r="AL148" i="14" s="1"/>
  <c r="AN147" i="14"/>
  <c r="AJ147" i="14"/>
  <c r="AO147" i="14" s="1"/>
  <c r="AI147" i="14"/>
  <c r="AH147" i="14"/>
  <c r="AM147" i="14" s="1"/>
  <c r="AG147" i="14"/>
  <c r="AL147" i="14" s="1"/>
  <c r="AN146" i="14"/>
  <c r="AM146" i="14"/>
  <c r="AJ146" i="14"/>
  <c r="AO146" i="14" s="1"/>
  <c r="AI146" i="14"/>
  <c r="AH146" i="14"/>
  <c r="AG146" i="14"/>
  <c r="AL146" i="14" s="1"/>
  <c r="AL145" i="14"/>
  <c r="AJ145" i="14"/>
  <c r="AO145" i="14" s="1"/>
  <c r="AI145" i="14"/>
  <c r="AN145" i="14" s="1"/>
  <c r="AH145" i="14"/>
  <c r="AM145" i="14" s="1"/>
  <c r="AG145" i="14"/>
  <c r="AJ144" i="14"/>
  <c r="AO144" i="14" s="1"/>
  <c r="AI144" i="14"/>
  <c r="AN144" i="14" s="1"/>
  <c r="AH144" i="14"/>
  <c r="AM144" i="14" s="1"/>
  <c r="AG144" i="14"/>
  <c r="AL144" i="14" s="1"/>
  <c r="AJ143" i="14"/>
  <c r="AO143" i="14" s="1"/>
  <c r="AI143" i="14"/>
  <c r="AN143" i="14" s="1"/>
  <c r="AH143" i="14"/>
  <c r="AM143" i="14" s="1"/>
  <c r="AG143" i="14"/>
  <c r="AL143" i="14" s="1"/>
  <c r="AJ142" i="14"/>
  <c r="AO142" i="14" s="1"/>
  <c r="AI142" i="14"/>
  <c r="AN142" i="14" s="1"/>
  <c r="AH142" i="14"/>
  <c r="AM142" i="14" s="1"/>
  <c r="AG142" i="14"/>
  <c r="AL142" i="14" s="1"/>
  <c r="AJ141" i="14"/>
  <c r="AO141" i="14" s="1"/>
  <c r="AI141" i="14"/>
  <c r="AN141" i="14" s="1"/>
  <c r="AH141" i="14"/>
  <c r="AM141" i="14" s="1"/>
  <c r="AG141" i="14"/>
  <c r="AL141" i="14" s="1"/>
  <c r="AJ140" i="14"/>
  <c r="AO140" i="14" s="1"/>
  <c r="AI140" i="14"/>
  <c r="AN140" i="14" s="1"/>
  <c r="AH140" i="14"/>
  <c r="AM140" i="14" s="1"/>
  <c r="AG140" i="14"/>
  <c r="AL140" i="14" s="1"/>
  <c r="AN139" i="14"/>
  <c r="AJ139" i="14"/>
  <c r="AO139" i="14" s="1"/>
  <c r="AI139" i="14"/>
  <c r="AH139" i="14"/>
  <c r="AM139" i="14" s="1"/>
  <c r="AG139" i="14"/>
  <c r="AL139" i="14" s="1"/>
  <c r="AM138" i="14"/>
  <c r="AL138" i="14"/>
  <c r="AJ138" i="14"/>
  <c r="AO138" i="14" s="1"/>
  <c r="AI138" i="14"/>
  <c r="AN138" i="14" s="1"/>
  <c r="AH138" i="14"/>
  <c r="AG138" i="14"/>
  <c r="AL137" i="14"/>
  <c r="AJ137" i="14"/>
  <c r="AO137" i="14" s="1"/>
  <c r="AI137" i="14"/>
  <c r="AN137" i="14" s="1"/>
  <c r="AH137" i="14"/>
  <c r="AM137" i="14" s="1"/>
  <c r="AG137" i="14"/>
  <c r="AJ136" i="14"/>
  <c r="AO136" i="14" s="1"/>
  <c r="AI136" i="14"/>
  <c r="AN136" i="14" s="1"/>
  <c r="AH136" i="14"/>
  <c r="AM136" i="14" s="1"/>
  <c r="AG136" i="14"/>
  <c r="AL136" i="14" s="1"/>
  <c r="AJ135" i="14"/>
  <c r="AO135" i="14" s="1"/>
  <c r="AI135" i="14"/>
  <c r="AN135" i="14" s="1"/>
  <c r="AH135" i="14"/>
  <c r="AM135" i="14" s="1"/>
  <c r="AG135" i="14"/>
  <c r="AL135" i="14" s="1"/>
  <c r="AJ134" i="14"/>
  <c r="AO134" i="14" s="1"/>
  <c r="AI134" i="14"/>
  <c r="AN134" i="14" s="1"/>
  <c r="AH134" i="14"/>
  <c r="AM134" i="14" s="1"/>
  <c r="AG134" i="14"/>
  <c r="AL134" i="14" s="1"/>
  <c r="AJ133" i="14"/>
  <c r="AO133" i="14" s="1"/>
  <c r="AI133" i="14"/>
  <c r="AN133" i="14" s="1"/>
  <c r="AH133" i="14"/>
  <c r="AM133" i="14" s="1"/>
  <c r="AG133" i="14"/>
  <c r="AL133" i="14" s="1"/>
  <c r="AJ132" i="14"/>
  <c r="AO132" i="14" s="1"/>
  <c r="AI132" i="14"/>
  <c r="AN132" i="14" s="1"/>
  <c r="AH132" i="14"/>
  <c r="AM132" i="14" s="1"/>
  <c r="AG132" i="14"/>
  <c r="AL132" i="14" s="1"/>
  <c r="AP132" i="14" s="1"/>
  <c r="AM131" i="14"/>
  <c r="AJ131" i="14"/>
  <c r="AO131" i="14" s="1"/>
  <c r="AI131" i="14"/>
  <c r="AN131" i="14" s="1"/>
  <c r="AH131" i="14"/>
  <c r="AG131" i="14"/>
  <c r="AL131" i="14" s="1"/>
  <c r="AJ130" i="14"/>
  <c r="AO130" i="14" s="1"/>
  <c r="AI130" i="14"/>
  <c r="AN130" i="14" s="1"/>
  <c r="AH130" i="14"/>
  <c r="AM130" i="14" s="1"/>
  <c r="AG130" i="14"/>
  <c r="AL130" i="14" s="1"/>
  <c r="AJ129" i="14"/>
  <c r="AO129" i="14" s="1"/>
  <c r="AI129" i="14"/>
  <c r="AN129" i="14" s="1"/>
  <c r="AH129" i="14"/>
  <c r="AM129" i="14" s="1"/>
  <c r="AG129" i="14"/>
  <c r="AL129" i="14" s="1"/>
  <c r="AJ128" i="14"/>
  <c r="AO128" i="14" s="1"/>
  <c r="AI128" i="14"/>
  <c r="AN128" i="14" s="1"/>
  <c r="AH128" i="14"/>
  <c r="AM128" i="14" s="1"/>
  <c r="AG128" i="14"/>
  <c r="AL128" i="14" s="1"/>
  <c r="AJ127" i="14"/>
  <c r="AO127" i="14" s="1"/>
  <c r="AI127" i="14"/>
  <c r="AN127" i="14" s="1"/>
  <c r="AH127" i="14"/>
  <c r="AM127" i="14" s="1"/>
  <c r="AG127" i="14"/>
  <c r="AL127" i="14" s="1"/>
  <c r="AN126" i="14"/>
  <c r="AJ126" i="14"/>
  <c r="AO126" i="14" s="1"/>
  <c r="AI126" i="14"/>
  <c r="AH126" i="14"/>
  <c r="AM126" i="14" s="1"/>
  <c r="AG126" i="14"/>
  <c r="AL126" i="14" s="1"/>
  <c r="AO125" i="14"/>
  <c r="AJ125" i="14"/>
  <c r="AI125" i="14"/>
  <c r="AN125" i="14" s="1"/>
  <c r="AH125" i="14"/>
  <c r="AM125" i="14" s="1"/>
  <c r="AG125" i="14"/>
  <c r="AL125" i="14" s="1"/>
  <c r="AJ124" i="14"/>
  <c r="AO124" i="14" s="1"/>
  <c r="AI124" i="14"/>
  <c r="AN124" i="14" s="1"/>
  <c r="AH124" i="14"/>
  <c r="AM124" i="14" s="1"/>
  <c r="AG124" i="14"/>
  <c r="AL124" i="14" s="1"/>
  <c r="AJ123" i="14"/>
  <c r="AO123" i="14" s="1"/>
  <c r="AI123" i="14"/>
  <c r="AN123" i="14" s="1"/>
  <c r="AH123" i="14"/>
  <c r="AM123" i="14" s="1"/>
  <c r="AG123" i="14"/>
  <c r="AL123" i="14" s="1"/>
  <c r="AJ122" i="14"/>
  <c r="AO122" i="14" s="1"/>
  <c r="AI122" i="14"/>
  <c r="AN122" i="14" s="1"/>
  <c r="AH122" i="14"/>
  <c r="AM122" i="14" s="1"/>
  <c r="AG122" i="14"/>
  <c r="AL122" i="14" s="1"/>
  <c r="AJ121" i="14"/>
  <c r="AO121" i="14" s="1"/>
  <c r="AI121" i="14"/>
  <c r="AN121" i="14" s="1"/>
  <c r="AH121" i="14"/>
  <c r="AM121" i="14" s="1"/>
  <c r="AG121" i="14"/>
  <c r="AL121" i="14" s="1"/>
  <c r="AJ120" i="14"/>
  <c r="AO120" i="14" s="1"/>
  <c r="AI120" i="14"/>
  <c r="AN120" i="14" s="1"/>
  <c r="AH120" i="14"/>
  <c r="AM120" i="14" s="1"/>
  <c r="AG120" i="14"/>
  <c r="AL120" i="14" s="1"/>
  <c r="AJ119" i="14"/>
  <c r="AO119" i="14" s="1"/>
  <c r="AI119" i="14"/>
  <c r="AN119" i="14" s="1"/>
  <c r="AH119" i="14"/>
  <c r="AM119" i="14" s="1"/>
  <c r="AG119" i="14"/>
  <c r="AL119" i="14" s="1"/>
  <c r="AJ118" i="14"/>
  <c r="AO118" i="14" s="1"/>
  <c r="AI118" i="14"/>
  <c r="AN118" i="14" s="1"/>
  <c r="AH118" i="14"/>
  <c r="AM118" i="14" s="1"/>
  <c r="AG118" i="14"/>
  <c r="AL118" i="14" s="1"/>
  <c r="AJ117" i="14"/>
  <c r="AO117" i="14" s="1"/>
  <c r="AI117" i="14"/>
  <c r="AN117" i="14" s="1"/>
  <c r="AH117" i="14"/>
  <c r="AM117" i="14" s="1"/>
  <c r="AG117" i="14"/>
  <c r="AL117" i="14" s="1"/>
  <c r="AJ116" i="14"/>
  <c r="AO116" i="14" s="1"/>
  <c r="AI116" i="14"/>
  <c r="AN116" i="14" s="1"/>
  <c r="AH116" i="14"/>
  <c r="AM116" i="14" s="1"/>
  <c r="AG116" i="14"/>
  <c r="AL116" i="14" s="1"/>
  <c r="AJ115" i="14"/>
  <c r="AO115" i="14" s="1"/>
  <c r="AI115" i="14"/>
  <c r="AN115" i="14" s="1"/>
  <c r="AH115" i="14"/>
  <c r="AM115" i="14" s="1"/>
  <c r="AG115" i="14"/>
  <c r="AL115" i="14" s="1"/>
  <c r="AL114" i="14"/>
  <c r="AJ114" i="14"/>
  <c r="AO114" i="14" s="1"/>
  <c r="AI114" i="14"/>
  <c r="AN114" i="14" s="1"/>
  <c r="AH114" i="14"/>
  <c r="AM114" i="14" s="1"/>
  <c r="AG114" i="14"/>
  <c r="AJ113" i="14"/>
  <c r="AO113" i="14" s="1"/>
  <c r="AI113" i="14"/>
  <c r="AN113" i="14" s="1"/>
  <c r="AH113" i="14"/>
  <c r="AM113" i="14" s="1"/>
  <c r="AG113" i="14"/>
  <c r="AL113" i="14" s="1"/>
  <c r="AJ112" i="14"/>
  <c r="AO112" i="14" s="1"/>
  <c r="AI112" i="14"/>
  <c r="AN112" i="14" s="1"/>
  <c r="AH112" i="14"/>
  <c r="AM112" i="14" s="1"/>
  <c r="AG112" i="14"/>
  <c r="AL112" i="14" s="1"/>
  <c r="AJ111" i="14"/>
  <c r="AO111" i="14" s="1"/>
  <c r="AI111" i="14"/>
  <c r="AN111" i="14" s="1"/>
  <c r="AH111" i="14"/>
  <c r="AM111" i="14" s="1"/>
  <c r="AG111" i="14"/>
  <c r="AL111" i="14" s="1"/>
  <c r="AL110" i="14"/>
  <c r="AJ110" i="14"/>
  <c r="AO110" i="14" s="1"/>
  <c r="AI110" i="14"/>
  <c r="AN110" i="14" s="1"/>
  <c r="AH110" i="14"/>
  <c r="AM110" i="14" s="1"/>
  <c r="AG110" i="14"/>
  <c r="AJ109" i="14"/>
  <c r="AO109" i="14" s="1"/>
  <c r="AI109" i="14"/>
  <c r="AN109" i="14" s="1"/>
  <c r="AH109" i="14"/>
  <c r="AM109" i="14" s="1"/>
  <c r="AG109" i="14"/>
  <c r="AL109" i="14" s="1"/>
  <c r="AJ108" i="14"/>
  <c r="AO108" i="14" s="1"/>
  <c r="AI108" i="14"/>
  <c r="AN108" i="14" s="1"/>
  <c r="AH108" i="14"/>
  <c r="AM108" i="14" s="1"/>
  <c r="AG108" i="14"/>
  <c r="AL108" i="14" s="1"/>
  <c r="AJ107" i="14"/>
  <c r="AO107" i="14" s="1"/>
  <c r="AI107" i="14"/>
  <c r="AN107" i="14" s="1"/>
  <c r="AH107" i="14"/>
  <c r="AM107" i="14" s="1"/>
  <c r="AG107" i="14"/>
  <c r="AL107" i="14" s="1"/>
  <c r="AJ106" i="14"/>
  <c r="AO106" i="14" s="1"/>
  <c r="AI106" i="14"/>
  <c r="AN106" i="14" s="1"/>
  <c r="AH106" i="14"/>
  <c r="AM106" i="14" s="1"/>
  <c r="AG106" i="14"/>
  <c r="AL106" i="14" s="1"/>
  <c r="AM105" i="14"/>
  <c r="AJ105" i="14"/>
  <c r="AO105" i="14" s="1"/>
  <c r="AI105" i="14"/>
  <c r="AN105" i="14" s="1"/>
  <c r="AH105" i="14"/>
  <c r="AG105" i="14"/>
  <c r="AL105" i="14" s="1"/>
  <c r="AJ104" i="14"/>
  <c r="AO104" i="14" s="1"/>
  <c r="AI104" i="14"/>
  <c r="AN104" i="14" s="1"/>
  <c r="AH104" i="14"/>
  <c r="AM104" i="14" s="1"/>
  <c r="AG104" i="14"/>
  <c r="AL104" i="14" s="1"/>
  <c r="AJ103" i="14"/>
  <c r="AO103" i="14" s="1"/>
  <c r="AI103" i="14"/>
  <c r="AN103" i="14" s="1"/>
  <c r="AH103" i="14"/>
  <c r="AM103" i="14" s="1"/>
  <c r="AG103" i="14"/>
  <c r="AL103" i="14" s="1"/>
  <c r="AM102" i="14"/>
  <c r="AJ102" i="14"/>
  <c r="AO102" i="14" s="1"/>
  <c r="AI102" i="14"/>
  <c r="AN102" i="14" s="1"/>
  <c r="AH102" i="14"/>
  <c r="AG102" i="14"/>
  <c r="AL102" i="14" s="1"/>
  <c r="AJ101" i="14"/>
  <c r="AO101" i="14" s="1"/>
  <c r="AI101" i="14"/>
  <c r="AN101" i="14" s="1"/>
  <c r="AH101" i="14"/>
  <c r="AM101" i="14" s="1"/>
  <c r="AG101" i="14"/>
  <c r="AL101" i="14" s="1"/>
  <c r="AP101" i="14" s="1"/>
  <c r="AJ100" i="14"/>
  <c r="AO100" i="14" s="1"/>
  <c r="AI100" i="14"/>
  <c r="AN100" i="14" s="1"/>
  <c r="AH100" i="14"/>
  <c r="AM100" i="14" s="1"/>
  <c r="AG100" i="14"/>
  <c r="AL100" i="14" s="1"/>
  <c r="AJ99" i="14"/>
  <c r="AO99" i="14" s="1"/>
  <c r="AI99" i="14"/>
  <c r="AN99" i="14" s="1"/>
  <c r="AH99" i="14"/>
  <c r="AM99" i="14" s="1"/>
  <c r="AG99" i="14"/>
  <c r="AL99" i="14" s="1"/>
  <c r="AL98" i="14"/>
  <c r="AJ98" i="14"/>
  <c r="AO98" i="14" s="1"/>
  <c r="AI98" i="14"/>
  <c r="AN98" i="14" s="1"/>
  <c r="AH98" i="14"/>
  <c r="AM98" i="14" s="1"/>
  <c r="AG98" i="14"/>
  <c r="AJ97" i="14"/>
  <c r="AO97" i="14" s="1"/>
  <c r="AI97" i="14"/>
  <c r="AN97" i="14" s="1"/>
  <c r="AH97" i="14"/>
  <c r="AM97" i="14" s="1"/>
  <c r="AG97" i="14"/>
  <c r="AL97" i="14" s="1"/>
  <c r="AJ96" i="14"/>
  <c r="AO96" i="14" s="1"/>
  <c r="AI96" i="14"/>
  <c r="AN96" i="14" s="1"/>
  <c r="AH96" i="14"/>
  <c r="AM96" i="14" s="1"/>
  <c r="AG96" i="14"/>
  <c r="AL96" i="14" s="1"/>
  <c r="AM95" i="14"/>
  <c r="AL95" i="14"/>
  <c r="AJ95" i="14"/>
  <c r="AO95" i="14" s="1"/>
  <c r="AI95" i="14"/>
  <c r="AN95" i="14" s="1"/>
  <c r="AH95" i="14"/>
  <c r="AG95" i="14"/>
  <c r="AJ94" i="14"/>
  <c r="AO94" i="14" s="1"/>
  <c r="AI94" i="14"/>
  <c r="AN94" i="14" s="1"/>
  <c r="AH94" i="14"/>
  <c r="AM94" i="14" s="1"/>
  <c r="AG94" i="14"/>
  <c r="AL94" i="14" s="1"/>
  <c r="AJ93" i="14"/>
  <c r="AO93" i="14" s="1"/>
  <c r="AI93" i="14"/>
  <c r="AN93" i="14" s="1"/>
  <c r="AH93" i="14"/>
  <c r="AM93" i="14" s="1"/>
  <c r="AG93" i="14"/>
  <c r="AL93" i="14" s="1"/>
  <c r="AP93" i="14" s="1"/>
  <c r="AJ92" i="14"/>
  <c r="AO92" i="14" s="1"/>
  <c r="AI92" i="14"/>
  <c r="AN92" i="14" s="1"/>
  <c r="AH92" i="14"/>
  <c r="AM92" i="14" s="1"/>
  <c r="AG92" i="14"/>
  <c r="AL92" i="14" s="1"/>
  <c r="AJ91" i="14"/>
  <c r="AO91" i="14" s="1"/>
  <c r="AI91" i="14"/>
  <c r="AN91" i="14" s="1"/>
  <c r="AH91" i="14"/>
  <c r="AM91" i="14" s="1"/>
  <c r="AG91" i="14"/>
  <c r="AL91" i="14" s="1"/>
  <c r="AL90" i="14"/>
  <c r="AJ90" i="14"/>
  <c r="AO90" i="14" s="1"/>
  <c r="AI90" i="14"/>
  <c r="AN90" i="14" s="1"/>
  <c r="AH90" i="14"/>
  <c r="AM90" i="14" s="1"/>
  <c r="AG90" i="14"/>
  <c r="AJ89" i="14"/>
  <c r="AO89" i="14" s="1"/>
  <c r="AI89" i="14"/>
  <c r="AN89" i="14" s="1"/>
  <c r="AH89" i="14"/>
  <c r="AM89" i="14" s="1"/>
  <c r="AG89" i="14"/>
  <c r="AL89" i="14" s="1"/>
  <c r="AJ88" i="14"/>
  <c r="AO88" i="14" s="1"/>
  <c r="AI88" i="14"/>
  <c r="AN88" i="14" s="1"/>
  <c r="AH88" i="14"/>
  <c r="AM88" i="14" s="1"/>
  <c r="AG88" i="14"/>
  <c r="AL88" i="14" s="1"/>
  <c r="AM87" i="14"/>
  <c r="AL87" i="14"/>
  <c r="AJ87" i="14"/>
  <c r="AO87" i="14" s="1"/>
  <c r="AI87" i="14"/>
  <c r="AN87" i="14" s="1"/>
  <c r="AH87" i="14"/>
  <c r="AG87" i="14"/>
  <c r="AM86" i="14"/>
  <c r="AJ86" i="14"/>
  <c r="AO86" i="14" s="1"/>
  <c r="AI86" i="14"/>
  <c r="AN86" i="14" s="1"/>
  <c r="AH86" i="14"/>
  <c r="AG86" i="14"/>
  <c r="AL86" i="14" s="1"/>
  <c r="AJ85" i="14"/>
  <c r="AO85" i="14" s="1"/>
  <c r="AI85" i="14"/>
  <c r="AN85" i="14" s="1"/>
  <c r="AH85" i="14"/>
  <c r="AM85" i="14" s="1"/>
  <c r="AG85" i="14"/>
  <c r="AL85" i="14" s="1"/>
  <c r="AL84" i="14"/>
  <c r="AJ84" i="14"/>
  <c r="AO84" i="14" s="1"/>
  <c r="AI84" i="14"/>
  <c r="AN84" i="14" s="1"/>
  <c r="AH84" i="14"/>
  <c r="AM84" i="14" s="1"/>
  <c r="AG84" i="14"/>
  <c r="AJ83" i="14"/>
  <c r="AO83" i="14" s="1"/>
  <c r="AI83" i="14"/>
  <c r="AN83" i="14" s="1"/>
  <c r="AH83" i="14"/>
  <c r="AM83" i="14" s="1"/>
  <c r="AG83" i="14"/>
  <c r="AL83" i="14" s="1"/>
  <c r="AJ82" i="14"/>
  <c r="AO82" i="14" s="1"/>
  <c r="AI82" i="14"/>
  <c r="AN82" i="14" s="1"/>
  <c r="AH82" i="14"/>
  <c r="AM82" i="14" s="1"/>
  <c r="AG82" i="14"/>
  <c r="AL82" i="14" s="1"/>
  <c r="AL81" i="14"/>
  <c r="AJ81" i="14"/>
  <c r="AO81" i="14" s="1"/>
  <c r="AI81" i="14"/>
  <c r="AN81" i="14" s="1"/>
  <c r="AH81" i="14"/>
  <c r="AM81" i="14" s="1"/>
  <c r="AG81" i="14"/>
  <c r="AJ80" i="14"/>
  <c r="AO80" i="14" s="1"/>
  <c r="AI80" i="14"/>
  <c r="AN80" i="14" s="1"/>
  <c r="AH80" i="14"/>
  <c r="AM80" i="14" s="1"/>
  <c r="AG80" i="14"/>
  <c r="AL80" i="14" s="1"/>
  <c r="AJ79" i="14"/>
  <c r="AO79" i="14" s="1"/>
  <c r="AI79" i="14"/>
  <c r="AN79" i="14" s="1"/>
  <c r="AH79" i="14"/>
  <c r="AM79" i="14" s="1"/>
  <c r="AG79" i="14"/>
  <c r="AL79" i="14" s="1"/>
  <c r="AM78" i="14"/>
  <c r="AJ78" i="14"/>
  <c r="AO78" i="14" s="1"/>
  <c r="AI78" i="14"/>
  <c r="AN78" i="14" s="1"/>
  <c r="AH78" i="14"/>
  <c r="AG78" i="14"/>
  <c r="AL78" i="14" s="1"/>
  <c r="AJ77" i="14"/>
  <c r="AO77" i="14" s="1"/>
  <c r="AI77" i="14"/>
  <c r="AN77" i="14" s="1"/>
  <c r="AH77" i="14"/>
  <c r="AM77" i="14" s="1"/>
  <c r="AG77" i="14"/>
  <c r="AL77" i="14" s="1"/>
  <c r="AJ76" i="14"/>
  <c r="AO76" i="14" s="1"/>
  <c r="AI76" i="14"/>
  <c r="AN76" i="14" s="1"/>
  <c r="AH76" i="14"/>
  <c r="AM76" i="14" s="1"/>
  <c r="AG76" i="14"/>
  <c r="AL76" i="14" s="1"/>
  <c r="AN75" i="14"/>
  <c r="AJ75" i="14"/>
  <c r="AO75" i="14" s="1"/>
  <c r="AI75" i="14"/>
  <c r="AH75" i="14"/>
  <c r="AM75" i="14" s="1"/>
  <c r="AG75" i="14"/>
  <c r="AL75" i="14" s="1"/>
  <c r="AJ74" i="14"/>
  <c r="AO74" i="14" s="1"/>
  <c r="AI74" i="14"/>
  <c r="AN74" i="14" s="1"/>
  <c r="AH74" i="14"/>
  <c r="AM74" i="14" s="1"/>
  <c r="AG74" i="14"/>
  <c r="AL74" i="14" s="1"/>
  <c r="AJ73" i="14"/>
  <c r="AO73" i="14" s="1"/>
  <c r="AI73" i="14"/>
  <c r="AN73" i="14" s="1"/>
  <c r="AH73" i="14"/>
  <c r="AM73" i="14" s="1"/>
  <c r="AG73" i="14"/>
  <c r="AL73" i="14" s="1"/>
  <c r="AN72" i="14"/>
  <c r="AM72" i="14"/>
  <c r="AJ72" i="14"/>
  <c r="AO72" i="14" s="1"/>
  <c r="AI72" i="14"/>
  <c r="AH72" i="14"/>
  <c r="AG72" i="14"/>
  <c r="AL72" i="14" s="1"/>
  <c r="AL71" i="14"/>
  <c r="AJ71" i="14"/>
  <c r="AO71" i="14" s="1"/>
  <c r="AI71" i="14"/>
  <c r="AN71" i="14" s="1"/>
  <c r="AH71" i="14"/>
  <c r="AM71" i="14" s="1"/>
  <c r="AG71" i="14"/>
  <c r="AJ70" i="14"/>
  <c r="AO70" i="14" s="1"/>
  <c r="AI70" i="14"/>
  <c r="AN70" i="14" s="1"/>
  <c r="AH70" i="14"/>
  <c r="AM70" i="14" s="1"/>
  <c r="AG70" i="14"/>
  <c r="AL70" i="14" s="1"/>
  <c r="AJ69" i="14"/>
  <c r="AO69" i="14" s="1"/>
  <c r="AI69" i="14"/>
  <c r="AN69" i="14" s="1"/>
  <c r="AH69" i="14"/>
  <c r="AM69" i="14" s="1"/>
  <c r="AG69" i="14"/>
  <c r="AL69" i="14" s="1"/>
  <c r="AJ68" i="14"/>
  <c r="AO68" i="14" s="1"/>
  <c r="AI68" i="14"/>
  <c r="AN68" i="14" s="1"/>
  <c r="AH68" i="14"/>
  <c r="AM68" i="14" s="1"/>
  <c r="AG68" i="14"/>
  <c r="AL68" i="14" s="1"/>
  <c r="AJ67" i="14"/>
  <c r="AO67" i="14" s="1"/>
  <c r="AI67" i="14"/>
  <c r="AN67" i="14" s="1"/>
  <c r="AH67" i="14"/>
  <c r="AM67" i="14" s="1"/>
  <c r="AG67" i="14"/>
  <c r="AL67" i="14" s="1"/>
  <c r="AL66" i="14"/>
  <c r="AJ66" i="14"/>
  <c r="AO66" i="14" s="1"/>
  <c r="AI66" i="14"/>
  <c r="AN66" i="14" s="1"/>
  <c r="AH66" i="14"/>
  <c r="AM66" i="14" s="1"/>
  <c r="AG66" i="14"/>
  <c r="AJ65" i="14"/>
  <c r="AO65" i="14" s="1"/>
  <c r="AI65" i="14"/>
  <c r="AN65" i="14" s="1"/>
  <c r="AH65" i="14"/>
  <c r="AM65" i="14" s="1"/>
  <c r="AG65" i="14"/>
  <c r="AL65" i="14" s="1"/>
  <c r="AJ64" i="14"/>
  <c r="AO64" i="14" s="1"/>
  <c r="AI64" i="14"/>
  <c r="AN64" i="14" s="1"/>
  <c r="AH64" i="14"/>
  <c r="AM64" i="14" s="1"/>
  <c r="AG64" i="14"/>
  <c r="AL64" i="14" s="1"/>
  <c r="AJ63" i="14"/>
  <c r="AO63" i="14" s="1"/>
  <c r="AI63" i="14"/>
  <c r="AN63" i="14" s="1"/>
  <c r="AH63" i="14"/>
  <c r="AM63" i="14" s="1"/>
  <c r="AG63" i="14"/>
  <c r="AL63" i="14" s="1"/>
  <c r="AJ62" i="14"/>
  <c r="AO62" i="14" s="1"/>
  <c r="AI62" i="14"/>
  <c r="AN62" i="14" s="1"/>
  <c r="AH62" i="14"/>
  <c r="AM62" i="14" s="1"/>
  <c r="AG62" i="14"/>
  <c r="AL62" i="14" s="1"/>
  <c r="AJ61" i="14"/>
  <c r="AO61" i="14" s="1"/>
  <c r="AI61" i="14"/>
  <c r="AN61" i="14" s="1"/>
  <c r="AH61" i="14"/>
  <c r="AM61" i="14" s="1"/>
  <c r="AG61" i="14"/>
  <c r="AL61" i="14" s="1"/>
  <c r="AO60" i="14"/>
  <c r="AM60" i="14"/>
  <c r="AJ60" i="14"/>
  <c r="AI60" i="14"/>
  <c r="AN60" i="14" s="1"/>
  <c r="AH60" i="14"/>
  <c r="AG60" i="14"/>
  <c r="AL60" i="14" s="1"/>
  <c r="AO59" i="14"/>
  <c r="AJ59" i="14"/>
  <c r="AI59" i="14"/>
  <c r="AN59" i="14" s="1"/>
  <c r="AH59" i="14"/>
  <c r="AM59" i="14" s="1"/>
  <c r="AG59" i="14"/>
  <c r="AL59" i="14" s="1"/>
  <c r="AO58" i="14"/>
  <c r="AJ58" i="14"/>
  <c r="AI58" i="14"/>
  <c r="AN58" i="14" s="1"/>
  <c r="AH58" i="14"/>
  <c r="AM58" i="14" s="1"/>
  <c r="AG58" i="14"/>
  <c r="AL58" i="14" s="1"/>
  <c r="AM57" i="14"/>
  <c r="AJ57" i="14"/>
  <c r="AO57" i="14" s="1"/>
  <c r="AI57" i="14"/>
  <c r="AN57" i="14" s="1"/>
  <c r="AH57" i="14"/>
  <c r="AG57" i="14"/>
  <c r="AL57" i="14" s="1"/>
  <c r="AJ56" i="14"/>
  <c r="AO56" i="14" s="1"/>
  <c r="AI56" i="14"/>
  <c r="AN56" i="14" s="1"/>
  <c r="AH56" i="14"/>
  <c r="AM56" i="14" s="1"/>
  <c r="AG56" i="14"/>
  <c r="AL56" i="14" s="1"/>
  <c r="AJ55" i="14"/>
  <c r="AO55" i="14" s="1"/>
  <c r="AI55" i="14"/>
  <c r="AN55" i="14" s="1"/>
  <c r="AH55" i="14"/>
  <c r="AM55" i="14" s="1"/>
  <c r="AG55" i="14"/>
  <c r="AL55" i="14" s="1"/>
  <c r="AN54" i="14"/>
  <c r="AM54" i="14"/>
  <c r="AJ54" i="14"/>
  <c r="AO54" i="14" s="1"/>
  <c r="AI54" i="14"/>
  <c r="AH54" i="14"/>
  <c r="AG54" i="14"/>
  <c r="AL54" i="14" s="1"/>
  <c r="AN53" i="14"/>
  <c r="AJ53" i="14"/>
  <c r="AO53" i="14" s="1"/>
  <c r="AI53" i="14"/>
  <c r="AH53" i="14"/>
  <c r="AM53" i="14" s="1"/>
  <c r="AG53" i="14"/>
  <c r="AL53" i="14" s="1"/>
  <c r="AJ52" i="14"/>
  <c r="AO52" i="14" s="1"/>
  <c r="AI52" i="14"/>
  <c r="AN52" i="14" s="1"/>
  <c r="AH52" i="14"/>
  <c r="AM52" i="14" s="1"/>
  <c r="AG52" i="14"/>
  <c r="AL52" i="14" s="1"/>
  <c r="AJ51" i="14"/>
  <c r="AO51" i="14" s="1"/>
  <c r="AI51" i="14"/>
  <c r="AN51" i="14" s="1"/>
  <c r="AH51" i="14"/>
  <c r="AM51" i="14" s="1"/>
  <c r="AG51" i="14"/>
  <c r="AL51" i="14" s="1"/>
  <c r="AJ50" i="14"/>
  <c r="AO50" i="14" s="1"/>
  <c r="AI50" i="14"/>
  <c r="AN50" i="14" s="1"/>
  <c r="AH50" i="14"/>
  <c r="AM50" i="14" s="1"/>
  <c r="AG50" i="14"/>
  <c r="AL50" i="14" s="1"/>
  <c r="AL49" i="14"/>
  <c r="AJ49" i="14"/>
  <c r="AO49" i="14" s="1"/>
  <c r="AI49" i="14"/>
  <c r="AN49" i="14" s="1"/>
  <c r="AH49" i="14"/>
  <c r="AM49" i="14" s="1"/>
  <c r="AG49" i="14"/>
  <c r="AJ48" i="14"/>
  <c r="AO48" i="14" s="1"/>
  <c r="AI48" i="14"/>
  <c r="AN48" i="14" s="1"/>
  <c r="AH48" i="14"/>
  <c r="AM48" i="14" s="1"/>
  <c r="AG48" i="14"/>
  <c r="AL48" i="14" s="1"/>
  <c r="AL47" i="14"/>
  <c r="AJ47" i="14"/>
  <c r="AO47" i="14" s="1"/>
  <c r="AI47" i="14"/>
  <c r="AN47" i="14" s="1"/>
  <c r="AH47" i="14"/>
  <c r="AM47" i="14" s="1"/>
  <c r="AG47" i="14"/>
  <c r="AM46" i="14"/>
  <c r="AJ46" i="14"/>
  <c r="AO46" i="14" s="1"/>
  <c r="AI46" i="14"/>
  <c r="AN46" i="14" s="1"/>
  <c r="AH46" i="14"/>
  <c r="AG46" i="14"/>
  <c r="AL46" i="14" s="1"/>
  <c r="AJ45" i="14"/>
  <c r="AO45" i="14" s="1"/>
  <c r="AI45" i="14"/>
  <c r="AN45" i="14" s="1"/>
  <c r="AH45" i="14"/>
  <c r="AM45" i="14" s="1"/>
  <c r="AG45" i="14"/>
  <c r="AL45" i="14" s="1"/>
  <c r="AJ44" i="14"/>
  <c r="AO44" i="14" s="1"/>
  <c r="AI44" i="14"/>
  <c r="AN44" i="14" s="1"/>
  <c r="AH44" i="14"/>
  <c r="AM44" i="14" s="1"/>
  <c r="AG44" i="14"/>
  <c r="AL44" i="14" s="1"/>
  <c r="AJ43" i="14"/>
  <c r="AO43" i="14" s="1"/>
  <c r="AI43" i="14"/>
  <c r="AN43" i="14" s="1"/>
  <c r="AH43" i="14"/>
  <c r="AM43" i="14" s="1"/>
  <c r="AG43" i="14"/>
  <c r="AL43" i="14" s="1"/>
  <c r="AJ42" i="14"/>
  <c r="AO42" i="14" s="1"/>
  <c r="AI42" i="14"/>
  <c r="AN42" i="14" s="1"/>
  <c r="AH42" i="14"/>
  <c r="AM42" i="14" s="1"/>
  <c r="AG42" i="14"/>
  <c r="AL42" i="14" s="1"/>
  <c r="AJ41" i="14"/>
  <c r="AO41" i="14" s="1"/>
  <c r="AI41" i="14"/>
  <c r="AN41" i="14" s="1"/>
  <c r="AH41" i="14"/>
  <c r="AM41" i="14" s="1"/>
  <c r="AG41" i="14"/>
  <c r="AL41" i="14" s="1"/>
  <c r="AJ40" i="14"/>
  <c r="AO40" i="14" s="1"/>
  <c r="AI40" i="14"/>
  <c r="AN40" i="14" s="1"/>
  <c r="AH40" i="14"/>
  <c r="AM40" i="14" s="1"/>
  <c r="AG40" i="14"/>
  <c r="AL40" i="14" s="1"/>
  <c r="AO39" i="14"/>
  <c r="AJ39" i="14"/>
  <c r="AI39" i="14"/>
  <c r="AN39" i="14" s="1"/>
  <c r="AH39" i="14"/>
  <c r="AM39" i="14" s="1"/>
  <c r="AG39" i="14"/>
  <c r="AL39" i="14" s="1"/>
  <c r="AN38" i="14"/>
  <c r="AM38" i="14"/>
  <c r="AJ38" i="14"/>
  <c r="AO38" i="14" s="1"/>
  <c r="AI38" i="14"/>
  <c r="AH38" i="14"/>
  <c r="AG38" i="14"/>
  <c r="AL38" i="14" s="1"/>
  <c r="AJ37" i="14"/>
  <c r="AO37" i="14" s="1"/>
  <c r="AI37" i="14"/>
  <c r="AN37" i="14" s="1"/>
  <c r="AH37" i="14"/>
  <c r="AM37" i="14" s="1"/>
  <c r="AG37" i="14"/>
  <c r="AL37" i="14" s="1"/>
  <c r="AO36" i="14"/>
  <c r="AJ36" i="14"/>
  <c r="AI36" i="14"/>
  <c r="AN36" i="14" s="1"/>
  <c r="AH36" i="14"/>
  <c r="AM36" i="14" s="1"/>
  <c r="AG36" i="14"/>
  <c r="AL36" i="14" s="1"/>
  <c r="AJ35" i="14"/>
  <c r="AO35" i="14" s="1"/>
  <c r="AI35" i="14"/>
  <c r="AN35" i="14" s="1"/>
  <c r="AH35" i="14"/>
  <c r="AM35" i="14" s="1"/>
  <c r="AG35" i="14"/>
  <c r="AL35" i="14" s="1"/>
  <c r="AJ34" i="14"/>
  <c r="AO34" i="14" s="1"/>
  <c r="AI34" i="14"/>
  <c r="AN34" i="14" s="1"/>
  <c r="AH34" i="14"/>
  <c r="AM34" i="14" s="1"/>
  <c r="AG34" i="14"/>
  <c r="AL34" i="14" s="1"/>
  <c r="AJ33" i="14"/>
  <c r="AO33" i="14" s="1"/>
  <c r="AI33" i="14"/>
  <c r="AN33" i="14" s="1"/>
  <c r="AH33" i="14"/>
  <c r="AM33" i="14" s="1"/>
  <c r="AG33" i="14"/>
  <c r="AL33" i="14" s="1"/>
  <c r="AJ32" i="14"/>
  <c r="AO32" i="14" s="1"/>
  <c r="AI32" i="14"/>
  <c r="AN32" i="14" s="1"/>
  <c r="AH32" i="14"/>
  <c r="AM32" i="14" s="1"/>
  <c r="AG32" i="14"/>
  <c r="AL32" i="14" s="1"/>
  <c r="AJ31" i="14"/>
  <c r="AO31" i="14" s="1"/>
  <c r="AI31" i="14"/>
  <c r="AN31" i="14" s="1"/>
  <c r="AH31" i="14"/>
  <c r="AM31" i="14" s="1"/>
  <c r="AG31" i="14"/>
  <c r="AL31" i="14" s="1"/>
  <c r="AN30" i="14"/>
  <c r="AM30" i="14"/>
  <c r="AJ30" i="14"/>
  <c r="AO30" i="14" s="1"/>
  <c r="AI30" i="14"/>
  <c r="AH30" i="14"/>
  <c r="AG30" i="14"/>
  <c r="AL30" i="14" s="1"/>
  <c r="AJ29" i="14"/>
  <c r="AO29" i="14" s="1"/>
  <c r="AI29" i="14"/>
  <c r="AN29" i="14" s="1"/>
  <c r="AH29" i="14"/>
  <c r="AM29" i="14" s="1"/>
  <c r="AG29" i="14"/>
  <c r="AL29" i="14" s="1"/>
  <c r="AJ28" i="14"/>
  <c r="AO28" i="14" s="1"/>
  <c r="AI28" i="14"/>
  <c r="AN28" i="14" s="1"/>
  <c r="AH28" i="14"/>
  <c r="AM28" i="14" s="1"/>
  <c r="AG28" i="14"/>
  <c r="AL28" i="14" s="1"/>
  <c r="AJ27" i="14"/>
  <c r="AO27" i="14" s="1"/>
  <c r="AI27" i="14"/>
  <c r="AN27" i="14" s="1"/>
  <c r="AH27" i="14"/>
  <c r="AM27" i="14" s="1"/>
  <c r="AG27" i="14"/>
  <c r="AL27" i="14" s="1"/>
  <c r="AJ26" i="14"/>
  <c r="AO26" i="14" s="1"/>
  <c r="AI26" i="14"/>
  <c r="AN26" i="14" s="1"/>
  <c r="AH26" i="14"/>
  <c r="AM26" i="14" s="1"/>
  <c r="AG26" i="14"/>
  <c r="AL26" i="14" s="1"/>
  <c r="AJ25" i="14"/>
  <c r="AO25" i="14" s="1"/>
  <c r="AI25" i="14"/>
  <c r="AN25" i="14" s="1"/>
  <c r="AH25" i="14"/>
  <c r="AM25" i="14" s="1"/>
  <c r="AG25" i="14"/>
  <c r="AL25" i="14" s="1"/>
  <c r="AJ24" i="14"/>
  <c r="AO24" i="14" s="1"/>
  <c r="AI24" i="14"/>
  <c r="AN24" i="14" s="1"/>
  <c r="AH24" i="14"/>
  <c r="AM24" i="14" s="1"/>
  <c r="AG24" i="14"/>
  <c r="AL24" i="14" s="1"/>
  <c r="AM23" i="14"/>
  <c r="AJ23" i="14"/>
  <c r="AO23" i="14" s="1"/>
  <c r="AI23" i="14"/>
  <c r="AN23" i="14" s="1"/>
  <c r="AH23" i="14"/>
  <c r="AG23" i="14"/>
  <c r="AL23" i="14" s="1"/>
  <c r="AJ22" i="14"/>
  <c r="AO22" i="14" s="1"/>
  <c r="AI22" i="14"/>
  <c r="AN22" i="14" s="1"/>
  <c r="AH22" i="14"/>
  <c r="AM22" i="14" s="1"/>
  <c r="AG22" i="14"/>
  <c r="AL22" i="14" s="1"/>
  <c r="AJ21" i="14"/>
  <c r="AO21" i="14" s="1"/>
  <c r="AI21" i="14"/>
  <c r="AN21" i="14" s="1"/>
  <c r="AH21" i="14"/>
  <c r="AM21" i="14" s="1"/>
  <c r="AG21" i="14"/>
  <c r="AL21" i="14" s="1"/>
  <c r="AJ20" i="14"/>
  <c r="AO20" i="14" s="1"/>
  <c r="AI20" i="14"/>
  <c r="AN20" i="14" s="1"/>
  <c r="AH20" i="14"/>
  <c r="AM20" i="14" s="1"/>
  <c r="AG20" i="14"/>
  <c r="AL20" i="14" s="1"/>
  <c r="AL19" i="14"/>
  <c r="AJ19" i="14"/>
  <c r="AO19" i="14" s="1"/>
  <c r="AI19" i="14"/>
  <c r="AN19" i="14" s="1"/>
  <c r="AH19" i="14"/>
  <c r="AM19" i="14" s="1"/>
  <c r="AG19" i="14"/>
  <c r="AJ18" i="14"/>
  <c r="AO18" i="14" s="1"/>
  <c r="AI18" i="14"/>
  <c r="AN18" i="14" s="1"/>
  <c r="AH18" i="14"/>
  <c r="AM18" i="14" s="1"/>
  <c r="AG18" i="14"/>
  <c r="AL18" i="14" s="1"/>
  <c r="AJ17" i="14"/>
  <c r="AO17" i="14" s="1"/>
  <c r="AI17" i="14"/>
  <c r="AN17" i="14" s="1"/>
  <c r="AH17" i="14"/>
  <c r="AM17" i="14" s="1"/>
  <c r="AG17" i="14"/>
  <c r="AL17" i="14" s="1"/>
  <c r="AN16" i="14"/>
  <c r="AM16" i="14"/>
  <c r="AL16" i="14"/>
  <c r="AJ16" i="14"/>
  <c r="AO16" i="14" s="1"/>
  <c r="AI16" i="14"/>
  <c r="AH16" i="14"/>
  <c r="AG16" i="14"/>
  <c r="AN15" i="14"/>
  <c r="AM15" i="14"/>
  <c r="AL15" i="14"/>
  <c r="AJ15" i="14"/>
  <c r="AO15" i="14" s="1"/>
  <c r="AI15" i="14"/>
  <c r="AH15" i="14"/>
  <c r="AG15" i="14"/>
  <c r="AN14" i="14"/>
  <c r="AM14" i="14"/>
  <c r="AJ14" i="14"/>
  <c r="AO14" i="14" s="1"/>
  <c r="AI14" i="14"/>
  <c r="AH14" i="14"/>
  <c r="AG14" i="14"/>
  <c r="AL14" i="14" s="1"/>
  <c r="AJ13" i="14"/>
  <c r="AO13" i="14" s="1"/>
  <c r="AI13" i="14"/>
  <c r="AN13" i="14" s="1"/>
  <c r="AH13" i="14"/>
  <c r="AM13" i="14" s="1"/>
  <c r="AG13" i="14"/>
  <c r="AL13" i="14" s="1"/>
  <c r="AJ12" i="14"/>
  <c r="AO12" i="14" s="1"/>
  <c r="AI12" i="14"/>
  <c r="AN12" i="14" s="1"/>
  <c r="AH12" i="14"/>
  <c r="AM12" i="14" s="1"/>
  <c r="AG12" i="14"/>
  <c r="AL12" i="14" s="1"/>
  <c r="AJ11" i="14"/>
  <c r="AO11" i="14" s="1"/>
  <c r="AI11" i="14"/>
  <c r="AN11" i="14" s="1"/>
  <c r="AH11" i="14"/>
  <c r="AM11" i="14" s="1"/>
  <c r="AG11" i="14"/>
  <c r="AL11" i="14" s="1"/>
  <c r="AJ10" i="14"/>
  <c r="AO10" i="14" s="1"/>
  <c r="AI10" i="14"/>
  <c r="AN10" i="14" s="1"/>
  <c r="AH10" i="14"/>
  <c r="AM10" i="14" s="1"/>
  <c r="AG10" i="14"/>
  <c r="AL10" i="14" s="1"/>
  <c r="AJ9" i="14"/>
  <c r="AO9" i="14" s="1"/>
  <c r="AI9" i="14"/>
  <c r="AN9" i="14" s="1"/>
  <c r="AH9" i="14"/>
  <c r="AM9" i="14" s="1"/>
  <c r="AG9" i="14"/>
  <c r="AL9" i="14" s="1"/>
  <c r="AN8" i="14"/>
  <c r="AJ8" i="14"/>
  <c r="AO8" i="14" s="1"/>
  <c r="AI8" i="14"/>
  <c r="AH8" i="14"/>
  <c r="AM8" i="14" s="1"/>
  <c r="AG8" i="14"/>
  <c r="AL8" i="14" s="1"/>
  <c r="AO7" i="14"/>
  <c r="AN7" i="14"/>
  <c r="AJ7" i="14"/>
  <c r="AI7" i="14"/>
  <c r="AH7" i="14"/>
  <c r="AM7" i="14" s="1"/>
  <c r="AG7" i="14"/>
  <c r="AL7" i="14" s="1"/>
  <c r="AO6" i="14"/>
  <c r="AJ6" i="14"/>
  <c r="AI6" i="14"/>
  <c r="AN6" i="14" s="1"/>
  <c r="AH6" i="14"/>
  <c r="AM6" i="14" s="1"/>
  <c r="AG6" i="14"/>
  <c r="AL6" i="14" s="1"/>
  <c r="AJ232" i="13"/>
  <c r="AO232" i="13" s="1"/>
  <c r="AI232" i="13"/>
  <c r="AN232" i="13" s="1"/>
  <c r="AH232" i="13"/>
  <c r="AM232" i="13" s="1"/>
  <c r="AG232" i="13"/>
  <c r="AL232" i="13" s="1"/>
  <c r="AJ231" i="13"/>
  <c r="AO231" i="13" s="1"/>
  <c r="AI231" i="13"/>
  <c r="AN231" i="13" s="1"/>
  <c r="AH231" i="13"/>
  <c r="AM231" i="13" s="1"/>
  <c r="AG231" i="13"/>
  <c r="AL231" i="13" s="1"/>
  <c r="AJ230" i="13"/>
  <c r="AO230" i="13" s="1"/>
  <c r="AI230" i="13"/>
  <c r="AN230" i="13" s="1"/>
  <c r="AH230" i="13"/>
  <c r="AM230" i="13" s="1"/>
  <c r="AG230" i="13"/>
  <c r="AL230" i="13" s="1"/>
  <c r="AN229" i="13"/>
  <c r="AM229" i="13"/>
  <c r="AJ229" i="13"/>
  <c r="AO229" i="13" s="1"/>
  <c r="AI229" i="13"/>
  <c r="AH229" i="13"/>
  <c r="AG229" i="13"/>
  <c r="AL229" i="13" s="1"/>
  <c r="AN228" i="13"/>
  <c r="AJ228" i="13"/>
  <c r="AO228" i="13" s="1"/>
  <c r="AI228" i="13"/>
  <c r="AH228" i="13"/>
  <c r="AM228" i="13" s="1"/>
  <c r="AG228" i="13"/>
  <c r="AL228" i="13" s="1"/>
  <c r="AP228" i="13" s="1"/>
  <c r="AN227" i="13"/>
  <c r="AM227" i="13"/>
  <c r="AJ227" i="13"/>
  <c r="AO227" i="13" s="1"/>
  <c r="AI227" i="13"/>
  <c r="AH227" i="13"/>
  <c r="AG227" i="13"/>
  <c r="AL227" i="13" s="1"/>
  <c r="AJ226" i="13"/>
  <c r="AO226" i="13" s="1"/>
  <c r="AI226" i="13"/>
  <c r="AN226" i="13" s="1"/>
  <c r="AH226" i="13"/>
  <c r="AM226" i="13" s="1"/>
  <c r="AG226" i="13"/>
  <c r="AL226" i="13" s="1"/>
  <c r="AJ225" i="13"/>
  <c r="AO225" i="13" s="1"/>
  <c r="AI225" i="13"/>
  <c r="AN225" i="13" s="1"/>
  <c r="AH225" i="13"/>
  <c r="AM225" i="13" s="1"/>
  <c r="AG225" i="13"/>
  <c r="AL225" i="13" s="1"/>
  <c r="AJ224" i="13"/>
  <c r="AO224" i="13" s="1"/>
  <c r="AI224" i="13"/>
  <c r="AN224" i="13" s="1"/>
  <c r="AH224" i="13"/>
  <c r="AM224" i="13" s="1"/>
  <c r="AG224" i="13"/>
  <c r="AL224" i="13" s="1"/>
  <c r="AJ223" i="13"/>
  <c r="AO223" i="13" s="1"/>
  <c r="AI223" i="13"/>
  <c r="AN223" i="13" s="1"/>
  <c r="AH223" i="13"/>
  <c r="AM223" i="13" s="1"/>
  <c r="AG223" i="13"/>
  <c r="AL223" i="13" s="1"/>
  <c r="AJ222" i="13"/>
  <c r="AO222" i="13" s="1"/>
  <c r="AI222" i="13"/>
  <c r="AN222" i="13" s="1"/>
  <c r="AH222" i="13"/>
  <c r="AM222" i="13" s="1"/>
  <c r="AG222" i="13"/>
  <c r="AL222" i="13" s="1"/>
  <c r="AM221" i="13"/>
  <c r="AJ221" i="13"/>
  <c r="AO221" i="13" s="1"/>
  <c r="AI221" i="13"/>
  <c r="AN221" i="13" s="1"/>
  <c r="AH221" i="13"/>
  <c r="AG221" i="13"/>
  <c r="AL221" i="13" s="1"/>
  <c r="AM220" i="13"/>
  <c r="AJ220" i="13"/>
  <c r="AO220" i="13" s="1"/>
  <c r="AI220" i="13"/>
  <c r="AN220" i="13" s="1"/>
  <c r="AH220" i="13"/>
  <c r="AG220" i="13"/>
  <c r="AL220" i="13" s="1"/>
  <c r="AJ219" i="13"/>
  <c r="AO219" i="13" s="1"/>
  <c r="AI219" i="13"/>
  <c r="AN219" i="13" s="1"/>
  <c r="AH219" i="13"/>
  <c r="AM219" i="13" s="1"/>
  <c r="AG219" i="13"/>
  <c r="AL219" i="13" s="1"/>
  <c r="AO218" i="13"/>
  <c r="AN218" i="13"/>
  <c r="AJ218" i="13"/>
  <c r="AI218" i="13"/>
  <c r="AH218" i="13"/>
  <c r="AM218" i="13" s="1"/>
  <c r="AG218" i="13"/>
  <c r="AL218" i="13" s="1"/>
  <c r="AJ217" i="13"/>
  <c r="AO217" i="13" s="1"/>
  <c r="AI217" i="13"/>
  <c r="AN217" i="13" s="1"/>
  <c r="AH217" i="13"/>
  <c r="AM217" i="13" s="1"/>
  <c r="AG217" i="13"/>
  <c r="AL217" i="13" s="1"/>
  <c r="AJ216" i="13"/>
  <c r="AO216" i="13" s="1"/>
  <c r="AI216" i="13"/>
  <c r="AN216" i="13" s="1"/>
  <c r="AH216" i="13"/>
  <c r="AM216" i="13" s="1"/>
  <c r="AG216" i="13"/>
  <c r="AL216" i="13" s="1"/>
  <c r="AL215" i="13"/>
  <c r="AJ215" i="13"/>
  <c r="AO215" i="13" s="1"/>
  <c r="AI215" i="13"/>
  <c r="AN215" i="13" s="1"/>
  <c r="AH215" i="13"/>
  <c r="AM215" i="13" s="1"/>
  <c r="AG215" i="13"/>
  <c r="AM214" i="13"/>
  <c r="AL214" i="13"/>
  <c r="AJ214" i="13"/>
  <c r="AO214" i="13" s="1"/>
  <c r="AI214" i="13"/>
  <c r="AN214" i="13" s="1"/>
  <c r="AH214" i="13"/>
  <c r="AG214" i="13"/>
  <c r="AL213" i="13"/>
  <c r="AJ213" i="13"/>
  <c r="AO213" i="13" s="1"/>
  <c r="AI213" i="13"/>
  <c r="AN213" i="13" s="1"/>
  <c r="AH213" i="13"/>
  <c r="AM213" i="13" s="1"/>
  <c r="AG213" i="13"/>
  <c r="AL212" i="13"/>
  <c r="AJ212" i="13"/>
  <c r="AO212" i="13" s="1"/>
  <c r="AI212" i="13"/>
  <c r="AN212" i="13" s="1"/>
  <c r="AH212" i="13"/>
  <c r="AM212" i="13" s="1"/>
  <c r="AG212" i="13"/>
  <c r="AJ211" i="13"/>
  <c r="AO211" i="13" s="1"/>
  <c r="AI211" i="13"/>
  <c r="AN211" i="13" s="1"/>
  <c r="AP211" i="13" s="1"/>
  <c r="AH211" i="13"/>
  <c r="AM211" i="13" s="1"/>
  <c r="AG211" i="13"/>
  <c r="AL211" i="13" s="1"/>
  <c r="AO210" i="13"/>
  <c r="AN210" i="13"/>
  <c r="AJ210" i="13"/>
  <c r="AI210" i="13"/>
  <c r="AH210" i="13"/>
  <c r="AM210" i="13" s="1"/>
  <c r="AG210" i="13"/>
  <c r="AL210" i="13" s="1"/>
  <c r="AP210" i="13" s="1"/>
  <c r="AO209" i="13"/>
  <c r="AJ209" i="13"/>
  <c r="AI209" i="13"/>
  <c r="AN209" i="13" s="1"/>
  <c r="AH209" i="13"/>
  <c r="AM209" i="13" s="1"/>
  <c r="AG209" i="13"/>
  <c r="AL209" i="13" s="1"/>
  <c r="AJ208" i="13"/>
  <c r="AO208" i="13" s="1"/>
  <c r="AI208" i="13"/>
  <c r="AN208" i="13" s="1"/>
  <c r="AH208" i="13"/>
  <c r="AM208" i="13" s="1"/>
  <c r="AG208" i="13"/>
  <c r="AL208" i="13" s="1"/>
  <c r="AL207" i="13"/>
  <c r="AJ207" i="13"/>
  <c r="AO207" i="13" s="1"/>
  <c r="AI207" i="13"/>
  <c r="AN207" i="13" s="1"/>
  <c r="AH207" i="13"/>
  <c r="AM207" i="13" s="1"/>
  <c r="AG207" i="13"/>
  <c r="AL206" i="13"/>
  <c r="AJ206" i="13"/>
  <c r="AO206" i="13" s="1"/>
  <c r="AI206" i="13"/>
  <c r="AN206" i="13" s="1"/>
  <c r="AH206" i="13"/>
  <c r="AM206" i="13" s="1"/>
  <c r="AG206" i="13"/>
  <c r="AJ205" i="13"/>
  <c r="AO205" i="13" s="1"/>
  <c r="AI205" i="13"/>
  <c r="AN205" i="13" s="1"/>
  <c r="AH205" i="13"/>
  <c r="AM205" i="13" s="1"/>
  <c r="AG205" i="13"/>
  <c r="AL205" i="13" s="1"/>
  <c r="AJ204" i="13"/>
  <c r="AO204" i="13" s="1"/>
  <c r="AI204" i="13"/>
  <c r="AN204" i="13" s="1"/>
  <c r="AH204" i="13"/>
  <c r="AM204" i="13" s="1"/>
  <c r="AG204" i="13"/>
  <c r="AL204" i="13" s="1"/>
  <c r="AJ203" i="13"/>
  <c r="AO203" i="13" s="1"/>
  <c r="AI203" i="13"/>
  <c r="AN203" i="13" s="1"/>
  <c r="AH203" i="13"/>
  <c r="AM203" i="13" s="1"/>
  <c r="AP203" i="13" s="1"/>
  <c r="AG203" i="13"/>
  <c r="AL203" i="13" s="1"/>
  <c r="AO202" i="13"/>
  <c r="AN202" i="13"/>
  <c r="AJ202" i="13"/>
  <c r="AI202" i="13"/>
  <c r="AH202" i="13"/>
  <c r="AM202" i="13" s="1"/>
  <c r="AG202" i="13"/>
  <c r="AL202" i="13" s="1"/>
  <c r="AP202" i="13" s="1"/>
  <c r="AO201" i="13"/>
  <c r="AJ201" i="13"/>
  <c r="AI201" i="13"/>
  <c r="AN201" i="13" s="1"/>
  <c r="AH201" i="13"/>
  <c r="AM201" i="13" s="1"/>
  <c r="AG201" i="13"/>
  <c r="AL201" i="13" s="1"/>
  <c r="AJ200" i="13"/>
  <c r="AO200" i="13" s="1"/>
  <c r="AI200" i="13"/>
  <c r="AN200" i="13" s="1"/>
  <c r="AH200" i="13"/>
  <c r="AM200" i="13" s="1"/>
  <c r="AG200" i="13"/>
  <c r="AL200" i="13" s="1"/>
  <c r="AL199" i="13"/>
  <c r="AJ199" i="13"/>
  <c r="AO199" i="13" s="1"/>
  <c r="AI199" i="13"/>
  <c r="AN199" i="13" s="1"/>
  <c r="AH199" i="13"/>
  <c r="AM199" i="13" s="1"/>
  <c r="AG199" i="13"/>
  <c r="AL198" i="13"/>
  <c r="AJ198" i="13"/>
  <c r="AO198" i="13" s="1"/>
  <c r="AI198" i="13"/>
  <c r="AN198" i="13" s="1"/>
  <c r="AH198" i="13"/>
  <c r="AM198" i="13" s="1"/>
  <c r="AG198" i="13"/>
  <c r="AJ197" i="13"/>
  <c r="AO197" i="13" s="1"/>
  <c r="AI197" i="13"/>
  <c r="AN197" i="13" s="1"/>
  <c r="AH197" i="13"/>
  <c r="AM197" i="13" s="1"/>
  <c r="AG197" i="13"/>
  <c r="AL197" i="13" s="1"/>
  <c r="AP197" i="13" s="1"/>
  <c r="AJ196" i="13"/>
  <c r="AO196" i="13" s="1"/>
  <c r="AI196" i="13"/>
  <c r="AN196" i="13" s="1"/>
  <c r="AH196" i="13"/>
  <c r="AM196" i="13" s="1"/>
  <c r="AG196" i="13"/>
  <c r="AL196" i="13" s="1"/>
  <c r="AP196" i="13" s="1"/>
  <c r="AN195" i="13"/>
  <c r="AJ195" i="13"/>
  <c r="AO195" i="13" s="1"/>
  <c r="AI195" i="13"/>
  <c r="AH195" i="13"/>
  <c r="AM195" i="13" s="1"/>
  <c r="AG195" i="13"/>
  <c r="AL195" i="13" s="1"/>
  <c r="AN194" i="13"/>
  <c r="AJ194" i="13"/>
  <c r="AO194" i="13" s="1"/>
  <c r="AI194" i="13"/>
  <c r="AH194" i="13"/>
  <c r="AM194" i="13" s="1"/>
  <c r="AG194" i="13"/>
  <c r="AL194" i="13" s="1"/>
  <c r="AO193" i="13"/>
  <c r="AJ193" i="13"/>
  <c r="AI193" i="13"/>
  <c r="AN193" i="13" s="1"/>
  <c r="AH193" i="13"/>
  <c r="AM193" i="13" s="1"/>
  <c r="AG193" i="13"/>
  <c r="AL193" i="13" s="1"/>
  <c r="AJ192" i="13"/>
  <c r="AO192" i="13" s="1"/>
  <c r="AI192" i="13"/>
  <c r="AN192" i="13" s="1"/>
  <c r="AH192" i="13"/>
  <c r="AM192" i="13" s="1"/>
  <c r="AG192" i="13"/>
  <c r="AL192" i="13" s="1"/>
  <c r="AL191" i="13"/>
  <c r="AP191" i="13" s="1"/>
  <c r="AJ191" i="13"/>
  <c r="AO191" i="13" s="1"/>
  <c r="AI191" i="13"/>
  <c r="AN191" i="13" s="1"/>
  <c r="AH191" i="13"/>
  <c r="AM191" i="13" s="1"/>
  <c r="AG191" i="13"/>
  <c r="AJ190" i="13"/>
  <c r="AO190" i="13" s="1"/>
  <c r="AI190" i="13"/>
  <c r="AN190" i="13" s="1"/>
  <c r="AH190" i="13"/>
  <c r="AM190" i="13" s="1"/>
  <c r="AG190" i="13"/>
  <c r="AL190" i="13" s="1"/>
  <c r="AJ189" i="13"/>
  <c r="AO189" i="13" s="1"/>
  <c r="AI189" i="13"/>
  <c r="AN189" i="13" s="1"/>
  <c r="AH189" i="13"/>
  <c r="AM189" i="13" s="1"/>
  <c r="AG189" i="13"/>
  <c r="AL189" i="13" s="1"/>
  <c r="AO188" i="13"/>
  <c r="AJ188" i="13"/>
  <c r="AI188" i="13"/>
  <c r="AN188" i="13" s="1"/>
  <c r="AH188" i="13"/>
  <c r="AM188" i="13" s="1"/>
  <c r="AG188" i="13"/>
  <c r="AL188" i="13" s="1"/>
  <c r="AN187" i="13"/>
  <c r="AM187" i="13"/>
  <c r="AJ187" i="13"/>
  <c r="AO187" i="13" s="1"/>
  <c r="AI187" i="13"/>
  <c r="AH187" i="13"/>
  <c r="AG187" i="13"/>
  <c r="AL187" i="13" s="1"/>
  <c r="AP187" i="13" s="1"/>
  <c r="AO186" i="13"/>
  <c r="AJ186" i="13"/>
  <c r="AI186" i="13"/>
  <c r="AN186" i="13" s="1"/>
  <c r="AH186" i="13"/>
  <c r="AM186" i="13" s="1"/>
  <c r="AG186" i="13"/>
  <c r="AL186" i="13" s="1"/>
  <c r="AJ185" i="13"/>
  <c r="AO185" i="13" s="1"/>
  <c r="AI185" i="13"/>
  <c r="AN185" i="13" s="1"/>
  <c r="AH185" i="13"/>
  <c r="AM185" i="13" s="1"/>
  <c r="AG185" i="13"/>
  <c r="AL185" i="13" s="1"/>
  <c r="AJ184" i="13"/>
  <c r="AO184" i="13" s="1"/>
  <c r="AI184" i="13"/>
  <c r="AN184" i="13" s="1"/>
  <c r="AH184" i="13"/>
  <c r="AM184" i="13" s="1"/>
  <c r="AG184" i="13"/>
  <c r="AL184" i="13" s="1"/>
  <c r="AL183" i="13"/>
  <c r="AJ183" i="13"/>
  <c r="AO183" i="13" s="1"/>
  <c r="AI183" i="13"/>
  <c r="AN183" i="13" s="1"/>
  <c r="AH183" i="13"/>
  <c r="AM183" i="13" s="1"/>
  <c r="AG183" i="13"/>
  <c r="AJ182" i="13"/>
  <c r="AO182" i="13" s="1"/>
  <c r="AI182" i="13"/>
  <c r="AN182" i="13" s="1"/>
  <c r="AH182" i="13"/>
  <c r="AM182" i="13" s="1"/>
  <c r="AG182" i="13"/>
  <c r="AL182" i="13" s="1"/>
  <c r="AN181" i="13"/>
  <c r="AJ181" i="13"/>
  <c r="AO181" i="13" s="1"/>
  <c r="AI181" i="13"/>
  <c r="AH181" i="13"/>
  <c r="AM181" i="13" s="1"/>
  <c r="AG181" i="13"/>
  <c r="AL181" i="13" s="1"/>
  <c r="AO180" i="13"/>
  <c r="AN180" i="13"/>
  <c r="AJ180" i="13"/>
  <c r="AI180" i="13"/>
  <c r="AH180" i="13"/>
  <c r="AM180" i="13" s="1"/>
  <c r="AG180" i="13"/>
  <c r="AL180" i="13" s="1"/>
  <c r="AN179" i="13"/>
  <c r="AM179" i="13"/>
  <c r="AJ179" i="13"/>
  <c r="AO179" i="13" s="1"/>
  <c r="AI179" i="13"/>
  <c r="AH179" i="13"/>
  <c r="AG179" i="13"/>
  <c r="AL179" i="13" s="1"/>
  <c r="AJ158" i="13"/>
  <c r="AO158" i="13" s="1"/>
  <c r="AI158" i="13"/>
  <c r="AN158" i="13" s="1"/>
  <c r="AH158" i="13"/>
  <c r="AM158" i="13" s="1"/>
  <c r="AG158" i="13"/>
  <c r="AL158" i="13" s="1"/>
  <c r="AJ159" i="13"/>
  <c r="AO159" i="13" s="1"/>
  <c r="AI159" i="13"/>
  <c r="AN159" i="13" s="1"/>
  <c r="AH159" i="13"/>
  <c r="AM159" i="13" s="1"/>
  <c r="AG159" i="13"/>
  <c r="AL159" i="13" s="1"/>
  <c r="AJ160" i="13"/>
  <c r="AO160" i="13" s="1"/>
  <c r="AI160" i="13"/>
  <c r="AN160" i="13" s="1"/>
  <c r="AH160" i="13"/>
  <c r="AM160" i="13" s="1"/>
  <c r="AG160" i="13"/>
  <c r="AL160" i="13" s="1"/>
  <c r="AJ161" i="13"/>
  <c r="AO161" i="13" s="1"/>
  <c r="AI161" i="13"/>
  <c r="AN161" i="13" s="1"/>
  <c r="AH161" i="13"/>
  <c r="AM161" i="13" s="1"/>
  <c r="AG161" i="13"/>
  <c r="AL161" i="13" s="1"/>
  <c r="AJ176" i="13"/>
  <c r="AO176" i="13" s="1"/>
  <c r="AI176" i="13"/>
  <c r="AN176" i="13" s="1"/>
  <c r="AH176" i="13"/>
  <c r="AM176" i="13" s="1"/>
  <c r="AG176" i="13"/>
  <c r="AL176" i="13" s="1"/>
  <c r="AJ154" i="13"/>
  <c r="AO154" i="13" s="1"/>
  <c r="AI154" i="13"/>
  <c r="AN154" i="13" s="1"/>
  <c r="AH154" i="13"/>
  <c r="AM154" i="13" s="1"/>
  <c r="AG154" i="13"/>
  <c r="AL154" i="13" s="1"/>
  <c r="AJ172" i="13"/>
  <c r="AO172" i="13" s="1"/>
  <c r="AI172" i="13"/>
  <c r="AN172" i="13" s="1"/>
  <c r="AH172" i="13"/>
  <c r="AM172" i="13" s="1"/>
  <c r="AG172" i="13"/>
  <c r="AL172" i="13" s="1"/>
  <c r="AJ175" i="13"/>
  <c r="AO175" i="13" s="1"/>
  <c r="AI175" i="13"/>
  <c r="AN175" i="13" s="1"/>
  <c r="AH175" i="13"/>
  <c r="AM175" i="13" s="1"/>
  <c r="AG175" i="13"/>
  <c r="AL175" i="13" s="1"/>
  <c r="AO168" i="13"/>
  <c r="AJ168" i="13"/>
  <c r="AI168" i="13"/>
  <c r="AN168" i="13" s="1"/>
  <c r="AH168" i="13"/>
  <c r="AM168" i="13" s="1"/>
  <c r="AG168" i="13"/>
  <c r="AL168" i="13" s="1"/>
  <c r="AJ171" i="13"/>
  <c r="AO171" i="13" s="1"/>
  <c r="AI171" i="13"/>
  <c r="AN171" i="13" s="1"/>
  <c r="AH171" i="13"/>
  <c r="AM171" i="13" s="1"/>
  <c r="AG171" i="13"/>
  <c r="AL171" i="13" s="1"/>
  <c r="AJ157" i="13"/>
  <c r="AO157" i="13" s="1"/>
  <c r="AI157" i="13"/>
  <c r="AN157" i="13" s="1"/>
  <c r="AH157" i="13"/>
  <c r="AM157" i="13" s="1"/>
  <c r="AG157" i="13"/>
  <c r="AL157" i="13" s="1"/>
  <c r="AO170" i="13"/>
  <c r="AJ170" i="13"/>
  <c r="AI170" i="13"/>
  <c r="AN170" i="13" s="1"/>
  <c r="AH170" i="13"/>
  <c r="AM170" i="13" s="1"/>
  <c r="AG170" i="13"/>
  <c r="AL170" i="13" s="1"/>
  <c r="AJ177" i="13"/>
  <c r="AO177" i="13" s="1"/>
  <c r="AI177" i="13"/>
  <c r="AN177" i="13" s="1"/>
  <c r="AH177" i="13"/>
  <c r="AM177" i="13" s="1"/>
  <c r="AG177" i="13"/>
  <c r="AL177" i="13" s="1"/>
  <c r="AJ165" i="13"/>
  <c r="AO165" i="13" s="1"/>
  <c r="AI165" i="13"/>
  <c r="AN165" i="13" s="1"/>
  <c r="AH165" i="13"/>
  <c r="AM165" i="13" s="1"/>
  <c r="AG165" i="13"/>
  <c r="AL165" i="13" s="1"/>
  <c r="AN178" i="13"/>
  <c r="AJ178" i="13"/>
  <c r="AO178" i="13" s="1"/>
  <c r="AI178" i="13"/>
  <c r="AH178" i="13"/>
  <c r="AM178" i="13" s="1"/>
  <c r="AG178" i="13"/>
  <c r="AL178" i="13" s="1"/>
  <c r="AJ173" i="13"/>
  <c r="AO173" i="13" s="1"/>
  <c r="AI173" i="13"/>
  <c r="AN173" i="13" s="1"/>
  <c r="AH173" i="13"/>
  <c r="AM173" i="13" s="1"/>
  <c r="AG173" i="13"/>
  <c r="AL173" i="13" s="1"/>
  <c r="AJ166" i="13"/>
  <c r="AO166" i="13" s="1"/>
  <c r="AI166" i="13"/>
  <c r="AN166" i="13" s="1"/>
  <c r="AH166" i="13"/>
  <c r="AM166" i="13" s="1"/>
  <c r="AG166" i="13"/>
  <c r="AL166" i="13" s="1"/>
  <c r="AJ163" i="13"/>
  <c r="AO163" i="13" s="1"/>
  <c r="AI163" i="13"/>
  <c r="AN163" i="13" s="1"/>
  <c r="AH163" i="13"/>
  <c r="AM163" i="13" s="1"/>
  <c r="AG163" i="13"/>
  <c r="AL163" i="13" s="1"/>
  <c r="AJ167" i="13"/>
  <c r="AO167" i="13" s="1"/>
  <c r="AI167" i="13"/>
  <c r="AN167" i="13" s="1"/>
  <c r="AH167" i="13"/>
  <c r="AM167" i="13" s="1"/>
  <c r="AG167" i="13"/>
  <c r="AL167" i="13" s="1"/>
  <c r="AJ162" i="13"/>
  <c r="AO162" i="13" s="1"/>
  <c r="AI162" i="13"/>
  <c r="AN162" i="13" s="1"/>
  <c r="AH162" i="13"/>
  <c r="AM162" i="13" s="1"/>
  <c r="AG162" i="13"/>
  <c r="AL162" i="13" s="1"/>
  <c r="AJ156" i="13"/>
  <c r="AO156" i="13" s="1"/>
  <c r="AI156" i="13"/>
  <c r="AN156" i="13" s="1"/>
  <c r="AH156" i="13"/>
  <c r="AM156" i="13" s="1"/>
  <c r="AG156" i="13"/>
  <c r="AL156" i="13" s="1"/>
  <c r="AJ164" i="13"/>
  <c r="AO164" i="13" s="1"/>
  <c r="AI164" i="13"/>
  <c r="AN164" i="13" s="1"/>
  <c r="AH164" i="13"/>
  <c r="AM164" i="13" s="1"/>
  <c r="AG164" i="13"/>
  <c r="AL164" i="13" s="1"/>
  <c r="AJ155" i="13"/>
  <c r="AO155" i="13" s="1"/>
  <c r="AI155" i="13"/>
  <c r="AN155" i="13" s="1"/>
  <c r="AH155" i="13"/>
  <c r="AM155" i="13" s="1"/>
  <c r="AG155" i="13"/>
  <c r="AL155" i="13" s="1"/>
  <c r="AO169" i="13"/>
  <c r="AJ169" i="13"/>
  <c r="AI169" i="13"/>
  <c r="AN169" i="13" s="1"/>
  <c r="AH169" i="13"/>
  <c r="AM169" i="13" s="1"/>
  <c r="AG169" i="13"/>
  <c r="AL169" i="13" s="1"/>
  <c r="AN174" i="13"/>
  <c r="AM174" i="13"/>
  <c r="AJ174" i="13"/>
  <c r="AO174" i="13" s="1"/>
  <c r="AI174" i="13"/>
  <c r="AH174" i="13"/>
  <c r="AG174" i="13"/>
  <c r="AL174" i="13" s="1"/>
  <c r="AO153" i="13"/>
  <c r="AN153" i="13"/>
  <c r="AL153" i="13"/>
  <c r="AJ153" i="13"/>
  <c r="AI153" i="13"/>
  <c r="AH153" i="13"/>
  <c r="AM153" i="13" s="1"/>
  <c r="AG153" i="13"/>
  <c r="AM152" i="13"/>
  <c r="AJ152" i="13"/>
  <c r="AO152" i="13" s="1"/>
  <c r="AI152" i="13"/>
  <c r="AN152" i="13" s="1"/>
  <c r="AH152" i="13"/>
  <c r="AG152" i="13"/>
  <c r="AL152" i="13" s="1"/>
  <c r="AJ151" i="13"/>
  <c r="AO151" i="13" s="1"/>
  <c r="AI151" i="13"/>
  <c r="AN151" i="13" s="1"/>
  <c r="AH151" i="13"/>
  <c r="AM151" i="13" s="1"/>
  <c r="AG151" i="13"/>
  <c r="AL151" i="13" s="1"/>
  <c r="AO150" i="13"/>
  <c r="AJ150" i="13"/>
  <c r="AI150" i="13"/>
  <c r="AN150" i="13" s="1"/>
  <c r="AH150" i="13"/>
  <c r="AM150" i="13" s="1"/>
  <c r="AG150" i="13"/>
  <c r="AL150" i="13" s="1"/>
  <c r="AN149" i="13"/>
  <c r="AL149" i="13"/>
  <c r="AJ149" i="13"/>
  <c r="AO149" i="13" s="1"/>
  <c r="AI149" i="13"/>
  <c r="AH149" i="13"/>
  <c r="AM149" i="13" s="1"/>
  <c r="AG149" i="13"/>
  <c r="AN148" i="13"/>
  <c r="AL148" i="13"/>
  <c r="AJ148" i="13"/>
  <c r="AO148" i="13" s="1"/>
  <c r="AI148" i="13"/>
  <c r="AH148" i="13"/>
  <c r="AM148" i="13" s="1"/>
  <c r="AG148" i="13"/>
  <c r="AL147" i="13"/>
  <c r="AJ147" i="13"/>
  <c r="AO147" i="13" s="1"/>
  <c r="AI147" i="13"/>
  <c r="AN147" i="13" s="1"/>
  <c r="AH147" i="13"/>
  <c r="AM147" i="13" s="1"/>
  <c r="AG147" i="13"/>
  <c r="AJ146" i="13"/>
  <c r="AO146" i="13" s="1"/>
  <c r="AI146" i="13"/>
  <c r="AN146" i="13" s="1"/>
  <c r="AH146" i="13"/>
  <c r="AM146" i="13" s="1"/>
  <c r="AG146" i="13"/>
  <c r="AL146" i="13" s="1"/>
  <c r="AO145" i="13"/>
  <c r="AN145" i="13"/>
  <c r="AJ145" i="13"/>
  <c r="AI145" i="13"/>
  <c r="AH145" i="13"/>
  <c r="AM145" i="13" s="1"/>
  <c r="AG145" i="13"/>
  <c r="AL145" i="13" s="1"/>
  <c r="AO144" i="13"/>
  <c r="AJ144" i="13"/>
  <c r="AI144" i="13"/>
  <c r="AN144" i="13" s="1"/>
  <c r="AH144" i="13"/>
  <c r="AM144" i="13" s="1"/>
  <c r="AG144" i="13"/>
  <c r="AL144" i="13" s="1"/>
  <c r="AO143" i="13"/>
  <c r="AN143" i="13"/>
  <c r="AL143" i="13"/>
  <c r="AJ143" i="13"/>
  <c r="AI143" i="13"/>
  <c r="AH143" i="13"/>
  <c r="AM143" i="13" s="1"/>
  <c r="AG143" i="13"/>
  <c r="AL142" i="13"/>
  <c r="AJ142" i="13"/>
  <c r="AO142" i="13" s="1"/>
  <c r="AI142" i="13"/>
  <c r="AN142" i="13" s="1"/>
  <c r="AH142" i="13"/>
  <c r="AM142" i="13" s="1"/>
  <c r="AG142" i="13"/>
  <c r="AJ141" i="13"/>
  <c r="AO141" i="13" s="1"/>
  <c r="AI141" i="13"/>
  <c r="AN141" i="13" s="1"/>
  <c r="AH141" i="13"/>
  <c r="AM141" i="13" s="1"/>
  <c r="AG141" i="13"/>
  <c r="AL141" i="13" s="1"/>
  <c r="AP141" i="13" s="1"/>
  <c r="AO140" i="13"/>
  <c r="AN140" i="13"/>
  <c r="AJ140" i="13"/>
  <c r="AI140" i="13"/>
  <c r="AH140" i="13"/>
  <c r="AM140" i="13" s="1"/>
  <c r="AG140" i="13"/>
  <c r="AL140" i="13" s="1"/>
  <c r="AO139" i="13"/>
  <c r="AM139" i="13"/>
  <c r="AJ139" i="13"/>
  <c r="AI139" i="13"/>
  <c r="AN139" i="13" s="1"/>
  <c r="AH139" i="13"/>
  <c r="AG139" i="13"/>
  <c r="AL139" i="13" s="1"/>
  <c r="AJ138" i="13"/>
  <c r="AO138" i="13" s="1"/>
  <c r="AI138" i="13"/>
  <c r="AN138" i="13" s="1"/>
  <c r="AH138" i="13"/>
  <c r="AM138" i="13" s="1"/>
  <c r="AG138" i="13"/>
  <c r="AL138" i="13" s="1"/>
  <c r="AO137" i="13"/>
  <c r="AJ137" i="13"/>
  <c r="AI137" i="13"/>
  <c r="AN137" i="13" s="1"/>
  <c r="AH137" i="13"/>
  <c r="AM137" i="13" s="1"/>
  <c r="AG137" i="13"/>
  <c r="AL137" i="13" s="1"/>
  <c r="AM136" i="13"/>
  <c r="AJ136" i="13"/>
  <c r="AO136" i="13" s="1"/>
  <c r="AI136" i="13"/>
  <c r="AN136" i="13" s="1"/>
  <c r="AH136" i="13"/>
  <c r="AG136" i="13"/>
  <c r="AL136" i="13" s="1"/>
  <c r="AL135" i="13"/>
  <c r="AJ135" i="13"/>
  <c r="AO135" i="13" s="1"/>
  <c r="AI135" i="13"/>
  <c r="AN135" i="13" s="1"/>
  <c r="AH135" i="13"/>
  <c r="AM135" i="13" s="1"/>
  <c r="AG135" i="13"/>
  <c r="AJ134" i="13"/>
  <c r="AO134" i="13" s="1"/>
  <c r="AI134" i="13"/>
  <c r="AN134" i="13" s="1"/>
  <c r="AH134" i="13"/>
  <c r="AM134" i="13" s="1"/>
  <c r="AG134" i="13"/>
  <c r="AL134" i="13" s="1"/>
  <c r="AL133" i="13"/>
  <c r="AJ133" i="13"/>
  <c r="AO133" i="13" s="1"/>
  <c r="AI133" i="13"/>
  <c r="AN133" i="13" s="1"/>
  <c r="AH133" i="13"/>
  <c r="AM133" i="13" s="1"/>
  <c r="AG133" i="13"/>
  <c r="AL132" i="13"/>
  <c r="AJ132" i="13"/>
  <c r="AO132" i="13" s="1"/>
  <c r="AI132" i="13"/>
  <c r="AN132" i="13" s="1"/>
  <c r="AH132" i="13"/>
  <c r="AM132" i="13" s="1"/>
  <c r="AG132" i="13"/>
  <c r="AJ131" i="13"/>
  <c r="AO131" i="13" s="1"/>
  <c r="AI131" i="13"/>
  <c r="AN131" i="13" s="1"/>
  <c r="AH131" i="13"/>
  <c r="AM131" i="13" s="1"/>
  <c r="AG131" i="13"/>
  <c r="AL131" i="13" s="1"/>
  <c r="AN130" i="13"/>
  <c r="AL130" i="13"/>
  <c r="AJ130" i="13"/>
  <c r="AO130" i="13" s="1"/>
  <c r="AI130" i="13"/>
  <c r="AH130" i="13"/>
  <c r="AM130" i="13" s="1"/>
  <c r="AG130" i="13"/>
  <c r="AO129" i="13"/>
  <c r="AM129" i="13"/>
  <c r="AL129" i="13"/>
  <c r="AJ129" i="13"/>
  <c r="AI129" i="13"/>
  <c r="AN129" i="13" s="1"/>
  <c r="AH129" i="13"/>
  <c r="AG129" i="13"/>
  <c r="AN128" i="13"/>
  <c r="AM128" i="13"/>
  <c r="AJ128" i="13"/>
  <c r="AO128" i="13" s="1"/>
  <c r="AI128" i="13"/>
  <c r="AH128" i="13"/>
  <c r="AG128" i="13"/>
  <c r="AL128" i="13" s="1"/>
  <c r="AP128" i="13" s="1"/>
  <c r="AL127" i="13"/>
  <c r="AJ127" i="13"/>
  <c r="AO127" i="13" s="1"/>
  <c r="AI127" i="13"/>
  <c r="AN127" i="13" s="1"/>
  <c r="AH127" i="13"/>
  <c r="AM127" i="13" s="1"/>
  <c r="AG127" i="13"/>
  <c r="AJ126" i="13"/>
  <c r="AO126" i="13" s="1"/>
  <c r="AI126" i="13"/>
  <c r="AN126" i="13" s="1"/>
  <c r="AH126" i="13"/>
  <c r="AM126" i="13" s="1"/>
  <c r="AG126" i="13"/>
  <c r="AL126" i="13" s="1"/>
  <c r="AM125" i="13"/>
  <c r="AJ125" i="13"/>
  <c r="AO125" i="13" s="1"/>
  <c r="AI125" i="13"/>
  <c r="AN125" i="13" s="1"/>
  <c r="AH125" i="13"/>
  <c r="AG125" i="13"/>
  <c r="AL125" i="13" s="1"/>
  <c r="AO124" i="13"/>
  <c r="AM124" i="13"/>
  <c r="AL124" i="13"/>
  <c r="AJ124" i="13"/>
  <c r="AI124" i="13"/>
  <c r="AN124" i="13" s="1"/>
  <c r="AH124" i="13"/>
  <c r="AG124" i="13"/>
  <c r="AN123" i="13"/>
  <c r="AM123" i="13"/>
  <c r="AJ123" i="13"/>
  <c r="AO123" i="13" s="1"/>
  <c r="AI123" i="13"/>
  <c r="AH123" i="13"/>
  <c r="AG123" i="13"/>
  <c r="AL123" i="13" s="1"/>
  <c r="AL122" i="13"/>
  <c r="AJ122" i="13"/>
  <c r="AO122" i="13" s="1"/>
  <c r="AI122" i="13"/>
  <c r="AN122" i="13" s="1"/>
  <c r="AH122" i="13"/>
  <c r="AM122" i="13" s="1"/>
  <c r="AG122" i="13"/>
  <c r="AO121" i="13"/>
  <c r="AJ121" i="13"/>
  <c r="AI121" i="13"/>
  <c r="AN121" i="13" s="1"/>
  <c r="AH121" i="13"/>
  <c r="AM121" i="13" s="1"/>
  <c r="AG121" i="13"/>
  <c r="AL121" i="13" s="1"/>
  <c r="AJ120" i="13"/>
  <c r="AO120" i="13" s="1"/>
  <c r="AI120" i="13"/>
  <c r="AN120" i="13" s="1"/>
  <c r="AH120" i="13"/>
  <c r="AM120" i="13" s="1"/>
  <c r="AG120" i="13"/>
  <c r="AL120" i="13" s="1"/>
  <c r="AJ119" i="13"/>
  <c r="AO119" i="13" s="1"/>
  <c r="AI119" i="13"/>
  <c r="AN119" i="13" s="1"/>
  <c r="AH119" i="13"/>
  <c r="AM119" i="13" s="1"/>
  <c r="AG119" i="13"/>
  <c r="AL119" i="13" s="1"/>
  <c r="AO118" i="13"/>
  <c r="AJ118" i="13"/>
  <c r="AI118" i="13"/>
  <c r="AN118" i="13" s="1"/>
  <c r="AH118" i="13"/>
  <c r="AM118" i="13" s="1"/>
  <c r="AG118" i="13"/>
  <c r="AL118" i="13" s="1"/>
  <c r="AM117" i="13"/>
  <c r="AJ117" i="13"/>
  <c r="AO117" i="13" s="1"/>
  <c r="AI117" i="13"/>
  <c r="AN117" i="13" s="1"/>
  <c r="AH117" i="13"/>
  <c r="AG117" i="13"/>
  <c r="AL117" i="13" s="1"/>
  <c r="AO116" i="13"/>
  <c r="AM116" i="13"/>
  <c r="AL116" i="13"/>
  <c r="AJ116" i="13"/>
  <c r="AI116" i="13"/>
  <c r="AN116" i="13" s="1"/>
  <c r="AH116" i="13"/>
  <c r="AG116" i="13"/>
  <c r="AM115" i="13"/>
  <c r="AJ115" i="13"/>
  <c r="AO115" i="13" s="1"/>
  <c r="AI115" i="13"/>
  <c r="AN115" i="13" s="1"/>
  <c r="AH115" i="13"/>
  <c r="AG115" i="13"/>
  <c r="AL115" i="13" s="1"/>
  <c r="AO114" i="13"/>
  <c r="AJ114" i="13"/>
  <c r="AI114" i="13"/>
  <c r="AN114" i="13" s="1"/>
  <c r="AH114" i="13"/>
  <c r="AM114" i="13" s="1"/>
  <c r="AG114" i="13"/>
  <c r="AL114" i="13" s="1"/>
  <c r="AO113" i="13"/>
  <c r="AM113" i="13"/>
  <c r="AJ113" i="13"/>
  <c r="AI113" i="13"/>
  <c r="AN113" i="13" s="1"/>
  <c r="AH113" i="13"/>
  <c r="AG113" i="13"/>
  <c r="AL113" i="13" s="1"/>
  <c r="AN112" i="13"/>
  <c r="AJ112" i="13"/>
  <c r="AO112" i="13" s="1"/>
  <c r="AI112" i="13"/>
  <c r="AH112" i="13"/>
  <c r="AM112" i="13" s="1"/>
  <c r="AG112" i="13"/>
  <c r="AL112" i="13" s="1"/>
  <c r="AJ111" i="13"/>
  <c r="AO111" i="13" s="1"/>
  <c r="AI111" i="13"/>
  <c r="AN111" i="13" s="1"/>
  <c r="AH111" i="13"/>
  <c r="AM111" i="13" s="1"/>
  <c r="AG111" i="13"/>
  <c r="AL111" i="13" s="1"/>
  <c r="AM110" i="13"/>
  <c r="AJ110" i="13"/>
  <c r="AO110" i="13" s="1"/>
  <c r="AI110" i="13"/>
  <c r="AN110" i="13" s="1"/>
  <c r="AH110" i="13"/>
  <c r="AG110" i="13"/>
  <c r="AL110" i="13" s="1"/>
  <c r="AM109" i="13"/>
  <c r="AJ109" i="13"/>
  <c r="AO109" i="13" s="1"/>
  <c r="AI109" i="13"/>
  <c r="AN109" i="13" s="1"/>
  <c r="AH109" i="13"/>
  <c r="AG109" i="13"/>
  <c r="AL109" i="13" s="1"/>
  <c r="AJ108" i="13"/>
  <c r="AO108" i="13" s="1"/>
  <c r="AI108" i="13"/>
  <c r="AN108" i="13" s="1"/>
  <c r="AH108" i="13"/>
  <c r="AM108" i="13" s="1"/>
  <c r="AG108" i="13"/>
  <c r="AL108" i="13" s="1"/>
  <c r="AJ107" i="13"/>
  <c r="AO107" i="13" s="1"/>
  <c r="AI107" i="13"/>
  <c r="AN107" i="13" s="1"/>
  <c r="AH107" i="13"/>
  <c r="AM107" i="13" s="1"/>
  <c r="AG107" i="13"/>
  <c r="AL107" i="13" s="1"/>
  <c r="AO106" i="13"/>
  <c r="AJ106" i="13"/>
  <c r="AI106" i="13"/>
  <c r="AN106" i="13" s="1"/>
  <c r="AH106" i="13"/>
  <c r="AM106" i="13" s="1"/>
  <c r="AG106" i="13"/>
  <c r="AL106" i="13" s="1"/>
  <c r="AO105" i="13"/>
  <c r="AN105" i="13"/>
  <c r="AJ105" i="13"/>
  <c r="AI105" i="13"/>
  <c r="AH105" i="13"/>
  <c r="AM105" i="13" s="1"/>
  <c r="AG105" i="13"/>
  <c r="AL105" i="13" s="1"/>
  <c r="AO104" i="13"/>
  <c r="AN104" i="13"/>
  <c r="AM104" i="13"/>
  <c r="AJ104" i="13"/>
  <c r="AI104" i="13"/>
  <c r="AH104" i="13"/>
  <c r="AG104" i="13"/>
  <c r="AL104" i="13" s="1"/>
  <c r="AO103" i="13"/>
  <c r="AN103" i="13"/>
  <c r="AL103" i="13"/>
  <c r="AJ103" i="13"/>
  <c r="AI103" i="13"/>
  <c r="AH103" i="13"/>
  <c r="AM103" i="13" s="1"/>
  <c r="AG103" i="13"/>
  <c r="AM102" i="13"/>
  <c r="AJ102" i="13"/>
  <c r="AO102" i="13" s="1"/>
  <c r="AI102" i="13"/>
  <c r="AN102" i="13" s="1"/>
  <c r="AH102" i="13"/>
  <c r="AG102" i="13"/>
  <c r="AL102" i="13" s="1"/>
  <c r="AL101" i="13"/>
  <c r="AJ101" i="13"/>
  <c r="AO101" i="13" s="1"/>
  <c r="AI101" i="13"/>
  <c r="AN101" i="13" s="1"/>
  <c r="AH101" i="13"/>
  <c r="AM101" i="13" s="1"/>
  <c r="AG101" i="13"/>
  <c r="AJ100" i="13"/>
  <c r="AO100" i="13" s="1"/>
  <c r="AI100" i="13"/>
  <c r="AN100" i="13" s="1"/>
  <c r="AH100" i="13"/>
  <c r="AM100" i="13" s="1"/>
  <c r="AG100" i="13"/>
  <c r="AL100" i="13" s="1"/>
  <c r="AO99" i="13"/>
  <c r="AJ99" i="13"/>
  <c r="AI99" i="13"/>
  <c r="AN99" i="13" s="1"/>
  <c r="AH99" i="13"/>
  <c r="AM99" i="13" s="1"/>
  <c r="AG99" i="13"/>
  <c r="AL99" i="13" s="1"/>
  <c r="AO98" i="13"/>
  <c r="AN98" i="13"/>
  <c r="AJ98" i="13"/>
  <c r="AI98" i="13"/>
  <c r="AH98" i="13"/>
  <c r="AM98" i="13" s="1"/>
  <c r="AG98" i="13"/>
  <c r="AL98" i="13" s="1"/>
  <c r="AN97" i="13"/>
  <c r="AJ97" i="13"/>
  <c r="AO97" i="13" s="1"/>
  <c r="AI97" i="13"/>
  <c r="AH97" i="13"/>
  <c r="AM97" i="13" s="1"/>
  <c r="AG97" i="13"/>
  <c r="AL97" i="13" s="1"/>
  <c r="AJ96" i="13"/>
  <c r="AO96" i="13" s="1"/>
  <c r="AI96" i="13"/>
  <c r="AN96" i="13" s="1"/>
  <c r="AH96" i="13"/>
  <c r="AM96" i="13" s="1"/>
  <c r="AG96" i="13"/>
  <c r="AL96" i="13" s="1"/>
  <c r="AM95" i="13"/>
  <c r="AJ95" i="13"/>
  <c r="AO95" i="13" s="1"/>
  <c r="AI95" i="13"/>
  <c r="AN95" i="13" s="1"/>
  <c r="AH95" i="13"/>
  <c r="AG95" i="13"/>
  <c r="AL95" i="13" s="1"/>
  <c r="AN94" i="13"/>
  <c r="AL94" i="13"/>
  <c r="AJ94" i="13"/>
  <c r="AO94" i="13" s="1"/>
  <c r="AI94" i="13"/>
  <c r="AH94" i="13"/>
  <c r="AM94" i="13" s="1"/>
  <c r="AG94" i="13"/>
  <c r="AL93" i="13"/>
  <c r="AJ93" i="13"/>
  <c r="AO93" i="13" s="1"/>
  <c r="AI93" i="13"/>
  <c r="AN93" i="13" s="1"/>
  <c r="AH93" i="13"/>
  <c r="AM93" i="13" s="1"/>
  <c r="AG93" i="13"/>
  <c r="AL92" i="13"/>
  <c r="AJ92" i="13"/>
  <c r="AO92" i="13" s="1"/>
  <c r="AI92" i="13"/>
  <c r="AN92" i="13" s="1"/>
  <c r="AH92" i="13"/>
  <c r="AM92" i="13" s="1"/>
  <c r="AG92" i="13"/>
  <c r="AJ91" i="13"/>
  <c r="AO91" i="13" s="1"/>
  <c r="AI91" i="13"/>
  <c r="AN91" i="13" s="1"/>
  <c r="AH91" i="13"/>
  <c r="AM91" i="13" s="1"/>
  <c r="AG91" i="13"/>
  <c r="AL91" i="13" s="1"/>
  <c r="AO90" i="13"/>
  <c r="AJ90" i="13"/>
  <c r="AI90" i="13"/>
  <c r="AN90" i="13" s="1"/>
  <c r="AH90" i="13"/>
  <c r="AM90" i="13" s="1"/>
  <c r="AG90" i="13"/>
  <c r="AL90" i="13" s="1"/>
  <c r="AO89" i="13"/>
  <c r="AJ89" i="13"/>
  <c r="AI89" i="13"/>
  <c r="AN89" i="13" s="1"/>
  <c r="AH89" i="13"/>
  <c r="AM89" i="13" s="1"/>
  <c r="AG89" i="13"/>
  <c r="AL89" i="13" s="1"/>
  <c r="AJ88" i="13"/>
  <c r="AO88" i="13" s="1"/>
  <c r="AI88" i="13"/>
  <c r="AN88" i="13" s="1"/>
  <c r="AH88" i="13"/>
  <c r="AM88" i="13" s="1"/>
  <c r="AG88" i="13"/>
  <c r="AL88" i="13" s="1"/>
  <c r="AJ87" i="13"/>
  <c r="AO87" i="13" s="1"/>
  <c r="AI87" i="13"/>
  <c r="AN87" i="13" s="1"/>
  <c r="AH87" i="13"/>
  <c r="AM87" i="13" s="1"/>
  <c r="AG87" i="13"/>
  <c r="AL87" i="13" s="1"/>
  <c r="AL86" i="13"/>
  <c r="AJ86" i="13"/>
  <c r="AO86" i="13" s="1"/>
  <c r="AI86" i="13"/>
  <c r="AN86" i="13" s="1"/>
  <c r="AH86" i="13"/>
  <c r="AM86" i="13" s="1"/>
  <c r="AG86" i="13"/>
  <c r="AM85" i="13"/>
  <c r="AL85" i="13"/>
  <c r="AJ85" i="13"/>
  <c r="AO85" i="13" s="1"/>
  <c r="AI85" i="13"/>
  <c r="AN85" i="13" s="1"/>
  <c r="AH85" i="13"/>
  <c r="AG85" i="13"/>
  <c r="AJ84" i="13"/>
  <c r="AO84" i="13" s="1"/>
  <c r="AI84" i="13"/>
  <c r="AN84" i="13" s="1"/>
  <c r="AH84" i="13"/>
  <c r="AM84" i="13" s="1"/>
  <c r="AG84" i="13"/>
  <c r="AL84" i="13" s="1"/>
  <c r="AJ83" i="13"/>
  <c r="AO83" i="13" s="1"/>
  <c r="AI83" i="13"/>
  <c r="AN83" i="13" s="1"/>
  <c r="AH83" i="13"/>
  <c r="AM83" i="13" s="1"/>
  <c r="AG83" i="13"/>
  <c r="AL83" i="13" s="1"/>
  <c r="AO82" i="13"/>
  <c r="AJ82" i="13"/>
  <c r="AI82" i="13"/>
  <c r="AN82" i="13" s="1"/>
  <c r="AH82" i="13"/>
  <c r="AM82" i="13" s="1"/>
  <c r="AG82" i="13"/>
  <c r="AL82" i="13" s="1"/>
  <c r="AN81" i="13"/>
  <c r="AJ81" i="13"/>
  <c r="AO81" i="13" s="1"/>
  <c r="AI81" i="13"/>
  <c r="AH81" i="13"/>
  <c r="AM81" i="13" s="1"/>
  <c r="AG81" i="13"/>
  <c r="AL81" i="13" s="1"/>
  <c r="AL80" i="13"/>
  <c r="AJ80" i="13"/>
  <c r="AO80" i="13" s="1"/>
  <c r="AI80" i="13"/>
  <c r="AN80" i="13" s="1"/>
  <c r="AH80" i="13"/>
  <c r="AM80" i="13" s="1"/>
  <c r="AG80" i="13"/>
  <c r="AJ79" i="13"/>
  <c r="AO79" i="13" s="1"/>
  <c r="AI79" i="13"/>
  <c r="AN79" i="13" s="1"/>
  <c r="AH79" i="13"/>
  <c r="AM79" i="13" s="1"/>
  <c r="AG79" i="13"/>
  <c r="AL79" i="13" s="1"/>
  <c r="AN78" i="13"/>
  <c r="AL78" i="13"/>
  <c r="AJ78" i="13"/>
  <c r="AO78" i="13" s="1"/>
  <c r="AI78" i="13"/>
  <c r="AH78" i="13"/>
  <c r="AM78" i="13" s="1"/>
  <c r="AG78" i="13"/>
  <c r="AM77" i="13"/>
  <c r="AL77" i="13"/>
  <c r="AJ77" i="13"/>
  <c r="AO77" i="13" s="1"/>
  <c r="AI77" i="13"/>
  <c r="AN77" i="13" s="1"/>
  <c r="AH77" i="13"/>
  <c r="AG77" i="13"/>
  <c r="AJ76" i="13"/>
  <c r="AO76" i="13" s="1"/>
  <c r="AI76" i="13"/>
  <c r="AN76" i="13" s="1"/>
  <c r="AH76" i="13"/>
  <c r="AM76" i="13" s="1"/>
  <c r="AG76" i="13"/>
  <c r="AL76" i="13" s="1"/>
  <c r="AO75" i="13"/>
  <c r="AJ75" i="13"/>
  <c r="AI75" i="13"/>
  <c r="AN75" i="13" s="1"/>
  <c r="AH75" i="13"/>
  <c r="AM75" i="13" s="1"/>
  <c r="AG75" i="13"/>
  <c r="AL75" i="13" s="1"/>
  <c r="AM74" i="13"/>
  <c r="AJ74" i="13"/>
  <c r="AO74" i="13" s="1"/>
  <c r="AI74" i="13"/>
  <c r="AN74" i="13" s="1"/>
  <c r="AH74" i="13"/>
  <c r="AG74" i="13"/>
  <c r="AL74" i="13" s="1"/>
  <c r="AN73" i="13"/>
  <c r="AJ73" i="13"/>
  <c r="AO73" i="13" s="1"/>
  <c r="AI73" i="13"/>
  <c r="AH73" i="13"/>
  <c r="AM73" i="13" s="1"/>
  <c r="AG73" i="13"/>
  <c r="AL73" i="13" s="1"/>
  <c r="AO72" i="13"/>
  <c r="AJ72" i="13"/>
  <c r="AI72" i="13"/>
  <c r="AN72" i="13" s="1"/>
  <c r="AH72" i="13"/>
  <c r="AM72" i="13" s="1"/>
  <c r="AG72" i="13"/>
  <c r="AL72" i="13" s="1"/>
  <c r="AJ71" i="13"/>
  <c r="AO71" i="13" s="1"/>
  <c r="AI71" i="13"/>
  <c r="AN71" i="13" s="1"/>
  <c r="AH71" i="13"/>
  <c r="AM71" i="13" s="1"/>
  <c r="AG71" i="13"/>
  <c r="AL71" i="13" s="1"/>
  <c r="AL70" i="13"/>
  <c r="AJ70" i="13"/>
  <c r="AO70" i="13" s="1"/>
  <c r="AI70" i="13"/>
  <c r="AN70" i="13" s="1"/>
  <c r="AH70" i="13"/>
  <c r="AM70" i="13" s="1"/>
  <c r="AG70" i="13"/>
  <c r="AO69" i="13"/>
  <c r="AJ69" i="13"/>
  <c r="AI69" i="13"/>
  <c r="AN69" i="13" s="1"/>
  <c r="AH69" i="13"/>
  <c r="AM69" i="13" s="1"/>
  <c r="AG69" i="13"/>
  <c r="AL69" i="13" s="1"/>
  <c r="AJ68" i="13"/>
  <c r="AO68" i="13" s="1"/>
  <c r="AI68" i="13"/>
  <c r="AN68" i="13" s="1"/>
  <c r="AH68" i="13"/>
  <c r="AM68" i="13" s="1"/>
  <c r="AG68" i="13"/>
  <c r="AL68" i="13" s="1"/>
  <c r="AO67" i="13"/>
  <c r="AN67" i="13"/>
  <c r="AL67" i="13"/>
  <c r="AJ67" i="13"/>
  <c r="AI67" i="13"/>
  <c r="AH67" i="13"/>
  <c r="AM67" i="13" s="1"/>
  <c r="AG67" i="13"/>
  <c r="AM66" i="13"/>
  <c r="AJ66" i="13"/>
  <c r="AO66" i="13" s="1"/>
  <c r="AI66" i="13"/>
  <c r="AN66" i="13" s="1"/>
  <c r="AH66" i="13"/>
  <c r="AG66" i="13"/>
  <c r="AL66" i="13" s="1"/>
  <c r="AO65" i="13"/>
  <c r="AJ65" i="13"/>
  <c r="AI65" i="13"/>
  <c r="AN65" i="13" s="1"/>
  <c r="AH65" i="13"/>
  <c r="AM65" i="13" s="1"/>
  <c r="AG65" i="13"/>
  <c r="AL65" i="13" s="1"/>
  <c r="AJ64" i="13"/>
  <c r="AO64" i="13" s="1"/>
  <c r="AI64" i="13"/>
  <c r="AN64" i="13" s="1"/>
  <c r="AH64" i="13"/>
  <c r="AM64" i="13" s="1"/>
  <c r="AG64" i="13"/>
  <c r="AL64" i="13" s="1"/>
  <c r="AJ63" i="13"/>
  <c r="AO63" i="13" s="1"/>
  <c r="AI63" i="13"/>
  <c r="AN63" i="13" s="1"/>
  <c r="AH63" i="13"/>
  <c r="AM63" i="13" s="1"/>
  <c r="AG63" i="13"/>
  <c r="AL63" i="13" s="1"/>
  <c r="AJ62" i="13"/>
  <c r="AO62" i="13" s="1"/>
  <c r="AI62" i="13"/>
  <c r="AN62" i="13" s="1"/>
  <c r="AH62" i="13"/>
  <c r="AM62" i="13" s="1"/>
  <c r="AG62" i="13"/>
  <c r="AL62" i="13" s="1"/>
  <c r="AM61" i="13"/>
  <c r="AJ61" i="13"/>
  <c r="AO61" i="13" s="1"/>
  <c r="AI61" i="13"/>
  <c r="AN61" i="13" s="1"/>
  <c r="AH61" i="13"/>
  <c r="AG61" i="13"/>
  <c r="AL61" i="13" s="1"/>
  <c r="AL60" i="13"/>
  <c r="AJ60" i="13"/>
  <c r="AO60" i="13" s="1"/>
  <c r="AI60" i="13"/>
  <c r="AN60" i="13" s="1"/>
  <c r="AH60" i="13"/>
  <c r="AM60" i="13" s="1"/>
  <c r="AG60" i="13"/>
  <c r="AO59" i="13"/>
  <c r="AJ59" i="13"/>
  <c r="AI59" i="13"/>
  <c r="AN59" i="13" s="1"/>
  <c r="AH59" i="13"/>
  <c r="AM59" i="13" s="1"/>
  <c r="AG59" i="13"/>
  <c r="AL59" i="13" s="1"/>
  <c r="AN58" i="13"/>
  <c r="AM58" i="13"/>
  <c r="AJ58" i="13"/>
  <c r="AO58" i="13" s="1"/>
  <c r="AI58" i="13"/>
  <c r="AH58" i="13"/>
  <c r="AG58" i="13"/>
  <c r="AL58" i="13" s="1"/>
  <c r="AP58" i="13" s="1"/>
  <c r="AN57" i="13"/>
  <c r="AL57" i="13"/>
  <c r="AJ57" i="13"/>
  <c r="AO57" i="13" s="1"/>
  <c r="AI57" i="13"/>
  <c r="AH57" i="13"/>
  <c r="AM57" i="13" s="1"/>
  <c r="AG57" i="13"/>
  <c r="AJ56" i="13"/>
  <c r="AO56" i="13" s="1"/>
  <c r="AI56" i="13"/>
  <c r="AN56" i="13" s="1"/>
  <c r="AH56" i="13"/>
  <c r="AM56" i="13" s="1"/>
  <c r="AG56" i="13"/>
  <c r="AL56" i="13" s="1"/>
  <c r="AJ55" i="13"/>
  <c r="AO55" i="13" s="1"/>
  <c r="AI55" i="13"/>
  <c r="AN55" i="13" s="1"/>
  <c r="AH55" i="13"/>
  <c r="AM55" i="13" s="1"/>
  <c r="AG55" i="13"/>
  <c r="AL55" i="13" s="1"/>
  <c r="AL54" i="13"/>
  <c r="AJ54" i="13"/>
  <c r="AO54" i="13" s="1"/>
  <c r="AI54" i="13"/>
  <c r="AN54" i="13" s="1"/>
  <c r="AH54" i="13"/>
  <c r="AM54" i="13" s="1"/>
  <c r="AG54" i="13"/>
  <c r="AJ53" i="13"/>
  <c r="AO53" i="13" s="1"/>
  <c r="AI53" i="13"/>
  <c r="AN53" i="13" s="1"/>
  <c r="AH53" i="13"/>
  <c r="AM53" i="13" s="1"/>
  <c r="AG53" i="13"/>
  <c r="AL53" i="13" s="1"/>
  <c r="AJ52" i="13"/>
  <c r="AO52" i="13" s="1"/>
  <c r="AI52" i="13"/>
  <c r="AN52" i="13" s="1"/>
  <c r="AH52" i="13"/>
  <c r="AM52" i="13" s="1"/>
  <c r="AG52" i="13"/>
  <c r="AL52" i="13" s="1"/>
  <c r="AP52" i="13" s="1"/>
  <c r="AO51" i="13"/>
  <c r="AJ51" i="13"/>
  <c r="AI51" i="13"/>
  <c r="AN51" i="13" s="1"/>
  <c r="AH51" i="13"/>
  <c r="AM51" i="13" s="1"/>
  <c r="AG51" i="13"/>
  <c r="AL51" i="13" s="1"/>
  <c r="AO50" i="13"/>
  <c r="AJ50" i="13"/>
  <c r="AI50" i="13"/>
  <c r="AN50" i="13" s="1"/>
  <c r="AH50" i="13"/>
  <c r="AM50" i="13" s="1"/>
  <c r="AG50" i="13"/>
  <c r="AL50" i="13" s="1"/>
  <c r="AO49" i="13"/>
  <c r="AJ49" i="13"/>
  <c r="AI49" i="13"/>
  <c r="AN49" i="13" s="1"/>
  <c r="AH49" i="13"/>
  <c r="AM49" i="13" s="1"/>
  <c r="AG49" i="13"/>
  <c r="AL49" i="13" s="1"/>
  <c r="AP49" i="13" s="1"/>
  <c r="AO48" i="13"/>
  <c r="AJ48" i="13"/>
  <c r="AI48" i="13"/>
  <c r="AN48" i="13" s="1"/>
  <c r="AH48" i="13"/>
  <c r="AM48" i="13" s="1"/>
  <c r="AG48" i="13"/>
  <c r="AL48" i="13" s="1"/>
  <c r="AP48" i="13" s="1"/>
  <c r="AJ47" i="13"/>
  <c r="AO47" i="13" s="1"/>
  <c r="AI47" i="13"/>
  <c r="AN47" i="13" s="1"/>
  <c r="AH47" i="13"/>
  <c r="AM47" i="13" s="1"/>
  <c r="AG47" i="13"/>
  <c r="AL47" i="13" s="1"/>
  <c r="AP47" i="13" s="1"/>
  <c r="AO46" i="13"/>
  <c r="AJ46" i="13"/>
  <c r="AI46" i="13"/>
  <c r="AN46" i="13" s="1"/>
  <c r="AH46" i="13"/>
  <c r="AM46" i="13" s="1"/>
  <c r="AG46" i="13"/>
  <c r="AL46" i="13" s="1"/>
  <c r="AO45" i="13"/>
  <c r="AN45" i="13"/>
  <c r="AJ45" i="13"/>
  <c r="AI45" i="13"/>
  <c r="AH45" i="13"/>
  <c r="AM45" i="13" s="1"/>
  <c r="AG45" i="13"/>
  <c r="AL45" i="13" s="1"/>
  <c r="AO44" i="13"/>
  <c r="AN44" i="13"/>
  <c r="AJ44" i="13"/>
  <c r="AI44" i="13"/>
  <c r="AH44" i="13"/>
  <c r="AM44" i="13" s="1"/>
  <c r="AG44" i="13"/>
  <c r="AL44" i="13" s="1"/>
  <c r="AJ43" i="13"/>
  <c r="AO43" i="13" s="1"/>
  <c r="AI43" i="13"/>
  <c r="AN43" i="13" s="1"/>
  <c r="AH43" i="13"/>
  <c r="AM43" i="13" s="1"/>
  <c r="AG43" i="13"/>
  <c r="AL43" i="13" s="1"/>
  <c r="AJ42" i="13"/>
  <c r="AO42" i="13" s="1"/>
  <c r="AI42" i="13"/>
  <c r="AN42" i="13" s="1"/>
  <c r="AH42" i="13"/>
  <c r="AM42" i="13" s="1"/>
  <c r="AG42" i="13"/>
  <c r="AL42" i="13" s="1"/>
  <c r="AJ41" i="13"/>
  <c r="AO41" i="13" s="1"/>
  <c r="AI41" i="13"/>
  <c r="AN41" i="13" s="1"/>
  <c r="AH41" i="13"/>
  <c r="AM41" i="13" s="1"/>
  <c r="AG41" i="13"/>
  <c r="AL41" i="13" s="1"/>
  <c r="AJ40" i="13"/>
  <c r="AO40" i="13" s="1"/>
  <c r="AI40" i="13"/>
  <c r="AN40" i="13" s="1"/>
  <c r="AH40" i="13"/>
  <c r="AM40" i="13" s="1"/>
  <c r="AG40" i="13"/>
  <c r="AL40" i="13" s="1"/>
  <c r="AP40" i="13" s="1"/>
  <c r="AJ39" i="13"/>
  <c r="AO39" i="13" s="1"/>
  <c r="AI39" i="13"/>
  <c r="AN39" i="13" s="1"/>
  <c r="AH39" i="13"/>
  <c r="AM39" i="13" s="1"/>
  <c r="AG39" i="13"/>
  <c r="AL39" i="13" s="1"/>
  <c r="AJ38" i="13"/>
  <c r="AO38" i="13" s="1"/>
  <c r="AI38" i="13"/>
  <c r="AN38" i="13" s="1"/>
  <c r="AH38" i="13"/>
  <c r="AM38" i="13" s="1"/>
  <c r="AG38" i="13"/>
  <c r="AL38" i="13" s="1"/>
  <c r="AM37" i="13"/>
  <c r="AL37" i="13"/>
  <c r="AJ37" i="13"/>
  <c r="AO37" i="13" s="1"/>
  <c r="AI37" i="13"/>
  <c r="AN37" i="13" s="1"/>
  <c r="AH37" i="13"/>
  <c r="AG37" i="13"/>
  <c r="AM36" i="13"/>
  <c r="AL36" i="13"/>
  <c r="AJ36" i="13"/>
  <c r="AO36" i="13" s="1"/>
  <c r="AI36" i="13"/>
  <c r="AN36" i="13" s="1"/>
  <c r="AH36" i="13"/>
  <c r="AG36" i="13"/>
  <c r="AL35" i="13"/>
  <c r="AJ35" i="13"/>
  <c r="AO35" i="13" s="1"/>
  <c r="AI35" i="13"/>
  <c r="AN35" i="13" s="1"/>
  <c r="AH35" i="13"/>
  <c r="AM35" i="13" s="1"/>
  <c r="AG35" i="13"/>
  <c r="AJ34" i="13"/>
  <c r="AO34" i="13" s="1"/>
  <c r="AI34" i="13"/>
  <c r="AN34" i="13" s="1"/>
  <c r="AH34" i="13"/>
  <c r="AM34" i="13" s="1"/>
  <c r="AG34" i="13"/>
  <c r="AL34" i="13" s="1"/>
  <c r="AN33" i="13"/>
  <c r="AJ33" i="13"/>
  <c r="AO33" i="13" s="1"/>
  <c r="AI33" i="13"/>
  <c r="AH33" i="13"/>
  <c r="AM33" i="13" s="1"/>
  <c r="AG33" i="13"/>
  <c r="AL33" i="13" s="1"/>
  <c r="AM32" i="13"/>
  <c r="AL32" i="13"/>
  <c r="AJ32" i="13"/>
  <c r="AO32" i="13" s="1"/>
  <c r="AI32" i="13"/>
  <c r="AN32" i="13" s="1"/>
  <c r="AH32" i="13"/>
  <c r="AG32" i="13"/>
  <c r="AL31" i="13"/>
  <c r="AJ31" i="13"/>
  <c r="AO31" i="13" s="1"/>
  <c r="AI31" i="13"/>
  <c r="AN31" i="13" s="1"/>
  <c r="AH31" i="13"/>
  <c r="AM31" i="13" s="1"/>
  <c r="AG31" i="13"/>
  <c r="AJ30" i="13"/>
  <c r="AO30" i="13" s="1"/>
  <c r="AI30" i="13"/>
  <c r="AN30" i="13" s="1"/>
  <c r="AH30" i="13"/>
  <c r="AM30" i="13" s="1"/>
  <c r="AG30" i="13"/>
  <c r="AL30" i="13" s="1"/>
  <c r="AN29" i="13"/>
  <c r="AJ29" i="13"/>
  <c r="AO29" i="13" s="1"/>
  <c r="AI29" i="13"/>
  <c r="AH29" i="13"/>
  <c r="AM29" i="13" s="1"/>
  <c r="AG29" i="13"/>
  <c r="AL29" i="13" s="1"/>
  <c r="AP29" i="13" s="1"/>
  <c r="AO28" i="13"/>
  <c r="AN28" i="13"/>
  <c r="AJ28" i="13"/>
  <c r="AI28" i="13"/>
  <c r="AH28" i="13"/>
  <c r="AM28" i="13" s="1"/>
  <c r="AG28" i="13"/>
  <c r="AL28" i="13" s="1"/>
  <c r="AO27" i="13"/>
  <c r="AN27" i="13"/>
  <c r="AJ27" i="13"/>
  <c r="AI27" i="13"/>
  <c r="AH27" i="13"/>
  <c r="AM27" i="13" s="1"/>
  <c r="AG27" i="13"/>
  <c r="AL27" i="13" s="1"/>
  <c r="AO26" i="13"/>
  <c r="AN26" i="13"/>
  <c r="AM26" i="13"/>
  <c r="AJ26" i="13"/>
  <c r="AI26" i="13"/>
  <c r="AH26" i="13"/>
  <c r="AG26" i="13"/>
  <c r="AL26" i="13" s="1"/>
  <c r="AO25" i="13"/>
  <c r="AN25" i="13"/>
  <c r="AJ25" i="13"/>
  <c r="AI25" i="13"/>
  <c r="AH25" i="13"/>
  <c r="AM25" i="13" s="1"/>
  <c r="AG25" i="13"/>
  <c r="AL25" i="13" s="1"/>
  <c r="AJ24" i="13"/>
  <c r="AO24" i="13" s="1"/>
  <c r="AI24" i="13"/>
  <c r="AN24" i="13" s="1"/>
  <c r="AH24" i="13"/>
  <c r="AM24" i="13" s="1"/>
  <c r="AG24" i="13"/>
  <c r="AL24" i="13" s="1"/>
  <c r="AN23" i="13"/>
  <c r="AJ23" i="13"/>
  <c r="AO23" i="13" s="1"/>
  <c r="AI23" i="13"/>
  <c r="AH23" i="13"/>
  <c r="AM23" i="13" s="1"/>
  <c r="AG23" i="13"/>
  <c r="AL23" i="13" s="1"/>
  <c r="AO22" i="13"/>
  <c r="AN22" i="13"/>
  <c r="AJ22" i="13"/>
  <c r="AI22" i="13"/>
  <c r="AH22" i="13"/>
  <c r="AM22" i="13" s="1"/>
  <c r="AG22" i="13"/>
  <c r="AL22" i="13" s="1"/>
  <c r="AJ21" i="13"/>
  <c r="AO21" i="13" s="1"/>
  <c r="AI21" i="13"/>
  <c r="AN21" i="13" s="1"/>
  <c r="AH21" i="13"/>
  <c r="AM21" i="13" s="1"/>
  <c r="AG21" i="13"/>
  <c r="AL21" i="13" s="1"/>
  <c r="AJ20" i="13"/>
  <c r="AO20" i="13" s="1"/>
  <c r="AI20" i="13"/>
  <c r="AN20" i="13" s="1"/>
  <c r="AH20" i="13"/>
  <c r="AM20" i="13" s="1"/>
  <c r="AG20" i="13"/>
  <c r="AL20" i="13" s="1"/>
  <c r="AL19" i="13"/>
  <c r="AJ19" i="13"/>
  <c r="AO19" i="13" s="1"/>
  <c r="AI19" i="13"/>
  <c r="AN19" i="13" s="1"/>
  <c r="AH19" i="13"/>
  <c r="AM19" i="13" s="1"/>
  <c r="AG19" i="13"/>
  <c r="AJ18" i="13"/>
  <c r="AO18" i="13" s="1"/>
  <c r="AI18" i="13"/>
  <c r="AN18" i="13" s="1"/>
  <c r="AH18" i="13"/>
  <c r="AM18" i="13" s="1"/>
  <c r="AG18" i="13"/>
  <c r="AL18" i="13" s="1"/>
  <c r="AP18" i="13" s="1"/>
  <c r="AJ17" i="13"/>
  <c r="AO17" i="13" s="1"/>
  <c r="AI17" i="13"/>
  <c r="AN17" i="13" s="1"/>
  <c r="AH17" i="13"/>
  <c r="AM17" i="13" s="1"/>
  <c r="AG17" i="13"/>
  <c r="AL17" i="13" s="1"/>
  <c r="AN16" i="13"/>
  <c r="AM16" i="13"/>
  <c r="AJ16" i="13"/>
  <c r="AO16" i="13" s="1"/>
  <c r="AI16" i="13"/>
  <c r="AH16" i="13"/>
  <c r="AG16" i="13"/>
  <c r="AL16" i="13" s="1"/>
  <c r="AO15" i="13"/>
  <c r="AN15" i="13"/>
  <c r="AM15" i="13"/>
  <c r="AJ15" i="13"/>
  <c r="AI15" i="13"/>
  <c r="AH15" i="13"/>
  <c r="AG15" i="13"/>
  <c r="AL15" i="13" s="1"/>
  <c r="AP15" i="13" s="1"/>
  <c r="AO14" i="13"/>
  <c r="AJ14" i="13"/>
  <c r="AI14" i="13"/>
  <c r="AN14" i="13" s="1"/>
  <c r="AH14" i="13"/>
  <c r="AM14" i="13" s="1"/>
  <c r="AG14" i="13"/>
  <c r="AL14" i="13" s="1"/>
  <c r="AJ13" i="13"/>
  <c r="AO13" i="13" s="1"/>
  <c r="AI13" i="13"/>
  <c r="AN13" i="13" s="1"/>
  <c r="AH13" i="13"/>
  <c r="AM13" i="13" s="1"/>
  <c r="AG13" i="13"/>
  <c r="AL13" i="13" s="1"/>
  <c r="AJ12" i="13"/>
  <c r="AO12" i="13" s="1"/>
  <c r="AI12" i="13"/>
  <c r="AN12" i="13" s="1"/>
  <c r="AH12" i="13"/>
  <c r="AM12" i="13" s="1"/>
  <c r="AG12" i="13"/>
  <c r="AL12" i="13" s="1"/>
  <c r="AL11" i="13"/>
  <c r="AJ11" i="13"/>
  <c r="AO11" i="13" s="1"/>
  <c r="AI11" i="13"/>
  <c r="AN11" i="13" s="1"/>
  <c r="AH11" i="13"/>
  <c r="AM11" i="13" s="1"/>
  <c r="AG11" i="13"/>
  <c r="AJ10" i="13"/>
  <c r="AO10" i="13" s="1"/>
  <c r="AI10" i="13"/>
  <c r="AN10" i="13" s="1"/>
  <c r="AH10" i="13"/>
  <c r="AM10" i="13" s="1"/>
  <c r="AG10" i="13"/>
  <c r="AL10" i="13" s="1"/>
  <c r="AM9" i="13"/>
  <c r="AJ9" i="13"/>
  <c r="AO9" i="13" s="1"/>
  <c r="AI9" i="13"/>
  <c r="AN9" i="13" s="1"/>
  <c r="AH9" i="13"/>
  <c r="AG9" i="13"/>
  <c r="AL9" i="13" s="1"/>
  <c r="AN8" i="13"/>
  <c r="AM8" i="13"/>
  <c r="AL8" i="13"/>
  <c r="AJ8" i="13"/>
  <c r="AO8" i="13" s="1"/>
  <c r="AI8" i="13"/>
  <c r="AH8" i="13"/>
  <c r="AG8" i="13"/>
  <c r="AO7" i="13"/>
  <c r="AN7" i="13"/>
  <c r="AM7" i="13"/>
  <c r="AL7" i="13"/>
  <c r="AJ7" i="13"/>
  <c r="AI7" i="13"/>
  <c r="AH7" i="13"/>
  <c r="AG7" i="13"/>
  <c r="AO6" i="13"/>
  <c r="AN6" i="13"/>
  <c r="AJ6" i="13"/>
  <c r="AI6" i="13"/>
  <c r="AH6" i="13"/>
  <c r="AM6" i="13" s="1"/>
  <c r="AG6" i="13"/>
  <c r="AL6" i="13" s="1"/>
  <c r="AJ232" i="12"/>
  <c r="AO232" i="12" s="1"/>
  <c r="AI232" i="12"/>
  <c r="AN232" i="12" s="1"/>
  <c r="AH232" i="12"/>
  <c r="AM232" i="12" s="1"/>
  <c r="AG232" i="12"/>
  <c r="AL232" i="12" s="1"/>
  <c r="AJ231" i="12"/>
  <c r="AO231" i="12" s="1"/>
  <c r="AI231" i="12"/>
  <c r="AN231" i="12" s="1"/>
  <c r="AH231" i="12"/>
  <c r="AM231" i="12" s="1"/>
  <c r="AG231" i="12"/>
  <c r="AL231" i="12" s="1"/>
  <c r="AJ230" i="12"/>
  <c r="AO230" i="12" s="1"/>
  <c r="AI230" i="12"/>
  <c r="AN230" i="12" s="1"/>
  <c r="AH230" i="12"/>
  <c r="AM230" i="12" s="1"/>
  <c r="AG230" i="12"/>
  <c r="AL230" i="12" s="1"/>
  <c r="AM229" i="12"/>
  <c r="AJ229" i="12"/>
  <c r="AO229" i="12" s="1"/>
  <c r="AI229" i="12"/>
  <c r="AN229" i="12" s="1"/>
  <c r="AH229" i="12"/>
  <c r="AG229" i="12"/>
  <c r="AL229" i="12" s="1"/>
  <c r="AJ228" i="12"/>
  <c r="AO228" i="12" s="1"/>
  <c r="AI228" i="12"/>
  <c r="AN228" i="12" s="1"/>
  <c r="AH228" i="12"/>
  <c r="AM228" i="12" s="1"/>
  <c r="AG228" i="12"/>
  <c r="AL228" i="12" s="1"/>
  <c r="AJ227" i="12"/>
  <c r="AO227" i="12" s="1"/>
  <c r="AI227" i="12"/>
  <c r="AN227" i="12" s="1"/>
  <c r="AH227" i="12"/>
  <c r="AM227" i="12" s="1"/>
  <c r="AG227" i="12"/>
  <c r="AL227" i="12" s="1"/>
  <c r="AJ226" i="12"/>
  <c r="AO226" i="12" s="1"/>
  <c r="AI226" i="12"/>
  <c r="AN226" i="12" s="1"/>
  <c r="AH226" i="12"/>
  <c r="AM226" i="12" s="1"/>
  <c r="AG226" i="12"/>
  <c r="AL226" i="12" s="1"/>
  <c r="AJ225" i="12"/>
  <c r="AO225" i="12" s="1"/>
  <c r="AI225" i="12"/>
  <c r="AN225" i="12" s="1"/>
  <c r="AH225" i="12"/>
  <c r="AM225" i="12" s="1"/>
  <c r="AG225" i="12"/>
  <c r="AL225" i="12" s="1"/>
  <c r="AJ224" i="12"/>
  <c r="AO224" i="12" s="1"/>
  <c r="AI224" i="12"/>
  <c r="AN224" i="12" s="1"/>
  <c r="AH224" i="12"/>
  <c r="AM224" i="12" s="1"/>
  <c r="AG224" i="12"/>
  <c r="AL224" i="12" s="1"/>
  <c r="AJ223" i="12"/>
  <c r="AO223" i="12" s="1"/>
  <c r="AI223" i="12"/>
  <c r="AN223" i="12" s="1"/>
  <c r="AH223" i="12"/>
  <c r="AM223" i="12" s="1"/>
  <c r="AG223" i="12"/>
  <c r="AL223" i="12" s="1"/>
  <c r="AJ222" i="12"/>
  <c r="AO222" i="12" s="1"/>
  <c r="AI222" i="12"/>
  <c r="AN222" i="12" s="1"/>
  <c r="AH222" i="12"/>
  <c r="AM222" i="12" s="1"/>
  <c r="AG222" i="12"/>
  <c r="AL222" i="12" s="1"/>
  <c r="AJ221" i="12"/>
  <c r="AO221" i="12" s="1"/>
  <c r="AI221" i="12"/>
  <c r="AN221" i="12" s="1"/>
  <c r="AH221" i="12"/>
  <c r="AM221" i="12" s="1"/>
  <c r="AG221" i="12"/>
  <c r="AL221" i="12" s="1"/>
  <c r="AJ220" i="12"/>
  <c r="AO220" i="12" s="1"/>
  <c r="AI220" i="12"/>
  <c r="AN220" i="12" s="1"/>
  <c r="AH220" i="12"/>
  <c r="AM220" i="12" s="1"/>
  <c r="AG220" i="12"/>
  <c r="AL220" i="12" s="1"/>
  <c r="AJ219" i="12"/>
  <c r="AO219" i="12" s="1"/>
  <c r="AI219" i="12"/>
  <c r="AN219" i="12" s="1"/>
  <c r="AH219" i="12"/>
  <c r="AM219" i="12" s="1"/>
  <c r="AG219" i="12"/>
  <c r="AL219" i="12" s="1"/>
  <c r="AJ218" i="12"/>
  <c r="AO218" i="12" s="1"/>
  <c r="AI218" i="12"/>
  <c r="AN218" i="12" s="1"/>
  <c r="AH218" i="12"/>
  <c r="AM218" i="12" s="1"/>
  <c r="AG218" i="12"/>
  <c r="AL218" i="12" s="1"/>
  <c r="AO217" i="12"/>
  <c r="AJ217" i="12"/>
  <c r="AI217" i="12"/>
  <c r="AN217" i="12" s="1"/>
  <c r="AH217" i="12"/>
  <c r="AM217" i="12" s="1"/>
  <c r="AG217" i="12"/>
  <c r="AL217" i="12" s="1"/>
  <c r="AJ216" i="12"/>
  <c r="AO216" i="12" s="1"/>
  <c r="AI216" i="12"/>
  <c r="AN216" i="12" s="1"/>
  <c r="AH216" i="12"/>
  <c r="AM216" i="12" s="1"/>
  <c r="AG216" i="12"/>
  <c r="AL216" i="12" s="1"/>
  <c r="AJ215" i="12"/>
  <c r="AO215" i="12" s="1"/>
  <c r="AI215" i="12"/>
  <c r="AN215" i="12" s="1"/>
  <c r="AH215" i="12"/>
  <c r="AM215" i="12" s="1"/>
  <c r="AG215" i="12"/>
  <c r="AL215" i="12" s="1"/>
  <c r="AL214" i="12"/>
  <c r="AJ214" i="12"/>
  <c r="AO214" i="12" s="1"/>
  <c r="AI214" i="12"/>
  <c r="AN214" i="12" s="1"/>
  <c r="AH214" i="12"/>
  <c r="AM214" i="12" s="1"/>
  <c r="AG214" i="12"/>
  <c r="AJ213" i="12"/>
  <c r="AO213" i="12" s="1"/>
  <c r="AI213" i="12"/>
  <c r="AN213" i="12" s="1"/>
  <c r="AH213" i="12"/>
  <c r="AM213" i="12" s="1"/>
  <c r="AG213" i="12"/>
  <c r="AL213" i="12" s="1"/>
  <c r="AJ212" i="12"/>
  <c r="AO212" i="12" s="1"/>
  <c r="AI212" i="12"/>
  <c r="AN212" i="12" s="1"/>
  <c r="AH212" i="12"/>
  <c r="AM212" i="12" s="1"/>
  <c r="AG212" i="12"/>
  <c r="AL212" i="12" s="1"/>
  <c r="AJ211" i="12"/>
  <c r="AO211" i="12" s="1"/>
  <c r="AI211" i="12"/>
  <c r="AN211" i="12" s="1"/>
  <c r="AH211" i="12"/>
  <c r="AM211" i="12" s="1"/>
  <c r="AG211" i="12"/>
  <c r="AL211" i="12" s="1"/>
  <c r="AJ210" i="12"/>
  <c r="AO210" i="12" s="1"/>
  <c r="AI210" i="12"/>
  <c r="AN210" i="12" s="1"/>
  <c r="AH210" i="12"/>
  <c r="AM210" i="12" s="1"/>
  <c r="AG210" i="12"/>
  <c r="AL210" i="12" s="1"/>
  <c r="AJ209" i="12"/>
  <c r="AO209" i="12" s="1"/>
  <c r="AI209" i="12"/>
  <c r="AN209" i="12" s="1"/>
  <c r="AH209" i="12"/>
  <c r="AM209" i="12" s="1"/>
  <c r="AG209" i="12"/>
  <c r="AL209" i="12" s="1"/>
  <c r="AJ208" i="12"/>
  <c r="AO208" i="12" s="1"/>
  <c r="AI208" i="12"/>
  <c r="AN208" i="12" s="1"/>
  <c r="AH208" i="12"/>
  <c r="AM208" i="12" s="1"/>
  <c r="AG208" i="12"/>
  <c r="AL208" i="12" s="1"/>
  <c r="AJ207" i="12"/>
  <c r="AO207" i="12" s="1"/>
  <c r="AI207" i="12"/>
  <c r="AN207" i="12" s="1"/>
  <c r="AH207" i="12"/>
  <c r="AM207" i="12" s="1"/>
  <c r="AG207" i="12"/>
  <c r="AL207" i="12" s="1"/>
  <c r="AJ206" i="12"/>
  <c r="AO206" i="12" s="1"/>
  <c r="AI206" i="12"/>
  <c r="AN206" i="12" s="1"/>
  <c r="AH206" i="12"/>
  <c r="AM206" i="12" s="1"/>
  <c r="AG206" i="12"/>
  <c r="AL206" i="12" s="1"/>
  <c r="AL205" i="12"/>
  <c r="AJ205" i="12"/>
  <c r="AO205" i="12" s="1"/>
  <c r="AI205" i="12"/>
  <c r="AN205" i="12" s="1"/>
  <c r="AH205" i="12"/>
  <c r="AM205" i="12" s="1"/>
  <c r="AG205" i="12"/>
  <c r="AJ204" i="12"/>
  <c r="AO204" i="12" s="1"/>
  <c r="AI204" i="12"/>
  <c r="AN204" i="12" s="1"/>
  <c r="AH204" i="12"/>
  <c r="AM204" i="12" s="1"/>
  <c r="AG204" i="12"/>
  <c r="AL204" i="12" s="1"/>
  <c r="AJ203" i="12"/>
  <c r="AO203" i="12" s="1"/>
  <c r="AI203" i="12"/>
  <c r="AN203" i="12" s="1"/>
  <c r="AH203" i="12"/>
  <c r="AM203" i="12" s="1"/>
  <c r="AG203" i="12"/>
  <c r="AL203" i="12" s="1"/>
  <c r="AJ202" i="12"/>
  <c r="AO202" i="12" s="1"/>
  <c r="AI202" i="12"/>
  <c r="AN202" i="12" s="1"/>
  <c r="AH202" i="12"/>
  <c r="AM202" i="12" s="1"/>
  <c r="AG202" i="12"/>
  <c r="AL202" i="12" s="1"/>
  <c r="AO201" i="12"/>
  <c r="AJ201" i="12"/>
  <c r="AI201" i="12"/>
  <c r="AN201" i="12" s="1"/>
  <c r="AH201" i="12"/>
  <c r="AM201" i="12" s="1"/>
  <c r="AG201" i="12"/>
  <c r="AL201" i="12" s="1"/>
  <c r="AJ200" i="12"/>
  <c r="AO200" i="12" s="1"/>
  <c r="AI200" i="12"/>
  <c r="AN200" i="12" s="1"/>
  <c r="AH200" i="12"/>
  <c r="AM200" i="12" s="1"/>
  <c r="AG200" i="12"/>
  <c r="AL200" i="12" s="1"/>
  <c r="AJ199" i="12"/>
  <c r="AO199" i="12" s="1"/>
  <c r="AI199" i="12"/>
  <c r="AN199" i="12" s="1"/>
  <c r="AH199" i="12"/>
  <c r="AM199" i="12" s="1"/>
  <c r="AG199" i="12"/>
  <c r="AL199" i="12" s="1"/>
  <c r="AJ198" i="12"/>
  <c r="AO198" i="12" s="1"/>
  <c r="AI198" i="12"/>
  <c r="AN198" i="12" s="1"/>
  <c r="AH198" i="12"/>
  <c r="AM198" i="12" s="1"/>
  <c r="AG198" i="12"/>
  <c r="AL198" i="12" s="1"/>
  <c r="AJ197" i="12"/>
  <c r="AO197" i="12" s="1"/>
  <c r="AI197" i="12"/>
  <c r="AN197" i="12" s="1"/>
  <c r="AH197" i="12"/>
  <c r="AM197" i="12" s="1"/>
  <c r="AG197" i="12"/>
  <c r="AL197" i="12" s="1"/>
  <c r="AJ196" i="12"/>
  <c r="AO196" i="12" s="1"/>
  <c r="AI196" i="12"/>
  <c r="AN196" i="12" s="1"/>
  <c r="AH196" i="12"/>
  <c r="AM196" i="12" s="1"/>
  <c r="AG196" i="12"/>
  <c r="AL196" i="12" s="1"/>
  <c r="AJ195" i="12"/>
  <c r="AO195" i="12" s="1"/>
  <c r="AI195" i="12"/>
  <c r="AN195" i="12" s="1"/>
  <c r="AH195" i="12"/>
  <c r="AM195" i="12" s="1"/>
  <c r="AG195" i="12"/>
  <c r="AL195" i="12" s="1"/>
  <c r="AJ194" i="12"/>
  <c r="AO194" i="12" s="1"/>
  <c r="AI194" i="12"/>
  <c r="AN194" i="12" s="1"/>
  <c r="AH194" i="12"/>
  <c r="AM194" i="12" s="1"/>
  <c r="AG194" i="12"/>
  <c r="AL194" i="12" s="1"/>
  <c r="AJ193" i="12"/>
  <c r="AO193" i="12" s="1"/>
  <c r="AI193" i="12"/>
  <c r="AN193" i="12" s="1"/>
  <c r="AH193" i="12"/>
  <c r="AM193" i="12" s="1"/>
  <c r="AG193" i="12"/>
  <c r="AL193" i="12" s="1"/>
  <c r="AJ192" i="12"/>
  <c r="AO192" i="12" s="1"/>
  <c r="AI192" i="12"/>
  <c r="AN192" i="12" s="1"/>
  <c r="AH192" i="12"/>
  <c r="AM192" i="12" s="1"/>
  <c r="AG192" i="12"/>
  <c r="AL192" i="12" s="1"/>
  <c r="AJ191" i="12"/>
  <c r="AO191" i="12" s="1"/>
  <c r="AI191" i="12"/>
  <c r="AN191" i="12" s="1"/>
  <c r="AH191" i="12"/>
  <c r="AM191" i="12" s="1"/>
  <c r="AG191" i="12"/>
  <c r="AL191" i="12" s="1"/>
  <c r="AL190" i="12"/>
  <c r="AJ190" i="12"/>
  <c r="AO190" i="12" s="1"/>
  <c r="AI190" i="12"/>
  <c r="AN190" i="12" s="1"/>
  <c r="AH190" i="12"/>
  <c r="AM190" i="12" s="1"/>
  <c r="AG190" i="12"/>
  <c r="AJ189" i="12"/>
  <c r="AO189" i="12" s="1"/>
  <c r="AI189" i="12"/>
  <c r="AN189" i="12" s="1"/>
  <c r="AH189" i="12"/>
  <c r="AM189" i="12" s="1"/>
  <c r="AG189" i="12"/>
  <c r="AL189" i="12" s="1"/>
  <c r="AJ188" i="12"/>
  <c r="AO188" i="12" s="1"/>
  <c r="AI188" i="12"/>
  <c r="AN188" i="12" s="1"/>
  <c r="AH188" i="12"/>
  <c r="AM188" i="12" s="1"/>
  <c r="AG188" i="12"/>
  <c r="AL188" i="12" s="1"/>
  <c r="AJ187" i="12"/>
  <c r="AO187" i="12" s="1"/>
  <c r="AI187" i="12"/>
  <c r="AN187" i="12" s="1"/>
  <c r="AH187" i="12"/>
  <c r="AM187" i="12" s="1"/>
  <c r="AG187" i="12"/>
  <c r="AL187" i="12" s="1"/>
  <c r="AJ186" i="12"/>
  <c r="AO186" i="12" s="1"/>
  <c r="AI186" i="12"/>
  <c r="AN186" i="12" s="1"/>
  <c r="AH186" i="12"/>
  <c r="AM186" i="12" s="1"/>
  <c r="AG186" i="12"/>
  <c r="AL186" i="12" s="1"/>
  <c r="AJ185" i="12"/>
  <c r="AO185" i="12" s="1"/>
  <c r="AI185" i="12"/>
  <c r="AN185" i="12" s="1"/>
  <c r="AH185" i="12"/>
  <c r="AM185" i="12" s="1"/>
  <c r="AG185" i="12"/>
  <c r="AL185" i="12" s="1"/>
  <c r="AJ184" i="12"/>
  <c r="AO184" i="12" s="1"/>
  <c r="AI184" i="12"/>
  <c r="AN184" i="12" s="1"/>
  <c r="AH184" i="12"/>
  <c r="AM184" i="12" s="1"/>
  <c r="AG184" i="12"/>
  <c r="AL184" i="12" s="1"/>
  <c r="AJ183" i="12"/>
  <c r="AO183" i="12" s="1"/>
  <c r="AI183" i="12"/>
  <c r="AN183" i="12" s="1"/>
  <c r="AH183" i="12"/>
  <c r="AM183" i="12" s="1"/>
  <c r="AG183" i="12"/>
  <c r="AL183" i="12" s="1"/>
  <c r="AJ182" i="12"/>
  <c r="AO182" i="12" s="1"/>
  <c r="AI182" i="12"/>
  <c r="AN182" i="12" s="1"/>
  <c r="AH182" i="12"/>
  <c r="AM182" i="12" s="1"/>
  <c r="AG182" i="12"/>
  <c r="AL182" i="12" s="1"/>
  <c r="AL181" i="12"/>
  <c r="AJ181" i="12"/>
  <c r="AO181" i="12" s="1"/>
  <c r="AI181" i="12"/>
  <c r="AN181" i="12" s="1"/>
  <c r="AH181" i="12"/>
  <c r="AM181" i="12" s="1"/>
  <c r="AG181" i="12"/>
  <c r="AJ180" i="12"/>
  <c r="AO180" i="12" s="1"/>
  <c r="AI180" i="12"/>
  <c r="AN180" i="12" s="1"/>
  <c r="AH180" i="12"/>
  <c r="AM180" i="12" s="1"/>
  <c r="AG180" i="12"/>
  <c r="AL180" i="12" s="1"/>
  <c r="AJ179" i="12"/>
  <c r="AO179" i="12" s="1"/>
  <c r="AI179" i="12"/>
  <c r="AN179" i="12" s="1"/>
  <c r="AH179" i="12"/>
  <c r="AM179" i="12" s="1"/>
  <c r="AG179" i="12"/>
  <c r="AL179" i="12" s="1"/>
  <c r="AJ178" i="12"/>
  <c r="AO178" i="12" s="1"/>
  <c r="AI178" i="12"/>
  <c r="AN178" i="12" s="1"/>
  <c r="AH178" i="12"/>
  <c r="AM178" i="12" s="1"/>
  <c r="AG178" i="12"/>
  <c r="AL178" i="12" s="1"/>
  <c r="AJ177" i="12"/>
  <c r="AO177" i="12" s="1"/>
  <c r="AI177" i="12"/>
  <c r="AN177" i="12" s="1"/>
  <c r="AH177" i="12"/>
  <c r="AM177" i="12" s="1"/>
  <c r="AG177" i="12"/>
  <c r="AL177" i="12" s="1"/>
  <c r="AJ176" i="12"/>
  <c r="AO176" i="12" s="1"/>
  <c r="AI176" i="12"/>
  <c r="AN176" i="12" s="1"/>
  <c r="AH176" i="12"/>
  <c r="AM176" i="12" s="1"/>
  <c r="AG176" i="12"/>
  <c r="AL176" i="12" s="1"/>
  <c r="AJ175" i="12"/>
  <c r="AO175" i="12" s="1"/>
  <c r="AI175" i="12"/>
  <c r="AN175" i="12" s="1"/>
  <c r="AH175" i="12"/>
  <c r="AM175" i="12" s="1"/>
  <c r="AG175" i="12"/>
  <c r="AL175" i="12" s="1"/>
  <c r="AL174" i="12"/>
  <c r="AJ174" i="12"/>
  <c r="AO174" i="12" s="1"/>
  <c r="AI174" i="12"/>
  <c r="AN174" i="12" s="1"/>
  <c r="AH174" i="12"/>
  <c r="AM174" i="12" s="1"/>
  <c r="AG174" i="12"/>
  <c r="AJ173" i="12"/>
  <c r="AO173" i="12" s="1"/>
  <c r="AI173" i="12"/>
  <c r="AN173" i="12" s="1"/>
  <c r="AH173" i="12"/>
  <c r="AM173" i="12" s="1"/>
  <c r="AG173" i="12"/>
  <c r="AL173" i="12" s="1"/>
  <c r="AL172" i="12"/>
  <c r="AJ172" i="12"/>
  <c r="AO172" i="12" s="1"/>
  <c r="AI172" i="12"/>
  <c r="AN172" i="12" s="1"/>
  <c r="AH172" i="12"/>
  <c r="AM172" i="12" s="1"/>
  <c r="AG172" i="12"/>
  <c r="AL171" i="12"/>
  <c r="AJ171" i="12"/>
  <c r="AO171" i="12" s="1"/>
  <c r="AI171" i="12"/>
  <c r="AN171" i="12" s="1"/>
  <c r="AH171" i="12"/>
  <c r="AM171" i="12" s="1"/>
  <c r="AG171" i="12"/>
  <c r="AJ170" i="12"/>
  <c r="AO170" i="12" s="1"/>
  <c r="AI170" i="12"/>
  <c r="AN170" i="12" s="1"/>
  <c r="AH170" i="12"/>
  <c r="AM170" i="12" s="1"/>
  <c r="AG170" i="12"/>
  <c r="AL170" i="12" s="1"/>
  <c r="AJ169" i="12"/>
  <c r="AO169" i="12" s="1"/>
  <c r="AI169" i="12"/>
  <c r="AN169" i="12" s="1"/>
  <c r="AH169" i="12"/>
  <c r="AM169" i="12" s="1"/>
  <c r="AG169" i="12"/>
  <c r="AL169" i="12" s="1"/>
  <c r="AJ168" i="12"/>
  <c r="AO168" i="12" s="1"/>
  <c r="AI168" i="12"/>
  <c r="AN168" i="12" s="1"/>
  <c r="AH168" i="12"/>
  <c r="AM168" i="12" s="1"/>
  <c r="AG168" i="12"/>
  <c r="AL168" i="12" s="1"/>
  <c r="AJ167" i="12"/>
  <c r="AO167" i="12" s="1"/>
  <c r="AI167" i="12"/>
  <c r="AN167" i="12" s="1"/>
  <c r="AH167" i="12"/>
  <c r="AM167" i="12" s="1"/>
  <c r="AG167" i="12"/>
  <c r="AL167" i="12" s="1"/>
  <c r="AJ166" i="12"/>
  <c r="AO166" i="12" s="1"/>
  <c r="AI166" i="12"/>
  <c r="AN166" i="12" s="1"/>
  <c r="AH166" i="12"/>
  <c r="AM166" i="12" s="1"/>
  <c r="AG166" i="12"/>
  <c r="AL166" i="12" s="1"/>
  <c r="AM165" i="12"/>
  <c r="AL165" i="12"/>
  <c r="AJ165" i="12"/>
  <c r="AO165" i="12" s="1"/>
  <c r="AI165" i="12"/>
  <c r="AN165" i="12" s="1"/>
  <c r="AH165" i="12"/>
  <c r="AG165" i="12"/>
  <c r="AM164" i="12"/>
  <c r="AL164" i="12"/>
  <c r="AJ164" i="12"/>
  <c r="AO164" i="12" s="1"/>
  <c r="AI164" i="12"/>
  <c r="AN164" i="12" s="1"/>
  <c r="AH164" i="12"/>
  <c r="AG164" i="12"/>
  <c r="AJ163" i="12"/>
  <c r="AO163" i="12" s="1"/>
  <c r="AI163" i="12"/>
  <c r="AN163" i="12" s="1"/>
  <c r="AH163" i="12"/>
  <c r="AM163" i="12" s="1"/>
  <c r="AG163" i="12"/>
  <c r="AL163" i="12" s="1"/>
  <c r="AM162" i="12"/>
  <c r="AJ162" i="12"/>
  <c r="AO162" i="12" s="1"/>
  <c r="AI162" i="12"/>
  <c r="AN162" i="12" s="1"/>
  <c r="AH162" i="12"/>
  <c r="AG162" i="12"/>
  <c r="AL162" i="12" s="1"/>
  <c r="AJ161" i="12"/>
  <c r="AO161" i="12" s="1"/>
  <c r="AI161" i="12"/>
  <c r="AN161" i="12" s="1"/>
  <c r="AH161" i="12"/>
  <c r="AM161" i="12" s="1"/>
  <c r="AG161" i="12"/>
  <c r="AL161" i="12" s="1"/>
  <c r="AJ160" i="12"/>
  <c r="AO160" i="12" s="1"/>
  <c r="AI160" i="12"/>
  <c r="AN160" i="12" s="1"/>
  <c r="AH160" i="12"/>
  <c r="AM160" i="12" s="1"/>
  <c r="AG160" i="12"/>
  <c r="AL160" i="12" s="1"/>
  <c r="AJ159" i="12"/>
  <c r="AO159" i="12" s="1"/>
  <c r="AI159" i="12"/>
  <c r="AN159" i="12" s="1"/>
  <c r="AH159" i="12"/>
  <c r="AM159" i="12" s="1"/>
  <c r="AG159" i="12"/>
  <c r="AL159" i="12" s="1"/>
  <c r="AJ158" i="12"/>
  <c r="AO158" i="12" s="1"/>
  <c r="AI158" i="12"/>
  <c r="AN158" i="12" s="1"/>
  <c r="AH158" i="12"/>
  <c r="AM158" i="12" s="1"/>
  <c r="AG158" i="12"/>
  <c r="AL158" i="12" s="1"/>
  <c r="AP158" i="12" s="1"/>
  <c r="AM157" i="12"/>
  <c r="AL157" i="12"/>
  <c r="AJ157" i="12"/>
  <c r="AO157" i="12" s="1"/>
  <c r="AI157" i="12"/>
  <c r="AN157" i="12" s="1"/>
  <c r="AH157" i="12"/>
  <c r="AG157" i="12"/>
  <c r="AN156" i="12"/>
  <c r="AM156" i="12"/>
  <c r="AL156" i="12"/>
  <c r="AJ156" i="12"/>
  <c r="AO156" i="12" s="1"/>
  <c r="AI156" i="12"/>
  <c r="AH156" i="12"/>
  <c r="AG156" i="12"/>
  <c r="AM155" i="12"/>
  <c r="AL155" i="12"/>
  <c r="AJ155" i="12"/>
  <c r="AO155" i="12" s="1"/>
  <c r="AI155" i="12"/>
  <c r="AN155" i="12" s="1"/>
  <c r="AH155" i="12"/>
  <c r="AG155" i="12"/>
  <c r="AJ154" i="12"/>
  <c r="AO154" i="12" s="1"/>
  <c r="AI154" i="12"/>
  <c r="AN154" i="12" s="1"/>
  <c r="AH154" i="12"/>
  <c r="AM154" i="12" s="1"/>
  <c r="AG154" i="12"/>
  <c r="AL154" i="12" s="1"/>
  <c r="AJ138" i="12"/>
  <c r="AO138" i="12" s="1"/>
  <c r="AI138" i="12"/>
  <c r="AN138" i="12" s="1"/>
  <c r="AH138" i="12"/>
  <c r="AM138" i="12" s="1"/>
  <c r="AG138" i="12"/>
  <c r="AL138" i="12" s="1"/>
  <c r="AJ142" i="12"/>
  <c r="AO142" i="12" s="1"/>
  <c r="AI142" i="12"/>
  <c r="AN142" i="12" s="1"/>
  <c r="AH142" i="12"/>
  <c r="AM142" i="12" s="1"/>
  <c r="AG142" i="12"/>
  <c r="AL142" i="12" s="1"/>
  <c r="AJ139" i="12"/>
  <c r="AO139" i="12" s="1"/>
  <c r="AI139" i="12"/>
  <c r="AN139" i="12" s="1"/>
  <c r="AH139" i="12"/>
  <c r="AM139" i="12" s="1"/>
  <c r="AG139" i="12"/>
  <c r="AL139" i="12" s="1"/>
  <c r="AJ144" i="12"/>
  <c r="AO144" i="12" s="1"/>
  <c r="AI144" i="12"/>
  <c r="AN144" i="12" s="1"/>
  <c r="AH144" i="12"/>
  <c r="AM144" i="12" s="1"/>
  <c r="AG144" i="12"/>
  <c r="AL144" i="12" s="1"/>
  <c r="AJ131" i="12"/>
  <c r="AO131" i="12" s="1"/>
  <c r="AI131" i="12"/>
  <c r="AN131" i="12" s="1"/>
  <c r="AH131" i="12"/>
  <c r="AM131" i="12" s="1"/>
  <c r="AG131" i="12"/>
  <c r="AL131" i="12" s="1"/>
  <c r="AN149" i="12"/>
  <c r="AJ149" i="12"/>
  <c r="AO149" i="12" s="1"/>
  <c r="AI149" i="12"/>
  <c r="AH149" i="12"/>
  <c r="AM149" i="12" s="1"/>
  <c r="AG149" i="12"/>
  <c r="AL149" i="12" s="1"/>
  <c r="AJ146" i="12"/>
  <c r="AO146" i="12" s="1"/>
  <c r="AI146" i="12"/>
  <c r="AN146" i="12" s="1"/>
  <c r="AH146" i="12"/>
  <c r="AM146" i="12" s="1"/>
  <c r="AG146" i="12"/>
  <c r="AL146" i="12" s="1"/>
  <c r="AJ148" i="12"/>
  <c r="AO148" i="12" s="1"/>
  <c r="AI148" i="12"/>
  <c r="AN148" i="12" s="1"/>
  <c r="AH148" i="12"/>
  <c r="AM148" i="12" s="1"/>
  <c r="AG148" i="12"/>
  <c r="AL148" i="12" s="1"/>
  <c r="AJ137" i="12"/>
  <c r="AO137" i="12" s="1"/>
  <c r="AI137" i="12"/>
  <c r="AN137" i="12" s="1"/>
  <c r="AH137" i="12"/>
  <c r="AM137" i="12" s="1"/>
  <c r="AG137" i="12"/>
  <c r="AL137" i="12" s="1"/>
  <c r="AJ135" i="12"/>
  <c r="AO135" i="12" s="1"/>
  <c r="AI135" i="12"/>
  <c r="AN135" i="12" s="1"/>
  <c r="AH135" i="12"/>
  <c r="AM135" i="12" s="1"/>
  <c r="AG135" i="12"/>
  <c r="AL135" i="12" s="1"/>
  <c r="AJ152" i="12"/>
  <c r="AO152" i="12" s="1"/>
  <c r="AI152" i="12"/>
  <c r="AN152" i="12" s="1"/>
  <c r="AH152" i="12"/>
  <c r="AM152" i="12" s="1"/>
  <c r="AG152" i="12"/>
  <c r="AL152" i="12" s="1"/>
  <c r="AJ153" i="12"/>
  <c r="AO153" i="12" s="1"/>
  <c r="AI153" i="12"/>
  <c r="AN153" i="12" s="1"/>
  <c r="AH153" i="12"/>
  <c r="AM153" i="12" s="1"/>
  <c r="AG153" i="12"/>
  <c r="AL153" i="12" s="1"/>
  <c r="AM150" i="12"/>
  <c r="AJ150" i="12"/>
  <c r="AO150" i="12" s="1"/>
  <c r="AI150" i="12"/>
  <c r="AN150" i="12" s="1"/>
  <c r="AH150" i="12"/>
  <c r="AG150" i="12"/>
  <c r="AL150" i="12" s="1"/>
  <c r="AJ145" i="12"/>
  <c r="AO145" i="12" s="1"/>
  <c r="AI145" i="12"/>
  <c r="AN145" i="12" s="1"/>
  <c r="AH145" i="12"/>
  <c r="AM145" i="12" s="1"/>
  <c r="AG145" i="12"/>
  <c r="AL145" i="12" s="1"/>
  <c r="AJ143" i="12"/>
  <c r="AO143" i="12" s="1"/>
  <c r="AI143" i="12"/>
  <c r="AN143" i="12" s="1"/>
  <c r="AH143" i="12"/>
  <c r="AM143" i="12" s="1"/>
  <c r="AG143" i="12"/>
  <c r="AL143" i="12" s="1"/>
  <c r="AJ132" i="12"/>
  <c r="AO132" i="12" s="1"/>
  <c r="AI132" i="12"/>
  <c r="AN132" i="12" s="1"/>
  <c r="AH132" i="12"/>
  <c r="AM132" i="12" s="1"/>
  <c r="AG132" i="12"/>
  <c r="AL132" i="12" s="1"/>
  <c r="AJ151" i="12"/>
  <c r="AO151" i="12" s="1"/>
  <c r="AI151" i="12"/>
  <c r="AN151" i="12" s="1"/>
  <c r="AH151" i="12"/>
  <c r="AM151" i="12" s="1"/>
  <c r="AG151" i="12"/>
  <c r="AL151" i="12" s="1"/>
  <c r="AO134" i="12"/>
  <c r="AM134" i="12"/>
  <c r="AJ134" i="12"/>
  <c r="AI134" i="12"/>
  <c r="AN134" i="12" s="1"/>
  <c r="AH134" i="12"/>
  <c r="AG134" i="12"/>
  <c r="AL134" i="12" s="1"/>
  <c r="AJ141" i="12"/>
  <c r="AO141" i="12" s="1"/>
  <c r="AI141" i="12"/>
  <c r="AN141" i="12" s="1"/>
  <c r="AH141" i="12"/>
  <c r="AM141" i="12" s="1"/>
  <c r="AG141" i="12"/>
  <c r="AL141" i="12" s="1"/>
  <c r="AJ140" i="12"/>
  <c r="AO140" i="12" s="1"/>
  <c r="AI140" i="12"/>
  <c r="AN140" i="12" s="1"/>
  <c r="AH140" i="12"/>
  <c r="AM140" i="12" s="1"/>
  <c r="AG140" i="12"/>
  <c r="AL140" i="12" s="1"/>
  <c r="AL147" i="12"/>
  <c r="AJ147" i="12"/>
  <c r="AO147" i="12" s="1"/>
  <c r="AI147" i="12"/>
  <c r="AN147" i="12" s="1"/>
  <c r="AH147" i="12"/>
  <c r="AM147" i="12" s="1"/>
  <c r="AG147" i="12"/>
  <c r="AJ133" i="12"/>
  <c r="AO133" i="12" s="1"/>
  <c r="AI133" i="12"/>
  <c r="AN133" i="12" s="1"/>
  <c r="AH133" i="12"/>
  <c r="AM133" i="12" s="1"/>
  <c r="AG133" i="12"/>
  <c r="AL133" i="12" s="1"/>
  <c r="AJ136" i="12"/>
  <c r="AO136" i="12" s="1"/>
  <c r="AI136" i="12"/>
  <c r="AN136" i="12" s="1"/>
  <c r="AH136" i="12"/>
  <c r="AM136" i="12" s="1"/>
  <c r="AG136" i="12"/>
  <c r="AL136" i="12" s="1"/>
  <c r="AO130" i="12"/>
  <c r="AJ130" i="12"/>
  <c r="AI130" i="12"/>
  <c r="AN130" i="12" s="1"/>
  <c r="AH130" i="12"/>
  <c r="AM130" i="12" s="1"/>
  <c r="AG130" i="12"/>
  <c r="AL130" i="12" s="1"/>
  <c r="AJ129" i="12"/>
  <c r="AO129" i="12" s="1"/>
  <c r="AI129" i="12"/>
  <c r="AN129" i="12" s="1"/>
  <c r="AH129" i="12"/>
  <c r="AM129" i="12" s="1"/>
  <c r="AG129" i="12"/>
  <c r="AL129" i="12" s="1"/>
  <c r="AJ128" i="12"/>
  <c r="AO128" i="12" s="1"/>
  <c r="AI128" i="12"/>
  <c r="AN128" i="12" s="1"/>
  <c r="AH128" i="12"/>
  <c r="AM128" i="12" s="1"/>
  <c r="AG128" i="12"/>
  <c r="AL128" i="12" s="1"/>
  <c r="AJ127" i="12"/>
  <c r="AO127" i="12" s="1"/>
  <c r="AI127" i="12"/>
  <c r="AN127" i="12" s="1"/>
  <c r="AH127" i="12"/>
  <c r="AM127" i="12" s="1"/>
  <c r="AG127" i="12"/>
  <c r="AL127" i="12" s="1"/>
  <c r="AL126" i="12"/>
  <c r="AJ126" i="12"/>
  <c r="AO126" i="12" s="1"/>
  <c r="AI126" i="12"/>
  <c r="AN126" i="12" s="1"/>
  <c r="AH126" i="12"/>
  <c r="AM126" i="12" s="1"/>
  <c r="AG126" i="12"/>
  <c r="AJ125" i="12"/>
  <c r="AO125" i="12" s="1"/>
  <c r="AI125" i="12"/>
  <c r="AN125" i="12" s="1"/>
  <c r="AH125" i="12"/>
  <c r="AM125" i="12" s="1"/>
  <c r="AG125" i="12"/>
  <c r="AL125" i="12" s="1"/>
  <c r="AN124" i="12"/>
  <c r="AJ124" i="12"/>
  <c r="AO124" i="12" s="1"/>
  <c r="AI124" i="12"/>
  <c r="AH124" i="12"/>
  <c r="AM124" i="12" s="1"/>
  <c r="AG124" i="12"/>
  <c r="AL124" i="12" s="1"/>
  <c r="AO123" i="12"/>
  <c r="AN123" i="12"/>
  <c r="AJ123" i="12"/>
  <c r="AI123" i="12"/>
  <c r="AH123" i="12"/>
  <c r="AM123" i="12" s="1"/>
  <c r="AG123" i="12"/>
  <c r="AL123" i="12" s="1"/>
  <c r="AJ122" i="12"/>
  <c r="AO122" i="12" s="1"/>
  <c r="AI122" i="12"/>
  <c r="AN122" i="12" s="1"/>
  <c r="AH122" i="12"/>
  <c r="AM122" i="12" s="1"/>
  <c r="AG122" i="12"/>
  <c r="AL122" i="12" s="1"/>
  <c r="AN121" i="12"/>
  <c r="AJ121" i="12"/>
  <c r="AO121" i="12" s="1"/>
  <c r="AI121" i="12"/>
  <c r="AH121" i="12"/>
  <c r="AM121" i="12" s="1"/>
  <c r="AG121" i="12"/>
  <c r="AL121" i="12" s="1"/>
  <c r="AJ120" i="12"/>
  <c r="AO120" i="12" s="1"/>
  <c r="AI120" i="12"/>
  <c r="AN120" i="12" s="1"/>
  <c r="AH120" i="12"/>
  <c r="AM120" i="12" s="1"/>
  <c r="AG120" i="12"/>
  <c r="AL120" i="12" s="1"/>
  <c r="AJ119" i="12"/>
  <c r="AO119" i="12" s="1"/>
  <c r="AI119" i="12"/>
  <c r="AN119" i="12" s="1"/>
  <c r="AH119" i="12"/>
  <c r="AM119" i="12" s="1"/>
  <c r="AG119" i="12"/>
  <c r="AL119" i="12" s="1"/>
  <c r="AL118" i="12"/>
  <c r="AJ118" i="12"/>
  <c r="AO118" i="12" s="1"/>
  <c r="AI118" i="12"/>
  <c r="AN118" i="12" s="1"/>
  <c r="AH118" i="12"/>
  <c r="AM118" i="12" s="1"/>
  <c r="AG118" i="12"/>
  <c r="AJ117" i="12"/>
  <c r="AO117" i="12" s="1"/>
  <c r="AI117" i="12"/>
  <c r="AN117" i="12" s="1"/>
  <c r="AH117" i="12"/>
  <c r="AM117" i="12" s="1"/>
  <c r="AG117" i="12"/>
  <c r="AL117" i="12" s="1"/>
  <c r="AJ116" i="12"/>
  <c r="AO116" i="12" s="1"/>
  <c r="AI116" i="12"/>
  <c r="AN116" i="12" s="1"/>
  <c r="AH116" i="12"/>
  <c r="AM116" i="12" s="1"/>
  <c r="AG116" i="12"/>
  <c r="AL116" i="12" s="1"/>
  <c r="AJ115" i="12"/>
  <c r="AO115" i="12" s="1"/>
  <c r="AI115" i="12"/>
  <c r="AN115" i="12" s="1"/>
  <c r="AH115" i="12"/>
  <c r="AM115" i="12" s="1"/>
  <c r="AG115" i="12"/>
  <c r="AL115" i="12" s="1"/>
  <c r="AO114" i="12"/>
  <c r="AJ114" i="12"/>
  <c r="AI114" i="12"/>
  <c r="AN114" i="12" s="1"/>
  <c r="AH114" i="12"/>
  <c r="AM114" i="12" s="1"/>
  <c r="AG114" i="12"/>
  <c r="AL114" i="12" s="1"/>
  <c r="AN113" i="12"/>
  <c r="AJ113" i="12"/>
  <c r="AO113" i="12" s="1"/>
  <c r="AI113" i="12"/>
  <c r="AH113" i="12"/>
  <c r="AM113" i="12" s="1"/>
  <c r="AG113" i="12"/>
  <c r="AL113" i="12" s="1"/>
  <c r="AJ112" i="12"/>
  <c r="AO112" i="12" s="1"/>
  <c r="AI112" i="12"/>
  <c r="AN112" i="12" s="1"/>
  <c r="AH112" i="12"/>
  <c r="AM112" i="12" s="1"/>
  <c r="AG112" i="12"/>
  <c r="AL112" i="12" s="1"/>
  <c r="AJ111" i="12"/>
  <c r="AO111" i="12" s="1"/>
  <c r="AI111" i="12"/>
  <c r="AN111" i="12" s="1"/>
  <c r="AH111" i="12"/>
  <c r="AM111" i="12" s="1"/>
  <c r="AG111" i="12"/>
  <c r="AL111" i="12" s="1"/>
  <c r="AO110" i="12"/>
  <c r="AN110" i="12"/>
  <c r="AJ110" i="12"/>
  <c r="AI110" i="12"/>
  <c r="AH110" i="12"/>
  <c r="AM110" i="12" s="1"/>
  <c r="AG110" i="12"/>
  <c r="AL110" i="12" s="1"/>
  <c r="AJ109" i="12"/>
  <c r="AO109" i="12" s="1"/>
  <c r="AI109" i="12"/>
  <c r="AN109" i="12" s="1"/>
  <c r="AH109" i="12"/>
  <c r="AM109" i="12" s="1"/>
  <c r="AG109" i="12"/>
  <c r="AL109" i="12" s="1"/>
  <c r="AN108" i="12"/>
  <c r="AJ108" i="12"/>
  <c r="AO108" i="12" s="1"/>
  <c r="AI108" i="12"/>
  <c r="AH108" i="12"/>
  <c r="AM108" i="12" s="1"/>
  <c r="AG108" i="12"/>
  <c r="AL108" i="12" s="1"/>
  <c r="AJ107" i="12"/>
  <c r="AO107" i="12" s="1"/>
  <c r="AI107" i="12"/>
  <c r="AN107" i="12" s="1"/>
  <c r="AH107" i="12"/>
  <c r="AM107" i="12" s="1"/>
  <c r="AG107" i="12"/>
  <c r="AL107" i="12" s="1"/>
  <c r="AJ106" i="12"/>
  <c r="AO106" i="12" s="1"/>
  <c r="AI106" i="12"/>
  <c r="AN106" i="12" s="1"/>
  <c r="AH106" i="12"/>
  <c r="AM106" i="12" s="1"/>
  <c r="AG106" i="12"/>
  <c r="AL106" i="12" s="1"/>
  <c r="AJ105" i="12"/>
  <c r="AO105" i="12" s="1"/>
  <c r="AI105" i="12"/>
  <c r="AN105" i="12" s="1"/>
  <c r="AH105" i="12"/>
  <c r="AM105" i="12" s="1"/>
  <c r="AG105" i="12"/>
  <c r="AL105" i="12" s="1"/>
  <c r="AJ104" i="12"/>
  <c r="AO104" i="12" s="1"/>
  <c r="AI104" i="12"/>
  <c r="AN104" i="12" s="1"/>
  <c r="AH104" i="12"/>
  <c r="AM104" i="12" s="1"/>
  <c r="AG104" i="12"/>
  <c r="AL104" i="12" s="1"/>
  <c r="AL103" i="12"/>
  <c r="AJ103" i="12"/>
  <c r="AO103" i="12" s="1"/>
  <c r="AI103" i="12"/>
  <c r="AN103" i="12" s="1"/>
  <c r="AH103" i="12"/>
  <c r="AM103" i="12" s="1"/>
  <c r="AG103" i="12"/>
  <c r="AJ102" i="12"/>
  <c r="AO102" i="12" s="1"/>
  <c r="AI102" i="12"/>
  <c r="AN102" i="12" s="1"/>
  <c r="AH102" i="12"/>
  <c r="AM102" i="12" s="1"/>
  <c r="AG102" i="12"/>
  <c r="AL102" i="12" s="1"/>
  <c r="AM101" i="12"/>
  <c r="AJ101" i="12"/>
  <c r="AO101" i="12" s="1"/>
  <c r="AI101" i="12"/>
  <c r="AN101" i="12" s="1"/>
  <c r="AH101" i="12"/>
  <c r="AG101" i="12"/>
  <c r="AL101" i="12" s="1"/>
  <c r="AL100" i="12"/>
  <c r="AJ100" i="12"/>
  <c r="AO100" i="12" s="1"/>
  <c r="AI100" i="12"/>
  <c r="AN100" i="12" s="1"/>
  <c r="AH100" i="12"/>
  <c r="AM100" i="12" s="1"/>
  <c r="AG100" i="12"/>
  <c r="AL99" i="12"/>
  <c r="AJ99" i="12"/>
  <c r="AO99" i="12" s="1"/>
  <c r="AI99" i="12"/>
  <c r="AN99" i="12" s="1"/>
  <c r="AH99" i="12"/>
  <c r="AM99" i="12" s="1"/>
  <c r="AG99" i="12"/>
  <c r="AJ98" i="12"/>
  <c r="AO98" i="12" s="1"/>
  <c r="AI98" i="12"/>
  <c r="AN98" i="12" s="1"/>
  <c r="AH98" i="12"/>
  <c r="AM98" i="12" s="1"/>
  <c r="AG98" i="12"/>
  <c r="AL98" i="12" s="1"/>
  <c r="AJ97" i="12"/>
  <c r="AO97" i="12" s="1"/>
  <c r="AI97" i="12"/>
  <c r="AN97" i="12" s="1"/>
  <c r="AH97" i="12"/>
  <c r="AM97" i="12" s="1"/>
  <c r="AG97" i="12"/>
  <c r="AL97" i="12" s="1"/>
  <c r="AJ96" i="12"/>
  <c r="AO96" i="12" s="1"/>
  <c r="AI96" i="12"/>
  <c r="AN96" i="12" s="1"/>
  <c r="AH96" i="12"/>
  <c r="AM96" i="12" s="1"/>
  <c r="AG96" i="12"/>
  <c r="AL96" i="12" s="1"/>
  <c r="AN95" i="12"/>
  <c r="AJ95" i="12"/>
  <c r="AO95" i="12" s="1"/>
  <c r="AI95" i="12"/>
  <c r="AH95" i="12"/>
  <c r="AM95" i="12" s="1"/>
  <c r="AG95" i="12"/>
  <c r="AL95" i="12" s="1"/>
  <c r="AJ94" i="12"/>
  <c r="AO94" i="12" s="1"/>
  <c r="AI94" i="12"/>
  <c r="AN94" i="12" s="1"/>
  <c r="AH94" i="12"/>
  <c r="AM94" i="12" s="1"/>
  <c r="AG94" i="12"/>
  <c r="AL94" i="12" s="1"/>
  <c r="AJ93" i="12"/>
  <c r="AO93" i="12" s="1"/>
  <c r="AI93" i="12"/>
  <c r="AN93" i="12" s="1"/>
  <c r="AH93" i="12"/>
  <c r="AM93" i="12" s="1"/>
  <c r="AG93" i="12"/>
  <c r="AL93" i="12" s="1"/>
  <c r="AP93" i="12" s="1"/>
  <c r="AL92" i="12"/>
  <c r="AJ92" i="12"/>
  <c r="AO92" i="12" s="1"/>
  <c r="AI92" i="12"/>
  <c r="AN92" i="12" s="1"/>
  <c r="AH92" i="12"/>
  <c r="AM92" i="12" s="1"/>
  <c r="AG92" i="12"/>
  <c r="AJ91" i="12"/>
  <c r="AO91" i="12" s="1"/>
  <c r="AI91" i="12"/>
  <c r="AN91" i="12" s="1"/>
  <c r="AH91" i="12"/>
  <c r="AM91" i="12" s="1"/>
  <c r="AG91" i="12"/>
  <c r="AL91" i="12" s="1"/>
  <c r="AJ90" i="12"/>
  <c r="AO90" i="12" s="1"/>
  <c r="AI90" i="12"/>
  <c r="AN90" i="12" s="1"/>
  <c r="AH90" i="12"/>
  <c r="AM90" i="12" s="1"/>
  <c r="AG90" i="12"/>
  <c r="AL90" i="12" s="1"/>
  <c r="AJ89" i="12"/>
  <c r="AO89" i="12" s="1"/>
  <c r="AI89" i="12"/>
  <c r="AN89" i="12" s="1"/>
  <c r="AH89" i="12"/>
  <c r="AM89" i="12" s="1"/>
  <c r="AG89" i="12"/>
  <c r="AL89" i="12" s="1"/>
  <c r="AM88" i="12"/>
  <c r="AJ88" i="12"/>
  <c r="AO88" i="12" s="1"/>
  <c r="AI88" i="12"/>
  <c r="AN88" i="12" s="1"/>
  <c r="AH88" i="12"/>
  <c r="AG88" i="12"/>
  <c r="AL88" i="12" s="1"/>
  <c r="AN87" i="12"/>
  <c r="AL87" i="12"/>
  <c r="AJ87" i="12"/>
  <c r="AO87" i="12" s="1"/>
  <c r="AI87" i="12"/>
  <c r="AH87" i="12"/>
  <c r="AM87" i="12" s="1"/>
  <c r="AG87" i="12"/>
  <c r="AJ86" i="12"/>
  <c r="AO86" i="12" s="1"/>
  <c r="AI86" i="12"/>
  <c r="AN86" i="12" s="1"/>
  <c r="AH86" i="12"/>
  <c r="AM86" i="12" s="1"/>
  <c r="AG86" i="12"/>
  <c r="AL86" i="12" s="1"/>
  <c r="AJ85" i="12"/>
  <c r="AO85" i="12" s="1"/>
  <c r="AI85" i="12"/>
  <c r="AN85" i="12" s="1"/>
  <c r="AH85" i="12"/>
  <c r="AM85" i="12" s="1"/>
  <c r="AG85" i="12"/>
  <c r="AL85" i="12" s="1"/>
  <c r="AJ84" i="12"/>
  <c r="AO84" i="12" s="1"/>
  <c r="AI84" i="12"/>
  <c r="AN84" i="12" s="1"/>
  <c r="AH84" i="12"/>
  <c r="AM84" i="12" s="1"/>
  <c r="AG84" i="12"/>
  <c r="AL84" i="12" s="1"/>
  <c r="AP84" i="12" s="1"/>
  <c r="AJ83" i="12"/>
  <c r="AO83" i="12" s="1"/>
  <c r="AI83" i="12"/>
  <c r="AN83" i="12" s="1"/>
  <c r="AH83" i="12"/>
  <c r="AM83" i="12" s="1"/>
  <c r="AG83" i="12"/>
  <c r="AL83" i="12" s="1"/>
  <c r="AJ82" i="12"/>
  <c r="AO82" i="12" s="1"/>
  <c r="AI82" i="12"/>
  <c r="AN82" i="12" s="1"/>
  <c r="AH82" i="12"/>
  <c r="AM82" i="12" s="1"/>
  <c r="AG82" i="12"/>
  <c r="AL82" i="12" s="1"/>
  <c r="AJ81" i="12"/>
  <c r="AO81" i="12" s="1"/>
  <c r="AI81" i="12"/>
  <c r="AN81" i="12" s="1"/>
  <c r="AH81" i="12"/>
  <c r="AM81" i="12" s="1"/>
  <c r="AG81" i="12"/>
  <c r="AL81" i="12" s="1"/>
  <c r="AJ80" i="12"/>
  <c r="AO80" i="12" s="1"/>
  <c r="AI80" i="12"/>
  <c r="AN80" i="12" s="1"/>
  <c r="AH80" i="12"/>
  <c r="AM80" i="12" s="1"/>
  <c r="AG80" i="12"/>
  <c r="AL80" i="12" s="1"/>
  <c r="AO79" i="12"/>
  <c r="AJ79" i="12"/>
  <c r="AI79" i="12"/>
  <c r="AN79" i="12" s="1"/>
  <c r="AH79" i="12"/>
  <c r="AM79" i="12" s="1"/>
  <c r="AG79" i="12"/>
  <c r="AL79" i="12" s="1"/>
  <c r="AO78" i="12"/>
  <c r="AM78" i="12"/>
  <c r="AJ78" i="12"/>
  <c r="AI78" i="12"/>
  <c r="AN78" i="12" s="1"/>
  <c r="AH78" i="12"/>
  <c r="AG78" i="12"/>
  <c r="AL78" i="12" s="1"/>
  <c r="AJ77" i="12"/>
  <c r="AO77" i="12" s="1"/>
  <c r="AI77" i="12"/>
  <c r="AN77" i="12" s="1"/>
  <c r="AH77" i="12"/>
  <c r="AM77" i="12" s="1"/>
  <c r="AG77" i="12"/>
  <c r="AL77" i="12" s="1"/>
  <c r="AJ76" i="12"/>
  <c r="AO76" i="12" s="1"/>
  <c r="AI76" i="12"/>
  <c r="AN76" i="12" s="1"/>
  <c r="AH76" i="12"/>
  <c r="AM76" i="12" s="1"/>
  <c r="AG76" i="12"/>
  <c r="AL76" i="12" s="1"/>
  <c r="AM75" i="12"/>
  <c r="AL75" i="12"/>
  <c r="AJ75" i="12"/>
  <c r="AO75" i="12" s="1"/>
  <c r="AI75" i="12"/>
  <c r="AN75" i="12" s="1"/>
  <c r="AH75" i="12"/>
  <c r="AG75" i="12"/>
  <c r="AJ74" i="12"/>
  <c r="AO74" i="12" s="1"/>
  <c r="AI74" i="12"/>
  <c r="AN74" i="12" s="1"/>
  <c r="AH74" i="12"/>
  <c r="AM74" i="12" s="1"/>
  <c r="AG74" i="12"/>
  <c r="AL74" i="12" s="1"/>
  <c r="AJ73" i="12"/>
  <c r="AO73" i="12" s="1"/>
  <c r="AI73" i="12"/>
  <c r="AN73" i="12" s="1"/>
  <c r="AH73" i="12"/>
  <c r="AM73" i="12" s="1"/>
  <c r="AG73" i="12"/>
  <c r="AL73" i="12" s="1"/>
  <c r="AN72" i="12"/>
  <c r="AJ72" i="12"/>
  <c r="AO72" i="12" s="1"/>
  <c r="AI72" i="12"/>
  <c r="AH72" i="12"/>
  <c r="AM72" i="12" s="1"/>
  <c r="AG72" i="12"/>
  <c r="AL72" i="12" s="1"/>
  <c r="AJ71" i="12"/>
  <c r="AO71" i="12" s="1"/>
  <c r="AI71" i="12"/>
  <c r="AN71" i="12" s="1"/>
  <c r="AH71" i="12"/>
  <c r="AM71" i="12" s="1"/>
  <c r="AG71" i="12"/>
  <c r="AL71" i="12" s="1"/>
  <c r="AM70" i="12"/>
  <c r="AJ70" i="12"/>
  <c r="AO70" i="12" s="1"/>
  <c r="AI70" i="12"/>
  <c r="AN70" i="12" s="1"/>
  <c r="AH70" i="12"/>
  <c r="AG70" i="12"/>
  <c r="AL70" i="12" s="1"/>
  <c r="AJ69" i="12"/>
  <c r="AO69" i="12" s="1"/>
  <c r="AI69" i="12"/>
  <c r="AN69" i="12" s="1"/>
  <c r="AH69" i="12"/>
  <c r="AM69" i="12" s="1"/>
  <c r="AG69" i="12"/>
  <c r="AL69" i="12" s="1"/>
  <c r="AJ68" i="12"/>
  <c r="AO68" i="12" s="1"/>
  <c r="AI68" i="12"/>
  <c r="AN68" i="12" s="1"/>
  <c r="AH68" i="12"/>
  <c r="AM68" i="12" s="1"/>
  <c r="AG68" i="12"/>
  <c r="AL68" i="12" s="1"/>
  <c r="AM67" i="12"/>
  <c r="AL67" i="12"/>
  <c r="AJ67" i="12"/>
  <c r="AO67" i="12" s="1"/>
  <c r="AI67" i="12"/>
  <c r="AN67" i="12" s="1"/>
  <c r="AH67" i="12"/>
  <c r="AG67" i="12"/>
  <c r="AJ66" i="12"/>
  <c r="AO66" i="12" s="1"/>
  <c r="AI66" i="12"/>
  <c r="AN66" i="12" s="1"/>
  <c r="AH66" i="12"/>
  <c r="AM66" i="12" s="1"/>
  <c r="AG66" i="12"/>
  <c r="AL66" i="12" s="1"/>
  <c r="AJ65" i="12"/>
  <c r="AO65" i="12" s="1"/>
  <c r="AI65" i="12"/>
  <c r="AN65" i="12" s="1"/>
  <c r="AH65" i="12"/>
  <c r="AM65" i="12" s="1"/>
  <c r="AG65" i="12"/>
  <c r="AL65" i="12" s="1"/>
  <c r="AN64" i="12"/>
  <c r="AM64" i="12"/>
  <c r="AJ64" i="12"/>
  <c r="AO64" i="12" s="1"/>
  <c r="AI64" i="12"/>
  <c r="AH64" i="12"/>
  <c r="AG64" i="12"/>
  <c r="AL64" i="12" s="1"/>
  <c r="AJ63" i="12"/>
  <c r="AO63" i="12" s="1"/>
  <c r="AI63" i="12"/>
  <c r="AN63" i="12" s="1"/>
  <c r="AH63" i="12"/>
  <c r="AM63" i="12" s="1"/>
  <c r="AG63" i="12"/>
  <c r="AL63" i="12" s="1"/>
  <c r="AJ62" i="12"/>
  <c r="AO62" i="12" s="1"/>
  <c r="AI62" i="12"/>
  <c r="AN62" i="12" s="1"/>
  <c r="AH62" i="12"/>
  <c r="AM62" i="12" s="1"/>
  <c r="AG62" i="12"/>
  <c r="AL62" i="12" s="1"/>
  <c r="AJ61" i="12"/>
  <c r="AO61" i="12" s="1"/>
  <c r="AI61" i="12"/>
  <c r="AN61" i="12" s="1"/>
  <c r="AH61" i="12"/>
  <c r="AM61" i="12" s="1"/>
  <c r="AG61" i="12"/>
  <c r="AL61" i="12" s="1"/>
  <c r="AJ60" i="12"/>
  <c r="AO60" i="12" s="1"/>
  <c r="AI60" i="12"/>
  <c r="AN60" i="12" s="1"/>
  <c r="AH60" i="12"/>
  <c r="AM60" i="12" s="1"/>
  <c r="AG60" i="12"/>
  <c r="AL60" i="12" s="1"/>
  <c r="AJ59" i="12"/>
  <c r="AO59" i="12" s="1"/>
  <c r="AI59" i="12"/>
  <c r="AN59" i="12" s="1"/>
  <c r="AH59" i="12"/>
  <c r="AM59" i="12" s="1"/>
  <c r="AG59" i="12"/>
  <c r="AL59" i="12" s="1"/>
  <c r="AJ58" i="12"/>
  <c r="AO58" i="12" s="1"/>
  <c r="AI58" i="12"/>
  <c r="AN58" i="12" s="1"/>
  <c r="AH58" i="12"/>
  <c r="AM58" i="12" s="1"/>
  <c r="AG58" i="12"/>
  <c r="AL58" i="12" s="1"/>
  <c r="AM57" i="12"/>
  <c r="AL57" i="12"/>
  <c r="AJ57" i="12"/>
  <c r="AO57" i="12" s="1"/>
  <c r="AI57" i="12"/>
  <c r="AN57" i="12" s="1"/>
  <c r="AH57" i="12"/>
  <c r="AG57" i="12"/>
  <c r="AN56" i="12"/>
  <c r="AJ56" i="12"/>
  <c r="AO56" i="12" s="1"/>
  <c r="AI56" i="12"/>
  <c r="AH56" i="12"/>
  <c r="AM56" i="12" s="1"/>
  <c r="AG56" i="12"/>
  <c r="AL56" i="12" s="1"/>
  <c r="AJ55" i="12"/>
  <c r="AO55" i="12" s="1"/>
  <c r="AI55" i="12"/>
  <c r="AN55" i="12" s="1"/>
  <c r="AH55" i="12"/>
  <c r="AM55" i="12" s="1"/>
  <c r="AG55" i="12"/>
  <c r="AL55" i="12" s="1"/>
  <c r="AJ54" i="12"/>
  <c r="AO54" i="12" s="1"/>
  <c r="AI54" i="12"/>
  <c r="AN54" i="12" s="1"/>
  <c r="AH54" i="12"/>
  <c r="AM54" i="12" s="1"/>
  <c r="AG54" i="12"/>
  <c r="AL54" i="12" s="1"/>
  <c r="AJ53" i="12"/>
  <c r="AO53" i="12" s="1"/>
  <c r="AI53" i="12"/>
  <c r="AN53" i="12" s="1"/>
  <c r="AH53" i="12"/>
  <c r="AM53" i="12" s="1"/>
  <c r="AG53" i="12"/>
  <c r="AL53" i="12" s="1"/>
  <c r="AJ52" i="12"/>
  <c r="AO52" i="12" s="1"/>
  <c r="AI52" i="12"/>
  <c r="AN52" i="12" s="1"/>
  <c r="AH52" i="12"/>
  <c r="AM52" i="12" s="1"/>
  <c r="AG52" i="12"/>
  <c r="AL52" i="12" s="1"/>
  <c r="AJ51" i="12"/>
  <c r="AO51" i="12" s="1"/>
  <c r="AI51" i="12"/>
  <c r="AN51" i="12" s="1"/>
  <c r="AH51" i="12"/>
  <c r="AM51" i="12" s="1"/>
  <c r="AG51" i="12"/>
  <c r="AL51" i="12" s="1"/>
  <c r="AN50" i="12"/>
  <c r="AJ50" i="12"/>
  <c r="AO50" i="12" s="1"/>
  <c r="AI50" i="12"/>
  <c r="AH50" i="12"/>
  <c r="AM50" i="12" s="1"/>
  <c r="AG50" i="12"/>
  <c r="AL50" i="12" s="1"/>
  <c r="AP50" i="12" s="1"/>
  <c r="AN49" i="12"/>
  <c r="AM49" i="12"/>
  <c r="AJ49" i="12"/>
  <c r="AO49" i="12" s="1"/>
  <c r="AI49" i="12"/>
  <c r="AH49" i="12"/>
  <c r="AG49" i="12"/>
  <c r="AL49" i="12" s="1"/>
  <c r="AM48" i="12"/>
  <c r="AJ48" i="12"/>
  <c r="AO48" i="12" s="1"/>
  <c r="AI48" i="12"/>
  <c r="AN48" i="12" s="1"/>
  <c r="AH48" i="12"/>
  <c r="AG48" i="12"/>
  <c r="AL48" i="12" s="1"/>
  <c r="AJ47" i="12"/>
  <c r="AO47" i="12" s="1"/>
  <c r="AI47" i="12"/>
  <c r="AN47" i="12" s="1"/>
  <c r="AH47" i="12"/>
  <c r="AM47" i="12" s="1"/>
  <c r="AG47" i="12"/>
  <c r="AL47" i="12" s="1"/>
  <c r="AO46" i="12"/>
  <c r="AJ46" i="12"/>
  <c r="AI46" i="12"/>
  <c r="AN46" i="12" s="1"/>
  <c r="AH46" i="12"/>
  <c r="AM46" i="12" s="1"/>
  <c r="AG46" i="12"/>
  <c r="AL46" i="12" s="1"/>
  <c r="AJ45" i="12"/>
  <c r="AO45" i="12" s="1"/>
  <c r="AI45" i="12"/>
  <c r="AN45" i="12" s="1"/>
  <c r="AH45" i="12"/>
  <c r="AM45" i="12" s="1"/>
  <c r="AG45" i="12"/>
  <c r="AL45" i="12" s="1"/>
  <c r="AJ44" i="12"/>
  <c r="AO44" i="12" s="1"/>
  <c r="AI44" i="12"/>
  <c r="AN44" i="12" s="1"/>
  <c r="AH44" i="12"/>
  <c r="AM44" i="12" s="1"/>
  <c r="AG44" i="12"/>
  <c r="AL44" i="12" s="1"/>
  <c r="AJ43" i="12"/>
  <c r="AO43" i="12" s="1"/>
  <c r="AI43" i="12"/>
  <c r="AN43" i="12" s="1"/>
  <c r="AH43" i="12"/>
  <c r="AM43" i="12" s="1"/>
  <c r="AG43" i="12"/>
  <c r="AL43" i="12" s="1"/>
  <c r="AJ42" i="12"/>
  <c r="AO42" i="12" s="1"/>
  <c r="AI42" i="12"/>
  <c r="AN42" i="12" s="1"/>
  <c r="AH42" i="12"/>
  <c r="AM42" i="12" s="1"/>
  <c r="AG42" i="12"/>
  <c r="AL42" i="12" s="1"/>
  <c r="AJ41" i="12"/>
  <c r="AO41" i="12" s="1"/>
  <c r="AI41" i="12"/>
  <c r="AN41" i="12" s="1"/>
  <c r="AH41" i="12"/>
  <c r="AM41" i="12" s="1"/>
  <c r="AG41" i="12"/>
  <c r="AL41" i="12" s="1"/>
  <c r="AJ40" i="12"/>
  <c r="AO40" i="12" s="1"/>
  <c r="AI40" i="12"/>
  <c r="AN40" i="12" s="1"/>
  <c r="AH40" i="12"/>
  <c r="AM40" i="12" s="1"/>
  <c r="AG40" i="12"/>
  <c r="AL40" i="12" s="1"/>
  <c r="AO39" i="12"/>
  <c r="AN39" i="12"/>
  <c r="AJ39" i="12"/>
  <c r="AI39" i="12"/>
  <c r="AH39" i="12"/>
  <c r="AM39" i="12" s="1"/>
  <c r="AG39" i="12"/>
  <c r="AL39" i="12" s="1"/>
  <c r="AJ38" i="12"/>
  <c r="AO38" i="12" s="1"/>
  <c r="AI38" i="12"/>
  <c r="AN38" i="12" s="1"/>
  <c r="AH38" i="12"/>
  <c r="AM38" i="12" s="1"/>
  <c r="AG38" i="12"/>
  <c r="AL38" i="12" s="1"/>
  <c r="AJ37" i="12"/>
  <c r="AO37" i="12" s="1"/>
  <c r="AI37" i="12"/>
  <c r="AN37" i="12" s="1"/>
  <c r="AH37" i="12"/>
  <c r="AM37" i="12" s="1"/>
  <c r="AG37" i="12"/>
  <c r="AL37" i="12" s="1"/>
  <c r="AL36" i="12"/>
  <c r="AJ36" i="12"/>
  <c r="AO36" i="12" s="1"/>
  <c r="AI36" i="12"/>
  <c r="AN36" i="12" s="1"/>
  <c r="AH36" i="12"/>
  <c r="AM36" i="12" s="1"/>
  <c r="AG36" i="12"/>
  <c r="AJ35" i="12"/>
  <c r="AO35" i="12" s="1"/>
  <c r="AI35" i="12"/>
  <c r="AN35" i="12" s="1"/>
  <c r="AH35" i="12"/>
  <c r="AM35" i="12" s="1"/>
  <c r="AG35" i="12"/>
  <c r="AL35" i="12" s="1"/>
  <c r="AJ34" i="12"/>
  <c r="AO34" i="12" s="1"/>
  <c r="AI34" i="12"/>
  <c r="AN34" i="12" s="1"/>
  <c r="AH34" i="12"/>
  <c r="AM34" i="12" s="1"/>
  <c r="AG34" i="12"/>
  <c r="AL34" i="12" s="1"/>
  <c r="AJ33" i="12"/>
  <c r="AO33" i="12" s="1"/>
  <c r="AI33" i="12"/>
  <c r="AN33" i="12" s="1"/>
  <c r="AH33" i="12"/>
  <c r="AM33" i="12" s="1"/>
  <c r="AG33" i="12"/>
  <c r="AL33" i="12" s="1"/>
  <c r="AO32" i="12"/>
  <c r="AN32" i="12"/>
  <c r="AJ32" i="12"/>
  <c r="AI32" i="12"/>
  <c r="AH32" i="12"/>
  <c r="AM32" i="12" s="1"/>
  <c r="AG32" i="12"/>
  <c r="AL32" i="12" s="1"/>
  <c r="AN31" i="12"/>
  <c r="AJ31" i="12"/>
  <c r="AO31" i="12" s="1"/>
  <c r="AI31" i="12"/>
  <c r="AH31" i="12"/>
  <c r="AM31" i="12" s="1"/>
  <c r="AG31" i="12"/>
  <c r="AL31" i="12" s="1"/>
  <c r="AO30" i="12"/>
  <c r="AJ30" i="12"/>
  <c r="AI30" i="12"/>
  <c r="AN30" i="12" s="1"/>
  <c r="AH30" i="12"/>
  <c r="AM30" i="12" s="1"/>
  <c r="AG30" i="12"/>
  <c r="AL30" i="12" s="1"/>
  <c r="AJ29" i="12"/>
  <c r="AO29" i="12" s="1"/>
  <c r="AI29" i="12"/>
  <c r="AN29" i="12" s="1"/>
  <c r="AP29" i="12" s="1"/>
  <c r="AH29" i="12"/>
  <c r="AM29" i="12" s="1"/>
  <c r="AG29" i="12"/>
  <c r="AL29" i="12" s="1"/>
  <c r="AJ28" i="12"/>
  <c r="AO28" i="12" s="1"/>
  <c r="AI28" i="12"/>
  <c r="AN28" i="12" s="1"/>
  <c r="AH28" i="12"/>
  <c r="AM28" i="12" s="1"/>
  <c r="AG28" i="12"/>
  <c r="AL28" i="12" s="1"/>
  <c r="AL27" i="12"/>
  <c r="AJ27" i="12"/>
  <c r="AO27" i="12" s="1"/>
  <c r="AI27" i="12"/>
  <c r="AN27" i="12" s="1"/>
  <c r="AH27" i="12"/>
  <c r="AM27" i="12" s="1"/>
  <c r="AG27" i="12"/>
  <c r="AJ26" i="12"/>
  <c r="AO26" i="12" s="1"/>
  <c r="AI26" i="12"/>
  <c r="AN26" i="12" s="1"/>
  <c r="AH26" i="12"/>
  <c r="AM26" i="12" s="1"/>
  <c r="AG26" i="12"/>
  <c r="AL26" i="12" s="1"/>
  <c r="AJ25" i="12"/>
  <c r="AO25" i="12" s="1"/>
  <c r="AI25" i="12"/>
  <c r="AN25" i="12" s="1"/>
  <c r="AH25" i="12"/>
  <c r="AM25" i="12" s="1"/>
  <c r="AG25" i="12"/>
  <c r="AL25" i="12" s="1"/>
  <c r="AO24" i="12"/>
  <c r="AM24" i="12"/>
  <c r="AJ24" i="12"/>
  <c r="AI24" i="12"/>
  <c r="AN24" i="12" s="1"/>
  <c r="AH24" i="12"/>
  <c r="AG24" i="12"/>
  <c r="AL24" i="12" s="1"/>
  <c r="AN23" i="12"/>
  <c r="AJ23" i="12"/>
  <c r="AO23" i="12" s="1"/>
  <c r="AI23" i="12"/>
  <c r="AH23" i="12"/>
  <c r="AM23" i="12" s="1"/>
  <c r="AG23" i="12"/>
  <c r="AL23" i="12" s="1"/>
  <c r="AO22" i="12"/>
  <c r="AJ22" i="12"/>
  <c r="AI22" i="12"/>
  <c r="AN22" i="12" s="1"/>
  <c r="AH22" i="12"/>
  <c r="AM22" i="12" s="1"/>
  <c r="AG22" i="12"/>
  <c r="AL22" i="12" s="1"/>
  <c r="AJ21" i="12"/>
  <c r="AO21" i="12" s="1"/>
  <c r="AI21" i="12"/>
  <c r="AN21" i="12" s="1"/>
  <c r="AH21" i="12"/>
  <c r="AM21" i="12" s="1"/>
  <c r="AG21" i="12"/>
  <c r="AL21" i="12" s="1"/>
  <c r="AJ20" i="12"/>
  <c r="AO20" i="12" s="1"/>
  <c r="AI20" i="12"/>
  <c r="AN20" i="12" s="1"/>
  <c r="AH20" i="12"/>
  <c r="AM20" i="12" s="1"/>
  <c r="AG20" i="12"/>
  <c r="AL20" i="12" s="1"/>
  <c r="AJ19" i="12"/>
  <c r="AO19" i="12" s="1"/>
  <c r="AI19" i="12"/>
  <c r="AN19" i="12" s="1"/>
  <c r="AH19" i="12"/>
  <c r="AM19" i="12" s="1"/>
  <c r="AG19" i="12"/>
  <c r="AL19" i="12" s="1"/>
  <c r="AM18" i="12"/>
  <c r="AJ18" i="12"/>
  <c r="AO18" i="12" s="1"/>
  <c r="AI18" i="12"/>
  <c r="AN18" i="12" s="1"/>
  <c r="AH18" i="12"/>
  <c r="AG18" i="12"/>
  <c r="AL18" i="12" s="1"/>
  <c r="AJ17" i="12"/>
  <c r="AO17" i="12" s="1"/>
  <c r="AI17" i="12"/>
  <c r="AN17" i="12" s="1"/>
  <c r="AH17" i="12"/>
  <c r="AM17" i="12" s="1"/>
  <c r="AG17" i="12"/>
  <c r="AL17" i="12" s="1"/>
  <c r="AJ16" i="12"/>
  <c r="AO16" i="12" s="1"/>
  <c r="AI16" i="12"/>
  <c r="AN16" i="12" s="1"/>
  <c r="AH16" i="12"/>
  <c r="AM16" i="12" s="1"/>
  <c r="AG16" i="12"/>
  <c r="AL16" i="12" s="1"/>
  <c r="AJ15" i="12"/>
  <c r="AO15" i="12" s="1"/>
  <c r="AI15" i="12"/>
  <c r="AN15" i="12" s="1"/>
  <c r="AH15" i="12"/>
  <c r="AM15" i="12" s="1"/>
  <c r="AG15" i="12"/>
  <c r="AL15" i="12" s="1"/>
  <c r="AJ14" i="12"/>
  <c r="AO14" i="12" s="1"/>
  <c r="AI14" i="12"/>
  <c r="AN14" i="12" s="1"/>
  <c r="AH14" i="12"/>
  <c r="AM14" i="12" s="1"/>
  <c r="AG14" i="12"/>
  <c r="AL14" i="12" s="1"/>
  <c r="AJ13" i="12"/>
  <c r="AO13" i="12" s="1"/>
  <c r="AI13" i="12"/>
  <c r="AN13" i="12" s="1"/>
  <c r="AH13" i="12"/>
  <c r="AM13" i="12" s="1"/>
  <c r="AG13" i="12"/>
  <c r="AL13" i="12" s="1"/>
  <c r="AJ12" i="12"/>
  <c r="AO12" i="12" s="1"/>
  <c r="AI12" i="12"/>
  <c r="AN12" i="12" s="1"/>
  <c r="AH12" i="12"/>
  <c r="AM12" i="12" s="1"/>
  <c r="AG12" i="12"/>
  <c r="AL12" i="12" s="1"/>
  <c r="AJ11" i="12"/>
  <c r="AO11" i="12" s="1"/>
  <c r="AI11" i="12"/>
  <c r="AN11" i="12" s="1"/>
  <c r="AH11" i="12"/>
  <c r="AM11" i="12" s="1"/>
  <c r="AG11" i="12"/>
  <c r="AL11" i="12" s="1"/>
  <c r="AO10" i="12"/>
  <c r="AJ10" i="12"/>
  <c r="AI10" i="12"/>
  <c r="AN10" i="12" s="1"/>
  <c r="AH10" i="12"/>
  <c r="AM10" i="12" s="1"/>
  <c r="AG10" i="12"/>
  <c r="AL10" i="12" s="1"/>
  <c r="AM9" i="12"/>
  <c r="AJ9" i="12"/>
  <c r="AO9" i="12" s="1"/>
  <c r="AI9" i="12"/>
  <c r="AN9" i="12" s="1"/>
  <c r="AH9" i="12"/>
  <c r="AG9" i="12"/>
  <c r="AL9" i="12" s="1"/>
  <c r="AJ8" i="12"/>
  <c r="AO8" i="12" s="1"/>
  <c r="AI8" i="12"/>
  <c r="AN8" i="12" s="1"/>
  <c r="AH8" i="12"/>
  <c r="AM8" i="12" s="1"/>
  <c r="AG8" i="12"/>
  <c r="AL8" i="12" s="1"/>
  <c r="AJ7" i="12"/>
  <c r="AO7" i="12" s="1"/>
  <c r="AI7" i="12"/>
  <c r="AN7" i="12" s="1"/>
  <c r="AH7" i="12"/>
  <c r="AM7" i="12" s="1"/>
  <c r="AG7" i="12"/>
  <c r="AL7" i="12" s="1"/>
  <c r="AJ6" i="12"/>
  <c r="AO6" i="12" s="1"/>
  <c r="AI6" i="12"/>
  <c r="AN6" i="12" s="1"/>
  <c r="AH6" i="12"/>
  <c r="AM6" i="12" s="1"/>
  <c r="AG6" i="12"/>
  <c r="AL6" i="12" s="1"/>
  <c r="AJ232" i="11"/>
  <c r="AO232" i="11" s="1"/>
  <c r="AI232" i="11"/>
  <c r="AN232" i="11" s="1"/>
  <c r="AH232" i="11"/>
  <c r="AM232" i="11" s="1"/>
  <c r="AG232" i="11"/>
  <c r="AL232" i="11" s="1"/>
  <c r="AJ231" i="11"/>
  <c r="AO231" i="11" s="1"/>
  <c r="AI231" i="11"/>
  <c r="AN231" i="11" s="1"/>
  <c r="AH231" i="11"/>
  <c r="AM231" i="11" s="1"/>
  <c r="AG231" i="11"/>
  <c r="AL231" i="11" s="1"/>
  <c r="AL230" i="11"/>
  <c r="AJ230" i="11"/>
  <c r="AO230" i="11" s="1"/>
  <c r="AI230" i="11"/>
  <c r="AN230" i="11" s="1"/>
  <c r="AH230" i="11"/>
  <c r="AM230" i="11" s="1"/>
  <c r="AG230" i="11"/>
  <c r="AL229" i="11"/>
  <c r="AJ229" i="11"/>
  <c r="AO229" i="11" s="1"/>
  <c r="AI229" i="11"/>
  <c r="AN229" i="11" s="1"/>
  <c r="AH229" i="11"/>
  <c r="AM229" i="11" s="1"/>
  <c r="AG229" i="11"/>
  <c r="AJ228" i="11"/>
  <c r="AO228" i="11" s="1"/>
  <c r="AI228" i="11"/>
  <c r="AN228" i="11" s="1"/>
  <c r="AH228" i="11"/>
  <c r="AM228" i="11" s="1"/>
  <c r="AG228" i="11"/>
  <c r="AL228" i="11" s="1"/>
  <c r="AJ227" i="11"/>
  <c r="AO227" i="11" s="1"/>
  <c r="AI227" i="11"/>
  <c r="AN227" i="11" s="1"/>
  <c r="AH227" i="11"/>
  <c r="AM227" i="11" s="1"/>
  <c r="AG227" i="11"/>
  <c r="AL227" i="11" s="1"/>
  <c r="AO226" i="11"/>
  <c r="AJ226" i="11"/>
  <c r="AI226" i="11"/>
  <c r="AN226" i="11" s="1"/>
  <c r="AH226" i="11"/>
  <c r="AM226" i="11" s="1"/>
  <c r="AG226" i="11"/>
  <c r="AL226" i="11" s="1"/>
  <c r="AJ225" i="11"/>
  <c r="AO225" i="11" s="1"/>
  <c r="AI225" i="11"/>
  <c r="AN225" i="11" s="1"/>
  <c r="AH225" i="11"/>
  <c r="AM225" i="11" s="1"/>
  <c r="AG225" i="11"/>
  <c r="AL225" i="11" s="1"/>
  <c r="AJ224" i="11"/>
  <c r="AO224" i="11" s="1"/>
  <c r="AI224" i="11"/>
  <c r="AN224" i="11" s="1"/>
  <c r="AH224" i="11"/>
  <c r="AM224" i="11" s="1"/>
  <c r="AG224" i="11"/>
  <c r="AL224" i="11" s="1"/>
  <c r="AL223" i="11"/>
  <c r="AP223" i="11" s="1"/>
  <c r="AJ223" i="11"/>
  <c r="AO223" i="11" s="1"/>
  <c r="AI223" i="11"/>
  <c r="AN223" i="11" s="1"/>
  <c r="AH223" i="11"/>
  <c r="AM223" i="11" s="1"/>
  <c r="AG223" i="11"/>
  <c r="AJ222" i="11"/>
  <c r="AO222" i="11" s="1"/>
  <c r="AI222" i="11"/>
  <c r="AN222" i="11" s="1"/>
  <c r="AH222" i="11"/>
  <c r="AM222" i="11" s="1"/>
  <c r="AG222" i="11"/>
  <c r="AL222" i="11" s="1"/>
  <c r="AP222" i="11" s="1"/>
  <c r="AJ221" i="11"/>
  <c r="AO221" i="11" s="1"/>
  <c r="AI221" i="11"/>
  <c r="AN221" i="11" s="1"/>
  <c r="AH221" i="11"/>
  <c r="AM221" i="11" s="1"/>
  <c r="AG221" i="11"/>
  <c r="AL221" i="11" s="1"/>
  <c r="AN220" i="11"/>
  <c r="AJ220" i="11"/>
  <c r="AO220" i="11" s="1"/>
  <c r="AI220" i="11"/>
  <c r="AH220" i="11"/>
  <c r="AM220" i="11" s="1"/>
  <c r="AG220" i="11"/>
  <c r="AL220" i="11" s="1"/>
  <c r="AP220" i="11" s="1"/>
  <c r="AO219" i="11"/>
  <c r="AN219" i="11"/>
  <c r="AJ219" i="11"/>
  <c r="AI219" i="11"/>
  <c r="AH219" i="11"/>
  <c r="AM219" i="11" s="1"/>
  <c r="AG219" i="11"/>
  <c r="AL219" i="11" s="1"/>
  <c r="AO218" i="11"/>
  <c r="AN218" i="11"/>
  <c r="AJ218" i="11"/>
  <c r="AI218" i="11"/>
  <c r="AH218" i="11"/>
  <c r="AM218" i="11" s="1"/>
  <c r="AG218" i="11"/>
  <c r="AL218" i="11" s="1"/>
  <c r="AJ217" i="11"/>
  <c r="AO217" i="11" s="1"/>
  <c r="AP217" i="11" s="1"/>
  <c r="AI217" i="11"/>
  <c r="AN217" i="11" s="1"/>
  <c r="AH217" i="11"/>
  <c r="AM217" i="11" s="1"/>
  <c r="AG217" i="11"/>
  <c r="AL217" i="11" s="1"/>
  <c r="AJ216" i="11"/>
  <c r="AO216" i="11" s="1"/>
  <c r="AI216" i="11"/>
  <c r="AN216" i="11" s="1"/>
  <c r="AH216" i="11"/>
  <c r="AM216" i="11" s="1"/>
  <c r="AG216" i="11"/>
  <c r="AL216" i="11" s="1"/>
  <c r="AL215" i="11"/>
  <c r="AJ215" i="11"/>
  <c r="AO215" i="11" s="1"/>
  <c r="AI215" i="11"/>
  <c r="AN215" i="11" s="1"/>
  <c r="AH215" i="11"/>
  <c r="AM215" i="11" s="1"/>
  <c r="AG215" i="11"/>
  <c r="AL214" i="11"/>
  <c r="AJ214" i="11"/>
  <c r="AO214" i="11" s="1"/>
  <c r="AI214" i="11"/>
  <c r="AN214" i="11" s="1"/>
  <c r="AH214" i="11"/>
  <c r="AM214" i="11" s="1"/>
  <c r="AG214" i="11"/>
  <c r="AJ213" i="11"/>
  <c r="AO213" i="11" s="1"/>
  <c r="AI213" i="11"/>
  <c r="AN213" i="11" s="1"/>
  <c r="AH213" i="11"/>
  <c r="AM213" i="11" s="1"/>
  <c r="AG213" i="11"/>
  <c r="AL213" i="11" s="1"/>
  <c r="AN212" i="11"/>
  <c r="AJ212" i="11"/>
  <c r="AO212" i="11" s="1"/>
  <c r="AI212" i="11"/>
  <c r="AH212" i="11"/>
  <c r="AM212" i="11" s="1"/>
  <c r="AG212" i="11"/>
  <c r="AL212" i="11" s="1"/>
  <c r="AP212" i="11" s="1"/>
  <c r="AO211" i="11"/>
  <c r="AN211" i="11"/>
  <c r="AJ211" i="11"/>
  <c r="AI211" i="11"/>
  <c r="AH211" i="11"/>
  <c r="AM211" i="11" s="1"/>
  <c r="AG211" i="11"/>
  <c r="AL211" i="11" s="1"/>
  <c r="AP211" i="11" s="1"/>
  <c r="AO210" i="11"/>
  <c r="AN210" i="11"/>
  <c r="AJ210" i="11"/>
  <c r="AI210" i="11"/>
  <c r="AH210" i="11"/>
  <c r="AM210" i="11" s="1"/>
  <c r="AG210" i="11"/>
  <c r="AL210" i="11" s="1"/>
  <c r="AJ209" i="11"/>
  <c r="AO209" i="11" s="1"/>
  <c r="AP209" i="11" s="1"/>
  <c r="AI209" i="11"/>
  <c r="AN209" i="11" s="1"/>
  <c r="AH209" i="11"/>
  <c r="AM209" i="11" s="1"/>
  <c r="AG209" i="11"/>
  <c r="AL209" i="11" s="1"/>
  <c r="AJ208" i="11"/>
  <c r="AO208" i="11" s="1"/>
  <c r="AI208" i="11"/>
  <c r="AN208" i="11" s="1"/>
  <c r="AH208" i="11"/>
  <c r="AM208" i="11" s="1"/>
  <c r="AG208" i="11"/>
  <c r="AL208" i="11" s="1"/>
  <c r="AL207" i="11"/>
  <c r="AJ207" i="11"/>
  <c r="AO207" i="11" s="1"/>
  <c r="AI207" i="11"/>
  <c r="AN207" i="11" s="1"/>
  <c r="AH207" i="11"/>
  <c r="AM207" i="11" s="1"/>
  <c r="AG207" i="11"/>
  <c r="AL206" i="11"/>
  <c r="AJ206" i="11"/>
  <c r="AO206" i="11" s="1"/>
  <c r="AI206" i="11"/>
  <c r="AN206" i="11" s="1"/>
  <c r="AH206" i="11"/>
  <c r="AM206" i="11" s="1"/>
  <c r="AG206" i="11"/>
  <c r="AJ205" i="11"/>
  <c r="AO205" i="11" s="1"/>
  <c r="AI205" i="11"/>
  <c r="AN205" i="11" s="1"/>
  <c r="AH205" i="11"/>
  <c r="AM205" i="11" s="1"/>
  <c r="AG205" i="11"/>
  <c r="AL205" i="11" s="1"/>
  <c r="AN204" i="11"/>
  <c r="AJ204" i="11"/>
  <c r="AO204" i="11" s="1"/>
  <c r="AI204" i="11"/>
  <c r="AH204" i="11"/>
  <c r="AM204" i="11" s="1"/>
  <c r="AG204" i="11"/>
  <c r="AL204" i="11" s="1"/>
  <c r="AO203" i="11"/>
  <c r="AN203" i="11"/>
  <c r="AJ203" i="11"/>
  <c r="AI203" i="11"/>
  <c r="AH203" i="11"/>
  <c r="AM203" i="11" s="1"/>
  <c r="AG203" i="11"/>
  <c r="AL203" i="11" s="1"/>
  <c r="AO202" i="11"/>
  <c r="AN202" i="11"/>
  <c r="AJ202" i="11"/>
  <c r="AI202" i="11"/>
  <c r="AH202" i="11"/>
  <c r="AM202" i="11" s="1"/>
  <c r="AG202" i="11"/>
  <c r="AL202" i="11" s="1"/>
  <c r="AJ201" i="11"/>
  <c r="AO201" i="11" s="1"/>
  <c r="AP201" i="11" s="1"/>
  <c r="AI201" i="11"/>
  <c r="AN201" i="11" s="1"/>
  <c r="AH201" i="11"/>
  <c r="AM201" i="11" s="1"/>
  <c r="AG201" i="11"/>
  <c r="AL201" i="11" s="1"/>
  <c r="AJ200" i="11"/>
  <c r="AO200" i="11" s="1"/>
  <c r="AI200" i="11"/>
  <c r="AN200" i="11" s="1"/>
  <c r="AH200" i="11"/>
  <c r="AM200" i="11" s="1"/>
  <c r="AG200" i="11"/>
  <c r="AL200" i="11" s="1"/>
  <c r="AL199" i="11"/>
  <c r="AJ199" i="11"/>
  <c r="AO199" i="11" s="1"/>
  <c r="AI199" i="11"/>
  <c r="AN199" i="11" s="1"/>
  <c r="AH199" i="11"/>
  <c r="AM199" i="11" s="1"/>
  <c r="AG199" i="11"/>
  <c r="AL198" i="11"/>
  <c r="AJ198" i="11"/>
  <c r="AO198" i="11" s="1"/>
  <c r="AI198" i="11"/>
  <c r="AN198" i="11" s="1"/>
  <c r="AH198" i="11"/>
  <c r="AM198" i="11" s="1"/>
  <c r="AG198" i="11"/>
  <c r="AJ197" i="11"/>
  <c r="AO197" i="11" s="1"/>
  <c r="AI197" i="11"/>
  <c r="AN197" i="11" s="1"/>
  <c r="AH197" i="11"/>
  <c r="AM197" i="11" s="1"/>
  <c r="AG197" i="11"/>
  <c r="AL197" i="11" s="1"/>
  <c r="AN196" i="11"/>
  <c r="AJ196" i="11"/>
  <c r="AO196" i="11" s="1"/>
  <c r="AI196" i="11"/>
  <c r="AH196" i="11"/>
  <c r="AM196" i="11" s="1"/>
  <c r="AG196" i="11"/>
  <c r="AL196" i="11" s="1"/>
  <c r="AO195" i="11"/>
  <c r="AN195" i="11"/>
  <c r="AJ195" i="11"/>
  <c r="AI195" i="11"/>
  <c r="AH195" i="11"/>
  <c r="AM195" i="11" s="1"/>
  <c r="AG195" i="11"/>
  <c r="AL195" i="11" s="1"/>
  <c r="AP195" i="11" s="1"/>
  <c r="AO194" i="11"/>
  <c r="AN194" i="11"/>
  <c r="AJ194" i="11"/>
  <c r="AI194" i="11"/>
  <c r="AH194" i="11"/>
  <c r="AM194" i="11" s="1"/>
  <c r="AG194" i="11"/>
  <c r="AL194" i="11" s="1"/>
  <c r="AJ193" i="11"/>
  <c r="AO193" i="11" s="1"/>
  <c r="AP193" i="11" s="1"/>
  <c r="AI193" i="11"/>
  <c r="AN193" i="11" s="1"/>
  <c r="AH193" i="11"/>
  <c r="AM193" i="11" s="1"/>
  <c r="AG193" i="11"/>
  <c r="AL193" i="11" s="1"/>
  <c r="AJ192" i="11"/>
  <c r="AO192" i="11" s="1"/>
  <c r="AI192" i="11"/>
  <c r="AN192" i="11" s="1"/>
  <c r="AH192" i="11"/>
  <c r="AM192" i="11" s="1"/>
  <c r="AG192" i="11"/>
  <c r="AL192" i="11" s="1"/>
  <c r="AL191" i="11"/>
  <c r="AJ191" i="11"/>
  <c r="AO191" i="11" s="1"/>
  <c r="AI191" i="11"/>
  <c r="AN191" i="11" s="1"/>
  <c r="AH191" i="11"/>
  <c r="AM191" i="11" s="1"/>
  <c r="AG191" i="11"/>
  <c r="AL190" i="11"/>
  <c r="AJ190" i="11"/>
  <c r="AO190" i="11" s="1"/>
  <c r="AI190" i="11"/>
  <c r="AN190" i="11" s="1"/>
  <c r="AH190" i="11"/>
  <c r="AM190" i="11" s="1"/>
  <c r="AG190" i="11"/>
  <c r="AJ189" i="11"/>
  <c r="AO189" i="11" s="1"/>
  <c r="AI189" i="11"/>
  <c r="AN189" i="11" s="1"/>
  <c r="AH189" i="11"/>
  <c r="AM189" i="11" s="1"/>
  <c r="AG189" i="11"/>
  <c r="AL189" i="11" s="1"/>
  <c r="AN188" i="11"/>
  <c r="AJ188" i="11"/>
  <c r="AO188" i="11" s="1"/>
  <c r="AI188" i="11"/>
  <c r="AH188" i="11"/>
  <c r="AM188" i="11" s="1"/>
  <c r="AG188" i="11"/>
  <c r="AL188" i="11" s="1"/>
  <c r="AN187" i="11"/>
  <c r="AJ187" i="11"/>
  <c r="AO187" i="11" s="1"/>
  <c r="AI187" i="11"/>
  <c r="AH187" i="11"/>
  <c r="AM187" i="11" s="1"/>
  <c r="AG187" i="11"/>
  <c r="AL187" i="11" s="1"/>
  <c r="AP187" i="11" s="1"/>
  <c r="AO186" i="11"/>
  <c r="AN186" i="11"/>
  <c r="AJ186" i="11"/>
  <c r="AI186" i="11"/>
  <c r="AH186" i="11"/>
  <c r="AM186" i="11" s="1"/>
  <c r="AG186" i="11"/>
  <c r="AL186" i="11" s="1"/>
  <c r="AJ185" i="11"/>
  <c r="AO185" i="11" s="1"/>
  <c r="AP185" i="11" s="1"/>
  <c r="AI185" i="11"/>
  <c r="AN185" i="11" s="1"/>
  <c r="AH185" i="11"/>
  <c r="AM185" i="11" s="1"/>
  <c r="AG185" i="11"/>
  <c r="AL185" i="11" s="1"/>
  <c r="AJ184" i="11"/>
  <c r="AO184" i="11" s="1"/>
  <c r="AI184" i="11"/>
  <c r="AN184" i="11" s="1"/>
  <c r="AH184" i="11"/>
  <c r="AM184" i="11" s="1"/>
  <c r="AG184" i="11"/>
  <c r="AL184" i="11" s="1"/>
  <c r="AL183" i="11"/>
  <c r="AJ183" i="11"/>
  <c r="AO183" i="11" s="1"/>
  <c r="AI183" i="11"/>
  <c r="AN183" i="11" s="1"/>
  <c r="AH183" i="11"/>
  <c r="AM183" i="11" s="1"/>
  <c r="AG183" i="11"/>
  <c r="AL182" i="11"/>
  <c r="AJ182" i="11"/>
  <c r="AO182" i="11" s="1"/>
  <c r="AI182" i="11"/>
  <c r="AN182" i="11" s="1"/>
  <c r="AH182" i="11"/>
  <c r="AM182" i="11" s="1"/>
  <c r="AG182" i="11"/>
  <c r="AL181" i="11"/>
  <c r="AJ181" i="11"/>
  <c r="AO181" i="11" s="1"/>
  <c r="AI181" i="11"/>
  <c r="AN181" i="11" s="1"/>
  <c r="AH181" i="11"/>
  <c r="AM181" i="11" s="1"/>
  <c r="AG181" i="11"/>
  <c r="AN180" i="11"/>
  <c r="AJ180" i="11"/>
  <c r="AO180" i="11" s="1"/>
  <c r="AI180" i="11"/>
  <c r="AH180" i="11"/>
  <c r="AM180" i="11" s="1"/>
  <c r="AG180" i="11"/>
  <c r="AL180" i="11" s="1"/>
  <c r="AP180" i="11" s="1"/>
  <c r="AN179" i="11"/>
  <c r="AJ179" i="11"/>
  <c r="AO179" i="11" s="1"/>
  <c r="AI179" i="11"/>
  <c r="AH179" i="11"/>
  <c r="AM179" i="11" s="1"/>
  <c r="AG179" i="11"/>
  <c r="AL179" i="11" s="1"/>
  <c r="AP179" i="11" s="1"/>
  <c r="AO178" i="11"/>
  <c r="AN178" i="11"/>
  <c r="AJ178" i="11"/>
  <c r="AI178" i="11"/>
  <c r="AH178" i="11"/>
  <c r="AM178" i="11" s="1"/>
  <c r="AG178" i="11"/>
  <c r="AL178" i="11" s="1"/>
  <c r="AJ177" i="11"/>
  <c r="AO177" i="11" s="1"/>
  <c r="AP177" i="11" s="1"/>
  <c r="AI177" i="11"/>
  <c r="AN177" i="11" s="1"/>
  <c r="AH177" i="11"/>
  <c r="AM177" i="11" s="1"/>
  <c r="AG177" i="11"/>
  <c r="AL177" i="11" s="1"/>
  <c r="AJ176" i="11"/>
  <c r="AO176" i="11" s="1"/>
  <c r="AI176" i="11"/>
  <c r="AN176" i="11" s="1"/>
  <c r="AH176" i="11"/>
  <c r="AM176" i="11" s="1"/>
  <c r="AG176" i="11"/>
  <c r="AL176" i="11" s="1"/>
  <c r="AJ175" i="11"/>
  <c r="AO175" i="11" s="1"/>
  <c r="AI175" i="11"/>
  <c r="AN175" i="11" s="1"/>
  <c r="AH175" i="11"/>
  <c r="AM175" i="11" s="1"/>
  <c r="AG175" i="11"/>
  <c r="AL175" i="11" s="1"/>
  <c r="AJ174" i="11"/>
  <c r="AO174" i="11" s="1"/>
  <c r="AI174" i="11"/>
  <c r="AN174" i="11" s="1"/>
  <c r="AH174" i="11"/>
  <c r="AM174" i="11" s="1"/>
  <c r="AG174" i="11"/>
  <c r="AL174" i="11" s="1"/>
  <c r="AJ173" i="11"/>
  <c r="AO173" i="11" s="1"/>
  <c r="AI173" i="11"/>
  <c r="AN173" i="11" s="1"/>
  <c r="AH173" i="11"/>
  <c r="AM173" i="11" s="1"/>
  <c r="AG173" i="11"/>
  <c r="AL173" i="11" s="1"/>
  <c r="AM172" i="11"/>
  <c r="AJ172" i="11"/>
  <c r="AO172" i="11" s="1"/>
  <c r="AI172" i="11"/>
  <c r="AN172" i="11" s="1"/>
  <c r="AH172" i="11"/>
  <c r="AG172" i="11"/>
  <c r="AL172" i="11" s="1"/>
  <c r="AO171" i="11"/>
  <c r="AM171" i="11"/>
  <c r="AJ171" i="11"/>
  <c r="AI171" i="11"/>
  <c r="AN171" i="11" s="1"/>
  <c r="AH171" i="11"/>
  <c r="AG171" i="11"/>
  <c r="AL171" i="11" s="1"/>
  <c r="AO170" i="11"/>
  <c r="AN170" i="11"/>
  <c r="AM170" i="11"/>
  <c r="AJ170" i="11"/>
  <c r="AI170" i="11"/>
  <c r="AH170" i="11"/>
  <c r="AG170" i="11"/>
  <c r="AL170" i="11" s="1"/>
  <c r="AO169" i="11"/>
  <c r="AJ169" i="11"/>
  <c r="AI169" i="11"/>
  <c r="AN169" i="11" s="1"/>
  <c r="AP169" i="11" s="1"/>
  <c r="AH169" i="11"/>
  <c r="AM169" i="11" s="1"/>
  <c r="AG169" i="11"/>
  <c r="AL169" i="11" s="1"/>
  <c r="AJ168" i="11"/>
  <c r="AO168" i="11" s="1"/>
  <c r="AI168" i="11"/>
  <c r="AN168" i="11" s="1"/>
  <c r="AH168" i="11"/>
  <c r="AM168" i="11" s="1"/>
  <c r="AG168" i="11"/>
  <c r="AL168" i="11" s="1"/>
  <c r="AJ167" i="11"/>
  <c r="AO167" i="11" s="1"/>
  <c r="AI167" i="11"/>
  <c r="AN167" i="11" s="1"/>
  <c r="AH167" i="11"/>
  <c r="AM167" i="11" s="1"/>
  <c r="AG167" i="11"/>
  <c r="AL167" i="11" s="1"/>
  <c r="AL166" i="11"/>
  <c r="AJ166" i="11"/>
  <c r="AO166" i="11" s="1"/>
  <c r="AI166" i="11"/>
  <c r="AN166" i="11" s="1"/>
  <c r="AH166" i="11"/>
  <c r="AM166" i="11" s="1"/>
  <c r="AG166" i="11"/>
  <c r="AM165" i="11"/>
  <c r="AJ165" i="11"/>
  <c r="AO165" i="11" s="1"/>
  <c r="AI165" i="11"/>
  <c r="AN165" i="11" s="1"/>
  <c r="AH165" i="11"/>
  <c r="AG165" i="11"/>
  <c r="AL165" i="11" s="1"/>
  <c r="AN164" i="11"/>
  <c r="AL164" i="11"/>
  <c r="AJ164" i="11"/>
  <c r="AO164" i="11" s="1"/>
  <c r="AI164" i="11"/>
  <c r="AH164" i="11"/>
  <c r="AM164" i="11" s="1"/>
  <c r="AG164" i="11"/>
  <c r="AO163" i="11"/>
  <c r="AN163" i="11"/>
  <c r="AL163" i="11"/>
  <c r="AJ163" i="11"/>
  <c r="AI163" i="11"/>
  <c r="AH163" i="11"/>
  <c r="AM163" i="11" s="1"/>
  <c r="AG163" i="11"/>
  <c r="AN162" i="11"/>
  <c r="AM162" i="11"/>
  <c r="AJ162" i="11"/>
  <c r="AO162" i="11" s="1"/>
  <c r="AI162" i="11"/>
  <c r="AH162" i="11"/>
  <c r="AG162" i="11"/>
  <c r="AL162" i="11" s="1"/>
  <c r="AO161" i="11"/>
  <c r="AN161" i="11"/>
  <c r="AJ161" i="11"/>
  <c r="AI161" i="11"/>
  <c r="AH161" i="11"/>
  <c r="AM161" i="11" s="1"/>
  <c r="AG161" i="11"/>
  <c r="AL161" i="11" s="1"/>
  <c r="AJ160" i="11"/>
  <c r="AO160" i="11" s="1"/>
  <c r="AI160" i="11"/>
  <c r="AN160" i="11" s="1"/>
  <c r="AH160" i="11"/>
  <c r="AM160" i="11" s="1"/>
  <c r="AG160" i="11"/>
  <c r="AL160" i="11" s="1"/>
  <c r="AJ159" i="11"/>
  <c r="AO159" i="11" s="1"/>
  <c r="AI159" i="11"/>
  <c r="AN159" i="11" s="1"/>
  <c r="AH159" i="11"/>
  <c r="AM159" i="11" s="1"/>
  <c r="AG159" i="11"/>
  <c r="AL159" i="11" s="1"/>
  <c r="AJ158" i="11"/>
  <c r="AO158" i="11" s="1"/>
  <c r="AI158" i="11"/>
  <c r="AN158" i="11" s="1"/>
  <c r="AH158" i="11"/>
  <c r="AM158" i="11" s="1"/>
  <c r="AG158" i="11"/>
  <c r="AL158" i="11" s="1"/>
  <c r="AJ157" i="11"/>
  <c r="AO157" i="11" s="1"/>
  <c r="AI157" i="11"/>
  <c r="AN157" i="11" s="1"/>
  <c r="AH157" i="11"/>
  <c r="AM157" i="11" s="1"/>
  <c r="AG157" i="11"/>
  <c r="AL157" i="11" s="1"/>
  <c r="AN156" i="11"/>
  <c r="AL156" i="11"/>
  <c r="AJ156" i="11"/>
  <c r="AO156" i="11" s="1"/>
  <c r="AI156" i="11"/>
  <c r="AH156" i="11"/>
  <c r="AM156" i="11" s="1"/>
  <c r="AG156" i="11"/>
  <c r="AO155" i="11"/>
  <c r="AN155" i="11"/>
  <c r="AL155" i="11"/>
  <c r="AJ155" i="11"/>
  <c r="AI155" i="11"/>
  <c r="AH155" i="11"/>
  <c r="AM155" i="11" s="1"/>
  <c r="AG155" i="11"/>
  <c r="AM154" i="11"/>
  <c r="AJ154" i="11"/>
  <c r="AO154" i="11" s="1"/>
  <c r="AI154" i="11"/>
  <c r="AN154" i="11" s="1"/>
  <c r="AH154" i="11"/>
  <c r="AG154" i="11"/>
  <c r="AL154" i="11" s="1"/>
  <c r="AJ153" i="11"/>
  <c r="AO153" i="11" s="1"/>
  <c r="AI153" i="11"/>
  <c r="AN153" i="11" s="1"/>
  <c r="AH153" i="11"/>
  <c r="AM153" i="11" s="1"/>
  <c r="AG153" i="11"/>
  <c r="AL153" i="11" s="1"/>
  <c r="AJ152" i="11"/>
  <c r="AO152" i="11" s="1"/>
  <c r="AI152" i="11"/>
  <c r="AN152" i="11" s="1"/>
  <c r="AH152" i="11"/>
  <c r="AM152" i="11" s="1"/>
  <c r="AG152" i="11"/>
  <c r="AL152" i="11" s="1"/>
  <c r="AJ151" i="11"/>
  <c r="AO151" i="11" s="1"/>
  <c r="AI151" i="11"/>
  <c r="AN151" i="11" s="1"/>
  <c r="AH151" i="11"/>
  <c r="AM151" i="11" s="1"/>
  <c r="AG151" i="11"/>
  <c r="AL151" i="11" s="1"/>
  <c r="AJ150" i="11"/>
  <c r="AO150" i="11" s="1"/>
  <c r="AI150" i="11"/>
  <c r="AN150" i="11" s="1"/>
  <c r="AH150" i="11"/>
  <c r="AM150" i="11" s="1"/>
  <c r="AG150" i="11"/>
  <c r="AL150" i="11" s="1"/>
  <c r="AJ149" i="11"/>
  <c r="AO149" i="11" s="1"/>
  <c r="AI149" i="11"/>
  <c r="AN149" i="11" s="1"/>
  <c r="AH149" i="11"/>
  <c r="AM149" i="11" s="1"/>
  <c r="AG149" i="11"/>
  <c r="AL149" i="11" s="1"/>
  <c r="AN148" i="11"/>
  <c r="AM148" i="11"/>
  <c r="AJ148" i="11"/>
  <c r="AO148" i="11" s="1"/>
  <c r="AI148" i="11"/>
  <c r="AH148" i="11"/>
  <c r="AG148" i="11"/>
  <c r="AL148" i="11" s="1"/>
  <c r="AO147" i="11"/>
  <c r="AM147" i="11"/>
  <c r="AL147" i="11"/>
  <c r="AJ147" i="11"/>
  <c r="AI147" i="11"/>
  <c r="AN147" i="11" s="1"/>
  <c r="AH147" i="11"/>
  <c r="AG147" i="11"/>
  <c r="AJ146" i="11"/>
  <c r="AO146" i="11" s="1"/>
  <c r="AI146" i="11"/>
  <c r="AN146" i="11" s="1"/>
  <c r="AH146" i="11"/>
  <c r="AM146" i="11" s="1"/>
  <c r="AG146" i="11"/>
  <c r="AL146" i="11" s="1"/>
  <c r="AN145" i="11"/>
  <c r="AJ145" i="11"/>
  <c r="AO145" i="11" s="1"/>
  <c r="AI145" i="11"/>
  <c r="AH145" i="11"/>
  <c r="AM145" i="11" s="1"/>
  <c r="AG145" i="11"/>
  <c r="AL145" i="11" s="1"/>
  <c r="AL144" i="11"/>
  <c r="AJ144" i="11"/>
  <c r="AO144" i="11" s="1"/>
  <c r="AI144" i="11"/>
  <c r="AN144" i="11" s="1"/>
  <c r="AH144" i="11"/>
  <c r="AM144" i="11" s="1"/>
  <c r="AP144" i="11" s="1"/>
  <c r="AG144" i="11"/>
  <c r="AJ143" i="11"/>
  <c r="AO143" i="11" s="1"/>
  <c r="AI143" i="11"/>
  <c r="AN143" i="11" s="1"/>
  <c r="AH143" i="11"/>
  <c r="AM143" i="11" s="1"/>
  <c r="AG143" i="11"/>
  <c r="AL143" i="11" s="1"/>
  <c r="AL142" i="11"/>
  <c r="AJ142" i="11"/>
  <c r="AO142" i="11" s="1"/>
  <c r="AI142" i="11"/>
  <c r="AN142" i="11" s="1"/>
  <c r="AH142" i="11"/>
  <c r="AM142" i="11" s="1"/>
  <c r="AG142" i="11"/>
  <c r="AM141" i="11"/>
  <c r="AL141" i="11"/>
  <c r="AJ141" i="11"/>
  <c r="AO141" i="11" s="1"/>
  <c r="AI141" i="11"/>
  <c r="AN141" i="11" s="1"/>
  <c r="AH141" i="11"/>
  <c r="AG141" i="11"/>
  <c r="AJ140" i="11"/>
  <c r="AO140" i="11" s="1"/>
  <c r="AI140" i="11"/>
  <c r="AN140" i="11" s="1"/>
  <c r="AH140" i="11"/>
  <c r="AM140" i="11" s="1"/>
  <c r="AG140" i="11"/>
  <c r="AL140" i="11" s="1"/>
  <c r="AP140" i="11" s="1"/>
  <c r="AL139" i="11"/>
  <c r="AJ139" i="11"/>
  <c r="AO139" i="11" s="1"/>
  <c r="AI139" i="11"/>
  <c r="AN139" i="11" s="1"/>
  <c r="AH139" i="11"/>
  <c r="AM139" i="11" s="1"/>
  <c r="AG139" i="11"/>
  <c r="AM138" i="11"/>
  <c r="AJ138" i="11"/>
  <c r="AO138" i="11" s="1"/>
  <c r="AI138" i="11"/>
  <c r="AN138" i="11" s="1"/>
  <c r="AH138" i="11"/>
  <c r="AG138" i="11"/>
  <c r="AL138" i="11" s="1"/>
  <c r="AL137" i="11"/>
  <c r="AJ137" i="11"/>
  <c r="AO137" i="11" s="1"/>
  <c r="AI137" i="11"/>
  <c r="AN137" i="11" s="1"/>
  <c r="AH137" i="11"/>
  <c r="AM137" i="11" s="1"/>
  <c r="AG137" i="11"/>
  <c r="AJ136" i="11"/>
  <c r="AO136" i="11" s="1"/>
  <c r="AI136" i="11"/>
  <c r="AN136" i="11" s="1"/>
  <c r="AH136" i="11"/>
  <c r="AM136" i="11" s="1"/>
  <c r="AG136" i="11"/>
  <c r="AL136" i="11" s="1"/>
  <c r="AN135" i="11"/>
  <c r="AJ135" i="11"/>
  <c r="AO135" i="11" s="1"/>
  <c r="AI135" i="11"/>
  <c r="AH135" i="11"/>
  <c r="AM135" i="11" s="1"/>
  <c r="AG135" i="11"/>
  <c r="AL135" i="11" s="1"/>
  <c r="AL134" i="11"/>
  <c r="AJ134" i="11"/>
  <c r="AO134" i="11" s="1"/>
  <c r="AI134" i="11"/>
  <c r="AN134" i="11" s="1"/>
  <c r="AH134" i="11"/>
  <c r="AM134" i="11" s="1"/>
  <c r="AG134" i="11"/>
  <c r="AJ133" i="11"/>
  <c r="AO133" i="11" s="1"/>
  <c r="AI133" i="11"/>
  <c r="AN133" i="11" s="1"/>
  <c r="AH133" i="11"/>
  <c r="AM133" i="11" s="1"/>
  <c r="AG133" i="11"/>
  <c r="AL133" i="11" s="1"/>
  <c r="AM132" i="11"/>
  <c r="AJ132" i="11"/>
  <c r="AO132" i="11" s="1"/>
  <c r="AI132" i="11"/>
  <c r="AN132" i="11" s="1"/>
  <c r="AH132" i="11"/>
  <c r="AG132" i="11"/>
  <c r="AL132" i="11" s="1"/>
  <c r="AM131" i="11"/>
  <c r="AJ131" i="11"/>
  <c r="AO131" i="11" s="1"/>
  <c r="AI131" i="11"/>
  <c r="AN131" i="11" s="1"/>
  <c r="AH131" i="11"/>
  <c r="AG131" i="11"/>
  <c r="AL131" i="11" s="1"/>
  <c r="AJ123" i="11"/>
  <c r="AO123" i="11" s="1"/>
  <c r="AI123" i="11"/>
  <c r="AN123" i="11" s="1"/>
  <c r="AH123" i="11"/>
  <c r="AM123" i="11" s="1"/>
  <c r="AG123" i="11"/>
  <c r="AL123" i="11" s="1"/>
  <c r="AJ120" i="11"/>
  <c r="AO120" i="11" s="1"/>
  <c r="AI120" i="11"/>
  <c r="AN120" i="11" s="1"/>
  <c r="AH120" i="11"/>
  <c r="AM120" i="11" s="1"/>
  <c r="AG120" i="11"/>
  <c r="AL120" i="11" s="1"/>
  <c r="AJ125" i="11"/>
  <c r="AO125" i="11" s="1"/>
  <c r="AI125" i="11"/>
  <c r="AN125" i="11" s="1"/>
  <c r="AH125" i="11"/>
  <c r="AM125" i="11" s="1"/>
  <c r="AG125" i="11"/>
  <c r="AL125" i="11" s="1"/>
  <c r="AJ117" i="11"/>
  <c r="AO117" i="11" s="1"/>
  <c r="AI117" i="11"/>
  <c r="AN117" i="11" s="1"/>
  <c r="AH117" i="11"/>
  <c r="AM117" i="11" s="1"/>
  <c r="AG117" i="11"/>
  <c r="AL117" i="11" s="1"/>
  <c r="AJ121" i="11"/>
  <c r="AO121" i="11" s="1"/>
  <c r="AI121" i="11"/>
  <c r="AN121" i="11" s="1"/>
  <c r="AH121" i="11"/>
  <c r="AM121" i="11" s="1"/>
  <c r="AG121" i="11"/>
  <c r="AL121" i="11" s="1"/>
  <c r="AJ129" i="11"/>
  <c r="AO129" i="11" s="1"/>
  <c r="AI129" i="11"/>
  <c r="AN129" i="11" s="1"/>
  <c r="AH129" i="11"/>
  <c r="AM129" i="11" s="1"/>
  <c r="AG129" i="11"/>
  <c r="AL129" i="11" s="1"/>
  <c r="AJ130" i="11"/>
  <c r="AO130" i="11" s="1"/>
  <c r="AI130" i="11"/>
  <c r="AN130" i="11" s="1"/>
  <c r="AH130" i="11"/>
  <c r="AM130" i="11" s="1"/>
  <c r="AG130" i="11"/>
  <c r="AL130" i="11" s="1"/>
  <c r="AJ122" i="11"/>
  <c r="AO122" i="11" s="1"/>
  <c r="AI122" i="11"/>
  <c r="AN122" i="11" s="1"/>
  <c r="AH122" i="11"/>
  <c r="AM122" i="11" s="1"/>
  <c r="AG122" i="11"/>
  <c r="AL122" i="11" s="1"/>
  <c r="AJ118" i="11"/>
  <c r="AO118" i="11" s="1"/>
  <c r="AI118" i="11"/>
  <c r="AN118" i="11" s="1"/>
  <c r="AH118" i="11"/>
  <c r="AM118" i="11" s="1"/>
  <c r="AG118" i="11"/>
  <c r="AL118" i="11" s="1"/>
  <c r="AJ115" i="11"/>
  <c r="AO115" i="11" s="1"/>
  <c r="AI115" i="11"/>
  <c r="AN115" i="11" s="1"/>
  <c r="AH115" i="11"/>
  <c r="AM115" i="11" s="1"/>
  <c r="AG115" i="11"/>
  <c r="AL115" i="11" s="1"/>
  <c r="AJ128" i="11"/>
  <c r="AO128" i="11" s="1"/>
  <c r="AI128" i="11"/>
  <c r="AN128" i="11" s="1"/>
  <c r="AH128" i="11"/>
  <c r="AM128" i="11" s="1"/>
  <c r="AG128" i="11"/>
  <c r="AL128" i="11" s="1"/>
  <c r="AJ110" i="11"/>
  <c r="AO110" i="11" s="1"/>
  <c r="AI110" i="11"/>
  <c r="AN110" i="11" s="1"/>
  <c r="AH110" i="11"/>
  <c r="AM110" i="11" s="1"/>
  <c r="AG110" i="11"/>
  <c r="AL110" i="11" s="1"/>
  <c r="AJ127" i="11"/>
  <c r="AO127" i="11" s="1"/>
  <c r="AI127" i="11"/>
  <c r="AN127" i="11" s="1"/>
  <c r="AH127" i="11"/>
  <c r="AM127" i="11" s="1"/>
  <c r="AG127" i="11"/>
  <c r="AL127" i="11" s="1"/>
  <c r="AJ124" i="11"/>
  <c r="AO124" i="11" s="1"/>
  <c r="AI124" i="11"/>
  <c r="AN124" i="11" s="1"/>
  <c r="AH124" i="11"/>
  <c r="AM124" i="11" s="1"/>
  <c r="AG124" i="11"/>
  <c r="AL124" i="11" s="1"/>
  <c r="AJ126" i="11"/>
  <c r="AO126" i="11" s="1"/>
  <c r="AI126" i="11"/>
  <c r="AN126" i="11" s="1"/>
  <c r="AH126" i="11"/>
  <c r="AM126" i="11" s="1"/>
  <c r="AG126" i="11"/>
  <c r="AL126" i="11" s="1"/>
  <c r="AO112" i="11"/>
  <c r="AJ112" i="11"/>
  <c r="AI112" i="11"/>
  <c r="AN112" i="11" s="1"/>
  <c r="AH112" i="11"/>
  <c r="AM112" i="11" s="1"/>
  <c r="AG112" i="11"/>
  <c r="AL112" i="11" s="1"/>
  <c r="AJ113" i="11"/>
  <c r="AO113" i="11" s="1"/>
  <c r="AI113" i="11"/>
  <c r="AN113" i="11" s="1"/>
  <c r="AH113" i="11"/>
  <c r="AM113" i="11" s="1"/>
  <c r="AG113" i="11"/>
  <c r="AL113" i="11" s="1"/>
  <c r="AJ119" i="11"/>
  <c r="AO119" i="11" s="1"/>
  <c r="AI119" i="11"/>
  <c r="AN119" i="11" s="1"/>
  <c r="AH119" i="11"/>
  <c r="AM119" i="11" s="1"/>
  <c r="AG119" i="11"/>
  <c r="AL119" i="11" s="1"/>
  <c r="AJ111" i="11"/>
  <c r="AO111" i="11" s="1"/>
  <c r="AI111" i="11"/>
  <c r="AN111" i="11" s="1"/>
  <c r="AH111" i="11"/>
  <c r="AM111" i="11" s="1"/>
  <c r="AG111" i="11"/>
  <c r="AL111" i="11" s="1"/>
  <c r="AJ114" i="11"/>
  <c r="AO114" i="11" s="1"/>
  <c r="AI114" i="11"/>
  <c r="AN114" i="11" s="1"/>
  <c r="AH114" i="11"/>
  <c r="AM114" i="11" s="1"/>
  <c r="AG114" i="11"/>
  <c r="AL114" i="11" s="1"/>
  <c r="AJ116" i="11"/>
  <c r="AO116" i="11" s="1"/>
  <c r="AI116" i="11"/>
  <c r="AN116" i="11" s="1"/>
  <c r="AH116" i="11"/>
  <c r="AM116" i="11" s="1"/>
  <c r="AG116" i="11"/>
  <c r="AL116" i="11" s="1"/>
  <c r="AJ109" i="11"/>
  <c r="AO109" i="11" s="1"/>
  <c r="AI109" i="11"/>
  <c r="AN109" i="11" s="1"/>
  <c r="AH109" i="11"/>
  <c r="AM109" i="11" s="1"/>
  <c r="AG109" i="11"/>
  <c r="AL109" i="11" s="1"/>
  <c r="AJ108" i="11"/>
  <c r="AO108" i="11" s="1"/>
  <c r="AI108" i="11"/>
  <c r="AN108" i="11" s="1"/>
  <c r="AH108" i="11"/>
  <c r="AM108" i="11" s="1"/>
  <c r="AG108" i="11"/>
  <c r="AL108" i="11" s="1"/>
  <c r="AL107" i="11"/>
  <c r="AJ107" i="11"/>
  <c r="AO107" i="11" s="1"/>
  <c r="AI107" i="11"/>
  <c r="AN107" i="11" s="1"/>
  <c r="AH107" i="11"/>
  <c r="AM107" i="11" s="1"/>
  <c r="AG107" i="11"/>
  <c r="AM106" i="11"/>
  <c r="AJ106" i="11"/>
  <c r="AO106" i="11" s="1"/>
  <c r="AI106" i="11"/>
  <c r="AN106" i="11" s="1"/>
  <c r="AH106" i="11"/>
  <c r="AG106" i="11"/>
  <c r="AL106" i="11" s="1"/>
  <c r="AL105" i="11"/>
  <c r="AJ105" i="11"/>
  <c r="AO105" i="11" s="1"/>
  <c r="AI105" i="11"/>
  <c r="AN105" i="11" s="1"/>
  <c r="AH105" i="11"/>
  <c r="AM105" i="11" s="1"/>
  <c r="AG105" i="11"/>
  <c r="AM104" i="11"/>
  <c r="AJ104" i="11"/>
  <c r="AO104" i="11" s="1"/>
  <c r="AI104" i="11"/>
  <c r="AN104" i="11" s="1"/>
  <c r="AH104" i="11"/>
  <c r="AG104" i="11"/>
  <c r="AL104" i="11" s="1"/>
  <c r="AM103" i="11"/>
  <c r="AJ103" i="11"/>
  <c r="AO103" i="11" s="1"/>
  <c r="AI103" i="11"/>
  <c r="AN103" i="11" s="1"/>
  <c r="AH103" i="11"/>
  <c r="AG103" i="11"/>
  <c r="AL103" i="11" s="1"/>
  <c r="AL102" i="11"/>
  <c r="AJ102" i="11"/>
  <c r="AO102" i="11" s="1"/>
  <c r="AI102" i="11"/>
  <c r="AN102" i="11" s="1"/>
  <c r="AH102" i="11"/>
  <c r="AM102" i="11" s="1"/>
  <c r="AG102" i="11"/>
  <c r="AL101" i="11"/>
  <c r="AJ101" i="11"/>
  <c r="AO101" i="11" s="1"/>
  <c r="AI101" i="11"/>
  <c r="AN101" i="11" s="1"/>
  <c r="AH101" i="11"/>
  <c r="AM101" i="11" s="1"/>
  <c r="AG101" i="11"/>
  <c r="AL100" i="11"/>
  <c r="AJ100" i="11"/>
  <c r="AO100" i="11" s="1"/>
  <c r="AI100" i="11"/>
  <c r="AN100" i="11" s="1"/>
  <c r="AH100" i="11"/>
  <c r="AM100" i="11" s="1"/>
  <c r="AG100" i="11"/>
  <c r="AJ99" i="11"/>
  <c r="AO99" i="11" s="1"/>
  <c r="AI99" i="11"/>
  <c r="AN99" i="11" s="1"/>
  <c r="AH99" i="11"/>
  <c r="AM99" i="11" s="1"/>
  <c r="AG99" i="11"/>
  <c r="AL99" i="11" s="1"/>
  <c r="AL98" i="11"/>
  <c r="AJ98" i="11"/>
  <c r="AO98" i="11" s="1"/>
  <c r="AI98" i="11"/>
  <c r="AN98" i="11" s="1"/>
  <c r="AH98" i="11"/>
  <c r="AM98" i="11" s="1"/>
  <c r="AG98" i="11"/>
  <c r="AN97" i="11"/>
  <c r="AM97" i="11"/>
  <c r="AJ97" i="11"/>
  <c r="AO97" i="11" s="1"/>
  <c r="AI97" i="11"/>
  <c r="AH97" i="11"/>
  <c r="AG97" i="11"/>
  <c r="AL97" i="11" s="1"/>
  <c r="AM96" i="11"/>
  <c r="AL96" i="11"/>
  <c r="AJ96" i="11"/>
  <c r="AO96" i="11" s="1"/>
  <c r="AI96" i="11"/>
  <c r="AN96" i="11" s="1"/>
  <c r="AH96" i="11"/>
  <c r="AG96" i="11"/>
  <c r="AM95" i="11"/>
  <c r="AJ95" i="11"/>
  <c r="AO95" i="11" s="1"/>
  <c r="AI95" i="11"/>
  <c r="AN95" i="11" s="1"/>
  <c r="AH95" i="11"/>
  <c r="AG95" i="11"/>
  <c r="AL95" i="11" s="1"/>
  <c r="AJ94" i="11"/>
  <c r="AO94" i="11" s="1"/>
  <c r="AI94" i="11"/>
  <c r="AN94" i="11" s="1"/>
  <c r="AH94" i="11"/>
  <c r="AM94" i="11" s="1"/>
  <c r="AG94" i="11"/>
  <c r="AL94" i="11" s="1"/>
  <c r="AL93" i="11"/>
  <c r="AJ93" i="11"/>
  <c r="AO93" i="11" s="1"/>
  <c r="AI93" i="11"/>
  <c r="AN93" i="11" s="1"/>
  <c r="AH93" i="11"/>
  <c r="AM93" i="11" s="1"/>
  <c r="AG93" i="11"/>
  <c r="AM92" i="11"/>
  <c r="AL92" i="11"/>
  <c r="AJ92" i="11"/>
  <c r="AO92" i="11" s="1"/>
  <c r="AI92" i="11"/>
  <c r="AN92" i="11" s="1"/>
  <c r="AH92" i="11"/>
  <c r="AG92" i="11"/>
  <c r="AM91" i="11"/>
  <c r="AJ91" i="11"/>
  <c r="AO91" i="11" s="1"/>
  <c r="AI91" i="11"/>
  <c r="AN91" i="11" s="1"/>
  <c r="AH91" i="11"/>
  <c r="AG91" i="11"/>
  <c r="AL91" i="11" s="1"/>
  <c r="AL90" i="11"/>
  <c r="AJ90" i="11"/>
  <c r="AO90" i="11" s="1"/>
  <c r="AI90" i="11"/>
  <c r="AN90" i="11" s="1"/>
  <c r="AH90" i="11"/>
  <c r="AM90" i="11" s="1"/>
  <c r="AG90" i="11"/>
  <c r="AO89" i="11"/>
  <c r="AJ89" i="11"/>
  <c r="AI89" i="11"/>
  <c r="AN89" i="11" s="1"/>
  <c r="AH89" i="11"/>
  <c r="AM89" i="11" s="1"/>
  <c r="AG89" i="11"/>
  <c r="AL89" i="11" s="1"/>
  <c r="AN88" i="11"/>
  <c r="AJ88" i="11"/>
  <c r="AO88" i="11" s="1"/>
  <c r="AI88" i="11"/>
  <c r="AH88" i="11"/>
  <c r="AM88" i="11" s="1"/>
  <c r="AG88" i="11"/>
  <c r="AL88" i="11" s="1"/>
  <c r="AO87" i="11"/>
  <c r="AN87" i="11"/>
  <c r="AJ87" i="11"/>
  <c r="AI87" i="11"/>
  <c r="AH87" i="11"/>
  <c r="AM87" i="11" s="1"/>
  <c r="AG87" i="11"/>
  <c r="AL87" i="11" s="1"/>
  <c r="AN86" i="11"/>
  <c r="AJ86" i="11"/>
  <c r="AO86" i="11" s="1"/>
  <c r="AI86" i="11"/>
  <c r="AH86" i="11"/>
  <c r="AM86" i="11" s="1"/>
  <c r="AG86" i="11"/>
  <c r="AL86" i="11" s="1"/>
  <c r="AN85" i="11"/>
  <c r="AM85" i="11"/>
  <c r="AJ85" i="11"/>
  <c r="AO85" i="11" s="1"/>
  <c r="AI85" i="11"/>
  <c r="AH85" i="11"/>
  <c r="AG85" i="11"/>
  <c r="AL85" i="11" s="1"/>
  <c r="AO84" i="11"/>
  <c r="AM84" i="11"/>
  <c r="AJ84" i="11"/>
  <c r="AI84" i="11"/>
  <c r="AN84" i="11" s="1"/>
  <c r="AH84" i="11"/>
  <c r="AG84" i="11"/>
  <c r="AL84" i="11" s="1"/>
  <c r="AN83" i="11"/>
  <c r="AJ83" i="11"/>
  <c r="AO83" i="11" s="1"/>
  <c r="AI83" i="11"/>
  <c r="AH83" i="11"/>
  <c r="AM83" i="11" s="1"/>
  <c r="AG83" i="11"/>
  <c r="AL83" i="11" s="1"/>
  <c r="AJ82" i="11"/>
  <c r="AO82" i="11" s="1"/>
  <c r="AI82" i="11"/>
  <c r="AN82" i="11" s="1"/>
  <c r="AH82" i="11"/>
  <c r="AM82" i="11" s="1"/>
  <c r="AG82" i="11"/>
  <c r="AL82" i="11" s="1"/>
  <c r="AJ81" i="11"/>
  <c r="AO81" i="11" s="1"/>
  <c r="AI81" i="11"/>
  <c r="AN81" i="11" s="1"/>
  <c r="AH81" i="11"/>
  <c r="AM81" i="11" s="1"/>
  <c r="AG81" i="11"/>
  <c r="AL81" i="11" s="1"/>
  <c r="AL80" i="11"/>
  <c r="AJ80" i="11"/>
  <c r="AO80" i="11" s="1"/>
  <c r="AI80" i="11"/>
  <c r="AN80" i="11" s="1"/>
  <c r="AH80" i="11"/>
  <c r="AM80" i="11" s="1"/>
  <c r="AG80" i="11"/>
  <c r="AM79" i="11"/>
  <c r="AJ79" i="11"/>
  <c r="AO79" i="11" s="1"/>
  <c r="AI79" i="11"/>
  <c r="AN79" i="11" s="1"/>
  <c r="AH79" i="11"/>
  <c r="AG79" i="11"/>
  <c r="AL79" i="11" s="1"/>
  <c r="AN78" i="11"/>
  <c r="AM78" i="11"/>
  <c r="AJ78" i="11"/>
  <c r="AO78" i="11" s="1"/>
  <c r="AI78" i="11"/>
  <c r="AH78" i="11"/>
  <c r="AG78" i="11"/>
  <c r="AL78" i="11" s="1"/>
  <c r="AN77" i="11"/>
  <c r="AM77" i="11"/>
  <c r="AJ77" i="11"/>
  <c r="AO77" i="11" s="1"/>
  <c r="AI77" i="11"/>
  <c r="AH77" i="11"/>
  <c r="AG77" i="11"/>
  <c r="AL77" i="11" s="1"/>
  <c r="AO76" i="11"/>
  <c r="AM76" i="11"/>
  <c r="AJ76" i="11"/>
  <c r="AI76" i="11"/>
  <c r="AN76" i="11" s="1"/>
  <c r="AH76" i="11"/>
  <c r="AG76" i="11"/>
  <c r="AL76" i="11" s="1"/>
  <c r="AN75" i="11"/>
  <c r="AJ75" i="11"/>
  <c r="AO75" i="11" s="1"/>
  <c r="AI75" i="11"/>
  <c r="AH75" i="11"/>
  <c r="AM75" i="11" s="1"/>
  <c r="AG75" i="11"/>
  <c r="AL75" i="11" s="1"/>
  <c r="AJ74" i="11"/>
  <c r="AO74" i="11" s="1"/>
  <c r="AI74" i="11"/>
  <c r="AN74" i="11" s="1"/>
  <c r="AH74" i="11"/>
  <c r="AM74" i="11" s="1"/>
  <c r="AG74" i="11"/>
  <c r="AL74" i="11" s="1"/>
  <c r="AJ73" i="11"/>
  <c r="AO73" i="11" s="1"/>
  <c r="AI73" i="11"/>
  <c r="AN73" i="11" s="1"/>
  <c r="AH73" i="11"/>
  <c r="AM73" i="11" s="1"/>
  <c r="AG73" i="11"/>
  <c r="AL73" i="11" s="1"/>
  <c r="AL72" i="11"/>
  <c r="AJ72" i="11"/>
  <c r="AO72" i="11" s="1"/>
  <c r="AI72" i="11"/>
  <c r="AN72" i="11" s="1"/>
  <c r="AH72" i="11"/>
  <c r="AM72" i="11" s="1"/>
  <c r="AG72" i="11"/>
  <c r="AM71" i="11"/>
  <c r="AJ71" i="11"/>
  <c r="AO71" i="11" s="1"/>
  <c r="AI71" i="11"/>
  <c r="AN71" i="11" s="1"/>
  <c r="AH71" i="11"/>
  <c r="AG71" i="11"/>
  <c r="AL71" i="11" s="1"/>
  <c r="AN70" i="11"/>
  <c r="AM70" i="11"/>
  <c r="AJ70" i="11"/>
  <c r="AO70" i="11" s="1"/>
  <c r="AI70" i="11"/>
  <c r="AH70" i="11"/>
  <c r="AG70" i="11"/>
  <c r="AL70" i="11" s="1"/>
  <c r="AN69" i="11"/>
  <c r="AM69" i="11"/>
  <c r="AJ69" i="11"/>
  <c r="AO69" i="11" s="1"/>
  <c r="AI69" i="11"/>
  <c r="AH69" i="11"/>
  <c r="AG69" i="11"/>
  <c r="AL69" i="11" s="1"/>
  <c r="AN68" i="11"/>
  <c r="AJ68" i="11"/>
  <c r="AO68" i="11" s="1"/>
  <c r="AI68" i="11"/>
  <c r="AH68" i="11"/>
  <c r="AM68" i="11" s="1"/>
  <c r="AG68" i="11"/>
  <c r="AL68" i="11" s="1"/>
  <c r="AN67" i="11"/>
  <c r="AL67" i="11"/>
  <c r="AJ67" i="11"/>
  <c r="AO67" i="11" s="1"/>
  <c r="AI67" i="11"/>
  <c r="AH67" i="11"/>
  <c r="AM67" i="11" s="1"/>
  <c r="AG67" i="11"/>
  <c r="AJ66" i="11"/>
  <c r="AO66" i="11" s="1"/>
  <c r="AI66" i="11"/>
  <c r="AN66" i="11" s="1"/>
  <c r="AH66" i="11"/>
  <c r="AM66" i="11" s="1"/>
  <c r="AG66" i="11"/>
  <c r="AL66" i="11" s="1"/>
  <c r="AJ65" i="11"/>
  <c r="AO65" i="11" s="1"/>
  <c r="AI65" i="11"/>
  <c r="AN65" i="11" s="1"/>
  <c r="AH65" i="11"/>
  <c r="AM65" i="11" s="1"/>
  <c r="AG65" i="11"/>
  <c r="AL65" i="11" s="1"/>
  <c r="AO64" i="11"/>
  <c r="AJ64" i="11"/>
  <c r="AI64" i="11"/>
  <c r="AN64" i="11" s="1"/>
  <c r="AH64" i="11"/>
  <c r="AM64" i="11" s="1"/>
  <c r="AG64" i="11"/>
  <c r="AL64" i="11" s="1"/>
  <c r="AJ63" i="11"/>
  <c r="AO63" i="11" s="1"/>
  <c r="AI63" i="11"/>
  <c r="AN63" i="11" s="1"/>
  <c r="AH63" i="11"/>
  <c r="AM63" i="11" s="1"/>
  <c r="AG63" i="11"/>
  <c r="AL63" i="11" s="1"/>
  <c r="AP63" i="11" s="1"/>
  <c r="AN62" i="11"/>
  <c r="AL62" i="11"/>
  <c r="AJ62" i="11"/>
  <c r="AO62" i="11" s="1"/>
  <c r="AI62" i="11"/>
  <c r="AH62" i="11"/>
  <c r="AM62" i="11" s="1"/>
  <c r="AG62" i="11"/>
  <c r="AO61" i="11"/>
  <c r="AN61" i="11"/>
  <c r="AL61" i="11"/>
  <c r="AJ61" i="11"/>
  <c r="AI61" i="11"/>
  <c r="AH61" i="11"/>
  <c r="AM61" i="11" s="1"/>
  <c r="AG61" i="11"/>
  <c r="AN60" i="11"/>
  <c r="AM60" i="11"/>
  <c r="AJ60" i="11"/>
  <c r="AO60" i="11" s="1"/>
  <c r="AI60" i="11"/>
  <c r="AH60" i="11"/>
  <c r="AG60" i="11"/>
  <c r="AL60" i="11" s="1"/>
  <c r="AO59" i="11"/>
  <c r="AL59" i="11"/>
  <c r="AJ59" i="11"/>
  <c r="AI59" i="11"/>
  <c r="AN59" i="11" s="1"/>
  <c r="AH59" i="11"/>
  <c r="AM59" i="11" s="1"/>
  <c r="AG59" i="11"/>
  <c r="AJ58" i="11"/>
  <c r="AO58" i="11" s="1"/>
  <c r="AI58" i="11"/>
  <c r="AN58" i="11" s="1"/>
  <c r="AH58" i="11"/>
  <c r="AM58" i="11" s="1"/>
  <c r="AG58" i="11"/>
  <c r="AL58" i="11" s="1"/>
  <c r="AJ57" i="11"/>
  <c r="AO57" i="11" s="1"/>
  <c r="AI57" i="11"/>
  <c r="AN57" i="11" s="1"/>
  <c r="AH57" i="11"/>
  <c r="AM57" i="11" s="1"/>
  <c r="AG57" i="11"/>
  <c r="AL57" i="11" s="1"/>
  <c r="AO56" i="11"/>
  <c r="AL56" i="11"/>
  <c r="AJ56" i="11"/>
  <c r="AI56" i="11"/>
  <c r="AN56" i="11" s="1"/>
  <c r="AH56" i="11"/>
  <c r="AM56" i="11" s="1"/>
  <c r="AG56" i="11"/>
  <c r="AL55" i="11"/>
  <c r="AJ55" i="11"/>
  <c r="AO55" i="11" s="1"/>
  <c r="AI55" i="11"/>
  <c r="AN55" i="11" s="1"/>
  <c r="AH55" i="11"/>
  <c r="AM55" i="11" s="1"/>
  <c r="AG55" i="11"/>
  <c r="AN54" i="11"/>
  <c r="AJ54" i="11"/>
  <c r="AO54" i="11" s="1"/>
  <c r="AI54" i="11"/>
  <c r="AH54" i="11"/>
  <c r="AM54" i="11" s="1"/>
  <c r="AG54" i="11"/>
  <c r="AL54" i="11" s="1"/>
  <c r="AO53" i="11"/>
  <c r="AM53" i="11"/>
  <c r="AJ53" i="11"/>
  <c r="AI53" i="11"/>
  <c r="AN53" i="11" s="1"/>
  <c r="AH53" i="11"/>
  <c r="AG53" i="11"/>
  <c r="AL53" i="11" s="1"/>
  <c r="AN52" i="11"/>
  <c r="AM52" i="11"/>
  <c r="AJ52" i="11"/>
  <c r="AO52" i="11" s="1"/>
  <c r="AI52" i="11"/>
  <c r="AH52" i="11"/>
  <c r="AG52" i="11"/>
  <c r="AL52" i="11" s="1"/>
  <c r="AO51" i="11"/>
  <c r="AL51" i="11"/>
  <c r="AJ51" i="11"/>
  <c r="AI51" i="11"/>
  <c r="AN51" i="11" s="1"/>
  <c r="AH51" i="11"/>
  <c r="AM51" i="11" s="1"/>
  <c r="AG51" i="11"/>
  <c r="AJ50" i="11"/>
  <c r="AO50" i="11" s="1"/>
  <c r="AI50" i="11"/>
  <c r="AN50" i="11" s="1"/>
  <c r="AH50" i="11"/>
  <c r="AM50" i="11" s="1"/>
  <c r="AG50" i="11"/>
  <c r="AL50" i="11" s="1"/>
  <c r="AN49" i="11"/>
  <c r="AJ49" i="11"/>
  <c r="AO49" i="11" s="1"/>
  <c r="AI49" i="11"/>
  <c r="AH49" i="11"/>
  <c r="AM49" i="11" s="1"/>
  <c r="AG49" i="11"/>
  <c r="AL49" i="11" s="1"/>
  <c r="AL48" i="11"/>
  <c r="AJ48" i="11"/>
  <c r="AO48" i="11" s="1"/>
  <c r="AI48" i="11"/>
  <c r="AN48" i="11" s="1"/>
  <c r="AH48" i="11"/>
  <c r="AM48" i="11" s="1"/>
  <c r="AG48" i="11"/>
  <c r="AJ47" i="11"/>
  <c r="AO47" i="11" s="1"/>
  <c r="AI47" i="11"/>
  <c r="AN47" i="11" s="1"/>
  <c r="AH47" i="11"/>
  <c r="AM47" i="11" s="1"/>
  <c r="AG47" i="11"/>
  <c r="AL47" i="11" s="1"/>
  <c r="AM46" i="11"/>
  <c r="AJ46" i="11"/>
  <c r="AO46" i="11" s="1"/>
  <c r="AI46" i="11"/>
  <c r="AN46" i="11" s="1"/>
  <c r="AH46" i="11"/>
  <c r="AG46" i="11"/>
  <c r="AL46" i="11" s="1"/>
  <c r="AO45" i="11"/>
  <c r="AL45" i="11"/>
  <c r="AJ45" i="11"/>
  <c r="AI45" i="11"/>
  <c r="AN45" i="11" s="1"/>
  <c r="AH45" i="11"/>
  <c r="AM45" i="11" s="1"/>
  <c r="AG45" i="11"/>
  <c r="AM44" i="11"/>
  <c r="AJ44" i="11"/>
  <c r="AO44" i="11" s="1"/>
  <c r="AI44" i="11"/>
  <c r="AN44" i="11" s="1"/>
  <c r="AH44" i="11"/>
  <c r="AG44" i="11"/>
  <c r="AL44" i="11" s="1"/>
  <c r="AN43" i="11"/>
  <c r="AJ43" i="11"/>
  <c r="AO43" i="11" s="1"/>
  <c r="AI43" i="11"/>
  <c r="AH43" i="11"/>
  <c r="AM43" i="11" s="1"/>
  <c r="AG43" i="11"/>
  <c r="AL43" i="11" s="1"/>
  <c r="AP43" i="11" s="1"/>
  <c r="AJ42" i="11"/>
  <c r="AO42" i="11" s="1"/>
  <c r="AI42" i="11"/>
  <c r="AN42" i="11" s="1"/>
  <c r="AH42" i="11"/>
  <c r="AM42" i="11" s="1"/>
  <c r="AG42" i="11"/>
  <c r="AL42" i="11" s="1"/>
  <c r="AO41" i="11"/>
  <c r="AJ41" i="11"/>
  <c r="AI41" i="11"/>
  <c r="AN41" i="11" s="1"/>
  <c r="AH41" i="11"/>
  <c r="AM41" i="11" s="1"/>
  <c r="AG41" i="11"/>
  <c r="AL41" i="11" s="1"/>
  <c r="AL40" i="11"/>
  <c r="AJ40" i="11"/>
  <c r="AO40" i="11" s="1"/>
  <c r="AI40" i="11"/>
  <c r="AN40" i="11" s="1"/>
  <c r="AH40" i="11"/>
  <c r="AM40" i="11" s="1"/>
  <c r="AG40" i="11"/>
  <c r="AJ39" i="11"/>
  <c r="AO39" i="11" s="1"/>
  <c r="AI39" i="11"/>
  <c r="AN39" i="11" s="1"/>
  <c r="AH39" i="11"/>
  <c r="AM39" i="11" s="1"/>
  <c r="AG39" i="11"/>
  <c r="AL39" i="11" s="1"/>
  <c r="AM38" i="11"/>
  <c r="AJ38" i="11"/>
  <c r="AO38" i="11" s="1"/>
  <c r="AI38" i="11"/>
  <c r="AN38" i="11" s="1"/>
  <c r="AH38" i="11"/>
  <c r="AG38" i="11"/>
  <c r="AL38" i="11" s="1"/>
  <c r="AM37" i="11"/>
  <c r="AL37" i="11"/>
  <c r="AJ37" i="11"/>
  <c r="AO37" i="11" s="1"/>
  <c r="AI37" i="11"/>
  <c r="AN37" i="11" s="1"/>
  <c r="AH37" i="11"/>
  <c r="AG37" i="11"/>
  <c r="AL36" i="11"/>
  <c r="AJ36" i="11"/>
  <c r="AO36" i="11" s="1"/>
  <c r="AI36" i="11"/>
  <c r="AN36" i="11" s="1"/>
  <c r="AH36" i="11"/>
  <c r="AM36" i="11" s="1"/>
  <c r="AG36" i="11"/>
  <c r="AL35" i="11"/>
  <c r="AJ35" i="11"/>
  <c r="AO35" i="11" s="1"/>
  <c r="AI35" i="11"/>
  <c r="AN35" i="11" s="1"/>
  <c r="AH35" i="11"/>
  <c r="AM35" i="11" s="1"/>
  <c r="AG35" i="11"/>
  <c r="AN34" i="11"/>
  <c r="AJ34" i="11"/>
  <c r="AO34" i="11" s="1"/>
  <c r="AI34" i="11"/>
  <c r="AH34" i="11"/>
  <c r="AM34" i="11" s="1"/>
  <c r="AG34" i="11"/>
  <c r="AL34" i="11" s="1"/>
  <c r="AN33" i="11"/>
  <c r="AJ33" i="11"/>
  <c r="AO33" i="11" s="1"/>
  <c r="AI33" i="11"/>
  <c r="AH33" i="11"/>
  <c r="AM33" i="11" s="1"/>
  <c r="AG33" i="11"/>
  <c r="AL33" i="11" s="1"/>
  <c r="AJ32" i="11"/>
  <c r="AO32" i="11" s="1"/>
  <c r="AI32" i="11"/>
  <c r="AN32" i="11" s="1"/>
  <c r="AH32" i="11"/>
  <c r="AM32" i="11" s="1"/>
  <c r="AG32" i="11"/>
  <c r="AL32" i="11" s="1"/>
  <c r="AJ31" i="11"/>
  <c r="AO31" i="11" s="1"/>
  <c r="AI31" i="11"/>
  <c r="AN31" i="11" s="1"/>
  <c r="AH31" i="11"/>
  <c r="AM31" i="11" s="1"/>
  <c r="AG31" i="11"/>
  <c r="AL31" i="11" s="1"/>
  <c r="AN30" i="11"/>
  <c r="AL30" i="11"/>
  <c r="AJ30" i="11"/>
  <c r="AO30" i="11" s="1"/>
  <c r="AI30" i="11"/>
  <c r="AH30" i="11"/>
  <c r="AM30" i="11" s="1"/>
  <c r="AG30" i="11"/>
  <c r="AM29" i="11"/>
  <c r="AL29" i="11"/>
  <c r="AJ29" i="11"/>
  <c r="AO29" i="11" s="1"/>
  <c r="AI29" i="11"/>
  <c r="AN29" i="11" s="1"/>
  <c r="AH29" i="11"/>
  <c r="AG29" i="11"/>
  <c r="AM28" i="11"/>
  <c r="AL28" i="11"/>
  <c r="AJ28" i="11"/>
  <c r="AO28" i="11" s="1"/>
  <c r="AI28" i="11"/>
  <c r="AN28" i="11" s="1"/>
  <c r="AH28" i="11"/>
  <c r="AG28" i="11"/>
  <c r="AO27" i="11"/>
  <c r="AM27" i="11"/>
  <c r="AJ27" i="11"/>
  <c r="AI27" i="11"/>
  <c r="AN27" i="11" s="1"/>
  <c r="AH27" i="11"/>
  <c r="AG27" i="11"/>
  <c r="AL27" i="11" s="1"/>
  <c r="AJ26" i="11"/>
  <c r="AO26" i="11" s="1"/>
  <c r="AI26" i="11"/>
  <c r="AN26" i="11" s="1"/>
  <c r="AH26" i="11"/>
  <c r="AM26" i="11" s="1"/>
  <c r="AG26" i="11"/>
  <c r="AL26" i="11" s="1"/>
  <c r="AO25" i="11"/>
  <c r="AJ25" i="11"/>
  <c r="AI25" i="11"/>
  <c r="AN25" i="11" s="1"/>
  <c r="AH25" i="11"/>
  <c r="AM25" i="11" s="1"/>
  <c r="AG25" i="11"/>
  <c r="AL25" i="11" s="1"/>
  <c r="AJ24" i="11"/>
  <c r="AO24" i="11" s="1"/>
  <c r="AI24" i="11"/>
  <c r="AN24" i="11" s="1"/>
  <c r="AH24" i="11"/>
  <c r="AM24" i="11" s="1"/>
  <c r="AG24" i="11"/>
  <c r="AL24" i="11" s="1"/>
  <c r="AJ23" i="11"/>
  <c r="AO23" i="11" s="1"/>
  <c r="AI23" i="11"/>
  <c r="AN23" i="11" s="1"/>
  <c r="AH23" i="11"/>
  <c r="AM23" i="11" s="1"/>
  <c r="AG23" i="11"/>
  <c r="AL23" i="11" s="1"/>
  <c r="AN22" i="11"/>
  <c r="AL22" i="11"/>
  <c r="AJ22" i="11"/>
  <c r="AO22" i="11" s="1"/>
  <c r="AI22" i="11"/>
  <c r="AH22" i="11"/>
  <c r="AM22" i="11" s="1"/>
  <c r="AG22" i="11"/>
  <c r="AN21" i="11"/>
  <c r="AM21" i="11"/>
  <c r="AL21" i="11"/>
  <c r="AJ21" i="11"/>
  <c r="AO21" i="11" s="1"/>
  <c r="AI21" i="11"/>
  <c r="AH21" i="11"/>
  <c r="AG21" i="11"/>
  <c r="AM20" i="11"/>
  <c r="AJ20" i="11"/>
  <c r="AO20" i="11" s="1"/>
  <c r="AI20" i="11"/>
  <c r="AN20" i="11" s="1"/>
  <c r="AH20" i="11"/>
  <c r="AG20" i="11"/>
  <c r="AL20" i="11" s="1"/>
  <c r="AO19" i="11"/>
  <c r="AJ19" i="11"/>
  <c r="AI19" i="11"/>
  <c r="AN19" i="11" s="1"/>
  <c r="AH19" i="11"/>
  <c r="AM19" i="11" s="1"/>
  <c r="AG19" i="11"/>
  <c r="AL19" i="11" s="1"/>
  <c r="AJ18" i="11"/>
  <c r="AO18" i="11" s="1"/>
  <c r="AI18" i="11"/>
  <c r="AN18" i="11" s="1"/>
  <c r="AH18" i="11"/>
  <c r="AM18" i="11" s="1"/>
  <c r="AG18" i="11"/>
  <c r="AL18" i="11" s="1"/>
  <c r="AN17" i="11"/>
  <c r="AJ17" i="11"/>
  <c r="AO17" i="11" s="1"/>
  <c r="AI17" i="11"/>
  <c r="AH17" i="11"/>
  <c r="AM17" i="11" s="1"/>
  <c r="AG17" i="11"/>
  <c r="AL17" i="11" s="1"/>
  <c r="AJ16" i="11"/>
  <c r="AO16" i="11" s="1"/>
  <c r="AI16" i="11"/>
  <c r="AN16" i="11" s="1"/>
  <c r="AH16" i="11"/>
  <c r="AM16" i="11" s="1"/>
  <c r="AG16" i="11"/>
  <c r="AL16" i="11" s="1"/>
  <c r="AJ15" i="11"/>
  <c r="AO15" i="11" s="1"/>
  <c r="AI15" i="11"/>
  <c r="AN15" i="11" s="1"/>
  <c r="AH15" i="11"/>
  <c r="AM15" i="11" s="1"/>
  <c r="AG15" i="11"/>
  <c r="AL15" i="11" s="1"/>
  <c r="AM14" i="11"/>
  <c r="AL14" i="11"/>
  <c r="AJ14" i="11"/>
  <c r="AO14" i="11" s="1"/>
  <c r="AI14" i="11"/>
  <c r="AN14" i="11" s="1"/>
  <c r="AH14" i="11"/>
  <c r="AG14" i="11"/>
  <c r="AM13" i="11"/>
  <c r="AL13" i="11"/>
  <c r="AJ13" i="11"/>
  <c r="AO13" i="11" s="1"/>
  <c r="AI13" i="11"/>
  <c r="AN13" i="11" s="1"/>
  <c r="AH13" i="11"/>
  <c r="AG13" i="11"/>
  <c r="AN12" i="11"/>
  <c r="AJ12" i="11"/>
  <c r="AO12" i="11" s="1"/>
  <c r="AI12" i="11"/>
  <c r="AH12" i="11"/>
  <c r="AM12" i="11" s="1"/>
  <c r="AG12" i="11"/>
  <c r="AL12" i="11" s="1"/>
  <c r="AJ11" i="11"/>
  <c r="AO11" i="11" s="1"/>
  <c r="AI11" i="11"/>
  <c r="AN11" i="11" s="1"/>
  <c r="AH11" i="11"/>
  <c r="AM11" i="11" s="1"/>
  <c r="AG11" i="11"/>
  <c r="AL11" i="11" s="1"/>
  <c r="AO10" i="11"/>
  <c r="AJ10" i="11"/>
  <c r="AI10" i="11"/>
  <c r="AN10" i="11" s="1"/>
  <c r="AH10" i="11"/>
  <c r="AM10" i="11" s="1"/>
  <c r="AG10" i="11"/>
  <c r="AL10" i="11" s="1"/>
  <c r="AM9" i="11"/>
  <c r="AJ9" i="11"/>
  <c r="AO9" i="11" s="1"/>
  <c r="AI9" i="11"/>
  <c r="AN9" i="11" s="1"/>
  <c r="AH9" i="11"/>
  <c r="AG9" i="11"/>
  <c r="AL9" i="11" s="1"/>
  <c r="AJ8" i="11"/>
  <c r="AO8" i="11" s="1"/>
  <c r="AI8" i="11"/>
  <c r="AN8" i="11" s="1"/>
  <c r="AH8" i="11"/>
  <c r="AM8" i="11" s="1"/>
  <c r="AG8" i="11"/>
  <c r="AL8" i="11" s="1"/>
  <c r="AJ7" i="11"/>
  <c r="AO7" i="11" s="1"/>
  <c r="AI7" i="11"/>
  <c r="AN7" i="11" s="1"/>
  <c r="AH7" i="11"/>
  <c r="AM7" i="11" s="1"/>
  <c r="AG7" i="11"/>
  <c r="AL7" i="11" s="1"/>
  <c r="AM6" i="11"/>
  <c r="AJ6" i="11"/>
  <c r="AO6" i="11" s="1"/>
  <c r="AI6" i="11"/>
  <c r="AN6" i="11" s="1"/>
  <c r="AH6" i="11"/>
  <c r="AG6" i="11"/>
  <c r="AL6" i="11" s="1"/>
  <c r="AJ232" i="10"/>
  <c r="AO232" i="10" s="1"/>
  <c r="AI232" i="10"/>
  <c r="AN232" i="10" s="1"/>
  <c r="AH232" i="10"/>
  <c r="AM232" i="10" s="1"/>
  <c r="AG232" i="10"/>
  <c r="AL232" i="10" s="1"/>
  <c r="AJ231" i="10"/>
  <c r="AO231" i="10" s="1"/>
  <c r="AI231" i="10"/>
  <c r="AN231" i="10" s="1"/>
  <c r="AH231" i="10"/>
  <c r="AM231" i="10" s="1"/>
  <c r="AG231" i="10"/>
  <c r="AL231" i="10" s="1"/>
  <c r="AP231" i="10" s="1"/>
  <c r="AJ230" i="10"/>
  <c r="AO230" i="10" s="1"/>
  <c r="AI230" i="10"/>
  <c r="AN230" i="10" s="1"/>
  <c r="AH230" i="10"/>
  <c r="AM230" i="10" s="1"/>
  <c r="AG230" i="10"/>
  <c r="AL230" i="10" s="1"/>
  <c r="AJ229" i="10"/>
  <c r="AO229" i="10" s="1"/>
  <c r="AI229" i="10"/>
  <c r="AN229" i="10" s="1"/>
  <c r="AH229" i="10"/>
  <c r="AM229" i="10" s="1"/>
  <c r="AG229" i="10"/>
  <c r="AL229" i="10" s="1"/>
  <c r="AJ228" i="10"/>
  <c r="AO228" i="10" s="1"/>
  <c r="AI228" i="10"/>
  <c r="AN228" i="10" s="1"/>
  <c r="AH228" i="10"/>
  <c r="AM228" i="10" s="1"/>
  <c r="AG228" i="10"/>
  <c r="AL228" i="10" s="1"/>
  <c r="AJ227" i="10"/>
  <c r="AO227" i="10" s="1"/>
  <c r="AI227" i="10"/>
  <c r="AN227" i="10" s="1"/>
  <c r="AH227" i="10"/>
  <c r="AM227" i="10" s="1"/>
  <c r="AG227" i="10"/>
  <c r="AL227" i="10" s="1"/>
  <c r="AO226" i="10"/>
  <c r="AJ226" i="10"/>
  <c r="AI226" i="10"/>
  <c r="AN226" i="10" s="1"/>
  <c r="AH226" i="10"/>
  <c r="AM226" i="10" s="1"/>
  <c r="AG226" i="10"/>
  <c r="AL226" i="10" s="1"/>
  <c r="AJ225" i="10"/>
  <c r="AO225" i="10" s="1"/>
  <c r="AI225" i="10"/>
  <c r="AN225" i="10" s="1"/>
  <c r="AH225" i="10"/>
  <c r="AM225" i="10" s="1"/>
  <c r="AG225" i="10"/>
  <c r="AL225" i="10" s="1"/>
  <c r="AJ224" i="10"/>
  <c r="AO224" i="10" s="1"/>
  <c r="AI224" i="10"/>
  <c r="AN224" i="10" s="1"/>
  <c r="AH224" i="10"/>
  <c r="AM224" i="10" s="1"/>
  <c r="AG224" i="10"/>
  <c r="AL224" i="10" s="1"/>
  <c r="AJ223" i="10"/>
  <c r="AO223" i="10" s="1"/>
  <c r="AI223" i="10"/>
  <c r="AN223" i="10" s="1"/>
  <c r="AH223" i="10"/>
  <c r="AM223" i="10" s="1"/>
  <c r="AG223" i="10"/>
  <c r="AL223" i="10" s="1"/>
  <c r="AJ222" i="10"/>
  <c r="AO222" i="10" s="1"/>
  <c r="AI222" i="10"/>
  <c r="AN222" i="10" s="1"/>
  <c r="AH222" i="10"/>
  <c r="AM222" i="10" s="1"/>
  <c r="AG222" i="10"/>
  <c r="AL222" i="10" s="1"/>
  <c r="AJ221" i="10"/>
  <c r="AO221" i="10" s="1"/>
  <c r="AI221" i="10"/>
  <c r="AN221" i="10" s="1"/>
  <c r="AH221" i="10"/>
  <c r="AM221" i="10" s="1"/>
  <c r="AG221" i="10"/>
  <c r="AL221" i="10" s="1"/>
  <c r="AJ220" i="10"/>
  <c r="AO220" i="10" s="1"/>
  <c r="AI220" i="10"/>
  <c r="AN220" i="10" s="1"/>
  <c r="AH220" i="10"/>
  <c r="AM220" i="10" s="1"/>
  <c r="AG220" i="10"/>
  <c r="AL220" i="10" s="1"/>
  <c r="AJ219" i="10"/>
  <c r="AO219" i="10" s="1"/>
  <c r="AI219" i="10"/>
  <c r="AN219" i="10" s="1"/>
  <c r="AH219" i="10"/>
  <c r="AM219" i="10" s="1"/>
  <c r="AG219" i="10"/>
  <c r="AL219" i="10" s="1"/>
  <c r="AJ218" i="10"/>
  <c r="AO218" i="10" s="1"/>
  <c r="AI218" i="10"/>
  <c r="AN218" i="10" s="1"/>
  <c r="AH218" i="10"/>
  <c r="AM218" i="10" s="1"/>
  <c r="AG218" i="10"/>
  <c r="AL218" i="10" s="1"/>
  <c r="AO217" i="10"/>
  <c r="AJ217" i="10"/>
  <c r="AI217" i="10"/>
  <c r="AN217" i="10" s="1"/>
  <c r="AH217" i="10"/>
  <c r="AM217" i="10" s="1"/>
  <c r="AG217" i="10"/>
  <c r="AL217" i="10" s="1"/>
  <c r="AO216" i="10"/>
  <c r="AJ216" i="10"/>
  <c r="AI216" i="10"/>
  <c r="AN216" i="10" s="1"/>
  <c r="AH216" i="10"/>
  <c r="AM216" i="10" s="1"/>
  <c r="AG216" i="10"/>
  <c r="AL216" i="10" s="1"/>
  <c r="AJ215" i="10"/>
  <c r="AO215" i="10" s="1"/>
  <c r="AI215" i="10"/>
  <c r="AN215" i="10" s="1"/>
  <c r="AH215" i="10"/>
  <c r="AM215" i="10" s="1"/>
  <c r="AG215" i="10"/>
  <c r="AL215" i="10" s="1"/>
  <c r="AL214" i="10"/>
  <c r="AJ214" i="10"/>
  <c r="AO214" i="10" s="1"/>
  <c r="AI214" i="10"/>
  <c r="AN214" i="10" s="1"/>
  <c r="AH214" i="10"/>
  <c r="AM214" i="10" s="1"/>
  <c r="AG214" i="10"/>
  <c r="AJ213" i="10"/>
  <c r="AO213" i="10" s="1"/>
  <c r="AI213" i="10"/>
  <c r="AN213" i="10" s="1"/>
  <c r="AH213" i="10"/>
  <c r="AM213" i="10" s="1"/>
  <c r="AG213" i="10"/>
  <c r="AL213" i="10" s="1"/>
  <c r="AJ212" i="10"/>
  <c r="AO212" i="10" s="1"/>
  <c r="AI212" i="10"/>
  <c r="AN212" i="10" s="1"/>
  <c r="AH212" i="10"/>
  <c r="AM212" i="10" s="1"/>
  <c r="AG212" i="10"/>
  <c r="AL212" i="10" s="1"/>
  <c r="AJ211" i="10"/>
  <c r="AO211" i="10" s="1"/>
  <c r="AI211" i="10"/>
  <c r="AN211" i="10" s="1"/>
  <c r="AH211" i="10"/>
  <c r="AM211" i="10" s="1"/>
  <c r="AG211" i="10"/>
  <c r="AL211" i="10" s="1"/>
  <c r="AJ210" i="10"/>
  <c r="AO210" i="10" s="1"/>
  <c r="AI210" i="10"/>
  <c r="AN210" i="10" s="1"/>
  <c r="AH210" i="10"/>
  <c r="AM210" i="10" s="1"/>
  <c r="AG210" i="10"/>
  <c r="AL210" i="10" s="1"/>
  <c r="AO209" i="10"/>
  <c r="AJ209" i="10"/>
  <c r="AI209" i="10"/>
  <c r="AN209" i="10" s="1"/>
  <c r="AH209" i="10"/>
  <c r="AM209" i="10" s="1"/>
  <c r="AG209" i="10"/>
  <c r="AL209" i="10" s="1"/>
  <c r="AJ208" i="10"/>
  <c r="AO208" i="10" s="1"/>
  <c r="AI208" i="10"/>
  <c r="AN208" i="10" s="1"/>
  <c r="AH208" i="10"/>
  <c r="AM208" i="10" s="1"/>
  <c r="AG208" i="10"/>
  <c r="AL208" i="10" s="1"/>
  <c r="AJ207" i="10"/>
  <c r="AO207" i="10" s="1"/>
  <c r="AI207" i="10"/>
  <c r="AN207" i="10" s="1"/>
  <c r="AH207" i="10"/>
  <c r="AM207" i="10" s="1"/>
  <c r="AG207" i="10"/>
  <c r="AL207" i="10" s="1"/>
  <c r="AJ206" i="10"/>
  <c r="AO206" i="10" s="1"/>
  <c r="AI206" i="10"/>
  <c r="AN206" i="10" s="1"/>
  <c r="AH206" i="10"/>
  <c r="AM206" i="10" s="1"/>
  <c r="AG206" i="10"/>
  <c r="AL206" i="10" s="1"/>
  <c r="AJ205" i="10"/>
  <c r="AO205" i="10" s="1"/>
  <c r="AI205" i="10"/>
  <c r="AN205" i="10" s="1"/>
  <c r="AH205" i="10"/>
  <c r="AM205" i="10" s="1"/>
  <c r="AG205" i="10"/>
  <c r="AL205" i="10" s="1"/>
  <c r="AL204" i="10"/>
  <c r="AJ204" i="10"/>
  <c r="AO204" i="10" s="1"/>
  <c r="AI204" i="10"/>
  <c r="AN204" i="10" s="1"/>
  <c r="AH204" i="10"/>
  <c r="AM204" i="10" s="1"/>
  <c r="AG204" i="10"/>
  <c r="AJ203" i="10"/>
  <c r="AO203" i="10" s="1"/>
  <c r="AI203" i="10"/>
  <c r="AN203" i="10" s="1"/>
  <c r="AH203" i="10"/>
  <c r="AM203" i="10" s="1"/>
  <c r="AG203" i="10"/>
  <c r="AL203" i="10" s="1"/>
  <c r="AJ202" i="10"/>
  <c r="AO202" i="10" s="1"/>
  <c r="AI202" i="10"/>
  <c r="AN202" i="10" s="1"/>
  <c r="AH202" i="10"/>
  <c r="AM202" i="10" s="1"/>
  <c r="AG202" i="10"/>
  <c r="AL202" i="10" s="1"/>
  <c r="AJ201" i="10"/>
  <c r="AO201" i="10" s="1"/>
  <c r="AI201" i="10"/>
  <c r="AN201" i="10" s="1"/>
  <c r="AH201" i="10"/>
  <c r="AM201" i="10" s="1"/>
  <c r="AG201" i="10"/>
  <c r="AL201" i="10" s="1"/>
  <c r="AJ200" i="10"/>
  <c r="AO200" i="10" s="1"/>
  <c r="AI200" i="10"/>
  <c r="AN200" i="10" s="1"/>
  <c r="AH200" i="10"/>
  <c r="AM200" i="10" s="1"/>
  <c r="AG200" i="10"/>
  <c r="AL200" i="10" s="1"/>
  <c r="AJ199" i="10"/>
  <c r="AO199" i="10" s="1"/>
  <c r="AI199" i="10"/>
  <c r="AN199" i="10" s="1"/>
  <c r="AH199" i="10"/>
  <c r="AM199" i="10" s="1"/>
  <c r="AG199" i="10"/>
  <c r="AL199" i="10" s="1"/>
  <c r="AJ198" i="10"/>
  <c r="AO198" i="10" s="1"/>
  <c r="AI198" i="10"/>
  <c r="AN198" i="10" s="1"/>
  <c r="AH198" i="10"/>
  <c r="AM198" i="10" s="1"/>
  <c r="AG198" i="10"/>
  <c r="AL198" i="10" s="1"/>
  <c r="AM197" i="10"/>
  <c r="AJ197" i="10"/>
  <c r="AO197" i="10" s="1"/>
  <c r="AI197" i="10"/>
  <c r="AN197" i="10" s="1"/>
  <c r="AH197" i="10"/>
  <c r="AG197" i="10"/>
  <c r="AL197" i="10" s="1"/>
  <c r="AL196" i="10"/>
  <c r="AJ196" i="10"/>
  <c r="AO196" i="10" s="1"/>
  <c r="AI196" i="10"/>
  <c r="AN196" i="10" s="1"/>
  <c r="AH196" i="10"/>
  <c r="AM196" i="10" s="1"/>
  <c r="AG196" i="10"/>
  <c r="AJ195" i="10"/>
  <c r="AO195" i="10" s="1"/>
  <c r="AI195" i="10"/>
  <c r="AN195" i="10" s="1"/>
  <c r="AH195" i="10"/>
  <c r="AM195" i="10" s="1"/>
  <c r="AG195" i="10"/>
  <c r="AL195" i="10" s="1"/>
  <c r="AP195" i="10" s="1"/>
  <c r="AJ194" i="10"/>
  <c r="AO194" i="10" s="1"/>
  <c r="AI194" i="10"/>
  <c r="AN194" i="10" s="1"/>
  <c r="AH194" i="10"/>
  <c r="AM194" i="10" s="1"/>
  <c r="AG194" i="10"/>
  <c r="AL194" i="10" s="1"/>
  <c r="AJ193" i="10"/>
  <c r="AO193" i="10" s="1"/>
  <c r="AI193" i="10"/>
  <c r="AN193" i="10" s="1"/>
  <c r="AH193" i="10"/>
  <c r="AM193" i="10" s="1"/>
  <c r="AG193" i="10"/>
  <c r="AL193" i="10" s="1"/>
  <c r="AJ192" i="10"/>
  <c r="AO192" i="10" s="1"/>
  <c r="AI192" i="10"/>
  <c r="AN192" i="10" s="1"/>
  <c r="AH192" i="10"/>
  <c r="AM192" i="10" s="1"/>
  <c r="AG192" i="10"/>
  <c r="AL192" i="10" s="1"/>
  <c r="AJ191" i="10"/>
  <c r="AO191" i="10" s="1"/>
  <c r="AI191" i="10"/>
  <c r="AN191" i="10" s="1"/>
  <c r="AH191" i="10"/>
  <c r="AM191" i="10" s="1"/>
  <c r="AG191" i="10"/>
  <c r="AL191" i="10" s="1"/>
  <c r="AJ190" i="10"/>
  <c r="AO190" i="10" s="1"/>
  <c r="AI190" i="10"/>
  <c r="AN190" i="10" s="1"/>
  <c r="AH190" i="10"/>
  <c r="AM190" i="10" s="1"/>
  <c r="AG190" i="10"/>
  <c r="AL190" i="10" s="1"/>
  <c r="AP190" i="10" s="1"/>
  <c r="AL189" i="10"/>
  <c r="AJ189" i="10"/>
  <c r="AO189" i="10" s="1"/>
  <c r="AI189" i="10"/>
  <c r="AN189" i="10" s="1"/>
  <c r="AH189" i="10"/>
  <c r="AM189" i="10" s="1"/>
  <c r="AG189" i="10"/>
  <c r="AJ188" i="10"/>
  <c r="AO188" i="10" s="1"/>
  <c r="AI188" i="10"/>
  <c r="AN188" i="10" s="1"/>
  <c r="AH188" i="10"/>
  <c r="AM188" i="10" s="1"/>
  <c r="AG188" i="10"/>
  <c r="AL188" i="10" s="1"/>
  <c r="AP188" i="10" s="1"/>
  <c r="AJ187" i="10"/>
  <c r="AO187" i="10" s="1"/>
  <c r="AI187" i="10"/>
  <c r="AN187" i="10" s="1"/>
  <c r="AH187" i="10"/>
  <c r="AM187" i="10" s="1"/>
  <c r="AG187" i="10"/>
  <c r="AL187" i="10" s="1"/>
  <c r="AJ186" i="10"/>
  <c r="AO186" i="10" s="1"/>
  <c r="AI186" i="10"/>
  <c r="AN186" i="10" s="1"/>
  <c r="AH186" i="10"/>
  <c r="AM186" i="10" s="1"/>
  <c r="AG186" i="10"/>
  <c r="AL186" i="10" s="1"/>
  <c r="AO185" i="10"/>
  <c r="AJ185" i="10"/>
  <c r="AI185" i="10"/>
  <c r="AN185" i="10" s="1"/>
  <c r="AH185" i="10"/>
  <c r="AM185" i="10" s="1"/>
  <c r="AG185" i="10"/>
  <c r="AL185" i="10" s="1"/>
  <c r="AJ184" i="10"/>
  <c r="AO184" i="10" s="1"/>
  <c r="AI184" i="10"/>
  <c r="AN184" i="10" s="1"/>
  <c r="AH184" i="10"/>
  <c r="AM184" i="10" s="1"/>
  <c r="AG184" i="10"/>
  <c r="AL184" i="10" s="1"/>
  <c r="AP184" i="10" s="1"/>
  <c r="AJ183" i="10"/>
  <c r="AO183" i="10" s="1"/>
  <c r="AI183" i="10"/>
  <c r="AN183" i="10" s="1"/>
  <c r="AH183" i="10"/>
  <c r="AM183" i="10" s="1"/>
  <c r="AG183" i="10"/>
  <c r="AL183" i="10" s="1"/>
  <c r="AJ182" i="10"/>
  <c r="AO182" i="10" s="1"/>
  <c r="AI182" i="10"/>
  <c r="AN182" i="10" s="1"/>
  <c r="AH182" i="10"/>
  <c r="AM182" i="10" s="1"/>
  <c r="AG182" i="10"/>
  <c r="AL182" i="10" s="1"/>
  <c r="AJ181" i="10"/>
  <c r="AO181" i="10" s="1"/>
  <c r="AI181" i="10"/>
  <c r="AN181" i="10" s="1"/>
  <c r="AH181" i="10"/>
  <c r="AM181" i="10" s="1"/>
  <c r="AG181" i="10"/>
  <c r="AL181" i="10" s="1"/>
  <c r="AP181" i="10" s="1"/>
  <c r="AM180" i="10"/>
  <c r="AJ180" i="10"/>
  <c r="AO180" i="10" s="1"/>
  <c r="AI180" i="10"/>
  <c r="AN180" i="10" s="1"/>
  <c r="AH180" i="10"/>
  <c r="AG180" i="10"/>
  <c r="AL180" i="10" s="1"/>
  <c r="AM179" i="10"/>
  <c r="AL179" i="10"/>
  <c r="AJ179" i="10"/>
  <c r="AO179" i="10" s="1"/>
  <c r="AI179" i="10"/>
  <c r="AN179" i="10" s="1"/>
  <c r="AH179" i="10"/>
  <c r="AG179" i="10"/>
  <c r="AJ178" i="10"/>
  <c r="AO178" i="10" s="1"/>
  <c r="AI178" i="10"/>
  <c r="AN178" i="10" s="1"/>
  <c r="AH178" i="10"/>
  <c r="AM178" i="10" s="1"/>
  <c r="AG178" i="10"/>
  <c r="AL178" i="10" s="1"/>
  <c r="AJ177" i="10"/>
  <c r="AO177" i="10" s="1"/>
  <c r="AI177" i="10"/>
  <c r="AN177" i="10" s="1"/>
  <c r="AH177" i="10"/>
  <c r="AM177" i="10" s="1"/>
  <c r="AG177" i="10"/>
  <c r="AL177" i="10" s="1"/>
  <c r="AJ176" i="10"/>
  <c r="AO176" i="10" s="1"/>
  <c r="AI176" i="10"/>
  <c r="AN176" i="10" s="1"/>
  <c r="AH176" i="10"/>
  <c r="AM176" i="10" s="1"/>
  <c r="AG176" i="10"/>
  <c r="AL176" i="10" s="1"/>
  <c r="AJ175" i="10"/>
  <c r="AO175" i="10" s="1"/>
  <c r="AI175" i="10"/>
  <c r="AN175" i="10" s="1"/>
  <c r="AH175" i="10"/>
  <c r="AM175" i="10" s="1"/>
  <c r="AG175" i="10"/>
  <c r="AL175" i="10" s="1"/>
  <c r="AJ174" i="10"/>
  <c r="AO174" i="10" s="1"/>
  <c r="AI174" i="10"/>
  <c r="AN174" i="10" s="1"/>
  <c r="AH174" i="10"/>
  <c r="AM174" i="10" s="1"/>
  <c r="AG174" i="10"/>
  <c r="AL174" i="10" s="1"/>
  <c r="AJ173" i="10"/>
  <c r="AO173" i="10" s="1"/>
  <c r="AI173" i="10"/>
  <c r="AN173" i="10" s="1"/>
  <c r="AH173" i="10"/>
  <c r="AM173" i="10" s="1"/>
  <c r="AG173" i="10"/>
  <c r="AL173" i="10" s="1"/>
  <c r="AJ172" i="10"/>
  <c r="AO172" i="10" s="1"/>
  <c r="AI172" i="10"/>
  <c r="AN172" i="10" s="1"/>
  <c r="AH172" i="10"/>
  <c r="AM172" i="10" s="1"/>
  <c r="AG172" i="10"/>
  <c r="AL172" i="10" s="1"/>
  <c r="AL171" i="10"/>
  <c r="AJ171" i="10"/>
  <c r="AO171" i="10" s="1"/>
  <c r="AI171" i="10"/>
  <c r="AN171" i="10" s="1"/>
  <c r="AH171" i="10"/>
  <c r="AM171" i="10" s="1"/>
  <c r="AG171" i="10"/>
  <c r="AJ170" i="10"/>
  <c r="AO170" i="10" s="1"/>
  <c r="AI170" i="10"/>
  <c r="AN170" i="10" s="1"/>
  <c r="AH170" i="10"/>
  <c r="AM170" i="10" s="1"/>
  <c r="AG170" i="10"/>
  <c r="AL170" i="10" s="1"/>
  <c r="AJ169" i="10"/>
  <c r="AO169" i="10" s="1"/>
  <c r="AI169" i="10"/>
  <c r="AN169" i="10" s="1"/>
  <c r="AH169" i="10"/>
  <c r="AM169" i="10" s="1"/>
  <c r="AG169" i="10"/>
  <c r="AL169" i="10" s="1"/>
  <c r="AM168" i="10"/>
  <c r="AJ168" i="10"/>
  <c r="AO168" i="10" s="1"/>
  <c r="AI168" i="10"/>
  <c r="AN168" i="10" s="1"/>
  <c r="AH168" i="10"/>
  <c r="AG168" i="10"/>
  <c r="AL168" i="10" s="1"/>
  <c r="AJ167" i="10"/>
  <c r="AO167" i="10" s="1"/>
  <c r="AI167" i="10"/>
  <c r="AN167" i="10" s="1"/>
  <c r="AH167" i="10"/>
  <c r="AM167" i="10" s="1"/>
  <c r="AG167" i="10"/>
  <c r="AL167" i="10" s="1"/>
  <c r="AJ166" i="10"/>
  <c r="AO166" i="10" s="1"/>
  <c r="AI166" i="10"/>
  <c r="AN166" i="10" s="1"/>
  <c r="AH166" i="10"/>
  <c r="AM166" i="10" s="1"/>
  <c r="AG166" i="10"/>
  <c r="AL166" i="10" s="1"/>
  <c r="AJ165" i="10"/>
  <c r="AO165" i="10" s="1"/>
  <c r="AI165" i="10"/>
  <c r="AN165" i="10" s="1"/>
  <c r="AH165" i="10"/>
  <c r="AM165" i="10" s="1"/>
  <c r="AG165" i="10"/>
  <c r="AL165" i="10" s="1"/>
  <c r="AL164" i="10"/>
  <c r="AJ164" i="10"/>
  <c r="AO164" i="10" s="1"/>
  <c r="AI164" i="10"/>
  <c r="AN164" i="10" s="1"/>
  <c r="AH164" i="10"/>
  <c r="AM164" i="10" s="1"/>
  <c r="AG164" i="10"/>
  <c r="AJ163" i="10"/>
  <c r="AO163" i="10" s="1"/>
  <c r="AI163" i="10"/>
  <c r="AN163" i="10" s="1"/>
  <c r="AH163" i="10"/>
  <c r="AM163" i="10" s="1"/>
  <c r="AG163" i="10"/>
  <c r="AL163" i="10" s="1"/>
  <c r="AJ162" i="10"/>
  <c r="AO162" i="10" s="1"/>
  <c r="AI162" i="10"/>
  <c r="AN162" i="10" s="1"/>
  <c r="AH162" i="10"/>
  <c r="AM162" i="10" s="1"/>
  <c r="AG162" i="10"/>
  <c r="AL162" i="10" s="1"/>
  <c r="AJ161" i="10"/>
  <c r="AO161" i="10" s="1"/>
  <c r="AI161" i="10"/>
  <c r="AN161" i="10" s="1"/>
  <c r="AH161" i="10"/>
  <c r="AM161" i="10" s="1"/>
  <c r="AG161" i="10"/>
  <c r="AL161" i="10" s="1"/>
  <c r="AJ160" i="10"/>
  <c r="AO160" i="10" s="1"/>
  <c r="AI160" i="10"/>
  <c r="AN160" i="10" s="1"/>
  <c r="AH160" i="10"/>
  <c r="AM160" i="10" s="1"/>
  <c r="AG160" i="10"/>
  <c r="AL160" i="10" s="1"/>
  <c r="AJ159" i="10"/>
  <c r="AO159" i="10" s="1"/>
  <c r="AI159" i="10"/>
  <c r="AN159" i="10" s="1"/>
  <c r="AH159" i="10"/>
  <c r="AM159" i="10" s="1"/>
  <c r="AG159" i="10"/>
  <c r="AL159" i="10" s="1"/>
  <c r="AJ158" i="10"/>
  <c r="AO158" i="10" s="1"/>
  <c r="AI158" i="10"/>
  <c r="AN158" i="10" s="1"/>
  <c r="AH158" i="10"/>
  <c r="AM158" i="10" s="1"/>
  <c r="AG158" i="10"/>
  <c r="AL158" i="10" s="1"/>
  <c r="AJ157" i="10"/>
  <c r="AO157" i="10" s="1"/>
  <c r="AI157" i="10"/>
  <c r="AN157" i="10" s="1"/>
  <c r="AH157" i="10"/>
  <c r="AM157" i="10" s="1"/>
  <c r="AG157" i="10"/>
  <c r="AL157" i="10" s="1"/>
  <c r="AJ156" i="10"/>
  <c r="AO156" i="10" s="1"/>
  <c r="AI156" i="10"/>
  <c r="AN156" i="10" s="1"/>
  <c r="AH156" i="10"/>
  <c r="AM156" i="10" s="1"/>
  <c r="AG156" i="10"/>
  <c r="AL156" i="10" s="1"/>
  <c r="AJ155" i="10"/>
  <c r="AO155" i="10" s="1"/>
  <c r="AI155" i="10"/>
  <c r="AN155" i="10" s="1"/>
  <c r="AH155" i="10"/>
  <c r="AM155" i="10" s="1"/>
  <c r="AG155" i="10"/>
  <c r="AL155" i="10" s="1"/>
  <c r="AJ154" i="10"/>
  <c r="AO154" i="10" s="1"/>
  <c r="AI154" i="10"/>
  <c r="AN154" i="10" s="1"/>
  <c r="AH154" i="10"/>
  <c r="AM154" i="10" s="1"/>
  <c r="AG154" i="10"/>
  <c r="AL154" i="10" s="1"/>
  <c r="AJ153" i="10"/>
  <c r="AO153" i="10" s="1"/>
  <c r="AI153" i="10"/>
  <c r="AN153" i="10" s="1"/>
  <c r="AH153" i="10"/>
  <c r="AM153" i="10" s="1"/>
  <c r="AG153" i="10"/>
  <c r="AL153" i="10" s="1"/>
  <c r="AO152" i="10"/>
  <c r="AJ152" i="10"/>
  <c r="AI152" i="10"/>
  <c r="AN152" i="10" s="1"/>
  <c r="AH152" i="10"/>
  <c r="AM152" i="10" s="1"/>
  <c r="AG152" i="10"/>
  <c r="AL152" i="10" s="1"/>
  <c r="AJ151" i="10"/>
  <c r="AO151" i="10" s="1"/>
  <c r="AI151" i="10"/>
  <c r="AN151" i="10" s="1"/>
  <c r="AH151" i="10"/>
  <c r="AM151" i="10" s="1"/>
  <c r="AG151" i="10"/>
  <c r="AL151" i="10" s="1"/>
  <c r="AJ150" i="10"/>
  <c r="AO150" i="10" s="1"/>
  <c r="AI150" i="10"/>
  <c r="AN150" i="10" s="1"/>
  <c r="AH150" i="10"/>
  <c r="AM150" i="10" s="1"/>
  <c r="AG150" i="10"/>
  <c r="AL150" i="10" s="1"/>
  <c r="AL149" i="10"/>
  <c r="AJ149" i="10"/>
  <c r="AO149" i="10" s="1"/>
  <c r="AI149" i="10"/>
  <c r="AN149" i="10" s="1"/>
  <c r="AH149" i="10"/>
  <c r="AM149" i="10" s="1"/>
  <c r="AG149" i="10"/>
  <c r="AJ148" i="10"/>
  <c r="AO148" i="10" s="1"/>
  <c r="AI148" i="10"/>
  <c r="AN148" i="10" s="1"/>
  <c r="AH148" i="10"/>
  <c r="AM148" i="10" s="1"/>
  <c r="AG148" i="10"/>
  <c r="AL148" i="10" s="1"/>
  <c r="AJ147" i="10"/>
  <c r="AO147" i="10" s="1"/>
  <c r="AI147" i="10"/>
  <c r="AN147" i="10" s="1"/>
  <c r="AH147" i="10"/>
  <c r="AM147" i="10" s="1"/>
  <c r="AG147" i="10"/>
  <c r="AL147" i="10" s="1"/>
  <c r="AM146" i="10"/>
  <c r="AJ146" i="10"/>
  <c r="AO146" i="10" s="1"/>
  <c r="AI146" i="10"/>
  <c r="AN146" i="10" s="1"/>
  <c r="AH146" i="10"/>
  <c r="AG146" i="10"/>
  <c r="AL146" i="10" s="1"/>
  <c r="AJ145" i="10"/>
  <c r="AO145" i="10" s="1"/>
  <c r="AI145" i="10"/>
  <c r="AN145" i="10" s="1"/>
  <c r="AH145" i="10"/>
  <c r="AM145" i="10" s="1"/>
  <c r="AG145" i="10"/>
  <c r="AL145" i="10" s="1"/>
  <c r="AJ144" i="10"/>
  <c r="AO144" i="10" s="1"/>
  <c r="AI144" i="10"/>
  <c r="AN144" i="10" s="1"/>
  <c r="AH144" i="10"/>
  <c r="AM144" i="10" s="1"/>
  <c r="AG144" i="10"/>
  <c r="AL144" i="10" s="1"/>
  <c r="AJ143" i="10"/>
  <c r="AO143" i="10" s="1"/>
  <c r="AI143" i="10"/>
  <c r="AN143" i="10" s="1"/>
  <c r="AH143" i="10"/>
  <c r="AM143" i="10" s="1"/>
  <c r="AG143" i="10"/>
  <c r="AL143" i="10" s="1"/>
  <c r="AL142" i="10"/>
  <c r="AJ142" i="10"/>
  <c r="AO142" i="10" s="1"/>
  <c r="AI142" i="10"/>
  <c r="AN142" i="10" s="1"/>
  <c r="AH142" i="10"/>
  <c r="AM142" i="10" s="1"/>
  <c r="AG142" i="10"/>
  <c r="AJ141" i="10"/>
  <c r="AO141" i="10" s="1"/>
  <c r="AI141" i="10"/>
  <c r="AN141" i="10" s="1"/>
  <c r="AH141" i="10"/>
  <c r="AM141" i="10" s="1"/>
  <c r="AG141" i="10"/>
  <c r="AL141" i="10" s="1"/>
  <c r="AJ140" i="10"/>
  <c r="AO140" i="10" s="1"/>
  <c r="AI140" i="10"/>
  <c r="AN140" i="10" s="1"/>
  <c r="AH140" i="10"/>
  <c r="AM140" i="10" s="1"/>
  <c r="AG140" i="10"/>
  <c r="AL140" i="10" s="1"/>
  <c r="AJ139" i="10"/>
  <c r="AO139" i="10" s="1"/>
  <c r="AI139" i="10"/>
  <c r="AN139" i="10" s="1"/>
  <c r="AH139" i="10"/>
  <c r="AM139" i="10" s="1"/>
  <c r="AG139" i="10"/>
  <c r="AL139" i="10" s="1"/>
  <c r="AJ138" i="10"/>
  <c r="AO138" i="10" s="1"/>
  <c r="AI138" i="10"/>
  <c r="AN138" i="10" s="1"/>
  <c r="AH138" i="10"/>
  <c r="AM138" i="10" s="1"/>
  <c r="AG138" i="10"/>
  <c r="AL138" i="10" s="1"/>
  <c r="AN137" i="10"/>
  <c r="AJ137" i="10"/>
  <c r="AO137" i="10" s="1"/>
  <c r="AI137" i="10"/>
  <c r="AH137" i="10"/>
  <c r="AM137" i="10" s="1"/>
  <c r="AG137" i="10"/>
  <c r="AL137" i="10" s="1"/>
  <c r="AJ136" i="10"/>
  <c r="AO136" i="10" s="1"/>
  <c r="AI136" i="10"/>
  <c r="AN136" i="10" s="1"/>
  <c r="AH136" i="10"/>
  <c r="AM136" i="10" s="1"/>
  <c r="AG136" i="10"/>
  <c r="AL136" i="10" s="1"/>
  <c r="AJ135" i="10"/>
  <c r="AO135" i="10" s="1"/>
  <c r="AI135" i="10"/>
  <c r="AN135" i="10" s="1"/>
  <c r="AH135" i="10"/>
  <c r="AM135" i="10" s="1"/>
  <c r="AG135" i="10"/>
  <c r="AL135" i="10" s="1"/>
  <c r="AJ134" i="10"/>
  <c r="AO134" i="10" s="1"/>
  <c r="AI134" i="10"/>
  <c r="AN134" i="10" s="1"/>
  <c r="AH134" i="10"/>
  <c r="AM134" i="10" s="1"/>
  <c r="AG134" i="10"/>
  <c r="AL134" i="10" s="1"/>
  <c r="AJ133" i="10"/>
  <c r="AO133" i="10" s="1"/>
  <c r="AI133" i="10"/>
  <c r="AN133" i="10" s="1"/>
  <c r="AH133" i="10"/>
  <c r="AM133" i="10" s="1"/>
  <c r="AG133" i="10"/>
  <c r="AL133" i="10" s="1"/>
  <c r="AJ132" i="10"/>
  <c r="AO132" i="10" s="1"/>
  <c r="AI132" i="10"/>
  <c r="AN132" i="10" s="1"/>
  <c r="AH132" i="10"/>
  <c r="AM132" i="10" s="1"/>
  <c r="AG132" i="10"/>
  <c r="AL132" i="10" s="1"/>
  <c r="AM131" i="10"/>
  <c r="AL131" i="10"/>
  <c r="AJ131" i="10"/>
  <c r="AO131" i="10" s="1"/>
  <c r="AI131" i="10"/>
  <c r="AN131" i="10" s="1"/>
  <c r="AH131" i="10"/>
  <c r="AG131" i="10"/>
  <c r="AJ130" i="10"/>
  <c r="AO130" i="10" s="1"/>
  <c r="AI130" i="10"/>
  <c r="AN130" i="10" s="1"/>
  <c r="AH130" i="10"/>
  <c r="AM130" i="10" s="1"/>
  <c r="AG130" i="10"/>
  <c r="AL130" i="10" s="1"/>
  <c r="AJ129" i="10"/>
  <c r="AO129" i="10" s="1"/>
  <c r="AI129" i="10"/>
  <c r="AN129" i="10" s="1"/>
  <c r="AH129" i="10"/>
  <c r="AM129" i="10" s="1"/>
  <c r="AG129" i="10"/>
  <c r="AL129" i="10" s="1"/>
  <c r="AO128" i="10"/>
  <c r="AM128" i="10"/>
  <c r="AJ128" i="10"/>
  <c r="AI128" i="10"/>
  <c r="AN128" i="10" s="1"/>
  <c r="AH128" i="10"/>
  <c r="AG128" i="10"/>
  <c r="AL128" i="10" s="1"/>
  <c r="AJ127" i="10"/>
  <c r="AO127" i="10" s="1"/>
  <c r="AI127" i="10"/>
  <c r="AN127" i="10" s="1"/>
  <c r="AH127" i="10"/>
  <c r="AM127" i="10" s="1"/>
  <c r="AG127" i="10"/>
  <c r="AL127" i="10" s="1"/>
  <c r="AJ126" i="10"/>
  <c r="AO126" i="10" s="1"/>
  <c r="AI126" i="10"/>
  <c r="AN126" i="10" s="1"/>
  <c r="AH126" i="10"/>
  <c r="AM126" i="10" s="1"/>
  <c r="AG126" i="10"/>
  <c r="AL126" i="10" s="1"/>
  <c r="AJ125" i="10"/>
  <c r="AO125" i="10" s="1"/>
  <c r="AI125" i="10"/>
  <c r="AN125" i="10" s="1"/>
  <c r="AH125" i="10"/>
  <c r="AM125" i="10" s="1"/>
  <c r="AG125" i="10"/>
  <c r="AL125" i="10" s="1"/>
  <c r="AJ124" i="10"/>
  <c r="AO124" i="10" s="1"/>
  <c r="AI124" i="10"/>
  <c r="AN124" i="10" s="1"/>
  <c r="AH124" i="10"/>
  <c r="AM124" i="10" s="1"/>
  <c r="AG124" i="10"/>
  <c r="AL124" i="10" s="1"/>
  <c r="AL123" i="10"/>
  <c r="AJ123" i="10"/>
  <c r="AO123" i="10" s="1"/>
  <c r="AI123" i="10"/>
  <c r="AN123" i="10" s="1"/>
  <c r="AH123" i="10"/>
  <c r="AM123" i="10" s="1"/>
  <c r="AG123" i="10"/>
  <c r="AJ122" i="10"/>
  <c r="AO122" i="10" s="1"/>
  <c r="AI122" i="10"/>
  <c r="AN122" i="10" s="1"/>
  <c r="AH122" i="10"/>
  <c r="AM122" i="10" s="1"/>
  <c r="AG122" i="10"/>
  <c r="AL122" i="10" s="1"/>
  <c r="AO121" i="10"/>
  <c r="AJ121" i="10"/>
  <c r="AI121" i="10"/>
  <c r="AN121" i="10" s="1"/>
  <c r="AH121" i="10"/>
  <c r="AM121" i="10" s="1"/>
  <c r="AG121" i="10"/>
  <c r="AL121" i="10" s="1"/>
  <c r="AJ120" i="10"/>
  <c r="AO120" i="10" s="1"/>
  <c r="AI120" i="10"/>
  <c r="AN120" i="10" s="1"/>
  <c r="AH120" i="10"/>
  <c r="AM120" i="10" s="1"/>
  <c r="AG120" i="10"/>
  <c r="AL120" i="10" s="1"/>
  <c r="AJ119" i="10"/>
  <c r="AO119" i="10" s="1"/>
  <c r="AI119" i="10"/>
  <c r="AN119" i="10" s="1"/>
  <c r="AH119" i="10"/>
  <c r="AM119" i="10" s="1"/>
  <c r="AG119" i="10"/>
  <c r="AL119" i="10" s="1"/>
  <c r="AJ118" i="10"/>
  <c r="AO118" i="10" s="1"/>
  <c r="AI118" i="10"/>
  <c r="AN118" i="10" s="1"/>
  <c r="AH118" i="10"/>
  <c r="AM118" i="10" s="1"/>
  <c r="AG118" i="10"/>
  <c r="AL118" i="10" s="1"/>
  <c r="AJ117" i="10"/>
  <c r="AO117" i="10" s="1"/>
  <c r="AI117" i="10"/>
  <c r="AN117" i="10" s="1"/>
  <c r="AH117" i="10"/>
  <c r="AM117" i="10" s="1"/>
  <c r="AG117" i="10"/>
  <c r="AL117" i="10" s="1"/>
  <c r="AJ116" i="10"/>
  <c r="AO116" i="10" s="1"/>
  <c r="AI116" i="10"/>
  <c r="AN116" i="10" s="1"/>
  <c r="AH116" i="10"/>
  <c r="AM116" i="10" s="1"/>
  <c r="AG116" i="10"/>
  <c r="AL116" i="10" s="1"/>
  <c r="AM115" i="10"/>
  <c r="AJ115" i="10"/>
  <c r="AO115" i="10" s="1"/>
  <c r="AI115" i="10"/>
  <c r="AN115" i="10" s="1"/>
  <c r="AH115" i="10"/>
  <c r="AG115" i="10"/>
  <c r="AL115" i="10" s="1"/>
  <c r="AM114" i="10"/>
  <c r="AL114" i="10"/>
  <c r="AJ114" i="10"/>
  <c r="AO114" i="10" s="1"/>
  <c r="AI114" i="10"/>
  <c r="AN114" i="10" s="1"/>
  <c r="AH114" i="10"/>
  <c r="AG114" i="10"/>
  <c r="AJ113" i="10"/>
  <c r="AO113" i="10" s="1"/>
  <c r="AI113" i="10"/>
  <c r="AN113" i="10" s="1"/>
  <c r="AH113" i="10"/>
  <c r="AM113" i="10" s="1"/>
  <c r="AG113" i="10"/>
  <c r="AL113" i="10" s="1"/>
  <c r="AJ112" i="10"/>
  <c r="AO112" i="10" s="1"/>
  <c r="AI112" i="10"/>
  <c r="AN112" i="10" s="1"/>
  <c r="AH112" i="10"/>
  <c r="AM112" i="10" s="1"/>
  <c r="AG112" i="10"/>
  <c r="AL112" i="10" s="1"/>
  <c r="AJ111" i="10"/>
  <c r="AO111" i="10" s="1"/>
  <c r="AI111" i="10"/>
  <c r="AN111" i="10" s="1"/>
  <c r="AH111" i="10"/>
  <c r="AM111" i="10" s="1"/>
  <c r="AG111" i="10"/>
  <c r="AL111" i="10" s="1"/>
  <c r="AJ110" i="10"/>
  <c r="AO110" i="10" s="1"/>
  <c r="AI110" i="10"/>
  <c r="AN110" i="10" s="1"/>
  <c r="AH110" i="10"/>
  <c r="AM110" i="10" s="1"/>
  <c r="AG110" i="10"/>
  <c r="AL110" i="10" s="1"/>
  <c r="AP110" i="10" s="1"/>
  <c r="AJ104" i="10"/>
  <c r="AO104" i="10" s="1"/>
  <c r="AI104" i="10"/>
  <c r="AN104" i="10" s="1"/>
  <c r="AH104" i="10"/>
  <c r="AM104" i="10" s="1"/>
  <c r="AG104" i="10"/>
  <c r="AL104" i="10" s="1"/>
  <c r="AJ97" i="10"/>
  <c r="AO97" i="10" s="1"/>
  <c r="AI97" i="10"/>
  <c r="AN97" i="10" s="1"/>
  <c r="AH97" i="10"/>
  <c r="AM97" i="10" s="1"/>
  <c r="AG97" i="10"/>
  <c r="AL97" i="10" s="1"/>
  <c r="AJ98" i="10"/>
  <c r="AO98" i="10" s="1"/>
  <c r="AI98" i="10"/>
  <c r="AN98" i="10" s="1"/>
  <c r="AH98" i="10"/>
  <c r="AM98" i="10" s="1"/>
  <c r="AG98" i="10"/>
  <c r="AL98" i="10" s="1"/>
  <c r="AJ96" i="10"/>
  <c r="AO96" i="10" s="1"/>
  <c r="AI96" i="10"/>
  <c r="AN96" i="10" s="1"/>
  <c r="AH96" i="10"/>
  <c r="AM96" i="10" s="1"/>
  <c r="AG96" i="10"/>
  <c r="AL96" i="10" s="1"/>
  <c r="AN95" i="10"/>
  <c r="AL95" i="10"/>
  <c r="AJ95" i="10"/>
  <c r="AO95" i="10" s="1"/>
  <c r="AI95" i="10"/>
  <c r="AH95" i="10"/>
  <c r="AM95" i="10" s="1"/>
  <c r="AG95" i="10"/>
  <c r="AJ109" i="10"/>
  <c r="AO109" i="10" s="1"/>
  <c r="AI109" i="10"/>
  <c r="AN109" i="10" s="1"/>
  <c r="AH109" i="10"/>
  <c r="AM109" i="10" s="1"/>
  <c r="AG109" i="10"/>
  <c r="AL109" i="10" s="1"/>
  <c r="AJ99" i="10"/>
  <c r="AO99" i="10" s="1"/>
  <c r="AI99" i="10"/>
  <c r="AN99" i="10" s="1"/>
  <c r="AH99" i="10"/>
  <c r="AM99" i="10" s="1"/>
  <c r="AG99" i="10"/>
  <c r="AL99" i="10" s="1"/>
  <c r="AJ102" i="10"/>
  <c r="AO102" i="10" s="1"/>
  <c r="AI102" i="10"/>
  <c r="AN102" i="10" s="1"/>
  <c r="AH102" i="10"/>
  <c r="AM102" i="10" s="1"/>
  <c r="AG102" i="10"/>
  <c r="AL102" i="10" s="1"/>
  <c r="AJ103" i="10"/>
  <c r="AO103" i="10" s="1"/>
  <c r="AI103" i="10"/>
  <c r="AN103" i="10" s="1"/>
  <c r="AH103" i="10"/>
  <c r="AM103" i="10" s="1"/>
  <c r="AG103" i="10"/>
  <c r="AL103" i="10" s="1"/>
  <c r="AJ105" i="10"/>
  <c r="AO105" i="10" s="1"/>
  <c r="AI105" i="10"/>
  <c r="AN105" i="10" s="1"/>
  <c r="AH105" i="10"/>
  <c r="AM105" i="10" s="1"/>
  <c r="AG105" i="10"/>
  <c r="AL105" i="10" s="1"/>
  <c r="AJ94" i="10"/>
  <c r="AO94" i="10" s="1"/>
  <c r="AI94" i="10"/>
  <c r="AN94" i="10" s="1"/>
  <c r="AH94" i="10"/>
  <c r="AM94" i="10" s="1"/>
  <c r="AG94" i="10"/>
  <c r="AL94" i="10" s="1"/>
  <c r="AJ101" i="10"/>
  <c r="AO101" i="10" s="1"/>
  <c r="AI101" i="10"/>
  <c r="AN101" i="10" s="1"/>
  <c r="AH101" i="10"/>
  <c r="AM101" i="10" s="1"/>
  <c r="AG101" i="10"/>
  <c r="AL101" i="10" s="1"/>
  <c r="AJ107" i="10"/>
  <c r="AO107" i="10" s="1"/>
  <c r="AI107" i="10"/>
  <c r="AN107" i="10" s="1"/>
  <c r="AH107" i="10"/>
  <c r="AM107" i="10" s="1"/>
  <c r="AG107" i="10"/>
  <c r="AL107" i="10" s="1"/>
  <c r="AJ100" i="10"/>
  <c r="AO100" i="10" s="1"/>
  <c r="AI100" i="10"/>
  <c r="AN100" i="10" s="1"/>
  <c r="AH100" i="10"/>
  <c r="AM100" i="10" s="1"/>
  <c r="AG100" i="10"/>
  <c r="AL100" i="10" s="1"/>
  <c r="AJ108" i="10"/>
  <c r="AO108" i="10" s="1"/>
  <c r="AI108" i="10"/>
  <c r="AN108" i="10" s="1"/>
  <c r="AH108" i="10"/>
  <c r="AM108" i="10" s="1"/>
  <c r="AG108" i="10"/>
  <c r="AL108" i="10" s="1"/>
  <c r="AJ93" i="10"/>
  <c r="AO93" i="10" s="1"/>
  <c r="AI93" i="10"/>
  <c r="AN93" i="10" s="1"/>
  <c r="AH93" i="10"/>
  <c r="AM93" i="10" s="1"/>
  <c r="AG93" i="10"/>
  <c r="AL93" i="10" s="1"/>
  <c r="AJ106" i="10"/>
  <c r="AO106" i="10" s="1"/>
  <c r="AI106" i="10"/>
  <c r="AN106" i="10" s="1"/>
  <c r="AH106" i="10"/>
  <c r="AM106" i="10" s="1"/>
  <c r="AG106" i="10"/>
  <c r="AL106" i="10" s="1"/>
  <c r="AL92" i="10"/>
  <c r="AJ92" i="10"/>
  <c r="AO92" i="10" s="1"/>
  <c r="AI92" i="10"/>
  <c r="AN92" i="10" s="1"/>
  <c r="AH92" i="10"/>
  <c r="AM92" i="10" s="1"/>
  <c r="AG92" i="10"/>
  <c r="AJ91" i="10"/>
  <c r="AO91" i="10" s="1"/>
  <c r="AI91" i="10"/>
  <c r="AN91" i="10" s="1"/>
  <c r="AH91" i="10"/>
  <c r="AM91" i="10" s="1"/>
  <c r="AG91" i="10"/>
  <c r="AL91" i="10" s="1"/>
  <c r="AJ90" i="10"/>
  <c r="AO90" i="10" s="1"/>
  <c r="AI90" i="10"/>
  <c r="AN90" i="10" s="1"/>
  <c r="AH90" i="10"/>
  <c r="AM90" i="10" s="1"/>
  <c r="AG90" i="10"/>
  <c r="AL90" i="10" s="1"/>
  <c r="AO89" i="10"/>
  <c r="AN89" i="10"/>
  <c r="AJ89" i="10"/>
  <c r="AI89" i="10"/>
  <c r="AH89" i="10"/>
  <c r="AM89" i="10" s="1"/>
  <c r="AG89" i="10"/>
  <c r="AL89" i="10" s="1"/>
  <c r="AJ88" i="10"/>
  <c r="AO88" i="10" s="1"/>
  <c r="AI88" i="10"/>
  <c r="AN88" i="10" s="1"/>
  <c r="AH88" i="10"/>
  <c r="AM88" i="10" s="1"/>
  <c r="AG88" i="10"/>
  <c r="AL88" i="10" s="1"/>
  <c r="AJ87" i="10"/>
  <c r="AO87" i="10" s="1"/>
  <c r="AI87" i="10"/>
  <c r="AN87" i="10" s="1"/>
  <c r="AH87" i="10"/>
  <c r="AM87" i="10" s="1"/>
  <c r="AG87" i="10"/>
  <c r="AL87" i="10" s="1"/>
  <c r="AJ86" i="10"/>
  <c r="AO86" i="10" s="1"/>
  <c r="AI86" i="10"/>
  <c r="AN86" i="10" s="1"/>
  <c r="AH86" i="10"/>
  <c r="AM86" i="10" s="1"/>
  <c r="AG86" i="10"/>
  <c r="AL86" i="10" s="1"/>
  <c r="AJ85" i="10"/>
  <c r="AO85" i="10" s="1"/>
  <c r="AI85" i="10"/>
  <c r="AN85" i="10" s="1"/>
  <c r="AH85" i="10"/>
  <c r="AM85" i="10" s="1"/>
  <c r="AG85" i="10"/>
  <c r="AL85" i="10" s="1"/>
  <c r="AJ84" i="10"/>
  <c r="AO84" i="10" s="1"/>
  <c r="AI84" i="10"/>
  <c r="AN84" i="10" s="1"/>
  <c r="AH84" i="10"/>
  <c r="AM84" i="10" s="1"/>
  <c r="AG84" i="10"/>
  <c r="AL84" i="10" s="1"/>
  <c r="AJ83" i="10"/>
  <c r="AO83" i="10" s="1"/>
  <c r="AI83" i="10"/>
  <c r="AN83" i="10" s="1"/>
  <c r="AH83" i="10"/>
  <c r="AM83" i="10" s="1"/>
  <c r="AG83" i="10"/>
  <c r="AL83" i="10" s="1"/>
  <c r="AN82" i="10"/>
  <c r="AM82" i="10"/>
  <c r="AJ82" i="10"/>
  <c r="AO82" i="10" s="1"/>
  <c r="AI82" i="10"/>
  <c r="AH82" i="10"/>
  <c r="AG82" i="10"/>
  <c r="AL82" i="10" s="1"/>
  <c r="AL81" i="10"/>
  <c r="AJ81" i="10"/>
  <c r="AO81" i="10" s="1"/>
  <c r="AI81" i="10"/>
  <c r="AN81" i="10" s="1"/>
  <c r="AH81" i="10"/>
  <c r="AM81" i="10" s="1"/>
  <c r="AG81" i="10"/>
  <c r="AJ80" i="10"/>
  <c r="AO80" i="10" s="1"/>
  <c r="AI80" i="10"/>
  <c r="AN80" i="10" s="1"/>
  <c r="AH80" i="10"/>
  <c r="AM80" i="10" s="1"/>
  <c r="AG80" i="10"/>
  <c r="AL80" i="10" s="1"/>
  <c r="AJ79" i="10"/>
  <c r="AO79" i="10" s="1"/>
  <c r="AI79" i="10"/>
  <c r="AN79" i="10" s="1"/>
  <c r="AH79" i="10"/>
  <c r="AM79" i="10" s="1"/>
  <c r="AG79" i="10"/>
  <c r="AL79" i="10" s="1"/>
  <c r="AJ78" i="10"/>
  <c r="AO78" i="10" s="1"/>
  <c r="AI78" i="10"/>
  <c r="AN78" i="10" s="1"/>
  <c r="AH78" i="10"/>
  <c r="AM78" i="10" s="1"/>
  <c r="AG78" i="10"/>
  <c r="AL78" i="10" s="1"/>
  <c r="AJ77" i="10"/>
  <c r="AO77" i="10" s="1"/>
  <c r="AI77" i="10"/>
  <c r="AN77" i="10" s="1"/>
  <c r="AH77" i="10"/>
  <c r="AM77" i="10" s="1"/>
  <c r="AG77" i="10"/>
  <c r="AL77" i="10" s="1"/>
  <c r="AJ76" i="10"/>
  <c r="AO76" i="10" s="1"/>
  <c r="AI76" i="10"/>
  <c r="AN76" i="10" s="1"/>
  <c r="AH76" i="10"/>
  <c r="AM76" i="10" s="1"/>
  <c r="AG76" i="10"/>
  <c r="AL76" i="10" s="1"/>
  <c r="AJ75" i="10"/>
  <c r="AO75" i="10" s="1"/>
  <c r="AI75" i="10"/>
  <c r="AN75" i="10" s="1"/>
  <c r="AH75" i="10"/>
  <c r="AM75" i="10" s="1"/>
  <c r="AG75" i="10"/>
  <c r="AL75" i="10" s="1"/>
  <c r="AM74" i="10"/>
  <c r="AJ74" i="10"/>
  <c r="AO74" i="10" s="1"/>
  <c r="AI74" i="10"/>
  <c r="AN74" i="10" s="1"/>
  <c r="AH74" i="10"/>
  <c r="AG74" i="10"/>
  <c r="AL74" i="10" s="1"/>
  <c r="AL73" i="10"/>
  <c r="AJ73" i="10"/>
  <c r="AO73" i="10" s="1"/>
  <c r="AI73" i="10"/>
  <c r="AN73" i="10" s="1"/>
  <c r="AH73" i="10"/>
  <c r="AM73" i="10" s="1"/>
  <c r="AG73" i="10"/>
  <c r="AJ72" i="10"/>
  <c r="AO72" i="10" s="1"/>
  <c r="AI72" i="10"/>
  <c r="AN72" i="10" s="1"/>
  <c r="AH72" i="10"/>
  <c r="AM72" i="10" s="1"/>
  <c r="AG72" i="10"/>
  <c r="AL72" i="10" s="1"/>
  <c r="AJ71" i="10"/>
  <c r="AO71" i="10" s="1"/>
  <c r="AI71" i="10"/>
  <c r="AN71" i="10" s="1"/>
  <c r="AH71" i="10"/>
  <c r="AM71" i="10" s="1"/>
  <c r="AG71" i="10"/>
  <c r="AL71" i="10" s="1"/>
  <c r="AJ70" i="10"/>
  <c r="AO70" i="10" s="1"/>
  <c r="AI70" i="10"/>
  <c r="AN70" i="10" s="1"/>
  <c r="AH70" i="10"/>
  <c r="AM70" i="10" s="1"/>
  <c r="AG70" i="10"/>
  <c r="AL70" i="10" s="1"/>
  <c r="AP70" i="10" s="1"/>
  <c r="AJ69" i="10"/>
  <c r="AO69" i="10" s="1"/>
  <c r="AI69" i="10"/>
  <c r="AN69" i="10" s="1"/>
  <c r="AH69" i="10"/>
  <c r="AM69" i="10" s="1"/>
  <c r="AG69" i="10"/>
  <c r="AL69" i="10" s="1"/>
  <c r="AJ68" i="10"/>
  <c r="AO68" i="10" s="1"/>
  <c r="AI68" i="10"/>
  <c r="AN68" i="10" s="1"/>
  <c r="AH68" i="10"/>
  <c r="AM68" i="10" s="1"/>
  <c r="AG68" i="10"/>
  <c r="AL68" i="10" s="1"/>
  <c r="AJ67" i="10"/>
  <c r="AO67" i="10" s="1"/>
  <c r="AI67" i="10"/>
  <c r="AN67" i="10" s="1"/>
  <c r="AH67" i="10"/>
  <c r="AM67" i="10" s="1"/>
  <c r="AG67" i="10"/>
  <c r="AL67" i="10" s="1"/>
  <c r="AN66" i="10"/>
  <c r="AJ66" i="10"/>
  <c r="AO66" i="10" s="1"/>
  <c r="AI66" i="10"/>
  <c r="AH66" i="10"/>
  <c r="AM66" i="10" s="1"/>
  <c r="AG66" i="10"/>
  <c r="AL66" i="10" s="1"/>
  <c r="AL65" i="10"/>
  <c r="AJ65" i="10"/>
  <c r="AO65" i="10" s="1"/>
  <c r="AI65" i="10"/>
  <c r="AN65" i="10" s="1"/>
  <c r="AH65" i="10"/>
  <c r="AM65" i="10" s="1"/>
  <c r="AG65" i="10"/>
  <c r="AJ64" i="10"/>
  <c r="AO64" i="10" s="1"/>
  <c r="AI64" i="10"/>
  <c r="AN64" i="10" s="1"/>
  <c r="AH64" i="10"/>
  <c r="AM64" i="10" s="1"/>
  <c r="AG64" i="10"/>
  <c r="AL64" i="10" s="1"/>
  <c r="AN63" i="10"/>
  <c r="AJ63" i="10"/>
  <c r="AO63" i="10" s="1"/>
  <c r="AI63" i="10"/>
  <c r="AH63" i="10"/>
  <c r="AM63" i="10" s="1"/>
  <c r="AG63" i="10"/>
  <c r="AL63" i="10" s="1"/>
  <c r="AJ62" i="10"/>
  <c r="AO62" i="10" s="1"/>
  <c r="AI62" i="10"/>
  <c r="AN62" i="10" s="1"/>
  <c r="AH62" i="10"/>
  <c r="AM62" i="10" s="1"/>
  <c r="AG62" i="10"/>
  <c r="AL62" i="10" s="1"/>
  <c r="AJ61" i="10"/>
  <c r="AO61" i="10" s="1"/>
  <c r="AI61" i="10"/>
  <c r="AN61" i="10" s="1"/>
  <c r="AH61" i="10"/>
  <c r="AM61" i="10" s="1"/>
  <c r="AG61" i="10"/>
  <c r="AL61" i="10" s="1"/>
  <c r="AM60" i="10"/>
  <c r="AL60" i="10"/>
  <c r="AJ60" i="10"/>
  <c r="AO60" i="10" s="1"/>
  <c r="AI60" i="10"/>
  <c r="AN60" i="10" s="1"/>
  <c r="AH60" i="10"/>
  <c r="AG60" i="10"/>
  <c r="AJ59" i="10"/>
  <c r="AO59" i="10" s="1"/>
  <c r="AI59" i="10"/>
  <c r="AN59" i="10" s="1"/>
  <c r="AH59" i="10"/>
  <c r="AM59" i="10" s="1"/>
  <c r="AG59" i="10"/>
  <c r="AL59" i="10" s="1"/>
  <c r="AJ58" i="10"/>
  <c r="AO58" i="10" s="1"/>
  <c r="AI58" i="10"/>
  <c r="AN58" i="10" s="1"/>
  <c r="AH58" i="10"/>
  <c r="AM58" i="10" s="1"/>
  <c r="AG58" i="10"/>
  <c r="AL58" i="10" s="1"/>
  <c r="AJ57" i="10"/>
  <c r="AO57" i="10" s="1"/>
  <c r="AI57" i="10"/>
  <c r="AN57" i="10" s="1"/>
  <c r="AH57" i="10"/>
  <c r="AM57" i="10" s="1"/>
  <c r="AG57" i="10"/>
  <c r="AL57" i="10" s="1"/>
  <c r="AJ56" i="10"/>
  <c r="AO56" i="10" s="1"/>
  <c r="AI56" i="10"/>
  <c r="AN56" i="10" s="1"/>
  <c r="AH56" i="10"/>
  <c r="AM56" i="10" s="1"/>
  <c r="AG56" i="10"/>
  <c r="AL56" i="10" s="1"/>
  <c r="AJ55" i="10"/>
  <c r="AO55" i="10" s="1"/>
  <c r="AI55" i="10"/>
  <c r="AN55" i="10" s="1"/>
  <c r="AH55" i="10"/>
  <c r="AM55" i="10" s="1"/>
  <c r="AG55" i="10"/>
  <c r="AL55" i="10" s="1"/>
  <c r="AJ54" i="10"/>
  <c r="AO54" i="10" s="1"/>
  <c r="AI54" i="10"/>
  <c r="AN54" i="10" s="1"/>
  <c r="AH54" i="10"/>
  <c r="AM54" i="10" s="1"/>
  <c r="AG54" i="10"/>
  <c r="AL54" i="10" s="1"/>
  <c r="AJ53" i="10"/>
  <c r="AO53" i="10" s="1"/>
  <c r="AI53" i="10"/>
  <c r="AN53" i="10" s="1"/>
  <c r="AH53" i="10"/>
  <c r="AM53" i="10" s="1"/>
  <c r="AG53" i="10"/>
  <c r="AL53" i="10" s="1"/>
  <c r="AM52" i="10"/>
  <c r="AL52" i="10"/>
  <c r="AJ52" i="10"/>
  <c r="AO52" i="10" s="1"/>
  <c r="AI52" i="10"/>
  <c r="AN52" i="10" s="1"/>
  <c r="AH52" i="10"/>
  <c r="AG52" i="10"/>
  <c r="AJ51" i="10"/>
  <c r="AO51" i="10" s="1"/>
  <c r="AI51" i="10"/>
  <c r="AN51" i="10" s="1"/>
  <c r="AH51" i="10"/>
  <c r="AM51" i="10" s="1"/>
  <c r="AG51" i="10"/>
  <c r="AL51" i="10" s="1"/>
  <c r="AJ50" i="10"/>
  <c r="AO50" i="10" s="1"/>
  <c r="AI50" i="10"/>
  <c r="AN50" i="10" s="1"/>
  <c r="AH50" i="10"/>
  <c r="AM50" i="10" s="1"/>
  <c r="AG50" i="10"/>
  <c r="AL50" i="10" s="1"/>
  <c r="AJ49" i="10"/>
  <c r="AO49" i="10" s="1"/>
  <c r="AI49" i="10"/>
  <c r="AN49" i="10" s="1"/>
  <c r="AH49" i="10"/>
  <c r="AM49" i="10" s="1"/>
  <c r="AG49" i="10"/>
  <c r="AL49" i="10" s="1"/>
  <c r="AO48" i="10"/>
  <c r="AJ48" i="10"/>
  <c r="AI48" i="10"/>
  <c r="AN48" i="10" s="1"/>
  <c r="AH48" i="10"/>
  <c r="AM48" i="10" s="1"/>
  <c r="AG48" i="10"/>
  <c r="AL48" i="10" s="1"/>
  <c r="AP48" i="10" s="1"/>
  <c r="AN47" i="10"/>
  <c r="AJ47" i="10"/>
  <c r="AO47" i="10" s="1"/>
  <c r="AI47" i="10"/>
  <c r="AH47" i="10"/>
  <c r="AM47" i="10" s="1"/>
  <c r="AG47" i="10"/>
  <c r="AL47" i="10" s="1"/>
  <c r="AJ46" i="10"/>
  <c r="AO46" i="10" s="1"/>
  <c r="AI46" i="10"/>
  <c r="AN46" i="10" s="1"/>
  <c r="AH46" i="10"/>
  <c r="AM46" i="10" s="1"/>
  <c r="AG46" i="10"/>
  <c r="AL46" i="10" s="1"/>
  <c r="AM45" i="10"/>
  <c r="AJ45" i="10"/>
  <c r="AO45" i="10" s="1"/>
  <c r="AI45" i="10"/>
  <c r="AN45" i="10" s="1"/>
  <c r="AH45" i="10"/>
  <c r="AG45" i="10"/>
  <c r="AL45" i="10" s="1"/>
  <c r="AL44" i="10"/>
  <c r="AJ44" i="10"/>
  <c r="AO44" i="10" s="1"/>
  <c r="AI44" i="10"/>
  <c r="AN44" i="10" s="1"/>
  <c r="AH44" i="10"/>
  <c r="AM44" i="10" s="1"/>
  <c r="AG44" i="10"/>
  <c r="AJ43" i="10"/>
  <c r="AO43" i="10" s="1"/>
  <c r="AI43" i="10"/>
  <c r="AN43" i="10" s="1"/>
  <c r="AH43" i="10"/>
  <c r="AM43" i="10" s="1"/>
  <c r="AG43" i="10"/>
  <c r="AL43" i="10" s="1"/>
  <c r="AJ42" i="10"/>
  <c r="AO42" i="10" s="1"/>
  <c r="AI42" i="10"/>
  <c r="AN42" i="10" s="1"/>
  <c r="AH42" i="10"/>
  <c r="AM42" i="10" s="1"/>
  <c r="AG42" i="10"/>
  <c r="AL42" i="10" s="1"/>
  <c r="AJ41" i="10"/>
  <c r="AO41" i="10" s="1"/>
  <c r="AI41" i="10"/>
  <c r="AN41" i="10" s="1"/>
  <c r="AH41" i="10"/>
  <c r="AM41" i="10" s="1"/>
  <c r="AG41" i="10"/>
  <c r="AL41" i="10" s="1"/>
  <c r="AJ40" i="10"/>
  <c r="AO40" i="10" s="1"/>
  <c r="AI40" i="10"/>
  <c r="AN40" i="10" s="1"/>
  <c r="AH40" i="10"/>
  <c r="AM40" i="10" s="1"/>
  <c r="AG40" i="10"/>
  <c r="AL40" i="10" s="1"/>
  <c r="AJ39" i="10"/>
  <c r="AO39" i="10" s="1"/>
  <c r="AI39" i="10"/>
  <c r="AN39" i="10" s="1"/>
  <c r="AH39" i="10"/>
  <c r="AM39" i="10" s="1"/>
  <c r="AG39" i="10"/>
  <c r="AL39" i="10" s="1"/>
  <c r="AJ38" i="10"/>
  <c r="AO38" i="10" s="1"/>
  <c r="AI38" i="10"/>
  <c r="AN38" i="10" s="1"/>
  <c r="AH38" i="10"/>
  <c r="AM38" i="10" s="1"/>
  <c r="AG38" i="10"/>
  <c r="AL38" i="10" s="1"/>
  <c r="AJ37" i="10"/>
  <c r="AO37" i="10" s="1"/>
  <c r="AI37" i="10"/>
  <c r="AN37" i="10" s="1"/>
  <c r="AH37" i="10"/>
  <c r="AM37" i="10" s="1"/>
  <c r="AG37" i="10"/>
  <c r="AL37" i="10" s="1"/>
  <c r="AJ36" i="10"/>
  <c r="AO36" i="10" s="1"/>
  <c r="AI36" i="10"/>
  <c r="AN36" i="10" s="1"/>
  <c r="AH36" i="10"/>
  <c r="AM36" i="10" s="1"/>
  <c r="AG36" i="10"/>
  <c r="AL36" i="10" s="1"/>
  <c r="AJ35" i="10"/>
  <c r="AO35" i="10" s="1"/>
  <c r="AI35" i="10"/>
  <c r="AN35" i="10" s="1"/>
  <c r="AH35" i="10"/>
  <c r="AM35" i="10" s="1"/>
  <c r="AG35" i="10"/>
  <c r="AL35" i="10" s="1"/>
  <c r="AJ34" i="10"/>
  <c r="AO34" i="10" s="1"/>
  <c r="AI34" i="10"/>
  <c r="AN34" i="10" s="1"/>
  <c r="AH34" i="10"/>
  <c r="AM34" i="10" s="1"/>
  <c r="AG34" i="10"/>
  <c r="AL34" i="10" s="1"/>
  <c r="AJ33" i="10"/>
  <c r="AO33" i="10" s="1"/>
  <c r="AI33" i="10"/>
  <c r="AN33" i="10" s="1"/>
  <c r="AH33" i="10"/>
  <c r="AM33" i="10" s="1"/>
  <c r="AG33" i="10"/>
  <c r="AL33" i="10" s="1"/>
  <c r="AJ32" i="10"/>
  <c r="AO32" i="10" s="1"/>
  <c r="AI32" i="10"/>
  <c r="AN32" i="10" s="1"/>
  <c r="AH32" i="10"/>
  <c r="AM32" i="10" s="1"/>
  <c r="AG32" i="10"/>
  <c r="AL32" i="10" s="1"/>
  <c r="AJ31" i="10"/>
  <c r="AO31" i="10" s="1"/>
  <c r="AI31" i="10"/>
  <c r="AN31" i="10" s="1"/>
  <c r="AH31" i="10"/>
  <c r="AM31" i="10" s="1"/>
  <c r="AG31" i="10"/>
  <c r="AL31" i="10" s="1"/>
  <c r="AJ30" i="10"/>
  <c r="AO30" i="10" s="1"/>
  <c r="AI30" i="10"/>
  <c r="AN30" i="10" s="1"/>
  <c r="AH30" i="10"/>
  <c r="AM30" i="10" s="1"/>
  <c r="AG30" i="10"/>
  <c r="AL30" i="10" s="1"/>
  <c r="AJ29" i="10"/>
  <c r="AO29" i="10" s="1"/>
  <c r="AI29" i="10"/>
  <c r="AN29" i="10" s="1"/>
  <c r="AH29" i="10"/>
  <c r="AM29" i="10" s="1"/>
  <c r="AG29" i="10"/>
  <c r="AL29" i="10" s="1"/>
  <c r="AJ28" i="10"/>
  <c r="AO28" i="10" s="1"/>
  <c r="AI28" i="10"/>
  <c r="AN28" i="10" s="1"/>
  <c r="AH28" i="10"/>
  <c r="AM28" i="10" s="1"/>
  <c r="AG28" i="10"/>
  <c r="AL28" i="10" s="1"/>
  <c r="AJ27" i="10"/>
  <c r="AO27" i="10" s="1"/>
  <c r="AI27" i="10"/>
  <c r="AN27" i="10" s="1"/>
  <c r="AH27" i="10"/>
  <c r="AM27" i="10" s="1"/>
  <c r="AG27" i="10"/>
  <c r="AL27" i="10" s="1"/>
  <c r="AJ26" i="10"/>
  <c r="AO26" i="10" s="1"/>
  <c r="AI26" i="10"/>
  <c r="AN26" i="10" s="1"/>
  <c r="AH26" i="10"/>
  <c r="AM26" i="10" s="1"/>
  <c r="AG26" i="10"/>
  <c r="AL26" i="10" s="1"/>
  <c r="AJ25" i="10"/>
  <c r="AO25" i="10" s="1"/>
  <c r="AI25" i="10"/>
  <c r="AN25" i="10" s="1"/>
  <c r="AH25" i="10"/>
  <c r="AM25" i="10" s="1"/>
  <c r="AG25" i="10"/>
  <c r="AL25" i="10" s="1"/>
  <c r="AO24" i="10"/>
  <c r="AJ24" i="10"/>
  <c r="AI24" i="10"/>
  <c r="AN24" i="10" s="1"/>
  <c r="AH24" i="10"/>
  <c r="AM24" i="10" s="1"/>
  <c r="AG24" i="10"/>
  <c r="AL24" i="10" s="1"/>
  <c r="AJ23" i="10"/>
  <c r="AO23" i="10" s="1"/>
  <c r="AI23" i="10"/>
  <c r="AN23" i="10" s="1"/>
  <c r="AH23" i="10"/>
  <c r="AM23" i="10" s="1"/>
  <c r="AG23" i="10"/>
  <c r="AL23" i="10" s="1"/>
  <c r="AJ22" i="10"/>
  <c r="AO22" i="10" s="1"/>
  <c r="AI22" i="10"/>
  <c r="AN22" i="10" s="1"/>
  <c r="AH22" i="10"/>
  <c r="AM22" i="10" s="1"/>
  <c r="AG22" i="10"/>
  <c r="AL22" i="10" s="1"/>
  <c r="AJ21" i="10"/>
  <c r="AO21" i="10" s="1"/>
  <c r="AI21" i="10"/>
  <c r="AN21" i="10" s="1"/>
  <c r="AH21" i="10"/>
  <c r="AM21" i="10" s="1"/>
  <c r="AG21" i="10"/>
  <c r="AL21" i="10" s="1"/>
  <c r="AJ20" i="10"/>
  <c r="AO20" i="10" s="1"/>
  <c r="AI20" i="10"/>
  <c r="AN20" i="10" s="1"/>
  <c r="AH20" i="10"/>
  <c r="AM20" i="10" s="1"/>
  <c r="AG20" i="10"/>
  <c r="AL20" i="10" s="1"/>
  <c r="AJ19" i="10"/>
  <c r="AO19" i="10" s="1"/>
  <c r="AI19" i="10"/>
  <c r="AN19" i="10" s="1"/>
  <c r="AH19" i="10"/>
  <c r="AM19" i="10" s="1"/>
  <c r="AG19" i="10"/>
  <c r="AL19" i="10" s="1"/>
  <c r="AJ18" i="10"/>
  <c r="AO18" i="10" s="1"/>
  <c r="AI18" i="10"/>
  <c r="AN18" i="10" s="1"/>
  <c r="AH18" i="10"/>
  <c r="AM18" i="10" s="1"/>
  <c r="AG18" i="10"/>
  <c r="AL18" i="10" s="1"/>
  <c r="AJ17" i="10"/>
  <c r="AO17" i="10" s="1"/>
  <c r="AI17" i="10"/>
  <c r="AN17" i="10" s="1"/>
  <c r="AH17" i="10"/>
  <c r="AM17" i="10" s="1"/>
  <c r="AG17" i="10"/>
  <c r="AL17" i="10" s="1"/>
  <c r="AO16" i="10"/>
  <c r="AN16" i="10"/>
  <c r="AJ16" i="10"/>
  <c r="AI16" i="10"/>
  <c r="AH16" i="10"/>
  <c r="AM16" i="10" s="1"/>
  <c r="AG16" i="10"/>
  <c r="AL16" i="10" s="1"/>
  <c r="AJ15" i="10"/>
  <c r="AO15" i="10" s="1"/>
  <c r="AI15" i="10"/>
  <c r="AN15" i="10" s="1"/>
  <c r="AH15" i="10"/>
  <c r="AM15" i="10" s="1"/>
  <c r="AG15" i="10"/>
  <c r="AL15" i="10" s="1"/>
  <c r="AJ14" i="10"/>
  <c r="AO14" i="10" s="1"/>
  <c r="AI14" i="10"/>
  <c r="AN14" i="10" s="1"/>
  <c r="AH14" i="10"/>
  <c r="AM14" i="10" s="1"/>
  <c r="AG14" i="10"/>
  <c r="AL14" i="10" s="1"/>
  <c r="AO13" i="10"/>
  <c r="AJ13" i="10"/>
  <c r="AI13" i="10"/>
  <c r="AN13" i="10" s="1"/>
  <c r="AH13" i="10"/>
  <c r="AM13" i="10" s="1"/>
  <c r="AG13" i="10"/>
  <c r="AL13" i="10" s="1"/>
  <c r="AJ12" i="10"/>
  <c r="AO12" i="10" s="1"/>
  <c r="AI12" i="10"/>
  <c r="AN12" i="10" s="1"/>
  <c r="AH12" i="10"/>
  <c r="AM12" i="10" s="1"/>
  <c r="AG12" i="10"/>
  <c r="AL12" i="10" s="1"/>
  <c r="AJ11" i="10"/>
  <c r="AO11" i="10" s="1"/>
  <c r="AI11" i="10"/>
  <c r="AN11" i="10" s="1"/>
  <c r="AH11" i="10"/>
  <c r="AM11" i="10" s="1"/>
  <c r="AG11" i="10"/>
  <c r="AL11" i="10" s="1"/>
  <c r="AJ10" i="10"/>
  <c r="AO10" i="10" s="1"/>
  <c r="AI10" i="10"/>
  <c r="AN10" i="10" s="1"/>
  <c r="AH10" i="10"/>
  <c r="AM10" i="10" s="1"/>
  <c r="AG10" i="10"/>
  <c r="AL10" i="10" s="1"/>
  <c r="AJ9" i="10"/>
  <c r="AO9" i="10" s="1"/>
  <c r="AI9" i="10"/>
  <c r="AN9" i="10" s="1"/>
  <c r="AH9" i="10"/>
  <c r="AM9" i="10" s="1"/>
  <c r="AG9" i="10"/>
  <c r="AL9" i="10" s="1"/>
  <c r="AO8" i="10"/>
  <c r="AN8" i="10"/>
  <c r="AJ8" i="10"/>
  <c r="AI8" i="10"/>
  <c r="AH8" i="10"/>
  <c r="AM8" i="10" s="1"/>
  <c r="AG8" i="10"/>
  <c r="AL8" i="10" s="1"/>
  <c r="AN7" i="10"/>
  <c r="AJ7" i="10"/>
  <c r="AO7" i="10" s="1"/>
  <c r="AI7" i="10"/>
  <c r="AH7" i="10"/>
  <c r="AM7" i="10" s="1"/>
  <c r="AG7" i="10"/>
  <c r="AL7" i="10" s="1"/>
  <c r="AJ6" i="10"/>
  <c r="AO6" i="10" s="1"/>
  <c r="AI6" i="10"/>
  <c r="AN6" i="10" s="1"/>
  <c r="AH6" i="10"/>
  <c r="AM6" i="10" s="1"/>
  <c r="AG6" i="10"/>
  <c r="AL6" i="10" s="1"/>
  <c r="AJ232" i="9"/>
  <c r="AO232" i="9" s="1"/>
  <c r="AI232" i="9"/>
  <c r="AN232" i="9" s="1"/>
  <c r="AH232" i="9"/>
  <c r="AM232" i="9" s="1"/>
  <c r="AG232" i="9"/>
  <c r="AL232" i="9" s="1"/>
  <c r="AJ231" i="9"/>
  <c r="AO231" i="9" s="1"/>
  <c r="AI231" i="9"/>
  <c r="AN231" i="9" s="1"/>
  <c r="AH231" i="9"/>
  <c r="AM231" i="9" s="1"/>
  <c r="AG231" i="9"/>
  <c r="AL231" i="9" s="1"/>
  <c r="AJ230" i="9"/>
  <c r="AO230" i="9" s="1"/>
  <c r="AI230" i="9"/>
  <c r="AN230" i="9" s="1"/>
  <c r="AH230" i="9"/>
  <c r="AM230" i="9" s="1"/>
  <c r="AG230" i="9"/>
  <c r="AL230" i="9" s="1"/>
  <c r="AL229" i="9"/>
  <c r="AJ229" i="9"/>
  <c r="AO229" i="9" s="1"/>
  <c r="AI229" i="9"/>
  <c r="AN229" i="9" s="1"/>
  <c r="AH229" i="9"/>
  <c r="AM229" i="9" s="1"/>
  <c r="AG229" i="9"/>
  <c r="AJ228" i="9"/>
  <c r="AO228" i="9" s="1"/>
  <c r="AI228" i="9"/>
  <c r="AN228" i="9" s="1"/>
  <c r="AH228" i="9"/>
  <c r="AM228" i="9" s="1"/>
  <c r="AG228" i="9"/>
  <c r="AL228" i="9" s="1"/>
  <c r="AO227" i="9"/>
  <c r="AJ227" i="9"/>
  <c r="AI227" i="9"/>
  <c r="AN227" i="9" s="1"/>
  <c r="AH227" i="9"/>
  <c r="AM227" i="9" s="1"/>
  <c r="AG227" i="9"/>
  <c r="AL227" i="9" s="1"/>
  <c r="AO226" i="9"/>
  <c r="AM226" i="9"/>
  <c r="AJ226" i="9"/>
  <c r="AI226" i="9"/>
  <c r="AN226" i="9" s="1"/>
  <c r="AH226" i="9"/>
  <c r="AG226" i="9"/>
  <c r="AL226" i="9" s="1"/>
  <c r="AJ225" i="9"/>
  <c r="AO225" i="9" s="1"/>
  <c r="AI225" i="9"/>
  <c r="AN225" i="9" s="1"/>
  <c r="AH225" i="9"/>
  <c r="AM225" i="9" s="1"/>
  <c r="AG225" i="9"/>
  <c r="AL225" i="9" s="1"/>
  <c r="AJ224" i="9"/>
  <c r="AO224" i="9" s="1"/>
  <c r="AI224" i="9"/>
  <c r="AN224" i="9" s="1"/>
  <c r="AH224" i="9"/>
  <c r="AM224" i="9" s="1"/>
  <c r="AG224" i="9"/>
  <c r="AL224" i="9" s="1"/>
  <c r="AM223" i="9"/>
  <c r="AJ223" i="9"/>
  <c r="AO223" i="9" s="1"/>
  <c r="AI223" i="9"/>
  <c r="AN223" i="9" s="1"/>
  <c r="AH223" i="9"/>
  <c r="AG223" i="9"/>
  <c r="AL223" i="9" s="1"/>
  <c r="AN222" i="9"/>
  <c r="AL222" i="9"/>
  <c r="AJ222" i="9"/>
  <c r="AO222" i="9" s="1"/>
  <c r="AI222" i="9"/>
  <c r="AH222" i="9"/>
  <c r="AM222" i="9" s="1"/>
  <c r="AG222" i="9"/>
  <c r="AJ221" i="9"/>
  <c r="AO221" i="9" s="1"/>
  <c r="AI221" i="9"/>
  <c r="AN221" i="9" s="1"/>
  <c r="AH221" i="9"/>
  <c r="AM221" i="9" s="1"/>
  <c r="AG221" i="9"/>
  <c r="AL221" i="9" s="1"/>
  <c r="AN220" i="9"/>
  <c r="AJ220" i="9"/>
  <c r="AO220" i="9" s="1"/>
  <c r="AI220" i="9"/>
  <c r="AH220" i="9"/>
  <c r="AM220" i="9" s="1"/>
  <c r="AG220" i="9"/>
  <c r="AL220" i="9" s="1"/>
  <c r="AO219" i="9"/>
  <c r="AN219" i="9"/>
  <c r="AJ219" i="9"/>
  <c r="AI219" i="9"/>
  <c r="AH219" i="9"/>
  <c r="AM219" i="9" s="1"/>
  <c r="AG219" i="9"/>
  <c r="AL219" i="9" s="1"/>
  <c r="AP219" i="9" s="1"/>
  <c r="AO218" i="9"/>
  <c r="AM218" i="9"/>
  <c r="AJ218" i="9"/>
  <c r="AI218" i="9"/>
  <c r="AN218" i="9" s="1"/>
  <c r="AH218" i="9"/>
  <c r="AG218" i="9"/>
  <c r="AL218" i="9" s="1"/>
  <c r="AJ217" i="9"/>
  <c r="AO217" i="9" s="1"/>
  <c r="AI217" i="9"/>
  <c r="AN217" i="9" s="1"/>
  <c r="AH217" i="9"/>
  <c r="AM217" i="9" s="1"/>
  <c r="AG217" i="9"/>
  <c r="AL217" i="9" s="1"/>
  <c r="AJ216" i="9"/>
  <c r="AO216" i="9" s="1"/>
  <c r="AI216" i="9"/>
  <c r="AN216" i="9" s="1"/>
  <c r="AH216" i="9"/>
  <c r="AM216" i="9" s="1"/>
  <c r="AG216" i="9"/>
  <c r="AL216" i="9" s="1"/>
  <c r="AM215" i="9"/>
  <c r="AL215" i="9"/>
  <c r="AJ215" i="9"/>
  <c r="AO215" i="9" s="1"/>
  <c r="AI215" i="9"/>
  <c r="AN215" i="9" s="1"/>
  <c r="AH215" i="9"/>
  <c r="AG215" i="9"/>
  <c r="AL214" i="9"/>
  <c r="AJ214" i="9"/>
  <c r="AO214" i="9" s="1"/>
  <c r="AI214" i="9"/>
  <c r="AN214" i="9" s="1"/>
  <c r="AH214" i="9"/>
  <c r="AM214" i="9" s="1"/>
  <c r="AG214" i="9"/>
  <c r="AJ213" i="9"/>
  <c r="AO213" i="9" s="1"/>
  <c r="AI213" i="9"/>
  <c r="AN213" i="9" s="1"/>
  <c r="AH213" i="9"/>
  <c r="AM213" i="9" s="1"/>
  <c r="AG213" i="9"/>
  <c r="AL213" i="9" s="1"/>
  <c r="AN212" i="9"/>
  <c r="AJ212" i="9"/>
  <c r="AO212" i="9" s="1"/>
  <c r="AI212" i="9"/>
  <c r="AH212" i="9"/>
  <c r="AM212" i="9" s="1"/>
  <c r="AG212" i="9"/>
  <c r="AL212" i="9" s="1"/>
  <c r="AO211" i="9"/>
  <c r="AN211" i="9"/>
  <c r="AJ211" i="9"/>
  <c r="AI211" i="9"/>
  <c r="AH211" i="9"/>
  <c r="AM211" i="9" s="1"/>
  <c r="AG211" i="9"/>
  <c r="AL211" i="9" s="1"/>
  <c r="AO210" i="9"/>
  <c r="AM210" i="9"/>
  <c r="AJ210" i="9"/>
  <c r="AI210" i="9"/>
  <c r="AN210" i="9" s="1"/>
  <c r="AH210" i="9"/>
  <c r="AG210" i="9"/>
  <c r="AL210" i="9" s="1"/>
  <c r="AJ209" i="9"/>
  <c r="AO209" i="9" s="1"/>
  <c r="AI209" i="9"/>
  <c r="AN209" i="9" s="1"/>
  <c r="AH209" i="9"/>
  <c r="AM209" i="9" s="1"/>
  <c r="AG209" i="9"/>
  <c r="AL209" i="9" s="1"/>
  <c r="AL208" i="9"/>
  <c r="AJ208" i="9"/>
  <c r="AO208" i="9" s="1"/>
  <c r="AI208" i="9"/>
  <c r="AN208" i="9" s="1"/>
  <c r="AH208" i="9"/>
  <c r="AM208" i="9" s="1"/>
  <c r="AG208" i="9"/>
  <c r="AM207" i="9"/>
  <c r="AJ207" i="9"/>
  <c r="AO207" i="9" s="1"/>
  <c r="AI207" i="9"/>
  <c r="AN207" i="9" s="1"/>
  <c r="AH207" i="9"/>
  <c r="AG207" i="9"/>
  <c r="AL207" i="9" s="1"/>
  <c r="AJ206" i="9"/>
  <c r="AO206" i="9" s="1"/>
  <c r="AI206" i="9"/>
  <c r="AN206" i="9" s="1"/>
  <c r="AH206" i="9"/>
  <c r="AM206" i="9" s="1"/>
  <c r="AG206" i="9"/>
  <c r="AL206" i="9" s="1"/>
  <c r="AJ205" i="9"/>
  <c r="AO205" i="9" s="1"/>
  <c r="AI205" i="9"/>
  <c r="AN205" i="9" s="1"/>
  <c r="AH205" i="9"/>
  <c r="AM205" i="9" s="1"/>
  <c r="AG205" i="9"/>
  <c r="AL205" i="9" s="1"/>
  <c r="AN204" i="9"/>
  <c r="AJ204" i="9"/>
  <c r="AO204" i="9" s="1"/>
  <c r="AI204" i="9"/>
  <c r="AH204" i="9"/>
  <c r="AM204" i="9" s="1"/>
  <c r="AG204" i="9"/>
  <c r="AL204" i="9" s="1"/>
  <c r="AO203" i="9"/>
  <c r="AN203" i="9"/>
  <c r="AL203" i="9"/>
  <c r="AJ203" i="9"/>
  <c r="AI203" i="9"/>
  <c r="AH203" i="9"/>
  <c r="AM203" i="9" s="1"/>
  <c r="AG203" i="9"/>
  <c r="AM202" i="9"/>
  <c r="AJ202" i="9"/>
  <c r="AO202" i="9" s="1"/>
  <c r="AI202" i="9"/>
  <c r="AN202" i="9" s="1"/>
  <c r="AH202" i="9"/>
  <c r="AG202" i="9"/>
  <c r="AL202" i="9" s="1"/>
  <c r="AJ201" i="9"/>
  <c r="AO201" i="9" s="1"/>
  <c r="AI201" i="9"/>
  <c r="AN201" i="9" s="1"/>
  <c r="AH201" i="9"/>
  <c r="AM201" i="9" s="1"/>
  <c r="AG201" i="9"/>
  <c r="AL201" i="9" s="1"/>
  <c r="AP201" i="9" s="1"/>
  <c r="AL200" i="9"/>
  <c r="AP200" i="9" s="1"/>
  <c r="AJ200" i="9"/>
  <c r="AO200" i="9" s="1"/>
  <c r="AI200" i="9"/>
  <c r="AN200" i="9" s="1"/>
  <c r="AH200" i="9"/>
  <c r="AM200" i="9" s="1"/>
  <c r="AG200" i="9"/>
  <c r="AJ199" i="9"/>
  <c r="AO199" i="9" s="1"/>
  <c r="AI199" i="9"/>
  <c r="AN199" i="9" s="1"/>
  <c r="AH199" i="9"/>
  <c r="AM199" i="9" s="1"/>
  <c r="AG199" i="9"/>
  <c r="AL199" i="9" s="1"/>
  <c r="AN198" i="9"/>
  <c r="AJ198" i="9"/>
  <c r="AO198" i="9" s="1"/>
  <c r="AI198" i="9"/>
  <c r="AH198" i="9"/>
  <c r="AM198" i="9" s="1"/>
  <c r="AG198" i="9"/>
  <c r="AL198" i="9" s="1"/>
  <c r="AO197" i="9"/>
  <c r="AM197" i="9"/>
  <c r="AJ197" i="9"/>
  <c r="AI197" i="9"/>
  <c r="AN197" i="9" s="1"/>
  <c r="AH197" i="9"/>
  <c r="AG197" i="9"/>
  <c r="AL197" i="9" s="1"/>
  <c r="AN196" i="9"/>
  <c r="AM196" i="9"/>
  <c r="AJ196" i="9"/>
  <c r="AO196" i="9" s="1"/>
  <c r="AI196" i="9"/>
  <c r="AH196" i="9"/>
  <c r="AG196" i="9"/>
  <c r="AL196" i="9" s="1"/>
  <c r="AN195" i="9"/>
  <c r="AL195" i="9"/>
  <c r="AJ195" i="9"/>
  <c r="AO195" i="9" s="1"/>
  <c r="AI195" i="9"/>
  <c r="AH195" i="9"/>
  <c r="AM195" i="9" s="1"/>
  <c r="AG195" i="9"/>
  <c r="AJ194" i="9"/>
  <c r="AO194" i="9" s="1"/>
  <c r="AI194" i="9"/>
  <c r="AN194" i="9" s="1"/>
  <c r="AH194" i="9"/>
  <c r="AM194" i="9" s="1"/>
  <c r="AG194" i="9"/>
  <c r="AL194" i="9" s="1"/>
  <c r="AJ193" i="9"/>
  <c r="AO193" i="9" s="1"/>
  <c r="AI193" i="9"/>
  <c r="AN193" i="9" s="1"/>
  <c r="AH193" i="9"/>
  <c r="AM193" i="9" s="1"/>
  <c r="AG193" i="9"/>
  <c r="AL193" i="9" s="1"/>
  <c r="AL192" i="9"/>
  <c r="AJ192" i="9"/>
  <c r="AO192" i="9" s="1"/>
  <c r="AI192" i="9"/>
  <c r="AN192" i="9" s="1"/>
  <c r="AH192" i="9"/>
  <c r="AM192" i="9" s="1"/>
  <c r="AG192" i="9"/>
  <c r="AJ191" i="9"/>
  <c r="AO191" i="9" s="1"/>
  <c r="AI191" i="9"/>
  <c r="AN191" i="9" s="1"/>
  <c r="AH191" i="9"/>
  <c r="AM191" i="9" s="1"/>
  <c r="AG191" i="9"/>
  <c r="AL191" i="9" s="1"/>
  <c r="AN190" i="9"/>
  <c r="AL190" i="9"/>
  <c r="AJ190" i="9"/>
  <c r="AO190" i="9" s="1"/>
  <c r="AI190" i="9"/>
  <c r="AH190" i="9"/>
  <c r="AM190" i="9" s="1"/>
  <c r="AG190" i="9"/>
  <c r="AO189" i="9"/>
  <c r="AM189" i="9"/>
  <c r="AL189" i="9"/>
  <c r="AJ189" i="9"/>
  <c r="AI189" i="9"/>
  <c r="AN189" i="9" s="1"/>
  <c r="AH189" i="9"/>
  <c r="AG189" i="9"/>
  <c r="AM188" i="9"/>
  <c r="AJ188" i="9"/>
  <c r="AO188" i="9" s="1"/>
  <c r="AI188" i="9"/>
  <c r="AN188" i="9" s="1"/>
  <c r="AH188" i="9"/>
  <c r="AG188" i="9"/>
  <c r="AL188" i="9" s="1"/>
  <c r="AJ187" i="9"/>
  <c r="AO187" i="9" s="1"/>
  <c r="AI187" i="9"/>
  <c r="AN187" i="9" s="1"/>
  <c r="AH187" i="9"/>
  <c r="AM187" i="9" s="1"/>
  <c r="AG187" i="9"/>
  <c r="AL187" i="9" s="1"/>
  <c r="AJ186" i="9"/>
  <c r="AO186" i="9" s="1"/>
  <c r="AI186" i="9"/>
  <c r="AN186" i="9" s="1"/>
  <c r="AH186" i="9"/>
  <c r="AM186" i="9" s="1"/>
  <c r="AG186" i="9"/>
  <c r="AL186" i="9" s="1"/>
  <c r="AN185" i="9"/>
  <c r="AJ185" i="9"/>
  <c r="AO185" i="9" s="1"/>
  <c r="AI185" i="9"/>
  <c r="AH185" i="9"/>
  <c r="AM185" i="9" s="1"/>
  <c r="AG185" i="9"/>
  <c r="AL185" i="9" s="1"/>
  <c r="AJ184" i="9"/>
  <c r="AO184" i="9" s="1"/>
  <c r="AI184" i="9"/>
  <c r="AN184" i="9" s="1"/>
  <c r="AH184" i="9"/>
  <c r="AM184" i="9" s="1"/>
  <c r="AG184" i="9"/>
  <c r="AL184" i="9" s="1"/>
  <c r="AP184" i="9" s="1"/>
  <c r="AM183" i="9"/>
  <c r="AJ183" i="9"/>
  <c r="AO183" i="9" s="1"/>
  <c r="AI183" i="9"/>
  <c r="AN183" i="9" s="1"/>
  <c r="AH183" i="9"/>
  <c r="AG183" i="9"/>
  <c r="AL183" i="9" s="1"/>
  <c r="AN182" i="9"/>
  <c r="AL182" i="9"/>
  <c r="AJ182" i="9"/>
  <c r="AO182" i="9" s="1"/>
  <c r="AI182" i="9"/>
  <c r="AH182" i="9"/>
  <c r="AM182" i="9" s="1"/>
  <c r="AG182" i="9"/>
  <c r="AM181" i="9"/>
  <c r="AL181" i="9"/>
  <c r="AJ181" i="9"/>
  <c r="AO181" i="9" s="1"/>
  <c r="AI181" i="9"/>
  <c r="AN181" i="9" s="1"/>
  <c r="AH181" i="9"/>
  <c r="AG181" i="9"/>
  <c r="AJ180" i="9"/>
  <c r="AO180" i="9" s="1"/>
  <c r="AI180" i="9"/>
  <c r="AN180" i="9" s="1"/>
  <c r="AH180" i="9"/>
  <c r="AM180" i="9" s="1"/>
  <c r="AG180" i="9"/>
  <c r="AL180" i="9" s="1"/>
  <c r="AO179" i="9"/>
  <c r="AJ179" i="9"/>
  <c r="AI179" i="9"/>
  <c r="AN179" i="9" s="1"/>
  <c r="AH179" i="9"/>
  <c r="AM179" i="9" s="1"/>
  <c r="AG179" i="9"/>
  <c r="AL179" i="9" s="1"/>
  <c r="AJ178" i="9"/>
  <c r="AO178" i="9" s="1"/>
  <c r="AI178" i="9"/>
  <c r="AN178" i="9" s="1"/>
  <c r="AH178" i="9"/>
  <c r="AM178" i="9" s="1"/>
  <c r="AG178" i="9"/>
  <c r="AL178" i="9" s="1"/>
  <c r="AP178" i="9" s="1"/>
  <c r="AN177" i="9"/>
  <c r="AJ177" i="9"/>
  <c r="AO177" i="9" s="1"/>
  <c r="AI177" i="9"/>
  <c r="AH177" i="9"/>
  <c r="AM177" i="9" s="1"/>
  <c r="AG177" i="9"/>
  <c r="AL177" i="9" s="1"/>
  <c r="AJ176" i="9"/>
  <c r="AO176" i="9" s="1"/>
  <c r="AI176" i="9"/>
  <c r="AN176" i="9" s="1"/>
  <c r="AH176" i="9"/>
  <c r="AM176" i="9" s="1"/>
  <c r="AG176" i="9"/>
  <c r="AL176" i="9" s="1"/>
  <c r="AM175" i="9"/>
  <c r="AJ175" i="9"/>
  <c r="AO175" i="9" s="1"/>
  <c r="AI175" i="9"/>
  <c r="AN175" i="9" s="1"/>
  <c r="AH175" i="9"/>
  <c r="AG175" i="9"/>
  <c r="AL175" i="9" s="1"/>
  <c r="AN174" i="9"/>
  <c r="AL174" i="9"/>
  <c r="AJ174" i="9"/>
  <c r="AO174" i="9" s="1"/>
  <c r="AI174" i="9"/>
  <c r="AH174" i="9"/>
  <c r="AM174" i="9" s="1"/>
  <c r="AG174" i="9"/>
  <c r="AM173" i="9"/>
  <c r="AL173" i="9"/>
  <c r="AJ173" i="9"/>
  <c r="AO173" i="9" s="1"/>
  <c r="AI173" i="9"/>
  <c r="AN173" i="9" s="1"/>
  <c r="AH173" i="9"/>
  <c r="AG173" i="9"/>
  <c r="AJ172" i="9"/>
  <c r="AO172" i="9" s="1"/>
  <c r="AI172" i="9"/>
  <c r="AN172" i="9" s="1"/>
  <c r="AH172" i="9"/>
  <c r="AM172" i="9" s="1"/>
  <c r="AG172" i="9"/>
  <c r="AL172" i="9" s="1"/>
  <c r="AO171" i="9"/>
  <c r="AJ171" i="9"/>
  <c r="AI171" i="9"/>
  <c r="AN171" i="9" s="1"/>
  <c r="AH171" i="9"/>
  <c r="AM171" i="9" s="1"/>
  <c r="AG171" i="9"/>
  <c r="AL171" i="9" s="1"/>
  <c r="AO170" i="9"/>
  <c r="AP170" i="9" s="1"/>
  <c r="AM170" i="9"/>
  <c r="AJ170" i="9"/>
  <c r="AI170" i="9"/>
  <c r="AN170" i="9" s="1"/>
  <c r="AH170" i="9"/>
  <c r="AG170" i="9"/>
  <c r="AL170" i="9" s="1"/>
  <c r="AN169" i="9"/>
  <c r="AJ169" i="9"/>
  <c r="AO169" i="9" s="1"/>
  <c r="AI169" i="9"/>
  <c r="AH169" i="9"/>
  <c r="AM169" i="9" s="1"/>
  <c r="AG169" i="9"/>
  <c r="AL169" i="9" s="1"/>
  <c r="AJ168" i="9"/>
  <c r="AO168" i="9" s="1"/>
  <c r="AI168" i="9"/>
  <c r="AN168" i="9" s="1"/>
  <c r="AH168" i="9"/>
  <c r="AM168" i="9" s="1"/>
  <c r="AG168" i="9"/>
  <c r="AL168" i="9" s="1"/>
  <c r="AM167" i="9"/>
  <c r="AJ167" i="9"/>
  <c r="AO167" i="9" s="1"/>
  <c r="AI167" i="9"/>
  <c r="AN167" i="9" s="1"/>
  <c r="AH167" i="9"/>
  <c r="AG167" i="9"/>
  <c r="AL167" i="9" s="1"/>
  <c r="AL166" i="9"/>
  <c r="AJ166" i="9"/>
  <c r="AO166" i="9" s="1"/>
  <c r="AI166" i="9"/>
  <c r="AN166" i="9" s="1"/>
  <c r="AH166" i="9"/>
  <c r="AM166" i="9" s="1"/>
  <c r="AG166" i="9"/>
  <c r="AL165" i="9"/>
  <c r="AJ165" i="9"/>
  <c r="AO165" i="9" s="1"/>
  <c r="AI165" i="9"/>
  <c r="AN165" i="9" s="1"/>
  <c r="AH165" i="9"/>
  <c r="AM165" i="9" s="1"/>
  <c r="AG165" i="9"/>
  <c r="AJ164" i="9"/>
  <c r="AO164" i="9" s="1"/>
  <c r="AI164" i="9"/>
  <c r="AN164" i="9" s="1"/>
  <c r="AH164" i="9"/>
  <c r="AM164" i="9" s="1"/>
  <c r="AG164" i="9"/>
  <c r="AL164" i="9" s="1"/>
  <c r="AO163" i="9"/>
  <c r="AN163" i="9"/>
  <c r="AJ163" i="9"/>
  <c r="AI163" i="9"/>
  <c r="AH163" i="9"/>
  <c r="AM163" i="9" s="1"/>
  <c r="AG163" i="9"/>
  <c r="AL163" i="9" s="1"/>
  <c r="AP162" i="9"/>
  <c r="AO162" i="9"/>
  <c r="AM162" i="9"/>
  <c r="AJ162" i="9"/>
  <c r="AI162" i="9"/>
  <c r="AN162" i="9" s="1"/>
  <c r="AH162" i="9"/>
  <c r="AG162" i="9"/>
  <c r="AL162" i="9" s="1"/>
  <c r="AP161" i="9"/>
  <c r="AN161" i="9"/>
  <c r="AJ161" i="9"/>
  <c r="AO161" i="9" s="1"/>
  <c r="AI161" i="9"/>
  <c r="AH161" i="9"/>
  <c r="AM161" i="9" s="1"/>
  <c r="AG161" i="9"/>
  <c r="AL161" i="9" s="1"/>
  <c r="AJ160" i="9"/>
  <c r="AO160" i="9" s="1"/>
  <c r="AI160" i="9"/>
  <c r="AN160" i="9" s="1"/>
  <c r="AH160" i="9"/>
  <c r="AM160" i="9" s="1"/>
  <c r="AG160" i="9"/>
  <c r="AL160" i="9" s="1"/>
  <c r="AM159" i="9"/>
  <c r="AJ159" i="9"/>
  <c r="AO159" i="9" s="1"/>
  <c r="AI159" i="9"/>
  <c r="AN159" i="9" s="1"/>
  <c r="AH159" i="9"/>
  <c r="AG159" i="9"/>
  <c r="AL159" i="9" s="1"/>
  <c r="AN158" i="9"/>
  <c r="AL158" i="9"/>
  <c r="AJ158" i="9"/>
  <c r="AO158" i="9" s="1"/>
  <c r="AI158" i="9"/>
  <c r="AH158" i="9"/>
  <c r="AM158" i="9" s="1"/>
  <c r="AG158" i="9"/>
  <c r="AM157" i="9"/>
  <c r="AL157" i="9"/>
  <c r="AJ157" i="9"/>
  <c r="AO157" i="9" s="1"/>
  <c r="AI157" i="9"/>
  <c r="AN157" i="9" s="1"/>
  <c r="AH157" i="9"/>
  <c r="AG157" i="9"/>
  <c r="AJ156" i="9"/>
  <c r="AO156" i="9" s="1"/>
  <c r="AI156" i="9"/>
  <c r="AN156" i="9" s="1"/>
  <c r="AH156" i="9"/>
  <c r="AM156" i="9" s="1"/>
  <c r="AG156" i="9"/>
  <c r="AL156" i="9" s="1"/>
  <c r="AO155" i="9"/>
  <c r="AJ155" i="9"/>
  <c r="AI155" i="9"/>
  <c r="AN155" i="9" s="1"/>
  <c r="AH155" i="9"/>
  <c r="AM155" i="9" s="1"/>
  <c r="AG155" i="9"/>
  <c r="AL155" i="9" s="1"/>
  <c r="AM154" i="9"/>
  <c r="AJ154" i="9"/>
  <c r="AO154" i="9" s="1"/>
  <c r="AI154" i="9"/>
  <c r="AN154" i="9" s="1"/>
  <c r="AH154" i="9"/>
  <c r="AG154" i="9"/>
  <c r="AL154" i="9" s="1"/>
  <c r="AJ153" i="9"/>
  <c r="AO153" i="9" s="1"/>
  <c r="AI153" i="9"/>
  <c r="AN153" i="9" s="1"/>
  <c r="AH153" i="9"/>
  <c r="AM153" i="9" s="1"/>
  <c r="AG153" i="9"/>
  <c r="AL153" i="9" s="1"/>
  <c r="AJ152" i="9"/>
  <c r="AO152" i="9" s="1"/>
  <c r="AI152" i="9"/>
  <c r="AN152" i="9" s="1"/>
  <c r="AH152" i="9"/>
  <c r="AM152" i="9" s="1"/>
  <c r="AG152" i="9"/>
  <c r="AL152" i="9" s="1"/>
  <c r="AN151" i="9"/>
  <c r="AJ151" i="9"/>
  <c r="AO151" i="9" s="1"/>
  <c r="AI151" i="9"/>
  <c r="AH151" i="9"/>
  <c r="AM151" i="9" s="1"/>
  <c r="AG151" i="9"/>
  <c r="AL151" i="9" s="1"/>
  <c r="AN150" i="9"/>
  <c r="AL150" i="9"/>
  <c r="AJ150" i="9"/>
  <c r="AO150" i="9" s="1"/>
  <c r="AI150" i="9"/>
  <c r="AH150" i="9"/>
  <c r="AM150" i="9" s="1"/>
  <c r="AG150" i="9"/>
  <c r="AM149" i="9"/>
  <c r="AL149" i="9"/>
  <c r="AJ149" i="9"/>
  <c r="AO149" i="9" s="1"/>
  <c r="AI149" i="9"/>
  <c r="AN149" i="9" s="1"/>
  <c r="AH149" i="9"/>
  <c r="AG149" i="9"/>
  <c r="AJ148" i="9"/>
  <c r="AO148" i="9" s="1"/>
  <c r="AI148" i="9"/>
  <c r="AN148" i="9" s="1"/>
  <c r="AH148" i="9"/>
  <c r="AM148" i="9" s="1"/>
  <c r="AG148" i="9"/>
  <c r="AL148" i="9" s="1"/>
  <c r="AJ147" i="9"/>
  <c r="AO147" i="9" s="1"/>
  <c r="AI147" i="9"/>
  <c r="AN147" i="9" s="1"/>
  <c r="AH147" i="9"/>
  <c r="AM147" i="9" s="1"/>
  <c r="AG147" i="9"/>
  <c r="AL147" i="9" s="1"/>
  <c r="AM146" i="9"/>
  <c r="AJ146" i="9"/>
  <c r="AO146" i="9" s="1"/>
  <c r="AI146" i="9"/>
  <c r="AN146" i="9" s="1"/>
  <c r="AH146" i="9"/>
  <c r="AG146" i="9"/>
  <c r="AL146" i="9" s="1"/>
  <c r="AJ145" i="9"/>
  <c r="AO145" i="9" s="1"/>
  <c r="AI145" i="9"/>
  <c r="AN145" i="9" s="1"/>
  <c r="AH145" i="9"/>
  <c r="AM145" i="9" s="1"/>
  <c r="AG145" i="9"/>
  <c r="AL145" i="9" s="1"/>
  <c r="AO144" i="9"/>
  <c r="AJ144" i="9"/>
  <c r="AI144" i="9"/>
  <c r="AN144" i="9" s="1"/>
  <c r="AH144" i="9"/>
  <c r="AM144" i="9" s="1"/>
  <c r="AG144" i="9"/>
  <c r="AL144" i="9" s="1"/>
  <c r="AN143" i="9"/>
  <c r="AM143" i="9"/>
  <c r="AJ143" i="9"/>
  <c r="AO143" i="9" s="1"/>
  <c r="AI143" i="9"/>
  <c r="AH143" i="9"/>
  <c r="AG143" i="9"/>
  <c r="AL143" i="9" s="1"/>
  <c r="AN142" i="9"/>
  <c r="AL142" i="9"/>
  <c r="AJ142" i="9"/>
  <c r="AO142" i="9" s="1"/>
  <c r="AI142" i="9"/>
  <c r="AH142" i="9"/>
  <c r="AM142" i="9" s="1"/>
  <c r="AG142" i="9"/>
  <c r="AM141" i="9"/>
  <c r="AL141" i="9"/>
  <c r="AJ141" i="9"/>
  <c r="AO141" i="9" s="1"/>
  <c r="AI141" i="9"/>
  <c r="AN141" i="9" s="1"/>
  <c r="AH141" i="9"/>
  <c r="AG141" i="9"/>
  <c r="AN140" i="9"/>
  <c r="AJ140" i="9"/>
  <c r="AO140" i="9" s="1"/>
  <c r="AI140" i="9"/>
  <c r="AH140" i="9"/>
  <c r="AM140" i="9" s="1"/>
  <c r="AG140" i="9"/>
  <c r="AL140" i="9" s="1"/>
  <c r="AO139" i="9"/>
  <c r="AJ139" i="9"/>
  <c r="AI139" i="9"/>
  <c r="AN139" i="9" s="1"/>
  <c r="AH139" i="9"/>
  <c r="AM139" i="9" s="1"/>
  <c r="AG139" i="9"/>
  <c r="AL139" i="9" s="1"/>
  <c r="AM138" i="9"/>
  <c r="AJ138" i="9"/>
  <c r="AO138" i="9" s="1"/>
  <c r="AI138" i="9"/>
  <c r="AN138" i="9" s="1"/>
  <c r="AH138" i="9"/>
  <c r="AG138" i="9"/>
  <c r="AL138" i="9" s="1"/>
  <c r="AN137" i="9"/>
  <c r="AJ137" i="9"/>
  <c r="AO137" i="9" s="1"/>
  <c r="AI137" i="9"/>
  <c r="AH137" i="9"/>
  <c r="AM137" i="9" s="1"/>
  <c r="AG137" i="9"/>
  <c r="AL137" i="9" s="1"/>
  <c r="AO136" i="9"/>
  <c r="AJ136" i="9"/>
  <c r="AI136" i="9"/>
  <c r="AN136" i="9" s="1"/>
  <c r="AH136" i="9"/>
  <c r="AM136" i="9" s="1"/>
  <c r="AG136" i="9"/>
  <c r="AL136" i="9" s="1"/>
  <c r="AN135" i="9"/>
  <c r="AM135" i="9"/>
  <c r="AJ135" i="9"/>
  <c r="AO135" i="9" s="1"/>
  <c r="AI135" i="9"/>
  <c r="AH135" i="9"/>
  <c r="AG135" i="9"/>
  <c r="AL135" i="9" s="1"/>
  <c r="AO134" i="9"/>
  <c r="AN134" i="9"/>
  <c r="AM134" i="9"/>
  <c r="AJ134" i="9"/>
  <c r="AI134" i="9"/>
  <c r="AH134" i="9"/>
  <c r="AG134" i="9"/>
  <c r="AL134" i="9" s="1"/>
  <c r="AO133" i="9"/>
  <c r="AN133" i="9"/>
  <c r="AJ133" i="9"/>
  <c r="AI133" i="9"/>
  <c r="AH133" i="9"/>
  <c r="AM133" i="9" s="1"/>
  <c r="AG133" i="9"/>
  <c r="AL133" i="9" s="1"/>
  <c r="AN132" i="9"/>
  <c r="AM132" i="9"/>
  <c r="AJ132" i="9"/>
  <c r="AO132" i="9" s="1"/>
  <c r="AI132" i="9"/>
  <c r="AH132" i="9"/>
  <c r="AG132" i="9"/>
  <c r="AL132" i="9" s="1"/>
  <c r="AJ131" i="9"/>
  <c r="AO131" i="9" s="1"/>
  <c r="AI131" i="9"/>
  <c r="AN131" i="9" s="1"/>
  <c r="AH131" i="9"/>
  <c r="AM131" i="9" s="1"/>
  <c r="AG131" i="9"/>
  <c r="AL131" i="9" s="1"/>
  <c r="AJ130" i="9"/>
  <c r="AO130" i="9" s="1"/>
  <c r="AI130" i="9"/>
  <c r="AN130" i="9" s="1"/>
  <c r="AH130" i="9"/>
  <c r="AM130" i="9" s="1"/>
  <c r="AG130" i="9"/>
  <c r="AL130" i="9" s="1"/>
  <c r="AN129" i="9"/>
  <c r="AL129" i="9"/>
  <c r="AJ129" i="9"/>
  <c r="AO129" i="9" s="1"/>
  <c r="AI129" i="9"/>
  <c r="AH129" i="9"/>
  <c r="AM129" i="9" s="1"/>
  <c r="AG129" i="9"/>
  <c r="AL128" i="9"/>
  <c r="AJ128" i="9"/>
  <c r="AO128" i="9" s="1"/>
  <c r="AI128" i="9"/>
  <c r="AN128" i="9" s="1"/>
  <c r="AH128" i="9"/>
  <c r="AM128" i="9" s="1"/>
  <c r="AG128" i="9"/>
  <c r="AJ127" i="9"/>
  <c r="AO127" i="9" s="1"/>
  <c r="AI127" i="9"/>
  <c r="AN127" i="9" s="1"/>
  <c r="AH127" i="9"/>
  <c r="AM127" i="9" s="1"/>
  <c r="AG127" i="9"/>
  <c r="AL127" i="9" s="1"/>
  <c r="AN126" i="9"/>
  <c r="AJ126" i="9"/>
  <c r="AO126" i="9" s="1"/>
  <c r="AI126" i="9"/>
  <c r="AH126" i="9"/>
  <c r="AM126" i="9" s="1"/>
  <c r="AG126" i="9"/>
  <c r="AL126" i="9" s="1"/>
  <c r="AO125" i="9"/>
  <c r="AN125" i="9"/>
  <c r="AJ125" i="9"/>
  <c r="AI125" i="9"/>
  <c r="AH125" i="9"/>
  <c r="AM125" i="9" s="1"/>
  <c r="AG125" i="9"/>
  <c r="AL125" i="9" s="1"/>
  <c r="AP125" i="9" s="1"/>
  <c r="AO124" i="9"/>
  <c r="AM124" i="9"/>
  <c r="AJ124" i="9"/>
  <c r="AI124" i="9"/>
  <c r="AN124" i="9" s="1"/>
  <c r="AH124" i="9"/>
  <c r="AG124" i="9"/>
  <c r="AL124" i="9" s="1"/>
  <c r="AO123" i="9"/>
  <c r="AL123" i="9"/>
  <c r="AJ123" i="9"/>
  <c r="AI123" i="9"/>
  <c r="AN123" i="9" s="1"/>
  <c r="AH123" i="9"/>
  <c r="AM123" i="9" s="1"/>
  <c r="AG123" i="9"/>
  <c r="AJ122" i="9"/>
  <c r="AO122" i="9" s="1"/>
  <c r="AI122" i="9"/>
  <c r="AN122" i="9" s="1"/>
  <c r="AH122" i="9"/>
  <c r="AM122" i="9" s="1"/>
  <c r="AP122" i="9" s="1"/>
  <c r="AG122" i="9"/>
  <c r="AL122" i="9" s="1"/>
  <c r="AL121" i="9"/>
  <c r="AJ121" i="9"/>
  <c r="AO121" i="9" s="1"/>
  <c r="AI121" i="9"/>
  <c r="AN121" i="9" s="1"/>
  <c r="AH121" i="9"/>
  <c r="AM121" i="9" s="1"/>
  <c r="AG121" i="9"/>
  <c r="AL120" i="9"/>
  <c r="AJ120" i="9"/>
  <c r="AO120" i="9" s="1"/>
  <c r="AI120" i="9"/>
  <c r="AN120" i="9" s="1"/>
  <c r="AH120" i="9"/>
  <c r="AM120" i="9" s="1"/>
  <c r="AG120" i="9"/>
  <c r="AM119" i="9"/>
  <c r="AJ119" i="9"/>
  <c r="AO119" i="9" s="1"/>
  <c r="AI119" i="9"/>
  <c r="AN119" i="9" s="1"/>
  <c r="AH119" i="9"/>
  <c r="AG119" i="9"/>
  <c r="AL119" i="9" s="1"/>
  <c r="AP119" i="9" s="1"/>
  <c r="AN118" i="9"/>
  <c r="AL118" i="9"/>
  <c r="AJ118" i="9"/>
  <c r="AO118" i="9" s="1"/>
  <c r="AI118" i="9"/>
  <c r="AH118" i="9"/>
  <c r="AM118" i="9" s="1"/>
  <c r="AG118" i="9"/>
  <c r="AM117" i="9"/>
  <c r="AL117" i="9"/>
  <c r="AJ117" i="9"/>
  <c r="AO117" i="9" s="1"/>
  <c r="AI117" i="9"/>
  <c r="AN117" i="9" s="1"/>
  <c r="AH117" i="9"/>
  <c r="AG117" i="9"/>
  <c r="AM116" i="9"/>
  <c r="AJ116" i="9"/>
  <c r="AO116" i="9" s="1"/>
  <c r="AI116" i="9"/>
  <c r="AN116" i="9" s="1"/>
  <c r="AH116" i="9"/>
  <c r="AG116" i="9"/>
  <c r="AL116" i="9" s="1"/>
  <c r="AO115" i="9"/>
  <c r="AJ115" i="9"/>
  <c r="AI115" i="9"/>
  <c r="AN115" i="9" s="1"/>
  <c r="AH115" i="9"/>
  <c r="AM115" i="9" s="1"/>
  <c r="AG115" i="9"/>
  <c r="AL115" i="9" s="1"/>
  <c r="AJ114" i="9"/>
  <c r="AO114" i="9" s="1"/>
  <c r="AI114" i="9"/>
  <c r="AN114" i="9" s="1"/>
  <c r="AH114" i="9"/>
  <c r="AM114" i="9" s="1"/>
  <c r="AG114" i="9"/>
  <c r="AL114" i="9" s="1"/>
  <c r="AJ113" i="9"/>
  <c r="AO113" i="9" s="1"/>
  <c r="AI113" i="9"/>
  <c r="AN113" i="9" s="1"/>
  <c r="AH113" i="9"/>
  <c r="AM113" i="9" s="1"/>
  <c r="AG113" i="9"/>
  <c r="AL113" i="9" s="1"/>
  <c r="AJ112" i="9"/>
  <c r="AO112" i="9" s="1"/>
  <c r="AI112" i="9"/>
  <c r="AN112" i="9" s="1"/>
  <c r="AH112" i="9"/>
  <c r="AM112" i="9" s="1"/>
  <c r="AG112" i="9"/>
  <c r="AL112" i="9" s="1"/>
  <c r="AN111" i="9"/>
  <c r="AM111" i="9"/>
  <c r="AJ111" i="9"/>
  <c r="AO111" i="9" s="1"/>
  <c r="AI111" i="9"/>
  <c r="AH111" i="9"/>
  <c r="AG111" i="9"/>
  <c r="AL111" i="9" s="1"/>
  <c r="AL110" i="9"/>
  <c r="AJ110" i="9"/>
  <c r="AO110" i="9" s="1"/>
  <c r="AI110" i="9"/>
  <c r="AN110" i="9" s="1"/>
  <c r="AH110" i="9"/>
  <c r="AM110" i="9" s="1"/>
  <c r="AG110" i="9"/>
  <c r="AO109" i="9"/>
  <c r="AJ109" i="9"/>
  <c r="AI109" i="9"/>
  <c r="AN109" i="9" s="1"/>
  <c r="AH109" i="9"/>
  <c r="AM109" i="9" s="1"/>
  <c r="AG109" i="9"/>
  <c r="AL109" i="9" s="1"/>
  <c r="AO108" i="9"/>
  <c r="AN108" i="9"/>
  <c r="AJ108" i="9"/>
  <c r="AI108" i="9"/>
  <c r="AH108" i="9"/>
  <c r="AM108" i="9" s="1"/>
  <c r="AG108" i="9"/>
  <c r="AL108" i="9" s="1"/>
  <c r="AO107" i="9"/>
  <c r="AJ107" i="9"/>
  <c r="AI107" i="9"/>
  <c r="AN107" i="9" s="1"/>
  <c r="AH107" i="9"/>
  <c r="AM107" i="9" s="1"/>
  <c r="AG107" i="9"/>
  <c r="AL107" i="9" s="1"/>
  <c r="AJ106" i="9"/>
  <c r="AO106" i="9" s="1"/>
  <c r="AI106" i="9"/>
  <c r="AN106" i="9" s="1"/>
  <c r="AH106" i="9"/>
  <c r="AM106" i="9" s="1"/>
  <c r="AG106" i="9"/>
  <c r="AL106" i="9" s="1"/>
  <c r="AJ105" i="9"/>
  <c r="AO105" i="9" s="1"/>
  <c r="AI105" i="9"/>
  <c r="AN105" i="9" s="1"/>
  <c r="AH105" i="9"/>
  <c r="AM105" i="9" s="1"/>
  <c r="AG105" i="9"/>
  <c r="AL105" i="9" s="1"/>
  <c r="AM104" i="9"/>
  <c r="AL104" i="9"/>
  <c r="AJ104" i="9"/>
  <c r="AO104" i="9" s="1"/>
  <c r="AI104" i="9"/>
  <c r="AN104" i="9" s="1"/>
  <c r="AH104" i="9"/>
  <c r="AG104" i="9"/>
  <c r="AM103" i="9"/>
  <c r="AL103" i="9"/>
  <c r="AJ103" i="9"/>
  <c r="AO103" i="9" s="1"/>
  <c r="AI103" i="9"/>
  <c r="AN103" i="9" s="1"/>
  <c r="AH103" i="9"/>
  <c r="AG103" i="9"/>
  <c r="AM102" i="9"/>
  <c r="AL102" i="9"/>
  <c r="AJ102" i="9"/>
  <c r="AO102" i="9" s="1"/>
  <c r="AI102" i="9"/>
  <c r="AN102" i="9" s="1"/>
  <c r="AH102" i="9"/>
  <c r="AG102" i="9"/>
  <c r="AJ101" i="9"/>
  <c r="AO101" i="9" s="1"/>
  <c r="AI101" i="9"/>
  <c r="AN101" i="9" s="1"/>
  <c r="AH101" i="9"/>
  <c r="AM101" i="9" s="1"/>
  <c r="AG101" i="9"/>
  <c r="AL101" i="9" s="1"/>
  <c r="AO100" i="9"/>
  <c r="AJ100" i="9"/>
  <c r="AI100" i="9"/>
  <c r="AN100" i="9" s="1"/>
  <c r="AH100" i="9"/>
  <c r="AM100" i="9" s="1"/>
  <c r="AG100" i="9"/>
  <c r="AL100" i="9" s="1"/>
  <c r="AJ99" i="9"/>
  <c r="AO99" i="9" s="1"/>
  <c r="AI99" i="9"/>
  <c r="AN99" i="9" s="1"/>
  <c r="AH99" i="9"/>
  <c r="AM99" i="9" s="1"/>
  <c r="AG99" i="9"/>
  <c r="AL99" i="9" s="1"/>
  <c r="AO98" i="9"/>
  <c r="AJ98" i="9"/>
  <c r="AI98" i="9"/>
  <c r="AN98" i="9" s="1"/>
  <c r="AH98" i="9"/>
  <c r="AM98" i="9" s="1"/>
  <c r="AG98" i="9"/>
  <c r="AL98" i="9" s="1"/>
  <c r="AN97" i="9"/>
  <c r="AJ97" i="9"/>
  <c r="AO97" i="9" s="1"/>
  <c r="AI97" i="9"/>
  <c r="AH97" i="9"/>
  <c r="AM97" i="9" s="1"/>
  <c r="AG97" i="9"/>
  <c r="AL97" i="9" s="1"/>
  <c r="AO96" i="9"/>
  <c r="AJ96" i="9"/>
  <c r="AI96" i="9"/>
  <c r="AN96" i="9" s="1"/>
  <c r="AH96" i="9"/>
  <c r="AM96" i="9" s="1"/>
  <c r="AG96" i="9"/>
  <c r="AL96" i="9" s="1"/>
  <c r="AO95" i="9"/>
  <c r="AJ95" i="9"/>
  <c r="AI95" i="9"/>
  <c r="AN95" i="9" s="1"/>
  <c r="AH95" i="9"/>
  <c r="AM95" i="9" s="1"/>
  <c r="AG95" i="9"/>
  <c r="AL95" i="9" s="1"/>
  <c r="AJ94" i="9"/>
  <c r="AO94" i="9" s="1"/>
  <c r="AI94" i="9"/>
  <c r="AN94" i="9" s="1"/>
  <c r="AH94" i="9"/>
  <c r="AM94" i="9" s="1"/>
  <c r="AG94" i="9"/>
  <c r="AL94" i="9" s="1"/>
  <c r="AP94" i="9" s="1"/>
  <c r="AL93" i="9"/>
  <c r="AJ93" i="9"/>
  <c r="AO93" i="9" s="1"/>
  <c r="AI93" i="9"/>
  <c r="AN93" i="9" s="1"/>
  <c r="AH93" i="9"/>
  <c r="AM93" i="9" s="1"/>
  <c r="AG93" i="9"/>
  <c r="AL92" i="9"/>
  <c r="AJ92" i="9"/>
  <c r="AO92" i="9" s="1"/>
  <c r="AI92" i="9"/>
  <c r="AN92" i="9" s="1"/>
  <c r="AH92" i="9"/>
  <c r="AM92" i="9" s="1"/>
  <c r="AG92" i="9"/>
  <c r="AJ91" i="9"/>
  <c r="AO91" i="9" s="1"/>
  <c r="AI91" i="9"/>
  <c r="AN91" i="9" s="1"/>
  <c r="AH91" i="9"/>
  <c r="AM91" i="9" s="1"/>
  <c r="AG91" i="9"/>
  <c r="AL91" i="9" s="1"/>
  <c r="AJ87" i="9"/>
  <c r="AO87" i="9" s="1"/>
  <c r="AI87" i="9"/>
  <c r="AN87" i="9" s="1"/>
  <c r="AH87" i="9"/>
  <c r="AM87" i="9" s="1"/>
  <c r="AG87" i="9"/>
  <c r="AL87" i="9" s="1"/>
  <c r="AJ84" i="9"/>
  <c r="AO84" i="9" s="1"/>
  <c r="AI84" i="9"/>
  <c r="AN84" i="9" s="1"/>
  <c r="AH84" i="9"/>
  <c r="AM84" i="9" s="1"/>
  <c r="AG84" i="9"/>
  <c r="AL84" i="9" s="1"/>
  <c r="AJ86" i="9"/>
  <c r="AO86" i="9" s="1"/>
  <c r="AI86" i="9"/>
  <c r="AN86" i="9" s="1"/>
  <c r="AH86" i="9"/>
  <c r="AM86" i="9" s="1"/>
  <c r="AG86" i="9"/>
  <c r="AL86" i="9" s="1"/>
  <c r="AJ70" i="9"/>
  <c r="AO70" i="9" s="1"/>
  <c r="AI70" i="9"/>
  <c r="AN70" i="9" s="1"/>
  <c r="AH70" i="9"/>
  <c r="AM70" i="9" s="1"/>
  <c r="AG70" i="9"/>
  <c r="AL70" i="9" s="1"/>
  <c r="AJ90" i="9"/>
  <c r="AO90" i="9" s="1"/>
  <c r="AI90" i="9"/>
  <c r="AN90" i="9" s="1"/>
  <c r="AH90" i="9"/>
  <c r="AM90" i="9" s="1"/>
  <c r="AG90" i="9"/>
  <c r="AL90" i="9" s="1"/>
  <c r="AJ79" i="9"/>
  <c r="AO79" i="9" s="1"/>
  <c r="AI79" i="9"/>
  <c r="AN79" i="9" s="1"/>
  <c r="AH79" i="9"/>
  <c r="AM79" i="9" s="1"/>
  <c r="AG79" i="9"/>
  <c r="AL79" i="9" s="1"/>
  <c r="AJ82" i="9"/>
  <c r="AO82" i="9" s="1"/>
  <c r="AI82" i="9"/>
  <c r="AN82" i="9" s="1"/>
  <c r="AH82" i="9"/>
  <c r="AM82" i="9" s="1"/>
  <c r="AG82" i="9"/>
  <c r="AL82" i="9" s="1"/>
  <c r="AJ88" i="9"/>
  <c r="AO88" i="9" s="1"/>
  <c r="AI88" i="9"/>
  <c r="AN88" i="9" s="1"/>
  <c r="AH88" i="9"/>
  <c r="AM88" i="9" s="1"/>
  <c r="AG88" i="9"/>
  <c r="AL88" i="9" s="1"/>
  <c r="AJ83" i="9"/>
  <c r="AO83" i="9" s="1"/>
  <c r="AI83" i="9"/>
  <c r="AN83" i="9" s="1"/>
  <c r="AH83" i="9"/>
  <c r="AM83" i="9" s="1"/>
  <c r="AG83" i="9"/>
  <c r="AL83" i="9" s="1"/>
  <c r="AN69" i="9"/>
  <c r="AJ69" i="9"/>
  <c r="AO69" i="9" s="1"/>
  <c r="AI69" i="9"/>
  <c r="AH69" i="9"/>
  <c r="AM69" i="9" s="1"/>
  <c r="AG69" i="9"/>
  <c r="AL69" i="9" s="1"/>
  <c r="AO71" i="9"/>
  <c r="AJ71" i="9"/>
  <c r="AI71" i="9"/>
  <c r="AN71" i="9" s="1"/>
  <c r="AH71" i="9"/>
  <c r="AM71" i="9" s="1"/>
  <c r="AG71" i="9"/>
  <c r="AL71" i="9" s="1"/>
  <c r="AJ73" i="9"/>
  <c r="AO73" i="9" s="1"/>
  <c r="AI73" i="9"/>
  <c r="AN73" i="9" s="1"/>
  <c r="AH73" i="9"/>
  <c r="AM73" i="9" s="1"/>
  <c r="AG73" i="9"/>
  <c r="AL73" i="9" s="1"/>
  <c r="AJ81" i="9"/>
  <c r="AO81" i="9" s="1"/>
  <c r="AI81" i="9"/>
  <c r="AN81" i="9" s="1"/>
  <c r="AH81" i="9"/>
  <c r="AM81" i="9" s="1"/>
  <c r="AG81" i="9"/>
  <c r="AL81" i="9" s="1"/>
  <c r="AJ80" i="9"/>
  <c r="AO80" i="9" s="1"/>
  <c r="AI80" i="9"/>
  <c r="AN80" i="9" s="1"/>
  <c r="AH80" i="9"/>
  <c r="AM80" i="9" s="1"/>
  <c r="AG80" i="9"/>
  <c r="AL80" i="9" s="1"/>
  <c r="AL76" i="9"/>
  <c r="AJ76" i="9"/>
  <c r="AO76" i="9" s="1"/>
  <c r="AI76" i="9"/>
  <c r="AN76" i="9" s="1"/>
  <c r="AH76" i="9"/>
  <c r="AM76" i="9" s="1"/>
  <c r="AG76" i="9"/>
  <c r="AJ68" i="9"/>
  <c r="AO68" i="9" s="1"/>
  <c r="AI68" i="9"/>
  <c r="AN68" i="9" s="1"/>
  <c r="AH68" i="9"/>
  <c r="AM68" i="9" s="1"/>
  <c r="AG68" i="9"/>
  <c r="AL68" i="9" s="1"/>
  <c r="AJ85" i="9"/>
  <c r="AO85" i="9" s="1"/>
  <c r="AI85" i="9"/>
  <c r="AN85" i="9" s="1"/>
  <c r="AH85" i="9"/>
  <c r="AM85" i="9" s="1"/>
  <c r="AG85" i="9"/>
  <c r="AL85" i="9" s="1"/>
  <c r="AJ77" i="9"/>
  <c r="AO77" i="9" s="1"/>
  <c r="AI77" i="9"/>
  <c r="AN77" i="9" s="1"/>
  <c r="AH77" i="9"/>
  <c r="AM77" i="9" s="1"/>
  <c r="AG77" i="9"/>
  <c r="AL77" i="9" s="1"/>
  <c r="AO75" i="9"/>
  <c r="AJ75" i="9"/>
  <c r="AI75" i="9"/>
  <c r="AN75" i="9" s="1"/>
  <c r="AH75" i="9"/>
  <c r="AM75" i="9" s="1"/>
  <c r="AG75" i="9"/>
  <c r="AL75" i="9" s="1"/>
  <c r="AJ74" i="9"/>
  <c r="AO74" i="9" s="1"/>
  <c r="AI74" i="9"/>
  <c r="AN74" i="9" s="1"/>
  <c r="AH74" i="9"/>
  <c r="AM74" i="9" s="1"/>
  <c r="AG74" i="9"/>
  <c r="AL74" i="9" s="1"/>
  <c r="AJ72" i="9"/>
  <c r="AO72" i="9" s="1"/>
  <c r="AI72" i="9"/>
  <c r="AN72" i="9" s="1"/>
  <c r="AH72" i="9"/>
  <c r="AM72" i="9" s="1"/>
  <c r="AG72" i="9"/>
  <c r="AL72" i="9" s="1"/>
  <c r="AJ89" i="9"/>
  <c r="AO89" i="9" s="1"/>
  <c r="AI89" i="9"/>
  <c r="AN89" i="9" s="1"/>
  <c r="AH89" i="9"/>
  <c r="AM89" i="9" s="1"/>
  <c r="AG89" i="9"/>
  <c r="AL89" i="9" s="1"/>
  <c r="AJ78" i="9"/>
  <c r="AO78" i="9" s="1"/>
  <c r="AI78" i="9"/>
  <c r="AN78" i="9" s="1"/>
  <c r="AH78" i="9"/>
  <c r="AM78" i="9" s="1"/>
  <c r="AG78" i="9"/>
  <c r="AL78" i="9" s="1"/>
  <c r="AJ67" i="9"/>
  <c r="AO67" i="9" s="1"/>
  <c r="AI67" i="9"/>
  <c r="AN67" i="9" s="1"/>
  <c r="AH67" i="9"/>
  <c r="AM67" i="9" s="1"/>
  <c r="AG67" i="9"/>
  <c r="AL67" i="9" s="1"/>
  <c r="AP67" i="9" s="1"/>
  <c r="AJ66" i="9"/>
  <c r="AO66" i="9" s="1"/>
  <c r="AI66" i="9"/>
  <c r="AN66" i="9" s="1"/>
  <c r="AH66" i="9"/>
  <c r="AM66" i="9" s="1"/>
  <c r="AG66" i="9"/>
  <c r="AL66" i="9" s="1"/>
  <c r="AO65" i="9"/>
  <c r="AN65" i="9"/>
  <c r="AJ65" i="9"/>
  <c r="AI65" i="9"/>
  <c r="AH65" i="9"/>
  <c r="AM65" i="9" s="1"/>
  <c r="AG65" i="9"/>
  <c r="AL65" i="9" s="1"/>
  <c r="AO64" i="9"/>
  <c r="AJ64" i="9"/>
  <c r="AI64" i="9"/>
  <c r="AN64" i="9" s="1"/>
  <c r="AH64" i="9"/>
  <c r="AM64" i="9" s="1"/>
  <c r="AG64" i="9"/>
  <c r="AL64" i="9" s="1"/>
  <c r="AO63" i="9"/>
  <c r="AJ63" i="9"/>
  <c r="AI63" i="9"/>
  <c r="AN63" i="9" s="1"/>
  <c r="AH63" i="9"/>
  <c r="AM63" i="9" s="1"/>
  <c r="AG63" i="9"/>
  <c r="AL63" i="9" s="1"/>
  <c r="AJ62" i="9"/>
  <c r="AO62" i="9" s="1"/>
  <c r="AI62" i="9"/>
  <c r="AN62" i="9" s="1"/>
  <c r="AH62" i="9"/>
  <c r="AM62" i="9" s="1"/>
  <c r="AG62" i="9"/>
  <c r="AL62" i="9" s="1"/>
  <c r="AP62" i="9" s="1"/>
  <c r="AL61" i="9"/>
  <c r="AJ61" i="9"/>
  <c r="AO61" i="9" s="1"/>
  <c r="AI61" i="9"/>
  <c r="AN61" i="9" s="1"/>
  <c r="AH61" i="9"/>
  <c r="AM61" i="9" s="1"/>
  <c r="AG61" i="9"/>
  <c r="AL60" i="9"/>
  <c r="AJ60" i="9"/>
  <c r="AO60" i="9" s="1"/>
  <c r="AI60" i="9"/>
  <c r="AN60" i="9" s="1"/>
  <c r="AH60" i="9"/>
  <c r="AM60" i="9" s="1"/>
  <c r="AG60" i="9"/>
  <c r="AJ59" i="9"/>
  <c r="AO59" i="9" s="1"/>
  <c r="AI59" i="9"/>
  <c r="AN59" i="9" s="1"/>
  <c r="AH59" i="9"/>
  <c r="AM59" i="9" s="1"/>
  <c r="AG59" i="9"/>
  <c r="AL59" i="9" s="1"/>
  <c r="AJ58" i="9"/>
  <c r="AO58" i="9" s="1"/>
  <c r="AI58" i="9"/>
  <c r="AN58" i="9" s="1"/>
  <c r="AH58" i="9"/>
  <c r="AM58" i="9" s="1"/>
  <c r="AG58" i="9"/>
  <c r="AL58" i="9" s="1"/>
  <c r="AO57" i="9"/>
  <c r="AN57" i="9"/>
  <c r="AJ57" i="9"/>
  <c r="AI57" i="9"/>
  <c r="AH57" i="9"/>
  <c r="AM57" i="9" s="1"/>
  <c r="AG57" i="9"/>
  <c r="AL57" i="9" s="1"/>
  <c r="AO56" i="9"/>
  <c r="AJ56" i="9"/>
  <c r="AI56" i="9"/>
  <c r="AN56" i="9" s="1"/>
  <c r="AH56" i="9"/>
  <c r="AM56" i="9" s="1"/>
  <c r="AG56" i="9"/>
  <c r="AL56" i="9" s="1"/>
  <c r="AO55" i="9"/>
  <c r="AJ55" i="9"/>
  <c r="AI55" i="9"/>
  <c r="AN55" i="9" s="1"/>
  <c r="AH55" i="9"/>
  <c r="AM55" i="9" s="1"/>
  <c r="AG55" i="9"/>
  <c r="AL55" i="9" s="1"/>
  <c r="AJ54" i="9"/>
  <c r="AO54" i="9" s="1"/>
  <c r="AI54" i="9"/>
  <c r="AN54" i="9" s="1"/>
  <c r="AH54" i="9"/>
  <c r="AM54" i="9" s="1"/>
  <c r="AG54" i="9"/>
  <c r="AL54" i="9" s="1"/>
  <c r="AP54" i="9" s="1"/>
  <c r="AL53" i="9"/>
  <c r="AJ53" i="9"/>
  <c r="AO53" i="9" s="1"/>
  <c r="AI53" i="9"/>
  <c r="AN53" i="9" s="1"/>
  <c r="AH53" i="9"/>
  <c r="AM53" i="9" s="1"/>
  <c r="AG53" i="9"/>
  <c r="AL52" i="9"/>
  <c r="AJ52" i="9"/>
  <c r="AO52" i="9" s="1"/>
  <c r="AI52" i="9"/>
  <c r="AN52" i="9" s="1"/>
  <c r="AH52" i="9"/>
  <c r="AM52" i="9" s="1"/>
  <c r="AG52" i="9"/>
  <c r="AJ51" i="9"/>
  <c r="AO51" i="9" s="1"/>
  <c r="AI51" i="9"/>
  <c r="AN51" i="9" s="1"/>
  <c r="AH51" i="9"/>
  <c r="AM51" i="9" s="1"/>
  <c r="AG51" i="9"/>
  <c r="AL51" i="9" s="1"/>
  <c r="AJ50" i="9"/>
  <c r="AO50" i="9" s="1"/>
  <c r="AI50" i="9"/>
  <c r="AN50" i="9" s="1"/>
  <c r="AH50" i="9"/>
  <c r="AM50" i="9" s="1"/>
  <c r="AG50" i="9"/>
  <c r="AL50" i="9" s="1"/>
  <c r="AP50" i="9" s="1"/>
  <c r="AO49" i="9"/>
  <c r="AN49" i="9"/>
  <c r="AJ49" i="9"/>
  <c r="AI49" i="9"/>
  <c r="AH49" i="9"/>
  <c r="AM49" i="9" s="1"/>
  <c r="AG49" i="9"/>
  <c r="AL49" i="9" s="1"/>
  <c r="AO48" i="9"/>
  <c r="AJ48" i="9"/>
  <c r="AI48" i="9"/>
  <c r="AN48" i="9" s="1"/>
  <c r="AH48" i="9"/>
  <c r="AM48" i="9" s="1"/>
  <c r="AG48" i="9"/>
  <c r="AL48" i="9" s="1"/>
  <c r="AO47" i="9"/>
  <c r="AJ47" i="9"/>
  <c r="AI47" i="9"/>
  <c r="AN47" i="9" s="1"/>
  <c r="AH47" i="9"/>
  <c r="AM47" i="9" s="1"/>
  <c r="AG47" i="9"/>
  <c r="AL47" i="9" s="1"/>
  <c r="AJ46" i="9"/>
  <c r="AO46" i="9" s="1"/>
  <c r="AI46" i="9"/>
  <c r="AN46" i="9" s="1"/>
  <c r="AH46" i="9"/>
  <c r="AM46" i="9" s="1"/>
  <c r="AG46" i="9"/>
  <c r="AL46" i="9" s="1"/>
  <c r="AP46" i="9" s="1"/>
  <c r="AL45" i="9"/>
  <c r="AJ45" i="9"/>
  <c r="AO45" i="9" s="1"/>
  <c r="AI45" i="9"/>
  <c r="AN45" i="9" s="1"/>
  <c r="AH45" i="9"/>
  <c r="AM45" i="9" s="1"/>
  <c r="AG45" i="9"/>
  <c r="AL44" i="9"/>
  <c r="AJ44" i="9"/>
  <c r="AO44" i="9" s="1"/>
  <c r="AI44" i="9"/>
  <c r="AN44" i="9" s="1"/>
  <c r="AH44" i="9"/>
  <c r="AM44" i="9" s="1"/>
  <c r="AG44" i="9"/>
  <c r="AJ43" i="9"/>
  <c r="AO43" i="9" s="1"/>
  <c r="AI43" i="9"/>
  <c r="AN43" i="9" s="1"/>
  <c r="AH43" i="9"/>
  <c r="AM43" i="9" s="1"/>
  <c r="AG43" i="9"/>
  <c r="AL43" i="9" s="1"/>
  <c r="AJ42" i="9"/>
  <c r="AO42" i="9" s="1"/>
  <c r="AI42" i="9"/>
  <c r="AN42" i="9" s="1"/>
  <c r="AH42" i="9"/>
  <c r="AM42" i="9" s="1"/>
  <c r="AG42" i="9"/>
  <c r="AL42" i="9" s="1"/>
  <c r="AO41" i="9"/>
  <c r="AN41" i="9"/>
  <c r="AJ41" i="9"/>
  <c r="AI41" i="9"/>
  <c r="AH41" i="9"/>
  <c r="AM41" i="9" s="1"/>
  <c r="AG41" i="9"/>
  <c r="AL41" i="9" s="1"/>
  <c r="AO40" i="9"/>
  <c r="AJ40" i="9"/>
  <c r="AI40" i="9"/>
  <c r="AN40" i="9" s="1"/>
  <c r="AH40" i="9"/>
  <c r="AM40" i="9" s="1"/>
  <c r="AG40" i="9"/>
  <c r="AL40" i="9" s="1"/>
  <c r="AJ39" i="9"/>
  <c r="AO39" i="9" s="1"/>
  <c r="AI39" i="9"/>
  <c r="AN39" i="9" s="1"/>
  <c r="AH39" i="9"/>
  <c r="AM39" i="9" s="1"/>
  <c r="AG39" i="9"/>
  <c r="AL39" i="9" s="1"/>
  <c r="AJ38" i="9"/>
  <c r="AO38" i="9" s="1"/>
  <c r="AI38" i="9"/>
  <c r="AN38" i="9" s="1"/>
  <c r="AH38" i="9"/>
  <c r="AM38" i="9" s="1"/>
  <c r="AG38" i="9"/>
  <c r="AL38" i="9" s="1"/>
  <c r="AP38" i="9" s="1"/>
  <c r="AL37" i="9"/>
  <c r="AJ37" i="9"/>
  <c r="AO37" i="9" s="1"/>
  <c r="AI37" i="9"/>
  <c r="AN37" i="9" s="1"/>
  <c r="AH37" i="9"/>
  <c r="AM37" i="9" s="1"/>
  <c r="AG37" i="9"/>
  <c r="AL36" i="9"/>
  <c r="AJ36" i="9"/>
  <c r="AO36" i="9" s="1"/>
  <c r="AI36" i="9"/>
  <c r="AN36" i="9" s="1"/>
  <c r="AH36" i="9"/>
  <c r="AM36" i="9" s="1"/>
  <c r="AG36" i="9"/>
  <c r="AJ35" i="9"/>
  <c r="AO35" i="9" s="1"/>
  <c r="AI35" i="9"/>
  <c r="AN35" i="9" s="1"/>
  <c r="AH35" i="9"/>
  <c r="AM35" i="9" s="1"/>
  <c r="AG35" i="9"/>
  <c r="AL35" i="9" s="1"/>
  <c r="AJ34" i="9"/>
  <c r="AO34" i="9" s="1"/>
  <c r="AI34" i="9"/>
  <c r="AN34" i="9" s="1"/>
  <c r="AH34" i="9"/>
  <c r="AM34" i="9" s="1"/>
  <c r="AG34" i="9"/>
  <c r="AL34" i="9" s="1"/>
  <c r="AO33" i="9"/>
  <c r="AN33" i="9"/>
  <c r="AJ33" i="9"/>
  <c r="AI33" i="9"/>
  <c r="AH33" i="9"/>
  <c r="AM33" i="9" s="1"/>
  <c r="AG33" i="9"/>
  <c r="AL33" i="9" s="1"/>
  <c r="AO32" i="9"/>
  <c r="AJ32" i="9"/>
  <c r="AI32" i="9"/>
  <c r="AN32" i="9" s="1"/>
  <c r="AH32" i="9"/>
  <c r="AM32" i="9" s="1"/>
  <c r="AG32" i="9"/>
  <c r="AL32" i="9" s="1"/>
  <c r="AJ31" i="9"/>
  <c r="AO31" i="9" s="1"/>
  <c r="AI31" i="9"/>
  <c r="AN31" i="9" s="1"/>
  <c r="AH31" i="9"/>
  <c r="AM31" i="9" s="1"/>
  <c r="AG31" i="9"/>
  <c r="AL31" i="9" s="1"/>
  <c r="AJ30" i="9"/>
  <c r="AO30" i="9" s="1"/>
  <c r="AI30" i="9"/>
  <c r="AN30" i="9" s="1"/>
  <c r="AH30" i="9"/>
  <c r="AM30" i="9" s="1"/>
  <c r="AG30" i="9"/>
  <c r="AL30" i="9" s="1"/>
  <c r="AP30" i="9" s="1"/>
  <c r="AL29" i="9"/>
  <c r="AJ29" i="9"/>
  <c r="AO29" i="9" s="1"/>
  <c r="AI29" i="9"/>
  <c r="AN29" i="9" s="1"/>
  <c r="AH29" i="9"/>
  <c r="AM29" i="9" s="1"/>
  <c r="AG29" i="9"/>
  <c r="AL28" i="9"/>
  <c r="AJ28" i="9"/>
  <c r="AO28" i="9" s="1"/>
  <c r="AI28" i="9"/>
  <c r="AN28" i="9" s="1"/>
  <c r="AH28" i="9"/>
  <c r="AM28" i="9" s="1"/>
  <c r="AG28" i="9"/>
  <c r="AJ27" i="9"/>
  <c r="AO27" i="9" s="1"/>
  <c r="AI27" i="9"/>
  <c r="AN27" i="9" s="1"/>
  <c r="AH27" i="9"/>
  <c r="AM27" i="9" s="1"/>
  <c r="AG27" i="9"/>
  <c r="AL27" i="9" s="1"/>
  <c r="AJ26" i="9"/>
  <c r="AO26" i="9" s="1"/>
  <c r="AI26" i="9"/>
  <c r="AN26" i="9" s="1"/>
  <c r="AH26" i="9"/>
  <c r="AM26" i="9" s="1"/>
  <c r="AG26" i="9"/>
  <c r="AL26" i="9" s="1"/>
  <c r="AP26" i="9" s="1"/>
  <c r="AO25" i="9"/>
  <c r="AN25" i="9"/>
  <c r="AJ25" i="9"/>
  <c r="AI25" i="9"/>
  <c r="AH25" i="9"/>
  <c r="AM25" i="9" s="1"/>
  <c r="AG25" i="9"/>
  <c r="AL25" i="9" s="1"/>
  <c r="AO24" i="9"/>
  <c r="AJ24" i="9"/>
  <c r="AI24" i="9"/>
  <c r="AN24" i="9" s="1"/>
  <c r="AH24" i="9"/>
  <c r="AM24" i="9" s="1"/>
  <c r="AG24" i="9"/>
  <c r="AL24" i="9" s="1"/>
  <c r="AJ23" i="9"/>
  <c r="AO23" i="9" s="1"/>
  <c r="AI23" i="9"/>
  <c r="AN23" i="9" s="1"/>
  <c r="AH23" i="9"/>
  <c r="AM23" i="9" s="1"/>
  <c r="AG23" i="9"/>
  <c r="AL23" i="9" s="1"/>
  <c r="AJ22" i="9"/>
  <c r="AO22" i="9" s="1"/>
  <c r="AI22" i="9"/>
  <c r="AN22" i="9" s="1"/>
  <c r="AH22" i="9"/>
  <c r="AM22" i="9" s="1"/>
  <c r="AG22" i="9"/>
  <c r="AL22" i="9" s="1"/>
  <c r="AP22" i="9" s="1"/>
  <c r="AL21" i="9"/>
  <c r="AJ21" i="9"/>
  <c r="AO21" i="9" s="1"/>
  <c r="AI21" i="9"/>
  <c r="AN21" i="9" s="1"/>
  <c r="AH21" i="9"/>
  <c r="AM21" i="9" s="1"/>
  <c r="AG21" i="9"/>
  <c r="AL20" i="9"/>
  <c r="AJ20" i="9"/>
  <c r="AO20" i="9" s="1"/>
  <c r="AI20" i="9"/>
  <c r="AN20" i="9" s="1"/>
  <c r="AH20" i="9"/>
  <c r="AM20" i="9" s="1"/>
  <c r="AG20" i="9"/>
  <c r="AJ19" i="9"/>
  <c r="AO19" i="9" s="1"/>
  <c r="AI19" i="9"/>
  <c r="AN19" i="9" s="1"/>
  <c r="AH19" i="9"/>
  <c r="AM19" i="9" s="1"/>
  <c r="AG19" i="9"/>
  <c r="AL19" i="9" s="1"/>
  <c r="AJ18" i="9"/>
  <c r="AO18" i="9" s="1"/>
  <c r="AI18" i="9"/>
  <c r="AN18" i="9" s="1"/>
  <c r="AH18" i="9"/>
  <c r="AM18" i="9" s="1"/>
  <c r="AG18" i="9"/>
  <c r="AL18" i="9" s="1"/>
  <c r="AP18" i="9" s="1"/>
  <c r="AO17" i="9"/>
  <c r="AN17" i="9"/>
  <c r="AJ17" i="9"/>
  <c r="AI17" i="9"/>
  <c r="AH17" i="9"/>
  <c r="AM17" i="9" s="1"/>
  <c r="AG17" i="9"/>
  <c r="AL17" i="9" s="1"/>
  <c r="AO16" i="9"/>
  <c r="AJ16" i="9"/>
  <c r="AI16" i="9"/>
  <c r="AN16" i="9" s="1"/>
  <c r="AH16" i="9"/>
  <c r="AM16" i="9" s="1"/>
  <c r="AG16" i="9"/>
  <c r="AL16" i="9" s="1"/>
  <c r="AJ15" i="9"/>
  <c r="AO15" i="9" s="1"/>
  <c r="AI15" i="9"/>
  <c r="AN15" i="9" s="1"/>
  <c r="AH15" i="9"/>
  <c r="AM15" i="9" s="1"/>
  <c r="AG15" i="9"/>
  <c r="AL15" i="9" s="1"/>
  <c r="AJ14" i="9"/>
  <c r="AO14" i="9" s="1"/>
  <c r="AI14" i="9"/>
  <c r="AN14" i="9" s="1"/>
  <c r="AH14" i="9"/>
  <c r="AM14" i="9" s="1"/>
  <c r="AG14" i="9"/>
  <c r="AL14" i="9" s="1"/>
  <c r="AP14" i="9" s="1"/>
  <c r="AL13" i="9"/>
  <c r="AJ13" i="9"/>
  <c r="AO13" i="9" s="1"/>
  <c r="AI13" i="9"/>
  <c r="AN13" i="9" s="1"/>
  <c r="AH13" i="9"/>
  <c r="AM13" i="9" s="1"/>
  <c r="AG13" i="9"/>
  <c r="AL12" i="9"/>
  <c r="AJ12" i="9"/>
  <c r="AO12" i="9" s="1"/>
  <c r="AI12" i="9"/>
  <c r="AN12" i="9" s="1"/>
  <c r="AH12" i="9"/>
  <c r="AM12" i="9" s="1"/>
  <c r="AG12" i="9"/>
  <c r="AJ11" i="9"/>
  <c r="AO11" i="9" s="1"/>
  <c r="AI11" i="9"/>
  <c r="AN11" i="9" s="1"/>
  <c r="AH11" i="9"/>
  <c r="AM11" i="9" s="1"/>
  <c r="AG11" i="9"/>
  <c r="AL11" i="9" s="1"/>
  <c r="AJ10" i="9"/>
  <c r="AO10" i="9" s="1"/>
  <c r="AI10" i="9"/>
  <c r="AN10" i="9" s="1"/>
  <c r="AH10" i="9"/>
  <c r="AM10" i="9" s="1"/>
  <c r="AG10" i="9"/>
  <c r="AL10" i="9" s="1"/>
  <c r="AO9" i="9"/>
  <c r="AN9" i="9"/>
  <c r="AJ9" i="9"/>
  <c r="AI9" i="9"/>
  <c r="AH9" i="9"/>
  <c r="AM9" i="9" s="1"/>
  <c r="AG9" i="9"/>
  <c r="AL9" i="9" s="1"/>
  <c r="AO8" i="9"/>
  <c r="AJ8" i="9"/>
  <c r="AI8" i="9"/>
  <c r="AN8" i="9" s="1"/>
  <c r="AH8" i="9"/>
  <c r="AM8" i="9" s="1"/>
  <c r="AG8" i="9"/>
  <c r="AL8" i="9" s="1"/>
  <c r="AJ7" i="9"/>
  <c r="AO7" i="9" s="1"/>
  <c r="AI7" i="9"/>
  <c r="AN7" i="9" s="1"/>
  <c r="AH7" i="9"/>
  <c r="AM7" i="9" s="1"/>
  <c r="AG7" i="9"/>
  <c r="AL7" i="9" s="1"/>
  <c r="AJ6" i="9"/>
  <c r="AO6" i="9" s="1"/>
  <c r="AI6" i="9"/>
  <c r="AN6" i="9" s="1"/>
  <c r="AH6" i="9"/>
  <c r="AM6" i="9" s="1"/>
  <c r="AG6" i="9"/>
  <c r="AL6" i="9" s="1"/>
  <c r="AP6" i="9" s="1"/>
  <c r="AJ232" i="8"/>
  <c r="AO232" i="8" s="1"/>
  <c r="AI232" i="8"/>
  <c r="AN232" i="8" s="1"/>
  <c r="AH232" i="8"/>
  <c r="AM232" i="8" s="1"/>
  <c r="AG232" i="8"/>
  <c r="AL232" i="8" s="1"/>
  <c r="AJ231" i="8"/>
  <c r="AO231" i="8" s="1"/>
  <c r="AI231" i="8"/>
  <c r="AN231" i="8" s="1"/>
  <c r="AH231" i="8"/>
  <c r="AM231" i="8" s="1"/>
  <c r="AG231" i="8"/>
  <c r="AL231" i="8" s="1"/>
  <c r="AJ230" i="8"/>
  <c r="AO230" i="8" s="1"/>
  <c r="AI230" i="8"/>
  <c r="AN230" i="8" s="1"/>
  <c r="AH230" i="8"/>
  <c r="AM230" i="8" s="1"/>
  <c r="AG230" i="8"/>
  <c r="AL230" i="8" s="1"/>
  <c r="AJ229" i="8"/>
  <c r="AO229" i="8" s="1"/>
  <c r="AI229" i="8"/>
  <c r="AN229" i="8" s="1"/>
  <c r="AH229" i="8"/>
  <c r="AM229" i="8" s="1"/>
  <c r="AG229" i="8"/>
  <c r="AL229" i="8" s="1"/>
  <c r="AJ228" i="8"/>
  <c r="AO228" i="8" s="1"/>
  <c r="AI228" i="8"/>
  <c r="AN228" i="8" s="1"/>
  <c r="AH228" i="8"/>
  <c r="AM228" i="8" s="1"/>
  <c r="AG228" i="8"/>
  <c r="AL228" i="8" s="1"/>
  <c r="AJ227" i="8"/>
  <c r="AO227" i="8" s="1"/>
  <c r="AI227" i="8"/>
  <c r="AN227" i="8" s="1"/>
  <c r="AH227" i="8"/>
  <c r="AM227" i="8" s="1"/>
  <c r="AG227" i="8"/>
  <c r="AL227" i="8" s="1"/>
  <c r="AJ226" i="8"/>
  <c r="AO226" i="8" s="1"/>
  <c r="AI226" i="8"/>
  <c r="AN226" i="8" s="1"/>
  <c r="AH226" i="8"/>
  <c r="AM226" i="8" s="1"/>
  <c r="AG226" i="8"/>
  <c r="AL226" i="8" s="1"/>
  <c r="AO225" i="8"/>
  <c r="AJ225" i="8"/>
  <c r="AI225" i="8"/>
  <c r="AN225" i="8" s="1"/>
  <c r="AH225" i="8"/>
  <c r="AM225" i="8" s="1"/>
  <c r="AG225" i="8"/>
  <c r="AL225" i="8" s="1"/>
  <c r="AJ224" i="8"/>
  <c r="AO224" i="8" s="1"/>
  <c r="AI224" i="8"/>
  <c r="AN224" i="8" s="1"/>
  <c r="AH224" i="8"/>
  <c r="AM224" i="8" s="1"/>
  <c r="AG224" i="8"/>
  <c r="AL224" i="8" s="1"/>
  <c r="AJ223" i="8"/>
  <c r="AO223" i="8" s="1"/>
  <c r="AI223" i="8"/>
  <c r="AN223" i="8" s="1"/>
  <c r="AH223" i="8"/>
  <c r="AM223" i="8" s="1"/>
  <c r="AG223" i="8"/>
  <c r="AL223" i="8" s="1"/>
  <c r="AJ222" i="8"/>
  <c r="AO222" i="8" s="1"/>
  <c r="AI222" i="8"/>
  <c r="AN222" i="8" s="1"/>
  <c r="AH222" i="8"/>
  <c r="AM222" i="8" s="1"/>
  <c r="AG222" i="8"/>
  <c r="AL222" i="8" s="1"/>
  <c r="AJ221" i="8"/>
  <c r="AO221" i="8" s="1"/>
  <c r="AI221" i="8"/>
  <c r="AN221" i="8" s="1"/>
  <c r="AH221" i="8"/>
  <c r="AM221" i="8" s="1"/>
  <c r="AG221" i="8"/>
  <c r="AL221" i="8" s="1"/>
  <c r="AJ220" i="8"/>
  <c r="AO220" i="8" s="1"/>
  <c r="AI220" i="8"/>
  <c r="AN220" i="8" s="1"/>
  <c r="AH220" i="8"/>
  <c r="AM220" i="8" s="1"/>
  <c r="AG220" i="8"/>
  <c r="AL220" i="8" s="1"/>
  <c r="AJ219" i="8"/>
  <c r="AO219" i="8" s="1"/>
  <c r="AI219" i="8"/>
  <c r="AN219" i="8" s="1"/>
  <c r="AH219" i="8"/>
  <c r="AM219" i="8" s="1"/>
  <c r="AG219" i="8"/>
  <c r="AL219" i="8" s="1"/>
  <c r="AN218" i="8"/>
  <c r="AL218" i="8"/>
  <c r="AJ218" i="8"/>
  <c r="AO218" i="8" s="1"/>
  <c r="AI218" i="8"/>
  <c r="AH218" i="8"/>
  <c r="AM218" i="8" s="1"/>
  <c r="AG218" i="8"/>
  <c r="AJ217" i="8"/>
  <c r="AO217" i="8" s="1"/>
  <c r="AI217" i="8"/>
  <c r="AN217" i="8" s="1"/>
  <c r="AH217" i="8"/>
  <c r="AM217" i="8" s="1"/>
  <c r="AG217" i="8"/>
  <c r="AL217" i="8" s="1"/>
  <c r="AJ216" i="8"/>
  <c r="AO216" i="8" s="1"/>
  <c r="AI216" i="8"/>
  <c r="AN216" i="8" s="1"/>
  <c r="AH216" i="8"/>
  <c r="AM216" i="8" s="1"/>
  <c r="AG216" i="8"/>
  <c r="AL216" i="8" s="1"/>
  <c r="AL215" i="8"/>
  <c r="AJ215" i="8"/>
  <c r="AO215" i="8" s="1"/>
  <c r="AI215" i="8"/>
  <c r="AN215" i="8" s="1"/>
  <c r="AH215" i="8"/>
  <c r="AM215" i="8" s="1"/>
  <c r="AG215" i="8"/>
  <c r="AJ214" i="8"/>
  <c r="AO214" i="8" s="1"/>
  <c r="AI214" i="8"/>
  <c r="AN214" i="8" s="1"/>
  <c r="AH214" i="8"/>
  <c r="AM214" i="8" s="1"/>
  <c r="AG214" i="8"/>
  <c r="AL214" i="8" s="1"/>
  <c r="AJ213" i="8"/>
  <c r="AO213" i="8" s="1"/>
  <c r="AI213" i="8"/>
  <c r="AN213" i="8" s="1"/>
  <c r="AH213" i="8"/>
  <c r="AM213" i="8" s="1"/>
  <c r="AG213" i="8"/>
  <c r="AL213" i="8" s="1"/>
  <c r="AO212" i="8"/>
  <c r="AJ212" i="8"/>
  <c r="AI212" i="8"/>
  <c r="AN212" i="8" s="1"/>
  <c r="AH212" i="8"/>
  <c r="AM212" i="8" s="1"/>
  <c r="AG212" i="8"/>
  <c r="AL212" i="8" s="1"/>
  <c r="AJ211" i="8"/>
  <c r="AO211" i="8" s="1"/>
  <c r="AI211" i="8"/>
  <c r="AN211" i="8" s="1"/>
  <c r="AH211" i="8"/>
  <c r="AM211" i="8" s="1"/>
  <c r="AG211" i="8"/>
  <c r="AL211" i="8" s="1"/>
  <c r="AJ210" i="8"/>
  <c r="AO210" i="8" s="1"/>
  <c r="AI210" i="8"/>
  <c r="AN210" i="8" s="1"/>
  <c r="AH210" i="8"/>
  <c r="AM210" i="8" s="1"/>
  <c r="AG210" i="8"/>
  <c r="AL210" i="8" s="1"/>
  <c r="AJ209" i="8"/>
  <c r="AO209" i="8" s="1"/>
  <c r="AI209" i="8"/>
  <c r="AN209" i="8" s="1"/>
  <c r="AH209" i="8"/>
  <c r="AM209" i="8" s="1"/>
  <c r="AG209" i="8"/>
  <c r="AL209" i="8" s="1"/>
  <c r="AJ208" i="8"/>
  <c r="AO208" i="8" s="1"/>
  <c r="AI208" i="8"/>
  <c r="AN208" i="8" s="1"/>
  <c r="AH208" i="8"/>
  <c r="AM208" i="8" s="1"/>
  <c r="AG208" i="8"/>
  <c r="AL208" i="8" s="1"/>
  <c r="AJ207" i="8"/>
  <c r="AO207" i="8" s="1"/>
  <c r="AI207" i="8"/>
  <c r="AN207" i="8" s="1"/>
  <c r="AH207" i="8"/>
  <c r="AM207" i="8" s="1"/>
  <c r="AG207" i="8"/>
  <c r="AL207" i="8" s="1"/>
  <c r="AJ206" i="8"/>
  <c r="AO206" i="8" s="1"/>
  <c r="AI206" i="8"/>
  <c r="AN206" i="8" s="1"/>
  <c r="AH206" i="8"/>
  <c r="AM206" i="8" s="1"/>
  <c r="AG206" i="8"/>
  <c r="AL206" i="8" s="1"/>
  <c r="AN205" i="8"/>
  <c r="AJ205" i="8"/>
  <c r="AO205" i="8" s="1"/>
  <c r="AI205" i="8"/>
  <c r="AH205" i="8"/>
  <c r="AM205" i="8" s="1"/>
  <c r="AG205" i="8"/>
  <c r="AL205" i="8" s="1"/>
  <c r="AL204" i="8"/>
  <c r="AJ204" i="8"/>
  <c r="AO204" i="8" s="1"/>
  <c r="AI204" i="8"/>
  <c r="AN204" i="8" s="1"/>
  <c r="AH204" i="8"/>
  <c r="AM204" i="8" s="1"/>
  <c r="AG204" i="8"/>
  <c r="AJ203" i="8"/>
  <c r="AO203" i="8" s="1"/>
  <c r="AI203" i="8"/>
  <c r="AN203" i="8" s="1"/>
  <c r="AH203" i="8"/>
  <c r="AM203" i="8" s="1"/>
  <c r="AG203" i="8"/>
  <c r="AL203" i="8" s="1"/>
  <c r="AL202" i="8"/>
  <c r="AJ202" i="8"/>
  <c r="AO202" i="8" s="1"/>
  <c r="AI202" i="8"/>
  <c r="AN202" i="8" s="1"/>
  <c r="AH202" i="8"/>
  <c r="AM202" i="8" s="1"/>
  <c r="AG202" i="8"/>
  <c r="AJ201" i="8"/>
  <c r="AO201" i="8" s="1"/>
  <c r="AI201" i="8"/>
  <c r="AN201" i="8" s="1"/>
  <c r="AH201" i="8"/>
  <c r="AM201" i="8" s="1"/>
  <c r="AG201" i="8"/>
  <c r="AL201" i="8" s="1"/>
  <c r="AJ200" i="8"/>
  <c r="AO200" i="8" s="1"/>
  <c r="AI200" i="8"/>
  <c r="AN200" i="8" s="1"/>
  <c r="AH200" i="8"/>
  <c r="AM200" i="8" s="1"/>
  <c r="AG200" i="8"/>
  <c r="AL200" i="8" s="1"/>
  <c r="AJ199" i="8"/>
  <c r="AO199" i="8" s="1"/>
  <c r="AI199" i="8"/>
  <c r="AN199" i="8" s="1"/>
  <c r="AH199" i="8"/>
  <c r="AM199" i="8" s="1"/>
  <c r="AG199" i="8"/>
  <c r="AL199" i="8" s="1"/>
  <c r="AJ198" i="8"/>
  <c r="AO198" i="8" s="1"/>
  <c r="AI198" i="8"/>
  <c r="AN198" i="8" s="1"/>
  <c r="AH198" i="8"/>
  <c r="AM198" i="8" s="1"/>
  <c r="AG198" i="8"/>
  <c r="AL198" i="8" s="1"/>
  <c r="AJ197" i="8"/>
  <c r="AO197" i="8" s="1"/>
  <c r="AI197" i="8"/>
  <c r="AN197" i="8" s="1"/>
  <c r="AH197" i="8"/>
  <c r="AM197" i="8" s="1"/>
  <c r="AG197" i="8"/>
  <c r="AL197" i="8" s="1"/>
  <c r="AJ196" i="8"/>
  <c r="AO196" i="8" s="1"/>
  <c r="AI196" i="8"/>
  <c r="AN196" i="8" s="1"/>
  <c r="AH196" i="8"/>
  <c r="AM196" i="8" s="1"/>
  <c r="AG196" i="8"/>
  <c r="AL196" i="8" s="1"/>
  <c r="AM195" i="8"/>
  <c r="AJ195" i="8"/>
  <c r="AO195" i="8" s="1"/>
  <c r="AI195" i="8"/>
  <c r="AN195" i="8" s="1"/>
  <c r="AH195" i="8"/>
  <c r="AG195" i="8"/>
  <c r="AL195" i="8" s="1"/>
  <c r="AJ194" i="8"/>
  <c r="AO194" i="8" s="1"/>
  <c r="AI194" i="8"/>
  <c r="AN194" i="8" s="1"/>
  <c r="AH194" i="8"/>
  <c r="AM194" i="8" s="1"/>
  <c r="AG194" i="8"/>
  <c r="AL194" i="8" s="1"/>
  <c r="AJ193" i="8"/>
  <c r="AO193" i="8" s="1"/>
  <c r="AI193" i="8"/>
  <c r="AN193" i="8" s="1"/>
  <c r="AH193" i="8"/>
  <c r="AM193" i="8" s="1"/>
  <c r="AG193" i="8"/>
  <c r="AL193" i="8" s="1"/>
  <c r="AJ192" i="8"/>
  <c r="AO192" i="8" s="1"/>
  <c r="AI192" i="8"/>
  <c r="AN192" i="8" s="1"/>
  <c r="AH192" i="8"/>
  <c r="AM192" i="8" s="1"/>
  <c r="AG192" i="8"/>
  <c r="AL192" i="8" s="1"/>
  <c r="AJ191" i="8"/>
  <c r="AO191" i="8" s="1"/>
  <c r="AI191" i="8"/>
  <c r="AN191" i="8" s="1"/>
  <c r="AH191" i="8"/>
  <c r="AM191" i="8" s="1"/>
  <c r="AG191" i="8"/>
  <c r="AL191" i="8" s="1"/>
  <c r="AO190" i="8"/>
  <c r="AJ190" i="8"/>
  <c r="AI190" i="8"/>
  <c r="AN190" i="8" s="1"/>
  <c r="AH190" i="8"/>
  <c r="AM190" i="8" s="1"/>
  <c r="AG190" i="8"/>
  <c r="AL190" i="8" s="1"/>
  <c r="AJ189" i="8"/>
  <c r="AO189" i="8" s="1"/>
  <c r="AI189" i="8"/>
  <c r="AN189" i="8" s="1"/>
  <c r="AH189" i="8"/>
  <c r="AM189" i="8" s="1"/>
  <c r="AG189" i="8"/>
  <c r="AL189" i="8" s="1"/>
  <c r="AJ188" i="8"/>
  <c r="AO188" i="8" s="1"/>
  <c r="AI188" i="8"/>
  <c r="AN188" i="8" s="1"/>
  <c r="AH188" i="8"/>
  <c r="AM188" i="8" s="1"/>
  <c r="AG188" i="8"/>
  <c r="AL188" i="8" s="1"/>
  <c r="AJ187" i="8"/>
  <c r="AO187" i="8" s="1"/>
  <c r="AI187" i="8"/>
  <c r="AN187" i="8" s="1"/>
  <c r="AH187" i="8"/>
  <c r="AM187" i="8" s="1"/>
  <c r="AG187" i="8"/>
  <c r="AL187" i="8" s="1"/>
  <c r="AJ186" i="8"/>
  <c r="AO186" i="8" s="1"/>
  <c r="AI186" i="8"/>
  <c r="AN186" i="8" s="1"/>
  <c r="AH186" i="8"/>
  <c r="AM186" i="8" s="1"/>
  <c r="AG186" i="8"/>
  <c r="AL186" i="8" s="1"/>
  <c r="AJ185" i="8"/>
  <c r="AO185" i="8" s="1"/>
  <c r="AI185" i="8"/>
  <c r="AN185" i="8" s="1"/>
  <c r="AH185" i="8"/>
  <c r="AM185" i="8" s="1"/>
  <c r="AG185" i="8"/>
  <c r="AL185" i="8" s="1"/>
  <c r="AM184" i="8"/>
  <c r="AJ184" i="8"/>
  <c r="AO184" i="8" s="1"/>
  <c r="AI184" i="8"/>
  <c r="AN184" i="8" s="1"/>
  <c r="AH184" i="8"/>
  <c r="AG184" i="8"/>
  <c r="AL184" i="8" s="1"/>
  <c r="AJ183" i="8"/>
  <c r="AO183" i="8" s="1"/>
  <c r="AI183" i="8"/>
  <c r="AN183" i="8" s="1"/>
  <c r="AH183" i="8"/>
  <c r="AM183" i="8" s="1"/>
  <c r="AG183" i="8"/>
  <c r="AL183" i="8" s="1"/>
  <c r="AJ182" i="8"/>
  <c r="AO182" i="8" s="1"/>
  <c r="AI182" i="8"/>
  <c r="AN182" i="8" s="1"/>
  <c r="AH182" i="8"/>
  <c r="AM182" i="8" s="1"/>
  <c r="AG182" i="8"/>
  <c r="AL182" i="8" s="1"/>
  <c r="AJ181" i="8"/>
  <c r="AO181" i="8" s="1"/>
  <c r="AI181" i="8"/>
  <c r="AN181" i="8" s="1"/>
  <c r="AH181" i="8"/>
  <c r="AM181" i="8" s="1"/>
  <c r="AG181" i="8"/>
  <c r="AL181" i="8" s="1"/>
  <c r="AJ180" i="8"/>
  <c r="AO180" i="8" s="1"/>
  <c r="AI180" i="8"/>
  <c r="AN180" i="8" s="1"/>
  <c r="AH180" i="8"/>
  <c r="AM180" i="8" s="1"/>
  <c r="AG180" i="8"/>
  <c r="AL180" i="8" s="1"/>
  <c r="AJ179" i="8"/>
  <c r="AO179" i="8" s="1"/>
  <c r="AI179" i="8"/>
  <c r="AN179" i="8" s="1"/>
  <c r="AH179" i="8"/>
  <c r="AM179" i="8" s="1"/>
  <c r="AG179" i="8"/>
  <c r="AL179" i="8" s="1"/>
  <c r="AJ178" i="8"/>
  <c r="AO178" i="8" s="1"/>
  <c r="AI178" i="8"/>
  <c r="AN178" i="8" s="1"/>
  <c r="AH178" i="8"/>
  <c r="AM178" i="8" s="1"/>
  <c r="AG178" i="8"/>
  <c r="AL178" i="8" s="1"/>
  <c r="AM177" i="8"/>
  <c r="AJ177" i="8"/>
  <c r="AO177" i="8" s="1"/>
  <c r="AI177" i="8"/>
  <c r="AN177" i="8" s="1"/>
  <c r="AH177" i="8"/>
  <c r="AG177" i="8"/>
  <c r="AL177" i="8" s="1"/>
  <c r="AJ176" i="8"/>
  <c r="AO176" i="8" s="1"/>
  <c r="AI176" i="8"/>
  <c r="AN176" i="8" s="1"/>
  <c r="AH176" i="8"/>
  <c r="AM176" i="8" s="1"/>
  <c r="AG176" i="8"/>
  <c r="AL176" i="8" s="1"/>
  <c r="AJ175" i="8"/>
  <c r="AO175" i="8" s="1"/>
  <c r="AI175" i="8"/>
  <c r="AN175" i="8" s="1"/>
  <c r="AH175" i="8"/>
  <c r="AM175" i="8" s="1"/>
  <c r="AG175" i="8"/>
  <c r="AL175" i="8" s="1"/>
  <c r="AJ174" i="8"/>
  <c r="AO174" i="8" s="1"/>
  <c r="AI174" i="8"/>
  <c r="AN174" i="8" s="1"/>
  <c r="AH174" i="8"/>
  <c r="AM174" i="8" s="1"/>
  <c r="AG174" i="8"/>
  <c r="AL174" i="8" s="1"/>
  <c r="AJ173" i="8"/>
  <c r="AO173" i="8" s="1"/>
  <c r="AI173" i="8"/>
  <c r="AN173" i="8" s="1"/>
  <c r="AH173" i="8"/>
  <c r="AM173" i="8" s="1"/>
  <c r="AG173" i="8"/>
  <c r="AL173" i="8" s="1"/>
  <c r="AO172" i="8"/>
  <c r="AJ172" i="8"/>
  <c r="AI172" i="8"/>
  <c r="AN172" i="8" s="1"/>
  <c r="AH172" i="8"/>
  <c r="AM172" i="8" s="1"/>
  <c r="AG172" i="8"/>
  <c r="AL172" i="8" s="1"/>
  <c r="AJ171" i="8"/>
  <c r="AO171" i="8" s="1"/>
  <c r="AI171" i="8"/>
  <c r="AN171" i="8" s="1"/>
  <c r="AH171" i="8"/>
  <c r="AM171" i="8" s="1"/>
  <c r="AG171" i="8"/>
  <c r="AL171" i="8" s="1"/>
  <c r="AJ170" i="8"/>
  <c r="AO170" i="8" s="1"/>
  <c r="AI170" i="8"/>
  <c r="AN170" i="8" s="1"/>
  <c r="AH170" i="8"/>
  <c r="AM170" i="8" s="1"/>
  <c r="AG170" i="8"/>
  <c r="AL170" i="8" s="1"/>
  <c r="AO169" i="8"/>
  <c r="AM169" i="8"/>
  <c r="AJ169" i="8"/>
  <c r="AI169" i="8"/>
  <c r="AN169" i="8" s="1"/>
  <c r="AH169" i="8"/>
  <c r="AG169" i="8"/>
  <c r="AL169" i="8" s="1"/>
  <c r="AM168" i="8"/>
  <c r="AJ168" i="8"/>
  <c r="AO168" i="8" s="1"/>
  <c r="AI168" i="8"/>
  <c r="AN168" i="8" s="1"/>
  <c r="AH168" i="8"/>
  <c r="AG168" i="8"/>
  <c r="AL168" i="8" s="1"/>
  <c r="AJ167" i="8"/>
  <c r="AO167" i="8" s="1"/>
  <c r="AI167" i="8"/>
  <c r="AN167" i="8" s="1"/>
  <c r="AH167" i="8"/>
  <c r="AM167" i="8" s="1"/>
  <c r="AG167" i="8"/>
  <c r="AL167" i="8" s="1"/>
  <c r="AJ166" i="8"/>
  <c r="AO166" i="8" s="1"/>
  <c r="AI166" i="8"/>
  <c r="AN166" i="8" s="1"/>
  <c r="AH166" i="8"/>
  <c r="AM166" i="8" s="1"/>
  <c r="AG166" i="8"/>
  <c r="AL166" i="8" s="1"/>
  <c r="AJ165" i="8"/>
  <c r="AO165" i="8" s="1"/>
  <c r="AI165" i="8"/>
  <c r="AN165" i="8" s="1"/>
  <c r="AH165" i="8"/>
  <c r="AM165" i="8" s="1"/>
  <c r="AG165" i="8"/>
  <c r="AL165" i="8" s="1"/>
  <c r="AL164" i="8"/>
  <c r="AJ164" i="8"/>
  <c r="AO164" i="8" s="1"/>
  <c r="AI164" i="8"/>
  <c r="AN164" i="8" s="1"/>
  <c r="AH164" i="8"/>
  <c r="AM164" i="8" s="1"/>
  <c r="AG164" i="8"/>
  <c r="AJ163" i="8"/>
  <c r="AO163" i="8" s="1"/>
  <c r="AI163" i="8"/>
  <c r="AN163" i="8" s="1"/>
  <c r="AH163" i="8"/>
  <c r="AM163" i="8" s="1"/>
  <c r="AG163" i="8"/>
  <c r="AL163" i="8" s="1"/>
  <c r="AJ162" i="8"/>
  <c r="AO162" i="8" s="1"/>
  <c r="AI162" i="8"/>
  <c r="AN162" i="8" s="1"/>
  <c r="AH162" i="8"/>
  <c r="AM162" i="8" s="1"/>
  <c r="AG162" i="8"/>
  <c r="AL162" i="8" s="1"/>
  <c r="AL161" i="8"/>
  <c r="AJ161" i="8"/>
  <c r="AO161" i="8" s="1"/>
  <c r="AI161" i="8"/>
  <c r="AN161" i="8" s="1"/>
  <c r="AH161" i="8"/>
  <c r="AM161" i="8" s="1"/>
  <c r="AG161" i="8"/>
  <c r="AJ160" i="8"/>
  <c r="AO160" i="8" s="1"/>
  <c r="AI160" i="8"/>
  <c r="AN160" i="8" s="1"/>
  <c r="AH160" i="8"/>
  <c r="AM160" i="8" s="1"/>
  <c r="AG160" i="8"/>
  <c r="AL160" i="8" s="1"/>
  <c r="AJ159" i="8"/>
  <c r="AO159" i="8" s="1"/>
  <c r="AI159" i="8"/>
  <c r="AN159" i="8" s="1"/>
  <c r="AH159" i="8"/>
  <c r="AM159" i="8" s="1"/>
  <c r="AG159" i="8"/>
  <c r="AL159" i="8" s="1"/>
  <c r="AJ158" i="8"/>
  <c r="AO158" i="8" s="1"/>
  <c r="AI158" i="8"/>
  <c r="AN158" i="8" s="1"/>
  <c r="AH158" i="8"/>
  <c r="AM158" i="8" s="1"/>
  <c r="AG158" i="8"/>
  <c r="AL158" i="8" s="1"/>
  <c r="AJ157" i="8"/>
  <c r="AO157" i="8" s="1"/>
  <c r="AI157" i="8"/>
  <c r="AN157" i="8" s="1"/>
  <c r="AH157" i="8"/>
  <c r="AM157" i="8" s="1"/>
  <c r="AG157" i="8"/>
  <c r="AL157" i="8" s="1"/>
  <c r="AJ156" i="8"/>
  <c r="AO156" i="8" s="1"/>
  <c r="AI156" i="8"/>
  <c r="AN156" i="8" s="1"/>
  <c r="AH156" i="8"/>
  <c r="AM156" i="8" s="1"/>
  <c r="AG156" i="8"/>
  <c r="AL156" i="8" s="1"/>
  <c r="AJ155" i="8"/>
  <c r="AO155" i="8" s="1"/>
  <c r="AI155" i="8"/>
  <c r="AN155" i="8" s="1"/>
  <c r="AH155" i="8"/>
  <c r="AM155" i="8" s="1"/>
  <c r="AG155" i="8"/>
  <c r="AL155" i="8" s="1"/>
  <c r="AL154" i="8"/>
  <c r="AJ154" i="8"/>
  <c r="AO154" i="8" s="1"/>
  <c r="AI154" i="8"/>
  <c r="AN154" i="8" s="1"/>
  <c r="AH154" i="8"/>
  <c r="AM154" i="8" s="1"/>
  <c r="AG154" i="8"/>
  <c r="AJ153" i="8"/>
  <c r="AO153" i="8" s="1"/>
  <c r="AI153" i="8"/>
  <c r="AN153" i="8" s="1"/>
  <c r="AH153" i="8"/>
  <c r="AM153" i="8" s="1"/>
  <c r="AG153" i="8"/>
  <c r="AL153" i="8" s="1"/>
  <c r="AJ152" i="8"/>
  <c r="AO152" i="8" s="1"/>
  <c r="AI152" i="8"/>
  <c r="AN152" i="8" s="1"/>
  <c r="AH152" i="8"/>
  <c r="AM152" i="8" s="1"/>
  <c r="AG152" i="8"/>
  <c r="AL152" i="8" s="1"/>
  <c r="AL151" i="8"/>
  <c r="AJ151" i="8"/>
  <c r="AO151" i="8" s="1"/>
  <c r="AI151" i="8"/>
  <c r="AN151" i="8" s="1"/>
  <c r="AH151" i="8"/>
  <c r="AM151" i="8" s="1"/>
  <c r="AG151" i="8"/>
  <c r="AJ150" i="8"/>
  <c r="AO150" i="8" s="1"/>
  <c r="AI150" i="8"/>
  <c r="AN150" i="8" s="1"/>
  <c r="AH150" i="8"/>
  <c r="AM150" i="8" s="1"/>
  <c r="AG150" i="8"/>
  <c r="AL150" i="8" s="1"/>
  <c r="AN149" i="8"/>
  <c r="AJ149" i="8"/>
  <c r="AO149" i="8" s="1"/>
  <c r="AI149" i="8"/>
  <c r="AH149" i="8"/>
  <c r="AM149" i="8" s="1"/>
  <c r="AG149" i="8"/>
  <c r="AL149" i="8" s="1"/>
  <c r="AJ148" i="8"/>
  <c r="AO148" i="8" s="1"/>
  <c r="AI148" i="8"/>
  <c r="AN148" i="8" s="1"/>
  <c r="AH148" i="8"/>
  <c r="AM148" i="8" s="1"/>
  <c r="AG148" i="8"/>
  <c r="AL148" i="8" s="1"/>
  <c r="AJ147" i="8"/>
  <c r="AO147" i="8" s="1"/>
  <c r="AI147" i="8"/>
  <c r="AN147" i="8" s="1"/>
  <c r="AH147" i="8"/>
  <c r="AM147" i="8" s="1"/>
  <c r="AG147" i="8"/>
  <c r="AL147" i="8" s="1"/>
  <c r="AL146" i="8"/>
  <c r="AJ146" i="8"/>
  <c r="AO146" i="8" s="1"/>
  <c r="AI146" i="8"/>
  <c r="AN146" i="8" s="1"/>
  <c r="AH146" i="8"/>
  <c r="AM146" i="8" s="1"/>
  <c r="AG146" i="8"/>
  <c r="AJ145" i="8"/>
  <c r="AO145" i="8" s="1"/>
  <c r="AI145" i="8"/>
  <c r="AN145" i="8" s="1"/>
  <c r="AH145" i="8"/>
  <c r="AM145" i="8" s="1"/>
  <c r="AG145" i="8"/>
  <c r="AL145" i="8" s="1"/>
  <c r="AJ144" i="8"/>
  <c r="AO144" i="8" s="1"/>
  <c r="AI144" i="8"/>
  <c r="AN144" i="8" s="1"/>
  <c r="AH144" i="8"/>
  <c r="AM144" i="8" s="1"/>
  <c r="AG144" i="8"/>
  <c r="AL144" i="8" s="1"/>
  <c r="AJ143" i="8"/>
  <c r="AO143" i="8" s="1"/>
  <c r="AI143" i="8"/>
  <c r="AN143" i="8" s="1"/>
  <c r="AH143" i="8"/>
  <c r="AM143" i="8" s="1"/>
  <c r="AG143" i="8"/>
  <c r="AL143" i="8" s="1"/>
  <c r="AJ142" i="8"/>
  <c r="AO142" i="8" s="1"/>
  <c r="AI142" i="8"/>
  <c r="AN142" i="8" s="1"/>
  <c r="AH142" i="8"/>
  <c r="AM142" i="8" s="1"/>
  <c r="AG142" i="8"/>
  <c r="AL142" i="8" s="1"/>
  <c r="AJ141" i="8"/>
  <c r="AO141" i="8" s="1"/>
  <c r="AI141" i="8"/>
  <c r="AN141" i="8" s="1"/>
  <c r="AH141" i="8"/>
  <c r="AM141" i="8" s="1"/>
  <c r="AG141" i="8"/>
  <c r="AL141" i="8" s="1"/>
  <c r="AJ140" i="8"/>
  <c r="AO140" i="8" s="1"/>
  <c r="AI140" i="8"/>
  <c r="AN140" i="8" s="1"/>
  <c r="AH140" i="8"/>
  <c r="AM140" i="8" s="1"/>
  <c r="AG140" i="8"/>
  <c r="AL140" i="8" s="1"/>
  <c r="AJ139" i="8"/>
  <c r="AO139" i="8" s="1"/>
  <c r="AI139" i="8"/>
  <c r="AN139" i="8" s="1"/>
  <c r="AH139" i="8"/>
  <c r="AM139" i="8" s="1"/>
  <c r="AG139" i="8"/>
  <c r="AL139" i="8" s="1"/>
  <c r="AL138" i="8"/>
  <c r="AJ138" i="8"/>
  <c r="AO138" i="8" s="1"/>
  <c r="AI138" i="8"/>
  <c r="AN138" i="8" s="1"/>
  <c r="AH138" i="8"/>
  <c r="AM138" i="8" s="1"/>
  <c r="AG138" i="8"/>
  <c r="AJ137" i="8"/>
  <c r="AO137" i="8" s="1"/>
  <c r="AI137" i="8"/>
  <c r="AN137" i="8" s="1"/>
  <c r="AH137" i="8"/>
  <c r="AM137" i="8" s="1"/>
  <c r="AG137" i="8"/>
  <c r="AL137" i="8" s="1"/>
  <c r="AJ136" i="8"/>
  <c r="AO136" i="8" s="1"/>
  <c r="AI136" i="8"/>
  <c r="AN136" i="8" s="1"/>
  <c r="AH136" i="8"/>
  <c r="AM136" i="8" s="1"/>
  <c r="AG136" i="8"/>
  <c r="AL136" i="8" s="1"/>
  <c r="AJ135" i="8"/>
  <c r="AO135" i="8" s="1"/>
  <c r="AI135" i="8"/>
  <c r="AN135" i="8" s="1"/>
  <c r="AH135" i="8"/>
  <c r="AM135" i="8" s="1"/>
  <c r="AG135" i="8"/>
  <c r="AL135" i="8" s="1"/>
  <c r="AJ134" i="8"/>
  <c r="AO134" i="8" s="1"/>
  <c r="AI134" i="8"/>
  <c r="AN134" i="8" s="1"/>
  <c r="AH134" i="8"/>
  <c r="AM134" i="8" s="1"/>
  <c r="AG134" i="8"/>
  <c r="AL134" i="8" s="1"/>
  <c r="AJ133" i="8"/>
  <c r="AO133" i="8" s="1"/>
  <c r="AI133" i="8"/>
  <c r="AN133" i="8" s="1"/>
  <c r="AH133" i="8"/>
  <c r="AM133" i="8" s="1"/>
  <c r="AG133" i="8"/>
  <c r="AL133" i="8" s="1"/>
  <c r="AJ132" i="8"/>
  <c r="AO132" i="8" s="1"/>
  <c r="AI132" i="8"/>
  <c r="AN132" i="8" s="1"/>
  <c r="AH132" i="8"/>
  <c r="AM132" i="8" s="1"/>
  <c r="AG132" i="8"/>
  <c r="AL132" i="8" s="1"/>
  <c r="AM131" i="8"/>
  <c r="AJ131" i="8"/>
  <c r="AO131" i="8" s="1"/>
  <c r="AI131" i="8"/>
  <c r="AN131" i="8" s="1"/>
  <c r="AH131" i="8"/>
  <c r="AG131" i="8"/>
  <c r="AL131" i="8" s="1"/>
  <c r="AJ130" i="8"/>
  <c r="AO130" i="8" s="1"/>
  <c r="AI130" i="8"/>
  <c r="AN130" i="8" s="1"/>
  <c r="AH130" i="8"/>
  <c r="AM130" i="8" s="1"/>
  <c r="AG130" i="8"/>
  <c r="AL130" i="8" s="1"/>
  <c r="AJ129" i="8"/>
  <c r="AO129" i="8" s="1"/>
  <c r="AI129" i="8"/>
  <c r="AN129" i="8" s="1"/>
  <c r="AH129" i="8"/>
  <c r="AM129" i="8" s="1"/>
  <c r="AG129" i="8"/>
  <c r="AL129" i="8" s="1"/>
  <c r="AJ128" i="8"/>
  <c r="AO128" i="8" s="1"/>
  <c r="AI128" i="8"/>
  <c r="AN128" i="8" s="1"/>
  <c r="AH128" i="8"/>
  <c r="AM128" i="8" s="1"/>
  <c r="AG128" i="8"/>
  <c r="AL128" i="8" s="1"/>
  <c r="AJ127" i="8"/>
  <c r="AO127" i="8" s="1"/>
  <c r="AI127" i="8"/>
  <c r="AN127" i="8" s="1"/>
  <c r="AH127" i="8"/>
  <c r="AM127" i="8" s="1"/>
  <c r="AG127" i="8"/>
  <c r="AL127" i="8" s="1"/>
  <c r="AO126" i="8"/>
  <c r="AM126" i="8"/>
  <c r="AJ126" i="8"/>
  <c r="AI126" i="8"/>
  <c r="AN126" i="8" s="1"/>
  <c r="AH126" i="8"/>
  <c r="AG126" i="8"/>
  <c r="AL126" i="8" s="1"/>
  <c r="AJ125" i="8"/>
  <c r="AO125" i="8" s="1"/>
  <c r="AI125" i="8"/>
  <c r="AN125" i="8" s="1"/>
  <c r="AH125" i="8"/>
  <c r="AM125" i="8" s="1"/>
  <c r="AG125" i="8"/>
  <c r="AL125" i="8" s="1"/>
  <c r="AJ124" i="8"/>
  <c r="AO124" i="8" s="1"/>
  <c r="AI124" i="8"/>
  <c r="AN124" i="8" s="1"/>
  <c r="AH124" i="8"/>
  <c r="AM124" i="8" s="1"/>
  <c r="AG124" i="8"/>
  <c r="AL124" i="8" s="1"/>
  <c r="AM123" i="8"/>
  <c r="AJ123" i="8"/>
  <c r="AO123" i="8" s="1"/>
  <c r="AI123" i="8"/>
  <c r="AN123" i="8" s="1"/>
  <c r="AH123" i="8"/>
  <c r="AG123" i="8"/>
  <c r="AL123" i="8" s="1"/>
  <c r="AJ122" i="8"/>
  <c r="AO122" i="8" s="1"/>
  <c r="AI122" i="8"/>
  <c r="AN122" i="8" s="1"/>
  <c r="AH122" i="8"/>
  <c r="AM122" i="8" s="1"/>
  <c r="AG122" i="8"/>
  <c r="AL122" i="8" s="1"/>
  <c r="AJ121" i="8"/>
  <c r="AO121" i="8" s="1"/>
  <c r="AI121" i="8"/>
  <c r="AN121" i="8" s="1"/>
  <c r="AH121" i="8"/>
  <c r="AM121" i="8" s="1"/>
  <c r="AG121" i="8"/>
  <c r="AL121" i="8" s="1"/>
  <c r="AJ120" i="8"/>
  <c r="AO120" i="8" s="1"/>
  <c r="AI120" i="8"/>
  <c r="AN120" i="8" s="1"/>
  <c r="AH120" i="8"/>
  <c r="AM120" i="8" s="1"/>
  <c r="AG120" i="8"/>
  <c r="AL120" i="8" s="1"/>
  <c r="AO119" i="8"/>
  <c r="AN119" i="8"/>
  <c r="AJ119" i="8"/>
  <c r="AI119" i="8"/>
  <c r="AH119" i="8"/>
  <c r="AM119" i="8" s="1"/>
  <c r="AG119" i="8"/>
  <c r="AL119" i="8" s="1"/>
  <c r="AM118" i="8"/>
  <c r="AJ118" i="8"/>
  <c r="AO118" i="8" s="1"/>
  <c r="AI118" i="8"/>
  <c r="AN118" i="8" s="1"/>
  <c r="AH118" i="8"/>
  <c r="AG118" i="8"/>
  <c r="AL118" i="8" s="1"/>
  <c r="AJ117" i="8"/>
  <c r="AO117" i="8" s="1"/>
  <c r="AI117" i="8"/>
  <c r="AN117" i="8" s="1"/>
  <c r="AH117" i="8"/>
  <c r="AM117" i="8" s="1"/>
  <c r="AG117" i="8"/>
  <c r="AL117" i="8" s="1"/>
  <c r="AJ116" i="8"/>
  <c r="AO116" i="8" s="1"/>
  <c r="AI116" i="8"/>
  <c r="AN116" i="8" s="1"/>
  <c r="AH116" i="8"/>
  <c r="AM116" i="8" s="1"/>
  <c r="AG116" i="8"/>
  <c r="AL116" i="8" s="1"/>
  <c r="AJ115" i="8"/>
  <c r="AO115" i="8" s="1"/>
  <c r="AI115" i="8"/>
  <c r="AN115" i="8" s="1"/>
  <c r="AH115" i="8"/>
  <c r="AM115" i="8" s="1"/>
  <c r="AG115" i="8"/>
  <c r="AL115" i="8" s="1"/>
  <c r="AJ114" i="8"/>
  <c r="AO114" i="8" s="1"/>
  <c r="AI114" i="8"/>
  <c r="AN114" i="8" s="1"/>
  <c r="AH114" i="8"/>
  <c r="AM114" i="8" s="1"/>
  <c r="AG114" i="8"/>
  <c r="AL114" i="8" s="1"/>
  <c r="AJ113" i="8"/>
  <c r="AO113" i="8" s="1"/>
  <c r="AI113" i="8"/>
  <c r="AN113" i="8" s="1"/>
  <c r="AH113" i="8"/>
  <c r="AM113" i="8" s="1"/>
  <c r="AG113" i="8"/>
  <c r="AL113" i="8" s="1"/>
  <c r="AJ112" i="8"/>
  <c r="AO112" i="8" s="1"/>
  <c r="AI112" i="8"/>
  <c r="AN112" i="8" s="1"/>
  <c r="AH112" i="8"/>
  <c r="AM112" i="8" s="1"/>
  <c r="AG112" i="8"/>
  <c r="AL112" i="8" s="1"/>
  <c r="AO111" i="8"/>
  <c r="AN111" i="8"/>
  <c r="AJ111" i="8"/>
  <c r="AI111" i="8"/>
  <c r="AH111" i="8"/>
  <c r="AM111" i="8" s="1"/>
  <c r="AG111" i="8"/>
  <c r="AL111" i="8" s="1"/>
  <c r="AJ110" i="8"/>
  <c r="AO110" i="8" s="1"/>
  <c r="AI110" i="8"/>
  <c r="AN110" i="8" s="1"/>
  <c r="AH110" i="8"/>
  <c r="AM110" i="8" s="1"/>
  <c r="AG110" i="8"/>
  <c r="AL110" i="8" s="1"/>
  <c r="AJ109" i="8"/>
  <c r="AO109" i="8" s="1"/>
  <c r="AI109" i="8"/>
  <c r="AN109" i="8" s="1"/>
  <c r="AH109" i="8"/>
  <c r="AM109" i="8" s="1"/>
  <c r="AG109" i="8"/>
  <c r="AL109" i="8" s="1"/>
  <c r="AO108" i="8"/>
  <c r="AJ108" i="8"/>
  <c r="AI108" i="8"/>
  <c r="AN108" i="8" s="1"/>
  <c r="AH108" i="8"/>
  <c r="AM108" i="8" s="1"/>
  <c r="AG108" i="8"/>
  <c r="AL108" i="8" s="1"/>
  <c r="AJ107" i="8"/>
  <c r="AO107" i="8" s="1"/>
  <c r="AI107" i="8"/>
  <c r="AN107" i="8" s="1"/>
  <c r="AH107" i="8"/>
  <c r="AM107" i="8" s="1"/>
  <c r="AG107" i="8"/>
  <c r="AL107" i="8" s="1"/>
  <c r="AJ106" i="8"/>
  <c r="AO106" i="8" s="1"/>
  <c r="AI106" i="8"/>
  <c r="AN106" i="8" s="1"/>
  <c r="AH106" i="8"/>
  <c r="AM106" i="8" s="1"/>
  <c r="AG106" i="8"/>
  <c r="AL106" i="8" s="1"/>
  <c r="AN105" i="8"/>
  <c r="AM105" i="8"/>
  <c r="AJ105" i="8"/>
  <c r="AO105" i="8" s="1"/>
  <c r="AI105" i="8"/>
  <c r="AH105" i="8"/>
  <c r="AG105" i="8"/>
  <c r="AL105" i="8" s="1"/>
  <c r="AM104" i="8"/>
  <c r="AJ104" i="8"/>
  <c r="AO104" i="8" s="1"/>
  <c r="AI104" i="8"/>
  <c r="AN104" i="8" s="1"/>
  <c r="AH104" i="8"/>
  <c r="AG104" i="8"/>
  <c r="AL104" i="8" s="1"/>
  <c r="AJ103" i="8"/>
  <c r="AO103" i="8" s="1"/>
  <c r="AI103" i="8"/>
  <c r="AN103" i="8" s="1"/>
  <c r="AH103" i="8"/>
  <c r="AM103" i="8" s="1"/>
  <c r="AG103" i="8"/>
  <c r="AL103" i="8" s="1"/>
  <c r="AO102" i="8"/>
  <c r="AJ102" i="8"/>
  <c r="AI102" i="8"/>
  <c r="AN102" i="8" s="1"/>
  <c r="AH102" i="8"/>
  <c r="AM102" i="8" s="1"/>
  <c r="AG102" i="8"/>
  <c r="AL102" i="8" s="1"/>
  <c r="AJ101" i="8"/>
  <c r="AO101" i="8" s="1"/>
  <c r="AI101" i="8"/>
  <c r="AN101" i="8" s="1"/>
  <c r="AH101" i="8"/>
  <c r="AM101" i="8" s="1"/>
  <c r="AG101" i="8"/>
  <c r="AL101" i="8" s="1"/>
  <c r="AJ100" i="8"/>
  <c r="AO100" i="8" s="1"/>
  <c r="AI100" i="8"/>
  <c r="AN100" i="8" s="1"/>
  <c r="AH100" i="8"/>
  <c r="AM100" i="8" s="1"/>
  <c r="AG100" i="8"/>
  <c r="AL100" i="8" s="1"/>
  <c r="AJ99" i="8"/>
  <c r="AO99" i="8" s="1"/>
  <c r="AI99" i="8"/>
  <c r="AN99" i="8" s="1"/>
  <c r="AH99" i="8"/>
  <c r="AM99" i="8" s="1"/>
  <c r="AG99" i="8"/>
  <c r="AL99" i="8" s="1"/>
  <c r="AJ98" i="8"/>
  <c r="AO98" i="8" s="1"/>
  <c r="AI98" i="8"/>
  <c r="AN98" i="8" s="1"/>
  <c r="AH98" i="8"/>
  <c r="AM98" i="8" s="1"/>
  <c r="AG98" i="8"/>
  <c r="AL98" i="8" s="1"/>
  <c r="AN97" i="8"/>
  <c r="AL97" i="8"/>
  <c r="AJ97" i="8"/>
  <c r="AO97" i="8" s="1"/>
  <c r="AI97" i="8"/>
  <c r="AH97" i="8"/>
  <c r="AM97" i="8" s="1"/>
  <c r="AG97" i="8"/>
  <c r="AM96" i="8"/>
  <c r="AJ96" i="8"/>
  <c r="AO96" i="8" s="1"/>
  <c r="AI96" i="8"/>
  <c r="AN96" i="8" s="1"/>
  <c r="AH96" i="8"/>
  <c r="AG96" i="8"/>
  <c r="AL96" i="8" s="1"/>
  <c r="AJ95" i="8"/>
  <c r="AO95" i="8" s="1"/>
  <c r="AI95" i="8"/>
  <c r="AN95" i="8" s="1"/>
  <c r="AH95" i="8"/>
  <c r="AM95" i="8" s="1"/>
  <c r="AG95" i="8"/>
  <c r="AL95" i="8" s="1"/>
  <c r="AJ94" i="8"/>
  <c r="AO94" i="8" s="1"/>
  <c r="AI94" i="8"/>
  <c r="AN94" i="8" s="1"/>
  <c r="AH94" i="8"/>
  <c r="AM94" i="8" s="1"/>
  <c r="AG94" i="8"/>
  <c r="AL94" i="8" s="1"/>
  <c r="AJ93" i="8"/>
  <c r="AO93" i="8" s="1"/>
  <c r="AI93" i="8"/>
  <c r="AN93" i="8" s="1"/>
  <c r="AH93" i="8"/>
  <c r="AM93" i="8" s="1"/>
  <c r="AG93" i="8"/>
  <c r="AL93" i="8" s="1"/>
  <c r="AJ92" i="8"/>
  <c r="AO92" i="8" s="1"/>
  <c r="AI92" i="8"/>
  <c r="AN92" i="8" s="1"/>
  <c r="AH92" i="8"/>
  <c r="AM92" i="8" s="1"/>
  <c r="AG92" i="8"/>
  <c r="AL92" i="8" s="1"/>
  <c r="AM91" i="8"/>
  <c r="AJ91" i="8"/>
  <c r="AO91" i="8" s="1"/>
  <c r="AI91" i="8"/>
  <c r="AN91" i="8" s="1"/>
  <c r="AH91" i="8"/>
  <c r="AG91" i="8"/>
  <c r="AL91" i="8" s="1"/>
  <c r="AL90" i="8"/>
  <c r="AJ90" i="8"/>
  <c r="AO90" i="8" s="1"/>
  <c r="AI90" i="8"/>
  <c r="AN90" i="8" s="1"/>
  <c r="AH90" i="8"/>
  <c r="AM90" i="8" s="1"/>
  <c r="AG90" i="8"/>
  <c r="AJ89" i="8"/>
  <c r="AO89" i="8" s="1"/>
  <c r="AI89" i="8"/>
  <c r="AN89" i="8" s="1"/>
  <c r="AH89" i="8"/>
  <c r="AM89" i="8" s="1"/>
  <c r="AG89" i="8"/>
  <c r="AL89" i="8" s="1"/>
  <c r="AN88" i="8"/>
  <c r="AJ88" i="8"/>
  <c r="AO88" i="8" s="1"/>
  <c r="AI88" i="8"/>
  <c r="AH88" i="8"/>
  <c r="AM88" i="8" s="1"/>
  <c r="AG88" i="8"/>
  <c r="AL88" i="8" s="1"/>
  <c r="AJ87" i="8"/>
  <c r="AO87" i="8" s="1"/>
  <c r="AI87" i="8"/>
  <c r="AN87" i="8" s="1"/>
  <c r="AH87" i="8"/>
  <c r="AM87" i="8" s="1"/>
  <c r="AG87" i="8"/>
  <c r="AL87" i="8" s="1"/>
  <c r="AJ86" i="8"/>
  <c r="AO86" i="8" s="1"/>
  <c r="AI86" i="8"/>
  <c r="AN86" i="8" s="1"/>
  <c r="AH86" i="8"/>
  <c r="AM86" i="8" s="1"/>
  <c r="AG86" i="8"/>
  <c r="AL86" i="8" s="1"/>
  <c r="AJ85" i="8"/>
  <c r="AO85" i="8" s="1"/>
  <c r="AI85" i="8"/>
  <c r="AN85" i="8" s="1"/>
  <c r="AH85" i="8"/>
  <c r="AM85" i="8" s="1"/>
  <c r="AG85" i="8"/>
  <c r="AL85" i="8" s="1"/>
  <c r="AJ84" i="8"/>
  <c r="AO84" i="8" s="1"/>
  <c r="AI84" i="8"/>
  <c r="AN84" i="8" s="1"/>
  <c r="AH84" i="8"/>
  <c r="AM84" i="8" s="1"/>
  <c r="AG84" i="8"/>
  <c r="AL84" i="8" s="1"/>
  <c r="AJ83" i="8"/>
  <c r="AO83" i="8" s="1"/>
  <c r="AI83" i="8"/>
  <c r="AN83" i="8" s="1"/>
  <c r="AH83" i="8"/>
  <c r="AM83" i="8" s="1"/>
  <c r="AG83" i="8"/>
  <c r="AL83" i="8" s="1"/>
  <c r="AN82" i="8"/>
  <c r="AL82" i="8"/>
  <c r="AJ82" i="8"/>
  <c r="AO82" i="8" s="1"/>
  <c r="AI82" i="8"/>
  <c r="AH82" i="8"/>
  <c r="AM82" i="8" s="1"/>
  <c r="AG82" i="8"/>
  <c r="AJ81" i="8"/>
  <c r="AO81" i="8" s="1"/>
  <c r="AI81" i="8"/>
  <c r="AN81" i="8" s="1"/>
  <c r="AH81" i="8"/>
  <c r="AM81" i="8" s="1"/>
  <c r="AG81" i="8"/>
  <c r="AL81" i="8" s="1"/>
  <c r="AN80" i="8"/>
  <c r="AJ80" i="8"/>
  <c r="AO80" i="8" s="1"/>
  <c r="AI80" i="8"/>
  <c r="AH80" i="8"/>
  <c r="AM80" i="8" s="1"/>
  <c r="AG80" i="8"/>
  <c r="AL80" i="8" s="1"/>
  <c r="AJ79" i="8"/>
  <c r="AO79" i="8" s="1"/>
  <c r="AI79" i="8"/>
  <c r="AN79" i="8" s="1"/>
  <c r="AH79" i="8"/>
  <c r="AM79" i="8" s="1"/>
  <c r="AG79" i="8"/>
  <c r="AL79" i="8" s="1"/>
  <c r="AJ78" i="8"/>
  <c r="AO78" i="8" s="1"/>
  <c r="AI78" i="8"/>
  <c r="AN78" i="8" s="1"/>
  <c r="AH78" i="8"/>
  <c r="AM78" i="8" s="1"/>
  <c r="AG78" i="8"/>
  <c r="AL78" i="8" s="1"/>
  <c r="AJ77" i="8"/>
  <c r="AO77" i="8" s="1"/>
  <c r="AI77" i="8"/>
  <c r="AN77" i="8" s="1"/>
  <c r="AH77" i="8"/>
  <c r="AM77" i="8" s="1"/>
  <c r="AG77" i="8"/>
  <c r="AL77" i="8" s="1"/>
  <c r="AL76" i="8"/>
  <c r="AJ76" i="8"/>
  <c r="AO76" i="8" s="1"/>
  <c r="AI76" i="8"/>
  <c r="AN76" i="8" s="1"/>
  <c r="AH76" i="8"/>
  <c r="AM76" i="8" s="1"/>
  <c r="AG76" i="8"/>
  <c r="AJ75" i="8"/>
  <c r="AO75" i="8" s="1"/>
  <c r="AI75" i="8"/>
  <c r="AN75" i="8" s="1"/>
  <c r="AH75" i="8"/>
  <c r="AM75" i="8" s="1"/>
  <c r="AG75" i="8"/>
  <c r="AL75" i="8" s="1"/>
  <c r="AN74" i="8"/>
  <c r="AL74" i="8"/>
  <c r="AJ74" i="8"/>
  <c r="AO74" i="8" s="1"/>
  <c r="AI74" i="8"/>
  <c r="AH74" i="8"/>
  <c r="AM74" i="8" s="1"/>
  <c r="AG74" i="8"/>
  <c r="AJ73" i="8"/>
  <c r="AO73" i="8" s="1"/>
  <c r="AI73" i="8"/>
  <c r="AN73" i="8" s="1"/>
  <c r="AH73" i="8"/>
  <c r="AM73" i="8" s="1"/>
  <c r="AG73" i="8"/>
  <c r="AL73" i="8" s="1"/>
  <c r="AN72" i="8"/>
  <c r="AJ72" i="8"/>
  <c r="AO72" i="8" s="1"/>
  <c r="AI72" i="8"/>
  <c r="AH72" i="8"/>
  <c r="AM72" i="8" s="1"/>
  <c r="AG72" i="8"/>
  <c r="AL72" i="8" s="1"/>
  <c r="AO71" i="8"/>
  <c r="AJ71" i="8"/>
  <c r="AI71" i="8"/>
  <c r="AN71" i="8" s="1"/>
  <c r="AH71" i="8"/>
  <c r="AM71" i="8" s="1"/>
  <c r="AG71" i="8"/>
  <c r="AL71" i="8" s="1"/>
  <c r="AJ70" i="8"/>
  <c r="AO70" i="8" s="1"/>
  <c r="AI70" i="8"/>
  <c r="AN70" i="8" s="1"/>
  <c r="AH70" i="8"/>
  <c r="AM70" i="8" s="1"/>
  <c r="AG70" i="8"/>
  <c r="AL70" i="8" s="1"/>
  <c r="AN69" i="8"/>
  <c r="AJ69" i="8"/>
  <c r="AO69" i="8" s="1"/>
  <c r="AI69" i="8"/>
  <c r="AH69" i="8"/>
  <c r="AM69" i="8" s="1"/>
  <c r="AG69" i="8"/>
  <c r="AL69" i="8" s="1"/>
  <c r="AM68" i="8"/>
  <c r="AL68" i="8"/>
  <c r="AJ68" i="8"/>
  <c r="AO68" i="8" s="1"/>
  <c r="AI68" i="8"/>
  <c r="AN68" i="8" s="1"/>
  <c r="AH68" i="8"/>
  <c r="AG68" i="8"/>
  <c r="AJ65" i="8"/>
  <c r="AO65" i="8" s="1"/>
  <c r="AI65" i="8"/>
  <c r="AN65" i="8" s="1"/>
  <c r="AH65" i="8"/>
  <c r="AM65" i="8" s="1"/>
  <c r="AG65" i="8"/>
  <c r="AL65" i="8" s="1"/>
  <c r="AJ45" i="8"/>
  <c r="AO45" i="8" s="1"/>
  <c r="AI45" i="8"/>
  <c r="AN45" i="8" s="1"/>
  <c r="AH45" i="8"/>
  <c r="AM45" i="8" s="1"/>
  <c r="AG45" i="8"/>
  <c r="AL45" i="8" s="1"/>
  <c r="AJ64" i="8"/>
  <c r="AO64" i="8" s="1"/>
  <c r="AI64" i="8"/>
  <c r="AN64" i="8" s="1"/>
  <c r="AH64" i="8"/>
  <c r="AM64" i="8" s="1"/>
  <c r="AG64" i="8"/>
  <c r="AL64" i="8" s="1"/>
  <c r="AJ63" i="8"/>
  <c r="AO63" i="8" s="1"/>
  <c r="AI63" i="8"/>
  <c r="AN63" i="8" s="1"/>
  <c r="AH63" i="8"/>
  <c r="AM63" i="8" s="1"/>
  <c r="AG63" i="8"/>
  <c r="AL63" i="8" s="1"/>
  <c r="AJ49" i="8"/>
  <c r="AO49" i="8" s="1"/>
  <c r="AI49" i="8"/>
  <c r="AN49" i="8" s="1"/>
  <c r="AH49" i="8"/>
  <c r="AM49" i="8" s="1"/>
  <c r="AG49" i="8"/>
  <c r="AL49" i="8" s="1"/>
  <c r="AJ59" i="8"/>
  <c r="AO59" i="8" s="1"/>
  <c r="AI59" i="8"/>
  <c r="AN59" i="8" s="1"/>
  <c r="AH59" i="8"/>
  <c r="AM59" i="8" s="1"/>
  <c r="AG59" i="8"/>
  <c r="AL59" i="8" s="1"/>
  <c r="AN44" i="8"/>
  <c r="AJ44" i="8"/>
  <c r="AO44" i="8" s="1"/>
  <c r="AI44" i="8"/>
  <c r="AH44" i="8"/>
  <c r="AM44" i="8" s="1"/>
  <c r="AG44" i="8"/>
  <c r="AL44" i="8" s="1"/>
  <c r="AO57" i="8"/>
  <c r="AM57" i="8"/>
  <c r="AJ57" i="8"/>
  <c r="AI57" i="8"/>
  <c r="AN57" i="8" s="1"/>
  <c r="AH57" i="8"/>
  <c r="AG57" i="8"/>
  <c r="AL57" i="8" s="1"/>
  <c r="AJ52" i="8"/>
  <c r="AO52" i="8" s="1"/>
  <c r="AI52" i="8"/>
  <c r="AN52" i="8" s="1"/>
  <c r="AH52" i="8"/>
  <c r="AM52" i="8" s="1"/>
  <c r="AG52" i="8"/>
  <c r="AL52" i="8" s="1"/>
  <c r="AJ56" i="8"/>
  <c r="AO56" i="8" s="1"/>
  <c r="AI56" i="8"/>
  <c r="AN56" i="8" s="1"/>
  <c r="AH56" i="8"/>
  <c r="AM56" i="8" s="1"/>
  <c r="AG56" i="8"/>
  <c r="AL56" i="8" s="1"/>
  <c r="AJ58" i="8"/>
  <c r="AO58" i="8" s="1"/>
  <c r="AI58" i="8"/>
  <c r="AN58" i="8" s="1"/>
  <c r="AH58" i="8"/>
  <c r="AM58" i="8" s="1"/>
  <c r="AG58" i="8"/>
  <c r="AL58" i="8" s="1"/>
  <c r="AJ67" i="8"/>
  <c r="AO67" i="8" s="1"/>
  <c r="AI67" i="8"/>
  <c r="AN67" i="8" s="1"/>
  <c r="AH67" i="8"/>
  <c r="AM67" i="8" s="1"/>
  <c r="AG67" i="8"/>
  <c r="AL67" i="8" s="1"/>
  <c r="AJ66" i="8"/>
  <c r="AO66" i="8" s="1"/>
  <c r="AI66" i="8"/>
  <c r="AN66" i="8" s="1"/>
  <c r="AH66" i="8"/>
  <c r="AM66" i="8" s="1"/>
  <c r="AG66" i="8"/>
  <c r="AL66" i="8" s="1"/>
  <c r="AJ48" i="8"/>
  <c r="AO48" i="8" s="1"/>
  <c r="AI48" i="8"/>
  <c r="AN48" i="8" s="1"/>
  <c r="AH48" i="8"/>
  <c r="AM48" i="8" s="1"/>
  <c r="AG48" i="8"/>
  <c r="AL48" i="8" s="1"/>
  <c r="AJ54" i="8"/>
  <c r="AO54" i="8" s="1"/>
  <c r="AI54" i="8"/>
  <c r="AN54" i="8" s="1"/>
  <c r="AH54" i="8"/>
  <c r="AM54" i="8" s="1"/>
  <c r="AG54" i="8"/>
  <c r="AL54" i="8" s="1"/>
  <c r="AJ60" i="8"/>
  <c r="AO60" i="8" s="1"/>
  <c r="AI60" i="8"/>
  <c r="AN60" i="8" s="1"/>
  <c r="AH60" i="8"/>
  <c r="AM60" i="8" s="1"/>
  <c r="AG60" i="8"/>
  <c r="AL60" i="8" s="1"/>
  <c r="AJ47" i="8"/>
  <c r="AO47" i="8" s="1"/>
  <c r="AI47" i="8"/>
  <c r="AN47" i="8" s="1"/>
  <c r="AH47" i="8"/>
  <c r="AM47" i="8" s="1"/>
  <c r="AG47" i="8"/>
  <c r="AL47" i="8" s="1"/>
  <c r="AJ51" i="8"/>
  <c r="AO51" i="8" s="1"/>
  <c r="AI51" i="8"/>
  <c r="AN51" i="8" s="1"/>
  <c r="AH51" i="8"/>
  <c r="AM51" i="8" s="1"/>
  <c r="AG51" i="8"/>
  <c r="AL51" i="8" s="1"/>
  <c r="AO46" i="8"/>
  <c r="AJ46" i="8"/>
  <c r="AI46" i="8"/>
  <c r="AN46" i="8" s="1"/>
  <c r="AH46" i="8"/>
  <c r="AM46" i="8" s="1"/>
  <c r="AG46" i="8"/>
  <c r="AL46" i="8" s="1"/>
  <c r="AJ55" i="8"/>
  <c r="AO55" i="8" s="1"/>
  <c r="AI55" i="8"/>
  <c r="AN55" i="8" s="1"/>
  <c r="AH55" i="8"/>
  <c r="AM55" i="8" s="1"/>
  <c r="AG55" i="8"/>
  <c r="AL55" i="8" s="1"/>
  <c r="AJ61" i="8"/>
  <c r="AO61" i="8" s="1"/>
  <c r="AI61" i="8"/>
  <c r="AN61" i="8" s="1"/>
  <c r="AH61" i="8"/>
  <c r="AM61" i="8" s="1"/>
  <c r="AG61" i="8"/>
  <c r="AL61" i="8" s="1"/>
  <c r="AJ62" i="8"/>
  <c r="AO62" i="8" s="1"/>
  <c r="AI62" i="8"/>
  <c r="AN62" i="8" s="1"/>
  <c r="AH62" i="8"/>
  <c r="AM62" i="8" s="1"/>
  <c r="AG62" i="8"/>
  <c r="AL62" i="8" s="1"/>
  <c r="AJ50" i="8"/>
  <c r="AO50" i="8" s="1"/>
  <c r="AI50" i="8"/>
  <c r="AN50" i="8" s="1"/>
  <c r="AH50" i="8"/>
  <c r="AM50" i="8" s="1"/>
  <c r="AG50" i="8"/>
  <c r="AL50" i="8" s="1"/>
  <c r="AO53" i="8"/>
  <c r="AJ53" i="8"/>
  <c r="AI53" i="8"/>
  <c r="AN53" i="8" s="1"/>
  <c r="AH53" i="8"/>
  <c r="AM53" i="8" s="1"/>
  <c r="AG53" i="8"/>
  <c r="AL53" i="8" s="1"/>
  <c r="AJ43" i="8"/>
  <c r="AO43" i="8" s="1"/>
  <c r="AI43" i="8"/>
  <c r="AN43" i="8" s="1"/>
  <c r="AH43" i="8"/>
  <c r="AM43" i="8" s="1"/>
  <c r="AG43" i="8"/>
  <c r="AL43" i="8" s="1"/>
  <c r="AJ42" i="8"/>
  <c r="AO42" i="8" s="1"/>
  <c r="AI42" i="8"/>
  <c r="AN42" i="8" s="1"/>
  <c r="AH42" i="8"/>
  <c r="AM42" i="8" s="1"/>
  <c r="AG42" i="8"/>
  <c r="AL42" i="8" s="1"/>
  <c r="AO41" i="8"/>
  <c r="AJ41" i="8"/>
  <c r="AI41" i="8"/>
  <c r="AN41" i="8" s="1"/>
  <c r="AH41" i="8"/>
  <c r="AM41" i="8" s="1"/>
  <c r="AG41" i="8"/>
  <c r="AL41" i="8" s="1"/>
  <c r="AJ40" i="8"/>
  <c r="AO40" i="8" s="1"/>
  <c r="AI40" i="8"/>
  <c r="AN40" i="8" s="1"/>
  <c r="AH40" i="8"/>
  <c r="AM40" i="8" s="1"/>
  <c r="AG40" i="8"/>
  <c r="AL40" i="8" s="1"/>
  <c r="AJ39" i="8"/>
  <c r="AO39" i="8" s="1"/>
  <c r="AI39" i="8"/>
  <c r="AN39" i="8" s="1"/>
  <c r="AH39" i="8"/>
  <c r="AM39" i="8" s="1"/>
  <c r="AG39" i="8"/>
  <c r="AL39" i="8" s="1"/>
  <c r="AJ38" i="8"/>
  <c r="AO38" i="8" s="1"/>
  <c r="AI38" i="8"/>
  <c r="AN38" i="8" s="1"/>
  <c r="AH38" i="8"/>
  <c r="AM38" i="8" s="1"/>
  <c r="AG38" i="8"/>
  <c r="AL38" i="8" s="1"/>
  <c r="AJ37" i="8"/>
  <c r="AO37" i="8" s="1"/>
  <c r="AI37" i="8"/>
  <c r="AN37" i="8" s="1"/>
  <c r="AH37" i="8"/>
  <c r="AM37" i="8" s="1"/>
  <c r="AG37" i="8"/>
  <c r="AL37" i="8" s="1"/>
  <c r="AJ36" i="8"/>
  <c r="AO36" i="8" s="1"/>
  <c r="AI36" i="8"/>
  <c r="AN36" i="8" s="1"/>
  <c r="AH36" i="8"/>
  <c r="AM36" i="8" s="1"/>
  <c r="AG36" i="8"/>
  <c r="AL36" i="8" s="1"/>
  <c r="AL35" i="8"/>
  <c r="AJ35" i="8"/>
  <c r="AO35" i="8" s="1"/>
  <c r="AI35" i="8"/>
  <c r="AN35" i="8" s="1"/>
  <c r="AH35" i="8"/>
  <c r="AM35" i="8" s="1"/>
  <c r="AG35" i="8"/>
  <c r="AJ34" i="8"/>
  <c r="AO34" i="8" s="1"/>
  <c r="AI34" i="8"/>
  <c r="AN34" i="8" s="1"/>
  <c r="AH34" i="8"/>
  <c r="AM34" i="8" s="1"/>
  <c r="AG34" i="8"/>
  <c r="AL34" i="8" s="1"/>
  <c r="AJ33" i="8"/>
  <c r="AO33" i="8" s="1"/>
  <c r="AI33" i="8"/>
  <c r="AN33" i="8" s="1"/>
  <c r="AH33" i="8"/>
  <c r="AM33" i="8" s="1"/>
  <c r="AG33" i="8"/>
  <c r="AL33" i="8" s="1"/>
  <c r="AJ32" i="8"/>
  <c r="AO32" i="8" s="1"/>
  <c r="AI32" i="8"/>
  <c r="AN32" i="8" s="1"/>
  <c r="AH32" i="8"/>
  <c r="AM32" i="8" s="1"/>
  <c r="AG32" i="8"/>
  <c r="AL32" i="8" s="1"/>
  <c r="AJ31" i="8"/>
  <c r="AO31" i="8" s="1"/>
  <c r="AI31" i="8"/>
  <c r="AN31" i="8" s="1"/>
  <c r="AH31" i="8"/>
  <c r="AM31" i="8" s="1"/>
  <c r="AG31" i="8"/>
  <c r="AL31" i="8" s="1"/>
  <c r="AJ30" i="8"/>
  <c r="AO30" i="8" s="1"/>
  <c r="AI30" i="8"/>
  <c r="AN30" i="8" s="1"/>
  <c r="AH30" i="8"/>
  <c r="AM30" i="8" s="1"/>
  <c r="AG30" i="8"/>
  <c r="AL30" i="8" s="1"/>
  <c r="AJ29" i="8"/>
  <c r="AO29" i="8" s="1"/>
  <c r="AI29" i="8"/>
  <c r="AN29" i="8" s="1"/>
  <c r="AH29" i="8"/>
  <c r="AM29" i="8" s="1"/>
  <c r="AG29" i="8"/>
  <c r="AL29" i="8" s="1"/>
  <c r="AL28" i="8"/>
  <c r="AJ28" i="8"/>
  <c r="AO28" i="8" s="1"/>
  <c r="AI28" i="8"/>
  <c r="AN28" i="8" s="1"/>
  <c r="AH28" i="8"/>
  <c r="AM28" i="8" s="1"/>
  <c r="AG28" i="8"/>
  <c r="AJ27" i="8"/>
  <c r="AO27" i="8" s="1"/>
  <c r="AI27" i="8"/>
  <c r="AN27" i="8" s="1"/>
  <c r="AH27" i="8"/>
  <c r="AM27" i="8" s="1"/>
  <c r="AG27" i="8"/>
  <c r="AL27" i="8" s="1"/>
  <c r="AJ26" i="8"/>
  <c r="AO26" i="8" s="1"/>
  <c r="AI26" i="8"/>
  <c r="AN26" i="8" s="1"/>
  <c r="AH26" i="8"/>
  <c r="AM26" i="8" s="1"/>
  <c r="AG26" i="8"/>
  <c r="AL26" i="8" s="1"/>
  <c r="AJ25" i="8"/>
  <c r="AO25" i="8" s="1"/>
  <c r="AI25" i="8"/>
  <c r="AN25" i="8" s="1"/>
  <c r="AH25" i="8"/>
  <c r="AM25" i="8" s="1"/>
  <c r="AG25" i="8"/>
  <c r="AL25" i="8" s="1"/>
  <c r="AJ24" i="8"/>
  <c r="AO24" i="8" s="1"/>
  <c r="AI24" i="8"/>
  <c r="AN24" i="8" s="1"/>
  <c r="AH24" i="8"/>
  <c r="AM24" i="8" s="1"/>
  <c r="AG24" i="8"/>
  <c r="AL24" i="8" s="1"/>
  <c r="AJ23" i="8"/>
  <c r="AO23" i="8" s="1"/>
  <c r="AI23" i="8"/>
  <c r="AN23" i="8" s="1"/>
  <c r="AH23" i="8"/>
  <c r="AM23" i="8" s="1"/>
  <c r="AG23" i="8"/>
  <c r="AL23" i="8" s="1"/>
  <c r="AJ22" i="8"/>
  <c r="AO22" i="8" s="1"/>
  <c r="AI22" i="8"/>
  <c r="AN22" i="8" s="1"/>
  <c r="AH22" i="8"/>
  <c r="AM22" i="8" s="1"/>
  <c r="AG22" i="8"/>
  <c r="AL22" i="8" s="1"/>
  <c r="AJ21" i="8"/>
  <c r="AO21" i="8" s="1"/>
  <c r="AI21" i="8"/>
  <c r="AN21" i="8" s="1"/>
  <c r="AH21" i="8"/>
  <c r="AM21" i="8" s="1"/>
  <c r="AG21" i="8"/>
  <c r="AL21" i="8" s="1"/>
  <c r="AJ20" i="8"/>
  <c r="AO20" i="8" s="1"/>
  <c r="AI20" i="8"/>
  <c r="AN20" i="8" s="1"/>
  <c r="AH20" i="8"/>
  <c r="AM20" i="8" s="1"/>
  <c r="AG20" i="8"/>
  <c r="AL20" i="8" s="1"/>
  <c r="AN19" i="8"/>
  <c r="AJ19" i="8"/>
  <c r="AO19" i="8" s="1"/>
  <c r="AI19" i="8"/>
  <c r="AH19" i="8"/>
  <c r="AM19" i="8" s="1"/>
  <c r="AG19" i="8"/>
  <c r="AL19" i="8" s="1"/>
  <c r="AJ18" i="8"/>
  <c r="AO18" i="8" s="1"/>
  <c r="AI18" i="8"/>
  <c r="AN18" i="8" s="1"/>
  <c r="AH18" i="8"/>
  <c r="AM18" i="8" s="1"/>
  <c r="AG18" i="8"/>
  <c r="AL18" i="8" s="1"/>
  <c r="AJ17" i="8"/>
  <c r="AO17" i="8" s="1"/>
  <c r="AI17" i="8"/>
  <c r="AN17" i="8" s="1"/>
  <c r="AH17" i="8"/>
  <c r="AM17" i="8" s="1"/>
  <c r="AG17" i="8"/>
  <c r="AL17" i="8" s="1"/>
  <c r="AJ16" i="8"/>
  <c r="AO16" i="8" s="1"/>
  <c r="AI16" i="8"/>
  <c r="AN16" i="8" s="1"/>
  <c r="AH16" i="8"/>
  <c r="AM16" i="8" s="1"/>
  <c r="AG16" i="8"/>
  <c r="AL16" i="8" s="1"/>
  <c r="AJ15" i="8"/>
  <c r="AO15" i="8" s="1"/>
  <c r="AI15" i="8"/>
  <c r="AN15" i="8" s="1"/>
  <c r="AH15" i="8"/>
  <c r="AM15" i="8" s="1"/>
  <c r="AG15" i="8"/>
  <c r="AL15" i="8" s="1"/>
  <c r="AJ14" i="8"/>
  <c r="AO14" i="8" s="1"/>
  <c r="AI14" i="8"/>
  <c r="AN14" i="8" s="1"/>
  <c r="AH14" i="8"/>
  <c r="AM14" i="8" s="1"/>
  <c r="AG14" i="8"/>
  <c r="AL14" i="8" s="1"/>
  <c r="AL13" i="8"/>
  <c r="AJ13" i="8"/>
  <c r="AO13" i="8" s="1"/>
  <c r="AI13" i="8"/>
  <c r="AN13" i="8" s="1"/>
  <c r="AH13" i="8"/>
  <c r="AM13" i="8" s="1"/>
  <c r="AG13" i="8"/>
  <c r="AJ12" i="8"/>
  <c r="AO12" i="8" s="1"/>
  <c r="AI12" i="8"/>
  <c r="AN12" i="8" s="1"/>
  <c r="AH12" i="8"/>
  <c r="AM12" i="8" s="1"/>
  <c r="AG12" i="8"/>
  <c r="AL12" i="8" s="1"/>
  <c r="AJ11" i="8"/>
  <c r="AO11" i="8" s="1"/>
  <c r="AI11" i="8"/>
  <c r="AN11" i="8" s="1"/>
  <c r="AH11" i="8"/>
  <c r="AM11" i="8" s="1"/>
  <c r="AG11" i="8"/>
  <c r="AL11" i="8" s="1"/>
  <c r="AO10" i="8"/>
  <c r="AN10" i="8"/>
  <c r="AJ10" i="8"/>
  <c r="AI10" i="8"/>
  <c r="AH10" i="8"/>
  <c r="AM10" i="8" s="1"/>
  <c r="AG10" i="8"/>
  <c r="AL10" i="8" s="1"/>
  <c r="AM9" i="8"/>
  <c r="AJ9" i="8"/>
  <c r="AO9" i="8" s="1"/>
  <c r="AI9" i="8"/>
  <c r="AN9" i="8" s="1"/>
  <c r="AH9" i="8"/>
  <c r="AG9" i="8"/>
  <c r="AL9" i="8" s="1"/>
  <c r="AJ8" i="8"/>
  <c r="AO8" i="8" s="1"/>
  <c r="AI8" i="8"/>
  <c r="AN8" i="8" s="1"/>
  <c r="AH8" i="8"/>
  <c r="AM8" i="8" s="1"/>
  <c r="AG8" i="8"/>
  <c r="AL8" i="8" s="1"/>
  <c r="AJ7" i="8"/>
  <c r="AO7" i="8" s="1"/>
  <c r="AI7" i="8"/>
  <c r="AN7" i="8" s="1"/>
  <c r="AH7" i="8"/>
  <c r="AM7" i="8" s="1"/>
  <c r="AG7" i="8"/>
  <c r="AL7" i="8" s="1"/>
  <c r="AJ6" i="8"/>
  <c r="AO6" i="8" s="1"/>
  <c r="AI6" i="8"/>
  <c r="AN6" i="8" s="1"/>
  <c r="AH6" i="8"/>
  <c r="AM6" i="8" s="1"/>
  <c r="AG6" i="8"/>
  <c r="AL6" i="8" s="1"/>
  <c r="AJ232" i="7"/>
  <c r="AO232" i="7" s="1"/>
  <c r="AI232" i="7"/>
  <c r="AN232" i="7" s="1"/>
  <c r="AH232" i="7"/>
  <c r="AM232" i="7" s="1"/>
  <c r="AG232" i="7"/>
  <c r="AL232" i="7" s="1"/>
  <c r="AJ231" i="7"/>
  <c r="AO231" i="7" s="1"/>
  <c r="AI231" i="7"/>
  <c r="AN231" i="7" s="1"/>
  <c r="AH231" i="7"/>
  <c r="AM231" i="7" s="1"/>
  <c r="AG231" i="7"/>
  <c r="AL231" i="7" s="1"/>
  <c r="AJ230" i="7"/>
  <c r="AO230" i="7" s="1"/>
  <c r="AI230" i="7"/>
  <c r="AN230" i="7" s="1"/>
  <c r="AH230" i="7"/>
  <c r="AM230" i="7" s="1"/>
  <c r="AG230" i="7"/>
  <c r="AL230" i="7" s="1"/>
  <c r="AJ229" i="7"/>
  <c r="AO229" i="7" s="1"/>
  <c r="AI229" i="7"/>
  <c r="AN229" i="7" s="1"/>
  <c r="AH229" i="7"/>
  <c r="AM229" i="7" s="1"/>
  <c r="AG229" i="7"/>
  <c r="AL229" i="7" s="1"/>
  <c r="AJ228" i="7"/>
  <c r="AO228" i="7" s="1"/>
  <c r="AI228" i="7"/>
  <c r="AN228" i="7" s="1"/>
  <c r="AH228" i="7"/>
  <c r="AM228" i="7" s="1"/>
  <c r="AG228" i="7"/>
  <c r="AL228" i="7" s="1"/>
  <c r="AJ227" i="7"/>
  <c r="AO227" i="7" s="1"/>
  <c r="AI227" i="7"/>
  <c r="AN227" i="7" s="1"/>
  <c r="AH227" i="7"/>
  <c r="AM227" i="7" s="1"/>
  <c r="AG227" i="7"/>
  <c r="AL227" i="7" s="1"/>
  <c r="AJ226" i="7"/>
  <c r="AO226" i="7" s="1"/>
  <c r="AI226" i="7"/>
  <c r="AN226" i="7" s="1"/>
  <c r="AH226" i="7"/>
  <c r="AM226" i="7" s="1"/>
  <c r="AG226" i="7"/>
  <c r="AL226" i="7" s="1"/>
  <c r="AJ225" i="7"/>
  <c r="AO225" i="7" s="1"/>
  <c r="AI225" i="7"/>
  <c r="AN225" i="7" s="1"/>
  <c r="AH225" i="7"/>
  <c r="AM225" i="7" s="1"/>
  <c r="AG225" i="7"/>
  <c r="AL225" i="7" s="1"/>
  <c r="AJ224" i="7"/>
  <c r="AO224" i="7" s="1"/>
  <c r="AI224" i="7"/>
  <c r="AN224" i="7" s="1"/>
  <c r="AH224" i="7"/>
  <c r="AM224" i="7" s="1"/>
  <c r="AG224" i="7"/>
  <c r="AL224" i="7" s="1"/>
  <c r="AJ223" i="7"/>
  <c r="AO223" i="7" s="1"/>
  <c r="AI223" i="7"/>
  <c r="AN223" i="7" s="1"/>
  <c r="AH223" i="7"/>
  <c r="AM223" i="7" s="1"/>
  <c r="AG223" i="7"/>
  <c r="AL223" i="7" s="1"/>
  <c r="AJ222" i="7"/>
  <c r="AO222" i="7" s="1"/>
  <c r="AI222" i="7"/>
  <c r="AN222" i="7" s="1"/>
  <c r="AH222" i="7"/>
  <c r="AM222" i="7" s="1"/>
  <c r="AG222" i="7"/>
  <c r="AL222" i="7" s="1"/>
  <c r="AJ221" i="7"/>
  <c r="AO221" i="7" s="1"/>
  <c r="AI221" i="7"/>
  <c r="AN221" i="7" s="1"/>
  <c r="AH221" i="7"/>
  <c r="AM221" i="7" s="1"/>
  <c r="AG221" i="7"/>
  <c r="AL221" i="7" s="1"/>
  <c r="AJ220" i="7"/>
  <c r="AO220" i="7" s="1"/>
  <c r="AI220" i="7"/>
  <c r="AN220" i="7" s="1"/>
  <c r="AH220" i="7"/>
  <c r="AM220" i="7" s="1"/>
  <c r="AG220" i="7"/>
  <c r="AL220" i="7" s="1"/>
  <c r="AJ219" i="7"/>
  <c r="AO219" i="7" s="1"/>
  <c r="AI219" i="7"/>
  <c r="AN219" i="7" s="1"/>
  <c r="AH219" i="7"/>
  <c r="AM219" i="7" s="1"/>
  <c r="AG219" i="7"/>
  <c r="AL219" i="7" s="1"/>
  <c r="AJ218" i="7"/>
  <c r="AO218" i="7" s="1"/>
  <c r="AI218" i="7"/>
  <c r="AN218" i="7" s="1"/>
  <c r="AH218" i="7"/>
  <c r="AM218" i="7" s="1"/>
  <c r="AG218" i="7"/>
  <c r="AL218" i="7" s="1"/>
  <c r="AJ217" i="7"/>
  <c r="AO217" i="7" s="1"/>
  <c r="AI217" i="7"/>
  <c r="AN217" i="7" s="1"/>
  <c r="AH217" i="7"/>
  <c r="AM217" i="7" s="1"/>
  <c r="AG217" i="7"/>
  <c r="AL217" i="7" s="1"/>
  <c r="AJ216" i="7"/>
  <c r="AO216" i="7" s="1"/>
  <c r="AI216" i="7"/>
  <c r="AN216" i="7" s="1"/>
  <c r="AH216" i="7"/>
  <c r="AM216" i="7" s="1"/>
  <c r="AG216" i="7"/>
  <c r="AL216" i="7" s="1"/>
  <c r="AJ215" i="7"/>
  <c r="AO215" i="7" s="1"/>
  <c r="AI215" i="7"/>
  <c r="AN215" i="7" s="1"/>
  <c r="AH215" i="7"/>
  <c r="AM215" i="7" s="1"/>
  <c r="AG215" i="7"/>
  <c r="AL215" i="7" s="1"/>
  <c r="AJ214" i="7"/>
  <c r="AO214" i="7" s="1"/>
  <c r="AI214" i="7"/>
  <c r="AN214" i="7" s="1"/>
  <c r="AH214" i="7"/>
  <c r="AM214" i="7" s="1"/>
  <c r="AG214" i="7"/>
  <c r="AL214" i="7" s="1"/>
  <c r="AJ213" i="7"/>
  <c r="AO213" i="7" s="1"/>
  <c r="AI213" i="7"/>
  <c r="AN213" i="7" s="1"/>
  <c r="AH213" i="7"/>
  <c r="AM213" i="7" s="1"/>
  <c r="AG213" i="7"/>
  <c r="AL213" i="7" s="1"/>
  <c r="AJ212" i="7"/>
  <c r="AO212" i="7" s="1"/>
  <c r="AI212" i="7"/>
  <c r="AN212" i="7" s="1"/>
  <c r="AH212" i="7"/>
  <c r="AM212" i="7" s="1"/>
  <c r="AG212" i="7"/>
  <c r="AL212" i="7" s="1"/>
  <c r="AJ211" i="7"/>
  <c r="AO211" i="7" s="1"/>
  <c r="AI211" i="7"/>
  <c r="AN211" i="7" s="1"/>
  <c r="AH211" i="7"/>
  <c r="AM211" i="7" s="1"/>
  <c r="AG211" i="7"/>
  <c r="AL211" i="7" s="1"/>
  <c r="AJ210" i="7"/>
  <c r="AO210" i="7" s="1"/>
  <c r="AI210" i="7"/>
  <c r="AN210" i="7" s="1"/>
  <c r="AH210" i="7"/>
  <c r="AM210" i="7" s="1"/>
  <c r="AG210" i="7"/>
  <c r="AL210" i="7" s="1"/>
  <c r="AJ209" i="7"/>
  <c r="AO209" i="7" s="1"/>
  <c r="AI209" i="7"/>
  <c r="AN209" i="7" s="1"/>
  <c r="AH209" i="7"/>
  <c r="AM209" i="7" s="1"/>
  <c r="AG209" i="7"/>
  <c r="AL209" i="7" s="1"/>
  <c r="AJ208" i="7"/>
  <c r="AO208" i="7" s="1"/>
  <c r="AI208" i="7"/>
  <c r="AN208" i="7" s="1"/>
  <c r="AH208" i="7"/>
  <c r="AM208" i="7" s="1"/>
  <c r="AG208" i="7"/>
  <c r="AL208" i="7" s="1"/>
  <c r="AJ207" i="7"/>
  <c r="AO207" i="7" s="1"/>
  <c r="AI207" i="7"/>
  <c r="AN207" i="7" s="1"/>
  <c r="AH207" i="7"/>
  <c r="AM207" i="7" s="1"/>
  <c r="AG207" i="7"/>
  <c r="AL207" i="7" s="1"/>
  <c r="AJ206" i="7"/>
  <c r="AO206" i="7" s="1"/>
  <c r="AI206" i="7"/>
  <c r="AN206" i="7" s="1"/>
  <c r="AH206" i="7"/>
  <c r="AM206" i="7" s="1"/>
  <c r="AG206" i="7"/>
  <c r="AL206" i="7" s="1"/>
  <c r="AJ205" i="7"/>
  <c r="AO205" i="7" s="1"/>
  <c r="AI205" i="7"/>
  <c r="AN205" i="7" s="1"/>
  <c r="AH205" i="7"/>
  <c r="AM205" i="7" s="1"/>
  <c r="AG205" i="7"/>
  <c r="AL205" i="7" s="1"/>
  <c r="AJ204" i="7"/>
  <c r="AO204" i="7" s="1"/>
  <c r="AI204" i="7"/>
  <c r="AN204" i="7" s="1"/>
  <c r="AH204" i="7"/>
  <c r="AM204" i="7" s="1"/>
  <c r="AG204" i="7"/>
  <c r="AL204" i="7" s="1"/>
  <c r="AJ203" i="7"/>
  <c r="AO203" i="7" s="1"/>
  <c r="AI203" i="7"/>
  <c r="AN203" i="7" s="1"/>
  <c r="AH203" i="7"/>
  <c r="AM203" i="7" s="1"/>
  <c r="AG203" i="7"/>
  <c r="AL203" i="7" s="1"/>
  <c r="AJ202" i="7"/>
  <c r="AO202" i="7" s="1"/>
  <c r="AI202" i="7"/>
  <c r="AN202" i="7" s="1"/>
  <c r="AH202" i="7"/>
  <c r="AM202" i="7" s="1"/>
  <c r="AG202" i="7"/>
  <c r="AL202" i="7" s="1"/>
  <c r="AJ201" i="7"/>
  <c r="AO201" i="7" s="1"/>
  <c r="AI201" i="7"/>
  <c r="AN201" i="7" s="1"/>
  <c r="AH201" i="7"/>
  <c r="AM201" i="7" s="1"/>
  <c r="AG201" i="7"/>
  <c r="AL201" i="7" s="1"/>
  <c r="AJ200" i="7"/>
  <c r="AO200" i="7" s="1"/>
  <c r="AI200" i="7"/>
  <c r="AN200" i="7" s="1"/>
  <c r="AH200" i="7"/>
  <c r="AM200" i="7" s="1"/>
  <c r="AG200" i="7"/>
  <c r="AL200" i="7" s="1"/>
  <c r="AJ199" i="7"/>
  <c r="AO199" i="7" s="1"/>
  <c r="AI199" i="7"/>
  <c r="AN199" i="7" s="1"/>
  <c r="AH199" i="7"/>
  <c r="AM199" i="7" s="1"/>
  <c r="AG199" i="7"/>
  <c r="AL199" i="7" s="1"/>
  <c r="AJ198" i="7"/>
  <c r="AO198" i="7" s="1"/>
  <c r="AI198" i="7"/>
  <c r="AN198" i="7" s="1"/>
  <c r="AH198" i="7"/>
  <c r="AM198" i="7" s="1"/>
  <c r="AG198" i="7"/>
  <c r="AL198" i="7" s="1"/>
  <c r="AJ197" i="7"/>
  <c r="AO197" i="7" s="1"/>
  <c r="AI197" i="7"/>
  <c r="AN197" i="7" s="1"/>
  <c r="AH197" i="7"/>
  <c r="AM197" i="7" s="1"/>
  <c r="AG197" i="7"/>
  <c r="AL197" i="7" s="1"/>
  <c r="AJ196" i="7"/>
  <c r="AO196" i="7" s="1"/>
  <c r="AI196" i="7"/>
  <c r="AN196" i="7" s="1"/>
  <c r="AH196" i="7"/>
  <c r="AM196" i="7" s="1"/>
  <c r="AG196" i="7"/>
  <c r="AL196" i="7" s="1"/>
  <c r="AJ195" i="7"/>
  <c r="AO195" i="7" s="1"/>
  <c r="AI195" i="7"/>
  <c r="AN195" i="7" s="1"/>
  <c r="AH195" i="7"/>
  <c r="AM195" i="7" s="1"/>
  <c r="AG195" i="7"/>
  <c r="AL195" i="7" s="1"/>
  <c r="AJ194" i="7"/>
  <c r="AO194" i="7" s="1"/>
  <c r="AI194" i="7"/>
  <c r="AN194" i="7" s="1"/>
  <c r="AH194" i="7"/>
  <c r="AM194" i="7" s="1"/>
  <c r="AG194" i="7"/>
  <c r="AL194" i="7" s="1"/>
  <c r="AJ193" i="7"/>
  <c r="AO193" i="7" s="1"/>
  <c r="AI193" i="7"/>
  <c r="AN193" i="7" s="1"/>
  <c r="AH193" i="7"/>
  <c r="AM193" i="7" s="1"/>
  <c r="AG193" i="7"/>
  <c r="AL193" i="7" s="1"/>
  <c r="AJ192" i="7"/>
  <c r="AO192" i="7" s="1"/>
  <c r="AI192" i="7"/>
  <c r="AN192" i="7" s="1"/>
  <c r="AH192" i="7"/>
  <c r="AM192" i="7" s="1"/>
  <c r="AG192" i="7"/>
  <c r="AL192" i="7" s="1"/>
  <c r="AJ191" i="7"/>
  <c r="AO191" i="7" s="1"/>
  <c r="AI191" i="7"/>
  <c r="AN191" i="7" s="1"/>
  <c r="AH191" i="7"/>
  <c r="AM191" i="7" s="1"/>
  <c r="AG191" i="7"/>
  <c r="AL191" i="7" s="1"/>
  <c r="AJ190" i="7"/>
  <c r="AO190" i="7" s="1"/>
  <c r="AI190" i="7"/>
  <c r="AN190" i="7" s="1"/>
  <c r="AH190" i="7"/>
  <c r="AM190" i="7" s="1"/>
  <c r="AG190" i="7"/>
  <c r="AL190" i="7" s="1"/>
  <c r="AJ189" i="7"/>
  <c r="AO189" i="7" s="1"/>
  <c r="AI189" i="7"/>
  <c r="AN189" i="7" s="1"/>
  <c r="AH189" i="7"/>
  <c r="AM189" i="7" s="1"/>
  <c r="AG189" i="7"/>
  <c r="AL189" i="7" s="1"/>
  <c r="AJ188" i="7"/>
  <c r="AO188" i="7" s="1"/>
  <c r="AI188" i="7"/>
  <c r="AN188" i="7" s="1"/>
  <c r="AH188" i="7"/>
  <c r="AM188" i="7" s="1"/>
  <c r="AG188" i="7"/>
  <c r="AL188" i="7" s="1"/>
  <c r="AJ187" i="7"/>
  <c r="AO187" i="7" s="1"/>
  <c r="AI187" i="7"/>
  <c r="AN187" i="7" s="1"/>
  <c r="AH187" i="7"/>
  <c r="AM187" i="7" s="1"/>
  <c r="AG187" i="7"/>
  <c r="AL187" i="7" s="1"/>
  <c r="AJ186" i="7"/>
  <c r="AO186" i="7" s="1"/>
  <c r="AI186" i="7"/>
  <c r="AN186" i="7" s="1"/>
  <c r="AH186" i="7"/>
  <c r="AM186" i="7" s="1"/>
  <c r="AG186" i="7"/>
  <c r="AL186" i="7" s="1"/>
  <c r="AJ185" i="7"/>
  <c r="AO185" i="7" s="1"/>
  <c r="AI185" i="7"/>
  <c r="AN185" i="7" s="1"/>
  <c r="AH185" i="7"/>
  <c r="AM185" i="7" s="1"/>
  <c r="AG185" i="7"/>
  <c r="AL185" i="7" s="1"/>
  <c r="AJ184" i="7"/>
  <c r="AO184" i="7" s="1"/>
  <c r="AI184" i="7"/>
  <c r="AN184" i="7" s="1"/>
  <c r="AH184" i="7"/>
  <c r="AM184" i="7" s="1"/>
  <c r="AG184" i="7"/>
  <c r="AL184" i="7" s="1"/>
  <c r="AJ183" i="7"/>
  <c r="AO183" i="7" s="1"/>
  <c r="AI183" i="7"/>
  <c r="AN183" i="7" s="1"/>
  <c r="AH183" i="7"/>
  <c r="AM183" i="7" s="1"/>
  <c r="AG183" i="7"/>
  <c r="AL183" i="7" s="1"/>
  <c r="AJ182" i="7"/>
  <c r="AO182" i="7" s="1"/>
  <c r="AI182" i="7"/>
  <c r="AN182" i="7" s="1"/>
  <c r="AH182" i="7"/>
  <c r="AM182" i="7" s="1"/>
  <c r="AG182" i="7"/>
  <c r="AL182" i="7" s="1"/>
  <c r="AJ181" i="7"/>
  <c r="AO181" i="7" s="1"/>
  <c r="AI181" i="7"/>
  <c r="AN181" i="7" s="1"/>
  <c r="AH181" i="7"/>
  <c r="AM181" i="7" s="1"/>
  <c r="AG181" i="7"/>
  <c r="AL181" i="7" s="1"/>
  <c r="AJ180" i="7"/>
  <c r="AO180" i="7" s="1"/>
  <c r="AI180" i="7"/>
  <c r="AN180" i="7" s="1"/>
  <c r="AH180" i="7"/>
  <c r="AM180" i="7" s="1"/>
  <c r="AG180" i="7"/>
  <c r="AL180" i="7" s="1"/>
  <c r="AJ179" i="7"/>
  <c r="AO179" i="7" s="1"/>
  <c r="AI179" i="7"/>
  <c r="AN179" i="7" s="1"/>
  <c r="AH179" i="7"/>
  <c r="AM179" i="7" s="1"/>
  <c r="AG179" i="7"/>
  <c r="AL179" i="7" s="1"/>
  <c r="AJ178" i="7"/>
  <c r="AO178" i="7" s="1"/>
  <c r="AI178" i="7"/>
  <c r="AN178" i="7" s="1"/>
  <c r="AH178" i="7"/>
  <c r="AM178" i="7" s="1"/>
  <c r="AG178" i="7"/>
  <c r="AL178" i="7" s="1"/>
  <c r="AJ177" i="7"/>
  <c r="AO177" i="7" s="1"/>
  <c r="AI177" i="7"/>
  <c r="AN177" i="7" s="1"/>
  <c r="AH177" i="7"/>
  <c r="AM177" i="7" s="1"/>
  <c r="AG177" i="7"/>
  <c r="AL177" i="7" s="1"/>
  <c r="AJ176" i="7"/>
  <c r="AO176" i="7" s="1"/>
  <c r="AI176" i="7"/>
  <c r="AN176" i="7" s="1"/>
  <c r="AH176" i="7"/>
  <c r="AM176" i="7" s="1"/>
  <c r="AG176" i="7"/>
  <c r="AL176" i="7" s="1"/>
  <c r="AJ175" i="7"/>
  <c r="AO175" i="7" s="1"/>
  <c r="AI175" i="7"/>
  <c r="AN175" i="7" s="1"/>
  <c r="AH175" i="7"/>
  <c r="AM175" i="7" s="1"/>
  <c r="AG175" i="7"/>
  <c r="AL175" i="7" s="1"/>
  <c r="AJ174" i="7"/>
  <c r="AO174" i="7" s="1"/>
  <c r="AI174" i="7"/>
  <c r="AN174" i="7" s="1"/>
  <c r="AH174" i="7"/>
  <c r="AM174" i="7" s="1"/>
  <c r="AG174" i="7"/>
  <c r="AL174" i="7" s="1"/>
  <c r="AJ173" i="7"/>
  <c r="AO173" i="7" s="1"/>
  <c r="AI173" i="7"/>
  <c r="AN173" i="7" s="1"/>
  <c r="AH173" i="7"/>
  <c r="AM173" i="7" s="1"/>
  <c r="AG173" i="7"/>
  <c r="AL173" i="7" s="1"/>
  <c r="AJ172" i="7"/>
  <c r="AO172" i="7" s="1"/>
  <c r="AI172" i="7"/>
  <c r="AN172" i="7" s="1"/>
  <c r="AH172" i="7"/>
  <c r="AM172" i="7" s="1"/>
  <c r="AG172" i="7"/>
  <c r="AL172" i="7" s="1"/>
  <c r="AJ171" i="7"/>
  <c r="AO171" i="7" s="1"/>
  <c r="AI171" i="7"/>
  <c r="AN171" i="7" s="1"/>
  <c r="AH171" i="7"/>
  <c r="AM171" i="7" s="1"/>
  <c r="AG171" i="7"/>
  <c r="AL171" i="7" s="1"/>
  <c r="AJ170" i="7"/>
  <c r="AO170" i="7" s="1"/>
  <c r="AI170" i="7"/>
  <c r="AN170" i="7" s="1"/>
  <c r="AH170" i="7"/>
  <c r="AM170" i="7" s="1"/>
  <c r="AG170" i="7"/>
  <c r="AL170" i="7" s="1"/>
  <c r="AJ169" i="7"/>
  <c r="AO169" i="7" s="1"/>
  <c r="AI169" i="7"/>
  <c r="AN169" i="7" s="1"/>
  <c r="AH169" i="7"/>
  <c r="AM169" i="7" s="1"/>
  <c r="AG169" i="7"/>
  <c r="AL169" i="7" s="1"/>
  <c r="AJ168" i="7"/>
  <c r="AO168" i="7" s="1"/>
  <c r="AI168" i="7"/>
  <c r="AN168" i="7" s="1"/>
  <c r="AH168" i="7"/>
  <c r="AM168" i="7" s="1"/>
  <c r="AG168" i="7"/>
  <c r="AL168" i="7" s="1"/>
  <c r="AJ167" i="7"/>
  <c r="AO167" i="7" s="1"/>
  <c r="AI167" i="7"/>
  <c r="AN167" i="7" s="1"/>
  <c r="AH167" i="7"/>
  <c r="AM167" i="7" s="1"/>
  <c r="AG167" i="7"/>
  <c r="AL167" i="7" s="1"/>
  <c r="AJ166" i="7"/>
  <c r="AO166" i="7" s="1"/>
  <c r="AI166" i="7"/>
  <c r="AN166" i="7" s="1"/>
  <c r="AH166" i="7"/>
  <c r="AM166" i="7" s="1"/>
  <c r="AG166" i="7"/>
  <c r="AL166" i="7" s="1"/>
  <c r="AJ165" i="7"/>
  <c r="AO165" i="7" s="1"/>
  <c r="AI165" i="7"/>
  <c r="AN165" i="7" s="1"/>
  <c r="AH165" i="7"/>
  <c r="AM165" i="7" s="1"/>
  <c r="AG165" i="7"/>
  <c r="AL165" i="7" s="1"/>
  <c r="AJ164" i="7"/>
  <c r="AO164" i="7" s="1"/>
  <c r="AI164" i="7"/>
  <c r="AN164" i="7" s="1"/>
  <c r="AH164" i="7"/>
  <c r="AM164" i="7" s="1"/>
  <c r="AG164" i="7"/>
  <c r="AL164" i="7" s="1"/>
  <c r="AJ163" i="7"/>
  <c r="AO163" i="7" s="1"/>
  <c r="AI163" i="7"/>
  <c r="AN163" i="7" s="1"/>
  <c r="AH163" i="7"/>
  <c r="AM163" i="7" s="1"/>
  <c r="AG163" i="7"/>
  <c r="AL163" i="7" s="1"/>
  <c r="AJ162" i="7"/>
  <c r="AO162" i="7" s="1"/>
  <c r="AI162" i="7"/>
  <c r="AN162" i="7" s="1"/>
  <c r="AH162" i="7"/>
  <c r="AM162" i="7" s="1"/>
  <c r="AG162" i="7"/>
  <c r="AL162" i="7" s="1"/>
  <c r="AJ161" i="7"/>
  <c r="AO161" i="7" s="1"/>
  <c r="AI161" i="7"/>
  <c r="AN161" i="7" s="1"/>
  <c r="AH161" i="7"/>
  <c r="AM161" i="7" s="1"/>
  <c r="AG161" i="7"/>
  <c r="AL161" i="7" s="1"/>
  <c r="AJ160" i="7"/>
  <c r="AO160" i="7" s="1"/>
  <c r="AI160" i="7"/>
  <c r="AN160" i="7" s="1"/>
  <c r="AH160" i="7"/>
  <c r="AM160" i="7" s="1"/>
  <c r="AG160" i="7"/>
  <c r="AL160" i="7" s="1"/>
  <c r="AJ159" i="7"/>
  <c r="AO159" i="7" s="1"/>
  <c r="AI159" i="7"/>
  <c r="AN159" i="7" s="1"/>
  <c r="AH159" i="7"/>
  <c r="AM159" i="7" s="1"/>
  <c r="AG159" i="7"/>
  <c r="AL159" i="7" s="1"/>
  <c r="AJ158" i="7"/>
  <c r="AO158" i="7" s="1"/>
  <c r="AI158" i="7"/>
  <c r="AN158" i="7" s="1"/>
  <c r="AH158" i="7"/>
  <c r="AM158" i="7" s="1"/>
  <c r="AG158" i="7"/>
  <c r="AL158" i="7" s="1"/>
  <c r="AJ157" i="7"/>
  <c r="AO157" i="7" s="1"/>
  <c r="AI157" i="7"/>
  <c r="AN157" i="7" s="1"/>
  <c r="AH157" i="7"/>
  <c r="AM157" i="7" s="1"/>
  <c r="AG157" i="7"/>
  <c r="AL157" i="7" s="1"/>
  <c r="AJ156" i="7"/>
  <c r="AO156" i="7" s="1"/>
  <c r="AI156" i="7"/>
  <c r="AN156" i="7" s="1"/>
  <c r="AH156" i="7"/>
  <c r="AM156" i="7" s="1"/>
  <c r="AG156" i="7"/>
  <c r="AL156" i="7" s="1"/>
  <c r="AJ155" i="7"/>
  <c r="AO155" i="7" s="1"/>
  <c r="AI155" i="7"/>
  <c r="AN155" i="7" s="1"/>
  <c r="AH155" i="7"/>
  <c r="AM155" i="7" s="1"/>
  <c r="AG155" i="7"/>
  <c r="AL155" i="7" s="1"/>
  <c r="AJ154" i="7"/>
  <c r="AO154" i="7" s="1"/>
  <c r="AI154" i="7"/>
  <c r="AN154" i="7" s="1"/>
  <c r="AH154" i="7"/>
  <c r="AM154" i="7" s="1"/>
  <c r="AG154" i="7"/>
  <c r="AL154" i="7" s="1"/>
  <c r="AJ153" i="7"/>
  <c r="AO153" i="7" s="1"/>
  <c r="AI153" i="7"/>
  <c r="AN153" i="7" s="1"/>
  <c r="AH153" i="7"/>
  <c r="AM153" i="7" s="1"/>
  <c r="AG153" i="7"/>
  <c r="AL153" i="7" s="1"/>
  <c r="AJ152" i="7"/>
  <c r="AO152" i="7" s="1"/>
  <c r="AI152" i="7"/>
  <c r="AN152" i="7" s="1"/>
  <c r="AH152" i="7"/>
  <c r="AM152" i="7" s="1"/>
  <c r="AG152" i="7"/>
  <c r="AL152" i="7" s="1"/>
  <c r="AJ151" i="7"/>
  <c r="AO151" i="7" s="1"/>
  <c r="AI151" i="7"/>
  <c r="AN151" i="7" s="1"/>
  <c r="AH151" i="7"/>
  <c r="AM151" i="7" s="1"/>
  <c r="AG151" i="7"/>
  <c r="AL151" i="7" s="1"/>
  <c r="AJ150" i="7"/>
  <c r="AO150" i="7" s="1"/>
  <c r="AI150" i="7"/>
  <c r="AN150" i="7" s="1"/>
  <c r="AH150" i="7"/>
  <c r="AM150" i="7" s="1"/>
  <c r="AG150" i="7"/>
  <c r="AL150" i="7" s="1"/>
  <c r="AJ149" i="7"/>
  <c r="AO149" i="7" s="1"/>
  <c r="AI149" i="7"/>
  <c r="AN149" i="7" s="1"/>
  <c r="AH149" i="7"/>
  <c r="AM149" i="7" s="1"/>
  <c r="AG149" i="7"/>
  <c r="AL149" i="7" s="1"/>
  <c r="AJ148" i="7"/>
  <c r="AO148" i="7" s="1"/>
  <c r="AI148" i="7"/>
  <c r="AN148" i="7" s="1"/>
  <c r="AH148" i="7"/>
  <c r="AM148" i="7" s="1"/>
  <c r="AG148" i="7"/>
  <c r="AL148" i="7" s="1"/>
  <c r="AM147" i="7"/>
  <c r="AJ147" i="7"/>
  <c r="AO147" i="7" s="1"/>
  <c r="AI147" i="7"/>
  <c r="AN147" i="7" s="1"/>
  <c r="AH147" i="7"/>
  <c r="AG147" i="7"/>
  <c r="AL147" i="7" s="1"/>
  <c r="AJ146" i="7"/>
  <c r="AO146" i="7" s="1"/>
  <c r="AI146" i="7"/>
  <c r="AN146" i="7" s="1"/>
  <c r="AH146" i="7"/>
  <c r="AM146" i="7" s="1"/>
  <c r="AG146" i="7"/>
  <c r="AL146" i="7" s="1"/>
  <c r="AJ145" i="7"/>
  <c r="AO145" i="7" s="1"/>
  <c r="AI145" i="7"/>
  <c r="AN145" i="7" s="1"/>
  <c r="AH145" i="7"/>
  <c r="AM145" i="7" s="1"/>
  <c r="AG145" i="7"/>
  <c r="AL145" i="7" s="1"/>
  <c r="AJ144" i="7"/>
  <c r="AO144" i="7" s="1"/>
  <c r="AI144" i="7"/>
  <c r="AN144" i="7" s="1"/>
  <c r="AH144" i="7"/>
  <c r="AM144" i="7" s="1"/>
  <c r="AG144" i="7"/>
  <c r="AL144" i="7" s="1"/>
  <c r="AJ143" i="7"/>
  <c r="AO143" i="7" s="1"/>
  <c r="AI143" i="7"/>
  <c r="AN143" i="7" s="1"/>
  <c r="AH143" i="7"/>
  <c r="AM143" i="7" s="1"/>
  <c r="AG143" i="7"/>
  <c r="AL143" i="7" s="1"/>
  <c r="AJ142" i="7"/>
  <c r="AO142" i="7" s="1"/>
  <c r="AI142" i="7"/>
  <c r="AN142" i="7" s="1"/>
  <c r="AH142" i="7"/>
  <c r="AM142" i="7" s="1"/>
  <c r="AG142" i="7"/>
  <c r="AL142" i="7" s="1"/>
  <c r="AJ141" i="7"/>
  <c r="AO141" i="7" s="1"/>
  <c r="AI141" i="7"/>
  <c r="AN141" i="7" s="1"/>
  <c r="AH141" i="7"/>
  <c r="AM141" i="7" s="1"/>
  <c r="AG141" i="7"/>
  <c r="AL141" i="7" s="1"/>
  <c r="AJ140" i="7"/>
  <c r="AO140" i="7" s="1"/>
  <c r="AI140" i="7"/>
  <c r="AN140" i="7" s="1"/>
  <c r="AH140" i="7"/>
  <c r="AM140" i="7" s="1"/>
  <c r="AG140" i="7"/>
  <c r="AL140" i="7" s="1"/>
  <c r="AJ139" i="7"/>
  <c r="AO139" i="7" s="1"/>
  <c r="AI139" i="7"/>
  <c r="AN139" i="7" s="1"/>
  <c r="AH139" i="7"/>
  <c r="AM139" i="7" s="1"/>
  <c r="AG139" i="7"/>
  <c r="AL139" i="7" s="1"/>
  <c r="AJ138" i="7"/>
  <c r="AO138" i="7" s="1"/>
  <c r="AI138" i="7"/>
  <c r="AN138" i="7" s="1"/>
  <c r="AH138" i="7"/>
  <c r="AM138" i="7" s="1"/>
  <c r="AG138" i="7"/>
  <c r="AL138" i="7" s="1"/>
  <c r="AJ137" i="7"/>
  <c r="AO137" i="7" s="1"/>
  <c r="AI137" i="7"/>
  <c r="AN137" i="7" s="1"/>
  <c r="AH137" i="7"/>
  <c r="AM137" i="7" s="1"/>
  <c r="AG137" i="7"/>
  <c r="AL137" i="7" s="1"/>
  <c r="AO136" i="7"/>
  <c r="AJ136" i="7"/>
  <c r="AI136" i="7"/>
  <c r="AN136" i="7" s="1"/>
  <c r="AH136" i="7"/>
  <c r="AM136" i="7" s="1"/>
  <c r="AG136" i="7"/>
  <c r="AL136" i="7" s="1"/>
  <c r="AJ135" i="7"/>
  <c r="AO135" i="7" s="1"/>
  <c r="AI135" i="7"/>
  <c r="AN135" i="7" s="1"/>
  <c r="AH135" i="7"/>
  <c r="AM135" i="7" s="1"/>
  <c r="AG135" i="7"/>
  <c r="AL135" i="7" s="1"/>
  <c r="AJ134" i="7"/>
  <c r="AO134" i="7" s="1"/>
  <c r="AI134" i="7"/>
  <c r="AN134" i="7" s="1"/>
  <c r="AH134" i="7"/>
  <c r="AM134" i="7" s="1"/>
  <c r="AG134" i="7"/>
  <c r="AL134" i="7" s="1"/>
  <c r="AL133" i="7"/>
  <c r="AJ133" i="7"/>
  <c r="AO133" i="7" s="1"/>
  <c r="AI133" i="7"/>
  <c r="AN133" i="7" s="1"/>
  <c r="AH133" i="7"/>
  <c r="AM133" i="7" s="1"/>
  <c r="AG133" i="7"/>
  <c r="AJ132" i="7"/>
  <c r="AO132" i="7" s="1"/>
  <c r="AI132" i="7"/>
  <c r="AN132" i="7" s="1"/>
  <c r="AH132" i="7"/>
  <c r="AM132" i="7" s="1"/>
  <c r="AG132" i="7"/>
  <c r="AL132" i="7" s="1"/>
  <c r="AJ131" i="7"/>
  <c r="AO131" i="7" s="1"/>
  <c r="AI131" i="7"/>
  <c r="AN131" i="7" s="1"/>
  <c r="AH131" i="7"/>
  <c r="AM131" i="7" s="1"/>
  <c r="AG131" i="7"/>
  <c r="AL131" i="7" s="1"/>
  <c r="AJ130" i="7"/>
  <c r="AO130" i="7" s="1"/>
  <c r="AI130" i="7"/>
  <c r="AN130" i="7" s="1"/>
  <c r="AH130" i="7"/>
  <c r="AM130" i="7" s="1"/>
  <c r="AG130" i="7"/>
  <c r="AL130" i="7" s="1"/>
  <c r="AJ129" i="7"/>
  <c r="AO129" i="7" s="1"/>
  <c r="AI129" i="7"/>
  <c r="AN129" i="7" s="1"/>
  <c r="AH129" i="7"/>
  <c r="AM129" i="7" s="1"/>
  <c r="AG129" i="7"/>
  <c r="AL129" i="7" s="1"/>
  <c r="AJ128" i="7"/>
  <c r="AO128" i="7" s="1"/>
  <c r="AI128" i="7"/>
  <c r="AN128" i="7" s="1"/>
  <c r="AH128" i="7"/>
  <c r="AM128" i="7" s="1"/>
  <c r="AG128" i="7"/>
  <c r="AL128" i="7" s="1"/>
  <c r="AJ127" i="7"/>
  <c r="AO127" i="7" s="1"/>
  <c r="AI127" i="7"/>
  <c r="AN127" i="7" s="1"/>
  <c r="AH127" i="7"/>
  <c r="AM127" i="7" s="1"/>
  <c r="AG127" i="7"/>
  <c r="AL127" i="7" s="1"/>
  <c r="AJ126" i="7"/>
  <c r="AO126" i="7" s="1"/>
  <c r="AI126" i="7"/>
  <c r="AN126" i="7" s="1"/>
  <c r="AH126" i="7"/>
  <c r="AM126" i="7" s="1"/>
  <c r="AG126" i="7"/>
  <c r="AL126" i="7" s="1"/>
  <c r="AJ125" i="7"/>
  <c r="AO125" i="7" s="1"/>
  <c r="AI125" i="7"/>
  <c r="AN125" i="7" s="1"/>
  <c r="AH125" i="7"/>
  <c r="AM125" i="7" s="1"/>
  <c r="AG125" i="7"/>
  <c r="AL125" i="7" s="1"/>
  <c r="AJ124" i="7"/>
  <c r="AO124" i="7" s="1"/>
  <c r="AI124" i="7"/>
  <c r="AN124" i="7" s="1"/>
  <c r="AH124" i="7"/>
  <c r="AM124" i="7" s="1"/>
  <c r="AG124" i="7"/>
  <c r="AL124" i="7" s="1"/>
  <c r="AJ123" i="7"/>
  <c r="AO123" i="7" s="1"/>
  <c r="AI123" i="7"/>
  <c r="AN123" i="7" s="1"/>
  <c r="AH123" i="7"/>
  <c r="AM123" i="7" s="1"/>
  <c r="AG123" i="7"/>
  <c r="AL123" i="7" s="1"/>
  <c r="AM122" i="7"/>
  <c r="AJ122" i="7"/>
  <c r="AO122" i="7" s="1"/>
  <c r="AI122" i="7"/>
  <c r="AN122" i="7" s="1"/>
  <c r="AH122" i="7"/>
  <c r="AG122" i="7"/>
  <c r="AL122" i="7" s="1"/>
  <c r="AJ121" i="7"/>
  <c r="AO121" i="7" s="1"/>
  <c r="AI121" i="7"/>
  <c r="AN121" i="7" s="1"/>
  <c r="AH121" i="7"/>
  <c r="AM121" i="7" s="1"/>
  <c r="AG121" i="7"/>
  <c r="AL121" i="7" s="1"/>
  <c r="AJ120" i="7"/>
  <c r="AO120" i="7" s="1"/>
  <c r="AI120" i="7"/>
  <c r="AN120" i="7" s="1"/>
  <c r="AH120" i="7"/>
  <c r="AM120" i="7" s="1"/>
  <c r="AG120" i="7"/>
  <c r="AL120" i="7" s="1"/>
  <c r="AJ119" i="7"/>
  <c r="AO119" i="7" s="1"/>
  <c r="AI119" i="7"/>
  <c r="AN119" i="7" s="1"/>
  <c r="AH119" i="7"/>
  <c r="AM119" i="7" s="1"/>
  <c r="AG119" i="7"/>
  <c r="AL119" i="7" s="1"/>
  <c r="AJ118" i="7"/>
  <c r="AO118" i="7" s="1"/>
  <c r="AI118" i="7"/>
  <c r="AN118" i="7" s="1"/>
  <c r="AH118" i="7"/>
  <c r="AM118" i="7" s="1"/>
  <c r="AG118" i="7"/>
  <c r="AL118" i="7" s="1"/>
  <c r="AJ117" i="7"/>
  <c r="AO117" i="7" s="1"/>
  <c r="AI117" i="7"/>
  <c r="AN117" i="7" s="1"/>
  <c r="AH117" i="7"/>
  <c r="AM117" i="7" s="1"/>
  <c r="AG117" i="7"/>
  <c r="AL117" i="7" s="1"/>
  <c r="AJ116" i="7"/>
  <c r="AO116" i="7" s="1"/>
  <c r="AI116" i="7"/>
  <c r="AN116" i="7" s="1"/>
  <c r="AH116" i="7"/>
  <c r="AM116" i="7" s="1"/>
  <c r="AG116" i="7"/>
  <c r="AL116" i="7" s="1"/>
  <c r="AJ115" i="7"/>
  <c r="AO115" i="7" s="1"/>
  <c r="AI115" i="7"/>
  <c r="AN115" i="7" s="1"/>
  <c r="AH115" i="7"/>
  <c r="AM115" i="7" s="1"/>
  <c r="AG115" i="7"/>
  <c r="AL115" i="7" s="1"/>
  <c r="AJ114" i="7"/>
  <c r="AO114" i="7" s="1"/>
  <c r="AI114" i="7"/>
  <c r="AN114" i="7" s="1"/>
  <c r="AH114" i="7"/>
  <c r="AM114" i="7" s="1"/>
  <c r="AG114" i="7"/>
  <c r="AL114" i="7" s="1"/>
  <c r="AJ113" i="7"/>
  <c r="AO113" i="7" s="1"/>
  <c r="AI113" i="7"/>
  <c r="AN113" i="7" s="1"/>
  <c r="AH113" i="7"/>
  <c r="AM113" i="7" s="1"/>
  <c r="AG113" i="7"/>
  <c r="AL113" i="7" s="1"/>
  <c r="AM112" i="7"/>
  <c r="AJ112" i="7"/>
  <c r="AO112" i="7" s="1"/>
  <c r="AI112" i="7"/>
  <c r="AN112" i="7" s="1"/>
  <c r="AH112" i="7"/>
  <c r="AG112" i="7"/>
  <c r="AL112" i="7" s="1"/>
  <c r="AJ111" i="7"/>
  <c r="AO111" i="7" s="1"/>
  <c r="AI111" i="7"/>
  <c r="AN111" i="7" s="1"/>
  <c r="AH111" i="7"/>
  <c r="AM111" i="7" s="1"/>
  <c r="AG111" i="7"/>
  <c r="AL111" i="7" s="1"/>
  <c r="AJ110" i="7"/>
  <c r="AO110" i="7" s="1"/>
  <c r="AI110" i="7"/>
  <c r="AN110" i="7" s="1"/>
  <c r="AH110" i="7"/>
  <c r="AM110" i="7" s="1"/>
  <c r="AG110" i="7"/>
  <c r="AL110" i="7" s="1"/>
  <c r="AJ109" i="7"/>
  <c r="AO109" i="7" s="1"/>
  <c r="AI109" i="7"/>
  <c r="AN109" i="7" s="1"/>
  <c r="AH109" i="7"/>
  <c r="AM109" i="7" s="1"/>
  <c r="AG109" i="7"/>
  <c r="AL109" i="7" s="1"/>
  <c r="AJ108" i="7"/>
  <c r="AO108" i="7" s="1"/>
  <c r="AI108" i="7"/>
  <c r="AN108" i="7" s="1"/>
  <c r="AH108" i="7"/>
  <c r="AM108" i="7" s="1"/>
  <c r="AG108" i="7"/>
  <c r="AL108" i="7" s="1"/>
  <c r="AJ107" i="7"/>
  <c r="AO107" i="7" s="1"/>
  <c r="AI107" i="7"/>
  <c r="AN107" i="7" s="1"/>
  <c r="AH107" i="7"/>
  <c r="AM107" i="7" s="1"/>
  <c r="AG107" i="7"/>
  <c r="AL107" i="7" s="1"/>
  <c r="AJ106" i="7"/>
  <c r="AO106" i="7" s="1"/>
  <c r="AI106" i="7"/>
  <c r="AN106" i="7" s="1"/>
  <c r="AH106" i="7"/>
  <c r="AM106" i="7" s="1"/>
  <c r="AG106" i="7"/>
  <c r="AL106" i="7" s="1"/>
  <c r="AJ105" i="7"/>
  <c r="AO105" i="7" s="1"/>
  <c r="AI105" i="7"/>
  <c r="AN105" i="7" s="1"/>
  <c r="AH105" i="7"/>
  <c r="AM105" i="7" s="1"/>
  <c r="AG105" i="7"/>
  <c r="AL105" i="7" s="1"/>
  <c r="AJ104" i="7"/>
  <c r="AO104" i="7" s="1"/>
  <c r="AI104" i="7"/>
  <c r="AN104" i="7" s="1"/>
  <c r="AH104" i="7"/>
  <c r="AM104" i="7" s="1"/>
  <c r="AG104" i="7"/>
  <c r="AL104" i="7" s="1"/>
  <c r="AJ103" i="7"/>
  <c r="AO103" i="7" s="1"/>
  <c r="AI103" i="7"/>
  <c r="AN103" i="7" s="1"/>
  <c r="AH103" i="7"/>
  <c r="AM103" i="7" s="1"/>
  <c r="AG103" i="7"/>
  <c r="AL103" i="7" s="1"/>
  <c r="AJ102" i="7"/>
  <c r="AO102" i="7" s="1"/>
  <c r="AI102" i="7"/>
  <c r="AN102" i="7" s="1"/>
  <c r="AH102" i="7"/>
  <c r="AM102" i="7" s="1"/>
  <c r="AG102" i="7"/>
  <c r="AL102" i="7" s="1"/>
  <c r="AJ101" i="7"/>
  <c r="AO101" i="7" s="1"/>
  <c r="AI101" i="7"/>
  <c r="AN101" i="7" s="1"/>
  <c r="AH101" i="7"/>
  <c r="AM101" i="7" s="1"/>
  <c r="AG101" i="7"/>
  <c r="AL101" i="7" s="1"/>
  <c r="AJ100" i="7"/>
  <c r="AO100" i="7" s="1"/>
  <c r="AI100" i="7"/>
  <c r="AN100" i="7" s="1"/>
  <c r="AH100" i="7"/>
  <c r="AM100" i="7" s="1"/>
  <c r="AG100" i="7"/>
  <c r="AL100" i="7" s="1"/>
  <c r="AJ99" i="7"/>
  <c r="AO99" i="7" s="1"/>
  <c r="AI99" i="7"/>
  <c r="AN99" i="7" s="1"/>
  <c r="AH99" i="7"/>
  <c r="AM99" i="7" s="1"/>
  <c r="AG99" i="7"/>
  <c r="AL99" i="7" s="1"/>
  <c r="AJ98" i="7"/>
  <c r="AO98" i="7" s="1"/>
  <c r="AI98" i="7"/>
  <c r="AN98" i="7" s="1"/>
  <c r="AH98" i="7"/>
  <c r="AM98" i="7" s="1"/>
  <c r="AG98" i="7"/>
  <c r="AL98" i="7" s="1"/>
  <c r="AJ97" i="7"/>
  <c r="AO97" i="7" s="1"/>
  <c r="AI97" i="7"/>
  <c r="AN97" i="7" s="1"/>
  <c r="AH97" i="7"/>
  <c r="AM97" i="7" s="1"/>
  <c r="AG97" i="7"/>
  <c r="AL97" i="7" s="1"/>
  <c r="AJ96" i="7"/>
  <c r="AO96" i="7" s="1"/>
  <c r="AI96" i="7"/>
  <c r="AN96" i="7" s="1"/>
  <c r="AH96" i="7"/>
  <c r="AM96" i="7" s="1"/>
  <c r="AG96" i="7"/>
  <c r="AL96" i="7" s="1"/>
  <c r="AJ95" i="7"/>
  <c r="AO95" i="7" s="1"/>
  <c r="AI95" i="7"/>
  <c r="AN95" i="7" s="1"/>
  <c r="AH95" i="7"/>
  <c r="AM95" i="7" s="1"/>
  <c r="AG95" i="7"/>
  <c r="AL95" i="7" s="1"/>
  <c r="AJ94" i="7"/>
  <c r="AO94" i="7" s="1"/>
  <c r="AI94" i="7"/>
  <c r="AN94" i="7" s="1"/>
  <c r="AH94" i="7"/>
  <c r="AM94" i="7" s="1"/>
  <c r="AG94" i="7"/>
  <c r="AL94" i="7" s="1"/>
  <c r="AO93" i="7"/>
  <c r="AJ93" i="7"/>
  <c r="AI93" i="7"/>
  <c r="AN93" i="7" s="1"/>
  <c r="AH93" i="7"/>
  <c r="AM93" i="7" s="1"/>
  <c r="AG93" i="7"/>
  <c r="AL93" i="7" s="1"/>
  <c r="AJ92" i="7"/>
  <c r="AO92" i="7" s="1"/>
  <c r="AI92" i="7"/>
  <c r="AN92" i="7" s="1"/>
  <c r="AH92" i="7"/>
  <c r="AM92" i="7" s="1"/>
  <c r="AG92" i="7"/>
  <c r="AL92" i="7" s="1"/>
  <c r="AJ91" i="7"/>
  <c r="AO91" i="7" s="1"/>
  <c r="AI91" i="7"/>
  <c r="AN91" i="7" s="1"/>
  <c r="AH91" i="7"/>
  <c r="AM91" i="7" s="1"/>
  <c r="AG91" i="7"/>
  <c r="AL91" i="7" s="1"/>
  <c r="AJ90" i="7"/>
  <c r="AO90" i="7" s="1"/>
  <c r="AI90" i="7"/>
  <c r="AN90" i="7" s="1"/>
  <c r="AH90" i="7"/>
  <c r="AM90" i="7" s="1"/>
  <c r="AG90" i="7"/>
  <c r="AL90" i="7" s="1"/>
  <c r="AJ89" i="7"/>
  <c r="AO89" i="7" s="1"/>
  <c r="AI89" i="7"/>
  <c r="AN89" i="7" s="1"/>
  <c r="AH89" i="7"/>
  <c r="AM89" i="7" s="1"/>
  <c r="AG89" i="7"/>
  <c r="AL89" i="7" s="1"/>
  <c r="AJ88" i="7"/>
  <c r="AO88" i="7" s="1"/>
  <c r="AI88" i="7"/>
  <c r="AN88" i="7" s="1"/>
  <c r="AH88" i="7"/>
  <c r="AM88" i="7" s="1"/>
  <c r="AG88" i="7"/>
  <c r="AL88" i="7" s="1"/>
  <c r="AJ87" i="7"/>
  <c r="AO87" i="7" s="1"/>
  <c r="AI87" i="7"/>
  <c r="AN87" i="7" s="1"/>
  <c r="AH87" i="7"/>
  <c r="AM87" i="7" s="1"/>
  <c r="AG87" i="7"/>
  <c r="AL87" i="7" s="1"/>
  <c r="AJ86" i="7"/>
  <c r="AO86" i="7" s="1"/>
  <c r="AI86" i="7"/>
  <c r="AN86" i="7" s="1"/>
  <c r="AH86" i="7"/>
  <c r="AM86" i="7" s="1"/>
  <c r="AG86" i="7"/>
  <c r="AL86" i="7" s="1"/>
  <c r="AJ85" i="7"/>
  <c r="AO85" i="7" s="1"/>
  <c r="AI85" i="7"/>
  <c r="AN85" i="7" s="1"/>
  <c r="AH85" i="7"/>
  <c r="AM85" i="7" s="1"/>
  <c r="AG85" i="7"/>
  <c r="AL85" i="7" s="1"/>
  <c r="AJ84" i="7"/>
  <c r="AO84" i="7" s="1"/>
  <c r="AI84" i="7"/>
  <c r="AN84" i="7" s="1"/>
  <c r="AH84" i="7"/>
  <c r="AM84" i="7" s="1"/>
  <c r="AG84" i="7"/>
  <c r="AL84" i="7" s="1"/>
  <c r="AJ83" i="7"/>
  <c r="AO83" i="7" s="1"/>
  <c r="AI83" i="7"/>
  <c r="AN83" i="7" s="1"/>
  <c r="AH83" i="7"/>
  <c r="AM83" i="7" s="1"/>
  <c r="AG83" i="7"/>
  <c r="AL83" i="7" s="1"/>
  <c r="AJ82" i="7"/>
  <c r="AO82" i="7" s="1"/>
  <c r="AI82" i="7"/>
  <c r="AN82" i="7" s="1"/>
  <c r="AH82" i="7"/>
  <c r="AM82" i="7" s="1"/>
  <c r="AG82" i="7"/>
  <c r="AL82" i="7" s="1"/>
  <c r="AJ81" i="7"/>
  <c r="AO81" i="7" s="1"/>
  <c r="AI81" i="7"/>
  <c r="AN81" i="7" s="1"/>
  <c r="AH81" i="7"/>
  <c r="AM81" i="7" s="1"/>
  <c r="AG81" i="7"/>
  <c r="AL81" i="7" s="1"/>
  <c r="AJ80" i="7"/>
  <c r="AO80" i="7" s="1"/>
  <c r="AI80" i="7"/>
  <c r="AN80" i="7" s="1"/>
  <c r="AH80" i="7"/>
  <c r="AM80" i="7" s="1"/>
  <c r="AG80" i="7"/>
  <c r="AL80" i="7" s="1"/>
  <c r="AJ79" i="7"/>
  <c r="AO79" i="7" s="1"/>
  <c r="AI79" i="7"/>
  <c r="AN79" i="7" s="1"/>
  <c r="AH79" i="7"/>
  <c r="AM79" i="7" s="1"/>
  <c r="AG79" i="7"/>
  <c r="AL79" i="7" s="1"/>
  <c r="AJ78" i="7"/>
  <c r="AO78" i="7" s="1"/>
  <c r="AI78" i="7"/>
  <c r="AN78" i="7" s="1"/>
  <c r="AH78" i="7"/>
  <c r="AM78" i="7" s="1"/>
  <c r="AG78" i="7"/>
  <c r="AL78" i="7" s="1"/>
  <c r="AJ77" i="7"/>
  <c r="AO77" i="7" s="1"/>
  <c r="AI77" i="7"/>
  <c r="AN77" i="7" s="1"/>
  <c r="AH77" i="7"/>
  <c r="AM77" i="7" s="1"/>
  <c r="AG77" i="7"/>
  <c r="AL77" i="7" s="1"/>
  <c r="AJ76" i="7"/>
  <c r="AO76" i="7" s="1"/>
  <c r="AI76" i="7"/>
  <c r="AN76" i="7" s="1"/>
  <c r="AH76" i="7"/>
  <c r="AM76" i="7" s="1"/>
  <c r="AG76" i="7"/>
  <c r="AL76" i="7" s="1"/>
  <c r="AJ75" i="7"/>
  <c r="AO75" i="7" s="1"/>
  <c r="AI75" i="7"/>
  <c r="AN75" i="7" s="1"/>
  <c r="AH75" i="7"/>
  <c r="AM75" i="7" s="1"/>
  <c r="AG75" i="7"/>
  <c r="AL75" i="7" s="1"/>
  <c r="AJ74" i="7"/>
  <c r="AO74" i="7" s="1"/>
  <c r="AI74" i="7"/>
  <c r="AN74" i="7" s="1"/>
  <c r="AH74" i="7"/>
  <c r="AM74" i="7" s="1"/>
  <c r="AG74" i="7"/>
  <c r="AL74" i="7" s="1"/>
  <c r="AJ73" i="7"/>
  <c r="AO73" i="7" s="1"/>
  <c r="AI73" i="7"/>
  <c r="AN73" i="7" s="1"/>
  <c r="AH73" i="7"/>
  <c r="AM73" i="7" s="1"/>
  <c r="AG73" i="7"/>
  <c r="AL73" i="7" s="1"/>
  <c r="AL72" i="7"/>
  <c r="AJ72" i="7"/>
  <c r="AO72" i="7" s="1"/>
  <c r="AI72" i="7"/>
  <c r="AN72" i="7" s="1"/>
  <c r="AH72" i="7"/>
  <c r="AM72" i="7" s="1"/>
  <c r="AG72" i="7"/>
  <c r="AJ71" i="7"/>
  <c r="AO71" i="7" s="1"/>
  <c r="AI71" i="7"/>
  <c r="AN71" i="7" s="1"/>
  <c r="AH71" i="7"/>
  <c r="AM71" i="7" s="1"/>
  <c r="AG71" i="7"/>
  <c r="AL71" i="7" s="1"/>
  <c r="AJ70" i="7"/>
  <c r="AO70" i="7" s="1"/>
  <c r="AI70" i="7"/>
  <c r="AN70" i="7" s="1"/>
  <c r="AH70" i="7"/>
  <c r="AM70" i="7" s="1"/>
  <c r="AG70" i="7"/>
  <c r="AL70" i="7" s="1"/>
  <c r="AJ69" i="7"/>
  <c r="AO69" i="7" s="1"/>
  <c r="AI69" i="7"/>
  <c r="AN69" i="7" s="1"/>
  <c r="AH69" i="7"/>
  <c r="AM69" i="7" s="1"/>
  <c r="AG69" i="7"/>
  <c r="AL69" i="7" s="1"/>
  <c r="AJ68" i="7"/>
  <c r="AO68" i="7" s="1"/>
  <c r="AI68" i="7"/>
  <c r="AN68" i="7" s="1"/>
  <c r="AH68" i="7"/>
  <c r="AM68" i="7" s="1"/>
  <c r="AG68" i="7"/>
  <c r="AL68" i="7" s="1"/>
  <c r="AJ67" i="7"/>
  <c r="AO67" i="7" s="1"/>
  <c r="AI67" i="7"/>
  <c r="AN67" i="7" s="1"/>
  <c r="AH67" i="7"/>
  <c r="AM67" i="7" s="1"/>
  <c r="AG67" i="7"/>
  <c r="AL67" i="7" s="1"/>
  <c r="AJ66" i="7"/>
  <c r="AO66" i="7" s="1"/>
  <c r="AI66" i="7"/>
  <c r="AN66" i="7" s="1"/>
  <c r="AH66" i="7"/>
  <c r="AM66" i="7" s="1"/>
  <c r="AG66" i="7"/>
  <c r="AL66" i="7" s="1"/>
  <c r="AJ65" i="7"/>
  <c r="AO65" i="7" s="1"/>
  <c r="AI65" i="7"/>
  <c r="AN65" i="7" s="1"/>
  <c r="AH65" i="7"/>
  <c r="AM65" i="7" s="1"/>
  <c r="AG65" i="7"/>
  <c r="AL65" i="7" s="1"/>
  <c r="AJ64" i="7"/>
  <c r="AO64" i="7" s="1"/>
  <c r="AI64" i="7"/>
  <c r="AN64" i="7" s="1"/>
  <c r="AH64" i="7"/>
  <c r="AM64" i="7" s="1"/>
  <c r="AG64" i="7"/>
  <c r="AL64" i="7" s="1"/>
  <c r="AJ63" i="7"/>
  <c r="AO63" i="7" s="1"/>
  <c r="AI63" i="7"/>
  <c r="AN63" i="7" s="1"/>
  <c r="AH63" i="7"/>
  <c r="AM63" i="7" s="1"/>
  <c r="AG63" i="7"/>
  <c r="AL63" i="7" s="1"/>
  <c r="AJ62" i="7"/>
  <c r="AO62" i="7" s="1"/>
  <c r="AI62" i="7"/>
  <c r="AN62" i="7" s="1"/>
  <c r="AH62" i="7"/>
  <c r="AM62" i="7" s="1"/>
  <c r="AG62" i="7"/>
  <c r="AL62" i="7" s="1"/>
  <c r="AJ61" i="7"/>
  <c r="AO61" i="7" s="1"/>
  <c r="AI61" i="7"/>
  <c r="AN61" i="7" s="1"/>
  <c r="AH61" i="7"/>
  <c r="AM61" i="7" s="1"/>
  <c r="AG61" i="7"/>
  <c r="AL61" i="7" s="1"/>
  <c r="AJ60" i="7"/>
  <c r="AO60" i="7" s="1"/>
  <c r="AI60" i="7"/>
  <c r="AN60" i="7" s="1"/>
  <c r="AH60" i="7"/>
  <c r="AM60" i="7" s="1"/>
  <c r="AG60" i="7"/>
  <c r="AL60" i="7" s="1"/>
  <c r="AJ59" i="7"/>
  <c r="AO59" i="7" s="1"/>
  <c r="AI59" i="7"/>
  <c r="AN59" i="7" s="1"/>
  <c r="AH59" i="7"/>
  <c r="AM59" i="7" s="1"/>
  <c r="AG59" i="7"/>
  <c r="AL59" i="7" s="1"/>
  <c r="AJ58" i="7"/>
  <c r="AO58" i="7" s="1"/>
  <c r="AI58" i="7"/>
  <c r="AN58" i="7" s="1"/>
  <c r="AH58" i="7"/>
  <c r="AM58" i="7" s="1"/>
  <c r="AG58" i="7"/>
  <c r="AL58" i="7" s="1"/>
  <c r="AJ57" i="7"/>
  <c r="AO57" i="7" s="1"/>
  <c r="AI57" i="7"/>
  <c r="AN57" i="7" s="1"/>
  <c r="AH57" i="7"/>
  <c r="AM57" i="7" s="1"/>
  <c r="AG57" i="7"/>
  <c r="AL57" i="7" s="1"/>
  <c r="AJ56" i="7"/>
  <c r="AO56" i="7" s="1"/>
  <c r="AI56" i="7"/>
  <c r="AN56" i="7" s="1"/>
  <c r="AH56" i="7"/>
  <c r="AM56" i="7" s="1"/>
  <c r="AG56" i="7"/>
  <c r="AL56" i="7" s="1"/>
  <c r="AL55" i="7"/>
  <c r="AJ55" i="7"/>
  <c r="AO55" i="7" s="1"/>
  <c r="AI55" i="7"/>
  <c r="AN55" i="7" s="1"/>
  <c r="AH55" i="7"/>
  <c r="AM55" i="7" s="1"/>
  <c r="AG55" i="7"/>
  <c r="AJ54" i="7"/>
  <c r="AO54" i="7" s="1"/>
  <c r="AI54" i="7"/>
  <c r="AN54" i="7" s="1"/>
  <c r="AH54" i="7"/>
  <c r="AM54" i="7" s="1"/>
  <c r="AG54" i="7"/>
  <c r="AL54" i="7" s="1"/>
  <c r="AJ53" i="7"/>
  <c r="AO53" i="7" s="1"/>
  <c r="AI53" i="7"/>
  <c r="AN53" i="7" s="1"/>
  <c r="AH53" i="7"/>
  <c r="AM53" i="7" s="1"/>
  <c r="AG53" i="7"/>
  <c r="AL53" i="7" s="1"/>
  <c r="AJ52" i="7"/>
  <c r="AO52" i="7" s="1"/>
  <c r="AI52" i="7"/>
  <c r="AN52" i="7" s="1"/>
  <c r="AH52" i="7"/>
  <c r="AM52" i="7" s="1"/>
  <c r="AG52" i="7"/>
  <c r="AL52" i="7" s="1"/>
  <c r="AJ51" i="7"/>
  <c r="AO51" i="7" s="1"/>
  <c r="AI51" i="7"/>
  <c r="AN51" i="7" s="1"/>
  <c r="AH51" i="7"/>
  <c r="AM51" i="7" s="1"/>
  <c r="AG51" i="7"/>
  <c r="AL51" i="7" s="1"/>
  <c r="AJ50" i="7"/>
  <c r="AO50" i="7" s="1"/>
  <c r="AI50" i="7"/>
  <c r="AN50" i="7" s="1"/>
  <c r="AH50" i="7"/>
  <c r="AM50" i="7" s="1"/>
  <c r="AG50" i="7"/>
  <c r="AL50" i="7" s="1"/>
  <c r="AJ49" i="7"/>
  <c r="AO49" i="7" s="1"/>
  <c r="AI49" i="7"/>
  <c r="AN49" i="7" s="1"/>
  <c r="AH49" i="7"/>
  <c r="AM49" i="7" s="1"/>
  <c r="AG49" i="7"/>
  <c r="AL49" i="7" s="1"/>
  <c r="AJ48" i="7"/>
  <c r="AO48" i="7" s="1"/>
  <c r="AI48" i="7"/>
  <c r="AN48" i="7" s="1"/>
  <c r="AH48" i="7"/>
  <c r="AM48" i="7" s="1"/>
  <c r="AG48" i="7"/>
  <c r="AL48" i="7" s="1"/>
  <c r="AJ47" i="7"/>
  <c r="AO47" i="7" s="1"/>
  <c r="AI47" i="7"/>
  <c r="AN47" i="7" s="1"/>
  <c r="AH47" i="7"/>
  <c r="AM47" i="7" s="1"/>
  <c r="AG47" i="7"/>
  <c r="AL47" i="7" s="1"/>
  <c r="AJ46" i="7"/>
  <c r="AO46" i="7" s="1"/>
  <c r="AI46" i="7"/>
  <c r="AN46" i="7" s="1"/>
  <c r="AH46" i="7"/>
  <c r="AM46" i="7" s="1"/>
  <c r="AG46" i="7"/>
  <c r="AL46" i="7" s="1"/>
  <c r="AJ45" i="7"/>
  <c r="AO45" i="7" s="1"/>
  <c r="AI45" i="7"/>
  <c r="AN45" i="7" s="1"/>
  <c r="AH45" i="7"/>
  <c r="AM45" i="7" s="1"/>
  <c r="AG45" i="7"/>
  <c r="AL45" i="7" s="1"/>
  <c r="AJ44" i="7"/>
  <c r="AO44" i="7" s="1"/>
  <c r="AI44" i="7"/>
  <c r="AN44" i="7" s="1"/>
  <c r="AH44" i="7"/>
  <c r="AM44" i="7" s="1"/>
  <c r="AG44" i="7"/>
  <c r="AL44" i="7" s="1"/>
  <c r="AJ40" i="7"/>
  <c r="AO40" i="7" s="1"/>
  <c r="AI40" i="7"/>
  <c r="AN40" i="7" s="1"/>
  <c r="AH40" i="7"/>
  <c r="AM40" i="7" s="1"/>
  <c r="AG40" i="7"/>
  <c r="AL40" i="7" s="1"/>
  <c r="AJ43" i="7"/>
  <c r="AO43" i="7" s="1"/>
  <c r="AI43" i="7"/>
  <c r="AN43" i="7" s="1"/>
  <c r="AH43" i="7"/>
  <c r="AM43" i="7" s="1"/>
  <c r="AG43" i="7"/>
  <c r="AL43" i="7" s="1"/>
  <c r="AJ34" i="7"/>
  <c r="AO34" i="7" s="1"/>
  <c r="AI34" i="7"/>
  <c r="AN34" i="7" s="1"/>
  <c r="AH34" i="7"/>
  <c r="AM34" i="7" s="1"/>
  <c r="AG34" i="7"/>
  <c r="AL34" i="7" s="1"/>
  <c r="AJ39" i="7"/>
  <c r="AO39" i="7" s="1"/>
  <c r="AI39" i="7"/>
  <c r="AN39" i="7" s="1"/>
  <c r="AH39" i="7"/>
  <c r="AM39" i="7" s="1"/>
  <c r="AG39" i="7"/>
  <c r="AL39" i="7" s="1"/>
  <c r="AJ42" i="7"/>
  <c r="AO42" i="7" s="1"/>
  <c r="AI42" i="7"/>
  <c r="AN42" i="7" s="1"/>
  <c r="AH42" i="7"/>
  <c r="AM42" i="7" s="1"/>
  <c r="AG42" i="7"/>
  <c r="AL42" i="7" s="1"/>
  <c r="AJ41" i="7"/>
  <c r="AO41" i="7" s="1"/>
  <c r="AI41" i="7"/>
  <c r="AN41" i="7" s="1"/>
  <c r="AH41" i="7"/>
  <c r="AM41" i="7" s="1"/>
  <c r="AG41" i="7"/>
  <c r="AL41" i="7" s="1"/>
  <c r="AJ26" i="7"/>
  <c r="AO26" i="7" s="1"/>
  <c r="AI26" i="7"/>
  <c r="AN26" i="7" s="1"/>
  <c r="AH26" i="7"/>
  <c r="AM26" i="7" s="1"/>
  <c r="AG26" i="7"/>
  <c r="AL26" i="7" s="1"/>
  <c r="AJ35" i="7"/>
  <c r="AO35" i="7" s="1"/>
  <c r="AI35" i="7"/>
  <c r="AN35" i="7" s="1"/>
  <c r="AH35" i="7"/>
  <c r="AM35" i="7" s="1"/>
  <c r="AG35" i="7"/>
  <c r="AL35" i="7" s="1"/>
  <c r="AJ33" i="7"/>
  <c r="AO33" i="7" s="1"/>
  <c r="AI33" i="7"/>
  <c r="AN33" i="7" s="1"/>
  <c r="AH33" i="7"/>
  <c r="AM33" i="7" s="1"/>
  <c r="AG33" i="7"/>
  <c r="AL33" i="7" s="1"/>
  <c r="AJ25" i="7"/>
  <c r="AO25" i="7" s="1"/>
  <c r="AI25" i="7"/>
  <c r="AN25" i="7" s="1"/>
  <c r="AH25" i="7"/>
  <c r="AM25" i="7" s="1"/>
  <c r="AG25" i="7"/>
  <c r="AL25" i="7" s="1"/>
  <c r="AJ29" i="7"/>
  <c r="AO29" i="7" s="1"/>
  <c r="AI29" i="7"/>
  <c r="AN29" i="7" s="1"/>
  <c r="AH29" i="7"/>
  <c r="AM29" i="7" s="1"/>
  <c r="AG29" i="7"/>
  <c r="AL29" i="7" s="1"/>
  <c r="AJ32" i="7"/>
  <c r="AO32" i="7" s="1"/>
  <c r="AI32" i="7"/>
  <c r="AN32" i="7" s="1"/>
  <c r="AH32" i="7"/>
  <c r="AM32" i="7" s="1"/>
  <c r="AG32" i="7"/>
  <c r="AL32" i="7" s="1"/>
  <c r="AJ37" i="7"/>
  <c r="AO37" i="7" s="1"/>
  <c r="AI37" i="7"/>
  <c r="AN37" i="7" s="1"/>
  <c r="AH37" i="7"/>
  <c r="AM37" i="7" s="1"/>
  <c r="AG37" i="7"/>
  <c r="AL37" i="7" s="1"/>
  <c r="AJ28" i="7"/>
  <c r="AO28" i="7" s="1"/>
  <c r="AI28" i="7"/>
  <c r="AN28" i="7" s="1"/>
  <c r="AH28" i="7"/>
  <c r="AM28" i="7" s="1"/>
  <c r="AG28" i="7"/>
  <c r="AL28" i="7" s="1"/>
  <c r="AJ31" i="7"/>
  <c r="AO31" i="7" s="1"/>
  <c r="AI31" i="7"/>
  <c r="AN31" i="7" s="1"/>
  <c r="AH31" i="7"/>
  <c r="AM31" i="7" s="1"/>
  <c r="AG31" i="7"/>
  <c r="AL31" i="7" s="1"/>
  <c r="AJ38" i="7"/>
  <c r="AO38" i="7" s="1"/>
  <c r="AI38" i="7"/>
  <c r="AN38" i="7" s="1"/>
  <c r="AH38" i="7"/>
  <c r="AM38" i="7" s="1"/>
  <c r="AG38" i="7"/>
  <c r="AL38" i="7" s="1"/>
  <c r="AJ36" i="7"/>
  <c r="AO36" i="7" s="1"/>
  <c r="AI36" i="7"/>
  <c r="AN36" i="7" s="1"/>
  <c r="AH36" i="7"/>
  <c r="AM36" i="7" s="1"/>
  <c r="AG36" i="7"/>
  <c r="AL36" i="7" s="1"/>
  <c r="AJ30" i="7"/>
  <c r="AO30" i="7" s="1"/>
  <c r="AI30" i="7"/>
  <c r="AN30" i="7" s="1"/>
  <c r="AH30" i="7"/>
  <c r="AM30" i="7" s="1"/>
  <c r="AG30" i="7"/>
  <c r="AL30" i="7" s="1"/>
  <c r="AJ27" i="7"/>
  <c r="AO27" i="7" s="1"/>
  <c r="AI27" i="7"/>
  <c r="AN27" i="7" s="1"/>
  <c r="AH27" i="7"/>
  <c r="AM27" i="7" s="1"/>
  <c r="AG27" i="7"/>
  <c r="AL27" i="7" s="1"/>
  <c r="AJ24" i="7"/>
  <c r="AO24" i="7" s="1"/>
  <c r="AI24" i="7"/>
  <c r="AN24" i="7" s="1"/>
  <c r="AH24" i="7"/>
  <c r="AM24" i="7" s="1"/>
  <c r="AG24" i="7"/>
  <c r="AL24" i="7" s="1"/>
  <c r="AJ23" i="7"/>
  <c r="AO23" i="7" s="1"/>
  <c r="AI23" i="7"/>
  <c r="AN23" i="7" s="1"/>
  <c r="AH23" i="7"/>
  <c r="AM23" i="7" s="1"/>
  <c r="AG23" i="7"/>
  <c r="AL23" i="7" s="1"/>
  <c r="AJ22" i="7"/>
  <c r="AO22" i="7" s="1"/>
  <c r="AI22" i="7"/>
  <c r="AN22" i="7" s="1"/>
  <c r="AH22" i="7"/>
  <c r="AM22" i="7" s="1"/>
  <c r="AG22" i="7"/>
  <c r="AL22" i="7" s="1"/>
  <c r="AJ21" i="7"/>
  <c r="AO21" i="7" s="1"/>
  <c r="AI21" i="7"/>
  <c r="AN21" i="7" s="1"/>
  <c r="AH21" i="7"/>
  <c r="AM21" i="7" s="1"/>
  <c r="AG21" i="7"/>
  <c r="AL21" i="7" s="1"/>
  <c r="AJ20" i="7"/>
  <c r="AO20" i="7" s="1"/>
  <c r="AI20" i="7"/>
  <c r="AN20" i="7" s="1"/>
  <c r="AH20" i="7"/>
  <c r="AM20" i="7" s="1"/>
  <c r="AG20" i="7"/>
  <c r="AL20" i="7" s="1"/>
  <c r="AJ19" i="7"/>
  <c r="AO19" i="7" s="1"/>
  <c r="AI19" i="7"/>
  <c r="AN19" i="7" s="1"/>
  <c r="AH19" i="7"/>
  <c r="AM19" i="7" s="1"/>
  <c r="AG19" i="7"/>
  <c r="AL19" i="7" s="1"/>
  <c r="AJ18" i="7"/>
  <c r="AO18" i="7" s="1"/>
  <c r="AI18" i="7"/>
  <c r="AN18" i="7" s="1"/>
  <c r="AH18" i="7"/>
  <c r="AM18" i="7" s="1"/>
  <c r="AG18" i="7"/>
  <c r="AL18" i="7" s="1"/>
  <c r="AJ17" i="7"/>
  <c r="AO17" i="7" s="1"/>
  <c r="AI17" i="7"/>
  <c r="AN17" i="7" s="1"/>
  <c r="AH17" i="7"/>
  <c r="AM17" i="7" s="1"/>
  <c r="AG17" i="7"/>
  <c r="AL17" i="7" s="1"/>
  <c r="AJ16" i="7"/>
  <c r="AO16" i="7" s="1"/>
  <c r="AI16" i="7"/>
  <c r="AN16" i="7" s="1"/>
  <c r="AH16" i="7"/>
  <c r="AM16" i="7" s="1"/>
  <c r="AG16" i="7"/>
  <c r="AL16" i="7" s="1"/>
  <c r="AJ15" i="7"/>
  <c r="AO15" i="7" s="1"/>
  <c r="AI15" i="7"/>
  <c r="AN15" i="7" s="1"/>
  <c r="AH15" i="7"/>
  <c r="AM15" i="7" s="1"/>
  <c r="AG15" i="7"/>
  <c r="AL15" i="7" s="1"/>
  <c r="AJ14" i="7"/>
  <c r="AO14" i="7" s="1"/>
  <c r="AI14" i="7"/>
  <c r="AN14" i="7" s="1"/>
  <c r="AH14" i="7"/>
  <c r="AM14" i="7" s="1"/>
  <c r="AG14" i="7"/>
  <c r="AL14" i="7" s="1"/>
  <c r="AJ13" i="7"/>
  <c r="AO13" i="7" s="1"/>
  <c r="AI13" i="7"/>
  <c r="AN13" i="7" s="1"/>
  <c r="AH13" i="7"/>
  <c r="AM13" i="7" s="1"/>
  <c r="AG13" i="7"/>
  <c r="AL13" i="7" s="1"/>
  <c r="AJ12" i="7"/>
  <c r="AO12" i="7" s="1"/>
  <c r="AI12" i="7"/>
  <c r="AN12" i="7" s="1"/>
  <c r="AH12" i="7"/>
  <c r="AM12" i="7" s="1"/>
  <c r="AG12" i="7"/>
  <c r="AL12" i="7" s="1"/>
  <c r="AJ11" i="7"/>
  <c r="AO11" i="7" s="1"/>
  <c r="AI11" i="7"/>
  <c r="AN11" i="7" s="1"/>
  <c r="AH11" i="7"/>
  <c r="AM11" i="7" s="1"/>
  <c r="AG11" i="7"/>
  <c r="AL11" i="7" s="1"/>
  <c r="AL10" i="7"/>
  <c r="AJ10" i="7"/>
  <c r="AO10" i="7" s="1"/>
  <c r="AI10" i="7"/>
  <c r="AN10" i="7" s="1"/>
  <c r="AH10" i="7"/>
  <c r="AM10" i="7" s="1"/>
  <c r="AG10" i="7"/>
  <c r="AJ9" i="7"/>
  <c r="AO9" i="7" s="1"/>
  <c r="AI9" i="7"/>
  <c r="AN9" i="7" s="1"/>
  <c r="AH9" i="7"/>
  <c r="AM9" i="7" s="1"/>
  <c r="AG9" i="7"/>
  <c r="AL9" i="7" s="1"/>
  <c r="AN8" i="7"/>
  <c r="AJ8" i="7"/>
  <c r="AO8" i="7" s="1"/>
  <c r="AI8" i="7"/>
  <c r="AH8" i="7"/>
  <c r="AM8" i="7" s="1"/>
  <c r="AG8" i="7"/>
  <c r="AL8" i="7" s="1"/>
  <c r="AJ7" i="7"/>
  <c r="AO7" i="7" s="1"/>
  <c r="AI7" i="7"/>
  <c r="AN7" i="7" s="1"/>
  <c r="AH7" i="7"/>
  <c r="AM7" i="7" s="1"/>
  <c r="AG7" i="7"/>
  <c r="AL7" i="7" s="1"/>
  <c r="AJ6" i="7"/>
  <c r="AO6" i="7" s="1"/>
  <c r="AI6" i="7"/>
  <c r="AN6" i="7" s="1"/>
  <c r="AH6" i="7"/>
  <c r="AM6" i="7" s="1"/>
  <c r="AG6" i="7"/>
  <c r="AL6" i="7" s="1"/>
  <c r="AJ232" i="6"/>
  <c r="AO232" i="6" s="1"/>
  <c r="AI232" i="6"/>
  <c r="AN232" i="6" s="1"/>
  <c r="AH232" i="6"/>
  <c r="AM232" i="6" s="1"/>
  <c r="AG232" i="6"/>
  <c r="AL232" i="6" s="1"/>
  <c r="AJ231" i="6"/>
  <c r="AO231" i="6" s="1"/>
  <c r="AI231" i="6"/>
  <c r="AN231" i="6" s="1"/>
  <c r="AH231" i="6"/>
  <c r="AM231" i="6" s="1"/>
  <c r="AG231" i="6"/>
  <c r="AL231" i="6" s="1"/>
  <c r="AJ230" i="6"/>
  <c r="AO230" i="6" s="1"/>
  <c r="AI230" i="6"/>
  <c r="AN230" i="6" s="1"/>
  <c r="AH230" i="6"/>
  <c r="AM230" i="6" s="1"/>
  <c r="AG230" i="6"/>
  <c r="AL230" i="6" s="1"/>
  <c r="AJ229" i="6"/>
  <c r="AO229" i="6" s="1"/>
  <c r="AI229" i="6"/>
  <c r="AN229" i="6" s="1"/>
  <c r="AH229" i="6"/>
  <c r="AM229" i="6" s="1"/>
  <c r="AG229" i="6"/>
  <c r="AL229" i="6" s="1"/>
  <c r="AJ228" i="6"/>
  <c r="AO228" i="6" s="1"/>
  <c r="AI228" i="6"/>
  <c r="AN228" i="6" s="1"/>
  <c r="AH228" i="6"/>
  <c r="AM228" i="6" s="1"/>
  <c r="AG228" i="6"/>
  <c r="AL228" i="6" s="1"/>
  <c r="AJ227" i="6"/>
  <c r="AO227" i="6" s="1"/>
  <c r="AI227" i="6"/>
  <c r="AN227" i="6" s="1"/>
  <c r="AH227" i="6"/>
  <c r="AM227" i="6" s="1"/>
  <c r="AG227" i="6"/>
  <c r="AL227" i="6" s="1"/>
  <c r="AJ226" i="6"/>
  <c r="AO226" i="6" s="1"/>
  <c r="AI226" i="6"/>
  <c r="AN226" i="6" s="1"/>
  <c r="AH226" i="6"/>
  <c r="AM226" i="6" s="1"/>
  <c r="AG226" i="6"/>
  <c r="AL226" i="6" s="1"/>
  <c r="AJ225" i="6"/>
  <c r="AO225" i="6" s="1"/>
  <c r="AI225" i="6"/>
  <c r="AN225" i="6" s="1"/>
  <c r="AH225" i="6"/>
  <c r="AM225" i="6" s="1"/>
  <c r="AG225" i="6"/>
  <c r="AL225" i="6" s="1"/>
  <c r="AJ224" i="6"/>
  <c r="AO224" i="6" s="1"/>
  <c r="AI224" i="6"/>
  <c r="AN224" i="6" s="1"/>
  <c r="AH224" i="6"/>
  <c r="AM224" i="6" s="1"/>
  <c r="AG224" i="6"/>
  <c r="AL224" i="6" s="1"/>
  <c r="AJ223" i="6"/>
  <c r="AO223" i="6" s="1"/>
  <c r="AI223" i="6"/>
  <c r="AN223" i="6" s="1"/>
  <c r="AH223" i="6"/>
  <c r="AM223" i="6" s="1"/>
  <c r="AG223" i="6"/>
  <c r="AL223" i="6" s="1"/>
  <c r="AJ222" i="6"/>
  <c r="AO222" i="6" s="1"/>
  <c r="AI222" i="6"/>
  <c r="AN222" i="6" s="1"/>
  <c r="AH222" i="6"/>
  <c r="AM222" i="6" s="1"/>
  <c r="AG222" i="6"/>
  <c r="AL222" i="6" s="1"/>
  <c r="AJ221" i="6"/>
  <c r="AO221" i="6" s="1"/>
  <c r="AI221" i="6"/>
  <c r="AN221" i="6" s="1"/>
  <c r="AH221" i="6"/>
  <c r="AM221" i="6" s="1"/>
  <c r="AG221" i="6"/>
  <c r="AL221" i="6" s="1"/>
  <c r="AJ220" i="6"/>
  <c r="AO220" i="6" s="1"/>
  <c r="AI220" i="6"/>
  <c r="AN220" i="6" s="1"/>
  <c r="AH220" i="6"/>
  <c r="AM220" i="6" s="1"/>
  <c r="AG220" i="6"/>
  <c r="AL220" i="6" s="1"/>
  <c r="AJ219" i="6"/>
  <c r="AO219" i="6" s="1"/>
  <c r="AI219" i="6"/>
  <c r="AN219" i="6" s="1"/>
  <c r="AH219" i="6"/>
  <c r="AM219" i="6" s="1"/>
  <c r="AG219" i="6"/>
  <c r="AL219" i="6" s="1"/>
  <c r="AJ218" i="6"/>
  <c r="AO218" i="6" s="1"/>
  <c r="AI218" i="6"/>
  <c r="AN218" i="6" s="1"/>
  <c r="AH218" i="6"/>
  <c r="AM218" i="6" s="1"/>
  <c r="AG218" i="6"/>
  <c r="AL218" i="6" s="1"/>
  <c r="AJ217" i="6"/>
  <c r="AO217" i="6" s="1"/>
  <c r="AI217" i="6"/>
  <c r="AN217" i="6" s="1"/>
  <c r="AH217" i="6"/>
  <c r="AM217" i="6" s="1"/>
  <c r="AG217" i="6"/>
  <c r="AL217" i="6" s="1"/>
  <c r="AJ216" i="6"/>
  <c r="AO216" i="6" s="1"/>
  <c r="AI216" i="6"/>
  <c r="AN216" i="6" s="1"/>
  <c r="AH216" i="6"/>
  <c r="AM216" i="6" s="1"/>
  <c r="AG216" i="6"/>
  <c r="AL216" i="6" s="1"/>
  <c r="AJ215" i="6"/>
  <c r="AO215" i="6" s="1"/>
  <c r="AI215" i="6"/>
  <c r="AN215" i="6" s="1"/>
  <c r="AH215" i="6"/>
  <c r="AM215" i="6" s="1"/>
  <c r="AG215" i="6"/>
  <c r="AL215" i="6" s="1"/>
  <c r="AJ214" i="6"/>
  <c r="AO214" i="6" s="1"/>
  <c r="AI214" i="6"/>
  <c r="AN214" i="6" s="1"/>
  <c r="AH214" i="6"/>
  <c r="AM214" i="6" s="1"/>
  <c r="AG214" i="6"/>
  <c r="AL214" i="6" s="1"/>
  <c r="AJ213" i="6"/>
  <c r="AO213" i="6" s="1"/>
  <c r="AI213" i="6"/>
  <c r="AN213" i="6" s="1"/>
  <c r="AH213" i="6"/>
  <c r="AM213" i="6" s="1"/>
  <c r="AG213" i="6"/>
  <c r="AL213" i="6" s="1"/>
  <c r="AJ212" i="6"/>
  <c r="AO212" i="6" s="1"/>
  <c r="AI212" i="6"/>
  <c r="AN212" i="6" s="1"/>
  <c r="AH212" i="6"/>
  <c r="AM212" i="6" s="1"/>
  <c r="AG212" i="6"/>
  <c r="AL212" i="6" s="1"/>
  <c r="AJ211" i="6"/>
  <c r="AO211" i="6" s="1"/>
  <c r="AI211" i="6"/>
  <c r="AN211" i="6" s="1"/>
  <c r="AH211" i="6"/>
  <c r="AM211" i="6" s="1"/>
  <c r="AG211" i="6"/>
  <c r="AL211" i="6" s="1"/>
  <c r="AJ210" i="6"/>
  <c r="AO210" i="6" s="1"/>
  <c r="AI210" i="6"/>
  <c r="AN210" i="6" s="1"/>
  <c r="AH210" i="6"/>
  <c r="AM210" i="6" s="1"/>
  <c r="AG210" i="6"/>
  <c r="AL210" i="6" s="1"/>
  <c r="AJ209" i="6"/>
  <c r="AO209" i="6" s="1"/>
  <c r="AI209" i="6"/>
  <c r="AN209" i="6" s="1"/>
  <c r="AH209" i="6"/>
  <c r="AM209" i="6" s="1"/>
  <c r="AG209" i="6"/>
  <c r="AL209" i="6" s="1"/>
  <c r="AJ208" i="6"/>
  <c r="AO208" i="6" s="1"/>
  <c r="AI208" i="6"/>
  <c r="AN208" i="6" s="1"/>
  <c r="AH208" i="6"/>
  <c r="AM208" i="6" s="1"/>
  <c r="AG208" i="6"/>
  <c r="AL208" i="6" s="1"/>
  <c r="AJ207" i="6"/>
  <c r="AO207" i="6" s="1"/>
  <c r="AI207" i="6"/>
  <c r="AN207" i="6" s="1"/>
  <c r="AH207" i="6"/>
  <c r="AM207" i="6" s="1"/>
  <c r="AG207" i="6"/>
  <c r="AL207" i="6" s="1"/>
  <c r="AJ206" i="6"/>
  <c r="AO206" i="6" s="1"/>
  <c r="AI206" i="6"/>
  <c r="AN206" i="6" s="1"/>
  <c r="AH206" i="6"/>
  <c r="AM206" i="6" s="1"/>
  <c r="AG206" i="6"/>
  <c r="AL206" i="6" s="1"/>
  <c r="AJ205" i="6"/>
  <c r="AO205" i="6" s="1"/>
  <c r="AI205" i="6"/>
  <c r="AN205" i="6" s="1"/>
  <c r="AH205" i="6"/>
  <c r="AM205" i="6" s="1"/>
  <c r="AG205" i="6"/>
  <c r="AL205" i="6" s="1"/>
  <c r="AJ204" i="6"/>
  <c r="AO204" i="6" s="1"/>
  <c r="AI204" i="6"/>
  <c r="AN204" i="6" s="1"/>
  <c r="AH204" i="6"/>
  <c r="AM204" i="6" s="1"/>
  <c r="AG204" i="6"/>
  <c r="AL204" i="6" s="1"/>
  <c r="AJ203" i="6"/>
  <c r="AO203" i="6" s="1"/>
  <c r="AI203" i="6"/>
  <c r="AN203" i="6" s="1"/>
  <c r="AH203" i="6"/>
  <c r="AM203" i="6" s="1"/>
  <c r="AG203" i="6"/>
  <c r="AL203" i="6" s="1"/>
  <c r="AJ202" i="6"/>
  <c r="AO202" i="6" s="1"/>
  <c r="AI202" i="6"/>
  <c r="AN202" i="6" s="1"/>
  <c r="AH202" i="6"/>
  <c r="AM202" i="6" s="1"/>
  <c r="AG202" i="6"/>
  <c r="AL202" i="6" s="1"/>
  <c r="AJ201" i="6"/>
  <c r="AO201" i="6" s="1"/>
  <c r="AI201" i="6"/>
  <c r="AN201" i="6" s="1"/>
  <c r="AH201" i="6"/>
  <c r="AM201" i="6" s="1"/>
  <c r="AG201" i="6"/>
  <c r="AL201" i="6" s="1"/>
  <c r="AJ200" i="6"/>
  <c r="AO200" i="6" s="1"/>
  <c r="AI200" i="6"/>
  <c r="AN200" i="6" s="1"/>
  <c r="AH200" i="6"/>
  <c r="AM200" i="6" s="1"/>
  <c r="AG200" i="6"/>
  <c r="AL200" i="6" s="1"/>
  <c r="AJ199" i="6"/>
  <c r="AO199" i="6" s="1"/>
  <c r="AI199" i="6"/>
  <c r="AN199" i="6" s="1"/>
  <c r="AH199" i="6"/>
  <c r="AM199" i="6" s="1"/>
  <c r="AG199" i="6"/>
  <c r="AL199" i="6" s="1"/>
  <c r="AJ198" i="6"/>
  <c r="AO198" i="6" s="1"/>
  <c r="AI198" i="6"/>
  <c r="AN198" i="6" s="1"/>
  <c r="AH198" i="6"/>
  <c r="AM198" i="6" s="1"/>
  <c r="AG198" i="6"/>
  <c r="AL198" i="6" s="1"/>
  <c r="AJ197" i="6"/>
  <c r="AO197" i="6" s="1"/>
  <c r="AI197" i="6"/>
  <c r="AN197" i="6" s="1"/>
  <c r="AH197" i="6"/>
  <c r="AM197" i="6" s="1"/>
  <c r="AG197" i="6"/>
  <c r="AL197" i="6" s="1"/>
  <c r="AJ196" i="6"/>
  <c r="AO196" i="6" s="1"/>
  <c r="AI196" i="6"/>
  <c r="AN196" i="6" s="1"/>
  <c r="AH196" i="6"/>
  <c r="AM196" i="6" s="1"/>
  <c r="AG196" i="6"/>
  <c r="AL196" i="6" s="1"/>
  <c r="AJ195" i="6"/>
  <c r="AO195" i="6" s="1"/>
  <c r="AI195" i="6"/>
  <c r="AN195" i="6" s="1"/>
  <c r="AH195" i="6"/>
  <c r="AM195" i="6" s="1"/>
  <c r="AG195" i="6"/>
  <c r="AL195" i="6" s="1"/>
  <c r="AJ194" i="6"/>
  <c r="AO194" i="6" s="1"/>
  <c r="AI194" i="6"/>
  <c r="AN194" i="6" s="1"/>
  <c r="AH194" i="6"/>
  <c r="AM194" i="6" s="1"/>
  <c r="AG194" i="6"/>
  <c r="AL194" i="6" s="1"/>
  <c r="AJ193" i="6"/>
  <c r="AO193" i="6" s="1"/>
  <c r="AI193" i="6"/>
  <c r="AN193" i="6" s="1"/>
  <c r="AH193" i="6"/>
  <c r="AM193" i="6" s="1"/>
  <c r="AG193" i="6"/>
  <c r="AL193" i="6" s="1"/>
  <c r="AJ192" i="6"/>
  <c r="AO192" i="6" s="1"/>
  <c r="AI192" i="6"/>
  <c r="AN192" i="6" s="1"/>
  <c r="AH192" i="6"/>
  <c r="AM192" i="6" s="1"/>
  <c r="AG192" i="6"/>
  <c r="AL192" i="6" s="1"/>
  <c r="AJ191" i="6"/>
  <c r="AO191" i="6" s="1"/>
  <c r="AI191" i="6"/>
  <c r="AN191" i="6" s="1"/>
  <c r="AH191" i="6"/>
  <c r="AM191" i="6" s="1"/>
  <c r="AG191" i="6"/>
  <c r="AL191" i="6" s="1"/>
  <c r="AJ190" i="6"/>
  <c r="AO190" i="6" s="1"/>
  <c r="AI190" i="6"/>
  <c r="AN190" i="6" s="1"/>
  <c r="AH190" i="6"/>
  <c r="AM190" i="6" s="1"/>
  <c r="AG190" i="6"/>
  <c r="AL190" i="6" s="1"/>
  <c r="AJ189" i="6"/>
  <c r="AO189" i="6" s="1"/>
  <c r="AI189" i="6"/>
  <c r="AN189" i="6" s="1"/>
  <c r="AH189" i="6"/>
  <c r="AM189" i="6" s="1"/>
  <c r="AG189" i="6"/>
  <c r="AL189" i="6" s="1"/>
  <c r="AJ188" i="6"/>
  <c r="AO188" i="6" s="1"/>
  <c r="AI188" i="6"/>
  <c r="AN188" i="6" s="1"/>
  <c r="AH188" i="6"/>
  <c r="AM188" i="6" s="1"/>
  <c r="AG188" i="6"/>
  <c r="AL188" i="6" s="1"/>
  <c r="AJ187" i="6"/>
  <c r="AO187" i="6" s="1"/>
  <c r="AI187" i="6"/>
  <c r="AN187" i="6" s="1"/>
  <c r="AH187" i="6"/>
  <c r="AM187" i="6" s="1"/>
  <c r="AG187" i="6"/>
  <c r="AL187" i="6" s="1"/>
  <c r="AO186" i="6"/>
  <c r="AJ186" i="6"/>
  <c r="AI186" i="6"/>
  <c r="AN186" i="6" s="1"/>
  <c r="AH186" i="6"/>
  <c r="AM186" i="6" s="1"/>
  <c r="AG186" i="6"/>
  <c r="AL186" i="6" s="1"/>
  <c r="AJ185" i="6"/>
  <c r="AO185" i="6" s="1"/>
  <c r="AI185" i="6"/>
  <c r="AN185" i="6" s="1"/>
  <c r="AH185" i="6"/>
  <c r="AM185" i="6" s="1"/>
  <c r="AG185" i="6"/>
  <c r="AL185" i="6" s="1"/>
  <c r="AJ184" i="6"/>
  <c r="AO184" i="6" s="1"/>
  <c r="AI184" i="6"/>
  <c r="AN184" i="6" s="1"/>
  <c r="AH184" i="6"/>
  <c r="AM184" i="6" s="1"/>
  <c r="AG184" i="6"/>
  <c r="AL184" i="6" s="1"/>
  <c r="AJ183" i="6"/>
  <c r="AO183" i="6" s="1"/>
  <c r="AI183" i="6"/>
  <c r="AN183" i="6" s="1"/>
  <c r="AH183" i="6"/>
  <c r="AM183" i="6" s="1"/>
  <c r="AG183" i="6"/>
  <c r="AL183" i="6" s="1"/>
  <c r="AJ182" i="6"/>
  <c r="AO182" i="6" s="1"/>
  <c r="AI182" i="6"/>
  <c r="AN182" i="6" s="1"/>
  <c r="AH182" i="6"/>
  <c r="AM182" i="6" s="1"/>
  <c r="AG182" i="6"/>
  <c r="AL182" i="6" s="1"/>
  <c r="AJ181" i="6"/>
  <c r="AO181" i="6" s="1"/>
  <c r="AI181" i="6"/>
  <c r="AN181" i="6" s="1"/>
  <c r="AH181" i="6"/>
  <c r="AM181" i="6" s="1"/>
  <c r="AG181" i="6"/>
  <c r="AL181" i="6" s="1"/>
  <c r="AJ180" i="6"/>
  <c r="AO180" i="6" s="1"/>
  <c r="AI180" i="6"/>
  <c r="AN180" i="6" s="1"/>
  <c r="AH180" i="6"/>
  <c r="AM180" i="6" s="1"/>
  <c r="AG180" i="6"/>
  <c r="AL180" i="6" s="1"/>
  <c r="AJ179" i="6"/>
  <c r="AO179" i="6" s="1"/>
  <c r="AI179" i="6"/>
  <c r="AN179" i="6" s="1"/>
  <c r="AH179" i="6"/>
  <c r="AM179" i="6" s="1"/>
  <c r="AG179" i="6"/>
  <c r="AL179" i="6" s="1"/>
  <c r="AJ178" i="6"/>
  <c r="AO178" i="6" s="1"/>
  <c r="AI178" i="6"/>
  <c r="AN178" i="6" s="1"/>
  <c r="AH178" i="6"/>
  <c r="AM178" i="6" s="1"/>
  <c r="AG178" i="6"/>
  <c r="AL178" i="6" s="1"/>
  <c r="AJ177" i="6"/>
  <c r="AO177" i="6" s="1"/>
  <c r="AI177" i="6"/>
  <c r="AN177" i="6" s="1"/>
  <c r="AH177" i="6"/>
  <c r="AM177" i="6" s="1"/>
  <c r="AG177" i="6"/>
  <c r="AL177" i="6" s="1"/>
  <c r="AJ176" i="6"/>
  <c r="AO176" i="6" s="1"/>
  <c r="AI176" i="6"/>
  <c r="AN176" i="6" s="1"/>
  <c r="AH176" i="6"/>
  <c r="AM176" i="6" s="1"/>
  <c r="AG176" i="6"/>
  <c r="AL176" i="6" s="1"/>
  <c r="AJ175" i="6"/>
  <c r="AO175" i="6" s="1"/>
  <c r="AI175" i="6"/>
  <c r="AN175" i="6" s="1"/>
  <c r="AH175" i="6"/>
  <c r="AM175" i="6" s="1"/>
  <c r="AG175" i="6"/>
  <c r="AL175" i="6" s="1"/>
  <c r="AJ174" i="6"/>
  <c r="AO174" i="6" s="1"/>
  <c r="AI174" i="6"/>
  <c r="AN174" i="6" s="1"/>
  <c r="AH174" i="6"/>
  <c r="AM174" i="6" s="1"/>
  <c r="AG174" i="6"/>
  <c r="AL174" i="6" s="1"/>
  <c r="AJ173" i="6"/>
  <c r="AO173" i="6" s="1"/>
  <c r="AI173" i="6"/>
  <c r="AN173" i="6" s="1"/>
  <c r="AH173" i="6"/>
  <c r="AM173" i="6" s="1"/>
  <c r="AG173" i="6"/>
  <c r="AL173" i="6" s="1"/>
  <c r="AJ172" i="6"/>
  <c r="AO172" i="6" s="1"/>
  <c r="AI172" i="6"/>
  <c r="AN172" i="6" s="1"/>
  <c r="AH172" i="6"/>
  <c r="AM172" i="6" s="1"/>
  <c r="AG172" i="6"/>
  <c r="AL172" i="6" s="1"/>
  <c r="AJ171" i="6"/>
  <c r="AO171" i="6" s="1"/>
  <c r="AI171" i="6"/>
  <c r="AN171" i="6" s="1"/>
  <c r="AH171" i="6"/>
  <c r="AM171" i="6" s="1"/>
  <c r="AG171" i="6"/>
  <c r="AL171" i="6" s="1"/>
  <c r="AJ170" i="6"/>
  <c r="AO170" i="6" s="1"/>
  <c r="AI170" i="6"/>
  <c r="AN170" i="6" s="1"/>
  <c r="AH170" i="6"/>
  <c r="AM170" i="6" s="1"/>
  <c r="AG170" i="6"/>
  <c r="AL170" i="6" s="1"/>
  <c r="AJ169" i="6"/>
  <c r="AO169" i="6" s="1"/>
  <c r="AI169" i="6"/>
  <c r="AN169" i="6" s="1"/>
  <c r="AH169" i="6"/>
  <c r="AM169" i="6" s="1"/>
  <c r="AG169" i="6"/>
  <c r="AL169" i="6" s="1"/>
  <c r="AJ168" i="6"/>
  <c r="AO168" i="6" s="1"/>
  <c r="AI168" i="6"/>
  <c r="AN168" i="6" s="1"/>
  <c r="AH168" i="6"/>
  <c r="AM168" i="6" s="1"/>
  <c r="AG168" i="6"/>
  <c r="AL168" i="6" s="1"/>
  <c r="AJ167" i="6"/>
  <c r="AO167" i="6" s="1"/>
  <c r="AI167" i="6"/>
  <c r="AN167" i="6" s="1"/>
  <c r="AH167" i="6"/>
  <c r="AM167" i="6" s="1"/>
  <c r="AG167" i="6"/>
  <c r="AL167" i="6" s="1"/>
  <c r="AJ166" i="6"/>
  <c r="AO166" i="6" s="1"/>
  <c r="AI166" i="6"/>
  <c r="AN166" i="6" s="1"/>
  <c r="AH166" i="6"/>
  <c r="AM166" i="6" s="1"/>
  <c r="AG166" i="6"/>
  <c r="AL166" i="6" s="1"/>
  <c r="AJ165" i="6"/>
  <c r="AO165" i="6" s="1"/>
  <c r="AI165" i="6"/>
  <c r="AN165" i="6" s="1"/>
  <c r="AH165" i="6"/>
  <c r="AM165" i="6" s="1"/>
  <c r="AG165" i="6"/>
  <c r="AL165" i="6" s="1"/>
  <c r="AJ164" i="6"/>
  <c r="AO164" i="6" s="1"/>
  <c r="AI164" i="6"/>
  <c r="AN164" i="6" s="1"/>
  <c r="AH164" i="6"/>
  <c r="AM164" i="6" s="1"/>
  <c r="AG164" i="6"/>
  <c r="AL164" i="6" s="1"/>
  <c r="AJ163" i="6"/>
  <c r="AO163" i="6" s="1"/>
  <c r="AI163" i="6"/>
  <c r="AN163" i="6" s="1"/>
  <c r="AH163" i="6"/>
  <c r="AM163" i="6" s="1"/>
  <c r="AG163" i="6"/>
  <c r="AL163" i="6" s="1"/>
  <c r="AJ162" i="6"/>
  <c r="AO162" i="6" s="1"/>
  <c r="AI162" i="6"/>
  <c r="AN162" i="6" s="1"/>
  <c r="AH162" i="6"/>
  <c r="AM162" i="6" s="1"/>
  <c r="AG162" i="6"/>
  <c r="AL162" i="6" s="1"/>
  <c r="AJ161" i="6"/>
  <c r="AO161" i="6" s="1"/>
  <c r="AI161" i="6"/>
  <c r="AN161" i="6" s="1"/>
  <c r="AH161" i="6"/>
  <c r="AM161" i="6" s="1"/>
  <c r="AG161" i="6"/>
  <c r="AL161" i="6" s="1"/>
  <c r="AJ160" i="6"/>
  <c r="AO160" i="6" s="1"/>
  <c r="AI160" i="6"/>
  <c r="AN160" i="6" s="1"/>
  <c r="AH160" i="6"/>
  <c r="AM160" i="6" s="1"/>
  <c r="AG160" i="6"/>
  <c r="AL160" i="6" s="1"/>
  <c r="AJ159" i="6"/>
  <c r="AO159" i="6" s="1"/>
  <c r="AI159" i="6"/>
  <c r="AN159" i="6" s="1"/>
  <c r="AH159" i="6"/>
  <c r="AM159" i="6" s="1"/>
  <c r="AG159" i="6"/>
  <c r="AL159" i="6" s="1"/>
  <c r="AJ158" i="6"/>
  <c r="AO158" i="6" s="1"/>
  <c r="AI158" i="6"/>
  <c r="AN158" i="6" s="1"/>
  <c r="AH158" i="6"/>
  <c r="AM158" i="6" s="1"/>
  <c r="AG158" i="6"/>
  <c r="AL158" i="6" s="1"/>
  <c r="AJ157" i="6"/>
  <c r="AO157" i="6" s="1"/>
  <c r="AI157" i="6"/>
  <c r="AN157" i="6" s="1"/>
  <c r="AH157" i="6"/>
  <c r="AM157" i="6" s="1"/>
  <c r="AG157" i="6"/>
  <c r="AL157" i="6" s="1"/>
  <c r="AJ156" i="6"/>
  <c r="AO156" i="6" s="1"/>
  <c r="AI156" i="6"/>
  <c r="AN156" i="6" s="1"/>
  <c r="AH156" i="6"/>
  <c r="AM156" i="6" s="1"/>
  <c r="AG156" i="6"/>
  <c r="AL156" i="6" s="1"/>
  <c r="AJ155" i="6"/>
  <c r="AO155" i="6" s="1"/>
  <c r="AI155" i="6"/>
  <c r="AN155" i="6" s="1"/>
  <c r="AH155" i="6"/>
  <c r="AM155" i="6" s="1"/>
  <c r="AG155" i="6"/>
  <c r="AL155" i="6" s="1"/>
  <c r="AJ154" i="6"/>
  <c r="AO154" i="6" s="1"/>
  <c r="AI154" i="6"/>
  <c r="AN154" i="6" s="1"/>
  <c r="AH154" i="6"/>
  <c r="AM154" i="6" s="1"/>
  <c r="AG154" i="6"/>
  <c r="AL154" i="6" s="1"/>
  <c r="AJ153" i="6"/>
  <c r="AO153" i="6" s="1"/>
  <c r="AI153" i="6"/>
  <c r="AN153" i="6" s="1"/>
  <c r="AH153" i="6"/>
  <c r="AM153" i="6" s="1"/>
  <c r="AG153" i="6"/>
  <c r="AL153" i="6" s="1"/>
  <c r="AJ152" i="6"/>
  <c r="AO152" i="6" s="1"/>
  <c r="AI152" i="6"/>
  <c r="AN152" i="6" s="1"/>
  <c r="AH152" i="6"/>
  <c r="AM152" i="6" s="1"/>
  <c r="AG152" i="6"/>
  <c r="AL152" i="6" s="1"/>
  <c r="AJ151" i="6"/>
  <c r="AO151" i="6" s="1"/>
  <c r="AI151" i="6"/>
  <c r="AN151" i="6" s="1"/>
  <c r="AH151" i="6"/>
  <c r="AM151" i="6" s="1"/>
  <c r="AG151" i="6"/>
  <c r="AL151" i="6" s="1"/>
  <c r="AJ150" i="6"/>
  <c r="AO150" i="6" s="1"/>
  <c r="AI150" i="6"/>
  <c r="AN150" i="6" s="1"/>
  <c r="AH150" i="6"/>
  <c r="AM150" i="6" s="1"/>
  <c r="AG150" i="6"/>
  <c r="AL150" i="6" s="1"/>
  <c r="AJ149" i="6"/>
  <c r="AO149" i="6" s="1"/>
  <c r="AI149" i="6"/>
  <c r="AN149" i="6" s="1"/>
  <c r="AH149" i="6"/>
  <c r="AM149" i="6" s="1"/>
  <c r="AG149" i="6"/>
  <c r="AL149" i="6" s="1"/>
  <c r="AJ148" i="6"/>
  <c r="AO148" i="6" s="1"/>
  <c r="AI148" i="6"/>
  <c r="AN148" i="6" s="1"/>
  <c r="AH148" i="6"/>
  <c r="AM148" i="6" s="1"/>
  <c r="AG148" i="6"/>
  <c r="AL148" i="6" s="1"/>
  <c r="AJ147" i="6"/>
  <c r="AO147" i="6" s="1"/>
  <c r="AI147" i="6"/>
  <c r="AN147" i="6" s="1"/>
  <c r="AH147" i="6"/>
  <c r="AM147" i="6" s="1"/>
  <c r="AG147" i="6"/>
  <c r="AL147" i="6" s="1"/>
  <c r="AJ146" i="6"/>
  <c r="AO146" i="6" s="1"/>
  <c r="AI146" i="6"/>
  <c r="AN146" i="6" s="1"/>
  <c r="AH146" i="6"/>
  <c r="AM146" i="6" s="1"/>
  <c r="AG146" i="6"/>
  <c r="AL146" i="6" s="1"/>
  <c r="AJ145" i="6"/>
  <c r="AO145" i="6" s="1"/>
  <c r="AI145" i="6"/>
  <c r="AN145" i="6" s="1"/>
  <c r="AH145" i="6"/>
  <c r="AM145" i="6" s="1"/>
  <c r="AG145" i="6"/>
  <c r="AL145" i="6" s="1"/>
  <c r="AJ144" i="6"/>
  <c r="AO144" i="6" s="1"/>
  <c r="AI144" i="6"/>
  <c r="AN144" i="6" s="1"/>
  <c r="AH144" i="6"/>
  <c r="AM144" i="6" s="1"/>
  <c r="AG144" i="6"/>
  <c r="AL144" i="6" s="1"/>
  <c r="AJ143" i="6"/>
  <c r="AO143" i="6" s="1"/>
  <c r="AI143" i="6"/>
  <c r="AN143" i="6" s="1"/>
  <c r="AH143" i="6"/>
  <c r="AM143" i="6" s="1"/>
  <c r="AG143" i="6"/>
  <c r="AL143" i="6" s="1"/>
  <c r="AJ142" i="6"/>
  <c r="AO142" i="6" s="1"/>
  <c r="AI142" i="6"/>
  <c r="AN142" i="6" s="1"/>
  <c r="AH142" i="6"/>
  <c r="AM142" i="6" s="1"/>
  <c r="AG142" i="6"/>
  <c r="AL142" i="6" s="1"/>
  <c r="AJ141" i="6"/>
  <c r="AO141" i="6" s="1"/>
  <c r="AI141" i="6"/>
  <c r="AN141" i="6" s="1"/>
  <c r="AH141" i="6"/>
  <c r="AM141" i="6" s="1"/>
  <c r="AG141" i="6"/>
  <c r="AL141" i="6" s="1"/>
  <c r="AJ140" i="6"/>
  <c r="AO140" i="6" s="1"/>
  <c r="AI140" i="6"/>
  <c r="AN140" i="6" s="1"/>
  <c r="AH140" i="6"/>
  <c r="AM140" i="6" s="1"/>
  <c r="AG140" i="6"/>
  <c r="AL140" i="6" s="1"/>
  <c r="AJ139" i="6"/>
  <c r="AO139" i="6" s="1"/>
  <c r="AI139" i="6"/>
  <c r="AN139" i="6" s="1"/>
  <c r="AH139" i="6"/>
  <c r="AM139" i="6" s="1"/>
  <c r="AG139" i="6"/>
  <c r="AL139" i="6" s="1"/>
  <c r="AJ138" i="6"/>
  <c r="AO138" i="6" s="1"/>
  <c r="AI138" i="6"/>
  <c r="AN138" i="6" s="1"/>
  <c r="AH138" i="6"/>
  <c r="AM138" i="6" s="1"/>
  <c r="AG138" i="6"/>
  <c r="AL138" i="6" s="1"/>
  <c r="AJ137" i="6"/>
  <c r="AO137" i="6" s="1"/>
  <c r="AI137" i="6"/>
  <c r="AN137" i="6" s="1"/>
  <c r="AH137" i="6"/>
  <c r="AM137" i="6" s="1"/>
  <c r="AG137" i="6"/>
  <c r="AL137" i="6" s="1"/>
  <c r="AJ136" i="6"/>
  <c r="AO136" i="6" s="1"/>
  <c r="AI136" i="6"/>
  <c r="AN136" i="6" s="1"/>
  <c r="AH136" i="6"/>
  <c r="AM136" i="6" s="1"/>
  <c r="AG136" i="6"/>
  <c r="AL136" i="6" s="1"/>
  <c r="AJ135" i="6"/>
  <c r="AO135" i="6" s="1"/>
  <c r="AI135" i="6"/>
  <c r="AN135" i="6" s="1"/>
  <c r="AH135" i="6"/>
  <c r="AM135" i="6" s="1"/>
  <c r="AG135" i="6"/>
  <c r="AL135" i="6" s="1"/>
  <c r="AJ134" i="6"/>
  <c r="AO134" i="6" s="1"/>
  <c r="AI134" i="6"/>
  <c r="AN134" i="6" s="1"/>
  <c r="AH134" i="6"/>
  <c r="AM134" i="6" s="1"/>
  <c r="AG134" i="6"/>
  <c r="AL134" i="6" s="1"/>
  <c r="AJ133" i="6"/>
  <c r="AO133" i="6" s="1"/>
  <c r="AI133" i="6"/>
  <c r="AN133" i="6" s="1"/>
  <c r="AH133" i="6"/>
  <c r="AM133" i="6" s="1"/>
  <c r="AG133" i="6"/>
  <c r="AL133" i="6" s="1"/>
  <c r="AJ132" i="6"/>
  <c r="AO132" i="6" s="1"/>
  <c r="AI132" i="6"/>
  <c r="AN132" i="6" s="1"/>
  <c r="AH132" i="6"/>
  <c r="AM132" i="6" s="1"/>
  <c r="AG132" i="6"/>
  <c r="AL132" i="6" s="1"/>
  <c r="AJ131" i="6"/>
  <c r="AO131" i="6" s="1"/>
  <c r="AI131" i="6"/>
  <c r="AN131" i="6" s="1"/>
  <c r="AH131" i="6"/>
  <c r="AM131" i="6" s="1"/>
  <c r="AG131" i="6"/>
  <c r="AL131" i="6" s="1"/>
  <c r="AN130" i="6"/>
  <c r="AJ130" i="6"/>
  <c r="AO130" i="6" s="1"/>
  <c r="AI130" i="6"/>
  <c r="AH130" i="6"/>
  <c r="AM130" i="6" s="1"/>
  <c r="AG130" i="6"/>
  <c r="AL130" i="6" s="1"/>
  <c r="AJ129" i="6"/>
  <c r="AO129" i="6" s="1"/>
  <c r="AI129" i="6"/>
  <c r="AN129" i="6" s="1"/>
  <c r="AH129" i="6"/>
  <c r="AM129" i="6" s="1"/>
  <c r="AG129" i="6"/>
  <c r="AL129" i="6" s="1"/>
  <c r="AJ128" i="6"/>
  <c r="AO128" i="6" s="1"/>
  <c r="AI128" i="6"/>
  <c r="AN128" i="6" s="1"/>
  <c r="AH128" i="6"/>
  <c r="AM128" i="6" s="1"/>
  <c r="AG128" i="6"/>
  <c r="AL128" i="6" s="1"/>
  <c r="AJ127" i="6"/>
  <c r="AO127" i="6" s="1"/>
  <c r="AI127" i="6"/>
  <c r="AN127" i="6" s="1"/>
  <c r="AH127" i="6"/>
  <c r="AM127" i="6" s="1"/>
  <c r="AG127" i="6"/>
  <c r="AL127" i="6" s="1"/>
  <c r="AJ126" i="6"/>
  <c r="AO126" i="6" s="1"/>
  <c r="AI126" i="6"/>
  <c r="AN126" i="6" s="1"/>
  <c r="AH126" i="6"/>
  <c r="AM126" i="6" s="1"/>
  <c r="AG126" i="6"/>
  <c r="AL126" i="6" s="1"/>
  <c r="AJ125" i="6"/>
  <c r="AO125" i="6" s="1"/>
  <c r="AI125" i="6"/>
  <c r="AN125" i="6" s="1"/>
  <c r="AH125" i="6"/>
  <c r="AM125" i="6" s="1"/>
  <c r="AG125" i="6"/>
  <c r="AL125" i="6" s="1"/>
  <c r="AJ124" i="6"/>
  <c r="AO124" i="6" s="1"/>
  <c r="AI124" i="6"/>
  <c r="AN124" i="6" s="1"/>
  <c r="AH124" i="6"/>
  <c r="AM124" i="6" s="1"/>
  <c r="AG124" i="6"/>
  <c r="AL124" i="6" s="1"/>
  <c r="AJ123" i="6"/>
  <c r="AO123" i="6" s="1"/>
  <c r="AI123" i="6"/>
  <c r="AN123" i="6" s="1"/>
  <c r="AH123" i="6"/>
  <c r="AM123" i="6" s="1"/>
  <c r="AG123" i="6"/>
  <c r="AL123" i="6" s="1"/>
  <c r="AJ122" i="6"/>
  <c r="AO122" i="6" s="1"/>
  <c r="AI122" i="6"/>
  <c r="AN122" i="6" s="1"/>
  <c r="AH122" i="6"/>
  <c r="AM122" i="6" s="1"/>
  <c r="AG122" i="6"/>
  <c r="AL122" i="6" s="1"/>
  <c r="AJ121" i="6"/>
  <c r="AO121" i="6" s="1"/>
  <c r="AI121" i="6"/>
  <c r="AN121" i="6" s="1"/>
  <c r="AH121" i="6"/>
  <c r="AM121" i="6" s="1"/>
  <c r="AG121" i="6"/>
  <c r="AL121" i="6" s="1"/>
  <c r="AJ120" i="6"/>
  <c r="AO120" i="6" s="1"/>
  <c r="AI120" i="6"/>
  <c r="AN120" i="6" s="1"/>
  <c r="AH120" i="6"/>
  <c r="AM120" i="6" s="1"/>
  <c r="AG120" i="6"/>
  <c r="AL120" i="6" s="1"/>
  <c r="AJ119" i="6"/>
  <c r="AO119" i="6" s="1"/>
  <c r="AI119" i="6"/>
  <c r="AN119" i="6" s="1"/>
  <c r="AH119" i="6"/>
  <c r="AM119" i="6" s="1"/>
  <c r="AG119" i="6"/>
  <c r="AL119" i="6" s="1"/>
  <c r="AJ118" i="6"/>
  <c r="AO118" i="6" s="1"/>
  <c r="AI118" i="6"/>
  <c r="AN118" i="6" s="1"/>
  <c r="AH118" i="6"/>
  <c r="AM118" i="6" s="1"/>
  <c r="AG118" i="6"/>
  <c r="AL118" i="6" s="1"/>
  <c r="AJ117" i="6"/>
  <c r="AO117" i="6" s="1"/>
  <c r="AI117" i="6"/>
  <c r="AN117" i="6" s="1"/>
  <c r="AH117" i="6"/>
  <c r="AM117" i="6" s="1"/>
  <c r="AG117" i="6"/>
  <c r="AL117" i="6" s="1"/>
  <c r="AJ116" i="6"/>
  <c r="AO116" i="6" s="1"/>
  <c r="AI116" i="6"/>
  <c r="AN116" i="6" s="1"/>
  <c r="AH116" i="6"/>
  <c r="AM116" i="6" s="1"/>
  <c r="AG116" i="6"/>
  <c r="AL116" i="6" s="1"/>
  <c r="AJ115" i="6"/>
  <c r="AO115" i="6" s="1"/>
  <c r="AI115" i="6"/>
  <c r="AN115" i="6" s="1"/>
  <c r="AH115" i="6"/>
  <c r="AM115" i="6" s="1"/>
  <c r="AG115" i="6"/>
  <c r="AL115" i="6" s="1"/>
  <c r="AJ114" i="6"/>
  <c r="AO114" i="6" s="1"/>
  <c r="AI114" i="6"/>
  <c r="AN114" i="6" s="1"/>
  <c r="AH114" i="6"/>
  <c r="AM114" i="6" s="1"/>
  <c r="AG114" i="6"/>
  <c r="AL114" i="6" s="1"/>
  <c r="AJ113" i="6"/>
  <c r="AO113" i="6" s="1"/>
  <c r="AI113" i="6"/>
  <c r="AN113" i="6" s="1"/>
  <c r="AH113" i="6"/>
  <c r="AM113" i="6" s="1"/>
  <c r="AG113" i="6"/>
  <c r="AL113" i="6" s="1"/>
  <c r="AJ112" i="6"/>
  <c r="AO112" i="6" s="1"/>
  <c r="AI112" i="6"/>
  <c r="AN112" i="6" s="1"/>
  <c r="AH112" i="6"/>
  <c r="AM112" i="6" s="1"/>
  <c r="AG112" i="6"/>
  <c r="AL112" i="6" s="1"/>
  <c r="AJ111" i="6"/>
  <c r="AO111" i="6" s="1"/>
  <c r="AI111" i="6"/>
  <c r="AN111" i="6" s="1"/>
  <c r="AH111" i="6"/>
  <c r="AM111" i="6" s="1"/>
  <c r="AG111" i="6"/>
  <c r="AL111" i="6" s="1"/>
  <c r="AJ110" i="6"/>
  <c r="AO110" i="6" s="1"/>
  <c r="AI110" i="6"/>
  <c r="AN110" i="6" s="1"/>
  <c r="AH110" i="6"/>
  <c r="AM110" i="6" s="1"/>
  <c r="AG110" i="6"/>
  <c r="AL110" i="6" s="1"/>
  <c r="AJ109" i="6"/>
  <c r="AO109" i="6" s="1"/>
  <c r="AI109" i="6"/>
  <c r="AN109" i="6" s="1"/>
  <c r="AH109" i="6"/>
  <c r="AM109" i="6" s="1"/>
  <c r="AG109" i="6"/>
  <c r="AL109" i="6" s="1"/>
  <c r="AJ108" i="6"/>
  <c r="AO108" i="6" s="1"/>
  <c r="AI108" i="6"/>
  <c r="AN108" i="6" s="1"/>
  <c r="AH108" i="6"/>
  <c r="AM108" i="6" s="1"/>
  <c r="AG108" i="6"/>
  <c r="AL108" i="6" s="1"/>
  <c r="AJ107" i="6"/>
  <c r="AO107" i="6" s="1"/>
  <c r="AI107" i="6"/>
  <c r="AN107" i="6" s="1"/>
  <c r="AH107" i="6"/>
  <c r="AM107" i="6" s="1"/>
  <c r="AG107" i="6"/>
  <c r="AL107" i="6" s="1"/>
  <c r="AJ106" i="6"/>
  <c r="AO106" i="6" s="1"/>
  <c r="AI106" i="6"/>
  <c r="AN106" i="6" s="1"/>
  <c r="AH106" i="6"/>
  <c r="AM106" i="6" s="1"/>
  <c r="AG106" i="6"/>
  <c r="AL106" i="6" s="1"/>
  <c r="AJ105" i="6"/>
  <c r="AO105" i="6" s="1"/>
  <c r="AI105" i="6"/>
  <c r="AN105" i="6" s="1"/>
  <c r="AH105" i="6"/>
  <c r="AM105" i="6" s="1"/>
  <c r="AG105" i="6"/>
  <c r="AL105" i="6" s="1"/>
  <c r="AJ104" i="6"/>
  <c r="AO104" i="6" s="1"/>
  <c r="AI104" i="6"/>
  <c r="AN104" i="6" s="1"/>
  <c r="AH104" i="6"/>
  <c r="AM104" i="6" s="1"/>
  <c r="AG104" i="6"/>
  <c r="AL104" i="6" s="1"/>
  <c r="AJ103" i="6"/>
  <c r="AO103" i="6" s="1"/>
  <c r="AI103" i="6"/>
  <c r="AN103" i="6" s="1"/>
  <c r="AH103" i="6"/>
  <c r="AM103" i="6" s="1"/>
  <c r="AG103" i="6"/>
  <c r="AL103" i="6" s="1"/>
  <c r="AJ102" i="6"/>
  <c r="AO102" i="6" s="1"/>
  <c r="AI102" i="6"/>
  <c r="AN102" i="6" s="1"/>
  <c r="AH102" i="6"/>
  <c r="AM102" i="6" s="1"/>
  <c r="AG102" i="6"/>
  <c r="AL102" i="6" s="1"/>
  <c r="AJ101" i="6"/>
  <c r="AO101" i="6" s="1"/>
  <c r="AI101" i="6"/>
  <c r="AN101" i="6" s="1"/>
  <c r="AH101" i="6"/>
  <c r="AM101" i="6" s="1"/>
  <c r="AG101" i="6"/>
  <c r="AL101" i="6" s="1"/>
  <c r="AJ100" i="6"/>
  <c r="AO100" i="6" s="1"/>
  <c r="AI100" i="6"/>
  <c r="AN100" i="6" s="1"/>
  <c r="AH100" i="6"/>
  <c r="AM100" i="6" s="1"/>
  <c r="AG100" i="6"/>
  <c r="AL100" i="6" s="1"/>
  <c r="AJ99" i="6"/>
  <c r="AO99" i="6" s="1"/>
  <c r="AI99" i="6"/>
  <c r="AN99" i="6" s="1"/>
  <c r="AH99" i="6"/>
  <c r="AM99" i="6" s="1"/>
  <c r="AG99" i="6"/>
  <c r="AL99" i="6" s="1"/>
  <c r="AJ98" i="6"/>
  <c r="AO98" i="6" s="1"/>
  <c r="AI98" i="6"/>
  <c r="AN98" i="6" s="1"/>
  <c r="AH98" i="6"/>
  <c r="AM98" i="6" s="1"/>
  <c r="AG98" i="6"/>
  <c r="AL98" i="6" s="1"/>
  <c r="AJ97" i="6"/>
  <c r="AO97" i="6" s="1"/>
  <c r="AI97" i="6"/>
  <c r="AN97" i="6" s="1"/>
  <c r="AH97" i="6"/>
  <c r="AM97" i="6" s="1"/>
  <c r="AG97" i="6"/>
  <c r="AL97" i="6" s="1"/>
  <c r="AJ96" i="6"/>
  <c r="AO96" i="6" s="1"/>
  <c r="AI96" i="6"/>
  <c r="AN96" i="6" s="1"/>
  <c r="AH96" i="6"/>
  <c r="AM96" i="6" s="1"/>
  <c r="AG96" i="6"/>
  <c r="AL96" i="6" s="1"/>
  <c r="AJ95" i="6"/>
  <c r="AO95" i="6" s="1"/>
  <c r="AI95" i="6"/>
  <c r="AN95" i="6" s="1"/>
  <c r="AH95" i="6"/>
  <c r="AM95" i="6" s="1"/>
  <c r="AG95" i="6"/>
  <c r="AL95" i="6" s="1"/>
  <c r="AJ94" i="6"/>
  <c r="AO94" i="6" s="1"/>
  <c r="AI94" i="6"/>
  <c r="AN94" i="6" s="1"/>
  <c r="AH94" i="6"/>
  <c r="AM94" i="6" s="1"/>
  <c r="AG94" i="6"/>
  <c r="AL94" i="6" s="1"/>
  <c r="AJ93" i="6"/>
  <c r="AO93" i="6" s="1"/>
  <c r="AI93" i="6"/>
  <c r="AN93" i="6" s="1"/>
  <c r="AH93" i="6"/>
  <c r="AM93" i="6" s="1"/>
  <c r="AG93" i="6"/>
  <c r="AL93" i="6" s="1"/>
  <c r="AJ92" i="6"/>
  <c r="AO92" i="6" s="1"/>
  <c r="AI92" i="6"/>
  <c r="AN92" i="6" s="1"/>
  <c r="AH92" i="6"/>
  <c r="AM92" i="6" s="1"/>
  <c r="AG92" i="6"/>
  <c r="AL92" i="6" s="1"/>
  <c r="AJ91" i="6"/>
  <c r="AO91" i="6" s="1"/>
  <c r="AI91" i="6"/>
  <c r="AN91" i="6" s="1"/>
  <c r="AH91" i="6"/>
  <c r="AM91" i="6" s="1"/>
  <c r="AG91" i="6"/>
  <c r="AL91" i="6" s="1"/>
  <c r="AJ90" i="6"/>
  <c r="AO90" i="6" s="1"/>
  <c r="AI90" i="6"/>
  <c r="AN90" i="6" s="1"/>
  <c r="AH90" i="6"/>
  <c r="AM90" i="6" s="1"/>
  <c r="AG90" i="6"/>
  <c r="AL90" i="6" s="1"/>
  <c r="AJ89" i="6"/>
  <c r="AO89" i="6" s="1"/>
  <c r="AI89" i="6"/>
  <c r="AN89" i="6" s="1"/>
  <c r="AH89" i="6"/>
  <c r="AM89" i="6" s="1"/>
  <c r="AG89" i="6"/>
  <c r="AL89" i="6" s="1"/>
  <c r="AJ88" i="6"/>
  <c r="AO88" i="6" s="1"/>
  <c r="AI88" i="6"/>
  <c r="AN88" i="6" s="1"/>
  <c r="AH88" i="6"/>
  <c r="AM88" i="6" s="1"/>
  <c r="AG88" i="6"/>
  <c r="AL88" i="6" s="1"/>
  <c r="AJ87" i="6"/>
  <c r="AO87" i="6" s="1"/>
  <c r="AI87" i="6"/>
  <c r="AN87" i="6" s="1"/>
  <c r="AH87" i="6"/>
  <c r="AM87" i="6" s="1"/>
  <c r="AG87" i="6"/>
  <c r="AL87" i="6" s="1"/>
  <c r="AJ86" i="6"/>
  <c r="AO86" i="6" s="1"/>
  <c r="AI86" i="6"/>
  <c r="AN86" i="6" s="1"/>
  <c r="AH86" i="6"/>
  <c r="AM86" i="6" s="1"/>
  <c r="AG86" i="6"/>
  <c r="AL86" i="6" s="1"/>
  <c r="AJ85" i="6"/>
  <c r="AO85" i="6" s="1"/>
  <c r="AI85" i="6"/>
  <c r="AN85" i="6" s="1"/>
  <c r="AH85" i="6"/>
  <c r="AM85" i="6" s="1"/>
  <c r="AG85" i="6"/>
  <c r="AL85" i="6" s="1"/>
  <c r="AJ84" i="6"/>
  <c r="AO84" i="6" s="1"/>
  <c r="AI84" i="6"/>
  <c r="AN84" i="6" s="1"/>
  <c r="AH84" i="6"/>
  <c r="AM84" i="6" s="1"/>
  <c r="AG84" i="6"/>
  <c r="AL84" i="6" s="1"/>
  <c r="AJ83" i="6"/>
  <c r="AO83" i="6" s="1"/>
  <c r="AI83" i="6"/>
  <c r="AN83" i="6" s="1"/>
  <c r="AH83" i="6"/>
  <c r="AM83" i="6" s="1"/>
  <c r="AG83" i="6"/>
  <c r="AL83" i="6" s="1"/>
  <c r="AJ82" i="6"/>
  <c r="AO82" i="6" s="1"/>
  <c r="AI82" i="6"/>
  <c r="AN82" i="6" s="1"/>
  <c r="AH82" i="6"/>
  <c r="AM82" i="6" s="1"/>
  <c r="AG82" i="6"/>
  <c r="AL82" i="6" s="1"/>
  <c r="AJ81" i="6"/>
  <c r="AO81" i="6" s="1"/>
  <c r="AI81" i="6"/>
  <c r="AN81" i="6" s="1"/>
  <c r="AH81" i="6"/>
  <c r="AM81" i="6" s="1"/>
  <c r="AG81" i="6"/>
  <c r="AL81" i="6" s="1"/>
  <c r="AJ80" i="6"/>
  <c r="AO80" i="6" s="1"/>
  <c r="AI80" i="6"/>
  <c r="AN80" i="6" s="1"/>
  <c r="AH80" i="6"/>
  <c r="AM80" i="6" s="1"/>
  <c r="AG80" i="6"/>
  <c r="AL80" i="6" s="1"/>
  <c r="AJ79" i="6"/>
  <c r="AO79" i="6" s="1"/>
  <c r="AI79" i="6"/>
  <c r="AN79" i="6" s="1"/>
  <c r="AH79" i="6"/>
  <c r="AM79" i="6" s="1"/>
  <c r="AG79" i="6"/>
  <c r="AL79" i="6" s="1"/>
  <c r="AJ78" i="6"/>
  <c r="AO78" i="6" s="1"/>
  <c r="AI78" i="6"/>
  <c r="AN78" i="6" s="1"/>
  <c r="AH78" i="6"/>
  <c r="AM78" i="6" s="1"/>
  <c r="AG78" i="6"/>
  <c r="AL78" i="6" s="1"/>
  <c r="AJ77" i="6"/>
  <c r="AO77" i="6" s="1"/>
  <c r="AI77" i="6"/>
  <c r="AN77" i="6" s="1"/>
  <c r="AH77" i="6"/>
  <c r="AM77" i="6" s="1"/>
  <c r="AG77" i="6"/>
  <c r="AL77" i="6" s="1"/>
  <c r="AJ76" i="6"/>
  <c r="AO76" i="6" s="1"/>
  <c r="AI76" i="6"/>
  <c r="AN76" i="6" s="1"/>
  <c r="AH76" i="6"/>
  <c r="AM76" i="6" s="1"/>
  <c r="AG76" i="6"/>
  <c r="AL76" i="6" s="1"/>
  <c r="AM75" i="6"/>
  <c r="AJ75" i="6"/>
  <c r="AO75" i="6" s="1"/>
  <c r="AI75" i="6"/>
  <c r="AN75" i="6" s="1"/>
  <c r="AH75" i="6"/>
  <c r="AG75" i="6"/>
  <c r="AL75" i="6" s="1"/>
  <c r="AJ74" i="6"/>
  <c r="AO74" i="6" s="1"/>
  <c r="AI74" i="6"/>
  <c r="AN74" i="6" s="1"/>
  <c r="AH74" i="6"/>
  <c r="AM74" i="6" s="1"/>
  <c r="AG74" i="6"/>
  <c r="AL74" i="6" s="1"/>
  <c r="AJ73" i="6"/>
  <c r="AO73" i="6" s="1"/>
  <c r="AI73" i="6"/>
  <c r="AN73" i="6" s="1"/>
  <c r="AH73" i="6"/>
  <c r="AM73" i="6" s="1"/>
  <c r="AG73" i="6"/>
  <c r="AL73" i="6" s="1"/>
  <c r="AJ72" i="6"/>
  <c r="AO72" i="6" s="1"/>
  <c r="AI72" i="6"/>
  <c r="AN72" i="6" s="1"/>
  <c r="AH72" i="6"/>
  <c r="AM72" i="6" s="1"/>
  <c r="AG72" i="6"/>
  <c r="AL72" i="6" s="1"/>
  <c r="AJ71" i="6"/>
  <c r="AO71" i="6" s="1"/>
  <c r="AI71" i="6"/>
  <c r="AN71" i="6" s="1"/>
  <c r="AH71" i="6"/>
  <c r="AM71" i="6" s="1"/>
  <c r="AG71" i="6"/>
  <c r="AL71" i="6" s="1"/>
  <c r="AJ70" i="6"/>
  <c r="AO70" i="6" s="1"/>
  <c r="AI70" i="6"/>
  <c r="AN70" i="6" s="1"/>
  <c r="AH70" i="6"/>
  <c r="AM70" i="6" s="1"/>
  <c r="AG70" i="6"/>
  <c r="AL70" i="6" s="1"/>
  <c r="AJ69" i="6"/>
  <c r="AO69" i="6" s="1"/>
  <c r="AI69" i="6"/>
  <c r="AN69" i="6" s="1"/>
  <c r="AH69" i="6"/>
  <c r="AM69" i="6" s="1"/>
  <c r="AG69" i="6"/>
  <c r="AL69" i="6" s="1"/>
  <c r="AJ68" i="6"/>
  <c r="AO68" i="6" s="1"/>
  <c r="AI68" i="6"/>
  <c r="AN68" i="6" s="1"/>
  <c r="AH68" i="6"/>
  <c r="AM68" i="6" s="1"/>
  <c r="AG68" i="6"/>
  <c r="AL68" i="6" s="1"/>
  <c r="AJ67" i="6"/>
  <c r="AO67" i="6" s="1"/>
  <c r="AI67" i="6"/>
  <c r="AN67" i="6" s="1"/>
  <c r="AH67" i="6"/>
  <c r="AM67" i="6" s="1"/>
  <c r="AG67" i="6"/>
  <c r="AL67" i="6" s="1"/>
  <c r="AJ66" i="6"/>
  <c r="AO66" i="6" s="1"/>
  <c r="AI66" i="6"/>
  <c r="AN66" i="6" s="1"/>
  <c r="AH66" i="6"/>
  <c r="AM66" i="6" s="1"/>
  <c r="AG66" i="6"/>
  <c r="AL66" i="6" s="1"/>
  <c r="AJ65" i="6"/>
  <c r="AO65" i="6" s="1"/>
  <c r="AI65" i="6"/>
  <c r="AN65" i="6" s="1"/>
  <c r="AH65" i="6"/>
  <c r="AM65" i="6" s="1"/>
  <c r="AG65" i="6"/>
  <c r="AL65" i="6" s="1"/>
  <c r="AJ64" i="6"/>
  <c r="AO64" i="6" s="1"/>
  <c r="AI64" i="6"/>
  <c r="AN64" i="6" s="1"/>
  <c r="AH64" i="6"/>
  <c r="AM64" i="6" s="1"/>
  <c r="AG64" i="6"/>
  <c r="AL64" i="6" s="1"/>
  <c r="AJ63" i="6"/>
  <c r="AO63" i="6" s="1"/>
  <c r="AI63" i="6"/>
  <c r="AN63" i="6" s="1"/>
  <c r="AH63" i="6"/>
  <c r="AM63" i="6" s="1"/>
  <c r="AG63" i="6"/>
  <c r="AL63" i="6" s="1"/>
  <c r="AJ62" i="6"/>
  <c r="AO62" i="6" s="1"/>
  <c r="AI62" i="6"/>
  <c r="AN62" i="6" s="1"/>
  <c r="AH62" i="6"/>
  <c r="AM62" i="6" s="1"/>
  <c r="AG62" i="6"/>
  <c r="AL62" i="6" s="1"/>
  <c r="AJ61" i="6"/>
  <c r="AO61" i="6" s="1"/>
  <c r="AI61" i="6"/>
  <c r="AN61" i="6" s="1"/>
  <c r="AH61" i="6"/>
  <c r="AM61" i="6" s="1"/>
  <c r="AG61" i="6"/>
  <c r="AL61" i="6" s="1"/>
  <c r="AJ60" i="6"/>
  <c r="AO60" i="6" s="1"/>
  <c r="AI60" i="6"/>
  <c r="AN60" i="6" s="1"/>
  <c r="AH60" i="6"/>
  <c r="AM60" i="6" s="1"/>
  <c r="AG60" i="6"/>
  <c r="AL60" i="6" s="1"/>
  <c r="AJ59" i="6"/>
  <c r="AO59" i="6" s="1"/>
  <c r="AI59" i="6"/>
  <c r="AN59" i="6" s="1"/>
  <c r="AH59" i="6"/>
  <c r="AM59" i="6" s="1"/>
  <c r="AG59" i="6"/>
  <c r="AL59" i="6" s="1"/>
  <c r="AJ58" i="6"/>
  <c r="AO58" i="6" s="1"/>
  <c r="AI58" i="6"/>
  <c r="AN58" i="6" s="1"/>
  <c r="AH58" i="6"/>
  <c r="AM58" i="6" s="1"/>
  <c r="AG58" i="6"/>
  <c r="AL58" i="6" s="1"/>
  <c r="AJ57" i="6"/>
  <c r="AO57" i="6" s="1"/>
  <c r="AI57" i="6"/>
  <c r="AN57" i="6" s="1"/>
  <c r="AH57" i="6"/>
  <c r="AM57" i="6" s="1"/>
  <c r="AG57" i="6"/>
  <c r="AL57" i="6" s="1"/>
  <c r="AJ56" i="6"/>
  <c r="AO56" i="6" s="1"/>
  <c r="AI56" i="6"/>
  <c r="AN56" i="6" s="1"/>
  <c r="AH56" i="6"/>
  <c r="AM56" i="6" s="1"/>
  <c r="AG56" i="6"/>
  <c r="AL56" i="6" s="1"/>
  <c r="AJ55" i="6"/>
  <c r="AO55" i="6" s="1"/>
  <c r="AI55" i="6"/>
  <c r="AN55" i="6" s="1"/>
  <c r="AH55" i="6"/>
  <c r="AM55" i="6" s="1"/>
  <c r="AG55" i="6"/>
  <c r="AL55" i="6" s="1"/>
  <c r="AJ54" i="6"/>
  <c r="AO54" i="6" s="1"/>
  <c r="AI54" i="6"/>
  <c r="AN54" i="6" s="1"/>
  <c r="AH54" i="6"/>
  <c r="AM54" i="6" s="1"/>
  <c r="AG54" i="6"/>
  <c r="AL54" i="6" s="1"/>
  <c r="AJ53" i="6"/>
  <c r="AO53" i="6" s="1"/>
  <c r="AI53" i="6"/>
  <c r="AN53" i="6" s="1"/>
  <c r="AH53" i="6"/>
  <c r="AM53" i="6" s="1"/>
  <c r="AG53" i="6"/>
  <c r="AL53" i="6" s="1"/>
  <c r="AJ52" i="6"/>
  <c r="AO52" i="6" s="1"/>
  <c r="AI52" i="6"/>
  <c r="AN52" i="6" s="1"/>
  <c r="AH52" i="6"/>
  <c r="AM52" i="6" s="1"/>
  <c r="AG52" i="6"/>
  <c r="AL52" i="6" s="1"/>
  <c r="AJ51" i="6"/>
  <c r="AO51" i="6" s="1"/>
  <c r="AI51" i="6"/>
  <c r="AN51" i="6" s="1"/>
  <c r="AH51" i="6"/>
  <c r="AM51" i="6" s="1"/>
  <c r="AG51" i="6"/>
  <c r="AL51" i="6" s="1"/>
  <c r="AJ50" i="6"/>
  <c r="AO50" i="6" s="1"/>
  <c r="AI50" i="6"/>
  <c r="AN50" i="6" s="1"/>
  <c r="AH50" i="6"/>
  <c r="AM50" i="6" s="1"/>
  <c r="AG50" i="6"/>
  <c r="AL50" i="6" s="1"/>
  <c r="AJ49" i="6"/>
  <c r="AO49" i="6" s="1"/>
  <c r="AI49" i="6"/>
  <c r="AN49" i="6" s="1"/>
  <c r="AH49" i="6"/>
  <c r="AM49" i="6" s="1"/>
  <c r="AG49" i="6"/>
  <c r="AL49" i="6" s="1"/>
  <c r="AJ48" i="6"/>
  <c r="AO48" i="6" s="1"/>
  <c r="AI48" i="6"/>
  <c r="AN48" i="6" s="1"/>
  <c r="AH48" i="6"/>
  <c r="AM48" i="6" s="1"/>
  <c r="AG48" i="6"/>
  <c r="AL48" i="6" s="1"/>
  <c r="AJ47" i="6"/>
  <c r="AO47" i="6" s="1"/>
  <c r="AI47" i="6"/>
  <c r="AN47" i="6" s="1"/>
  <c r="AH47" i="6"/>
  <c r="AM47" i="6" s="1"/>
  <c r="AG47" i="6"/>
  <c r="AL47" i="6" s="1"/>
  <c r="AJ46" i="6"/>
  <c r="AO46" i="6" s="1"/>
  <c r="AI46" i="6"/>
  <c r="AN46" i="6" s="1"/>
  <c r="AH46" i="6"/>
  <c r="AM46" i="6" s="1"/>
  <c r="AG46" i="6"/>
  <c r="AL46" i="6" s="1"/>
  <c r="AJ45" i="6"/>
  <c r="AO45" i="6" s="1"/>
  <c r="AI45" i="6"/>
  <c r="AN45" i="6" s="1"/>
  <c r="AH45" i="6"/>
  <c r="AM45" i="6" s="1"/>
  <c r="AG45" i="6"/>
  <c r="AL45" i="6" s="1"/>
  <c r="AJ44" i="6"/>
  <c r="AO44" i="6" s="1"/>
  <c r="AI44" i="6"/>
  <c r="AN44" i="6" s="1"/>
  <c r="AH44" i="6"/>
  <c r="AM44" i="6" s="1"/>
  <c r="AG44" i="6"/>
  <c r="AL44" i="6" s="1"/>
  <c r="AJ43" i="6"/>
  <c r="AO43" i="6" s="1"/>
  <c r="AI43" i="6"/>
  <c r="AN43" i="6" s="1"/>
  <c r="AH43" i="6"/>
  <c r="AM43" i="6" s="1"/>
  <c r="AG43" i="6"/>
  <c r="AL43" i="6" s="1"/>
  <c r="AJ42" i="6"/>
  <c r="AO42" i="6" s="1"/>
  <c r="AI42" i="6"/>
  <c r="AN42" i="6" s="1"/>
  <c r="AH42" i="6"/>
  <c r="AM42" i="6" s="1"/>
  <c r="AG42" i="6"/>
  <c r="AL42" i="6" s="1"/>
  <c r="AJ41" i="6"/>
  <c r="AO41" i="6" s="1"/>
  <c r="AI41" i="6"/>
  <c r="AN41" i="6" s="1"/>
  <c r="AH41" i="6"/>
  <c r="AM41" i="6" s="1"/>
  <c r="AG41" i="6"/>
  <c r="AL41" i="6" s="1"/>
  <c r="AJ40" i="6"/>
  <c r="AO40" i="6" s="1"/>
  <c r="AI40" i="6"/>
  <c r="AN40" i="6" s="1"/>
  <c r="AH40" i="6"/>
  <c r="AM40" i="6" s="1"/>
  <c r="AG40" i="6"/>
  <c r="AL40" i="6" s="1"/>
  <c r="AJ39" i="6"/>
  <c r="AO39" i="6" s="1"/>
  <c r="AI39" i="6"/>
  <c r="AN39" i="6" s="1"/>
  <c r="AH39" i="6"/>
  <c r="AM39" i="6" s="1"/>
  <c r="AG39" i="6"/>
  <c r="AL39" i="6" s="1"/>
  <c r="AJ38" i="6"/>
  <c r="AO38" i="6" s="1"/>
  <c r="AI38" i="6"/>
  <c r="AN38" i="6" s="1"/>
  <c r="AH38" i="6"/>
  <c r="AM38" i="6" s="1"/>
  <c r="AG38" i="6"/>
  <c r="AL38" i="6" s="1"/>
  <c r="AJ37" i="6"/>
  <c r="AO37" i="6" s="1"/>
  <c r="AI37" i="6"/>
  <c r="AN37" i="6" s="1"/>
  <c r="AH37" i="6"/>
  <c r="AM37" i="6" s="1"/>
  <c r="AG37" i="6"/>
  <c r="AL37" i="6" s="1"/>
  <c r="AJ36" i="6"/>
  <c r="AO36" i="6" s="1"/>
  <c r="AI36" i="6"/>
  <c r="AN36" i="6" s="1"/>
  <c r="AH36" i="6"/>
  <c r="AM36" i="6" s="1"/>
  <c r="AG36" i="6"/>
  <c r="AL36" i="6" s="1"/>
  <c r="AJ35" i="6"/>
  <c r="AO35" i="6" s="1"/>
  <c r="AI35" i="6"/>
  <c r="AN35" i="6" s="1"/>
  <c r="AH35" i="6"/>
  <c r="AM35" i="6" s="1"/>
  <c r="AG35" i="6"/>
  <c r="AL35" i="6" s="1"/>
  <c r="AJ34" i="6"/>
  <c r="AO34" i="6" s="1"/>
  <c r="AI34" i="6"/>
  <c r="AN34" i="6" s="1"/>
  <c r="AH34" i="6"/>
  <c r="AM34" i="6" s="1"/>
  <c r="AG34" i="6"/>
  <c r="AL34" i="6" s="1"/>
  <c r="AJ33" i="6"/>
  <c r="AO33" i="6" s="1"/>
  <c r="AI33" i="6"/>
  <c r="AN33" i="6" s="1"/>
  <c r="AH33" i="6"/>
  <c r="AM33" i="6" s="1"/>
  <c r="AG33" i="6"/>
  <c r="AL33" i="6" s="1"/>
  <c r="AJ32" i="6"/>
  <c r="AO32" i="6" s="1"/>
  <c r="AI32" i="6"/>
  <c r="AN32" i="6" s="1"/>
  <c r="AH32" i="6"/>
  <c r="AM32" i="6" s="1"/>
  <c r="AG32" i="6"/>
  <c r="AL32" i="6" s="1"/>
  <c r="AJ31" i="6"/>
  <c r="AO31" i="6" s="1"/>
  <c r="AI31" i="6"/>
  <c r="AN31" i="6" s="1"/>
  <c r="AH31" i="6"/>
  <c r="AM31" i="6" s="1"/>
  <c r="AG31" i="6"/>
  <c r="AL31" i="6" s="1"/>
  <c r="AJ30" i="6"/>
  <c r="AO30" i="6" s="1"/>
  <c r="AI30" i="6"/>
  <c r="AN30" i="6" s="1"/>
  <c r="AH30" i="6"/>
  <c r="AM30" i="6" s="1"/>
  <c r="AG30" i="6"/>
  <c r="AL30" i="6" s="1"/>
  <c r="AO29" i="6"/>
  <c r="AJ29" i="6"/>
  <c r="AI29" i="6"/>
  <c r="AN29" i="6" s="1"/>
  <c r="AH29" i="6"/>
  <c r="AM29" i="6" s="1"/>
  <c r="AG29" i="6"/>
  <c r="AL29" i="6" s="1"/>
  <c r="AJ28" i="6"/>
  <c r="AO28" i="6" s="1"/>
  <c r="AI28" i="6"/>
  <c r="AN28" i="6" s="1"/>
  <c r="AH28" i="6"/>
  <c r="AM28" i="6" s="1"/>
  <c r="AG28" i="6"/>
  <c r="AL28" i="6" s="1"/>
  <c r="AJ27" i="6"/>
  <c r="AO27" i="6" s="1"/>
  <c r="AI27" i="6"/>
  <c r="AN27" i="6" s="1"/>
  <c r="AH27" i="6"/>
  <c r="AM27" i="6" s="1"/>
  <c r="AG27" i="6"/>
  <c r="AL27" i="6" s="1"/>
  <c r="AJ26" i="6"/>
  <c r="AO26" i="6" s="1"/>
  <c r="AI26" i="6"/>
  <c r="AN26" i="6" s="1"/>
  <c r="AH26" i="6"/>
  <c r="AM26" i="6" s="1"/>
  <c r="AG26" i="6"/>
  <c r="AL26" i="6" s="1"/>
  <c r="AJ25" i="6"/>
  <c r="AO25" i="6" s="1"/>
  <c r="AI25" i="6"/>
  <c r="AN25" i="6" s="1"/>
  <c r="AH25" i="6"/>
  <c r="AM25" i="6" s="1"/>
  <c r="AG25" i="6"/>
  <c r="AL25" i="6" s="1"/>
  <c r="AJ24" i="6"/>
  <c r="AO24" i="6" s="1"/>
  <c r="AI24" i="6"/>
  <c r="AN24" i="6" s="1"/>
  <c r="AH24" i="6"/>
  <c r="AM24" i="6" s="1"/>
  <c r="AG24" i="6"/>
  <c r="AL24" i="6" s="1"/>
  <c r="AJ18" i="6"/>
  <c r="AO18" i="6" s="1"/>
  <c r="AI18" i="6"/>
  <c r="AN18" i="6" s="1"/>
  <c r="AH18" i="6"/>
  <c r="AM18" i="6" s="1"/>
  <c r="AG18" i="6"/>
  <c r="AL18" i="6" s="1"/>
  <c r="AJ6" i="6"/>
  <c r="AO6" i="6" s="1"/>
  <c r="AI6" i="6"/>
  <c r="AN6" i="6" s="1"/>
  <c r="AH6" i="6"/>
  <c r="AM6" i="6" s="1"/>
  <c r="AG6" i="6"/>
  <c r="AL6" i="6" s="1"/>
  <c r="AJ9" i="6"/>
  <c r="AO9" i="6" s="1"/>
  <c r="AI9" i="6"/>
  <c r="AN9" i="6" s="1"/>
  <c r="AH9" i="6"/>
  <c r="AM9" i="6" s="1"/>
  <c r="AG9" i="6"/>
  <c r="AL9" i="6" s="1"/>
  <c r="AJ16" i="6"/>
  <c r="AO16" i="6" s="1"/>
  <c r="AI16" i="6"/>
  <c r="AN16" i="6" s="1"/>
  <c r="AH16" i="6"/>
  <c r="AM16" i="6" s="1"/>
  <c r="AG16" i="6"/>
  <c r="AL16" i="6" s="1"/>
  <c r="AJ20" i="6"/>
  <c r="AO20" i="6" s="1"/>
  <c r="AI20" i="6"/>
  <c r="AN20" i="6" s="1"/>
  <c r="AH20" i="6"/>
  <c r="AM20" i="6" s="1"/>
  <c r="AG20" i="6"/>
  <c r="AL20" i="6" s="1"/>
  <c r="AJ19" i="6"/>
  <c r="AO19" i="6" s="1"/>
  <c r="AI19" i="6"/>
  <c r="AN19" i="6" s="1"/>
  <c r="AH19" i="6"/>
  <c r="AM19" i="6" s="1"/>
  <c r="AG19" i="6"/>
  <c r="AL19" i="6" s="1"/>
  <c r="AJ22" i="6"/>
  <c r="AO22" i="6" s="1"/>
  <c r="AI22" i="6"/>
  <c r="AN22" i="6" s="1"/>
  <c r="AH22" i="6"/>
  <c r="AM22" i="6" s="1"/>
  <c r="AG22" i="6"/>
  <c r="AL22" i="6" s="1"/>
  <c r="AJ15" i="6"/>
  <c r="AO15" i="6" s="1"/>
  <c r="AI15" i="6"/>
  <c r="AN15" i="6" s="1"/>
  <c r="AH15" i="6"/>
  <c r="AM15" i="6" s="1"/>
  <c r="AG15" i="6"/>
  <c r="AL15" i="6" s="1"/>
  <c r="AJ17" i="6"/>
  <c r="AO17" i="6" s="1"/>
  <c r="AI17" i="6"/>
  <c r="AN17" i="6" s="1"/>
  <c r="AH17" i="6"/>
  <c r="AM17" i="6" s="1"/>
  <c r="AG17" i="6"/>
  <c r="AL17" i="6" s="1"/>
  <c r="AJ14" i="6"/>
  <c r="AO14" i="6" s="1"/>
  <c r="AI14" i="6"/>
  <c r="AN14" i="6" s="1"/>
  <c r="AH14" i="6"/>
  <c r="AM14" i="6" s="1"/>
  <c r="AG14" i="6"/>
  <c r="AL14" i="6" s="1"/>
  <c r="AJ21" i="6"/>
  <c r="AO21" i="6" s="1"/>
  <c r="AI21" i="6"/>
  <c r="AN21" i="6" s="1"/>
  <c r="AH21" i="6"/>
  <c r="AM21" i="6" s="1"/>
  <c r="AG21" i="6"/>
  <c r="AL21" i="6" s="1"/>
  <c r="AJ8" i="6"/>
  <c r="AO8" i="6" s="1"/>
  <c r="AI8" i="6"/>
  <c r="AN8" i="6" s="1"/>
  <c r="AH8" i="6"/>
  <c r="AM8" i="6" s="1"/>
  <c r="AG8" i="6"/>
  <c r="AL8" i="6" s="1"/>
  <c r="AJ11" i="6"/>
  <c r="AO11" i="6" s="1"/>
  <c r="AI11" i="6"/>
  <c r="AN11" i="6" s="1"/>
  <c r="AH11" i="6"/>
  <c r="AM11" i="6" s="1"/>
  <c r="AG11" i="6"/>
  <c r="AL11" i="6" s="1"/>
  <c r="AJ13" i="6"/>
  <c r="AO13" i="6" s="1"/>
  <c r="AI13" i="6"/>
  <c r="AN13" i="6" s="1"/>
  <c r="AH13" i="6"/>
  <c r="AM13" i="6" s="1"/>
  <c r="AG13" i="6"/>
  <c r="AL13" i="6" s="1"/>
  <c r="AJ12" i="6"/>
  <c r="AO12" i="6" s="1"/>
  <c r="AI12" i="6"/>
  <c r="AN12" i="6" s="1"/>
  <c r="AH12" i="6"/>
  <c r="AM12" i="6" s="1"/>
  <c r="AG12" i="6"/>
  <c r="AL12" i="6" s="1"/>
  <c r="AJ7" i="6"/>
  <c r="AO7" i="6" s="1"/>
  <c r="AI7" i="6"/>
  <c r="AN7" i="6" s="1"/>
  <c r="AH7" i="6"/>
  <c r="AM7" i="6" s="1"/>
  <c r="AG7" i="6"/>
  <c r="AL7" i="6" s="1"/>
  <c r="AJ23" i="6"/>
  <c r="AO23" i="6" s="1"/>
  <c r="AI23" i="6"/>
  <c r="AN23" i="6" s="1"/>
  <c r="AH23" i="6"/>
  <c r="AM23" i="6" s="1"/>
  <c r="AG23" i="6"/>
  <c r="AL23" i="6" s="1"/>
  <c r="AJ10" i="6"/>
  <c r="AO10" i="6" s="1"/>
  <c r="AI10" i="6"/>
  <c r="AN10" i="6" s="1"/>
  <c r="AH10" i="6"/>
  <c r="AM10" i="6" s="1"/>
  <c r="AG10" i="6"/>
  <c r="AL10" i="6" s="1"/>
  <c r="AI29" i="5"/>
  <c r="AN29" i="5" s="1"/>
  <c r="AH29" i="5"/>
  <c r="AM29" i="5" s="1"/>
  <c r="AG29" i="5"/>
  <c r="AL29" i="5" s="1"/>
  <c r="AF29" i="5"/>
  <c r="AK29" i="5" s="1"/>
  <c r="AI176" i="5"/>
  <c r="AN176" i="5" s="1"/>
  <c r="AH176" i="5"/>
  <c r="AM176" i="5" s="1"/>
  <c r="AG176" i="5"/>
  <c r="AL176" i="5" s="1"/>
  <c r="AF176" i="5"/>
  <c r="AK176" i="5" s="1"/>
  <c r="AI47" i="5"/>
  <c r="AN47" i="5" s="1"/>
  <c r="AH47" i="5"/>
  <c r="AM47" i="5" s="1"/>
  <c r="AG47" i="5"/>
  <c r="AL47" i="5" s="1"/>
  <c r="AF47" i="5"/>
  <c r="AK47" i="5" s="1"/>
  <c r="AI99" i="5"/>
  <c r="AN99" i="5" s="1"/>
  <c r="AH99" i="5"/>
  <c r="AM99" i="5" s="1"/>
  <c r="AG99" i="5"/>
  <c r="AL99" i="5" s="1"/>
  <c r="AF99" i="5"/>
  <c r="AK99" i="5" s="1"/>
  <c r="AI158" i="5"/>
  <c r="AN158" i="5" s="1"/>
  <c r="AH158" i="5"/>
  <c r="AM158" i="5" s="1"/>
  <c r="AG158" i="5"/>
  <c r="AL158" i="5" s="1"/>
  <c r="AF158" i="5"/>
  <c r="AK158" i="5" s="1"/>
  <c r="AI7" i="5"/>
  <c r="AN7" i="5" s="1"/>
  <c r="AH7" i="5"/>
  <c r="AM7" i="5" s="1"/>
  <c r="AG7" i="5"/>
  <c r="AL7" i="5" s="1"/>
  <c r="AF7" i="5"/>
  <c r="AK7" i="5" s="1"/>
  <c r="AI106" i="5"/>
  <c r="AN106" i="5" s="1"/>
  <c r="AH106" i="5"/>
  <c r="AM106" i="5" s="1"/>
  <c r="AG106" i="5"/>
  <c r="AL106" i="5" s="1"/>
  <c r="AF106" i="5"/>
  <c r="AK106" i="5" s="1"/>
  <c r="AI28" i="5"/>
  <c r="AN28" i="5" s="1"/>
  <c r="AH28" i="5"/>
  <c r="AM28" i="5" s="1"/>
  <c r="AG28" i="5"/>
  <c r="AL28" i="5" s="1"/>
  <c r="AF28" i="5"/>
  <c r="AK28" i="5" s="1"/>
  <c r="AI74" i="5"/>
  <c r="AN74" i="5" s="1"/>
  <c r="AH74" i="5"/>
  <c r="AM74" i="5" s="1"/>
  <c r="AG74" i="5"/>
  <c r="AL74" i="5" s="1"/>
  <c r="AF74" i="5"/>
  <c r="AK74" i="5" s="1"/>
  <c r="AI201" i="5"/>
  <c r="AN201" i="5" s="1"/>
  <c r="AH201" i="5"/>
  <c r="AM201" i="5" s="1"/>
  <c r="AG201" i="5"/>
  <c r="AL201" i="5" s="1"/>
  <c r="AF201" i="5"/>
  <c r="AK201" i="5" s="1"/>
  <c r="AI90" i="5"/>
  <c r="AN90" i="5" s="1"/>
  <c r="AH90" i="5"/>
  <c r="AM90" i="5" s="1"/>
  <c r="AG90" i="5"/>
  <c r="AL90" i="5" s="1"/>
  <c r="AF90" i="5"/>
  <c r="AK90" i="5" s="1"/>
  <c r="AI148" i="5"/>
  <c r="AN148" i="5" s="1"/>
  <c r="AH148" i="5"/>
  <c r="AM148" i="5" s="1"/>
  <c r="AG148" i="5"/>
  <c r="AL148" i="5" s="1"/>
  <c r="AF148" i="5"/>
  <c r="AK148" i="5" s="1"/>
  <c r="AI200" i="5"/>
  <c r="AN200" i="5" s="1"/>
  <c r="AH200" i="5"/>
  <c r="AM200" i="5" s="1"/>
  <c r="AG200" i="5"/>
  <c r="AL200" i="5" s="1"/>
  <c r="AF200" i="5"/>
  <c r="AK200" i="5" s="1"/>
  <c r="AI128" i="5"/>
  <c r="AN128" i="5" s="1"/>
  <c r="AH128" i="5"/>
  <c r="AM128" i="5" s="1"/>
  <c r="AG128" i="5"/>
  <c r="AL128" i="5" s="1"/>
  <c r="AF128" i="5"/>
  <c r="AK128" i="5" s="1"/>
  <c r="AI138" i="5"/>
  <c r="AN138" i="5" s="1"/>
  <c r="AH138" i="5"/>
  <c r="AM138" i="5" s="1"/>
  <c r="AG138" i="5"/>
  <c r="AL138" i="5" s="1"/>
  <c r="AF138" i="5"/>
  <c r="AK138" i="5" s="1"/>
  <c r="AI111" i="5"/>
  <c r="AN111" i="5" s="1"/>
  <c r="AH111" i="5"/>
  <c r="AM111" i="5" s="1"/>
  <c r="AG111" i="5"/>
  <c r="AL111" i="5" s="1"/>
  <c r="AF111" i="5"/>
  <c r="AK111" i="5" s="1"/>
  <c r="AI68" i="5"/>
  <c r="AN68" i="5" s="1"/>
  <c r="AH68" i="5"/>
  <c r="AM68" i="5" s="1"/>
  <c r="AG68" i="5"/>
  <c r="AL68" i="5" s="1"/>
  <c r="AF68" i="5"/>
  <c r="AK68" i="5" s="1"/>
  <c r="AI67" i="5"/>
  <c r="AN67" i="5" s="1"/>
  <c r="AH67" i="5"/>
  <c r="AM67" i="5" s="1"/>
  <c r="AG67" i="5"/>
  <c r="AL67" i="5" s="1"/>
  <c r="AF67" i="5"/>
  <c r="AK67" i="5" s="1"/>
  <c r="AI147" i="5"/>
  <c r="AN147" i="5" s="1"/>
  <c r="AH147" i="5"/>
  <c r="AM147" i="5" s="1"/>
  <c r="AG147" i="5"/>
  <c r="AL147" i="5" s="1"/>
  <c r="AF147" i="5"/>
  <c r="AK147" i="5" s="1"/>
  <c r="AI193" i="5"/>
  <c r="AN193" i="5" s="1"/>
  <c r="AH193" i="5"/>
  <c r="AM193" i="5" s="1"/>
  <c r="AG193" i="5"/>
  <c r="AL193" i="5" s="1"/>
  <c r="AF193" i="5"/>
  <c r="AK193" i="5" s="1"/>
  <c r="AI146" i="5"/>
  <c r="AN146" i="5" s="1"/>
  <c r="AH146" i="5"/>
  <c r="AM146" i="5" s="1"/>
  <c r="AG146" i="5"/>
  <c r="AL146" i="5" s="1"/>
  <c r="AF146" i="5"/>
  <c r="AK146" i="5" s="1"/>
  <c r="AN81" i="5"/>
  <c r="AI81" i="5"/>
  <c r="AH81" i="5"/>
  <c r="AM81" i="5" s="1"/>
  <c r="AG81" i="5"/>
  <c r="AL81" i="5" s="1"/>
  <c r="AF81" i="5"/>
  <c r="AK81" i="5" s="1"/>
  <c r="AI60" i="5"/>
  <c r="AN60" i="5" s="1"/>
  <c r="AH60" i="5"/>
  <c r="AM60" i="5" s="1"/>
  <c r="AG60" i="5"/>
  <c r="AL60" i="5" s="1"/>
  <c r="AF60" i="5"/>
  <c r="AK60" i="5" s="1"/>
  <c r="AI173" i="5"/>
  <c r="AN173" i="5" s="1"/>
  <c r="AH173" i="5"/>
  <c r="AM173" i="5" s="1"/>
  <c r="AG173" i="5"/>
  <c r="AL173" i="5" s="1"/>
  <c r="AF173" i="5"/>
  <c r="AK173" i="5" s="1"/>
  <c r="AI199" i="5"/>
  <c r="AN199" i="5" s="1"/>
  <c r="AH199" i="5"/>
  <c r="AM199" i="5" s="1"/>
  <c r="AG199" i="5"/>
  <c r="AL199" i="5" s="1"/>
  <c r="AF199" i="5"/>
  <c r="AK199" i="5" s="1"/>
  <c r="AI80" i="5"/>
  <c r="AN80" i="5" s="1"/>
  <c r="AH80" i="5"/>
  <c r="AM80" i="5" s="1"/>
  <c r="AG80" i="5"/>
  <c r="AL80" i="5" s="1"/>
  <c r="AF80" i="5"/>
  <c r="AK80" i="5" s="1"/>
  <c r="AI66" i="5"/>
  <c r="AN66" i="5" s="1"/>
  <c r="AH66" i="5"/>
  <c r="AM66" i="5" s="1"/>
  <c r="AG66" i="5"/>
  <c r="AL66" i="5" s="1"/>
  <c r="AF66" i="5"/>
  <c r="AK66" i="5" s="1"/>
  <c r="AI56" i="5"/>
  <c r="AN56" i="5" s="1"/>
  <c r="AH56" i="5"/>
  <c r="AM56" i="5" s="1"/>
  <c r="AG56" i="5"/>
  <c r="AL56" i="5" s="1"/>
  <c r="AF56" i="5"/>
  <c r="AK56" i="5" s="1"/>
  <c r="AI127" i="5"/>
  <c r="AN127" i="5" s="1"/>
  <c r="AH127" i="5"/>
  <c r="AM127" i="5" s="1"/>
  <c r="AG127" i="5"/>
  <c r="AL127" i="5" s="1"/>
  <c r="AF127" i="5"/>
  <c r="AK127" i="5" s="1"/>
  <c r="AO127" i="5" s="1"/>
  <c r="AI167" i="5"/>
  <c r="AN167" i="5" s="1"/>
  <c r="AH167" i="5"/>
  <c r="AM167" i="5" s="1"/>
  <c r="AG167" i="5"/>
  <c r="AL167" i="5" s="1"/>
  <c r="AF167" i="5"/>
  <c r="AK167" i="5" s="1"/>
  <c r="AI34" i="5"/>
  <c r="AN34" i="5" s="1"/>
  <c r="AH34" i="5"/>
  <c r="AM34" i="5" s="1"/>
  <c r="AG34" i="5"/>
  <c r="AL34" i="5" s="1"/>
  <c r="AF34" i="5"/>
  <c r="AK34" i="5" s="1"/>
  <c r="AI192" i="5"/>
  <c r="AN192" i="5" s="1"/>
  <c r="AH192" i="5"/>
  <c r="AM192" i="5" s="1"/>
  <c r="AG192" i="5"/>
  <c r="AL192" i="5" s="1"/>
  <c r="AF192" i="5"/>
  <c r="AK192" i="5" s="1"/>
  <c r="AO192" i="5" s="1"/>
  <c r="AI137" i="5"/>
  <c r="AN137" i="5" s="1"/>
  <c r="AH137" i="5"/>
  <c r="AM137" i="5" s="1"/>
  <c r="AG137" i="5"/>
  <c r="AL137" i="5" s="1"/>
  <c r="AF137" i="5"/>
  <c r="AK137" i="5" s="1"/>
  <c r="AK55" i="5"/>
  <c r="AI55" i="5"/>
  <c r="AN55" i="5" s="1"/>
  <c r="AH55" i="5"/>
  <c r="AM55" i="5" s="1"/>
  <c r="AG55" i="5"/>
  <c r="AL55" i="5" s="1"/>
  <c r="AF55" i="5"/>
  <c r="AK33" i="5"/>
  <c r="AI33" i="5"/>
  <c r="AN33" i="5" s="1"/>
  <c r="AH33" i="5"/>
  <c r="AM33" i="5" s="1"/>
  <c r="AG33" i="5"/>
  <c r="AL33" i="5" s="1"/>
  <c r="AF33" i="5"/>
  <c r="AI116" i="5"/>
  <c r="AN116" i="5" s="1"/>
  <c r="AH116" i="5"/>
  <c r="AM116" i="5" s="1"/>
  <c r="AG116" i="5"/>
  <c r="AL116" i="5" s="1"/>
  <c r="AF116" i="5"/>
  <c r="AK116" i="5" s="1"/>
  <c r="AI59" i="5"/>
  <c r="AN59" i="5" s="1"/>
  <c r="AH59" i="5"/>
  <c r="AM59" i="5" s="1"/>
  <c r="AG59" i="5"/>
  <c r="AL59" i="5" s="1"/>
  <c r="AF59" i="5"/>
  <c r="AK59" i="5" s="1"/>
  <c r="AI228" i="5"/>
  <c r="AN228" i="5" s="1"/>
  <c r="AH228" i="5"/>
  <c r="AM228" i="5" s="1"/>
  <c r="AG228" i="5"/>
  <c r="AL228" i="5" s="1"/>
  <c r="AF228" i="5"/>
  <c r="AK228" i="5" s="1"/>
  <c r="AI43" i="5"/>
  <c r="AN43" i="5" s="1"/>
  <c r="AH43" i="5"/>
  <c r="AM43" i="5" s="1"/>
  <c r="AG43" i="5"/>
  <c r="AL43" i="5" s="1"/>
  <c r="AF43" i="5"/>
  <c r="AK43" i="5" s="1"/>
  <c r="AI126" i="5"/>
  <c r="AN126" i="5" s="1"/>
  <c r="AH126" i="5"/>
  <c r="AM126" i="5" s="1"/>
  <c r="AG126" i="5"/>
  <c r="AL126" i="5" s="1"/>
  <c r="AF126" i="5"/>
  <c r="AK126" i="5" s="1"/>
  <c r="AI27" i="5"/>
  <c r="AN27" i="5" s="1"/>
  <c r="AH27" i="5"/>
  <c r="AM27" i="5" s="1"/>
  <c r="AG27" i="5"/>
  <c r="AL27" i="5" s="1"/>
  <c r="AF27" i="5"/>
  <c r="AK27" i="5" s="1"/>
  <c r="AK32" i="5"/>
  <c r="AI32" i="5"/>
  <c r="AN32" i="5" s="1"/>
  <c r="AH32" i="5"/>
  <c r="AM32" i="5" s="1"/>
  <c r="AG32" i="5"/>
  <c r="AL32" i="5" s="1"/>
  <c r="AF32" i="5"/>
  <c r="AI6" i="5"/>
  <c r="AN6" i="5" s="1"/>
  <c r="AH6" i="5"/>
  <c r="AM6" i="5" s="1"/>
  <c r="AG6" i="5"/>
  <c r="AL6" i="5" s="1"/>
  <c r="AF6" i="5"/>
  <c r="AK6" i="5" s="1"/>
  <c r="AI42" i="5"/>
  <c r="AN42" i="5" s="1"/>
  <c r="AH42" i="5"/>
  <c r="AM42" i="5" s="1"/>
  <c r="AG42" i="5"/>
  <c r="AL42" i="5" s="1"/>
  <c r="AF42" i="5"/>
  <c r="AK42" i="5" s="1"/>
  <c r="AI54" i="5"/>
  <c r="AN54" i="5" s="1"/>
  <c r="AH54" i="5"/>
  <c r="AM54" i="5" s="1"/>
  <c r="AG54" i="5"/>
  <c r="AL54" i="5" s="1"/>
  <c r="AF54" i="5"/>
  <c r="AK54" i="5" s="1"/>
  <c r="AN53" i="5"/>
  <c r="AK53" i="5"/>
  <c r="AI53" i="5"/>
  <c r="AH53" i="5"/>
  <c r="AM53" i="5" s="1"/>
  <c r="AG53" i="5"/>
  <c r="AL53" i="5" s="1"/>
  <c r="AF53" i="5"/>
  <c r="AI188" i="5"/>
  <c r="AN188" i="5" s="1"/>
  <c r="AH188" i="5"/>
  <c r="AM188" i="5" s="1"/>
  <c r="AG188" i="5"/>
  <c r="AL188" i="5" s="1"/>
  <c r="AF188" i="5"/>
  <c r="AK188" i="5" s="1"/>
  <c r="AI125" i="5"/>
  <c r="AN125" i="5" s="1"/>
  <c r="AH125" i="5"/>
  <c r="AM125" i="5" s="1"/>
  <c r="AG125" i="5"/>
  <c r="AL125" i="5" s="1"/>
  <c r="AF125" i="5"/>
  <c r="AK125" i="5" s="1"/>
  <c r="AI41" i="5"/>
  <c r="AN41" i="5" s="1"/>
  <c r="AH41" i="5"/>
  <c r="AM41" i="5" s="1"/>
  <c r="AG41" i="5"/>
  <c r="AL41" i="5" s="1"/>
  <c r="AF41" i="5"/>
  <c r="AK41" i="5" s="1"/>
  <c r="AK52" i="5"/>
  <c r="AI52" i="5"/>
  <c r="AN52" i="5" s="1"/>
  <c r="AH52" i="5"/>
  <c r="AM52" i="5" s="1"/>
  <c r="AG52" i="5"/>
  <c r="AL52" i="5" s="1"/>
  <c r="AF52" i="5"/>
  <c r="AI191" i="5"/>
  <c r="AN191" i="5" s="1"/>
  <c r="AH191" i="5"/>
  <c r="AM191" i="5" s="1"/>
  <c r="AG191" i="5"/>
  <c r="AL191" i="5" s="1"/>
  <c r="AF191" i="5"/>
  <c r="AK191" i="5" s="1"/>
  <c r="AI115" i="5"/>
  <c r="AN115" i="5" s="1"/>
  <c r="AH115" i="5"/>
  <c r="AM115" i="5" s="1"/>
  <c r="AG115" i="5"/>
  <c r="AL115" i="5" s="1"/>
  <c r="AF115" i="5"/>
  <c r="AK115" i="5" s="1"/>
  <c r="AI51" i="5"/>
  <c r="AN51" i="5" s="1"/>
  <c r="AH51" i="5"/>
  <c r="AM51" i="5" s="1"/>
  <c r="AG51" i="5"/>
  <c r="AL51" i="5" s="1"/>
  <c r="AF51" i="5"/>
  <c r="AK51" i="5" s="1"/>
  <c r="AM65" i="5"/>
  <c r="AI65" i="5"/>
  <c r="AN65" i="5" s="1"/>
  <c r="AH65" i="5"/>
  <c r="AG65" i="5"/>
  <c r="AL65" i="5" s="1"/>
  <c r="AF65" i="5"/>
  <c r="AK65" i="5" s="1"/>
  <c r="AI31" i="5"/>
  <c r="AN31" i="5" s="1"/>
  <c r="AH31" i="5"/>
  <c r="AM31" i="5" s="1"/>
  <c r="AG31" i="5"/>
  <c r="AL31" i="5" s="1"/>
  <c r="AF31" i="5"/>
  <c r="AK31" i="5" s="1"/>
  <c r="AI40" i="5"/>
  <c r="AN40" i="5" s="1"/>
  <c r="AH40" i="5"/>
  <c r="AM40" i="5" s="1"/>
  <c r="AG40" i="5"/>
  <c r="AL40" i="5" s="1"/>
  <c r="AF40" i="5"/>
  <c r="AK40" i="5" s="1"/>
  <c r="AI50" i="5"/>
  <c r="AN50" i="5" s="1"/>
  <c r="AH50" i="5"/>
  <c r="AM50" i="5" s="1"/>
  <c r="AG50" i="5"/>
  <c r="AL50" i="5" s="1"/>
  <c r="AF50" i="5"/>
  <c r="AK50" i="5" s="1"/>
  <c r="AI58" i="5"/>
  <c r="AN58" i="5" s="1"/>
  <c r="AH58" i="5"/>
  <c r="AM58" i="5" s="1"/>
  <c r="AG58" i="5"/>
  <c r="AL58" i="5" s="1"/>
  <c r="AF58" i="5"/>
  <c r="AK58" i="5" s="1"/>
  <c r="AI187" i="5"/>
  <c r="AN187" i="5" s="1"/>
  <c r="AH187" i="5"/>
  <c r="AM187" i="5" s="1"/>
  <c r="AG187" i="5"/>
  <c r="AL187" i="5" s="1"/>
  <c r="AF187" i="5"/>
  <c r="AK187" i="5" s="1"/>
  <c r="AN9" i="5"/>
  <c r="AL9" i="5"/>
  <c r="AI9" i="5"/>
  <c r="AH9" i="5"/>
  <c r="AM9" i="5" s="1"/>
  <c r="AG9" i="5"/>
  <c r="AF9" i="5"/>
  <c r="AK9" i="5" s="1"/>
  <c r="AL145" i="5"/>
  <c r="AI145" i="5"/>
  <c r="AN145" i="5" s="1"/>
  <c r="AH145" i="5"/>
  <c r="AM145" i="5" s="1"/>
  <c r="AG145" i="5"/>
  <c r="AF145" i="5"/>
  <c r="AK145" i="5" s="1"/>
  <c r="AK186" i="5"/>
  <c r="AI186" i="5"/>
  <c r="AN186" i="5" s="1"/>
  <c r="AH186" i="5"/>
  <c r="AM186" i="5" s="1"/>
  <c r="AG186" i="5"/>
  <c r="AL186" i="5" s="1"/>
  <c r="AF186" i="5"/>
  <c r="AL124" i="5"/>
  <c r="AI124" i="5"/>
  <c r="AN124" i="5" s="1"/>
  <c r="AH124" i="5"/>
  <c r="AM124" i="5" s="1"/>
  <c r="AG124" i="5"/>
  <c r="AF124" i="5"/>
  <c r="AK124" i="5" s="1"/>
  <c r="AI144" i="5"/>
  <c r="AN144" i="5" s="1"/>
  <c r="AH144" i="5"/>
  <c r="AM144" i="5" s="1"/>
  <c r="AG144" i="5"/>
  <c r="AL144" i="5" s="1"/>
  <c r="AF144" i="5"/>
  <c r="AK144" i="5" s="1"/>
  <c r="AI26" i="5"/>
  <c r="AN26" i="5" s="1"/>
  <c r="AH26" i="5"/>
  <c r="AM26" i="5" s="1"/>
  <c r="AG26" i="5"/>
  <c r="AL26" i="5" s="1"/>
  <c r="AF26" i="5"/>
  <c r="AK26" i="5" s="1"/>
  <c r="AI143" i="5"/>
  <c r="AN143" i="5" s="1"/>
  <c r="AH143" i="5"/>
  <c r="AM143" i="5" s="1"/>
  <c r="AG143" i="5"/>
  <c r="AL143" i="5" s="1"/>
  <c r="AF143" i="5"/>
  <c r="AK143" i="5" s="1"/>
  <c r="AI198" i="5"/>
  <c r="AN198" i="5" s="1"/>
  <c r="AH198" i="5"/>
  <c r="AM198" i="5" s="1"/>
  <c r="AG198" i="5"/>
  <c r="AL198" i="5" s="1"/>
  <c r="AF198" i="5"/>
  <c r="AK198" i="5" s="1"/>
  <c r="AL98" i="5"/>
  <c r="AI98" i="5"/>
  <c r="AN98" i="5" s="1"/>
  <c r="AH98" i="5"/>
  <c r="AM98" i="5" s="1"/>
  <c r="AG98" i="5"/>
  <c r="AF98" i="5"/>
  <c r="AK98" i="5" s="1"/>
  <c r="AM216" i="5"/>
  <c r="AK216" i="5"/>
  <c r="AI216" i="5"/>
  <c r="AN216" i="5" s="1"/>
  <c r="AH216" i="5"/>
  <c r="AG216" i="5"/>
  <c r="AL216" i="5" s="1"/>
  <c r="AF216" i="5"/>
  <c r="AK163" i="5"/>
  <c r="AI163" i="5"/>
  <c r="AN163" i="5" s="1"/>
  <c r="AH163" i="5"/>
  <c r="AM163" i="5" s="1"/>
  <c r="AG163" i="5"/>
  <c r="AL163" i="5" s="1"/>
  <c r="AF163" i="5"/>
  <c r="AI105" i="5"/>
  <c r="AN105" i="5" s="1"/>
  <c r="AH105" i="5"/>
  <c r="AM105" i="5" s="1"/>
  <c r="AG105" i="5"/>
  <c r="AL105" i="5" s="1"/>
  <c r="AF105" i="5"/>
  <c r="AK105" i="5" s="1"/>
  <c r="AI73" i="5"/>
  <c r="AN73" i="5" s="1"/>
  <c r="AH73" i="5"/>
  <c r="AM73" i="5" s="1"/>
  <c r="AG73" i="5"/>
  <c r="AL73" i="5" s="1"/>
  <c r="AF73" i="5"/>
  <c r="AK73" i="5" s="1"/>
  <c r="AI114" i="5"/>
  <c r="AN114" i="5" s="1"/>
  <c r="AH114" i="5"/>
  <c r="AM114" i="5" s="1"/>
  <c r="AG114" i="5"/>
  <c r="AL114" i="5" s="1"/>
  <c r="AF114" i="5"/>
  <c r="AK114" i="5" s="1"/>
  <c r="AI64" i="5"/>
  <c r="AN64" i="5" s="1"/>
  <c r="AH64" i="5"/>
  <c r="AM64" i="5" s="1"/>
  <c r="AG64" i="5"/>
  <c r="AL64" i="5" s="1"/>
  <c r="AF64" i="5"/>
  <c r="AK64" i="5" s="1"/>
  <c r="AI19" i="5"/>
  <c r="AN19" i="5" s="1"/>
  <c r="AH19" i="5"/>
  <c r="AM19" i="5" s="1"/>
  <c r="AG19" i="5"/>
  <c r="AL19" i="5" s="1"/>
  <c r="AF19" i="5"/>
  <c r="AK19" i="5" s="1"/>
  <c r="AI97" i="5"/>
  <c r="AN97" i="5" s="1"/>
  <c r="AH97" i="5"/>
  <c r="AM97" i="5" s="1"/>
  <c r="AG97" i="5"/>
  <c r="AL97" i="5" s="1"/>
  <c r="AF97" i="5"/>
  <c r="AK97" i="5" s="1"/>
  <c r="AI18" i="5"/>
  <c r="AN18" i="5" s="1"/>
  <c r="AH18" i="5"/>
  <c r="AM18" i="5" s="1"/>
  <c r="AG18" i="5"/>
  <c r="AL18" i="5" s="1"/>
  <c r="AF18" i="5"/>
  <c r="AK18" i="5" s="1"/>
  <c r="AI136" i="5"/>
  <c r="AN136" i="5" s="1"/>
  <c r="AH136" i="5"/>
  <c r="AM136" i="5" s="1"/>
  <c r="AG136" i="5"/>
  <c r="AL136" i="5" s="1"/>
  <c r="AF136" i="5"/>
  <c r="AK136" i="5" s="1"/>
  <c r="AL172" i="5"/>
  <c r="AI172" i="5"/>
  <c r="AN172" i="5" s="1"/>
  <c r="AH172" i="5"/>
  <c r="AM172" i="5" s="1"/>
  <c r="AG172" i="5"/>
  <c r="AF172" i="5"/>
  <c r="AK172" i="5" s="1"/>
  <c r="AI72" i="5"/>
  <c r="AN72" i="5" s="1"/>
  <c r="AH72" i="5"/>
  <c r="AM72" i="5" s="1"/>
  <c r="AG72" i="5"/>
  <c r="AL72" i="5" s="1"/>
  <c r="AF72" i="5"/>
  <c r="AK72" i="5" s="1"/>
  <c r="AK104" i="5"/>
  <c r="AI104" i="5"/>
  <c r="AN104" i="5" s="1"/>
  <c r="AH104" i="5"/>
  <c r="AM104" i="5" s="1"/>
  <c r="AG104" i="5"/>
  <c r="AL104" i="5" s="1"/>
  <c r="AF104" i="5"/>
  <c r="AM79" i="5"/>
  <c r="AL79" i="5"/>
  <c r="AI79" i="5"/>
  <c r="AN79" i="5" s="1"/>
  <c r="AH79" i="5"/>
  <c r="AG79" i="5"/>
  <c r="AF79" i="5"/>
  <c r="AK79" i="5" s="1"/>
  <c r="AI135" i="5"/>
  <c r="AN135" i="5" s="1"/>
  <c r="AH135" i="5"/>
  <c r="AM135" i="5" s="1"/>
  <c r="AG135" i="5"/>
  <c r="AL135" i="5" s="1"/>
  <c r="AF135" i="5"/>
  <c r="AK135" i="5" s="1"/>
  <c r="AI10" i="5"/>
  <c r="AN10" i="5" s="1"/>
  <c r="AH10" i="5"/>
  <c r="AM10" i="5" s="1"/>
  <c r="AG10" i="5"/>
  <c r="AL10" i="5" s="1"/>
  <c r="AF10" i="5"/>
  <c r="AK10" i="5" s="1"/>
  <c r="AI190" i="5"/>
  <c r="AN190" i="5" s="1"/>
  <c r="AH190" i="5"/>
  <c r="AM190" i="5" s="1"/>
  <c r="AG190" i="5"/>
  <c r="AL190" i="5" s="1"/>
  <c r="AF190" i="5"/>
  <c r="AK190" i="5" s="1"/>
  <c r="AI157" i="5"/>
  <c r="AN157" i="5" s="1"/>
  <c r="AH157" i="5"/>
  <c r="AM157" i="5" s="1"/>
  <c r="AG157" i="5"/>
  <c r="AL157" i="5" s="1"/>
  <c r="AF157" i="5"/>
  <c r="AK157" i="5" s="1"/>
  <c r="AI185" i="5"/>
  <c r="AN185" i="5" s="1"/>
  <c r="AH185" i="5"/>
  <c r="AM185" i="5" s="1"/>
  <c r="AG185" i="5"/>
  <c r="AL185" i="5" s="1"/>
  <c r="AF185" i="5"/>
  <c r="AK185" i="5" s="1"/>
  <c r="AN63" i="5"/>
  <c r="AI63" i="5"/>
  <c r="AH63" i="5"/>
  <c r="AM63" i="5" s="1"/>
  <c r="AG63" i="5"/>
  <c r="AL63" i="5" s="1"/>
  <c r="AF63" i="5"/>
  <c r="AK63" i="5" s="1"/>
  <c r="AI49" i="5"/>
  <c r="AN49" i="5" s="1"/>
  <c r="AH49" i="5"/>
  <c r="AM49" i="5" s="1"/>
  <c r="AG49" i="5"/>
  <c r="AL49" i="5" s="1"/>
  <c r="AF49" i="5"/>
  <c r="AK49" i="5" s="1"/>
  <c r="AI211" i="5"/>
  <c r="AN211" i="5" s="1"/>
  <c r="AH211" i="5"/>
  <c r="AM211" i="5" s="1"/>
  <c r="AG211" i="5"/>
  <c r="AL211" i="5" s="1"/>
  <c r="AF211" i="5"/>
  <c r="AK211" i="5" s="1"/>
  <c r="AM213" i="5"/>
  <c r="AI213" i="5"/>
  <c r="AN213" i="5" s="1"/>
  <c r="AH213" i="5"/>
  <c r="AG213" i="5"/>
  <c r="AL213" i="5" s="1"/>
  <c r="AF213" i="5"/>
  <c r="AK213" i="5" s="1"/>
  <c r="AI197" i="5"/>
  <c r="AN197" i="5" s="1"/>
  <c r="AH197" i="5"/>
  <c r="AM197" i="5" s="1"/>
  <c r="AG197" i="5"/>
  <c r="AL197" i="5" s="1"/>
  <c r="AF197" i="5"/>
  <c r="AK197" i="5" s="1"/>
  <c r="AI156" i="5"/>
  <c r="AN156" i="5" s="1"/>
  <c r="AH156" i="5"/>
  <c r="AM156" i="5" s="1"/>
  <c r="AG156" i="5"/>
  <c r="AL156" i="5" s="1"/>
  <c r="AF156" i="5"/>
  <c r="AK156" i="5" s="1"/>
  <c r="AL110" i="5"/>
  <c r="AI110" i="5"/>
  <c r="AN110" i="5" s="1"/>
  <c r="AH110" i="5"/>
  <c r="AM110" i="5" s="1"/>
  <c r="AG110" i="5"/>
  <c r="AF110" i="5"/>
  <c r="AK110" i="5" s="1"/>
  <c r="AI25" i="5"/>
  <c r="AN25" i="5" s="1"/>
  <c r="AH25" i="5"/>
  <c r="AM25" i="5" s="1"/>
  <c r="AG25" i="5"/>
  <c r="AL25" i="5" s="1"/>
  <c r="AF25" i="5"/>
  <c r="AK25" i="5" s="1"/>
  <c r="AI205" i="5"/>
  <c r="AN205" i="5" s="1"/>
  <c r="AH205" i="5"/>
  <c r="AM205" i="5" s="1"/>
  <c r="AG205" i="5"/>
  <c r="AL205" i="5" s="1"/>
  <c r="AF205" i="5"/>
  <c r="AK205" i="5" s="1"/>
  <c r="AO205" i="5" s="1"/>
  <c r="AI46" i="5"/>
  <c r="AN46" i="5" s="1"/>
  <c r="AH46" i="5"/>
  <c r="AM46" i="5" s="1"/>
  <c r="AG46" i="5"/>
  <c r="AL46" i="5" s="1"/>
  <c r="AF46" i="5"/>
  <c r="AK46" i="5" s="1"/>
  <c r="AI89" i="5"/>
  <c r="AN89" i="5" s="1"/>
  <c r="AH89" i="5"/>
  <c r="AM89" i="5" s="1"/>
  <c r="AG89" i="5"/>
  <c r="AL89" i="5" s="1"/>
  <c r="AF89" i="5"/>
  <c r="AK89" i="5" s="1"/>
  <c r="AK88" i="5"/>
  <c r="AI88" i="5"/>
  <c r="AN88" i="5" s="1"/>
  <c r="AH88" i="5"/>
  <c r="AM88" i="5" s="1"/>
  <c r="AG88" i="5"/>
  <c r="AL88" i="5" s="1"/>
  <c r="AF88" i="5"/>
  <c r="AI184" i="5"/>
  <c r="AN184" i="5" s="1"/>
  <c r="AH184" i="5"/>
  <c r="AM184" i="5" s="1"/>
  <c r="AG184" i="5"/>
  <c r="AL184" i="5" s="1"/>
  <c r="AF184" i="5"/>
  <c r="AK184" i="5" s="1"/>
  <c r="AI39" i="5"/>
  <c r="AN39" i="5" s="1"/>
  <c r="AH39" i="5"/>
  <c r="AM39" i="5" s="1"/>
  <c r="AG39" i="5"/>
  <c r="AL39" i="5" s="1"/>
  <c r="AF39" i="5"/>
  <c r="AK39" i="5" s="1"/>
  <c r="AI62" i="5"/>
  <c r="AN62" i="5" s="1"/>
  <c r="AH62" i="5"/>
  <c r="AM62" i="5" s="1"/>
  <c r="AG62" i="5"/>
  <c r="AL62" i="5" s="1"/>
  <c r="AF62" i="5"/>
  <c r="AK62" i="5" s="1"/>
  <c r="AN134" i="5"/>
  <c r="AM134" i="5"/>
  <c r="AI134" i="5"/>
  <c r="AH134" i="5"/>
  <c r="AG134" i="5"/>
  <c r="AL134" i="5" s="1"/>
  <c r="AF134" i="5"/>
  <c r="AK134" i="5" s="1"/>
  <c r="AI103" i="5"/>
  <c r="AN103" i="5" s="1"/>
  <c r="AH103" i="5"/>
  <c r="AM103" i="5" s="1"/>
  <c r="AG103" i="5"/>
  <c r="AL103" i="5" s="1"/>
  <c r="AF103" i="5"/>
  <c r="AK103" i="5" s="1"/>
  <c r="AI175" i="5"/>
  <c r="AN175" i="5" s="1"/>
  <c r="AH175" i="5"/>
  <c r="AM175" i="5" s="1"/>
  <c r="AG175" i="5"/>
  <c r="AL175" i="5" s="1"/>
  <c r="AF175" i="5"/>
  <c r="AK175" i="5" s="1"/>
  <c r="AI87" i="5"/>
  <c r="AN87" i="5" s="1"/>
  <c r="AH87" i="5"/>
  <c r="AM87" i="5" s="1"/>
  <c r="AG87" i="5"/>
  <c r="AL87" i="5" s="1"/>
  <c r="AF87" i="5"/>
  <c r="AK87" i="5" s="1"/>
  <c r="AI123" i="5"/>
  <c r="AN123" i="5" s="1"/>
  <c r="AH123" i="5"/>
  <c r="AM123" i="5" s="1"/>
  <c r="AG123" i="5"/>
  <c r="AL123" i="5" s="1"/>
  <c r="AF123" i="5"/>
  <c r="AK123" i="5" s="1"/>
  <c r="AI210" i="5"/>
  <c r="AN210" i="5" s="1"/>
  <c r="AH210" i="5"/>
  <c r="AM210" i="5" s="1"/>
  <c r="AG210" i="5"/>
  <c r="AL210" i="5" s="1"/>
  <c r="AF210" i="5"/>
  <c r="AK210" i="5" s="1"/>
  <c r="AI224" i="5"/>
  <c r="AN224" i="5" s="1"/>
  <c r="AH224" i="5"/>
  <c r="AM224" i="5" s="1"/>
  <c r="AG224" i="5"/>
  <c r="AL224" i="5" s="1"/>
  <c r="AF224" i="5"/>
  <c r="AK224" i="5" s="1"/>
  <c r="AO224" i="5" s="1"/>
  <c r="AK133" i="5"/>
  <c r="AI133" i="5"/>
  <c r="AN133" i="5" s="1"/>
  <c r="AH133" i="5"/>
  <c r="AM133" i="5" s="1"/>
  <c r="AG133" i="5"/>
  <c r="AL133" i="5" s="1"/>
  <c r="AF133" i="5"/>
  <c r="AL96" i="5"/>
  <c r="AI96" i="5"/>
  <c r="AN96" i="5" s="1"/>
  <c r="AH96" i="5"/>
  <c r="AM96" i="5" s="1"/>
  <c r="AG96" i="5"/>
  <c r="AF96" i="5"/>
  <c r="AK96" i="5" s="1"/>
  <c r="AI78" i="5"/>
  <c r="AN78" i="5" s="1"/>
  <c r="AH78" i="5"/>
  <c r="AM78" i="5" s="1"/>
  <c r="AG78" i="5"/>
  <c r="AL78" i="5" s="1"/>
  <c r="AF78" i="5"/>
  <c r="AK78" i="5" s="1"/>
  <c r="AI209" i="5"/>
  <c r="AN209" i="5" s="1"/>
  <c r="AH209" i="5"/>
  <c r="AM209" i="5" s="1"/>
  <c r="AG209" i="5"/>
  <c r="AL209" i="5" s="1"/>
  <c r="AF209" i="5"/>
  <c r="AK209" i="5" s="1"/>
  <c r="AI24" i="5"/>
  <c r="AN24" i="5" s="1"/>
  <c r="AH24" i="5"/>
  <c r="AM24" i="5" s="1"/>
  <c r="AG24" i="5"/>
  <c r="AL24" i="5" s="1"/>
  <c r="AF24" i="5"/>
  <c r="AK24" i="5" s="1"/>
  <c r="AI196" i="5"/>
  <c r="AN196" i="5" s="1"/>
  <c r="AH196" i="5"/>
  <c r="AM196" i="5" s="1"/>
  <c r="AG196" i="5"/>
  <c r="AL196" i="5" s="1"/>
  <c r="AF196" i="5"/>
  <c r="AK196" i="5" s="1"/>
  <c r="AI155" i="5"/>
  <c r="AN155" i="5" s="1"/>
  <c r="AH155" i="5"/>
  <c r="AM155" i="5" s="1"/>
  <c r="AG155" i="5"/>
  <c r="AL155" i="5" s="1"/>
  <c r="AF155" i="5"/>
  <c r="AK155" i="5" s="1"/>
  <c r="AK183" i="5"/>
  <c r="AI183" i="5"/>
  <c r="AN183" i="5" s="1"/>
  <c r="AH183" i="5"/>
  <c r="AM183" i="5" s="1"/>
  <c r="AG183" i="5"/>
  <c r="AL183" i="5" s="1"/>
  <c r="AF183" i="5"/>
  <c r="AI38" i="5"/>
  <c r="AN38" i="5" s="1"/>
  <c r="AH38" i="5"/>
  <c r="AM38" i="5" s="1"/>
  <c r="AG38" i="5"/>
  <c r="AL38" i="5" s="1"/>
  <c r="AF38" i="5"/>
  <c r="AK38" i="5" s="1"/>
  <c r="AI45" i="5"/>
  <c r="AN45" i="5" s="1"/>
  <c r="AH45" i="5"/>
  <c r="AM45" i="5" s="1"/>
  <c r="AG45" i="5"/>
  <c r="AL45" i="5" s="1"/>
  <c r="AF45" i="5"/>
  <c r="AK45" i="5" s="1"/>
  <c r="AK102" i="5"/>
  <c r="AI102" i="5"/>
  <c r="AN102" i="5" s="1"/>
  <c r="AH102" i="5"/>
  <c r="AM102" i="5" s="1"/>
  <c r="AG102" i="5"/>
  <c r="AL102" i="5" s="1"/>
  <c r="AF102" i="5"/>
  <c r="AI37" i="5"/>
  <c r="AN37" i="5" s="1"/>
  <c r="AH37" i="5"/>
  <c r="AM37" i="5" s="1"/>
  <c r="AG37" i="5"/>
  <c r="AL37" i="5" s="1"/>
  <c r="AF37" i="5"/>
  <c r="AK37" i="5" s="1"/>
  <c r="AI71" i="5"/>
  <c r="AN71" i="5" s="1"/>
  <c r="AH71" i="5"/>
  <c r="AM71" i="5" s="1"/>
  <c r="AG71" i="5"/>
  <c r="AL71" i="5" s="1"/>
  <c r="AF71" i="5"/>
  <c r="AK71" i="5" s="1"/>
  <c r="AI86" i="5"/>
  <c r="AN86" i="5" s="1"/>
  <c r="AH86" i="5"/>
  <c r="AM86" i="5" s="1"/>
  <c r="AG86" i="5"/>
  <c r="AL86" i="5" s="1"/>
  <c r="AF86" i="5"/>
  <c r="AK86" i="5" s="1"/>
  <c r="AI182" i="5"/>
  <c r="AN182" i="5" s="1"/>
  <c r="AH182" i="5"/>
  <c r="AM182" i="5" s="1"/>
  <c r="AG182" i="5"/>
  <c r="AL182" i="5" s="1"/>
  <c r="AF182" i="5"/>
  <c r="AK182" i="5" s="1"/>
  <c r="AI23" i="5"/>
  <c r="AN23" i="5" s="1"/>
  <c r="AH23" i="5"/>
  <c r="AM23" i="5" s="1"/>
  <c r="AG23" i="5"/>
  <c r="AL23" i="5" s="1"/>
  <c r="AF23" i="5"/>
  <c r="AK23" i="5" s="1"/>
  <c r="AK36" i="5"/>
  <c r="AI36" i="5"/>
  <c r="AN36" i="5" s="1"/>
  <c r="AH36" i="5"/>
  <c r="AM36" i="5" s="1"/>
  <c r="AG36" i="5"/>
  <c r="AL36" i="5" s="1"/>
  <c r="AF36" i="5"/>
  <c r="AI22" i="5"/>
  <c r="AN22" i="5" s="1"/>
  <c r="AH22" i="5"/>
  <c r="AM22" i="5" s="1"/>
  <c r="AG22" i="5"/>
  <c r="AL22" i="5" s="1"/>
  <c r="AF22" i="5"/>
  <c r="AK22" i="5" s="1"/>
  <c r="AI17" i="5"/>
  <c r="AN17" i="5" s="1"/>
  <c r="AH17" i="5"/>
  <c r="AM17" i="5" s="1"/>
  <c r="AG17" i="5"/>
  <c r="AL17" i="5" s="1"/>
  <c r="AF17" i="5"/>
  <c r="AK17" i="5" s="1"/>
  <c r="AI232" i="5"/>
  <c r="AN232" i="5" s="1"/>
  <c r="AH232" i="5"/>
  <c r="AM232" i="5" s="1"/>
  <c r="AG232" i="5"/>
  <c r="AL232" i="5" s="1"/>
  <c r="AF232" i="5"/>
  <c r="AK232" i="5" s="1"/>
  <c r="AI85" i="5"/>
  <c r="AN85" i="5" s="1"/>
  <c r="AH85" i="5"/>
  <c r="AM85" i="5" s="1"/>
  <c r="AG85" i="5"/>
  <c r="AL85" i="5" s="1"/>
  <c r="AF85" i="5"/>
  <c r="AK85" i="5" s="1"/>
  <c r="AI166" i="5"/>
  <c r="AN166" i="5" s="1"/>
  <c r="AH166" i="5"/>
  <c r="AM166" i="5" s="1"/>
  <c r="AG166" i="5"/>
  <c r="AL166" i="5" s="1"/>
  <c r="AF166" i="5"/>
  <c r="AK166" i="5" s="1"/>
  <c r="AI181" i="5"/>
  <c r="AN181" i="5" s="1"/>
  <c r="AH181" i="5"/>
  <c r="AM181" i="5" s="1"/>
  <c r="AG181" i="5"/>
  <c r="AL181" i="5" s="1"/>
  <c r="AF181" i="5"/>
  <c r="AK181" i="5" s="1"/>
  <c r="AM204" i="5"/>
  <c r="AK204" i="5"/>
  <c r="AI204" i="5"/>
  <c r="AN204" i="5" s="1"/>
  <c r="AH204" i="5"/>
  <c r="AG204" i="5"/>
  <c r="AL204" i="5" s="1"/>
  <c r="AF204" i="5"/>
  <c r="AI16" i="5"/>
  <c r="AN16" i="5" s="1"/>
  <c r="AH16" i="5"/>
  <c r="AM16" i="5" s="1"/>
  <c r="AG16" i="5"/>
  <c r="AL16" i="5" s="1"/>
  <c r="AF16" i="5"/>
  <c r="AK16" i="5" s="1"/>
  <c r="AI122" i="5"/>
  <c r="AN122" i="5" s="1"/>
  <c r="AH122" i="5"/>
  <c r="AM122" i="5" s="1"/>
  <c r="AG122" i="5"/>
  <c r="AL122" i="5" s="1"/>
  <c r="AF122" i="5"/>
  <c r="AK122" i="5" s="1"/>
  <c r="AM222" i="5"/>
  <c r="AI222" i="5"/>
  <c r="AN222" i="5" s="1"/>
  <c r="AH222" i="5"/>
  <c r="AG222" i="5"/>
  <c r="AL222" i="5" s="1"/>
  <c r="AF222" i="5"/>
  <c r="AK222" i="5" s="1"/>
  <c r="AI95" i="5"/>
  <c r="AN95" i="5" s="1"/>
  <c r="AH95" i="5"/>
  <c r="AM95" i="5" s="1"/>
  <c r="AG95" i="5"/>
  <c r="AL95" i="5" s="1"/>
  <c r="AF95" i="5"/>
  <c r="AK95" i="5" s="1"/>
  <c r="AI231" i="5"/>
  <c r="AN231" i="5" s="1"/>
  <c r="AH231" i="5"/>
  <c r="AM231" i="5" s="1"/>
  <c r="AG231" i="5"/>
  <c r="AL231" i="5" s="1"/>
  <c r="AF231" i="5"/>
  <c r="AK231" i="5" s="1"/>
  <c r="AI15" i="5"/>
  <c r="AN15" i="5" s="1"/>
  <c r="AH15" i="5"/>
  <c r="AM15" i="5" s="1"/>
  <c r="AG15" i="5"/>
  <c r="AL15" i="5" s="1"/>
  <c r="AF15" i="5"/>
  <c r="AK15" i="5" s="1"/>
  <c r="AI208" i="5"/>
  <c r="AN208" i="5" s="1"/>
  <c r="AH208" i="5"/>
  <c r="AM208" i="5" s="1"/>
  <c r="AG208" i="5"/>
  <c r="AL208" i="5" s="1"/>
  <c r="AF208" i="5"/>
  <c r="AK208" i="5" s="1"/>
  <c r="AL12" i="5"/>
  <c r="AK12" i="5"/>
  <c r="AI12" i="5"/>
  <c r="AN12" i="5" s="1"/>
  <c r="AH12" i="5"/>
  <c r="AM12" i="5" s="1"/>
  <c r="AG12" i="5"/>
  <c r="AF12" i="5"/>
  <c r="AI8" i="5"/>
  <c r="AN8" i="5" s="1"/>
  <c r="AH8" i="5"/>
  <c r="AM8" i="5" s="1"/>
  <c r="AG8" i="5"/>
  <c r="AL8" i="5" s="1"/>
  <c r="AF8" i="5"/>
  <c r="AK8" i="5" s="1"/>
  <c r="AI215" i="5"/>
  <c r="AN215" i="5" s="1"/>
  <c r="AH215" i="5"/>
  <c r="AM215" i="5" s="1"/>
  <c r="AG215" i="5"/>
  <c r="AL215" i="5" s="1"/>
  <c r="AF215" i="5"/>
  <c r="AK215" i="5" s="1"/>
  <c r="AN180" i="5"/>
  <c r="AI180" i="5"/>
  <c r="AH180" i="5"/>
  <c r="AM180" i="5" s="1"/>
  <c r="AG180" i="5"/>
  <c r="AL180" i="5" s="1"/>
  <c r="AF180" i="5"/>
  <c r="AK180" i="5" s="1"/>
  <c r="AI203" i="5"/>
  <c r="AN203" i="5" s="1"/>
  <c r="AH203" i="5"/>
  <c r="AM203" i="5" s="1"/>
  <c r="AG203" i="5"/>
  <c r="AL203" i="5" s="1"/>
  <c r="AF203" i="5"/>
  <c r="AK203" i="5" s="1"/>
  <c r="AI109" i="5"/>
  <c r="AN109" i="5" s="1"/>
  <c r="AH109" i="5"/>
  <c r="AM109" i="5" s="1"/>
  <c r="AG109" i="5"/>
  <c r="AL109" i="5" s="1"/>
  <c r="AF109" i="5"/>
  <c r="AK109" i="5" s="1"/>
  <c r="AI230" i="5"/>
  <c r="AN230" i="5" s="1"/>
  <c r="AH230" i="5"/>
  <c r="AM230" i="5" s="1"/>
  <c r="AG230" i="5"/>
  <c r="AL230" i="5" s="1"/>
  <c r="AF230" i="5"/>
  <c r="AK230" i="5" s="1"/>
  <c r="AI165" i="5"/>
  <c r="AN165" i="5" s="1"/>
  <c r="AH165" i="5"/>
  <c r="AM165" i="5" s="1"/>
  <c r="AG165" i="5"/>
  <c r="AL165" i="5" s="1"/>
  <c r="AF165" i="5"/>
  <c r="AK165" i="5" s="1"/>
  <c r="AM174" i="5"/>
  <c r="AI174" i="5"/>
  <c r="AN174" i="5" s="1"/>
  <c r="AH174" i="5"/>
  <c r="AG174" i="5"/>
  <c r="AL174" i="5" s="1"/>
  <c r="AF174" i="5"/>
  <c r="AK174" i="5" s="1"/>
  <c r="AM223" i="5"/>
  <c r="AL223" i="5"/>
  <c r="AI223" i="5"/>
  <c r="AN223" i="5" s="1"/>
  <c r="AH223" i="5"/>
  <c r="AG223" i="5"/>
  <c r="AF223" i="5"/>
  <c r="AK223" i="5" s="1"/>
  <c r="AO223" i="5" s="1"/>
  <c r="AM179" i="5"/>
  <c r="AL179" i="5"/>
  <c r="AK179" i="5"/>
  <c r="AI179" i="5"/>
  <c r="AN179" i="5" s="1"/>
  <c r="AH179" i="5"/>
  <c r="AG179" i="5"/>
  <c r="AF179" i="5"/>
  <c r="AI70" i="5"/>
  <c r="AN70" i="5" s="1"/>
  <c r="AH70" i="5"/>
  <c r="AM70" i="5" s="1"/>
  <c r="AG70" i="5"/>
  <c r="AL70" i="5" s="1"/>
  <c r="AF70" i="5"/>
  <c r="AK70" i="5" s="1"/>
  <c r="AI121" i="5"/>
  <c r="AN121" i="5" s="1"/>
  <c r="AH121" i="5"/>
  <c r="AM121" i="5" s="1"/>
  <c r="AG121" i="5"/>
  <c r="AL121" i="5" s="1"/>
  <c r="AF121" i="5"/>
  <c r="AK121" i="5" s="1"/>
  <c r="AL132" i="5"/>
  <c r="AI132" i="5"/>
  <c r="AN132" i="5" s="1"/>
  <c r="AH132" i="5"/>
  <c r="AM132" i="5" s="1"/>
  <c r="AG132" i="5"/>
  <c r="AF132" i="5"/>
  <c r="AK132" i="5" s="1"/>
  <c r="AI171" i="5"/>
  <c r="AN171" i="5" s="1"/>
  <c r="AH171" i="5"/>
  <c r="AM171" i="5" s="1"/>
  <c r="AG171" i="5"/>
  <c r="AL171" i="5" s="1"/>
  <c r="AF171" i="5"/>
  <c r="AK171" i="5" s="1"/>
  <c r="AI170" i="5"/>
  <c r="AN170" i="5" s="1"/>
  <c r="AH170" i="5"/>
  <c r="AM170" i="5" s="1"/>
  <c r="AG170" i="5"/>
  <c r="AL170" i="5" s="1"/>
  <c r="AF170" i="5"/>
  <c r="AK170" i="5" s="1"/>
  <c r="AI154" i="5"/>
  <c r="AN154" i="5" s="1"/>
  <c r="AH154" i="5"/>
  <c r="AM154" i="5" s="1"/>
  <c r="AG154" i="5"/>
  <c r="AL154" i="5" s="1"/>
  <c r="AF154" i="5"/>
  <c r="AK154" i="5" s="1"/>
  <c r="AI14" i="5"/>
  <c r="AN14" i="5" s="1"/>
  <c r="AH14" i="5"/>
  <c r="AM14" i="5" s="1"/>
  <c r="AG14" i="5"/>
  <c r="AL14" i="5" s="1"/>
  <c r="AF14" i="5"/>
  <c r="AK14" i="5" s="1"/>
  <c r="AK189" i="5"/>
  <c r="AI189" i="5"/>
  <c r="AN189" i="5" s="1"/>
  <c r="AH189" i="5"/>
  <c r="AM189" i="5" s="1"/>
  <c r="AG189" i="5"/>
  <c r="AL189" i="5" s="1"/>
  <c r="AF189" i="5"/>
  <c r="AI162" i="5"/>
  <c r="AN162" i="5" s="1"/>
  <c r="AH162" i="5"/>
  <c r="AM162" i="5" s="1"/>
  <c r="AG162" i="5"/>
  <c r="AL162" i="5" s="1"/>
  <c r="AF162" i="5"/>
  <c r="AK162" i="5" s="1"/>
  <c r="AN153" i="5"/>
  <c r="AI153" i="5"/>
  <c r="AH153" i="5"/>
  <c r="AM153" i="5" s="1"/>
  <c r="AG153" i="5"/>
  <c r="AL153" i="5" s="1"/>
  <c r="AF153" i="5"/>
  <c r="AK153" i="5" s="1"/>
  <c r="AI152" i="5"/>
  <c r="AN152" i="5" s="1"/>
  <c r="AH152" i="5"/>
  <c r="AM152" i="5" s="1"/>
  <c r="AG152" i="5"/>
  <c r="AL152" i="5" s="1"/>
  <c r="AF152" i="5"/>
  <c r="AK152" i="5" s="1"/>
  <c r="AI131" i="5"/>
  <c r="AN131" i="5" s="1"/>
  <c r="AH131" i="5"/>
  <c r="AM131" i="5" s="1"/>
  <c r="AG131" i="5"/>
  <c r="AL131" i="5" s="1"/>
  <c r="AF131" i="5"/>
  <c r="AK131" i="5" s="1"/>
  <c r="AI229" i="5"/>
  <c r="AN229" i="5" s="1"/>
  <c r="AH229" i="5"/>
  <c r="AM229" i="5" s="1"/>
  <c r="AG229" i="5"/>
  <c r="AL229" i="5" s="1"/>
  <c r="AF229" i="5"/>
  <c r="AK229" i="5" s="1"/>
  <c r="AI164" i="5"/>
  <c r="AN164" i="5" s="1"/>
  <c r="AH164" i="5"/>
  <c r="AM164" i="5" s="1"/>
  <c r="AG164" i="5"/>
  <c r="AL164" i="5" s="1"/>
  <c r="AF164" i="5"/>
  <c r="AK164" i="5" s="1"/>
  <c r="AI221" i="5"/>
  <c r="AN221" i="5" s="1"/>
  <c r="AH221" i="5"/>
  <c r="AM221" i="5" s="1"/>
  <c r="AG221" i="5"/>
  <c r="AL221" i="5" s="1"/>
  <c r="AF221" i="5"/>
  <c r="AK221" i="5" s="1"/>
  <c r="AI21" i="5"/>
  <c r="AN21" i="5" s="1"/>
  <c r="AH21" i="5"/>
  <c r="AM21" i="5" s="1"/>
  <c r="AG21" i="5"/>
  <c r="AL21" i="5" s="1"/>
  <c r="AF21" i="5"/>
  <c r="AK21" i="5" s="1"/>
  <c r="AI220" i="5"/>
  <c r="AN220" i="5" s="1"/>
  <c r="AH220" i="5"/>
  <c r="AM220" i="5" s="1"/>
  <c r="AG220" i="5"/>
  <c r="AL220" i="5" s="1"/>
  <c r="AF220" i="5"/>
  <c r="AK220" i="5" s="1"/>
  <c r="AI219" i="5"/>
  <c r="AN219" i="5" s="1"/>
  <c r="AH219" i="5"/>
  <c r="AM219" i="5" s="1"/>
  <c r="AG219" i="5"/>
  <c r="AL219" i="5" s="1"/>
  <c r="AF219" i="5"/>
  <c r="AK219" i="5" s="1"/>
  <c r="AI77" i="5"/>
  <c r="AN77" i="5" s="1"/>
  <c r="AH77" i="5"/>
  <c r="AM77" i="5" s="1"/>
  <c r="AG77" i="5"/>
  <c r="AL77" i="5" s="1"/>
  <c r="AF77" i="5"/>
  <c r="AK77" i="5" s="1"/>
  <c r="AI195" i="5"/>
  <c r="AN195" i="5" s="1"/>
  <c r="AH195" i="5"/>
  <c r="AM195" i="5" s="1"/>
  <c r="AG195" i="5"/>
  <c r="AL195" i="5" s="1"/>
  <c r="AF195" i="5"/>
  <c r="AK195" i="5" s="1"/>
  <c r="AL11" i="5"/>
  <c r="AK11" i="5"/>
  <c r="AI11" i="5"/>
  <c r="AN11" i="5" s="1"/>
  <c r="AH11" i="5"/>
  <c r="AM11" i="5" s="1"/>
  <c r="AG11" i="5"/>
  <c r="AF11" i="5"/>
  <c r="AI178" i="5"/>
  <c r="AN178" i="5" s="1"/>
  <c r="AH178" i="5"/>
  <c r="AM178" i="5" s="1"/>
  <c r="AG178" i="5"/>
  <c r="AL178" i="5" s="1"/>
  <c r="AF178" i="5"/>
  <c r="AK178" i="5" s="1"/>
  <c r="AI130" i="5"/>
  <c r="AN130" i="5" s="1"/>
  <c r="AH130" i="5"/>
  <c r="AM130" i="5" s="1"/>
  <c r="AG130" i="5"/>
  <c r="AL130" i="5" s="1"/>
  <c r="AF130" i="5"/>
  <c r="AK130" i="5" s="1"/>
  <c r="AI169" i="5"/>
  <c r="AN169" i="5" s="1"/>
  <c r="AH169" i="5"/>
  <c r="AM169" i="5" s="1"/>
  <c r="AG169" i="5"/>
  <c r="AL169" i="5" s="1"/>
  <c r="AF169" i="5"/>
  <c r="AK169" i="5" s="1"/>
  <c r="AI194" i="5"/>
  <c r="AN194" i="5" s="1"/>
  <c r="AH194" i="5"/>
  <c r="AM194" i="5" s="1"/>
  <c r="AG194" i="5"/>
  <c r="AL194" i="5" s="1"/>
  <c r="AF194" i="5"/>
  <c r="AK194" i="5" s="1"/>
  <c r="AK227" i="5"/>
  <c r="AI227" i="5"/>
  <c r="AN227" i="5" s="1"/>
  <c r="AH227" i="5"/>
  <c r="AM227" i="5" s="1"/>
  <c r="AG227" i="5"/>
  <c r="AL227" i="5" s="1"/>
  <c r="AF227" i="5"/>
  <c r="AI226" i="5"/>
  <c r="AN226" i="5" s="1"/>
  <c r="AH226" i="5"/>
  <c r="AM226" i="5" s="1"/>
  <c r="AG226" i="5"/>
  <c r="AL226" i="5" s="1"/>
  <c r="AF226" i="5"/>
  <c r="AK226" i="5" s="1"/>
  <c r="AI76" i="5"/>
  <c r="AN76" i="5" s="1"/>
  <c r="AH76" i="5"/>
  <c r="AM76" i="5" s="1"/>
  <c r="AG76" i="5"/>
  <c r="AL76" i="5" s="1"/>
  <c r="AF76" i="5"/>
  <c r="AK76" i="5" s="1"/>
  <c r="AI142" i="5"/>
  <c r="AN142" i="5" s="1"/>
  <c r="AH142" i="5"/>
  <c r="AM142" i="5" s="1"/>
  <c r="AG142" i="5"/>
  <c r="AL142" i="5" s="1"/>
  <c r="AF142" i="5"/>
  <c r="AK142" i="5" s="1"/>
  <c r="AI202" i="5"/>
  <c r="AN202" i="5" s="1"/>
  <c r="AH202" i="5"/>
  <c r="AM202" i="5" s="1"/>
  <c r="AG202" i="5"/>
  <c r="AL202" i="5" s="1"/>
  <c r="AF202" i="5"/>
  <c r="AK202" i="5" s="1"/>
  <c r="AN69" i="5"/>
  <c r="AI69" i="5"/>
  <c r="AH69" i="5"/>
  <c r="AM69" i="5" s="1"/>
  <c r="AG69" i="5"/>
  <c r="AL69" i="5" s="1"/>
  <c r="AF69" i="5"/>
  <c r="AK69" i="5" s="1"/>
  <c r="AN120" i="5"/>
  <c r="AL120" i="5"/>
  <c r="AK120" i="5"/>
  <c r="AI120" i="5"/>
  <c r="AH120" i="5"/>
  <c r="AM120" i="5" s="1"/>
  <c r="AG120" i="5"/>
  <c r="AF120" i="5"/>
  <c r="AI30" i="5"/>
  <c r="AN30" i="5" s="1"/>
  <c r="AH30" i="5"/>
  <c r="AM30" i="5" s="1"/>
  <c r="AG30" i="5"/>
  <c r="AL30" i="5" s="1"/>
  <c r="AF30" i="5"/>
  <c r="AK30" i="5" s="1"/>
  <c r="AI161" i="5"/>
  <c r="AN161" i="5" s="1"/>
  <c r="AH161" i="5"/>
  <c r="AM161" i="5" s="1"/>
  <c r="AG161" i="5"/>
  <c r="AL161" i="5" s="1"/>
  <c r="AF161" i="5"/>
  <c r="AK161" i="5" s="1"/>
  <c r="AL207" i="5"/>
  <c r="AI207" i="5"/>
  <c r="AN207" i="5" s="1"/>
  <c r="AH207" i="5"/>
  <c r="AM207" i="5" s="1"/>
  <c r="AG207" i="5"/>
  <c r="AF207" i="5"/>
  <c r="AK207" i="5" s="1"/>
  <c r="AI218" i="5"/>
  <c r="AN218" i="5" s="1"/>
  <c r="AH218" i="5"/>
  <c r="AM218" i="5" s="1"/>
  <c r="AG218" i="5"/>
  <c r="AL218" i="5" s="1"/>
  <c r="AF218" i="5"/>
  <c r="AK218" i="5" s="1"/>
  <c r="AI119" i="5"/>
  <c r="AN119" i="5" s="1"/>
  <c r="AH119" i="5"/>
  <c r="AM119" i="5" s="1"/>
  <c r="AG119" i="5"/>
  <c r="AL119" i="5" s="1"/>
  <c r="AF119" i="5"/>
  <c r="AK119" i="5" s="1"/>
  <c r="AL141" i="5"/>
  <c r="AI141" i="5"/>
  <c r="AN141" i="5" s="1"/>
  <c r="AH141" i="5"/>
  <c r="AM141" i="5" s="1"/>
  <c r="AG141" i="5"/>
  <c r="AF141" i="5"/>
  <c r="AK141" i="5" s="1"/>
  <c r="AK129" i="5"/>
  <c r="AI129" i="5"/>
  <c r="AN129" i="5" s="1"/>
  <c r="AH129" i="5"/>
  <c r="AM129" i="5" s="1"/>
  <c r="AG129" i="5"/>
  <c r="AL129" i="5" s="1"/>
  <c r="AF129" i="5"/>
  <c r="AI151" i="5"/>
  <c r="AN151" i="5" s="1"/>
  <c r="AH151" i="5"/>
  <c r="AM151" i="5" s="1"/>
  <c r="AG151" i="5"/>
  <c r="AL151" i="5" s="1"/>
  <c r="AF151" i="5"/>
  <c r="AK151" i="5" s="1"/>
  <c r="AI101" i="5"/>
  <c r="AN101" i="5" s="1"/>
  <c r="AH101" i="5"/>
  <c r="AM101" i="5" s="1"/>
  <c r="AG101" i="5"/>
  <c r="AL101" i="5" s="1"/>
  <c r="AF101" i="5"/>
  <c r="AK101" i="5" s="1"/>
  <c r="AI118" i="5"/>
  <c r="AN118" i="5" s="1"/>
  <c r="AH118" i="5"/>
  <c r="AM118" i="5" s="1"/>
  <c r="AG118" i="5"/>
  <c r="AL118" i="5" s="1"/>
  <c r="AF118" i="5"/>
  <c r="AK118" i="5" s="1"/>
  <c r="AI140" i="5"/>
  <c r="AN140" i="5" s="1"/>
  <c r="AH140" i="5"/>
  <c r="AM140" i="5" s="1"/>
  <c r="AG140" i="5"/>
  <c r="AL140" i="5" s="1"/>
  <c r="AF140" i="5"/>
  <c r="AK140" i="5" s="1"/>
  <c r="AI139" i="5"/>
  <c r="AN139" i="5" s="1"/>
  <c r="AH139" i="5"/>
  <c r="AM139" i="5" s="1"/>
  <c r="AG139" i="5"/>
  <c r="AL139" i="5" s="1"/>
  <c r="AF139" i="5"/>
  <c r="AK139" i="5" s="1"/>
  <c r="AI75" i="5"/>
  <c r="AN75" i="5" s="1"/>
  <c r="AH75" i="5"/>
  <c r="AM75" i="5" s="1"/>
  <c r="AG75" i="5"/>
  <c r="AL75" i="5" s="1"/>
  <c r="AF75" i="5"/>
  <c r="AK75" i="5" s="1"/>
  <c r="AI108" i="5"/>
  <c r="AN108" i="5" s="1"/>
  <c r="AH108" i="5"/>
  <c r="AM108" i="5" s="1"/>
  <c r="AG108" i="5"/>
  <c r="AL108" i="5" s="1"/>
  <c r="AF108" i="5"/>
  <c r="AK108" i="5" s="1"/>
  <c r="AI100" i="5"/>
  <c r="AN100" i="5" s="1"/>
  <c r="AH100" i="5"/>
  <c r="AM100" i="5" s="1"/>
  <c r="AG100" i="5"/>
  <c r="AL100" i="5" s="1"/>
  <c r="AF100" i="5"/>
  <c r="AK100" i="5" s="1"/>
  <c r="AI20" i="5"/>
  <c r="AN20" i="5" s="1"/>
  <c r="AH20" i="5"/>
  <c r="AM20" i="5" s="1"/>
  <c r="AG20" i="5"/>
  <c r="AL20" i="5" s="1"/>
  <c r="AF20" i="5"/>
  <c r="AK20" i="5" s="1"/>
  <c r="AI84" i="5"/>
  <c r="AN84" i="5" s="1"/>
  <c r="AH84" i="5"/>
  <c r="AM84" i="5" s="1"/>
  <c r="AG84" i="5"/>
  <c r="AL84" i="5" s="1"/>
  <c r="AF84" i="5"/>
  <c r="AK84" i="5" s="1"/>
  <c r="AO84" i="5" s="1"/>
  <c r="AI94" i="5"/>
  <c r="AN94" i="5" s="1"/>
  <c r="AH94" i="5"/>
  <c r="AM94" i="5" s="1"/>
  <c r="AG94" i="5"/>
  <c r="AL94" i="5" s="1"/>
  <c r="AF94" i="5"/>
  <c r="AK94" i="5" s="1"/>
  <c r="AI113" i="5"/>
  <c r="AN113" i="5" s="1"/>
  <c r="AH113" i="5"/>
  <c r="AM113" i="5" s="1"/>
  <c r="AG113" i="5"/>
  <c r="AL113" i="5" s="1"/>
  <c r="AF113" i="5"/>
  <c r="AK113" i="5" s="1"/>
  <c r="AI83" i="5"/>
  <c r="AN83" i="5" s="1"/>
  <c r="AH83" i="5"/>
  <c r="AM83" i="5" s="1"/>
  <c r="AG83" i="5"/>
  <c r="AL83" i="5" s="1"/>
  <c r="AF83" i="5"/>
  <c r="AK83" i="5" s="1"/>
  <c r="AI93" i="5"/>
  <c r="AN93" i="5" s="1"/>
  <c r="AH93" i="5"/>
  <c r="AM93" i="5" s="1"/>
  <c r="AG93" i="5"/>
  <c r="AL93" i="5" s="1"/>
  <c r="AF93" i="5"/>
  <c r="AK93" i="5" s="1"/>
  <c r="AI117" i="5"/>
  <c r="AN117" i="5" s="1"/>
  <c r="AH117" i="5"/>
  <c r="AM117" i="5" s="1"/>
  <c r="AG117" i="5"/>
  <c r="AL117" i="5" s="1"/>
  <c r="AF117" i="5"/>
  <c r="AK117" i="5" s="1"/>
  <c r="AI112" i="5"/>
  <c r="AN112" i="5" s="1"/>
  <c r="AH112" i="5"/>
  <c r="AM112" i="5" s="1"/>
  <c r="AG112" i="5"/>
  <c r="AL112" i="5" s="1"/>
  <c r="AF112" i="5"/>
  <c r="AK112" i="5" s="1"/>
  <c r="AM92" i="5"/>
  <c r="AI92" i="5"/>
  <c r="AN92" i="5" s="1"/>
  <c r="AH92" i="5"/>
  <c r="AG92" i="5"/>
  <c r="AL92" i="5" s="1"/>
  <c r="AF92" i="5"/>
  <c r="AK92" i="5" s="1"/>
  <c r="AN82" i="5"/>
  <c r="AM82" i="5"/>
  <c r="AI82" i="5"/>
  <c r="AH82" i="5"/>
  <c r="AG82" i="5"/>
  <c r="AL82" i="5" s="1"/>
  <c r="AF82" i="5"/>
  <c r="AK82" i="5" s="1"/>
  <c r="AM13" i="5"/>
  <c r="AL13" i="5"/>
  <c r="AI13" i="5"/>
  <c r="AN13" i="5" s="1"/>
  <c r="AH13" i="5"/>
  <c r="AG13" i="5"/>
  <c r="AF13" i="5"/>
  <c r="AK13" i="5" s="1"/>
  <c r="AI177" i="5"/>
  <c r="AN177" i="5" s="1"/>
  <c r="AH177" i="5"/>
  <c r="AM177" i="5" s="1"/>
  <c r="AG177" i="5"/>
  <c r="AL177" i="5" s="1"/>
  <c r="AF177" i="5"/>
  <c r="AK177" i="5" s="1"/>
  <c r="AI35" i="5"/>
  <c r="AN35" i="5" s="1"/>
  <c r="AH35" i="5"/>
  <c r="AM35" i="5" s="1"/>
  <c r="AG35" i="5"/>
  <c r="AL35" i="5" s="1"/>
  <c r="AF35" i="5"/>
  <c r="AK35" i="5" s="1"/>
  <c r="AI57" i="5"/>
  <c r="AN57" i="5" s="1"/>
  <c r="AH57" i="5"/>
  <c r="AM57" i="5" s="1"/>
  <c r="AG57" i="5"/>
  <c r="AL57" i="5" s="1"/>
  <c r="AF57" i="5"/>
  <c r="AK57" i="5" s="1"/>
  <c r="AI160" i="5"/>
  <c r="AN160" i="5" s="1"/>
  <c r="AH160" i="5"/>
  <c r="AM160" i="5" s="1"/>
  <c r="AG160" i="5"/>
  <c r="AL160" i="5" s="1"/>
  <c r="AF160" i="5"/>
  <c r="AK160" i="5" s="1"/>
  <c r="AI212" i="5"/>
  <c r="AN212" i="5" s="1"/>
  <c r="AH212" i="5"/>
  <c r="AM212" i="5" s="1"/>
  <c r="AG212" i="5"/>
  <c r="AL212" i="5" s="1"/>
  <c r="AF212" i="5"/>
  <c r="AK212" i="5" s="1"/>
  <c r="AI206" i="5"/>
  <c r="AN206" i="5" s="1"/>
  <c r="AH206" i="5"/>
  <c r="AM206" i="5" s="1"/>
  <c r="AG206" i="5"/>
  <c r="AL206" i="5" s="1"/>
  <c r="AF206" i="5"/>
  <c r="AK206" i="5" s="1"/>
  <c r="AI217" i="5"/>
  <c r="AN217" i="5" s="1"/>
  <c r="AH217" i="5"/>
  <c r="AM217" i="5" s="1"/>
  <c r="AG217" i="5"/>
  <c r="AL217" i="5" s="1"/>
  <c r="AF217" i="5"/>
  <c r="AK217" i="5" s="1"/>
  <c r="AI159" i="5"/>
  <c r="AN159" i="5" s="1"/>
  <c r="AH159" i="5"/>
  <c r="AM159" i="5" s="1"/>
  <c r="AG159" i="5"/>
  <c r="AL159" i="5" s="1"/>
  <c r="AF159" i="5"/>
  <c r="AK159" i="5" s="1"/>
  <c r="AI168" i="5"/>
  <c r="AN168" i="5" s="1"/>
  <c r="AH168" i="5"/>
  <c r="AM168" i="5" s="1"/>
  <c r="AO168" i="5" s="1"/>
  <c r="AG168" i="5"/>
  <c r="AL168" i="5" s="1"/>
  <c r="AF168" i="5"/>
  <c r="AK168" i="5" s="1"/>
  <c r="AI150" i="5"/>
  <c r="AN150" i="5" s="1"/>
  <c r="AH150" i="5"/>
  <c r="AM150" i="5" s="1"/>
  <c r="AG150" i="5"/>
  <c r="AL150" i="5" s="1"/>
  <c r="AF150" i="5"/>
  <c r="AK150" i="5" s="1"/>
  <c r="AI214" i="5"/>
  <c r="AN214" i="5" s="1"/>
  <c r="AH214" i="5"/>
  <c r="AM214" i="5" s="1"/>
  <c r="AG214" i="5"/>
  <c r="AL214" i="5" s="1"/>
  <c r="AF214" i="5"/>
  <c r="AK214" i="5" s="1"/>
  <c r="AI48" i="5"/>
  <c r="AN48" i="5" s="1"/>
  <c r="AH48" i="5"/>
  <c r="AM48" i="5" s="1"/>
  <c r="AG48" i="5"/>
  <c r="AL48" i="5" s="1"/>
  <c r="AF48" i="5"/>
  <c r="AK48" i="5" s="1"/>
  <c r="AI91" i="5"/>
  <c r="AN91" i="5" s="1"/>
  <c r="AH91" i="5"/>
  <c r="AM91" i="5" s="1"/>
  <c r="AG91" i="5"/>
  <c r="AL91" i="5" s="1"/>
  <c r="AF91" i="5"/>
  <c r="AK91" i="5" s="1"/>
  <c r="AI149" i="5"/>
  <c r="AN149" i="5" s="1"/>
  <c r="AH149" i="5"/>
  <c r="AM149" i="5" s="1"/>
  <c r="AG149" i="5"/>
  <c r="AL149" i="5" s="1"/>
  <c r="AF149" i="5"/>
  <c r="AK149" i="5" s="1"/>
  <c r="AI107" i="5"/>
  <c r="AN107" i="5" s="1"/>
  <c r="AH107" i="5"/>
  <c r="AM107" i="5" s="1"/>
  <c r="AG107" i="5"/>
  <c r="AL107" i="5" s="1"/>
  <c r="AF107" i="5"/>
  <c r="AK107" i="5" s="1"/>
  <c r="AN44" i="5"/>
  <c r="AI44" i="5"/>
  <c r="AH44" i="5"/>
  <c r="AM44" i="5" s="1"/>
  <c r="AG44" i="5"/>
  <c r="AL44" i="5" s="1"/>
  <c r="AF44" i="5"/>
  <c r="AK44" i="5" s="1"/>
  <c r="AI225" i="5"/>
  <c r="AN225" i="5" s="1"/>
  <c r="AH225" i="5"/>
  <c r="AM225" i="5" s="1"/>
  <c r="AG225" i="5"/>
  <c r="AL225" i="5" s="1"/>
  <c r="AF225" i="5"/>
  <c r="AK225" i="5" s="1"/>
  <c r="AI61" i="5"/>
  <c r="AN61" i="5" s="1"/>
  <c r="AH61" i="5"/>
  <c r="AM61" i="5" s="1"/>
  <c r="AG61" i="5"/>
  <c r="AL61" i="5" s="1"/>
  <c r="AF61" i="5"/>
  <c r="AK61" i="5" s="1"/>
  <c r="AG6" i="1"/>
  <c r="AL6" i="1" s="1"/>
  <c r="AP6" i="1" s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6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6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7" i="1"/>
  <c r="AL8" i="1"/>
  <c r="AG7" i="1"/>
  <c r="AH7" i="1"/>
  <c r="AI7" i="1"/>
  <c r="AJ7" i="1"/>
  <c r="AG8" i="1"/>
  <c r="AH8" i="1"/>
  <c r="AI8" i="1"/>
  <c r="AJ8" i="1"/>
  <c r="AG9" i="1"/>
  <c r="AH9" i="1"/>
  <c r="AI9" i="1"/>
  <c r="AJ9" i="1"/>
  <c r="AG10" i="1"/>
  <c r="AH10" i="1"/>
  <c r="AI10" i="1"/>
  <c r="AJ10" i="1"/>
  <c r="AG11" i="1"/>
  <c r="AH11" i="1"/>
  <c r="AI11" i="1"/>
  <c r="AJ11" i="1"/>
  <c r="AG12" i="1"/>
  <c r="AH12" i="1"/>
  <c r="AI12" i="1"/>
  <c r="AJ12" i="1"/>
  <c r="AG13" i="1"/>
  <c r="AH13" i="1"/>
  <c r="AI13" i="1"/>
  <c r="AJ13" i="1"/>
  <c r="AG14" i="1"/>
  <c r="AH14" i="1"/>
  <c r="AI14" i="1"/>
  <c r="AJ14" i="1"/>
  <c r="AG15" i="1"/>
  <c r="AH15" i="1"/>
  <c r="AI15" i="1"/>
  <c r="AJ15" i="1"/>
  <c r="AG16" i="1"/>
  <c r="AH16" i="1"/>
  <c r="AI16" i="1"/>
  <c r="AJ16" i="1"/>
  <c r="AG17" i="1"/>
  <c r="AH17" i="1"/>
  <c r="AI17" i="1"/>
  <c r="AJ17" i="1"/>
  <c r="AG18" i="1"/>
  <c r="AH18" i="1"/>
  <c r="AI18" i="1"/>
  <c r="AJ18" i="1"/>
  <c r="AG19" i="1"/>
  <c r="AH19" i="1"/>
  <c r="AI19" i="1"/>
  <c r="AJ19" i="1"/>
  <c r="AG20" i="1"/>
  <c r="AH20" i="1"/>
  <c r="AI20" i="1"/>
  <c r="AJ20" i="1"/>
  <c r="AG21" i="1"/>
  <c r="AH21" i="1"/>
  <c r="AI21" i="1"/>
  <c r="AJ21" i="1"/>
  <c r="AG22" i="1"/>
  <c r="AH22" i="1"/>
  <c r="AI22" i="1"/>
  <c r="AJ22" i="1"/>
  <c r="AG23" i="1"/>
  <c r="AH23" i="1"/>
  <c r="AI23" i="1"/>
  <c r="AJ23" i="1"/>
  <c r="AG24" i="1"/>
  <c r="AH24" i="1"/>
  <c r="AI24" i="1"/>
  <c r="AJ24" i="1"/>
  <c r="AG25" i="1"/>
  <c r="AH25" i="1"/>
  <c r="AI25" i="1"/>
  <c r="AJ25" i="1"/>
  <c r="AG26" i="1"/>
  <c r="AH26" i="1"/>
  <c r="AI26" i="1"/>
  <c r="AJ26" i="1"/>
  <c r="AG27" i="1"/>
  <c r="AH27" i="1"/>
  <c r="AI27" i="1"/>
  <c r="AJ27" i="1"/>
  <c r="AG28" i="1"/>
  <c r="AH28" i="1"/>
  <c r="AI28" i="1"/>
  <c r="AJ28" i="1"/>
  <c r="AG29" i="1"/>
  <c r="AH29" i="1"/>
  <c r="AI29" i="1"/>
  <c r="AJ29" i="1"/>
  <c r="AG30" i="1"/>
  <c r="AH30" i="1"/>
  <c r="AI30" i="1"/>
  <c r="AJ30" i="1"/>
  <c r="AG31" i="1"/>
  <c r="AH31" i="1"/>
  <c r="AI31" i="1"/>
  <c r="AJ31" i="1"/>
  <c r="AG32" i="1"/>
  <c r="AH32" i="1"/>
  <c r="AI32" i="1"/>
  <c r="AJ32" i="1"/>
  <c r="AG33" i="1"/>
  <c r="AH33" i="1"/>
  <c r="AI33" i="1"/>
  <c r="AJ33" i="1"/>
  <c r="AG34" i="1"/>
  <c r="AH34" i="1"/>
  <c r="AI34" i="1"/>
  <c r="AJ34" i="1"/>
  <c r="AG35" i="1"/>
  <c r="AH35" i="1"/>
  <c r="AI35" i="1"/>
  <c r="AJ35" i="1"/>
  <c r="AG36" i="1"/>
  <c r="AH36" i="1"/>
  <c r="AI36" i="1"/>
  <c r="AJ36" i="1"/>
  <c r="AG37" i="1"/>
  <c r="AH37" i="1"/>
  <c r="AI37" i="1"/>
  <c r="AJ37" i="1"/>
  <c r="AG38" i="1"/>
  <c r="AH38" i="1"/>
  <c r="AI38" i="1"/>
  <c r="AJ38" i="1"/>
  <c r="AG39" i="1"/>
  <c r="AH39" i="1"/>
  <c r="AI39" i="1"/>
  <c r="AJ39" i="1"/>
  <c r="AG40" i="1"/>
  <c r="AH40" i="1"/>
  <c r="AI40" i="1"/>
  <c r="AJ40" i="1"/>
  <c r="AG41" i="1"/>
  <c r="AH41" i="1"/>
  <c r="AI41" i="1"/>
  <c r="AJ41" i="1"/>
  <c r="AG42" i="1"/>
  <c r="AH42" i="1"/>
  <c r="AI42" i="1"/>
  <c r="AJ42" i="1"/>
  <c r="AG43" i="1"/>
  <c r="AH43" i="1"/>
  <c r="AI43" i="1"/>
  <c r="AJ43" i="1"/>
  <c r="AG44" i="1"/>
  <c r="AH44" i="1"/>
  <c r="AI44" i="1"/>
  <c r="AJ44" i="1"/>
  <c r="AG45" i="1"/>
  <c r="AH45" i="1"/>
  <c r="AI45" i="1"/>
  <c r="AJ45" i="1"/>
  <c r="AG46" i="1"/>
  <c r="AH46" i="1"/>
  <c r="AI46" i="1"/>
  <c r="AJ46" i="1"/>
  <c r="AG47" i="1"/>
  <c r="AH47" i="1"/>
  <c r="AI47" i="1"/>
  <c r="AJ47" i="1"/>
  <c r="AG48" i="1"/>
  <c r="AH48" i="1"/>
  <c r="AI48" i="1"/>
  <c r="AJ48" i="1"/>
  <c r="AG49" i="1"/>
  <c r="AH49" i="1"/>
  <c r="AI49" i="1"/>
  <c r="AJ49" i="1"/>
  <c r="AG50" i="1"/>
  <c r="AH50" i="1"/>
  <c r="AI50" i="1"/>
  <c r="AJ50" i="1"/>
  <c r="AG51" i="1"/>
  <c r="AH51" i="1"/>
  <c r="AI51" i="1"/>
  <c r="AJ51" i="1"/>
  <c r="AG52" i="1"/>
  <c r="AH52" i="1"/>
  <c r="AI52" i="1"/>
  <c r="AJ52" i="1"/>
  <c r="AG53" i="1"/>
  <c r="AH53" i="1"/>
  <c r="AI53" i="1"/>
  <c r="AJ53" i="1"/>
  <c r="AG54" i="1"/>
  <c r="AH54" i="1"/>
  <c r="AI54" i="1"/>
  <c r="AJ54" i="1"/>
  <c r="AG55" i="1"/>
  <c r="AH55" i="1"/>
  <c r="AI55" i="1"/>
  <c r="AJ55" i="1"/>
  <c r="AG56" i="1"/>
  <c r="AH56" i="1"/>
  <c r="AI56" i="1"/>
  <c r="AJ56" i="1"/>
  <c r="AG57" i="1"/>
  <c r="AH57" i="1"/>
  <c r="AI57" i="1"/>
  <c r="AJ57" i="1"/>
  <c r="AG58" i="1"/>
  <c r="AH58" i="1"/>
  <c r="AI58" i="1"/>
  <c r="AJ58" i="1"/>
  <c r="AG59" i="1"/>
  <c r="AH59" i="1"/>
  <c r="AI59" i="1"/>
  <c r="AJ59" i="1"/>
  <c r="AG60" i="1"/>
  <c r="AH60" i="1"/>
  <c r="AI60" i="1"/>
  <c r="AJ60" i="1"/>
  <c r="AG61" i="1"/>
  <c r="AH61" i="1"/>
  <c r="AI61" i="1"/>
  <c r="AJ61" i="1"/>
  <c r="AG62" i="1"/>
  <c r="AH62" i="1"/>
  <c r="AI62" i="1"/>
  <c r="AJ62" i="1"/>
  <c r="AG63" i="1"/>
  <c r="AH63" i="1"/>
  <c r="AI63" i="1"/>
  <c r="AJ63" i="1"/>
  <c r="AG64" i="1"/>
  <c r="AH64" i="1"/>
  <c r="AI64" i="1"/>
  <c r="AJ64" i="1"/>
  <c r="AG65" i="1"/>
  <c r="AH65" i="1"/>
  <c r="AI65" i="1"/>
  <c r="AJ65" i="1"/>
  <c r="AG66" i="1"/>
  <c r="AH66" i="1"/>
  <c r="AI66" i="1"/>
  <c r="AJ66" i="1"/>
  <c r="AG67" i="1"/>
  <c r="AH67" i="1"/>
  <c r="AI67" i="1"/>
  <c r="AJ67" i="1"/>
  <c r="AG68" i="1"/>
  <c r="AH68" i="1"/>
  <c r="AI68" i="1"/>
  <c r="AJ68" i="1"/>
  <c r="AG69" i="1"/>
  <c r="AH69" i="1"/>
  <c r="AI69" i="1"/>
  <c r="AJ69" i="1"/>
  <c r="AG70" i="1"/>
  <c r="AH70" i="1"/>
  <c r="AI70" i="1"/>
  <c r="AJ70" i="1"/>
  <c r="AG71" i="1"/>
  <c r="AH71" i="1"/>
  <c r="AI71" i="1"/>
  <c r="AJ71" i="1"/>
  <c r="AG72" i="1"/>
  <c r="AH72" i="1"/>
  <c r="AI72" i="1"/>
  <c r="AJ72" i="1"/>
  <c r="AG73" i="1"/>
  <c r="AH73" i="1"/>
  <c r="AI73" i="1"/>
  <c r="AJ73" i="1"/>
  <c r="AG74" i="1"/>
  <c r="AH74" i="1"/>
  <c r="AI74" i="1"/>
  <c r="AJ74" i="1"/>
  <c r="AG75" i="1"/>
  <c r="AH75" i="1"/>
  <c r="AI75" i="1"/>
  <c r="AJ75" i="1"/>
  <c r="AG76" i="1"/>
  <c r="AH76" i="1"/>
  <c r="AI76" i="1"/>
  <c r="AJ76" i="1"/>
  <c r="AG77" i="1"/>
  <c r="AH77" i="1"/>
  <c r="AI77" i="1"/>
  <c r="AJ77" i="1"/>
  <c r="AG78" i="1"/>
  <c r="AH78" i="1"/>
  <c r="AI78" i="1"/>
  <c r="AJ78" i="1"/>
  <c r="AG79" i="1"/>
  <c r="AH79" i="1"/>
  <c r="AI79" i="1"/>
  <c r="AJ79" i="1"/>
  <c r="AG80" i="1"/>
  <c r="AH80" i="1"/>
  <c r="AI80" i="1"/>
  <c r="AJ80" i="1"/>
  <c r="AG81" i="1"/>
  <c r="AH81" i="1"/>
  <c r="AI81" i="1"/>
  <c r="AJ81" i="1"/>
  <c r="AG82" i="1"/>
  <c r="AH82" i="1"/>
  <c r="AI82" i="1"/>
  <c r="AJ82" i="1"/>
  <c r="AG83" i="1"/>
  <c r="AH83" i="1"/>
  <c r="AI83" i="1"/>
  <c r="AJ83" i="1"/>
  <c r="AG84" i="1"/>
  <c r="AH84" i="1"/>
  <c r="AI84" i="1"/>
  <c r="AJ84" i="1"/>
  <c r="AG85" i="1"/>
  <c r="AH85" i="1"/>
  <c r="AI85" i="1"/>
  <c r="AJ85" i="1"/>
  <c r="AG86" i="1"/>
  <c r="AH86" i="1"/>
  <c r="AI86" i="1"/>
  <c r="AJ86" i="1"/>
  <c r="AG87" i="1"/>
  <c r="AH87" i="1"/>
  <c r="AI87" i="1"/>
  <c r="AJ87" i="1"/>
  <c r="AG88" i="1"/>
  <c r="AH88" i="1"/>
  <c r="AI88" i="1"/>
  <c r="AJ88" i="1"/>
  <c r="AG89" i="1"/>
  <c r="AH89" i="1"/>
  <c r="AI89" i="1"/>
  <c r="AJ89" i="1"/>
  <c r="AG90" i="1"/>
  <c r="AH90" i="1"/>
  <c r="AI90" i="1"/>
  <c r="AJ90" i="1"/>
  <c r="AG91" i="1"/>
  <c r="AH91" i="1"/>
  <c r="AI91" i="1"/>
  <c r="AJ91" i="1"/>
  <c r="AG92" i="1"/>
  <c r="AH92" i="1"/>
  <c r="AI92" i="1"/>
  <c r="AJ92" i="1"/>
  <c r="AG93" i="1"/>
  <c r="AH93" i="1"/>
  <c r="AI93" i="1"/>
  <c r="AJ93" i="1"/>
  <c r="AG94" i="1"/>
  <c r="AH94" i="1"/>
  <c r="AI94" i="1"/>
  <c r="AJ94" i="1"/>
  <c r="AG95" i="1"/>
  <c r="AH95" i="1"/>
  <c r="AI95" i="1"/>
  <c r="AJ95" i="1"/>
  <c r="AG96" i="1"/>
  <c r="AH96" i="1"/>
  <c r="AI96" i="1"/>
  <c r="AJ96" i="1"/>
  <c r="AG97" i="1"/>
  <c r="AH97" i="1"/>
  <c r="AI97" i="1"/>
  <c r="AJ97" i="1"/>
  <c r="AG98" i="1"/>
  <c r="AH98" i="1"/>
  <c r="AI98" i="1"/>
  <c r="AJ98" i="1"/>
  <c r="AG99" i="1"/>
  <c r="AH99" i="1"/>
  <c r="AI99" i="1"/>
  <c r="AJ99" i="1"/>
  <c r="AG100" i="1"/>
  <c r="AH100" i="1"/>
  <c r="AI100" i="1"/>
  <c r="AJ100" i="1"/>
  <c r="AG101" i="1"/>
  <c r="AH101" i="1"/>
  <c r="AI101" i="1"/>
  <c r="AJ101" i="1"/>
  <c r="AG102" i="1"/>
  <c r="AH102" i="1"/>
  <c r="AI102" i="1"/>
  <c r="AJ102" i="1"/>
  <c r="AG103" i="1"/>
  <c r="AH103" i="1"/>
  <c r="AI103" i="1"/>
  <c r="AJ103" i="1"/>
  <c r="AG104" i="1"/>
  <c r="AH104" i="1"/>
  <c r="AI104" i="1"/>
  <c r="AJ104" i="1"/>
  <c r="AG105" i="1"/>
  <c r="AH105" i="1"/>
  <c r="AI105" i="1"/>
  <c r="AJ105" i="1"/>
  <c r="AG106" i="1"/>
  <c r="AH106" i="1"/>
  <c r="AI106" i="1"/>
  <c r="AJ106" i="1"/>
  <c r="AG107" i="1"/>
  <c r="AH107" i="1"/>
  <c r="AI107" i="1"/>
  <c r="AJ107" i="1"/>
  <c r="AG108" i="1"/>
  <c r="AH108" i="1"/>
  <c r="AI108" i="1"/>
  <c r="AJ108" i="1"/>
  <c r="AG109" i="1"/>
  <c r="AH109" i="1"/>
  <c r="AI109" i="1"/>
  <c r="AJ109" i="1"/>
  <c r="AG110" i="1"/>
  <c r="AH110" i="1"/>
  <c r="AI110" i="1"/>
  <c r="AJ110" i="1"/>
  <c r="AG111" i="1"/>
  <c r="AH111" i="1"/>
  <c r="AI111" i="1"/>
  <c r="AJ111" i="1"/>
  <c r="AG112" i="1"/>
  <c r="AH112" i="1"/>
  <c r="AI112" i="1"/>
  <c r="AJ112" i="1"/>
  <c r="AG113" i="1"/>
  <c r="AH113" i="1"/>
  <c r="AI113" i="1"/>
  <c r="AJ113" i="1"/>
  <c r="AG114" i="1"/>
  <c r="AH114" i="1"/>
  <c r="AI114" i="1"/>
  <c r="AJ114" i="1"/>
  <c r="AG115" i="1"/>
  <c r="AH115" i="1"/>
  <c r="AI115" i="1"/>
  <c r="AJ115" i="1"/>
  <c r="AG116" i="1"/>
  <c r="AH116" i="1"/>
  <c r="AI116" i="1"/>
  <c r="AJ116" i="1"/>
  <c r="AG117" i="1"/>
  <c r="AH117" i="1"/>
  <c r="AI117" i="1"/>
  <c r="AJ117" i="1"/>
  <c r="AG118" i="1"/>
  <c r="AH118" i="1"/>
  <c r="AI118" i="1"/>
  <c r="AJ118" i="1"/>
  <c r="AG119" i="1"/>
  <c r="AH119" i="1"/>
  <c r="AI119" i="1"/>
  <c r="AJ119" i="1"/>
  <c r="AG120" i="1"/>
  <c r="AH120" i="1"/>
  <c r="AI120" i="1"/>
  <c r="AJ120" i="1"/>
  <c r="AG121" i="1"/>
  <c r="AH121" i="1"/>
  <c r="AI121" i="1"/>
  <c r="AJ121" i="1"/>
  <c r="AG122" i="1"/>
  <c r="AH122" i="1"/>
  <c r="AI122" i="1"/>
  <c r="AJ122" i="1"/>
  <c r="AG123" i="1"/>
  <c r="AH123" i="1"/>
  <c r="AI123" i="1"/>
  <c r="AJ123" i="1"/>
  <c r="AG124" i="1"/>
  <c r="AH124" i="1"/>
  <c r="AI124" i="1"/>
  <c r="AJ124" i="1"/>
  <c r="AG125" i="1"/>
  <c r="AH125" i="1"/>
  <c r="AI125" i="1"/>
  <c r="AJ125" i="1"/>
  <c r="AG126" i="1"/>
  <c r="AH126" i="1"/>
  <c r="AI126" i="1"/>
  <c r="AJ126" i="1"/>
  <c r="AG127" i="1"/>
  <c r="AH127" i="1"/>
  <c r="AI127" i="1"/>
  <c r="AJ127" i="1"/>
  <c r="AG128" i="1"/>
  <c r="AH128" i="1"/>
  <c r="AI128" i="1"/>
  <c r="AJ128" i="1"/>
  <c r="AG129" i="1"/>
  <c r="AH129" i="1"/>
  <c r="AI129" i="1"/>
  <c r="AJ129" i="1"/>
  <c r="AG130" i="1"/>
  <c r="AH130" i="1"/>
  <c r="AI130" i="1"/>
  <c r="AJ130" i="1"/>
  <c r="AG131" i="1"/>
  <c r="AH131" i="1"/>
  <c r="AI131" i="1"/>
  <c r="AJ131" i="1"/>
  <c r="AG132" i="1"/>
  <c r="AH132" i="1"/>
  <c r="AI132" i="1"/>
  <c r="AJ132" i="1"/>
  <c r="AG133" i="1"/>
  <c r="AH133" i="1"/>
  <c r="AI133" i="1"/>
  <c r="AJ133" i="1"/>
  <c r="AG134" i="1"/>
  <c r="AH134" i="1"/>
  <c r="AI134" i="1"/>
  <c r="AJ134" i="1"/>
  <c r="AG135" i="1"/>
  <c r="AH135" i="1"/>
  <c r="AI135" i="1"/>
  <c r="AJ135" i="1"/>
  <c r="AG136" i="1"/>
  <c r="AH136" i="1"/>
  <c r="AI136" i="1"/>
  <c r="AJ136" i="1"/>
  <c r="AG137" i="1"/>
  <c r="AH137" i="1"/>
  <c r="AI137" i="1"/>
  <c r="AJ137" i="1"/>
  <c r="AG138" i="1"/>
  <c r="AH138" i="1"/>
  <c r="AI138" i="1"/>
  <c r="AJ138" i="1"/>
  <c r="AG139" i="1"/>
  <c r="AH139" i="1"/>
  <c r="AI139" i="1"/>
  <c r="AJ139" i="1"/>
  <c r="AG140" i="1"/>
  <c r="AH140" i="1"/>
  <c r="AI140" i="1"/>
  <c r="AJ140" i="1"/>
  <c r="AG141" i="1"/>
  <c r="AH141" i="1"/>
  <c r="AI141" i="1"/>
  <c r="AJ141" i="1"/>
  <c r="AG142" i="1"/>
  <c r="AH142" i="1"/>
  <c r="AI142" i="1"/>
  <c r="AJ142" i="1"/>
  <c r="AG143" i="1"/>
  <c r="AH143" i="1"/>
  <c r="AI143" i="1"/>
  <c r="AJ143" i="1"/>
  <c r="AG144" i="1"/>
  <c r="AH144" i="1"/>
  <c r="AI144" i="1"/>
  <c r="AJ144" i="1"/>
  <c r="AG145" i="1"/>
  <c r="AH145" i="1"/>
  <c r="AI145" i="1"/>
  <c r="AJ145" i="1"/>
  <c r="AG146" i="1"/>
  <c r="AH146" i="1"/>
  <c r="AI146" i="1"/>
  <c r="AJ146" i="1"/>
  <c r="AG147" i="1"/>
  <c r="AH147" i="1"/>
  <c r="AI147" i="1"/>
  <c r="AJ147" i="1"/>
  <c r="AG148" i="1"/>
  <c r="AH148" i="1"/>
  <c r="AI148" i="1"/>
  <c r="AJ148" i="1"/>
  <c r="AG149" i="1"/>
  <c r="AH149" i="1"/>
  <c r="AI149" i="1"/>
  <c r="AJ149" i="1"/>
  <c r="AG150" i="1"/>
  <c r="AH150" i="1"/>
  <c r="AI150" i="1"/>
  <c r="AJ150" i="1"/>
  <c r="AG151" i="1"/>
  <c r="AH151" i="1"/>
  <c r="AI151" i="1"/>
  <c r="AJ151" i="1"/>
  <c r="AG152" i="1"/>
  <c r="AH152" i="1"/>
  <c r="AI152" i="1"/>
  <c r="AJ152" i="1"/>
  <c r="AG153" i="1"/>
  <c r="AH153" i="1"/>
  <c r="AI153" i="1"/>
  <c r="AJ153" i="1"/>
  <c r="AG154" i="1"/>
  <c r="AH154" i="1"/>
  <c r="AI154" i="1"/>
  <c r="AJ154" i="1"/>
  <c r="AG155" i="1"/>
  <c r="AH155" i="1"/>
  <c r="AI155" i="1"/>
  <c r="AJ155" i="1"/>
  <c r="AG156" i="1"/>
  <c r="AH156" i="1"/>
  <c r="AI156" i="1"/>
  <c r="AJ156" i="1"/>
  <c r="AG157" i="1"/>
  <c r="AH157" i="1"/>
  <c r="AI157" i="1"/>
  <c r="AJ157" i="1"/>
  <c r="AG158" i="1"/>
  <c r="AH158" i="1"/>
  <c r="AI158" i="1"/>
  <c r="AJ158" i="1"/>
  <c r="AG159" i="1"/>
  <c r="AH159" i="1"/>
  <c r="AI159" i="1"/>
  <c r="AJ159" i="1"/>
  <c r="AG160" i="1"/>
  <c r="AH160" i="1"/>
  <c r="AI160" i="1"/>
  <c r="AJ160" i="1"/>
  <c r="AG161" i="1"/>
  <c r="AH161" i="1"/>
  <c r="AI161" i="1"/>
  <c r="AJ161" i="1"/>
  <c r="AG162" i="1"/>
  <c r="AH162" i="1"/>
  <c r="AI162" i="1"/>
  <c r="AJ162" i="1"/>
  <c r="AG163" i="1"/>
  <c r="AH163" i="1"/>
  <c r="AI163" i="1"/>
  <c r="AJ163" i="1"/>
  <c r="AG164" i="1"/>
  <c r="AH164" i="1"/>
  <c r="AI164" i="1"/>
  <c r="AJ164" i="1"/>
  <c r="AG165" i="1"/>
  <c r="AH165" i="1"/>
  <c r="AI165" i="1"/>
  <c r="AJ165" i="1"/>
  <c r="AG166" i="1"/>
  <c r="AH166" i="1"/>
  <c r="AI166" i="1"/>
  <c r="AJ166" i="1"/>
  <c r="AG167" i="1"/>
  <c r="AH167" i="1"/>
  <c r="AI167" i="1"/>
  <c r="AJ167" i="1"/>
  <c r="AG168" i="1"/>
  <c r="AH168" i="1"/>
  <c r="AI168" i="1"/>
  <c r="AJ168" i="1"/>
  <c r="AG169" i="1"/>
  <c r="AH169" i="1"/>
  <c r="AI169" i="1"/>
  <c r="AJ169" i="1"/>
  <c r="AG170" i="1"/>
  <c r="AH170" i="1"/>
  <c r="AI170" i="1"/>
  <c r="AJ170" i="1"/>
  <c r="AG171" i="1"/>
  <c r="AH171" i="1"/>
  <c r="AI171" i="1"/>
  <c r="AJ171" i="1"/>
  <c r="AG172" i="1"/>
  <c r="AH172" i="1"/>
  <c r="AI172" i="1"/>
  <c r="AJ172" i="1"/>
  <c r="AG173" i="1"/>
  <c r="AH173" i="1"/>
  <c r="AI173" i="1"/>
  <c r="AJ173" i="1"/>
  <c r="AG174" i="1"/>
  <c r="AH174" i="1"/>
  <c r="AI174" i="1"/>
  <c r="AJ174" i="1"/>
  <c r="AG175" i="1"/>
  <c r="AH175" i="1"/>
  <c r="AI175" i="1"/>
  <c r="AJ175" i="1"/>
  <c r="AG176" i="1"/>
  <c r="AH176" i="1"/>
  <c r="AI176" i="1"/>
  <c r="AJ176" i="1"/>
  <c r="AG177" i="1"/>
  <c r="AH177" i="1"/>
  <c r="AI177" i="1"/>
  <c r="AJ177" i="1"/>
  <c r="AG178" i="1"/>
  <c r="AH178" i="1"/>
  <c r="AI178" i="1"/>
  <c r="AJ178" i="1"/>
  <c r="AG179" i="1"/>
  <c r="AH179" i="1"/>
  <c r="AI179" i="1"/>
  <c r="AJ179" i="1"/>
  <c r="AG180" i="1"/>
  <c r="AH180" i="1"/>
  <c r="AI180" i="1"/>
  <c r="AJ180" i="1"/>
  <c r="AG181" i="1"/>
  <c r="AH181" i="1"/>
  <c r="AI181" i="1"/>
  <c r="AJ181" i="1"/>
  <c r="AG182" i="1"/>
  <c r="AH182" i="1"/>
  <c r="AI182" i="1"/>
  <c r="AJ182" i="1"/>
  <c r="AG183" i="1"/>
  <c r="AH183" i="1"/>
  <c r="AI183" i="1"/>
  <c r="AJ183" i="1"/>
  <c r="AG184" i="1"/>
  <c r="AH184" i="1"/>
  <c r="AI184" i="1"/>
  <c r="AJ184" i="1"/>
  <c r="AG185" i="1"/>
  <c r="AH185" i="1"/>
  <c r="AI185" i="1"/>
  <c r="AJ185" i="1"/>
  <c r="AG186" i="1"/>
  <c r="AH186" i="1"/>
  <c r="AI186" i="1"/>
  <c r="AJ186" i="1"/>
  <c r="AG187" i="1"/>
  <c r="AH187" i="1"/>
  <c r="AI187" i="1"/>
  <c r="AJ187" i="1"/>
  <c r="AG188" i="1"/>
  <c r="AH188" i="1"/>
  <c r="AI188" i="1"/>
  <c r="AJ188" i="1"/>
  <c r="AG189" i="1"/>
  <c r="AH189" i="1"/>
  <c r="AI189" i="1"/>
  <c r="AJ189" i="1"/>
  <c r="AG190" i="1"/>
  <c r="AL190" i="1" s="1"/>
  <c r="AH190" i="1"/>
  <c r="AM190" i="1" s="1"/>
  <c r="AI190" i="1"/>
  <c r="AN190" i="1" s="1"/>
  <c r="AJ190" i="1"/>
  <c r="AO190" i="1" s="1"/>
  <c r="AG191" i="1"/>
  <c r="AH191" i="1"/>
  <c r="AI191" i="1"/>
  <c r="AJ191" i="1"/>
  <c r="AG192" i="1"/>
  <c r="AH192" i="1"/>
  <c r="AI192" i="1"/>
  <c r="AJ192" i="1"/>
  <c r="AG193" i="1"/>
  <c r="AH193" i="1"/>
  <c r="AI193" i="1"/>
  <c r="AJ193" i="1"/>
  <c r="AG194" i="1"/>
  <c r="AH194" i="1"/>
  <c r="AI194" i="1"/>
  <c r="AJ194" i="1"/>
  <c r="AG195" i="1"/>
  <c r="AH195" i="1"/>
  <c r="AI195" i="1"/>
  <c r="AJ195" i="1"/>
  <c r="AG196" i="1"/>
  <c r="AH196" i="1"/>
  <c r="AI196" i="1"/>
  <c r="AJ196" i="1"/>
  <c r="AG197" i="1"/>
  <c r="AH197" i="1"/>
  <c r="AI197" i="1"/>
  <c r="AJ197" i="1"/>
  <c r="AG198" i="1"/>
  <c r="AH198" i="1"/>
  <c r="AI198" i="1"/>
  <c r="AJ198" i="1"/>
  <c r="AG199" i="1"/>
  <c r="AH199" i="1"/>
  <c r="AI199" i="1"/>
  <c r="AJ199" i="1"/>
  <c r="AG200" i="1"/>
  <c r="AH200" i="1"/>
  <c r="AI200" i="1"/>
  <c r="AJ200" i="1"/>
  <c r="AG201" i="1"/>
  <c r="AH201" i="1"/>
  <c r="AI201" i="1"/>
  <c r="AJ201" i="1"/>
  <c r="AG202" i="1"/>
  <c r="AH202" i="1"/>
  <c r="AI202" i="1"/>
  <c r="AJ202" i="1"/>
  <c r="AG203" i="1"/>
  <c r="AH203" i="1"/>
  <c r="AI203" i="1"/>
  <c r="AJ203" i="1"/>
  <c r="AG204" i="1"/>
  <c r="AH204" i="1"/>
  <c r="AI204" i="1"/>
  <c r="AJ204" i="1"/>
  <c r="AG205" i="1"/>
  <c r="AH205" i="1"/>
  <c r="AI205" i="1"/>
  <c r="AJ205" i="1"/>
  <c r="AG206" i="1"/>
  <c r="AH206" i="1"/>
  <c r="AI206" i="1"/>
  <c r="AJ206" i="1"/>
  <c r="AG207" i="1"/>
  <c r="AH207" i="1"/>
  <c r="AI207" i="1"/>
  <c r="AJ207" i="1"/>
  <c r="AG208" i="1"/>
  <c r="AH208" i="1"/>
  <c r="AI208" i="1"/>
  <c r="AJ208" i="1"/>
  <c r="AG209" i="1"/>
  <c r="AH209" i="1"/>
  <c r="AI209" i="1"/>
  <c r="AJ209" i="1"/>
  <c r="AG210" i="1"/>
  <c r="AH210" i="1"/>
  <c r="AI210" i="1"/>
  <c r="AJ210" i="1"/>
  <c r="AG211" i="1"/>
  <c r="AH211" i="1"/>
  <c r="AI211" i="1"/>
  <c r="AJ211" i="1"/>
  <c r="AG212" i="1"/>
  <c r="AH212" i="1"/>
  <c r="AI212" i="1"/>
  <c r="AJ212" i="1"/>
  <c r="AG213" i="1"/>
  <c r="AH213" i="1"/>
  <c r="AI213" i="1"/>
  <c r="AJ213" i="1"/>
  <c r="AG214" i="1"/>
  <c r="AH214" i="1"/>
  <c r="AI214" i="1"/>
  <c r="AJ214" i="1"/>
  <c r="AG215" i="1"/>
  <c r="AH215" i="1"/>
  <c r="AI215" i="1"/>
  <c r="AJ215" i="1"/>
  <c r="AG216" i="1"/>
  <c r="AH216" i="1"/>
  <c r="AI216" i="1"/>
  <c r="AJ216" i="1"/>
  <c r="AG217" i="1"/>
  <c r="AH217" i="1"/>
  <c r="AI217" i="1"/>
  <c r="AJ217" i="1"/>
  <c r="AG218" i="1"/>
  <c r="AH218" i="1"/>
  <c r="AI218" i="1"/>
  <c r="AJ218" i="1"/>
  <c r="AG219" i="1"/>
  <c r="AH219" i="1"/>
  <c r="AI219" i="1"/>
  <c r="AJ219" i="1"/>
  <c r="AG220" i="1"/>
  <c r="AH220" i="1"/>
  <c r="AI220" i="1"/>
  <c r="AJ220" i="1"/>
  <c r="AG221" i="1"/>
  <c r="AH221" i="1"/>
  <c r="AI221" i="1"/>
  <c r="AJ221" i="1"/>
  <c r="AG222" i="1"/>
  <c r="AH222" i="1"/>
  <c r="AI222" i="1"/>
  <c r="AJ222" i="1"/>
  <c r="AG223" i="1"/>
  <c r="AH223" i="1"/>
  <c r="AI223" i="1"/>
  <c r="AJ223" i="1"/>
  <c r="AG224" i="1"/>
  <c r="AH224" i="1"/>
  <c r="AI224" i="1"/>
  <c r="AJ224" i="1"/>
  <c r="AG225" i="1"/>
  <c r="AH225" i="1"/>
  <c r="AI225" i="1"/>
  <c r="AJ225" i="1"/>
  <c r="AG226" i="1"/>
  <c r="AH226" i="1"/>
  <c r="AI226" i="1"/>
  <c r="AJ226" i="1"/>
  <c r="AG227" i="1"/>
  <c r="AH227" i="1"/>
  <c r="AI227" i="1"/>
  <c r="AJ227" i="1"/>
  <c r="AG228" i="1"/>
  <c r="AH228" i="1"/>
  <c r="AI228" i="1"/>
  <c r="AJ228" i="1"/>
  <c r="AG229" i="1"/>
  <c r="AH229" i="1"/>
  <c r="AI229" i="1"/>
  <c r="AJ229" i="1"/>
  <c r="AG230" i="1"/>
  <c r="AH230" i="1"/>
  <c r="AI230" i="1"/>
  <c r="AJ230" i="1"/>
  <c r="AG231" i="1"/>
  <c r="AH231" i="1"/>
  <c r="AI231" i="1"/>
  <c r="AJ231" i="1"/>
  <c r="AG232" i="1"/>
  <c r="AH232" i="1"/>
  <c r="AI232" i="1"/>
  <c r="AJ232" i="1"/>
  <c r="AJ6" i="1"/>
  <c r="AI6" i="1"/>
  <c r="AH6" i="1"/>
  <c r="AP218" i="15" l="1"/>
  <c r="AP219" i="15"/>
  <c r="AP222" i="15"/>
  <c r="AP16" i="15"/>
  <c r="AP76" i="15"/>
  <c r="AP81" i="15"/>
  <c r="AP227" i="15"/>
  <c r="AP145" i="15"/>
  <c r="AP68" i="15"/>
  <c r="AP161" i="15"/>
  <c r="AP193" i="15"/>
  <c r="AP37" i="15"/>
  <c r="AP53" i="15"/>
  <c r="AP73" i="15"/>
  <c r="AP92" i="15"/>
  <c r="AP134" i="15"/>
  <c r="AP7" i="15"/>
  <c r="AP47" i="15"/>
  <c r="AP67" i="15"/>
  <c r="AP89" i="15"/>
  <c r="AP100" i="15"/>
  <c r="AP123" i="15"/>
  <c r="AP224" i="15"/>
  <c r="AP208" i="15"/>
  <c r="AP20" i="15"/>
  <c r="AP27" i="15"/>
  <c r="AP40" i="15"/>
  <c r="AP52" i="15"/>
  <c r="AP60" i="15"/>
  <c r="AP63" i="15"/>
  <c r="AP108" i="15"/>
  <c r="AP125" i="15"/>
  <c r="AP200" i="15"/>
  <c r="AP101" i="15"/>
  <c r="AP9" i="15"/>
  <c r="AP22" i="15"/>
  <c r="AP44" i="15"/>
  <c r="AP65" i="15"/>
  <c r="AP141" i="15"/>
  <c r="AP185" i="15"/>
  <c r="AP220" i="15"/>
  <c r="AP46" i="15"/>
  <c r="AP95" i="15"/>
  <c r="AP97" i="15"/>
  <c r="AP104" i="15"/>
  <c r="AP113" i="15"/>
  <c r="AP117" i="15"/>
  <c r="AP120" i="15"/>
  <c r="AP137" i="15"/>
  <c r="AP140" i="15"/>
  <c r="AP215" i="15"/>
  <c r="AP15" i="15"/>
  <c r="AP31" i="15"/>
  <c r="AP39" i="15"/>
  <c r="AP99" i="15"/>
  <c r="AP177" i="15"/>
  <c r="AP19" i="15"/>
  <c r="AP28" i="15"/>
  <c r="AP35" i="15"/>
  <c r="AP36" i="15"/>
  <c r="AP43" i="15"/>
  <c r="AP59" i="15"/>
  <c r="AP107" i="15"/>
  <c r="AP180" i="15"/>
  <c r="AP6" i="15"/>
  <c r="AP24" i="15"/>
  <c r="AP8" i="15"/>
  <c r="AP13" i="15"/>
  <c r="AP30" i="15"/>
  <c r="AP11" i="15"/>
  <c r="AP45" i="15"/>
  <c r="AP10" i="15"/>
  <c r="AP12" i="15"/>
  <c r="AP29" i="15"/>
  <c r="AP32" i="15"/>
  <c r="AP14" i="15"/>
  <c r="AP23" i="15"/>
  <c r="AP21" i="15"/>
  <c r="AP38" i="15"/>
  <c r="AP61" i="15"/>
  <c r="AP66" i="15"/>
  <c r="AP88" i="15"/>
  <c r="AP144" i="15"/>
  <c r="AP25" i="15"/>
  <c r="AP26" i="15"/>
  <c r="AP50" i="15"/>
  <c r="AP75" i="15"/>
  <c r="AP93" i="15"/>
  <c r="AP116" i="15"/>
  <c r="AP124" i="15"/>
  <c r="AP136" i="15"/>
  <c r="AP48" i="15"/>
  <c r="AP49" i="15"/>
  <c r="AP58" i="15"/>
  <c r="AP80" i="15"/>
  <c r="AP84" i="15"/>
  <c r="AP90" i="15"/>
  <c r="AP17" i="15"/>
  <c r="AP18" i="15"/>
  <c r="AP56" i="15"/>
  <c r="AP57" i="15"/>
  <c r="AP87" i="15"/>
  <c r="AP111" i="15"/>
  <c r="AP122" i="15"/>
  <c r="AP132" i="15"/>
  <c r="AP133" i="15"/>
  <c r="AP142" i="15"/>
  <c r="AP79" i="15"/>
  <c r="AP83" i="15"/>
  <c r="AP96" i="15"/>
  <c r="AP128" i="15"/>
  <c r="AP41" i="15"/>
  <c r="AP42" i="15"/>
  <c r="AP72" i="15"/>
  <c r="AP62" i="15"/>
  <c r="AP71" i="15"/>
  <c r="AP86" i="15"/>
  <c r="AP33" i="15"/>
  <c r="AP34" i="15"/>
  <c r="AP69" i="15"/>
  <c r="AP77" i="15"/>
  <c r="AP91" i="15"/>
  <c r="AP109" i="15"/>
  <c r="AP70" i="15"/>
  <c r="AP74" i="15"/>
  <c r="AP127" i="15"/>
  <c r="AP146" i="15"/>
  <c r="AP147" i="15"/>
  <c r="AP152" i="15"/>
  <c r="AP166" i="15"/>
  <c r="AP175" i="15"/>
  <c r="AP181" i="15"/>
  <c r="AP195" i="15"/>
  <c r="AP225" i="15"/>
  <c r="AP78" i="15"/>
  <c r="AP82" i="15"/>
  <c r="AP130" i="15"/>
  <c r="AP131" i="15"/>
  <c r="AP143" i="15"/>
  <c r="AP158" i="15"/>
  <c r="AP167" i="15"/>
  <c r="AP173" i="15"/>
  <c r="AP188" i="15"/>
  <c r="AP192" i="15"/>
  <c r="AP206" i="15"/>
  <c r="AP229" i="15"/>
  <c r="AP226" i="15"/>
  <c r="AP135" i="15"/>
  <c r="AP231" i="15"/>
  <c r="AP207" i="15"/>
  <c r="AP228" i="15"/>
  <c r="AP94" i="15"/>
  <c r="AP98" i="15"/>
  <c r="AP118" i="15"/>
  <c r="AP138" i="15"/>
  <c r="AP139" i="15"/>
  <c r="AP150" i="15"/>
  <c r="AP172" i="15"/>
  <c r="AP178" i="15"/>
  <c r="AP179" i="15"/>
  <c r="AP184" i="15"/>
  <c r="AP198" i="15"/>
  <c r="AP205" i="15"/>
  <c r="AP223" i="15"/>
  <c r="AP221" i="15"/>
  <c r="AP232" i="15"/>
  <c r="AP209" i="15"/>
  <c r="AP102" i="15"/>
  <c r="AP106" i="15"/>
  <c r="AP151" i="15"/>
  <c r="AP157" i="15"/>
  <c r="AP164" i="15"/>
  <c r="AP170" i="15"/>
  <c r="AP171" i="15"/>
  <c r="AP176" i="15"/>
  <c r="AP190" i="15"/>
  <c r="AP199" i="15"/>
  <c r="AP211" i="15"/>
  <c r="AP216" i="15"/>
  <c r="AP212" i="15"/>
  <c r="AP214" i="15"/>
  <c r="AP110" i="15"/>
  <c r="AP114" i="15"/>
  <c r="AP115" i="15"/>
  <c r="AP126" i="15"/>
  <c r="AP149" i="15"/>
  <c r="AP162" i="15"/>
  <c r="AP163" i="15"/>
  <c r="AP168" i="15"/>
  <c r="AP191" i="15"/>
  <c r="AP197" i="15"/>
  <c r="AP204" i="15"/>
  <c r="AP213" i="15"/>
  <c r="AP210" i="15"/>
  <c r="AP119" i="15"/>
  <c r="AP156" i="15"/>
  <c r="AP160" i="15"/>
  <c r="AP202" i="15"/>
  <c r="AP203" i="15"/>
  <c r="AP230" i="15"/>
  <c r="AP217" i="15"/>
  <c r="AP37" i="14"/>
  <c r="AP45" i="14"/>
  <c r="AP111" i="14"/>
  <c r="AP140" i="14"/>
  <c r="AP148" i="14"/>
  <c r="AP198" i="14"/>
  <c r="AP209" i="14"/>
  <c r="AP226" i="14"/>
  <c r="AP20" i="14"/>
  <c r="AP36" i="14"/>
  <c r="AP108" i="14"/>
  <c r="AP136" i="14"/>
  <c r="AP185" i="14"/>
  <c r="AP199" i="14"/>
  <c r="AP54" i="14"/>
  <c r="AP201" i="14"/>
  <c r="AP218" i="14"/>
  <c r="AP60" i="14"/>
  <c r="AP57" i="14"/>
  <c r="AP102" i="14"/>
  <c r="AP105" i="14"/>
  <c r="AP125" i="14"/>
  <c r="AP151" i="14"/>
  <c r="AP167" i="14"/>
  <c r="AP29" i="14"/>
  <c r="AP89" i="14"/>
  <c r="AP107" i="14"/>
  <c r="AP116" i="14"/>
  <c r="AP72" i="14"/>
  <c r="AP21" i="14"/>
  <c r="AP161" i="14"/>
  <c r="AP194" i="14"/>
  <c r="AP153" i="14"/>
  <c r="AP203" i="14"/>
  <c r="AP155" i="14"/>
  <c r="AP178" i="14"/>
  <c r="AP119" i="14"/>
  <c r="AP229" i="14"/>
  <c r="AP76" i="14"/>
  <c r="AP44" i="14"/>
  <c r="AP79" i="14"/>
  <c r="AP80" i="14"/>
  <c r="AP113" i="14"/>
  <c r="AP177" i="14"/>
  <c r="AP196" i="14"/>
  <c r="AP64" i="14"/>
  <c r="AP22" i="14"/>
  <c r="AP43" i="14"/>
  <c r="AP65" i="14"/>
  <c r="AP75" i="14"/>
  <c r="AP98" i="14"/>
  <c r="AP186" i="14"/>
  <c r="AP206" i="14"/>
  <c r="AP214" i="14"/>
  <c r="AP225" i="14"/>
  <c r="AP26" i="14"/>
  <c r="AP28" i="14"/>
  <c r="AP33" i="14"/>
  <c r="AP35" i="14"/>
  <c r="AP42" i="14"/>
  <c r="AP53" i="14"/>
  <c r="AP68" i="14"/>
  <c r="AP99" i="14"/>
  <c r="AP115" i="14"/>
  <c r="AP180" i="14"/>
  <c r="AP38" i="14"/>
  <c r="AP62" i="14"/>
  <c r="AP169" i="14"/>
  <c r="AP217" i="14"/>
  <c r="AP14" i="14"/>
  <c r="AP30" i="14"/>
  <c r="AP52" i="14"/>
  <c r="AP56" i="14"/>
  <c r="AP59" i="14"/>
  <c r="AP67" i="14"/>
  <c r="AP112" i="14"/>
  <c r="AP120" i="14"/>
  <c r="AP207" i="14"/>
  <c r="AP69" i="14"/>
  <c r="AP87" i="14"/>
  <c r="AP6" i="14"/>
  <c r="AP23" i="14"/>
  <c r="AP49" i="14"/>
  <c r="AP58" i="14"/>
  <c r="AP61" i="14"/>
  <c r="AP145" i="14"/>
  <c r="AP159" i="14"/>
  <c r="AP176" i="14"/>
  <c r="AP191" i="14"/>
  <c r="AP7" i="14"/>
  <c r="AP8" i="14"/>
  <c r="AP15" i="14"/>
  <c r="AP16" i="14"/>
  <c r="AP51" i="14"/>
  <c r="AP71" i="14"/>
  <c r="AP77" i="14"/>
  <c r="AP109" i="14"/>
  <c r="AP117" i="14"/>
  <c r="AP141" i="14"/>
  <c r="AP170" i="14"/>
  <c r="AP12" i="14"/>
  <c r="AP63" i="14"/>
  <c r="AP10" i="14"/>
  <c r="AP11" i="14"/>
  <c r="AP18" i="14"/>
  <c r="AP9" i="14"/>
  <c r="AP13" i="14"/>
  <c r="AP46" i="14"/>
  <c r="AP50" i="14"/>
  <c r="AP73" i="14"/>
  <c r="AP17" i="14"/>
  <c r="AP19" i="14"/>
  <c r="AP25" i="14"/>
  <c r="AP27" i="14"/>
  <c r="AP34" i="14"/>
  <c r="AP41" i="14"/>
  <c r="AP55" i="14"/>
  <c r="AP85" i="14"/>
  <c r="AP103" i="14"/>
  <c r="AP128" i="14"/>
  <c r="AP133" i="14"/>
  <c r="AP137" i="14"/>
  <c r="AP47" i="14"/>
  <c r="AP48" i="14"/>
  <c r="AP84" i="14"/>
  <c r="AP92" i="14"/>
  <c r="AP97" i="14"/>
  <c r="AP100" i="14"/>
  <c r="AP121" i="14"/>
  <c r="AP66" i="14"/>
  <c r="AP83" i="14"/>
  <c r="AP96" i="14"/>
  <c r="AP124" i="14"/>
  <c r="AP24" i="14"/>
  <c r="AP39" i="14"/>
  <c r="AP40" i="14"/>
  <c r="AP74" i="14"/>
  <c r="AP81" i="14"/>
  <c r="AP82" i="14"/>
  <c r="AP91" i="14"/>
  <c r="AP95" i="14"/>
  <c r="AP127" i="14"/>
  <c r="AP31" i="14"/>
  <c r="AP32" i="14"/>
  <c r="AP90" i="14"/>
  <c r="AP123" i="14"/>
  <c r="AP129" i="14"/>
  <c r="AP70" i="14"/>
  <c r="AP88" i="14"/>
  <c r="AP104" i="14"/>
  <c r="AP138" i="14"/>
  <c r="AP139" i="14"/>
  <c r="AP143" i="14"/>
  <c r="AP146" i="14"/>
  <c r="AP147" i="14"/>
  <c r="AP158" i="14"/>
  <c r="AP173" i="14"/>
  <c r="AP190" i="14"/>
  <c r="AP221" i="14"/>
  <c r="AP165" i="14"/>
  <c r="AP187" i="14"/>
  <c r="AP184" i="14"/>
  <c r="AP189" i="14"/>
  <c r="AP195" i="14"/>
  <c r="AP213" i="14"/>
  <c r="AP228" i="14"/>
  <c r="AP144" i="14"/>
  <c r="AP150" i="14"/>
  <c r="AP172" i="14"/>
  <c r="AP182" i="14"/>
  <c r="AP220" i="14"/>
  <c r="AP227" i="14"/>
  <c r="AP231" i="14"/>
  <c r="AP134" i="14"/>
  <c r="AP157" i="14"/>
  <c r="AP164" i="14"/>
  <c r="AP171" i="14"/>
  <c r="AP179" i="14"/>
  <c r="AP192" i="14"/>
  <c r="AP212" i="14"/>
  <c r="AP219" i="14"/>
  <c r="AP223" i="14"/>
  <c r="AP232" i="14"/>
  <c r="AP78" i="14"/>
  <c r="AP106" i="14"/>
  <c r="AP110" i="14"/>
  <c r="AP114" i="14"/>
  <c r="AP162" i="14"/>
  <c r="AP163" i="14"/>
  <c r="AP204" i="14"/>
  <c r="AP181" i="14"/>
  <c r="AP197" i="14"/>
  <c r="AP210" i="14"/>
  <c r="AP211" i="14"/>
  <c r="AP215" i="14"/>
  <c r="AP224" i="14"/>
  <c r="AP86" i="14"/>
  <c r="AP118" i="14"/>
  <c r="AP122" i="14"/>
  <c r="AP126" i="14"/>
  <c r="AP142" i="14"/>
  <c r="AP149" i="14"/>
  <c r="AP156" i="14"/>
  <c r="AP160" i="14"/>
  <c r="AP174" i="14"/>
  <c r="AP188" i="14"/>
  <c r="AP200" i="14"/>
  <c r="AP216" i="14"/>
  <c r="AP230" i="14"/>
  <c r="AP94" i="14"/>
  <c r="AP130" i="14"/>
  <c r="AP131" i="14"/>
  <c r="AP135" i="14"/>
  <c r="AP154" i="14"/>
  <c r="AP166" i="14"/>
  <c r="AP175" i="14"/>
  <c r="AP193" i="14"/>
  <c r="AP183" i="14"/>
  <c r="AP202" i="14"/>
  <c r="AP208" i="14"/>
  <c r="AP222" i="14"/>
  <c r="AP159" i="13"/>
  <c r="AP177" i="13"/>
  <c r="AP175" i="13"/>
  <c r="AP28" i="13"/>
  <c r="AP51" i="13"/>
  <c r="AP92" i="13"/>
  <c r="AP176" i="13"/>
  <c r="AP220" i="13"/>
  <c r="AP50" i="13"/>
  <c r="AP127" i="13"/>
  <c r="AP45" i="13"/>
  <c r="AP98" i="13"/>
  <c r="AP105" i="13"/>
  <c r="AP152" i="13"/>
  <c r="AP166" i="13"/>
  <c r="AP173" i="13"/>
  <c r="AP206" i="13"/>
  <c r="AP26" i="13"/>
  <c r="AP74" i="13"/>
  <c r="AP101" i="13"/>
  <c r="AP104" i="13"/>
  <c r="AP132" i="13"/>
  <c r="AP135" i="13"/>
  <c r="AP142" i="13"/>
  <c r="AP147" i="13"/>
  <c r="AP184" i="13"/>
  <c r="AP225" i="13"/>
  <c r="AP27" i="13"/>
  <c r="AP87" i="13"/>
  <c r="AP12" i="13"/>
  <c r="AP22" i="13"/>
  <c r="AP60" i="13"/>
  <c r="AP126" i="13"/>
  <c r="AP139" i="13"/>
  <c r="AP146" i="13"/>
  <c r="AP163" i="13"/>
  <c r="AP217" i="13"/>
  <c r="AP6" i="13"/>
  <c r="AP25" i="13"/>
  <c r="AP125" i="13"/>
  <c r="AP144" i="13"/>
  <c r="AP158" i="13"/>
  <c r="AP73" i="13"/>
  <c r="AP102" i="13"/>
  <c r="AP109" i="13"/>
  <c r="AP123" i="13"/>
  <c r="AP193" i="13"/>
  <c r="AP209" i="13"/>
  <c r="AP227" i="13"/>
  <c r="AP7" i="13"/>
  <c r="AP8" i="13"/>
  <c r="AP13" i="13"/>
  <c r="AP24" i="13"/>
  <c r="AP39" i="13"/>
  <c r="AP41" i="13"/>
  <c r="AP43" i="13"/>
  <c r="AP63" i="13"/>
  <c r="AP66" i="13"/>
  <c r="AP80" i="13"/>
  <c r="AP88" i="13"/>
  <c r="AP115" i="13"/>
  <c r="AP185" i="13"/>
  <c r="AP219" i="13"/>
  <c r="AP76" i="13"/>
  <c r="AP78" i="13"/>
  <c r="AP84" i="13"/>
  <c r="AP96" i="13"/>
  <c r="AP103" i="13"/>
  <c r="AP130" i="13"/>
  <c r="AP179" i="13"/>
  <c r="AP23" i="13"/>
  <c r="AP65" i="13"/>
  <c r="AP69" i="13"/>
  <c r="AP82" i="13"/>
  <c r="AP195" i="13"/>
  <c r="AP218" i="13"/>
  <c r="AP11" i="13"/>
  <c r="AP20" i="13"/>
  <c r="AP31" i="13"/>
  <c r="AP35" i="13"/>
  <c r="AP10" i="13"/>
  <c r="AP14" i="13"/>
  <c r="AP42" i="13"/>
  <c r="AP44" i="13"/>
  <c r="AP53" i="13"/>
  <c r="AP56" i="13"/>
  <c r="AP64" i="13"/>
  <c r="AP68" i="13"/>
  <c r="AP17" i="13"/>
  <c r="AP59" i="13"/>
  <c r="AP61" i="13"/>
  <c r="AP71" i="13"/>
  <c r="AP9" i="13"/>
  <c r="AP16" i="13"/>
  <c r="AP21" i="13"/>
  <c r="AP33" i="13"/>
  <c r="AP55" i="13"/>
  <c r="AP32" i="13"/>
  <c r="AP34" i="13"/>
  <c r="AP37" i="13"/>
  <c r="AP19" i="13"/>
  <c r="AP36" i="13"/>
  <c r="AP57" i="13"/>
  <c r="AP72" i="13"/>
  <c r="AP54" i="13"/>
  <c r="AP75" i="13"/>
  <c r="AP77" i="13"/>
  <c r="AP119" i="13"/>
  <c r="AP136" i="13"/>
  <c r="AP174" i="13"/>
  <c r="AP38" i="13"/>
  <c r="AP79" i="13"/>
  <c r="AP90" i="13"/>
  <c r="AP97" i="13"/>
  <c r="AP111" i="13"/>
  <c r="AP137" i="13"/>
  <c r="AP151" i="13"/>
  <c r="AP156" i="13"/>
  <c r="AP62" i="13"/>
  <c r="AP67" i="13"/>
  <c r="AP70" i="13"/>
  <c r="AP99" i="13"/>
  <c r="AP100" i="13"/>
  <c r="AP118" i="13"/>
  <c r="AP121" i="13"/>
  <c r="AP134" i="13"/>
  <c r="AP145" i="13"/>
  <c r="AP169" i="13"/>
  <c r="AP201" i="13"/>
  <c r="AP89" i="13"/>
  <c r="AP94" i="13"/>
  <c r="AP113" i="13"/>
  <c r="AP138" i="13"/>
  <c r="AP150" i="13"/>
  <c r="AP171" i="13"/>
  <c r="AP46" i="13"/>
  <c r="AP91" i="13"/>
  <c r="AP93" i="13"/>
  <c r="AP110" i="13"/>
  <c r="AP122" i="13"/>
  <c r="AP164" i="13"/>
  <c r="AP81" i="13"/>
  <c r="AP86" i="13"/>
  <c r="AP95" i="13"/>
  <c r="AP114" i="13"/>
  <c r="AP117" i="13"/>
  <c r="AP129" i="13"/>
  <c r="AP133" i="13"/>
  <c r="AP143" i="13"/>
  <c r="AP149" i="13"/>
  <c r="AP153" i="13"/>
  <c r="AP30" i="13"/>
  <c r="AP83" i="13"/>
  <c r="AP85" i="13"/>
  <c r="AP106" i="13"/>
  <c r="AP107" i="13"/>
  <c r="AP112" i="13"/>
  <c r="AP120" i="13"/>
  <c r="AP131" i="13"/>
  <c r="AP165" i="13"/>
  <c r="AP155" i="13"/>
  <c r="AP162" i="13"/>
  <c r="AP157" i="13"/>
  <c r="AP172" i="13"/>
  <c r="AP154" i="13"/>
  <c r="AP182" i="13"/>
  <c r="AP192" i="13"/>
  <c r="AP199" i="13"/>
  <c r="AP116" i="13"/>
  <c r="AP180" i="13"/>
  <c r="AP181" i="13"/>
  <c r="AP186" i="13"/>
  <c r="AP190" i="13"/>
  <c r="AP200" i="13"/>
  <c r="AP207" i="13"/>
  <c r="AP140" i="13"/>
  <c r="AP168" i="13"/>
  <c r="AP188" i="13"/>
  <c r="AP189" i="13"/>
  <c r="AP194" i="13"/>
  <c r="AP198" i="13"/>
  <c r="AP208" i="13"/>
  <c r="AP215" i="13"/>
  <c r="AP223" i="13"/>
  <c r="AP231" i="13"/>
  <c r="AP167" i="13"/>
  <c r="AP216" i="13"/>
  <c r="AP224" i="13"/>
  <c r="AP232" i="13"/>
  <c r="AP124" i="13"/>
  <c r="AP204" i="13"/>
  <c r="AP205" i="13"/>
  <c r="AP214" i="13"/>
  <c r="AP222" i="13"/>
  <c r="AP230" i="13"/>
  <c r="AP148" i="13"/>
  <c r="AP178" i="13"/>
  <c r="AP170" i="13"/>
  <c r="AP161" i="13"/>
  <c r="AP212" i="13"/>
  <c r="AP213" i="13"/>
  <c r="AP221" i="13"/>
  <c r="AP226" i="13"/>
  <c r="AP229" i="13"/>
  <c r="AP108" i="13"/>
  <c r="AP160" i="13"/>
  <c r="AP183" i="13"/>
  <c r="AP147" i="12"/>
  <c r="AP141" i="12"/>
  <c r="AP152" i="12"/>
  <c r="AP18" i="12"/>
  <c r="AP187" i="12"/>
  <c r="AP33" i="12"/>
  <c r="AP75" i="12"/>
  <c r="AP79" i="12"/>
  <c r="AP117" i="12"/>
  <c r="AP180" i="12"/>
  <c r="AP211" i="12"/>
  <c r="AP98" i="12"/>
  <c r="AP53" i="12"/>
  <c r="AP65" i="12"/>
  <c r="AP124" i="12"/>
  <c r="AP219" i="12"/>
  <c r="AP21" i="12"/>
  <c r="AP41" i="12"/>
  <c r="AP120" i="12"/>
  <c r="AP123" i="12"/>
  <c r="AP195" i="12"/>
  <c r="AP177" i="12"/>
  <c r="AP212" i="12"/>
  <c r="AP90" i="12"/>
  <c r="AP203" i="12"/>
  <c r="AP225" i="12"/>
  <c r="AP161" i="12"/>
  <c r="AP169" i="12"/>
  <c r="AP196" i="12"/>
  <c r="AP19" i="12"/>
  <c r="AP40" i="12"/>
  <c r="AP43" i="12"/>
  <c r="AP45" i="12"/>
  <c r="AP69" i="12"/>
  <c r="AP111" i="12"/>
  <c r="AP137" i="12"/>
  <c r="AP146" i="12"/>
  <c r="AP149" i="12"/>
  <c r="AP155" i="12"/>
  <c r="AP194" i="12"/>
  <c r="AP202" i="12"/>
  <c r="AP206" i="12"/>
  <c r="AP218" i="12"/>
  <c r="AP222" i="12"/>
  <c r="AP231" i="12"/>
  <c r="AP27" i="12"/>
  <c r="AP32" i="12"/>
  <c r="AP37" i="12"/>
  <c r="AP54" i="12"/>
  <c r="AP74" i="12"/>
  <c r="AP96" i="12"/>
  <c r="AP114" i="12"/>
  <c r="AP151" i="12"/>
  <c r="AP164" i="12"/>
  <c r="AP215" i="12"/>
  <c r="AP226" i="12"/>
  <c r="AP6" i="12"/>
  <c r="AP185" i="12"/>
  <c r="AP193" i="12"/>
  <c r="AP205" i="12"/>
  <c r="AP209" i="12"/>
  <c r="AP217" i="12"/>
  <c r="AP181" i="12"/>
  <c r="AP189" i="12"/>
  <c r="AP12" i="12"/>
  <c r="AP23" i="12"/>
  <c r="AP31" i="12"/>
  <c r="AP61" i="12"/>
  <c r="AP104" i="12"/>
  <c r="AP122" i="12"/>
  <c r="AP127" i="12"/>
  <c r="AP134" i="12"/>
  <c r="AP150" i="12"/>
  <c r="AP201" i="12"/>
  <c r="AP9" i="12"/>
  <c r="AP14" i="12"/>
  <c r="AP16" i="12"/>
  <c r="AP70" i="12"/>
  <c r="AP85" i="12"/>
  <c r="AP129" i="12"/>
  <c r="AP17" i="12"/>
  <c r="AP171" i="12"/>
  <c r="AP20" i="12"/>
  <c r="AP112" i="12"/>
  <c r="AP154" i="12"/>
  <c r="AP184" i="12"/>
  <c r="AP200" i="12"/>
  <c r="AP77" i="12"/>
  <c r="AP94" i="12"/>
  <c r="AP103" i="12"/>
  <c r="AP108" i="12"/>
  <c r="AP139" i="12"/>
  <c r="AP162" i="12"/>
  <c r="AP99" i="12"/>
  <c r="AP132" i="12"/>
  <c r="AP138" i="12"/>
  <c r="AP167" i="12"/>
  <c r="AP111" i="11"/>
  <c r="AP89" i="11"/>
  <c r="AP67" i="11"/>
  <c r="AP204" i="11"/>
  <c r="AP171" i="11"/>
  <c r="AP196" i="11"/>
  <c r="AP11" i="11"/>
  <c r="AP120" i="11"/>
  <c r="AP157" i="11"/>
  <c r="AP188" i="11"/>
  <c r="AP203" i="11"/>
  <c r="AP53" i="11"/>
  <c r="AP173" i="11"/>
  <c r="AP61" i="11"/>
  <c r="AP83" i="11"/>
  <c r="AP88" i="11"/>
  <c r="AP155" i="11"/>
  <c r="AP164" i="11"/>
  <c r="AP28" i="11"/>
  <c r="AP34" i="11"/>
  <c r="AP136" i="11"/>
  <c r="AP154" i="11"/>
  <c r="AP10" i="11"/>
  <c r="AP15" i="11"/>
  <c r="AP23" i="11"/>
  <c r="AP26" i="11"/>
  <c r="AP35" i="11"/>
  <c r="AP36" i="11"/>
  <c r="AP40" i="11"/>
  <c r="AP42" i="11"/>
  <c r="AP47" i="11"/>
  <c r="AP50" i="11"/>
  <c r="AP51" i="11"/>
  <c r="AP59" i="11"/>
  <c r="AP68" i="11"/>
  <c r="AP92" i="11"/>
  <c r="AP96" i="11"/>
  <c r="AP128" i="11"/>
  <c r="AP130" i="11"/>
  <c r="AP137" i="11"/>
  <c r="AP141" i="11"/>
  <c r="AP226" i="11"/>
  <c r="AP229" i="11"/>
  <c r="AP75" i="11"/>
  <c r="AP31" i="11"/>
  <c r="AP33" i="11"/>
  <c r="AP108" i="11"/>
  <c r="AP116" i="11"/>
  <c r="AP121" i="11"/>
  <c r="AP149" i="11"/>
  <c r="AP152" i="11"/>
  <c r="AP178" i="11"/>
  <c r="AP182" i="11"/>
  <c r="AP186" i="11"/>
  <c r="AP190" i="11"/>
  <c r="AP194" i="11"/>
  <c r="AP198" i="11"/>
  <c r="AP202" i="11"/>
  <c r="AP206" i="11"/>
  <c r="AP210" i="11"/>
  <c r="AP214" i="11"/>
  <c r="AP218" i="11"/>
  <c r="AP17" i="11"/>
  <c r="AP49" i="11"/>
  <c r="AP71" i="11"/>
  <c r="AP79" i="11"/>
  <c r="AP84" i="11"/>
  <c r="AP132" i="11"/>
  <c r="AP20" i="11"/>
  <c r="AP52" i="11"/>
  <c r="AP55" i="11"/>
  <c r="AP57" i="11"/>
  <c r="AP60" i="11"/>
  <c r="AP90" i="11"/>
  <c r="AP105" i="11"/>
  <c r="AP124" i="11"/>
  <c r="AP148" i="11"/>
  <c r="AP225" i="11"/>
  <c r="AP25" i="11"/>
  <c r="AP27" i="11"/>
  <c r="AP41" i="11"/>
  <c r="AP44" i="11"/>
  <c r="AP76" i="11"/>
  <c r="AP167" i="11"/>
  <c r="AP19" i="11"/>
  <c r="AP24" i="11"/>
  <c r="AP161" i="11"/>
  <c r="AP8" i="12"/>
  <c r="AP7" i="12"/>
  <c r="AP22" i="12"/>
  <c r="AP11" i="12"/>
  <c r="AP13" i="12"/>
  <c r="AP15" i="12"/>
  <c r="AP35" i="12"/>
  <c r="AP42" i="12"/>
  <c r="AP47" i="12"/>
  <c r="AP49" i="12"/>
  <c r="AP57" i="12"/>
  <c r="AP76" i="12"/>
  <c r="AP91" i="12"/>
  <c r="AP121" i="12"/>
  <c r="AP130" i="12"/>
  <c r="AP28" i="12"/>
  <c r="AP30" i="12"/>
  <c r="AP34" i="12"/>
  <c r="AP39" i="12"/>
  <c r="AP62" i="12"/>
  <c r="AP68" i="12"/>
  <c r="AP71" i="12"/>
  <c r="AP83" i="12"/>
  <c r="AP88" i="12"/>
  <c r="AP95" i="12"/>
  <c r="AP97" i="12"/>
  <c r="AP63" i="12"/>
  <c r="AP107" i="12"/>
  <c r="AP109" i="12"/>
  <c r="AP26" i="12"/>
  <c r="AP46" i="12"/>
  <c r="AP55" i="12"/>
  <c r="AP60" i="12"/>
  <c r="AP67" i="12"/>
  <c r="AP80" i="12"/>
  <c r="AP82" i="12"/>
  <c r="AP89" i="12"/>
  <c r="AP106" i="12"/>
  <c r="AP115" i="12"/>
  <c r="AP116" i="12"/>
  <c r="AP125" i="12"/>
  <c r="AP10" i="12"/>
  <c r="AP24" i="12"/>
  <c r="AP25" i="12"/>
  <c r="AP38" i="12"/>
  <c r="AP52" i="12"/>
  <c r="AP72" i="12"/>
  <c r="AP101" i="12"/>
  <c r="AP44" i="12"/>
  <c r="AP59" i="12"/>
  <c r="AP64" i="12"/>
  <c r="AP66" i="12"/>
  <c r="AP81" i="12"/>
  <c r="AP86" i="12"/>
  <c r="AP100" i="12"/>
  <c r="AP113" i="12"/>
  <c r="AP119" i="12"/>
  <c r="AP36" i="12"/>
  <c r="AP48" i="12"/>
  <c r="AP51" i="12"/>
  <c r="AP56" i="12"/>
  <c r="AP58" i="12"/>
  <c r="AP73" i="12"/>
  <c r="AP78" i="12"/>
  <c r="AP87" i="12"/>
  <c r="AP92" i="12"/>
  <c r="AP105" i="12"/>
  <c r="AP128" i="12"/>
  <c r="AP118" i="12"/>
  <c r="AP153" i="12"/>
  <c r="AP135" i="12"/>
  <c r="AP131" i="12"/>
  <c r="AP159" i="12"/>
  <c r="AP166" i="12"/>
  <c r="AP192" i="12"/>
  <c r="AP204" i="12"/>
  <c r="AP213" i="12"/>
  <c r="AP223" i="12"/>
  <c r="AP229" i="12"/>
  <c r="AP140" i="12"/>
  <c r="AP157" i="12"/>
  <c r="AP170" i="12"/>
  <c r="AP174" i="12"/>
  <c r="AP221" i="12"/>
  <c r="AP102" i="12"/>
  <c r="AP143" i="12"/>
  <c r="AP145" i="12"/>
  <c r="AP156" i="12"/>
  <c r="AP165" i="12"/>
  <c r="AP175" i="12"/>
  <c r="AP178" i="12"/>
  <c r="AP182" i="12"/>
  <c r="AP208" i="12"/>
  <c r="AP220" i="12"/>
  <c r="AP228" i="12"/>
  <c r="AP126" i="12"/>
  <c r="AP136" i="12"/>
  <c r="AP133" i="12"/>
  <c r="AP142" i="12"/>
  <c r="AP163" i="12"/>
  <c r="AP173" i="12"/>
  <c r="AP183" i="12"/>
  <c r="AP186" i="12"/>
  <c r="AP190" i="12"/>
  <c r="AP216" i="12"/>
  <c r="AP227" i="12"/>
  <c r="AP232" i="12"/>
  <c r="AP160" i="12"/>
  <c r="AP172" i="12"/>
  <c r="AP191" i="12"/>
  <c r="AP198" i="12"/>
  <c r="AP224" i="12"/>
  <c r="AP110" i="12"/>
  <c r="AP168" i="12"/>
  <c r="AP179" i="12"/>
  <c r="AP199" i="12"/>
  <c r="AP148" i="12"/>
  <c r="AP144" i="12"/>
  <c r="AP176" i="12"/>
  <c r="AP188" i="12"/>
  <c r="AP197" i="12"/>
  <c r="AP207" i="12"/>
  <c r="AP210" i="12"/>
  <c r="AP214" i="12"/>
  <c r="AP230" i="12"/>
  <c r="AP173" i="10"/>
  <c r="AP117" i="10"/>
  <c r="AP33" i="10"/>
  <c r="AP101" i="10"/>
  <c r="AP142" i="10"/>
  <c r="AP149" i="10"/>
  <c r="AP227" i="10"/>
  <c r="AP16" i="10"/>
  <c r="AP30" i="10"/>
  <c r="AP61" i="10"/>
  <c r="AP89" i="10"/>
  <c r="AP107" i="10"/>
  <c r="AP150" i="10"/>
  <c r="AP221" i="10"/>
  <c r="AP113" i="10"/>
  <c r="AP118" i="10"/>
  <c r="AP201" i="10"/>
  <c r="AP12" i="10"/>
  <c r="AP209" i="10"/>
  <c r="AP20" i="10"/>
  <c r="AP29" i="10"/>
  <c r="AP193" i="10"/>
  <c r="AP8" i="10"/>
  <c r="AP212" i="10"/>
  <c r="AP38" i="10"/>
  <c r="AP219" i="10"/>
  <c r="AP57" i="10"/>
  <c r="AP185" i="10"/>
  <c r="AP187" i="10"/>
  <c r="AP145" i="10"/>
  <c r="AP161" i="10"/>
  <c r="AP211" i="10"/>
  <c r="AP228" i="10"/>
  <c r="AP202" i="10"/>
  <c r="AP90" i="10"/>
  <c r="AP7" i="10"/>
  <c r="AP15" i="10"/>
  <c r="AP42" i="10"/>
  <c r="AP54" i="10"/>
  <c r="AP114" i="10"/>
  <c r="AP134" i="10"/>
  <c r="AP146" i="10"/>
  <c r="AP153" i="10"/>
  <c r="AP177" i="10"/>
  <c r="AP210" i="10"/>
  <c r="AP22" i="10"/>
  <c r="AP62" i="10"/>
  <c r="AP124" i="10"/>
  <c r="AP156" i="10"/>
  <c r="AP170" i="10"/>
  <c r="AP197" i="10"/>
  <c r="AP168" i="10"/>
  <c r="AP6" i="10"/>
  <c r="AP14" i="10"/>
  <c r="AP31" i="10"/>
  <c r="AP63" i="10"/>
  <c r="AP82" i="10"/>
  <c r="AP176" i="10"/>
  <c r="AP196" i="10"/>
  <c r="AP225" i="10"/>
  <c r="AP47" i="10"/>
  <c r="AP78" i="10"/>
  <c r="AP106" i="10"/>
  <c r="AP111" i="10"/>
  <c r="AP143" i="10"/>
  <c r="AP217" i="10"/>
  <c r="AP186" i="10"/>
  <c r="AP50" i="10"/>
  <c r="AP65" i="10"/>
  <c r="AP45" i="10"/>
  <c r="AP28" i="10"/>
  <c r="AP34" i="10"/>
  <c r="AP66" i="10"/>
  <c r="AP192" i="10"/>
  <c r="AP41" i="10"/>
  <c r="AP56" i="10"/>
  <c r="AP80" i="10"/>
  <c r="AP85" i="10"/>
  <c r="AP104" i="10"/>
  <c r="AP112" i="10"/>
  <c r="AP119" i="10"/>
  <c r="AP141" i="10"/>
  <c r="AP144" i="10"/>
  <c r="AP178" i="10"/>
  <c r="AP37" i="10"/>
  <c r="AP40" i="10"/>
  <c r="AP49" i="10"/>
  <c r="AP69" i="10"/>
  <c r="AP72" i="10"/>
  <c r="AP77" i="10"/>
  <c r="AP109" i="10"/>
  <c r="AP122" i="10"/>
  <c r="AP130" i="10"/>
  <c r="AP139" i="10"/>
  <c r="AP154" i="10"/>
  <c r="AP169" i="10"/>
  <c r="AP6" i="11"/>
  <c r="AP9" i="11"/>
  <c r="AP7" i="11"/>
  <c r="AP39" i="11"/>
  <c r="AP8" i="11"/>
  <c r="AP12" i="11"/>
  <c r="AP32" i="11"/>
  <c r="AP16" i="11"/>
  <c r="AP18" i="11"/>
  <c r="AP13" i="11"/>
  <c r="AP14" i="11"/>
  <c r="AP45" i="11"/>
  <c r="AP46" i="11"/>
  <c r="AP69" i="11"/>
  <c r="AP70" i="11"/>
  <c r="AP73" i="11"/>
  <c r="AP54" i="11"/>
  <c r="AP62" i="11"/>
  <c r="AP65" i="11"/>
  <c r="AP100" i="11"/>
  <c r="AP37" i="11"/>
  <c r="AP38" i="11"/>
  <c r="AP91" i="11"/>
  <c r="AP106" i="11"/>
  <c r="AP119" i="11"/>
  <c r="AP125" i="11"/>
  <c r="AP145" i="11"/>
  <c r="AP153" i="11"/>
  <c r="AP102" i="11"/>
  <c r="AP127" i="11"/>
  <c r="AP29" i="11"/>
  <c r="AP30" i="11"/>
  <c r="AP82" i="11"/>
  <c r="AP94" i="11"/>
  <c r="AP99" i="11"/>
  <c r="AP113" i="11"/>
  <c r="AP138" i="11"/>
  <c r="AP74" i="11"/>
  <c r="AP80" i="11"/>
  <c r="AP104" i="11"/>
  <c r="AP109" i="11"/>
  <c r="AP115" i="11"/>
  <c r="AP129" i="11"/>
  <c r="AP123" i="11"/>
  <c r="AP21" i="11"/>
  <c r="AP22" i="11"/>
  <c r="AP48" i="11"/>
  <c r="AP66" i="11"/>
  <c r="AP72" i="11"/>
  <c r="AP85" i="11"/>
  <c r="AP86" i="11"/>
  <c r="AP93" i="11"/>
  <c r="AP98" i="11"/>
  <c r="AP101" i="11"/>
  <c r="AP56" i="11"/>
  <c r="AP58" i="11"/>
  <c r="AP64" i="11"/>
  <c r="AP77" i="11"/>
  <c r="AP78" i="11"/>
  <c r="AP81" i="11"/>
  <c r="AP97" i="11"/>
  <c r="AP126" i="11"/>
  <c r="AP118" i="11"/>
  <c r="AP133" i="11"/>
  <c r="AP146" i="11"/>
  <c r="AP139" i="11"/>
  <c r="AP142" i="11"/>
  <c r="AP156" i="11"/>
  <c r="AP159" i="11"/>
  <c r="AP107" i="11"/>
  <c r="AP170" i="11"/>
  <c r="AP174" i="11"/>
  <c r="AP87" i="11"/>
  <c r="AP112" i="11"/>
  <c r="AP162" i="11"/>
  <c r="AP166" i="11"/>
  <c r="AP175" i="11"/>
  <c r="AP181" i="11"/>
  <c r="AP189" i="11"/>
  <c r="AP197" i="11"/>
  <c r="AP205" i="11"/>
  <c r="AP213" i="11"/>
  <c r="AP221" i="11"/>
  <c r="AP228" i="11"/>
  <c r="AP95" i="11"/>
  <c r="AP122" i="11"/>
  <c r="AP143" i="11"/>
  <c r="AP219" i="11"/>
  <c r="AP227" i="11"/>
  <c r="AP231" i="11"/>
  <c r="AP103" i="11"/>
  <c r="AP131" i="11"/>
  <c r="AP134" i="11"/>
  <c r="AP147" i="11"/>
  <c r="AP150" i="11"/>
  <c r="AP165" i="11"/>
  <c r="AP172" i="11"/>
  <c r="AP232" i="11"/>
  <c r="AP114" i="11"/>
  <c r="AP160" i="11"/>
  <c r="AP163" i="11"/>
  <c r="AP183" i="11"/>
  <c r="AP191" i="11"/>
  <c r="AP199" i="11"/>
  <c r="AP207" i="11"/>
  <c r="AP215" i="11"/>
  <c r="AP110" i="11"/>
  <c r="AP158" i="11"/>
  <c r="AP176" i="11"/>
  <c r="AP184" i="11"/>
  <c r="AP192" i="11"/>
  <c r="AP200" i="11"/>
  <c r="AP208" i="11"/>
  <c r="AP216" i="11"/>
  <c r="AP224" i="11"/>
  <c r="AP230" i="11"/>
  <c r="AP117" i="11"/>
  <c r="AP135" i="11"/>
  <c r="AP151" i="11"/>
  <c r="AP168" i="11"/>
  <c r="AP10" i="10"/>
  <c r="AP18" i="10"/>
  <c r="AP9" i="10"/>
  <c r="AP17" i="10"/>
  <c r="AP24" i="10"/>
  <c r="AP74" i="10"/>
  <c r="AP25" i="10"/>
  <c r="AP39" i="10"/>
  <c r="AP13" i="10"/>
  <c r="AP21" i="10"/>
  <c r="AP86" i="10"/>
  <c r="AP23" i="10"/>
  <c r="AP58" i="10"/>
  <c r="AP26" i="10"/>
  <c r="AP46" i="10"/>
  <c r="AP53" i="10"/>
  <c r="AP55" i="10"/>
  <c r="AP81" i="10"/>
  <c r="AP11" i="10"/>
  <c r="AP19" i="10"/>
  <c r="AP32" i="10"/>
  <c r="AP64" i="10"/>
  <c r="AP73" i="10"/>
  <c r="AP93" i="10"/>
  <c r="AP71" i="10"/>
  <c r="AP88" i="10"/>
  <c r="AP99" i="10"/>
  <c r="AP120" i="10"/>
  <c r="AP129" i="10"/>
  <c r="AP152" i="10"/>
  <c r="AP162" i="10"/>
  <c r="AP35" i="10"/>
  <c r="AP36" i="10"/>
  <c r="AP67" i="10"/>
  <c r="AP68" i="10"/>
  <c r="AP94" i="10"/>
  <c r="AP27" i="10"/>
  <c r="AP59" i="10"/>
  <c r="AP60" i="10"/>
  <c r="AP83" i="10"/>
  <c r="AP84" i="10"/>
  <c r="AP97" i="10"/>
  <c r="AP125" i="10"/>
  <c r="AP140" i="10"/>
  <c r="AP157" i="10"/>
  <c r="AP87" i="10"/>
  <c r="AP102" i="10"/>
  <c r="AP151" i="10"/>
  <c r="AP165" i="10"/>
  <c r="AP200" i="10"/>
  <c r="AP51" i="10"/>
  <c r="AP52" i="10"/>
  <c r="AP98" i="10"/>
  <c r="AP166" i="10"/>
  <c r="AP75" i="10"/>
  <c r="AP76" i="10"/>
  <c r="AP100" i="10"/>
  <c r="AP103" i="10"/>
  <c r="AP96" i="10"/>
  <c r="AP127" i="10"/>
  <c r="AP136" i="10"/>
  <c r="AP138" i="10"/>
  <c r="AP43" i="10"/>
  <c r="AP44" i="10"/>
  <c r="AP79" i="10"/>
  <c r="AP91" i="10"/>
  <c r="AP92" i="10"/>
  <c r="AP95" i="10"/>
  <c r="AP121" i="10"/>
  <c r="AP126" i="10"/>
  <c r="AP133" i="10"/>
  <c r="AP137" i="10"/>
  <c r="AP158" i="10"/>
  <c r="AP108" i="10"/>
  <c r="AP128" i="10"/>
  <c r="AP135" i="10"/>
  <c r="AP160" i="10"/>
  <c r="AP163" i="10"/>
  <c r="AP164" i="10"/>
  <c r="AP179" i="10"/>
  <c r="AP180" i="10"/>
  <c r="AP191" i="10"/>
  <c r="AP208" i="10"/>
  <c r="AP220" i="10"/>
  <c r="AP229" i="10"/>
  <c r="AP131" i="10"/>
  <c r="AP132" i="10"/>
  <c r="AP167" i="10"/>
  <c r="AP189" i="10"/>
  <c r="AP194" i="10"/>
  <c r="AP198" i="10"/>
  <c r="AP216" i="10"/>
  <c r="AP174" i="10"/>
  <c r="AP199" i="10"/>
  <c r="AP224" i="10"/>
  <c r="AP123" i="10"/>
  <c r="AP155" i="10"/>
  <c r="AP175" i="10"/>
  <c r="AP206" i="10"/>
  <c r="AP232" i="10"/>
  <c r="AP159" i="10"/>
  <c r="AP207" i="10"/>
  <c r="AP214" i="10"/>
  <c r="AP105" i="10"/>
  <c r="AP115" i="10"/>
  <c r="AP116" i="10"/>
  <c r="AP147" i="10"/>
  <c r="AP148" i="10"/>
  <c r="AP171" i="10"/>
  <c r="AP172" i="10"/>
  <c r="AP182" i="10"/>
  <c r="AP205" i="10"/>
  <c r="AP215" i="10"/>
  <c r="AP218" i="10"/>
  <c r="AP222" i="10"/>
  <c r="AP183" i="10"/>
  <c r="AP203" i="10"/>
  <c r="AP204" i="10"/>
  <c r="AP213" i="10"/>
  <c r="AP223" i="10"/>
  <c r="AP226" i="10"/>
  <c r="AP230" i="10"/>
  <c r="AP83" i="9"/>
  <c r="AP90" i="9"/>
  <c r="AP81" i="9"/>
  <c r="AP88" i="9"/>
  <c r="AP72" i="9"/>
  <c r="AP42" i="9"/>
  <c r="AP85" i="9"/>
  <c r="AP91" i="9"/>
  <c r="AP205" i="9"/>
  <c r="AP66" i="9"/>
  <c r="AP34" i="9"/>
  <c r="AP10" i="9"/>
  <c r="AP58" i="9"/>
  <c r="AP68" i="9"/>
  <c r="AP87" i="9"/>
  <c r="AP187" i="9"/>
  <c r="AP227" i="9"/>
  <c r="AP9" i="9"/>
  <c r="AP186" i="9"/>
  <c r="AP195" i="9"/>
  <c r="AP229" i="9"/>
  <c r="AP25" i="9"/>
  <c r="AP141" i="9"/>
  <c r="AP8" i="9"/>
  <c r="AP32" i="9"/>
  <c r="AP40" i="9"/>
  <c r="AP48" i="9"/>
  <c r="AP103" i="9"/>
  <c r="AP124" i="9"/>
  <c r="AP159" i="9"/>
  <c r="AP17" i="9"/>
  <c r="AP16" i="9"/>
  <c r="AP24" i="9"/>
  <c r="AP105" i="9"/>
  <c r="AP107" i="9"/>
  <c r="AP114" i="9"/>
  <c r="AP130" i="9"/>
  <c r="AP133" i="9"/>
  <c r="AP154" i="9"/>
  <c r="AP193" i="9"/>
  <c r="AP218" i="9"/>
  <c r="AP226" i="9"/>
  <c r="AP111" i="9"/>
  <c r="AP132" i="9"/>
  <c r="AP146" i="9"/>
  <c r="AP177" i="9"/>
  <c r="AP210" i="9"/>
  <c r="AP7" i="9"/>
  <c r="AP23" i="9"/>
  <c r="AP47" i="9"/>
  <c r="AP116" i="9"/>
  <c r="AP138" i="9"/>
  <c r="AP185" i="9"/>
  <c r="AP225" i="9"/>
  <c r="AP15" i="9"/>
  <c r="AP31" i="9"/>
  <c r="AP39" i="9"/>
  <c r="AP98" i="9"/>
  <c r="AP101" i="9"/>
  <c r="AP153" i="9"/>
  <c r="AP202" i="9"/>
  <c r="AP100" i="9"/>
  <c r="AP106" i="9"/>
  <c r="AP121" i="9"/>
  <c r="AP135" i="9"/>
  <c r="AP145" i="9"/>
  <c r="AP148" i="9"/>
  <c r="AP172" i="9"/>
  <c r="AP180" i="9"/>
  <c r="AP194" i="9"/>
  <c r="AP208" i="9"/>
  <c r="AP217" i="9"/>
  <c r="AP33" i="9"/>
  <c r="AP41" i="9"/>
  <c r="AP49" i="9"/>
  <c r="AP57" i="9"/>
  <c r="AP65" i="9"/>
  <c r="AP77" i="9"/>
  <c r="AP69" i="9"/>
  <c r="AP84" i="9"/>
  <c r="AP108" i="9"/>
  <c r="AP123" i="9"/>
  <c r="AP129" i="9"/>
  <c r="AP137" i="9"/>
  <c r="AP149" i="9"/>
  <c r="AP158" i="9"/>
  <c r="AP164" i="9"/>
  <c r="AP169" i="9"/>
  <c r="AP174" i="9"/>
  <c r="AP209" i="9"/>
  <c r="AP12" i="9"/>
  <c r="AP20" i="9"/>
  <c r="AP28" i="9"/>
  <c r="AP36" i="9"/>
  <c r="AP44" i="9"/>
  <c r="AP52" i="9"/>
  <c r="AP56" i="9"/>
  <c r="AP60" i="9"/>
  <c r="AP64" i="9"/>
  <c r="AP78" i="9"/>
  <c r="AP75" i="9"/>
  <c r="AP76" i="9"/>
  <c r="AP71" i="9"/>
  <c r="AP82" i="9"/>
  <c r="AP86" i="9"/>
  <c r="AP92" i="9"/>
  <c r="AP96" i="9"/>
  <c r="AP99" i="9"/>
  <c r="AP11" i="9"/>
  <c r="AP19" i="9"/>
  <c r="AP27" i="9"/>
  <c r="AP35" i="9"/>
  <c r="AP43" i="9"/>
  <c r="AP51" i="9"/>
  <c r="AP59" i="9"/>
  <c r="AP115" i="9"/>
  <c r="AP55" i="9"/>
  <c r="AP63" i="9"/>
  <c r="AP74" i="9"/>
  <c r="AP73" i="9"/>
  <c r="AP70" i="9"/>
  <c r="AP95" i="9"/>
  <c r="AP127" i="9"/>
  <c r="AP109" i="9"/>
  <c r="AP113" i="9"/>
  <c r="AP131" i="9"/>
  <c r="AP13" i="9"/>
  <c r="AP21" i="9"/>
  <c r="AP29" i="9"/>
  <c r="AP37" i="9"/>
  <c r="AP45" i="9"/>
  <c r="AP53" i="9"/>
  <c r="AP61" i="9"/>
  <c r="AP89" i="9"/>
  <c r="AP80" i="9"/>
  <c r="AP79" i="9"/>
  <c r="AP93" i="9"/>
  <c r="AP97" i="9"/>
  <c r="AP117" i="9"/>
  <c r="AP140" i="9"/>
  <c r="AP126" i="9"/>
  <c r="AP128" i="9"/>
  <c r="AP157" i="9"/>
  <c r="AP166" i="9"/>
  <c r="AP203" i="9"/>
  <c r="AP211" i="9"/>
  <c r="AP216" i="9"/>
  <c r="AP224" i="9"/>
  <c r="AP228" i="9"/>
  <c r="AP142" i="9"/>
  <c r="AP150" i="9"/>
  <c r="AP165" i="9"/>
  <c r="AP199" i="9"/>
  <c r="AP118" i="9"/>
  <c r="AP120" i="9"/>
  <c r="AP160" i="9"/>
  <c r="AP167" i="9"/>
  <c r="AP173" i="9"/>
  <c r="AP182" i="9"/>
  <c r="AP188" i="9"/>
  <c r="AP196" i="9"/>
  <c r="AP215" i="9"/>
  <c r="AP223" i="9"/>
  <c r="AP231" i="9"/>
  <c r="AP139" i="9"/>
  <c r="AP147" i="9"/>
  <c r="AP155" i="9"/>
  <c r="AP168" i="9"/>
  <c r="AP175" i="9"/>
  <c r="AP181" i="9"/>
  <c r="AP190" i="9"/>
  <c r="AP198" i="9"/>
  <c r="AP204" i="9"/>
  <c r="AP212" i="9"/>
  <c r="AP232" i="9"/>
  <c r="AP110" i="9"/>
  <c r="AP112" i="9"/>
  <c r="AP143" i="9"/>
  <c r="AP151" i="9"/>
  <c r="AP163" i="9"/>
  <c r="AP176" i="9"/>
  <c r="AP183" i="9"/>
  <c r="AP189" i="9"/>
  <c r="AP197" i="9"/>
  <c r="AP206" i="9"/>
  <c r="AP214" i="9"/>
  <c r="AP220" i="9"/>
  <c r="AP222" i="9"/>
  <c r="AP171" i="9"/>
  <c r="AP191" i="9"/>
  <c r="AP213" i="9"/>
  <c r="AP230" i="9"/>
  <c r="AP102" i="9"/>
  <c r="AP104" i="9"/>
  <c r="AP134" i="9"/>
  <c r="AP136" i="9"/>
  <c r="AP144" i="9"/>
  <c r="AP152" i="9"/>
  <c r="AP156" i="9"/>
  <c r="AP179" i="9"/>
  <c r="AP192" i="9"/>
  <c r="AP207" i="9"/>
  <c r="AP221" i="9"/>
  <c r="AP84" i="8"/>
  <c r="AP92" i="8"/>
  <c r="AP39" i="8"/>
  <c r="AP52" i="8"/>
  <c r="AP93" i="8"/>
  <c r="AP112" i="8"/>
  <c r="AP132" i="8"/>
  <c r="AP76" i="8"/>
  <c r="AP119" i="8"/>
  <c r="AP230" i="8"/>
  <c r="AP49" i="8"/>
  <c r="AP111" i="8"/>
  <c r="AP41" i="8"/>
  <c r="AP58" i="8"/>
  <c r="AP10" i="8"/>
  <c r="AP71" i="8"/>
  <c r="AP99" i="8"/>
  <c r="AP104" i="8"/>
  <c r="AP139" i="8"/>
  <c r="AP48" i="8"/>
  <c r="AP217" i="8"/>
  <c r="AP120" i="8"/>
  <c r="AP38" i="8"/>
  <c r="AP26" i="8"/>
  <c r="AP136" i="8"/>
  <c r="AP25" i="8"/>
  <c r="AP50" i="8"/>
  <c r="AP53" i="8"/>
  <c r="AP107" i="8"/>
  <c r="AP34" i="8"/>
  <c r="AP40" i="8"/>
  <c r="AP64" i="8"/>
  <c r="AP70" i="8"/>
  <c r="AP73" i="8"/>
  <c r="AP78" i="8"/>
  <c r="AP81" i="8"/>
  <c r="AP86" i="8"/>
  <c r="AP89" i="8"/>
  <c r="AP101" i="8"/>
  <c r="AP116" i="8"/>
  <c r="AP124" i="8"/>
  <c r="AP128" i="8"/>
  <c r="AP171" i="8"/>
  <c r="AP227" i="8"/>
  <c r="AP14" i="8"/>
  <c r="AP16" i="8"/>
  <c r="AP18" i="8"/>
  <c r="AP32" i="8"/>
  <c r="AP46" i="8"/>
  <c r="AP106" i="8"/>
  <c r="AP140" i="8"/>
  <c r="AP144" i="8"/>
  <c r="AP163" i="8"/>
  <c r="AP24" i="8"/>
  <c r="AP62" i="8"/>
  <c r="AP47" i="8"/>
  <c r="AP110" i="8"/>
  <c r="AP152" i="8"/>
  <c r="AP155" i="8"/>
  <c r="AP209" i="8"/>
  <c r="AP219" i="8"/>
  <c r="AP61" i="8"/>
  <c r="AP95" i="8"/>
  <c r="AP22" i="8"/>
  <c r="AP67" i="8"/>
  <c r="AP80" i="8"/>
  <c r="AP88" i="8"/>
  <c r="AP100" i="8"/>
  <c r="AP103" i="8"/>
  <c r="AP109" i="8"/>
  <c r="AP115" i="8"/>
  <c r="AP118" i="8"/>
  <c r="AP123" i="8"/>
  <c r="AP126" i="8"/>
  <c r="AP131" i="8"/>
  <c r="AP147" i="8"/>
  <c r="AP150" i="8"/>
  <c r="AP211" i="8"/>
  <c r="AP179" i="8"/>
  <c r="AP56" i="8"/>
  <c r="AP7" i="8"/>
  <c r="AP43" i="8"/>
  <c r="AP203" i="8"/>
  <c r="AP9" i="8"/>
  <c r="AP33" i="8"/>
  <c r="AP102" i="8"/>
  <c r="AP108" i="8"/>
  <c r="AP195" i="8"/>
  <c r="AP8" i="8"/>
  <c r="AP133" i="8"/>
  <c r="AP149" i="8"/>
  <c r="AP187" i="8"/>
  <c r="AP35" i="8"/>
  <c r="AP27" i="8"/>
  <c r="AP12" i="8"/>
  <c r="AP11" i="8"/>
  <c r="AP30" i="8"/>
  <c r="AP31" i="8"/>
  <c r="AP6" i="8"/>
  <c r="AP15" i="8"/>
  <c r="AP17" i="8"/>
  <c r="AP19" i="8"/>
  <c r="AP23" i="8"/>
  <c r="AP42" i="8"/>
  <c r="AP55" i="8"/>
  <c r="AP36" i="8"/>
  <c r="AP37" i="8"/>
  <c r="AP54" i="8"/>
  <c r="AP63" i="8"/>
  <c r="AP45" i="8"/>
  <c r="AP79" i="8"/>
  <c r="AP87" i="8"/>
  <c r="AP96" i="8"/>
  <c r="AP51" i="8"/>
  <c r="AP60" i="8"/>
  <c r="AP72" i="8"/>
  <c r="AP74" i="8"/>
  <c r="AP82" i="8"/>
  <c r="AP90" i="8"/>
  <c r="AP98" i="8"/>
  <c r="AP13" i="8"/>
  <c r="AP28" i="8"/>
  <c r="AP29" i="8"/>
  <c r="AP44" i="8"/>
  <c r="AP65" i="8"/>
  <c r="AP94" i="8"/>
  <c r="AP20" i="8"/>
  <c r="AP21" i="8"/>
  <c r="AP66" i="8"/>
  <c r="AP57" i="8"/>
  <c r="AP69" i="8"/>
  <c r="AP75" i="8"/>
  <c r="AP83" i="8"/>
  <c r="AP91" i="8"/>
  <c r="AP117" i="8"/>
  <c r="AP125" i="8"/>
  <c r="AP127" i="8"/>
  <c r="AP59" i="8"/>
  <c r="AP68" i="8"/>
  <c r="AP77" i="8"/>
  <c r="AP85" i="8"/>
  <c r="AP114" i="8"/>
  <c r="AP122" i="8"/>
  <c r="AP129" i="8"/>
  <c r="AP130" i="8"/>
  <c r="AP138" i="8"/>
  <c r="AP143" i="8"/>
  <c r="AP153" i="8"/>
  <c r="AP161" i="8"/>
  <c r="AP169" i="8"/>
  <c r="AP177" i="8"/>
  <c r="AP185" i="8"/>
  <c r="AP193" i="8"/>
  <c r="AP201" i="8"/>
  <c r="AP229" i="8"/>
  <c r="AP137" i="8"/>
  <c r="AP113" i="8"/>
  <c r="AP135" i="8"/>
  <c r="AP148" i="8"/>
  <c r="AP158" i="8"/>
  <c r="AP166" i="8"/>
  <c r="AP174" i="8"/>
  <c r="AP182" i="8"/>
  <c r="AP190" i="8"/>
  <c r="AP198" i="8"/>
  <c r="AP206" i="8"/>
  <c r="AP214" i="8"/>
  <c r="AP222" i="8"/>
  <c r="AP228" i="8"/>
  <c r="AP151" i="8"/>
  <c r="AP156" i="8"/>
  <c r="AP164" i="8"/>
  <c r="AP172" i="8"/>
  <c r="AP180" i="8"/>
  <c r="AP188" i="8"/>
  <c r="AP196" i="8"/>
  <c r="AP204" i="8"/>
  <c r="AP212" i="8"/>
  <c r="AP220" i="8"/>
  <c r="AP223" i="8"/>
  <c r="AP231" i="8"/>
  <c r="AP97" i="8"/>
  <c r="AP159" i="8"/>
  <c r="AP167" i="8"/>
  <c r="AP175" i="8"/>
  <c r="AP183" i="8"/>
  <c r="AP191" i="8"/>
  <c r="AP199" i="8"/>
  <c r="AP207" i="8"/>
  <c r="AP215" i="8"/>
  <c r="AP232" i="8"/>
  <c r="AP121" i="8"/>
  <c r="AP142" i="8"/>
  <c r="AP157" i="8"/>
  <c r="AP165" i="8"/>
  <c r="AP173" i="8"/>
  <c r="AP181" i="8"/>
  <c r="AP189" i="8"/>
  <c r="AP197" i="8"/>
  <c r="AP205" i="8"/>
  <c r="AP213" i="8"/>
  <c r="AP221" i="8"/>
  <c r="AP224" i="8"/>
  <c r="AP146" i="8"/>
  <c r="AP160" i="8"/>
  <c r="AP168" i="8"/>
  <c r="AP176" i="8"/>
  <c r="AP184" i="8"/>
  <c r="AP192" i="8"/>
  <c r="AP200" i="8"/>
  <c r="AP208" i="8"/>
  <c r="AP216" i="8"/>
  <c r="AP226" i="8"/>
  <c r="AP105" i="8"/>
  <c r="AP134" i="8"/>
  <c r="AP141" i="8"/>
  <c r="AP145" i="8"/>
  <c r="AP154" i="8"/>
  <c r="AP162" i="8"/>
  <c r="AP170" i="8"/>
  <c r="AP178" i="8"/>
  <c r="AP186" i="8"/>
  <c r="AP194" i="8"/>
  <c r="AP202" i="8"/>
  <c r="AP210" i="8"/>
  <c r="AP218" i="8"/>
  <c r="AP225" i="8"/>
  <c r="AP190" i="1"/>
  <c r="AP20" i="7"/>
  <c r="AP195" i="7"/>
  <c r="AP18" i="6"/>
  <c r="AP90" i="6"/>
  <c r="AP180" i="6"/>
  <c r="AP17" i="7"/>
  <c r="AP101" i="7"/>
  <c r="AP221" i="7"/>
  <c r="AP38" i="7"/>
  <c r="AP25" i="7"/>
  <c r="AP49" i="7"/>
  <c r="AP73" i="7"/>
  <c r="AP121" i="7"/>
  <c r="AP152" i="7"/>
  <c r="AP213" i="7"/>
  <c r="AP180" i="7"/>
  <c r="AP93" i="7"/>
  <c r="AP125" i="7"/>
  <c r="AP85" i="7"/>
  <c r="AP205" i="7"/>
  <c r="AP164" i="7"/>
  <c r="AP188" i="7"/>
  <c r="AP171" i="7"/>
  <c r="AP181" i="7"/>
  <c r="AP9" i="7"/>
  <c r="AP26" i="7"/>
  <c r="AP197" i="7"/>
  <c r="AP18" i="7"/>
  <c r="AP155" i="7"/>
  <c r="AP173" i="7"/>
  <c r="AP184" i="7"/>
  <c r="AP135" i="7"/>
  <c r="AP204" i="7"/>
  <c r="AP127" i="7"/>
  <c r="AP147" i="7"/>
  <c r="AP194" i="7"/>
  <c r="AP219" i="7"/>
  <c r="AP228" i="7"/>
  <c r="AP23" i="7"/>
  <c r="AP94" i="7"/>
  <c r="AP144" i="7"/>
  <c r="AP149" i="7"/>
  <c r="AP160" i="7"/>
  <c r="AP168" i="7"/>
  <c r="AP192" i="7"/>
  <c r="AP211" i="7"/>
  <c r="AP45" i="7"/>
  <c r="AP64" i="7"/>
  <c r="AP52" i="7"/>
  <c r="AP60" i="7"/>
  <c r="AP68" i="7"/>
  <c r="AP139" i="7"/>
  <c r="AP148" i="7"/>
  <c r="AP163" i="7"/>
  <c r="AP203" i="7"/>
  <c r="AP63" i="7"/>
  <c r="AP87" i="7"/>
  <c r="AP99" i="7"/>
  <c r="AP115" i="7"/>
  <c r="AP131" i="7"/>
  <c r="AP134" i="7"/>
  <c r="AP150" i="7"/>
  <c r="AP157" i="7"/>
  <c r="AP179" i="7"/>
  <c r="AP69" i="7"/>
  <c r="AP19" i="7"/>
  <c r="AP28" i="7"/>
  <c r="AP120" i="7"/>
  <c r="AP129" i="7"/>
  <c r="AP176" i="7"/>
  <c r="AP42" i="7"/>
  <c r="AP39" i="7"/>
  <c r="AP71" i="7"/>
  <c r="AP79" i="7"/>
  <c r="AP21" i="7"/>
  <c r="AP33" i="7"/>
  <c r="AP62" i="7"/>
  <c r="AP66" i="7"/>
  <c r="AP70" i="7"/>
  <c r="AP128" i="7"/>
  <c r="AP83" i="7"/>
  <c r="AP102" i="7"/>
  <c r="AP109" i="7"/>
  <c r="AP182" i="7"/>
  <c r="AP227" i="7"/>
  <c r="AP31" i="7"/>
  <c r="AP36" i="7"/>
  <c r="AP53" i="7"/>
  <c r="AP61" i="7"/>
  <c r="AP77" i="7"/>
  <c r="AP187" i="7"/>
  <c r="AP13" i="7"/>
  <c r="AP7" i="7"/>
  <c r="AP12" i="7"/>
  <c r="AP15" i="7"/>
  <c r="AP11" i="7"/>
  <c r="AP8" i="7"/>
  <c r="AP35" i="7"/>
  <c r="AP47" i="7"/>
  <c r="AP48" i="7"/>
  <c r="AP57" i="7"/>
  <c r="AP67" i="7"/>
  <c r="AP74" i="7"/>
  <c r="AP110" i="7"/>
  <c r="AP22" i="7"/>
  <c r="AP44" i="7"/>
  <c r="AP55" i="7"/>
  <c r="AP56" i="7"/>
  <c r="AP65" i="7"/>
  <c r="AP75" i="7"/>
  <c r="AP78" i="7"/>
  <c r="AP82" i="7"/>
  <c r="AP91" i="7"/>
  <c r="AP107" i="7"/>
  <c r="AP112" i="7"/>
  <c r="AP126" i="7"/>
  <c r="AP10" i="7"/>
  <c r="AP72" i="7"/>
  <c r="AP81" i="7"/>
  <c r="AP98" i="7"/>
  <c r="AP104" i="7"/>
  <c r="AP6" i="7"/>
  <c r="AP29" i="7"/>
  <c r="AP41" i="7"/>
  <c r="AP43" i="7"/>
  <c r="AP80" i="7"/>
  <c r="AP89" i="7"/>
  <c r="AP103" i="7"/>
  <c r="AP113" i="7"/>
  <c r="AP30" i="7"/>
  <c r="AP37" i="7"/>
  <c r="AP32" i="7"/>
  <c r="AP40" i="7"/>
  <c r="AP46" i="7"/>
  <c r="AP50" i="7"/>
  <c r="AP76" i="7"/>
  <c r="AP90" i="7"/>
  <c r="AP97" i="7"/>
  <c r="AP100" i="7"/>
  <c r="AP105" i="7"/>
  <c r="AP117" i="7"/>
  <c r="AP136" i="7"/>
  <c r="AP14" i="7"/>
  <c r="AP24" i="7"/>
  <c r="AP27" i="7"/>
  <c r="AP34" i="7"/>
  <c r="AP51" i="7"/>
  <c r="AP54" i="7"/>
  <c r="AP58" i="7"/>
  <c r="AP84" i="7"/>
  <c r="AP88" i="7"/>
  <c r="AP92" i="7"/>
  <c r="AP95" i="7"/>
  <c r="AP96" i="7"/>
  <c r="AP118" i="7"/>
  <c r="AP16" i="7"/>
  <c r="AP59" i="7"/>
  <c r="AP86" i="7"/>
  <c r="AP111" i="7"/>
  <c r="AP119" i="7"/>
  <c r="AP123" i="7"/>
  <c r="AP114" i="7"/>
  <c r="AP116" i="7"/>
  <c r="AP146" i="7"/>
  <c r="AP151" i="7"/>
  <c r="AP153" i="7"/>
  <c r="AP156" i="7"/>
  <c r="AP178" i="7"/>
  <c r="AP183" i="7"/>
  <c r="AP185" i="7"/>
  <c r="AP190" i="7"/>
  <c r="AP196" i="7"/>
  <c r="AP212" i="7"/>
  <c r="AP220" i="7"/>
  <c r="AP225" i="7"/>
  <c r="AP137" i="7"/>
  <c r="AP158" i="7"/>
  <c r="AP165" i="7"/>
  <c r="AP191" i="7"/>
  <c r="AP193" i="7"/>
  <c r="AP198" i="7"/>
  <c r="AP201" i="7"/>
  <c r="AP206" i="7"/>
  <c r="AP209" i="7"/>
  <c r="AP214" i="7"/>
  <c r="AP217" i="7"/>
  <c r="AP222" i="7"/>
  <c r="AP106" i="7"/>
  <c r="AP108" i="7"/>
  <c r="AP154" i="7"/>
  <c r="AP159" i="7"/>
  <c r="AP161" i="7"/>
  <c r="AP186" i="7"/>
  <c r="AP199" i="7"/>
  <c r="AP207" i="7"/>
  <c r="AP215" i="7"/>
  <c r="AP223" i="7"/>
  <c r="AP226" i="7"/>
  <c r="AP231" i="7"/>
  <c r="AP133" i="7"/>
  <c r="AP141" i="7"/>
  <c r="AP166" i="7"/>
  <c r="AP202" i="7"/>
  <c r="AP210" i="7"/>
  <c r="AP218" i="7"/>
  <c r="AP224" i="7"/>
  <c r="AP232" i="7"/>
  <c r="AP130" i="7"/>
  <c r="AP132" i="7"/>
  <c r="AP138" i="7"/>
  <c r="AP140" i="7"/>
  <c r="AP162" i="7"/>
  <c r="AP167" i="7"/>
  <c r="AP169" i="7"/>
  <c r="AP172" i="7"/>
  <c r="AP200" i="7"/>
  <c r="AP208" i="7"/>
  <c r="AP216" i="7"/>
  <c r="AP230" i="7"/>
  <c r="AP142" i="7"/>
  <c r="AP174" i="7"/>
  <c r="AP122" i="7"/>
  <c r="AP124" i="7"/>
  <c r="AP143" i="7"/>
  <c r="AP145" i="7"/>
  <c r="AP170" i="7"/>
  <c r="AP175" i="7"/>
  <c r="AP177" i="7"/>
  <c r="AP189" i="7"/>
  <c r="AP229" i="7"/>
  <c r="AP52" i="6"/>
  <c r="AP54" i="6"/>
  <c r="AP13" i="6"/>
  <c r="AP117" i="6"/>
  <c r="AP168" i="6"/>
  <c r="AP42" i="6"/>
  <c r="AP178" i="6"/>
  <c r="AP83" i="6"/>
  <c r="AP124" i="6"/>
  <c r="AP161" i="6"/>
  <c r="AP132" i="6"/>
  <c r="AP170" i="6"/>
  <c r="AP187" i="6"/>
  <c r="AP205" i="6"/>
  <c r="AP226" i="6"/>
  <c r="AP14" i="6"/>
  <c r="AP82" i="6"/>
  <c r="AP186" i="6"/>
  <c r="AP22" i="6"/>
  <c r="AP93" i="6"/>
  <c r="AP140" i="6"/>
  <c r="AP189" i="6"/>
  <c r="AP81" i="6"/>
  <c r="AP41" i="6"/>
  <c r="AP160" i="6"/>
  <c r="AP176" i="6"/>
  <c r="AP31" i="6"/>
  <c r="AP55" i="6"/>
  <c r="AP200" i="6"/>
  <c r="AP171" i="6"/>
  <c r="AP218" i="6"/>
  <c r="AP16" i="6"/>
  <c r="AP146" i="6"/>
  <c r="AP209" i="6"/>
  <c r="AP43" i="6"/>
  <c r="AP147" i="6"/>
  <c r="AP153" i="6"/>
  <c r="AP33" i="6"/>
  <c r="AP229" i="6"/>
  <c r="AP129" i="6"/>
  <c r="AP133" i="6"/>
  <c r="AP137" i="6"/>
  <c r="AP184" i="6"/>
  <c r="AP169" i="6"/>
  <c r="AP7" i="6"/>
  <c r="AP40" i="6"/>
  <c r="AP51" i="6"/>
  <c r="AP60" i="6"/>
  <c r="AP68" i="6"/>
  <c r="AP77" i="6"/>
  <c r="AP20" i="6"/>
  <c r="AP28" i="6"/>
  <c r="AP36" i="6"/>
  <c r="AP57" i="6"/>
  <c r="AP72" i="6"/>
  <c r="AP107" i="6"/>
  <c r="AP109" i="6"/>
  <c r="AP111" i="6"/>
  <c r="AP145" i="6"/>
  <c r="AP214" i="6"/>
  <c r="AP225" i="6"/>
  <c r="AP10" i="6"/>
  <c r="AP59" i="6"/>
  <c r="AP65" i="6"/>
  <c r="AP113" i="6"/>
  <c r="AP128" i="6"/>
  <c r="AP156" i="6"/>
  <c r="AP164" i="6"/>
  <c r="AP194" i="6"/>
  <c r="AP195" i="6"/>
  <c r="AP19" i="6"/>
  <c r="AP25" i="6"/>
  <c r="AP80" i="6"/>
  <c r="AP152" i="6"/>
  <c r="AP193" i="6"/>
  <c r="AP217" i="6"/>
  <c r="AP27" i="6"/>
  <c r="AP32" i="6"/>
  <c r="AP17" i="6"/>
  <c r="AP71" i="6"/>
  <c r="AP183" i="6"/>
  <c r="AP185" i="6"/>
  <c r="AP26" i="6"/>
  <c r="AP39" i="6"/>
  <c r="AP50" i="6"/>
  <c r="AP56" i="6"/>
  <c r="AP24" i="6"/>
  <c r="AP47" i="6"/>
  <c r="AP69" i="6"/>
  <c r="AP23" i="6"/>
  <c r="AP49" i="6"/>
  <c r="AP108" i="6"/>
  <c r="AP112" i="6"/>
  <c r="AP175" i="6"/>
  <c r="AP67" i="6"/>
  <c r="AP78" i="6"/>
  <c r="AP105" i="6"/>
  <c r="AP121" i="6"/>
  <c r="AP144" i="6"/>
  <c r="AP159" i="6"/>
  <c r="AP167" i="6"/>
  <c r="AP177" i="6"/>
  <c r="AP199" i="6"/>
  <c r="AP201" i="6"/>
  <c r="AP12" i="6"/>
  <c r="AP15" i="6"/>
  <c r="AP21" i="6"/>
  <c r="AP44" i="6"/>
  <c r="AP48" i="6"/>
  <c r="AP58" i="6"/>
  <c r="AP11" i="6"/>
  <c r="AP8" i="6"/>
  <c r="AP34" i="6"/>
  <c r="AP35" i="6"/>
  <c r="AP95" i="6"/>
  <c r="AP100" i="6"/>
  <c r="AP102" i="6"/>
  <c r="AP120" i="6"/>
  <c r="AP125" i="6"/>
  <c r="AP9" i="6"/>
  <c r="AP45" i="6"/>
  <c r="AP46" i="6"/>
  <c r="AP62" i="6"/>
  <c r="AP89" i="6"/>
  <c r="AP92" i="6"/>
  <c r="AP103" i="6"/>
  <c r="AP76" i="6"/>
  <c r="AP87" i="6"/>
  <c r="AP88" i="6"/>
  <c r="AP136" i="6"/>
  <c r="AP37" i="6"/>
  <c r="AP38" i="6"/>
  <c r="AP70" i="6"/>
  <c r="AP6" i="6"/>
  <c r="AP53" i="6"/>
  <c r="AP63" i="6"/>
  <c r="AP64" i="6"/>
  <c r="AP75" i="6"/>
  <c r="AP85" i="6"/>
  <c r="AP91" i="6"/>
  <c r="AP99" i="6"/>
  <c r="AP101" i="6"/>
  <c r="AP29" i="6"/>
  <c r="AP30" i="6"/>
  <c r="AP61" i="6"/>
  <c r="AP73" i="6"/>
  <c r="AP79" i="6"/>
  <c r="AP84" i="6"/>
  <c r="AP97" i="6"/>
  <c r="AP116" i="6"/>
  <c r="AP96" i="6"/>
  <c r="AP104" i="6"/>
  <c r="AP148" i="6"/>
  <c r="AP110" i="6"/>
  <c r="AP130" i="6"/>
  <c r="AP131" i="6"/>
  <c r="AP135" i="6"/>
  <c r="AP141" i="6"/>
  <c r="AP143" i="6"/>
  <c r="AP173" i="6"/>
  <c r="AP181" i="6"/>
  <c r="AP206" i="6"/>
  <c r="AP221" i="6"/>
  <c r="AP157" i="6"/>
  <c r="AP165" i="6"/>
  <c r="AP188" i="6"/>
  <c r="AP192" i="6"/>
  <c r="AP213" i="6"/>
  <c r="AP228" i="6"/>
  <c r="AP138" i="6"/>
  <c r="AP139" i="6"/>
  <c r="AP172" i="6"/>
  <c r="AP198" i="6"/>
  <c r="AP220" i="6"/>
  <c r="AP227" i="6"/>
  <c r="AP231" i="6"/>
  <c r="AP98" i="6"/>
  <c r="AP126" i="6"/>
  <c r="AP150" i="6"/>
  <c r="AP179" i="6"/>
  <c r="AP212" i="6"/>
  <c r="AP219" i="6"/>
  <c r="AP223" i="6"/>
  <c r="AP232" i="6"/>
  <c r="AP66" i="6"/>
  <c r="AP86" i="6"/>
  <c r="AP106" i="6"/>
  <c r="AP119" i="6"/>
  <c r="AP154" i="6"/>
  <c r="AP155" i="6"/>
  <c r="AP162" i="6"/>
  <c r="AP163" i="6"/>
  <c r="AP190" i="6"/>
  <c r="AP197" i="6"/>
  <c r="AP204" i="6"/>
  <c r="AP210" i="6"/>
  <c r="AP211" i="6"/>
  <c r="AP215" i="6"/>
  <c r="AP224" i="6"/>
  <c r="AP114" i="6"/>
  <c r="AP115" i="6"/>
  <c r="AP134" i="6"/>
  <c r="AP149" i="6"/>
  <c r="AP151" i="6"/>
  <c r="AP191" i="6"/>
  <c r="AP202" i="6"/>
  <c r="AP203" i="6"/>
  <c r="AP207" i="6"/>
  <c r="AP216" i="6"/>
  <c r="AP230" i="6"/>
  <c r="AP74" i="6"/>
  <c r="AP94" i="6"/>
  <c r="AP118" i="6"/>
  <c r="AP122" i="6"/>
  <c r="AP123" i="6"/>
  <c r="AP127" i="6"/>
  <c r="AP142" i="6"/>
  <c r="AP158" i="6"/>
  <c r="AP166" i="6"/>
  <c r="AP174" i="6"/>
  <c r="AP182" i="6"/>
  <c r="AP196" i="6"/>
  <c r="AP208" i="6"/>
  <c r="AP222" i="6"/>
  <c r="AO156" i="5"/>
  <c r="AO97" i="5"/>
  <c r="AO112" i="5"/>
  <c r="AO14" i="5"/>
  <c r="AO184" i="5"/>
  <c r="AO10" i="5"/>
  <c r="AO81" i="5"/>
  <c r="AO178" i="5"/>
  <c r="AO130" i="5"/>
  <c r="AO209" i="5"/>
  <c r="AO193" i="5"/>
  <c r="AO107" i="5"/>
  <c r="AO91" i="5"/>
  <c r="AO210" i="5"/>
  <c r="AO39" i="5"/>
  <c r="AO42" i="5"/>
  <c r="AO74" i="5"/>
  <c r="AO15" i="5"/>
  <c r="AO232" i="5"/>
  <c r="AO125" i="5"/>
  <c r="AO199" i="5"/>
  <c r="AO54" i="5"/>
  <c r="AO131" i="5"/>
  <c r="AO63" i="5"/>
  <c r="AO72" i="5"/>
  <c r="AO198" i="5"/>
  <c r="AO137" i="5"/>
  <c r="AO148" i="5"/>
  <c r="AO94" i="5"/>
  <c r="AO208" i="5"/>
  <c r="AO32" i="5"/>
  <c r="AO68" i="5"/>
  <c r="AO9" i="5"/>
  <c r="AO22" i="5"/>
  <c r="AO167" i="5"/>
  <c r="AO33" i="5"/>
  <c r="AO189" i="5"/>
  <c r="AO186" i="5"/>
  <c r="AO99" i="5"/>
  <c r="AO35" i="5"/>
  <c r="AO83" i="5"/>
  <c r="AO139" i="5"/>
  <c r="AO169" i="5"/>
  <c r="AO165" i="5"/>
  <c r="AO222" i="5"/>
  <c r="AO183" i="5"/>
  <c r="AO28" i="5"/>
  <c r="AO45" i="5"/>
  <c r="AO155" i="5"/>
  <c r="AO40" i="5"/>
  <c r="AO51" i="5"/>
  <c r="AO27" i="5"/>
  <c r="AO111" i="5"/>
  <c r="AO150" i="5"/>
  <c r="AO77" i="5"/>
  <c r="AO20" i="5"/>
  <c r="AO95" i="5"/>
  <c r="AO104" i="5"/>
  <c r="AO172" i="5"/>
  <c r="AO144" i="5"/>
  <c r="AO145" i="5"/>
  <c r="AO50" i="5"/>
  <c r="AO29" i="5"/>
  <c r="AO61" i="5"/>
  <c r="AO215" i="5"/>
  <c r="AO26" i="5"/>
  <c r="AO188" i="5"/>
  <c r="AO179" i="5"/>
  <c r="AO21" i="5"/>
  <c r="AO214" i="5"/>
  <c r="AO195" i="5"/>
  <c r="AO103" i="5"/>
  <c r="AO225" i="5"/>
  <c r="AO177" i="5"/>
  <c r="AO113" i="5"/>
  <c r="AO140" i="5"/>
  <c r="AO194" i="5"/>
  <c r="AO49" i="5"/>
  <c r="AO129" i="5"/>
  <c r="AO120" i="5"/>
  <c r="AO171" i="5"/>
  <c r="AO203" i="5"/>
  <c r="AO204" i="5"/>
  <c r="AO197" i="5"/>
  <c r="AO114" i="5"/>
  <c r="AO53" i="5"/>
  <c r="AO126" i="5"/>
  <c r="AO159" i="5"/>
  <c r="AO37" i="5"/>
  <c r="AO218" i="5"/>
  <c r="AO57" i="5"/>
  <c r="AO100" i="5"/>
  <c r="AO101" i="5"/>
  <c r="AO151" i="5"/>
  <c r="AO202" i="5"/>
  <c r="AO154" i="5"/>
  <c r="AO17" i="5"/>
  <c r="AO23" i="5"/>
  <c r="AO149" i="5"/>
  <c r="AO160" i="5"/>
  <c r="AO212" i="5"/>
  <c r="AO13" i="5"/>
  <c r="AO117" i="5"/>
  <c r="AO227" i="5"/>
  <c r="AO164" i="5"/>
  <c r="AO152" i="5"/>
  <c r="AO70" i="5"/>
  <c r="AO109" i="5"/>
  <c r="AO217" i="5"/>
  <c r="AO206" i="5"/>
  <c r="AO93" i="5"/>
  <c r="AO226" i="5"/>
  <c r="AO12" i="5"/>
  <c r="AO142" i="5"/>
  <c r="AO76" i="5"/>
  <c r="AO220" i="5"/>
  <c r="AO121" i="5"/>
  <c r="AO30" i="5"/>
  <c r="AO221" i="5"/>
  <c r="AO162" i="5"/>
  <c r="AO230" i="5"/>
  <c r="AO44" i="5"/>
  <c r="AO48" i="5"/>
  <c r="AO82" i="5"/>
  <c r="AO92" i="5"/>
  <c r="AO141" i="5"/>
  <c r="AO108" i="5"/>
  <c r="AO207" i="5"/>
  <c r="AO69" i="5"/>
  <c r="AO170" i="5"/>
  <c r="AO110" i="5"/>
  <c r="AO190" i="5"/>
  <c r="AO18" i="5"/>
  <c r="AO119" i="5"/>
  <c r="AO38" i="5"/>
  <c r="AO196" i="5"/>
  <c r="AO96" i="5"/>
  <c r="AO89" i="5"/>
  <c r="AO25" i="5"/>
  <c r="AO98" i="5"/>
  <c r="AO59" i="5"/>
  <c r="AO200" i="5"/>
  <c r="AO161" i="5"/>
  <c r="AO180" i="5"/>
  <c r="AO8" i="5"/>
  <c r="AO16" i="5"/>
  <c r="AO86" i="5"/>
  <c r="AO24" i="5"/>
  <c r="AO133" i="5"/>
  <c r="AO123" i="5"/>
  <c r="AO46" i="5"/>
  <c r="AO216" i="5"/>
  <c r="AO173" i="5"/>
  <c r="AO146" i="5"/>
  <c r="AO163" i="5"/>
  <c r="AO158" i="5"/>
  <c r="AO75" i="5"/>
  <c r="AO118" i="5"/>
  <c r="AO153" i="5"/>
  <c r="AO166" i="5"/>
  <c r="AO78" i="5"/>
  <c r="AO175" i="5"/>
  <c r="AO79" i="5"/>
  <c r="AO136" i="5"/>
  <c r="AO64" i="5"/>
  <c r="AO73" i="5"/>
  <c r="AO41" i="5"/>
  <c r="AO229" i="5"/>
  <c r="AO122" i="5"/>
  <c r="AO11" i="5"/>
  <c r="AO219" i="5"/>
  <c r="AO182" i="5"/>
  <c r="AO174" i="5"/>
  <c r="AO181" i="5"/>
  <c r="AO102" i="5"/>
  <c r="AO135" i="5"/>
  <c r="AO228" i="5"/>
  <c r="AO116" i="5"/>
  <c r="AO80" i="5"/>
  <c r="AO128" i="5"/>
  <c r="AO7" i="5"/>
  <c r="AO132" i="5"/>
  <c r="AO36" i="5"/>
  <c r="AO185" i="5"/>
  <c r="AO157" i="5"/>
  <c r="AO19" i="5"/>
  <c r="AO31" i="5"/>
  <c r="AO52" i="5"/>
  <c r="AO6" i="5"/>
  <c r="AO67" i="5"/>
  <c r="AO201" i="5"/>
  <c r="AO176" i="5"/>
  <c r="AO231" i="5"/>
  <c r="AO88" i="5"/>
  <c r="AO124" i="5"/>
  <c r="AO58" i="5"/>
  <c r="AO191" i="5"/>
  <c r="AO34" i="5"/>
  <c r="AO66" i="5"/>
  <c r="AO85" i="5"/>
  <c r="AO211" i="5"/>
  <c r="AO65" i="5"/>
  <c r="AO115" i="5"/>
  <c r="AO60" i="5"/>
  <c r="AO147" i="5"/>
  <c r="AO90" i="5"/>
  <c r="AO47" i="5"/>
  <c r="AO71" i="5"/>
  <c r="AO87" i="5"/>
  <c r="AO134" i="5"/>
  <c r="AO62" i="5"/>
  <c r="AO213" i="5"/>
  <c r="AO105" i="5"/>
  <c r="AO143" i="5"/>
  <c r="AO187" i="5"/>
  <c r="AO43" i="5"/>
  <c r="AO55" i="5"/>
  <c r="AO56" i="5"/>
  <c r="AO138" i="5"/>
  <c r="AO106" i="5"/>
</calcChain>
</file>

<file path=xl/sharedStrings.xml><?xml version="1.0" encoding="utf-8"?>
<sst xmlns="http://schemas.openxmlformats.org/spreadsheetml/2006/main" count="76824" uniqueCount="254">
  <si>
    <r>
      <rPr>
        <sz val="11"/>
        <color theme="1"/>
        <rFont val="Calibri"/>
        <family val="2"/>
      </rPr>
      <t xml:space="preserve">EVALUACIÓN DIAGNÓSTICA
INSTITUCIÓN EDUCATIVA: </t>
    </r>
    <r>
      <rPr>
        <b/>
        <sz val="11"/>
        <color theme="1"/>
        <rFont val="Calibri"/>
        <family val="2"/>
      </rPr>
      <t xml:space="preserve">40079 "Víctor Núñez Valencia"
</t>
    </r>
    <r>
      <rPr>
        <sz val="11"/>
        <color theme="1"/>
        <rFont val="Calibri"/>
        <family val="2"/>
      </rPr>
      <t xml:space="preserve">DISTRITO   </t>
    </r>
    <r>
      <rPr>
        <b/>
        <sz val="11"/>
        <color theme="1"/>
        <rFont val="Calibri"/>
        <family val="2"/>
      </rPr>
      <t xml:space="preserve">SACHACA  </t>
    </r>
    <r>
      <rPr>
        <sz val="11"/>
        <color theme="1"/>
        <rFont val="Calibri"/>
        <family val="2"/>
      </rPr>
      <t xml:space="preserve"> </t>
    </r>
  </si>
  <si>
    <t>Nivel de logro de las competencias</t>
  </si>
  <si>
    <t xml:space="preserve">MATEMÁTICA
</t>
  </si>
  <si>
    <t xml:space="preserve">COMUNICACIÓN
</t>
  </si>
  <si>
    <t>CIENCIA Y
 TECNOLOGÍA</t>
  </si>
  <si>
    <t>CIENCIAS
 SOCIALES</t>
  </si>
  <si>
    <t>DPCC</t>
  </si>
  <si>
    <t>EPT</t>
  </si>
  <si>
    <t>EDUCACIÓN
 FÍSICA</t>
  </si>
  <si>
    <t>ARTE Y
 CULTURA</t>
  </si>
  <si>
    <t>INGLES</t>
  </si>
  <si>
    <t>EDUCACIÓN 
RELIGIOSA</t>
  </si>
  <si>
    <t>APELLIDOS Y NOMBRES DEL ESTUDIANTE</t>
  </si>
  <si>
    <t>GRADO</t>
  </si>
  <si>
    <t>SECCION</t>
  </si>
  <si>
    <t>C1</t>
  </si>
  <si>
    <t>C2</t>
  </si>
  <si>
    <t>C3</t>
  </si>
  <si>
    <t>C4</t>
  </si>
  <si>
    <t>ALEJO LUPINTA, DIANA ABIGAIL</t>
  </si>
  <si>
    <t>A</t>
  </si>
  <si>
    <t>B</t>
  </si>
  <si>
    <t>ARCONDO HUAMAN, ISAAC RONALDINHO</t>
  </si>
  <si>
    <t>C</t>
  </si>
  <si>
    <t>BALSA MAMANI, JHOSUE SAJAAT</t>
  </si>
  <si>
    <t>CALANCHO MAMANI, RIZIERI BEAUTY</t>
  </si>
  <si>
    <t>CHAMPE TACO, JUMY JAHAIRA</t>
  </si>
  <si>
    <t>CUTI SENCIA, AIXA AYSEL</t>
  </si>
  <si>
    <t>HUACARPUMA SULCA, BRITNEY ESTEFANY</t>
  </si>
  <si>
    <t>MAMANI CHALLCO, LENIN ANDRÉ</t>
  </si>
  <si>
    <t>MANTILLA MAYTA, BELINDA MAJU</t>
  </si>
  <si>
    <t>MOROCCO CCALLO, YOSELIN RUTH</t>
  </si>
  <si>
    <t>NINA CHUMBES, ARIANA NIKOL</t>
  </si>
  <si>
    <t>OCHOA MAMANI, ARELÍ BETSAYDA</t>
  </si>
  <si>
    <t>PAPEL HANCCO, JHOSIMAR JHOJAN</t>
  </si>
  <si>
    <t>PIZARRO CHARCA, FABRICIO NICOLAS</t>
  </si>
  <si>
    <t>QUISPE YANA, TANIA ROSMERI</t>
  </si>
  <si>
    <t>SANDILLA PUMACALLAHUI, KRISTEL NAYSA</t>
  </si>
  <si>
    <t>VALLEJO APAZA, LUIS FERNANDO</t>
  </si>
  <si>
    <t>AD</t>
  </si>
  <si>
    <t>VARGAS CHAMBI, FRANK DAYIRO</t>
  </si>
  <si>
    <t>ALMORA CHIRE, CAMILA CLARETH</t>
  </si>
  <si>
    <t>AROTAIPE HUAIROCCACYA, BRITANI RUTH</t>
  </si>
  <si>
    <t>CASQUINO MOLLO, JUAN DIEGO</t>
  </si>
  <si>
    <t>CCALLA MAMANI, HARRINSON PAUL</t>
  </si>
  <si>
    <t>CHANCOLLA SUCARI, JHON DREIK LIAM</t>
  </si>
  <si>
    <t>CRUZ CALLASACA, MISHELL BRYANA</t>
  </si>
  <si>
    <t>FLORES SUMERINDE, ANTHONNY CHRISTYAN</t>
  </si>
  <si>
    <t>GALARZA QUISPE, LUZ YENNY</t>
  </si>
  <si>
    <t>HUARANCCA CONDORI, ALEXIS YOSUE</t>
  </si>
  <si>
    <t>LLERENA QUISPE, THIAGO ALESSANDRO</t>
  </si>
  <si>
    <t>MAMANI ARIAS, GABRIEL JESUS</t>
  </si>
  <si>
    <t>MAMANI MENDOZA, BENYAMIN KEN</t>
  </si>
  <si>
    <t>MEDINA BEGAZO, GERHARD YOSHIRO</t>
  </si>
  <si>
    <t>MOLLO GONZALES, ESTHER JAZMÌN</t>
  </si>
  <si>
    <t>EXO</t>
  </si>
  <si>
    <t>OCORURO FERNANDEZ, ROSENDO ADRIAN</t>
  </si>
  <si>
    <t>PACHA VILCA, VALENTINO RICARDO</t>
  </si>
  <si>
    <t>PERALTA QUISPE, MELANIA YIDDÁ</t>
  </si>
  <si>
    <t>PUCHO ALARCON, THIAGO JOSUE</t>
  </si>
  <si>
    <t>QUISPE QUISPE, CORINA DIANA</t>
  </si>
  <si>
    <t>ROJO ATACO, JESUS</t>
  </si>
  <si>
    <t>ARISMENDI CUBA, GEANLUCA FABIAN</t>
  </si>
  <si>
    <t>BARRIGA BLEQUE, ANDRI DE JESUS</t>
  </si>
  <si>
    <t>CABRERA SOTO, SAMUEL</t>
  </si>
  <si>
    <t>CACERES JUAREZ, JHONNY IVAN</t>
  </si>
  <si>
    <t>CALSIN MAMANI, CINDY ROMINA</t>
  </si>
  <si>
    <t>CCALLE CARDENAS, MARIANA DINA NIEVES</t>
  </si>
  <si>
    <t>CHIPANA VILLANUEVA, CHRISTOFER FAVIAN</t>
  </si>
  <si>
    <t>EDUARDO CARNERO, ARIANNA ALEJANDRA</t>
  </si>
  <si>
    <t>GOMEZ HUAMANI, DANY GOEL</t>
  </si>
  <si>
    <t>HUAMANI CHILO, AMILCAR ALEKEY</t>
  </si>
  <si>
    <t>MAMANI QUISPE, JESUS JOSUE ANDRE</t>
  </si>
  <si>
    <t>MANTILLA HUISA, JOSUE DAVID</t>
  </si>
  <si>
    <t>OCHOA MAMANI, MARCO ANTONIO</t>
  </si>
  <si>
    <t>PAUCAR HANAMPA, RONY GABRIEL</t>
  </si>
  <si>
    <t>PUCHO ANCCORI, SHADY JIUNSU</t>
  </si>
  <si>
    <t>QUISPE SUPO, DAYIRO SEBASTIAN</t>
  </si>
  <si>
    <t>RAMOS MAMANI, ANALIA</t>
  </si>
  <si>
    <t>TARIFA JULI, JESUS WILLIAN</t>
  </si>
  <si>
    <t>VARGAS PAREDES, MILAGROS DEL CARMEN</t>
  </si>
  <si>
    <t>VERA MAMANI, FATIMA MIRIELLE</t>
  </si>
  <si>
    <t>VILCA CAHUINA, FREDY MARLOM</t>
  </si>
  <si>
    <t>VILLANUEVA CHAVEZ, SAUL HERNAN</t>
  </si>
  <si>
    <t>VILLEGAS OLLACHICA, ADRIANA JULIET ESTHEFANIE</t>
  </si>
  <si>
    <t>YUCRA MENDOZA, YADIRA KAROL</t>
  </si>
  <si>
    <t>ARI CCASANI, NADIRA ROUSE</t>
  </si>
  <si>
    <t>CALZADILLA TABEROA, JESUS ALEJANDRO</t>
  </si>
  <si>
    <t>CALZADILLA TABEROA, KENDRA MARIELYS</t>
  </si>
  <si>
    <t>CAÑARI PUCHO, YEFERSON RUBEN</t>
  </si>
  <si>
    <t>CCOMPE BERRIOS, CANDY ESTHER</t>
  </si>
  <si>
    <t>CHINO CHOQUE, SHEYLA YENNIFER CELIA</t>
  </si>
  <si>
    <t>GOMEZ CHAVEZ, ALIZEE DARLA</t>
  </si>
  <si>
    <t>GUILLEN GONZALES, IZAMAR NAEDIA</t>
  </si>
  <si>
    <t>HANCCO TITO, GUSTAVO</t>
  </si>
  <si>
    <t>LLAIQUE SIVINCHA, BRIGITTE SAMINTH</t>
  </si>
  <si>
    <t>LLASA RODRIGUEZ, ROSA DEL ROCIO</t>
  </si>
  <si>
    <t>MACHACA CHAMBI, GISELA</t>
  </si>
  <si>
    <t>MAYTA APAZA, EDDU SAMUEL</t>
  </si>
  <si>
    <t>MENDOZA CUSIHUAMAN, CIELO RAQUEL</t>
  </si>
  <si>
    <t>MUÑOZ ARQQUE, ANDERSON DEL PIERO</t>
  </si>
  <si>
    <t>PAPEL HANCCO, JAIRO EDY</t>
  </si>
  <si>
    <t>PEREZ LARICO, CHRISTIAN GABRIEL</t>
  </si>
  <si>
    <t>QUECARA MACHACA, ABRAHAM</t>
  </si>
  <si>
    <t>SANCA HUANACO, CHRIS JHOS</t>
  </si>
  <si>
    <t>SOTO JACINTO, JOSE LUIS</t>
  </si>
  <si>
    <t>SUERO MUÑOZ, KARINA</t>
  </si>
  <si>
    <t>TORRES AYMA, JEFFERSON</t>
  </si>
  <si>
    <t>TORRES CHOCO, MANUEL TONI</t>
  </si>
  <si>
    <t>APFATA SALHUA, SUMNY SHARON</t>
  </si>
  <si>
    <t>CALCINA NUÑEZ, LUANA YAMILE</t>
  </si>
  <si>
    <t>CAÑARI PUCHO, MAYKOL LEONARDO</t>
  </si>
  <si>
    <t>CCAMA MAMANI, CRISTOPHER JOSUE</t>
  </si>
  <si>
    <t>CONDORI QUISPE, JHON MAXI</t>
  </si>
  <si>
    <t>ENDARA CHOQUE, HANZ FRANKLIN ABIHU</t>
  </si>
  <si>
    <t>FLORES CHUMBES, DANNY FRANK</t>
  </si>
  <si>
    <t>HANCCO PARI, ZAID DRENY</t>
  </si>
  <si>
    <t>HUACARPUMA LLAZA, MARY SAMIRA</t>
  </si>
  <si>
    <t>HUAHUASONCCO HUACHO, ANALY YURIDI ANA</t>
  </si>
  <si>
    <t>MACAHUACHI ASPAJO, ROMELIA PIERINA</t>
  </si>
  <si>
    <t>PACOMPIA VILCA, LEONEL EMERSON</t>
  </si>
  <si>
    <t>PUCHO ANCCORI, ADRIAN ERICK</t>
  </si>
  <si>
    <t>PUMA QUISPE, FLOR GOYA</t>
  </si>
  <si>
    <t>QUISPE GUTIERREZ, LIONEL OZIL</t>
  </si>
  <si>
    <t>RODRIGUEZ APAZA, NURIA LIZ</t>
  </si>
  <si>
    <t>SUAREZ CALLE, ELIZABETH ALEXANDRA</t>
  </si>
  <si>
    <t>TACO CHAVEZ, VICENTE ZHAID</t>
  </si>
  <si>
    <t>VARGAS PAREDES, ANDERSON GABRIEL</t>
  </si>
  <si>
    <t>AROTAIPE HUAIROCCACYA, YERITZA NOEMI</t>
  </si>
  <si>
    <t>CABRERA CCAMA, SANDY CAMILA</t>
  </si>
  <si>
    <t>CALSIN VILCA, LEONEL FRANCO</t>
  </si>
  <si>
    <t>CAÑAS BUENO, JASMELING DEL CARMEN</t>
  </si>
  <si>
    <t>CASTRO AROTAIPE, YOSENID NASHELY</t>
  </si>
  <si>
    <t>CCAÑAHUA MENDOZA, JAZMIN ESTHER</t>
  </si>
  <si>
    <t>CRUZ QUISPE, ALDAIR ADRIANO</t>
  </si>
  <si>
    <t>HANCCO PEREZ, DAMARYS LORENA</t>
  </si>
  <si>
    <t>HUAYHUA CHOQUEHUANCA, BRAYAN JOSSIMAR</t>
  </si>
  <si>
    <t>LIMACHE SANDILLA, LUIS ALFREDO</t>
  </si>
  <si>
    <t>MACHACA CHAVEZ, ALEJANDRO BRYAN</t>
  </si>
  <si>
    <t>MAMANI ALDIVAR, SERGIO SNAYDER</t>
  </si>
  <si>
    <t>MAMANI VILCA, RODERICK DAVID</t>
  </si>
  <si>
    <t>MENDOZA CONDORI, MARY LUZ</t>
  </si>
  <si>
    <t>QUIJAHUAMAN HUARICALLO, DAYRON CHRISTIAN</t>
  </si>
  <si>
    <t>QUISPE HUARACHA, FERNANDO JULIO</t>
  </si>
  <si>
    <t>QUISPE TORRES, YENIFER KATHERINE</t>
  </si>
  <si>
    <t>TORRES AYMA, LIZETH</t>
  </si>
  <si>
    <t>VALVERDE JACINTO, BRIGITHE NAYSHA</t>
  </si>
  <si>
    <t>VILCA COLQUE, MILAGROS GUADALUPE</t>
  </si>
  <si>
    <t>VILLANUEVA CHAVEZ, GUSTAVO ARTURO</t>
  </si>
  <si>
    <t>ANDIA PUMACALLAHUI, ANDRE STEBEN</t>
  </si>
  <si>
    <t>APAZA MERMA, SERGIO ANDRE</t>
  </si>
  <si>
    <t>APAZA SAMATA, NILDA</t>
  </si>
  <si>
    <t>CCALLE CARDENAS, KINA LUZ DIANA</t>
  </si>
  <si>
    <t>CENTENO SURI, DANIEL IMANOL</t>
  </si>
  <si>
    <t>COHARI NOÑONCCA, DANYELLEN CLARIVETH</t>
  </si>
  <si>
    <t>CRUZ ALARCON, MIRIAM JAEL</t>
  </si>
  <si>
    <t>CRUZ CALLASACA, ABIGAIL NATHALY</t>
  </si>
  <si>
    <t>GALARZA QUISPE, CRIS NATHALY</t>
  </si>
  <si>
    <t>GUILLEN SANCHEZ, MELANY GREIS</t>
  </si>
  <si>
    <t>LOPINTA HUAMANI, CLAUDIO YILMAR</t>
  </si>
  <si>
    <t>MOGROVEJO BOZA, JUAN DAVID</t>
  </si>
  <si>
    <t>PAUCAR ZAMORA, ANALY LUCERO</t>
  </si>
  <si>
    <t>QUISPE CCOLLA, YEYZON RONALDO</t>
  </si>
  <si>
    <t>QUISPE MOLINA, JESUS HILARION</t>
  </si>
  <si>
    <t>QUISPE QUISPE, ELIAN MILITON</t>
  </si>
  <si>
    <t>QUISPE YANA, YOBANA KARMIN</t>
  </si>
  <si>
    <t>SOTO JACINTO, JEFFERSON ANGEL</t>
  </si>
  <si>
    <t>SURI MAMANI, SERGIO ALEJANDRO</t>
  </si>
  <si>
    <t>TACO ROQUE, MARIA JOSE</t>
  </si>
  <si>
    <t>VARGAS VELAZCO, LUIS ENRIQUE</t>
  </si>
  <si>
    <t>VELARDE ARI, CRHISTIAN FERNANDO</t>
  </si>
  <si>
    <t>YAURIS GAMBOA, SHANDE LEONARDO</t>
  </si>
  <si>
    <t>ALEJO LUPINTA, DEISON FLEIDER</t>
  </si>
  <si>
    <t>ALMIRON HUANCA, EDDY DANTE</t>
  </si>
  <si>
    <t>ALMORA CHIRE, RENZO LEONARDO</t>
  </si>
  <si>
    <t>ANTON SILVA, CRISTHOFER LEONEL</t>
  </si>
  <si>
    <t>AVILA GUTIERREZ, KATHIA KEILYN</t>
  </si>
  <si>
    <t>AYMARA TORRES, HEYDI LUCIA</t>
  </si>
  <si>
    <t>CAHUANA PAUCAR, SHIOMARA ALEJANDRA</t>
  </si>
  <si>
    <t>CALSINA VALENCIA, LINDA DAMITA</t>
  </si>
  <si>
    <t>CAÑARI PUCHO, BREYCA FLOR</t>
  </si>
  <si>
    <t>CHAMBI ARACA, MELANY ANGELY</t>
  </si>
  <si>
    <t>CRUZ QUICO, LUCIO MIGUEL</t>
  </si>
  <si>
    <t>DE LA CRUZ ALVAREZ, ROSITA ALEJANDRA</t>
  </si>
  <si>
    <t>GALARZA MAMANI, MAURICIO RENATO</t>
  </si>
  <si>
    <t>GARCIA APAZA, LUZ ALEJANDRA</t>
  </si>
  <si>
    <t>GONZALES FLORES, JEAN POOL ALEXANDER</t>
  </si>
  <si>
    <t>LAURA MAYTA, LUIS ARMANDO</t>
  </si>
  <si>
    <t>MONTESINOS CRUZ, JHON JOHANY</t>
  </si>
  <si>
    <t>MUCHA RIOS, LIAM ENRIQUE</t>
  </si>
  <si>
    <t>OCHOCHOQUE APAZA, HARRY ANDERSON</t>
  </si>
  <si>
    <t>PALOMINO HUAYTA, ANAHI GLENDY</t>
  </si>
  <si>
    <t>PEQUEÑA DE LA CRUZ, MICHAEL ANTHONY</t>
  </si>
  <si>
    <t>QUISPE SENCIA, MAYERLY SOFIA</t>
  </si>
  <si>
    <t>QUISPE TURPO, DAMARIS XIOMARA</t>
  </si>
  <si>
    <t>SULLCA HUILLCA, CAREN MELISSA</t>
  </si>
  <si>
    <t>YUCRA QUISPE, CRISTINA GUADALUPE</t>
  </si>
  <si>
    <t>ALFARO PARISUAÑA, MADELEY XIOMARA</t>
  </si>
  <si>
    <t>ALVO SANDILLA, DAYANA ROSHELL</t>
  </si>
  <si>
    <t>ARQQUE RAMIREZ, KATY GIMENA</t>
  </si>
  <si>
    <t>BALSA MAMANI, JAHIR ANDRE</t>
  </si>
  <si>
    <t>CABRERA CCAMA, ARIANA ASDRID</t>
  </si>
  <si>
    <t>CALCINA NUÑEZ, GILMAR JAIR</t>
  </si>
  <si>
    <t>CALSIN VILCA, ANTONY FERNANDO</t>
  </si>
  <si>
    <t>CANRE CUTIMBO, SEBASTIAN EUGENIO</t>
  </si>
  <si>
    <t>CAÑARI CAÑARI, DINA ABIGAIL</t>
  </si>
  <si>
    <t>CCOMPI ANDRADE, MARIA ALEJANDRA</t>
  </si>
  <si>
    <t>CCORI PACCAYA, YENI</t>
  </si>
  <si>
    <t>CERPA VALDIVIA, CESAR FABRICIO</t>
  </si>
  <si>
    <t>CERPA VALDIVIA, GUADALUPE AYMAR</t>
  </si>
  <si>
    <t>CERPA VALDIVIA, KAROL MILAGROS</t>
  </si>
  <si>
    <t>CUBA JULI, JUDITH NICOL</t>
  </si>
  <si>
    <t>FERIA LAQUISE, DANIEL ABEL</t>
  </si>
  <si>
    <t>HANCCO QUISPE, JUAN RODRIGO</t>
  </si>
  <si>
    <t>HANCCOCCALLO QUISPE, ANTONI REYNALDO</t>
  </si>
  <si>
    <t>HUACALLE YUFRA, RAQUEL ESPERANZA</t>
  </si>
  <si>
    <t>JULI PACOMPIA, ROY VICTOR</t>
  </si>
  <si>
    <t>LEON CHULLO, ANGELA GUADALUPE</t>
  </si>
  <si>
    <t>MAMANI CARI, JAIMEX ANTONI</t>
  </si>
  <si>
    <t>MAMANI CHALLCO, GEOBANI ANDERSON</t>
  </si>
  <si>
    <t>MAMANI GORDILLO, DIEGO ARMANDO</t>
  </si>
  <si>
    <t>MAMANI HUAYHUA, SALOME ESTRELLA</t>
  </si>
  <si>
    <t>MENDEZ SIVINCHA, FERNANDO</t>
  </si>
  <si>
    <t>PAUCCARA CCORI, YANETH YESENIA</t>
  </si>
  <si>
    <t>TORRES AYMA, YENIFER</t>
  </si>
  <si>
    <t>CCOMPE BERRIOS, ALBERTO EUSEBIO</t>
  </si>
  <si>
    <t>CHANCUAÑA PARILLO, JEFFERSON DANIEL</t>
  </si>
  <si>
    <t>CRUZ QUISPE, JAIR SEBASTIAN</t>
  </si>
  <si>
    <t>GENOVEZ BERNO, ANA LUCIA</t>
  </si>
  <si>
    <t>GENOVEZ BERNO, DIEGO FRANCISCO</t>
  </si>
  <si>
    <t>HOLGUIN QUISPE, JOSEPH ALDAIR</t>
  </si>
  <si>
    <t>JULI AJROTA, LUCY MARIBEL</t>
  </si>
  <si>
    <t>LANCHIPA CASQUINA, ELIAS JEREMIAS</t>
  </si>
  <si>
    <t>LLERENA QUISPE, VICTOR GONZALO</t>
  </si>
  <si>
    <t>MAMANI MENDOZA, SAEL ISAAC</t>
  </si>
  <si>
    <t>MANTILLA ALA, JHOHANN ANDRE</t>
  </si>
  <si>
    <t>MEDINA BEGAZO, GADIEL KAZUKI</t>
  </si>
  <si>
    <t>MEDINA CHARCA, NIURKA</t>
  </si>
  <si>
    <t>MOLINA TORRE, GERALDINE JAZMIN</t>
  </si>
  <si>
    <t>MURILLO SANCHEZ, DIEGO JESUS</t>
  </si>
  <si>
    <t>PEÑA GUTIERREZ, YAHIR RIBAUL</t>
  </si>
  <si>
    <t>PINEDA CHAVEZ, PAOLO AHM JAE</t>
  </si>
  <si>
    <t>PUCHO HUAMAN, ALEX RAUL</t>
  </si>
  <si>
    <t>QUISPE TAIPE, CELESTE DAYAN</t>
  </si>
  <si>
    <t>ROA AROTAIPE, ANYELI DAYAN</t>
  </si>
  <si>
    <t>ROMERO ANDIA, LUCIANA BELEN</t>
  </si>
  <si>
    <t>SALAS PAREDES, ARIANA NIKOL</t>
  </si>
  <si>
    <t>SOTO JACINTO, MAIALEN LIZBETH</t>
  </si>
  <si>
    <t>VARGAS CHAMBI, YENIFER ESTEFANI</t>
  </si>
  <si>
    <t>VILLANUEVA CHAVEZ, MILAGROS FRANCHESCA</t>
  </si>
  <si>
    <t>ZARAVIA JARAMILLO, GRACE SAMARA</t>
  </si>
  <si>
    <t>Total</t>
  </si>
  <si>
    <t>RANKING I BIMESTRE</t>
  </si>
  <si>
    <r>
      <t xml:space="preserve">EVALUACIÓN DIAGNÓSTICA
INSTITUCIÓN EDUCATIVA: </t>
    </r>
    <r>
      <rPr>
        <b/>
        <sz val="9"/>
        <color theme="1"/>
        <rFont val="Calibri"/>
        <family val="2"/>
      </rPr>
      <t xml:space="preserve">40079 "Víctor Núñez Valencia"
</t>
    </r>
    <r>
      <rPr>
        <sz val="9"/>
        <color theme="1"/>
        <rFont val="Calibri"/>
        <family val="2"/>
      </rPr>
      <t xml:space="preserve">DISTRITO   </t>
    </r>
    <r>
      <rPr>
        <b/>
        <sz val="9"/>
        <color theme="1"/>
        <rFont val="Calibri"/>
        <family val="2"/>
      </rPr>
      <t xml:space="preserve">SACHACA  </t>
    </r>
    <r>
      <rPr>
        <sz val="9"/>
        <color theme="1"/>
        <rFont val="Calibri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</si>
</sst>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b/>
      <sz val="7"/>
      <color theme="1"/>
      <name val="Calibri"/>
      <family val="2"/>
    </font>
    <font>
      <b/>
      <sz val="8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1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B4B4B4"/>
      </patternFill>
    </fill>
    <fill>
      <patternFill patternType="solid">
        <fgColor theme="0"/>
        <bgColor rgb="FFFFFF00"/>
      </patternFill>
    </fill>
    <fill>
      <patternFill patternType="solid">
        <fgColor theme="5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3" fillId="0" borderId="0" applyBorder="0"/>
  </cellStyleXfs>
  <cellXfs count="89">
    <xf numFmtId="0" fontId="0" fillId="0" borderId="0" xfId="0"/>
    <xf numFmtId="0" fontId="4" fillId="0" borderId="1" xfId="0" applyFont="1" applyBorder="1" applyAlignment="1">
      <alignment horizontal="center" wrapText="1"/>
    </xf>
    <xf numFmtId="0" fontId="6" fillId="0" borderId="2" xfId="0" applyFont="1" applyBorder="1"/>
    <xf numFmtId="0" fontId="6" fillId="0" borderId="3" xfId="0" applyFont="1" applyBorder="1"/>
    <xf numFmtId="0" fontId="4" fillId="0" borderId="4" xfId="0" applyFont="1" applyBorder="1" applyAlignment="1">
      <alignment horizontal="center"/>
    </xf>
    <xf numFmtId="0" fontId="6" fillId="0" borderId="5" xfId="0" applyFont="1" applyBorder="1"/>
    <xf numFmtId="0" fontId="6" fillId="0" borderId="6" xfId="0" applyFont="1" applyBorder="1"/>
    <xf numFmtId="0" fontId="4" fillId="0" borderId="7" xfId="0" applyFont="1" applyBorder="1"/>
    <xf numFmtId="0" fontId="4" fillId="0" borderId="8" xfId="0" applyFont="1" applyBorder="1" applyAlignment="1">
      <alignment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5" fillId="0" borderId="7" xfId="0" applyFont="1" applyBorder="1"/>
    <xf numFmtId="0" fontId="8" fillId="0" borderId="7" xfId="0" applyFont="1" applyBorder="1" applyAlignment="1">
      <alignment wrapText="1"/>
    </xf>
    <xf numFmtId="0" fontId="9" fillId="0" borderId="8" xfId="0" applyFont="1" applyBorder="1" applyAlignment="1">
      <alignment horizontal="center" vertical="center" wrapText="1"/>
    </xf>
    <xf numFmtId="0" fontId="10" fillId="0" borderId="0" xfId="0" applyFont="1"/>
    <xf numFmtId="49" fontId="1" fillId="0" borderId="10" xfId="0" applyNumberFormat="1" applyFont="1" applyBorder="1" applyProtection="1">
      <protection locked="0"/>
    </xf>
    <xf numFmtId="49" fontId="0" fillId="0" borderId="10" xfId="0" applyNumberFormat="1" applyBorder="1" applyProtection="1">
      <protection locked="0"/>
    </xf>
    <xf numFmtId="0" fontId="4" fillId="0" borderId="10" xfId="0" applyFont="1" applyBorder="1"/>
    <xf numFmtId="49" fontId="0" fillId="0" borderId="9" xfId="0" applyNumberFormat="1" applyBorder="1" applyProtection="1">
      <protection locked="0"/>
    </xf>
    <xf numFmtId="49" fontId="0" fillId="0" borderId="11" xfId="0" applyNumberFormat="1" applyBorder="1" applyProtection="1">
      <protection locked="0"/>
    </xf>
    <xf numFmtId="0" fontId="4" fillId="0" borderId="11" xfId="0" applyFont="1" applyBorder="1"/>
    <xf numFmtId="49" fontId="0" fillId="0" borderId="12" xfId="0" applyNumberFormat="1" applyBorder="1" applyProtection="1">
      <protection locked="0"/>
    </xf>
    <xf numFmtId="49" fontId="0" fillId="0" borderId="13" xfId="0" applyNumberFormat="1" applyBorder="1" applyProtection="1">
      <protection locked="0"/>
    </xf>
    <xf numFmtId="0" fontId="4" fillId="0" borderId="13" xfId="0" applyFont="1" applyBorder="1"/>
    <xf numFmtId="0" fontId="0" fillId="0" borderId="14" xfId="0" applyBorder="1" applyProtection="1">
      <protection locked="0"/>
    </xf>
    <xf numFmtId="49" fontId="0" fillId="0" borderId="14" xfId="0" applyNumberFormat="1" applyBorder="1" applyProtection="1">
      <protection locked="0"/>
    </xf>
    <xf numFmtId="0" fontId="0" fillId="0" borderId="9" xfId="0" applyBorder="1" applyProtection="1">
      <protection locked="0"/>
    </xf>
    <xf numFmtId="49" fontId="0" fillId="0" borderId="10" xfId="0" applyNumberFormat="1" applyBorder="1" applyAlignment="1" applyProtection="1">
      <alignment horizontal="center" vertical="center"/>
      <protection locked="0"/>
    </xf>
    <xf numFmtId="0" fontId="0" fillId="0" borderId="12" xfId="0" applyBorder="1" applyProtection="1">
      <protection locked="0"/>
    </xf>
    <xf numFmtId="49" fontId="0" fillId="0" borderId="11" xfId="0" applyNumberFormat="1" applyBorder="1" applyAlignment="1" applyProtection="1">
      <alignment horizontal="center" vertical="center"/>
      <protection locked="0"/>
    </xf>
    <xf numFmtId="0" fontId="11" fillId="3" borderId="13" xfId="0" applyFont="1" applyFill="1" applyBorder="1" applyAlignment="1" applyProtection="1">
      <alignment horizontal="center"/>
      <protection locked="0"/>
    </xf>
    <xf numFmtId="0" fontId="0" fillId="3" borderId="13" xfId="0" applyFill="1" applyBorder="1" applyAlignment="1" applyProtection="1">
      <alignment horizontal="center"/>
      <protection locked="0"/>
    </xf>
    <xf numFmtId="49" fontId="0" fillId="0" borderId="13" xfId="0" applyNumberFormat="1" applyBorder="1" applyAlignment="1" applyProtection="1">
      <alignment horizontal="center" vertical="center"/>
      <protection locked="0"/>
    </xf>
    <xf numFmtId="0" fontId="11" fillId="3" borderId="10" xfId="0" applyFont="1" applyFill="1" applyBorder="1" applyAlignment="1" applyProtection="1">
      <alignment horizontal="center"/>
      <protection locked="0"/>
    </xf>
    <xf numFmtId="0" fontId="0" fillId="3" borderId="10" xfId="0" applyFill="1" applyBorder="1" applyAlignment="1" applyProtection="1">
      <alignment horizontal="center"/>
      <protection locked="0"/>
    </xf>
    <xf numFmtId="49" fontId="0" fillId="0" borderId="10" xfId="0" applyNumberFormat="1" applyBorder="1" applyAlignment="1" applyProtection="1">
      <alignment horizontal="center"/>
      <protection locked="0"/>
    </xf>
    <xf numFmtId="49" fontId="0" fillId="0" borderId="11" xfId="0" applyNumberFormat="1" applyBorder="1" applyAlignment="1" applyProtection="1">
      <alignment horizontal="center"/>
      <protection locked="0"/>
    </xf>
    <xf numFmtId="49" fontId="0" fillId="0" borderId="13" xfId="0" applyNumberFormat="1" applyBorder="1" applyAlignment="1" applyProtection="1">
      <alignment horizontal="center"/>
      <protection locked="0"/>
    </xf>
    <xf numFmtId="49" fontId="12" fillId="4" borderId="10" xfId="0" applyNumberFormat="1" applyFont="1" applyFill="1" applyBorder="1"/>
    <xf numFmtId="49" fontId="1" fillId="0" borderId="11" xfId="0" applyNumberFormat="1" applyFont="1" applyBorder="1" applyProtection="1">
      <protection locked="0"/>
    </xf>
    <xf numFmtId="49" fontId="13" fillId="0" borderId="14" xfId="2" applyNumberFormat="1" applyBorder="1" applyProtection="1">
      <protection locked="0"/>
    </xf>
    <xf numFmtId="49" fontId="13" fillId="0" borderId="9" xfId="2" applyNumberFormat="1" applyBorder="1" applyProtection="1">
      <protection locked="0"/>
    </xf>
    <xf numFmtId="49" fontId="12" fillId="4" borderId="10" xfId="0" applyNumberFormat="1" applyFont="1" applyFill="1" applyBorder="1" applyAlignment="1">
      <alignment horizontal="center"/>
    </xf>
    <xf numFmtId="49" fontId="13" fillId="0" borderId="12" xfId="2" applyNumberFormat="1" applyBorder="1" applyProtection="1">
      <protection locked="0"/>
    </xf>
    <xf numFmtId="49" fontId="1" fillId="0" borderId="10" xfId="0" applyNumberFormat="1" applyFont="1" applyBorder="1" applyAlignment="1" applyProtection="1">
      <alignment horizontal="center"/>
      <protection locked="0"/>
    </xf>
    <xf numFmtId="49" fontId="12" fillId="4" borderId="10" xfId="0" applyNumberFormat="1" applyFont="1" applyFill="1" applyBorder="1" applyAlignment="1">
      <alignment horizontal="center" vertical="center"/>
    </xf>
    <xf numFmtId="49" fontId="1" fillId="0" borderId="11" xfId="0" applyNumberFormat="1" applyFont="1" applyBorder="1" applyAlignment="1" applyProtection="1">
      <alignment horizontal="center"/>
      <protection locked="0"/>
    </xf>
    <xf numFmtId="0" fontId="6" fillId="3" borderId="10" xfId="0" applyFont="1" applyFill="1" applyBorder="1" applyAlignment="1" applyProtection="1">
      <alignment horizontal="center"/>
      <protection locked="0"/>
    </xf>
    <xf numFmtId="0" fontId="6" fillId="5" borderId="10" xfId="0" applyFont="1" applyFill="1" applyBorder="1" applyAlignment="1" applyProtection="1">
      <alignment horizontal="center"/>
      <protection locked="0"/>
    </xf>
    <xf numFmtId="0" fontId="6" fillId="3" borderId="11" xfId="0" applyFont="1" applyFill="1" applyBorder="1" applyAlignment="1" applyProtection="1">
      <alignment horizontal="center"/>
      <protection locked="0"/>
    </xf>
    <xf numFmtId="0" fontId="6" fillId="3" borderId="13" xfId="0" applyFont="1" applyFill="1" applyBorder="1" applyAlignment="1" applyProtection="1">
      <alignment horizontal="center"/>
      <protection locked="0"/>
    </xf>
    <xf numFmtId="49" fontId="2" fillId="2" borderId="10" xfId="1" applyNumberFormat="1" applyBorder="1" applyAlignment="1" applyProtection="1">
      <alignment horizontal="center"/>
      <protection locked="0"/>
    </xf>
    <xf numFmtId="0" fontId="4" fillId="0" borderId="0" xfId="0" applyFont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0" fillId="3" borderId="9" xfId="0" applyFill="1" applyBorder="1"/>
    <xf numFmtId="0" fontId="4" fillId="3" borderId="11" xfId="0" applyFont="1" applyFill="1" applyBorder="1" applyAlignment="1">
      <alignment horizontal="center" vertical="center"/>
    </xf>
    <xf numFmtId="0" fontId="0" fillId="3" borderId="12" xfId="0" applyFill="1" applyBorder="1"/>
    <xf numFmtId="0" fontId="4" fillId="3" borderId="13" xfId="0" applyFont="1" applyFill="1" applyBorder="1" applyAlignment="1">
      <alignment horizontal="center" vertical="center"/>
    </xf>
    <xf numFmtId="0" fontId="0" fillId="3" borderId="14" xfId="0" applyFill="1" applyBorder="1"/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6" borderId="0" xfId="0" applyFill="1"/>
    <xf numFmtId="0" fontId="3" fillId="6" borderId="9" xfId="0" applyFont="1" applyFill="1" applyBorder="1" applyAlignment="1">
      <alignment vertical="center"/>
    </xf>
    <xf numFmtId="0" fontId="3" fillId="0" borderId="9" xfId="0" applyFont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49" fontId="13" fillId="0" borderId="10" xfId="2" applyNumberFormat="1" applyBorder="1" applyProtection="1">
      <protection locked="0"/>
    </xf>
    <xf numFmtId="0" fontId="6" fillId="5" borderId="13" xfId="0" applyFont="1" applyFill="1" applyBorder="1" applyAlignment="1" applyProtection="1">
      <alignment horizontal="center"/>
      <protection locked="0"/>
    </xf>
    <xf numFmtId="0" fontId="0" fillId="3" borderId="10" xfId="0" applyFill="1" applyBorder="1"/>
    <xf numFmtId="0" fontId="0" fillId="0" borderId="10" xfId="0" applyBorder="1" applyProtection="1">
      <protection locked="0"/>
    </xf>
    <xf numFmtId="0" fontId="14" fillId="0" borderId="0" xfId="0" applyFont="1"/>
    <xf numFmtId="0" fontId="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vertical="center"/>
    </xf>
    <xf numFmtId="0" fontId="15" fillId="0" borderId="6" xfId="0" applyFont="1" applyBorder="1" applyAlignment="1">
      <alignment vertical="center"/>
    </xf>
    <xf numFmtId="0" fontId="16" fillId="0" borderId="1" xfId="0" applyFont="1" applyBorder="1" applyAlignment="1">
      <alignment horizontal="center" wrapText="1"/>
    </xf>
    <xf numFmtId="0" fontId="18" fillId="0" borderId="2" xfId="0" applyFont="1" applyBorder="1"/>
    <xf numFmtId="0" fontId="18" fillId="0" borderId="3" xfId="0" applyFont="1" applyBorder="1"/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</cellXfs>
  <cellStyles count="3">
    <cellStyle name="Bueno" xfId="1" builtinId="26"/>
    <cellStyle name="Normal" xfId="0" builtinId="0"/>
    <cellStyle name="Normal 2" xfId="2" xr:uid="{7996564B-88FC-445F-83AD-BF5FE3E842D3}"/>
  </cellStyles>
  <dxfs count="48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ivel%20de%20logro%20-%20I%20Bimest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"/>
      <sheetName val="Por áreas"/>
      <sheetName val="Reforzamiento"/>
      <sheetName val="Priorizados"/>
      <sheetName val="Salones"/>
    </sheetNames>
    <sheetDataSet>
      <sheetData sheetId="0">
        <row r="236">
          <cell r="F236">
            <v>27</v>
          </cell>
          <cell r="G236">
            <v>43</v>
          </cell>
          <cell r="H236">
            <v>31</v>
          </cell>
          <cell r="I236">
            <v>17</v>
          </cell>
          <cell r="J236">
            <v>3</v>
          </cell>
          <cell r="K236">
            <v>7</v>
          </cell>
          <cell r="L236">
            <v>4</v>
          </cell>
          <cell r="M236">
            <v>7</v>
          </cell>
          <cell r="N236">
            <v>7</v>
          </cell>
          <cell r="O236">
            <v>14</v>
          </cell>
          <cell r="P236">
            <v>27</v>
          </cell>
          <cell r="Q236">
            <v>20</v>
          </cell>
          <cell r="R236">
            <v>19</v>
          </cell>
          <cell r="S236">
            <v>28</v>
          </cell>
          <cell r="T236">
            <v>22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13</v>
          </cell>
          <cell r="Z236">
            <v>5</v>
          </cell>
          <cell r="AA236">
            <v>18</v>
          </cell>
          <cell r="AB236">
            <v>13</v>
          </cell>
          <cell r="AC236">
            <v>25</v>
          </cell>
          <cell r="AD236">
            <v>56</v>
          </cell>
          <cell r="AE236">
            <v>0</v>
          </cell>
        </row>
        <row r="237">
          <cell r="F237">
            <v>95</v>
          </cell>
          <cell r="G237">
            <v>94</v>
          </cell>
          <cell r="H237">
            <v>110</v>
          </cell>
          <cell r="I237">
            <v>112</v>
          </cell>
          <cell r="J237">
            <v>86</v>
          </cell>
          <cell r="K237">
            <v>91</v>
          </cell>
          <cell r="L237">
            <v>123</v>
          </cell>
          <cell r="M237">
            <v>89</v>
          </cell>
          <cell r="N237">
            <v>76</v>
          </cell>
          <cell r="O237">
            <v>49</v>
          </cell>
          <cell r="P237">
            <v>129</v>
          </cell>
          <cell r="Q237">
            <v>136</v>
          </cell>
          <cell r="R237">
            <v>138</v>
          </cell>
          <cell r="S237">
            <v>71</v>
          </cell>
          <cell r="T237">
            <v>81</v>
          </cell>
          <cell r="U237">
            <v>97</v>
          </cell>
          <cell r="V237">
            <v>62</v>
          </cell>
          <cell r="W237">
            <v>56</v>
          </cell>
          <cell r="X237">
            <v>52</v>
          </cell>
          <cell r="Y237">
            <v>75</v>
          </cell>
          <cell r="Z237">
            <v>66</v>
          </cell>
          <cell r="AA237">
            <v>110</v>
          </cell>
          <cell r="AB237">
            <v>111</v>
          </cell>
          <cell r="AC237">
            <v>98</v>
          </cell>
          <cell r="AD237">
            <v>69</v>
          </cell>
          <cell r="AE237">
            <v>219</v>
          </cell>
        </row>
        <row r="238">
          <cell r="F238">
            <v>91</v>
          </cell>
          <cell r="G238">
            <v>84</v>
          </cell>
          <cell r="H238">
            <v>75</v>
          </cell>
          <cell r="I238">
            <v>83</v>
          </cell>
          <cell r="J238">
            <v>132</v>
          </cell>
          <cell r="K238">
            <v>117</v>
          </cell>
          <cell r="L238">
            <v>96</v>
          </cell>
          <cell r="M238">
            <v>130</v>
          </cell>
          <cell r="N238">
            <v>143</v>
          </cell>
          <cell r="O238">
            <v>163</v>
          </cell>
          <cell r="P238">
            <v>70</v>
          </cell>
          <cell r="Q238">
            <v>70</v>
          </cell>
          <cell r="R238">
            <v>69</v>
          </cell>
          <cell r="S238">
            <v>127</v>
          </cell>
          <cell r="T238">
            <v>123</v>
          </cell>
          <cell r="U238">
            <v>129</v>
          </cell>
          <cell r="V238">
            <v>164</v>
          </cell>
          <cell r="W238">
            <v>170</v>
          </cell>
          <cell r="X238">
            <v>174</v>
          </cell>
          <cell r="Y238">
            <v>133</v>
          </cell>
          <cell r="Z238">
            <v>147</v>
          </cell>
          <cell r="AA238">
            <v>95</v>
          </cell>
          <cell r="AB238">
            <v>101</v>
          </cell>
          <cell r="AC238">
            <v>102</v>
          </cell>
          <cell r="AD238">
            <v>94</v>
          </cell>
          <cell r="AE238">
            <v>0</v>
          </cell>
        </row>
        <row r="239">
          <cell r="F239">
            <v>13</v>
          </cell>
          <cell r="G239">
            <v>5</v>
          </cell>
          <cell r="H239">
            <v>10</v>
          </cell>
          <cell r="I239">
            <v>14</v>
          </cell>
          <cell r="J239">
            <v>5</v>
          </cell>
          <cell r="K239">
            <v>11</v>
          </cell>
          <cell r="L239">
            <v>3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5</v>
          </cell>
          <cell r="Z239">
            <v>8</v>
          </cell>
          <cell r="AA239">
            <v>3</v>
          </cell>
          <cell r="AB239">
            <v>1</v>
          </cell>
          <cell r="AC239">
            <v>1</v>
          </cell>
          <cell r="AD239">
            <v>0</v>
          </cell>
          <cell r="AE239">
            <v>0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85ED0-DE60-4CF8-BE75-3BEC921D6091}">
  <dimension ref="A2:AP1126"/>
  <sheetViews>
    <sheetView zoomScaleNormal="100" workbookViewId="0">
      <pane xSplit="3" ySplit="5" topLeftCell="D183" activePane="bottomRight" state="frozen"/>
      <selection pane="topRight" activeCell="C1" sqref="C1"/>
      <selection pane="bottomLeft" activeCell="A6" sqref="A6"/>
      <selection pane="bottomRight" activeCell="F183" sqref="F183"/>
    </sheetView>
  </sheetViews>
  <sheetFormatPr baseColWidth="10" defaultColWidth="14.44140625" defaultRowHeight="15" customHeight="1" x14ac:dyDescent="0.3"/>
  <cols>
    <col min="1" max="1" width="4" bestFit="1" customWidth="1"/>
    <col min="2" max="2" width="4.109375" customWidth="1"/>
    <col min="3" max="3" width="38.5546875" customWidth="1"/>
    <col min="4" max="4" width="5" customWidth="1"/>
    <col min="5" max="5" width="6.6640625" customWidth="1"/>
    <col min="6" max="31" width="5" customWidth="1"/>
    <col min="32" max="32" width="2" customWidth="1"/>
    <col min="33" max="36" width="3.44140625" customWidth="1"/>
    <col min="37" max="37" width="1.44140625" style="65" customWidth="1"/>
    <col min="38" max="40" width="3" bestFit="1" customWidth="1"/>
    <col min="41" max="41" width="2" bestFit="1" customWidth="1"/>
    <col min="42" max="42" width="5.21875" bestFit="1" customWidth="1"/>
  </cols>
  <sheetData>
    <row r="2" spans="1:42" ht="45.75" customHeight="1" x14ac:dyDescent="0.3">
      <c r="C2" s="1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</row>
    <row r="3" spans="1:42" ht="26.25" customHeight="1" x14ac:dyDescent="0.3">
      <c r="C3" s="4" t="s">
        <v>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6"/>
    </row>
    <row r="4" spans="1:42" ht="41.25" customHeight="1" x14ac:dyDescent="0.3">
      <c r="C4" s="7"/>
      <c r="D4" s="8"/>
      <c r="E4" s="8"/>
      <c r="F4" s="9" t="s">
        <v>2</v>
      </c>
      <c r="G4" s="64"/>
      <c r="H4" s="64"/>
      <c r="I4" s="63"/>
      <c r="J4" s="9" t="s">
        <v>3</v>
      </c>
      <c r="K4" s="64"/>
      <c r="L4" s="63"/>
      <c r="M4" s="9" t="s">
        <v>4</v>
      </c>
      <c r="N4" s="64"/>
      <c r="O4" s="63"/>
      <c r="P4" s="9" t="s">
        <v>5</v>
      </c>
      <c r="Q4" s="64"/>
      <c r="R4" s="63"/>
      <c r="S4" s="10" t="s">
        <v>6</v>
      </c>
      <c r="T4" s="62"/>
      <c r="U4" s="11" t="s">
        <v>7</v>
      </c>
      <c r="V4" s="9" t="s">
        <v>8</v>
      </c>
      <c r="W4" s="64"/>
      <c r="X4" s="63"/>
      <c r="Y4" s="9" t="s">
        <v>9</v>
      </c>
      <c r="Z4" s="63"/>
      <c r="AA4" s="10" t="s">
        <v>10</v>
      </c>
      <c r="AB4" s="61"/>
      <c r="AC4" s="62"/>
      <c r="AD4" s="9" t="s">
        <v>11</v>
      </c>
      <c r="AE4" s="63"/>
    </row>
    <row r="5" spans="1:42" ht="27" customHeight="1" x14ac:dyDescent="0.3">
      <c r="B5" s="12"/>
      <c r="C5" s="13" t="s">
        <v>12</v>
      </c>
      <c r="D5" s="14" t="s">
        <v>13</v>
      </c>
      <c r="E5" s="15" t="s">
        <v>14</v>
      </c>
      <c r="F5" s="15" t="s">
        <v>15</v>
      </c>
      <c r="G5" s="15" t="s">
        <v>16</v>
      </c>
      <c r="H5" s="15" t="s">
        <v>17</v>
      </c>
      <c r="I5" s="15" t="s">
        <v>18</v>
      </c>
      <c r="J5" s="15" t="s">
        <v>15</v>
      </c>
      <c r="K5" s="15" t="s">
        <v>16</v>
      </c>
      <c r="L5" s="15" t="s">
        <v>17</v>
      </c>
      <c r="M5" s="15" t="s">
        <v>15</v>
      </c>
      <c r="N5" s="15" t="s">
        <v>16</v>
      </c>
      <c r="O5" s="15" t="s">
        <v>17</v>
      </c>
      <c r="P5" s="15" t="s">
        <v>15</v>
      </c>
      <c r="Q5" s="15" t="s">
        <v>16</v>
      </c>
      <c r="R5" s="15" t="s">
        <v>17</v>
      </c>
      <c r="S5" s="15" t="s">
        <v>15</v>
      </c>
      <c r="T5" s="15" t="s">
        <v>16</v>
      </c>
      <c r="U5" s="15" t="s">
        <v>15</v>
      </c>
      <c r="V5" s="15" t="s">
        <v>15</v>
      </c>
      <c r="W5" s="15" t="s">
        <v>16</v>
      </c>
      <c r="X5" s="15" t="s">
        <v>17</v>
      </c>
      <c r="Y5" s="15" t="s">
        <v>15</v>
      </c>
      <c r="Z5" s="15" t="s">
        <v>16</v>
      </c>
      <c r="AA5" s="15" t="s">
        <v>15</v>
      </c>
      <c r="AB5" s="15" t="s">
        <v>16</v>
      </c>
      <c r="AC5" s="15" t="s">
        <v>17</v>
      </c>
      <c r="AD5" s="15" t="s">
        <v>15</v>
      </c>
      <c r="AE5" s="15" t="s">
        <v>16</v>
      </c>
      <c r="AG5" s="68">
        <v>4</v>
      </c>
      <c r="AH5" s="68">
        <v>3</v>
      </c>
      <c r="AI5" s="68">
        <v>2</v>
      </c>
      <c r="AJ5" s="68">
        <v>1</v>
      </c>
      <c r="AK5" s="66"/>
      <c r="AL5" s="67" t="s">
        <v>39</v>
      </c>
      <c r="AM5" s="67" t="s">
        <v>20</v>
      </c>
      <c r="AN5" s="67" t="s">
        <v>21</v>
      </c>
      <c r="AO5" s="67" t="s">
        <v>23</v>
      </c>
      <c r="AP5" s="67" t="s">
        <v>251</v>
      </c>
    </row>
    <row r="6" spans="1:42" ht="14.4" x14ac:dyDescent="0.3">
      <c r="A6" s="16"/>
      <c r="B6" s="55">
        <v>1</v>
      </c>
      <c r="C6" s="56" t="s">
        <v>19</v>
      </c>
      <c r="D6" s="55">
        <v>1</v>
      </c>
      <c r="E6" s="55" t="s">
        <v>20</v>
      </c>
      <c r="F6" s="17" t="s">
        <v>20</v>
      </c>
      <c r="G6" s="18" t="s">
        <v>20</v>
      </c>
      <c r="H6" s="18" t="s">
        <v>21</v>
      </c>
      <c r="I6" s="18" t="s">
        <v>20</v>
      </c>
      <c r="J6" s="18" t="s">
        <v>20</v>
      </c>
      <c r="K6" s="18" t="s">
        <v>20</v>
      </c>
      <c r="L6" s="18" t="s">
        <v>20</v>
      </c>
      <c r="M6" s="19" t="s">
        <v>20</v>
      </c>
      <c r="N6" s="19" t="s">
        <v>20</v>
      </c>
      <c r="O6" s="19" t="s">
        <v>20</v>
      </c>
      <c r="P6" s="19" t="s">
        <v>20</v>
      </c>
      <c r="Q6" s="18" t="s">
        <v>21</v>
      </c>
      <c r="R6" s="18" t="s">
        <v>21</v>
      </c>
      <c r="S6" s="19" t="s">
        <v>20</v>
      </c>
      <c r="T6" s="18" t="s">
        <v>20</v>
      </c>
      <c r="U6" s="18" t="s">
        <v>20</v>
      </c>
      <c r="V6" s="18" t="s">
        <v>20</v>
      </c>
      <c r="W6" s="18" t="s">
        <v>20</v>
      </c>
      <c r="X6" s="18" t="s">
        <v>20</v>
      </c>
      <c r="Y6" s="19" t="s">
        <v>21</v>
      </c>
      <c r="Z6" s="19" t="s">
        <v>20</v>
      </c>
      <c r="AA6" s="20" t="s">
        <v>21</v>
      </c>
      <c r="AB6" s="20" t="s">
        <v>21</v>
      </c>
      <c r="AC6" s="20" t="s">
        <v>20</v>
      </c>
      <c r="AD6" s="19" t="s">
        <v>20</v>
      </c>
      <c r="AE6" s="19" t="s">
        <v>21</v>
      </c>
      <c r="AG6">
        <f>+COUNTIF(F6:AE6,"AD")</f>
        <v>0</v>
      </c>
      <c r="AH6">
        <f>+COUNTIF(F6:AE6,"A")</f>
        <v>19</v>
      </c>
      <c r="AI6">
        <f>+COUNTIF(F6:AE6,"b")</f>
        <v>7</v>
      </c>
      <c r="AJ6">
        <f>+COUNTIF(F6:AE6,"c")</f>
        <v>0</v>
      </c>
      <c r="AL6">
        <f>+$AG$5*AG6</f>
        <v>0</v>
      </c>
      <c r="AM6">
        <f>+$AH$5*AH6</f>
        <v>57</v>
      </c>
      <c r="AN6">
        <f>+$AI$5*AI6</f>
        <v>14</v>
      </c>
      <c r="AO6">
        <f>+$AJ$5*AJ6</f>
        <v>0</v>
      </c>
      <c r="AP6">
        <f>+SUM(AL6:AO6)</f>
        <v>71</v>
      </c>
    </row>
    <row r="7" spans="1:42" ht="14.4" x14ac:dyDescent="0.3">
      <c r="A7" s="16"/>
      <c r="B7" s="55">
        <v>2</v>
      </c>
      <c r="C7" s="56" t="s">
        <v>22</v>
      </c>
      <c r="D7" s="55">
        <v>1</v>
      </c>
      <c r="E7" s="55" t="s">
        <v>20</v>
      </c>
      <c r="F7" s="18" t="s">
        <v>21</v>
      </c>
      <c r="G7" s="18" t="s">
        <v>23</v>
      </c>
      <c r="H7" s="18" t="s">
        <v>21</v>
      </c>
      <c r="I7" s="18" t="s">
        <v>21</v>
      </c>
      <c r="J7" s="18" t="s">
        <v>21</v>
      </c>
      <c r="K7" s="18" t="s">
        <v>21</v>
      </c>
      <c r="L7" s="18" t="s">
        <v>21</v>
      </c>
      <c r="M7" s="19" t="s">
        <v>21</v>
      </c>
      <c r="N7" s="19" t="s">
        <v>21</v>
      </c>
      <c r="O7" s="19" t="s">
        <v>23</v>
      </c>
      <c r="P7" s="19" t="s">
        <v>21</v>
      </c>
      <c r="Q7" s="18" t="s">
        <v>21</v>
      </c>
      <c r="R7" s="18" t="s">
        <v>21</v>
      </c>
      <c r="S7" s="19" t="s">
        <v>23</v>
      </c>
      <c r="T7" s="18" t="s">
        <v>23</v>
      </c>
      <c r="U7" s="18" t="s">
        <v>21</v>
      </c>
      <c r="V7" s="18" t="s">
        <v>21</v>
      </c>
      <c r="W7" s="18" t="s">
        <v>21</v>
      </c>
      <c r="X7" s="18" t="s">
        <v>20</v>
      </c>
      <c r="Y7" s="19" t="s">
        <v>21</v>
      </c>
      <c r="Z7" s="19" t="s">
        <v>20</v>
      </c>
      <c r="AA7" s="20" t="s">
        <v>23</v>
      </c>
      <c r="AB7" s="20" t="s">
        <v>23</v>
      </c>
      <c r="AC7" s="20" t="s">
        <v>23</v>
      </c>
      <c r="AD7" s="19" t="s">
        <v>23</v>
      </c>
      <c r="AE7" s="19" t="s">
        <v>21</v>
      </c>
      <c r="AG7">
        <f t="shared" ref="AG7:AG70" si="0">+COUNTIF(F7:AE7,"AD")</f>
        <v>0</v>
      </c>
      <c r="AH7">
        <f t="shared" ref="AH7:AH70" si="1">+COUNTIF(F7:AE7,"A")</f>
        <v>2</v>
      </c>
      <c r="AI7">
        <f t="shared" ref="AI7:AI70" si="2">+COUNTIF(F7:AE7,"b")</f>
        <v>16</v>
      </c>
      <c r="AJ7">
        <f t="shared" ref="AJ7:AJ70" si="3">+COUNTIF(F7:AE7,"c")</f>
        <v>8</v>
      </c>
      <c r="AL7">
        <f t="shared" ref="AL7:AL70" si="4">+$AG$5*AG7</f>
        <v>0</v>
      </c>
      <c r="AM7">
        <f t="shared" ref="AM7:AM70" si="5">+$AH$5*AH7</f>
        <v>6</v>
      </c>
      <c r="AN7">
        <f t="shared" ref="AN7:AN70" si="6">+$AI$5*AI7</f>
        <v>32</v>
      </c>
      <c r="AO7">
        <f t="shared" ref="AO7:AO70" si="7">+$AJ$5*AJ7</f>
        <v>8</v>
      </c>
      <c r="AP7">
        <f t="shared" ref="AP7:AP70" si="8">+SUM(AL7:AO7)</f>
        <v>46</v>
      </c>
    </row>
    <row r="8" spans="1:42" ht="14.4" x14ac:dyDescent="0.3">
      <c r="A8" s="16"/>
      <c r="B8" s="55">
        <v>3</v>
      </c>
      <c r="C8" s="56" t="s">
        <v>24</v>
      </c>
      <c r="D8" s="55">
        <v>1</v>
      </c>
      <c r="E8" s="55" t="s">
        <v>20</v>
      </c>
      <c r="F8" s="18" t="s">
        <v>20</v>
      </c>
      <c r="G8" s="18" t="s">
        <v>20</v>
      </c>
      <c r="H8" s="18" t="s">
        <v>20</v>
      </c>
      <c r="I8" s="18" t="s">
        <v>20</v>
      </c>
      <c r="J8" s="18" t="s">
        <v>20</v>
      </c>
      <c r="K8" s="18" t="s">
        <v>20</v>
      </c>
      <c r="L8" s="18" t="s">
        <v>20</v>
      </c>
      <c r="M8" s="19" t="s">
        <v>20</v>
      </c>
      <c r="N8" s="19" t="s">
        <v>20</v>
      </c>
      <c r="O8" s="19" t="s">
        <v>20</v>
      </c>
      <c r="P8" s="19" t="s">
        <v>20</v>
      </c>
      <c r="Q8" s="18" t="s">
        <v>20</v>
      </c>
      <c r="R8" s="18" t="s">
        <v>21</v>
      </c>
      <c r="S8" s="19" t="s">
        <v>20</v>
      </c>
      <c r="T8" s="18" t="s">
        <v>20</v>
      </c>
      <c r="U8" s="18" t="s">
        <v>20</v>
      </c>
      <c r="V8" s="18" t="s">
        <v>20</v>
      </c>
      <c r="W8" s="18" t="s">
        <v>20</v>
      </c>
      <c r="X8" s="18" t="s">
        <v>20</v>
      </c>
      <c r="Y8" s="19" t="s">
        <v>20</v>
      </c>
      <c r="Z8" s="19" t="s">
        <v>20</v>
      </c>
      <c r="AA8" s="20" t="s">
        <v>20</v>
      </c>
      <c r="AB8" s="20" t="s">
        <v>21</v>
      </c>
      <c r="AC8" s="20" t="s">
        <v>21</v>
      </c>
      <c r="AD8" s="19" t="s">
        <v>20</v>
      </c>
      <c r="AE8" s="19" t="s">
        <v>21</v>
      </c>
      <c r="AG8">
        <f t="shared" si="0"/>
        <v>0</v>
      </c>
      <c r="AH8">
        <f t="shared" si="1"/>
        <v>22</v>
      </c>
      <c r="AI8">
        <f t="shared" si="2"/>
        <v>4</v>
      </c>
      <c r="AJ8">
        <f t="shared" si="3"/>
        <v>0</v>
      </c>
      <c r="AL8">
        <f t="shared" si="4"/>
        <v>0</v>
      </c>
      <c r="AM8">
        <f t="shared" si="5"/>
        <v>66</v>
      </c>
      <c r="AN8">
        <f t="shared" si="6"/>
        <v>8</v>
      </c>
      <c r="AO8">
        <f t="shared" si="7"/>
        <v>0</v>
      </c>
      <c r="AP8">
        <f t="shared" si="8"/>
        <v>74</v>
      </c>
    </row>
    <row r="9" spans="1:42" ht="14.4" x14ac:dyDescent="0.3">
      <c r="A9" s="16"/>
      <c r="B9" s="55">
        <v>4</v>
      </c>
      <c r="C9" s="56" t="s">
        <v>25</v>
      </c>
      <c r="D9" s="55">
        <v>1</v>
      </c>
      <c r="E9" s="55" t="s">
        <v>20</v>
      </c>
      <c r="F9" s="18" t="s">
        <v>20</v>
      </c>
      <c r="G9" s="18" t="s">
        <v>21</v>
      </c>
      <c r="H9" s="18" t="s">
        <v>21</v>
      </c>
      <c r="I9" s="18" t="s">
        <v>21</v>
      </c>
      <c r="J9" s="18" t="s">
        <v>20</v>
      </c>
      <c r="K9" s="18" t="s">
        <v>20</v>
      </c>
      <c r="L9" s="18" t="s">
        <v>20</v>
      </c>
      <c r="M9" s="19" t="s">
        <v>21</v>
      </c>
      <c r="N9" s="19" t="s">
        <v>21</v>
      </c>
      <c r="O9" s="19" t="s">
        <v>20</v>
      </c>
      <c r="P9" s="19" t="s">
        <v>20</v>
      </c>
      <c r="Q9" s="18" t="s">
        <v>20</v>
      </c>
      <c r="R9" s="18" t="s">
        <v>21</v>
      </c>
      <c r="S9" s="19" t="s">
        <v>20</v>
      </c>
      <c r="T9" s="18" t="s">
        <v>21</v>
      </c>
      <c r="U9" s="18" t="s">
        <v>20</v>
      </c>
      <c r="V9" s="18" t="s">
        <v>21</v>
      </c>
      <c r="W9" s="18" t="s">
        <v>20</v>
      </c>
      <c r="X9" s="18" t="s">
        <v>20</v>
      </c>
      <c r="Y9" s="19" t="s">
        <v>21</v>
      </c>
      <c r="Z9" s="19" t="s">
        <v>20</v>
      </c>
      <c r="AA9" s="20" t="s">
        <v>21</v>
      </c>
      <c r="AB9" s="20" t="s">
        <v>21</v>
      </c>
      <c r="AC9" s="20" t="s">
        <v>21</v>
      </c>
      <c r="AD9" s="19" t="s">
        <v>20</v>
      </c>
      <c r="AE9" s="19" t="s">
        <v>21</v>
      </c>
      <c r="AG9">
        <f t="shared" si="0"/>
        <v>0</v>
      </c>
      <c r="AH9">
        <f t="shared" si="1"/>
        <v>13</v>
      </c>
      <c r="AI9">
        <f t="shared" si="2"/>
        <v>13</v>
      </c>
      <c r="AJ9">
        <f t="shared" si="3"/>
        <v>0</v>
      </c>
      <c r="AL9">
        <f t="shared" si="4"/>
        <v>0</v>
      </c>
      <c r="AM9">
        <f t="shared" si="5"/>
        <v>39</v>
      </c>
      <c r="AN9">
        <f t="shared" si="6"/>
        <v>26</v>
      </c>
      <c r="AO9">
        <f t="shared" si="7"/>
        <v>0</v>
      </c>
      <c r="AP9">
        <f t="shared" si="8"/>
        <v>65</v>
      </c>
    </row>
    <row r="10" spans="1:42" ht="14.4" x14ac:dyDescent="0.3">
      <c r="A10" s="16"/>
      <c r="B10" s="55">
        <v>5</v>
      </c>
      <c r="C10" s="56" t="s">
        <v>26</v>
      </c>
      <c r="D10" s="55">
        <v>1</v>
      </c>
      <c r="E10" s="55" t="s">
        <v>20</v>
      </c>
      <c r="F10" s="18" t="s">
        <v>21</v>
      </c>
      <c r="G10" s="18" t="s">
        <v>21</v>
      </c>
      <c r="H10" s="18" t="s">
        <v>21</v>
      </c>
      <c r="I10" s="18" t="s">
        <v>21</v>
      </c>
      <c r="J10" s="18" t="s">
        <v>20</v>
      </c>
      <c r="K10" s="18" t="s">
        <v>20</v>
      </c>
      <c r="L10" s="18" t="s">
        <v>20</v>
      </c>
      <c r="M10" s="19" t="s">
        <v>20</v>
      </c>
      <c r="N10" s="19" t="s">
        <v>21</v>
      </c>
      <c r="O10" s="19" t="s">
        <v>20</v>
      </c>
      <c r="P10" s="19" t="s">
        <v>21</v>
      </c>
      <c r="Q10" s="18" t="s">
        <v>21</v>
      </c>
      <c r="R10" s="18" t="s">
        <v>21</v>
      </c>
      <c r="S10" s="19" t="s">
        <v>20</v>
      </c>
      <c r="T10" s="18" t="s">
        <v>21</v>
      </c>
      <c r="U10" s="18" t="s">
        <v>21</v>
      </c>
      <c r="V10" s="18" t="s">
        <v>20</v>
      </c>
      <c r="W10" s="18" t="s">
        <v>21</v>
      </c>
      <c r="X10" s="18" t="s">
        <v>20</v>
      </c>
      <c r="Y10" s="19" t="s">
        <v>21</v>
      </c>
      <c r="Z10" s="19" t="s">
        <v>20</v>
      </c>
      <c r="AA10" s="20" t="s">
        <v>21</v>
      </c>
      <c r="AB10" s="20" t="s">
        <v>21</v>
      </c>
      <c r="AC10" s="20" t="s">
        <v>23</v>
      </c>
      <c r="AD10" s="19" t="s">
        <v>21</v>
      </c>
      <c r="AE10" s="19" t="s">
        <v>21</v>
      </c>
      <c r="AG10">
        <f t="shared" si="0"/>
        <v>0</v>
      </c>
      <c r="AH10">
        <f t="shared" si="1"/>
        <v>9</v>
      </c>
      <c r="AI10">
        <f t="shared" si="2"/>
        <v>16</v>
      </c>
      <c r="AJ10">
        <f t="shared" si="3"/>
        <v>1</v>
      </c>
      <c r="AL10">
        <f t="shared" si="4"/>
        <v>0</v>
      </c>
      <c r="AM10">
        <f t="shared" si="5"/>
        <v>27</v>
      </c>
      <c r="AN10">
        <f t="shared" si="6"/>
        <v>32</v>
      </c>
      <c r="AO10">
        <f t="shared" si="7"/>
        <v>1</v>
      </c>
      <c r="AP10">
        <f t="shared" si="8"/>
        <v>60</v>
      </c>
    </row>
    <row r="11" spans="1:42" ht="14.4" x14ac:dyDescent="0.3">
      <c r="A11" s="16"/>
      <c r="B11" s="55">
        <v>6</v>
      </c>
      <c r="C11" s="56" t="s">
        <v>27</v>
      </c>
      <c r="D11" s="55">
        <v>1</v>
      </c>
      <c r="E11" s="55" t="s">
        <v>20</v>
      </c>
      <c r="F11" s="18" t="s">
        <v>20</v>
      </c>
      <c r="G11" s="18" t="s">
        <v>20</v>
      </c>
      <c r="H11" s="18" t="s">
        <v>20</v>
      </c>
      <c r="I11" s="18" t="s">
        <v>20</v>
      </c>
      <c r="J11" s="18" t="s">
        <v>20</v>
      </c>
      <c r="K11" s="18" t="s">
        <v>20</v>
      </c>
      <c r="L11" s="18" t="s">
        <v>20</v>
      </c>
      <c r="M11" s="19" t="s">
        <v>20</v>
      </c>
      <c r="N11" s="19" t="s">
        <v>20</v>
      </c>
      <c r="O11" s="19" t="s">
        <v>20</v>
      </c>
      <c r="P11" s="19" t="s">
        <v>20</v>
      </c>
      <c r="Q11" s="18" t="s">
        <v>21</v>
      </c>
      <c r="R11" s="18" t="s">
        <v>21</v>
      </c>
      <c r="S11" s="19" t="s">
        <v>20</v>
      </c>
      <c r="T11" s="18" t="s">
        <v>21</v>
      </c>
      <c r="U11" s="18" t="s">
        <v>21</v>
      </c>
      <c r="V11" s="18" t="s">
        <v>21</v>
      </c>
      <c r="W11" s="18" t="s">
        <v>20</v>
      </c>
      <c r="X11" s="18" t="s">
        <v>20</v>
      </c>
      <c r="Y11" s="19" t="s">
        <v>20</v>
      </c>
      <c r="Z11" s="19" t="s">
        <v>21</v>
      </c>
      <c r="AA11" s="20" t="s">
        <v>21</v>
      </c>
      <c r="AB11" s="20" t="s">
        <v>21</v>
      </c>
      <c r="AC11" s="20" t="s">
        <v>21</v>
      </c>
      <c r="AD11" s="19" t="s">
        <v>21</v>
      </c>
      <c r="AE11" s="19" t="s">
        <v>21</v>
      </c>
      <c r="AG11">
        <f t="shared" si="0"/>
        <v>0</v>
      </c>
      <c r="AH11">
        <f t="shared" si="1"/>
        <v>15</v>
      </c>
      <c r="AI11">
        <f t="shared" si="2"/>
        <v>11</v>
      </c>
      <c r="AJ11">
        <f t="shared" si="3"/>
        <v>0</v>
      </c>
      <c r="AL11">
        <f t="shared" si="4"/>
        <v>0</v>
      </c>
      <c r="AM11">
        <f t="shared" si="5"/>
        <v>45</v>
      </c>
      <c r="AN11">
        <f t="shared" si="6"/>
        <v>22</v>
      </c>
      <c r="AO11">
        <f t="shared" si="7"/>
        <v>0</v>
      </c>
      <c r="AP11">
        <f t="shared" si="8"/>
        <v>67</v>
      </c>
    </row>
    <row r="12" spans="1:42" ht="14.4" x14ac:dyDescent="0.3">
      <c r="A12" s="16"/>
      <c r="B12" s="55">
        <v>7</v>
      </c>
      <c r="C12" s="56" t="s">
        <v>28</v>
      </c>
      <c r="D12" s="55">
        <v>1</v>
      </c>
      <c r="E12" s="55" t="s">
        <v>20</v>
      </c>
      <c r="F12" s="18" t="s">
        <v>20</v>
      </c>
      <c r="G12" s="18" t="s">
        <v>20</v>
      </c>
      <c r="H12" s="18" t="s">
        <v>21</v>
      </c>
      <c r="I12" s="18" t="s">
        <v>20</v>
      </c>
      <c r="J12" s="18" t="s">
        <v>20</v>
      </c>
      <c r="K12" s="18" t="s">
        <v>20</v>
      </c>
      <c r="L12" s="18" t="s">
        <v>20</v>
      </c>
      <c r="M12" s="19" t="s">
        <v>20</v>
      </c>
      <c r="N12" s="19" t="s">
        <v>20</v>
      </c>
      <c r="O12" s="19" t="s">
        <v>20</v>
      </c>
      <c r="P12" s="19" t="s">
        <v>20</v>
      </c>
      <c r="Q12" s="18" t="s">
        <v>20</v>
      </c>
      <c r="R12" s="18" t="s">
        <v>20</v>
      </c>
      <c r="S12" s="19" t="s">
        <v>20</v>
      </c>
      <c r="T12" s="18" t="s">
        <v>20</v>
      </c>
      <c r="U12" s="18" t="s">
        <v>21</v>
      </c>
      <c r="V12" s="18" t="s">
        <v>20</v>
      </c>
      <c r="W12" s="18" t="s">
        <v>20</v>
      </c>
      <c r="X12" s="18" t="s">
        <v>20</v>
      </c>
      <c r="Y12" s="19" t="s">
        <v>20</v>
      </c>
      <c r="Z12" s="19" t="s">
        <v>20</v>
      </c>
      <c r="AA12" s="20" t="s">
        <v>20</v>
      </c>
      <c r="AB12" s="20" t="s">
        <v>21</v>
      </c>
      <c r="AC12" s="20" t="s">
        <v>20</v>
      </c>
      <c r="AD12" s="19" t="s">
        <v>21</v>
      </c>
      <c r="AE12" s="19" t="s">
        <v>21</v>
      </c>
      <c r="AG12">
        <f t="shared" si="0"/>
        <v>0</v>
      </c>
      <c r="AH12">
        <f t="shared" si="1"/>
        <v>21</v>
      </c>
      <c r="AI12">
        <f t="shared" si="2"/>
        <v>5</v>
      </c>
      <c r="AJ12">
        <f t="shared" si="3"/>
        <v>0</v>
      </c>
      <c r="AL12">
        <f t="shared" si="4"/>
        <v>0</v>
      </c>
      <c r="AM12">
        <f t="shared" si="5"/>
        <v>63</v>
      </c>
      <c r="AN12">
        <f t="shared" si="6"/>
        <v>10</v>
      </c>
      <c r="AO12">
        <f t="shared" si="7"/>
        <v>0</v>
      </c>
      <c r="AP12">
        <f t="shared" si="8"/>
        <v>73</v>
      </c>
    </row>
    <row r="13" spans="1:42" ht="14.4" x14ac:dyDescent="0.3">
      <c r="A13" s="16"/>
      <c r="B13" s="55">
        <v>8</v>
      </c>
      <c r="C13" s="56" t="s">
        <v>29</v>
      </c>
      <c r="D13" s="55">
        <v>1</v>
      </c>
      <c r="E13" s="55" t="s">
        <v>20</v>
      </c>
      <c r="F13" s="18" t="s">
        <v>21</v>
      </c>
      <c r="G13" s="18" t="s">
        <v>23</v>
      </c>
      <c r="H13" s="18" t="s">
        <v>21</v>
      </c>
      <c r="I13" s="18" t="s">
        <v>21</v>
      </c>
      <c r="J13" s="18" t="s">
        <v>21</v>
      </c>
      <c r="K13" s="18" t="s">
        <v>21</v>
      </c>
      <c r="L13" s="18" t="s">
        <v>21</v>
      </c>
      <c r="M13" s="19" t="s">
        <v>21</v>
      </c>
      <c r="N13" s="19" t="s">
        <v>21</v>
      </c>
      <c r="O13" s="19" t="s">
        <v>21</v>
      </c>
      <c r="P13" s="19" t="s">
        <v>21</v>
      </c>
      <c r="Q13" s="18" t="s">
        <v>21</v>
      </c>
      <c r="R13" s="18" t="s">
        <v>21</v>
      </c>
      <c r="S13" s="19" t="s">
        <v>23</v>
      </c>
      <c r="T13" s="18" t="s">
        <v>21</v>
      </c>
      <c r="U13" s="18" t="s">
        <v>21</v>
      </c>
      <c r="V13" s="18" t="s">
        <v>20</v>
      </c>
      <c r="W13" s="18" t="s">
        <v>21</v>
      </c>
      <c r="X13" s="18" t="s">
        <v>20</v>
      </c>
      <c r="Y13" s="19" t="s">
        <v>21</v>
      </c>
      <c r="Z13" s="19" t="s">
        <v>21</v>
      </c>
      <c r="AA13" s="20" t="s">
        <v>21</v>
      </c>
      <c r="AB13" s="20" t="s">
        <v>23</v>
      </c>
      <c r="AC13" s="20" t="s">
        <v>23</v>
      </c>
      <c r="AD13" s="19" t="s">
        <v>23</v>
      </c>
      <c r="AE13" s="19" t="s">
        <v>21</v>
      </c>
      <c r="AG13">
        <f t="shared" si="0"/>
        <v>0</v>
      </c>
      <c r="AH13">
        <f t="shared" si="1"/>
        <v>2</v>
      </c>
      <c r="AI13">
        <f t="shared" si="2"/>
        <v>19</v>
      </c>
      <c r="AJ13">
        <f t="shared" si="3"/>
        <v>5</v>
      </c>
      <c r="AL13">
        <f t="shared" si="4"/>
        <v>0</v>
      </c>
      <c r="AM13">
        <f t="shared" si="5"/>
        <v>6</v>
      </c>
      <c r="AN13">
        <f t="shared" si="6"/>
        <v>38</v>
      </c>
      <c r="AO13">
        <f t="shared" si="7"/>
        <v>5</v>
      </c>
      <c r="AP13">
        <f t="shared" si="8"/>
        <v>49</v>
      </c>
    </row>
    <row r="14" spans="1:42" ht="14.4" x14ac:dyDescent="0.3">
      <c r="A14" s="16"/>
      <c r="B14" s="55">
        <v>9</v>
      </c>
      <c r="C14" s="56" t="s">
        <v>30</v>
      </c>
      <c r="D14" s="55">
        <v>1</v>
      </c>
      <c r="E14" s="55" t="s">
        <v>20</v>
      </c>
      <c r="F14" s="18" t="s">
        <v>21</v>
      </c>
      <c r="G14" s="18" t="s">
        <v>21</v>
      </c>
      <c r="H14" s="18" t="s">
        <v>23</v>
      </c>
      <c r="I14" s="18" t="s">
        <v>21</v>
      </c>
      <c r="J14" s="18" t="s">
        <v>20</v>
      </c>
      <c r="K14" s="18" t="s">
        <v>20</v>
      </c>
      <c r="L14" s="18" t="s">
        <v>20</v>
      </c>
      <c r="M14" s="19" t="s">
        <v>20</v>
      </c>
      <c r="N14" s="19" t="s">
        <v>21</v>
      </c>
      <c r="O14" s="19" t="s">
        <v>20</v>
      </c>
      <c r="P14" s="19" t="s">
        <v>21</v>
      </c>
      <c r="Q14" s="18" t="s">
        <v>21</v>
      </c>
      <c r="R14" s="18" t="s">
        <v>21</v>
      </c>
      <c r="S14" s="19" t="s">
        <v>21</v>
      </c>
      <c r="T14" s="18" t="s">
        <v>20</v>
      </c>
      <c r="U14" s="18" t="s">
        <v>21</v>
      </c>
      <c r="V14" s="18" t="s">
        <v>21</v>
      </c>
      <c r="W14" s="18" t="s">
        <v>20</v>
      </c>
      <c r="X14" s="18" t="s">
        <v>20</v>
      </c>
      <c r="Y14" s="19" t="s">
        <v>21</v>
      </c>
      <c r="Z14" s="19" t="s">
        <v>20</v>
      </c>
      <c r="AA14" s="20" t="s">
        <v>21</v>
      </c>
      <c r="AB14" s="20" t="s">
        <v>21</v>
      </c>
      <c r="AC14" s="20" t="s">
        <v>23</v>
      </c>
      <c r="AD14" s="19" t="s">
        <v>20</v>
      </c>
      <c r="AE14" s="19" t="s">
        <v>21</v>
      </c>
      <c r="AG14">
        <f t="shared" si="0"/>
        <v>0</v>
      </c>
      <c r="AH14">
        <f t="shared" si="1"/>
        <v>10</v>
      </c>
      <c r="AI14">
        <f t="shared" si="2"/>
        <v>14</v>
      </c>
      <c r="AJ14">
        <f t="shared" si="3"/>
        <v>2</v>
      </c>
      <c r="AL14">
        <f t="shared" si="4"/>
        <v>0</v>
      </c>
      <c r="AM14">
        <f t="shared" si="5"/>
        <v>30</v>
      </c>
      <c r="AN14">
        <f t="shared" si="6"/>
        <v>28</v>
      </c>
      <c r="AO14">
        <f t="shared" si="7"/>
        <v>2</v>
      </c>
      <c r="AP14">
        <f t="shared" si="8"/>
        <v>60</v>
      </c>
    </row>
    <row r="15" spans="1:42" ht="14.4" x14ac:dyDescent="0.3">
      <c r="A15" s="16"/>
      <c r="B15" s="55">
        <v>10</v>
      </c>
      <c r="C15" s="56" t="s">
        <v>31</v>
      </c>
      <c r="D15" s="55">
        <v>1</v>
      </c>
      <c r="E15" s="55" t="s">
        <v>20</v>
      </c>
      <c r="F15" s="18" t="s">
        <v>21</v>
      </c>
      <c r="G15" s="18" t="s">
        <v>21</v>
      </c>
      <c r="H15" s="18" t="s">
        <v>21</v>
      </c>
      <c r="I15" s="18" t="s">
        <v>21</v>
      </c>
      <c r="J15" s="18" t="s">
        <v>21</v>
      </c>
      <c r="K15" s="18" t="s">
        <v>21</v>
      </c>
      <c r="L15" s="18" t="s">
        <v>21</v>
      </c>
      <c r="M15" s="19" t="s">
        <v>21</v>
      </c>
      <c r="N15" s="19" t="s">
        <v>21</v>
      </c>
      <c r="O15" s="19" t="s">
        <v>20</v>
      </c>
      <c r="P15" s="19" t="s">
        <v>21</v>
      </c>
      <c r="Q15" s="18" t="s">
        <v>21</v>
      </c>
      <c r="R15" s="18" t="s">
        <v>21</v>
      </c>
      <c r="S15" s="19" t="s">
        <v>20</v>
      </c>
      <c r="T15" s="18" t="s">
        <v>21</v>
      </c>
      <c r="U15" s="18" t="s">
        <v>21</v>
      </c>
      <c r="V15" s="18" t="s">
        <v>20</v>
      </c>
      <c r="W15" s="18" t="s">
        <v>20</v>
      </c>
      <c r="X15" s="18" t="s">
        <v>20</v>
      </c>
      <c r="Y15" s="19" t="s">
        <v>21</v>
      </c>
      <c r="Z15" s="19" t="s">
        <v>20</v>
      </c>
      <c r="AA15" s="20" t="s">
        <v>21</v>
      </c>
      <c r="AB15" s="20" t="s">
        <v>21</v>
      </c>
      <c r="AC15" s="20" t="s">
        <v>23</v>
      </c>
      <c r="AD15" s="19" t="s">
        <v>21</v>
      </c>
      <c r="AE15" s="19" t="s">
        <v>21</v>
      </c>
      <c r="AG15">
        <f t="shared" si="0"/>
        <v>0</v>
      </c>
      <c r="AH15">
        <f t="shared" si="1"/>
        <v>6</v>
      </c>
      <c r="AI15">
        <f t="shared" si="2"/>
        <v>19</v>
      </c>
      <c r="AJ15">
        <f t="shared" si="3"/>
        <v>1</v>
      </c>
      <c r="AL15">
        <f t="shared" si="4"/>
        <v>0</v>
      </c>
      <c r="AM15">
        <f t="shared" si="5"/>
        <v>18</v>
      </c>
      <c r="AN15">
        <f t="shared" si="6"/>
        <v>38</v>
      </c>
      <c r="AO15">
        <f t="shared" si="7"/>
        <v>1</v>
      </c>
      <c r="AP15">
        <f t="shared" si="8"/>
        <v>57</v>
      </c>
    </row>
    <row r="16" spans="1:42" ht="14.4" x14ac:dyDescent="0.3">
      <c r="A16" s="16"/>
      <c r="B16" s="55">
        <v>11</v>
      </c>
      <c r="C16" s="56" t="s">
        <v>32</v>
      </c>
      <c r="D16" s="55">
        <v>1</v>
      </c>
      <c r="E16" s="55" t="s">
        <v>20</v>
      </c>
      <c r="F16" s="18" t="s">
        <v>21</v>
      </c>
      <c r="G16" s="18" t="s">
        <v>21</v>
      </c>
      <c r="H16" s="18" t="s">
        <v>21</v>
      </c>
      <c r="I16" s="18" t="s">
        <v>21</v>
      </c>
      <c r="J16" s="18" t="s">
        <v>20</v>
      </c>
      <c r="K16" s="18" t="s">
        <v>20</v>
      </c>
      <c r="L16" s="18" t="s">
        <v>20</v>
      </c>
      <c r="M16" s="19" t="s">
        <v>21</v>
      </c>
      <c r="N16" s="19" t="s">
        <v>21</v>
      </c>
      <c r="O16" s="19" t="s">
        <v>20</v>
      </c>
      <c r="P16" s="19" t="s">
        <v>21</v>
      </c>
      <c r="Q16" s="18" t="s">
        <v>21</v>
      </c>
      <c r="R16" s="18" t="s">
        <v>23</v>
      </c>
      <c r="S16" s="19" t="s">
        <v>21</v>
      </c>
      <c r="T16" s="18" t="s">
        <v>20</v>
      </c>
      <c r="U16" s="18" t="s">
        <v>21</v>
      </c>
      <c r="V16" s="18" t="s">
        <v>20</v>
      </c>
      <c r="W16" s="18" t="s">
        <v>21</v>
      </c>
      <c r="X16" s="18" t="s">
        <v>20</v>
      </c>
      <c r="Y16" s="19" t="s">
        <v>20</v>
      </c>
      <c r="Z16" s="19" t="s">
        <v>20</v>
      </c>
      <c r="AA16" s="20" t="s">
        <v>21</v>
      </c>
      <c r="AB16" s="20" t="s">
        <v>21</v>
      </c>
      <c r="AC16" s="20" t="s">
        <v>23</v>
      </c>
      <c r="AD16" s="19" t="s">
        <v>21</v>
      </c>
      <c r="AE16" s="19" t="s">
        <v>21</v>
      </c>
      <c r="AG16">
        <f t="shared" si="0"/>
        <v>0</v>
      </c>
      <c r="AH16">
        <f t="shared" si="1"/>
        <v>9</v>
      </c>
      <c r="AI16">
        <f t="shared" si="2"/>
        <v>15</v>
      </c>
      <c r="AJ16">
        <f t="shared" si="3"/>
        <v>2</v>
      </c>
      <c r="AL16">
        <f t="shared" si="4"/>
        <v>0</v>
      </c>
      <c r="AM16">
        <f t="shared" si="5"/>
        <v>27</v>
      </c>
      <c r="AN16">
        <f t="shared" si="6"/>
        <v>30</v>
      </c>
      <c r="AO16">
        <f t="shared" si="7"/>
        <v>2</v>
      </c>
      <c r="AP16">
        <f t="shared" si="8"/>
        <v>59</v>
      </c>
    </row>
    <row r="17" spans="1:42" ht="14.4" x14ac:dyDescent="0.3">
      <c r="A17" s="16"/>
      <c r="B17" s="55">
        <v>12</v>
      </c>
      <c r="C17" s="56" t="s">
        <v>33</v>
      </c>
      <c r="D17" s="55">
        <v>1</v>
      </c>
      <c r="E17" s="55" t="s">
        <v>20</v>
      </c>
      <c r="F17" s="18" t="s">
        <v>21</v>
      </c>
      <c r="G17" s="18" t="s">
        <v>21</v>
      </c>
      <c r="H17" s="18" t="s">
        <v>21</v>
      </c>
      <c r="I17" s="18" t="s">
        <v>23</v>
      </c>
      <c r="J17" s="18" t="s">
        <v>21</v>
      </c>
      <c r="K17" s="18" t="s">
        <v>21</v>
      </c>
      <c r="L17" s="18" t="s">
        <v>21</v>
      </c>
      <c r="M17" s="19" t="s">
        <v>21</v>
      </c>
      <c r="N17" s="19" t="s">
        <v>21</v>
      </c>
      <c r="O17" s="19" t="s">
        <v>21</v>
      </c>
      <c r="P17" s="19" t="s">
        <v>21</v>
      </c>
      <c r="Q17" s="18" t="s">
        <v>21</v>
      </c>
      <c r="R17" s="18" t="s">
        <v>21</v>
      </c>
      <c r="S17" s="19" t="s">
        <v>23</v>
      </c>
      <c r="T17" s="18" t="s">
        <v>23</v>
      </c>
      <c r="U17" s="18" t="s">
        <v>21</v>
      </c>
      <c r="V17" s="18" t="s">
        <v>21</v>
      </c>
      <c r="W17" s="18" t="s">
        <v>21</v>
      </c>
      <c r="X17" s="18" t="s">
        <v>20</v>
      </c>
      <c r="Y17" s="19" t="s">
        <v>20</v>
      </c>
      <c r="Z17" s="19" t="s">
        <v>20</v>
      </c>
      <c r="AA17" s="20" t="s">
        <v>23</v>
      </c>
      <c r="AB17" s="20" t="s">
        <v>23</v>
      </c>
      <c r="AC17" s="20" t="s">
        <v>23</v>
      </c>
      <c r="AD17" s="19" t="s">
        <v>23</v>
      </c>
      <c r="AE17" s="19" t="s">
        <v>21</v>
      </c>
      <c r="AG17">
        <f t="shared" si="0"/>
        <v>0</v>
      </c>
      <c r="AH17">
        <f t="shared" si="1"/>
        <v>3</v>
      </c>
      <c r="AI17">
        <f t="shared" si="2"/>
        <v>16</v>
      </c>
      <c r="AJ17">
        <f t="shared" si="3"/>
        <v>7</v>
      </c>
      <c r="AL17">
        <f t="shared" si="4"/>
        <v>0</v>
      </c>
      <c r="AM17">
        <f t="shared" si="5"/>
        <v>9</v>
      </c>
      <c r="AN17">
        <f t="shared" si="6"/>
        <v>32</v>
      </c>
      <c r="AO17">
        <f t="shared" si="7"/>
        <v>7</v>
      </c>
      <c r="AP17">
        <f t="shared" si="8"/>
        <v>48</v>
      </c>
    </row>
    <row r="18" spans="1:42" ht="14.4" x14ac:dyDescent="0.3">
      <c r="A18" s="16"/>
      <c r="B18" s="55">
        <v>13</v>
      </c>
      <c r="C18" s="56" t="s">
        <v>34</v>
      </c>
      <c r="D18" s="55">
        <v>1</v>
      </c>
      <c r="E18" s="55" t="s">
        <v>20</v>
      </c>
      <c r="F18" s="18" t="s">
        <v>21</v>
      </c>
      <c r="G18" s="18" t="s">
        <v>21</v>
      </c>
      <c r="H18" s="18" t="s">
        <v>23</v>
      </c>
      <c r="I18" s="18" t="s">
        <v>21</v>
      </c>
      <c r="J18" s="18" t="s">
        <v>21</v>
      </c>
      <c r="K18" s="18" t="s">
        <v>21</v>
      </c>
      <c r="L18" s="18" t="s">
        <v>21</v>
      </c>
      <c r="M18" s="19" t="s">
        <v>21</v>
      </c>
      <c r="N18" s="19" t="s">
        <v>21</v>
      </c>
      <c r="O18" s="19" t="s">
        <v>21</v>
      </c>
      <c r="P18" s="19" t="s">
        <v>21</v>
      </c>
      <c r="Q18" s="18" t="s">
        <v>21</v>
      </c>
      <c r="R18" s="18" t="s">
        <v>21</v>
      </c>
      <c r="S18" s="19" t="s">
        <v>23</v>
      </c>
      <c r="T18" s="18" t="s">
        <v>23</v>
      </c>
      <c r="U18" s="18" t="s">
        <v>21</v>
      </c>
      <c r="V18" s="18" t="s">
        <v>21</v>
      </c>
      <c r="W18" s="18" t="s">
        <v>21</v>
      </c>
      <c r="X18" s="18" t="s">
        <v>20</v>
      </c>
      <c r="Y18" s="19" t="s">
        <v>20</v>
      </c>
      <c r="Z18" s="19" t="s">
        <v>20</v>
      </c>
      <c r="AA18" s="20" t="s">
        <v>21</v>
      </c>
      <c r="AB18" s="20" t="s">
        <v>21</v>
      </c>
      <c r="AC18" s="20" t="s">
        <v>23</v>
      </c>
      <c r="AD18" s="19" t="s">
        <v>21</v>
      </c>
      <c r="AE18" s="19" t="s">
        <v>21</v>
      </c>
      <c r="AG18">
        <f t="shared" si="0"/>
        <v>0</v>
      </c>
      <c r="AH18">
        <f t="shared" si="1"/>
        <v>3</v>
      </c>
      <c r="AI18">
        <f t="shared" si="2"/>
        <v>19</v>
      </c>
      <c r="AJ18">
        <f t="shared" si="3"/>
        <v>4</v>
      </c>
      <c r="AL18">
        <f t="shared" si="4"/>
        <v>0</v>
      </c>
      <c r="AM18">
        <f t="shared" si="5"/>
        <v>9</v>
      </c>
      <c r="AN18">
        <f t="shared" si="6"/>
        <v>38</v>
      </c>
      <c r="AO18">
        <f t="shared" si="7"/>
        <v>4</v>
      </c>
      <c r="AP18">
        <f t="shared" si="8"/>
        <v>51</v>
      </c>
    </row>
    <row r="19" spans="1:42" ht="14.4" x14ac:dyDescent="0.3">
      <c r="A19" s="16"/>
      <c r="B19" s="55">
        <v>14</v>
      </c>
      <c r="C19" s="56" t="s">
        <v>35</v>
      </c>
      <c r="D19" s="55">
        <v>1</v>
      </c>
      <c r="E19" s="55" t="s">
        <v>20</v>
      </c>
      <c r="F19" s="18" t="s">
        <v>21</v>
      </c>
      <c r="G19" s="18" t="s">
        <v>23</v>
      </c>
      <c r="H19" s="18" t="s">
        <v>21</v>
      </c>
      <c r="I19" s="18" t="s">
        <v>21</v>
      </c>
      <c r="J19" s="18" t="s">
        <v>21</v>
      </c>
      <c r="K19" s="18" t="s">
        <v>21</v>
      </c>
      <c r="L19" s="18" t="s">
        <v>21</v>
      </c>
      <c r="M19" s="19" t="s">
        <v>21</v>
      </c>
      <c r="N19" s="19" t="s">
        <v>21</v>
      </c>
      <c r="O19" s="19" t="s">
        <v>21</v>
      </c>
      <c r="P19" s="19" t="s">
        <v>21</v>
      </c>
      <c r="Q19" s="18" t="s">
        <v>21</v>
      </c>
      <c r="R19" s="18" t="s">
        <v>21</v>
      </c>
      <c r="S19" s="19" t="s">
        <v>23</v>
      </c>
      <c r="T19" s="18" t="s">
        <v>23</v>
      </c>
      <c r="U19" s="18" t="s">
        <v>21</v>
      </c>
      <c r="V19" s="18" t="s">
        <v>20</v>
      </c>
      <c r="W19" s="18" t="s">
        <v>21</v>
      </c>
      <c r="X19" s="18" t="s">
        <v>20</v>
      </c>
      <c r="Y19" s="19" t="s">
        <v>21</v>
      </c>
      <c r="Z19" s="19" t="s">
        <v>20</v>
      </c>
      <c r="AA19" s="20" t="s">
        <v>21</v>
      </c>
      <c r="AB19" s="20" t="s">
        <v>23</v>
      </c>
      <c r="AC19" s="20" t="s">
        <v>23</v>
      </c>
      <c r="AD19" s="19" t="s">
        <v>21</v>
      </c>
      <c r="AE19" s="19" t="s">
        <v>21</v>
      </c>
      <c r="AG19">
        <f t="shared" si="0"/>
        <v>0</v>
      </c>
      <c r="AH19">
        <f t="shared" si="1"/>
        <v>3</v>
      </c>
      <c r="AI19">
        <f t="shared" si="2"/>
        <v>18</v>
      </c>
      <c r="AJ19">
        <f t="shared" si="3"/>
        <v>5</v>
      </c>
      <c r="AL19">
        <f t="shared" si="4"/>
        <v>0</v>
      </c>
      <c r="AM19">
        <f t="shared" si="5"/>
        <v>9</v>
      </c>
      <c r="AN19">
        <f t="shared" si="6"/>
        <v>36</v>
      </c>
      <c r="AO19">
        <f t="shared" si="7"/>
        <v>5</v>
      </c>
      <c r="AP19">
        <f t="shared" si="8"/>
        <v>50</v>
      </c>
    </row>
    <row r="20" spans="1:42" ht="14.4" x14ac:dyDescent="0.3">
      <c r="A20" s="16"/>
      <c r="B20" s="55">
        <v>15</v>
      </c>
      <c r="C20" s="56" t="s">
        <v>36</v>
      </c>
      <c r="D20" s="55">
        <v>1</v>
      </c>
      <c r="E20" s="55" t="s">
        <v>20</v>
      </c>
      <c r="F20" s="18" t="s">
        <v>21</v>
      </c>
      <c r="G20" s="18" t="s">
        <v>21</v>
      </c>
      <c r="H20" s="18" t="s">
        <v>21</v>
      </c>
      <c r="I20" s="18" t="s">
        <v>21</v>
      </c>
      <c r="J20" s="18" t="s">
        <v>21</v>
      </c>
      <c r="K20" s="18" t="s">
        <v>21</v>
      </c>
      <c r="L20" s="18" t="s">
        <v>21</v>
      </c>
      <c r="M20" s="19" t="s">
        <v>20</v>
      </c>
      <c r="N20" s="19" t="s">
        <v>21</v>
      </c>
      <c r="O20" s="19" t="s">
        <v>20</v>
      </c>
      <c r="P20" s="19" t="s">
        <v>21</v>
      </c>
      <c r="Q20" s="18" t="s">
        <v>21</v>
      </c>
      <c r="R20" s="18" t="s">
        <v>21</v>
      </c>
      <c r="S20" s="19" t="s">
        <v>20</v>
      </c>
      <c r="T20" s="18" t="s">
        <v>21</v>
      </c>
      <c r="U20" s="18" t="s">
        <v>21</v>
      </c>
      <c r="V20" s="18" t="s">
        <v>21</v>
      </c>
      <c r="W20" s="18" t="s">
        <v>20</v>
      </c>
      <c r="X20" s="18" t="s">
        <v>20</v>
      </c>
      <c r="Y20" s="19" t="s">
        <v>20</v>
      </c>
      <c r="Z20" s="19" t="s">
        <v>20</v>
      </c>
      <c r="AA20" s="20" t="s">
        <v>21</v>
      </c>
      <c r="AB20" s="20" t="s">
        <v>21</v>
      </c>
      <c r="AC20" s="20" t="s">
        <v>23</v>
      </c>
      <c r="AD20" s="19" t="s">
        <v>20</v>
      </c>
      <c r="AE20" s="19" t="s">
        <v>21</v>
      </c>
      <c r="AG20">
        <f t="shared" si="0"/>
        <v>0</v>
      </c>
      <c r="AH20">
        <f t="shared" si="1"/>
        <v>8</v>
      </c>
      <c r="AI20">
        <f t="shared" si="2"/>
        <v>17</v>
      </c>
      <c r="AJ20">
        <f t="shared" si="3"/>
        <v>1</v>
      </c>
      <c r="AL20">
        <f t="shared" si="4"/>
        <v>0</v>
      </c>
      <c r="AM20">
        <f t="shared" si="5"/>
        <v>24</v>
      </c>
      <c r="AN20">
        <f t="shared" si="6"/>
        <v>34</v>
      </c>
      <c r="AO20">
        <f t="shared" si="7"/>
        <v>1</v>
      </c>
      <c r="AP20">
        <f t="shared" si="8"/>
        <v>59</v>
      </c>
    </row>
    <row r="21" spans="1:42" ht="14.4" x14ac:dyDescent="0.3">
      <c r="A21" s="16"/>
      <c r="B21" s="55">
        <v>16</v>
      </c>
      <c r="C21" s="56" t="s">
        <v>37</v>
      </c>
      <c r="D21" s="55">
        <v>1</v>
      </c>
      <c r="E21" s="55" t="s">
        <v>20</v>
      </c>
      <c r="F21" s="18" t="s">
        <v>21</v>
      </c>
      <c r="G21" s="18" t="s">
        <v>21</v>
      </c>
      <c r="H21" s="18" t="s">
        <v>21</v>
      </c>
      <c r="I21" s="18" t="s">
        <v>21</v>
      </c>
      <c r="J21" s="18" t="s">
        <v>20</v>
      </c>
      <c r="K21" s="18" t="s">
        <v>20</v>
      </c>
      <c r="L21" s="18" t="s">
        <v>20</v>
      </c>
      <c r="M21" s="19" t="s">
        <v>20</v>
      </c>
      <c r="N21" s="19" t="s">
        <v>20</v>
      </c>
      <c r="O21" s="19" t="s">
        <v>20</v>
      </c>
      <c r="P21" s="19" t="s">
        <v>20</v>
      </c>
      <c r="Q21" s="18" t="s">
        <v>20</v>
      </c>
      <c r="R21" s="18" t="s">
        <v>20</v>
      </c>
      <c r="S21" s="19" t="s">
        <v>20</v>
      </c>
      <c r="T21" s="18" t="s">
        <v>20</v>
      </c>
      <c r="U21" s="18" t="s">
        <v>20</v>
      </c>
      <c r="V21" s="18" t="s">
        <v>20</v>
      </c>
      <c r="W21" s="18" t="s">
        <v>20</v>
      </c>
      <c r="X21" s="18" t="s">
        <v>20</v>
      </c>
      <c r="Y21" s="19" t="s">
        <v>20</v>
      </c>
      <c r="Z21" s="19" t="s">
        <v>20</v>
      </c>
      <c r="AA21" s="20" t="s">
        <v>20</v>
      </c>
      <c r="AB21" s="20" t="s">
        <v>21</v>
      </c>
      <c r="AC21" s="20" t="s">
        <v>20</v>
      </c>
      <c r="AD21" s="19" t="s">
        <v>20</v>
      </c>
      <c r="AE21" s="19" t="s">
        <v>21</v>
      </c>
      <c r="AG21">
        <f t="shared" si="0"/>
        <v>0</v>
      </c>
      <c r="AH21">
        <f t="shared" si="1"/>
        <v>20</v>
      </c>
      <c r="AI21">
        <f t="shared" si="2"/>
        <v>6</v>
      </c>
      <c r="AJ21">
        <f t="shared" si="3"/>
        <v>0</v>
      </c>
      <c r="AL21">
        <f t="shared" si="4"/>
        <v>0</v>
      </c>
      <c r="AM21">
        <f t="shared" si="5"/>
        <v>60</v>
      </c>
      <c r="AN21">
        <f t="shared" si="6"/>
        <v>12</v>
      </c>
      <c r="AO21">
        <f t="shared" si="7"/>
        <v>0</v>
      </c>
      <c r="AP21">
        <f t="shared" si="8"/>
        <v>72</v>
      </c>
    </row>
    <row r="22" spans="1:42" ht="15.75" customHeight="1" x14ac:dyDescent="0.3">
      <c r="A22" s="16"/>
      <c r="B22" s="55">
        <v>17</v>
      </c>
      <c r="C22" s="56" t="s">
        <v>38</v>
      </c>
      <c r="D22" s="55">
        <v>1</v>
      </c>
      <c r="E22" s="55" t="s">
        <v>20</v>
      </c>
      <c r="F22" s="18" t="s">
        <v>20</v>
      </c>
      <c r="G22" s="18" t="s">
        <v>20</v>
      </c>
      <c r="H22" s="18" t="s">
        <v>21</v>
      </c>
      <c r="I22" s="18" t="s">
        <v>20</v>
      </c>
      <c r="J22" s="18" t="s">
        <v>20</v>
      </c>
      <c r="K22" s="18" t="s">
        <v>20</v>
      </c>
      <c r="L22" s="18" t="s">
        <v>20</v>
      </c>
      <c r="M22" s="19" t="s">
        <v>20</v>
      </c>
      <c r="N22" s="19" t="s">
        <v>21</v>
      </c>
      <c r="O22" s="19" t="s">
        <v>20</v>
      </c>
      <c r="P22" s="19" t="s">
        <v>20</v>
      </c>
      <c r="Q22" s="18" t="s">
        <v>20</v>
      </c>
      <c r="R22" s="18" t="s">
        <v>21</v>
      </c>
      <c r="S22" s="19" t="s">
        <v>20</v>
      </c>
      <c r="T22" s="18" t="s">
        <v>20</v>
      </c>
      <c r="U22" s="18" t="s">
        <v>20</v>
      </c>
      <c r="V22" s="18" t="s">
        <v>20</v>
      </c>
      <c r="W22" s="18" t="s">
        <v>20</v>
      </c>
      <c r="X22" s="18" t="s">
        <v>20</v>
      </c>
      <c r="Y22" s="19" t="s">
        <v>20</v>
      </c>
      <c r="Z22" s="19" t="s">
        <v>20</v>
      </c>
      <c r="AA22" s="20" t="s">
        <v>20</v>
      </c>
      <c r="AB22" s="20" t="s">
        <v>39</v>
      </c>
      <c r="AC22" s="20" t="s">
        <v>20</v>
      </c>
      <c r="AD22" s="19" t="s">
        <v>20</v>
      </c>
      <c r="AE22" s="19" t="s">
        <v>21</v>
      </c>
      <c r="AG22">
        <f t="shared" si="0"/>
        <v>1</v>
      </c>
      <c r="AH22">
        <f t="shared" si="1"/>
        <v>21</v>
      </c>
      <c r="AI22">
        <f t="shared" si="2"/>
        <v>4</v>
      </c>
      <c r="AJ22">
        <f t="shared" si="3"/>
        <v>0</v>
      </c>
      <c r="AL22">
        <f t="shared" si="4"/>
        <v>4</v>
      </c>
      <c r="AM22">
        <f t="shared" si="5"/>
        <v>63</v>
      </c>
      <c r="AN22">
        <f t="shared" si="6"/>
        <v>8</v>
      </c>
      <c r="AO22">
        <f t="shared" si="7"/>
        <v>0</v>
      </c>
      <c r="AP22">
        <f t="shared" si="8"/>
        <v>75</v>
      </c>
    </row>
    <row r="23" spans="1:42" ht="15.75" customHeight="1" thickBot="1" x14ac:dyDescent="0.35">
      <c r="A23" s="16"/>
      <c r="B23" s="57">
        <v>18</v>
      </c>
      <c r="C23" s="58" t="s">
        <v>40</v>
      </c>
      <c r="D23" s="57">
        <v>1</v>
      </c>
      <c r="E23" s="57" t="s">
        <v>20</v>
      </c>
      <c r="F23" s="21" t="s">
        <v>21</v>
      </c>
      <c r="G23" s="21" t="s">
        <v>21</v>
      </c>
      <c r="H23" s="21" t="s">
        <v>21</v>
      </c>
      <c r="I23" s="21" t="s">
        <v>21</v>
      </c>
      <c r="J23" s="21" t="s">
        <v>21</v>
      </c>
      <c r="K23" s="21" t="s">
        <v>21</v>
      </c>
      <c r="L23" s="21" t="s">
        <v>21</v>
      </c>
      <c r="M23" s="22" t="s">
        <v>21</v>
      </c>
      <c r="N23" s="22" t="s">
        <v>21</v>
      </c>
      <c r="O23" s="22" t="s">
        <v>20</v>
      </c>
      <c r="P23" s="22" t="s">
        <v>21</v>
      </c>
      <c r="Q23" s="21" t="s">
        <v>21</v>
      </c>
      <c r="R23" s="21" t="s">
        <v>21</v>
      </c>
      <c r="S23" s="22" t="s">
        <v>23</v>
      </c>
      <c r="T23" s="21" t="s">
        <v>23</v>
      </c>
      <c r="U23" s="21" t="s">
        <v>20</v>
      </c>
      <c r="V23" s="21" t="s">
        <v>21</v>
      </c>
      <c r="W23" s="21" t="s">
        <v>20</v>
      </c>
      <c r="X23" s="21" t="s">
        <v>20</v>
      </c>
      <c r="Y23" s="22" t="s">
        <v>20</v>
      </c>
      <c r="Z23" s="22" t="s">
        <v>20</v>
      </c>
      <c r="AA23" s="23" t="s">
        <v>21</v>
      </c>
      <c r="AB23" s="23" t="s">
        <v>21</v>
      </c>
      <c r="AC23" s="23" t="s">
        <v>23</v>
      </c>
      <c r="AD23" s="22" t="s">
        <v>21</v>
      </c>
      <c r="AE23" s="22" t="s">
        <v>21</v>
      </c>
      <c r="AG23">
        <f t="shared" si="0"/>
        <v>0</v>
      </c>
      <c r="AH23">
        <f t="shared" si="1"/>
        <v>6</v>
      </c>
      <c r="AI23">
        <f t="shared" si="2"/>
        <v>17</v>
      </c>
      <c r="AJ23">
        <f t="shared" si="3"/>
        <v>3</v>
      </c>
      <c r="AL23">
        <f t="shared" si="4"/>
        <v>0</v>
      </c>
      <c r="AM23">
        <f t="shared" si="5"/>
        <v>18</v>
      </c>
      <c r="AN23">
        <f t="shared" si="6"/>
        <v>34</v>
      </c>
      <c r="AO23">
        <f t="shared" si="7"/>
        <v>3</v>
      </c>
      <c r="AP23">
        <f t="shared" si="8"/>
        <v>55</v>
      </c>
    </row>
    <row r="24" spans="1:42" ht="15.75" customHeight="1" x14ac:dyDescent="0.3">
      <c r="A24" s="16"/>
      <c r="B24" s="59">
        <v>1</v>
      </c>
      <c r="C24" s="60" t="s">
        <v>41</v>
      </c>
      <c r="D24" s="59">
        <v>1</v>
      </c>
      <c r="E24" s="59" t="s">
        <v>21</v>
      </c>
      <c r="F24" s="24" t="s">
        <v>39</v>
      </c>
      <c r="G24" s="24" t="s">
        <v>20</v>
      </c>
      <c r="H24" s="24" t="s">
        <v>20</v>
      </c>
      <c r="I24" s="24" t="s">
        <v>20</v>
      </c>
      <c r="J24" s="24" t="s">
        <v>20</v>
      </c>
      <c r="K24" s="24" t="s">
        <v>20</v>
      </c>
      <c r="L24" s="24" t="s">
        <v>20</v>
      </c>
      <c r="M24" s="25" t="s">
        <v>20</v>
      </c>
      <c r="N24" s="25" t="s">
        <v>20</v>
      </c>
      <c r="O24" s="25" t="s">
        <v>20</v>
      </c>
      <c r="P24" s="25" t="s">
        <v>20</v>
      </c>
      <c r="Q24" s="24" t="s">
        <v>20</v>
      </c>
      <c r="R24" s="24" t="s">
        <v>20</v>
      </c>
      <c r="S24" s="25" t="s">
        <v>20</v>
      </c>
      <c r="T24" s="24" t="s">
        <v>20</v>
      </c>
      <c r="U24" s="24" t="s">
        <v>20</v>
      </c>
      <c r="V24" s="24" t="s">
        <v>20</v>
      </c>
      <c r="W24" s="24" t="s">
        <v>20</v>
      </c>
      <c r="X24" s="24" t="s">
        <v>20</v>
      </c>
      <c r="Y24" s="25" t="s">
        <v>20</v>
      </c>
      <c r="Z24" s="25" t="s">
        <v>20</v>
      </c>
      <c r="AA24" s="26" t="s">
        <v>20</v>
      </c>
      <c r="AB24" s="26" t="s">
        <v>20</v>
      </c>
      <c r="AC24" s="27" t="s">
        <v>20</v>
      </c>
      <c r="AD24" s="25" t="s">
        <v>20</v>
      </c>
      <c r="AE24" s="25" t="s">
        <v>21</v>
      </c>
      <c r="AG24">
        <f t="shared" si="0"/>
        <v>1</v>
      </c>
      <c r="AH24">
        <f t="shared" si="1"/>
        <v>24</v>
      </c>
      <c r="AI24">
        <f t="shared" si="2"/>
        <v>1</v>
      </c>
      <c r="AJ24">
        <f t="shared" si="3"/>
        <v>0</v>
      </c>
      <c r="AL24">
        <f t="shared" si="4"/>
        <v>4</v>
      </c>
      <c r="AM24">
        <f t="shared" si="5"/>
        <v>72</v>
      </c>
      <c r="AN24">
        <f t="shared" si="6"/>
        <v>2</v>
      </c>
      <c r="AO24">
        <f t="shared" si="7"/>
        <v>0</v>
      </c>
      <c r="AP24">
        <f t="shared" si="8"/>
        <v>78</v>
      </c>
    </row>
    <row r="25" spans="1:42" ht="15.75" customHeight="1" x14ac:dyDescent="0.3">
      <c r="A25" s="16"/>
      <c r="B25" s="55">
        <v>2</v>
      </c>
      <c r="C25" s="56" t="s">
        <v>42</v>
      </c>
      <c r="D25" s="55">
        <v>1</v>
      </c>
      <c r="E25" s="55" t="s">
        <v>21</v>
      </c>
      <c r="F25" s="18" t="s">
        <v>21</v>
      </c>
      <c r="G25" s="18" t="s">
        <v>21</v>
      </c>
      <c r="H25" s="18" t="s">
        <v>21</v>
      </c>
      <c r="I25" s="18" t="s">
        <v>21</v>
      </c>
      <c r="J25" s="18" t="s">
        <v>20</v>
      </c>
      <c r="K25" s="18" t="s">
        <v>21</v>
      </c>
      <c r="L25" s="18" t="s">
        <v>21</v>
      </c>
      <c r="M25" s="19" t="s">
        <v>20</v>
      </c>
      <c r="N25" s="19" t="s">
        <v>20</v>
      </c>
      <c r="O25" s="19" t="s">
        <v>20</v>
      </c>
      <c r="P25" s="19" t="s">
        <v>20</v>
      </c>
      <c r="Q25" s="18" t="s">
        <v>20</v>
      </c>
      <c r="R25" s="18" t="s">
        <v>21</v>
      </c>
      <c r="S25" s="19" t="s">
        <v>20</v>
      </c>
      <c r="T25" s="18" t="s">
        <v>20</v>
      </c>
      <c r="U25" s="18" t="s">
        <v>21</v>
      </c>
      <c r="V25" s="18" t="s">
        <v>20</v>
      </c>
      <c r="W25" s="18" t="s">
        <v>20</v>
      </c>
      <c r="X25" s="18" t="s">
        <v>20</v>
      </c>
      <c r="Y25" s="19" t="s">
        <v>20</v>
      </c>
      <c r="Z25" s="19" t="s">
        <v>20</v>
      </c>
      <c r="AA25" s="28" t="s">
        <v>20</v>
      </c>
      <c r="AB25" s="28" t="s">
        <v>21</v>
      </c>
      <c r="AC25" s="20" t="s">
        <v>20</v>
      </c>
      <c r="AD25" s="19" t="s">
        <v>20</v>
      </c>
      <c r="AE25" s="19" t="s">
        <v>21</v>
      </c>
      <c r="AG25">
        <f t="shared" si="0"/>
        <v>0</v>
      </c>
      <c r="AH25">
        <f t="shared" si="1"/>
        <v>16</v>
      </c>
      <c r="AI25">
        <f t="shared" si="2"/>
        <v>10</v>
      </c>
      <c r="AJ25">
        <f t="shared" si="3"/>
        <v>0</v>
      </c>
      <c r="AL25">
        <f t="shared" si="4"/>
        <v>0</v>
      </c>
      <c r="AM25">
        <f t="shared" si="5"/>
        <v>48</v>
      </c>
      <c r="AN25">
        <f t="shared" si="6"/>
        <v>20</v>
      </c>
      <c r="AO25">
        <f t="shared" si="7"/>
        <v>0</v>
      </c>
      <c r="AP25">
        <f t="shared" si="8"/>
        <v>68</v>
      </c>
    </row>
    <row r="26" spans="1:42" ht="15.75" customHeight="1" x14ac:dyDescent="0.3">
      <c r="A26" s="16"/>
      <c r="B26" s="55">
        <v>3</v>
      </c>
      <c r="C26" s="56" t="s">
        <v>43</v>
      </c>
      <c r="D26" s="55">
        <v>1</v>
      </c>
      <c r="E26" s="55" t="s">
        <v>21</v>
      </c>
      <c r="F26" s="18" t="s">
        <v>21</v>
      </c>
      <c r="G26" s="18" t="s">
        <v>20</v>
      </c>
      <c r="H26" s="18" t="s">
        <v>21</v>
      </c>
      <c r="I26" s="18" t="s">
        <v>21</v>
      </c>
      <c r="J26" s="18" t="s">
        <v>21</v>
      </c>
      <c r="K26" s="18" t="s">
        <v>20</v>
      </c>
      <c r="L26" s="18" t="s">
        <v>21</v>
      </c>
      <c r="M26" s="19" t="s">
        <v>20</v>
      </c>
      <c r="N26" s="19" t="s">
        <v>20</v>
      </c>
      <c r="O26" s="19" t="s">
        <v>20</v>
      </c>
      <c r="P26" s="19" t="s">
        <v>20</v>
      </c>
      <c r="Q26" s="18" t="s">
        <v>21</v>
      </c>
      <c r="R26" s="18" t="s">
        <v>21</v>
      </c>
      <c r="S26" s="19" t="s">
        <v>20</v>
      </c>
      <c r="T26" s="18" t="s">
        <v>20</v>
      </c>
      <c r="U26" s="18" t="s">
        <v>21</v>
      </c>
      <c r="V26" s="18" t="s">
        <v>20</v>
      </c>
      <c r="W26" s="18" t="s">
        <v>20</v>
      </c>
      <c r="X26" s="18" t="s">
        <v>20</v>
      </c>
      <c r="Y26" s="19" t="s">
        <v>20</v>
      </c>
      <c r="Z26" s="19" t="s">
        <v>20</v>
      </c>
      <c r="AA26" s="28" t="s">
        <v>20</v>
      </c>
      <c r="AB26" s="28" t="s">
        <v>21</v>
      </c>
      <c r="AC26" s="20" t="s">
        <v>21</v>
      </c>
      <c r="AD26" s="19" t="s">
        <v>20</v>
      </c>
      <c r="AE26" s="19" t="s">
        <v>21</v>
      </c>
      <c r="AG26">
        <f t="shared" si="0"/>
        <v>0</v>
      </c>
      <c r="AH26">
        <f t="shared" si="1"/>
        <v>15</v>
      </c>
      <c r="AI26">
        <f t="shared" si="2"/>
        <v>11</v>
      </c>
      <c r="AJ26">
        <f t="shared" si="3"/>
        <v>0</v>
      </c>
      <c r="AL26">
        <f t="shared" si="4"/>
        <v>0</v>
      </c>
      <c r="AM26">
        <f t="shared" si="5"/>
        <v>45</v>
      </c>
      <c r="AN26">
        <f t="shared" si="6"/>
        <v>22</v>
      </c>
      <c r="AO26">
        <f t="shared" si="7"/>
        <v>0</v>
      </c>
      <c r="AP26">
        <f t="shared" si="8"/>
        <v>67</v>
      </c>
    </row>
    <row r="27" spans="1:42" ht="15.75" customHeight="1" x14ac:dyDescent="0.3">
      <c r="A27" s="16"/>
      <c r="B27" s="55">
        <v>4</v>
      </c>
      <c r="C27" s="56" t="s">
        <v>44</v>
      </c>
      <c r="D27" s="55">
        <v>1</v>
      </c>
      <c r="E27" s="55" t="s">
        <v>21</v>
      </c>
      <c r="F27" s="18" t="s">
        <v>20</v>
      </c>
      <c r="G27" s="18" t="s">
        <v>20</v>
      </c>
      <c r="H27" s="18" t="s">
        <v>20</v>
      </c>
      <c r="I27" s="18" t="s">
        <v>20</v>
      </c>
      <c r="J27" s="18" t="s">
        <v>21</v>
      </c>
      <c r="K27" s="18" t="s">
        <v>21</v>
      </c>
      <c r="L27" s="18" t="s">
        <v>21</v>
      </c>
      <c r="M27" s="18" t="s">
        <v>21</v>
      </c>
      <c r="N27" s="18" t="s">
        <v>20</v>
      </c>
      <c r="O27" s="18" t="s">
        <v>20</v>
      </c>
      <c r="P27" s="18" t="s">
        <v>21</v>
      </c>
      <c r="Q27" s="18" t="s">
        <v>21</v>
      </c>
      <c r="R27" s="18" t="s">
        <v>21</v>
      </c>
      <c r="S27" s="18" t="s">
        <v>20</v>
      </c>
      <c r="T27" s="18" t="s">
        <v>20</v>
      </c>
      <c r="U27" s="18" t="s">
        <v>21</v>
      </c>
      <c r="V27" s="18" t="s">
        <v>20</v>
      </c>
      <c r="W27" s="18" t="s">
        <v>20</v>
      </c>
      <c r="X27" s="18" t="s">
        <v>20</v>
      </c>
      <c r="Y27" s="19" t="s">
        <v>21</v>
      </c>
      <c r="Z27" s="18" t="s">
        <v>20</v>
      </c>
      <c r="AA27" s="28" t="s">
        <v>21</v>
      </c>
      <c r="AB27" s="28" t="s">
        <v>21</v>
      </c>
      <c r="AC27" s="20" t="s">
        <v>21</v>
      </c>
      <c r="AD27" s="29" t="s">
        <v>21</v>
      </c>
      <c r="AE27" s="29" t="s">
        <v>21</v>
      </c>
      <c r="AG27">
        <f t="shared" si="0"/>
        <v>0</v>
      </c>
      <c r="AH27">
        <f t="shared" si="1"/>
        <v>12</v>
      </c>
      <c r="AI27">
        <f t="shared" si="2"/>
        <v>14</v>
      </c>
      <c r="AJ27">
        <f t="shared" si="3"/>
        <v>0</v>
      </c>
      <c r="AL27">
        <f t="shared" si="4"/>
        <v>0</v>
      </c>
      <c r="AM27">
        <f t="shared" si="5"/>
        <v>36</v>
      </c>
      <c r="AN27">
        <f t="shared" si="6"/>
        <v>28</v>
      </c>
      <c r="AO27">
        <f t="shared" si="7"/>
        <v>0</v>
      </c>
      <c r="AP27">
        <f t="shared" si="8"/>
        <v>64</v>
      </c>
    </row>
    <row r="28" spans="1:42" ht="15.75" customHeight="1" x14ac:dyDescent="0.3">
      <c r="A28" s="16"/>
      <c r="B28" s="55">
        <v>5</v>
      </c>
      <c r="C28" s="56" t="s">
        <v>45</v>
      </c>
      <c r="D28" s="55">
        <v>1</v>
      </c>
      <c r="E28" s="55" t="s">
        <v>21</v>
      </c>
      <c r="F28" s="18" t="s">
        <v>21</v>
      </c>
      <c r="G28" s="18" t="s">
        <v>21</v>
      </c>
      <c r="H28" s="18" t="s">
        <v>20</v>
      </c>
      <c r="I28" s="18" t="s">
        <v>21</v>
      </c>
      <c r="J28" s="18" t="s">
        <v>21</v>
      </c>
      <c r="K28" s="18" t="s">
        <v>21</v>
      </c>
      <c r="L28" s="18" t="s">
        <v>21</v>
      </c>
      <c r="M28" s="18" t="s">
        <v>20</v>
      </c>
      <c r="N28" s="18" t="s">
        <v>21</v>
      </c>
      <c r="O28" s="18" t="s">
        <v>20</v>
      </c>
      <c r="P28" s="18" t="s">
        <v>21</v>
      </c>
      <c r="Q28" s="18" t="s">
        <v>21</v>
      </c>
      <c r="R28" s="18" t="s">
        <v>21</v>
      </c>
      <c r="S28" s="18" t="s">
        <v>20</v>
      </c>
      <c r="T28" s="18" t="s">
        <v>20</v>
      </c>
      <c r="U28" s="18" t="s">
        <v>21</v>
      </c>
      <c r="V28" s="18" t="s">
        <v>20</v>
      </c>
      <c r="W28" s="18" t="s">
        <v>20</v>
      </c>
      <c r="X28" s="18" t="s">
        <v>20</v>
      </c>
      <c r="Y28" s="19" t="s">
        <v>21</v>
      </c>
      <c r="Z28" s="18" t="s">
        <v>20</v>
      </c>
      <c r="AA28" s="28" t="s">
        <v>20</v>
      </c>
      <c r="AB28" s="28" t="s">
        <v>20</v>
      </c>
      <c r="AC28" s="20" t="s">
        <v>21</v>
      </c>
      <c r="AD28" s="29" t="s">
        <v>21</v>
      </c>
      <c r="AE28" s="29" t="s">
        <v>21</v>
      </c>
      <c r="AG28">
        <f t="shared" si="0"/>
        <v>0</v>
      </c>
      <c r="AH28">
        <f t="shared" si="1"/>
        <v>11</v>
      </c>
      <c r="AI28">
        <f t="shared" si="2"/>
        <v>15</v>
      </c>
      <c r="AJ28">
        <f t="shared" si="3"/>
        <v>0</v>
      </c>
      <c r="AL28">
        <f t="shared" si="4"/>
        <v>0</v>
      </c>
      <c r="AM28">
        <f t="shared" si="5"/>
        <v>33</v>
      </c>
      <c r="AN28">
        <f t="shared" si="6"/>
        <v>30</v>
      </c>
      <c r="AO28">
        <f t="shared" si="7"/>
        <v>0</v>
      </c>
      <c r="AP28">
        <f t="shared" si="8"/>
        <v>63</v>
      </c>
    </row>
    <row r="29" spans="1:42" ht="15.75" customHeight="1" x14ac:dyDescent="0.3">
      <c r="A29" s="16"/>
      <c r="B29" s="55">
        <v>6</v>
      </c>
      <c r="C29" s="56" t="s">
        <v>46</v>
      </c>
      <c r="D29" s="55">
        <v>1</v>
      </c>
      <c r="E29" s="55" t="s">
        <v>21</v>
      </c>
      <c r="F29" s="18" t="s">
        <v>20</v>
      </c>
      <c r="G29" s="18" t="s">
        <v>20</v>
      </c>
      <c r="H29" s="18" t="s">
        <v>21</v>
      </c>
      <c r="I29" s="18" t="s">
        <v>20</v>
      </c>
      <c r="J29" s="18" t="s">
        <v>21</v>
      </c>
      <c r="K29" s="18" t="s">
        <v>20</v>
      </c>
      <c r="L29" s="18" t="s">
        <v>21</v>
      </c>
      <c r="M29" s="18" t="s">
        <v>20</v>
      </c>
      <c r="N29" s="18" t="s">
        <v>21</v>
      </c>
      <c r="O29" s="18" t="s">
        <v>20</v>
      </c>
      <c r="P29" s="18" t="s">
        <v>21</v>
      </c>
      <c r="Q29" s="18" t="s">
        <v>21</v>
      </c>
      <c r="R29" s="18" t="s">
        <v>21</v>
      </c>
      <c r="S29" s="18" t="s">
        <v>21</v>
      </c>
      <c r="T29" s="18" t="s">
        <v>20</v>
      </c>
      <c r="U29" s="18" t="s">
        <v>21</v>
      </c>
      <c r="V29" s="18" t="s">
        <v>20</v>
      </c>
      <c r="W29" s="18" t="s">
        <v>20</v>
      </c>
      <c r="X29" s="18" t="s">
        <v>20</v>
      </c>
      <c r="Y29" s="19" t="s">
        <v>20</v>
      </c>
      <c r="Z29" s="18" t="s">
        <v>20</v>
      </c>
      <c r="AA29" s="28" t="s">
        <v>20</v>
      </c>
      <c r="AB29" s="28" t="s">
        <v>20</v>
      </c>
      <c r="AC29" s="20" t="s">
        <v>20</v>
      </c>
      <c r="AD29" s="29" t="s">
        <v>21</v>
      </c>
      <c r="AE29" s="29" t="s">
        <v>21</v>
      </c>
      <c r="AG29">
        <f t="shared" si="0"/>
        <v>0</v>
      </c>
      <c r="AH29">
        <f t="shared" si="1"/>
        <v>15</v>
      </c>
      <c r="AI29">
        <f t="shared" si="2"/>
        <v>11</v>
      </c>
      <c r="AJ29">
        <f t="shared" si="3"/>
        <v>0</v>
      </c>
      <c r="AL29">
        <f t="shared" si="4"/>
        <v>0</v>
      </c>
      <c r="AM29">
        <f t="shared" si="5"/>
        <v>45</v>
      </c>
      <c r="AN29">
        <f t="shared" si="6"/>
        <v>22</v>
      </c>
      <c r="AO29">
        <f t="shared" si="7"/>
        <v>0</v>
      </c>
      <c r="AP29">
        <f t="shared" si="8"/>
        <v>67</v>
      </c>
    </row>
    <row r="30" spans="1:42" ht="15.75" customHeight="1" x14ac:dyDescent="0.3">
      <c r="A30" s="16"/>
      <c r="B30" s="55">
        <v>7</v>
      </c>
      <c r="C30" s="56" t="s">
        <v>47</v>
      </c>
      <c r="D30" s="55">
        <v>1</v>
      </c>
      <c r="E30" s="55" t="s">
        <v>21</v>
      </c>
      <c r="F30" s="18" t="s">
        <v>21</v>
      </c>
      <c r="G30" s="18" t="s">
        <v>21</v>
      </c>
      <c r="H30" s="18" t="s">
        <v>20</v>
      </c>
      <c r="I30" s="18" t="s">
        <v>21</v>
      </c>
      <c r="J30" s="18" t="s">
        <v>20</v>
      </c>
      <c r="K30" s="18" t="s">
        <v>20</v>
      </c>
      <c r="L30" s="18" t="s">
        <v>21</v>
      </c>
      <c r="M30" s="18" t="s">
        <v>20</v>
      </c>
      <c r="N30" s="18" t="s">
        <v>21</v>
      </c>
      <c r="O30" s="18" t="s">
        <v>20</v>
      </c>
      <c r="P30" s="18" t="s">
        <v>20</v>
      </c>
      <c r="Q30" s="18" t="s">
        <v>21</v>
      </c>
      <c r="R30" s="18" t="s">
        <v>20</v>
      </c>
      <c r="S30" s="18" t="s">
        <v>20</v>
      </c>
      <c r="T30" s="18" t="s">
        <v>20</v>
      </c>
      <c r="U30" s="18" t="s">
        <v>21</v>
      </c>
      <c r="V30" s="18" t="s">
        <v>20</v>
      </c>
      <c r="W30" s="18" t="s">
        <v>20</v>
      </c>
      <c r="X30" s="18" t="s">
        <v>21</v>
      </c>
      <c r="Y30" s="19" t="s">
        <v>20</v>
      </c>
      <c r="Z30" s="18" t="s">
        <v>20</v>
      </c>
      <c r="AA30" s="28" t="s">
        <v>20</v>
      </c>
      <c r="AB30" s="28" t="s">
        <v>20</v>
      </c>
      <c r="AC30" s="20" t="s">
        <v>20</v>
      </c>
      <c r="AD30" s="29" t="s">
        <v>21</v>
      </c>
      <c r="AE30" s="29" t="s">
        <v>21</v>
      </c>
      <c r="AG30">
        <f t="shared" si="0"/>
        <v>0</v>
      </c>
      <c r="AH30">
        <f t="shared" si="1"/>
        <v>16</v>
      </c>
      <c r="AI30">
        <f t="shared" si="2"/>
        <v>10</v>
      </c>
      <c r="AJ30">
        <f t="shared" si="3"/>
        <v>0</v>
      </c>
      <c r="AL30">
        <f t="shared" si="4"/>
        <v>0</v>
      </c>
      <c r="AM30">
        <f t="shared" si="5"/>
        <v>48</v>
      </c>
      <c r="AN30">
        <f t="shared" si="6"/>
        <v>20</v>
      </c>
      <c r="AO30">
        <f t="shared" si="7"/>
        <v>0</v>
      </c>
      <c r="AP30">
        <f t="shared" si="8"/>
        <v>68</v>
      </c>
    </row>
    <row r="31" spans="1:42" ht="15.75" customHeight="1" x14ac:dyDescent="0.3">
      <c r="A31" s="16"/>
      <c r="B31" s="55">
        <v>8</v>
      </c>
      <c r="C31" s="56" t="s">
        <v>48</v>
      </c>
      <c r="D31" s="55">
        <v>1</v>
      </c>
      <c r="E31" s="55" t="s">
        <v>21</v>
      </c>
      <c r="F31" s="18" t="s">
        <v>20</v>
      </c>
      <c r="G31" s="18" t="s">
        <v>21</v>
      </c>
      <c r="H31" s="18" t="s">
        <v>21</v>
      </c>
      <c r="I31" s="18" t="s">
        <v>21</v>
      </c>
      <c r="J31" s="18" t="s">
        <v>20</v>
      </c>
      <c r="K31" s="18" t="s">
        <v>21</v>
      </c>
      <c r="L31" s="18" t="s">
        <v>21</v>
      </c>
      <c r="M31" s="18" t="s">
        <v>20</v>
      </c>
      <c r="N31" s="18" t="s">
        <v>21</v>
      </c>
      <c r="O31" s="18" t="s">
        <v>21</v>
      </c>
      <c r="P31" s="18" t="s">
        <v>21</v>
      </c>
      <c r="Q31" s="18" t="s">
        <v>21</v>
      </c>
      <c r="R31" s="18" t="s">
        <v>21</v>
      </c>
      <c r="S31" s="18" t="s">
        <v>20</v>
      </c>
      <c r="T31" s="18" t="s">
        <v>20</v>
      </c>
      <c r="U31" s="18" t="s">
        <v>20</v>
      </c>
      <c r="V31" s="18" t="s">
        <v>21</v>
      </c>
      <c r="W31" s="18" t="s">
        <v>20</v>
      </c>
      <c r="X31" s="18" t="s">
        <v>21</v>
      </c>
      <c r="Y31" s="19" t="s">
        <v>21</v>
      </c>
      <c r="Z31" s="18" t="s">
        <v>20</v>
      </c>
      <c r="AA31" s="28" t="s">
        <v>20</v>
      </c>
      <c r="AB31" s="28" t="s">
        <v>20</v>
      </c>
      <c r="AC31" s="20" t="s">
        <v>20</v>
      </c>
      <c r="AD31" s="29" t="s">
        <v>20</v>
      </c>
      <c r="AE31" s="29" t="s">
        <v>21</v>
      </c>
      <c r="AG31">
        <f t="shared" si="0"/>
        <v>0</v>
      </c>
      <c r="AH31">
        <f t="shared" si="1"/>
        <v>12</v>
      </c>
      <c r="AI31">
        <f t="shared" si="2"/>
        <v>14</v>
      </c>
      <c r="AJ31">
        <f t="shared" si="3"/>
        <v>0</v>
      </c>
      <c r="AL31">
        <f t="shared" si="4"/>
        <v>0</v>
      </c>
      <c r="AM31">
        <f t="shared" si="5"/>
        <v>36</v>
      </c>
      <c r="AN31">
        <f t="shared" si="6"/>
        <v>28</v>
      </c>
      <c r="AO31">
        <f t="shared" si="7"/>
        <v>0</v>
      </c>
      <c r="AP31">
        <f t="shared" si="8"/>
        <v>64</v>
      </c>
    </row>
    <row r="32" spans="1:42" ht="15.75" customHeight="1" x14ac:dyDescent="0.3">
      <c r="A32" s="16"/>
      <c r="B32" s="55">
        <v>9</v>
      </c>
      <c r="C32" s="56" t="s">
        <v>49</v>
      </c>
      <c r="D32" s="55">
        <v>1</v>
      </c>
      <c r="E32" s="55" t="s">
        <v>21</v>
      </c>
      <c r="F32" s="18" t="s">
        <v>20</v>
      </c>
      <c r="G32" s="18" t="s">
        <v>21</v>
      </c>
      <c r="H32" s="18" t="s">
        <v>21</v>
      </c>
      <c r="I32" s="18" t="s">
        <v>21</v>
      </c>
      <c r="J32" s="18" t="s">
        <v>21</v>
      </c>
      <c r="K32" s="18" t="s">
        <v>21</v>
      </c>
      <c r="L32" s="18" t="s">
        <v>20</v>
      </c>
      <c r="M32" s="18" t="s">
        <v>20</v>
      </c>
      <c r="N32" s="18" t="s">
        <v>20</v>
      </c>
      <c r="O32" s="18" t="s">
        <v>20</v>
      </c>
      <c r="P32" s="18" t="s">
        <v>20</v>
      </c>
      <c r="Q32" s="18" t="s">
        <v>20</v>
      </c>
      <c r="R32" s="18" t="s">
        <v>20</v>
      </c>
      <c r="S32" s="18" t="s">
        <v>20</v>
      </c>
      <c r="T32" s="18" t="s">
        <v>20</v>
      </c>
      <c r="U32" s="18" t="s">
        <v>21</v>
      </c>
      <c r="V32" s="18" t="s">
        <v>20</v>
      </c>
      <c r="W32" s="18" t="s">
        <v>20</v>
      </c>
      <c r="X32" s="18" t="s">
        <v>20</v>
      </c>
      <c r="Y32" s="19" t="s">
        <v>20</v>
      </c>
      <c r="Z32" s="18" t="s">
        <v>20</v>
      </c>
      <c r="AA32" s="28" t="s">
        <v>21</v>
      </c>
      <c r="AB32" s="28" t="s">
        <v>21</v>
      </c>
      <c r="AC32" s="20" t="s">
        <v>21</v>
      </c>
      <c r="AD32" s="29" t="s">
        <v>21</v>
      </c>
      <c r="AE32" s="29" t="s">
        <v>21</v>
      </c>
      <c r="AG32">
        <f t="shared" si="0"/>
        <v>0</v>
      </c>
      <c r="AH32">
        <f t="shared" si="1"/>
        <v>15</v>
      </c>
      <c r="AI32">
        <f t="shared" si="2"/>
        <v>11</v>
      </c>
      <c r="AJ32">
        <f t="shared" si="3"/>
        <v>0</v>
      </c>
      <c r="AL32">
        <f t="shared" si="4"/>
        <v>0</v>
      </c>
      <c r="AM32">
        <f t="shared" si="5"/>
        <v>45</v>
      </c>
      <c r="AN32">
        <f t="shared" si="6"/>
        <v>22</v>
      </c>
      <c r="AO32">
        <f t="shared" si="7"/>
        <v>0</v>
      </c>
      <c r="AP32">
        <f t="shared" si="8"/>
        <v>67</v>
      </c>
    </row>
    <row r="33" spans="1:42" ht="15.75" customHeight="1" x14ac:dyDescent="0.3">
      <c r="A33" s="16"/>
      <c r="B33" s="55">
        <v>10</v>
      </c>
      <c r="C33" s="56" t="s">
        <v>50</v>
      </c>
      <c r="D33" s="55">
        <v>1</v>
      </c>
      <c r="E33" s="55" t="s">
        <v>21</v>
      </c>
      <c r="F33" s="18" t="s">
        <v>20</v>
      </c>
      <c r="G33" s="18" t="s">
        <v>21</v>
      </c>
      <c r="H33" s="18" t="s">
        <v>20</v>
      </c>
      <c r="I33" s="18" t="s">
        <v>21</v>
      </c>
      <c r="J33" s="18" t="s">
        <v>21</v>
      </c>
      <c r="K33" s="18" t="s">
        <v>21</v>
      </c>
      <c r="L33" s="18" t="s">
        <v>21</v>
      </c>
      <c r="M33" s="18" t="s">
        <v>20</v>
      </c>
      <c r="N33" s="18" t="s">
        <v>20</v>
      </c>
      <c r="O33" s="18" t="s">
        <v>20</v>
      </c>
      <c r="P33" s="18" t="s">
        <v>21</v>
      </c>
      <c r="Q33" s="18" t="s">
        <v>20</v>
      </c>
      <c r="R33" s="18" t="s">
        <v>21</v>
      </c>
      <c r="S33" s="18" t="s">
        <v>20</v>
      </c>
      <c r="T33" s="18" t="s">
        <v>20</v>
      </c>
      <c r="U33" s="18" t="s">
        <v>20</v>
      </c>
      <c r="V33" s="18" t="s">
        <v>20</v>
      </c>
      <c r="W33" s="18" t="s">
        <v>20</v>
      </c>
      <c r="X33" s="18" t="s">
        <v>20</v>
      </c>
      <c r="Y33" s="19" t="s">
        <v>20</v>
      </c>
      <c r="Z33" s="18" t="s">
        <v>20</v>
      </c>
      <c r="AA33" s="28" t="s">
        <v>21</v>
      </c>
      <c r="AB33" s="28" t="s">
        <v>21</v>
      </c>
      <c r="AC33" s="20" t="s">
        <v>20</v>
      </c>
      <c r="AD33" s="29" t="s">
        <v>20</v>
      </c>
      <c r="AE33" s="29" t="s">
        <v>21</v>
      </c>
      <c r="AG33">
        <f t="shared" si="0"/>
        <v>0</v>
      </c>
      <c r="AH33">
        <f t="shared" si="1"/>
        <v>16</v>
      </c>
      <c r="AI33">
        <f t="shared" si="2"/>
        <v>10</v>
      </c>
      <c r="AJ33">
        <f t="shared" si="3"/>
        <v>0</v>
      </c>
      <c r="AL33">
        <f t="shared" si="4"/>
        <v>0</v>
      </c>
      <c r="AM33">
        <f t="shared" si="5"/>
        <v>48</v>
      </c>
      <c r="AN33">
        <f t="shared" si="6"/>
        <v>20</v>
      </c>
      <c r="AO33">
        <f t="shared" si="7"/>
        <v>0</v>
      </c>
      <c r="AP33">
        <f t="shared" si="8"/>
        <v>68</v>
      </c>
    </row>
    <row r="34" spans="1:42" ht="15.75" customHeight="1" x14ac:dyDescent="0.3">
      <c r="A34" s="16"/>
      <c r="B34" s="55">
        <v>11</v>
      </c>
      <c r="C34" s="56" t="s">
        <v>51</v>
      </c>
      <c r="D34" s="55">
        <v>1</v>
      </c>
      <c r="E34" s="55" t="s">
        <v>21</v>
      </c>
      <c r="F34" s="18" t="s">
        <v>39</v>
      </c>
      <c r="G34" s="18" t="s">
        <v>20</v>
      </c>
      <c r="H34" s="18" t="s">
        <v>20</v>
      </c>
      <c r="I34" s="18" t="s">
        <v>20</v>
      </c>
      <c r="J34" s="18" t="s">
        <v>20</v>
      </c>
      <c r="K34" s="18" t="s">
        <v>20</v>
      </c>
      <c r="L34" s="18" t="s">
        <v>20</v>
      </c>
      <c r="M34" s="18" t="s">
        <v>20</v>
      </c>
      <c r="N34" s="18" t="s">
        <v>20</v>
      </c>
      <c r="O34" s="18" t="s">
        <v>20</v>
      </c>
      <c r="P34" s="18" t="s">
        <v>20</v>
      </c>
      <c r="Q34" s="18" t="s">
        <v>20</v>
      </c>
      <c r="R34" s="18" t="s">
        <v>20</v>
      </c>
      <c r="S34" s="18" t="s">
        <v>20</v>
      </c>
      <c r="T34" s="18" t="s">
        <v>20</v>
      </c>
      <c r="U34" s="18" t="s">
        <v>20</v>
      </c>
      <c r="V34" s="18" t="s">
        <v>20</v>
      </c>
      <c r="W34" s="18" t="s">
        <v>20</v>
      </c>
      <c r="X34" s="18" t="s">
        <v>21</v>
      </c>
      <c r="Y34" s="19" t="s">
        <v>20</v>
      </c>
      <c r="Z34" s="18" t="s">
        <v>20</v>
      </c>
      <c r="AA34" s="28" t="s">
        <v>20</v>
      </c>
      <c r="AB34" s="28" t="s">
        <v>20</v>
      </c>
      <c r="AC34" s="20" t="s">
        <v>20</v>
      </c>
      <c r="AD34" s="29" t="s">
        <v>20</v>
      </c>
      <c r="AE34" s="29" t="s">
        <v>21</v>
      </c>
      <c r="AG34">
        <f t="shared" si="0"/>
        <v>1</v>
      </c>
      <c r="AH34">
        <f t="shared" si="1"/>
        <v>23</v>
      </c>
      <c r="AI34">
        <f t="shared" si="2"/>
        <v>2</v>
      </c>
      <c r="AJ34">
        <f t="shared" si="3"/>
        <v>0</v>
      </c>
      <c r="AL34">
        <f t="shared" si="4"/>
        <v>4</v>
      </c>
      <c r="AM34">
        <f t="shared" si="5"/>
        <v>69</v>
      </c>
      <c r="AN34">
        <f t="shared" si="6"/>
        <v>4</v>
      </c>
      <c r="AO34">
        <f t="shared" si="7"/>
        <v>0</v>
      </c>
      <c r="AP34">
        <f t="shared" si="8"/>
        <v>77</v>
      </c>
    </row>
    <row r="35" spans="1:42" ht="15.75" customHeight="1" x14ac:dyDescent="0.3">
      <c r="A35" s="16"/>
      <c r="B35" s="55">
        <v>12</v>
      </c>
      <c r="C35" s="56" t="s">
        <v>52</v>
      </c>
      <c r="D35" s="55">
        <v>1</v>
      </c>
      <c r="E35" s="55" t="s">
        <v>21</v>
      </c>
      <c r="F35" s="18" t="s">
        <v>20</v>
      </c>
      <c r="G35" s="18" t="s">
        <v>21</v>
      </c>
      <c r="H35" s="18" t="s">
        <v>20</v>
      </c>
      <c r="I35" s="18" t="s">
        <v>21</v>
      </c>
      <c r="J35" s="18" t="s">
        <v>20</v>
      </c>
      <c r="K35" s="18" t="s">
        <v>21</v>
      </c>
      <c r="L35" s="18" t="s">
        <v>21</v>
      </c>
      <c r="M35" s="18" t="s">
        <v>20</v>
      </c>
      <c r="N35" s="18" t="s">
        <v>20</v>
      </c>
      <c r="O35" s="18" t="s">
        <v>20</v>
      </c>
      <c r="P35" s="18" t="s">
        <v>20</v>
      </c>
      <c r="Q35" s="18" t="s">
        <v>20</v>
      </c>
      <c r="R35" s="18" t="s">
        <v>20</v>
      </c>
      <c r="S35" s="18" t="s">
        <v>20</v>
      </c>
      <c r="T35" s="18" t="s">
        <v>20</v>
      </c>
      <c r="U35" s="18" t="s">
        <v>20</v>
      </c>
      <c r="V35" s="18" t="s">
        <v>21</v>
      </c>
      <c r="W35" s="18" t="s">
        <v>20</v>
      </c>
      <c r="X35" s="18" t="s">
        <v>21</v>
      </c>
      <c r="Y35" s="19" t="s">
        <v>21</v>
      </c>
      <c r="Z35" s="18" t="s">
        <v>20</v>
      </c>
      <c r="AA35" s="28" t="s">
        <v>21</v>
      </c>
      <c r="AB35" s="28" t="s">
        <v>21</v>
      </c>
      <c r="AC35" s="20" t="s">
        <v>21</v>
      </c>
      <c r="AD35" s="29" t="s">
        <v>21</v>
      </c>
      <c r="AE35" s="29" t="s">
        <v>21</v>
      </c>
      <c r="AG35">
        <f t="shared" si="0"/>
        <v>0</v>
      </c>
      <c r="AH35">
        <f t="shared" si="1"/>
        <v>14</v>
      </c>
      <c r="AI35">
        <f t="shared" si="2"/>
        <v>12</v>
      </c>
      <c r="AJ35">
        <f t="shared" si="3"/>
        <v>0</v>
      </c>
      <c r="AL35">
        <f t="shared" si="4"/>
        <v>0</v>
      </c>
      <c r="AM35">
        <f t="shared" si="5"/>
        <v>42</v>
      </c>
      <c r="AN35">
        <f t="shared" si="6"/>
        <v>24</v>
      </c>
      <c r="AO35">
        <f t="shared" si="7"/>
        <v>0</v>
      </c>
      <c r="AP35">
        <f t="shared" si="8"/>
        <v>66</v>
      </c>
    </row>
    <row r="36" spans="1:42" ht="15.75" customHeight="1" x14ac:dyDescent="0.3">
      <c r="A36" s="16"/>
      <c r="B36" s="55">
        <v>13</v>
      </c>
      <c r="C36" s="56" t="s">
        <v>53</v>
      </c>
      <c r="D36" s="55">
        <v>1</v>
      </c>
      <c r="E36" s="55" t="s">
        <v>21</v>
      </c>
      <c r="F36" s="18" t="s">
        <v>21</v>
      </c>
      <c r="G36" s="18" t="s">
        <v>20</v>
      </c>
      <c r="H36" s="18" t="s">
        <v>21</v>
      </c>
      <c r="I36" s="18" t="s">
        <v>21</v>
      </c>
      <c r="J36" s="18" t="s">
        <v>20</v>
      </c>
      <c r="K36" s="18" t="s">
        <v>21</v>
      </c>
      <c r="L36" s="18" t="s">
        <v>21</v>
      </c>
      <c r="M36" s="18" t="s">
        <v>21</v>
      </c>
      <c r="N36" s="18" t="s">
        <v>20</v>
      </c>
      <c r="O36" s="18" t="s">
        <v>20</v>
      </c>
      <c r="P36" s="18" t="s">
        <v>21</v>
      </c>
      <c r="Q36" s="18" t="s">
        <v>21</v>
      </c>
      <c r="R36" s="18" t="s">
        <v>21</v>
      </c>
      <c r="S36" s="18" t="s">
        <v>21</v>
      </c>
      <c r="T36" s="18" t="s">
        <v>20</v>
      </c>
      <c r="U36" s="18" t="s">
        <v>20</v>
      </c>
      <c r="V36" s="18" t="s">
        <v>20</v>
      </c>
      <c r="W36" s="18" t="s">
        <v>20</v>
      </c>
      <c r="X36" s="18" t="s">
        <v>20</v>
      </c>
      <c r="Y36" s="19" t="s">
        <v>20</v>
      </c>
      <c r="Z36" s="18" t="s">
        <v>20</v>
      </c>
      <c r="AA36" s="28" t="s">
        <v>20</v>
      </c>
      <c r="AB36" s="28" t="s">
        <v>20</v>
      </c>
      <c r="AC36" s="20" t="s">
        <v>21</v>
      </c>
      <c r="AD36" s="29" t="s">
        <v>21</v>
      </c>
      <c r="AE36" s="29" t="s">
        <v>21</v>
      </c>
      <c r="AG36">
        <f t="shared" si="0"/>
        <v>0</v>
      </c>
      <c r="AH36">
        <f t="shared" si="1"/>
        <v>13</v>
      </c>
      <c r="AI36">
        <f t="shared" si="2"/>
        <v>13</v>
      </c>
      <c r="AJ36">
        <f t="shared" si="3"/>
        <v>0</v>
      </c>
      <c r="AL36">
        <f t="shared" si="4"/>
        <v>0</v>
      </c>
      <c r="AM36">
        <f t="shared" si="5"/>
        <v>39</v>
      </c>
      <c r="AN36">
        <f t="shared" si="6"/>
        <v>26</v>
      </c>
      <c r="AO36">
        <f t="shared" si="7"/>
        <v>0</v>
      </c>
      <c r="AP36">
        <f t="shared" si="8"/>
        <v>65</v>
      </c>
    </row>
    <row r="37" spans="1:42" ht="15.75" customHeight="1" x14ac:dyDescent="0.3">
      <c r="A37" s="16"/>
      <c r="B37" s="55">
        <v>14</v>
      </c>
      <c r="C37" s="56" t="s">
        <v>54</v>
      </c>
      <c r="D37" s="55">
        <v>1</v>
      </c>
      <c r="E37" s="55" t="s">
        <v>21</v>
      </c>
      <c r="F37" s="18" t="s">
        <v>20</v>
      </c>
      <c r="G37" s="18" t="s">
        <v>20</v>
      </c>
      <c r="H37" s="18" t="s">
        <v>20</v>
      </c>
      <c r="I37" s="18" t="s">
        <v>20</v>
      </c>
      <c r="J37" s="18" t="s">
        <v>20</v>
      </c>
      <c r="K37" s="18" t="s">
        <v>20</v>
      </c>
      <c r="L37" s="18" t="s">
        <v>20</v>
      </c>
      <c r="M37" s="18" t="s">
        <v>20</v>
      </c>
      <c r="N37" s="18" t="s">
        <v>20</v>
      </c>
      <c r="O37" s="18" t="s">
        <v>20</v>
      </c>
      <c r="P37" s="18" t="s">
        <v>20</v>
      </c>
      <c r="Q37" s="18" t="s">
        <v>20</v>
      </c>
      <c r="R37" s="18" t="s">
        <v>20</v>
      </c>
      <c r="S37" s="18" t="s">
        <v>20</v>
      </c>
      <c r="T37" s="18" t="s">
        <v>20</v>
      </c>
      <c r="U37" s="18" t="s">
        <v>20</v>
      </c>
      <c r="V37" s="18" t="s">
        <v>21</v>
      </c>
      <c r="W37" s="18" t="s">
        <v>21</v>
      </c>
      <c r="X37" s="18" t="s">
        <v>20</v>
      </c>
      <c r="Y37" s="19" t="s">
        <v>21</v>
      </c>
      <c r="Z37" s="18" t="s">
        <v>20</v>
      </c>
      <c r="AA37" s="28" t="s">
        <v>20</v>
      </c>
      <c r="AB37" s="28" t="s">
        <v>20</v>
      </c>
      <c r="AC37" s="20" t="s">
        <v>20</v>
      </c>
      <c r="AD37" s="29" t="s">
        <v>55</v>
      </c>
      <c r="AE37" s="29" t="s">
        <v>55</v>
      </c>
      <c r="AG37">
        <f t="shared" si="0"/>
        <v>0</v>
      </c>
      <c r="AH37">
        <f t="shared" si="1"/>
        <v>21</v>
      </c>
      <c r="AI37">
        <f t="shared" si="2"/>
        <v>3</v>
      </c>
      <c r="AJ37">
        <f t="shared" si="3"/>
        <v>0</v>
      </c>
      <c r="AL37">
        <f t="shared" si="4"/>
        <v>0</v>
      </c>
      <c r="AM37">
        <f t="shared" si="5"/>
        <v>63</v>
      </c>
      <c r="AN37">
        <f t="shared" si="6"/>
        <v>6</v>
      </c>
      <c r="AO37">
        <f t="shared" si="7"/>
        <v>0</v>
      </c>
      <c r="AP37">
        <f t="shared" si="8"/>
        <v>69</v>
      </c>
    </row>
    <row r="38" spans="1:42" ht="15.75" customHeight="1" x14ac:dyDescent="0.3">
      <c r="A38" s="16"/>
      <c r="B38" s="55">
        <v>15</v>
      </c>
      <c r="C38" s="56" t="s">
        <v>56</v>
      </c>
      <c r="D38" s="55">
        <v>1</v>
      </c>
      <c r="E38" s="55" t="s">
        <v>21</v>
      </c>
      <c r="F38" s="18" t="s">
        <v>20</v>
      </c>
      <c r="G38" s="18" t="s">
        <v>21</v>
      </c>
      <c r="H38" s="18" t="s">
        <v>21</v>
      </c>
      <c r="I38" s="18" t="s">
        <v>20</v>
      </c>
      <c r="J38" s="18" t="s">
        <v>21</v>
      </c>
      <c r="K38" s="18" t="s">
        <v>21</v>
      </c>
      <c r="L38" s="18" t="s">
        <v>21</v>
      </c>
      <c r="M38" s="18" t="s">
        <v>20</v>
      </c>
      <c r="N38" s="18" t="s">
        <v>20</v>
      </c>
      <c r="O38" s="18" t="s">
        <v>20</v>
      </c>
      <c r="P38" s="18" t="s">
        <v>21</v>
      </c>
      <c r="Q38" s="18" t="s">
        <v>21</v>
      </c>
      <c r="R38" s="18" t="s">
        <v>21</v>
      </c>
      <c r="S38" s="18" t="s">
        <v>23</v>
      </c>
      <c r="T38" s="18" t="s">
        <v>21</v>
      </c>
      <c r="U38" s="18" t="s">
        <v>20</v>
      </c>
      <c r="V38" s="18" t="s">
        <v>20</v>
      </c>
      <c r="W38" s="18" t="s">
        <v>20</v>
      </c>
      <c r="X38" s="18" t="s">
        <v>20</v>
      </c>
      <c r="Y38" s="19" t="s">
        <v>23</v>
      </c>
      <c r="Z38" s="18" t="s">
        <v>21</v>
      </c>
      <c r="AA38" s="28" t="s">
        <v>20</v>
      </c>
      <c r="AB38" s="28" t="s">
        <v>20</v>
      </c>
      <c r="AC38" s="20" t="s">
        <v>21</v>
      </c>
      <c r="AD38" s="29" t="s">
        <v>21</v>
      </c>
      <c r="AE38" s="29" t="s">
        <v>21</v>
      </c>
      <c r="AG38">
        <f t="shared" si="0"/>
        <v>0</v>
      </c>
      <c r="AH38">
        <f t="shared" si="1"/>
        <v>11</v>
      </c>
      <c r="AI38">
        <f t="shared" si="2"/>
        <v>13</v>
      </c>
      <c r="AJ38">
        <f t="shared" si="3"/>
        <v>2</v>
      </c>
      <c r="AL38">
        <f t="shared" si="4"/>
        <v>0</v>
      </c>
      <c r="AM38">
        <f t="shared" si="5"/>
        <v>33</v>
      </c>
      <c r="AN38">
        <f t="shared" si="6"/>
        <v>26</v>
      </c>
      <c r="AO38">
        <f t="shared" si="7"/>
        <v>2</v>
      </c>
      <c r="AP38">
        <f t="shared" si="8"/>
        <v>61</v>
      </c>
    </row>
    <row r="39" spans="1:42" ht="15.75" customHeight="1" x14ac:dyDescent="0.3">
      <c r="A39" s="16"/>
      <c r="B39" s="55">
        <v>16</v>
      </c>
      <c r="C39" s="56" t="s">
        <v>57</v>
      </c>
      <c r="D39" s="55">
        <v>1</v>
      </c>
      <c r="E39" s="55" t="s">
        <v>21</v>
      </c>
      <c r="F39" s="18" t="s">
        <v>20</v>
      </c>
      <c r="G39" s="18" t="s">
        <v>21</v>
      </c>
      <c r="H39" s="18" t="s">
        <v>21</v>
      </c>
      <c r="I39" s="18" t="s">
        <v>21</v>
      </c>
      <c r="J39" s="18" t="s">
        <v>20</v>
      </c>
      <c r="K39" s="18" t="s">
        <v>21</v>
      </c>
      <c r="L39" s="18" t="s">
        <v>21</v>
      </c>
      <c r="M39" s="18" t="s">
        <v>21</v>
      </c>
      <c r="N39" s="18" t="s">
        <v>21</v>
      </c>
      <c r="O39" s="18" t="s">
        <v>20</v>
      </c>
      <c r="P39" s="18" t="s">
        <v>21</v>
      </c>
      <c r="Q39" s="18" t="s">
        <v>21</v>
      </c>
      <c r="R39" s="18" t="s">
        <v>21</v>
      </c>
      <c r="S39" s="18" t="s">
        <v>21</v>
      </c>
      <c r="T39" s="18" t="s">
        <v>21</v>
      </c>
      <c r="U39" s="18" t="s">
        <v>21</v>
      </c>
      <c r="V39" s="18" t="s">
        <v>20</v>
      </c>
      <c r="W39" s="18" t="s">
        <v>20</v>
      </c>
      <c r="X39" s="18" t="s">
        <v>21</v>
      </c>
      <c r="Y39" s="19" t="s">
        <v>20</v>
      </c>
      <c r="Z39" s="18" t="s">
        <v>20</v>
      </c>
      <c r="AA39" s="28" t="s">
        <v>20</v>
      </c>
      <c r="AB39" s="28" t="s">
        <v>20</v>
      </c>
      <c r="AC39" s="20" t="s">
        <v>21</v>
      </c>
      <c r="AD39" s="29" t="s">
        <v>21</v>
      </c>
      <c r="AE39" s="29" t="s">
        <v>21</v>
      </c>
      <c r="AG39">
        <f t="shared" si="0"/>
        <v>0</v>
      </c>
      <c r="AH39">
        <f t="shared" si="1"/>
        <v>9</v>
      </c>
      <c r="AI39">
        <f t="shared" si="2"/>
        <v>17</v>
      </c>
      <c r="AJ39">
        <f t="shared" si="3"/>
        <v>0</v>
      </c>
      <c r="AL39">
        <f t="shared" si="4"/>
        <v>0</v>
      </c>
      <c r="AM39">
        <f t="shared" si="5"/>
        <v>27</v>
      </c>
      <c r="AN39">
        <f t="shared" si="6"/>
        <v>34</v>
      </c>
      <c r="AO39">
        <f t="shared" si="7"/>
        <v>0</v>
      </c>
      <c r="AP39">
        <f t="shared" si="8"/>
        <v>61</v>
      </c>
    </row>
    <row r="40" spans="1:42" ht="15.75" customHeight="1" x14ac:dyDescent="0.3">
      <c r="A40" s="16"/>
      <c r="B40" s="55">
        <v>17</v>
      </c>
      <c r="C40" s="56" t="s">
        <v>58</v>
      </c>
      <c r="D40" s="55">
        <v>1</v>
      </c>
      <c r="E40" s="55" t="s">
        <v>21</v>
      </c>
      <c r="F40" s="18" t="s">
        <v>21</v>
      </c>
      <c r="G40" s="18" t="s">
        <v>21</v>
      </c>
      <c r="H40" s="18" t="s">
        <v>21</v>
      </c>
      <c r="I40" s="18" t="s">
        <v>21</v>
      </c>
      <c r="J40" s="18" t="s">
        <v>20</v>
      </c>
      <c r="K40" s="18" t="s">
        <v>21</v>
      </c>
      <c r="L40" s="18" t="s">
        <v>21</v>
      </c>
      <c r="M40" s="18" t="s">
        <v>21</v>
      </c>
      <c r="N40" s="18" t="s">
        <v>20</v>
      </c>
      <c r="O40" s="18" t="s">
        <v>20</v>
      </c>
      <c r="P40" s="18" t="s">
        <v>21</v>
      </c>
      <c r="Q40" s="18" t="s">
        <v>21</v>
      </c>
      <c r="R40" s="18" t="s">
        <v>21</v>
      </c>
      <c r="S40" s="18" t="s">
        <v>20</v>
      </c>
      <c r="T40" s="18" t="s">
        <v>21</v>
      </c>
      <c r="U40" s="18" t="s">
        <v>20</v>
      </c>
      <c r="V40" s="18" t="s">
        <v>20</v>
      </c>
      <c r="W40" s="18" t="s">
        <v>20</v>
      </c>
      <c r="X40" s="18" t="s">
        <v>20</v>
      </c>
      <c r="Y40" s="19" t="s">
        <v>21</v>
      </c>
      <c r="Z40" s="18" t="s">
        <v>20</v>
      </c>
      <c r="AA40" s="28" t="s">
        <v>20</v>
      </c>
      <c r="AB40" s="28" t="s">
        <v>20</v>
      </c>
      <c r="AC40" s="20" t="s">
        <v>21</v>
      </c>
      <c r="AD40" s="29" t="s">
        <v>21</v>
      </c>
      <c r="AE40" s="29" t="s">
        <v>21</v>
      </c>
      <c r="AG40">
        <f t="shared" si="0"/>
        <v>0</v>
      </c>
      <c r="AH40">
        <f t="shared" si="1"/>
        <v>11</v>
      </c>
      <c r="AI40">
        <f t="shared" si="2"/>
        <v>15</v>
      </c>
      <c r="AJ40">
        <f t="shared" si="3"/>
        <v>0</v>
      </c>
      <c r="AL40">
        <f t="shared" si="4"/>
        <v>0</v>
      </c>
      <c r="AM40">
        <f t="shared" si="5"/>
        <v>33</v>
      </c>
      <c r="AN40">
        <f t="shared" si="6"/>
        <v>30</v>
      </c>
      <c r="AO40">
        <f t="shared" si="7"/>
        <v>0</v>
      </c>
      <c r="AP40">
        <f t="shared" si="8"/>
        <v>63</v>
      </c>
    </row>
    <row r="41" spans="1:42" ht="15.75" customHeight="1" x14ac:dyDescent="0.3">
      <c r="A41" s="16"/>
      <c r="B41" s="55">
        <v>18</v>
      </c>
      <c r="C41" s="56" t="s">
        <v>59</v>
      </c>
      <c r="D41" s="55">
        <v>1</v>
      </c>
      <c r="E41" s="55" t="s">
        <v>21</v>
      </c>
      <c r="F41" s="18" t="s">
        <v>20</v>
      </c>
      <c r="G41" s="18" t="s">
        <v>21</v>
      </c>
      <c r="H41" s="18" t="s">
        <v>21</v>
      </c>
      <c r="I41" s="18" t="s">
        <v>21</v>
      </c>
      <c r="J41" s="18" t="s">
        <v>21</v>
      </c>
      <c r="K41" s="18" t="s">
        <v>21</v>
      </c>
      <c r="L41" s="18" t="s">
        <v>21</v>
      </c>
      <c r="M41" s="18" t="s">
        <v>20</v>
      </c>
      <c r="N41" s="18" t="s">
        <v>20</v>
      </c>
      <c r="O41" s="18" t="s">
        <v>20</v>
      </c>
      <c r="P41" s="18" t="s">
        <v>20</v>
      </c>
      <c r="Q41" s="18" t="s">
        <v>21</v>
      </c>
      <c r="R41" s="18" t="s">
        <v>20</v>
      </c>
      <c r="S41" s="18" t="s">
        <v>20</v>
      </c>
      <c r="T41" s="18" t="s">
        <v>20</v>
      </c>
      <c r="U41" s="18" t="s">
        <v>21</v>
      </c>
      <c r="V41" s="18" t="s">
        <v>21</v>
      </c>
      <c r="W41" s="18" t="s">
        <v>20</v>
      </c>
      <c r="X41" s="18" t="s">
        <v>20</v>
      </c>
      <c r="Y41" s="19" t="s">
        <v>21</v>
      </c>
      <c r="Z41" s="18" t="s">
        <v>20</v>
      </c>
      <c r="AA41" s="28" t="s">
        <v>20</v>
      </c>
      <c r="AB41" s="28" t="s">
        <v>20</v>
      </c>
      <c r="AC41" s="20" t="s">
        <v>21</v>
      </c>
      <c r="AD41" s="29" t="s">
        <v>20</v>
      </c>
      <c r="AE41" s="29" t="s">
        <v>21</v>
      </c>
      <c r="AG41">
        <f t="shared" si="0"/>
        <v>0</v>
      </c>
      <c r="AH41">
        <f t="shared" si="1"/>
        <v>14</v>
      </c>
      <c r="AI41">
        <f t="shared" si="2"/>
        <v>12</v>
      </c>
      <c r="AJ41">
        <f t="shared" si="3"/>
        <v>0</v>
      </c>
      <c r="AL41">
        <f t="shared" si="4"/>
        <v>0</v>
      </c>
      <c r="AM41">
        <f t="shared" si="5"/>
        <v>42</v>
      </c>
      <c r="AN41">
        <f t="shared" si="6"/>
        <v>24</v>
      </c>
      <c r="AO41">
        <f t="shared" si="7"/>
        <v>0</v>
      </c>
      <c r="AP41">
        <f t="shared" si="8"/>
        <v>66</v>
      </c>
    </row>
    <row r="42" spans="1:42" ht="15.75" customHeight="1" x14ac:dyDescent="0.3">
      <c r="A42" s="16"/>
      <c r="B42" s="55">
        <v>19</v>
      </c>
      <c r="C42" s="56" t="s">
        <v>60</v>
      </c>
      <c r="D42" s="55">
        <v>1</v>
      </c>
      <c r="E42" s="55" t="s">
        <v>21</v>
      </c>
      <c r="F42" s="18" t="s">
        <v>20</v>
      </c>
      <c r="G42" s="18" t="s">
        <v>21</v>
      </c>
      <c r="H42" s="18" t="s">
        <v>21</v>
      </c>
      <c r="I42" s="18" t="s">
        <v>21</v>
      </c>
      <c r="J42" s="18" t="s">
        <v>21</v>
      </c>
      <c r="K42" s="18" t="s">
        <v>21</v>
      </c>
      <c r="L42" s="18" t="s">
        <v>21</v>
      </c>
      <c r="M42" s="18" t="s">
        <v>21</v>
      </c>
      <c r="N42" s="18" t="s">
        <v>20</v>
      </c>
      <c r="O42" s="18" t="s">
        <v>20</v>
      </c>
      <c r="P42" s="18" t="s">
        <v>21</v>
      </c>
      <c r="Q42" s="18" t="s">
        <v>21</v>
      </c>
      <c r="R42" s="18" t="s">
        <v>21</v>
      </c>
      <c r="S42" s="18" t="s">
        <v>20</v>
      </c>
      <c r="T42" s="18" t="s">
        <v>21</v>
      </c>
      <c r="U42" s="18" t="s">
        <v>20</v>
      </c>
      <c r="V42" s="18" t="s">
        <v>21</v>
      </c>
      <c r="W42" s="18" t="s">
        <v>20</v>
      </c>
      <c r="X42" s="18" t="s">
        <v>20</v>
      </c>
      <c r="Y42" s="19" t="s">
        <v>20</v>
      </c>
      <c r="Z42" s="18" t="s">
        <v>20</v>
      </c>
      <c r="AA42" s="28" t="s">
        <v>21</v>
      </c>
      <c r="AB42" s="28" t="s">
        <v>23</v>
      </c>
      <c r="AC42" s="20" t="s">
        <v>21</v>
      </c>
      <c r="AD42" s="29" t="s">
        <v>21</v>
      </c>
      <c r="AE42" s="29" t="s">
        <v>21</v>
      </c>
      <c r="AG42">
        <f t="shared" si="0"/>
        <v>0</v>
      </c>
      <c r="AH42">
        <f t="shared" si="1"/>
        <v>9</v>
      </c>
      <c r="AI42">
        <f t="shared" si="2"/>
        <v>16</v>
      </c>
      <c r="AJ42">
        <f t="shared" si="3"/>
        <v>1</v>
      </c>
      <c r="AL42">
        <f t="shared" si="4"/>
        <v>0</v>
      </c>
      <c r="AM42">
        <f t="shared" si="5"/>
        <v>27</v>
      </c>
      <c r="AN42">
        <f t="shared" si="6"/>
        <v>32</v>
      </c>
      <c r="AO42">
        <f t="shared" si="7"/>
        <v>1</v>
      </c>
      <c r="AP42">
        <f t="shared" si="8"/>
        <v>60</v>
      </c>
    </row>
    <row r="43" spans="1:42" ht="15.75" customHeight="1" thickBot="1" x14ac:dyDescent="0.35">
      <c r="A43" s="16"/>
      <c r="B43" s="57">
        <v>20</v>
      </c>
      <c r="C43" s="58" t="s">
        <v>61</v>
      </c>
      <c r="D43" s="57">
        <v>1</v>
      </c>
      <c r="E43" s="57" t="s">
        <v>21</v>
      </c>
      <c r="F43" s="21" t="s">
        <v>20</v>
      </c>
      <c r="G43" s="21" t="s">
        <v>21</v>
      </c>
      <c r="H43" s="21" t="s">
        <v>20</v>
      </c>
      <c r="I43" s="21" t="s">
        <v>21</v>
      </c>
      <c r="J43" s="21" t="s">
        <v>21</v>
      </c>
      <c r="K43" s="21" t="s">
        <v>21</v>
      </c>
      <c r="L43" s="21" t="s">
        <v>21</v>
      </c>
      <c r="M43" s="21" t="s">
        <v>20</v>
      </c>
      <c r="N43" s="21" t="s">
        <v>20</v>
      </c>
      <c r="O43" s="21" t="s">
        <v>20</v>
      </c>
      <c r="P43" s="21" t="s">
        <v>21</v>
      </c>
      <c r="Q43" s="21" t="s">
        <v>21</v>
      </c>
      <c r="R43" s="21" t="s">
        <v>21</v>
      </c>
      <c r="S43" s="21" t="s">
        <v>23</v>
      </c>
      <c r="T43" s="21" t="s">
        <v>21</v>
      </c>
      <c r="U43" s="21" t="s">
        <v>21</v>
      </c>
      <c r="V43" s="21" t="s">
        <v>20</v>
      </c>
      <c r="W43" s="21" t="s">
        <v>20</v>
      </c>
      <c r="X43" s="21" t="s">
        <v>20</v>
      </c>
      <c r="Y43" s="22" t="s">
        <v>21</v>
      </c>
      <c r="Z43" s="21" t="s">
        <v>20</v>
      </c>
      <c r="AA43" s="30" t="s">
        <v>20</v>
      </c>
      <c r="AB43" s="30" t="s">
        <v>20</v>
      </c>
      <c r="AC43" s="23" t="s">
        <v>21</v>
      </c>
      <c r="AD43" s="31" t="s">
        <v>21</v>
      </c>
      <c r="AE43" s="31" t="s">
        <v>21</v>
      </c>
      <c r="AG43">
        <f t="shared" si="0"/>
        <v>0</v>
      </c>
      <c r="AH43">
        <f t="shared" si="1"/>
        <v>11</v>
      </c>
      <c r="AI43">
        <f t="shared" si="2"/>
        <v>14</v>
      </c>
      <c r="AJ43">
        <f t="shared" si="3"/>
        <v>1</v>
      </c>
      <c r="AL43">
        <f t="shared" si="4"/>
        <v>0</v>
      </c>
      <c r="AM43">
        <f t="shared" si="5"/>
        <v>33</v>
      </c>
      <c r="AN43">
        <f t="shared" si="6"/>
        <v>28</v>
      </c>
      <c r="AO43">
        <f t="shared" si="7"/>
        <v>1</v>
      </c>
      <c r="AP43">
        <f t="shared" si="8"/>
        <v>62</v>
      </c>
    </row>
    <row r="44" spans="1:42" ht="15.75" customHeight="1" x14ac:dyDescent="0.3">
      <c r="A44" s="16"/>
      <c r="B44" s="59">
        <v>1</v>
      </c>
      <c r="C44" s="60" t="s">
        <v>62</v>
      </c>
      <c r="D44" s="59">
        <v>2</v>
      </c>
      <c r="E44" s="59" t="s">
        <v>20</v>
      </c>
      <c r="F44" s="24" t="s">
        <v>21</v>
      </c>
      <c r="G44" s="24" t="s">
        <v>23</v>
      </c>
      <c r="H44" s="24" t="s">
        <v>21</v>
      </c>
      <c r="I44" s="24" t="s">
        <v>21</v>
      </c>
      <c r="J44" s="24" t="s">
        <v>21</v>
      </c>
      <c r="K44" s="24" t="s">
        <v>21</v>
      </c>
      <c r="L44" s="24" t="s">
        <v>20</v>
      </c>
      <c r="M44" s="24" t="s">
        <v>20</v>
      </c>
      <c r="N44" s="24" t="s">
        <v>20</v>
      </c>
      <c r="O44" s="24" t="s">
        <v>21</v>
      </c>
      <c r="P44" s="24" t="s">
        <v>21</v>
      </c>
      <c r="Q44" s="24" t="s">
        <v>21</v>
      </c>
      <c r="R44" s="24" t="s">
        <v>21</v>
      </c>
      <c r="S44" s="24" t="s">
        <v>20</v>
      </c>
      <c r="T44" s="24" t="s">
        <v>21</v>
      </c>
      <c r="U44" s="24" t="s">
        <v>20</v>
      </c>
      <c r="V44" s="32" t="s">
        <v>20</v>
      </c>
      <c r="W44" s="32" t="s">
        <v>20</v>
      </c>
      <c r="X44" s="33" t="s">
        <v>20</v>
      </c>
      <c r="Y44" s="25" t="s">
        <v>20</v>
      </c>
      <c r="Z44" s="24" t="s">
        <v>20</v>
      </c>
      <c r="AA44" s="27" t="s">
        <v>21</v>
      </c>
      <c r="AB44" s="27" t="s">
        <v>21</v>
      </c>
      <c r="AC44" s="27" t="s">
        <v>21</v>
      </c>
      <c r="AD44" s="34" t="s">
        <v>21</v>
      </c>
      <c r="AE44" s="34" t="s">
        <v>21</v>
      </c>
      <c r="AG44">
        <f t="shared" si="0"/>
        <v>0</v>
      </c>
      <c r="AH44">
        <f t="shared" si="1"/>
        <v>10</v>
      </c>
      <c r="AI44">
        <f t="shared" si="2"/>
        <v>15</v>
      </c>
      <c r="AJ44">
        <f t="shared" si="3"/>
        <v>1</v>
      </c>
      <c r="AL44">
        <f t="shared" si="4"/>
        <v>0</v>
      </c>
      <c r="AM44">
        <f t="shared" si="5"/>
        <v>30</v>
      </c>
      <c r="AN44">
        <f t="shared" si="6"/>
        <v>30</v>
      </c>
      <c r="AO44">
        <f t="shared" si="7"/>
        <v>1</v>
      </c>
      <c r="AP44">
        <f t="shared" si="8"/>
        <v>61</v>
      </c>
    </row>
    <row r="45" spans="1:42" ht="15.75" customHeight="1" x14ac:dyDescent="0.3">
      <c r="A45" s="16"/>
      <c r="B45" s="55">
        <v>2</v>
      </c>
      <c r="C45" s="56" t="s">
        <v>63</v>
      </c>
      <c r="D45" s="55">
        <v>2</v>
      </c>
      <c r="E45" s="55" t="s">
        <v>20</v>
      </c>
      <c r="F45" s="18" t="s">
        <v>21</v>
      </c>
      <c r="G45" s="18" t="s">
        <v>21</v>
      </c>
      <c r="H45" s="18" t="s">
        <v>23</v>
      </c>
      <c r="I45" s="18" t="s">
        <v>21</v>
      </c>
      <c r="J45" s="18" t="s">
        <v>21</v>
      </c>
      <c r="K45" s="18" t="s">
        <v>23</v>
      </c>
      <c r="L45" s="18" t="s">
        <v>23</v>
      </c>
      <c r="M45" s="18" t="s">
        <v>20</v>
      </c>
      <c r="N45" s="18" t="s">
        <v>20</v>
      </c>
      <c r="O45" s="18" t="s">
        <v>20</v>
      </c>
      <c r="P45" s="18" t="s">
        <v>20</v>
      </c>
      <c r="Q45" s="18" t="s">
        <v>20</v>
      </c>
      <c r="R45" s="18" t="s">
        <v>20</v>
      </c>
      <c r="S45" s="18" t="s">
        <v>21</v>
      </c>
      <c r="T45" s="18" t="s">
        <v>20</v>
      </c>
      <c r="U45" s="18" t="s">
        <v>20</v>
      </c>
      <c r="V45" s="35" t="s">
        <v>20</v>
      </c>
      <c r="W45" s="35" t="s">
        <v>20</v>
      </c>
      <c r="X45" s="36" t="s">
        <v>20</v>
      </c>
      <c r="Y45" s="19" t="s">
        <v>20</v>
      </c>
      <c r="Z45" s="18" t="s">
        <v>20</v>
      </c>
      <c r="AA45" s="20" t="s">
        <v>21</v>
      </c>
      <c r="AB45" s="20" t="s">
        <v>21</v>
      </c>
      <c r="AC45" s="20" t="s">
        <v>21</v>
      </c>
      <c r="AD45" s="29" t="s">
        <v>20</v>
      </c>
      <c r="AE45" s="29" t="s">
        <v>21</v>
      </c>
      <c r="AG45">
        <f t="shared" si="0"/>
        <v>0</v>
      </c>
      <c r="AH45">
        <f t="shared" si="1"/>
        <v>14</v>
      </c>
      <c r="AI45">
        <f t="shared" si="2"/>
        <v>9</v>
      </c>
      <c r="AJ45">
        <f t="shared" si="3"/>
        <v>3</v>
      </c>
      <c r="AL45">
        <f t="shared" si="4"/>
        <v>0</v>
      </c>
      <c r="AM45">
        <f t="shared" si="5"/>
        <v>42</v>
      </c>
      <c r="AN45">
        <f t="shared" si="6"/>
        <v>18</v>
      </c>
      <c r="AO45">
        <f t="shared" si="7"/>
        <v>3</v>
      </c>
      <c r="AP45">
        <f t="shared" si="8"/>
        <v>63</v>
      </c>
    </row>
    <row r="46" spans="1:42" ht="15.75" customHeight="1" x14ac:dyDescent="0.3">
      <c r="A46" s="16"/>
      <c r="B46" s="55">
        <v>3</v>
      </c>
      <c r="C46" s="56" t="s">
        <v>64</v>
      </c>
      <c r="D46" s="55">
        <v>2</v>
      </c>
      <c r="E46" s="55" t="s">
        <v>20</v>
      </c>
      <c r="F46" s="18" t="s">
        <v>21</v>
      </c>
      <c r="G46" s="18" t="s">
        <v>23</v>
      </c>
      <c r="H46" s="18" t="s">
        <v>21</v>
      </c>
      <c r="I46" s="18" t="s">
        <v>21</v>
      </c>
      <c r="J46" s="18" t="s">
        <v>20</v>
      </c>
      <c r="K46" s="18" t="s">
        <v>23</v>
      </c>
      <c r="L46" s="18" t="s">
        <v>21</v>
      </c>
      <c r="M46" s="18" t="s">
        <v>21</v>
      </c>
      <c r="N46" s="18" t="s">
        <v>21</v>
      </c>
      <c r="O46" s="18" t="s">
        <v>23</v>
      </c>
      <c r="P46" s="18" t="s">
        <v>21</v>
      </c>
      <c r="Q46" s="18" t="s">
        <v>20</v>
      </c>
      <c r="R46" s="18" t="s">
        <v>21</v>
      </c>
      <c r="S46" s="18" t="s">
        <v>23</v>
      </c>
      <c r="T46" s="18" t="s">
        <v>21</v>
      </c>
      <c r="U46" s="18" t="s">
        <v>20</v>
      </c>
      <c r="V46" s="35" t="s">
        <v>21</v>
      </c>
      <c r="W46" s="35" t="s">
        <v>21</v>
      </c>
      <c r="X46" s="36" t="s">
        <v>21</v>
      </c>
      <c r="Y46" s="19" t="s">
        <v>21</v>
      </c>
      <c r="Z46" s="18" t="s">
        <v>20</v>
      </c>
      <c r="AA46" s="20" t="s">
        <v>21</v>
      </c>
      <c r="AB46" s="20" t="s">
        <v>21</v>
      </c>
      <c r="AC46" s="20" t="s">
        <v>21</v>
      </c>
      <c r="AD46" s="29" t="s">
        <v>55</v>
      </c>
      <c r="AE46" s="29" t="s">
        <v>55</v>
      </c>
      <c r="AG46">
        <f t="shared" si="0"/>
        <v>0</v>
      </c>
      <c r="AH46">
        <f t="shared" si="1"/>
        <v>4</v>
      </c>
      <c r="AI46">
        <f t="shared" si="2"/>
        <v>16</v>
      </c>
      <c r="AJ46">
        <f t="shared" si="3"/>
        <v>4</v>
      </c>
      <c r="AL46">
        <f t="shared" si="4"/>
        <v>0</v>
      </c>
      <c r="AM46">
        <f t="shared" si="5"/>
        <v>12</v>
      </c>
      <c r="AN46">
        <f t="shared" si="6"/>
        <v>32</v>
      </c>
      <c r="AO46">
        <f t="shared" si="7"/>
        <v>4</v>
      </c>
      <c r="AP46">
        <f t="shared" si="8"/>
        <v>48</v>
      </c>
    </row>
    <row r="47" spans="1:42" ht="15.75" customHeight="1" x14ac:dyDescent="0.3">
      <c r="A47" s="16"/>
      <c r="B47" s="55">
        <v>4</v>
      </c>
      <c r="C47" s="56" t="s">
        <v>65</v>
      </c>
      <c r="D47" s="55">
        <v>2</v>
      </c>
      <c r="E47" s="55" t="s">
        <v>20</v>
      </c>
      <c r="F47" s="18" t="s">
        <v>21</v>
      </c>
      <c r="G47" s="18" t="s">
        <v>23</v>
      </c>
      <c r="H47" s="18" t="s">
        <v>21</v>
      </c>
      <c r="I47" s="18" t="s">
        <v>21</v>
      </c>
      <c r="J47" s="18" t="s">
        <v>21</v>
      </c>
      <c r="K47" s="18" t="s">
        <v>23</v>
      </c>
      <c r="L47" s="18" t="s">
        <v>21</v>
      </c>
      <c r="M47" s="18" t="s">
        <v>21</v>
      </c>
      <c r="N47" s="18" t="s">
        <v>21</v>
      </c>
      <c r="O47" s="18" t="s">
        <v>23</v>
      </c>
      <c r="P47" s="18" t="s">
        <v>23</v>
      </c>
      <c r="Q47" s="18" t="s">
        <v>23</v>
      </c>
      <c r="R47" s="18" t="s">
        <v>21</v>
      </c>
      <c r="S47" s="18" t="s">
        <v>23</v>
      </c>
      <c r="T47" s="18" t="s">
        <v>23</v>
      </c>
      <c r="U47" s="18" t="s">
        <v>20</v>
      </c>
      <c r="V47" s="35" t="s">
        <v>20</v>
      </c>
      <c r="W47" s="35" t="s">
        <v>20</v>
      </c>
      <c r="X47" s="36" t="s">
        <v>20</v>
      </c>
      <c r="Y47" s="19" t="s">
        <v>20</v>
      </c>
      <c r="Z47" s="18" t="s">
        <v>20</v>
      </c>
      <c r="AA47" s="20" t="s">
        <v>21</v>
      </c>
      <c r="AB47" s="20" t="s">
        <v>21</v>
      </c>
      <c r="AC47" s="20" t="s">
        <v>21</v>
      </c>
      <c r="AD47" s="29" t="s">
        <v>21</v>
      </c>
      <c r="AE47" s="29" t="s">
        <v>21</v>
      </c>
      <c r="AG47">
        <f t="shared" si="0"/>
        <v>0</v>
      </c>
      <c r="AH47">
        <f t="shared" si="1"/>
        <v>6</v>
      </c>
      <c r="AI47">
        <f t="shared" si="2"/>
        <v>13</v>
      </c>
      <c r="AJ47">
        <f t="shared" si="3"/>
        <v>7</v>
      </c>
      <c r="AL47">
        <f t="shared" si="4"/>
        <v>0</v>
      </c>
      <c r="AM47">
        <f t="shared" si="5"/>
        <v>18</v>
      </c>
      <c r="AN47">
        <f t="shared" si="6"/>
        <v>26</v>
      </c>
      <c r="AO47">
        <f t="shared" si="7"/>
        <v>7</v>
      </c>
      <c r="AP47">
        <f t="shared" si="8"/>
        <v>51</v>
      </c>
    </row>
    <row r="48" spans="1:42" ht="15.75" customHeight="1" x14ac:dyDescent="0.3">
      <c r="A48" s="16"/>
      <c r="B48" s="55">
        <v>5</v>
      </c>
      <c r="C48" s="56" t="s">
        <v>66</v>
      </c>
      <c r="D48" s="55">
        <v>2</v>
      </c>
      <c r="E48" s="55" t="s">
        <v>20</v>
      </c>
      <c r="F48" s="18" t="s">
        <v>21</v>
      </c>
      <c r="G48" s="18" t="s">
        <v>21</v>
      </c>
      <c r="H48" s="18" t="s">
        <v>21</v>
      </c>
      <c r="I48" s="18" t="s">
        <v>21</v>
      </c>
      <c r="J48" s="18" t="s">
        <v>21</v>
      </c>
      <c r="K48" s="18" t="s">
        <v>21</v>
      </c>
      <c r="L48" s="18" t="s">
        <v>21</v>
      </c>
      <c r="M48" s="18" t="s">
        <v>21</v>
      </c>
      <c r="N48" s="18" t="s">
        <v>21</v>
      </c>
      <c r="O48" s="18" t="s">
        <v>20</v>
      </c>
      <c r="P48" s="18" t="s">
        <v>21</v>
      </c>
      <c r="Q48" s="18" t="s">
        <v>21</v>
      </c>
      <c r="R48" s="18" t="s">
        <v>21</v>
      </c>
      <c r="S48" s="18" t="s">
        <v>20</v>
      </c>
      <c r="T48" s="18" t="s">
        <v>21</v>
      </c>
      <c r="U48" s="18" t="s">
        <v>20</v>
      </c>
      <c r="V48" s="35" t="s">
        <v>20</v>
      </c>
      <c r="W48" s="35" t="s">
        <v>20</v>
      </c>
      <c r="X48" s="36" t="s">
        <v>20</v>
      </c>
      <c r="Y48" s="19" t="s">
        <v>20</v>
      </c>
      <c r="Z48" s="18" t="s">
        <v>20</v>
      </c>
      <c r="AA48" s="20" t="s">
        <v>21</v>
      </c>
      <c r="AB48" s="20" t="s">
        <v>21</v>
      </c>
      <c r="AC48" s="20" t="s">
        <v>23</v>
      </c>
      <c r="AD48" s="29" t="s">
        <v>21</v>
      </c>
      <c r="AE48" s="29" t="s">
        <v>21</v>
      </c>
      <c r="AG48">
        <f t="shared" si="0"/>
        <v>0</v>
      </c>
      <c r="AH48">
        <f t="shared" si="1"/>
        <v>8</v>
      </c>
      <c r="AI48">
        <f t="shared" si="2"/>
        <v>17</v>
      </c>
      <c r="AJ48">
        <f t="shared" si="3"/>
        <v>1</v>
      </c>
      <c r="AL48">
        <f t="shared" si="4"/>
        <v>0</v>
      </c>
      <c r="AM48">
        <f t="shared" si="5"/>
        <v>24</v>
      </c>
      <c r="AN48">
        <f t="shared" si="6"/>
        <v>34</v>
      </c>
      <c r="AO48">
        <f t="shared" si="7"/>
        <v>1</v>
      </c>
      <c r="AP48">
        <f t="shared" si="8"/>
        <v>59</v>
      </c>
    </row>
    <row r="49" spans="1:42" ht="15.75" customHeight="1" x14ac:dyDescent="0.3">
      <c r="A49" s="16"/>
      <c r="B49" s="55">
        <v>6</v>
      </c>
      <c r="C49" s="56" t="s">
        <v>67</v>
      </c>
      <c r="D49" s="55">
        <v>2</v>
      </c>
      <c r="E49" s="55" t="s">
        <v>20</v>
      </c>
      <c r="F49" s="18" t="s">
        <v>20</v>
      </c>
      <c r="G49" s="18" t="s">
        <v>21</v>
      </c>
      <c r="H49" s="18" t="s">
        <v>20</v>
      </c>
      <c r="I49" s="18" t="s">
        <v>20</v>
      </c>
      <c r="J49" s="18" t="s">
        <v>20</v>
      </c>
      <c r="K49" s="18" t="s">
        <v>20</v>
      </c>
      <c r="L49" s="18" t="s">
        <v>20</v>
      </c>
      <c r="M49" s="18" t="s">
        <v>20</v>
      </c>
      <c r="N49" s="18" t="s">
        <v>20</v>
      </c>
      <c r="O49" s="18" t="s">
        <v>20</v>
      </c>
      <c r="P49" s="18" t="s">
        <v>20</v>
      </c>
      <c r="Q49" s="18" t="s">
        <v>20</v>
      </c>
      <c r="R49" s="18" t="s">
        <v>20</v>
      </c>
      <c r="S49" s="18" t="s">
        <v>20</v>
      </c>
      <c r="T49" s="18" t="s">
        <v>20</v>
      </c>
      <c r="U49" s="18" t="s">
        <v>20</v>
      </c>
      <c r="V49" s="37" t="s">
        <v>20</v>
      </c>
      <c r="W49" s="37" t="s">
        <v>20</v>
      </c>
      <c r="X49" s="37" t="s">
        <v>20</v>
      </c>
      <c r="Y49" s="18" t="s">
        <v>20</v>
      </c>
      <c r="Z49" s="18" t="s">
        <v>20</v>
      </c>
      <c r="AA49" s="20" t="s">
        <v>20</v>
      </c>
      <c r="AB49" s="20" t="s">
        <v>20</v>
      </c>
      <c r="AC49" s="20" t="s">
        <v>20</v>
      </c>
      <c r="AD49" s="29" t="s">
        <v>20</v>
      </c>
      <c r="AE49" s="29" t="s">
        <v>21</v>
      </c>
      <c r="AG49">
        <f t="shared" si="0"/>
        <v>0</v>
      </c>
      <c r="AH49">
        <f t="shared" si="1"/>
        <v>24</v>
      </c>
      <c r="AI49">
        <f t="shared" si="2"/>
        <v>2</v>
      </c>
      <c r="AJ49">
        <f t="shared" si="3"/>
        <v>0</v>
      </c>
      <c r="AL49">
        <f t="shared" si="4"/>
        <v>0</v>
      </c>
      <c r="AM49">
        <f t="shared" si="5"/>
        <v>72</v>
      </c>
      <c r="AN49">
        <f t="shared" si="6"/>
        <v>4</v>
      </c>
      <c r="AO49">
        <f t="shared" si="7"/>
        <v>0</v>
      </c>
      <c r="AP49">
        <f t="shared" si="8"/>
        <v>76</v>
      </c>
    </row>
    <row r="50" spans="1:42" ht="15.75" customHeight="1" x14ac:dyDescent="0.3">
      <c r="A50" s="16"/>
      <c r="B50" s="55">
        <v>7</v>
      </c>
      <c r="C50" s="56" t="s">
        <v>68</v>
      </c>
      <c r="D50" s="55">
        <v>2</v>
      </c>
      <c r="E50" s="55" t="s">
        <v>20</v>
      </c>
      <c r="F50" s="18" t="s">
        <v>21</v>
      </c>
      <c r="G50" s="18" t="s">
        <v>21</v>
      </c>
      <c r="H50" s="18" t="s">
        <v>21</v>
      </c>
      <c r="I50" s="18" t="s">
        <v>21</v>
      </c>
      <c r="J50" s="18" t="s">
        <v>20</v>
      </c>
      <c r="K50" s="18" t="s">
        <v>21</v>
      </c>
      <c r="L50" s="18" t="s">
        <v>21</v>
      </c>
      <c r="M50" s="18" t="s">
        <v>21</v>
      </c>
      <c r="N50" s="18" t="s">
        <v>20</v>
      </c>
      <c r="O50" s="18" t="s">
        <v>23</v>
      </c>
      <c r="P50" s="18" t="s">
        <v>21</v>
      </c>
      <c r="Q50" s="18" t="s">
        <v>21</v>
      </c>
      <c r="R50" s="18" t="s">
        <v>21</v>
      </c>
      <c r="S50" s="18" t="s">
        <v>21</v>
      </c>
      <c r="T50" s="18" t="s">
        <v>20</v>
      </c>
      <c r="U50" s="18" t="s">
        <v>20</v>
      </c>
      <c r="V50" s="37" t="s">
        <v>20</v>
      </c>
      <c r="W50" s="37" t="s">
        <v>20</v>
      </c>
      <c r="X50" s="37" t="s">
        <v>20</v>
      </c>
      <c r="Y50" s="18" t="s">
        <v>20</v>
      </c>
      <c r="Z50" s="18" t="s">
        <v>20</v>
      </c>
      <c r="AA50" s="20" t="s">
        <v>20</v>
      </c>
      <c r="AB50" s="20" t="s">
        <v>20</v>
      </c>
      <c r="AC50" s="20" t="s">
        <v>20</v>
      </c>
      <c r="AD50" s="29" t="s">
        <v>21</v>
      </c>
      <c r="AE50" s="29" t="s">
        <v>21</v>
      </c>
      <c r="AG50">
        <f t="shared" si="0"/>
        <v>0</v>
      </c>
      <c r="AH50">
        <f t="shared" si="1"/>
        <v>12</v>
      </c>
      <c r="AI50">
        <f t="shared" si="2"/>
        <v>13</v>
      </c>
      <c r="AJ50">
        <f t="shared" si="3"/>
        <v>1</v>
      </c>
      <c r="AL50">
        <f t="shared" si="4"/>
        <v>0</v>
      </c>
      <c r="AM50">
        <f t="shared" si="5"/>
        <v>36</v>
      </c>
      <c r="AN50">
        <f t="shared" si="6"/>
        <v>26</v>
      </c>
      <c r="AO50">
        <f t="shared" si="7"/>
        <v>1</v>
      </c>
      <c r="AP50">
        <f t="shared" si="8"/>
        <v>63</v>
      </c>
    </row>
    <row r="51" spans="1:42" ht="15.75" customHeight="1" x14ac:dyDescent="0.3">
      <c r="A51" s="16"/>
      <c r="B51" s="55">
        <v>8</v>
      </c>
      <c r="C51" s="56" t="s">
        <v>69</v>
      </c>
      <c r="D51" s="55">
        <v>2</v>
      </c>
      <c r="E51" s="55" t="s">
        <v>20</v>
      </c>
      <c r="F51" s="18" t="s">
        <v>21</v>
      </c>
      <c r="G51" s="18" t="s">
        <v>21</v>
      </c>
      <c r="H51" s="18" t="s">
        <v>21</v>
      </c>
      <c r="I51" s="18" t="s">
        <v>21</v>
      </c>
      <c r="J51" s="18" t="s">
        <v>20</v>
      </c>
      <c r="K51" s="18" t="s">
        <v>20</v>
      </c>
      <c r="L51" s="18" t="s">
        <v>20</v>
      </c>
      <c r="M51" s="18" t="s">
        <v>21</v>
      </c>
      <c r="N51" s="18" t="s">
        <v>20</v>
      </c>
      <c r="O51" s="18" t="s">
        <v>20</v>
      </c>
      <c r="P51" s="18" t="s">
        <v>20</v>
      </c>
      <c r="Q51" s="18" t="s">
        <v>20</v>
      </c>
      <c r="R51" s="18" t="s">
        <v>20</v>
      </c>
      <c r="S51" s="18" t="s">
        <v>20</v>
      </c>
      <c r="T51" s="18" t="s">
        <v>20</v>
      </c>
      <c r="U51" s="18" t="s">
        <v>21</v>
      </c>
      <c r="V51" s="37" t="s">
        <v>20</v>
      </c>
      <c r="W51" s="37" t="s">
        <v>20</v>
      </c>
      <c r="X51" s="37" t="s">
        <v>20</v>
      </c>
      <c r="Y51" s="18" t="s">
        <v>20</v>
      </c>
      <c r="Z51" s="18" t="s">
        <v>20</v>
      </c>
      <c r="AA51" s="20" t="s">
        <v>20</v>
      </c>
      <c r="AB51" s="20" t="s">
        <v>20</v>
      </c>
      <c r="AC51" s="20" t="s">
        <v>20</v>
      </c>
      <c r="AD51" s="29" t="s">
        <v>21</v>
      </c>
      <c r="AE51" s="29" t="s">
        <v>21</v>
      </c>
      <c r="AG51">
        <f t="shared" si="0"/>
        <v>0</v>
      </c>
      <c r="AH51">
        <f t="shared" si="1"/>
        <v>18</v>
      </c>
      <c r="AI51">
        <f t="shared" si="2"/>
        <v>8</v>
      </c>
      <c r="AJ51">
        <f t="shared" si="3"/>
        <v>0</v>
      </c>
      <c r="AL51">
        <f t="shared" si="4"/>
        <v>0</v>
      </c>
      <c r="AM51">
        <f t="shared" si="5"/>
        <v>54</v>
      </c>
      <c r="AN51">
        <f t="shared" si="6"/>
        <v>16</v>
      </c>
      <c r="AO51">
        <f t="shared" si="7"/>
        <v>0</v>
      </c>
      <c r="AP51">
        <f t="shared" si="8"/>
        <v>70</v>
      </c>
    </row>
    <row r="52" spans="1:42" ht="15.75" customHeight="1" x14ac:dyDescent="0.3">
      <c r="A52" s="16"/>
      <c r="B52" s="55">
        <v>9</v>
      </c>
      <c r="C52" s="56" t="s">
        <v>70</v>
      </c>
      <c r="D52" s="55">
        <v>2</v>
      </c>
      <c r="E52" s="55" t="s">
        <v>20</v>
      </c>
      <c r="F52" s="18" t="s">
        <v>21</v>
      </c>
      <c r="G52" s="18" t="s">
        <v>21</v>
      </c>
      <c r="H52" s="18" t="s">
        <v>21</v>
      </c>
      <c r="I52" s="18" t="s">
        <v>21</v>
      </c>
      <c r="J52" s="18" t="s">
        <v>21</v>
      </c>
      <c r="K52" s="18" t="s">
        <v>21</v>
      </c>
      <c r="L52" s="18" t="s">
        <v>21</v>
      </c>
      <c r="M52" s="18" t="s">
        <v>21</v>
      </c>
      <c r="N52" s="18" t="s">
        <v>21</v>
      </c>
      <c r="O52" s="18" t="s">
        <v>23</v>
      </c>
      <c r="P52" s="18" t="s">
        <v>21</v>
      </c>
      <c r="Q52" s="18" t="s">
        <v>21</v>
      </c>
      <c r="R52" s="18" t="s">
        <v>21</v>
      </c>
      <c r="S52" s="18" t="s">
        <v>23</v>
      </c>
      <c r="T52" s="18" t="s">
        <v>23</v>
      </c>
      <c r="U52" s="18" t="s">
        <v>20</v>
      </c>
      <c r="V52" s="37" t="s">
        <v>20</v>
      </c>
      <c r="W52" s="37" t="s">
        <v>20</v>
      </c>
      <c r="X52" s="37" t="s">
        <v>20</v>
      </c>
      <c r="Y52" s="18" t="s">
        <v>21</v>
      </c>
      <c r="Z52" s="18" t="s">
        <v>20</v>
      </c>
      <c r="AA52" s="20" t="s">
        <v>23</v>
      </c>
      <c r="AB52" s="20" t="s">
        <v>21</v>
      </c>
      <c r="AC52" s="20" t="s">
        <v>23</v>
      </c>
      <c r="AD52" s="29" t="s">
        <v>21</v>
      </c>
      <c r="AE52" s="29" t="s">
        <v>21</v>
      </c>
      <c r="AG52">
        <f t="shared" si="0"/>
        <v>0</v>
      </c>
      <c r="AH52">
        <f t="shared" si="1"/>
        <v>5</v>
      </c>
      <c r="AI52">
        <f t="shared" si="2"/>
        <v>16</v>
      </c>
      <c r="AJ52">
        <f t="shared" si="3"/>
        <v>5</v>
      </c>
      <c r="AL52">
        <f t="shared" si="4"/>
        <v>0</v>
      </c>
      <c r="AM52">
        <f t="shared" si="5"/>
        <v>15</v>
      </c>
      <c r="AN52">
        <f t="shared" si="6"/>
        <v>32</v>
      </c>
      <c r="AO52">
        <f t="shared" si="7"/>
        <v>5</v>
      </c>
      <c r="AP52">
        <f t="shared" si="8"/>
        <v>52</v>
      </c>
    </row>
    <row r="53" spans="1:42" ht="15.75" customHeight="1" x14ac:dyDescent="0.3">
      <c r="A53" s="16"/>
      <c r="B53" s="55">
        <v>10</v>
      </c>
      <c r="C53" s="56" t="s">
        <v>71</v>
      </c>
      <c r="D53" s="55">
        <v>2</v>
      </c>
      <c r="E53" s="55" t="s">
        <v>20</v>
      </c>
      <c r="F53" s="18" t="s">
        <v>21</v>
      </c>
      <c r="G53" s="18" t="s">
        <v>21</v>
      </c>
      <c r="H53" s="18" t="s">
        <v>21</v>
      </c>
      <c r="I53" s="18" t="s">
        <v>21</v>
      </c>
      <c r="J53" s="18" t="s">
        <v>20</v>
      </c>
      <c r="K53" s="18" t="s">
        <v>21</v>
      </c>
      <c r="L53" s="18" t="s">
        <v>21</v>
      </c>
      <c r="M53" s="18" t="s">
        <v>21</v>
      </c>
      <c r="N53" s="18" t="s">
        <v>21</v>
      </c>
      <c r="O53" s="18" t="s">
        <v>20</v>
      </c>
      <c r="P53" s="18" t="s">
        <v>21</v>
      </c>
      <c r="Q53" s="18" t="s">
        <v>21</v>
      </c>
      <c r="R53" s="18" t="s">
        <v>21</v>
      </c>
      <c r="S53" s="18" t="s">
        <v>21</v>
      </c>
      <c r="T53" s="18" t="s">
        <v>20</v>
      </c>
      <c r="U53" s="18" t="s">
        <v>20</v>
      </c>
      <c r="V53" s="37" t="s">
        <v>20</v>
      </c>
      <c r="W53" s="37" t="s">
        <v>20</v>
      </c>
      <c r="X53" s="37" t="s">
        <v>20</v>
      </c>
      <c r="Y53" s="18" t="s">
        <v>20</v>
      </c>
      <c r="Z53" s="18" t="s">
        <v>21</v>
      </c>
      <c r="AA53" s="20" t="s">
        <v>20</v>
      </c>
      <c r="AB53" s="20" t="s">
        <v>21</v>
      </c>
      <c r="AC53" s="20" t="s">
        <v>21</v>
      </c>
      <c r="AD53" s="29" t="s">
        <v>21</v>
      </c>
      <c r="AE53" s="29" t="s">
        <v>21</v>
      </c>
      <c r="AG53">
        <f t="shared" si="0"/>
        <v>0</v>
      </c>
      <c r="AH53">
        <f t="shared" si="1"/>
        <v>9</v>
      </c>
      <c r="AI53">
        <f t="shared" si="2"/>
        <v>17</v>
      </c>
      <c r="AJ53">
        <f t="shared" si="3"/>
        <v>0</v>
      </c>
      <c r="AL53">
        <f t="shared" si="4"/>
        <v>0</v>
      </c>
      <c r="AM53">
        <f t="shared" si="5"/>
        <v>27</v>
      </c>
      <c r="AN53">
        <f t="shared" si="6"/>
        <v>34</v>
      </c>
      <c r="AO53">
        <f t="shared" si="7"/>
        <v>0</v>
      </c>
      <c r="AP53">
        <f t="shared" si="8"/>
        <v>61</v>
      </c>
    </row>
    <row r="54" spans="1:42" ht="15.75" customHeight="1" x14ac:dyDescent="0.3">
      <c r="A54" s="16"/>
      <c r="B54" s="55">
        <v>11</v>
      </c>
      <c r="C54" s="56" t="s">
        <v>72</v>
      </c>
      <c r="D54" s="55">
        <v>2</v>
      </c>
      <c r="E54" s="55" t="s">
        <v>20</v>
      </c>
      <c r="F54" s="18" t="s">
        <v>20</v>
      </c>
      <c r="G54" s="18" t="s">
        <v>20</v>
      </c>
      <c r="H54" s="18" t="s">
        <v>20</v>
      </c>
      <c r="I54" s="18" t="s">
        <v>20</v>
      </c>
      <c r="J54" s="18" t="s">
        <v>20</v>
      </c>
      <c r="K54" s="18" t="s">
        <v>20</v>
      </c>
      <c r="L54" s="18" t="s">
        <v>20</v>
      </c>
      <c r="M54" s="18" t="s">
        <v>20</v>
      </c>
      <c r="N54" s="18" t="s">
        <v>20</v>
      </c>
      <c r="O54" s="18" t="s">
        <v>20</v>
      </c>
      <c r="P54" s="18" t="s">
        <v>20</v>
      </c>
      <c r="Q54" s="18" t="s">
        <v>20</v>
      </c>
      <c r="R54" s="18" t="s">
        <v>20</v>
      </c>
      <c r="S54" s="18" t="s">
        <v>20</v>
      </c>
      <c r="T54" s="18" t="s">
        <v>21</v>
      </c>
      <c r="U54" s="18" t="s">
        <v>20</v>
      </c>
      <c r="V54" s="37" t="s">
        <v>21</v>
      </c>
      <c r="W54" s="37" t="s">
        <v>20</v>
      </c>
      <c r="X54" s="37" t="s">
        <v>21</v>
      </c>
      <c r="Y54" s="18" t="s">
        <v>20</v>
      </c>
      <c r="Z54" s="18" t="s">
        <v>20</v>
      </c>
      <c r="AA54" s="20" t="s">
        <v>20</v>
      </c>
      <c r="AB54" s="20" t="s">
        <v>20</v>
      </c>
      <c r="AC54" s="20" t="s">
        <v>20</v>
      </c>
      <c r="AD54" s="29" t="s">
        <v>55</v>
      </c>
      <c r="AE54" s="29" t="s">
        <v>55</v>
      </c>
      <c r="AG54">
        <f t="shared" si="0"/>
        <v>0</v>
      </c>
      <c r="AH54">
        <f t="shared" si="1"/>
        <v>21</v>
      </c>
      <c r="AI54">
        <f t="shared" si="2"/>
        <v>3</v>
      </c>
      <c r="AJ54">
        <f t="shared" si="3"/>
        <v>0</v>
      </c>
      <c r="AL54">
        <f t="shared" si="4"/>
        <v>0</v>
      </c>
      <c r="AM54">
        <f t="shared" si="5"/>
        <v>63</v>
      </c>
      <c r="AN54">
        <f t="shared" si="6"/>
        <v>6</v>
      </c>
      <c r="AO54">
        <f t="shared" si="7"/>
        <v>0</v>
      </c>
      <c r="AP54">
        <f t="shared" si="8"/>
        <v>69</v>
      </c>
    </row>
    <row r="55" spans="1:42" ht="15.75" customHeight="1" x14ac:dyDescent="0.3">
      <c r="A55" s="16"/>
      <c r="B55" s="55">
        <v>12</v>
      </c>
      <c r="C55" s="56" t="s">
        <v>73</v>
      </c>
      <c r="D55" s="55">
        <v>2</v>
      </c>
      <c r="E55" s="55" t="s">
        <v>20</v>
      </c>
      <c r="F55" s="18" t="s">
        <v>20</v>
      </c>
      <c r="G55" s="18" t="s">
        <v>21</v>
      </c>
      <c r="H55" s="18" t="s">
        <v>21</v>
      </c>
      <c r="I55" s="18" t="s">
        <v>21</v>
      </c>
      <c r="J55" s="18" t="s">
        <v>21</v>
      </c>
      <c r="K55" s="18" t="s">
        <v>21</v>
      </c>
      <c r="L55" s="18" t="s">
        <v>21</v>
      </c>
      <c r="M55" s="18" t="s">
        <v>21</v>
      </c>
      <c r="N55" s="18" t="s">
        <v>21</v>
      </c>
      <c r="O55" s="18" t="s">
        <v>23</v>
      </c>
      <c r="P55" s="18" t="s">
        <v>23</v>
      </c>
      <c r="Q55" s="18" t="s">
        <v>23</v>
      </c>
      <c r="R55" s="18" t="s">
        <v>21</v>
      </c>
      <c r="S55" s="18" t="s">
        <v>23</v>
      </c>
      <c r="T55" s="18" t="s">
        <v>23</v>
      </c>
      <c r="U55" s="18" t="s">
        <v>21</v>
      </c>
      <c r="V55" s="37" t="s">
        <v>21</v>
      </c>
      <c r="W55" s="37" t="s">
        <v>21</v>
      </c>
      <c r="X55" s="37" t="s">
        <v>21</v>
      </c>
      <c r="Y55" s="18" t="s">
        <v>21</v>
      </c>
      <c r="Z55" s="18" t="s">
        <v>21</v>
      </c>
      <c r="AA55" s="20" t="s">
        <v>23</v>
      </c>
      <c r="AB55" s="20" t="s">
        <v>21</v>
      </c>
      <c r="AC55" s="20" t="s">
        <v>23</v>
      </c>
      <c r="AD55" s="29" t="s">
        <v>23</v>
      </c>
      <c r="AE55" s="29" t="s">
        <v>21</v>
      </c>
      <c r="AG55">
        <f t="shared" si="0"/>
        <v>0</v>
      </c>
      <c r="AH55">
        <f t="shared" si="1"/>
        <v>1</v>
      </c>
      <c r="AI55">
        <f t="shared" si="2"/>
        <v>17</v>
      </c>
      <c r="AJ55">
        <f t="shared" si="3"/>
        <v>8</v>
      </c>
      <c r="AL55">
        <f t="shared" si="4"/>
        <v>0</v>
      </c>
      <c r="AM55">
        <f t="shared" si="5"/>
        <v>3</v>
      </c>
      <c r="AN55">
        <f t="shared" si="6"/>
        <v>34</v>
      </c>
      <c r="AO55">
        <f t="shared" si="7"/>
        <v>8</v>
      </c>
      <c r="AP55">
        <f t="shared" si="8"/>
        <v>45</v>
      </c>
    </row>
    <row r="56" spans="1:42" ht="15.75" customHeight="1" x14ac:dyDescent="0.3">
      <c r="A56" s="16"/>
      <c r="B56" s="55">
        <v>13</v>
      </c>
      <c r="C56" s="56" t="s">
        <v>74</v>
      </c>
      <c r="D56" s="55">
        <v>2</v>
      </c>
      <c r="E56" s="55" t="s">
        <v>20</v>
      </c>
      <c r="F56" s="18" t="s">
        <v>21</v>
      </c>
      <c r="G56" s="18" t="s">
        <v>21</v>
      </c>
      <c r="H56" s="18" t="s">
        <v>21</v>
      </c>
      <c r="I56" s="18" t="s">
        <v>21</v>
      </c>
      <c r="J56" s="18" t="s">
        <v>21</v>
      </c>
      <c r="K56" s="18" t="s">
        <v>23</v>
      </c>
      <c r="L56" s="18" t="s">
        <v>21</v>
      </c>
      <c r="M56" s="18" t="s">
        <v>21</v>
      </c>
      <c r="N56" s="18" t="s">
        <v>21</v>
      </c>
      <c r="O56" s="18" t="s">
        <v>23</v>
      </c>
      <c r="P56" s="18" t="s">
        <v>23</v>
      </c>
      <c r="Q56" s="18" t="s">
        <v>23</v>
      </c>
      <c r="R56" s="18" t="s">
        <v>23</v>
      </c>
      <c r="S56" s="18" t="s">
        <v>23</v>
      </c>
      <c r="T56" s="18" t="s">
        <v>23</v>
      </c>
      <c r="U56" s="18" t="s">
        <v>21</v>
      </c>
      <c r="V56" s="37" t="s">
        <v>20</v>
      </c>
      <c r="W56" s="37" t="s">
        <v>20</v>
      </c>
      <c r="X56" s="37" t="s">
        <v>20</v>
      </c>
      <c r="Y56" s="18" t="s">
        <v>21</v>
      </c>
      <c r="Z56" s="18" t="s">
        <v>21</v>
      </c>
      <c r="AA56" s="20" t="s">
        <v>21</v>
      </c>
      <c r="AB56" s="20" t="s">
        <v>23</v>
      </c>
      <c r="AC56" s="20" t="s">
        <v>23</v>
      </c>
      <c r="AD56" s="29" t="s">
        <v>23</v>
      </c>
      <c r="AE56" s="29" t="s">
        <v>21</v>
      </c>
      <c r="AG56">
        <f t="shared" si="0"/>
        <v>0</v>
      </c>
      <c r="AH56">
        <f t="shared" si="1"/>
        <v>3</v>
      </c>
      <c r="AI56">
        <f t="shared" si="2"/>
        <v>13</v>
      </c>
      <c r="AJ56">
        <f t="shared" si="3"/>
        <v>10</v>
      </c>
      <c r="AL56">
        <f t="shared" si="4"/>
        <v>0</v>
      </c>
      <c r="AM56">
        <f t="shared" si="5"/>
        <v>9</v>
      </c>
      <c r="AN56">
        <f t="shared" si="6"/>
        <v>26</v>
      </c>
      <c r="AO56">
        <f t="shared" si="7"/>
        <v>10</v>
      </c>
      <c r="AP56">
        <f t="shared" si="8"/>
        <v>45</v>
      </c>
    </row>
    <row r="57" spans="1:42" ht="15.75" customHeight="1" x14ac:dyDescent="0.3">
      <c r="A57" s="16"/>
      <c r="B57" s="55">
        <v>14</v>
      </c>
      <c r="C57" s="56" t="s">
        <v>75</v>
      </c>
      <c r="D57" s="55">
        <v>2</v>
      </c>
      <c r="E57" s="55" t="s">
        <v>20</v>
      </c>
      <c r="F57" s="18" t="s">
        <v>20</v>
      </c>
      <c r="G57" s="18" t="s">
        <v>21</v>
      </c>
      <c r="H57" s="18" t="s">
        <v>21</v>
      </c>
      <c r="I57" s="18" t="s">
        <v>21</v>
      </c>
      <c r="J57" s="18" t="s">
        <v>21</v>
      </c>
      <c r="K57" s="18" t="s">
        <v>23</v>
      </c>
      <c r="L57" s="18" t="s">
        <v>20</v>
      </c>
      <c r="M57" s="18" t="s">
        <v>21</v>
      </c>
      <c r="N57" s="18" t="s">
        <v>21</v>
      </c>
      <c r="O57" s="18" t="s">
        <v>23</v>
      </c>
      <c r="P57" s="18" t="s">
        <v>20</v>
      </c>
      <c r="Q57" s="18" t="s">
        <v>20</v>
      </c>
      <c r="R57" s="18" t="s">
        <v>21</v>
      </c>
      <c r="S57" s="18" t="s">
        <v>21</v>
      </c>
      <c r="T57" s="18" t="s">
        <v>23</v>
      </c>
      <c r="U57" s="18" t="s">
        <v>21</v>
      </c>
      <c r="V57" s="37" t="s">
        <v>21</v>
      </c>
      <c r="W57" s="37" t="s">
        <v>20</v>
      </c>
      <c r="X57" s="37" t="s">
        <v>21</v>
      </c>
      <c r="Y57" s="18" t="s">
        <v>21</v>
      </c>
      <c r="Z57" s="18" t="s">
        <v>20</v>
      </c>
      <c r="AA57" s="20" t="s">
        <v>23</v>
      </c>
      <c r="AB57" s="20" t="s">
        <v>21</v>
      </c>
      <c r="AC57" s="20" t="s">
        <v>21</v>
      </c>
      <c r="AD57" s="29" t="s">
        <v>23</v>
      </c>
      <c r="AE57" s="29" t="s">
        <v>21</v>
      </c>
      <c r="AG57">
        <f t="shared" si="0"/>
        <v>0</v>
      </c>
      <c r="AH57">
        <f t="shared" si="1"/>
        <v>6</v>
      </c>
      <c r="AI57">
        <f t="shared" si="2"/>
        <v>15</v>
      </c>
      <c r="AJ57">
        <f t="shared" si="3"/>
        <v>5</v>
      </c>
      <c r="AL57">
        <f t="shared" si="4"/>
        <v>0</v>
      </c>
      <c r="AM57">
        <f t="shared" si="5"/>
        <v>18</v>
      </c>
      <c r="AN57">
        <f t="shared" si="6"/>
        <v>30</v>
      </c>
      <c r="AO57">
        <f t="shared" si="7"/>
        <v>5</v>
      </c>
      <c r="AP57">
        <f t="shared" si="8"/>
        <v>53</v>
      </c>
    </row>
    <row r="58" spans="1:42" ht="15.75" customHeight="1" x14ac:dyDescent="0.3">
      <c r="A58" s="16"/>
      <c r="B58" s="55">
        <v>15</v>
      </c>
      <c r="C58" s="56" t="s">
        <v>76</v>
      </c>
      <c r="D58" s="55">
        <v>2</v>
      </c>
      <c r="E58" s="55" t="s">
        <v>20</v>
      </c>
      <c r="F58" s="18" t="s">
        <v>20</v>
      </c>
      <c r="G58" s="18" t="s">
        <v>21</v>
      </c>
      <c r="H58" s="18" t="s">
        <v>21</v>
      </c>
      <c r="I58" s="18" t="s">
        <v>21</v>
      </c>
      <c r="J58" s="18" t="s">
        <v>20</v>
      </c>
      <c r="K58" s="18" t="s">
        <v>21</v>
      </c>
      <c r="L58" s="18" t="s">
        <v>21</v>
      </c>
      <c r="M58" s="18" t="s">
        <v>21</v>
      </c>
      <c r="N58" s="18" t="s">
        <v>21</v>
      </c>
      <c r="O58" s="18" t="s">
        <v>20</v>
      </c>
      <c r="P58" s="18" t="s">
        <v>21</v>
      </c>
      <c r="Q58" s="18" t="s">
        <v>21</v>
      </c>
      <c r="R58" s="18" t="s">
        <v>21</v>
      </c>
      <c r="S58" s="18" t="s">
        <v>20</v>
      </c>
      <c r="T58" s="18" t="s">
        <v>21</v>
      </c>
      <c r="U58" s="18" t="s">
        <v>21</v>
      </c>
      <c r="V58" s="37" t="s">
        <v>21</v>
      </c>
      <c r="W58" s="37" t="s">
        <v>20</v>
      </c>
      <c r="X58" s="37" t="s">
        <v>20</v>
      </c>
      <c r="Y58" s="18" t="s">
        <v>21</v>
      </c>
      <c r="Z58" s="18" t="s">
        <v>21</v>
      </c>
      <c r="AA58" s="20" t="s">
        <v>21</v>
      </c>
      <c r="AB58" s="20" t="s">
        <v>21</v>
      </c>
      <c r="AC58" s="20" t="s">
        <v>21</v>
      </c>
      <c r="AD58" s="29" t="s">
        <v>23</v>
      </c>
      <c r="AE58" s="29" t="s">
        <v>21</v>
      </c>
      <c r="AG58">
        <f t="shared" si="0"/>
        <v>0</v>
      </c>
      <c r="AH58">
        <f t="shared" si="1"/>
        <v>6</v>
      </c>
      <c r="AI58">
        <f t="shared" si="2"/>
        <v>19</v>
      </c>
      <c r="AJ58">
        <f t="shared" si="3"/>
        <v>1</v>
      </c>
      <c r="AL58">
        <f t="shared" si="4"/>
        <v>0</v>
      </c>
      <c r="AM58">
        <f t="shared" si="5"/>
        <v>18</v>
      </c>
      <c r="AN58">
        <f t="shared" si="6"/>
        <v>38</v>
      </c>
      <c r="AO58">
        <f t="shared" si="7"/>
        <v>1</v>
      </c>
      <c r="AP58">
        <f t="shared" si="8"/>
        <v>57</v>
      </c>
    </row>
    <row r="59" spans="1:42" ht="15.75" customHeight="1" x14ac:dyDescent="0.3">
      <c r="A59" s="16"/>
      <c r="B59" s="55">
        <v>16</v>
      </c>
      <c r="C59" s="56" t="s">
        <v>77</v>
      </c>
      <c r="D59" s="55">
        <v>2</v>
      </c>
      <c r="E59" s="55" t="s">
        <v>20</v>
      </c>
      <c r="F59" s="18" t="s">
        <v>21</v>
      </c>
      <c r="G59" s="18" t="s">
        <v>21</v>
      </c>
      <c r="H59" s="18" t="s">
        <v>21</v>
      </c>
      <c r="I59" s="18" t="s">
        <v>21</v>
      </c>
      <c r="J59" s="18" t="s">
        <v>21</v>
      </c>
      <c r="K59" s="18" t="s">
        <v>21</v>
      </c>
      <c r="L59" s="18" t="s">
        <v>21</v>
      </c>
      <c r="M59" s="18" t="s">
        <v>20</v>
      </c>
      <c r="N59" s="18" t="s">
        <v>20</v>
      </c>
      <c r="O59" s="18" t="s">
        <v>20</v>
      </c>
      <c r="P59" s="18" t="s">
        <v>21</v>
      </c>
      <c r="Q59" s="18" t="s">
        <v>21</v>
      </c>
      <c r="R59" s="18" t="s">
        <v>21</v>
      </c>
      <c r="S59" s="18" t="s">
        <v>20</v>
      </c>
      <c r="T59" s="18" t="s">
        <v>20</v>
      </c>
      <c r="U59" s="18" t="s">
        <v>21</v>
      </c>
      <c r="V59" s="37" t="s">
        <v>20</v>
      </c>
      <c r="W59" s="37" t="s">
        <v>20</v>
      </c>
      <c r="X59" s="37" t="s">
        <v>20</v>
      </c>
      <c r="Y59" s="18" t="s">
        <v>20</v>
      </c>
      <c r="Z59" s="18" t="s">
        <v>20</v>
      </c>
      <c r="AA59" s="20" t="s">
        <v>21</v>
      </c>
      <c r="AB59" s="20" t="s">
        <v>21</v>
      </c>
      <c r="AC59" s="20" t="s">
        <v>21</v>
      </c>
      <c r="AD59" s="29" t="s">
        <v>21</v>
      </c>
      <c r="AE59" s="29" t="s">
        <v>21</v>
      </c>
      <c r="AG59">
        <f t="shared" si="0"/>
        <v>0</v>
      </c>
      <c r="AH59">
        <f t="shared" si="1"/>
        <v>10</v>
      </c>
      <c r="AI59">
        <f t="shared" si="2"/>
        <v>16</v>
      </c>
      <c r="AJ59">
        <f t="shared" si="3"/>
        <v>0</v>
      </c>
      <c r="AL59">
        <f t="shared" si="4"/>
        <v>0</v>
      </c>
      <c r="AM59">
        <f t="shared" si="5"/>
        <v>30</v>
      </c>
      <c r="AN59">
        <f t="shared" si="6"/>
        <v>32</v>
      </c>
      <c r="AO59">
        <f t="shared" si="7"/>
        <v>0</v>
      </c>
      <c r="AP59">
        <f t="shared" si="8"/>
        <v>62</v>
      </c>
    </row>
    <row r="60" spans="1:42" ht="15.75" customHeight="1" x14ac:dyDescent="0.3">
      <c r="A60" s="16"/>
      <c r="B60" s="55">
        <v>17</v>
      </c>
      <c r="C60" s="56" t="s">
        <v>78</v>
      </c>
      <c r="D60" s="55">
        <v>2</v>
      </c>
      <c r="E60" s="55" t="s">
        <v>20</v>
      </c>
      <c r="F60" s="18" t="s">
        <v>21</v>
      </c>
      <c r="G60" s="18" t="s">
        <v>21</v>
      </c>
      <c r="H60" s="18" t="s">
        <v>21</v>
      </c>
      <c r="I60" s="18" t="s">
        <v>21</v>
      </c>
      <c r="J60" s="18" t="s">
        <v>23</v>
      </c>
      <c r="K60" s="18" t="s">
        <v>21</v>
      </c>
      <c r="L60" s="18" t="s">
        <v>21</v>
      </c>
      <c r="M60" s="18" t="s">
        <v>21</v>
      </c>
      <c r="N60" s="18" t="s">
        <v>21</v>
      </c>
      <c r="O60" s="18" t="s">
        <v>20</v>
      </c>
      <c r="P60" s="18" t="s">
        <v>21</v>
      </c>
      <c r="Q60" s="18" t="s">
        <v>21</v>
      </c>
      <c r="R60" s="18" t="s">
        <v>21</v>
      </c>
      <c r="S60" s="18" t="s">
        <v>21</v>
      </c>
      <c r="T60" s="18" t="s">
        <v>21</v>
      </c>
      <c r="U60" s="18" t="s">
        <v>21</v>
      </c>
      <c r="V60" s="37" t="s">
        <v>20</v>
      </c>
      <c r="W60" s="37" t="s">
        <v>20</v>
      </c>
      <c r="X60" s="37" t="s">
        <v>20</v>
      </c>
      <c r="Y60" s="18" t="s">
        <v>20</v>
      </c>
      <c r="Z60" s="18" t="s">
        <v>20</v>
      </c>
      <c r="AA60" s="20" t="s">
        <v>23</v>
      </c>
      <c r="AB60" s="20" t="s">
        <v>23</v>
      </c>
      <c r="AC60" s="20" t="s">
        <v>21</v>
      </c>
      <c r="AD60" s="29" t="s">
        <v>21</v>
      </c>
      <c r="AE60" s="29" t="s">
        <v>21</v>
      </c>
      <c r="AG60">
        <f t="shared" si="0"/>
        <v>0</v>
      </c>
      <c r="AH60">
        <f t="shared" si="1"/>
        <v>6</v>
      </c>
      <c r="AI60">
        <f t="shared" si="2"/>
        <v>17</v>
      </c>
      <c r="AJ60">
        <f t="shared" si="3"/>
        <v>3</v>
      </c>
      <c r="AL60">
        <f t="shared" si="4"/>
        <v>0</v>
      </c>
      <c r="AM60">
        <f t="shared" si="5"/>
        <v>18</v>
      </c>
      <c r="AN60">
        <f t="shared" si="6"/>
        <v>34</v>
      </c>
      <c r="AO60">
        <f t="shared" si="7"/>
        <v>3</v>
      </c>
      <c r="AP60">
        <f t="shared" si="8"/>
        <v>55</v>
      </c>
    </row>
    <row r="61" spans="1:42" ht="15.75" customHeight="1" x14ac:dyDescent="0.3">
      <c r="A61" s="16"/>
      <c r="B61" s="55">
        <v>18</v>
      </c>
      <c r="C61" s="56" t="s">
        <v>79</v>
      </c>
      <c r="D61" s="55">
        <v>2</v>
      </c>
      <c r="E61" s="55" t="s">
        <v>20</v>
      </c>
      <c r="F61" s="18" t="s">
        <v>20</v>
      </c>
      <c r="G61" s="18" t="s">
        <v>20</v>
      </c>
      <c r="H61" s="18" t="s">
        <v>20</v>
      </c>
      <c r="I61" s="18" t="s">
        <v>20</v>
      </c>
      <c r="J61" s="18" t="s">
        <v>20</v>
      </c>
      <c r="K61" s="18" t="s">
        <v>20</v>
      </c>
      <c r="L61" s="18" t="s">
        <v>20</v>
      </c>
      <c r="M61" s="18" t="s">
        <v>20</v>
      </c>
      <c r="N61" s="18" t="s">
        <v>20</v>
      </c>
      <c r="O61" s="18" t="s">
        <v>20</v>
      </c>
      <c r="P61" s="18" t="s">
        <v>20</v>
      </c>
      <c r="Q61" s="18" t="s">
        <v>20</v>
      </c>
      <c r="R61" s="18" t="s">
        <v>20</v>
      </c>
      <c r="S61" s="18" t="s">
        <v>20</v>
      </c>
      <c r="T61" s="18" t="s">
        <v>20</v>
      </c>
      <c r="U61" s="18" t="s">
        <v>20</v>
      </c>
      <c r="V61" s="37" t="s">
        <v>20</v>
      </c>
      <c r="W61" s="37" t="s">
        <v>20</v>
      </c>
      <c r="X61" s="37" t="s">
        <v>20</v>
      </c>
      <c r="Y61" s="18" t="s">
        <v>39</v>
      </c>
      <c r="Z61" s="18" t="s">
        <v>39</v>
      </c>
      <c r="AA61" s="20" t="s">
        <v>20</v>
      </c>
      <c r="AB61" s="20" t="s">
        <v>20</v>
      </c>
      <c r="AC61" s="20" t="s">
        <v>20</v>
      </c>
      <c r="AD61" s="29" t="s">
        <v>20</v>
      </c>
      <c r="AE61" s="29" t="s">
        <v>21</v>
      </c>
      <c r="AG61">
        <f t="shared" si="0"/>
        <v>2</v>
      </c>
      <c r="AH61">
        <f t="shared" si="1"/>
        <v>23</v>
      </c>
      <c r="AI61">
        <f t="shared" si="2"/>
        <v>1</v>
      </c>
      <c r="AJ61">
        <f t="shared" si="3"/>
        <v>0</v>
      </c>
      <c r="AL61">
        <f t="shared" si="4"/>
        <v>8</v>
      </c>
      <c r="AM61">
        <f t="shared" si="5"/>
        <v>69</v>
      </c>
      <c r="AN61">
        <f t="shared" si="6"/>
        <v>2</v>
      </c>
      <c r="AO61">
        <f t="shared" si="7"/>
        <v>0</v>
      </c>
      <c r="AP61">
        <f t="shared" si="8"/>
        <v>79</v>
      </c>
    </row>
    <row r="62" spans="1:42" ht="15.75" customHeight="1" x14ac:dyDescent="0.3">
      <c r="A62" s="16"/>
      <c r="B62" s="55">
        <v>19</v>
      </c>
      <c r="C62" s="56" t="s">
        <v>80</v>
      </c>
      <c r="D62" s="55">
        <v>2</v>
      </c>
      <c r="E62" s="55" t="s">
        <v>20</v>
      </c>
      <c r="F62" s="18" t="s">
        <v>21</v>
      </c>
      <c r="G62" s="18" t="s">
        <v>20</v>
      </c>
      <c r="H62" s="18" t="s">
        <v>21</v>
      </c>
      <c r="I62" s="18" t="s">
        <v>21</v>
      </c>
      <c r="J62" s="18" t="s">
        <v>21</v>
      </c>
      <c r="K62" s="18" t="s">
        <v>23</v>
      </c>
      <c r="L62" s="18" t="s">
        <v>23</v>
      </c>
      <c r="M62" s="18" t="s">
        <v>21</v>
      </c>
      <c r="N62" s="18" t="s">
        <v>21</v>
      </c>
      <c r="O62" s="18" t="s">
        <v>20</v>
      </c>
      <c r="P62" s="18" t="s">
        <v>21</v>
      </c>
      <c r="Q62" s="18" t="s">
        <v>21</v>
      </c>
      <c r="R62" s="18" t="s">
        <v>23</v>
      </c>
      <c r="S62" s="18" t="s">
        <v>21</v>
      </c>
      <c r="T62" s="18" t="s">
        <v>21</v>
      </c>
      <c r="U62" s="18" t="s">
        <v>21</v>
      </c>
      <c r="V62" s="37" t="s">
        <v>21</v>
      </c>
      <c r="W62" s="37" t="s">
        <v>20</v>
      </c>
      <c r="X62" s="37" t="s">
        <v>20</v>
      </c>
      <c r="Y62" s="18" t="s">
        <v>20</v>
      </c>
      <c r="Z62" s="18" t="s">
        <v>20</v>
      </c>
      <c r="AA62" s="20" t="s">
        <v>23</v>
      </c>
      <c r="AB62" s="20" t="s">
        <v>21</v>
      </c>
      <c r="AC62" s="20" t="s">
        <v>21</v>
      </c>
      <c r="AD62" s="29" t="s">
        <v>23</v>
      </c>
      <c r="AE62" s="29" t="s">
        <v>21</v>
      </c>
      <c r="AG62">
        <f t="shared" si="0"/>
        <v>0</v>
      </c>
      <c r="AH62">
        <f t="shared" si="1"/>
        <v>6</v>
      </c>
      <c r="AI62">
        <f t="shared" si="2"/>
        <v>15</v>
      </c>
      <c r="AJ62">
        <f t="shared" si="3"/>
        <v>5</v>
      </c>
      <c r="AL62">
        <f t="shared" si="4"/>
        <v>0</v>
      </c>
      <c r="AM62">
        <f t="shared" si="5"/>
        <v>18</v>
      </c>
      <c r="AN62">
        <f t="shared" si="6"/>
        <v>30</v>
      </c>
      <c r="AO62">
        <f t="shared" si="7"/>
        <v>5</v>
      </c>
      <c r="AP62">
        <f t="shared" si="8"/>
        <v>53</v>
      </c>
    </row>
    <row r="63" spans="1:42" ht="15.75" customHeight="1" x14ac:dyDescent="0.3">
      <c r="A63" s="16"/>
      <c r="B63" s="55">
        <v>20</v>
      </c>
      <c r="C63" s="56" t="s">
        <v>81</v>
      </c>
      <c r="D63" s="55">
        <v>2</v>
      </c>
      <c r="E63" s="55" t="s">
        <v>20</v>
      </c>
      <c r="F63" s="18" t="s">
        <v>21</v>
      </c>
      <c r="G63" s="18" t="s">
        <v>21</v>
      </c>
      <c r="H63" s="18" t="s">
        <v>21</v>
      </c>
      <c r="I63" s="18" t="s">
        <v>21</v>
      </c>
      <c r="J63" s="18" t="s">
        <v>20</v>
      </c>
      <c r="K63" s="18" t="s">
        <v>21</v>
      </c>
      <c r="L63" s="18" t="s">
        <v>20</v>
      </c>
      <c r="M63" s="18" t="s">
        <v>20</v>
      </c>
      <c r="N63" s="18" t="s">
        <v>20</v>
      </c>
      <c r="O63" s="18" t="s">
        <v>20</v>
      </c>
      <c r="P63" s="18" t="s">
        <v>20</v>
      </c>
      <c r="Q63" s="18" t="s">
        <v>20</v>
      </c>
      <c r="R63" s="18" t="s">
        <v>20</v>
      </c>
      <c r="S63" s="18" t="s">
        <v>20</v>
      </c>
      <c r="T63" s="18" t="s">
        <v>21</v>
      </c>
      <c r="U63" s="18" t="s">
        <v>20</v>
      </c>
      <c r="V63" s="37" t="s">
        <v>20</v>
      </c>
      <c r="W63" s="37" t="s">
        <v>20</v>
      </c>
      <c r="X63" s="37" t="s">
        <v>21</v>
      </c>
      <c r="Y63" s="18" t="s">
        <v>20</v>
      </c>
      <c r="Z63" s="18" t="s">
        <v>20</v>
      </c>
      <c r="AA63" s="20" t="s">
        <v>20</v>
      </c>
      <c r="AB63" s="20" t="s">
        <v>20</v>
      </c>
      <c r="AC63" s="20" t="s">
        <v>20</v>
      </c>
      <c r="AD63" s="29" t="s">
        <v>21</v>
      </c>
      <c r="AE63" s="29" t="s">
        <v>21</v>
      </c>
      <c r="AG63">
        <f t="shared" si="0"/>
        <v>0</v>
      </c>
      <c r="AH63">
        <f t="shared" si="1"/>
        <v>17</v>
      </c>
      <c r="AI63">
        <f t="shared" si="2"/>
        <v>9</v>
      </c>
      <c r="AJ63">
        <f t="shared" si="3"/>
        <v>0</v>
      </c>
      <c r="AL63">
        <f t="shared" si="4"/>
        <v>0</v>
      </c>
      <c r="AM63">
        <f t="shared" si="5"/>
        <v>51</v>
      </c>
      <c r="AN63">
        <f t="shared" si="6"/>
        <v>18</v>
      </c>
      <c r="AO63">
        <f t="shared" si="7"/>
        <v>0</v>
      </c>
      <c r="AP63">
        <f t="shared" si="8"/>
        <v>69</v>
      </c>
    </row>
    <row r="64" spans="1:42" ht="15.75" customHeight="1" x14ac:dyDescent="0.3">
      <c r="A64" s="16"/>
      <c r="B64" s="55">
        <v>21</v>
      </c>
      <c r="C64" s="56" t="s">
        <v>82</v>
      </c>
      <c r="D64" s="55">
        <v>2</v>
      </c>
      <c r="E64" s="55" t="s">
        <v>20</v>
      </c>
      <c r="F64" s="18" t="s">
        <v>21</v>
      </c>
      <c r="G64" s="18" t="s">
        <v>20</v>
      </c>
      <c r="H64" s="18" t="s">
        <v>21</v>
      </c>
      <c r="I64" s="18" t="s">
        <v>21</v>
      </c>
      <c r="J64" s="18" t="s">
        <v>20</v>
      </c>
      <c r="K64" s="18" t="s">
        <v>21</v>
      </c>
      <c r="L64" s="18" t="s">
        <v>23</v>
      </c>
      <c r="M64" s="18" t="s">
        <v>21</v>
      </c>
      <c r="N64" s="18" t="s">
        <v>21</v>
      </c>
      <c r="O64" s="18" t="s">
        <v>23</v>
      </c>
      <c r="P64" s="18" t="s">
        <v>23</v>
      </c>
      <c r="Q64" s="18" t="s">
        <v>23</v>
      </c>
      <c r="R64" s="18" t="s">
        <v>21</v>
      </c>
      <c r="S64" s="18" t="s">
        <v>23</v>
      </c>
      <c r="T64" s="18" t="s">
        <v>23</v>
      </c>
      <c r="U64" s="18" t="s">
        <v>21</v>
      </c>
      <c r="V64" s="37" t="s">
        <v>20</v>
      </c>
      <c r="W64" s="37" t="s">
        <v>21</v>
      </c>
      <c r="X64" s="37" t="s">
        <v>20</v>
      </c>
      <c r="Y64" s="18" t="s">
        <v>21</v>
      </c>
      <c r="Z64" s="18" t="s">
        <v>21</v>
      </c>
      <c r="AA64" s="20" t="s">
        <v>23</v>
      </c>
      <c r="AB64" s="20" t="s">
        <v>21</v>
      </c>
      <c r="AC64" s="20" t="s">
        <v>21</v>
      </c>
      <c r="AD64" s="29" t="s">
        <v>23</v>
      </c>
      <c r="AE64" s="29" t="s">
        <v>21</v>
      </c>
      <c r="AG64">
        <f t="shared" si="0"/>
        <v>0</v>
      </c>
      <c r="AH64">
        <f t="shared" si="1"/>
        <v>4</v>
      </c>
      <c r="AI64">
        <f t="shared" si="2"/>
        <v>14</v>
      </c>
      <c r="AJ64">
        <f t="shared" si="3"/>
        <v>8</v>
      </c>
      <c r="AL64">
        <f t="shared" si="4"/>
        <v>0</v>
      </c>
      <c r="AM64">
        <f t="shared" si="5"/>
        <v>12</v>
      </c>
      <c r="AN64">
        <f t="shared" si="6"/>
        <v>28</v>
      </c>
      <c r="AO64">
        <f t="shared" si="7"/>
        <v>8</v>
      </c>
      <c r="AP64">
        <f t="shared" si="8"/>
        <v>48</v>
      </c>
    </row>
    <row r="65" spans="1:42" ht="15.75" customHeight="1" x14ac:dyDescent="0.3">
      <c r="A65" s="16"/>
      <c r="B65" s="55">
        <v>22</v>
      </c>
      <c r="C65" s="56" t="s">
        <v>83</v>
      </c>
      <c r="D65" s="55">
        <v>2</v>
      </c>
      <c r="E65" s="55" t="s">
        <v>20</v>
      </c>
      <c r="F65" s="18" t="s">
        <v>21</v>
      </c>
      <c r="G65" s="18" t="s">
        <v>23</v>
      </c>
      <c r="H65" s="18" t="s">
        <v>21</v>
      </c>
      <c r="I65" s="18" t="s">
        <v>21</v>
      </c>
      <c r="J65" s="18" t="s">
        <v>21</v>
      </c>
      <c r="K65" s="18" t="s">
        <v>21</v>
      </c>
      <c r="L65" s="18" t="s">
        <v>20</v>
      </c>
      <c r="M65" s="18" t="s">
        <v>21</v>
      </c>
      <c r="N65" s="18" t="s">
        <v>21</v>
      </c>
      <c r="O65" s="18" t="s">
        <v>23</v>
      </c>
      <c r="P65" s="18" t="s">
        <v>23</v>
      </c>
      <c r="Q65" s="18" t="s">
        <v>23</v>
      </c>
      <c r="R65" s="18" t="s">
        <v>21</v>
      </c>
      <c r="S65" s="18" t="s">
        <v>23</v>
      </c>
      <c r="T65" s="18" t="s">
        <v>23</v>
      </c>
      <c r="U65" s="18" t="s">
        <v>21</v>
      </c>
      <c r="V65" s="37" t="s">
        <v>20</v>
      </c>
      <c r="W65" s="37" t="s">
        <v>20</v>
      </c>
      <c r="X65" s="37" t="s">
        <v>20</v>
      </c>
      <c r="Y65" s="18" t="s">
        <v>21</v>
      </c>
      <c r="Z65" s="18" t="s">
        <v>21</v>
      </c>
      <c r="AA65" s="20" t="s">
        <v>23</v>
      </c>
      <c r="AB65" s="20" t="s">
        <v>21</v>
      </c>
      <c r="AC65" s="20" t="s">
        <v>21</v>
      </c>
      <c r="AD65" s="29" t="s">
        <v>23</v>
      </c>
      <c r="AE65" s="29" t="s">
        <v>21</v>
      </c>
      <c r="AG65">
        <f t="shared" si="0"/>
        <v>0</v>
      </c>
      <c r="AH65">
        <f t="shared" si="1"/>
        <v>4</v>
      </c>
      <c r="AI65">
        <f t="shared" si="2"/>
        <v>14</v>
      </c>
      <c r="AJ65">
        <f t="shared" si="3"/>
        <v>8</v>
      </c>
      <c r="AL65">
        <f t="shared" si="4"/>
        <v>0</v>
      </c>
      <c r="AM65">
        <f t="shared" si="5"/>
        <v>12</v>
      </c>
      <c r="AN65">
        <f t="shared" si="6"/>
        <v>28</v>
      </c>
      <c r="AO65">
        <f t="shared" si="7"/>
        <v>8</v>
      </c>
      <c r="AP65">
        <f t="shared" si="8"/>
        <v>48</v>
      </c>
    </row>
    <row r="66" spans="1:42" ht="15.75" customHeight="1" x14ac:dyDescent="0.3">
      <c r="A66" s="16"/>
      <c r="B66" s="55">
        <v>23</v>
      </c>
      <c r="C66" s="56" t="s">
        <v>84</v>
      </c>
      <c r="D66" s="55">
        <v>2</v>
      </c>
      <c r="E66" s="55" t="s">
        <v>20</v>
      </c>
      <c r="F66" s="18" t="s">
        <v>20</v>
      </c>
      <c r="G66" s="18" t="s">
        <v>20</v>
      </c>
      <c r="H66" s="18" t="s">
        <v>20</v>
      </c>
      <c r="I66" s="18" t="s">
        <v>20</v>
      </c>
      <c r="J66" s="18" t="s">
        <v>20</v>
      </c>
      <c r="K66" s="18" t="s">
        <v>20</v>
      </c>
      <c r="L66" s="18" t="s">
        <v>20</v>
      </c>
      <c r="M66" s="18" t="s">
        <v>20</v>
      </c>
      <c r="N66" s="18" t="s">
        <v>20</v>
      </c>
      <c r="O66" s="18" t="s">
        <v>20</v>
      </c>
      <c r="P66" s="18" t="s">
        <v>20</v>
      </c>
      <c r="Q66" s="18" t="s">
        <v>20</v>
      </c>
      <c r="R66" s="18" t="s">
        <v>20</v>
      </c>
      <c r="S66" s="18" t="s">
        <v>20</v>
      </c>
      <c r="T66" s="18" t="s">
        <v>20</v>
      </c>
      <c r="U66" s="18" t="s">
        <v>20</v>
      </c>
      <c r="V66" s="37" t="s">
        <v>20</v>
      </c>
      <c r="W66" s="37" t="s">
        <v>20</v>
      </c>
      <c r="X66" s="37" t="s">
        <v>20</v>
      </c>
      <c r="Y66" s="18" t="s">
        <v>20</v>
      </c>
      <c r="Z66" s="18" t="s">
        <v>20</v>
      </c>
      <c r="AA66" s="20" t="s">
        <v>20</v>
      </c>
      <c r="AB66" s="20" t="s">
        <v>20</v>
      </c>
      <c r="AC66" s="20" t="s">
        <v>20</v>
      </c>
      <c r="AD66" s="29" t="s">
        <v>20</v>
      </c>
      <c r="AE66" s="29" t="s">
        <v>21</v>
      </c>
      <c r="AG66">
        <f t="shared" si="0"/>
        <v>0</v>
      </c>
      <c r="AH66">
        <f t="shared" si="1"/>
        <v>25</v>
      </c>
      <c r="AI66">
        <f t="shared" si="2"/>
        <v>1</v>
      </c>
      <c r="AJ66">
        <f t="shared" si="3"/>
        <v>0</v>
      </c>
      <c r="AL66">
        <f t="shared" si="4"/>
        <v>0</v>
      </c>
      <c r="AM66">
        <f t="shared" si="5"/>
        <v>75</v>
      </c>
      <c r="AN66">
        <f t="shared" si="6"/>
        <v>2</v>
      </c>
      <c r="AO66">
        <f t="shared" si="7"/>
        <v>0</v>
      </c>
      <c r="AP66">
        <f t="shared" si="8"/>
        <v>77</v>
      </c>
    </row>
    <row r="67" spans="1:42" ht="15.75" customHeight="1" thickBot="1" x14ac:dyDescent="0.35">
      <c r="A67" s="16"/>
      <c r="B67" s="57">
        <v>24</v>
      </c>
      <c r="C67" s="58" t="s">
        <v>85</v>
      </c>
      <c r="D67" s="57">
        <v>2</v>
      </c>
      <c r="E67" s="57" t="s">
        <v>20</v>
      </c>
      <c r="F67" s="21" t="s">
        <v>21</v>
      </c>
      <c r="G67" s="21" t="s">
        <v>23</v>
      </c>
      <c r="H67" s="21" t="s">
        <v>21</v>
      </c>
      <c r="I67" s="21" t="s">
        <v>21</v>
      </c>
      <c r="J67" s="21" t="s">
        <v>21</v>
      </c>
      <c r="K67" s="21" t="s">
        <v>21</v>
      </c>
      <c r="L67" s="21" t="s">
        <v>23</v>
      </c>
      <c r="M67" s="21" t="s">
        <v>21</v>
      </c>
      <c r="N67" s="21" t="s">
        <v>21</v>
      </c>
      <c r="O67" s="21" t="s">
        <v>23</v>
      </c>
      <c r="P67" s="21" t="s">
        <v>21</v>
      </c>
      <c r="Q67" s="21" t="s">
        <v>21</v>
      </c>
      <c r="R67" s="21" t="s">
        <v>21</v>
      </c>
      <c r="S67" s="21" t="s">
        <v>23</v>
      </c>
      <c r="T67" s="21" t="s">
        <v>21</v>
      </c>
      <c r="U67" s="21" t="s">
        <v>21</v>
      </c>
      <c r="V67" s="38" t="s">
        <v>21</v>
      </c>
      <c r="W67" s="38" t="s">
        <v>20</v>
      </c>
      <c r="X67" s="38" t="s">
        <v>20</v>
      </c>
      <c r="Y67" s="21" t="s">
        <v>21</v>
      </c>
      <c r="Z67" s="21" t="s">
        <v>21</v>
      </c>
      <c r="AA67" s="23" t="s">
        <v>21</v>
      </c>
      <c r="AB67" s="23" t="s">
        <v>21</v>
      </c>
      <c r="AC67" s="23" t="s">
        <v>23</v>
      </c>
      <c r="AD67" s="31" t="s">
        <v>23</v>
      </c>
      <c r="AE67" s="31" t="s">
        <v>21</v>
      </c>
      <c r="AG67">
        <f t="shared" si="0"/>
        <v>0</v>
      </c>
      <c r="AH67">
        <f t="shared" si="1"/>
        <v>2</v>
      </c>
      <c r="AI67">
        <f t="shared" si="2"/>
        <v>18</v>
      </c>
      <c r="AJ67">
        <f t="shared" si="3"/>
        <v>6</v>
      </c>
      <c r="AL67">
        <f t="shared" si="4"/>
        <v>0</v>
      </c>
      <c r="AM67">
        <f t="shared" si="5"/>
        <v>6</v>
      </c>
      <c r="AN67">
        <f t="shared" si="6"/>
        <v>36</v>
      </c>
      <c r="AO67">
        <f t="shared" si="7"/>
        <v>6</v>
      </c>
      <c r="AP67">
        <f t="shared" si="8"/>
        <v>48</v>
      </c>
    </row>
    <row r="68" spans="1:42" ht="15.75" customHeight="1" x14ac:dyDescent="0.3">
      <c r="A68" s="16"/>
      <c r="B68" s="59">
        <v>1</v>
      </c>
      <c r="C68" s="60" t="s">
        <v>86</v>
      </c>
      <c r="D68" s="59">
        <v>2</v>
      </c>
      <c r="E68" s="59" t="s">
        <v>21</v>
      </c>
      <c r="F68" s="24" t="s">
        <v>21</v>
      </c>
      <c r="G68" s="24" t="s">
        <v>21</v>
      </c>
      <c r="H68" s="24" t="s">
        <v>21</v>
      </c>
      <c r="I68" s="24" t="s">
        <v>21</v>
      </c>
      <c r="J68" s="24" t="s">
        <v>21</v>
      </c>
      <c r="K68" s="24" t="s">
        <v>20</v>
      </c>
      <c r="L68" s="24" t="s">
        <v>20</v>
      </c>
      <c r="M68" s="24" t="s">
        <v>21</v>
      </c>
      <c r="N68" s="24" t="s">
        <v>21</v>
      </c>
      <c r="O68" s="24" t="s">
        <v>21</v>
      </c>
      <c r="P68" s="24" t="s">
        <v>21</v>
      </c>
      <c r="Q68" s="24" t="s">
        <v>21</v>
      </c>
      <c r="R68" s="24" t="s">
        <v>21</v>
      </c>
      <c r="S68" s="24" t="s">
        <v>21</v>
      </c>
      <c r="T68" s="24" t="s">
        <v>21</v>
      </c>
      <c r="U68" s="24" t="s">
        <v>21</v>
      </c>
      <c r="V68" s="39" t="s">
        <v>21</v>
      </c>
      <c r="W68" s="39" t="s">
        <v>20</v>
      </c>
      <c r="X68" s="39" t="s">
        <v>20</v>
      </c>
      <c r="Y68" s="24" t="s">
        <v>20</v>
      </c>
      <c r="Z68" s="24" t="s">
        <v>20</v>
      </c>
      <c r="AA68" s="27" t="s">
        <v>21</v>
      </c>
      <c r="AB68" s="27" t="s">
        <v>21</v>
      </c>
      <c r="AC68" s="27" t="s">
        <v>21</v>
      </c>
      <c r="AD68" s="24" t="s">
        <v>21</v>
      </c>
      <c r="AE68" s="24" t="s">
        <v>21</v>
      </c>
      <c r="AG68">
        <f t="shared" si="0"/>
        <v>0</v>
      </c>
      <c r="AH68">
        <f t="shared" si="1"/>
        <v>6</v>
      </c>
      <c r="AI68">
        <f t="shared" si="2"/>
        <v>20</v>
      </c>
      <c r="AJ68">
        <f t="shared" si="3"/>
        <v>0</v>
      </c>
      <c r="AL68">
        <f t="shared" si="4"/>
        <v>0</v>
      </c>
      <c r="AM68">
        <f t="shared" si="5"/>
        <v>18</v>
      </c>
      <c r="AN68">
        <f t="shared" si="6"/>
        <v>40</v>
      </c>
      <c r="AO68">
        <f t="shared" si="7"/>
        <v>0</v>
      </c>
      <c r="AP68">
        <f t="shared" si="8"/>
        <v>58</v>
      </c>
    </row>
    <row r="69" spans="1:42" ht="15.75" customHeight="1" x14ac:dyDescent="0.3">
      <c r="A69" s="16"/>
      <c r="B69" s="55">
        <v>2</v>
      </c>
      <c r="C69" s="56" t="s">
        <v>87</v>
      </c>
      <c r="D69" s="55">
        <v>2</v>
      </c>
      <c r="E69" s="55" t="s">
        <v>21</v>
      </c>
      <c r="F69" s="18" t="s">
        <v>21</v>
      </c>
      <c r="G69" s="18" t="s">
        <v>23</v>
      </c>
      <c r="H69" s="18" t="s">
        <v>21</v>
      </c>
      <c r="I69" s="18" t="s">
        <v>21</v>
      </c>
      <c r="J69" s="18" t="s">
        <v>21</v>
      </c>
      <c r="K69" s="18" t="s">
        <v>21</v>
      </c>
      <c r="L69" s="18" t="s">
        <v>21</v>
      </c>
      <c r="M69" s="18" t="s">
        <v>23</v>
      </c>
      <c r="N69" s="18" t="s">
        <v>21</v>
      </c>
      <c r="O69" s="18" t="s">
        <v>21</v>
      </c>
      <c r="P69" s="18" t="s">
        <v>23</v>
      </c>
      <c r="Q69" s="18" t="s">
        <v>21</v>
      </c>
      <c r="R69" s="18" t="s">
        <v>23</v>
      </c>
      <c r="S69" s="18" t="s">
        <v>23</v>
      </c>
      <c r="T69" s="18" t="s">
        <v>21</v>
      </c>
      <c r="U69" s="18" t="s">
        <v>21</v>
      </c>
      <c r="V69" s="37" t="s">
        <v>21</v>
      </c>
      <c r="W69" s="37" t="s">
        <v>21</v>
      </c>
      <c r="X69" s="37" t="s">
        <v>21</v>
      </c>
      <c r="Y69" s="18" t="s">
        <v>21</v>
      </c>
      <c r="Z69" s="18" t="s">
        <v>23</v>
      </c>
      <c r="AA69" s="20" t="s">
        <v>23</v>
      </c>
      <c r="AB69" s="20" t="s">
        <v>21</v>
      </c>
      <c r="AC69" s="20" t="s">
        <v>23</v>
      </c>
      <c r="AD69" s="18" t="s">
        <v>23</v>
      </c>
      <c r="AE69" s="18" t="s">
        <v>21</v>
      </c>
      <c r="AG69">
        <f t="shared" si="0"/>
        <v>0</v>
      </c>
      <c r="AH69">
        <f t="shared" si="1"/>
        <v>0</v>
      </c>
      <c r="AI69">
        <f t="shared" si="2"/>
        <v>17</v>
      </c>
      <c r="AJ69">
        <f t="shared" si="3"/>
        <v>9</v>
      </c>
      <c r="AL69">
        <f t="shared" si="4"/>
        <v>0</v>
      </c>
      <c r="AM69">
        <f t="shared" si="5"/>
        <v>0</v>
      </c>
      <c r="AN69">
        <f t="shared" si="6"/>
        <v>34</v>
      </c>
      <c r="AO69">
        <f t="shared" si="7"/>
        <v>9</v>
      </c>
      <c r="AP69">
        <f t="shared" si="8"/>
        <v>43</v>
      </c>
    </row>
    <row r="70" spans="1:42" ht="15.75" customHeight="1" x14ac:dyDescent="0.3">
      <c r="A70" s="16"/>
      <c r="B70" s="55">
        <v>3</v>
      </c>
      <c r="C70" s="56" t="s">
        <v>88</v>
      </c>
      <c r="D70" s="55">
        <v>2</v>
      </c>
      <c r="E70" s="55" t="s">
        <v>21</v>
      </c>
      <c r="F70" s="18" t="s">
        <v>20</v>
      </c>
      <c r="G70" s="18" t="s">
        <v>21</v>
      </c>
      <c r="H70" s="18" t="s">
        <v>20</v>
      </c>
      <c r="I70" s="18" t="s">
        <v>21</v>
      </c>
      <c r="J70" s="18" t="s">
        <v>20</v>
      </c>
      <c r="K70" s="18" t="s">
        <v>20</v>
      </c>
      <c r="L70" s="18" t="s">
        <v>20</v>
      </c>
      <c r="M70" s="18" t="s">
        <v>23</v>
      </c>
      <c r="N70" s="18" t="s">
        <v>21</v>
      </c>
      <c r="O70" s="18" t="s">
        <v>20</v>
      </c>
      <c r="P70" s="18" t="s">
        <v>21</v>
      </c>
      <c r="Q70" s="18" t="s">
        <v>21</v>
      </c>
      <c r="R70" s="18" t="s">
        <v>21</v>
      </c>
      <c r="S70" s="18" t="s">
        <v>20</v>
      </c>
      <c r="T70" s="18" t="s">
        <v>20</v>
      </c>
      <c r="U70" s="18" t="s">
        <v>20</v>
      </c>
      <c r="V70" s="37" t="s">
        <v>21</v>
      </c>
      <c r="W70" s="37" t="s">
        <v>21</v>
      </c>
      <c r="X70" s="37" t="s">
        <v>21</v>
      </c>
      <c r="Y70" s="18" t="s">
        <v>21</v>
      </c>
      <c r="Z70" s="18" t="s">
        <v>21</v>
      </c>
      <c r="AA70" s="20" t="s">
        <v>20</v>
      </c>
      <c r="AB70" s="20" t="s">
        <v>20</v>
      </c>
      <c r="AC70" s="20" t="s">
        <v>20</v>
      </c>
      <c r="AD70" s="18" t="s">
        <v>23</v>
      </c>
      <c r="AE70" s="18" t="s">
        <v>21</v>
      </c>
      <c r="AG70">
        <f t="shared" si="0"/>
        <v>0</v>
      </c>
      <c r="AH70">
        <f t="shared" si="1"/>
        <v>12</v>
      </c>
      <c r="AI70">
        <f t="shared" si="2"/>
        <v>12</v>
      </c>
      <c r="AJ70">
        <f t="shared" si="3"/>
        <v>2</v>
      </c>
      <c r="AL70">
        <f t="shared" si="4"/>
        <v>0</v>
      </c>
      <c r="AM70">
        <f t="shared" si="5"/>
        <v>36</v>
      </c>
      <c r="AN70">
        <f t="shared" si="6"/>
        <v>24</v>
      </c>
      <c r="AO70">
        <f t="shared" si="7"/>
        <v>2</v>
      </c>
      <c r="AP70">
        <f t="shared" si="8"/>
        <v>62</v>
      </c>
    </row>
    <row r="71" spans="1:42" ht="15.75" customHeight="1" x14ac:dyDescent="0.3">
      <c r="A71" s="16"/>
      <c r="B71" s="55">
        <v>4</v>
      </c>
      <c r="C71" s="56" t="s">
        <v>89</v>
      </c>
      <c r="D71" s="55">
        <v>2</v>
      </c>
      <c r="E71" s="55" t="s">
        <v>21</v>
      </c>
      <c r="F71" s="18" t="s">
        <v>20</v>
      </c>
      <c r="G71" s="18" t="s">
        <v>21</v>
      </c>
      <c r="H71" s="18" t="s">
        <v>21</v>
      </c>
      <c r="I71" s="18" t="s">
        <v>21</v>
      </c>
      <c r="J71" s="18" t="s">
        <v>21</v>
      </c>
      <c r="K71" s="18" t="s">
        <v>21</v>
      </c>
      <c r="L71" s="18" t="s">
        <v>21</v>
      </c>
      <c r="M71" s="18" t="s">
        <v>21</v>
      </c>
      <c r="N71" s="18" t="s">
        <v>20</v>
      </c>
      <c r="O71" s="18" t="s">
        <v>21</v>
      </c>
      <c r="P71" s="18" t="s">
        <v>20</v>
      </c>
      <c r="Q71" s="18" t="s">
        <v>20</v>
      </c>
      <c r="R71" s="18" t="s">
        <v>20</v>
      </c>
      <c r="S71" s="18" t="s">
        <v>20</v>
      </c>
      <c r="T71" s="18" t="s">
        <v>20</v>
      </c>
      <c r="U71" s="18" t="s">
        <v>21</v>
      </c>
      <c r="V71" s="37" t="s">
        <v>20</v>
      </c>
      <c r="W71" s="37" t="s">
        <v>21</v>
      </c>
      <c r="X71" s="37" t="s">
        <v>21</v>
      </c>
      <c r="Y71" s="18" t="s">
        <v>21</v>
      </c>
      <c r="Z71" s="18" t="s">
        <v>21</v>
      </c>
      <c r="AA71" s="20" t="s">
        <v>21</v>
      </c>
      <c r="AB71" s="20" t="s">
        <v>21</v>
      </c>
      <c r="AC71" s="20" t="s">
        <v>21</v>
      </c>
      <c r="AD71" s="18" t="s">
        <v>21</v>
      </c>
      <c r="AE71" s="18" t="s">
        <v>21</v>
      </c>
      <c r="AG71">
        <f t="shared" ref="AG71:AG134" si="9">+COUNTIF(F71:AE71,"AD")</f>
        <v>0</v>
      </c>
      <c r="AH71">
        <f t="shared" ref="AH71:AH134" si="10">+COUNTIF(F71:AE71,"A")</f>
        <v>8</v>
      </c>
      <c r="AI71">
        <f t="shared" ref="AI71:AI134" si="11">+COUNTIF(F71:AE71,"b")</f>
        <v>18</v>
      </c>
      <c r="AJ71">
        <f t="shared" ref="AJ71:AJ134" si="12">+COUNTIF(F71:AE71,"c")</f>
        <v>0</v>
      </c>
      <c r="AL71">
        <f t="shared" ref="AL71:AL134" si="13">+$AG$5*AG71</f>
        <v>0</v>
      </c>
      <c r="AM71">
        <f t="shared" ref="AM71:AM134" si="14">+$AH$5*AH71</f>
        <v>24</v>
      </c>
      <c r="AN71">
        <f t="shared" ref="AN71:AN134" si="15">+$AI$5*AI71</f>
        <v>36</v>
      </c>
      <c r="AO71">
        <f t="shared" ref="AO71:AO134" si="16">+$AJ$5*AJ71</f>
        <v>0</v>
      </c>
      <c r="AP71">
        <f t="shared" ref="AP71:AP134" si="17">+SUM(AL71:AO71)</f>
        <v>60</v>
      </c>
    </row>
    <row r="72" spans="1:42" ht="15.75" customHeight="1" x14ac:dyDescent="0.3">
      <c r="A72" s="16"/>
      <c r="B72" s="55">
        <v>5</v>
      </c>
      <c r="C72" s="56" t="s">
        <v>90</v>
      </c>
      <c r="D72" s="55">
        <v>2</v>
      </c>
      <c r="E72" s="55" t="s">
        <v>21</v>
      </c>
      <c r="F72" s="18" t="s">
        <v>20</v>
      </c>
      <c r="G72" s="18" t="s">
        <v>20</v>
      </c>
      <c r="H72" s="18" t="s">
        <v>20</v>
      </c>
      <c r="I72" s="18" t="s">
        <v>20</v>
      </c>
      <c r="J72" s="18" t="s">
        <v>21</v>
      </c>
      <c r="K72" s="18" t="s">
        <v>20</v>
      </c>
      <c r="L72" s="18" t="s">
        <v>20</v>
      </c>
      <c r="M72" s="18" t="s">
        <v>21</v>
      </c>
      <c r="N72" s="18" t="s">
        <v>20</v>
      </c>
      <c r="O72" s="18" t="s">
        <v>20</v>
      </c>
      <c r="P72" s="18" t="s">
        <v>21</v>
      </c>
      <c r="Q72" s="18" t="s">
        <v>21</v>
      </c>
      <c r="R72" s="18" t="s">
        <v>21</v>
      </c>
      <c r="S72" s="18" t="s">
        <v>21</v>
      </c>
      <c r="T72" s="18" t="s">
        <v>20</v>
      </c>
      <c r="U72" s="18" t="s">
        <v>21</v>
      </c>
      <c r="V72" s="37" t="s">
        <v>21</v>
      </c>
      <c r="W72" s="37" t="s">
        <v>21</v>
      </c>
      <c r="X72" s="37" t="s">
        <v>21</v>
      </c>
      <c r="Y72" s="18" t="s">
        <v>21</v>
      </c>
      <c r="Z72" s="18" t="s">
        <v>20</v>
      </c>
      <c r="AA72" s="20" t="s">
        <v>21</v>
      </c>
      <c r="AB72" s="20" t="s">
        <v>23</v>
      </c>
      <c r="AC72" s="20" t="s">
        <v>21</v>
      </c>
      <c r="AD72" s="18" t="s">
        <v>23</v>
      </c>
      <c r="AE72" s="18" t="s">
        <v>21</v>
      </c>
      <c r="AG72">
        <f t="shared" si="9"/>
        <v>0</v>
      </c>
      <c r="AH72">
        <f t="shared" si="10"/>
        <v>10</v>
      </c>
      <c r="AI72">
        <f t="shared" si="11"/>
        <v>14</v>
      </c>
      <c r="AJ72">
        <f t="shared" si="12"/>
        <v>2</v>
      </c>
      <c r="AL72">
        <f t="shared" si="13"/>
        <v>0</v>
      </c>
      <c r="AM72">
        <f t="shared" si="14"/>
        <v>30</v>
      </c>
      <c r="AN72">
        <f t="shared" si="15"/>
        <v>28</v>
      </c>
      <c r="AO72">
        <f t="shared" si="16"/>
        <v>2</v>
      </c>
      <c r="AP72">
        <f t="shared" si="17"/>
        <v>60</v>
      </c>
    </row>
    <row r="73" spans="1:42" ht="15.75" customHeight="1" x14ac:dyDescent="0.3">
      <c r="A73" s="16"/>
      <c r="B73" s="55">
        <v>6</v>
      </c>
      <c r="C73" s="56" t="s">
        <v>91</v>
      </c>
      <c r="D73" s="55">
        <v>2</v>
      </c>
      <c r="E73" s="55" t="s">
        <v>21</v>
      </c>
      <c r="F73" s="18" t="s">
        <v>21</v>
      </c>
      <c r="G73" s="18" t="s">
        <v>21</v>
      </c>
      <c r="H73" s="18" t="s">
        <v>21</v>
      </c>
      <c r="I73" s="18" t="s">
        <v>21</v>
      </c>
      <c r="J73" s="18" t="s">
        <v>21</v>
      </c>
      <c r="K73" s="18" t="s">
        <v>21</v>
      </c>
      <c r="L73" s="18" t="s">
        <v>21</v>
      </c>
      <c r="M73" s="18" t="s">
        <v>20</v>
      </c>
      <c r="N73" s="18" t="s">
        <v>20</v>
      </c>
      <c r="O73" s="18" t="s">
        <v>21</v>
      </c>
      <c r="P73" s="18" t="s">
        <v>23</v>
      </c>
      <c r="Q73" s="18" t="s">
        <v>21</v>
      </c>
      <c r="R73" s="18" t="s">
        <v>21</v>
      </c>
      <c r="S73" s="18" t="s">
        <v>21</v>
      </c>
      <c r="T73" s="18" t="s">
        <v>20</v>
      </c>
      <c r="U73" s="18" t="s">
        <v>20</v>
      </c>
      <c r="V73" s="37" t="s">
        <v>20</v>
      </c>
      <c r="W73" s="37" t="s">
        <v>20</v>
      </c>
      <c r="X73" s="37" t="s">
        <v>20</v>
      </c>
      <c r="Y73" s="18" t="s">
        <v>21</v>
      </c>
      <c r="Z73" s="18" t="s">
        <v>20</v>
      </c>
      <c r="AA73" s="20" t="s">
        <v>21</v>
      </c>
      <c r="AB73" s="20" t="s">
        <v>21</v>
      </c>
      <c r="AC73" s="20" t="s">
        <v>21</v>
      </c>
      <c r="AD73" s="18" t="s">
        <v>21</v>
      </c>
      <c r="AE73" s="18" t="s">
        <v>21</v>
      </c>
      <c r="AG73">
        <f t="shared" si="9"/>
        <v>0</v>
      </c>
      <c r="AH73">
        <f t="shared" si="10"/>
        <v>8</v>
      </c>
      <c r="AI73">
        <f t="shared" si="11"/>
        <v>17</v>
      </c>
      <c r="AJ73">
        <f t="shared" si="12"/>
        <v>1</v>
      </c>
      <c r="AL73">
        <f t="shared" si="13"/>
        <v>0</v>
      </c>
      <c r="AM73">
        <f t="shared" si="14"/>
        <v>24</v>
      </c>
      <c r="AN73">
        <f t="shared" si="15"/>
        <v>34</v>
      </c>
      <c r="AO73">
        <f t="shared" si="16"/>
        <v>1</v>
      </c>
      <c r="AP73">
        <f t="shared" si="17"/>
        <v>59</v>
      </c>
    </row>
    <row r="74" spans="1:42" ht="15.75" customHeight="1" x14ac:dyDescent="0.3">
      <c r="A74" s="16"/>
      <c r="B74" s="55">
        <v>7</v>
      </c>
      <c r="C74" s="56" t="s">
        <v>92</v>
      </c>
      <c r="D74" s="55">
        <v>2</v>
      </c>
      <c r="E74" s="55" t="s">
        <v>21</v>
      </c>
      <c r="F74" s="18" t="s">
        <v>21</v>
      </c>
      <c r="G74" s="18" t="s">
        <v>23</v>
      </c>
      <c r="H74" s="18" t="s">
        <v>21</v>
      </c>
      <c r="I74" s="18" t="s">
        <v>21</v>
      </c>
      <c r="J74" s="18" t="s">
        <v>21</v>
      </c>
      <c r="K74" s="18" t="s">
        <v>20</v>
      </c>
      <c r="L74" s="18" t="s">
        <v>20</v>
      </c>
      <c r="M74" s="18" t="s">
        <v>21</v>
      </c>
      <c r="N74" s="18" t="s">
        <v>21</v>
      </c>
      <c r="O74" s="18" t="s">
        <v>21</v>
      </c>
      <c r="P74" s="18" t="s">
        <v>21</v>
      </c>
      <c r="Q74" s="18" t="s">
        <v>21</v>
      </c>
      <c r="R74" s="18" t="s">
        <v>21</v>
      </c>
      <c r="S74" s="18" t="s">
        <v>21</v>
      </c>
      <c r="T74" s="18" t="s">
        <v>21</v>
      </c>
      <c r="U74" s="18" t="s">
        <v>21</v>
      </c>
      <c r="V74" s="37" t="s">
        <v>20</v>
      </c>
      <c r="W74" s="37" t="s">
        <v>21</v>
      </c>
      <c r="X74" s="37" t="s">
        <v>21</v>
      </c>
      <c r="Y74" s="18" t="s">
        <v>21</v>
      </c>
      <c r="Z74" s="18" t="s">
        <v>20</v>
      </c>
      <c r="AA74" s="20" t="s">
        <v>21</v>
      </c>
      <c r="AB74" s="20" t="s">
        <v>21</v>
      </c>
      <c r="AC74" s="20" t="s">
        <v>21</v>
      </c>
      <c r="AD74" s="18" t="s">
        <v>23</v>
      </c>
      <c r="AE74" s="18" t="s">
        <v>21</v>
      </c>
      <c r="AG74">
        <f t="shared" si="9"/>
        <v>0</v>
      </c>
      <c r="AH74">
        <f t="shared" si="10"/>
        <v>4</v>
      </c>
      <c r="AI74">
        <f t="shared" si="11"/>
        <v>20</v>
      </c>
      <c r="AJ74">
        <f t="shared" si="12"/>
        <v>2</v>
      </c>
      <c r="AL74">
        <f t="shared" si="13"/>
        <v>0</v>
      </c>
      <c r="AM74">
        <f t="shared" si="14"/>
        <v>12</v>
      </c>
      <c r="AN74">
        <f t="shared" si="15"/>
        <v>40</v>
      </c>
      <c r="AO74">
        <f t="shared" si="16"/>
        <v>2</v>
      </c>
      <c r="AP74">
        <f t="shared" si="17"/>
        <v>54</v>
      </c>
    </row>
    <row r="75" spans="1:42" ht="15.75" customHeight="1" x14ac:dyDescent="0.3">
      <c r="A75" s="16"/>
      <c r="B75" s="55">
        <v>8</v>
      </c>
      <c r="C75" s="56" t="s">
        <v>93</v>
      </c>
      <c r="D75" s="55">
        <v>2</v>
      </c>
      <c r="E75" s="55" t="s">
        <v>21</v>
      </c>
      <c r="F75" s="18" t="s">
        <v>20</v>
      </c>
      <c r="G75" s="18" t="s">
        <v>20</v>
      </c>
      <c r="H75" s="18" t="s">
        <v>20</v>
      </c>
      <c r="I75" s="18" t="s">
        <v>20</v>
      </c>
      <c r="J75" s="18" t="s">
        <v>20</v>
      </c>
      <c r="K75" s="18" t="s">
        <v>20</v>
      </c>
      <c r="L75" s="18" t="s">
        <v>39</v>
      </c>
      <c r="M75" s="18" t="s">
        <v>20</v>
      </c>
      <c r="N75" s="18" t="s">
        <v>20</v>
      </c>
      <c r="O75" s="18" t="s">
        <v>20</v>
      </c>
      <c r="P75" s="18" t="s">
        <v>20</v>
      </c>
      <c r="Q75" s="18" t="s">
        <v>20</v>
      </c>
      <c r="R75" s="18" t="s">
        <v>20</v>
      </c>
      <c r="S75" s="18" t="s">
        <v>20</v>
      </c>
      <c r="T75" s="18" t="s">
        <v>20</v>
      </c>
      <c r="U75" s="18" t="s">
        <v>20</v>
      </c>
      <c r="V75" s="37" t="s">
        <v>20</v>
      </c>
      <c r="W75" s="37" t="s">
        <v>20</v>
      </c>
      <c r="X75" s="37" t="s">
        <v>20</v>
      </c>
      <c r="Y75" s="18" t="s">
        <v>20</v>
      </c>
      <c r="Z75" s="18" t="s">
        <v>20</v>
      </c>
      <c r="AA75" s="20" t="s">
        <v>20</v>
      </c>
      <c r="AB75" s="20" t="s">
        <v>20</v>
      </c>
      <c r="AC75" s="20" t="s">
        <v>20</v>
      </c>
      <c r="AD75" s="18" t="s">
        <v>20</v>
      </c>
      <c r="AE75" s="18" t="s">
        <v>21</v>
      </c>
      <c r="AG75">
        <f t="shared" si="9"/>
        <v>1</v>
      </c>
      <c r="AH75">
        <f t="shared" si="10"/>
        <v>24</v>
      </c>
      <c r="AI75">
        <f t="shared" si="11"/>
        <v>1</v>
      </c>
      <c r="AJ75">
        <f t="shared" si="12"/>
        <v>0</v>
      </c>
      <c r="AL75">
        <f t="shared" si="13"/>
        <v>4</v>
      </c>
      <c r="AM75">
        <f t="shared" si="14"/>
        <v>72</v>
      </c>
      <c r="AN75">
        <f t="shared" si="15"/>
        <v>2</v>
      </c>
      <c r="AO75">
        <f t="shared" si="16"/>
        <v>0</v>
      </c>
      <c r="AP75">
        <f t="shared" si="17"/>
        <v>78</v>
      </c>
    </row>
    <row r="76" spans="1:42" ht="15.75" customHeight="1" x14ac:dyDescent="0.3">
      <c r="A76" s="16"/>
      <c r="B76" s="55">
        <v>9</v>
      </c>
      <c r="C76" s="56" t="s">
        <v>94</v>
      </c>
      <c r="D76" s="55">
        <v>2</v>
      </c>
      <c r="E76" s="55" t="s">
        <v>21</v>
      </c>
      <c r="F76" s="18" t="s">
        <v>20</v>
      </c>
      <c r="G76" s="18" t="s">
        <v>21</v>
      </c>
      <c r="H76" s="18" t="s">
        <v>21</v>
      </c>
      <c r="I76" s="18" t="s">
        <v>21</v>
      </c>
      <c r="J76" s="18" t="s">
        <v>21</v>
      </c>
      <c r="K76" s="18" t="s">
        <v>21</v>
      </c>
      <c r="L76" s="18" t="s">
        <v>21</v>
      </c>
      <c r="M76" s="18" t="s">
        <v>21</v>
      </c>
      <c r="N76" s="18" t="s">
        <v>21</v>
      </c>
      <c r="O76" s="18" t="s">
        <v>20</v>
      </c>
      <c r="P76" s="18" t="s">
        <v>21</v>
      </c>
      <c r="Q76" s="18" t="s">
        <v>21</v>
      </c>
      <c r="R76" s="18" t="s">
        <v>21</v>
      </c>
      <c r="S76" s="18" t="s">
        <v>21</v>
      </c>
      <c r="T76" s="18" t="s">
        <v>20</v>
      </c>
      <c r="U76" s="18" t="s">
        <v>20</v>
      </c>
      <c r="V76" s="37" t="s">
        <v>20</v>
      </c>
      <c r="W76" s="37" t="s">
        <v>20</v>
      </c>
      <c r="X76" s="37" t="s">
        <v>20</v>
      </c>
      <c r="Y76" s="18" t="s">
        <v>20</v>
      </c>
      <c r="Z76" s="18" t="s">
        <v>21</v>
      </c>
      <c r="AA76" s="20" t="s">
        <v>21</v>
      </c>
      <c r="AB76" s="20" t="s">
        <v>21</v>
      </c>
      <c r="AC76" s="20" t="s">
        <v>21</v>
      </c>
      <c r="AD76" s="18" t="s">
        <v>21</v>
      </c>
      <c r="AE76" s="18" t="s">
        <v>21</v>
      </c>
      <c r="AG76">
        <f t="shared" si="9"/>
        <v>0</v>
      </c>
      <c r="AH76">
        <f t="shared" si="10"/>
        <v>8</v>
      </c>
      <c r="AI76">
        <f t="shared" si="11"/>
        <v>18</v>
      </c>
      <c r="AJ76">
        <f t="shared" si="12"/>
        <v>0</v>
      </c>
      <c r="AL76">
        <f t="shared" si="13"/>
        <v>0</v>
      </c>
      <c r="AM76">
        <f t="shared" si="14"/>
        <v>24</v>
      </c>
      <c r="AN76">
        <f t="shared" si="15"/>
        <v>36</v>
      </c>
      <c r="AO76">
        <f t="shared" si="16"/>
        <v>0</v>
      </c>
      <c r="AP76">
        <f t="shared" si="17"/>
        <v>60</v>
      </c>
    </row>
    <row r="77" spans="1:42" ht="15.75" customHeight="1" x14ac:dyDescent="0.3">
      <c r="A77" s="16"/>
      <c r="B77" s="55">
        <v>10</v>
      </c>
      <c r="C77" s="56" t="s">
        <v>95</v>
      </c>
      <c r="D77" s="55">
        <v>2</v>
      </c>
      <c r="E77" s="55" t="s">
        <v>21</v>
      </c>
      <c r="F77" s="18" t="s">
        <v>21</v>
      </c>
      <c r="G77" s="18" t="s">
        <v>21</v>
      </c>
      <c r="H77" s="18" t="s">
        <v>21</v>
      </c>
      <c r="I77" s="18" t="s">
        <v>21</v>
      </c>
      <c r="J77" s="18" t="s">
        <v>21</v>
      </c>
      <c r="K77" s="18" t="s">
        <v>20</v>
      </c>
      <c r="L77" s="18" t="s">
        <v>20</v>
      </c>
      <c r="M77" s="18" t="s">
        <v>20</v>
      </c>
      <c r="N77" s="18" t="s">
        <v>21</v>
      </c>
      <c r="O77" s="18" t="s">
        <v>21</v>
      </c>
      <c r="P77" s="18" t="s">
        <v>21</v>
      </c>
      <c r="Q77" s="18" t="s">
        <v>21</v>
      </c>
      <c r="R77" s="18" t="s">
        <v>21</v>
      </c>
      <c r="S77" s="18" t="s">
        <v>21</v>
      </c>
      <c r="T77" s="18" t="s">
        <v>23</v>
      </c>
      <c r="U77" s="18" t="s">
        <v>21</v>
      </c>
      <c r="V77" s="37" t="s">
        <v>21</v>
      </c>
      <c r="W77" s="37" t="s">
        <v>20</v>
      </c>
      <c r="X77" s="37" t="s">
        <v>20</v>
      </c>
      <c r="Y77" s="18" t="s">
        <v>21</v>
      </c>
      <c r="Z77" s="18" t="s">
        <v>20</v>
      </c>
      <c r="AA77" s="20" t="s">
        <v>20</v>
      </c>
      <c r="AB77" s="20" t="s">
        <v>21</v>
      </c>
      <c r="AC77" s="20" t="s">
        <v>21</v>
      </c>
      <c r="AD77" s="18" t="s">
        <v>23</v>
      </c>
      <c r="AE77" s="18" t="s">
        <v>21</v>
      </c>
      <c r="AG77">
        <f t="shared" si="9"/>
        <v>0</v>
      </c>
      <c r="AH77">
        <f t="shared" si="10"/>
        <v>7</v>
      </c>
      <c r="AI77">
        <f t="shared" si="11"/>
        <v>17</v>
      </c>
      <c r="AJ77">
        <f t="shared" si="12"/>
        <v>2</v>
      </c>
      <c r="AL77">
        <f t="shared" si="13"/>
        <v>0</v>
      </c>
      <c r="AM77">
        <f t="shared" si="14"/>
        <v>21</v>
      </c>
      <c r="AN77">
        <f t="shared" si="15"/>
        <v>34</v>
      </c>
      <c r="AO77">
        <f t="shared" si="16"/>
        <v>2</v>
      </c>
      <c r="AP77">
        <f t="shared" si="17"/>
        <v>57</v>
      </c>
    </row>
    <row r="78" spans="1:42" ht="15.75" customHeight="1" x14ac:dyDescent="0.3">
      <c r="A78" s="16"/>
      <c r="B78" s="55">
        <v>11</v>
      </c>
      <c r="C78" s="56" t="s">
        <v>96</v>
      </c>
      <c r="D78" s="55">
        <v>2</v>
      </c>
      <c r="E78" s="55" t="s">
        <v>21</v>
      </c>
      <c r="F78" s="18" t="s">
        <v>21</v>
      </c>
      <c r="G78" s="18" t="s">
        <v>23</v>
      </c>
      <c r="H78" s="18" t="s">
        <v>21</v>
      </c>
      <c r="I78" s="18" t="s">
        <v>21</v>
      </c>
      <c r="J78" s="18" t="s">
        <v>21</v>
      </c>
      <c r="K78" s="18" t="s">
        <v>21</v>
      </c>
      <c r="L78" s="18" t="s">
        <v>21</v>
      </c>
      <c r="M78" s="18" t="s">
        <v>20</v>
      </c>
      <c r="N78" s="18" t="s">
        <v>20</v>
      </c>
      <c r="O78" s="18" t="s">
        <v>20</v>
      </c>
      <c r="P78" s="18" t="s">
        <v>21</v>
      </c>
      <c r="Q78" s="18" t="s">
        <v>21</v>
      </c>
      <c r="R78" s="18" t="s">
        <v>21</v>
      </c>
      <c r="S78" s="18" t="s">
        <v>21</v>
      </c>
      <c r="T78" s="18" t="s">
        <v>20</v>
      </c>
      <c r="U78" s="18" t="s">
        <v>21</v>
      </c>
      <c r="V78" s="37" t="s">
        <v>21</v>
      </c>
      <c r="W78" s="37" t="s">
        <v>20</v>
      </c>
      <c r="X78" s="37" t="s">
        <v>20</v>
      </c>
      <c r="Y78" s="18" t="s">
        <v>20</v>
      </c>
      <c r="Z78" s="18" t="s">
        <v>20</v>
      </c>
      <c r="AA78" s="20" t="s">
        <v>23</v>
      </c>
      <c r="AB78" s="20" t="s">
        <v>21</v>
      </c>
      <c r="AC78" s="20" t="s">
        <v>21</v>
      </c>
      <c r="AD78" s="18" t="s">
        <v>23</v>
      </c>
      <c r="AE78" s="18" t="s">
        <v>21</v>
      </c>
      <c r="AG78">
        <f t="shared" si="9"/>
        <v>0</v>
      </c>
      <c r="AH78">
        <f t="shared" si="10"/>
        <v>8</v>
      </c>
      <c r="AI78">
        <f t="shared" si="11"/>
        <v>15</v>
      </c>
      <c r="AJ78">
        <f t="shared" si="12"/>
        <v>3</v>
      </c>
      <c r="AL78">
        <f t="shared" si="13"/>
        <v>0</v>
      </c>
      <c r="AM78">
        <f t="shared" si="14"/>
        <v>24</v>
      </c>
      <c r="AN78">
        <f t="shared" si="15"/>
        <v>30</v>
      </c>
      <c r="AO78">
        <f t="shared" si="16"/>
        <v>3</v>
      </c>
      <c r="AP78">
        <f t="shared" si="17"/>
        <v>57</v>
      </c>
    </row>
    <row r="79" spans="1:42" ht="15.75" customHeight="1" x14ac:dyDescent="0.3">
      <c r="A79" s="16"/>
      <c r="B79" s="55">
        <v>12</v>
      </c>
      <c r="C79" s="56" t="s">
        <v>97</v>
      </c>
      <c r="D79" s="55">
        <v>2</v>
      </c>
      <c r="E79" s="55" t="s">
        <v>21</v>
      </c>
      <c r="F79" s="18" t="s">
        <v>20</v>
      </c>
      <c r="G79" s="18" t="s">
        <v>21</v>
      </c>
      <c r="H79" s="18" t="s">
        <v>21</v>
      </c>
      <c r="I79" s="18" t="s">
        <v>21</v>
      </c>
      <c r="J79" s="18" t="s">
        <v>21</v>
      </c>
      <c r="K79" s="18" t="s">
        <v>21</v>
      </c>
      <c r="L79" s="18" t="s">
        <v>21</v>
      </c>
      <c r="M79" s="18" t="s">
        <v>20</v>
      </c>
      <c r="N79" s="18" t="s">
        <v>20</v>
      </c>
      <c r="O79" s="18" t="s">
        <v>20</v>
      </c>
      <c r="P79" s="18" t="s">
        <v>21</v>
      </c>
      <c r="Q79" s="18" t="s">
        <v>21</v>
      </c>
      <c r="R79" s="18" t="s">
        <v>21</v>
      </c>
      <c r="S79" s="18" t="s">
        <v>20</v>
      </c>
      <c r="T79" s="18" t="s">
        <v>20</v>
      </c>
      <c r="U79" s="18" t="s">
        <v>21</v>
      </c>
      <c r="V79" s="37" t="s">
        <v>21</v>
      </c>
      <c r="W79" s="37" t="s">
        <v>20</v>
      </c>
      <c r="X79" s="37" t="s">
        <v>20</v>
      </c>
      <c r="Y79" s="18" t="s">
        <v>20</v>
      </c>
      <c r="Z79" s="18" t="s">
        <v>20</v>
      </c>
      <c r="AA79" s="20" t="s">
        <v>23</v>
      </c>
      <c r="AB79" s="20" t="s">
        <v>21</v>
      </c>
      <c r="AC79" s="20" t="s">
        <v>21</v>
      </c>
      <c r="AD79" s="18" t="s">
        <v>20</v>
      </c>
      <c r="AE79" s="18" t="s">
        <v>21</v>
      </c>
      <c r="AG79">
        <f t="shared" si="9"/>
        <v>0</v>
      </c>
      <c r="AH79">
        <f t="shared" si="10"/>
        <v>11</v>
      </c>
      <c r="AI79">
        <f t="shared" si="11"/>
        <v>14</v>
      </c>
      <c r="AJ79">
        <f t="shared" si="12"/>
        <v>1</v>
      </c>
      <c r="AL79">
        <f t="shared" si="13"/>
        <v>0</v>
      </c>
      <c r="AM79">
        <f t="shared" si="14"/>
        <v>33</v>
      </c>
      <c r="AN79">
        <f t="shared" si="15"/>
        <v>28</v>
      </c>
      <c r="AO79">
        <f t="shared" si="16"/>
        <v>1</v>
      </c>
      <c r="AP79">
        <f t="shared" si="17"/>
        <v>62</v>
      </c>
    </row>
    <row r="80" spans="1:42" ht="15.75" customHeight="1" x14ac:dyDescent="0.3">
      <c r="A80" s="16"/>
      <c r="B80" s="55">
        <v>13</v>
      </c>
      <c r="C80" s="56" t="s">
        <v>98</v>
      </c>
      <c r="D80" s="55">
        <v>2</v>
      </c>
      <c r="E80" s="55" t="s">
        <v>21</v>
      </c>
      <c r="F80" s="18" t="s">
        <v>20</v>
      </c>
      <c r="G80" s="18" t="s">
        <v>21</v>
      </c>
      <c r="H80" s="18" t="s">
        <v>20</v>
      </c>
      <c r="I80" s="18" t="s">
        <v>21</v>
      </c>
      <c r="J80" s="18" t="s">
        <v>20</v>
      </c>
      <c r="K80" s="18" t="s">
        <v>20</v>
      </c>
      <c r="L80" s="18" t="s">
        <v>20</v>
      </c>
      <c r="M80" s="18" t="s">
        <v>21</v>
      </c>
      <c r="N80" s="18" t="s">
        <v>20</v>
      </c>
      <c r="O80" s="18" t="s">
        <v>21</v>
      </c>
      <c r="P80" s="18" t="s">
        <v>21</v>
      </c>
      <c r="Q80" s="18" t="s">
        <v>21</v>
      </c>
      <c r="R80" s="18" t="s">
        <v>21</v>
      </c>
      <c r="S80" s="18" t="s">
        <v>20</v>
      </c>
      <c r="T80" s="18" t="s">
        <v>20</v>
      </c>
      <c r="U80" s="18" t="s">
        <v>21</v>
      </c>
      <c r="V80" s="37" t="s">
        <v>21</v>
      </c>
      <c r="W80" s="37" t="s">
        <v>20</v>
      </c>
      <c r="X80" s="37" t="s">
        <v>21</v>
      </c>
      <c r="Y80" s="18" t="s">
        <v>21</v>
      </c>
      <c r="Z80" s="18" t="s">
        <v>21</v>
      </c>
      <c r="AA80" s="20" t="s">
        <v>21</v>
      </c>
      <c r="AB80" s="20" t="s">
        <v>20</v>
      </c>
      <c r="AC80" s="20" t="s">
        <v>20</v>
      </c>
      <c r="AD80" s="18" t="s">
        <v>21</v>
      </c>
      <c r="AE80" s="18" t="s">
        <v>21</v>
      </c>
      <c r="AG80">
        <f t="shared" si="9"/>
        <v>0</v>
      </c>
      <c r="AH80">
        <f t="shared" si="10"/>
        <v>11</v>
      </c>
      <c r="AI80">
        <f t="shared" si="11"/>
        <v>15</v>
      </c>
      <c r="AJ80">
        <f t="shared" si="12"/>
        <v>0</v>
      </c>
      <c r="AL80">
        <f t="shared" si="13"/>
        <v>0</v>
      </c>
      <c r="AM80">
        <f t="shared" si="14"/>
        <v>33</v>
      </c>
      <c r="AN80">
        <f t="shared" si="15"/>
        <v>30</v>
      </c>
      <c r="AO80">
        <f t="shared" si="16"/>
        <v>0</v>
      </c>
      <c r="AP80">
        <f t="shared" si="17"/>
        <v>63</v>
      </c>
    </row>
    <row r="81" spans="1:42" ht="15.75" customHeight="1" x14ac:dyDescent="0.3">
      <c r="A81" s="16"/>
      <c r="B81" s="55">
        <v>14</v>
      </c>
      <c r="C81" s="56" t="s">
        <v>99</v>
      </c>
      <c r="D81" s="55">
        <v>2</v>
      </c>
      <c r="E81" s="55" t="s">
        <v>21</v>
      </c>
      <c r="F81" s="18" t="s">
        <v>20</v>
      </c>
      <c r="G81" s="18" t="s">
        <v>20</v>
      </c>
      <c r="H81" s="18" t="s">
        <v>20</v>
      </c>
      <c r="I81" s="18" t="s">
        <v>20</v>
      </c>
      <c r="J81" s="18" t="s">
        <v>20</v>
      </c>
      <c r="K81" s="18" t="s">
        <v>20</v>
      </c>
      <c r="L81" s="18" t="s">
        <v>20</v>
      </c>
      <c r="M81" s="18" t="s">
        <v>21</v>
      </c>
      <c r="N81" s="18" t="s">
        <v>20</v>
      </c>
      <c r="O81" s="18" t="s">
        <v>20</v>
      </c>
      <c r="P81" s="18" t="s">
        <v>20</v>
      </c>
      <c r="Q81" s="18" t="s">
        <v>20</v>
      </c>
      <c r="R81" s="18" t="s">
        <v>20</v>
      </c>
      <c r="S81" s="18" t="s">
        <v>20</v>
      </c>
      <c r="T81" s="18" t="s">
        <v>20</v>
      </c>
      <c r="U81" s="18" t="s">
        <v>21</v>
      </c>
      <c r="V81" s="37" t="s">
        <v>20</v>
      </c>
      <c r="W81" s="37" t="s">
        <v>20</v>
      </c>
      <c r="X81" s="37" t="s">
        <v>20</v>
      </c>
      <c r="Y81" s="18" t="s">
        <v>20</v>
      </c>
      <c r="Z81" s="18" t="s">
        <v>20</v>
      </c>
      <c r="AA81" s="20" t="s">
        <v>21</v>
      </c>
      <c r="AB81" s="20" t="s">
        <v>21</v>
      </c>
      <c r="AC81" s="20" t="s">
        <v>21</v>
      </c>
      <c r="AD81" s="40" t="s">
        <v>23</v>
      </c>
      <c r="AE81" s="40" t="s">
        <v>21</v>
      </c>
      <c r="AG81">
        <f t="shared" si="9"/>
        <v>0</v>
      </c>
      <c r="AH81">
        <f t="shared" si="10"/>
        <v>19</v>
      </c>
      <c r="AI81">
        <f t="shared" si="11"/>
        <v>6</v>
      </c>
      <c r="AJ81">
        <f t="shared" si="12"/>
        <v>1</v>
      </c>
      <c r="AL81">
        <f t="shared" si="13"/>
        <v>0</v>
      </c>
      <c r="AM81">
        <f t="shared" si="14"/>
        <v>57</v>
      </c>
      <c r="AN81">
        <f t="shared" si="15"/>
        <v>12</v>
      </c>
      <c r="AO81">
        <f t="shared" si="16"/>
        <v>1</v>
      </c>
      <c r="AP81">
        <f t="shared" si="17"/>
        <v>70</v>
      </c>
    </row>
    <row r="82" spans="1:42" ht="15.75" customHeight="1" x14ac:dyDescent="0.3">
      <c r="A82" s="16"/>
      <c r="B82" s="55">
        <v>15</v>
      </c>
      <c r="C82" s="56" t="s">
        <v>100</v>
      </c>
      <c r="D82" s="55">
        <v>2</v>
      </c>
      <c r="E82" s="55" t="s">
        <v>21</v>
      </c>
      <c r="F82" s="18" t="s">
        <v>21</v>
      </c>
      <c r="G82" s="18" t="s">
        <v>21</v>
      </c>
      <c r="H82" s="18" t="s">
        <v>21</v>
      </c>
      <c r="I82" s="18" t="s">
        <v>21</v>
      </c>
      <c r="J82" s="18" t="s">
        <v>21</v>
      </c>
      <c r="K82" s="18" t="s">
        <v>21</v>
      </c>
      <c r="L82" s="18" t="s">
        <v>21</v>
      </c>
      <c r="M82" s="18" t="s">
        <v>21</v>
      </c>
      <c r="N82" s="18" t="s">
        <v>23</v>
      </c>
      <c r="O82" s="18" t="s">
        <v>21</v>
      </c>
      <c r="P82" s="18" t="s">
        <v>21</v>
      </c>
      <c r="Q82" s="18" t="s">
        <v>21</v>
      </c>
      <c r="R82" s="18" t="s">
        <v>21</v>
      </c>
      <c r="S82" s="18" t="s">
        <v>21</v>
      </c>
      <c r="T82" s="18" t="s">
        <v>20</v>
      </c>
      <c r="U82" s="18" t="s">
        <v>20</v>
      </c>
      <c r="V82" s="37" t="s">
        <v>21</v>
      </c>
      <c r="W82" s="37" t="s">
        <v>20</v>
      </c>
      <c r="X82" s="37" t="s">
        <v>21</v>
      </c>
      <c r="Y82" s="18" t="s">
        <v>20</v>
      </c>
      <c r="Z82" s="18" t="s">
        <v>21</v>
      </c>
      <c r="AA82" s="20" t="s">
        <v>21</v>
      </c>
      <c r="AB82" s="20" t="s">
        <v>21</v>
      </c>
      <c r="AC82" s="20" t="s">
        <v>21</v>
      </c>
      <c r="AD82" s="18" t="s">
        <v>21</v>
      </c>
      <c r="AE82" s="18" t="s">
        <v>21</v>
      </c>
      <c r="AG82">
        <f t="shared" si="9"/>
        <v>0</v>
      </c>
      <c r="AH82">
        <f t="shared" si="10"/>
        <v>4</v>
      </c>
      <c r="AI82">
        <f t="shared" si="11"/>
        <v>21</v>
      </c>
      <c r="AJ82">
        <f t="shared" si="12"/>
        <v>1</v>
      </c>
      <c r="AL82">
        <f t="shared" si="13"/>
        <v>0</v>
      </c>
      <c r="AM82">
        <f t="shared" si="14"/>
        <v>12</v>
      </c>
      <c r="AN82">
        <f t="shared" si="15"/>
        <v>42</v>
      </c>
      <c r="AO82">
        <f t="shared" si="16"/>
        <v>1</v>
      </c>
      <c r="AP82">
        <f t="shared" si="17"/>
        <v>55</v>
      </c>
    </row>
    <row r="83" spans="1:42" ht="15.75" customHeight="1" x14ac:dyDescent="0.3">
      <c r="A83" s="16"/>
      <c r="B83" s="55">
        <v>16</v>
      </c>
      <c r="C83" s="56" t="s">
        <v>101</v>
      </c>
      <c r="D83" s="55">
        <v>2</v>
      </c>
      <c r="E83" s="55" t="s">
        <v>21</v>
      </c>
      <c r="F83" s="18" t="s">
        <v>21</v>
      </c>
      <c r="G83" s="18" t="s">
        <v>23</v>
      </c>
      <c r="H83" s="18" t="s">
        <v>21</v>
      </c>
      <c r="I83" s="18" t="s">
        <v>21</v>
      </c>
      <c r="J83" s="18" t="s">
        <v>21</v>
      </c>
      <c r="K83" s="18" t="s">
        <v>21</v>
      </c>
      <c r="L83" s="18" t="s">
        <v>21</v>
      </c>
      <c r="M83" s="18" t="s">
        <v>21</v>
      </c>
      <c r="N83" s="18" t="s">
        <v>23</v>
      </c>
      <c r="O83" s="18" t="s">
        <v>21</v>
      </c>
      <c r="P83" s="18" t="s">
        <v>23</v>
      </c>
      <c r="Q83" s="18" t="s">
        <v>23</v>
      </c>
      <c r="R83" s="18" t="s">
        <v>21</v>
      </c>
      <c r="S83" s="18" t="s">
        <v>21</v>
      </c>
      <c r="T83" s="18" t="s">
        <v>21</v>
      </c>
      <c r="U83" s="18" t="s">
        <v>21</v>
      </c>
      <c r="V83" s="37" t="s">
        <v>21</v>
      </c>
      <c r="W83" s="37" t="s">
        <v>21</v>
      </c>
      <c r="X83" s="37" t="s">
        <v>21</v>
      </c>
      <c r="Y83" s="18" t="s">
        <v>23</v>
      </c>
      <c r="Z83" s="18" t="s">
        <v>20</v>
      </c>
      <c r="AA83" s="20" t="s">
        <v>21</v>
      </c>
      <c r="AB83" s="20" t="s">
        <v>21</v>
      </c>
      <c r="AC83" s="20" t="s">
        <v>21</v>
      </c>
      <c r="AD83" s="18" t="s">
        <v>23</v>
      </c>
      <c r="AE83" s="18" t="s">
        <v>21</v>
      </c>
      <c r="AG83">
        <f t="shared" si="9"/>
        <v>0</v>
      </c>
      <c r="AH83">
        <f t="shared" si="10"/>
        <v>1</v>
      </c>
      <c r="AI83">
        <f t="shared" si="11"/>
        <v>19</v>
      </c>
      <c r="AJ83">
        <f t="shared" si="12"/>
        <v>6</v>
      </c>
      <c r="AL83">
        <f t="shared" si="13"/>
        <v>0</v>
      </c>
      <c r="AM83">
        <f t="shared" si="14"/>
        <v>3</v>
      </c>
      <c r="AN83">
        <f t="shared" si="15"/>
        <v>38</v>
      </c>
      <c r="AO83">
        <f t="shared" si="16"/>
        <v>6</v>
      </c>
      <c r="AP83">
        <f t="shared" si="17"/>
        <v>47</v>
      </c>
    </row>
    <row r="84" spans="1:42" ht="15.75" customHeight="1" x14ac:dyDescent="0.3">
      <c r="A84" s="16"/>
      <c r="B84" s="55">
        <v>17</v>
      </c>
      <c r="C84" s="56" t="s">
        <v>102</v>
      </c>
      <c r="D84" s="55">
        <v>2</v>
      </c>
      <c r="E84" s="55" t="s">
        <v>21</v>
      </c>
      <c r="F84" s="18" t="s">
        <v>20</v>
      </c>
      <c r="G84" s="18" t="s">
        <v>21</v>
      </c>
      <c r="H84" s="18" t="s">
        <v>21</v>
      </c>
      <c r="I84" s="18" t="s">
        <v>21</v>
      </c>
      <c r="J84" s="18" t="s">
        <v>21</v>
      </c>
      <c r="K84" s="18" t="s">
        <v>21</v>
      </c>
      <c r="L84" s="18" t="s">
        <v>21</v>
      </c>
      <c r="M84" s="18" t="s">
        <v>21</v>
      </c>
      <c r="N84" s="18" t="s">
        <v>20</v>
      </c>
      <c r="O84" s="18" t="s">
        <v>21</v>
      </c>
      <c r="P84" s="18" t="s">
        <v>23</v>
      </c>
      <c r="Q84" s="18" t="s">
        <v>23</v>
      </c>
      <c r="R84" s="18" t="s">
        <v>21</v>
      </c>
      <c r="S84" s="18" t="s">
        <v>21</v>
      </c>
      <c r="T84" s="18" t="s">
        <v>20</v>
      </c>
      <c r="U84" s="18" t="s">
        <v>21</v>
      </c>
      <c r="V84" s="37" t="s">
        <v>20</v>
      </c>
      <c r="W84" s="37" t="s">
        <v>20</v>
      </c>
      <c r="X84" s="37" t="s">
        <v>20</v>
      </c>
      <c r="Y84" s="18" t="s">
        <v>21</v>
      </c>
      <c r="Z84" s="18" t="s">
        <v>20</v>
      </c>
      <c r="AA84" s="20" t="s">
        <v>21</v>
      </c>
      <c r="AB84" s="20" t="s">
        <v>21</v>
      </c>
      <c r="AC84" s="20" t="s">
        <v>21</v>
      </c>
      <c r="AD84" s="18" t="s">
        <v>23</v>
      </c>
      <c r="AE84" s="18" t="s">
        <v>21</v>
      </c>
      <c r="AG84">
        <f t="shared" si="9"/>
        <v>0</v>
      </c>
      <c r="AH84">
        <f t="shared" si="10"/>
        <v>7</v>
      </c>
      <c r="AI84">
        <f t="shared" si="11"/>
        <v>16</v>
      </c>
      <c r="AJ84">
        <f t="shared" si="12"/>
        <v>3</v>
      </c>
      <c r="AL84">
        <f t="shared" si="13"/>
        <v>0</v>
      </c>
      <c r="AM84">
        <f t="shared" si="14"/>
        <v>21</v>
      </c>
      <c r="AN84">
        <f t="shared" si="15"/>
        <v>32</v>
      </c>
      <c r="AO84">
        <f t="shared" si="16"/>
        <v>3</v>
      </c>
      <c r="AP84">
        <f t="shared" si="17"/>
        <v>56</v>
      </c>
    </row>
    <row r="85" spans="1:42" ht="15.75" customHeight="1" x14ac:dyDescent="0.3">
      <c r="A85" s="16"/>
      <c r="B85" s="55">
        <v>18</v>
      </c>
      <c r="C85" s="56" t="s">
        <v>103</v>
      </c>
      <c r="D85" s="55">
        <v>2</v>
      </c>
      <c r="E85" s="55" t="s">
        <v>21</v>
      </c>
      <c r="F85" s="18" t="s">
        <v>20</v>
      </c>
      <c r="G85" s="18" t="s">
        <v>21</v>
      </c>
      <c r="H85" s="18" t="s">
        <v>21</v>
      </c>
      <c r="I85" s="18" t="s">
        <v>20</v>
      </c>
      <c r="J85" s="18" t="s">
        <v>21</v>
      </c>
      <c r="K85" s="18" t="s">
        <v>20</v>
      </c>
      <c r="L85" s="18" t="s">
        <v>20</v>
      </c>
      <c r="M85" s="18" t="s">
        <v>23</v>
      </c>
      <c r="N85" s="18" t="s">
        <v>20</v>
      </c>
      <c r="O85" s="18" t="s">
        <v>20</v>
      </c>
      <c r="P85" s="18" t="s">
        <v>21</v>
      </c>
      <c r="Q85" s="18" t="s">
        <v>21</v>
      </c>
      <c r="R85" s="18" t="s">
        <v>21</v>
      </c>
      <c r="S85" s="18" t="s">
        <v>20</v>
      </c>
      <c r="T85" s="18" t="s">
        <v>21</v>
      </c>
      <c r="U85" s="18" t="s">
        <v>21</v>
      </c>
      <c r="V85" s="37" t="s">
        <v>21</v>
      </c>
      <c r="W85" s="37" t="s">
        <v>21</v>
      </c>
      <c r="X85" s="37" t="s">
        <v>21</v>
      </c>
      <c r="Y85" s="18" t="s">
        <v>23</v>
      </c>
      <c r="Z85" s="18" t="s">
        <v>21</v>
      </c>
      <c r="AA85" s="20" t="s">
        <v>21</v>
      </c>
      <c r="AB85" s="20" t="s">
        <v>20</v>
      </c>
      <c r="AC85" s="20" t="s">
        <v>20</v>
      </c>
      <c r="AD85" s="18" t="s">
        <v>23</v>
      </c>
      <c r="AE85" s="18" t="s">
        <v>21</v>
      </c>
      <c r="AG85">
        <f t="shared" si="9"/>
        <v>0</v>
      </c>
      <c r="AH85">
        <f t="shared" si="10"/>
        <v>9</v>
      </c>
      <c r="AI85">
        <f t="shared" si="11"/>
        <v>14</v>
      </c>
      <c r="AJ85">
        <f t="shared" si="12"/>
        <v>3</v>
      </c>
      <c r="AL85">
        <f t="shared" si="13"/>
        <v>0</v>
      </c>
      <c r="AM85">
        <f t="shared" si="14"/>
        <v>27</v>
      </c>
      <c r="AN85">
        <f t="shared" si="15"/>
        <v>28</v>
      </c>
      <c r="AO85">
        <f t="shared" si="16"/>
        <v>3</v>
      </c>
      <c r="AP85">
        <f t="shared" si="17"/>
        <v>58</v>
      </c>
    </row>
    <row r="86" spans="1:42" ht="15.75" customHeight="1" x14ac:dyDescent="0.3">
      <c r="A86" s="16"/>
      <c r="B86" s="55">
        <v>19</v>
      </c>
      <c r="C86" s="56" t="s">
        <v>104</v>
      </c>
      <c r="D86" s="55">
        <v>2</v>
      </c>
      <c r="E86" s="55" t="s">
        <v>21</v>
      </c>
      <c r="F86" s="18" t="s">
        <v>21</v>
      </c>
      <c r="G86" s="18" t="s">
        <v>23</v>
      </c>
      <c r="H86" s="18" t="s">
        <v>21</v>
      </c>
      <c r="I86" s="18" t="s">
        <v>21</v>
      </c>
      <c r="J86" s="18" t="s">
        <v>21</v>
      </c>
      <c r="K86" s="18" t="s">
        <v>21</v>
      </c>
      <c r="L86" s="18" t="s">
        <v>21</v>
      </c>
      <c r="M86" s="18" t="s">
        <v>23</v>
      </c>
      <c r="N86" s="18" t="s">
        <v>23</v>
      </c>
      <c r="O86" s="18" t="s">
        <v>23</v>
      </c>
      <c r="P86" s="18" t="s">
        <v>23</v>
      </c>
      <c r="Q86" s="18" t="s">
        <v>21</v>
      </c>
      <c r="R86" s="18" t="s">
        <v>23</v>
      </c>
      <c r="S86" s="18" t="s">
        <v>21</v>
      </c>
      <c r="T86" s="18" t="s">
        <v>23</v>
      </c>
      <c r="U86" s="18" t="s">
        <v>21</v>
      </c>
      <c r="V86" s="37" t="s">
        <v>21</v>
      </c>
      <c r="W86" s="37" t="s">
        <v>21</v>
      </c>
      <c r="X86" s="37" t="s">
        <v>21</v>
      </c>
      <c r="Y86" s="18" t="s">
        <v>23</v>
      </c>
      <c r="Z86" s="18" t="s">
        <v>23</v>
      </c>
      <c r="AA86" s="20" t="s">
        <v>21</v>
      </c>
      <c r="AB86" s="20" t="s">
        <v>21</v>
      </c>
      <c r="AC86" s="20" t="s">
        <v>21</v>
      </c>
      <c r="AD86" s="18" t="s">
        <v>23</v>
      </c>
      <c r="AE86" s="18" t="s">
        <v>21</v>
      </c>
      <c r="AG86">
        <f t="shared" si="9"/>
        <v>0</v>
      </c>
      <c r="AH86">
        <f t="shared" si="10"/>
        <v>0</v>
      </c>
      <c r="AI86">
        <f t="shared" si="11"/>
        <v>16</v>
      </c>
      <c r="AJ86">
        <f t="shared" si="12"/>
        <v>10</v>
      </c>
      <c r="AL86">
        <f t="shared" si="13"/>
        <v>0</v>
      </c>
      <c r="AM86">
        <f t="shared" si="14"/>
        <v>0</v>
      </c>
      <c r="AN86">
        <f t="shared" si="15"/>
        <v>32</v>
      </c>
      <c r="AO86">
        <f t="shared" si="16"/>
        <v>10</v>
      </c>
      <c r="AP86">
        <f t="shared" si="17"/>
        <v>42</v>
      </c>
    </row>
    <row r="87" spans="1:42" ht="15.75" customHeight="1" x14ac:dyDescent="0.3">
      <c r="A87" s="16"/>
      <c r="B87" s="55">
        <v>20</v>
      </c>
      <c r="C87" s="56" t="s">
        <v>105</v>
      </c>
      <c r="D87" s="55">
        <v>2</v>
      </c>
      <c r="E87" s="55" t="s">
        <v>21</v>
      </c>
      <c r="F87" s="18" t="s">
        <v>20</v>
      </c>
      <c r="G87" s="18" t="s">
        <v>20</v>
      </c>
      <c r="H87" s="18" t="s">
        <v>20</v>
      </c>
      <c r="I87" s="18" t="s">
        <v>20</v>
      </c>
      <c r="J87" s="18" t="s">
        <v>20</v>
      </c>
      <c r="K87" s="18" t="s">
        <v>20</v>
      </c>
      <c r="L87" s="18" t="s">
        <v>21</v>
      </c>
      <c r="M87" s="18" t="s">
        <v>21</v>
      </c>
      <c r="N87" s="18" t="s">
        <v>20</v>
      </c>
      <c r="O87" s="18" t="s">
        <v>20</v>
      </c>
      <c r="P87" s="18" t="s">
        <v>23</v>
      </c>
      <c r="Q87" s="18" t="s">
        <v>23</v>
      </c>
      <c r="R87" s="18" t="s">
        <v>21</v>
      </c>
      <c r="S87" s="18" t="s">
        <v>21</v>
      </c>
      <c r="T87" s="18" t="s">
        <v>20</v>
      </c>
      <c r="U87" s="18" t="s">
        <v>21</v>
      </c>
      <c r="V87" s="37" t="s">
        <v>21</v>
      </c>
      <c r="W87" s="37" t="s">
        <v>20</v>
      </c>
      <c r="X87" s="37" t="s">
        <v>21</v>
      </c>
      <c r="Y87" s="18" t="s">
        <v>20</v>
      </c>
      <c r="Z87" s="18" t="s">
        <v>20</v>
      </c>
      <c r="AA87" s="20" t="s">
        <v>20</v>
      </c>
      <c r="AB87" s="20" t="s">
        <v>20</v>
      </c>
      <c r="AC87" s="20" t="s">
        <v>20</v>
      </c>
      <c r="AD87" s="18" t="s">
        <v>21</v>
      </c>
      <c r="AE87" s="18" t="s">
        <v>21</v>
      </c>
      <c r="AG87">
        <f t="shared" si="9"/>
        <v>0</v>
      </c>
      <c r="AH87">
        <f t="shared" si="10"/>
        <v>15</v>
      </c>
      <c r="AI87">
        <f t="shared" si="11"/>
        <v>9</v>
      </c>
      <c r="AJ87">
        <f t="shared" si="12"/>
        <v>2</v>
      </c>
      <c r="AL87">
        <f t="shared" si="13"/>
        <v>0</v>
      </c>
      <c r="AM87">
        <f t="shared" si="14"/>
        <v>45</v>
      </c>
      <c r="AN87">
        <f t="shared" si="15"/>
        <v>18</v>
      </c>
      <c r="AO87">
        <f t="shared" si="16"/>
        <v>2</v>
      </c>
      <c r="AP87">
        <f t="shared" si="17"/>
        <v>65</v>
      </c>
    </row>
    <row r="88" spans="1:42" ht="15.75" customHeight="1" x14ac:dyDescent="0.3">
      <c r="A88" s="16"/>
      <c r="B88" s="55">
        <v>21</v>
      </c>
      <c r="C88" s="56" t="s">
        <v>106</v>
      </c>
      <c r="D88" s="55">
        <v>2</v>
      </c>
      <c r="E88" s="55" t="s">
        <v>21</v>
      </c>
      <c r="F88" s="18" t="s">
        <v>21</v>
      </c>
      <c r="G88" s="18" t="s">
        <v>23</v>
      </c>
      <c r="H88" s="18" t="s">
        <v>21</v>
      </c>
      <c r="I88" s="18" t="s">
        <v>21</v>
      </c>
      <c r="J88" s="18" t="s">
        <v>20</v>
      </c>
      <c r="K88" s="18" t="s">
        <v>20</v>
      </c>
      <c r="L88" s="18" t="s">
        <v>20</v>
      </c>
      <c r="M88" s="18" t="s">
        <v>21</v>
      </c>
      <c r="N88" s="18" t="s">
        <v>21</v>
      </c>
      <c r="O88" s="18" t="s">
        <v>21</v>
      </c>
      <c r="P88" s="18" t="s">
        <v>21</v>
      </c>
      <c r="Q88" s="18" t="s">
        <v>21</v>
      </c>
      <c r="R88" s="18" t="s">
        <v>21</v>
      </c>
      <c r="S88" s="18" t="s">
        <v>23</v>
      </c>
      <c r="T88" s="18" t="s">
        <v>21</v>
      </c>
      <c r="U88" s="18" t="s">
        <v>20</v>
      </c>
      <c r="V88" s="37" t="s">
        <v>21</v>
      </c>
      <c r="W88" s="37" t="s">
        <v>21</v>
      </c>
      <c r="X88" s="37" t="s">
        <v>21</v>
      </c>
      <c r="Y88" s="18" t="s">
        <v>23</v>
      </c>
      <c r="Z88" s="18" t="s">
        <v>21</v>
      </c>
      <c r="AA88" s="20" t="s">
        <v>21</v>
      </c>
      <c r="AB88" s="20" t="s">
        <v>21</v>
      </c>
      <c r="AC88" s="20" t="s">
        <v>21</v>
      </c>
      <c r="AD88" s="18" t="s">
        <v>23</v>
      </c>
      <c r="AE88" s="18" t="s">
        <v>21</v>
      </c>
      <c r="AG88">
        <f t="shared" si="9"/>
        <v>0</v>
      </c>
      <c r="AH88">
        <f t="shared" si="10"/>
        <v>4</v>
      </c>
      <c r="AI88">
        <f t="shared" si="11"/>
        <v>18</v>
      </c>
      <c r="AJ88">
        <f t="shared" si="12"/>
        <v>4</v>
      </c>
      <c r="AL88">
        <f t="shared" si="13"/>
        <v>0</v>
      </c>
      <c r="AM88">
        <f t="shared" si="14"/>
        <v>12</v>
      </c>
      <c r="AN88">
        <f t="shared" si="15"/>
        <v>36</v>
      </c>
      <c r="AO88">
        <f t="shared" si="16"/>
        <v>4</v>
      </c>
      <c r="AP88">
        <f t="shared" si="17"/>
        <v>52</v>
      </c>
    </row>
    <row r="89" spans="1:42" ht="15.75" customHeight="1" x14ac:dyDescent="0.3">
      <c r="A89" s="16"/>
      <c r="B89" s="55">
        <v>22</v>
      </c>
      <c r="C89" s="56" t="s">
        <v>107</v>
      </c>
      <c r="D89" s="55">
        <v>2</v>
      </c>
      <c r="E89" s="55" t="s">
        <v>21</v>
      </c>
      <c r="F89" s="18" t="s">
        <v>21</v>
      </c>
      <c r="G89" s="18" t="s">
        <v>21</v>
      </c>
      <c r="H89" s="18" t="s">
        <v>23</v>
      </c>
      <c r="I89" s="18" t="s">
        <v>21</v>
      </c>
      <c r="J89" s="18" t="s">
        <v>20</v>
      </c>
      <c r="K89" s="18" t="s">
        <v>21</v>
      </c>
      <c r="L89" s="18" t="s">
        <v>21</v>
      </c>
      <c r="M89" s="18" t="s">
        <v>20</v>
      </c>
      <c r="N89" s="18" t="s">
        <v>21</v>
      </c>
      <c r="O89" s="18" t="s">
        <v>20</v>
      </c>
      <c r="P89" s="18" t="s">
        <v>21</v>
      </c>
      <c r="Q89" s="18" t="s">
        <v>21</v>
      </c>
      <c r="R89" s="18" t="s">
        <v>21</v>
      </c>
      <c r="S89" s="18" t="s">
        <v>20</v>
      </c>
      <c r="T89" s="18" t="s">
        <v>21</v>
      </c>
      <c r="U89" s="18" t="s">
        <v>21</v>
      </c>
      <c r="V89" s="37" t="s">
        <v>21</v>
      </c>
      <c r="W89" s="37" t="s">
        <v>21</v>
      </c>
      <c r="X89" s="37" t="s">
        <v>21</v>
      </c>
      <c r="Y89" s="18" t="s">
        <v>21</v>
      </c>
      <c r="Z89" s="18" t="s">
        <v>21</v>
      </c>
      <c r="AA89" s="20" t="s">
        <v>21</v>
      </c>
      <c r="AB89" s="20" t="s">
        <v>21</v>
      </c>
      <c r="AC89" s="20" t="s">
        <v>20</v>
      </c>
      <c r="AD89" s="18" t="s">
        <v>23</v>
      </c>
      <c r="AE89" s="18" t="s">
        <v>21</v>
      </c>
      <c r="AG89">
        <f t="shared" si="9"/>
        <v>0</v>
      </c>
      <c r="AH89">
        <f t="shared" si="10"/>
        <v>5</v>
      </c>
      <c r="AI89">
        <f t="shared" si="11"/>
        <v>19</v>
      </c>
      <c r="AJ89">
        <f t="shared" si="12"/>
        <v>2</v>
      </c>
      <c r="AL89">
        <f t="shared" si="13"/>
        <v>0</v>
      </c>
      <c r="AM89">
        <f t="shared" si="14"/>
        <v>15</v>
      </c>
      <c r="AN89">
        <f t="shared" si="15"/>
        <v>38</v>
      </c>
      <c r="AO89">
        <f t="shared" si="16"/>
        <v>2</v>
      </c>
      <c r="AP89">
        <f t="shared" si="17"/>
        <v>55</v>
      </c>
    </row>
    <row r="90" spans="1:42" ht="15.75" customHeight="1" thickBot="1" x14ac:dyDescent="0.35">
      <c r="A90" s="16"/>
      <c r="B90" s="57">
        <v>23</v>
      </c>
      <c r="C90" s="58" t="s">
        <v>108</v>
      </c>
      <c r="D90" s="57">
        <v>2</v>
      </c>
      <c r="E90" s="57" t="s">
        <v>21</v>
      </c>
      <c r="F90" s="21" t="s">
        <v>21</v>
      </c>
      <c r="G90" s="21" t="s">
        <v>23</v>
      </c>
      <c r="H90" s="21" t="s">
        <v>21</v>
      </c>
      <c r="I90" s="21" t="s">
        <v>21</v>
      </c>
      <c r="J90" s="21" t="s">
        <v>20</v>
      </c>
      <c r="K90" s="21" t="s">
        <v>21</v>
      </c>
      <c r="L90" s="21" t="s">
        <v>21</v>
      </c>
      <c r="M90" s="21" t="s">
        <v>23</v>
      </c>
      <c r="N90" s="21" t="s">
        <v>21</v>
      </c>
      <c r="O90" s="21" t="s">
        <v>21</v>
      </c>
      <c r="P90" s="21" t="s">
        <v>23</v>
      </c>
      <c r="Q90" s="21" t="s">
        <v>21</v>
      </c>
      <c r="R90" s="41" t="s">
        <v>23</v>
      </c>
      <c r="S90" s="21" t="s">
        <v>23</v>
      </c>
      <c r="T90" s="21" t="s">
        <v>23</v>
      </c>
      <c r="U90" s="21" t="s">
        <v>21</v>
      </c>
      <c r="V90" s="38" t="s">
        <v>20</v>
      </c>
      <c r="W90" s="38" t="s">
        <v>20</v>
      </c>
      <c r="X90" s="38" t="s">
        <v>20</v>
      </c>
      <c r="Y90" s="21" t="s">
        <v>21</v>
      </c>
      <c r="Z90" s="21" t="s">
        <v>21</v>
      </c>
      <c r="AA90" s="23" t="s">
        <v>21</v>
      </c>
      <c r="AB90" s="23" t="s">
        <v>21</v>
      </c>
      <c r="AC90" s="23" t="s">
        <v>21</v>
      </c>
      <c r="AD90" s="21" t="s">
        <v>23</v>
      </c>
      <c r="AE90" s="21" t="s">
        <v>21</v>
      </c>
      <c r="AG90">
        <f t="shared" si="9"/>
        <v>0</v>
      </c>
      <c r="AH90">
        <f t="shared" si="10"/>
        <v>4</v>
      </c>
      <c r="AI90">
        <f t="shared" si="11"/>
        <v>15</v>
      </c>
      <c r="AJ90">
        <f t="shared" si="12"/>
        <v>7</v>
      </c>
      <c r="AL90">
        <f t="shared" si="13"/>
        <v>0</v>
      </c>
      <c r="AM90">
        <f t="shared" si="14"/>
        <v>12</v>
      </c>
      <c r="AN90">
        <f t="shared" si="15"/>
        <v>30</v>
      </c>
      <c r="AO90">
        <f t="shared" si="16"/>
        <v>7</v>
      </c>
      <c r="AP90">
        <f t="shared" si="17"/>
        <v>49</v>
      </c>
    </row>
    <row r="91" spans="1:42" ht="15.75" customHeight="1" x14ac:dyDescent="0.3">
      <c r="A91" s="16"/>
      <c r="B91" s="59">
        <v>1</v>
      </c>
      <c r="C91" s="60" t="s">
        <v>109</v>
      </c>
      <c r="D91" s="59">
        <v>3</v>
      </c>
      <c r="E91" s="59" t="s">
        <v>20</v>
      </c>
      <c r="F91" s="24" t="s">
        <v>39</v>
      </c>
      <c r="G91" s="24" t="s">
        <v>39</v>
      </c>
      <c r="H91" s="24" t="s">
        <v>20</v>
      </c>
      <c r="I91" s="24" t="s">
        <v>39</v>
      </c>
      <c r="J91" s="42" t="s">
        <v>20</v>
      </c>
      <c r="K91" s="42" t="s">
        <v>39</v>
      </c>
      <c r="L91" s="42" t="s">
        <v>20</v>
      </c>
      <c r="M91" s="24" t="s">
        <v>20</v>
      </c>
      <c r="N91" s="24" t="s">
        <v>20</v>
      </c>
      <c r="O91" s="24" t="s">
        <v>20</v>
      </c>
      <c r="P91" s="24" t="s">
        <v>20</v>
      </c>
      <c r="Q91" s="24" t="s">
        <v>20</v>
      </c>
      <c r="R91" s="24" t="s">
        <v>20</v>
      </c>
      <c r="S91" s="24" t="s">
        <v>20</v>
      </c>
      <c r="T91" s="24" t="s">
        <v>20</v>
      </c>
      <c r="U91" s="24" t="s">
        <v>20</v>
      </c>
      <c r="V91" s="39" t="s">
        <v>21</v>
      </c>
      <c r="W91" s="39" t="s">
        <v>20</v>
      </c>
      <c r="X91" s="39" t="s">
        <v>21</v>
      </c>
      <c r="Y91" s="24" t="s">
        <v>39</v>
      </c>
      <c r="Z91" s="24" t="s">
        <v>39</v>
      </c>
      <c r="AA91" s="27" t="s">
        <v>20</v>
      </c>
      <c r="AB91" s="27" t="s">
        <v>20</v>
      </c>
      <c r="AC91" s="27" t="s">
        <v>20</v>
      </c>
      <c r="AD91" s="39" t="s">
        <v>20</v>
      </c>
      <c r="AE91" s="39" t="s">
        <v>21</v>
      </c>
      <c r="AG91">
        <f t="shared" si="9"/>
        <v>6</v>
      </c>
      <c r="AH91">
        <f t="shared" si="10"/>
        <v>17</v>
      </c>
      <c r="AI91">
        <f t="shared" si="11"/>
        <v>3</v>
      </c>
      <c r="AJ91">
        <f t="shared" si="12"/>
        <v>0</v>
      </c>
      <c r="AL91">
        <f t="shared" si="13"/>
        <v>24</v>
      </c>
      <c r="AM91">
        <f t="shared" si="14"/>
        <v>51</v>
      </c>
      <c r="AN91">
        <f t="shared" si="15"/>
        <v>6</v>
      </c>
      <c r="AO91">
        <f t="shared" si="16"/>
        <v>0</v>
      </c>
      <c r="AP91">
        <f t="shared" si="17"/>
        <v>81</v>
      </c>
    </row>
    <row r="92" spans="1:42" ht="15.75" customHeight="1" x14ac:dyDescent="0.3">
      <c r="A92" s="16"/>
      <c r="B92" s="55">
        <v>2</v>
      </c>
      <c r="C92" s="56" t="s">
        <v>110</v>
      </c>
      <c r="D92" s="55">
        <v>3</v>
      </c>
      <c r="E92" s="55" t="s">
        <v>20</v>
      </c>
      <c r="F92" s="18" t="s">
        <v>20</v>
      </c>
      <c r="G92" s="18" t="s">
        <v>20</v>
      </c>
      <c r="H92" s="18" t="s">
        <v>20</v>
      </c>
      <c r="I92" s="18" t="s">
        <v>39</v>
      </c>
      <c r="J92" s="43" t="s">
        <v>39</v>
      </c>
      <c r="K92" s="43" t="s">
        <v>39</v>
      </c>
      <c r="L92" s="43" t="s">
        <v>20</v>
      </c>
      <c r="M92" s="18" t="s">
        <v>20</v>
      </c>
      <c r="N92" s="18" t="s">
        <v>20</v>
      </c>
      <c r="O92" s="18" t="s">
        <v>20</v>
      </c>
      <c r="P92" s="18" t="s">
        <v>20</v>
      </c>
      <c r="Q92" s="18" t="s">
        <v>20</v>
      </c>
      <c r="R92" s="18" t="s">
        <v>20</v>
      </c>
      <c r="S92" s="18" t="s">
        <v>20</v>
      </c>
      <c r="T92" s="18" t="s">
        <v>20</v>
      </c>
      <c r="U92" s="18" t="s">
        <v>20</v>
      </c>
      <c r="V92" s="37" t="s">
        <v>20</v>
      </c>
      <c r="W92" s="37" t="s">
        <v>20</v>
      </c>
      <c r="X92" s="37" t="s">
        <v>20</v>
      </c>
      <c r="Y92" s="18" t="s">
        <v>20</v>
      </c>
      <c r="Z92" s="18" t="s">
        <v>20</v>
      </c>
      <c r="AA92" s="20" t="s">
        <v>20</v>
      </c>
      <c r="AB92" s="20" t="s">
        <v>20</v>
      </c>
      <c r="AC92" s="20" t="s">
        <v>20</v>
      </c>
      <c r="AD92" s="37" t="s">
        <v>21</v>
      </c>
      <c r="AE92" s="37" t="s">
        <v>21</v>
      </c>
      <c r="AG92">
        <f t="shared" si="9"/>
        <v>3</v>
      </c>
      <c r="AH92">
        <f t="shared" si="10"/>
        <v>21</v>
      </c>
      <c r="AI92">
        <f t="shared" si="11"/>
        <v>2</v>
      </c>
      <c r="AJ92">
        <f t="shared" si="12"/>
        <v>0</v>
      </c>
      <c r="AL92">
        <f t="shared" si="13"/>
        <v>12</v>
      </c>
      <c r="AM92">
        <f t="shared" si="14"/>
        <v>63</v>
      </c>
      <c r="AN92">
        <f t="shared" si="15"/>
        <v>4</v>
      </c>
      <c r="AO92">
        <f t="shared" si="16"/>
        <v>0</v>
      </c>
      <c r="AP92">
        <f t="shared" si="17"/>
        <v>79</v>
      </c>
    </row>
    <row r="93" spans="1:42" ht="15.75" customHeight="1" x14ac:dyDescent="0.3">
      <c r="A93" s="16"/>
      <c r="B93" s="55">
        <v>3</v>
      </c>
      <c r="C93" s="56" t="s">
        <v>111</v>
      </c>
      <c r="D93" s="55">
        <v>3</v>
      </c>
      <c r="E93" s="55" t="s">
        <v>20</v>
      </c>
      <c r="F93" s="18" t="s">
        <v>23</v>
      </c>
      <c r="G93" s="18" t="s">
        <v>21</v>
      </c>
      <c r="H93" s="18" t="s">
        <v>23</v>
      </c>
      <c r="I93" s="18" t="s">
        <v>23</v>
      </c>
      <c r="J93" s="43" t="s">
        <v>21</v>
      </c>
      <c r="K93" s="43" t="s">
        <v>20</v>
      </c>
      <c r="L93" s="43" t="s">
        <v>21</v>
      </c>
      <c r="M93" s="18" t="s">
        <v>21</v>
      </c>
      <c r="N93" s="18" t="s">
        <v>21</v>
      </c>
      <c r="O93" s="18" t="s">
        <v>21</v>
      </c>
      <c r="P93" s="18" t="s">
        <v>23</v>
      </c>
      <c r="Q93" s="18" t="s">
        <v>21</v>
      </c>
      <c r="R93" s="18" t="s">
        <v>21</v>
      </c>
      <c r="S93" s="18" t="s">
        <v>21</v>
      </c>
      <c r="T93" s="18" t="s">
        <v>21</v>
      </c>
      <c r="U93" s="18" t="s">
        <v>20</v>
      </c>
      <c r="V93" s="37" t="s">
        <v>20</v>
      </c>
      <c r="W93" s="37" t="s">
        <v>21</v>
      </c>
      <c r="X93" s="37" t="s">
        <v>21</v>
      </c>
      <c r="Y93" s="18" t="s">
        <v>21</v>
      </c>
      <c r="Z93" s="18" t="s">
        <v>20</v>
      </c>
      <c r="AA93" s="20" t="s">
        <v>21</v>
      </c>
      <c r="AB93" s="20" t="s">
        <v>21</v>
      </c>
      <c r="AC93" s="20" t="s">
        <v>21</v>
      </c>
      <c r="AD93" s="37" t="s">
        <v>23</v>
      </c>
      <c r="AE93" s="37" t="s">
        <v>21</v>
      </c>
      <c r="AG93">
        <f t="shared" si="9"/>
        <v>0</v>
      </c>
      <c r="AH93">
        <f t="shared" si="10"/>
        <v>4</v>
      </c>
      <c r="AI93">
        <f t="shared" si="11"/>
        <v>17</v>
      </c>
      <c r="AJ93">
        <f t="shared" si="12"/>
        <v>5</v>
      </c>
      <c r="AL93">
        <f t="shared" si="13"/>
        <v>0</v>
      </c>
      <c r="AM93">
        <f t="shared" si="14"/>
        <v>12</v>
      </c>
      <c r="AN93">
        <f t="shared" si="15"/>
        <v>34</v>
      </c>
      <c r="AO93">
        <f t="shared" si="16"/>
        <v>5</v>
      </c>
      <c r="AP93">
        <f t="shared" si="17"/>
        <v>51</v>
      </c>
    </row>
    <row r="94" spans="1:42" ht="15.75" customHeight="1" x14ac:dyDescent="0.3">
      <c r="A94" s="16"/>
      <c r="B94" s="55">
        <v>4</v>
      </c>
      <c r="C94" s="56" t="s">
        <v>112</v>
      </c>
      <c r="D94" s="55">
        <v>3</v>
      </c>
      <c r="E94" s="55" t="s">
        <v>20</v>
      </c>
      <c r="F94" s="18" t="s">
        <v>39</v>
      </c>
      <c r="G94" s="18" t="s">
        <v>20</v>
      </c>
      <c r="H94" s="18" t="s">
        <v>20</v>
      </c>
      <c r="I94" s="18" t="s">
        <v>20</v>
      </c>
      <c r="J94" s="43" t="s">
        <v>20</v>
      </c>
      <c r="K94" s="43" t="s">
        <v>39</v>
      </c>
      <c r="L94" s="43" t="s">
        <v>20</v>
      </c>
      <c r="M94" s="18" t="s">
        <v>20</v>
      </c>
      <c r="N94" s="18" t="s">
        <v>20</v>
      </c>
      <c r="O94" s="18" t="s">
        <v>20</v>
      </c>
      <c r="P94" s="18" t="s">
        <v>20</v>
      </c>
      <c r="Q94" s="18" t="s">
        <v>20</v>
      </c>
      <c r="R94" s="18" t="s">
        <v>20</v>
      </c>
      <c r="S94" s="18" t="s">
        <v>20</v>
      </c>
      <c r="T94" s="18" t="s">
        <v>20</v>
      </c>
      <c r="U94" s="18" t="s">
        <v>20</v>
      </c>
      <c r="V94" s="37" t="s">
        <v>20</v>
      </c>
      <c r="W94" s="37" t="s">
        <v>21</v>
      </c>
      <c r="X94" s="37" t="s">
        <v>20</v>
      </c>
      <c r="Y94" s="18" t="s">
        <v>20</v>
      </c>
      <c r="Z94" s="18" t="s">
        <v>20</v>
      </c>
      <c r="AA94" s="20" t="s">
        <v>20</v>
      </c>
      <c r="AB94" s="20" t="s">
        <v>20</v>
      </c>
      <c r="AC94" s="20" t="s">
        <v>20</v>
      </c>
      <c r="AD94" s="37" t="s">
        <v>20</v>
      </c>
      <c r="AE94" s="37" t="s">
        <v>21</v>
      </c>
      <c r="AG94">
        <f t="shared" si="9"/>
        <v>2</v>
      </c>
      <c r="AH94">
        <f t="shared" si="10"/>
        <v>22</v>
      </c>
      <c r="AI94">
        <f t="shared" si="11"/>
        <v>2</v>
      </c>
      <c r="AJ94">
        <f t="shared" si="12"/>
        <v>0</v>
      </c>
      <c r="AL94">
        <f t="shared" si="13"/>
        <v>8</v>
      </c>
      <c r="AM94">
        <f t="shared" si="14"/>
        <v>66</v>
      </c>
      <c r="AN94">
        <f t="shared" si="15"/>
        <v>4</v>
      </c>
      <c r="AO94">
        <f t="shared" si="16"/>
        <v>0</v>
      </c>
      <c r="AP94">
        <f t="shared" si="17"/>
        <v>78</v>
      </c>
    </row>
    <row r="95" spans="1:42" ht="15.75" customHeight="1" x14ac:dyDescent="0.3">
      <c r="A95" s="16"/>
      <c r="B95" s="55">
        <v>5</v>
      </c>
      <c r="C95" s="56" t="s">
        <v>113</v>
      </c>
      <c r="D95" s="55">
        <v>3</v>
      </c>
      <c r="E95" s="55" t="s">
        <v>20</v>
      </c>
      <c r="F95" s="18" t="s">
        <v>23</v>
      </c>
      <c r="G95" s="18" t="s">
        <v>23</v>
      </c>
      <c r="H95" s="18" t="s">
        <v>23</v>
      </c>
      <c r="I95" s="18" t="s">
        <v>23</v>
      </c>
      <c r="J95" s="43" t="s">
        <v>21</v>
      </c>
      <c r="K95" s="43" t="s">
        <v>21</v>
      </c>
      <c r="L95" s="43" t="s">
        <v>21</v>
      </c>
      <c r="M95" s="18" t="s">
        <v>21</v>
      </c>
      <c r="N95" s="18" t="s">
        <v>23</v>
      </c>
      <c r="O95" s="18" t="s">
        <v>23</v>
      </c>
      <c r="P95" s="18" t="s">
        <v>23</v>
      </c>
      <c r="Q95" s="18" t="s">
        <v>23</v>
      </c>
      <c r="R95" s="18" t="s">
        <v>21</v>
      </c>
      <c r="S95" s="18" t="s">
        <v>23</v>
      </c>
      <c r="T95" s="18" t="s">
        <v>23</v>
      </c>
      <c r="U95" s="18" t="s">
        <v>21</v>
      </c>
      <c r="V95" s="37" t="s">
        <v>21</v>
      </c>
      <c r="W95" s="37" t="s">
        <v>21</v>
      </c>
      <c r="X95" s="37" t="s">
        <v>21</v>
      </c>
      <c r="Y95" s="18" t="s">
        <v>23</v>
      </c>
      <c r="Z95" s="18" t="s">
        <v>21</v>
      </c>
      <c r="AA95" s="20" t="s">
        <v>21</v>
      </c>
      <c r="AB95" s="20" t="s">
        <v>21</v>
      </c>
      <c r="AC95" s="20" t="s">
        <v>21</v>
      </c>
      <c r="AD95" s="37" t="s">
        <v>23</v>
      </c>
      <c r="AE95" s="37" t="s">
        <v>21</v>
      </c>
      <c r="AG95">
        <f t="shared" si="9"/>
        <v>0</v>
      </c>
      <c r="AH95">
        <f t="shared" si="10"/>
        <v>0</v>
      </c>
      <c r="AI95">
        <f t="shared" si="11"/>
        <v>14</v>
      </c>
      <c r="AJ95">
        <f t="shared" si="12"/>
        <v>12</v>
      </c>
      <c r="AL95">
        <f t="shared" si="13"/>
        <v>0</v>
      </c>
      <c r="AM95">
        <f t="shared" si="14"/>
        <v>0</v>
      </c>
      <c r="AN95">
        <f t="shared" si="15"/>
        <v>28</v>
      </c>
      <c r="AO95">
        <f t="shared" si="16"/>
        <v>12</v>
      </c>
      <c r="AP95">
        <f t="shared" si="17"/>
        <v>40</v>
      </c>
    </row>
    <row r="96" spans="1:42" ht="15.75" customHeight="1" x14ac:dyDescent="0.3">
      <c r="A96" s="16"/>
      <c r="B96" s="55">
        <v>6</v>
      </c>
      <c r="C96" s="56" t="s">
        <v>114</v>
      </c>
      <c r="D96" s="55">
        <v>3</v>
      </c>
      <c r="E96" s="55" t="s">
        <v>20</v>
      </c>
      <c r="F96" s="18" t="s">
        <v>20</v>
      </c>
      <c r="G96" s="18" t="s">
        <v>20</v>
      </c>
      <c r="H96" s="18" t="s">
        <v>20</v>
      </c>
      <c r="I96" s="18" t="s">
        <v>20</v>
      </c>
      <c r="J96" s="43" t="s">
        <v>20</v>
      </c>
      <c r="K96" s="43" t="s">
        <v>20</v>
      </c>
      <c r="L96" s="43" t="s">
        <v>20</v>
      </c>
      <c r="M96" s="18" t="s">
        <v>21</v>
      </c>
      <c r="N96" s="18" t="s">
        <v>20</v>
      </c>
      <c r="O96" s="18" t="s">
        <v>20</v>
      </c>
      <c r="P96" s="18" t="s">
        <v>20</v>
      </c>
      <c r="Q96" s="18" t="s">
        <v>20</v>
      </c>
      <c r="R96" s="18" t="s">
        <v>21</v>
      </c>
      <c r="S96" s="18" t="s">
        <v>21</v>
      </c>
      <c r="T96" s="18" t="s">
        <v>20</v>
      </c>
      <c r="U96" s="18" t="s">
        <v>20</v>
      </c>
      <c r="V96" s="37" t="s">
        <v>21</v>
      </c>
      <c r="W96" s="37" t="s">
        <v>21</v>
      </c>
      <c r="X96" s="37" t="s">
        <v>20</v>
      </c>
      <c r="Y96" s="18" t="s">
        <v>21</v>
      </c>
      <c r="Z96" s="18" t="s">
        <v>20</v>
      </c>
      <c r="AA96" s="20" t="s">
        <v>20</v>
      </c>
      <c r="AB96" s="20" t="s">
        <v>21</v>
      </c>
      <c r="AC96" s="20" t="s">
        <v>21</v>
      </c>
      <c r="AD96" s="37" t="s">
        <v>23</v>
      </c>
      <c r="AE96" s="37" t="s">
        <v>21</v>
      </c>
      <c r="AG96">
        <f t="shared" si="9"/>
        <v>0</v>
      </c>
      <c r="AH96">
        <f t="shared" si="10"/>
        <v>16</v>
      </c>
      <c r="AI96">
        <f t="shared" si="11"/>
        <v>9</v>
      </c>
      <c r="AJ96">
        <f t="shared" si="12"/>
        <v>1</v>
      </c>
      <c r="AL96">
        <f t="shared" si="13"/>
        <v>0</v>
      </c>
      <c r="AM96">
        <f t="shared" si="14"/>
        <v>48</v>
      </c>
      <c r="AN96">
        <f t="shared" si="15"/>
        <v>18</v>
      </c>
      <c r="AO96">
        <f t="shared" si="16"/>
        <v>1</v>
      </c>
      <c r="AP96">
        <f t="shared" si="17"/>
        <v>67</v>
      </c>
    </row>
    <row r="97" spans="1:42" ht="15.75" customHeight="1" x14ac:dyDescent="0.3">
      <c r="A97" s="16"/>
      <c r="B97" s="55">
        <v>7</v>
      </c>
      <c r="C97" s="56" t="s">
        <v>115</v>
      </c>
      <c r="D97" s="55">
        <v>3</v>
      </c>
      <c r="E97" s="55" t="s">
        <v>20</v>
      </c>
      <c r="F97" s="18" t="s">
        <v>23</v>
      </c>
      <c r="G97" s="18" t="s">
        <v>23</v>
      </c>
      <c r="H97" s="18" t="s">
        <v>23</v>
      </c>
      <c r="I97" s="18" t="s">
        <v>23</v>
      </c>
      <c r="J97" s="43" t="s">
        <v>21</v>
      </c>
      <c r="K97" s="43" t="s">
        <v>21</v>
      </c>
      <c r="L97" s="43" t="s">
        <v>21</v>
      </c>
      <c r="M97" s="18" t="s">
        <v>20</v>
      </c>
      <c r="N97" s="18" t="s">
        <v>21</v>
      </c>
      <c r="O97" s="18" t="s">
        <v>21</v>
      </c>
      <c r="P97" s="18" t="s">
        <v>21</v>
      </c>
      <c r="Q97" s="18" t="s">
        <v>21</v>
      </c>
      <c r="R97" s="18" t="s">
        <v>21</v>
      </c>
      <c r="S97" s="18" t="s">
        <v>23</v>
      </c>
      <c r="T97" s="18" t="s">
        <v>23</v>
      </c>
      <c r="U97" s="18" t="s">
        <v>20</v>
      </c>
      <c r="V97" s="37" t="s">
        <v>20</v>
      </c>
      <c r="W97" s="37" t="s">
        <v>21</v>
      </c>
      <c r="X97" s="37" t="s">
        <v>21</v>
      </c>
      <c r="Y97" s="18" t="s">
        <v>23</v>
      </c>
      <c r="Z97" s="18" t="s">
        <v>21</v>
      </c>
      <c r="AA97" s="20" t="s">
        <v>21</v>
      </c>
      <c r="AB97" s="20" t="s">
        <v>20</v>
      </c>
      <c r="AC97" s="20" t="s">
        <v>21</v>
      </c>
      <c r="AD97" s="37" t="s">
        <v>23</v>
      </c>
      <c r="AE97" s="37" t="s">
        <v>21</v>
      </c>
      <c r="AG97">
        <f t="shared" si="9"/>
        <v>0</v>
      </c>
      <c r="AH97">
        <f t="shared" si="10"/>
        <v>4</v>
      </c>
      <c r="AI97">
        <f t="shared" si="11"/>
        <v>14</v>
      </c>
      <c r="AJ97">
        <f t="shared" si="12"/>
        <v>8</v>
      </c>
      <c r="AL97">
        <f t="shared" si="13"/>
        <v>0</v>
      </c>
      <c r="AM97">
        <f t="shared" si="14"/>
        <v>12</v>
      </c>
      <c r="AN97">
        <f t="shared" si="15"/>
        <v>28</v>
      </c>
      <c r="AO97">
        <f t="shared" si="16"/>
        <v>8</v>
      </c>
      <c r="AP97">
        <f t="shared" si="17"/>
        <v>48</v>
      </c>
    </row>
    <row r="98" spans="1:42" ht="15.75" customHeight="1" x14ac:dyDescent="0.3">
      <c r="A98" s="16"/>
      <c r="B98" s="55">
        <v>8</v>
      </c>
      <c r="C98" s="56" t="s">
        <v>116</v>
      </c>
      <c r="D98" s="55">
        <v>3</v>
      </c>
      <c r="E98" s="55" t="s">
        <v>20</v>
      </c>
      <c r="F98" s="18" t="s">
        <v>21</v>
      </c>
      <c r="G98" s="18" t="s">
        <v>21</v>
      </c>
      <c r="H98" s="18" t="s">
        <v>21</v>
      </c>
      <c r="I98" s="18" t="s">
        <v>21</v>
      </c>
      <c r="J98" s="43" t="s">
        <v>20</v>
      </c>
      <c r="K98" s="43" t="s">
        <v>20</v>
      </c>
      <c r="L98" s="43" t="s">
        <v>21</v>
      </c>
      <c r="M98" s="18" t="s">
        <v>20</v>
      </c>
      <c r="N98" s="18" t="s">
        <v>20</v>
      </c>
      <c r="O98" s="18" t="s">
        <v>21</v>
      </c>
      <c r="P98" s="18" t="s">
        <v>21</v>
      </c>
      <c r="Q98" s="18" t="s">
        <v>21</v>
      </c>
      <c r="R98" s="18" t="s">
        <v>21</v>
      </c>
      <c r="S98" s="18" t="s">
        <v>20</v>
      </c>
      <c r="T98" s="18" t="s">
        <v>20</v>
      </c>
      <c r="U98" s="18" t="s">
        <v>20</v>
      </c>
      <c r="V98" s="37" t="s">
        <v>20</v>
      </c>
      <c r="W98" s="37" t="s">
        <v>20</v>
      </c>
      <c r="X98" s="37" t="s">
        <v>20</v>
      </c>
      <c r="Y98" s="18" t="s">
        <v>21</v>
      </c>
      <c r="Z98" s="18" t="s">
        <v>21</v>
      </c>
      <c r="AA98" s="20" t="s">
        <v>21</v>
      </c>
      <c r="AB98" s="20" t="s">
        <v>21</v>
      </c>
      <c r="AC98" s="20" t="s">
        <v>20</v>
      </c>
      <c r="AD98" s="44" t="s">
        <v>21</v>
      </c>
      <c r="AE98" s="44" t="s">
        <v>21</v>
      </c>
      <c r="AG98">
        <f t="shared" si="9"/>
        <v>0</v>
      </c>
      <c r="AH98">
        <f t="shared" si="10"/>
        <v>11</v>
      </c>
      <c r="AI98">
        <f t="shared" si="11"/>
        <v>15</v>
      </c>
      <c r="AJ98">
        <f t="shared" si="12"/>
        <v>0</v>
      </c>
      <c r="AL98">
        <f t="shared" si="13"/>
        <v>0</v>
      </c>
      <c r="AM98">
        <f t="shared" si="14"/>
        <v>33</v>
      </c>
      <c r="AN98">
        <f t="shared" si="15"/>
        <v>30</v>
      </c>
      <c r="AO98">
        <f t="shared" si="16"/>
        <v>0</v>
      </c>
      <c r="AP98">
        <f t="shared" si="17"/>
        <v>63</v>
      </c>
    </row>
    <row r="99" spans="1:42" ht="15.75" customHeight="1" x14ac:dyDescent="0.3">
      <c r="A99" s="16"/>
      <c r="B99" s="55">
        <v>9</v>
      </c>
      <c r="C99" s="56" t="s">
        <v>117</v>
      </c>
      <c r="D99" s="55">
        <v>3</v>
      </c>
      <c r="E99" s="55" t="s">
        <v>20</v>
      </c>
      <c r="F99" s="18" t="s">
        <v>20</v>
      </c>
      <c r="G99" s="18" t="s">
        <v>20</v>
      </c>
      <c r="H99" s="18" t="s">
        <v>20</v>
      </c>
      <c r="I99" s="18" t="s">
        <v>20</v>
      </c>
      <c r="J99" s="43" t="s">
        <v>20</v>
      </c>
      <c r="K99" s="43" t="s">
        <v>39</v>
      </c>
      <c r="L99" s="43" t="s">
        <v>20</v>
      </c>
      <c r="M99" s="18" t="s">
        <v>20</v>
      </c>
      <c r="N99" s="18" t="s">
        <v>20</v>
      </c>
      <c r="O99" s="18" t="s">
        <v>20</v>
      </c>
      <c r="P99" s="18" t="s">
        <v>20</v>
      </c>
      <c r="Q99" s="18" t="s">
        <v>20</v>
      </c>
      <c r="R99" s="18" t="s">
        <v>20</v>
      </c>
      <c r="S99" s="18" t="s">
        <v>20</v>
      </c>
      <c r="T99" s="18" t="s">
        <v>20</v>
      </c>
      <c r="U99" s="18" t="s">
        <v>20</v>
      </c>
      <c r="V99" s="37" t="s">
        <v>20</v>
      </c>
      <c r="W99" s="37" t="s">
        <v>20</v>
      </c>
      <c r="X99" s="37" t="s">
        <v>20</v>
      </c>
      <c r="Y99" s="18" t="s">
        <v>20</v>
      </c>
      <c r="Z99" s="18" t="s">
        <v>39</v>
      </c>
      <c r="AA99" s="20" t="s">
        <v>20</v>
      </c>
      <c r="AB99" s="20" t="s">
        <v>20</v>
      </c>
      <c r="AC99" s="20" t="s">
        <v>20</v>
      </c>
      <c r="AD99" s="37" t="s">
        <v>21</v>
      </c>
      <c r="AE99" s="37" t="s">
        <v>21</v>
      </c>
      <c r="AG99">
        <f t="shared" si="9"/>
        <v>2</v>
      </c>
      <c r="AH99">
        <f t="shared" si="10"/>
        <v>22</v>
      </c>
      <c r="AI99">
        <f t="shared" si="11"/>
        <v>2</v>
      </c>
      <c r="AJ99">
        <f t="shared" si="12"/>
        <v>0</v>
      </c>
      <c r="AL99">
        <f t="shared" si="13"/>
        <v>8</v>
      </c>
      <c r="AM99">
        <f t="shared" si="14"/>
        <v>66</v>
      </c>
      <c r="AN99">
        <f t="shared" si="15"/>
        <v>4</v>
      </c>
      <c r="AO99">
        <f t="shared" si="16"/>
        <v>0</v>
      </c>
      <c r="AP99">
        <f t="shared" si="17"/>
        <v>78</v>
      </c>
    </row>
    <row r="100" spans="1:42" ht="15.75" customHeight="1" x14ac:dyDescent="0.3">
      <c r="A100" s="16"/>
      <c r="B100" s="55">
        <v>10</v>
      </c>
      <c r="C100" s="56" t="s">
        <v>118</v>
      </c>
      <c r="D100" s="55">
        <v>3</v>
      </c>
      <c r="E100" s="55" t="s">
        <v>20</v>
      </c>
      <c r="F100" s="18" t="s">
        <v>23</v>
      </c>
      <c r="G100" s="18" t="s">
        <v>23</v>
      </c>
      <c r="H100" s="18" t="s">
        <v>23</v>
      </c>
      <c r="I100" s="18" t="s">
        <v>23</v>
      </c>
      <c r="J100" s="43" t="s">
        <v>21</v>
      </c>
      <c r="K100" s="43" t="s">
        <v>21</v>
      </c>
      <c r="L100" s="43" t="s">
        <v>21</v>
      </c>
      <c r="M100" s="18" t="s">
        <v>21</v>
      </c>
      <c r="N100" s="18" t="s">
        <v>23</v>
      </c>
      <c r="O100" s="18" t="s">
        <v>21</v>
      </c>
      <c r="P100" s="18" t="s">
        <v>23</v>
      </c>
      <c r="Q100" s="18" t="s">
        <v>21</v>
      </c>
      <c r="R100" s="18" t="s">
        <v>21</v>
      </c>
      <c r="S100" s="18" t="s">
        <v>20</v>
      </c>
      <c r="T100" s="18" t="s">
        <v>20</v>
      </c>
      <c r="U100" s="18" t="s">
        <v>21</v>
      </c>
      <c r="V100" s="37" t="s">
        <v>20</v>
      </c>
      <c r="W100" s="37" t="s">
        <v>21</v>
      </c>
      <c r="X100" s="37" t="s">
        <v>20</v>
      </c>
      <c r="Y100" s="18" t="s">
        <v>20</v>
      </c>
      <c r="Z100" s="18" t="s">
        <v>20</v>
      </c>
      <c r="AA100" s="20" t="s">
        <v>21</v>
      </c>
      <c r="AB100" s="20" t="s">
        <v>21</v>
      </c>
      <c r="AC100" s="20" t="s">
        <v>21</v>
      </c>
      <c r="AD100" s="37" t="s">
        <v>21</v>
      </c>
      <c r="AE100" s="37" t="s">
        <v>21</v>
      </c>
      <c r="AG100">
        <f t="shared" si="9"/>
        <v>0</v>
      </c>
      <c r="AH100">
        <f t="shared" si="10"/>
        <v>6</v>
      </c>
      <c r="AI100">
        <f t="shared" si="11"/>
        <v>14</v>
      </c>
      <c r="AJ100">
        <f t="shared" si="12"/>
        <v>6</v>
      </c>
      <c r="AL100">
        <f t="shared" si="13"/>
        <v>0</v>
      </c>
      <c r="AM100">
        <f t="shared" si="14"/>
        <v>18</v>
      </c>
      <c r="AN100">
        <f t="shared" si="15"/>
        <v>28</v>
      </c>
      <c r="AO100">
        <f t="shared" si="16"/>
        <v>6</v>
      </c>
      <c r="AP100">
        <f t="shared" si="17"/>
        <v>52</v>
      </c>
    </row>
    <row r="101" spans="1:42" ht="15.75" customHeight="1" x14ac:dyDescent="0.3">
      <c r="A101" s="16"/>
      <c r="B101" s="55">
        <v>11</v>
      </c>
      <c r="C101" s="56" t="s">
        <v>119</v>
      </c>
      <c r="D101" s="55">
        <v>3</v>
      </c>
      <c r="E101" s="55" t="s">
        <v>20</v>
      </c>
      <c r="F101" s="18" t="s">
        <v>21</v>
      </c>
      <c r="G101" s="18" t="s">
        <v>21</v>
      </c>
      <c r="H101" s="18" t="s">
        <v>21</v>
      </c>
      <c r="I101" s="18" t="s">
        <v>21</v>
      </c>
      <c r="J101" s="43" t="s">
        <v>21</v>
      </c>
      <c r="K101" s="43" t="s">
        <v>21</v>
      </c>
      <c r="L101" s="43" t="s">
        <v>21</v>
      </c>
      <c r="M101" s="18" t="s">
        <v>21</v>
      </c>
      <c r="N101" s="18" t="s">
        <v>21</v>
      </c>
      <c r="O101" s="18" t="s">
        <v>21</v>
      </c>
      <c r="P101" s="18" t="s">
        <v>23</v>
      </c>
      <c r="Q101" s="18" t="s">
        <v>21</v>
      </c>
      <c r="R101" s="18" t="s">
        <v>21</v>
      </c>
      <c r="S101" s="18" t="s">
        <v>20</v>
      </c>
      <c r="T101" s="18" t="s">
        <v>20</v>
      </c>
      <c r="U101" s="18" t="s">
        <v>21</v>
      </c>
      <c r="V101" s="37" t="s">
        <v>20</v>
      </c>
      <c r="W101" s="37" t="s">
        <v>20</v>
      </c>
      <c r="X101" s="37" t="s">
        <v>20</v>
      </c>
      <c r="Y101" s="18" t="s">
        <v>21</v>
      </c>
      <c r="Z101" s="18" t="s">
        <v>21</v>
      </c>
      <c r="AA101" s="20" t="s">
        <v>21</v>
      </c>
      <c r="AB101" s="20" t="s">
        <v>21</v>
      </c>
      <c r="AC101" s="20" t="s">
        <v>21</v>
      </c>
      <c r="AD101" s="37" t="s">
        <v>23</v>
      </c>
      <c r="AE101" s="37" t="s">
        <v>21</v>
      </c>
      <c r="AG101">
        <f t="shared" si="9"/>
        <v>0</v>
      </c>
      <c r="AH101">
        <f t="shared" si="10"/>
        <v>5</v>
      </c>
      <c r="AI101">
        <f t="shared" si="11"/>
        <v>19</v>
      </c>
      <c r="AJ101">
        <f t="shared" si="12"/>
        <v>2</v>
      </c>
      <c r="AL101">
        <f t="shared" si="13"/>
        <v>0</v>
      </c>
      <c r="AM101">
        <f t="shared" si="14"/>
        <v>15</v>
      </c>
      <c r="AN101">
        <f t="shared" si="15"/>
        <v>38</v>
      </c>
      <c r="AO101">
        <f t="shared" si="16"/>
        <v>2</v>
      </c>
      <c r="AP101">
        <f t="shared" si="17"/>
        <v>55</v>
      </c>
    </row>
    <row r="102" spans="1:42" ht="15.75" customHeight="1" x14ac:dyDescent="0.3">
      <c r="A102" s="16"/>
      <c r="B102" s="55">
        <v>12</v>
      </c>
      <c r="C102" s="56" t="s">
        <v>120</v>
      </c>
      <c r="D102" s="55">
        <v>3</v>
      </c>
      <c r="E102" s="55" t="s">
        <v>20</v>
      </c>
      <c r="F102" s="18" t="s">
        <v>21</v>
      </c>
      <c r="G102" s="18" t="s">
        <v>23</v>
      </c>
      <c r="H102" s="18" t="s">
        <v>23</v>
      </c>
      <c r="I102" s="18" t="s">
        <v>21</v>
      </c>
      <c r="J102" s="43" t="s">
        <v>21</v>
      </c>
      <c r="K102" s="43" t="s">
        <v>20</v>
      </c>
      <c r="L102" s="43" t="s">
        <v>21</v>
      </c>
      <c r="M102" s="18" t="s">
        <v>21</v>
      </c>
      <c r="N102" s="18" t="s">
        <v>21</v>
      </c>
      <c r="O102" s="18" t="s">
        <v>20</v>
      </c>
      <c r="P102" s="18" t="s">
        <v>21</v>
      </c>
      <c r="Q102" s="18" t="s">
        <v>21</v>
      </c>
      <c r="R102" s="18" t="s">
        <v>21</v>
      </c>
      <c r="S102" s="18" t="s">
        <v>21</v>
      </c>
      <c r="T102" s="18" t="s">
        <v>20</v>
      </c>
      <c r="U102" s="18" t="s">
        <v>21</v>
      </c>
      <c r="V102" s="37" t="s">
        <v>20</v>
      </c>
      <c r="W102" s="37" t="s">
        <v>21</v>
      </c>
      <c r="X102" s="37" t="s">
        <v>20</v>
      </c>
      <c r="Y102" s="18" t="s">
        <v>20</v>
      </c>
      <c r="Z102" s="18" t="s">
        <v>20</v>
      </c>
      <c r="AA102" s="20" t="s">
        <v>20</v>
      </c>
      <c r="AB102" s="20" t="s">
        <v>21</v>
      </c>
      <c r="AC102" s="20" t="s">
        <v>20</v>
      </c>
      <c r="AD102" s="37" t="s">
        <v>23</v>
      </c>
      <c r="AE102" s="37" t="s">
        <v>21</v>
      </c>
      <c r="AG102">
        <f t="shared" si="9"/>
        <v>0</v>
      </c>
      <c r="AH102">
        <f t="shared" si="10"/>
        <v>9</v>
      </c>
      <c r="AI102">
        <f t="shared" si="11"/>
        <v>14</v>
      </c>
      <c r="AJ102">
        <f t="shared" si="12"/>
        <v>3</v>
      </c>
      <c r="AL102">
        <f t="shared" si="13"/>
        <v>0</v>
      </c>
      <c r="AM102">
        <f t="shared" si="14"/>
        <v>27</v>
      </c>
      <c r="AN102">
        <f t="shared" si="15"/>
        <v>28</v>
      </c>
      <c r="AO102">
        <f t="shared" si="16"/>
        <v>3</v>
      </c>
      <c r="AP102">
        <f t="shared" si="17"/>
        <v>58</v>
      </c>
    </row>
    <row r="103" spans="1:42" ht="15.75" customHeight="1" x14ac:dyDescent="0.3">
      <c r="A103" s="16"/>
      <c r="B103" s="55">
        <v>13</v>
      </c>
      <c r="C103" s="56" t="s">
        <v>121</v>
      </c>
      <c r="D103" s="55">
        <v>3</v>
      </c>
      <c r="E103" s="55" t="s">
        <v>20</v>
      </c>
      <c r="F103" s="18" t="s">
        <v>20</v>
      </c>
      <c r="G103" s="18" t="s">
        <v>20</v>
      </c>
      <c r="H103" s="18" t="s">
        <v>20</v>
      </c>
      <c r="I103" s="18" t="s">
        <v>20</v>
      </c>
      <c r="J103" s="43" t="s">
        <v>20</v>
      </c>
      <c r="K103" s="43" t="s">
        <v>21</v>
      </c>
      <c r="L103" s="43" t="s">
        <v>21</v>
      </c>
      <c r="M103" s="18" t="s">
        <v>21</v>
      </c>
      <c r="N103" s="18" t="s">
        <v>21</v>
      </c>
      <c r="O103" s="18" t="s">
        <v>20</v>
      </c>
      <c r="P103" s="18" t="s">
        <v>20</v>
      </c>
      <c r="Q103" s="18" t="s">
        <v>20</v>
      </c>
      <c r="R103" s="18" t="s">
        <v>20</v>
      </c>
      <c r="S103" s="18" t="s">
        <v>20</v>
      </c>
      <c r="T103" s="18" t="s">
        <v>20</v>
      </c>
      <c r="U103" s="18" t="s">
        <v>21</v>
      </c>
      <c r="V103" s="37" t="s">
        <v>20</v>
      </c>
      <c r="W103" s="37" t="s">
        <v>21</v>
      </c>
      <c r="X103" s="37" t="s">
        <v>20</v>
      </c>
      <c r="Y103" s="18" t="s">
        <v>21</v>
      </c>
      <c r="Z103" s="18" t="s">
        <v>20</v>
      </c>
      <c r="AA103" s="20" t="s">
        <v>20</v>
      </c>
      <c r="AB103" s="20" t="s">
        <v>21</v>
      </c>
      <c r="AC103" s="20" t="s">
        <v>20</v>
      </c>
      <c r="AD103" s="37" t="s">
        <v>21</v>
      </c>
      <c r="AE103" s="37" t="s">
        <v>21</v>
      </c>
      <c r="AG103">
        <f t="shared" si="9"/>
        <v>0</v>
      </c>
      <c r="AH103">
        <f t="shared" si="10"/>
        <v>16</v>
      </c>
      <c r="AI103">
        <f t="shared" si="11"/>
        <v>10</v>
      </c>
      <c r="AJ103">
        <f t="shared" si="12"/>
        <v>0</v>
      </c>
      <c r="AL103">
        <f t="shared" si="13"/>
        <v>0</v>
      </c>
      <c r="AM103">
        <f t="shared" si="14"/>
        <v>48</v>
      </c>
      <c r="AN103">
        <f t="shared" si="15"/>
        <v>20</v>
      </c>
      <c r="AO103">
        <f t="shared" si="16"/>
        <v>0</v>
      </c>
      <c r="AP103">
        <f t="shared" si="17"/>
        <v>68</v>
      </c>
    </row>
    <row r="104" spans="1:42" ht="15.75" customHeight="1" x14ac:dyDescent="0.3">
      <c r="A104" s="16"/>
      <c r="B104" s="55">
        <v>14</v>
      </c>
      <c r="C104" s="56" t="s">
        <v>122</v>
      </c>
      <c r="D104" s="55">
        <v>3</v>
      </c>
      <c r="E104" s="55" t="s">
        <v>20</v>
      </c>
      <c r="F104" s="18" t="s">
        <v>23</v>
      </c>
      <c r="G104" s="18" t="s">
        <v>23</v>
      </c>
      <c r="H104" s="18" t="s">
        <v>23</v>
      </c>
      <c r="I104" s="18" t="s">
        <v>23</v>
      </c>
      <c r="J104" s="43" t="s">
        <v>21</v>
      </c>
      <c r="K104" s="43" t="s">
        <v>23</v>
      </c>
      <c r="L104" s="43" t="s">
        <v>21</v>
      </c>
      <c r="M104" s="18" t="s">
        <v>21</v>
      </c>
      <c r="N104" s="18" t="s">
        <v>23</v>
      </c>
      <c r="O104" s="18" t="s">
        <v>23</v>
      </c>
      <c r="P104" s="18" t="s">
        <v>23</v>
      </c>
      <c r="Q104" s="18" t="s">
        <v>21</v>
      </c>
      <c r="R104" s="18" t="s">
        <v>23</v>
      </c>
      <c r="S104" s="18" t="s">
        <v>23</v>
      </c>
      <c r="T104" s="18" t="s">
        <v>23</v>
      </c>
      <c r="U104" s="18" t="s">
        <v>21</v>
      </c>
      <c r="V104" s="37" t="s">
        <v>20</v>
      </c>
      <c r="W104" s="37" t="s">
        <v>21</v>
      </c>
      <c r="X104" s="37" t="s">
        <v>20</v>
      </c>
      <c r="Y104" s="18" t="s">
        <v>21</v>
      </c>
      <c r="Z104" s="18" t="s">
        <v>23</v>
      </c>
      <c r="AA104" s="20" t="s">
        <v>23</v>
      </c>
      <c r="AB104" s="20" t="s">
        <v>23</v>
      </c>
      <c r="AC104" s="20" t="s">
        <v>21</v>
      </c>
      <c r="AD104" s="37" t="s">
        <v>21</v>
      </c>
      <c r="AE104" s="37" t="s">
        <v>21</v>
      </c>
      <c r="AG104">
        <f t="shared" si="9"/>
        <v>0</v>
      </c>
      <c r="AH104">
        <f t="shared" si="10"/>
        <v>2</v>
      </c>
      <c r="AI104">
        <f t="shared" si="11"/>
        <v>10</v>
      </c>
      <c r="AJ104">
        <f t="shared" si="12"/>
        <v>14</v>
      </c>
      <c r="AL104">
        <f t="shared" si="13"/>
        <v>0</v>
      </c>
      <c r="AM104">
        <f t="shared" si="14"/>
        <v>6</v>
      </c>
      <c r="AN104">
        <f t="shared" si="15"/>
        <v>20</v>
      </c>
      <c r="AO104">
        <f t="shared" si="16"/>
        <v>14</v>
      </c>
      <c r="AP104">
        <f t="shared" si="17"/>
        <v>40</v>
      </c>
    </row>
    <row r="105" spans="1:42" ht="15.75" customHeight="1" x14ac:dyDescent="0.3">
      <c r="A105" s="16"/>
      <c r="B105" s="55">
        <v>15</v>
      </c>
      <c r="C105" s="56" t="s">
        <v>123</v>
      </c>
      <c r="D105" s="55">
        <v>3</v>
      </c>
      <c r="E105" s="55" t="s">
        <v>20</v>
      </c>
      <c r="F105" s="18" t="s">
        <v>39</v>
      </c>
      <c r="G105" s="18" t="s">
        <v>39</v>
      </c>
      <c r="H105" s="18" t="s">
        <v>20</v>
      </c>
      <c r="I105" s="18" t="s">
        <v>39</v>
      </c>
      <c r="J105" s="43" t="s">
        <v>20</v>
      </c>
      <c r="K105" s="43" t="s">
        <v>20</v>
      </c>
      <c r="L105" s="43" t="s">
        <v>20</v>
      </c>
      <c r="M105" s="18" t="s">
        <v>20</v>
      </c>
      <c r="N105" s="18" t="s">
        <v>21</v>
      </c>
      <c r="O105" s="18" t="s">
        <v>20</v>
      </c>
      <c r="P105" s="18" t="s">
        <v>20</v>
      </c>
      <c r="Q105" s="18" t="s">
        <v>20</v>
      </c>
      <c r="R105" s="18" t="s">
        <v>20</v>
      </c>
      <c r="S105" s="18" t="s">
        <v>20</v>
      </c>
      <c r="T105" s="18" t="s">
        <v>20</v>
      </c>
      <c r="U105" s="18" t="s">
        <v>20</v>
      </c>
      <c r="V105" s="37" t="s">
        <v>20</v>
      </c>
      <c r="W105" s="37" t="s">
        <v>20</v>
      </c>
      <c r="X105" s="37" t="s">
        <v>20</v>
      </c>
      <c r="Y105" s="18" t="s">
        <v>20</v>
      </c>
      <c r="Z105" s="18" t="s">
        <v>21</v>
      </c>
      <c r="AA105" s="20" t="s">
        <v>20</v>
      </c>
      <c r="AB105" s="20" t="s">
        <v>20</v>
      </c>
      <c r="AC105" s="20" t="s">
        <v>20</v>
      </c>
      <c r="AD105" s="37" t="s">
        <v>20</v>
      </c>
      <c r="AE105" s="37" t="s">
        <v>21</v>
      </c>
      <c r="AG105">
        <f t="shared" si="9"/>
        <v>3</v>
      </c>
      <c r="AH105">
        <f t="shared" si="10"/>
        <v>20</v>
      </c>
      <c r="AI105">
        <f t="shared" si="11"/>
        <v>3</v>
      </c>
      <c r="AJ105">
        <f t="shared" si="12"/>
        <v>0</v>
      </c>
      <c r="AL105">
        <f t="shared" si="13"/>
        <v>12</v>
      </c>
      <c r="AM105">
        <f t="shared" si="14"/>
        <v>60</v>
      </c>
      <c r="AN105">
        <f t="shared" si="15"/>
        <v>6</v>
      </c>
      <c r="AO105">
        <f t="shared" si="16"/>
        <v>0</v>
      </c>
      <c r="AP105">
        <f t="shared" si="17"/>
        <v>78</v>
      </c>
    </row>
    <row r="106" spans="1:42" ht="15.75" customHeight="1" x14ac:dyDescent="0.3">
      <c r="A106" s="16"/>
      <c r="B106" s="55">
        <v>16</v>
      </c>
      <c r="C106" s="56" t="s">
        <v>124</v>
      </c>
      <c r="D106" s="55">
        <v>3</v>
      </c>
      <c r="E106" s="55" t="s">
        <v>20</v>
      </c>
      <c r="F106" s="18" t="s">
        <v>20</v>
      </c>
      <c r="G106" s="18" t="s">
        <v>20</v>
      </c>
      <c r="H106" s="18" t="s">
        <v>20</v>
      </c>
      <c r="I106" s="18" t="s">
        <v>20</v>
      </c>
      <c r="J106" s="43" t="s">
        <v>20</v>
      </c>
      <c r="K106" s="43" t="s">
        <v>20</v>
      </c>
      <c r="L106" s="43" t="s">
        <v>20</v>
      </c>
      <c r="M106" s="18" t="s">
        <v>20</v>
      </c>
      <c r="N106" s="18" t="s">
        <v>20</v>
      </c>
      <c r="O106" s="18" t="s">
        <v>20</v>
      </c>
      <c r="P106" s="18" t="s">
        <v>20</v>
      </c>
      <c r="Q106" s="18" t="s">
        <v>20</v>
      </c>
      <c r="R106" s="18" t="s">
        <v>20</v>
      </c>
      <c r="S106" s="18" t="s">
        <v>20</v>
      </c>
      <c r="T106" s="18" t="s">
        <v>20</v>
      </c>
      <c r="U106" s="18" t="s">
        <v>20</v>
      </c>
      <c r="V106" s="37" t="s">
        <v>20</v>
      </c>
      <c r="W106" s="37" t="s">
        <v>20</v>
      </c>
      <c r="X106" s="37" t="s">
        <v>20</v>
      </c>
      <c r="Y106" s="18" t="s">
        <v>20</v>
      </c>
      <c r="Z106" s="18" t="s">
        <v>20</v>
      </c>
      <c r="AA106" s="20" t="s">
        <v>20</v>
      </c>
      <c r="AB106" s="20" t="s">
        <v>20</v>
      </c>
      <c r="AC106" s="20" t="s">
        <v>20</v>
      </c>
      <c r="AD106" s="37" t="s">
        <v>20</v>
      </c>
      <c r="AE106" s="37" t="s">
        <v>21</v>
      </c>
      <c r="AG106">
        <f t="shared" si="9"/>
        <v>0</v>
      </c>
      <c r="AH106">
        <f t="shared" si="10"/>
        <v>25</v>
      </c>
      <c r="AI106">
        <f t="shared" si="11"/>
        <v>1</v>
      </c>
      <c r="AJ106">
        <f t="shared" si="12"/>
        <v>0</v>
      </c>
      <c r="AL106">
        <f t="shared" si="13"/>
        <v>0</v>
      </c>
      <c r="AM106">
        <f t="shared" si="14"/>
        <v>75</v>
      </c>
      <c r="AN106">
        <f t="shared" si="15"/>
        <v>2</v>
      </c>
      <c r="AO106">
        <f t="shared" si="16"/>
        <v>0</v>
      </c>
      <c r="AP106">
        <f t="shared" si="17"/>
        <v>77</v>
      </c>
    </row>
    <row r="107" spans="1:42" ht="15.75" customHeight="1" x14ac:dyDescent="0.3">
      <c r="A107" s="16"/>
      <c r="B107" s="55">
        <v>17</v>
      </c>
      <c r="C107" s="56" t="s">
        <v>125</v>
      </c>
      <c r="D107" s="55">
        <v>3</v>
      </c>
      <c r="E107" s="55" t="s">
        <v>20</v>
      </c>
      <c r="F107" s="18" t="s">
        <v>20</v>
      </c>
      <c r="G107" s="18" t="s">
        <v>20</v>
      </c>
      <c r="H107" s="18" t="s">
        <v>20</v>
      </c>
      <c r="I107" s="18" t="s">
        <v>20</v>
      </c>
      <c r="J107" s="43" t="s">
        <v>39</v>
      </c>
      <c r="K107" s="43" t="s">
        <v>20</v>
      </c>
      <c r="L107" s="43" t="s">
        <v>20</v>
      </c>
      <c r="M107" s="18" t="s">
        <v>20</v>
      </c>
      <c r="N107" s="18" t="s">
        <v>20</v>
      </c>
      <c r="O107" s="18" t="s">
        <v>20</v>
      </c>
      <c r="P107" s="18" t="s">
        <v>20</v>
      </c>
      <c r="Q107" s="18" t="s">
        <v>20</v>
      </c>
      <c r="R107" s="18" t="s">
        <v>20</v>
      </c>
      <c r="S107" s="18" t="s">
        <v>21</v>
      </c>
      <c r="T107" s="18" t="s">
        <v>20</v>
      </c>
      <c r="U107" s="18" t="s">
        <v>20</v>
      </c>
      <c r="V107" s="37" t="s">
        <v>21</v>
      </c>
      <c r="W107" s="37" t="s">
        <v>20</v>
      </c>
      <c r="X107" s="37" t="s">
        <v>21</v>
      </c>
      <c r="Y107" s="18" t="s">
        <v>20</v>
      </c>
      <c r="Z107" s="18" t="s">
        <v>20</v>
      </c>
      <c r="AA107" s="20" t="s">
        <v>20</v>
      </c>
      <c r="AB107" s="20" t="s">
        <v>20</v>
      </c>
      <c r="AC107" s="20" t="s">
        <v>20</v>
      </c>
      <c r="AD107" s="37" t="s">
        <v>20</v>
      </c>
      <c r="AE107" s="37" t="s">
        <v>21</v>
      </c>
      <c r="AG107">
        <f t="shared" si="9"/>
        <v>1</v>
      </c>
      <c r="AH107">
        <f t="shared" si="10"/>
        <v>21</v>
      </c>
      <c r="AI107">
        <f t="shared" si="11"/>
        <v>4</v>
      </c>
      <c r="AJ107">
        <f t="shared" si="12"/>
        <v>0</v>
      </c>
      <c r="AL107">
        <f t="shared" si="13"/>
        <v>4</v>
      </c>
      <c r="AM107">
        <f t="shared" si="14"/>
        <v>63</v>
      </c>
      <c r="AN107">
        <f t="shared" si="15"/>
        <v>8</v>
      </c>
      <c r="AO107">
        <f t="shared" si="16"/>
        <v>0</v>
      </c>
      <c r="AP107">
        <f t="shared" si="17"/>
        <v>75</v>
      </c>
    </row>
    <row r="108" spans="1:42" ht="15.75" customHeight="1" x14ac:dyDescent="0.3">
      <c r="A108" s="16"/>
      <c r="B108" s="55">
        <v>18</v>
      </c>
      <c r="C108" s="56" t="s">
        <v>126</v>
      </c>
      <c r="D108" s="55">
        <v>3</v>
      </c>
      <c r="E108" s="55" t="s">
        <v>20</v>
      </c>
      <c r="F108" s="18" t="s">
        <v>39</v>
      </c>
      <c r="G108" s="18" t="s">
        <v>20</v>
      </c>
      <c r="H108" s="18" t="s">
        <v>20</v>
      </c>
      <c r="I108" s="18" t="s">
        <v>20</v>
      </c>
      <c r="J108" s="43" t="s">
        <v>20</v>
      </c>
      <c r="K108" s="43" t="s">
        <v>20</v>
      </c>
      <c r="L108" s="43" t="s">
        <v>20</v>
      </c>
      <c r="M108" s="18" t="s">
        <v>20</v>
      </c>
      <c r="N108" s="18" t="s">
        <v>20</v>
      </c>
      <c r="O108" s="18" t="s">
        <v>20</v>
      </c>
      <c r="P108" s="18" t="s">
        <v>20</v>
      </c>
      <c r="Q108" s="18" t="s">
        <v>20</v>
      </c>
      <c r="R108" s="18" t="s">
        <v>20</v>
      </c>
      <c r="S108" s="18" t="s">
        <v>20</v>
      </c>
      <c r="T108" s="18" t="s">
        <v>20</v>
      </c>
      <c r="U108" s="18" t="s">
        <v>20</v>
      </c>
      <c r="V108" s="37" t="s">
        <v>20</v>
      </c>
      <c r="W108" s="37" t="s">
        <v>20</v>
      </c>
      <c r="X108" s="37" t="s">
        <v>20</v>
      </c>
      <c r="Y108" s="18" t="s">
        <v>21</v>
      </c>
      <c r="Z108" s="18" t="s">
        <v>20</v>
      </c>
      <c r="AA108" s="20" t="s">
        <v>20</v>
      </c>
      <c r="AB108" s="20" t="s">
        <v>20</v>
      </c>
      <c r="AC108" s="20" t="s">
        <v>20</v>
      </c>
      <c r="AD108" s="37" t="s">
        <v>20</v>
      </c>
      <c r="AE108" s="37" t="s">
        <v>21</v>
      </c>
      <c r="AG108">
        <f t="shared" si="9"/>
        <v>1</v>
      </c>
      <c r="AH108">
        <f t="shared" si="10"/>
        <v>23</v>
      </c>
      <c r="AI108">
        <f t="shared" si="11"/>
        <v>2</v>
      </c>
      <c r="AJ108">
        <f t="shared" si="12"/>
        <v>0</v>
      </c>
      <c r="AL108">
        <f t="shared" si="13"/>
        <v>4</v>
      </c>
      <c r="AM108">
        <f t="shared" si="14"/>
        <v>69</v>
      </c>
      <c r="AN108">
        <f t="shared" si="15"/>
        <v>4</v>
      </c>
      <c r="AO108">
        <f t="shared" si="16"/>
        <v>0</v>
      </c>
      <c r="AP108">
        <f t="shared" si="17"/>
        <v>77</v>
      </c>
    </row>
    <row r="109" spans="1:42" ht="15.75" customHeight="1" thickBot="1" x14ac:dyDescent="0.35">
      <c r="A109" s="16"/>
      <c r="B109" s="57">
        <v>19</v>
      </c>
      <c r="C109" s="58" t="s">
        <v>127</v>
      </c>
      <c r="D109" s="57">
        <v>3</v>
      </c>
      <c r="E109" s="57" t="s">
        <v>20</v>
      </c>
      <c r="F109" s="21" t="s">
        <v>21</v>
      </c>
      <c r="G109" s="21" t="s">
        <v>23</v>
      </c>
      <c r="H109" s="21" t="s">
        <v>23</v>
      </c>
      <c r="I109" s="21" t="s">
        <v>23</v>
      </c>
      <c r="J109" s="45" t="s">
        <v>21</v>
      </c>
      <c r="K109" s="45" t="s">
        <v>20</v>
      </c>
      <c r="L109" s="45" t="s">
        <v>21</v>
      </c>
      <c r="M109" s="21" t="s">
        <v>21</v>
      </c>
      <c r="N109" s="21" t="s">
        <v>21</v>
      </c>
      <c r="O109" s="21" t="s">
        <v>21</v>
      </c>
      <c r="P109" s="21" t="s">
        <v>21</v>
      </c>
      <c r="Q109" s="21" t="s">
        <v>21</v>
      </c>
      <c r="R109" s="21" t="s">
        <v>21</v>
      </c>
      <c r="S109" s="21" t="s">
        <v>20</v>
      </c>
      <c r="T109" s="21" t="s">
        <v>20</v>
      </c>
      <c r="U109" s="21" t="s">
        <v>20</v>
      </c>
      <c r="V109" s="38" t="s">
        <v>20</v>
      </c>
      <c r="W109" s="38" t="s">
        <v>21</v>
      </c>
      <c r="X109" s="38" t="s">
        <v>20</v>
      </c>
      <c r="Y109" s="21" t="s">
        <v>23</v>
      </c>
      <c r="Z109" s="21" t="s">
        <v>20</v>
      </c>
      <c r="AA109" s="23" t="s">
        <v>21</v>
      </c>
      <c r="AB109" s="23" t="s">
        <v>21</v>
      </c>
      <c r="AC109" s="23" t="s">
        <v>21</v>
      </c>
      <c r="AD109" s="38" t="s">
        <v>21</v>
      </c>
      <c r="AE109" s="38" t="s">
        <v>21</v>
      </c>
      <c r="AG109">
        <f t="shared" si="9"/>
        <v>0</v>
      </c>
      <c r="AH109">
        <f t="shared" si="10"/>
        <v>7</v>
      </c>
      <c r="AI109">
        <f t="shared" si="11"/>
        <v>15</v>
      </c>
      <c r="AJ109">
        <f t="shared" si="12"/>
        <v>4</v>
      </c>
      <c r="AL109">
        <f t="shared" si="13"/>
        <v>0</v>
      </c>
      <c r="AM109">
        <f t="shared" si="14"/>
        <v>21</v>
      </c>
      <c r="AN109">
        <f t="shared" si="15"/>
        <v>30</v>
      </c>
      <c r="AO109">
        <f t="shared" si="16"/>
        <v>4</v>
      </c>
      <c r="AP109">
        <f t="shared" si="17"/>
        <v>55</v>
      </c>
    </row>
    <row r="110" spans="1:42" ht="15.75" customHeight="1" x14ac:dyDescent="0.3">
      <c r="A110" s="16"/>
      <c r="B110" s="59">
        <v>1</v>
      </c>
      <c r="C110" s="60" t="s">
        <v>128</v>
      </c>
      <c r="D110" s="59">
        <v>3</v>
      </c>
      <c r="E110" s="59" t="s">
        <v>21</v>
      </c>
      <c r="F110" s="24" t="s">
        <v>21</v>
      </c>
      <c r="G110" s="24" t="s">
        <v>20</v>
      </c>
      <c r="H110" s="24" t="s">
        <v>20</v>
      </c>
      <c r="I110" s="24" t="s">
        <v>20</v>
      </c>
      <c r="J110" s="27" t="s">
        <v>20</v>
      </c>
      <c r="K110" s="27" t="s">
        <v>20</v>
      </c>
      <c r="L110" s="27" t="s">
        <v>21</v>
      </c>
      <c r="M110" s="24" t="s">
        <v>20</v>
      </c>
      <c r="N110" s="24" t="s">
        <v>20</v>
      </c>
      <c r="O110" s="24" t="s">
        <v>20</v>
      </c>
      <c r="P110" s="24" t="s">
        <v>21</v>
      </c>
      <c r="Q110" s="24" t="s">
        <v>21</v>
      </c>
      <c r="R110" s="24" t="s">
        <v>20</v>
      </c>
      <c r="S110" s="24" t="s">
        <v>20</v>
      </c>
      <c r="T110" s="24" t="s">
        <v>20</v>
      </c>
      <c r="U110" s="24" t="s">
        <v>20</v>
      </c>
      <c r="V110" s="39" t="s">
        <v>21</v>
      </c>
      <c r="W110" s="39" t="s">
        <v>20</v>
      </c>
      <c r="X110" s="39" t="s">
        <v>20</v>
      </c>
      <c r="Y110" s="24" t="s">
        <v>20</v>
      </c>
      <c r="Z110" s="24" t="s">
        <v>20</v>
      </c>
      <c r="AA110" s="27" t="s">
        <v>21</v>
      </c>
      <c r="AB110" s="27" t="s">
        <v>21</v>
      </c>
      <c r="AC110" s="27" t="s">
        <v>21</v>
      </c>
      <c r="AD110" s="39" t="s">
        <v>21</v>
      </c>
      <c r="AE110" s="39" t="s">
        <v>21</v>
      </c>
      <c r="AG110">
        <f t="shared" si="9"/>
        <v>0</v>
      </c>
      <c r="AH110">
        <f t="shared" si="10"/>
        <v>16</v>
      </c>
      <c r="AI110">
        <f t="shared" si="11"/>
        <v>10</v>
      </c>
      <c r="AJ110">
        <f t="shared" si="12"/>
        <v>0</v>
      </c>
      <c r="AL110">
        <f t="shared" si="13"/>
        <v>0</v>
      </c>
      <c r="AM110">
        <f t="shared" si="14"/>
        <v>48</v>
      </c>
      <c r="AN110">
        <f t="shared" si="15"/>
        <v>20</v>
      </c>
      <c r="AO110">
        <f t="shared" si="16"/>
        <v>0</v>
      </c>
      <c r="AP110">
        <f t="shared" si="17"/>
        <v>68</v>
      </c>
    </row>
    <row r="111" spans="1:42" ht="15.75" customHeight="1" x14ac:dyDescent="0.3">
      <c r="A111" s="16"/>
      <c r="B111" s="55">
        <v>2</v>
      </c>
      <c r="C111" s="56" t="s">
        <v>129</v>
      </c>
      <c r="D111" s="55">
        <v>3</v>
      </c>
      <c r="E111" s="55" t="s">
        <v>21</v>
      </c>
      <c r="F111" s="18" t="s">
        <v>21</v>
      </c>
      <c r="G111" s="18" t="s">
        <v>20</v>
      </c>
      <c r="H111" s="18" t="s">
        <v>20</v>
      </c>
      <c r="I111" s="18" t="s">
        <v>20</v>
      </c>
      <c r="J111" s="20" t="s">
        <v>20</v>
      </c>
      <c r="K111" s="20" t="s">
        <v>20</v>
      </c>
      <c r="L111" s="20" t="s">
        <v>21</v>
      </c>
      <c r="M111" s="18" t="s">
        <v>20</v>
      </c>
      <c r="N111" s="18" t="s">
        <v>20</v>
      </c>
      <c r="O111" s="18" t="s">
        <v>20</v>
      </c>
      <c r="P111" s="18" t="s">
        <v>21</v>
      </c>
      <c r="Q111" s="18" t="s">
        <v>20</v>
      </c>
      <c r="R111" s="18" t="s">
        <v>20</v>
      </c>
      <c r="S111" s="18" t="s">
        <v>21</v>
      </c>
      <c r="T111" s="18" t="s">
        <v>20</v>
      </c>
      <c r="U111" s="18" t="s">
        <v>20</v>
      </c>
      <c r="V111" s="37" t="s">
        <v>21</v>
      </c>
      <c r="W111" s="37" t="s">
        <v>20</v>
      </c>
      <c r="X111" s="37" t="s">
        <v>20</v>
      </c>
      <c r="Y111" s="18" t="s">
        <v>21</v>
      </c>
      <c r="Z111" s="18" t="s">
        <v>20</v>
      </c>
      <c r="AA111" s="20" t="s">
        <v>20</v>
      </c>
      <c r="AB111" s="20" t="s">
        <v>20</v>
      </c>
      <c r="AC111" s="20" t="s">
        <v>20</v>
      </c>
      <c r="AD111" s="37" t="s">
        <v>21</v>
      </c>
      <c r="AE111" s="37" t="s">
        <v>21</v>
      </c>
      <c r="AG111">
        <f t="shared" si="9"/>
        <v>0</v>
      </c>
      <c r="AH111">
        <f t="shared" si="10"/>
        <v>18</v>
      </c>
      <c r="AI111">
        <f t="shared" si="11"/>
        <v>8</v>
      </c>
      <c r="AJ111">
        <f t="shared" si="12"/>
        <v>0</v>
      </c>
      <c r="AL111">
        <f t="shared" si="13"/>
        <v>0</v>
      </c>
      <c r="AM111">
        <f t="shared" si="14"/>
        <v>54</v>
      </c>
      <c r="AN111">
        <f t="shared" si="15"/>
        <v>16</v>
      </c>
      <c r="AO111">
        <f t="shared" si="16"/>
        <v>0</v>
      </c>
      <c r="AP111">
        <f t="shared" si="17"/>
        <v>70</v>
      </c>
    </row>
    <row r="112" spans="1:42" ht="15.75" customHeight="1" x14ac:dyDescent="0.3">
      <c r="A112" s="16"/>
      <c r="B112" s="55">
        <v>3</v>
      </c>
      <c r="C112" s="56" t="s">
        <v>130</v>
      </c>
      <c r="D112" s="55">
        <v>3</v>
      </c>
      <c r="E112" s="55" t="s">
        <v>21</v>
      </c>
      <c r="F112" s="18" t="s">
        <v>20</v>
      </c>
      <c r="G112" s="18" t="s">
        <v>20</v>
      </c>
      <c r="H112" s="18" t="s">
        <v>20</v>
      </c>
      <c r="I112" s="18" t="s">
        <v>20</v>
      </c>
      <c r="J112" s="20" t="s">
        <v>20</v>
      </c>
      <c r="K112" s="20" t="s">
        <v>20</v>
      </c>
      <c r="L112" s="20" t="s">
        <v>21</v>
      </c>
      <c r="M112" s="18" t="s">
        <v>20</v>
      </c>
      <c r="N112" s="18" t="s">
        <v>20</v>
      </c>
      <c r="O112" s="18" t="s">
        <v>21</v>
      </c>
      <c r="P112" s="18" t="s">
        <v>20</v>
      </c>
      <c r="Q112" s="18" t="s">
        <v>20</v>
      </c>
      <c r="R112" s="18" t="s">
        <v>20</v>
      </c>
      <c r="S112" s="18" t="s">
        <v>20</v>
      </c>
      <c r="T112" s="18" t="s">
        <v>20</v>
      </c>
      <c r="U112" s="18" t="s">
        <v>20</v>
      </c>
      <c r="V112" s="37" t="s">
        <v>20</v>
      </c>
      <c r="W112" s="37" t="s">
        <v>20</v>
      </c>
      <c r="X112" s="37" t="s">
        <v>20</v>
      </c>
      <c r="Y112" s="18" t="s">
        <v>20</v>
      </c>
      <c r="Z112" s="18" t="s">
        <v>20</v>
      </c>
      <c r="AA112" s="20" t="s">
        <v>20</v>
      </c>
      <c r="AB112" s="20" t="s">
        <v>20</v>
      </c>
      <c r="AC112" s="20" t="s">
        <v>20</v>
      </c>
      <c r="AD112" s="37" t="s">
        <v>20</v>
      </c>
      <c r="AE112" s="37" t="s">
        <v>21</v>
      </c>
      <c r="AG112">
        <f t="shared" si="9"/>
        <v>0</v>
      </c>
      <c r="AH112">
        <f t="shared" si="10"/>
        <v>23</v>
      </c>
      <c r="AI112">
        <f t="shared" si="11"/>
        <v>3</v>
      </c>
      <c r="AJ112">
        <f t="shared" si="12"/>
        <v>0</v>
      </c>
      <c r="AL112">
        <f t="shared" si="13"/>
        <v>0</v>
      </c>
      <c r="AM112">
        <f t="shared" si="14"/>
        <v>69</v>
      </c>
      <c r="AN112">
        <f t="shared" si="15"/>
        <v>6</v>
      </c>
      <c r="AO112">
        <f t="shared" si="16"/>
        <v>0</v>
      </c>
      <c r="AP112">
        <f t="shared" si="17"/>
        <v>75</v>
      </c>
    </row>
    <row r="113" spans="1:42" ht="15.75" customHeight="1" x14ac:dyDescent="0.3">
      <c r="A113" s="16"/>
      <c r="B113" s="55">
        <v>4</v>
      </c>
      <c r="C113" s="56" t="s">
        <v>131</v>
      </c>
      <c r="D113" s="55">
        <v>3</v>
      </c>
      <c r="E113" s="55" t="s">
        <v>21</v>
      </c>
      <c r="F113" s="18" t="s">
        <v>21</v>
      </c>
      <c r="G113" s="18" t="s">
        <v>21</v>
      </c>
      <c r="H113" s="18" t="s">
        <v>21</v>
      </c>
      <c r="I113" s="18" t="s">
        <v>20</v>
      </c>
      <c r="J113" s="20" t="s">
        <v>20</v>
      </c>
      <c r="K113" s="20" t="s">
        <v>20</v>
      </c>
      <c r="L113" s="20" t="s">
        <v>20</v>
      </c>
      <c r="M113" s="18" t="s">
        <v>20</v>
      </c>
      <c r="N113" s="18" t="s">
        <v>20</v>
      </c>
      <c r="O113" s="18" t="s">
        <v>20</v>
      </c>
      <c r="P113" s="18" t="s">
        <v>20</v>
      </c>
      <c r="Q113" s="18" t="s">
        <v>21</v>
      </c>
      <c r="R113" s="18" t="s">
        <v>20</v>
      </c>
      <c r="S113" s="18" t="s">
        <v>20</v>
      </c>
      <c r="T113" s="18" t="s">
        <v>20</v>
      </c>
      <c r="U113" s="18" t="s">
        <v>20</v>
      </c>
      <c r="V113" s="37" t="s">
        <v>21</v>
      </c>
      <c r="W113" s="37" t="s">
        <v>20</v>
      </c>
      <c r="X113" s="37" t="s">
        <v>21</v>
      </c>
      <c r="Y113" s="18" t="s">
        <v>20</v>
      </c>
      <c r="Z113" s="18" t="s">
        <v>20</v>
      </c>
      <c r="AA113" s="20" t="s">
        <v>21</v>
      </c>
      <c r="AB113" s="20" t="s">
        <v>21</v>
      </c>
      <c r="AC113" s="20" t="s">
        <v>21</v>
      </c>
      <c r="AD113" s="37" t="s">
        <v>23</v>
      </c>
      <c r="AE113" s="37" t="s">
        <v>21</v>
      </c>
      <c r="AG113">
        <f t="shared" si="9"/>
        <v>0</v>
      </c>
      <c r="AH113">
        <f t="shared" si="10"/>
        <v>15</v>
      </c>
      <c r="AI113">
        <f t="shared" si="11"/>
        <v>10</v>
      </c>
      <c r="AJ113">
        <f t="shared" si="12"/>
        <v>1</v>
      </c>
      <c r="AL113">
        <f t="shared" si="13"/>
        <v>0</v>
      </c>
      <c r="AM113">
        <f t="shared" si="14"/>
        <v>45</v>
      </c>
      <c r="AN113">
        <f t="shared" si="15"/>
        <v>20</v>
      </c>
      <c r="AO113">
        <f t="shared" si="16"/>
        <v>1</v>
      </c>
      <c r="AP113">
        <f t="shared" si="17"/>
        <v>66</v>
      </c>
    </row>
    <row r="114" spans="1:42" ht="15.75" customHeight="1" x14ac:dyDescent="0.3">
      <c r="A114" s="16"/>
      <c r="B114" s="55">
        <v>5</v>
      </c>
      <c r="C114" s="56" t="s">
        <v>132</v>
      </c>
      <c r="D114" s="55">
        <v>3</v>
      </c>
      <c r="E114" s="55" t="s">
        <v>21</v>
      </c>
      <c r="F114" s="18" t="s">
        <v>21</v>
      </c>
      <c r="G114" s="18" t="s">
        <v>20</v>
      </c>
      <c r="H114" s="18" t="s">
        <v>21</v>
      </c>
      <c r="I114" s="18" t="s">
        <v>20</v>
      </c>
      <c r="J114" s="20" t="s">
        <v>39</v>
      </c>
      <c r="K114" s="20" t="s">
        <v>39</v>
      </c>
      <c r="L114" s="20" t="s">
        <v>20</v>
      </c>
      <c r="M114" s="18" t="s">
        <v>20</v>
      </c>
      <c r="N114" s="18" t="s">
        <v>20</v>
      </c>
      <c r="O114" s="18" t="s">
        <v>20</v>
      </c>
      <c r="P114" s="18" t="s">
        <v>21</v>
      </c>
      <c r="Q114" s="18" t="s">
        <v>20</v>
      </c>
      <c r="R114" s="18" t="s">
        <v>20</v>
      </c>
      <c r="S114" s="18" t="s">
        <v>20</v>
      </c>
      <c r="T114" s="18" t="s">
        <v>20</v>
      </c>
      <c r="U114" s="18" t="s">
        <v>20</v>
      </c>
      <c r="V114" s="37" t="s">
        <v>20</v>
      </c>
      <c r="W114" s="37" t="s">
        <v>20</v>
      </c>
      <c r="X114" s="37" t="s">
        <v>20</v>
      </c>
      <c r="Y114" s="18" t="s">
        <v>20</v>
      </c>
      <c r="Z114" s="18" t="s">
        <v>20</v>
      </c>
      <c r="AA114" s="20" t="s">
        <v>20</v>
      </c>
      <c r="AB114" s="20" t="s">
        <v>20</v>
      </c>
      <c r="AC114" s="20" t="s">
        <v>20</v>
      </c>
      <c r="AD114" s="29" t="s">
        <v>23</v>
      </c>
      <c r="AE114" s="29" t="s">
        <v>21</v>
      </c>
      <c r="AG114">
        <f t="shared" si="9"/>
        <v>2</v>
      </c>
      <c r="AH114">
        <f t="shared" si="10"/>
        <v>19</v>
      </c>
      <c r="AI114">
        <f t="shared" si="11"/>
        <v>4</v>
      </c>
      <c r="AJ114">
        <f t="shared" si="12"/>
        <v>1</v>
      </c>
      <c r="AL114">
        <f t="shared" si="13"/>
        <v>8</v>
      </c>
      <c r="AM114">
        <f t="shared" si="14"/>
        <v>57</v>
      </c>
      <c r="AN114">
        <f t="shared" si="15"/>
        <v>8</v>
      </c>
      <c r="AO114">
        <f t="shared" si="16"/>
        <v>1</v>
      </c>
      <c r="AP114">
        <f t="shared" si="17"/>
        <v>74</v>
      </c>
    </row>
    <row r="115" spans="1:42" ht="15.75" customHeight="1" x14ac:dyDescent="0.3">
      <c r="A115" s="16"/>
      <c r="B115" s="55">
        <v>6</v>
      </c>
      <c r="C115" s="56" t="s">
        <v>133</v>
      </c>
      <c r="D115" s="55">
        <v>3</v>
      </c>
      <c r="E115" s="55" t="s">
        <v>21</v>
      </c>
      <c r="F115" s="18" t="s">
        <v>20</v>
      </c>
      <c r="G115" s="18" t="s">
        <v>20</v>
      </c>
      <c r="H115" s="18" t="s">
        <v>20</v>
      </c>
      <c r="I115" s="18" t="s">
        <v>20</v>
      </c>
      <c r="J115" s="20" t="s">
        <v>20</v>
      </c>
      <c r="K115" s="20" t="s">
        <v>20</v>
      </c>
      <c r="L115" s="20" t="s">
        <v>20</v>
      </c>
      <c r="M115" s="18" t="s">
        <v>20</v>
      </c>
      <c r="N115" s="18" t="s">
        <v>20</v>
      </c>
      <c r="O115" s="18" t="s">
        <v>20</v>
      </c>
      <c r="P115" s="18" t="s">
        <v>21</v>
      </c>
      <c r="Q115" s="18" t="s">
        <v>20</v>
      </c>
      <c r="R115" s="18" t="s">
        <v>20</v>
      </c>
      <c r="S115" s="18" t="s">
        <v>20</v>
      </c>
      <c r="T115" s="18" t="s">
        <v>20</v>
      </c>
      <c r="U115" s="18" t="s">
        <v>20</v>
      </c>
      <c r="V115" s="37" t="s">
        <v>20</v>
      </c>
      <c r="W115" s="37" t="s">
        <v>20</v>
      </c>
      <c r="X115" s="37" t="s">
        <v>21</v>
      </c>
      <c r="Y115" s="18" t="s">
        <v>20</v>
      </c>
      <c r="Z115" s="18" t="s">
        <v>20</v>
      </c>
      <c r="AA115" s="20" t="s">
        <v>20</v>
      </c>
      <c r="AB115" s="20" t="s">
        <v>20</v>
      </c>
      <c r="AC115" s="20" t="s">
        <v>20</v>
      </c>
      <c r="AD115" s="29" t="s">
        <v>20</v>
      </c>
      <c r="AE115" s="29" t="s">
        <v>21</v>
      </c>
      <c r="AG115">
        <f t="shared" si="9"/>
        <v>0</v>
      </c>
      <c r="AH115">
        <f t="shared" si="10"/>
        <v>23</v>
      </c>
      <c r="AI115">
        <f t="shared" si="11"/>
        <v>3</v>
      </c>
      <c r="AJ115">
        <f t="shared" si="12"/>
        <v>0</v>
      </c>
      <c r="AL115">
        <f t="shared" si="13"/>
        <v>0</v>
      </c>
      <c r="AM115">
        <f t="shared" si="14"/>
        <v>69</v>
      </c>
      <c r="AN115">
        <f t="shared" si="15"/>
        <v>6</v>
      </c>
      <c r="AO115">
        <f t="shared" si="16"/>
        <v>0</v>
      </c>
      <c r="AP115">
        <f t="shared" si="17"/>
        <v>75</v>
      </c>
    </row>
    <row r="116" spans="1:42" ht="15.75" customHeight="1" x14ac:dyDescent="0.3">
      <c r="A116" s="16"/>
      <c r="B116" s="55">
        <v>7</v>
      </c>
      <c r="C116" s="56" t="s">
        <v>134</v>
      </c>
      <c r="D116" s="55">
        <v>3</v>
      </c>
      <c r="E116" s="55" t="s">
        <v>21</v>
      </c>
      <c r="F116" s="18" t="s">
        <v>23</v>
      </c>
      <c r="G116" s="18" t="s">
        <v>21</v>
      </c>
      <c r="H116" s="18" t="s">
        <v>23</v>
      </c>
      <c r="I116" s="18" t="s">
        <v>21</v>
      </c>
      <c r="J116" s="20" t="s">
        <v>21</v>
      </c>
      <c r="K116" s="20" t="s">
        <v>21</v>
      </c>
      <c r="L116" s="20" t="s">
        <v>21</v>
      </c>
      <c r="M116" s="18" t="s">
        <v>20</v>
      </c>
      <c r="N116" s="18" t="s">
        <v>20</v>
      </c>
      <c r="O116" s="18" t="s">
        <v>21</v>
      </c>
      <c r="P116" s="18" t="s">
        <v>21</v>
      </c>
      <c r="Q116" s="18" t="s">
        <v>23</v>
      </c>
      <c r="R116" s="18" t="s">
        <v>21</v>
      </c>
      <c r="S116" s="18" t="s">
        <v>20</v>
      </c>
      <c r="T116" s="18" t="s">
        <v>21</v>
      </c>
      <c r="U116" s="18" t="s">
        <v>20</v>
      </c>
      <c r="V116" s="37" t="s">
        <v>21</v>
      </c>
      <c r="W116" s="37" t="s">
        <v>21</v>
      </c>
      <c r="X116" s="37" t="s">
        <v>21</v>
      </c>
      <c r="Y116" s="18" t="s">
        <v>20</v>
      </c>
      <c r="Z116" s="18" t="s">
        <v>20</v>
      </c>
      <c r="AA116" s="20" t="s">
        <v>21</v>
      </c>
      <c r="AB116" s="20" t="s">
        <v>21</v>
      </c>
      <c r="AC116" s="20" t="s">
        <v>21</v>
      </c>
      <c r="AD116" s="29" t="s">
        <v>21</v>
      </c>
      <c r="AE116" s="29" t="s">
        <v>21</v>
      </c>
      <c r="AG116">
        <f t="shared" si="9"/>
        <v>0</v>
      </c>
      <c r="AH116">
        <f t="shared" si="10"/>
        <v>6</v>
      </c>
      <c r="AI116">
        <f t="shared" si="11"/>
        <v>17</v>
      </c>
      <c r="AJ116">
        <f t="shared" si="12"/>
        <v>3</v>
      </c>
      <c r="AL116">
        <f t="shared" si="13"/>
        <v>0</v>
      </c>
      <c r="AM116">
        <f t="shared" si="14"/>
        <v>18</v>
      </c>
      <c r="AN116">
        <f t="shared" si="15"/>
        <v>34</v>
      </c>
      <c r="AO116">
        <f t="shared" si="16"/>
        <v>3</v>
      </c>
      <c r="AP116">
        <f t="shared" si="17"/>
        <v>55</v>
      </c>
    </row>
    <row r="117" spans="1:42" ht="15.75" customHeight="1" x14ac:dyDescent="0.3">
      <c r="A117" s="16"/>
      <c r="B117" s="55">
        <v>8</v>
      </c>
      <c r="C117" s="56" t="s">
        <v>135</v>
      </c>
      <c r="D117" s="55">
        <v>3</v>
      </c>
      <c r="E117" s="55" t="s">
        <v>21</v>
      </c>
      <c r="F117" s="18" t="s">
        <v>21</v>
      </c>
      <c r="G117" s="18" t="s">
        <v>23</v>
      </c>
      <c r="H117" s="18" t="s">
        <v>21</v>
      </c>
      <c r="I117" s="18" t="s">
        <v>21</v>
      </c>
      <c r="J117" s="20" t="s">
        <v>20</v>
      </c>
      <c r="K117" s="20" t="s">
        <v>20</v>
      </c>
      <c r="L117" s="20" t="s">
        <v>21</v>
      </c>
      <c r="M117" s="18" t="s">
        <v>20</v>
      </c>
      <c r="N117" s="18" t="s">
        <v>21</v>
      </c>
      <c r="O117" s="18" t="s">
        <v>20</v>
      </c>
      <c r="P117" s="18" t="s">
        <v>21</v>
      </c>
      <c r="Q117" s="18" t="s">
        <v>21</v>
      </c>
      <c r="R117" s="18" t="s">
        <v>21</v>
      </c>
      <c r="S117" s="18" t="s">
        <v>20</v>
      </c>
      <c r="T117" s="18" t="s">
        <v>20</v>
      </c>
      <c r="U117" s="18" t="s">
        <v>20</v>
      </c>
      <c r="V117" s="37" t="s">
        <v>20</v>
      </c>
      <c r="W117" s="37" t="s">
        <v>21</v>
      </c>
      <c r="X117" s="37" t="s">
        <v>20</v>
      </c>
      <c r="Y117" s="18" t="s">
        <v>20</v>
      </c>
      <c r="Z117" s="18" t="s">
        <v>20</v>
      </c>
      <c r="AA117" s="20" t="s">
        <v>23</v>
      </c>
      <c r="AB117" s="20" t="s">
        <v>23</v>
      </c>
      <c r="AC117" s="20" t="s">
        <v>21</v>
      </c>
      <c r="AD117" s="29" t="s">
        <v>21</v>
      </c>
      <c r="AE117" s="29" t="s">
        <v>21</v>
      </c>
      <c r="AG117">
        <f t="shared" si="9"/>
        <v>0</v>
      </c>
      <c r="AH117">
        <f t="shared" si="10"/>
        <v>11</v>
      </c>
      <c r="AI117">
        <f t="shared" si="11"/>
        <v>12</v>
      </c>
      <c r="AJ117">
        <f t="shared" si="12"/>
        <v>3</v>
      </c>
      <c r="AL117">
        <f t="shared" si="13"/>
        <v>0</v>
      </c>
      <c r="AM117">
        <f t="shared" si="14"/>
        <v>33</v>
      </c>
      <c r="AN117">
        <f t="shared" si="15"/>
        <v>24</v>
      </c>
      <c r="AO117">
        <f t="shared" si="16"/>
        <v>3</v>
      </c>
      <c r="AP117">
        <f t="shared" si="17"/>
        <v>60</v>
      </c>
    </row>
    <row r="118" spans="1:42" ht="15.75" customHeight="1" x14ac:dyDescent="0.3">
      <c r="A118" s="16"/>
      <c r="B118" s="55">
        <v>9</v>
      </c>
      <c r="C118" s="56" t="s">
        <v>136</v>
      </c>
      <c r="D118" s="55">
        <v>3</v>
      </c>
      <c r="E118" s="55" t="s">
        <v>21</v>
      </c>
      <c r="F118" s="18" t="s">
        <v>23</v>
      </c>
      <c r="G118" s="18" t="s">
        <v>21</v>
      </c>
      <c r="H118" s="18" t="s">
        <v>23</v>
      </c>
      <c r="I118" s="18" t="s">
        <v>21</v>
      </c>
      <c r="J118" s="20" t="s">
        <v>20</v>
      </c>
      <c r="K118" s="20" t="s">
        <v>21</v>
      </c>
      <c r="L118" s="20" t="s">
        <v>21</v>
      </c>
      <c r="M118" s="18" t="s">
        <v>21</v>
      </c>
      <c r="N118" s="18" t="s">
        <v>21</v>
      </c>
      <c r="O118" s="18" t="s">
        <v>21</v>
      </c>
      <c r="P118" s="18" t="s">
        <v>23</v>
      </c>
      <c r="Q118" s="18" t="s">
        <v>20</v>
      </c>
      <c r="R118" s="18" t="s">
        <v>21</v>
      </c>
      <c r="S118" s="18" t="s">
        <v>21</v>
      </c>
      <c r="T118" s="18" t="s">
        <v>20</v>
      </c>
      <c r="U118" s="18" t="s">
        <v>20</v>
      </c>
      <c r="V118" s="37" t="s">
        <v>21</v>
      </c>
      <c r="W118" s="37" t="s">
        <v>21</v>
      </c>
      <c r="X118" s="37" t="s">
        <v>21</v>
      </c>
      <c r="Y118" s="18" t="s">
        <v>20</v>
      </c>
      <c r="Z118" s="18" t="s">
        <v>20</v>
      </c>
      <c r="AA118" s="20" t="s">
        <v>23</v>
      </c>
      <c r="AB118" s="20" t="s">
        <v>23</v>
      </c>
      <c r="AC118" s="20" t="s">
        <v>21</v>
      </c>
      <c r="AD118" s="29" t="s">
        <v>21</v>
      </c>
      <c r="AE118" s="29" t="s">
        <v>21</v>
      </c>
      <c r="AG118">
        <f t="shared" si="9"/>
        <v>0</v>
      </c>
      <c r="AH118">
        <f t="shared" si="10"/>
        <v>6</v>
      </c>
      <c r="AI118">
        <f t="shared" si="11"/>
        <v>15</v>
      </c>
      <c r="AJ118">
        <f t="shared" si="12"/>
        <v>5</v>
      </c>
      <c r="AL118">
        <f t="shared" si="13"/>
        <v>0</v>
      </c>
      <c r="AM118">
        <f t="shared" si="14"/>
        <v>18</v>
      </c>
      <c r="AN118">
        <f t="shared" si="15"/>
        <v>30</v>
      </c>
      <c r="AO118">
        <f t="shared" si="16"/>
        <v>5</v>
      </c>
      <c r="AP118">
        <f t="shared" si="17"/>
        <v>53</v>
      </c>
    </row>
    <row r="119" spans="1:42" ht="15.75" customHeight="1" x14ac:dyDescent="0.3">
      <c r="A119" s="16"/>
      <c r="B119" s="55">
        <v>10</v>
      </c>
      <c r="C119" s="56" t="s">
        <v>137</v>
      </c>
      <c r="D119" s="55">
        <v>3</v>
      </c>
      <c r="E119" s="55" t="s">
        <v>21</v>
      </c>
      <c r="F119" s="18" t="s">
        <v>39</v>
      </c>
      <c r="G119" s="18" t="s">
        <v>20</v>
      </c>
      <c r="H119" s="18" t="s">
        <v>20</v>
      </c>
      <c r="I119" s="18" t="s">
        <v>20</v>
      </c>
      <c r="J119" s="20" t="s">
        <v>20</v>
      </c>
      <c r="K119" s="20" t="s">
        <v>39</v>
      </c>
      <c r="L119" s="20" t="s">
        <v>20</v>
      </c>
      <c r="M119" s="18" t="s">
        <v>20</v>
      </c>
      <c r="N119" s="18" t="s">
        <v>20</v>
      </c>
      <c r="O119" s="18" t="s">
        <v>20</v>
      </c>
      <c r="P119" s="18" t="s">
        <v>21</v>
      </c>
      <c r="Q119" s="18" t="s">
        <v>20</v>
      </c>
      <c r="R119" s="18" t="s">
        <v>20</v>
      </c>
      <c r="S119" s="18" t="s">
        <v>20</v>
      </c>
      <c r="T119" s="18" t="s">
        <v>20</v>
      </c>
      <c r="U119" s="18" t="s">
        <v>20</v>
      </c>
      <c r="V119" s="37" t="s">
        <v>21</v>
      </c>
      <c r="W119" s="37" t="s">
        <v>20</v>
      </c>
      <c r="X119" s="37" t="s">
        <v>20</v>
      </c>
      <c r="Y119" s="18" t="s">
        <v>20</v>
      </c>
      <c r="Z119" s="18" t="s">
        <v>20</v>
      </c>
      <c r="AA119" s="20" t="s">
        <v>20</v>
      </c>
      <c r="AB119" s="20" t="s">
        <v>20</v>
      </c>
      <c r="AC119" s="20" t="s">
        <v>20</v>
      </c>
      <c r="AD119" s="29" t="s">
        <v>20</v>
      </c>
      <c r="AE119" s="29" t="s">
        <v>21</v>
      </c>
      <c r="AG119">
        <f t="shared" si="9"/>
        <v>2</v>
      </c>
      <c r="AH119">
        <f t="shared" si="10"/>
        <v>21</v>
      </c>
      <c r="AI119">
        <f t="shared" si="11"/>
        <v>3</v>
      </c>
      <c r="AJ119">
        <f t="shared" si="12"/>
        <v>0</v>
      </c>
      <c r="AL119">
        <f t="shared" si="13"/>
        <v>8</v>
      </c>
      <c r="AM119">
        <f t="shared" si="14"/>
        <v>63</v>
      </c>
      <c r="AN119">
        <f t="shared" si="15"/>
        <v>6</v>
      </c>
      <c r="AO119">
        <f t="shared" si="16"/>
        <v>0</v>
      </c>
      <c r="AP119">
        <f t="shared" si="17"/>
        <v>77</v>
      </c>
    </row>
    <row r="120" spans="1:42" ht="15.75" customHeight="1" x14ac:dyDescent="0.3">
      <c r="A120" s="16"/>
      <c r="B120" s="55">
        <v>11</v>
      </c>
      <c r="C120" s="56" t="s">
        <v>138</v>
      </c>
      <c r="D120" s="55">
        <v>3</v>
      </c>
      <c r="E120" s="55" t="s">
        <v>21</v>
      </c>
      <c r="F120" s="18" t="s">
        <v>21</v>
      </c>
      <c r="G120" s="18" t="s">
        <v>21</v>
      </c>
      <c r="H120" s="18" t="s">
        <v>21</v>
      </c>
      <c r="I120" s="18" t="s">
        <v>21</v>
      </c>
      <c r="J120" s="20" t="s">
        <v>21</v>
      </c>
      <c r="K120" s="20" t="s">
        <v>21</v>
      </c>
      <c r="L120" s="20" t="s">
        <v>21</v>
      </c>
      <c r="M120" s="18" t="s">
        <v>21</v>
      </c>
      <c r="N120" s="18" t="s">
        <v>21</v>
      </c>
      <c r="O120" s="18" t="s">
        <v>21</v>
      </c>
      <c r="P120" s="18" t="s">
        <v>21</v>
      </c>
      <c r="Q120" s="18" t="s">
        <v>21</v>
      </c>
      <c r="R120" s="18" t="s">
        <v>23</v>
      </c>
      <c r="S120" s="18" t="s">
        <v>23</v>
      </c>
      <c r="T120" s="18" t="s">
        <v>21</v>
      </c>
      <c r="U120" s="18" t="s">
        <v>20</v>
      </c>
      <c r="V120" s="37" t="s">
        <v>21</v>
      </c>
      <c r="W120" s="37" t="s">
        <v>20</v>
      </c>
      <c r="X120" s="37" t="s">
        <v>21</v>
      </c>
      <c r="Y120" s="18" t="s">
        <v>21</v>
      </c>
      <c r="Z120" s="18" t="s">
        <v>21</v>
      </c>
      <c r="AA120" s="20" t="s">
        <v>21</v>
      </c>
      <c r="AB120" s="20" t="s">
        <v>21</v>
      </c>
      <c r="AC120" s="20" t="s">
        <v>21</v>
      </c>
      <c r="AD120" s="29" t="s">
        <v>23</v>
      </c>
      <c r="AE120" s="29" t="s">
        <v>21</v>
      </c>
      <c r="AG120">
        <f t="shared" si="9"/>
        <v>0</v>
      </c>
      <c r="AH120">
        <f t="shared" si="10"/>
        <v>2</v>
      </c>
      <c r="AI120">
        <f t="shared" si="11"/>
        <v>21</v>
      </c>
      <c r="AJ120">
        <f t="shared" si="12"/>
        <v>3</v>
      </c>
      <c r="AL120">
        <f t="shared" si="13"/>
        <v>0</v>
      </c>
      <c r="AM120">
        <f t="shared" si="14"/>
        <v>6</v>
      </c>
      <c r="AN120">
        <f t="shared" si="15"/>
        <v>42</v>
      </c>
      <c r="AO120">
        <f t="shared" si="16"/>
        <v>3</v>
      </c>
      <c r="AP120">
        <f t="shared" si="17"/>
        <v>51</v>
      </c>
    </row>
    <row r="121" spans="1:42" ht="15.75" customHeight="1" x14ac:dyDescent="0.3">
      <c r="A121" s="16"/>
      <c r="B121" s="55">
        <v>12</v>
      </c>
      <c r="C121" s="56" t="s">
        <v>139</v>
      </c>
      <c r="D121" s="55">
        <v>3</v>
      </c>
      <c r="E121" s="55" t="s">
        <v>21</v>
      </c>
      <c r="F121" s="18" t="s">
        <v>20</v>
      </c>
      <c r="G121" s="18" t="s">
        <v>20</v>
      </c>
      <c r="H121" s="18" t="s">
        <v>20</v>
      </c>
      <c r="I121" s="18" t="s">
        <v>20</v>
      </c>
      <c r="J121" s="20" t="s">
        <v>20</v>
      </c>
      <c r="K121" s="20" t="s">
        <v>20</v>
      </c>
      <c r="L121" s="20" t="s">
        <v>20</v>
      </c>
      <c r="M121" s="18" t="s">
        <v>20</v>
      </c>
      <c r="N121" s="18" t="s">
        <v>20</v>
      </c>
      <c r="O121" s="18" t="s">
        <v>20</v>
      </c>
      <c r="P121" s="18" t="s">
        <v>21</v>
      </c>
      <c r="Q121" s="18" t="s">
        <v>20</v>
      </c>
      <c r="R121" s="18" t="s">
        <v>21</v>
      </c>
      <c r="S121" s="18" t="s">
        <v>21</v>
      </c>
      <c r="T121" s="18" t="s">
        <v>21</v>
      </c>
      <c r="U121" s="18" t="s">
        <v>20</v>
      </c>
      <c r="V121" s="37" t="s">
        <v>20</v>
      </c>
      <c r="W121" s="37" t="s">
        <v>20</v>
      </c>
      <c r="X121" s="37" t="s">
        <v>21</v>
      </c>
      <c r="Y121" s="18" t="s">
        <v>21</v>
      </c>
      <c r="Z121" s="18" t="s">
        <v>20</v>
      </c>
      <c r="AA121" s="20" t="s">
        <v>20</v>
      </c>
      <c r="AB121" s="20" t="s">
        <v>20</v>
      </c>
      <c r="AC121" s="20" t="s">
        <v>20</v>
      </c>
      <c r="AD121" s="29" t="s">
        <v>23</v>
      </c>
      <c r="AE121" s="29" t="s">
        <v>21</v>
      </c>
      <c r="AG121">
        <f t="shared" si="9"/>
        <v>0</v>
      </c>
      <c r="AH121">
        <f t="shared" si="10"/>
        <v>18</v>
      </c>
      <c r="AI121">
        <f t="shared" si="11"/>
        <v>7</v>
      </c>
      <c r="AJ121">
        <f t="shared" si="12"/>
        <v>1</v>
      </c>
      <c r="AL121">
        <f t="shared" si="13"/>
        <v>0</v>
      </c>
      <c r="AM121">
        <f t="shared" si="14"/>
        <v>54</v>
      </c>
      <c r="AN121">
        <f t="shared" si="15"/>
        <v>14</v>
      </c>
      <c r="AO121">
        <f t="shared" si="16"/>
        <v>1</v>
      </c>
      <c r="AP121">
        <f t="shared" si="17"/>
        <v>69</v>
      </c>
    </row>
    <row r="122" spans="1:42" ht="15.75" customHeight="1" x14ac:dyDescent="0.3">
      <c r="A122" s="16"/>
      <c r="B122" s="55">
        <v>13</v>
      </c>
      <c r="C122" s="56" t="s">
        <v>140</v>
      </c>
      <c r="D122" s="55">
        <v>3</v>
      </c>
      <c r="E122" s="55" t="s">
        <v>21</v>
      </c>
      <c r="F122" s="18" t="s">
        <v>20</v>
      </c>
      <c r="G122" s="18" t="s">
        <v>20</v>
      </c>
      <c r="H122" s="18" t="s">
        <v>20</v>
      </c>
      <c r="I122" s="18" t="s">
        <v>39</v>
      </c>
      <c r="J122" s="20" t="s">
        <v>20</v>
      </c>
      <c r="K122" s="20" t="s">
        <v>20</v>
      </c>
      <c r="L122" s="20" t="s">
        <v>20</v>
      </c>
      <c r="M122" s="18" t="s">
        <v>20</v>
      </c>
      <c r="N122" s="18" t="s">
        <v>20</v>
      </c>
      <c r="O122" s="18" t="s">
        <v>20</v>
      </c>
      <c r="P122" s="18" t="s">
        <v>21</v>
      </c>
      <c r="Q122" s="18" t="s">
        <v>21</v>
      </c>
      <c r="R122" s="18" t="s">
        <v>20</v>
      </c>
      <c r="S122" s="18" t="s">
        <v>20</v>
      </c>
      <c r="T122" s="18" t="s">
        <v>20</v>
      </c>
      <c r="U122" s="18" t="s">
        <v>20</v>
      </c>
      <c r="V122" s="37" t="s">
        <v>20</v>
      </c>
      <c r="W122" s="37" t="s">
        <v>20</v>
      </c>
      <c r="X122" s="37" t="s">
        <v>20</v>
      </c>
      <c r="Y122" s="18" t="s">
        <v>21</v>
      </c>
      <c r="Z122" s="18" t="s">
        <v>21</v>
      </c>
      <c r="AA122" s="20" t="s">
        <v>21</v>
      </c>
      <c r="AB122" s="20" t="s">
        <v>20</v>
      </c>
      <c r="AC122" s="20" t="s">
        <v>21</v>
      </c>
      <c r="AD122" s="29" t="s">
        <v>55</v>
      </c>
      <c r="AE122" s="29" t="s">
        <v>55</v>
      </c>
      <c r="AG122">
        <f t="shared" si="9"/>
        <v>1</v>
      </c>
      <c r="AH122">
        <f t="shared" si="10"/>
        <v>17</v>
      </c>
      <c r="AI122">
        <f t="shared" si="11"/>
        <v>6</v>
      </c>
      <c r="AJ122">
        <f t="shared" si="12"/>
        <v>0</v>
      </c>
      <c r="AL122">
        <f t="shared" si="13"/>
        <v>4</v>
      </c>
      <c r="AM122">
        <f t="shared" si="14"/>
        <v>51</v>
      </c>
      <c r="AN122">
        <f t="shared" si="15"/>
        <v>12</v>
      </c>
      <c r="AO122">
        <f t="shared" si="16"/>
        <v>0</v>
      </c>
      <c r="AP122">
        <f t="shared" si="17"/>
        <v>67</v>
      </c>
    </row>
    <row r="123" spans="1:42" ht="15.75" customHeight="1" x14ac:dyDescent="0.3">
      <c r="A123" s="16"/>
      <c r="B123" s="55">
        <v>14</v>
      </c>
      <c r="C123" s="56" t="s">
        <v>141</v>
      </c>
      <c r="D123" s="55">
        <v>3</v>
      </c>
      <c r="E123" s="55" t="s">
        <v>21</v>
      </c>
      <c r="F123" s="18" t="s">
        <v>21</v>
      </c>
      <c r="G123" s="18" t="s">
        <v>21</v>
      </c>
      <c r="H123" s="18" t="s">
        <v>20</v>
      </c>
      <c r="I123" s="18" t="s">
        <v>20</v>
      </c>
      <c r="J123" s="20" t="s">
        <v>20</v>
      </c>
      <c r="K123" s="20" t="s">
        <v>20</v>
      </c>
      <c r="L123" s="20" t="s">
        <v>21</v>
      </c>
      <c r="M123" s="18" t="s">
        <v>20</v>
      </c>
      <c r="N123" s="18" t="s">
        <v>20</v>
      </c>
      <c r="O123" s="18" t="s">
        <v>20</v>
      </c>
      <c r="P123" s="18" t="s">
        <v>23</v>
      </c>
      <c r="Q123" s="18" t="s">
        <v>21</v>
      </c>
      <c r="R123" s="18" t="s">
        <v>21</v>
      </c>
      <c r="S123" s="18" t="s">
        <v>20</v>
      </c>
      <c r="T123" s="18" t="s">
        <v>20</v>
      </c>
      <c r="U123" s="18" t="s">
        <v>21</v>
      </c>
      <c r="V123" s="37" t="s">
        <v>21</v>
      </c>
      <c r="W123" s="37" t="s">
        <v>20</v>
      </c>
      <c r="X123" s="37" t="s">
        <v>21</v>
      </c>
      <c r="Y123" s="18" t="s">
        <v>21</v>
      </c>
      <c r="Z123" s="18" t="s">
        <v>21</v>
      </c>
      <c r="AA123" s="20" t="s">
        <v>21</v>
      </c>
      <c r="AB123" s="20" t="s">
        <v>21</v>
      </c>
      <c r="AC123" s="20" t="s">
        <v>20</v>
      </c>
      <c r="AD123" s="29" t="s">
        <v>21</v>
      </c>
      <c r="AE123" s="29" t="s">
        <v>21</v>
      </c>
      <c r="AG123">
        <f t="shared" si="9"/>
        <v>0</v>
      </c>
      <c r="AH123">
        <f t="shared" si="10"/>
        <v>11</v>
      </c>
      <c r="AI123">
        <f t="shared" si="11"/>
        <v>14</v>
      </c>
      <c r="AJ123">
        <f t="shared" si="12"/>
        <v>1</v>
      </c>
      <c r="AL123">
        <f t="shared" si="13"/>
        <v>0</v>
      </c>
      <c r="AM123">
        <f t="shared" si="14"/>
        <v>33</v>
      </c>
      <c r="AN123">
        <f t="shared" si="15"/>
        <v>28</v>
      </c>
      <c r="AO123">
        <f t="shared" si="16"/>
        <v>1</v>
      </c>
      <c r="AP123">
        <f t="shared" si="17"/>
        <v>62</v>
      </c>
    </row>
    <row r="124" spans="1:42" ht="15.75" customHeight="1" x14ac:dyDescent="0.3">
      <c r="A124" s="16"/>
      <c r="B124" s="55">
        <v>15</v>
      </c>
      <c r="C124" s="56" t="s">
        <v>142</v>
      </c>
      <c r="D124" s="55">
        <v>3</v>
      </c>
      <c r="E124" s="55" t="s">
        <v>21</v>
      </c>
      <c r="F124" s="18" t="s">
        <v>23</v>
      </c>
      <c r="G124" s="18" t="s">
        <v>23</v>
      </c>
      <c r="H124" s="18" t="s">
        <v>23</v>
      </c>
      <c r="I124" s="18" t="s">
        <v>21</v>
      </c>
      <c r="J124" s="20" t="s">
        <v>21</v>
      </c>
      <c r="K124" s="20" t="s">
        <v>21</v>
      </c>
      <c r="L124" s="20" t="s">
        <v>21</v>
      </c>
      <c r="M124" s="18" t="s">
        <v>21</v>
      </c>
      <c r="N124" s="18" t="s">
        <v>21</v>
      </c>
      <c r="O124" s="18" t="s">
        <v>21</v>
      </c>
      <c r="P124" s="18" t="s">
        <v>23</v>
      </c>
      <c r="Q124" s="18" t="s">
        <v>21</v>
      </c>
      <c r="R124" s="18" t="s">
        <v>21</v>
      </c>
      <c r="S124" s="18" t="s">
        <v>23</v>
      </c>
      <c r="T124" s="18" t="s">
        <v>23</v>
      </c>
      <c r="U124" s="18" t="s">
        <v>20</v>
      </c>
      <c r="V124" s="37" t="s">
        <v>20</v>
      </c>
      <c r="W124" s="37" t="s">
        <v>20</v>
      </c>
      <c r="X124" s="37" t="s">
        <v>21</v>
      </c>
      <c r="Y124" s="18" t="s">
        <v>23</v>
      </c>
      <c r="Z124" s="18" t="s">
        <v>21</v>
      </c>
      <c r="AA124" s="20" t="s">
        <v>21</v>
      </c>
      <c r="AB124" s="20" t="s">
        <v>21</v>
      </c>
      <c r="AC124" s="20" t="s">
        <v>21</v>
      </c>
      <c r="AD124" s="29" t="s">
        <v>23</v>
      </c>
      <c r="AE124" s="29" t="s">
        <v>21</v>
      </c>
      <c r="AG124">
        <f t="shared" si="9"/>
        <v>0</v>
      </c>
      <c r="AH124">
        <f t="shared" si="10"/>
        <v>3</v>
      </c>
      <c r="AI124">
        <f t="shared" si="11"/>
        <v>15</v>
      </c>
      <c r="AJ124">
        <f t="shared" si="12"/>
        <v>8</v>
      </c>
      <c r="AL124">
        <f t="shared" si="13"/>
        <v>0</v>
      </c>
      <c r="AM124">
        <f t="shared" si="14"/>
        <v>9</v>
      </c>
      <c r="AN124">
        <f t="shared" si="15"/>
        <v>30</v>
      </c>
      <c r="AO124">
        <f t="shared" si="16"/>
        <v>8</v>
      </c>
      <c r="AP124">
        <f t="shared" si="17"/>
        <v>47</v>
      </c>
    </row>
    <row r="125" spans="1:42" ht="15.75" customHeight="1" x14ac:dyDescent="0.3">
      <c r="A125" s="16"/>
      <c r="B125" s="55">
        <v>16</v>
      </c>
      <c r="C125" s="56" t="s">
        <v>143</v>
      </c>
      <c r="D125" s="55">
        <v>3</v>
      </c>
      <c r="E125" s="55" t="s">
        <v>21</v>
      </c>
      <c r="F125" s="18" t="s">
        <v>23</v>
      </c>
      <c r="G125" s="18" t="s">
        <v>23</v>
      </c>
      <c r="H125" s="18" t="s">
        <v>21</v>
      </c>
      <c r="I125" s="18" t="s">
        <v>21</v>
      </c>
      <c r="J125" s="20" t="s">
        <v>21</v>
      </c>
      <c r="K125" s="20" t="s">
        <v>21</v>
      </c>
      <c r="L125" s="20" t="s">
        <v>21</v>
      </c>
      <c r="M125" s="18" t="s">
        <v>21</v>
      </c>
      <c r="N125" s="18" t="s">
        <v>20</v>
      </c>
      <c r="O125" s="18" t="s">
        <v>21</v>
      </c>
      <c r="P125" s="18" t="s">
        <v>21</v>
      </c>
      <c r="Q125" s="18" t="s">
        <v>20</v>
      </c>
      <c r="R125" s="18" t="s">
        <v>21</v>
      </c>
      <c r="S125" s="18" t="s">
        <v>23</v>
      </c>
      <c r="T125" s="18" t="s">
        <v>21</v>
      </c>
      <c r="U125" s="18" t="s">
        <v>20</v>
      </c>
      <c r="V125" s="37" t="s">
        <v>21</v>
      </c>
      <c r="W125" s="37" t="s">
        <v>20</v>
      </c>
      <c r="X125" s="37" t="s">
        <v>21</v>
      </c>
      <c r="Y125" s="18" t="s">
        <v>23</v>
      </c>
      <c r="Z125" s="18" t="s">
        <v>21</v>
      </c>
      <c r="AA125" s="20" t="s">
        <v>21</v>
      </c>
      <c r="AB125" s="20" t="s">
        <v>21</v>
      </c>
      <c r="AC125" s="20" t="s">
        <v>21</v>
      </c>
      <c r="AD125" s="29" t="s">
        <v>23</v>
      </c>
      <c r="AE125" s="29" t="s">
        <v>21</v>
      </c>
      <c r="AG125">
        <f t="shared" si="9"/>
        <v>0</v>
      </c>
      <c r="AH125">
        <f t="shared" si="10"/>
        <v>4</v>
      </c>
      <c r="AI125">
        <f t="shared" si="11"/>
        <v>17</v>
      </c>
      <c r="AJ125">
        <f t="shared" si="12"/>
        <v>5</v>
      </c>
      <c r="AL125">
        <f t="shared" si="13"/>
        <v>0</v>
      </c>
      <c r="AM125">
        <f t="shared" si="14"/>
        <v>12</v>
      </c>
      <c r="AN125">
        <f t="shared" si="15"/>
        <v>34</v>
      </c>
      <c r="AO125">
        <f t="shared" si="16"/>
        <v>5</v>
      </c>
      <c r="AP125">
        <f t="shared" si="17"/>
        <v>51</v>
      </c>
    </row>
    <row r="126" spans="1:42" ht="15.75" customHeight="1" x14ac:dyDescent="0.3">
      <c r="A126" s="16"/>
      <c r="B126" s="55">
        <v>17</v>
      </c>
      <c r="C126" s="56" t="s">
        <v>144</v>
      </c>
      <c r="D126" s="55">
        <v>3</v>
      </c>
      <c r="E126" s="55" t="s">
        <v>21</v>
      </c>
      <c r="F126" s="18" t="s">
        <v>21</v>
      </c>
      <c r="G126" s="18" t="s">
        <v>21</v>
      </c>
      <c r="H126" s="18" t="s">
        <v>21</v>
      </c>
      <c r="I126" s="18" t="s">
        <v>21</v>
      </c>
      <c r="J126" s="20" t="s">
        <v>21</v>
      </c>
      <c r="K126" s="20" t="s">
        <v>21</v>
      </c>
      <c r="L126" s="20" t="s">
        <v>21</v>
      </c>
      <c r="M126" s="18" t="s">
        <v>20</v>
      </c>
      <c r="N126" s="18" t="s">
        <v>20</v>
      </c>
      <c r="O126" s="18" t="s">
        <v>20</v>
      </c>
      <c r="P126" s="18" t="s">
        <v>21</v>
      </c>
      <c r="Q126" s="18" t="s">
        <v>21</v>
      </c>
      <c r="R126" s="18" t="s">
        <v>21</v>
      </c>
      <c r="S126" s="18" t="s">
        <v>20</v>
      </c>
      <c r="T126" s="18" t="s">
        <v>20</v>
      </c>
      <c r="U126" s="18" t="s">
        <v>20</v>
      </c>
      <c r="V126" s="37" t="s">
        <v>21</v>
      </c>
      <c r="W126" s="37" t="s">
        <v>20</v>
      </c>
      <c r="X126" s="37" t="s">
        <v>21</v>
      </c>
      <c r="Y126" s="18" t="s">
        <v>20</v>
      </c>
      <c r="Z126" s="18" t="s">
        <v>20</v>
      </c>
      <c r="AA126" s="20" t="s">
        <v>21</v>
      </c>
      <c r="AB126" s="20" t="s">
        <v>20</v>
      </c>
      <c r="AC126" s="20" t="s">
        <v>21</v>
      </c>
      <c r="AD126" s="29" t="s">
        <v>20</v>
      </c>
      <c r="AE126" s="29" t="s">
        <v>21</v>
      </c>
      <c r="AG126">
        <f t="shared" si="9"/>
        <v>0</v>
      </c>
      <c r="AH126">
        <f t="shared" si="10"/>
        <v>11</v>
      </c>
      <c r="AI126">
        <f t="shared" si="11"/>
        <v>15</v>
      </c>
      <c r="AJ126">
        <f t="shared" si="12"/>
        <v>0</v>
      </c>
      <c r="AL126">
        <f t="shared" si="13"/>
        <v>0</v>
      </c>
      <c r="AM126">
        <f t="shared" si="14"/>
        <v>33</v>
      </c>
      <c r="AN126">
        <f t="shared" si="15"/>
        <v>30</v>
      </c>
      <c r="AO126">
        <f t="shared" si="16"/>
        <v>0</v>
      </c>
      <c r="AP126">
        <f t="shared" si="17"/>
        <v>63</v>
      </c>
    </row>
    <row r="127" spans="1:42" ht="15.75" customHeight="1" x14ac:dyDescent="0.3">
      <c r="A127" s="16"/>
      <c r="B127" s="55">
        <v>18</v>
      </c>
      <c r="C127" s="56" t="s">
        <v>145</v>
      </c>
      <c r="D127" s="55">
        <v>3</v>
      </c>
      <c r="E127" s="55" t="s">
        <v>21</v>
      </c>
      <c r="F127" s="18" t="s">
        <v>21</v>
      </c>
      <c r="G127" s="18" t="s">
        <v>21</v>
      </c>
      <c r="H127" s="18" t="s">
        <v>20</v>
      </c>
      <c r="I127" s="18" t="s">
        <v>21</v>
      </c>
      <c r="J127" s="20" t="s">
        <v>20</v>
      </c>
      <c r="K127" s="20" t="s">
        <v>20</v>
      </c>
      <c r="L127" s="20" t="s">
        <v>20</v>
      </c>
      <c r="M127" s="18" t="s">
        <v>21</v>
      </c>
      <c r="N127" s="18" t="s">
        <v>20</v>
      </c>
      <c r="O127" s="18" t="s">
        <v>21</v>
      </c>
      <c r="P127" s="18" t="s">
        <v>21</v>
      </c>
      <c r="Q127" s="18" t="s">
        <v>21</v>
      </c>
      <c r="R127" s="18" t="s">
        <v>20</v>
      </c>
      <c r="S127" s="18" t="s">
        <v>20</v>
      </c>
      <c r="T127" s="18" t="s">
        <v>20</v>
      </c>
      <c r="U127" s="18" t="s">
        <v>20</v>
      </c>
      <c r="V127" s="37" t="s">
        <v>20</v>
      </c>
      <c r="W127" s="37" t="s">
        <v>20</v>
      </c>
      <c r="X127" s="37" t="s">
        <v>20</v>
      </c>
      <c r="Y127" s="18" t="s">
        <v>20</v>
      </c>
      <c r="Z127" s="18" t="s">
        <v>21</v>
      </c>
      <c r="AA127" s="20" t="s">
        <v>20</v>
      </c>
      <c r="AB127" s="20" t="s">
        <v>21</v>
      </c>
      <c r="AC127" s="20" t="s">
        <v>20</v>
      </c>
      <c r="AD127" s="29" t="s">
        <v>20</v>
      </c>
      <c r="AE127" s="29" t="s">
        <v>21</v>
      </c>
      <c r="AG127">
        <f t="shared" si="9"/>
        <v>0</v>
      </c>
      <c r="AH127">
        <f t="shared" si="10"/>
        <v>16</v>
      </c>
      <c r="AI127">
        <f t="shared" si="11"/>
        <v>10</v>
      </c>
      <c r="AJ127">
        <f t="shared" si="12"/>
        <v>0</v>
      </c>
      <c r="AL127">
        <f t="shared" si="13"/>
        <v>0</v>
      </c>
      <c r="AM127">
        <f t="shared" si="14"/>
        <v>48</v>
      </c>
      <c r="AN127">
        <f t="shared" si="15"/>
        <v>20</v>
      </c>
      <c r="AO127">
        <f t="shared" si="16"/>
        <v>0</v>
      </c>
      <c r="AP127">
        <f t="shared" si="17"/>
        <v>68</v>
      </c>
    </row>
    <row r="128" spans="1:42" ht="15.75" customHeight="1" x14ac:dyDescent="0.3">
      <c r="A128" s="16"/>
      <c r="B128" s="55">
        <v>19</v>
      </c>
      <c r="C128" s="56" t="s">
        <v>146</v>
      </c>
      <c r="D128" s="55">
        <v>3</v>
      </c>
      <c r="E128" s="55" t="s">
        <v>21</v>
      </c>
      <c r="F128" s="18" t="s">
        <v>21</v>
      </c>
      <c r="G128" s="18" t="s">
        <v>21</v>
      </c>
      <c r="H128" s="18" t="s">
        <v>21</v>
      </c>
      <c r="I128" s="18" t="s">
        <v>21</v>
      </c>
      <c r="J128" s="20" t="s">
        <v>21</v>
      </c>
      <c r="K128" s="20" t="s">
        <v>21</v>
      </c>
      <c r="L128" s="20" t="s">
        <v>21</v>
      </c>
      <c r="M128" s="18" t="s">
        <v>21</v>
      </c>
      <c r="N128" s="18" t="s">
        <v>20</v>
      </c>
      <c r="O128" s="18" t="s">
        <v>21</v>
      </c>
      <c r="P128" s="18" t="s">
        <v>21</v>
      </c>
      <c r="Q128" s="18" t="s">
        <v>21</v>
      </c>
      <c r="R128" s="18" t="s">
        <v>23</v>
      </c>
      <c r="S128" s="18" t="s">
        <v>21</v>
      </c>
      <c r="T128" s="18" t="s">
        <v>20</v>
      </c>
      <c r="U128" s="18" t="s">
        <v>21</v>
      </c>
      <c r="V128" s="37" t="s">
        <v>21</v>
      </c>
      <c r="W128" s="37" t="s">
        <v>20</v>
      </c>
      <c r="X128" s="37" t="s">
        <v>21</v>
      </c>
      <c r="Y128" s="18" t="s">
        <v>20</v>
      </c>
      <c r="Z128" s="18" t="s">
        <v>20</v>
      </c>
      <c r="AA128" s="20" t="s">
        <v>21</v>
      </c>
      <c r="AB128" s="20" t="s">
        <v>21</v>
      </c>
      <c r="AC128" s="20" t="s">
        <v>23</v>
      </c>
      <c r="AD128" s="29" t="s">
        <v>20</v>
      </c>
      <c r="AE128" s="29" t="s">
        <v>21</v>
      </c>
      <c r="AG128">
        <f t="shared" si="9"/>
        <v>0</v>
      </c>
      <c r="AH128">
        <f t="shared" si="10"/>
        <v>6</v>
      </c>
      <c r="AI128">
        <f t="shared" si="11"/>
        <v>18</v>
      </c>
      <c r="AJ128">
        <f t="shared" si="12"/>
        <v>2</v>
      </c>
      <c r="AL128">
        <f t="shared" si="13"/>
        <v>0</v>
      </c>
      <c r="AM128">
        <f t="shared" si="14"/>
        <v>18</v>
      </c>
      <c r="AN128">
        <f t="shared" si="15"/>
        <v>36</v>
      </c>
      <c r="AO128">
        <f t="shared" si="16"/>
        <v>2</v>
      </c>
      <c r="AP128">
        <f t="shared" si="17"/>
        <v>56</v>
      </c>
    </row>
    <row r="129" spans="1:42" ht="15.75" customHeight="1" x14ac:dyDescent="0.3">
      <c r="A129" s="16"/>
      <c r="B129" s="55">
        <v>20</v>
      </c>
      <c r="C129" s="56" t="s">
        <v>147</v>
      </c>
      <c r="D129" s="55">
        <v>3</v>
      </c>
      <c r="E129" s="55" t="s">
        <v>21</v>
      </c>
      <c r="F129" s="18" t="s">
        <v>20</v>
      </c>
      <c r="G129" s="18" t="s">
        <v>20</v>
      </c>
      <c r="H129" s="18" t="s">
        <v>20</v>
      </c>
      <c r="I129" s="18" t="s">
        <v>20</v>
      </c>
      <c r="J129" s="20" t="s">
        <v>21</v>
      </c>
      <c r="K129" s="20" t="s">
        <v>21</v>
      </c>
      <c r="L129" s="20" t="s">
        <v>21</v>
      </c>
      <c r="M129" s="18" t="s">
        <v>20</v>
      </c>
      <c r="N129" s="18" t="s">
        <v>20</v>
      </c>
      <c r="O129" s="18" t="s">
        <v>20</v>
      </c>
      <c r="P129" s="18" t="s">
        <v>21</v>
      </c>
      <c r="Q129" s="18" t="s">
        <v>20</v>
      </c>
      <c r="R129" s="18" t="s">
        <v>21</v>
      </c>
      <c r="S129" s="18" t="s">
        <v>20</v>
      </c>
      <c r="T129" s="18" t="s">
        <v>20</v>
      </c>
      <c r="U129" s="18" t="s">
        <v>20</v>
      </c>
      <c r="V129" s="37" t="s">
        <v>21</v>
      </c>
      <c r="W129" s="37" t="s">
        <v>20</v>
      </c>
      <c r="X129" s="37" t="s">
        <v>21</v>
      </c>
      <c r="Y129" s="18" t="s">
        <v>21</v>
      </c>
      <c r="Z129" s="18" t="s">
        <v>20</v>
      </c>
      <c r="AA129" s="20" t="s">
        <v>21</v>
      </c>
      <c r="AB129" s="20" t="s">
        <v>21</v>
      </c>
      <c r="AC129" s="20" t="s">
        <v>21</v>
      </c>
      <c r="AD129" s="29" t="s">
        <v>20</v>
      </c>
      <c r="AE129" s="29" t="s">
        <v>21</v>
      </c>
      <c r="AG129">
        <f t="shared" si="9"/>
        <v>0</v>
      </c>
      <c r="AH129">
        <f t="shared" si="10"/>
        <v>14</v>
      </c>
      <c r="AI129">
        <f t="shared" si="11"/>
        <v>12</v>
      </c>
      <c r="AJ129">
        <f t="shared" si="12"/>
        <v>0</v>
      </c>
      <c r="AL129">
        <f t="shared" si="13"/>
        <v>0</v>
      </c>
      <c r="AM129">
        <f t="shared" si="14"/>
        <v>42</v>
      </c>
      <c r="AN129">
        <f t="shared" si="15"/>
        <v>24</v>
      </c>
      <c r="AO129">
        <f t="shared" si="16"/>
        <v>0</v>
      </c>
      <c r="AP129">
        <f t="shared" si="17"/>
        <v>66</v>
      </c>
    </row>
    <row r="130" spans="1:42" ht="15.75" customHeight="1" thickBot="1" x14ac:dyDescent="0.35">
      <c r="A130" s="16"/>
      <c r="B130" s="57">
        <v>21</v>
      </c>
      <c r="C130" s="58" t="s">
        <v>148</v>
      </c>
      <c r="D130" s="57">
        <v>3</v>
      </c>
      <c r="E130" s="57" t="s">
        <v>21</v>
      </c>
      <c r="F130" s="21" t="s">
        <v>20</v>
      </c>
      <c r="G130" s="21" t="s">
        <v>20</v>
      </c>
      <c r="H130" s="21" t="s">
        <v>21</v>
      </c>
      <c r="I130" s="21" t="s">
        <v>20</v>
      </c>
      <c r="J130" s="23" t="s">
        <v>20</v>
      </c>
      <c r="K130" s="23" t="s">
        <v>20</v>
      </c>
      <c r="L130" s="23" t="s">
        <v>21</v>
      </c>
      <c r="M130" s="21" t="s">
        <v>21</v>
      </c>
      <c r="N130" s="21" t="s">
        <v>21</v>
      </c>
      <c r="O130" s="21" t="s">
        <v>21</v>
      </c>
      <c r="P130" s="21" t="s">
        <v>21</v>
      </c>
      <c r="Q130" s="21" t="s">
        <v>21</v>
      </c>
      <c r="R130" s="21" t="s">
        <v>21</v>
      </c>
      <c r="S130" s="21" t="s">
        <v>20</v>
      </c>
      <c r="T130" s="21" t="s">
        <v>20</v>
      </c>
      <c r="U130" s="21" t="s">
        <v>21</v>
      </c>
      <c r="V130" s="38" t="s">
        <v>21</v>
      </c>
      <c r="W130" s="38" t="s">
        <v>21</v>
      </c>
      <c r="X130" s="38" t="s">
        <v>21</v>
      </c>
      <c r="Y130" s="21" t="s">
        <v>20</v>
      </c>
      <c r="Z130" s="21" t="s">
        <v>20</v>
      </c>
      <c r="AA130" s="23" t="s">
        <v>21</v>
      </c>
      <c r="AB130" s="23" t="s">
        <v>21</v>
      </c>
      <c r="AC130" s="23" t="s">
        <v>21</v>
      </c>
      <c r="AD130" s="31" t="s">
        <v>20</v>
      </c>
      <c r="AE130" s="31" t="s">
        <v>21</v>
      </c>
      <c r="AG130">
        <f t="shared" si="9"/>
        <v>0</v>
      </c>
      <c r="AH130">
        <f t="shared" si="10"/>
        <v>10</v>
      </c>
      <c r="AI130">
        <f t="shared" si="11"/>
        <v>16</v>
      </c>
      <c r="AJ130">
        <f t="shared" si="12"/>
        <v>0</v>
      </c>
      <c r="AL130">
        <f t="shared" si="13"/>
        <v>0</v>
      </c>
      <c r="AM130">
        <f t="shared" si="14"/>
        <v>30</v>
      </c>
      <c r="AN130">
        <f t="shared" si="15"/>
        <v>32</v>
      </c>
      <c r="AO130">
        <f t="shared" si="16"/>
        <v>0</v>
      </c>
      <c r="AP130">
        <f t="shared" si="17"/>
        <v>62</v>
      </c>
    </row>
    <row r="131" spans="1:42" ht="15.75" customHeight="1" x14ac:dyDescent="0.3">
      <c r="A131" s="16"/>
      <c r="B131" s="59">
        <v>1</v>
      </c>
      <c r="C131" s="60" t="s">
        <v>149</v>
      </c>
      <c r="D131" s="59">
        <v>4</v>
      </c>
      <c r="E131" s="59" t="s">
        <v>20</v>
      </c>
      <c r="F131" s="24" t="s">
        <v>20</v>
      </c>
      <c r="G131" s="24" t="s">
        <v>20</v>
      </c>
      <c r="H131" s="24" t="s">
        <v>20</v>
      </c>
      <c r="I131" s="24" t="s">
        <v>20</v>
      </c>
      <c r="J131" s="42" t="s">
        <v>20</v>
      </c>
      <c r="K131" s="42" t="s">
        <v>20</v>
      </c>
      <c r="L131" s="42" t="s">
        <v>21</v>
      </c>
      <c r="M131" s="24" t="s">
        <v>20</v>
      </c>
      <c r="N131" s="24" t="s">
        <v>20</v>
      </c>
      <c r="O131" s="24" t="s">
        <v>20</v>
      </c>
      <c r="P131" s="24" t="s">
        <v>20</v>
      </c>
      <c r="Q131" s="24" t="s">
        <v>20</v>
      </c>
      <c r="R131" s="24" t="s">
        <v>20</v>
      </c>
      <c r="S131" s="24" t="s">
        <v>20</v>
      </c>
      <c r="T131" s="24" t="s">
        <v>21</v>
      </c>
      <c r="U131" s="24" t="s">
        <v>21</v>
      </c>
      <c r="V131" s="39" t="s">
        <v>20</v>
      </c>
      <c r="W131" s="39" t="s">
        <v>20</v>
      </c>
      <c r="X131" s="39" t="s">
        <v>20</v>
      </c>
      <c r="Y131" s="24" t="s">
        <v>20</v>
      </c>
      <c r="Z131" s="24" t="s">
        <v>20</v>
      </c>
      <c r="AA131" s="27" t="s">
        <v>21</v>
      </c>
      <c r="AB131" s="27" t="s">
        <v>20</v>
      </c>
      <c r="AC131" s="27" t="s">
        <v>21</v>
      </c>
      <c r="AD131" s="34" t="s">
        <v>21</v>
      </c>
      <c r="AE131" s="34" t="s">
        <v>21</v>
      </c>
      <c r="AG131">
        <f t="shared" si="9"/>
        <v>0</v>
      </c>
      <c r="AH131">
        <f t="shared" si="10"/>
        <v>19</v>
      </c>
      <c r="AI131">
        <f t="shared" si="11"/>
        <v>7</v>
      </c>
      <c r="AJ131">
        <f t="shared" si="12"/>
        <v>0</v>
      </c>
      <c r="AL131">
        <f t="shared" si="13"/>
        <v>0</v>
      </c>
      <c r="AM131">
        <f t="shared" si="14"/>
        <v>57</v>
      </c>
      <c r="AN131">
        <f t="shared" si="15"/>
        <v>14</v>
      </c>
      <c r="AO131">
        <f t="shared" si="16"/>
        <v>0</v>
      </c>
      <c r="AP131">
        <f t="shared" si="17"/>
        <v>71</v>
      </c>
    </row>
    <row r="132" spans="1:42" ht="15.75" customHeight="1" x14ac:dyDescent="0.3">
      <c r="A132" s="16"/>
      <c r="B132" s="55">
        <v>2</v>
      </c>
      <c r="C132" s="56" t="s">
        <v>150</v>
      </c>
      <c r="D132" s="55">
        <v>4</v>
      </c>
      <c r="E132" s="55" t="s">
        <v>20</v>
      </c>
      <c r="F132" s="18" t="s">
        <v>20</v>
      </c>
      <c r="G132" s="18" t="s">
        <v>20</v>
      </c>
      <c r="H132" s="18" t="s">
        <v>20</v>
      </c>
      <c r="I132" s="18" t="s">
        <v>20</v>
      </c>
      <c r="J132" s="43" t="s">
        <v>39</v>
      </c>
      <c r="K132" s="43" t="s">
        <v>20</v>
      </c>
      <c r="L132" s="43" t="s">
        <v>20</v>
      </c>
      <c r="M132" s="18" t="s">
        <v>21</v>
      </c>
      <c r="N132" s="18" t="s">
        <v>20</v>
      </c>
      <c r="O132" s="18" t="s">
        <v>20</v>
      </c>
      <c r="P132" s="18" t="s">
        <v>20</v>
      </c>
      <c r="Q132" s="18" t="s">
        <v>20</v>
      </c>
      <c r="R132" s="18" t="s">
        <v>20</v>
      </c>
      <c r="S132" s="18" t="s">
        <v>20</v>
      </c>
      <c r="T132" s="18" t="s">
        <v>20</v>
      </c>
      <c r="U132" s="18" t="s">
        <v>20</v>
      </c>
      <c r="V132" s="37" t="s">
        <v>20</v>
      </c>
      <c r="W132" s="37" t="s">
        <v>20</v>
      </c>
      <c r="X132" s="37" t="s">
        <v>20</v>
      </c>
      <c r="Y132" s="18" t="s">
        <v>20</v>
      </c>
      <c r="Z132" s="18" t="s">
        <v>21</v>
      </c>
      <c r="AA132" s="20" t="s">
        <v>20</v>
      </c>
      <c r="AB132" s="20" t="s">
        <v>20</v>
      </c>
      <c r="AC132" s="20" t="s">
        <v>21</v>
      </c>
      <c r="AD132" s="29" t="s">
        <v>20</v>
      </c>
      <c r="AE132" s="29" t="s">
        <v>21</v>
      </c>
      <c r="AG132">
        <f t="shared" si="9"/>
        <v>1</v>
      </c>
      <c r="AH132">
        <f t="shared" si="10"/>
        <v>21</v>
      </c>
      <c r="AI132">
        <f t="shared" si="11"/>
        <v>4</v>
      </c>
      <c r="AJ132">
        <f t="shared" si="12"/>
        <v>0</v>
      </c>
      <c r="AL132">
        <f t="shared" si="13"/>
        <v>4</v>
      </c>
      <c r="AM132">
        <f t="shared" si="14"/>
        <v>63</v>
      </c>
      <c r="AN132">
        <f t="shared" si="15"/>
        <v>8</v>
      </c>
      <c r="AO132">
        <f t="shared" si="16"/>
        <v>0</v>
      </c>
      <c r="AP132">
        <f t="shared" si="17"/>
        <v>75</v>
      </c>
    </row>
    <row r="133" spans="1:42" ht="15.75" customHeight="1" x14ac:dyDescent="0.3">
      <c r="A133" s="16"/>
      <c r="B133" s="55">
        <v>3</v>
      </c>
      <c r="C133" s="56" t="s">
        <v>151</v>
      </c>
      <c r="D133" s="55">
        <v>4</v>
      </c>
      <c r="E133" s="55" t="s">
        <v>20</v>
      </c>
      <c r="F133" s="18" t="s">
        <v>23</v>
      </c>
      <c r="G133" s="18" t="s">
        <v>21</v>
      </c>
      <c r="H133" s="18" t="s">
        <v>23</v>
      </c>
      <c r="I133" s="18" t="s">
        <v>21</v>
      </c>
      <c r="J133" s="43" t="s">
        <v>21</v>
      </c>
      <c r="K133" s="43" t="s">
        <v>21</v>
      </c>
      <c r="L133" s="43" t="s">
        <v>21</v>
      </c>
      <c r="M133" s="18" t="s">
        <v>21</v>
      </c>
      <c r="N133" s="18" t="s">
        <v>20</v>
      </c>
      <c r="O133" s="18" t="s">
        <v>20</v>
      </c>
      <c r="P133" s="18" t="s">
        <v>21</v>
      </c>
      <c r="Q133" s="18" t="s">
        <v>21</v>
      </c>
      <c r="R133" s="18" t="s">
        <v>21</v>
      </c>
      <c r="S133" s="18" t="s">
        <v>20</v>
      </c>
      <c r="T133" s="18" t="s">
        <v>20</v>
      </c>
      <c r="U133" s="18" t="s">
        <v>21</v>
      </c>
      <c r="V133" s="37" t="s">
        <v>20</v>
      </c>
      <c r="W133" s="46" t="s">
        <v>21</v>
      </c>
      <c r="X133" s="37" t="s">
        <v>20</v>
      </c>
      <c r="Y133" s="18" t="s">
        <v>21</v>
      </c>
      <c r="Z133" s="18" t="s">
        <v>23</v>
      </c>
      <c r="AA133" s="20" t="s">
        <v>21</v>
      </c>
      <c r="AB133" s="20" t="s">
        <v>21</v>
      </c>
      <c r="AC133" s="20" t="s">
        <v>21</v>
      </c>
      <c r="AD133" s="29" t="s">
        <v>21</v>
      </c>
      <c r="AE133" s="29" t="s">
        <v>21</v>
      </c>
      <c r="AG133">
        <f t="shared" si="9"/>
        <v>0</v>
      </c>
      <c r="AH133">
        <f t="shared" si="10"/>
        <v>6</v>
      </c>
      <c r="AI133">
        <f t="shared" si="11"/>
        <v>17</v>
      </c>
      <c r="AJ133">
        <f t="shared" si="12"/>
        <v>3</v>
      </c>
      <c r="AL133">
        <f t="shared" si="13"/>
        <v>0</v>
      </c>
      <c r="AM133">
        <f t="shared" si="14"/>
        <v>18</v>
      </c>
      <c r="AN133">
        <f t="shared" si="15"/>
        <v>34</v>
      </c>
      <c r="AO133">
        <f t="shared" si="16"/>
        <v>3</v>
      </c>
      <c r="AP133">
        <f t="shared" si="17"/>
        <v>55</v>
      </c>
    </row>
    <row r="134" spans="1:42" ht="15.75" customHeight="1" x14ac:dyDescent="0.3">
      <c r="A134" s="16"/>
      <c r="B134" s="55">
        <v>4</v>
      </c>
      <c r="C134" s="56" t="s">
        <v>152</v>
      </c>
      <c r="D134" s="55">
        <v>4</v>
      </c>
      <c r="E134" s="55" t="s">
        <v>20</v>
      </c>
      <c r="F134" s="18" t="s">
        <v>21</v>
      </c>
      <c r="G134" s="18" t="s">
        <v>20</v>
      </c>
      <c r="H134" s="18" t="s">
        <v>21</v>
      </c>
      <c r="I134" s="18" t="s">
        <v>20</v>
      </c>
      <c r="J134" s="43" t="s">
        <v>20</v>
      </c>
      <c r="K134" s="43" t="s">
        <v>20</v>
      </c>
      <c r="L134" s="43" t="s">
        <v>21</v>
      </c>
      <c r="M134" s="18" t="s">
        <v>20</v>
      </c>
      <c r="N134" s="18" t="s">
        <v>20</v>
      </c>
      <c r="O134" s="18" t="s">
        <v>20</v>
      </c>
      <c r="P134" s="18" t="s">
        <v>21</v>
      </c>
      <c r="Q134" s="18" t="s">
        <v>21</v>
      </c>
      <c r="R134" s="18" t="s">
        <v>21</v>
      </c>
      <c r="S134" s="18" t="s">
        <v>20</v>
      </c>
      <c r="T134" s="18" t="s">
        <v>20</v>
      </c>
      <c r="U134" s="18" t="s">
        <v>21</v>
      </c>
      <c r="V134" s="37" t="s">
        <v>20</v>
      </c>
      <c r="W134" s="37" t="s">
        <v>20</v>
      </c>
      <c r="X134" s="37" t="s">
        <v>20</v>
      </c>
      <c r="Y134" s="18" t="s">
        <v>20</v>
      </c>
      <c r="Z134" s="18" t="s">
        <v>20</v>
      </c>
      <c r="AA134" s="20" t="s">
        <v>21</v>
      </c>
      <c r="AB134" s="20" t="s">
        <v>21</v>
      </c>
      <c r="AC134" s="20" t="s">
        <v>20</v>
      </c>
      <c r="AD134" s="47" t="s">
        <v>20</v>
      </c>
      <c r="AE134" s="47" t="s">
        <v>21</v>
      </c>
      <c r="AG134">
        <f t="shared" si="9"/>
        <v>0</v>
      </c>
      <c r="AH134">
        <f t="shared" si="10"/>
        <v>16</v>
      </c>
      <c r="AI134">
        <f t="shared" si="11"/>
        <v>10</v>
      </c>
      <c r="AJ134">
        <f t="shared" si="12"/>
        <v>0</v>
      </c>
      <c r="AL134">
        <f t="shared" si="13"/>
        <v>0</v>
      </c>
      <c r="AM134">
        <f t="shared" si="14"/>
        <v>48</v>
      </c>
      <c r="AN134">
        <f t="shared" si="15"/>
        <v>20</v>
      </c>
      <c r="AO134">
        <f t="shared" si="16"/>
        <v>0</v>
      </c>
      <c r="AP134">
        <f t="shared" si="17"/>
        <v>68</v>
      </c>
    </row>
    <row r="135" spans="1:42" ht="15.75" customHeight="1" x14ac:dyDescent="0.3">
      <c r="A135" s="16"/>
      <c r="B135" s="55">
        <v>5</v>
      </c>
      <c r="C135" s="56" t="s">
        <v>153</v>
      </c>
      <c r="D135" s="55">
        <v>4</v>
      </c>
      <c r="E135" s="55" t="s">
        <v>20</v>
      </c>
      <c r="F135" s="18" t="s">
        <v>20</v>
      </c>
      <c r="G135" s="18" t="s">
        <v>21</v>
      </c>
      <c r="H135" s="18" t="s">
        <v>21</v>
      </c>
      <c r="I135" s="18" t="s">
        <v>20</v>
      </c>
      <c r="J135" s="43" t="s">
        <v>20</v>
      </c>
      <c r="K135" s="43" t="s">
        <v>20</v>
      </c>
      <c r="L135" s="43" t="s">
        <v>21</v>
      </c>
      <c r="M135" s="18" t="s">
        <v>21</v>
      </c>
      <c r="N135" s="18" t="s">
        <v>20</v>
      </c>
      <c r="O135" s="18" t="s">
        <v>20</v>
      </c>
      <c r="P135" s="18" t="s">
        <v>20</v>
      </c>
      <c r="Q135" s="18" t="s">
        <v>20</v>
      </c>
      <c r="R135" s="18" t="s">
        <v>20</v>
      </c>
      <c r="S135" s="18" t="s">
        <v>20</v>
      </c>
      <c r="T135" s="18" t="s">
        <v>20</v>
      </c>
      <c r="U135" s="18" t="s">
        <v>21</v>
      </c>
      <c r="V135" s="37" t="s">
        <v>20</v>
      </c>
      <c r="W135" s="37" t="s">
        <v>20</v>
      </c>
      <c r="X135" s="37" t="s">
        <v>20</v>
      </c>
      <c r="Y135" s="18" t="s">
        <v>20</v>
      </c>
      <c r="Z135" s="18" t="s">
        <v>21</v>
      </c>
      <c r="AA135" s="20" t="s">
        <v>21</v>
      </c>
      <c r="AB135" s="20" t="s">
        <v>20</v>
      </c>
      <c r="AC135" s="20" t="s">
        <v>20</v>
      </c>
      <c r="AD135" s="29" t="s">
        <v>23</v>
      </c>
      <c r="AE135" s="29" t="s">
        <v>21</v>
      </c>
      <c r="AG135">
        <f t="shared" ref="AG135:AG198" si="18">+COUNTIF(F135:AE135,"AD")</f>
        <v>0</v>
      </c>
      <c r="AH135">
        <f t="shared" ref="AH135:AH198" si="19">+COUNTIF(F135:AE135,"A")</f>
        <v>17</v>
      </c>
      <c r="AI135">
        <f t="shared" ref="AI135:AI198" si="20">+COUNTIF(F135:AE135,"b")</f>
        <v>8</v>
      </c>
      <c r="AJ135">
        <f t="shared" ref="AJ135:AJ198" si="21">+COUNTIF(F135:AE135,"c")</f>
        <v>1</v>
      </c>
      <c r="AL135">
        <f t="shared" ref="AL135:AL198" si="22">+$AG$5*AG135</f>
        <v>0</v>
      </c>
      <c r="AM135">
        <f t="shared" ref="AM135:AM198" si="23">+$AH$5*AH135</f>
        <v>51</v>
      </c>
      <c r="AN135">
        <f t="shared" ref="AN135:AN198" si="24">+$AI$5*AI135</f>
        <v>16</v>
      </c>
      <c r="AO135">
        <f t="shared" ref="AO135:AO198" si="25">+$AJ$5*AJ135</f>
        <v>1</v>
      </c>
      <c r="AP135">
        <f t="shared" ref="AP135:AP198" si="26">+SUM(AL135:AO135)</f>
        <v>68</v>
      </c>
    </row>
    <row r="136" spans="1:42" ht="15.75" customHeight="1" x14ac:dyDescent="0.3">
      <c r="A136" s="16"/>
      <c r="B136" s="55">
        <v>6</v>
      </c>
      <c r="C136" s="56" t="s">
        <v>154</v>
      </c>
      <c r="D136" s="55">
        <v>4</v>
      </c>
      <c r="E136" s="55" t="s">
        <v>20</v>
      </c>
      <c r="F136" s="18" t="s">
        <v>20</v>
      </c>
      <c r="G136" s="18" t="s">
        <v>21</v>
      </c>
      <c r="H136" s="18" t="s">
        <v>21</v>
      </c>
      <c r="I136" s="18" t="s">
        <v>20</v>
      </c>
      <c r="J136" s="43" t="s">
        <v>20</v>
      </c>
      <c r="K136" s="43" t="s">
        <v>20</v>
      </c>
      <c r="L136" s="43" t="s">
        <v>20</v>
      </c>
      <c r="M136" s="18" t="s">
        <v>20</v>
      </c>
      <c r="N136" s="18" t="s">
        <v>20</v>
      </c>
      <c r="O136" s="18" t="s">
        <v>20</v>
      </c>
      <c r="P136" s="18" t="s">
        <v>20</v>
      </c>
      <c r="Q136" s="18" t="s">
        <v>21</v>
      </c>
      <c r="R136" s="18" t="s">
        <v>20</v>
      </c>
      <c r="S136" s="18" t="s">
        <v>20</v>
      </c>
      <c r="T136" s="18" t="s">
        <v>20</v>
      </c>
      <c r="U136" s="18" t="s">
        <v>20</v>
      </c>
      <c r="V136" s="37" t="s">
        <v>20</v>
      </c>
      <c r="W136" s="37" t="s">
        <v>20</v>
      </c>
      <c r="X136" s="37" t="s">
        <v>20</v>
      </c>
      <c r="Y136" s="18" t="s">
        <v>20</v>
      </c>
      <c r="Z136" s="18" t="s">
        <v>20</v>
      </c>
      <c r="AA136" s="20" t="s">
        <v>20</v>
      </c>
      <c r="AB136" s="20" t="s">
        <v>20</v>
      </c>
      <c r="AC136" s="20" t="s">
        <v>20</v>
      </c>
      <c r="AD136" s="29" t="s">
        <v>20</v>
      </c>
      <c r="AE136" s="29" t="s">
        <v>21</v>
      </c>
      <c r="AG136">
        <f t="shared" si="18"/>
        <v>0</v>
      </c>
      <c r="AH136">
        <f t="shared" si="19"/>
        <v>22</v>
      </c>
      <c r="AI136">
        <f t="shared" si="20"/>
        <v>4</v>
      </c>
      <c r="AJ136">
        <f t="shared" si="21"/>
        <v>0</v>
      </c>
      <c r="AL136">
        <f t="shared" si="22"/>
        <v>0</v>
      </c>
      <c r="AM136">
        <f t="shared" si="23"/>
        <v>66</v>
      </c>
      <c r="AN136">
        <f t="shared" si="24"/>
        <v>8</v>
      </c>
      <c r="AO136">
        <f t="shared" si="25"/>
        <v>0</v>
      </c>
      <c r="AP136">
        <f t="shared" si="26"/>
        <v>74</v>
      </c>
    </row>
    <row r="137" spans="1:42" ht="15.75" customHeight="1" x14ac:dyDescent="0.3">
      <c r="A137" s="16"/>
      <c r="B137" s="55">
        <v>7</v>
      </c>
      <c r="C137" s="56" t="s">
        <v>155</v>
      </c>
      <c r="D137" s="55">
        <v>4</v>
      </c>
      <c r="E137" s="55" t="s">
        <v>20</v>
      </c>
      <c r="F137" s="18" t="s">
        <v>21</v>
      </c>
      <c r="G137" s="18" t="s">
        <v>21</v>
      </c>
      <c r="H137" s="18" t="s">
        <v>23</v>
      </c>
      <c r="I137" s="18" t="s">
        <v>23</v>
      </c>
      <c r="J137" s="43" t="s">
        <v>20</v>
      </c>
      <c r="K137" s="43" t="s">
        <v>20</v>
      </c>
      <c r="L137" s="43" t="s">
        <v>20</v>
      </c>
      <c r="M137" s="18" t="s">
        <v>20</v>
      </c>
      <c r="N137" s="18" t="s">
        <v>21</v>
      </c>
      <c r="O137" s="18" t="s">
        <v>21</v>
      </c>
      <c r="P137" s="18" t="s">
        <v>23</v>
      </c>
      <c r="Q137" s="18" t="s">
        <v>21</v>
      </c>
      <c r="R137" s="18" t="s">
        <v>23</v>
      </c>
      <c r="S137" s="18" t="s">
        <v>21</v>
      </c>
      <c r="T137" s="18" t="s">
        <v>20</v>
      </c>
      <c r="U137" s="18" t="s">
        <v>21</v>
      </c>
      <c r="V137" s="37" t="s">
        <v>20</v>
      </c>
      <c r="W137" s="37" t="s">
        <v>21</v>
      </c>
      <c r="X137" s="37" t="s">
        <v>20</v>
      </c>
      <c r="Y137" s="18" t="s">
        <v>21</v>
      </c>
      <c r="Z137" s="18" t="s">
        <v>20</v>
      </c>
      <c r="AA137" s="20" t="s">
        <v>21</v>
      </c>
      <c r="AB137" s="20" t="s">
        <v>21</v>
      </c>
      <c r="AC137" s="20" t="s">
        <v>21</v>
      </c>
      <c r="AD137" s="29" t="s">
        <v>55</v>
      </c>
      <c r="AE137" s="29" t="s">
        <v>55</v>
      </c>
      <c r="AG137">
        <f t="shared" si="18"/>
        <v>0</v>
      </c>
      <c r="AH137">
        <f t="shared" si="19"/>
        <v>8</v>
      </c>
      <c r="AI137">
        <f t="shared" si="20"/>
        <v>12</v>
      </c>
      <c r="AJ137">
        <f t="shared" si="21"/>
        <v>4</v>
      </c>
      <c r="AL137">
        <f t="shared" si="22"/>
        <v>0</v>
      </c>
      <c r="AM137">
        <f t="shared" si="23"/>
        <v>24</v>
      </c>
      <c r="AN137">
        <f t="shared" si="24"/>
        <v>24</v>
      </c>
      <c r="AO137">
        <f t="shared" si="25"/>
        <v>4</v>
      </c>
      <c r="AP137">
        <f t="shared" si="26"/>
        <v>52</v>
      </c>
    </row>
    <row r="138" spans="1:42" ht="15.75" customHeight="1" x14ac:dyDescent="0.3">
      <c r="A138" s="16"/>
      <c r="B138" s="55">
        <v>8</v>
      </c>
      <c r="C138" s="56" t="s">
        <v>156</v>
      </c>
      <c r="D138" s="55">
        <v>4</v>
      </c>
      <c r="E138" s="55" t="s">
        <v>20</v>
      </c>
      <c r="F138" s="18" t="s">
        <v>20</v>
      </c>
      <c r="G138" s="18" t="s">
        <v>20</v>
      </c>
      <c r="H138" s="18" t="s">
        <v>20</v>
      </c>
      <c r="I138" s="18" t="s">
        <v>20</v>
      </c>
      <c r="J138" s="43" t="s">
        <v>39</v>
      </c>
      <c r="K138" s="43" t="s">
        <v>20</v>
      </c>
      <c r="L138" s="43" t="s">
        <v>20</v>
      </c>
      <c r="M138" s="18" t="s">
        <v>20</v>
      </c>
      <c r="N138" s="18" t="s">
        <v>20</v>
      </c>
      <c r="O138" s="18" t="s">
        <v>20</v>
      </c>
      <c r="P138" s="18" t="s">
        <v>20</v>
      </c>
      <c r="Q138" s="18" t="s">
        <v>20</v>
      </c>
      <c r="R138" s="18" t="s">
        <v>20</v>
      </c>
      <c r="S138" s="18" t="s">
        <v>20</v>
      </c>
      <c r="T138" s="18" t="s">
        <v>20</v>
      </c>
      <c r="U138" s="18" t="s">
        <v>21</v>
      </c>
      <c r="V138" s="37" t="s">
        <v>20</v>
      </c>
      <c r="W138" s="37" t="s">
        <v>20</v>
      </c>
      <c r="X138" s="37" t="s">
        <v>20</v>
      </c>
      <c r="Y138" s="18" t="s">
        <v>20</v>
      </c>
      <c r="Z138" s="18" t="s">
        <v>20</v>
      </c>
      <c r="AA138" s="20" t="s">
        <v>20</v>
      </c>
      <c r="AB138" s="20" t="s">
        <v>20</v>
      </c>
      <c r="AC138" s="20" t="s">
        <v>20</v>
      </c>
      <c r="AD138" s="29" t="s">
        <v>20</v>
      </c>
      <c r="AE138" s="29" t="s">
        <v>21</v>
      </c>
      <c r="AG138">
        <f t="shared" si="18"/>
        <v>1</v>
      </c>
      <c r="AH138">
        <f t="shared" si="19"/>
        <v>23</v>
      </c>
      <c r="AI138">
        <f t="shared" si="20"/>
        <v>2</v>
      </c>
      <c r="AJ138">
        <f t="shared" si="21"/>
        <v>0</v>
      </c>
      <c r="AL138">
        <f t="shared" si="22"/>
        <v>4</v>
      </c>
      <c r="AM138">
        <f t="shared" si="23"/>
        <v>69</v>
      </c>
      <c r="AN138">
        <f t="shared" si="24"/>
        <v>4</v>
      </c>
      <c r="AO138">
        <f t="shared" si="25"/>
        <v>0</v>
      </c>
      <c r="AP138">
        <f t="shared" si="26"/>
        <v>77</v>
      </c>
    </row>
    <row r="139" spans="1:42" ht="15.75" customHeight="1" x14ac:dyDescent="0.3">
      <c r="A139" s="16"/>
      <c r="B139" s="55">
        <v>9</v>
      </c>
      <c r="C139" s="56" t="s">
        <v>157</v>
      </c>
      <c r="D139" s="55">
        <v>4</v>
      </c>
      <c r="E139" s="55" t="s">
        <v>20</v>
      </c>
      <c r="F139" s="18" t="s">
        <v>23</v>
      </c>
      <c r="G139" s="18" t="s">
        <v>21</v>
      </c>
      <c r="H139" s="18" t="s">
        <v>21</v>
      </c>
      <c r="I139" s="18" t="s">
        <v>21</v>
      </c>
      <c r="J139" s="43" t="s">
        <v>20</v>
      </c>
      <c r="K139" s="43" t="s">
        <v>20</v>
      </c>
      <c r="L139" s="43" t="s">
        <v>21</v>
      </c>
      <c r="M139" s="18" t="s">
        <v>20</v>
      </c>
      <c r="N139" s="18" t="s">
        <v>20</v>
      </c>
      <c r="O139" s="18" t="s">
        <v>20</v>
      </c>
      <c r="P139" s="18" t="s">
        <v>20</v>
      </c>
      <c r="Q139" s="18" t="s">
        <v>20</v>
      </c>
      <c r="R139" s="18" t="s">
        <v>20</v>
      </c>
      <c r="S139" s="18" t="s">
        <v>20</v>
      </c>
      <c r="T139" s="18" t="s">
        <v>20</v>
      </c>
      <c r="U139" s="18" t="s">
        <v>21</v>
      </c>
      <c r="V139" s="37" t="s">
        <v>20</v>
      </c>
      <c r="W139" s="37" t="s">
        <v>20</v>
      </c>
      <c r="X139" s="37" t="s">
        <v>20</v>
      </c>
      <c r="Y139" s="18" t="s">
        <v>20</v>
      </c>
      <c r="Z139" s="18" t="s">
        <v>21</v>
      </c>
      <c r="AA139" s="20" t="s">
        <v>21</v>
      </c>
      <c r="AB139" s="20" t="s">
        <v>21</v>
      </c>
      <c r="AC139" s="20" t="s">
        <v>23</v>
      </c>
      <c r="AD139" s="18" t="s">
        <v>20</v>
      </c>
      <c r="AE139" s="18" t="s">
        <v>21</v>
      </c>
      <c r="AG139">
        <f t="shared" si="18"/>
        <v>0</v>
      </c>
      <c r="AH139">
        <f t="shared" si="19"/>
        <v>15</v>
      </c>
      <c r="AI139">
        <f t="shared" si="20"/>
        <v>9</v>
      </c>
      <c r="AJ139">
        <f t="shared" si="21"/>
        <v>2</v>
      </c>
      <c r="AL139">
        <f t="shared" si="22"/>
        <v>0</v>
      </c>
      <c r="AM139">
        <f t="shared" si="23"/>
        <v>45</v>
      </c>
      <c r="AN139">
        <f t="shared" si="24"/>
        <v>18</v>
      </c>
      <c r="AO139">
        <f t="shared" si="25"/>
        <v>2</v>
      </c>
      <c r="AP139">
        <f t="shared" si="26"/>
        <v>65</v>
      </c>
    </row>
    <row r="140" spans="1:42" ht="15.75" customHeight="1" x14ac:dyDescent="0.3">
      <c r="A140" s="16"/>
      <c r="B140" s="55">
        <v>10</v>
      </c>
      <c r="C140" s="56" t="s">
        <v>158</v>
      </c>
      <c r="D140" s="55">
        <v>4</v>
      </c>
      <c r="E140" s="55" t="s">
        <v>20</v>
      </c>
      <c r="F140" s="18" t="s">
        <v>21</v>
      </c>
      <c r="G140" s="18" t="s">
        <v>23</v>
      </c>
      <c r="H140" s="18" t="s">
        <v>21</v>
      </c>
      <c r="I140" s="18" t="s">
        <v>23</v>
      </c>
      <c r="J140" s="43" t="s">
        <v>20</v>
      </c>
      <c r="K140" s="43" t="s">
        <v>21</v>
      </c>
      <c r="L140" s="43" t="s">
        <v>21</v>
      </c>
      <c r="M140" s="18" t="s">
        <v>21</v>
      </c>
      <c r="N140" s="18" t="s">
        <v>21</v>
      </c>
      <c r="O140" s="18" t="s">
        <v>20</v>
      </c>
      <c r="P140" s="18" t="s">
        <v>21</v>
      </c>
      <c r="Q140" s="18" t="s">
        <v>21</v>
      </c>
      <c r="R140" s="18" t="s">
        <v>21</v>
      </c>
      <c r="S140" s="18" t="s">
        <v>21</v>
      </c>
      <c r="T140" s="18" t="s">
        <v>20</v>
      </c>
      <c r="U140" s="18" t="s">
        <v>20</v>
      </c>
      <c r="V140" s="37" t="s">
        <v>20</v>
      </c>
      <c r="W140" s="37" t="s">
        <v>20</v>
      </c>
      <c r="X140" s="37" t="s">
        <v>20</v>
      </c>
      <c r="Y140" s="18" t="s">
        <v>20</v>
      </c>
      <c r="Z140" s="18" t="s">
        <v>21</v>
      </c>
      <c r="AA140" s="20" t="s">
        <v>20</v>
      </c>
      <c r="AB140" s="20" t="s">
        <v>20</v>
      </c>
      <c r="AC140" s="20" t="s">
        <v>20</v>
      </c>
      <c r="AD140" s="18" t="s">
        <v>23</v>
      </c>
      <c r="AE140" s="18" t="s">
        <v>21</v>
      </c>
      <c r="AG140">
        <f t="shared" si="18"/>
        <v>0</v>
      </c>
      <c r="AH140">
        <f t="shared" si="19"/>
        <v>11</v>
      </c>
      <c r="AI140">
        <f t="shared" si="20"/>
        <v>12</v>
      </c>
      <c r="AJ140">
        <f t="shared" si="21"/>
        <v>3</v>
      </c>
      <c r="AL140">
        <f t="shared" si="22"/>
        <v>0</v>
      </c>
      <c r="AM140">
        <f t="shared" si="23"/>
        <v>33</v>
      </c>
      <c r="AN140">
        <f t="shared" si="24"/>
        <v>24</v>
      </c>
      <c r="AO140">
        <f t="shared" si="25"/>
        <v>3</v>
      </c>
      <c r="AP140">
        <f t="shared" si="26"/>
        <v>60</v>
      </c>
    </row>
    <row r="141" spans="1:42" ht="15.75" customHeight="1" x14ac:dyDescent="0.3">
      <c r="A141" s="16"/>
      <c r="B141" s="55">
        <v>11</v>
      </c>
      <c r="C141" s="56" t="s">
        <v>159</v>
      </c>
      <c r="D141" s="55">
        <v>4</v>
      </c>
      <c r="E141" s="55" t="s">
        <v>20</v>
      </c>
      <c r="F141" s="18" t="s">
        <v>23</v>
      </c>
      <c r="G141" s="18" t="s">
        <v>23</v>
      </c>
      <c r="H141" s="18" t="s">
        <v>23</v>
      </c>
      <c r="I141" s="18" t="s">
        <v>21</v>
      </c>
      <c r="J141" s="43" t="s">
        <v>20</v>
      </c>
      <c r="K141" s="43" t="s">
        <v>21</v>
      </c>
      <c r="L141" s="43" t="s">
        <v>21</v>
      </c>
      <c r="M141" s="18" t="s">
        <v>21</v>
      </c>
      <c r="N141" s="18" t="s">
        <v>21</v>
      </c>
      <c r="O141" s="18" t="s">
        <v>21</v>
      </c>
      <c r="P141" s="18" t="s">
        <v>21</v>
      </c>
      <c r="Q141" s="18" t="s">
        <v>21</v>
      </c>
      <c r="R141" s="18" t="s">
        <v>21</v>
      </c>
      <c r="S141" s="18" t="s">
        <v>20</v>
      </c>
      <c r="T141" s="18" t="s">
        <v>21</v>
      </c>
      <c r="U141" s="18" t="s">
        <v>20</v>
      </c>
      <c r="V141" s="37" t="s">
        <v>20</v>
      </c>
      <c r="W141" s="37" t="s">
        <v>20</v>
      </c>
      <c r="X141" s="37" t="s">
        <v>20</v>
      </c>
      <c r="Y141" s="18" t="s">
        <v>21</v>
      </c>
      <c r="Z141" s="18" t="s">
        <v>21</v>
      </c>
      <c r="AA141" s="20" t="s">
        <v>21</v>
      </c>
      <c r="AB141" s="20" t="s">
        <v>21</v>
      </c>
      <c r="AC141" s="20" t="s">
        <v>23</v>
      </c>
      <c r="AD141" s="18" t="s">
        <v>23</v>
      </c>
      <c r="AE141" s="18" t="s">
        <v>21</v>
      </c>
      <c r="AG141">
        <f t="shared" si="18"/>
        <v>0</v>
      </c>
      <c r="AH141">
        <f t="shared" si="19"/>
        <v>6</v>
      </c>
      <c r="AI141">
        <f t="shared" si="20"/>
        <v>15</v>
      </c>
      <c r="AJ141">
        <f t="shared" si="21"/>
        <v>5</v>
      </c>
      <c r="AL141">
        <f t="shared" si="22"/>
        <v>0</v>
      </c>
      <c r="AM141">
        <f t="shared" si="23"/>
        <v>18</v>
      </c>
      <c r="AN141">
        <f t="shared" si="24"/>
        <v>30</v>
      </c>
      <c r="AO141">
        <f t="shared" si="25"/>
        <v>5</v>
      </c>
      <c r="AP141">
        <f t="shared" si="26"/>
        <v>53</v>
      </c>
    </row>
    <row r="142" spans="1:42" ht="15.75" customHeight="1" x14ac:dyDescent="0.3">
      <c r="A142" s="16"/>
      <c r="B142" s="55">
        <v>12</v>
      </c>
      <c r="C142" s="56" t="s">
        <v>160</v>
      </c>
      <c r="D142" s="55">
        <v>4</v>
      </c>
      <c r="E142" s="55" t="s">
        <v>20</v>
      </c>
      <c r="F142" s="18" t="s">
        <v>23</v>
      </c>
      <c r="G142" s="18" t="s">
        <v>23</v>
      </c>
      <c r="H142" s="18" t="s">
        <v>23</v>
      </c>
      <c r="I142" s="18" t="s">
        <v>21</v>
      </c>
      <c r="J142" s="43" t="s">
        <v>21</v>
      </c>
      <c r="K142" s="43" t="s">
        <v>21</v>
      </c>
      <c r="L142" s="43" t="s">
        <v>21</v>
      </c>
      <c r="M142" s="18" t="s">
        <v>21</v>
      </c>
      <c r="N142" s="18" t="s">
        <v>20</v>
      </c>
      <c r="O142" s="18" t="s">
        <v>21</v>
      </c>
      <c r="P142" s="18" t="s">
        <v>21</v>
      </c>
      <c r="Q142" s="18" t="s">
        <v>21</v>
      </c>
      <c r="R142" s="18" t="s">
        <v>21</v>
      </c>
      <c r="S142" s="18" t="s">
        <v>21</v>
      </c>
      <c r="T142" s="18" t="s">
        <v>21</v>
      </c>
      <c r="U142" s="18" t="s">
        <v>21</v>
      </c>
      <c r="V142" s="37" t="s">
        <v>20</v>
      </c>
      <c r="W142" s="37" t="s">
        <v>20</v>
      </c>
      <c r="X142" s="37" t="s">
        <v>21</v>
      </c>
      <c r="Y142" s="18" t="s">
        <v>21</v>
      </c>
      <c r="Z142" s="18" t="s">
        <v>21</v>
      </c>
      <c r="AA142" s="20" t="s">
        <v>21</v>
      </c>
      <c r="AB142" s="20" t="s">
        <v>21</v>
      </c>
      <c r="AC142" s="20" t="s">
        <v>23</v>
      </c>
      <c r="AD142" s="18" t="s">
        <v>23</v>
      </c>
      <c r="AE142" s="18" t="s">
        <v>21</v>
      </c>
      <c r="AG142">
        <f t="shared" si="18"/>
        <v>0</v>
      </c>
      <c r="AH142">
        <f t="shared" si="19"/>
        <v>3</v>
      </c>
      <c r="AI142">
        <f t="shared" si="20"/>
        <v>18</v>
      </c>
      <c r="AJ142">
        <f t="shared" si="21"/>
        <v>5</v>
      </c>
      <c r="AL142">
        <f t="shared" si="22"/>
        <v>0</v>
      </c>
      <c r="AM142">
        <f t="shared" si="23"/>
        <v>9</v>
      </c>
      <c r="AN142">
        <f t="shared" si="24"/>
        <v>36</v>
      </c>
      <c r="AO142">
        <f t="shared" si="25"/>
        <v>5</v>
      </c>
      <c r="AP142">
        <f t="shared" si="26"/>
        <v>50</v>
      </c>
    </row>
    <row r="143" spans="1:42" ht="15.75" customHeight="1" x14ac:dyDescent="0.3">
      <c r="A143" s="16"/>
      <c r="B143" s="55">
        <v>13</v>
      </c>
      <c r="C143" s="56" t="s">
        <v>161</v>
      </c>
      <c r="D143" s="55">
        <v>4</v>
      </c>
      <c r="E143" s="55" t="s">
        <v>20</v>
      </c>
      <c r="F143" s="18" t="s">
        <v>21</v>
      </c>
      <c r="G143" s="18" t="s">
        <v>21</v>
      </c>
      <c r="H143" s="18" t="s">
        <v>21</v>
      </c>
      <c r="I143" s="18" t="s">
        <v>21</v>
      </c>
      <c r="J143" s="43" t="s">
        <v>21</v>
      </c>
      <c r="K143" s="43" t="s">
        <v>21</v>
      </c>
      <c r="L143" s="43" t="s">
        <v>21</v>
      </c>
      <c r="M143" s="18" t="s">
        <v>23</v>
      </c>
      <c r="N143" s="18" t="s">
        <v>23</v>
      </c>
      <c r="O143" s="18" t="s">
        <v>21</v>
      </c>
      <c r="P143" s="18" t="s">
        <v>20</v>
      </c>
      <c r="Q143" s="18" t="s">
        <v>21</v>
      </c>
      <c r="R143" s="18" t="s">
        <v>21</v>
      </c>
      <c r="S143" s="18" t="s">
        <v>20</v>
      </c>
      <c r="T143" s="18" t="s">
        <v>21</v>
      </c>
      <c r="U143" s="18" t="s">
        <v>20</v>
      </c>
      <c r="V143" s="37" t="s">
        <v>21</v>
      </c>
      <c r="W143" s="37" t="s">
        <v>21</v>
      </c>
      <c r="X143" s="37" t="s">
        <v>21</v>
      </c>
      <c r="Y143" s="18" t="s">
        <v>21</v>
      </c>
      <c r="Z143" s="18" t="s">
        <v>21</v>
      </c>
      <c r="AA143" s="20" t="s">
        <v>21</v>
      </c>
      <c r="AB143" s="20" t="s">
        <v>21</v>
      </c>
      <c r="AC143" s="20" t="s">
        <v>23</v>
      </c>
      <c r="AD143" s="18" t="s">
        <v>23</v>
      </c>
      <c r="AE143" s="18" t="s">
        <v>21</v>
      </c>
      <c r="AG143">
        <f t="shared" si="18"/>
        <v>0</v>
      </c>
      <c r="AH143">
        <f t="shared" si="19"/>
        <v>3</v>
      </c>
      <c r="AI143">
        <f t="shared" si="20"/>
        <v>19</v>
      </c>
      <c r="AJ143">
        <f t="shared" si="21"/>
        <v>4</v>
      </c>
      <c r="AL143">
        <f t="shared" si="22"/>
        <v>0</v>
      </c>
      <c r="AM143">
        <f t="shared" si="23"/>
        <v>9</v>
      </c>
      <c r="AN143">
        <f t="shared" si="24"/>
        <v>38</v>
      </c>
      <c r="AO143">
        <f t="shared" si="25"/>
        <v>4</v>
      </c>
      <c r="AP143">
        <f t="shared" si="26"/>
        <v>51</v>
      </c>
    </row>
    <row r="144" spans="1:42" ht="15.75" customHeight="1" x14ac:dyDescent="0.3">
      <c r="A144" s="16"/>
      <c r="B144" s="55">
        <v>14</v>
      </c>
      <c r="C144" s="56" t="s">
        <v>162</v>
      </c>
      <c r="D144" s="55">
        <v>4</v>
      </c>
      <c r="E144" s="55" t="s">
        <v>20</v>
      </c>
      <c r="F144" s="18" t="s">
        <v>20</v>
      </c>
      <c r="G144" s="18" t="s">
        <v>20</v>
      </c>
      <c r="H144" s="18" t="s">
        <v>20</v>
      </c>
      <c r="I144" s="18" t="s">
        <v>20</v>
      </c>
      <c r="J144" s="43" t="s">
        <v>20</v>
      </c>
      <c r="K144" s="43" t="s">
        <v>20</v>
      </c>
      <c r="L144" s="43" t="s">
        <v>20</v>
      </c>
      <c r="M144" s="18" t="s">
        <v>20</v>
      </c>
      <c r="N144" s="18" t="s">
        <v>20</v>
      </c>
      <c r="O144" s="18" t="s">
        <v>20</v>
      </c>
      <c r="P144" s="18" t="s">
        <v>20</v>
      </c>
      <c r="Q144" s="18" t="s">
        <v>20</v>
      </c>
      <c r="R144" s="18" t="s">
        <v>21</v>
      </c>
      <c r="S144" s="18" t="s">
        <v>21</v>
      </c>
      <c r="T144" s="18" t="s">
        <v>20</v>
      </c>
      <c r="U144" s="18" t="s">
        <v>21</v>
      </c>
      <c r="V144" s="37" t="s">
        <v>20</v>
      </c>
      <c r="W144" s="37" t="s">
        <v>20</v>
      </c>
      <c r="X144" s="37" t="s">
        <v>20</v>
      </c>
      <c r="Y144" s="18" t="s">
        <v>20</v>
      </c>
      <c r="Z144" s="18" t="s">
        <v>20</v>
      </c>
      <c r="AA144" s="20" t="s">
        <v>21</v>
      </c>
      <c r="AB144" s="20" t="s">
        <v>20</v>
      </c>
      <c r="AC144" s="20" t="s">
        <v>20</v>
      </c>
      <c r="AD144" s="18" t="s">
        <v>20</v>
      </c>
      <c r="AE144" s="18" t="s">
        <v>21</v>
      </c>
      <c r="AG144">
        <f t="shared" si="18"/>
        <v>0</v>
      </c>
      <c r="AH144">
        <f t="shared" si="19"/>
        <v>21</v>
      </c>
      <c r="AI144">
        <f t="shared" si="20"/>
        <v>5</v>
      </c>
      <c r="AJ144">
        <f t="shared" si="21"/>
        <v>0</v>
      </c>
      <c r="AL144">
        <f t="shared" si="22"/>
        <v>0</v>
      </c>
      <c r="AM144">
        <f t="shared" si="23"/>
        <v>63</v>
      </c>
      <c r="AN144">
        <f t="shared" si="24"/>
        <v>10</v>
      </c>
      <c r="AO144">
        <f t="shared" si="25"/>
        <v>0</v>
      </c>
      <c r="AP144">
        <f t="shared" si="26"/>
        <v>73</v>
      </c>
    </row>
    <row r="145" spans="1:42" ht="15.75" customHeight="1" x14ac:dyDescent="0.3">
      <c r="A145" s="16"/>
      <c r="B145" s="55">
        <v>15</v>
      </c>
      <c r="C145" s="56" t="s">
        <v>163</v>
      </c>
      <c r="D145" s="55">
        <v>4</v>
      </c>
      <c r="E145" s="55" t="s">
        <v>20</v>
      </c>
      <c r="F145" s="18" t="s">
        <v>20</v>
      </c>
      <c r="G145" s="18" t="s">
        <v>21</v>
      </c>
      <c r="H145" s="18" t="s">
        <v>21</v>
      </c>
      <c r="I145" s="18" t="s">
        <v>20</v>
      </c>
      <c r="J145" s="43" t="s">
        <v>20</v>
      </c>
      <c r="K145" s="43" t="s">
        <v>20</v>
      </c>
      <c r="L145" s="43" t="s">
        <v>20</v>
      </c>
      <c r="M145" s="18" t="s">
        <v>21</v>
      </c>
      <c r="N145" s="18" t="s">
        <v>20</v>
      </c>
      <c r="O145" s="18" t="s">
        <v>20</v>
      </c>
      <c r="P145" s="18" t="s">
        <v>20</v>
      </c>
      <c r="Q145" s="18" t="s">
        <v>20</v>
      </c>
      <c r="R145" s="18" t="s">
        <v>20</v>
      </c>
      <c r="S145" s="18" t="s">
        <v>20</v>
      </c>
      <c r="T145" s="18" t="s">
        <v>20</v>
      </c>
      <c r="U145" s="18" t="s">
        <v>21</v>
      </c>
      <c r="V145" s="37" t="s">
        <v>20</v>
      </c>
      <c r="W145" s="37" t="s">
        <v>20</v>
      </c>
      <c r="X145" s="37" t="s">
        <v>20</v>
      </c>
      <c r="Y145" s="18" t="s">
        <v>20</v>
      </c>
      <c r="Z145" s="18" t="s">
        <v>21</v>
      </c>
      <c r="AA145" s="20" t="s">
        <v>21</v>
      </c>
      <c r="AB145" s="20" t="s">
        <v>20</v>
      </c>
      <c r="AC145" s="20" t="s">
        <v>20</v>
      </c>
      <c r="AD145" s="18" t="s">
        <v>20</v>
      </c>
      <c r="AE145" s="18" t="s">
        <v>21</v>
      </c>
      <c r="AG145">
        <f t="shared" si="18"/>
        <v>0</v>
      </c>
      <c r="AH145">
        <f t="shared" si="19"/>
        <v>19</v>
      </c>
      <c r="AI145">
        <f t="shared" si="20"/>
        <v>7</v>
      </c>
      <c r="AJ145">
        <f t="shared" si="21"/>
        <v>0</v>
      </c>
      <c r="AL145">
        <f t="shared" si="22"/>
        <v>0</v>
      </c>
      <c r="AM145">
        <f t="shared" si="23"/>
        <v>57</v>
      </c>
      <c r="AN145">
        <f t="shared" si="24"/>
        <v>14</v>
      </c>
      <c r="AO145">
        <f t="shared" si="25"/>
        <v>0</v>
      </c>
      <c r="AP145">
        <f t="shared" si="26"/>
        <v>71</v>
      </c>
    </row>
    <row r="146" spans="1:42" ht="15.75" customHeight="1" x14ac:dyDescent="0.3">
      <c r="A146" s="16"/>
      <c r="B146" s="55">
        <v>16</v>
      </c>
      <c r="C146" s="56" t="s">
        <v>164</v>
      </c>
      <c r="D146" s="55">
        <v>4</v>
      </c>
      <c r="E146" s="55" t="s">
        <v>20</v>
      </c>
      <c r="F146" s="18" t="s">
        <v>23</v>
      </c>
      <c r="G146" s="18" t="s">
        <v>23</v>
      </c>
      <c r="H146" s="18" t="s">
        <v>23</v>
      </c>
      <c r="I146" s="18" t="s">
        <v>21</v>
      </c>
      <c r="J146" s="43" t="s">
        <v>21</v>
      </c>
      <c r="K146" s="43" t="s">
        <v>21</v>
      </c>
      <c r="L146" s="43" t="s">
        <v>21</v>
      </c>
      <c r="M146" s="18" t="s">
        <v>21</v>
      </c>
      <c r="N146" s="18" t="s">
        <v>20</v>
      </c>
      <c r="O146" s="18" t="s">
        <v>21</v>
      </c>
      <c r="P146" s="18" t="s">
        <v>20</v>
      </c>
      <c r="Q146" s="18" t="s">
        <v>20</v>
      </c>
      <c r="R146" s="18" t="s">
        <v>20</v>
      </c>
      <c r="S146" s="18" t="s">
        <v>21</v>
      </c>
      <c r="T146" s="18" t="s">
        <v>21</v>
      </c>
      <c r="U146" s="18" t="s">
        <v>21</v>
      </c>
      <c r="V146" s="37" t="s">
        <v>20</v>
      </c>
      <c r="W146" s="37" t="s">
        <v>20</v>
      </c>
      <c r="X146" s="37" t="s">
        <v>20</v>
      </c>
      <c r="Y146" s="18" t="s">
        <v>21</v>
      </c>
      <c r="Z146" s="18" t="s">
        <v>21</v>
      </c>
      <c r="AA146" s="20" t="s">
        <v>21</v>
      </c>
      <c r="AB146" s="20" t="s">
        <v>21</v>
      </c>
      <c r="AC146" s="20" t="s">
        <v>21</v>
      </c>
      <c r="AD146" s="18" t="s">
        <v>23</v>
      </c>
      <c r="AE146" s="18" t="s">
        <v>21</v>
      </c>
      <c r="AG146">
        <f t="shared" si="18"/>
        <v>0</v>
      </c>
      <c r="AH146">
        <f t="shared" si="19"/>
        <v>7</v>
      </c>
      <c r="AI146">
        <f t="shared" si="20"/>
        <v>15</v>
      </c>
      <c r="AJ146">
        <f t="shared" si="21"/>
        <v>4</v>
      </c>
      <c r="AL146">
        <f t="shared" si="22"/>
        <v>0</v>
      </c>
      <c r="AM146">
        <f t="shared" si="23"/>
        <v>21</v>
      </c>
      <c r="AN146">
        <f t="shared" si="24"/>
        <v>30</v>
      </c>
      <c r="AO146">
        <f t="shared" si="25"/>
        <v>4</v>
      </c>
      <c r="AP146">
        <f t="shared" si="26"/>
        <v>55</v>
      </c>
    </row>
    <row r="147" spans="1:42" ht="15.75" customHeight="1" x14ac:dyDescent="0.3">
      <c r="A147" s="16"/>
      <c r="B147" s="55">
        <v>17</v>
      </c>
      <c r="C147" s="56" t="s">
        <v>165</v>
      </c>
      <c r="D147" s="55">
        <v>4</v>
      </c>
      <c r="E147" s="55" t="s">
        <v>20</v>
      </c>
      <c r="F147" s="18" t="s">
        <v>23</v>
      </c>
      <c r="G147" s="18" t="s">
        <v>21</v>
      </c>
      <c r="H147" s="18" t="s">
        <v>21</v>
      </c>
      <c r="I147" s="18" t="s">
        <v>21</v>
      </c>
      <c r="J147" s="43" t="s">
        <v>20</v>
      </c>
      <c r="K147" s="43" t="s">
        <v>20</v>
      </c>
      <c r="L147" s="43" t="s">
        <v>21</v>
      </c>
      <c r="M147" s="18" t="s">
        <v>21</v>
      </c>
      <c r="N147" s="18" t="s">
        <v>21</v>
      </c>
      <c r="O147" s="18" t="s">
        <v>20</v>
      </c>
      <c r="P147" s="18" t="s">
        <v>21</v>
      </c>
      <c r="Q147" s="18" t="s">
        <v>21</v>
      </c>
      <c r="R147" s="18" t="s">
        <v>21</v>
      </c>
      <c r="S147" s="18" t="s">
        <v>20</v>
      </c>
      <c r="T147" s="18" t="s">
        <v>20</v>
      </c>
      <c r="U147" s="18" t="s">
        <v>21</v>
      </c>
      <c r="V147" s="37" t="s">
        <v>21</v>
      </c>
      <c r="W147" s="37" t="s">
        <v>21</v>
      </c>
      <c r="X147" s="37" t="s">
        <v>21</v>
      </c>
      <c r="Y147" s="18" t="s">
        <v>20</v>
      </c>
      <c r="Z147" s="18" t="s">
        <v>20</v>
      </c>
      <c r="AA147" s="20" t="s">
        <v>21</v>
      </c>
      <c r="AB147" s="20" t="s">
        <v>21</v>
      </c>
      <c r="AC147" s="20" t="s">
        <v>20</v>
      </c>
      <c r="AD147" s="18" t="s">
        <v>20</v>
      </c>
      <c r="AE147" s="18" t="s">
        <v>21</v>
      </c>
      <c r="AG147">
        <f t="shared" si="18"/>
        <v>0</v>
      </c>
      <c r="AH147">
        <f t="shared" si="19"/>
        <v>9</v>
      </c>
      <c r="AI147">
        <f t="shared" si="20"/>
        <v>16</v>
      </c>
      <c r="AJ147">
        <f t="shared" si="21"/>
        <v>1</v>
      </c>
      <c r="AL147">
        <f t="shared" si="22"/>
        <v>0</v>
      </c>
      <c r="AM147">
        <f t="shared" si="23"/>
        <v>27</v>
      </c>
      <c r="AN147">
        <f t="shared" si="24"/>
        <v>32</v>
      </c>
      <c r="AO147">
        <f t="shared" si="25"/>
        <v>1</v>
      </c>
      <c r="AP147">
        <f t="shared" si="26"/>
        <v>60</v>
      </c>
    </row>
    <row r="148" spans="1:42" ht="15.75" customHeight="1" x14ac:dyDescent="0.3">
      <c r="A148" s="16"/>
      <c r="B148" s="55">
        <v>18</v>
      </c>
      <c r="C148" s="56" t="s">
        <v>166</v>
      </c>
      <c r="D148" s="55">
        <v>4</v>
      </c>
      <c r="E148" s="55" t="s">
        <v>20</v>
      </c>
      <c r="F148" s="18" t="s">
        <v>23</v>
      </c>
      <c r="G148" s="18" t="s">
        <v>23</v>
      </c>
      <c r="H148" s="18" t="s">
        <v>23</v>
      </c>
      <c r="I148" s="18" t="s">
        <v>23</v>
      </c>
      <c r="J148" s="43" t="s">
        <v>21</v>
      </c>
      <c r="K148" s="43" t="s">
        <v>21</v>
      </c>
      <c r="L148" s="43" t="s">
        <v>21</v>
      </c>
      <c r="M148" s="18" t="s">
        <v>21</v>
      </c>
      <c r="N148" s="18" t="s">
        <v>21</v>
      </c>
      <c r="O148" s="18" t="s">
        <v>21</v>
      </c>
      <c r="P148" s="18" t="s">
        <v>21</v>
      </c>
      <c r="Q148" s="18" t="s">
        <v>21</v>
      </c>
      <c r="R148" s="18" t="s">
        <v>21</v>
      </c>
      <c r="S148" s="18" t="s">
        <v>21</v>
      </c>
      <c r="T148" s="18" t="s">
        <v>20</v>
      </c>
      <c r="U148" s="18" t="s">
        <v>21</v>
      </c>
      <c r="V148" s="37" t="s">
        <v>20</v>
      </c>
      <c r="W148" s="37" t="s">
        <v>20</v>
      </c>
      <c r="X148" s="37" t="s">
        <v>20</v>
      </c>
      <c r="Y148" s="18" t="s">
        <v>20</v>
      </c>
      <c r="Z148" s="18" t="s">
        <v>21</v>
      </c>
      <c r="AA148" s="20" t="s">
        <v>21</v>
      </c>
      <c r="AB148" s="20" t="s">
        <v>20</v>
      </c>
      <c r="AC148" s="20" t="s">
        <v>21</v>
      </c>
      <c r="AD148" s="18" t="s">
        <v>21</v>
      </c>
      <c r="AE148" s="18" t="s">
        <v>21</v>
      </c>
      <c r="AG148">
        <f t="shared" si="18"/>
        <v>0</v>
      </c>
      <c r="AH148">
        <f t="shared" si="19"/>
        <v>6</v>
      </c>
      <c r="AI148">
        <f t="shared" si="20"/>
        <v>16</v>
      </c>
      <c r="AJ148">
        <f t="shared" si="21"/>
        <v>4</v>
      </c>
      <c r="AL148">
        <f t="shared" si="22"/>
        <v>0</v>
      </c>
      <c r="AM148">
        <f t="shared" si="23"/>
        <v>18</v>
      </c>
      <c r="AN148">
        <f t="shared" si="24"/>
        <v>32</v>
      </c>
      <c r="AO148">
        <f t="shared" si="25"/>
        <v>4</v>
      </c>
      <c r="AP148">
        <f t="shared" si="26"/>
        <v>54</v>
      </c>
    </row>
    <row r="149" spans="1:42" ht="15.75" customHeight="1" x14ac:dyDescent="0.3">
      <c r="A149" s="16"/>
      <c r="B149" s="55">
        <v>19</v>
      </c>
      <c r="C149" s="56" t="s">
        <v>167</v>
      </c>
      <c r="D149" s="55">
        <v>4</v>
      </c>
      <c r="E149" s="55" t="s">
        <v>20</v>
      </c>
      <c r="F149" s="18" t="s">
        <v>39</v>
      </c>
      <c r="G149" s="18" t="s">
        <v>39</v>
      </c>
      <c r="H149" s="18" t="s">
        <v>39</v>
      </c>
      <c r="I149" s="18" t="s">
        <v>39</v>
      </c>
      <c r="J149" s="43" t="s">
        <v>20</v>
      </c>
      <c r="K149" s="43" t="s">
        <v>20</v>
      </c>
      <c r="L149" s="43" t="s">
        <v>20</v>
      </c>
      <c r="M149" s="18" t="s">
        <v>20</v>
      </c>
      <c r="N149" s="18" t="s">
        <v>20</v>
      </c>
      <c r="O149" s="18" t="s">
        <v>20</v>
      </c>
      <c r="P149" s="18" t="s">
        <v>20</v>
      </c>
      <c r="Q149" s="18" t="s">
        <v>21</v>
      </c>
      <c r="R149" s="18" t="s">
        <v>20</v>
      </c>
      <c r="S149" s="18" t="s">
        <v>20</v>
      </c>
      <c r="T149" s="18" t="s">
        <v>20</v>
      </c>
      <c r="U149" s="18" t="s">
        <v>20</v>
      </c>
      <c r="V149" s="37" t="s">
        <v>20</v>
      </c>
      <c r="W149" s="37" t="s">
        <v>20</v>
      </c>
      <c r="X149" s="37" t="s">
        <v>20</v>
      </c>
      <c r="Y149" s="18" t="s">
        <v>20</v>
      </c>
      <c r="Z149" s="18" t="s">
        <v>20</v>
      </c>
      <c r="AA149" s="20" t="s">
        <v>20</v>
      </c>
      <c r="AB149" s="20" t="s">
        <v>20</v>
      </c>
      <c r="AC149" s="20" t="s">
        <v>20</v>
      </c>
      <c r="AD149" s="18" t="s">
        <v>20</v>
      </c>
      <c r="AE149" s="18" t="s">
        <v>21</v>
      </c>
      <c r="AG149">
        <f t="shared" si="18"/>
        <v>4</v>
      </c>
      <c r="AH149">
        <f t="shared" si="19"/>
        <v>20</v>
      </c>
      <c r="AI149">
        <f t="shared" si="20"/>
        <v>2</v>
      </c>
      <c r="AJ149">
        <f t="shared" si="21"/>
        <v>0</v>
      </c>
      <c r="AL149">
        <f t="shared" si="22"/>
        <v>16</v>
      </c>
      <c r="AM149">
        <f t="shared" si="23"/>
        <v>60</v>
      </c>
      <c r="AN149">
        <f t="shared" si="24"/>
        <v>4</v>
      </c>
      <c r="AO149">
        <f t="shared" si="25"/>
        <v>0</v>
      </c>
      <c r="AP149">
        <f t="shared" si="26"/>
        <v>80</v>
      </c>
    </row>
    <row r="150" spans="1:42" ht="15.75" customHeight="1" x14ac:dyDescent="0.3">
      <c r="A150" s="16"/>
      <c r="B150" s="55">
        <v>20</v>
      </c>
      <c r="C150" s="56" t="s">
        <v>168</v>
      </c>
      <c r="D150" s="55">
        <v>4</v>
      </c>
      <c r="E150" s="55" t="s">
        <v>20</v>
      </c>
      <c r="F150" s="18" t="s">
        <v>21</v>
      </c>
      <c r="G150" s="18" t="s">
        <v>23</v>
      </c>
      <c r="H150" s="18" t="s">
        <v>21</v>
      </c>
      <c r="I150" s="18" t="s">
        <v>21</v>
      </c>
      <c r="J150" s="43" t="s">
        <v>20</v>
      </c>
      <c r="K150" s="43" t="s">
        <v>21</v>
      </c>
      <c r="L150" s="43" t="s">
        <v>21</v>
      </c>
      <c r="M150" s="18" t="s">
        <v>21</v>
      </c>
      <c r="N150" s="18" t="s">
        <v>20</v>
      </c>
      <c r="O150" s="18" t="s">
        <v>21</v>
      </c>
      <c r="P150" s="18" t="s">
        <v>20</v>
      </c>
      <c r="Q150" s="18" t="s">
        <v>21</v>
      </c>
      <c r="R150" s="18" t="s">
        <v>20</v>
      </c>
      <c r="S150" s="18" t="s">
        <v>20</v>
      </c>
      <c r="T150" s="18" t="s">
        <v>20</v>
      </c>
      <c r="U150" s="18" t="s">
        <v>20</v>
      </c>
      <c r="V150" s="37" t="s">
        <v>20</v>
      </c>
      <c r="W150" s="37" t="s">
        <v>20</v>
      </c>
      <c r="X150" s="37" t="s">
        <v>20</v>
      </c>
      <c r="Y150" s="18" t="s">
        <v>21</v>
      </c>
      <c r="Z150" s="18" t="s">
        <v>21</v>
      </c>
      <c r="AA150" s="20" t="s">
        <v>21</v>
      </c>
      <c r="AB150" s="20" t="s">
        <v>21</v>
      </c>
      <c r="AC150" s="20" t="s">
        <v>21</v>
      </c>
      <c r="AD150" s="18" t="s">
        <v>20</v>
      </c>
      <c r="AE150" s="18" t="s">
        <v>21</v>
      </c>
      <c r="AG150">
        <f t="shared" si="18"/>
        <v>0</v>
      </c>
      <c r="AH150">
        <f t="shared" si="19"/>
        <v>11</v>
      </c>
      <c r="AI150">
        <f t="shared" si="20"/>
        <v>14</v>
      </c>
      <c r="AJ150">
        <f t="shared" si="21"/>
        <v>1</v>
      </c>
      <c r="AL150">
        <f t="shared" si="22"/>
        <v>0</v>
      </c>
      <c r="AM150">
        <f t="shared" si="23"/>
        <v>33</v>
      </c>
      <c r="AN150">
        <f t="shared" si="24"/>
        <v>28</v>
      </c>
      <c r="AO150">
        <f t="shared" si="25"/>
        <v>1</v>
      </c>
      <c r="AP150">
        <f t="shared" si="26"/>
        <v>62</v>
      </c>
    </row>
    <row r="151" spans="1:42" ht="15.75" customHeight="1" x14ac:dyDescent="0.3">
      <c r="A151" s="16"/>
      <c r="B151" s="55">
        <v>21</v>
      </c>
      <c r="C151" s="56" t="s">
        <v>169</v>
      </c>
      <c r="D151" s="55">
        <v>4</v>
      </c>
      <c r="E151" s="55" t="s">
        <v>20</v>
      </c>
      <c r="F151" s="18" t="s">
        <v>21</v>
      </c>
      <c r="G151" s="18" t="s">
        <v>21</v>
      </c>
      <c r="H151" s="18" t="s">
        <v>20</v>
      </c>
      <c r="I151" s="18" t="s">
        <v>20</v>
      </c>
      <c r="J151" s="43" t="s">
        <v>20</v>
      </c>
      <c r="K151" s="43" t="s">
        <v>20</v>
      </c>
      <c r="L151" s="43" t="s">
        <v>21</v>
      </c>
      <c r="M151" s="18" t="s">
        <v>21</v>
      </c>
      <c r="N151" s="18" t="s">
        <v>20</v>
      </c>
      <c r="O151" s="18" t="s">
        <v>20</v>
      </c>
      <c r="P151" s="18" t="s">
        <v>20</v>
      </c>
      <c r="Q151" s="18" t="s">
        <v>20</v>
      </c>
      <c r="R151" s="18" t="s">
        <v>20</v>
      </c>
      <c r="S151" s="18" t="s">
        <v>20</v>
      </c>
      <c r="T151" s="18" t="s">
        <v>20</v>
      </c>
      <c r="U151" s="18" t="s">
        <v>20</v>
      </c>
      <c r="V151" s="37" t="s">
        <v>20</v>
      </c>
      <c r="W151" s="37" t="s">
        <v>20</v>
      </c>
      <c r="X151" s="37" t="s">
        <v>20</v>
      </c>
      <c r="Y151" s="18" t="s">
        <v>21</v>
      </c>
      <c r="Z151" s="18" t="s">
        <v>21</v>
      </c>
      <c r="AA151" s="20" t="s">
        <v>20</v>
      </c>
      <c r="AB151" s="20" t="s">
        <v>20</v>
      </c>
      <c r="AC151" s="20" t="s">
        <v>21</v>
      </c>
      <c r="AD151" s="18" t="s">
        <v>21</v>
      </c>
      <c r="AE151" s="18" t="s">
        <v>21</v>
      </c>
      <c r="AG151">
        <f t="shared" si="18"/>
        <v>0</v>
      </c>
      <c r="AH151">
        <f t="shared" si="19"/>
        <v>17</v>
      </c>
      <c r="AI151">
        <f t="shared" si="20"/>
        <v>9</v>
      </c>
      <c r="AJ151">
        <f t="shared" si="21"/>
        <v>0</v>
      </c>
      <c r="AL151">
        <f t="shared" si="22"/>
        <v>0</v>
      </c>
      <c r="AM151">
        <f t="shared" si="23"/>
        <v>51</v>
      </c>
      <c r="AN151">
        <f t="shared" si="24"/>
        <v>18</v>
      </c>
      <c r="AO151">
        <f t="shared" si="25"/>
        <v>0</v>
      </c>
      <c r="AP151">
        <f t="shared" si="26"/>
        <v>69</v>
      </c>
    </row>
    <row r="152" spans="1:42" ht="15.75" customHeight="1" x14ac:dyDescent="0.3">
      <c r="A152" s="16"/>
      <c r="B152" s="55">
        <v>22</v>
      </c>
      <c r="C152" s="56" t="s">
        <v>170</v>
      </c>
      <c r="D152" s="55">
        <v>4</v>
      </c>
      <c r="E152" s="55" t="s">
        <v>20</v>
      </c>
      <c r="F152" s="18" t="s">
        <v>20</v>
      </c>
      <c r="G152" s="18" t="s">
        <v>20</v>
      </c>
      <c r="H152" s="18" t="s">
        <v>20</v>
      </c>
      <c r="I152" s="18" t="s">
        <v>20</v>
      </c>
      <c r="J152" s="43" t="s">
        <v>20</v>
      </c>
      <c r="K152" s="43" t="s">
        <v>20</v>
      </c>
      <c r="L152" s="43" t="s">
        <v>21</v>
      </c>
      <c r="M152" s="18" t="s">
        <v>21</v>
      </c>
      <c r="N152" s="18" t="s">
        <v>20</v>
      </c>
      <c r="O152" s="18" t="s">
        <v>20</v>
      </c>
      <c r="P152" s="18" t="s">
        <v>21</v>
      </c>
      <c r="Q152" s="18" t="s">
        <v>21</v>
      </c>
      <c r="R152" s="18" t="s">
        <v>21</v>
      </c>
      <c r="S152" s="18" t="s">
        <v>20</v>
      </c>
      <c r="T152" s="18" t="s">
        <v>20</v>
      </c>
      <c r="U152" s="18" t="s">
        <v>21</v>
      </c>
      <c r="V152" s="37" t="s">
        <v>20</v>
      </c>
      <c r="W152" s="37" t="s">
        <v>20</v>
      </c>
      <c r="X152" s="37" t="s">
        <v>20</v>
      </c>
      <c r="Y152" s="18" t="s">
        <v>21</v>
      </c>
      <c r="Z152" s="18" t="s">
        <v>20</v>
      </c>
      <c r="AA152" s="20" t="s">
        <v>21</v>
      </c>
      <c r="AB152" s="20" t="s">
        <v>21</v>
      </c>
      <c r="AC152" s="20" t="s">
        <v>21</v>
      </c>
      <c r="AD152" s="18" t="s">
        <v>21</v>
      </c>
      <c r="AE152" s="18" t="s">
        <v>21</v>
      </c>
      <c r="AG152">
        <f t="shared" si="18"/>
        <v>0</v>
      </c>
      <c r="AH152">
        <f t="shared" si="19"/>
        <v>14</v>
      </c>
      <c r="AI152">
        <f t="shared" si="20"/>
        <v>12</v>
      </c>
      <c r="AJ152">
        <f t="shared" si="21"/>
        <v>0</v>
      </c>
      <c r="AL152">
        <f t="shared" si="22"/>
        <v>0</v>
      </c>
      <c r="AM152">
        <f t="shared" si="23"/>
        <v>42</v>
      </c>
      <c r="AN152">
        <f t="shared" si="24"/>
        <v>24</v>
      </c>
      <c r="AO152">
        <f t="shared" si="25"/>
        <v>0</v>
      </c>
      <c r="AP152">
        <f t="shared" si="26"/>
        <v>66</v>
      </c>
    </row>
    <row r="153" spans="1:42" ht="15.75" customHeight="1" thickBot="1" x14ac:dyDescent="0.35">
      <c r="A153" s="16"/>
      <c r="B153" s="57">
        <v>23</v>
      </c>
      <c r="C153" s="58" t="s">
        <v>171</v>
      </c>
      <c r="D153" s="57">
        <v>4</v>
      </c>
      <c r="E153" s="57" t="s">
        <v>20</v>
      </c>
      <c r="F153" s="21" t="s">
        <v>20</v>
      </c>
      <c r="G153" s="21" t="s">
        <v>20</v>
      </c>
      <c r="H153" s="21" t="s">
        <v>20</v>
      </c>
      <c r="I153" s="21" t="s">
        <v>20</v>
      </c>
      <c r="J153" s="45" t="s">
        <v>20</v>
      </c>
      <c r="K153" s="45" t="s">
        <v>20</v>
      </c>
      <c r="L153" s="45" t="s">
        <v>20</v>
      </c>
      <c r="M153" s="21" t="s">
        <v>21</v>
      </c>
      <c r="N153" s="21" t="s">
        <v>20</v>
      </c>
      <c r="O153" s="21" t="s">
        <v>20</v>
      </c>
      <c r="P153" s="21" t="s">
        <v>21</v>
      </c>
      <c r="Q153" s="21" t="s">
        <v>21</v>
      </c>
      <c r="R153" s="21" t="s">
        <v>21</v>
      </c>
      <c r="S153" s="21" t="s">
        <v>20</v>
      </c>
      <c r="T153" s="21" t="s">
        <v>20</v>
      </c>
      <c r="U153" s="21" t="s">
        <v>20</v>
      </c>
      <c r="V153" s="48" t="s">
        <v>20</v>
      </c>
      <c r="W153" s="38" t="s">
        <v>20</v>
      </c>
      <c r="X153" s="48" t="s">
        <v>20</v>
      </c>
      <c r="Y153" s="21" t="s">
        <v>21</v>
      </c>
      <c r="Z153" s="21" t="s">
        <v>21</v>
      </c>
      <c r="AA153" s="23" t="s">
        <v>21</v>
      </c>
      <c r="AB153" s="23" t="s">
        <v>20</v>
      </c>
      <c r="AC153" s="23" t="s">
        <v>20</v>
      </c>
      <c r="AD153" s="21" t="s">
        <v>20</v>
      </c>
      <c r="AE153" s="21" t="s">
        <v>21</v>
      </c>
      <c r="AG153">
        <f t="shared" si="18"/>
        <v>0</v>
      </c>
      <c r="AH153">
        <f t="shared" si="19"/>
        <v>18</v>
      </c>
      <c r="AI153">
        <f t="shared" si="20"/>
        <v>8</v>
      </c>
      <c r="AJ153">
        <f t="shared" si="21"/>
        <v>0</v>
      </c>
      <c r="AL153">
        <f t="shared" si="22"/>
        <v>0</v>
      </c>
      <c r="AM153">
        <f t="shared" si="23"/>
        <v>54</v>
      </c>
      <c r="AN153">
        <f t="shared" si="24"/>
        <v>16</v>
      </c>
      <c r="AO153">
        <f t="shared" si="25"/>
        <v>0</v>
      </c>
      <c r="AP153">
        <f t="shared" si="26"/>
        <v>70</v>
      </c>
    </row>
    <row r="154" spans="1:42" ht="15.75" customHeight="1" x14ac:dyDescent="0.3">
      <c r="A154" s="16"/>
      <c r="B154" s="59">
        <v>1</v>
      </c>
      <c r="C154" s="60" t="s">
        <v>172</v>
      </c>
      <c r="D154" s="59">
        <v>4</v>
      </c>
      <c r="E154" s="59" t="s">
        <v>21</v>
      </c>
      <c r="F154" s="24" t="s">
        <v>23</v>
      </c>
      <c r="G154" s="24" t="s">
        <v>21</v>
      </c>
      <c r="H154" s="24" t="s">
        <v>23</v>
      </c>
      <c r="I154" s="24" t="s">
        <v>23</v>
      </c>
      <c r="J154" s="42" t="s">
        <v>20</v>
      </c>
      <c r="K154" s="42" t="s">
        <v>21</v>
      </c>
      <c r="L154" s="42" t="s">
        <v>21</v>
      </c>
      <c r="M154" s="24" t="s">
        <v>21</v>
      </c>
      <c r="N154" s="24" t="s">
        <v>20</v>
      </c>
      <c r="O154" s="24" t="s">
        <v>20</v>
      </c>
      <c r="P154" s="24" t="s">
        <v>20</v>
      </c>
      <c r="Q154" s="24" t="s">
        <v>21</v>
      </c>
      <c r="R154" s="24" t="s">
        <v>21</v>
      </c>
      <c r="S154" s="24" t="s">
        <v>21</v>
      </c>
      <c r="T154" s="24" t="s">
        <v>20</v>
      </c>
      <c r="U154" s="24" t="s">
        <v>20</v>
      </c>
      <c r="V154" s="39" t="s">
        <v>20</v>
      </c>
      <c r="W154" s="39" t="s">
        <v>20</v>
      </c>
      <c r="X154" s="39" t="s">
        <v>20</v>
      </c>
      <c r="Y154" s="24" t="s">
        <v>23</v>
      </c>
      <c r="Z154" s="24" t="s">
        <v>21</v>
      </c>
      <c r="AA154" s="27" t="s">
        <v>21</v>
      </c>
      <c r="AB154" s="27" t="s">
        <v>20</v>
      </c>
      <c r="AC154" s="27" t="s">
        <v>21</v>
      </c>
      <c r="AD154" s="24" t="s">
        <v>23</v>
      </c>
      <c r="AE154" s="24" t="s">
        <v>21</v>
      </c>
      <c r="AG154">
        <f t="shared" si="18"/>
        <v>0</v>
      </c>
      <c r="AH154">
        <f t="shared" si="19"/>
        <v>10</v>
      </c>
      <c r="AI154">
        <f t="shared" si="20"/>
        <v>11</v>
      </c>
      <c r="AJ154">
        <f t="shared" si="21"/>
        <v>5</v>
      </c>
      <c r="AL154">
        <f t="shared" si="22"/>
        <v>0</v>
      </c>
      <c r="AM154">
        <f t="shared" si="23"/>
        <v>30</v>
      </c>
      <c r="AN154">
        <f t="shared" si="24"/>
        <v>22</v>
      </c>
      <c r="AO154">
        <f t="shared" si="25"/>
        <v>5</v>
      </c>
      <c r="AP154">
        <f t="shared" si="26"/>
        <v>57</v>
      </c>
    </row>
    <row r="155" spans="1:42" ht="15.75" customHeight="1" x14ac:dyDescent="0.3">
      <c r="A155" s="16"/>
      <c r="B155" s="55">
        <v>2</v>
      </c>
      <c r="C155" s="56" t="s">
        <v>173</v>
      </c>
      <c r="D155" s="55">
        <v>4</v>
      </c>
      <c r="E155" s="55" t="s">
        <v>21</v>
      </c>
      <c r="F155" s="18" t="s">
        <v>21</v>
      </c>
      <c r="G155" s="18" t="s">
        <v>21</v>
      </c>
      <c r="H155" s="18" t="s">
        <v>21</v>
      </c>
      <c r="I155" s="18" t="s">
        <v>21</v>
      </c>
      <c r="J155" s="43" t="s">
        <v>21</v>
      </c>
      <c r="K155" s="43" t="s">
        <v>21</v>
      </c>
      <c r="L155" s="43" t="s">
        <v>21</v>
      </c>
      <c r="M155" s="18" t="s">
        <v>21</v>
      </c>
      <c r="N155" s="18" t="s">
        <v>20</v>
      </c>
      <c r="O155" s="18" t="s">
        <v>20</v>
      </c>
      <c r="P155" s="18" t="s">
        <v>21</v>
      </c>
      <c r="Q155" s="18" t="s">
        <v>21</v>
      </c>
      <c r="R155" s="18" t="s">
        <v>21</v>
      </c>
      <c r="S155" s="18" t="s">
        <v>20</v>
      </c>
      <c r="T155" s="18" t="s">
        <v>21</v>
      </c>
      <c r="U155" s="18" t="s">
        <v>21</v>
      </c>
      <c r="V155" s="37" t="s">
        <v>21</v>
      </c>
      <c r="W155" s="37" t="s">
        <v>20</v>
      </c>
      <c r="X155" s="37" t="s">
        <v>21</v>
      </c>
      <c r="Y155" s="18" t="s">
        <v>20</v>
      </c>
      <c r="Z155" s="18" t="s">
        <v>20</v>
      </c>
      <c r="AA155" s="20" t="s">
        <v>20</v>
      </c>
      <c r="AB155" s="20" t="s">
        <v>20</v>
      </c>
      <c r="AC155" s="20" t="s">
        <v>20</v>
      </c>
      <c r="AD155" s="18" t="s">
        <v>20</v>
      </c>
      <c r="AE155" s="18" t="s">
        <v>21</v>
      </c>
      <c r="AG155">
        <f t="shared" si="18"/>
        <v>0</v>
      </c>
      <c r="AH155">
        <f t="shared" si="19"/>
        <v>10</v>
      </c>
      <c r="AI155">
        <f t="shared" si="20"/>
        <v>16</v>
      </c>
      <c r="AJ155">
        <f t="shared" si="21"/>
        <v>0</v>
      </c>
      <c r="AL155">
        <f t="shared" si="22"/>
        <v>0</v>
      </c>
      <c r="AM155">
        <f t="shared" si="23"/>
        <v>30</v>
      </c>
      <c r="AN155">
        <f t="shared" si="24"/>
        <v>32</v>
      </c>
      <c r="AO155">
        <f t="shared" si="25"/>
        <v>0</v>
      </c>
      <c r="AP155">
        <f t="shared" si="26"/>
        <v>62</v>
      </c>
    </row>
    <row r="156" spans="1:42" ht="15.75" customHeight="1" x14ac:dyDescent="0.3">
      <c r="A156" s="16"/>
      <c r="B156" s="55">
        <v>3</v>
      </c>
      <c r="C156" s="56" t="s">
        <v>174</v>
      </c>
      <c r="D156" s="55">
        <v>4</v>
      </c>
      <c r="E156" s="55" t="s">
        <v>21</v>
      </c>
      <c r="F156" s="18" t="s">
        <v>39</v>
      </c>
      <c r="G156" s="18" t="s">
        <v>20</v>
      </c>
      <c r="H156" s="18" t="s">
        <v>39</v>
      </c>
      <c r="I156" s="18" t="s">
        <v>20</v>
      </c>
      <c r="J156" s="43" t="s">
        <v>20</v>
      </c>
      <c r="K156" s="43" t="s">
        <v>20</v>
      </c>
      <c r="L156" s="43" t="s">
        <v>20</v>
      </c>
      <c r="M156" s="18" t="s">
        <v>20</v>
      </c>
      <c r="N156" s="18" t="s">
        <v>20</v>
      </c>
      <c r="O156" s="18" t="s">
        <v>20</v>
      </c>
      <c r="P156" s="18" t="s">
        <v>20</v>
      </c>
      <c r="Q156" s="18" t="s">
        <v>20</v>
      </c>
      <c r="R156" s="18" t="s">
        <v>20</v>
      </c>
      <c r="S156" s="18" t="s">
        <v>20</v>
      </c>
      <c r="T156" s="18" t="s">
        <v>20</v>
      </c>
      <c r="U156" s="18" t="s">
        <v>20</v>
      </c>
      <c r="V156" s="37" t="s">
        <v>20</v>
      </c>
      <c r="W156" s="37" t="s">
        <v>20</v>
      </c>
      <c r="X156" s="37" t="s">
        <v>20</v>
      </c>
      <c r="Y156" s="18" t="s">
        <v>20</v>
      </c>
      <c r="Z156" s="18" t="s">
        <v>20</v>
      </c>
      <c r="AA156" s="20" t="s">
        <v>20</v>
      </c>
      <c r="AB156" s="20" t="s">
        <v>20</v>
      </c>
      <c r="AC156" s="20" t="s">
        <v>20</v>
      </c>
      <c r="AD156" s="18" t="s">
        <v>21</v>
      </c>
      <c r="AE156" s="18" t="s">
        <v>21</v>
      </c>
      <c r="AG156">
        <f t="shared" si="18"/>
        <v>2</v>
      </c>
      <c r="AH156">
        <f t="shared" si="19"/>
        <v>22</v>
      </c>
      <c r="AI156">
        <f t="shared" si="20"/>
        <v>2</v>
      </c>
      <c r="AJ156">
        <f t="shared" si="21"/>
        <v>0</v>
      </c>
      <c r="AL156">
        <f t="shared" si="22"/>
        <v>8</v>
      </c>
      <c r="AM156">
        <f t="shared" si="23"/>
        <v>66</v>
      </c>
      <c r="AN156">
        <f t="shared" si="24"/>
        <v>4</v>
      </c>
      <c r="AO156">
        <f t="shared" si="25"/>
        <v>0</v>
      </c>
      <c r="AP156">
        <f t="shared" si="26"/>
        <v>78</v>
      </c>
    </row>
    <row r="157" spans="1:42" ht="15.75" customHeight="1" x14ac:dyDescent="0.3">
      <c r="A157" s="16"/>
      <c r="B157" s="55">
        <v>4</v>
      </c>
      <c r="C157" s="56" t="s">
        <v>175</v>
      </c>
      <c r="D157" s="55">
        <v>4</v>
      </c>
      <c r="E157" s="55" t="s">
        <v>21</v>
      </c>
      <c r="F157" s="18" t="s">
        <v>20</v>
      </c>
      <c r="G157" s="18" t="s">
        <v>20</v>
      </c>
      <c r="H157" s="18" t="s">
        <v>20</v>
      </c>
      <c r="I157" s="18" t="s">
        <v>20</v>
      </c>
      <c r="J157" s="43" t="s">
        <v>20</v>
      </c>
      <c r="K157" s="43" t="s">
        <v>20</v>
      </c>
      <c r="L157" s="43" t="s">
        <v>21</v>
      </c>
      <c r="M157" s="18" t="s">
        <v>20</v>
      </c>
      <c r="N157" s="18" t="s">
        <v>20</v>
      </c>
      <c r="O157" s="18" t="s">
        <v>20</v>
      </c>
      <c r="P157" s="18" t="s">
        <v>21</v>
      </c>
      <c r="Q157" s="18" t="s">
        <v>21</v>
      </c>
      <c r="R157" s="18" t="s">
        <v>21</v>
      </c>
      <c r="S157" s="18" t="s">
        <v>21</v>
      </c>
      <c r="T157" s="18" t="s">
        <v>21</v>
      </c>
      <c r="U157" s="18" t="s">
        <v>21</v>
      </c>
      <c r="V157" s="37" t="s">
        <v>20</v>
      </c>
      <c r="W157" s="37" t="s">
        <v>20</v>
      </c>
      <c r="X157" s="37" t="s">
        <v>20</v>
      </c>
      <c r="Y157" s="18" t="s">
        <v>20</v>
      </c>
      <c r="Z157" s="18" t="s">
        <v>20</v>
      </c>
      <c r="AA157" s="20" t="s">
        <v>20</v>
      </c>
      <c r="AB157" s="20" t="s">
        <v>21</v>
      </c>
      <c r="AC157" s="20" t="s">
        <v>21</v>
      </c>
      <c r="AD157" s="18" t="s">
        <v>21</v>
      </c>
      <c r="AE157" s="18" t="s">
        <v>21</v>
      </c>
      <c r="AG157">
        <f t="shared" si="18"/>
        <v>0</v>
      </c>
      <c r="AH157">
        <f t="shared" si="19"/>
        <v>15</v>
      </c>
      <c r="AI157">
        <f t="shared" si="20"/>
        <v>11</v>
      </c>
      <c r="AJ157">
        <f t="shared" si="21"/>
        <v>0</v>
      </c>
      <c r="AL157">
        <f t="shared" si="22"/>
        <v>0</v>
      </c>
      <c r="AM157">
        <f t="shared" si="23"/>
        <v>45</v>
      </c>
      <c r="AN157">
        <f t="shared" si="24"/>
        <v>22</v>
      </c>
      <c r="AO157">
        <f t="shared" si="25"/>
        <v>0</v>
      </c>
      <c r="AP157">
        <f t="shared" si="26"/>
        <v>67</v>
      </c>
    </row>
    <row r="158" spans="1:42" ht="15.75" customHeight="1" x14ac:dyDescent="0.3">
      <c r="A158" s="16"/>
      <c r="B158" s="55">
        <v>5</v>
      </c>
      <c r="C158" s="56" t="s">
        <v>176</v>
      </c>
      <c r="D158" s="55">
        <v>4</v>
      </c>
      <c r="E158" s="55" t="s">
        <v>21</v>
      </c>
      <c r="F158" s="18" t="s">
        <v>39</v>
      </c>
      <c r="G158" s="18" t="s">
        <v>20</v>
      </c>
      <c r="H158" s="18" t="s">
        <v>20</v>
      </c>
      <c r="I158" s="18" t="s">
        <v>20</v>
      </c>
      <c r="J158" s="43" t="s">
        <v>20</v>
      </c>
      <c r="K158" s="43" t="s">
        <v>20</v>
      </c>
      <c r="L158" s="43" t="s">
        <v>20</v>
      </c>
      <c r="M158" s="18" t="s">
        <v>20</v>
      </c>
      <c r="N158" s="18" t="s">
        <v>20</v>
      </c>
      <c r="O158" s="18" t="s">
        <v>20</v>
      </c>
      <c r="P158" s="18" t="s">
        <v>20</v>
      </c>
      <c r="Q158" s="18" t="s">
        <v>20</v>
      </c>
      <c r="R158" s="18" t="s">
        <v>20</v>
      </c>
      <c r="S158" s="18" t="s">
        <v>20</v>
      </c>
      <c r="T158" s="18" t="s">
        <v>20</v>
      </c>
      <c r="U158" s="18" t="s">
        <v>20</v>
      </c>
      <c r="V158" s="37" t="s">
        <v>20</v>
      </c>
      <c r="W158" s="37" t="s">
        <v>20</v>
      </c>
      <c r="X158" s="37" t="s">
        <v>20</v>
      </c>
      <c r="Y158" s="18" t="s">
        <v>20</v>
      </c>
      <c r="Z158" s="18" t="s">
        <v>20</v>
      </c>
      <c r="AA158" s="20" t="s">
        <v>20</v>
      </c>
      <c r="AB158" s="20" t="s">
        <v>20</v>
      </c>
      <c r="AC158" s="20" t="s">
        <v>20</v>
      </c>
      <c r="AD158" s="18" t="s">
        <v>20</v>
      </c>
      <c r="AE158" s="18" t="s">
        <v>21</v>
      </c>
      <c r="AG158">
        <f t="shared" si="18"/>
        <v>1</v>
      </c>
      <c r="AH158">
        <f t="shared" si="19"/>
        <v>24</v>
      </c>
      <c r="AI158">
        <f t="shared" si="20"/>
        <v>1</v>
      </c>
      <c r="AJ158">
        <f t="shared" si="21"/>
        <v>0</v>
      </c>
      <c r="AL158">
        <f t="shared" si="22"/>
        <v>4</v>
      </c>
      <c r="AM158">
        <f t="shared" si="23"/>
        <v>72</v>
      </c>
      <c r="AN158">
        <f t="shared" si="24"/>
        <v>2</v>
      </c>
      <c r="AO158">
        <f t="shared" si="25"/>
        <v>0</v>
      </c>
      <c r="AP158">
        <f t="shared" si="26"/>
        <v>78</v>
      </c>
    </row>
    <row r="159" spans="1:42" ht="15.75" customHeight="1" x14ac:dyDescent="0.3">
      <c r="A159" s="16"/>
      <c r="B159" s="55">
        <v>6</v>
      </c>
      <c r="C159" s="56" t="s">
        <v>177</v>
      </c>
      <c r="D159" s="55">
        <v>4</v>
      </c>
      <c r="E159" s="55" t="s">
        <v>21</v>
      </c>
      <c r="F159" s="18" t="s">
        <v>20</v>
      </c>
      <c r="G159" s="18" t="s">
        <v>20</v>
      </c>
      <c r="H159" s="18" t="s">
        <v>20</v>
      </c>
      <c r="I159" s="18" t="s">
        <v>20</v>
      </c>
      <c r="J159" s="43" t="s">
        <v>20</v>
      </c>
      <c r="K159" s="43" t="s">
        <v>20</v>
      </c>
      <c r="L159" s="43" t="s">
        <v>20</v>
      </c>
      <c r="M159" s="18" t="s">
        <v>20</v>
      </c>
      <c r="N159" s="18" t="s">
        <v>20</v>
      </c>
      <c r="O159" s="18" t="s">
        <v>21</v>
      </c>
      <c r="P159" s="18" t="s">
        <v>21</v>
      </c>
      <c r="Q159" s="18" t="s">
        <v>21</v>
      </c>
      <c r="R159" s="18" t="s">
        <v>21</v>
      </c>
      <c r="S159" s="18" t="s">
        <v>20</v>
      </c>
      <c r="T159" s="18" t="s">
        <v>20</v>
      </c>
      <c r="U159" s="18" t="s">
        <v>21</v>
      </c>
      <c r="V159" s="37" t="s">
        <v>20</v>
      </c>
      <c r="W159" s="37" t="s">
        <v>20</v>
      </c>
      <c r="X159" s="37" t="s">
        <v>20</v>
      </c>
      <c r="Y159" s="18" t="s">
        <v>20</v>
      </c>
      <c r="Z159" s="18" t="s">
        <v>20</v>
      </c>
      <c r="AA159" s="20" t="s">
        <v>21</v>
      </c>
      <c r="AB159" s="20" t="s">
        <v>20</v>
      </c>
      <c r="AC159" s="20" t="s">
        <v>20</v>
      </c>
      <c r="AD159" s="18" t="s">
        <v>20</v>
      </c>
      <c r="AE159" s="18" t="s">
        <v>21</v>
      </c>
      <c r="AG159">
        <f t="shared" si="18"/>
        <v>0</v>
      </c>
      <c r="AH159">
        <f t="shared" si="19"/>
        <v>19</v>
      </c>
      <c r="AI159">
        <f t="shared" si="20"/>
        <v>7</v>
      </c>
      <c r="AJ159">
        <f t="shared" si="21"/>
        <v>0</v>
      </c>
      <c r="AL159">
        <f t="shared" si="22"/>
        <v>0</v>
      </c>
      <c r="AM159">
        <f t="shared" si="23"/>
        <v>57</v>
      </c>
      <c r="AN159">
        <f t="shared" si="24"/>
        <v>14</v>
      </c>
      <c r="AO159">
        <f t="shared" si="25"/>
        <v>0</v>
      </c>
      <c r="AP159">
        <f t="shared" si="26"/>
        <v>71</v>
      </c>
    </row>
    <row r="160" spans="1:42" ht="15.75" customHeight="1" x14ac:dyDescent="0.3">
      <c r="A160" s="16"/>
      <c r="B160" s="55">
        <v>7</v>
      </c>
      <c r="C160" s="56" t="s">
        <v>178</v>
      </c>
      <c r="D160" s="55">
        <v>4</v>
      </c>
      <c r="E160" s="55" t="s">
        <v>21</v>
      </c>
      <c r="F160" s="18" t="s">
        <v>21</v>
      </c>
      <c r="G160" s="18" t="s">
        <v>20</v>
      </c>
      <c r="H160" s="18" t="s">
        <v>20</v>
      </c>
      <c r="I160" s="18" t="s">
        <v>21</v>
      </c>
      <c r="J160" s="43" t="s">
        <v>20</v>
      </c>
      <c r="K160" s="43" t="s">
        <v>21</v>
      </c>
      <c r="L160" s="43" t="s">
        <v>21</v>
      </c>
      <c r="M160" s="18" t="s">
        <v>20</v>
      </c>
      <c r="N160" s="18" t="s">
        <v>20</v>
      </c>
      <c r="O160" s="18" t="s">
        <v>20</v>
      </c>
      <c r="P160" s="18" t="s">
        <v>21</v>
      </c>
      <c r="Q160" s="18" t="s">
        <v>21</v>
      </c>
      <c r="R160" s="18" t="s">
        <v>21</v>
      </c>
      <c r="S160" s="18" t="s">
        <v>20</v>
      </c>
      <c r="T160" s="18" t="s">
        <v>20</v>
      </c>
      <c r="U160" s="18" t="s">
        <v>21</v>
      </c>
      <c r="V160" s="37" t="s">
        <v>20</v>
      </c>
      <c r="W160" s="37" t="s">
        <v>20</v>
      </c>
      <c r="X160" s="37" t="s">
        <v>20</v>
      </c>
      <c r="Y160" s="18" t="s">
        <v>20</v>
      </c>
      <c r="Z160" s="18" t="s">
        <v>21</v>
      </c>
      <c r="AA160" s="20" t="s">
        <v>21</v>
      </c>
      <c r="AB160" s="20" t="s">
        <v>21</v>
      </c>
      <c r="AC160" s="20" t="s">
        <v>21</v>
      </c>
      <c r="AD160" s="18" t="s">
        <v>21</v>
      </c>
      <c r="AE160" s="18" t="s">
        <v>21</v>
      </c>
      <c r="AG160">
        <f t="shared" si="18"/>
        <v>0</v>
      </c>
      <c r="AH160">
        <f t="shared" si="19"/>
        <v>12</v>
      </c>
      <c r="AI160">
        <f t="shared" si="20"/>
        <v>14</v>
      </c>
      <c r="AJ160">
        <f t="shared" si="21"/>
        <v>0</v>
      </c>
      <c r="AL160">
        <f t="shared" si="22"/>
        <v>0</v>
      </c>
      <c r="AM160">
        <f t="shared" si="23"/>
        <v>36</v>
      </c>
      <c r="AN160">
        <f t="shared" si="24"/>
        <v>28</v>
      </c>
      <c r="AO160">
        <f t="shared" si="25"/>
        <v>0</v>
      </c>
      <c r="AP160">
        <f t="shared" si="26"/>
        <v>64</v>
      </c>
    </row>
    <row r="161" spans="1:42" ht="15.75" customHeight="1" x14ac:dyDescent="0.3">
      <c r="A161" s="16"/>
      <c r="B161" s="55">
        <v>8</v>
      </c>
      <c r="C161" s="56" t="s">
        <v>179</v>
      </c>
      <c r="D161" s="55">
        <v>4</v>
      </c>
      <c r="E161" s="55" t="s">
        <v>21</v>
      </c>
      <c r="F161" s="18" t="s">
        <v>20</v>
      </c>
      <c r="G161" s="18" t="s">
        <v>20</v>
      </c>
      <c r="H161" s="18" t="s">
        <v>20</v>
      </c>
      <c r="I161" s="18" t="s">
        <v>20</v>
      </c>
      <c r="J161" s="43" t="s">
        <v>20</v>
      </c>
      <c r="K161" s="43" t="s">
        <v>20</v>
      </c>
      <c r="L161" s="43" t="s">
        <v>20</v>
      </c>
      <c r="M161" s="18" t="s">
        <v>21</v>
      </c>
      <c r="N161" s="18" t="s">
        <v>20</v>
      </c>
      <c r="O161" s="18" t="s">
        <v>20</v>
      </c>
      <c r="P161" s="18" t="s">
        <v>21</v>
      </c>
      <c r="Q161" s="18" t="s">
        <v>21</v>
      </c>
      <c r="R161" s="18" t="s">
        <v>21</v>
      </c>
      <c r="S161" s="18" t="s">
        <v>21</v>
      </c>
      <c r="T161" s="18" t="s">
        <v>20</v>
      </c>
      <c r="U161" s="18" t="s">
        <v>20</v>
      </c>
      <c r="V161" s="37" t="s">
        <v>20</v>
      </c>
      <c r="W161" s="37" t="s">
        <v>20</v>
      </c>
      <c r="X161" s="37" t="s">
        <v>20</v>
      </c>
      <c r="Y161" s="18" t="s">
        <v>20</v>
      </c>
      <c r="Z161" s="18" t="s">
        <v>21</v>
      </c>
      <c r="AA161" s="20" t="s">
        <v>20</v>
      </c>
      <c r="AB161" s="20" t="s">
        <v>20</v>
      </c>
      <c r="AC161" s="20" t="s">
        <v>21</v>
      </c>
      <c r="AD161" s="18" t="s">
        <v>20</v>
      </c>
      <c r="AE161" s="18" t="s">
        <v>21</v>
      </c>
      <c r="AG161">
        <f t="shared" si="18"/>
        <v>0</v>
      </c>
      <c r="AH161">
        <f t="shared" si="19"/>
        <v>18</v>
      </c>
      <c r="AI161">
        <f t="shared" si="20"/>
        <v>8</v>
      </c>
      <c r="AJ161">
        <f t="shared" si="21"/>
        <v>0</v>
      </c>
      <c r="AL161">
        <f t="shared" si="22"/>
        <v>0</v>
      </c>
      <c r="AM161">
        <f t="shared" si="23"/>
        <v>54</v>
      </c>
      <c r="AN161">
        <f t="shared" si="24"/>
        <v>16</v>
      </c>
      <c r="AO161">
        <f t="shared" si="25"/>
        <v>0</v>
      </c>
      <c r="AP161">
        <f t="shared" si="26"/>
        <v>70</v>
      </c>
    </row>
    <row r="162" spans="1:42" ht="15.75" customHeight="1" x14ac:dyDescent="0.3">
      <c r="A162" s="16"/>
      <c r="B162" s="55">
        <v>9</v>
      </c>
      <c r="C162" s="56" t="s">
        <v>180</v>
      </c>
      <c r="D162" s="55">
        <v>4</v>
      </c>
      <c r="E162" s="55" t="s">
        <v>21</v>
      </c>
      <c r="F162" s="18" t="s">
        <v>21</v>
      </c>
      <c r="G162" s="18" t="s">
        <v>21</v>
      </c>
      <c r="H162" s="18" t="s">
        <v>21</v>
      </c>
      <c r="I162" s="18" t="s">
        <v>21</v>
      </c>
      <c r="J162" s="43" t="s">
        <v>20</v>
      </c>
      <c r="K162" s="43" t="s">
        <v>20</v>
      </c>
      <c r="L162" s="43" t="s">
        <v>20</v>
      </c>
      <c r="M162" s="18" t="s">
        <v>20</v>
      </c>
      <c r="N162" s="18" t="s">
        <v>20</v>
      </c>
      <c r="O162" s="18" t="s">
        <v>20</v>
      </c>
      <c r="P162" s="18" t="s">
        <v>21</v>
      </c>
      <c r="Q162" s="18" t="s">
        <v>21</v>
      </c>
      <c r="R162" s="18" t="s">
        <v>21</v>
      </c>
      <c r="S162" s="18" t="s">
        <v>20</v>
      </c>
      <c r="T162" s="18" t="s">
        <v>20</v>
      </c>
      <c r="U162" s="18" t="s">
        <v>21</v>
      </c>
      <c r="V162" s="37" t="s">
        <v>20</v>
      </c>
      <c r="W162" s="37" t="s">
        <v>20</v>
      </c>
      <c r="X162" s="37" t="s">
        <v>20</v>
      </c>
      <c r="Y162" s="18" t="s">
        <v>20</v>
      </c>
      <c r="Z162" s="18" t="s">
        <v>21</v>
      </c>
      <c r="AA162" s="20" t="s">
        <v>21</v>
      </c>
      <c r="AB162" s="20" t="s">
        <v>21</v>
      </c>
      <c r="AC162" s="20" t="s">
        <v>20</v>
      </c>
      <c r="AD162" s="18" t="s">
        <v>20</v>
      </c>
      <c r="AE162" s="18" t="s">
        <v>21</v>
      </c>
      <c r="AG162">
        <f t="shared" si="18"/>
        <v>0</v>
      </c>
      <c r="AH162">
        <f t="shared" si="19"/>
        <v>14</v>
      </c>
      <c r="AI162">
        <f t="shared" si="20"/>
        <v>12</v>
      </c>
      <c r="AJ162">
        <f t="shared" si="21"/>
        <v>0</v>
      </c>
      <c r="AL162">
        <f t="shared" si="22"/>
        <v>0</v>
      </c>
      <c r="AM162">
        <f t="shared" si="23"/>
        <v>42</v>
      </c>
      <c r="AN162">
        <f t="shared" si="24"/>
        <v>24</v>
      </c>
      <c r="AO162">
        <f t="shared" si="25"/>
        <v>0</v>
      </c>
      <c r="AP162">
        <f t="shared" si="26"/>
        <v>66</v>
      </c>
    </row>
    <row r="163" spans="1:42" ht="15.75" customHeight="1" x14ac:dyDescent="0.3">
      <c r="A163" s="16"/>
      <c r="B163" s="55">
        <v>10</v>
      </c>
      <c r="C163" s="56" t="s">
        <v>181</v>
      </c>
      <c r="D163" s="55">
        <v>4</v>
      </c>
      <c r="E163" s="55" t="s">
        <v>21</v>
      </c>
      <c r="F163" s="18" t="s">
        <v>21</v>
      </c>
      <c r="G163" s="18" t="s">
        <v>20</v>
      </c>
      <c r="H163" s="18" t="s">
        <v>21</v>
      </c>
      <c r="I163" s="18" t="s">
        <v>21</v>
      </c>
      <c r="J163" s="43" t="s">
        <v>20</v>
      </c>
      <c r="K163" s="43" t="s">
        <v>20</v>
      </c>
      <c r="L163" s="43" t="s">
        <v>21</v>
      </c>
      <c r="M163" s="18" t="s">
        <v>23</v>
      </c>
      <c r="N163" s="18" t="s">
        <v>20</v>
      </c>
      <c r="O163" s="18" t="s">
        <v>20</v>
      </c>
      <c r="P163" s="18" t="s">
        <v>21</v>
      </c>
      <c r="Q163" s="18" t="s">
        <v>21</v>
      </c>
      <c r="R163" s="18" t="s">
        <v>21</v>
      </c>
      <c r="S163" s="18" t="s">
        <v>20</v>
      </c>
      <c r="T163" s="18" t="s">
        <v>20</v>
      </c>
      <c r="U163" s="18" t="s">
        <v>21</v>
      </c>
      <c r="V163" s="37" t="s">
        <v>20</v>
      </c>
      <c r="W163" s="37" t="s">
        <v>20</v>
      </c>
      <c r="X163" s="37" t="s">
        <v>20</v>
      </c>
      <c r="Y163" s="18" t="s">
        <v>21</v>
      </c>
      <c r="Z163" s="18" t="s">
        <v>21</v>
      </c>
      <c r="AA163" s="20" t="s">
        <v>21</v>
      </c>
      <c r="AB163" s="20" t="s">
        <v>23</v>
      </c>
      <c r="AC163" s="20" t="s">
        <v>21</v>
      </c>
      <c r="AD163" s="18" t="s">
        <v>23</v>
      </c>
      <c r="AE163" s="18" t="s">
        <v>21</v>
      </c>
      <c r="AG163">
        <f t="shared" si="18"/>
        <v>0</v>
      </c>
      <c r="AH163">
        <f t="shared" si="19"/>
        <v>10</v>
      </c>
      <c r="AI163">
        <f t="shared" si="20"/>
        <v>13</v>
      </c>
      <c r="AJ163">
        <f t="shared" si="21"/>
        <v>3</v>
      </c>
      <c r="AL163">
        <f t="shared" si="22"/>
        <v>0</v>
      </c>
      <c r="AM163">
        <f t="shared" si="23"/>
        <v>30</v>
      </c>
      <c r="AN163">
        <f t="shared" si="24"/>
        <v>26</v>
      </c>
      <c r="AO163">
        <f t="shared" si="25"/>
        <v>3</v>
      </c>
      <c r="AP163">
        <f t="shared" si="26"/>
        <v>59</v>
      </c>
    </row>
    <row r="164" spans="1:42" ht="15.75" customHeight="1" x14ac:dyDescent="0.3">
      <c r="A164" s="16"/>
      <c r="B164" s="55">
        <v>11</v>
      </c>
      <c r="C164" s="56" t="s">
        <v>182</v>
      </c>
      <c r="D164" s="55">
        <v>4</v>
      </c>
      <c r="E164" s="55" t="s">
        <v>21</v>
      </c>
      <c r="F164" s="18" t="s">
        <v>23</v>
      </c>
      <c r="G164" s="18" t="s">
        <v>23</v>
      </c>
      <c r="H164" s="18" t="s">
        <v>23</v>
      </c>
      <c r="I164" s="18" t="s">
        <v>23</v>
      </c>
      <c r="J164" s="43" t="s">
        <v>21</v>
      </c>
      <c r="K164" s="43" t="s">
        <v>21</v>
      </c>
      <c r="L164" s="43" t="s">
        <v>21</v>
      </c>
      <c r="M164" s="18" t="s">
        <v>21</v>
      </c>
      <c r="N164" s="18" t="s">
        <v>20</v>
      </c>
      <c r="O164" s="18" t="s">
        <v>21</v>
      </c>
      <c r="P164" s="18" t="s">
        <v>23</v>
      </c>
      <c r="Q164" s="18" t="s">
        <v>21</v>
      </c>
      <c r="R164" s="18" t="s">
        <v>21</v>
      </c>
      <c r="S164" s="18" t="s">
        <v>21</v>
      </c>
      <c r="T164" s="18" t="s">
        <v>20</v>
      </c>
      <c r="U164" s="18" t="s">
        <v>20</v>
      </c>
      <c r="V164" s="37" t="s">
        <v>20</v>
      </c>
      <c r="W164" s="37" t="s">
        <v>21</v>
      </c>
      <c r="X164" s="37" t="s">
        <v>20</v>
      </c>
      <c r="Y164" s="18" t="s">
        <v>23</v>
      </c>
      <c r="Z164" s="18" t="s">
        <v>23</v>
      </c>
      <c r="AA164" s="20" t="s">
        <v>21</v>
      </c>
      <c r="AB164" s="20" t="s">
        <v>21</v>
      </c>
      <c r="AC164" s="20" t="s">
        <v>21</v>
      </c>
      <c r="AD164" s="18" t="s">
        <v>23</v>
      </c>
      <c r="AE164" s="18" t="s">
        <v>21</v>
      </c>
      <c r="AG164">
        <f t="shared" si="18"/>
        <v>0</v>
      </c>
      <c r="AH164">
        <f t="shared" si="19"/>
        <v>5</v>
      </c>
      <c r="AI164">
        <f t="shared" si="20"/>
        <v>13</v>
      </c>
      <c r="AJ164">
        <f t="shared" si="21"/>
        <v>8</v>
      </c>
      <c r="AL164">
        <f t="shared" si="22"/>
        <v>0</v>
      </c>
      <c r="AM164">
        <f t="shared" si="23"/>
        <v>15</v>
      </c>
      <c r="AN164">
        <f t="shared" si="24"/>
        <v>26</v>
      </c>
      <c r="AO164">
        <f t="shared" si="25"/>
        <v>8</v>
      </c>
      <c r="AP164">
        <f t="shared" si="26"/>
        <v>49</v>
      </c>
    </row>
    <row r="165" spans="1:42" ht="15.75" customHeight="1" x14ac:dyDescent="0.3">
      <c r="A165" s="16"/>
      <c r="B165" s="55">
        <v>12</v>
      </c>
      <c r="C165" s="56" t="s">
        <v>183</v>
      </c>
      <c r="D165" s="55">
        <v>4</v>
      </c>
      <c r="E165" s="55" t="s">
        <v>21</v>
      </c>
      <c r="F165" s="18" t="s">
        <v>21</v>
      </c>
      <c r="G165" s="18" t="s">
        <v>21</v>
      </c>
      <c r="H165" s="18" t="s">
        <v>21</v>
      </c>
      <c r="I165" s="18" t="s">
        <v>21</v>
      </c>
      <c r="J165" s="43" t="s">
        <v>20</v>
      </c>
      <c r="K165" s="43" t="s">
        <v>20</v>
      </c>
      <c r="L165" s="43" t="s">
        <v>21</v>
      </c>
      <c r="M165" s="18" t="s">
        <v>20</v>
      </c>
      <c r="N165" s="18" t="s">
        <v>20</v>
      </c>
      <c r="O165" s="18" t="s">
        <v>20</v>
      </c>
      <c r="P165" s="18" t="s">
        <v>21</v>
      </c>
      <c r="Q165" s="18" t="s">
        <v>21</v>
      </c>
      <c r="R165" s="18" t="s">
        <v>21</v>
      </c>
      <c r="S165" s="18" t="s">
        <v>20</v>
      </c>
      <c r="T165" s="18" t="s">
        <v>20</v>
      </c>
      <c r="U165" s="18" t="s">
        <v>20</v>
      </c>
      <c r="V165" s="49" t="s">
        <v>20</v>
      </c>
      <c r="W165" s="37" t="s">
        <v>20</v>
      </c>
      <c r="X165" s="37" t="s">
        <v>20</v>
      </c>
      <c r="Y165" s="18" t="s">
        <v>20</v>
      </c>
      <c r="Z165" s="18" t="s">
        <v>21</v>
      </c>
      <c r="AA165" s="20" t="s">
        <v>21</v>
      </c>
      <c r="AB165" s="20" t="s">
        <v>20</v>
      </c>
      <c r="AC165" s="20" t="s">
        <v>20</v>
      </c>
      <c r="AD165" s="29" t="s">
        <v>20</v>
      </c>
      <c r="AE165" s="29" t="s">
        <v>21</v>
      </c>
      <c r="AG165">
        <f t="shared" si="18"/>
        <v>0</v>
      </c>
      <c r="AH165">
        <f t="shared" si="19"/>
        <v>15</v>
      </c>
      <c r="AI165">
        <f t="shared" si="20"/>
        <v>11</v>
      </c>
      <c r="AJ165">
        <f t="shared" si="21"/>
        <v>0</v>
      </c>
      <c r="AL165">
        <f t="shared" si="22"/>
        <v>0</v>
      </c>
      <c r="AM165">
        <f t="shared" si="23"/>
        <v>45</v>
      </c>
      <c r="AN165">
        <f t="shared" si="24"/>
        <v>22</v>
      </c>
      <c r="AO165">
        <f t="shared" si="25"/>
        <v>0</v>
      </c>
      <c r="AP165">
        <f t="shared" si="26"/>
        <v>67</v>
      </c>
    </row>
    <row r="166" spans="1:42" ht="15.75" customHeight="1" x14ac:dyDescent="0.3">
      <c r="A166" s="16"/>
      <c r="B166" s="55">
        <v>13</v>
      </c>
      <c r="C166" s="56" t="s">
        <v>184</v>
      </c>
      <c r="D166" s="55">
        <v>4</v>
      </c>
      <c r="E166" s="55" t="s">
        <v>21</v>
      </c>
      <c r="F166" s="18" t="s">
        <v>21</v>
      </c>
      <c r="G166" s="18" t="s">
        <v>21</v>
      </c>
      <c r="H166" s="18" t="s">
        <v>23</v>
      </c>
      <c r="I166" s="18" t="s">
        <v>21</v>
      </c>
      <c r="J166" s="43" t="s">
        <v>20</v>
      </c>
      <c r="K166" s="43" t="s">
        <v>20</v>
      </c>
      <c r="L166" s="43" t="s">
        <v>21</v>
      </c>
      <c r="M166" s="18" t="s">
        <v>21</v>
      </c>
      <c r="N166" s="18" t="s">
        <v>20</v>
      </c>
      <c r="O166" s="18" t="s">
        <v>21</v>
      </c>
      <c r="P166" s="18" t="s">
        <v>21</v>
      </c>
      <c r="Q166" s="18" t="s">
        <v>21</v>
      </c>
      <c r="R166" s="18" t="s">
        <v>21</v>
      </c>
      <c r="S166" s="18" t="s">
        <v>23</v>
      </c>
      <c r="T166" s="18" t="s">
        <v>23</v>
      </c>
      <c r="U166" s="18" t="s">
        <v>20</v>
      </c>
      <c r="V166" s="49" t="s">
        <v>20</v>
      </c>
      <c r="W166" s="37" t="s">
        <v>21</v>
      </c>
      <c r="X166" s="37" t="s">
        <v>20</v>
      </c>
      <c r="Y166" s="18" t="s">
        <v>23</v>
      </c>
      <c r="Z166" s="18" t="s">
        <v>21</v>
      </c>
      <c r="AA166" s="20" t="s">
        <v>21</v>
      </c>
      <c r="AB166" s="20" t="s">
        <v>20</v>
      </c>
      <c r="AC166" s="20" t="s">
        <v>23</v>
      </c>
      <c r="AD166" s="29" t="s">
        <v>23</v>
      </c>
      <c r="AE166" s="29" t="s">
        <v>21</v>
      </c>
      <c r="AG166">
        <f t="shared" si="18"/>
        <v>0</v>
      </c>
      <c r="AH166">
        <f t="shared" si="19"/>
        <v>7</v>
      </c>
      <c r="AI166">
        <f t="shared" si="20"/>
        <v>13</v>
      </c>
      <c r="AJ166">
        <f t="shared" si="21"/>
        <v>6</v>
      </c>
      <c r="AL166">
        <f t="shared" si="22"/>
        <v>0</v>
      </c>
      <c r="AM166">
        <f t="shared" si="23"/>
        <v>21</v>
      </c>
      <c r="AN166">
        <f t="shared" si="24"/>
        <v>26</v>
      </c>
      <c r="AO166">
        <f t="shared" si="25"/>
        <v>6</v>
      </c>
      <c r="AP166">
        <f t="shared" si="26"/>
        <v>53</v>
      </c>
    </row>
    <row r="167" spans="1:42" ht="15.75" customHeight="1" x14ac:dyDescent="0.3">
      <c r="A167" s="16"/>
      <c r="B167" s="55">
        <v>14</v>
      </c>
      <c r="C167" s="56" t="s">
        <v>185</v>
      </c>
      <c r="D167" s="55">
        <v>4</v>
      </c>
      <c r="E167" s="55" t="s">
        <v>21</v>
      </c>
      <c r="F167" s="18" t="s">
        <v>21</v>
      </c>
      <c r="G167" s="18" t="s">
        <v>21</v>
      </c>
      <c r="H167" s="18" t="s">
        <v>21</v>
      </c>
      <c r="I167" s="18" t="s">
        <v>21</v>
      </c>
      <c r="J167" s="43" t="s">
        <v>20</v>
      </c>
      <c r="K167" s="43" t="s">
        <v>21</v>
      </c>
      <c r="L167" s="43" t="s">
        <v>21</v>
      </c>
      <c r="M167" s="18" t="s">
        <v>21</v>
      </c>
      <c r="N167" s="18" t="s">
        <v>21</v>
      </c>
      <c r="O167" s="18" t="s">
        <v>20</v>
      </c>
      <c r="P167" s="18" t="s">
        <v>21</v>
      </c>
      <c r="Q167" s="18" t="s">
        <v>21</v>
      </c>
      <c r="R167" s="18" t="s">
        <v>21</v>
      </c>
      <c r="S167" s="18" t="s">
        <v>20</v>
      </c>
      <c r="T167" s="18" t="s">
        <v>20</v>
      </c>
      <c r="U167" s="18" t="s">
        <v>21</v>
      </c>
      <c r="V167" s="49" t="s">
        <v>20</v>
      </c>
      <c r="W167" s="37" t="s">
        <v>20</v>
      </c>
      <c r="X167" s="37" t="s">
        <v>20</v>
      </c>
      <c r="Y167" s="18" t="s">
        <v>21</v>
      </c>
      <c r="Z167" s="18" t="s">
        <v>21</v>
      </c>
      <c r="AA167" s="20" t="s">
        <v>20</v>
      </c>
      <c r="AB167" s="20" t="s">
        <v>21</v>
      </c>
      <c r="AC167" s="20" t="s">
        <v>20</v>
      </c>
      <c r="AD167" s="29" t="s">
        <v>21</v>
      </c>
      <c r="AE167" s="29" t="s">
        <v>21</v>
      </c>
      <c r="AG167">
        <f t="shared" si="18"/>
        <v>0</v>
      </c>
      <c r="AH167">
        <f t="shared" si="19"/>
        <v>9</v>
      </c>
      <c r="AI167">
        <f t="shared" si="20"/>
        <v>17</v>
      </c>
      <c r="AJ167">
        <f t="shared" si="21"/>
        <v>0</v>
      </c>
      <c r="AL167">
        <f t="shared" si="22"/>
        <v>0</v>
      </c>
      <c r="AM167">
        <f t="shared" si="23"/>
        <v>27</v>
      </c>
      <c r="AN167">
        <f t="shared" si="24"/>
        <v>34</v>
      </c>
      <c r="AO167">
        <f t="shared" si="25"/>
        <v>0</v>
      </c>
      <c r="AP167">
        <f t="shared" si="26"/>
        <v>61</v>
      </c>
    </row>
    <row r="168" spans="1:42" ht="15.75" customHeight="1" x14ac:dyDescent="0.3">
      <c r="A168" s="16"/>
      <c r="B168" s="55">
        <v>15</v>
      </c>
      <c r="C168" s="56" t="s">
        <v>186</v>
      </c>
      <c r="D168" s="55">
        <v>4</v>
      </c>
      <c r="E168" s="55" t="s">
        <v>21</v>
      </c>
      <c r="F168" s="18" t="s">
        <v>20</v>
      </c>
      <c r="G168" s="18" t="s">
        <v>20</v>
      </c>
      <c r="H168" s="18" t="s">
        <v>20</v>
      </c>
      <c r="I168" s="18" t="s">
        <v>20</v>
      </c>
      <c r="J168" s="43" t="s">
        <v>20</v>
      </c>
      <c r="K168" s="43" t="s">
        <v>20</v>
      </c>
      <c r="L168" s="43" t="s">
        <v>20</v>
      </c>
      <c r="M168" s="18" t="s">
        <v>20</v>
      </c>
      <c r="N168" s="18" t="s">
        <v>20</v>
      </c>
      <c r="O168" s="18" t="s">
        <v>20</v>
      </c>
      <c r="P168" s="18" t="s">
        <v>20</v>
      </c>
      <c r="Q168" s="18" t="s">
        <v>20</v>
      </c>
      <c r="R168" s="18" t="s">
        <v>20</v>
      </c>
      <c r="S168" s="18" t="s">
        <v>20</v>
      </c>
      <c r="T168" s="18" t="s">
        <v>20</v>
      </c>
      <c r="U168" s="18" t="s">
        <v>20</v>
      </c>
      <c r="V168" s="49" t="s">
        <v>20</v>
      </c>
      <c r="W168" s="37" t="s">
        <v>20</v>
      </c>
      <c r="X168" s="37" t="s">
        <v>20</v>
      </c>
      <c r="Y168" s="18" t="s">
        <v>20</v>
      </c>
      <c r="Z168" s="18" t="s">
        <v>20</v>
      </c>
      <c r="AA168" s="20" t="s">
        <v>20</v>
      </c>
      <c r="AB168" s="20" t="s">
        <v>20</v>
      </c>
      <c r="AC168" s="20" t="s">
        <v>20</v>
      </c>
      <c r="AD168" s="29" t="s">
        <v>20</v>
      </c>
      <c r="AE168" s="29" t="s">
        <v>21</v>
      </c>
      <c r="AG168">
        <f t="shared" si="18"/>
        <v>0</v>
      </c>
      <c r="AH168">
        <f t="shared" si="19"/>
        <v>25</v>
      </c>
      <c r="AI168">
        <f t="shared" si="20"/>
        <v>1</v>
      </c>
      <c r="AJ168">
        <f t="shared" si="21"/>
        <v>0</v>
      </c>
      <c r="AL168">
        <f t="shared" si="22"/>
        <v>0</v>
      </c>
      <c r="AM168">
        <f t="shared" si="23"/>
        <v>75</v>
      </c>
      <c r="AN168">
        <f t="shared" si="24"/>
        <v>2</v>
      </c>
      <c r="AO168">
        <f t="shared" si="25"/>
        <v>0</v>
      </c>
      <c r="AP168">
        <f t="shared" si="26"/>
        <v>77</v>
      </c>
    </row>
    <row r="169" spans="1:42" ht="15.75" customHeight="1" x14ac:dyDescent="0.3">
      <c r="A169" s="16"/>
      <c r="B169" s="55">
        <v>16</v>
      </c>
      <c r="C169" s="56" t="s">
        <v>187</v>
      </c>
      <c r="D169" s="55">
        <v>4</v>
      </c>
      <c r="E169" s="55" t="s">
        <v>21</v>
      </c>
      <c r="F169" s="18" t="s">
        <v>21</v>
      </c>
      <c r="G169" s="18" t="s">
        <v>21</v>
      </c>
      <c r="H169" s="18" t="s">
        <v>21</v>
      </c>
      <c r="I169" s="18" t="s">
        <v>21</v>
      </c>
      <c r="J169" s="43" t="s">
        <v>20</v>
      </c>
      <c r="K169" s="43" t="s">
        <v>20</v>
      </c>
      <c r="L169" s="43" t="s">
        <v>21</v>
      </c>
      <c r="M169" s="18" t="s">
        <v>20</v>
      </c>
      <c r="N169" s="18" t="s">
        <v>20</v>
      </c>
      <c r="O169" s="18" t="s">
        <v>20</v>
      </c>
      <c r="P169" s="18" t="s">
        <v>21</v>
      </c>
      <c r="Q169" s="18" t="s">
        <v>21</v>
      </c>
      <c r="R169" s="18" t="s">
        <v>21</v>
      </c>
      <c r="S169" s="18" t="s">
        <v>21</v>
      </c>
      <c r="T169" s="18" t="s">
        <v>20</v>
      </c>
      <c r="U169" s="18" t="s">
        <v>21</v>
      </c>
      <c r="V169" s="49" t="s">
        <v>20</v>
      </c>
      <c r="W169" s="37" t="s">
        <v>20</v>
      </c>
      <c r="X169" s="37" t="s">
        <v>20</v>
      </c>
      <c r="Y169" s="18" t="s">
        <v>21</v>
      </c>
      <c r="Z169" s="18" t="s">
        <v>21</v>
      </c>
      <c r="AA169" s="20" t="s">
        <v>21</v>
      </c>
      <c r="AB169" s="20" t="s">
        <v>21</v>
      </c>
      <c r="AC169" s="20" t="s">
        <v>21</v>
      </c>
      <c r="AD169" s="29" t="s">
        <v>21</v>
      </c>
      <c r="AE169" s="29" t="s">
        <v>21</v>
      </c>
      <c r="AG169">
        <f t="shared" si="18"/>
        <v>0</v>
      </c>
      <c r="AH169">
        <f t="shared" si="19"/>
        <v>9</v>
      </c>
      <c r="AI169">
        <f t="shared" si="20"/>
        <v>17</v>
      </c>
      <c r="AJ169">
        <f t="shared" si="21"/>
        <v>0</v>
      </c>
      <c r="AL169">
        <f t="shared" si="22"/>
        <v>0</v>
      </c>
      <c r="AM169">
        <f t="shared" si="23"/>
        <v>27</v>
      </c>
      <c r="AN169">
        <f t="shared" si="24"/>
        <v>34</v>
      </c>
      <c r="AO169">
        <f t="shared" si="25"/>
        <v>0</v>
      </c>
      <c r="AP169">
        <f t="shared" si="26"/>
        <v>61</v>
      </c>
    </row>
    <row r="170" spans="1:42" ht="15.75" customHeight="1" x14ac:dyDescent="0.3">
      <c r="A170" s="16"/>
      <c r="B170" s="55">
        <v>17</v>
      </c>
      <c r="C170" s="56" t="s">
        <v>188</v>
      </c>
      <c r="D170" s="55">
        <v>4</v>
      </c>
      <c r="E170" s="55" t="s">
        <v>21</v>
      </c>
      <c r="F170" s="18" t="s">
        <v>21</v>
      </c>
      <c r="G170" s="18" t="s">
        <v>21</v>
      </c>
      <c r="H170" s="18" t="s">
        <v>21</v>
      </c>
      <c r="I170" s="18" t="s">
        <v>21</v>
      </c>
      <c r="J170" s="43" t="s">
        <v>20</v>
      </c>
      <c r="K170" s="43" t="s">
        <v>20</v>
      </c>
      <c r="L170" s="43" t="s">
        <v>21</v>
      </c>
      <c r="M170" s="18" t="s">
        <v>21</v>
      </c>
      <c r="N170" s="18" t="s">
        <v>20</v>
      </c>
      <c r="O170" s="18" t="s">
        <v>21</v>
      </c>
      <c r="P170" s="18" t="s">
        <v>21</v>
      </c>
      <c r="Q170" s="18" t="s">
        <v>21</v>
      </c>
      <c r="R170" s="18" t="s">
        <v>21</v>
      </c>
      <c r="S170" s="18" t="s">
        <v>23</v>
      </c>
      <c r="T170" s="18" t="s">
        <v>21</v>
      </c>
      <c r="U170" s="18" t="s">
        <v>20</v>
      </c>
      <c r="V170" s="49" t="s">
        <v>20</v>
      </c>
      <c r="W170" s="37" t="s">
        <v>20</v>
      </c>
      <c r="X170" s="37" t="s">
        <v>20</v>
      </c>
      <c r="Y170" s="18" t="s">
        <v>20</v>
      </c>
      <c r="Z170" s="18" t="s">
        <v>20</v>
      </c>
      <c r="AA170" s="20" t="s">
        <v>20</v>
      </c>
      <c r="AB170" s="20" t="s">
        <v>20</v>
      </c>
      <c r="AC170" s="20" t="s">
        <v>20</v>
      </c>
      <c r="AD170" s="29" t="s">
        <v>21</v>
      </c>
      <c r="AE170" s="29" t="s">
        <v>21</v>
      </c>
      <c r="AG170">
        <f t="shared" si="18"/>
        <v>0</v>
      </c>
      <c r="AH170">
        <f t="shared" si="19"/>
        <v>12</v>
      </c>
      <c r="AI170">
        <f t="shared" si="20"/>
        <v>13</v>
      </c>
      <c r="AJ170">
        <f t="shared" si="21"/>
        <v>1</v>
      </c>
      <c r="AL170">
        <f t="shared" si="22"/>
        <v>0</v>
      </c>
      <c r="AM170">
        <f t="shared" si="23"/>
        <v>36</v>
      </c>
      <c r="AN170">
        <f t="shared" si="24"/>
        <v>26</v>
      </c>
      <c r="AO170">
        <f t="shared" si="25"/>
        <v>1</v>
      </c>
      <c r="AP170">
        <f t="shared" si="26"/>
        <v>63</v>
      </c>
    </row>
    <row r="171" spans="1:42" ht="15.75" customHeight="1" x14ac:dyDescent="0.3">
      <c r="A171" s="16"/>
      <c r="B171" s="55">
        <v>18</v>
      </c>
      <c r="C171" s="56" t="s">
        <v>189</v>
      </c>
      <c r="D171" s="55">
        <v>4</v>
      </c>
      <c r="E171" s="55" t="s">
        <v>21</v>
      </c>
      <c r="F171" s="18" t="s">
        <v>23</v>
      </c>
      <c r="G171" s="18" t="s">
        <v>23</v>
      </c>
      <c r="H171" s="18" t="s">
        <v>23</v>
      </c>
      <c r="I171" s="18" t="s">
        <v>23</v>
      </c>
      <c r="J171" s="43" t="s">
        <v>20</v>
      </c>
      <c r="K171" s="43" t="s">
        <v>20</v>
      </c>
      <c r="L171" s="43" t="s">
        <v>21</v>
      </c>
      <c r="M171" s="18" t="s">
        <v>21</v>
      </c>
      <c r="N171" s="18" t="s">
        <v>21</v>
      </c>
      <c r="O171" s="18" t="s">
        <v>20</v>
      </c>
      <c r="P171" s="18" t="s">
        <v>21</v>
      </c>
      <c r="Q171" s="18" t="s">
        <v>21</v>
      </c>
      <c r="R171" s="18" t="s">
        <v>23</v>
      </c>
      <c r="S171" s="18" t="s">
        <v>21</v>
      </c>
      <c r="T171" s="18" t="s">
        <v>20</v>
      </c>
      <c r="U171" s="18" t="s">
        <v>21</v>
      </c>
      <c r="V171" s="49" t="s">
        <v>20</v>
      </c>
      <c r="W171" s="37" t="s">
        <v>21</v>
      </c>
      <c r="X171" s="37" t="s">
        <v>20</v>
      </c>
      <c r="Y171" s="18" t="s">
        <v>20</v>
      </c>
      <c r="Z171" s="18" t="s">
        <v>20</v>
      </c>
      <c r="AA171" s="20" t="s">
        <v>21</v>
      </c>
      <c r="AB171" s="20" t="s">
        <v>21</v>
      </c>
      <c r="AC171" s="20" t="s">
        <v>21</v>
      </c>
      <c r="AD171" s="29" t="s">
        <v>21</v>
      </c>
      <c r="AE171" s="29" t="s">
        <v>21</v>
      </c>
      <c r="AG171">
        <f t="shared" si="18"/>
        <v>0</v>
      </c>
      <c r="AH171">
        <f t="shared" si="19"/>
        <v>8</v>
      </c>
      <c r="AI171">
        <f t="shared" si="20"/>
        <v>13</v>
      </c>
      <c r="AJ171">
        <f t="shared" si="21"/>
        <v>5</v>
      </c>
      <c r="AL171">
        <f t="shared" si="22"/>
        <v>0</v>
      </c>
      <c r="AM171">
        <f t="shared" si="23"/>
        <v>24</v>
      </c>
      <c r="AN171">
        <f t="shared" si="24"/>
        <v>26</v>
      </c>
      <c r="AO171">
        <f t="shared" si="25"/>
        <v>5</v>
      </c>
      <c r="AP171">
        <f t="shared" si="26"/>
        <v>55</v>
      </c>
    </row>
    <row r="172" spans="1:42" ht="15.75" customHeight="1" x14ac:dyDescent="0.3">
      <c r="A172" s="16"/>
      <c r="B172" s="55">
        <v>19</v>
      </c>
      <c r="C172" s="56" t="s">
        <v>190</v>
      </c>
      <c r="D172" s="55">
        <v>4</v>
      </c>
      <c r="E172" s="55" t="s">
        <v>21</v>
      </c>
      <c r="F172" s="18" t="s">
        <v>23</v>
      </c>
      <c r="G172" s="18" t="s">
        <v>21</v>
      </c>
      <c r="H172" s="18" t="s">
        <v>21</v>
      </c>
      <c r="I172" s="18" t="s">
        <v>21</v>
      </c>
      <c r="J172" s="43" t="s">
        <v>20</v>
      </c>
      <c r="K172" s="43" t="s">
        <v>20</v>
      </c>
      <c r="L172" s="43" t="s">
        <v>21</v>
      </c>
      <c r="M172" s="18" t="s">
        <v>20</v>
      </c>
      <c r="N172" s="18" t="s">
        <v>20</v>
      </c>
      <c r="O172" s="18" t="s">
        <v>21</v>
      </c>
      <c r="P172" s="18" t="s">
        <v>21</v>
      </c>
      <c r="Q172" s="18" t="s">
        <v>21</v>
      </c>
      <c r="R172" s="18" t="s">
        <v>21</v>
      </c>
      <c r="S172" s="18" t="s">
        <v>20</v>
      </c>
      <c r="T172" s="18" t="s">
        <v>20</v>
      </c>
      <c r="U172" s="18" t="s">
        <v>21</v>
      </c>
      <c r="V172" s="49" t="s">
        <v>20</v>
      </c>
      <c r="W172" s="37" t="s">
        <v>20</v>
      </c>
      <c r="X172" s="37" t="s">
        <v>20</v>
      </c>
      <c r="Y172" s="18" t="s">
        <v>20</v>
      </c>
      <c r="Z172" s="18" t="s">
        <v>21</v>
      </c>
      <c r="AA172" s="20" t="s">
        <v>21</v>
      </c>
      <c r="AB172" s="20" t="s">
        <v>21</v>
      </c>
      <c r="AC172" s="20" t="s">
        <v>21</v>
      </c>
      <c r="AD172" s="29" t="s">
        <v>21</v>
      </c>
      <c r="AE172" s="29" t="s">
        <v>21</v>
      </c>
      <c r="AG172">
        <f t="shared" si="18"/>
        <v>0</v>
      </c>
      <c r="AH172">
        <f t="shared" si="19"/>
        <v>10</v>
      </c>
      <c r="AI172">
        <f t="shared" si="20"/>
        <v>15</v>
      </c>
      <c r="AJ172">
        <f t="shared" si="21"/>
        <v>1</v>
      </c>
      <c r="AL172">
        <f t="shared" si="22"/>
        <v>0</v>
      </c>
      <c r="AM172">
        <f t="shared" si="23"/>
        <v>30</v>
      </c>
      <c r="AN172">
        <f t="shared" si="24"/>
        <v>30</v>
      </c>
      <c r="AO172">
        <f t="shared" si="25"/>
        <v>1</v>
      </c>
      <c r="AP172">
        <f t="shared" si="26"/>
        <v>61</v>
      </c>
    </row>
    <row r="173" spans="1:42" ht="15.75" customHeight="1" x14ac:dyDescent="0.3">
      <c r="A173" s="16"/>
      <c r="B173" s="55">
        <v>20</v>
      </c>
      <c r="C173" s="56" t="s">
        <v>191</v>
      </c>
      <c r="D173" s="55">
        <v>4</v>
      </c>
      <c r="E173" s="55" t="s">
        <v>21</v>
      </c>
      <c r="F173" s="18" t="s">
        <v>20</v>
      </c>
      <c r="G173" s="18" t="s">
        <v>20</v>
      </c>
      <c r="H173" s="18" t="s">
        <v>20</v>
      </c>
      <c r="I173" s="18" t="s">
        <v>39</v>
      </c>
      <c r="J173" s="43" t="s">
        <v>20</v>
      </c>
      <c r="K173" s="43" t="s">
        <v>39</v>
      </c>
      <c r="L173" s="43" t="s">
        <v>20</v>
      </c>
      <c r="M173" s="18" t="s">
        <v>20</v>
      </c>
      <c r="N173" s="18" t="s">
        <v>20</v>
      </c>
      <c r="O173" s="18" t="s">
        <v>20</v>
      </c>
      <c r="P173" s="18" t="s">
        <v>20</v>
      </c>
      <c r="Q173" s="18" t="s">
        <v>20</v>
      </c>
      <c r="R173" s="18" t="s">
        <v>20</v>
      </c>
      <c r="S173" s="18" t="s">
        <v>20</v>
      </c>
      <c r="T173" s="18" t="s">
        <v>20</v>
      </c>
      <c r="U173" s="18" t="s">
        <v>20</v>
      </c>
      <c r="V173" s="50" t="s">
        <v>20</v>
      </c>
      <c r="W173" s="37" t="s">
        <v>20</v>
      </c>
      <c r="X173" s="37" t="s">
        <v>20</v>
      </c>
      <c r="Y173" s="18" t="s">
        <v>39</v>
      </c>
      <c r="Z173" s="18" t="s">
        <v>39</v>
      </c>
      <c r="AA173" s="20" t="s">
        <v>20</v>
      </c>
      <c r="AB173" s="20" t="s">
        <v>20</v>
      </c>
      <c r="AC173" s="20" t="s">
        <v>20</v>
      </c>
      <c r="AD173" s="29" t="s">
        <v>20</v>
      </c>
      <c r="AE173" s="29" t="s">
        <v>21</v>
      </c>
      <c r="AG173">
        <f t="shared" si="18"/>
        <v>4</v>
      </c>
      <c r="AH173">
        <f t="shared" si="19"/>
        <v>21</v>
      </c>
      <c r="AI173">
        <f t="shared" si="20"/>
        <v>1</v>
      </c>
      <c r="AJ173">
        <f t="shared" si="21"/>
        <v>0</v>
      </c>
      <c r="AL173">
        <f t="shared" si="22"/>
        <v>16</v>
      </c>
      <c r="AM173">
        <f t="shared" si="23"/>
        <v>63</v>
      </c>
      <c r="AN173">
        <f t="shared" si="24"/>
        <v>2</v>
      </c>
      <c r="AO173">
        <f t="shared" si="25"/>
        <v>0</v>
      </c>
      <c r="AP173">
        <f t="shared" si="26"/>
        <v>81</v>
      </c>
    </row>
    <row r="174" spans="1:42" ht="15.75" customHeight="1" x14ac:dyDescent="0.3">
      <c r="A174" s="16"/>
      <c r="B174" s="55">
        <v>21</v>
      </c>
      <c r="C174" s="56" t="s">
        <v>192</v>
      </c>
      <c r="D174" s="55">
        <v>4</v>
      </c>
      <c r="E174" s="55" t="s">
        <v>21</v>
      </c>
      <c r="F174" s="18" t="s">
        <v>21</v>
      </c>
      <c r="G174" s="18" t="s">
        <v>23</v>
      </c>
      <c r="H174" s="18" t="s">
        <v>23</v>
      </c>
      <c r="I174" s="18" t="s">
        <v>23</v>
      </c>
      <c r="J174" s="43" t="s">
        <v>20</v>
      </c>
      <c r="K174" s="43" t="s">
        <v>21</v>
      </c>
      <c r="L174" s="43" t="s">
        <v>21</v>
      </c>
      <c r="M174" s="18" t="s">
        <v>21</v>
      </c>
      <c r="N174" s="18" t="s">
        <v>21</v>
      </c>
      <c r="O174" s="18" t="s">
        <v>21</v>
      </c>
      <c r="P174" s="18" t="s">
        <v>21</v>
      </c>
      <c r="Q174" s="18" t="s">
        <v>21</v>
      </c>
      <c r="R174" s="18" t="s">
        <v>23</v>
      </c>
      <c r="S174" s="18" t="s">
        <v>21</v>
      </c>
      <c r="T174" s="18" t="s">
        <v>20</v>
      </c>
      <c r="U174" s="18" t="s">
        <v>20</v>
      </c>
      <c r="V174" s="49" t="s">
        <v>20</v>
      </c>
      <c r="W174" s="37" t="s">
        <v>20</v>
      </c>
      <c r="X174" s="37" t="s">
        <v>20</v>
      </c>
      <c r="Y174" s="18" t="s">
        <v>21</v>
      </c>
      <c r="Z174" s="18" t="s">
        <v>21</v>
      </c>
      <c r="AA174" s="20" t="s">
        <v>21</v>
      </c>
      <c r="AB174" s="20" t="s">
        <v>21</v>
      </c>
      <c r="AC174" s="20" t="s">
        <v>20</v>
      </c>
      <c r="AD174" s="29" t="s">
        <v>21</v>
      </c>
      <c r="AE174" s="29" t="s">
        <v>21</v>
      </c>
      <c r="AG174">
        <f t="shared" si="18"/>
        <v>0</v>
      </c>
      <c r="AH174">
        <f t="shared" si="19"/>
        <v>7</v>
      </c>
      <c r="AI174">
        <f t="shared" si="20"/>
        <v>15</v>
      </c>
      <c r="AJ174">
        <f t="shared" si="21"/>
        <v>4</v>
      </c>
      <c r="AL174">
        <f t="shared" si="22"/>
        <v>0</v>
      </c>
      <c r="AM174">
        <f t="shared" si="23"/>
        <v>21</v>
      </c>
      <c r="AN174">
        <f t="shared" si="24"/>
        <v>30</v>
      </c>
      <c r="AO174">
        <f t="shared" si="25"/>
        <v>4</v>
      </c>
      <c r="AP174">
        <f t="shared" si="26"/>
        <v>55</v>
      </c>
    </row>
    <row r="175" spans="1:42" ht="15.75" customHeight="1" x14ac:dyDescent="0.3">
      <c r="A175" s="16"/>
      <c r="B175" s="55">
        <v>22</v>
      </c>
      <c r="C175" s="56" t="s">
        <v>193</v>
      </c>
      <c r="D175" s="55">
        <v>4</v>
      </c>
      <c r="E175" s="55" t="s">
        <v>21</v>
      </c>
      <c r="F175" s="18" t="s">
        <v>20</v>
      </c>
      <c r="G175" s="18" t="s">
        <v>39</v>
      </c>
      <c r="H175" s="18" t="s">
        <v>39</v>
      </c>
      <c r="I175" s="18" t="s">
        <v>39</v>
      </c>
      <c r="J175" s="43" t="s">
        <v>20</v>
      </c>
      <c r="K175" s="43" t="s">
        <v>20</v>
      </c>
      <c r="L175" s="43" t="s">
        <v>20</v>
      </c>
      <c r="M175" s="18" t="s">
        <v>20</v>
      </c>
      <c r="N175" s="18" t="s">
        <v>20</v>
      </c>
      <c r="O175" s="18" t="s">
        <v>20</v>
      </c>
      <c r="P175" s="18" t="s">
        <v>20</v>
      </c>
      <c r="Q175" s="18" t="s">
        <v>21</v>
      </c>
      <c r="R175" s="18" t="s">
        <v>21</v>
      </c>
      <c r="S175" s="18" t="s">
        <v>20</v>
      </c>
      <c r="T175" s="18" t="s">
        <v>20</v>
      </c>
      <c r="U175" s="18" t="s">
        <v>20</v>
      </c>
      <c r="V175" s="49" t="s">
        <v>20</v>
      </c>
      <c r="W175" s="37" t="s">
        <v>20</v>
      </c>
      <c r="X175" s="37" t="s">
        <v>20</v>
      </c>
      <c r="Y175" s="18" t="s">
        <v>20</v>
      </c>
      <c r="Z175" s="18" t="s">
        <v>20</v>
      </c>
      <c r="AA175" s="20" t="s">
        <v>20</v>
      </c>
      <c r="AB175" s="20" t="s">
        <v>21</v>
      </c>
      <c r="AC175" s="20" t="s">
        <v>20</v>
      </c>
      <c r="AD175" s="29" t="s">
        <v>55</v>
      </c>
      <c r="AE175" s="29" t="s">
        <v>55</v>
      </c>
      <c r="AG175">
        <f t="shared" si="18"/>
        <v>3</v>
      </c>
      <c r="AH175">
        <f t="shared" si="19"/>
        <v>18</v>
      </c>
      <c r="AI175">
        <f t="shared" si="20"/>
        <v>3</v>
      </c>
      <c r="AJ175">
        <f t="shared" si="21"/>
        <v>0</v>
      </c>
      <c r="AL175">
        <f t="shared" si="22"/>
        <v>12</v>
      </c>
      <c r="AM175">
        <f t="shared" si="23"/>
        <v>54</v>
      </c>
      <c r="AN175">
        <f t="shared" si="24"/>
        <v>6</v>
      </c>
      <c r="AO175">
        <f t="shared" si="25"/>
        <v>0</v>
      </c>
      <c r="AP175">
        <f t="shared" si="26"/>
        <v>72</v>
      </c>
    </row>
    <row r="176" spans="1:42" ht="15.75" customHeight="1" x14ac:dyDescent="0.3">
      <c r="A176" s="16"/>
      <c r="B176" s="55">
        <v>23</v>
      </c>
      <c r="C176" s="56" t="s">
        <v>194</v>
      </c>
      <c r="D176" s="55">
        <v>4</v>
      </c>
      <c r="E176" s="55" t="s">
        <v>21</v>
      </c>
      <c r="F176" s="18" t="s">
        <v>20</v>
      </c>
      <c r="G176" s="18" t="s">
        <v>20</v>
      </c>
      <c r="H176" s="18" t="s">
        <v>20</v>
      </c>
      <c r="I176" s="18" t="s">
        <v>20</v>
      </c>
      <c r="J176" s="43" t="s">
        <v>20</v>
      </c>
      <c r="K176" s="43" t="s">
        <v>20</v>
      </c>
      <c r="L176" s="43" t="s">
        <v>21</v>
      </c>
      <c r="M176" s="18" t="s">
        <v>20</v>
      </c>
      <c r="N176" s="18" t="s">
        <v>21</v>
      </c>
      <c r="O176" s="18" t="s">
        <v>20</v>
      </c>
      <c r="P176" s="18" t="s">
        <v>20</v>
      </c>
      <c r="Q176" s="18" t="s">
        <v>20</v>
      </c>
      <c r="R176" s="18" t="s">
        <v>20</v>
      </c>
      <c r="S176" s="18" t="s">
        <v>20</v>
      </c>
      <c r="T176" s="18" t="s">
        <v>20</v>
      </c>
      <c r="U176" s="18" t="s">
        <v>20</v>
      </c>
      <c r="V176" s="49" t="s">
        <v>20</v>
      </c>
      <c r="W176" s="37" t="s">
        <v>20</v>
      </c>
      <c r="X176" s="37" t="s">
        <v>20</v>
      </c>
      <c r="Y176" s="18" t="s">
        <v>20</v>
      </c>
      <c r="Z176" s="18" t="s">
        <v>20</v>
      </c>
      <c r="AA176" s="20" t="s">
        <v>21</v>
      </c>
      <c r="AB176" s="20" t="s">
        <v>21</v>
      </c>
      <c r="AC176" s="20" t="s">
        <v>20</v>
      </c>
      <c r="AD176" s="29" t="s">
        <v>20</v>
      </c>
      <c r="AE176" s="29" t="s">
        <v>21</v>
      </c>
      <c r="AG176">
        <f t="shared" si="18"/>
        <v>0</v>
      </c>
      <c r="AH176">
        <f t="shared" si="19"/>
        <v>21</v>
      </c>
      <c r="AI176">
        <f t="shared" si="20"/>
        <v>5</v>
      </c>
      <c r="AJ176">
        <f t="shared" si="21"/>
        <v>0</v>
      </c>
      <c r="AL176">
        <f t="shared" si="22"/>
        <v>0</v>
      </c>
      <c r="AM176">
        <f t="shared" si="23"/>
        <v>63</v>
      </c>
      <c r="AN176">
        <f t="shared" si="24"/>
        <v>10</v>
      </c>
      <c r="AO176">
        <f t="shared" si="25"/>
        <v>0</v>
      </c>
      <c r="AP176">
        <f t="shared" si="26"/>
        <v>73</v>
      </c>
    </row>
    <row r="177" spans="1:42" ht="15.75" customHeight="1" x14ac:dyDescent="0.3">
      <c r="A177" s="16"/>
      <c r="B177" s="55">
        <v>24</v>
      </c>
      <c r="C177" s="56" t="s">
        <v>195</v>
      </c>
      <c r="D177" s="55">
        <v>4</v>
      </c>
      <c r="E177" s="55" t="s">
        <v>21</v>
      </c>
      <c r="F177" s="18" t="s">
        <v>20</v>
      </c>
      <c r="G177" s="18" t="s">
        <v>20</v>
      </c>
      <c r="H177" s="18" t="s">
        <v>20</v>
      </c>
      <c r="I177" s="18" t="s">
        <v>20</v>
      </c>
      <c r="J177" s="43" t="s">
        <v>20</v>
      </c>
      <c r="K177" s="43" t="s">
        <v>20</v>
      </c>
      <c r="L177" s="43" t="s">
        <v>20</v>
      </c>
      <c r="M177" s="18" t="s">
        <v>20</v>
      </c>
      <c r="N177" s="18" t="s">
        <v>20</v>
      </c>
      <c r="O177" s="18" t="s">
        <v>20</v>
      </c>
      <c r="P177" s="18" t="s">
        <v>21</v>
      </c>
      <c r="Q177" s="18" t="s">
        <v>21</v>
      </c>
      <c r="R177" s="18" t="s">
        <v>20</v>
      </c>
      <c r="S177" s="18" t="s">
        <v>20</v>
      </c>
      <c r="T177" s="18" t="s">
        <v>20</v>
      </c>
      <c r="U177" s="18" t="s">
        <v>20</v>
      </c>
      <c r="V177" s="49" t="s">
        <v>20</v>
      </c>
      <c r="W177" s="37" t="s">
        <v>20</v>
      </c>
      <c r="X177" s="37" t="s">
        <v>20</v>
      </c>
      <c r="Y177" s="18" t="s">
        <v>20</v>
      </c>
      <c r="Z177" s="18" t="s">
        <v>20</v>
      </c>
      <c r="AA177" s="20" t="s">
        <v>20</v>
      </c>
      <c r="AB177" s="20" t="s">
        <v>20</v>
      </c>
      <c r="AC177" s="20" t="s">
        <v>20</v>
      </c>
      <c r="AD177" s="29" t="s">
        <v>20</v>
      </c>
      <c r="AE177" s="29" t="s">
        <v>21</v>
      </c>
      <c r="AG177">
        <f t="shared" si="18"/>
        <v>0</v>
      </c>
      <c r="AH177">
        <f t="shared" si="19"/>
        <v>23</v>
      </c>
      <c r="AI177">
        <f t="shared" si="20"/>
        <v>3</v>
      </c>
      <c r="AJ177">
        <f t="shared" si="21"/>
        <v>0</v>
      </c>
      <c r="AL177">
        <f t="shared" si="22"/>
        <v>0</v>
      </c>
      <c r="AM177">
        <f t="shared" si="23"/>
        <v>69</v>
      </c>
      <c r="AN177">
        <f t="shared" si="24"/>
        <v>6</v>
      </c>
      <c r="AO177">
        <f t="shared" si="25"/>
        <v>0</v>
      </c>
      <c r="AP177">
        <f t="shared" si="26"/>
        <v>75</v>
      </c>
    </row>
    <row r="178" spans="1:42" ht="15.75" customHeight="1" thickBot="1" x14ac:dyDescent="0.35">
      <c r="A178" s="16"/>
      <c r="B178" s="57">
        <v>25</v>
      </c>
      <c r="C178" s="58" t="s">
        <v>196</v>
      </c>
      <c r="D178" s="57">
        <v>4</v>
      </c>
      <c r="E178" s="57" t="s">
        <v>21</v>
      </c>
      <c r="F178" s="21" t="s">
        <v>20</v>
      </c>
      <c r="G178" s="21" t="s">
        <v>20</v>
      </c>
      <c r="H178" s="21" t="s">
        <v>20</v>
      </c>
      <c r="I178" s="21" t="s">
        <v>20</v>
      </c>
      <c r="J178" s="45" t="s">
        <v>20</v>
      </c>
      <c r="K178" s="45" t="s">
        <v>39</v>
      </c>
      <c r="L178" s="45" t="s">
        <v>20</v>
      </c>
      <c r="M178" s="21" t="s">
        <v>20</v>
      </c>
      <c r="N178" s="21" t="s">
        <v>20</v>
      </c>
      <c r="O178" s="21" t="s">
        <v>20</v>
      </c>
      <c r="P178" s="21" t="s">
        <v>20</v>
      </c>
      <c r="Q178" s="21" t="s">
        <v>20</v>
      </c>
      <c r="R178" s="21" t="s">
        <v>20</v>
      </c>
      <c r="S178" s="21" t="s">
        <v>20</v>
      </c>
      <c r="T178" s="41" t="s">
        <v>20</v>
      </c>
      <c r="U178" s="21" t="s">
        <v>20</v>
      </c>
      <c r="V178" s="51" t="s">
        <v>20</v>
      </c>
      <c r="W178" s="38" t="s">
        <v>20</v>
      </c>
      <c r="X178" s="38" t="s">
        <v>20</v>
      </c>
      <c r="Y178" s="21" t="s">
        <v>20</v>
      </c>
      <c r="Z178" s="21" t="s">
        <v>21</v>
      </c>
      <c r="AA178" s="23" t="s">
        <v>20</v>
      </c>
      <c r="AB178" s="23" t="s">
        <v>21</v>
      </c>
      <c r="AC178" s="23" t="s">
        <v>20</v>
      </c>
      <c r="AD178" s="31" t="s">
        <v>20</v>
      </c>
      <c r="AE178" s="31" t="s">
        <v>21</v>
      </c>
      <c r="AG178">
        <f t="shared" si="18"/>
        <v>1</v>
      </c>
      <c r="AH178">
        <f t="shared" si="19"/>
        <v>22</v>
      </c>
      <c r="AI178">
        <f t="shared" si="20"/>
        <v>3</v>
      </c>
      <c r="AJ178">
        <f t="shared" si="21"/>
        <v>0</v>
      </c>
      <c r="AL178">
        <f t="shared" si="22"/>
        <v>4</v>
      </c>
      <c r="AM178">
        <f t="shared" si="23"/>
        <v>66</v>
      </c>
      <c r="AN178">
        <f t="shared" si="24"/>
        <v>6</v>
      </c>
      <c r="AO178">
        <f t="shared" si="25"/>
        <v>0</v>
      </c>
      <c r="AP178">
        <f t="shared" si="26"/>
        <v>76</v>
      </c>
    </row>
    <row r="179" spans="1:42" ht="15.75" customHeight="1" x14ac:dyDescent="0.3">
      <c r="A179" s="16"/>
      <c r="B179" s="59">
        <v>1</v>
      </c>
      <c r="C179" s="60" t="s">
        <v>197</v>
      </c>
      <c r="D179" s="59">
        <v>5</v>
      </c>
      <c r="E179" s="59" t="s">
        <v>20</v>
      </c>
      <c r="F179" s="24" t="s">
        <v>20</v>
      </c>
      <c r="G179" s="24" t="s">
        <v>20</v>
      </c>
      <c r="H179" s="24" t="s">
        <v>39</v>
      </c>
      <c r="I179" s="24" t="s">
        <v>39</v>
      </c>
      <c r="J179" s="42" t="s">
        <v>20</v>
      </c>
      <c r="K179" s="42" t="s">
        <v>20</v>
      </c>
      <c r="L179" s="42" t="s">
        <v>20</v>
      </c>
      <c r="M179" s="24" t="s">
        <v>20</v>
      </c>
      <c r="N179" s="24" t="s">
        <v>20</v>
      </c>
      <c r="O179" s="24" t="s">
        <v>20</v>
      </c>
      <c r="P179" s="24" t="s">
        <v>21</v>
      </c>
      <c r="Q179" s="24" t="s">
        <v>21</v>
      </c>
      <c r="R179" s="24" t="s">
        <v>21</v>
      </c>
      <c r="S179" s="24" t="s">
        <v>20</v>
      </c>
      <c r="T179" s="24" t="s">
        <v>21</v>
      </c>
      <c r="U179" s="24" t="s">
        <v>21</v>
      </c>
      <c r="V179" s="52" t="s">
        <v>20</v>
      </c>
      <c r="W179" s="39" t="s">
        <v>21</v>
      </c>
      <c r="X179" s="39" t="s">
        <v>21</v>
      </c>
      <c r="Y179" s="24" t="s">
        <v>20</v>
      </c>
      <c r="Z179" s="24" t="s">
        <v>20</v>
      </c>
      <c r="AA179" s="27" t="s">
        <v>20</v>
      </c>
      <c r="AB179" s="27" t="s">
        <v>20</v>
      </c>
      <c r="AC179" s="27" t="s">
        <v>21</v>
      </c>
      <c r="AD179" s="34" t="s">
        <v>20</v>
      </c>
      <c r="AE179" s="34" t="s">
        <v>21</v>
      </c>
      <c r="AG179">
        <f t="shared" si="18"/>
        <v>2</v>
      </c>
      <c r="AH179">
        <f t="shared" si="19"/>
        <v>15</v>
      </c>
      <c r="AI179">
        <f t="shared" si="20"/>
        <v>9</v>
      </c>
      <c r="AJ179">
        <f t="shared" si="21"/>
        <v>0</v>
      </c>
      <c r="AL179">
        <f t="shared" si="22"/>
        <v>8</v>
      </c>
      <c r="AM179">
        <f t="shared" si="23"/>
        <v>45</v>
      </c>
      <c r="AN179">
        <f t="shared" si="24"/>
        <v>18</v>
      </c>
      <c r="AO179">
        <f t="shared" si="25"/>
        <v>0</v>
      </c>
      <c r="AP179">
        <f t="shared" si="26"/>
        <v>71</v>
      </c>
    </row>
    <row r="180" spans="1:42" ht="15.75" customHeight="1" x14ac:dyDescent="0.3">
      <c r="A180" s="16"/>
      <c r="B180" s="55">
        <v>2</v>
      </c>
      <c r="C180" s="56" t="s">
        <v>198</v>
      </c>
      <c r="D180" s="55">
        <v>5</v>
      </c>
      <c r="E180" s="55" t="s">
        <v>20</v>
      </c>
      <c r="F180" s="18" t="s">
        <v>20</v>
      </c>
      <c r="G180" s="18" t="s">
        <v>20</v>
      </c>
      <c r="H180" s="18" t="s">
        <v>20</v>
      </c>
      <c r="I180" s="18" t="s">
        <v>20</v>
      </c>
      <c r="J180" s="43" t="s">
        <v>20</v>
      </c>
      <c r="K180" s="43" t="s">
        <v>20</v>
      </c>
      <c r="L180" s="43" t="s">
        <v>20</v>
      </c>
      <c r="M180" s="18" t="s">
        <v>20</v>
      </c>
      <c r="N180" s="18" t="s">
        <v>20</v>
      </c>
      <c r="O180" s="18" t="s">
        <v>20</v>
      </c>
      <c r="P180" s="18" t="s">
        <v>21</v>
      </c>
      <c r="Q180" s="18" t="s">
        <v>20</v>
      </c>
      <c r="R180" s="18" t="s">
        <v>20</v>
      </c>
      <c r="S180" s="18" t="s">
        <v>20</v>
      </c>
      <c r="T180" s="18" t="s">
        <v>21</v>
      </c>
      <c r="U180" s="18" t="s">
        <v>20</v>
      </c>
      <c r="V180" s="49" t="s">
        <v>20</v>
      </c>
      <c r="W180" s="37" t="s">
        <v>20</v>
      </c>
      <c r="X180" s="37" t="s">
        <v>20</v>
      </c>
      <c r="Y180" s="18" t="s">
        <v>21</v>
      </c>
      <c r="Z180" s="18" t="s">
        <v>20</v>
      </c>
      <c r="AA180" s="20" t="s">
        <v>21</v>
      </c>
      <c r="AB180" s="20" t="s">
        <v>20</v>
      </c>
      <c r="AC180" s="20" t="s">
        <v>20</v>
      </c>
      <c r="AD180" s="29" t="s">
        <v>20</v>
      </c>
      <c r="AE180" s="29" t="s">
        <v>21</v>
      </c>
      <c r="AG180">
        <f t="shared" si="18"/>
        <v>0</v>
      </c>
      <c r="AH180">
        <f t="shared" si="19"/>
        <v>21</v>
      </c>
      <c r="AI180">
        <f t="shared" si="20"/>
        <v>5</v>
      </c>
      <c r="AJ180">
        <f t="shared" si="21"/>
        <v>0</v>
      </c>
      <c r="AL180">
        <f t="shared" si="22"/>
        <v>0</v>
      </c>
      <c r="AM180">
        <f t="shared" si="23"/>
        <v>63</v>
      </c>
      <c r="AN180">
        <f t="shared" si="24"/>
        <v>10</v>
      </c>
      <c r="AO180">
        <f t="shared" si="25"/>
        <v>0</v>
      </c>
      <c r="AP180">
        <f t="shared" si="26"/>
        <v>73</v>
      </c>
    </row>
    <row r="181" spans="1:42" ht="15.75" customHeight="1" x14ac:dyDescent="0.3">
      <c r="A181" s="16"/>
      <c r="B181" s="55">
        <v>3</v>
      </c>
      <c r="C181" s="56" t="s">
        <v>199</v>
      </c>
      <c r="D181" s="55">
        <v>5</v>
      </c>
      <c r="E181" s="55" t="s">
        <v>20</v>
      </c>
      <c r="F181" s="18" t="s">
        <v>23</v>
      </c>
      <c r="G181" s="18" t="s">
        <v>23</v>
      </c>
      <c r="H181" s="18" t="s">
        <v>21</v>
      </c>
      <c r="I181" s="18" t="s">
        <v>21</v>
      </c>
      <c r="J181" s="43" t="s">
        <v>20</v>
      </c>
      <c r="K181" s="43" t="s">
        <v>20</v>
      </c>
      <c r="L181" s="43" t="s">
        <v>21</v>
      </c>
      <c r="M181" s="18" t="s">
        <v>20</v>
      </c>
      <c r="N181" s="18" t="s">
        <v>20</v>
      </c>
      <c r="O181" s="18" t="s">
        <v>20</v>
      </c>
      <c r="P181" s="18" t="s">
        <v>21</v>
      </c>
      <c r="Q181" s="18" t="s">
        <v>21</v>
      </c>
      <c r="R181" s="18" t="s">
        <v>20</v>
      </c>
      <c r="S181" s="18" t="s">
        <v>21</v>
      </c>
      <c r="T181" s="18" t="s">
        <v>20</v>
      </c>
      <c r="U181" s="18" t="s">
        <v>20</v>
      </c>
      <c r="V181" s="49" t="s">
        <v>20</v>
      </c>
      <c r="W181" s="37" t="s">
        <v>20</v>
      </c>
      <c r="X181" s="37" t="s">
        <v>20</v>
      </c>
      <c r="Y181" s="18" t="s">
        <v>20</v>
      </c>
      <c r="Z181" s="18" t="s">
        <v>20</v>
      </c>
      <c r="AA181" s="20" t="s">
        <v>21</v>
      </c>
      <c r="AB181" s="20" t="s">
        <v>21</v>
      </c>
      <c r="AC181" s="20" t="s">
        <v>21</v>
      </c>
      <c r="AD181" s="29" t="s">
        <v>20</v>
      </c>
      <c r="AE181" s="29" t="s">
        <v>21</v>
      </c>
      <c r="AG181">
        <f t="shared" si="18"/>
        <v>0</v>
      </c>
      <c r="AH181">
        <f t="shared" si="19"/>
        <v>14</v>
      </c>
      <c r="AI181">
        <f t="shared" si="20"/>
        <v>10</v>
      </c>
      <c r="AJ181">
        <f t="shared" si="21"/>
        <v>2</v>
      </c>
      <c r="AL181">
        <f t="shared" si="22"/>
        <v>0</v>
      </c>
      <c r="AM181">
        <f t="shared" si="23"/>
        <v>42</v>
      </c>
      <c r="AN181">
        <f t="shared" si="24"/>
        <v>20</v>
      </c>
      <c r="AO181">
        <f t="shared" si="25"/>
        <v>2</v>
      </c>
      <c r="AP181">
        <f t="shared" si="26"/>
        <v>64</v>
      </c>
    </row>
    <row r="182" spans="1:42" ht="15.75" customHeight="1" x14ac:dyDescent="0.3">
      <c r="A182" s="16"/>
      <c r="B182" s="55">
        <v>4</v>
      </c>
      <c r="C182" s="56" t="s">
        <v>200</v>
      </c>
      <c r="D182" s="55">
        <v>5</v>
      </c>
      <c r="E182" s="55" t="s">
        <v>20</v>
      </c>
      <c r="F182" s="18" t="s">
        <v>23</v>
      </c>
      <c r="G182" s="18" t="s">
        <v>23</v>
      </c>
      <c r="H182" s="18" t="s">
        <v>23</v>
      </c>
      <c r="I182" s="18" t="s">
        <v>23</v>
      </c>
      <c r="J182" s="43" t="s">
        <v>21</v>
      </c>
      <c r="K182" s="43" t="s">
        <v>21</v>
      </c>
      <c r="L182" s="43" t="s">
        <v>21</v>
      </c>
      <c r="M182" s="18" t="s">
        <v>21</v>
      </c>
      <c r="N182" s="18" t="s">
        <v>21</v>
      </c>
      <c r="O182" s="18" t="s">
        <v>20</v>
      </c>
      <c r="P182" s="18" t="s">
        <v>23</v>
      </c>
      <c r="Q182" s="18" t="s">
        <v>21</v>
      </c>
      <c r="R182" s="18" t="s">
        <v>21</v>
      </c>
      <c r="S182" s="18" t="s">
        <v>21</v>
      </c>
      <c r="T182" s="18" t="s">
        <v>21</v>
      </c>
      <c r="U182" s="18" t="s">
        <v>20</v>
      </c>
      <c r="V182" s="49" t="s">
        <v>20</v>
      </c>
      <c r="W182" s="37" t="s">
        <v>20</v>
      </c>
      <c r="X182" s="37" t="s">
        <v>20</v>
      </c>
      <c r="Y182" s="18" t="s">
        <v>20</v>
      </c>
      <c r="Z182" s="18" t="s">
        <v>20</v>
      </c>
      <c r="AA182" s="20" t="s">
        <v>21</v>
      </c>
      <c r="AB182" s="20" t="s">
        <v>21</v>
      </c>
      <c r="AC182" s="20" t="s">
        <v>21</v>
      </c>
      <c r="AD182" s="29" t="s">
        <v>21</v>
      </c>
      <c r="AE182" s="29" t="s">
        <v>21</v>
      </c>
      <c r="AG182">
        <f t="shared" si="18"/>
        <v>0</v>
      </c>
      <c r="AH182">
        <f t="shared" si="19"/>
        <v>7</v>
      </c>
      <c r="AI182">
        <f t="shared" si="20"/>
        <v>14</v>
      </c>
      <c r="AJ182">
        <f t="shared" si="21"/>
        <v>5</v>
      </c>
      <c r="AL182">
        <f t="shared" si="22"/>
        <v>0</v>
      </c>
      <c r="AM182">
        <f t="shared" si="23"/>
        <v>21</v>
      </c>
      <c r="AN182">
        <f t="shared" si="24"/>
        <v>28</v>
      </c>
      <c r="AO182">
        <f t="shared" si="25"/>
        <v>5</v>
      </c>
      <c r="AP182">
        <f t="shared" si="26"/>
        <v>54</v>
      </c>
    </row>
    <row r="183" spans="1:42" ht="15.75" customHeight="1" x14ac:dyDescent="0.3">
      <c r="A183" s="16"/>
      <c r="B183" s="55">
        <v>5</v>
      </c>
      <c r="C183" s="56" t="s">
        <v>201</v>
      </c>
      <c r="D183" s="55">
        <v>5</v>
      </c>
      <c r="E183" s="55" t="s">
        <v>20</v>
      </c>
      <c r="F183" s="18" t="s">
        <v>20</v>
      </c>
      <c r="G183" s="18" t="s">
        <v>20</v>
      </c>
      <c r="H183" s="18" t="s">
        <v>39</v>
      </c>
      <c r="I183" s="18" t="s">
        <v>39</v>
      </c>
      <c r="J183" s="43" t="s">
        <v>20</v>
      </c>
      <c r="K183" s="43" t="s">
        <v>20</v>
      </c>
      <c r="L183" s="43" t="s">
        <v>20</v>
      </c>
      <c r="M183" s="18" t="s">
        <v>20</v>
      </c>
      <c r="N183" s="18" t="s">
        <v>20</v>
      </c>
      <c r="O183" s="18" t="s">
        <v>20</v>
      </c>
      <c r="P183" s="18" t="s">
        <v>20</v>
      </c>
      <c r="Q183" s="18" t="s">
        <v>21</v>
      </c>
      <c r="R183" s="18" t="s">
        <v>21</v>
      </c>
      <c r="S183" s="18" t="s">
        <v>20</v>
      </c>
      <c r="T183" s="18" t="s">
        <v>21</v>
      </c>
      <c r="U183" s="18" t="s">
        <v>20</v>
      </c>
      <c r="V183" s="50" t="s">
        <v>20</v>
      </c>
      <c r="W183" s="37" t="s">
        <v>20</v>
      </c>
      <c r="X183" s="37" t="s">
        <v>20</v>
      </c>
      <c r="Y183" s="18" t="s">
        <v>20</v>
      </c>
      <c r="Z183" s="18" t="s">
        <v>20</v>
      </c>
      <c r="AA183" s="20" t="s">
        <v>21</v>
      </c>
      <c r="AB183" s="20" t="s">
        <v>21</v>
      </c>
      <c r="AC183" s="20" t="s">
        <v>21</v>
      </c>
      <c r="AD183" s="29" t="s">
        <v>20</v>
      </c>
      <c r="AE183" s="29" t="s">
        <v>21</v>
      </c>
      <c r="AG183">
        <f t="shared" si="18"/>
        <v>2</v>
      </c>
      <c r="AH183">
        <f t="shared" si="19"/>
        <v>17</v>
      </c>
      <c r="AI183">
        <f t="shared" si="20"/>
        <v>7</v>
      </c>
      <c r="AJ183">
        <f t="shared" si="21"/>
        <v>0</v>
      </c>
      <c r="AL183">
        <f t="shared" si="22"/>
        <v>8</v>
      </c>
      <c r="AM183">
        <f t="shared" si="23"/>
        <v>51</v>
      </c>
      <c r="AN183">
        <f t="shared" si="24"/>
        <v>14</v>
      </c>
      <c r="AO183">
        <f t="shared" si="25"/>
        <v>0</v>
      </c>
      <c r="AP183">
        <f t="shared" si="26"/>
        <v>73</v>
      </c>
    </row>
    <row r="184" spans="1:42" ht="15.75" customHeight="1" x14ac:dyDescent="0.3">
      <c r="A184" s="16"/>
      <c r="B184" s="55">
        <v>6</v>
      </c>
      <c r="C184" s="56" t="s">
        <v>202</v>
      </c>
      <c r="D184" s="55">
        <v>5</v>
      </c>
      <c r="E184" s="55" t="s">
        <v>20</v>
      </c>
      <c r="F184" s="18" t="s">
        <v>20</v>
      </c>
      <c r="G184" s="18" t="s">
        <v>20</v>
      </c>
      <c r="H184" s="18" t="s">
        <v>39</v>
      </c>
      <c r="I184" s="18" t="s">
        <v>39</v>
      </c>
      <c r="J184" s="43" t="s">
        <v>20</v>
      </c>
      <c r="K184" s="43" t="s">
        <v>20</v>
      </c>
      <c r="L184" s="43" t="s">
        <v>20</v>
      </c>
      <c r="M184" s="18" t="s">
        <v>20</v>
      </c>
      <c r="N184" s="18" t="s">
        <v>20</v>
      </c>
      <c r="O184" s="18" t="s">
        <v>20</v>
      </c>
      <c r="P184" s="18" t="s">
        <v>21</v>
      </c>
      <c r="Q184" s="18" t="s">
        <v>21</v>
      </c>
      <c r="R184" s="18" t="s">
        <v>21</v>
      </c>
      <c r="S184" s="18" t="s">
        <v>21</v>
      </c>
      <c r="T184" s="18" t="s">
        <v>20</v>
      </c>
      <c r="U184" s="18" t="s">
        <v>20</v>
      </c>
      <c r="V184" s="49" t="s">
        <v>20</v>
      </c>
      <c r="W184" s="37" t="s">
        <v>20</v>
      </c>
      <c r="X184" s="53" t="s">
        <v>20</v>
      </c>
      <c r="Y184" s="18" t="s">
        <v>20</v>
      </c>
      <c r="Z184" s="18" t="s">
        <v>20</v>
      </c>
      <c r="AA184" s="20" t="s">
        <v>20</v>
      </c>
      <c r="AB184" s="20" t="s">
        <v>20</v>
      </c>
      <c r="AC184" s="20" t="s">
        <v>20</v>
      </c>
      <c r="AD184" s="29" t="s">
        <v>20</v>
      </c>
      <c r="AE184" s="29" t="s">
        <v>21</v>
      </c>
      <c r="AG184">
        <f t="shared" si="18"/>
        <v>2</v>
      </c>
      <c r="AH184">
        <f t="shared" si="19"/>
        <v>19</v>
      </c>
      <c r="AI184">
        <f t="shared" si="20"/>
        <v>5</v>
      </c>
      <c r="AJ184">
        <f t="shared" si="21"/>
        <v>0</v>
      </c>
      <c r="AL184">
        <f t="shared" si="22"/>
        <v>8</v>
      </c>
      <c r="AM184">
        <f t="shared" si="23"/>
        <v>57</v>
      </c>
      <c r="AN184">
        <f t="shared" si="24"/>
        <v>10</v>
      </c>
      <c r="AO184">
        <f t="shared" si="25"/>
        <v>0</v>
      </c>
      <c r="AP184">
        <f t="shared" si="26"/>
        <v>75</v>
      </c>
    </row>
    <row r="185" spans="1:42" ht="15.75" customHeight="1" x14ac:dyDescent="0.3">
      <c r="A185" s="16"/>
      <c r="B185" s="55">
        <v>7</v>
      </c>
      <c r="C185" s="56" t="s">
        <v>203</v>
      </c>
      <c r="D185" s="55">
        <v>5</v>
      </c>
      <c r="E185" s="55" t="s">
        <v>20</v>
      </c>
      <c r="F185" s="18" t="s">
        <v>23</v>
      </c>
      <c r="G185" s="18" t="s">
        <v>21</v>
      </c>
      <c r="H185" s="18" t="s">
        <v>23</v>
      </c>
      <c r="I185" s="18" t="s">
        <v>21</v>
      </c>
      <c r="J185" s="43" t="s">
        <v>20</v>
      </c>
      <c r="K185" s="43" t="s">
        <v>20</v>
      </c>
      <c r="L185" s="43" t="s">
        <v>21</v>
      </c>
      <c r="M185" s="18" t="s">
        <v>21</v>
      </c>
      <c r="N185" s="18" t="s">
        <v>20</v>
      </c>
      <c r="O185" s="18" t="s">
        <v>20</v>
      </c>
      <c r="P185" s="18" t="s">
        <v>21</v>
      </c>
      <c r="Q185" s="18" t="s">
        <v>20</v>
      </c>
      <c r="R185" s="18" t="s">
        <v>20</v>
      </c>
      <c r="S185" s="18" t="s">
        <v>21</v>
      </c>
      <c r="T185" s="18" t="s">
        <v>21</v>
      </c>
      <c r="U185" s="18" t="s">
        <v>20</v>
      </c>
      <c r="V185" s="49" t="s">
        <v>20</v>
      </c>
      <c r="W185" s="37" t="s">
        <v>20</v>
      </c>
      <c r="X185" s="37" t="s">
        <v>20</v>
      </c>
      <c r="Y185" s="18" t="s">
        <v>20</v>
      </c>
      <c r="Z185" s="18" t="s">
        <v>21</v>
      </c>
      <c r="AA185" s="20" t="s">
        <v>21</v>
      </c>
      <c r="AB185" s="20" t="s">
        <v>20</v>
      </c>
      <c r="AC185" s="20" t="s">
        <v>21</v>
      </c>
      <c r="AD185" s="29" t="s">
        <v>20</v>
      </c>
      <c r="AE185" s="29" t="s">
        <v>21</v>
      </c>
      <c r="AG185">
        <f t="shared" si="18"/>
        <v>0</v>
      </c>
      <c r="AH185">
        <f t="shared" si="19"/>
        <v>13</v>
      </c>
      <c r="AI185">
        <f t="shared" si="20"/>
        <v>11</v>
      </c>
      <c r="AJ185">
        <f t="shared" si="21"/>
        <v>2</v>
      </c>
      <c r="AL185">
        <f t="shared" si="22"/>
        <v>0</v>
      </c>
      <c r="AM185">
        <f t="shared" si="23"/>
        <v>39</v>
      </c>
      <c r="AN185">
        <f t="shared" si="24"/>
        <v>22</v>
      </c>
      <c r="AO185">
        <f t="shared" si="25"/>
        <v>2</v>
      </c>
      <c r="AP185">
        <f t="shared" si="26"/>
        <v>63</v>
      </c>
    </row>
    <row r="186" spans="1:42" ht="15.75" customHeight="1" x14ac:dyDescent="0.3">
      <c r="A186" s="16"/>
      <c r="B186" s="55">
        <v>8</v>
      </c>
      <c r="C186" s="56" t="s">
        <v>204</v>
      </c>
      <c r="D186" s="55">
        <v>5</v>
      </c>
      <c r="E186" s="55" t="s">
        <v>20</v>
      </c>
      <c r="F186" s="18" t="s">
        <v>21</v>
      </c>
      <c r="G186" s="18" t="s">
        <v>21</v>
      </c>
      <c r="H186" s="18" t="s">
        <v>21</v>
      </c>
      <c r="I186" s="18" t="s">
        <v>21</v>
      </c>
      <c r="J186" s="43" t="s">
        <v>21</v>
      </c>
      <c r="K186" s="43" t="s">
        <v>21</v>
      </c>
      <c r="L186" s="43" t="s">
        <v>21</v>
      </c>
      <c r="M186" s="18" t="s">
        <v>21</v>
      </c>
      <c r="N186" s="18" t="s">
        <v>20</v>
      </c>
      <c r="O186" s="18" t="s">
        <v>20</v>
      </c>
      <c r="P186" s="18" t="s">
        <v>21</v>
      </c>
      <c r="Q186" s="18" t="s">
        <v>23</v>
      </c>
      <c r="R186" s="18" t="s">
        <v>21</v>
      </c>
      <c r="S186" s="18" t="s">
        <v>21</v>
      </c>
      <c r="T186" s="18" t="s">
        <v>21</v>
      </c>
      <c r="U186" s="18" t="s">
        <v>21</v>
      </c>
      <c r="V186" s="49" t="s">
        <v>21</v>
      </c>
      <c r="W186" s="37" t="s">
        <v>20</v>
      </c>
      <c r="X186" s="37" t="s">
        <v>20</v>
      </c>
      <c r="Y186" s="18" t="s">
        <v>21</v>
      </c>
      <c r="Z186" s="18" t="s">
        <v>21</v>
      </c>
      <c r="AA186" s="20" t="s">
        <v>21</v>
      </c>
      <c r="AB186" s="20" t="s">
        <v>21</v>
      </c>
      <c r="AC186" s="20" t="s">
        <v>21</v>
      </c>
      <c r="AD186" s="29" t="s">
        <v>21</v>
      </c>
      <c r="AE186" s="29" t="s">
        <v>21</v>
      </c>
      <c r="AG186">
        <f t="shared" si="18"/>
        <v>0</v>
      </c>
      <c r="AH186">
        <f t="shared" si="19"/>
        <v>4</v>
      </c>
      <c r="AI186">
        <f t="shared" si="20"/>
        <v>21</v>
      </c>
      <c r="AJ186">
        <f t="shared" si="21"/>
        <v>1</v>
      </c>
      <c r="AL186">
        <f t="shared" si="22"/>
        <v>0</v>
      </c>
      <c r="AM186">
        <f t="shared" si="23"/>
        <v>12</v>
      </c>
      <c r="AN186">
        <f t="shared" si="24"/>
        <v>42</v>
      </c>
      <c r="AO186">
        <f t="shared" si="25"/>
        <v>1</v>
      </c>
      <c r="AP186">
        <f t="shared" si="26"/>
        <v>55</v>
      </c>
    </row>
    <row r="187" spans="1:42" ht="15.75" customHeight="1" x14ac:dyDescent="0.3">
      <c r="A187" s="16"/>
      <c r="B187" s="55">
        <v>9</v>
      </c>
      <c r="C187" s="56" t="s">
        <v>205</v>
      </c>
      <c r="D187" s="55">
        <v>5</v>
      </c>
      <c r="E187" s="55" t="s">
        <v>20</v>
      </c>
      <c r="F187" s="18" t="s">
        <v>20</v>
      </c>
      <c r="G187" s="18" t="s">
        <v>20</v>
      </c>
      <c r="H187" s="18" t="s">
        <v>20</v>
      </c>
      <c r="I187" s="18" t="s">
        <v>20</v>
      </c>
      <c r="J187" s="43" t="s">
        <v>20</v>
      </c>
      <c r="K187" s="43" t="s">
        <v>20</v>
      </c>
      <c r="L187" s="43" t="s">
        <v>20</v>
      </c>
      <c r="M187" s="18" t="s">
        <v>20</v>
      </c>
      <c r="N187" s="18" t="s">
        <v>20</v>
      </c>
      <c r="O187" s="18" t="s">
        <v>20</v>
      </c>
      <c r="P187" s="18" t="s">
        <v>21</v>
      </c>
      <c r="Q187" s="18" t="s">
        <v>21</v>
      </c>
      <c r="R187" s="18" t="s">
        <v>20</v>
      </c>
      <c r="S187" s="18" t="s">
        <v>20</v>
      </c>
      <c r="T187" s="18" t="s">
        <v>21</v>
      </c>
      <c r="U187" s="18" t="s">
        <v>21</v>
      </c>
      <c r="V187" s="49" t="s">
        <v>20</v>
      </c>
      <c r="W187" s="37" t="s">
        <v>20</v>
      </c>
      <c r="X187" s="37" t="s">
        <v>20</v>
      </c>
      <c r="Y187" s="18" t="s">
        <v>20</v>
      </c>
      <c r="Z187" s="18" t="s">
        <v>20</v>
      </c>
      <c r="AA187" s="20" t="s">
        <v>20</v>
      </c>
      <c r="AB187" s="20" t="s">
        <v>20</v>
      </c>
      <c r="AC187" s="20" t="s">
        <v>20</v>
      </c>
      <c r="AD187" s="29" t="s">
        <v>20</v>
      </c>
      <c r="AE187" s="29" t="s">
        <v>21</v>
      </c>
      <c r="AG187">
        <f t="shared" si="18"/>
        <v>0</v>
      </c>
      <c r="AH187">
        <f t="shared" si="19"/>
        <v>21</v>
      </c>
      <c r="AI187">
        <f t="shared" si="20"/>
        <v>5</v>
      </c>
      <c r="AJ187">
        <f t="shared" si="21"/>
        <v>0</v>
      </c>
      <c r="AL187">
        <f t="shared" si="22"/>
        <v>0</v>
      </c>
      <c r="AM187">
        <f t="shared" si="23"/>
        <v>63</v>
      </c>
      <c r="AN187">
        <f t="shared" si="24"/>
        <v>10</v>
      </c>
      <c r="AO187">
        <f t="shared" si="25"/>
        <v>0</v>
      </c>
      <c r="AP187">
        <f t="shared" si="26"/>
        <v>73</v>
      </c>
    </row>
    <row r="188" spans="1:42" ht="15.75" customHeight="1" x14ac:dyDescent="0.3">
      <c r="A188" s="16"/>
      <c r="B188" s="55">
        <v>10</v>
      </c>
      <c r="C188" s="56" t="s">
        <v>206</v>
      </c>
      <c r="D188" s="55">
        <v>5</v>
      </c>
      <c r="E188" s="55" t="s">
        <v>20</v>
      </c>
      <c r="F188" s="18" t="s">
        <v>20</v>
      </c>
      <c r="G188" s="18" t="s">
        <v>20</v>
      </c>
      <c r="H188" s="18" t="s">
        <v>20</v>
      </c>
      <c r="I188" s="18" t="s">
        <v>20</v>
      </c>
      <c r="J188" s="43" t="s">
        <v>20</v>
      </c>
      <c r="K188" s="43" t="s">
        <v>20</v>
      </c>
      <c r="L188" s="43" t="s">
        <v>21</v>
      </c>
      <c r="M188" s="18" t="s">
        <v>20</v>
      </c>
      <c r="N188" s="18" t="s">
        <v>20</v>
      </c>
      <c r="O188" s="18" t="s">
        <v>20</v>
      </c>
      <c r="P188" s="18" t="s">
        <v>21</v>
      </c>
      <c r="Q188" s="18" t="s">
        <v>21</v>
      </c>
      <c r="R188" s="18" t="s">
        <v>20</v>
      </c>
      <c r="S188" s="18" t="s">
        <v>20</v>
      </c>
      <c r="T188" s="18" t="s">
        <v>21</v>
      </c>
      <c r="U188" s="18" t="s">
        <v>20</v>
      </c>
      <c r="V188" s="49" t="s">
        <v>20</v>
      </c>
      <c r="W188" s="37" t="s">
        <v>20</v>
      </c>
      <c r="X188" s="37" t="s">
        <v>21</v>
      </c>
      <c r="Y188" s="18" t="s">
        <v>20</v>
      </c>
      <c r="Z188" s="18" t="s">
        <v>20</v>
      </c>
      <c r="AA188" s="20" t="s">
        <v>39</v>
      </c>
      <c r="AB188" s="20" t="s">
        <v>20</v>
      </c>
      <c r="AC188" s="20" t="s">
        <v>20</v>
      </c>
      <c r="AD188" s="29" t="s">
        <v>20</v>
      </c>
      <c r="AE188" s="29" t="s">
        <v>21</v>
      </c>
      <c r="AG188">
        <f t="shared" si="18"/>
        <v>1</v>
      </c>
      <c r="AH188">
        <f t="shared" si="19"/>
        <v>19</v>
      </c>
      <c r="AI188">
        <f t="shared" si="20"/>
        <v>6</v>
      </c>
      <c r="AJ188">
        <f t="shared" si="21"/>
        <v>0</v>
      </c>
      <c r="AL188">
        <f t="shared" si="22"/>
        <v>4</v>
      </c>
      <c r="AM188">
        <f t="shared" si="23"/>
        <v>57</v>
      </c>
      <c r="AN188">
        <f t="shared" si="24"/>
        <v>12</v>
      </c>
      <c r="AO188">
        <f t="shared" si="25"/>
        <v>0</v>
      </c>
      <c r="AP188">
        <f t="shared" si="26"/>
        <v>73</v>
      </c>
    </row>
    <row r="189" spans="1:42" ht="15.75" customHeight="1" x14ac:dyDescent="0.3">
      <c r="A189" s="16"/>
      <c r="B189" s="55">
        <v>11</v>
      </c>
      <c r="C189" s="56" t="s">
        <v>207</v>
      </c>
      <c r="D189" s="55">
        <v>5</v>
      </c>
      <c r="E189" s="55" t="s">
        <v>20</v>
      </c>
      <c r="F189" s="18" t="s">
        <v>20</v>
      </c>
      <c r="G189" s="18" t="s">
        <v>20</v>
      </c>
      <c r="H189" s="18" t="s">
        <v>39</v>
      </c>
      <c r="I189" s="18" t="s">
        <v>20</v>
      </c>
      <c r="J189" s="43" t="s">
        <v>20</v>
      </c>
      <c r="K189" s="43" t="s">
        <v>20</v>
      </c>
      <c r="L189" s="43" t="s">
        <v>20</v>
      </c>
      <c r="M189" s="18" t="s">
        <v>20</v>
      </c>
      <c r="N189" s="18" t="s">
        <v>20</v>
      </c>
      <c r="O189" s="18" t="s">
        <v>20</v>
      </c>
      <c r="P189" s="18" t="s">
        <v>20</v>
      </c>
      <c r="Q189" s="18" t="s">
        <v>20</v>
      </c>
      <c r="R189" s="18" t="s">
        <v>21</v>
      </c>
      <c r="S189" s="18" t="s">
        <v>20</v>
      </c>
      <c r="T189" s="18" t="s">
        <v>21</v>
      </c>
      <c r="U189" s="18" t="s">
        <v>20</v>
      </c>
      <c r="V189" s="49" t="s">
        <v>20</v>
      </c>
      <c r="W189" s="37" t="s">
        <v>20</v>
      </c>
      <c r="X189" s="37" t="s">
        <v>20</v>
      </c>
      <c r="Y189" s="18" t="s">
        <v>20</v>
      </c>
      <c r="Z189" s="18" t="s">
        <v>20</v>
      </c>
      <c r="AA189" s="20" t="s">
        <v>20</v>
      </c>
      <c r="AB189" s="20" t="s">
        <v>20</v>
      </c>
      <c r="AC189" s="20" t="s">
        <v>21</v>
      </c>
      <c r="AD189" s="29" t="s">
        <v>20</v>
      </c>
      <c r="AE189" s="29" t="s">
        <v>21</v>
      </c>
      <c r="AG189">
        <f t="shared" si="18"/>
        <v>1</v>
      </c>
      <c r="AH189">
        <f t="shared" si="19"/>
        <v>21</v>
      </c>
      <c r="AI189">
        <f t="shared" si="20"/>
        <v>4</v>
      </c>
      <c r="AJ189">
        <f t="shared" si="21"/>
        <v>0</v>
      </c>
      <c r="AL189">
        <f t="shared" si="22"/>
        <v>4</v>
      </c>
      <c r="AM189">
        <f t="shared" si="23"/>
        <v>63</v>
      </c>
      <c r="AN189">
        <f t="shared" si="24"/>
        <v>8</v>
      </c>
      <c r="AO189">
        <f t="shared" si="25"/>
        <v>0</v>
      </c>
      <c r="AP189">
        <f t="shared" si="26"/>
        <v>75</v>
      </c>
    </row>
    <row r="190" spans="1:42" ht="15.75" customHeight="1" x14ac:dyDescent="0.3">
      <c r="A190" s="16"/>
      <c r="B190" s="55">
        <v>12</v>
      </c>
      <c r="C190" s="56" t="s">
        <v>208</v>
      </c>
      <c r="D190" s="55">
        <v>5</v>
      </c>
      <c r="E190" s="55" t="s">
        <v>20</v>
      </c>
      <c r="F190" s="18" t="s">
        <v>20</v>
      </c>
      <c r="G190" s="18" t="s">
        <v>39</v>
      </c>
      <c r="H190" s="18" t="s">
        <v>20</v>
      </c>
      <c r="I190" s="18" t="s">
        <v>39</v>
      </c>
      <c r="J190" s="43" t="s">
        <v>20</v>
      </c>
      <c r="K190" s="43" t="s">
        <v>39</v>
      </c>
      <c r="L190" s="43" t="s">
        <v>20</v>
      </c>
      <c r="M190" s="18" t="s">
        <v>20</v>
      </c>
      <c r="N190" s="18" t="s">
        <v>20</v>
      </c>
      <c r="O190" s="18" t="s">
        <v>20</v>
      </c>
      <c r="P190" s="18" t="s">
        <v>20</v>
      </c>
      <c r="Q190" s="18" t="s">
        <v>20</v>
      </c>
      <c r="R190" s="18" t="s">
        <v>20</v>
      </c>
      <c r="S190" s="18" t="s">
        <v>20</v>
      </c>
      <c r="T190" s="18" t="s">
        <v>20</v>
      </c>
      <c r="U190" s="18" t="s">
        <v>20</v>
      </c>
      <c r="V190" s="49" t="s">
        <v>20</v>
      </c>
      <c r="W190" s="37" t="s">
        <v>20</v>
      </c>
      <c r="X190" s="37" t="s">
        <v>20</v>
      </c>
      <c r="Y190" s="18" t="s">
        <v>39</v>
      </c>
      <c r="Z190" s="18" t="s">
        <v>39</v>
      </c>
      <c r="AA190" s="20" t="s">
        <v>39</v>
      </c>
      <c r="AB190" s="20" t="s">
        <v>20</v>
      </c>
      <c r="AC190" s="20" t="s">
        <v>20</v>
      </c>
      <c r="AD190" s="29" t="s">
        <v>20</v>
      </c>
      <c r="AE190" s="29" t="s">
        <v>21</v>
      </c>
      <c r="AG190">
        <f t="shared" si="18"/>
        <v>6</v>
      </c>
      <c r="AH190">
        <f t="shared" si="19"/>
        <v>19</v>
      </c>
      <c r="AI190">
        <f t="shared" si="20"/>
        <v>1</v>
      </c>
      <c r="AJ190">
        <f t="shared" si="21"/>
        <v>0</v>
      </c>
      <c r="AL190">
        <f t="shared" si="22"/>
        <v>24</v>
      </c>
      <c r="AM190">
        <f t="shared" si="23"/>
        <v>57</v>
      </c>
      <c r="AN190">
        <f t="shared" si="24"/>
        <v>2</v>
      </c>
      <c r="AO190">
        <f t="shared" si="25"/>
        <v>0</v>
      </c>
      <c r="AP190">
        <f t="shared" si="26"/>
        <v>83</v>
      </c>
    </row>
    <row r="191" spans="1:42" ht="15.75" customHeight="1" x14ac:dyDescent="0.3">
      <c r="A191" s="16"/>
      <c r="B191" s="55">
        <v>13</v>
      </c>
      <c r="C191" s="56" t="s">
        <v>209</v>
      </c>
      <c r="D191" s="55">
        <v>5</v>
      </c>
      <c r="E191" s="55" t="s">
        <v>20</v>
      </c>
      <c r="F191" s="18" t="s">
        <v>20</v>
      </c>
      <c r="G191" s="18" t="s">
        <v>20</v>
      </c>
      <c r="H191" s="18" t="s">
        <v>20</v>
      </c>
      <c r="I191" s="18" t="s">
        <v>20</v>
      </c>
      <c r="J191" s="43" t="s">
        <v>20</v>
      </c>
      <c r="K191" s="43" t="s">
        <v>20</v>
      </c>
      <c r="L191" s="43" t="s">
        <v>20</v>
      </c>
      <c r="M191" s="18" t="s">
        <v>20</v>
      </c>
      <c r="N191" s="18" t="s">
        <v>20</v>
      </c>
      <c r="O191" s="18" t="s">
        <v>20</v>
      </c>
      <c r="P191" s="18" t="s">
        <v>21</v>
      </c>
      <c r="Q191" s="18" t="s">
        <v>21</v>
      </c>
      <c r="R191" s="18" t="s">
        <v>20</v>
      </c>
      <c r="S191" s="18" t="s">
        <v>21</v>
      </c>
      <c r="T191" s="18" t="s">
        <v>21</v>
      </c>
      <c r="U191" s="18" t="s">
        <v>20</v>
      </c>
      <c r="V191" s="49" t="s">
        <v>20</v>
      </c>
      <c r="W191" s="37" t="s">
        <v>20</v>
      </c>
      <c r="X191" s="37" t="s">
        <v>20</v>
      </c>
      <c r="Y191" s="18" t="s">
        <v>20</v>
      </c>
      <c r="Z191" s="18" t="s">
        <v>39</v>
      </c>
      <c r="AA191" s="20" t="s">
        <v>39</v>
      </c>
      <c r="AB191" s="20" t="s">
        <v>20</v>
      </c>
      <c r="AC191" s="20" t="s">
        <v>39</v>
      </c>
      <c r="AD191" s="29" t="s">
        <v>20</v>
      </c>
      <c r="AE191" s="29" t="s">
        <v>21</v>
      </c>
      <c r="AG191">
        <f t="shared" si="18"/>
        <v>3</v>
      </c>
      <c r="AH191">
        <f t="shared" si="19"/>
        <v>18</v>
      </c>
      <c r="AI191">
        <f t="shared" si="20"/>
        <v>5</v>
      </c>
      <c r="AJ191">
        <f t="shared" si="21"/>
        <v>0</v>
      </c>
      <c r="AL191">
        <f t="shared" si="22"/>
        <v>12</v>
      </c>
      <c r="AM191">
        <f t="shared" si="23"/>
        <v>54</v>
      </c>
      <c r="AN191">
        <f t="shared" si="24"/>
        <v>10</v>
      </c>
      <c r="AO191">
        <f t="shared" si="25"/>
        <v>0</v>
      </c>
      <c r="AP191">
        <f t="shared" si="26"/>
        <v>76</v>
      </c>
    </row>
    <row r="192" spans="1:42" ht="15.75" customHeight="1" x14ac:dyDescent="0.3">
      <c r="A192" s="16"/>
      <c r="B192" s="55">
        <v>14</v>
      </c>
      <c r="C192" s="56" t="s">
        <v>210</v>
      </c>
      <c r="D192" s="55">
        <v>5</v>
      </c>
      <c r="E192" s="55" t="s">
        <v>20</v>
      </c>
      <c r="F192" s="18" t="s">
        <v>20</v>
      </c>
      <c r="G192" s="18" t="s">
        <v>20</v>
      </c>
      <c r="H192" s="18" t="s">
        <v>39</v>
      </c>
      <c r="I192" s="18" t="s">
        <v>20</v>
      </c>
      <c r="J192" s="43" t="s">
        <v>20</v>
      </c>
      <c r="K192" s="43" t="s">
        <v>39</v>
      </c>
      <c r="L192" s="43" t="s">
        <v>20</v>
      </c>
      <c r="M192" s="18" t="s">
        <v>21</v>
      </c>
      <c r="N192" s="18" t="s">
        <v>20</v>
      </c>
      <c r="O192" s="18" t="s">
        <v>20</v>
      </c>
      <c r="P192" s="18" t="s">
        <v>20</v>
      </c>
      <c r="Q192" s="18" t="s">
        <v>20</v>
      </c>
      <c r="R192" s="18" t="s">
        <v>20</v>
      </c>
      <c r="S192" s="18" t="s">
        <v>20</v>
      </c>
      <c r="T192" s="18" t="s">
        <v>21</v>
      </c>
      <c r="U192" s="18" t="s">
        <v>20</v>
      </c>
      <c r="V192" s="37" t="s">
        <v>20</v>
      </c>
      <c r="W192" s="37" t="s">
        <v>20</v>
      </c>
      <c r="X192" s="37" t="s">
        <v>20</v>
      </c>
      <c r="Y192" s="18" t="s">
        <v>20</v>
      </c>
      <c r="Z192" s="18" t="s">
        <v>39</v>
      </c>
      <c r="AA192" s="20" t="s">
        <v>21</v>
      </c>
      <c r="AB192" s="20" t="s">
        <v>20</v>
      </c>
      <c r="AC192" s="20" t="s">
        <v>20</v>
      </c>
      <c r="AD192" s="18" t="s">
        <v>20</v>
      </c>
      <c r="AE192" s="18" t="s">
        <v>21</v>
      </c>
      <c r="AG192">
        <f t="shared" si="18"/>
        <v>3</v>
      </c>
      <c r="AH192">
        <f t="shared" si="19"/>
        <v>19</v>
      </c>
      <c r="AI192">
        <f t="shared" si="20"/>
        <v>4</v>
      </c>
      <c r="AJ192">
        <f t="shared" si="21"/>
        <v>0</v>
      </c>
      <c r="AL192">
        <f t="shared" si="22"/>
        <v>12</v>
      </c>
      <c r="AM192">
        <f t="shared" si="23"/>
        <v>57</v>
      </c>
      <c r="AN192">
        <f t="shared" si="24"/>
        <v>8</v>
      </c>
      <c r="AO192">
        <f t="shared" si="25"/>
        <v>0</v>
      </c>
      <c r="AP192">
        <f t="shared" si="26"/>
        <v>77</v>
      </c>
    </row>
    <row r="193" spans="1:42" ht="15.75" customHeight="1" x14ac:dyDescent="0.3">
      <c r="A193" s="16"/>
      <c r="B193" s="55">
        <v>15</v>
      </c>
      <c r="C193" s="56" t="s">
        <v>211</v>
      </c>
      <c r="D193" s="55">
        <v>5</v>
      </c>
      <c r="E193" s="55" t="s">
        <v>20</v>
      </c>
      <c r="F193" s="18" t="s">
        <v>21</v>
      </c>
      <c r="G193" s="18" t="s">
        <v>21</v>
      </c>
      <c r="H193" s="18" t="s">
        <v>21</v>
      </c>
      <c r="I193" s="18" t="s">
        <v>21</v>
      </c>
      <c r="J193" s="43" t="s">
        <v>20</v>
      </c>
      <c r="K193" s="43" t="s">
        <v>20</v>
      </c>
      <c r="L193" s="43" t="s">
        <v>21</v>
      </c>
      <c r="M193" s="18" t="s">
        <v>20</v>
      </c>
      <c r="N193" s="18" t="s">
        <v>21</v>
      </c>
      <c r="O193" s="18" t="s">
        <v>20</v>
      </c>
      <c r="P193" s="18" t="s">
        <v>20</v>
      </c>
      <c r="Q193" s="18" t="s">
        <v>21</v>
      </c>
      <c r="R193" s="18" t="s">
        <v>21</v>
      </c>
      <c r="S193" s="18" t="s">
        <v>21</v>
      </c>
      <c r="T193" s="18" t="s">
        <v>21</v>
      </c>
      <c r="U193" s="18" t="s">
        <v>20</v>
      </c>
      <c r="V193" s="37" t="s">
        <v>20</v>
      </c>
      <c r="W193" s="37" t="s">
        <v>20</v>
      </c>
      <c r="X193" s="37" t="s">
        <v>20</v>
      </c>
      <c r="Y193" s="18" t="s">
        <v>21</v>
      </c>
      <c r="Z193" s="18" t="s">
        <v>21</v>
      </c>
      <c r="AA193" s="20" t="s">
        <v>21</v>
      </c>
      <c r="AB193" s="20" t="s">
        <v>21</v>
      </c>
      <c r="AC193" s="20" t="s">
        <v>20</v>
      </c>
      <c r="AD193" s="18" t="s">
        <v>20</v>
      </c>
      <c r="AE193" s="18" t="s">
        <v>21</v>
      </c>
      <c r="AG193">
        <f t="shared" si="18"/>
        <v>0</v>
      </c>
      <c r="AH193">
        <f t="shared" si="19"/>
        <v>11</v>
      </c>
      <c r="AI193">
        <f t="shared" si="20"/>
        <v>15</v>
      </c>
      <c r="AJ193">
        <f t="shared" si="21"/>
        <v>0</v>
      </c>
      <c r="AL193">
        <f t="shared" si="22"/>
        <v>0</v>
      </c>
      <c r="AM193">
        <f t="shared" si="23"/>
        <v>33</v>
      </c>
      <c r="AN193">
        <f t="shared" si="24"/>
        <v>30</v>
      </c>
      <c r="AO193">
        <f t="shared" si="25"/>
        <v>0</v>
      </c>
      <c r="AP193">
        <f t="shared" si="26"/>
        <v>63</v>
      </c>
    </row>
    <row r="194" spans="1:42" ht="15.75" customHeight="1" x14ac:dyDescent="0.3">
      <c r="A194" s="16"/>
      <c r="B194" s="55">
        <v>16</v>
      </c>
      <c r="C194" s="56" t="s">
        <v>212</v>
      </c>
      <c r="D194" s="55">
        <v>5</v>
      </c>
      <c r="E194" s="55" t="s">
        <v>20</v>
      </c>
      <c r="F194" s="18" t="s">
        <v>20</v>
      </c>
      <c r="G194" s="18" t="s">
        <v>20</v>
      </c>
      <c r="H194" s="18" t="s">
        <v>39</v>
      </c>
      <c r="I194" s="18" t="s">
        <v>39</v>
      </c>
      <c r="J194" s="43" t="s">
        <v>20</v>
      </c>
      <c r="K194" s="43" t="s">
        <v>20</v>
      </c>
      <c r="L194" s="43" t="s">
        <v>20</v>
      </c>
      <c r="M194" s="18" t="s">
        <v>20</v>
      </c>
      <c r="N194" s="18" t="s">
        <v>20</v>
      </c>
      <c r="O194" s="18" t="s">
        <v>20</v>
      </c>
      <c r="P194" s="18" t="s">
        <v>21</v>
      </c>
      <c r="Q194" s="18" t="s">
        <v>21</v>
      </c>
      <c r="R194" s="18" t="s">
        <v>21</v>
      </c>
      <c r="S194" s="18" t="s">
        <v>20</v>
      </c>
      <c r="T194" s="18" t="s">
        <v>21</v>
      </c>
      <c r="U194" s="18" t="s">
        <v>20</v>
      </c>
      <c r="V194" s="37" t="s">
        <v>20</v>
      </c>
      <c r="W194" s="37" t="s">
        <v>20</v>
      </c>
      <c r="X194" s="37" t="s">
        <v>20</v>
      </c>
      <c r="Y194" s="18" t="s">
        <v>20</v>
      </c>
      <c r="Z194" s="18" t="s">
        <v>20</v>
      </c>
      <c r="AA194" s="20" t="s">
        <v>20</v>
      </c>
      <c r="AB194" s="20" t="s">
        <v>20</v>
      </c>
      <c r="AC194" s="20" t="s">
        <v>20</v>
      </c>
      <c r="AD194" s="18" t="s">
        <v>20</v>
      </c>
      <c r="AE194" s="18" t="s">
        <v>21</v>
      </c>
      <c r="AG194">
        <f t="shared" si="18"/>
        <v>2</v>
      </c>
      <c r="AH194">
        <f t="shared" si="19"/>
        <v>19</v>
      </c>
      <c r="AI194">
        <f t="shared" si="20"/>
        <v>5</v>
      </c>
      <c r="AJ194">
        <f t="shared" si="21"/>
        <v>0</v>
      </c>
      <c r="AL194">
        <f t="shared" si="22"/>
        <v>8</v>
      </c>
      <c r="AM194">
        <f t="shared" si="23"/>
        <v>57</v>
      </c>
      <c r="AN194">
        <f t="shared" si="24"/>
        <v>10</v>
      </c>
      <c r="AO194">
        <f t="shared" si="25"/>
        <v>0</v>
      </c>
      <c r="AP194">
        <f t="shared" si="26"/>
        <v>75</v>
      </c>
    </row>
    <row r="195" spans="1:42" ht="15.75" customHeight="1" x14ac:dyDescent="0.3">
      <c r="A195" s="16"/>
      <c r="B195" s="55">
        <v>17</v>
      </c>
      <c r="C195" s="56" t="s">
        <v>213</v>
      </c>
      <c r="D195" s="55">
        <v>5</v>
      </c>
      <c r="E195" s="55" t="s">
        <v>20</v>
      </c>
      <c r="F195" s="18" t="s">
        <v>23</v>
      </c>
      <c r="G195" s="18" t="s">
        <v>23</v>
      </c>
      <c r="H195" s="18" t="s">
        <v>23</v>
      </c>
      <c r="I195" s="18" t="s">
        <v>23</v>
      </c>
      <c r="J195" s="43" t="s">
        <v>21</v>
      </c>
      <c r="K195" s="43" t="s">
        <v>21</v>
      </c>
      <c r="L195" s="43" t="s">
        <v>21</v>
      </c>
      <c r="M195" s="18" t="s">
        <v>21</v>
      </c>
      <c r="N195" s="18" t="s">
        <v>21</v>
      </c>
      <c r="O195" s="18" t="s">
        <v>20</v>
      </c>
      <c r="P195" s="18" t="s">
        <v>23</v>
      </c>
      <c r="Q195" s="18" t="s">
        <v>21</v>
      </c>
      <c r="R195" s="18" t="s">
        <v>23</v>
      </c>
      <c r="S195" s="18" t="s">
        <v>21</v>
      </c>
      <c r="T195" s="18" t="s">
        <v>23</v>
      </c>
      <c r="U195" s="18" t="s">
        <v>20</v>
      </c>
      <c r="V195" s="37" t="s">
        <v>21</v>
      </c>
      <c r="W195" s="37" t="s">
        <v>21</v>
      </c>
      <c r="X195" s="37" t="s">
        <v>21</v>
      </c>
      <c r="Y195" s="18" t="s">
        <v>21</v>
      </c>
      <c r="Z195" s="18" t="s">
        <v>21</v>
      </c>
      <c r="AA195" s="20" t="s">
        <v>23</v>
      </c>
      <c r="AB195" s="20" t="s">
        <v>21</v>
      </c>
      <c r="AC195" s="20" t="s">
        <v>23</v>
      </c>
      <c r="AD195" s="18" t="s">
        <v>23</v>
      </c>
      <c r="AE195" s="18" t="s">
        <v>21</v>
      </c>
      <c r="AG195">
        <f t="shared" si="18"/>
        <v>0</v>
      </c>
      <c r="AH195">
        <f t="shared" si="19"/>
        <v>2</v>
      </c>
      <c r="AI195">
        <f t="shared" si="20"/>
        <v>14</v>
      </c>
      <c r="AJ195">
        <f t="shared" si="21"/>
        <v>10</v>
      </c>
      <c r="AL195">
        <f t="shared" si="22"/>
        <v>0</v>
      </c>
      <c r="AM195">
        <f t="shared" si="23"/>
        <v>6</v>
      </c>
      <c r="AN195">
        <f t="shared" si="24"/>
        <v>28</v>
      </c>
      <c r="AO195">
        <f t="shared" si="25"/>
        <v>10</v>
      </c>
      <c r="AP195">
        <f t="shared" si="26"/>
        <v>44</v>
      </c>
    </row>
    <row r="196" spans="1:42" ht="15.75" customHeight="1" x14ac:dyDescent="0.3">
      <c r="A196" s="16"/>
      <c r="B196" s="55">
        <v>18</v>
      </c>
      <c r="C196" s="56" t="s">
        <v>214</v>
      </c>
      <c r="D196" s="55">
        <v>5</v>
      </c>
      <c r="E196" s="55" t="s">
        <v>20</v>
      </c>
      <c r="F196" s="18" t="s">
        <v>20</v>
      </c>
      <c r="G196" s="18" t="s">
        <v>20</v>
      </c>
      <c r="H196" s="18" t="s">
        <v>20</v>
      </c>
      <c r="I196" s="18" t="s">
        <v>20</v>
      </c>
      <c r="J196" s="43" t="s">
        <v>20</v>
      </c>
      <c r="K196" s="43" t="s">
        <v>20</v>
      </c>
      <c r="L196" s="43" t="s">
        <v>21</v>
      </c>
      <c r="M196" s="18" t="s">
        <v>20</v>
      </c>
      <c r="N196" s="18" t="s">
        <v>20</v>
      </c>
      <c r="O196" s="18" t="s">
        <v>20</v>
      </c>
      <c r="P196" s="18" t="s">
        <v>21</v>
      </c>
      <c r="Q196" s="18" t="s">
        <v>20</v>
      </c>
      <c r="R196" s="18" t="s">
        <v>21</v>
      </c>
      <c r="S196" s="18" t="s">
        <v>21</v>
      </c>
      <c r="T196" s="18" t="s">
        <v>21</v>
      </c>
      <c r="U196" s="18" t="s">
        <v>20</v>
      </c>
      <c r="V196" s="37" t="s">
        <v>20</v>
      </c>
      <c r="W196" s="37" t="s">
        <v>20</v>
      </c>
      <c r="X196" s="37" t="s">
        <v>20</v>
      </c>
      <c r="Y196" s="18" t="s">
        <v>20</v>
      </c>
      <c r="Z196" s="18" t="s">
        <v>20</v>
      </c>
      <c r="AA196" s="20" t="s">
        <v>20</v>
      </c>
      <c r="AB196" s="20" t="s">
        <v>20</v>
      </c>
      <c r="AC196" s="20" t="s">
        <v>20</v>
      </c>
      <c r="AD196" s="18" t="s">
        <v>20</v>
      </c>
      <c r="AE196" s="18" t="s">
        <v>21</v>
      </c>
      <c r="AG196">
        <f t="shared" si="18"/>
        <v>0</v>
      </c>
      <c r="AH196">
        <f t="shared" si="19"/>
        <v>20</v>
      </c>
      <c r="AI196">
        <f t="shared" si="20"/>
        <v>6</v>
      </c>
      <c r="AJ196">
        <f t="shared" si="21"/>
        <v>0</v>
      </c>
      <c r="AL196">
        <f t="shared" si="22"/>
        <v>0</v>
      </c>
      <c r="AM196">
        <f t="shared" si="23"/>
        <v>60</v>
      </c>
      <c r="AN196">
        <f t="shared" si="24"/>
        <v>12</v>
      </c>
      <c r="AO196">
        <f t="shared" si="25"/>
        <v>0</v>
      </c>
      <c r="AP196">
        <f t="shared" si="26"/>
        <v>72</v>
      </c>
    </row>
    <row r="197" spans="1:42" ht="15.75" customHeight="1" x14ac:dyDescent="0.3">
      <c r="A197" s="16"/>
      <c r="B197" s="55">
        <v>19</v>
      </c>
      <c r="C197" s="56" t="s">
        <v>215</v>
      </c>
      <c r="D197" s="55">
        <v>5</v>
      </c>
      <c r="E197" s="55" t="s">
        <v>20</v>
      </c>
      <c r="F197" s="18" t="s">
        <v>20</v>
      </c>
      <c r="G197" s="18" t="s">
        <v>20</v>
      </c>
      <c r="H197" s="18" t="s">
        <v>20</v>
      </c>
      <c r="I197" s="18" t="s">
        <v>20</v>
      </c>
      <c r="J197" s="43" t="s">
        <v>20</v>
      </c>
      <c r="K197" s="43" t="s">
        <v>20</v>
      </c>
      <c r="L197" s="43" t="s">
        <v>20</v>
      </c>
      <c r="M197" s="18" t="s">
        <v>20</v>
      </c>
      <c r="N197" s="18" t="s">
        <v>20</v>
      </c>
      <c r="O197" s="18" t="s">
        <v>20</v>
      </c>
      <c r="P197" s="18" t="s">
        <v>21</v>
      </c>
      <c r="Q197" s="18" t="s">
        <v>21</v>
      </c>
      <c r="R197" s="18" t="s">
        <v>21</v>
      </c>
      <c r="S197" s="18" t="s">
        <v>21</v>
      </c>
      <c r="T197" s="18" t="s">
        <v>21</v>
      </c>
      <c r="U197" s="18" t="s">
        <v>21</v>
      </c>
      <c r="V197" s="37" t="s">
        <v>21</v>
      </c>
      <c r="W197" s="37" t="s">
        <v>20</v>
      </c>
      <c r="X197" s="37" t="s">
        <v>20</v>
      </c>
      <c r="Y197" s="18" t="s">
        <v>21</v>
      </c>
      <c r="Z197" s="18" t="s">
        <v>20</v>
      </c>
      <c r="AA197" s="20" t="s">
        <v>20</v>
      </c>
      <c r="AB197" s="20" t="s">
        <v>20</v>
      </c>
      <c r="AC197" s="20" t="s">
        <v>20</v>
      </c>
      <c r="AD197" s="18" t="s">
        <v>55</v>
      </c>
      <c r="AE197" s="18" t="s">
        <v>55</v>
      </c>
      <c r="AG197">
        <f t="shared" si="18"/>
        <v>0</v>
      </c>
      <c r="AH197">
        <f t="shared" si="19"/>
        <v>16</v>
      </c>
      <c r="AI197">
        <f t="shared" si="20"/>
        <v>8</v>
      </c>
      <c r="AJ197">
        <f t="shared" si="21"/>
        <v>0</v>
      </c>
      <c r="AL197">
        <f t="shared" si="22"/>
        <v>0</v>
      </c>
      <c r="AM197">
        <f t="shared" si="23"/>
        <v>48</v>
      </c>
      <c r="AN197">
        <f t="shared" si="24"/>
        <v>16</v>
      </c>
      <c r="AO197">
        <f t="shared" si="25"/>
        <v>0</v>
      </c>
      <c r="AP197">
        <f t="shared" si="26"/>
        <v>64</v>
      </c>
    </row>
    <row r="198" spans="1:42" ht="15.75" customHeight="1" x14ac:dyDescent="0.3">
      <c r="A198" s="16"/>
      <c r="B198" s="55">
        <v>20</v>
      </c>
      <c r="C198" s="56" t="s">
        <v>216</v>
      </c>
      <c r="D198" s="55">
        <v>5</v>
      </c>
      <c r="E198" s="55" t="s">
        <v>20</v>
      </c>
      <c r="F198" s="18" t="s">
        <v>39</v>
      </c>
      <c r="G198" s="18" t="s">
        <v>20</v>
      </c>
      <c r="H198" s="18" t="s">
        <v>20</v>
      </c>
      <c r="I198" s="18" t="s">
        <v>39</v>
      </c>
      <c r="J198" s="43" t="s">
        <v>20</v>
      </c>
      <c r="K198" s="43" t="s">
        <v>20</v>
      </c>
      <c r="L198" s="43" t="s">
        <v>20</v>
      </c>
      <c r="M198" s="18" t="s">
        <v>20</v>
      </c>
      <c r="N198" s="18" t="s">
        <v>20</v>
      </c>
      <c r="O198" s="18" t="s">
        <v>20</v>
      </c>
      <c r="P198" s="18" t="s">
        <v>21</v>
      </c>
      <c r="Q198" s="18" t="s">
        <v>20</v>
      </c>
      <c r="R198" s="18" t="s">
        <v>20</v>
      </c>
      <c r="S198" s="18" t="s">
        <v>21</v>
      </c>
      <c r="T198" s="18" t="s">
        <v>21</v>
      </c>
      <c r="U198" s="18" t="s">
        <v>20</v>
      </c>
      <c r="V198" s="37" t="s">
        <v>20</v>
      </c>
      <c r="W198" s="37" t="s">
        <v>20</v>
      </c>
      <c r="X198" s="37" t="s">
        <v>20</v>
      </c>
      <c r="Y198" s="18" t="s">
        <v>20</v>
      </c>
      <c r="Z198" s="18" t="s">
        <v>20</v>
      </c>
      <c r="AA198" s="20" t="s">
        <v>20</v>
      </c>
      <c r="AB198" s="20" t="s">
        <v>20</v>
      </c>
      <c r="AC198" s="20" t="s">
        <v>20</v>
      </c>
      <c r="AD198" s="18" t="s">
        <v>20</v>
      </c>
      <c r="AE198" s="18" t="s">
        <v>21</v>
      </c>
      <c r="AG198">
        <f t="shared" si="18"/>
        <v>2</v>
      </c>
      <c r="AH198">
        <f t="shared" si="19"/>
        <v>20</v>
      </c>
      <c r="AI198">
        <f t="shared" si="20"/>
        <v>4</v>
      </c>
      <c r="AJ198">
        <f t="shared" si="21"/>
        <v>0</v>
      </c>
      <c r="AL198">
        <f t="shared" si="22"/>
        <v>8</v>
      </c>
      <c r="AM198">
        <f t="shared" si="23"/>
        <v>60</v>
      </c>
      <c r="AN198">
        <f t="shared" si="24"/>
        <v>8</v>
      </c>
      <c r="AO198">
        <f t="shared" si="25"/>
        <v>0</v>
      </c>
      <c r="AP198">
        <f t="shared" si="26"/>
        <v>76</v>
      </c>
    </row>
    <row r="199" spans="1:42" ht="15.75" customHeight="1" x14ac:dyDescent="0.3">
      <c r="A199" s="16"/>
      <c r="B199" s="55">
        <v>21</v>
      </c>
      <c r="C199" s="56" t="s">
        <v>217</v>
      </c>
      <c r="D199" s="55">
        <v>5</v>
      </c>
      <c r="E199" s="55" t="s">
        <v>20</v>
      </c>
      <c r="F199" s="18" t="s">
        <v>20</v>
      </c>
      <c r="G199" s="18" t="s">
        <v>20</v>
      </c>
      <c r="H199" s="18" t="s">
        <v>39</v>
      </c>
      <c r="I199" s="18" t="s">
        <v>20</v>
      </c>
      <c r="J199" s="43" t="s">
        <v>20</v>
      </c>
      <c r="K199" s="43" t="s">
        <v>20</v>
      </c>
      <c r="L199" s="43" t="s">
        <v>20</v>
      </c>
      <c r="M199" s="18" t="s">
        <v>21</v>
      </c>
      <c r="N199" s="18" t="s">
        <v>20</v>
      </c>
      <c r="O199" s="18" t="s">
        <v>20</v>
      </c>
      <c r="P199" s="18" t="s">
        <v>21</v>
      </c>
      <c r="Q199" s="18" t="s">
        <v>21</v>
      </c>
      <c r="R199" s="18" t="s">
        <v>21</v>
      </c>
      <c r="S199" s="18" t="s">
        <v>20</v>
      </c>
      <c r="T199" s="18" t="s">
        <v>21</v>
      </c>
      <c r="U199" s="18" t="s">
        <v>20</v>
      </c>
      <c r="V199" s="37" t="s">
        <v>20</v>
      </c>
      <c r="W199" s="37" t="s">
        <v>20</v>
      </c>
      <c r="X199" s="37" t="s">
        <v>20</v>
      </c>
      <c r="Y199" s="18" t="s">
        <v>20</v>
      </c>
      <c r="Z199" s="18" t="s">
        <v>20</v>
      </c>
      <c r="AA199" s="20" t="s">
        <v>20</v>
      </c>
      <c r="AB199" s="20" t="s">
        <v>20</v>
      </c>
      <c r="AC199" s="20" t="s">
        <v>20</v>
      </c>
      <c r="AD199" s="18" t="s">
        <v>20</v>
      </c>
      <c r="AE199" s="18" t="s">
        <v>21</v>
      </c>
      <c r="AG199">
        <f t="shared" ref="AG199:AG232" si="27">+COUNTIF(F199:AE199,"AD")</f>
        <v>1</v>
      </c>
      <c r="AH199">
        <f t="shared" ref="AH199:AH232" si="28">+COUNTIF(F199:AE199,"A")</f>
        <v>19</v>
      </c>
      <c r="AI199">
        <f t="shared" ref="AI199:AI232" si="29">+COUNTIF(F199:AE199,"b")</f>
        <v>6</v>
      </c>
      <c r="AJ199">
        <f t="shared" ref="AJ199:AJ232" si="30">+COUNTIF(F199:AE199,"c")</f>
        <v>0</v>
      </c>
      <c r="AL199">
        <f t="shared" ref="AL199:AL232" si="31">+$AG$5*AG199</f>
        <v>4</v>
      </c>
      <c r="AM199">
        <f t="shared" ref="AM199:AM232" si="32">+$AH$5*AH199</f>
        <v>57</v>
      </c>
      <c r="AN199">
        <f t="shared" ref="AN199:AN232" si="33">+$AI$5*AI199</f>
        <v>12</v>
      </c>
      <c r="AO199">
        <f t="shared" ref="AO199:AO232" si="34">+$AJ$5*AJ199</f>
        <v>0</v>
      </c>
      <c r="AP199">
        <f t="shared" ref="AP199:AP232" si="35">+SUM(AL199:AO199)</f>
        <v>73</v>
      </c>
    </row>
    <row r="200" spans="1:42" ht="15.75" customHeight="1" x14ac:dyDescent="0.3">
      <c r="A200" s="16"/>
      <c r="B200" s="55">
        <v>22</v>
      </c>
      <c r="C200" s="56" t="s">
        <v>218</v>
      </c>
      <c r="D200" s="55">
        <v>5</v>
      </c>
      <c r="E200" s="55" t="s">
        <v>20</v>
      </c>
      <c r="F200" s="18" t="s">
        <v>23</v>
      </c>
      <c r="G200" s="18" t="s">
        <v>23</v>
      </c>
      <c r="H200" s="18" t="s">
        <v>21</v>
      </c>
      <c r="I200" s="18" t="s">
        <v>21</v>
      </c>
      <c r="J200" s="43" t="s">
        <v>20</v>
      </c>
      <c r="K200" s="43" t="s">
        <v>20</v>
      </c>
      <c r="L200" s="43" t="s">
        <v>21</v>
      </c>
      <c r="M200" s="18" t="s">
        <v>20</v>
      </c>
      <c r="N200" s="18" t="s">
        <v>20</v>
      </c>
      <c r="O200" s="18" t="s">
        <v>20</v>
      </c>
      <c r="P200" s="18" t="s">
        <v>21</v>
      </c>
      <c r="Q200" s="18" t="s">
        <v>21</v>
      </c>
      <c r="R200" s="18" t="s">
        <v>21</v>
      </c>
      <c r="S200" s="18" t="s">
        <v>21</v>
      </c>
      <c r="T200" s="18" t="s">
        <v>21</v>
      </c>
      <c r="U200" s="18" t="s">
        <v>20</v>
      </c>
      <c r="V200" s="37" t="s">
        <v>21</v>
      </c>
      <c r="W200" s="37" t="s">
        <v>21</v>
      </c>
      <c r="X200" s="37" t="s">
        <v>21</v>
      </c>
      <c r="Y200" s="18" t="s">
        <v>20</v>
      </c>
      <c r="Z200" s="18" t="s">
        <v>20</v>
      </c>
      <c r="AA200" s="20" t="s">
        <v>20</v>
      </c>
      <c r="AB200" s="20" t="s">
        <v>20</v>
      </c>
      <c r="AC200" s="20" t="s">
        <v>20</v>
      </c>
      <c r="AD200" s="40" t="s">
        <v>20</v>
      </c>
      <c r="AE200" s="40" t="s">
        <v>21</v>
      </c>
      <c r="AG200">
        <f t="shared" si="27"/>
        <v>0</v>
      </c>
      <c r="AH200">
        <f t="shared" si="28"/>
        <v>12</v>
      </c>
      <c r="AI200">
        <f t="shared" si="29"/>
        <v>12</v>
      </c>
      <c r="AJ200">
        <f t="shared" si="30"/>
        <v>2</v>
      </c>
      <c r="AL200">
        <f t="shared" si="31"/>
        <v>0</v>
      </c>
      <c r="AM200">
        <f t="shared" si="32"/>
        <v>36</v>
      </c>
      <c r="AN200">
        <f t="shared" si="33"/>
        <v>24</v>
      </c>
      <c r="AO200">
        <f t="shared" si="34"/>
        <v>2</v>
      </c>
      <c r="AP200">
        <f t="shared" si="35"/>
        <v>62</v>
      </c>
    </row>
    <row r="201" spans="1:42" ht="15.75" customHeight="1" x14ac:dyDescent="0.3">
      <c r="A201" s="16"/>
      <c r="B201" s="55">
        <v>23</v>
      </c>
      <c r="C201" s="56" t="s">
        <v>219</v>
      </c>
      <c r="D201" s="55">
        <v>5</v>
      </c>
      <c r="E201" s="55" t="s">
        <v>20</v>
      </c>
      <c r="F201" s="18" t="s">
        <v>23</v>
      </c>
      <c r="G201" s="18" t="s">
        <v>23</v>
      </c>
      <c r="H201" s="18" t="s">
        <v>23</v>
      </c>
      <c r="I201" s="18" t="s">
        <v>21</v>
      </c>
      <c r="J201" s="43" t="s">
        <v>20</v>
      </c>
      <c r="K201" s="43" t="s">
        <v>20</v>
      </c>
      <c r="L201" s="43" t="s">
        <v>21</v>
      </c>
      <c r="M201" s="18" t="s">
        <v>20</v>
      </c>
      <c r="N201" s="18" t="s">
        <v>21</v>
      </c>
      <c r="O201" s="18" t="s">
        <v>20</v>
      </c>
      <c r="P201" s="18" t="s">
        <v>21</v>
      </c>
      <c r="Q201" s="18" t="s">
        <v>23</v>
      </c>
      <c r="R201" s="18" t="s">
        <v>21</v>
      </c>
      <c r="S201" s="18" t="s">
        <v>21</v>
      </c>
      <c r="T201" s="18" t="s">
        <v>21</v>
      </c>
      <c r="U201" s="18" t="s">
        <v>20</v>
      </c>
      <c r="V201" s="37" t="s">
        <v>20</v>
      </c>
      <c r="W201" s="37" t="s">
        <v>21</v>
      </c>
      <c r="X201" s="37" t="s">
        <v>20</v>
      </c>
      <c r="Y201" s="18" t="s">
        <v>21</v>
      </c>
      <c r="Z201" s="18" t="s">
        <v>20</v>
      </c>
      <c r="AA201" s="20" t="s">
        <v>23</v>
      </c>
      <c r="AB201" s="20" t="s">
        <v>21</v>
      </c>
      <c r="AC201" s="20" t="s">
        <v>21</v>
      </c>
      <c r="AD201" s="18" t="s">
        <v>23</v>
      </c>
      <c r="AE201" s="18" t="s">
        <v>21</v>
      </c>
      <c r="AG201">
        <f t="shared" si="27"/>
        <v>0</v>
      </c>
      <c r="AH201">
        <f t="shared" si="28"/>
        <v>8</v>
      </c>
      <c r="AI201">
        <f t="shared" si="29"/>
        <v>12</v>
      </c>
      <c r="AJ201">
        <f t="shared" si="30"/>
        <v>6</v>
      </c>
      <c r="AL201">
        <f t="shared" si="31"/>
        <v>0</v>
      </c>
      <c r="AM201">
        <f t="shared" si="32"/>
        <v>24</v>
      </c>
      <c r="AN201">
        <f t="shared" si="33"/>
        <v>24</v>
      </c>
      <c r="AO201">
        <f t="shared" si="34"/>
        <v>6</v>
      </c>
      <c r="AP201">
        <f t="shared" si="35"/>
        <v>54</v>
      </c>
    </row>
    <row r="202" spans="1:42" ht="15.75" customHeight="1" x14ac:dyDescent="0.3">
      <c r="A202" s="16"/>
      <c r="B202" s="55">
        <v>24</v>
      </c>
      <c r="C202" s="56" t="s">
        <v>220</v>
      </c>
      <c r="D202" s="55">
        <v>5</v>
      </c>
      <c r="E202" s="55" t="s">
        <v>20</v>
      </c>
      <c r="F202" s="18" t="s">
        <v>39</v>
      </c>
      <c r="G202" s="18" t="s">
        <v>20</v>
      </c>
      <c r="H202" s="18" t="s">
        <v>20</v>
      </c>
      <c r="I202" s="18" t="s">
        <v>39</v>
      </c>
      <c r="J202" s="43" t="s">
        <v>20</v>
      </c>
      <c r="K202" s="43" t="s">
        <v>20</v>
      </c>
      <c r="L202" s="43" t="s">
        <v>20</v>
      </c>
      <c r="M202" s="18" t="s">
        <v>20</v>
      </c>
      <c r="N202" s="18" t="s">
        <v>20</v>
      </c>
      <c r="O202" s="18" t="s">
        <v>20</v>
      </c>
      <c r="P202" s="18" t="s">
        <v>21</v>
      </c>
      <c r="Q202" s="18" t="s">
        <v>20</v>
      </c>
      <c r="R202" s="18" t="s">
        <v>20</v>
      </c>
      <c r="S202" s="18" t="s">
        <v>21</v>
      </c>
      <c r="T202" s="18" t="s">
        <v>21</v>
      </c>
      <c r="U202" s="18" t="s">
        <v>20</v>
      </c>
      <c r="V202" s="37" t="s">
        <v>20</v>
      </c>
      <c r="W202" s="37" t="s">
        <v>20</v>
      </c>
      <c r="X202" s="37" t="s">
        <v>20</v>
      </c>
      <c r="Y202" s="18" t="s">
        <v>20</v>
      </c>
      <c r="Z202" s="18" t="s">
        <v>20</v>
      </c>
      <c r="AA202" s="20" t="s">
        <v>20</v>
      </c>
      <c r="AB202" s="20" t="s">
        <v>20</v>
      </c>
      <c r="AC202" s="20" t="s">
        <v>20</v>
      </c>
      <c r="AD202" s="18" t="s">
        <v>20</v>
      </c>
      <c r="AE202" s="18" t="s">
        <v>21</v>
      </c>
      <c r="AG202">
        <f t="shared" si="27"/>
        <v>2</v>
      </c>
      <c r="AH202">
        <f t="shared" si="28"/>
        <v>20</v>
      </c>
      <c r="AI202">
        <f t="shared" si="29"/>
        <v>4</v>
      </c>
      <c r="AJ202">
        <f t="shared" si="30"/>
        <v>0</v>
      </c>
      <c r="AL202">
        <f t="shared" si="31"/>
        <v>8</v>
      </c>
      <c r="AM202">
        <f t="shared" si="32"/>
        <v>60</v>
      </c>
      <c r="AN202">
        <f t="shared" si="33"/>
        <v>8</v>
      </c>
      <c r="AO202">
        <f t="shared" si="34"/>
        <v>0</v>
      </c>
      <c r="AP202">
        <f t="shared" si="35"/>
        <v>76</v>
      </c>
    </row>
    <row r="203" spans="1:42" ht="15.75" customHeight="1" x14ac:dyDescent="0.3">
      <c r="A203" s="16"/>
      <c r="B203" s="55">
        <v>25</v>
      </c>
      <c r="C203" s="56" t="s">
        <v>221</v>
      </c>
      <c r="D203" s="55">
        <v>5</v>
      </c>
      <c r="E203" s="55" t="s">
        <v>20</v>
      </c>
      <c r="F203" s="18" t="s">
        <v>23</v>
      </c>
      <c r="G203" s="18" t="s">
        <v>23</v>
      </c>
      <c r="H203" s="18" t="s">
        <v>23</v>
      </c>
      <c r="I203" s="18" t="s">
        <v>23</v>
      </c>
      <c r="J203" s="43" t="s">
        <v>20</v>
      </c>
      <c r="K203" s="43" t="s">
        <v>20</v>
      </c>
      <c r="L203" s="43" t="s">
        <v>21</v>
      </c>
      <c r="M203" s="18" t="s">
        <v>20</v>
      </c>
      <c r="N203" s="18" t="s">
        <v>20</v>
      </c>
      <c r="O203" s="18" t="s">
        <v>20</v>
      </c>
      <c r="P203" s="18" t="s">
        <v>21</v>
      </c>
      <c r="Q203" s="18" t="s">
        <v>23</v>
      </c>
      <c r="R203" s="18" t="s">
        <v>23</v>
      </c>
      <c r="S203" s="18" t="s">
        <v>21</v>
      </c>
      <c r="T203" s="18" t="s">
        <v>23</v>
      </c>
      <c r="U203" s="18" t="s">
        <v>20</v>
      </c>
      <c r="V203" s="37" t="s">
        <v>20</v>
      </c>
      <c r="W203" s="37" t="s">
        <v>20</v>
      </c>
      <c r="X203" s="37" t="s">
        <v>20</v>
      </c>
      <c r="Y203" s="18" t="s">
        <v>20</v>
      </c>
      <c r="Z203" s="18" t="s">
        <v>20</v>
      </c>
      <c r="AA203" s="20" t="s">
        <v>21</v>
      </c>
      <c r="AB203" s="20" t="s">
        <v>21</v>
      </c>
      <c r="AC203" s="20" t="s">
        <v>20</v>
      </c>
      <c r="AD203" s="18" t="s">
        <v>20</v>
      </c>
      <c r="AE203" s="18" t="s">
        <v>21</v>
      </c>
      <c r="AG203">
        <f t="shared" si="27"/>
        <v>0</v>
      </c>
      <c r="AH203">
        <f t="shared" si="28"/>
        <v>13</v>
      </c>
      <c r="AI203">
        <f t="shared" si="29"/>
        <v>6</v>
      </c>
      <c r="AJ203">
        <f t="shared" si="30"/>
        <v>7</v>
      </c>
      <c r="AL203">
        <f t="shared" si="31"/>
        <v>0</v>
      </c>
      <c r="AM203">
        <f t="shared" si="32"/>
        <v>39</v>
      </c>
      <c r="AN203">
        <f t="shared" si="33"/>
        <v>12</v>
      </c>
      <c r="AO203">
        <f t="shared" si="34"/>
        <v>7</v>
      </c>
      <c r="AP203">
        <f t="shared" si="35"/>
        <v>58</v>
      </c>
    </row>
    <row r="204" spans="1:42" ht="15.75" customHeight="1" x14ac:dyDescent="0.3">
      <c r="A204" s="16"/>
      <c r="B204" s="55">
        <v>26</v>
      </c>
      <c r="C204" s="56" t="s">
        <v>222</v>
      </c>
      <c r="D204" s="55">
        <v>5</v>
      </c>
      <c r="E204" s="55" t="s">
        <v>20</v>
      </c>
      <c r="F204" s="18" t="s">
        <v>21</v>
      </c>
      <c r="G204" s="18" t="s">
        <v>21</v>
      </c>
      <c r="H204" s="18" t="s">
        <v>21</v>
      </c>
      <c r="I204" s="18" t="s">
        <v>21</v>
      </c>
      <c r="J204" s="43" t="s">
        <v>21</v>
      </c>
      <c r="K204" s="43" t="s">
        <v>21</v>
      </c>
      <c r="L204" s="43" t="s">
        <v>21</v>
      </c>
      <c r="M204" s="18" t="s">
        <v>20</v>
      </c>
      <c r="N204" s="18" t="s">
        <v>20</v>
      </c>
      <c r="O204" s="18" t="s">
        <v>20</v>
      </c>
      <c r="P204" s="18" t="s">
        <v>20</v>
      </c>
      <c r="Q204" s="18" t="s">
        <v>21</v>
      </c>
      <c r="R204" s="18" t="s">
        <v>23</v>
      </c>
      <c r="S204" s="18" t="s">
        <v>21</v>
      </c>
      <c r="T204" s="18" t="s">
        <v>21</v>
      </c>
      <c r="U204" s="18" t="s">
        <v>20</v>
      </c>
      <c r="V204" s="37" t="s">
        <v>20</v>
      </c>
      <c r="W204" s="37" t="s">
        <v>20</v>
      </c>
      <c r="X204" s="37" t="s">
        <v>20</v>
      </c>
      <c r="Y204" s="18" t="s">
        <v>20</v>
      </c>
      <c r="Z204" s="18" t="s">
        <v>20</v>
      </c>
      <c r="AA204" s="20" t="s">
        <v>21</v>
      </c>
      <c r="AB204" s="20" t="s">
        <v>21</v>
      </c>
      <c r="AC204" s="20" t="s">
        <v>20</v>
      </c>
      <c r="AD204" s="40" t="s">
        <v>20</v>
      </c>
      <c r="AE204" s="40" t="s">
        <v>21</v>
      </c>
      <c r="AG204">
        <f t="shared" si="27"/>
        <v>0</v>
      </c>
      <c r="AH204">
        <f t="shared" si="28"/>
        <v>12</v>
      </c>
      <c r="AI204">
        <f t="shared" si="29"/>
        <v>13</v>
      </c>
      <c r="AJ204">
        <f t="shared" si="30"/>
        <v>1</v>
      </c>
      <c r="AL204">
        <f t="shared" si="31"/>
        <v>0</v>
      </c>
      <c r="AM204">
        <f t="shared" si="32"/>
        <v>36</v>
      </c>
      <c r="AN204">
        <f t="shared" si="33"/>
        <v>26</v>
      </c>
      <c r="AO204">
        <f t="shared" si="34"/>
        <v>1</v>
      </c>
      <c r="AP204">
        <f t="shared" si="35"/>
        <v>63</v>
      </c>
    </row>
    <row r="205" spans="1:42" ht="15.75" customHeight="1" x14ac:dyDescent="0.3">
      <c r="A205" s="16"/>
      <c r="B205" s="55">
        <v>27</v>
      </c>
      <c r="C205" s="56" t="s">
        <v>223</v>
      </c>
      <c r="D205" s="55">
        <v>5</v>
      </c>
      <c r="E205" s="55" t="s">
        <v>20</v>
      </c>
      <c r="F205" s="18" t="s">
        <v>20</v>
      </c>
      <c r="G205" s="18" t="s">
        <v>20</v>
      </c>
      <c r="H205" s="18" t="s">
        <v>20</v>
      </c>
      <c r="I205" s="18" t="s">
        <v>20</v>
      </c>
      <c r="J205" s="43" t="s">
        <v>20</v>
      </c>
      <c r="K205" s="43" t="s">
        <v>20</v>
      </c>
      <c r="L205" s="43" t="s">
        <v>20</v>
      </c>
      <c r="M205" s="18" t="s">
        <v>20</v>
      </c>
      <c r="N205" s="18" t="s">
        <v>20</v>
      </c>
      <c r="O205" s="18" t="s">
        <v>20</v>
      </c>
      <c r="P205" s="18" t="s">
        <v>20</v>
      </c>
      <c r="Q205" s="18" t="s">
        <v>21</v>
      </c>
      <c r="R205" s="18" t="s">
        <v>21</v>
      </c>
      <c r="S205" s="18" t="s">
        <v>20</v>
      </c>
      <c r="T205" s="18" t="s">
        <v>21</v>
      </c>
      <c r="U205" s="18" t="s">
        <v>21</v>
      </c>
      <c r="V205" s="37" t="s">
        <v>20</v>
      </c>
      <c r="W205" s="37" t="s">
        <v>20</v>
      </c>
      <c r="X205" s="37" t="s">
        <v>20</v>
      </c>
      <c r="Y205" s="18" t="s">
        <v>20</v>
      </c>
      <c r="Z205" s="18" t="s">
        <v>20</v>
      </c>
      <c r="AA205" s="20" t="s">
        <v>20</v>
      </c>
      <c r="AB205" s="20" t="s">
        <v>20</v>
      </c>
      <c r="AC205" s="20" t="s">
        <v>20</v>
      </c>
      <c r="AD205" s="18" t="s">
        <v>20</v>
      </c>
      <c r="AE205" s="18" t="s">
        <v>21</v>
      </c>
      <c r="AG205">
        <f t="shared" si="27"/>
        <v>0</v>
      </c>
      <c r="AH205">
        <f t="shared" si="28"/>
        <v>21</v>
      </c>
      <c r="AI205">
        <f t="shared" si="29"/>
        <v>5</v>
      </c>
      <c r="AJ205">
        <f t="shared" si="30"/>
        <v>0</v>
      </c>
      <c r="AL205">
        <f t="shared" si="31"/>
        <v>0</v>
      </c>
      <c r="AM205">
        <f t="shared" si="32"/>
        <v>63</v>
      </c>
      <c r="AN205">
        <f t="shared" si="33"/>
        <v>10</v>
      </c>
      <c r="AO205">
        <f t="shared" si="34"/>
        <v>0</v>
      </c>
      <c r="AP205">
        <f t="shared" si="35"/>
        <v>73</v>
      </c>
    </row>
    <row r="206" spans="1:42" ht="15.75" customHeight="1" thickBot="1" x14ac:dyDescent="0.35">
      <c r="A206" s="16"/>
      <c r="B206" s="57">
        <v>28</v>
      </c>
      <c r="C206" s="58" t="s">
        <v>224</v>
      </c>
      <c r="D206" s="57">
        <v>5</v>
      </c>
      <c r="E206" s="57" t="s">
        <v>20</v>
      </c>
      <c r="F206" s="21" t="s">
        <v>20</v>
      </c>
      <c r="G206" s="21" t="s">
        <v>20</v>
      </c>
      <c r="H206" s="21" t="s">
        <v>20</v>
      </c>
      <c r="I206" s="21" t="s">
        <v>20</v>
      </c>
      <c r="J206" s="45" t="s">
        <v>20</v>
      </c>
      <c r="K206" s="45" t="s">
        <v>20</v>
      </c>
      <c r="L206" s="45" t="s">
        <v>21</v>
      </c>
      <c r="M206" s="21" t="s">
        <v>20</v>
      </c>
      <c r="N206" s="21" t="s">
        <v>20</v>
      </c>
      <c r="O206" s="21" t="s">
        <v>20</v>
      </c>
      <c r="P206" s="21" t="s">
        <v>21</v>
      </c>
      <c r="Q206" s="21" t="s">
        <v>21</v>
      </c>
      <c r="R206" s="21" t="s">
        <v>21</v>
      </c>
      <c r="S206" s="21" t="s">
        <v>20</v>
      </c>
      <c r="T206" s="21" t="s">
        <v>21</v>
      </c>
      <c r="U206" s="21" t="s">
        <v>20</v>
      </c>
      <c r="V206" s="38" t="s">
        <v>20</v>
      </c>
      <c r="W206" s="38" t="s">
        <v>20</v>
      </c>
      <c r="X206" s="38" t="s">
        <v>21</v>
      </c>
      <c r="Y206" s="21" t="s">
        <v>20</v>
      </c>
      <c r="Z206" s="21" t="s">
        <v>20</v>
      </c>
      <c r="AA206" s="23" t="s">
        <v>20</v>
      </c>
      <c r="AB206" s="23" t="s">
        <v>20</v>
      </c>
      <c r="AC206" s="23" t="s">
        <v>20</v>
      </c>
      <c r="AD206" s="21" t="s">
        <v>20</v>
      </c>
      <c r="AE206" s="21" t="s">
        <v>21</v>
      </c>
      <c r="AG206">
        <f t="shared" si="27"/>
        <v>0</v>
      </c>
      <c r="AH206">
        <f t="shared" si="28"/>
        <v>19</v>
      </c>
      <c r="AI206">
        <f t="shared" si="29"/>
        <v>7</v>
      </c>
      <c r="AJ206">
        <f t="shared" si="30"/>
        <v>0</v>
      </c>
      <c r="AL206">
        <f t="shared" si="31"/>
        <v>0</v>
      </c>
      <c r="AM206">
        <f t="shared" si="32"/>
        <v>57</v>
      </c>
      <c r="AN206">
        <f t="shared" si="33"/>
        <v>14</v>
      </c>
      <c r="AO206">
        <f t="shared" si="34"/>
        <v>0</v>
      </c>
      <c r="AP206">
        <f t="shared" si="35"/>
        <v>71</v>
      </c>
    </row>
    <row r="207" spans="1:42" ht="15.75" customHeight="1" x14ac:dyDescent="0.3">
      <c r="A207" s="16"/>
      <c r="B207" s="59">
        <v>1</v>
      </c>
      <c r="C207" s="60" t="s">
        <v>225</v>
      </c>
      <c r="D207" s="59">
        <v>5</v>
      </c>
      <c r="E207" s="59" t="s">
        <v>21</v>
      </c>
      <c r="F207" s="24" t="s">
        <v>21</v>
      </c>
      <c r="G207" s="24" t="s">
        <v>20</v>
      </c>
      <c r="H207" s="24" t="s">
        <v>21</v>
      </c>
      <c r="I207" s="24" t="s">
        <v>21</v>
      </c>
      <c r="J207" s="24" t="s">
        <v>20</v>
      </c>
      <c r="K207" s="24" t="s">
        <v>20</v>
      </c>
      <c r="L207" s="24" t="s">
        <v>20</v>
      </c>
      <c r="M207" s="24" t="s">
        <v>20</v>
      </c>
      <c r="N207" s="24" t="s">
        <v>20</v>
      </c>
      <c r="O207" s="24" t="s">
        <v>20</v>
      </c>
      <c r="P207" s="24" t="s">
        <v>21</v>
      </c>
      <c r="Q207" s="24" t="s">
        <v>21</v>
      </c>
      <c r="R207" s="24" t="s">
        <v>21</v>
      </c>
      <c r="S207" s="24" t="s">
        <v>20</v>
      </c>
      <c r="T207" s="24" t="s">
        <v>21</v>
      </c>
      <c r="U207" s="24" t="s">
        <v>20</v>
      </c>
      <c r="V207" s="39" t="s">
        <v>20</v>
      </c>
      <c r="W207" s="39" t="s">
        <v>20</v>
      </c>
      <c r="X207" s="39" t="s">
        <v>20</v>
      </c>
      <c r="Y207" s="24" t="s">
        <v>20</v>
      </c>
      <c r="Z207" s="24" t="s">
        <v>20</v>
      </c>
      <c r="AA207" s="27" t="s">
        <v>20</v>
      </c>
      <c r="AB207" s="27" t="s">
        <v>20</v>
      </c>
      <c r="AC207" s="27" t="s">
        <v>21</v>
      </c>
      <c r="AD207" s="24" t="s">
        <v>20</v>
      </c>
      <c r="AE207" s="24" t="s">
        <v>21</v>
      </c>
      <c r="AG207">
        <f t="shared" si="27"/>
        <v>0</v>
      </c>
      <c r="AH207">
        <f t="shared" si="28"/>
        <v>17</v>
      </c>
      <c r="AI207">
        <f t="shared" si="29"/>
        <v>9</v>
      </c>
      <c r="AJ207">
        <f t="shared" si="30"/>
        <v>0</v>
      </c>
      <c r="AL207">
        <f t="shared" si="31"/>
        <v>0</v>
      </c>
      <c r="AM207">
        <f t="shared" si="32"/>
        <v>51</v>
      </c>
      <c r="AN207">
        <f t="shared" si="33"/>
        <v>18</v>
      </c>
      <c r="AO207">
        <f t="shared" si="34"/>
        <v>0</v>
      </c>
      <c r="AP207">
        <f t="shared" si="35"/>
        <v>69</v>
      </c>
    </row>
    <row r="208" spans="1:42" ht="15.75" customHeight="1" x14ac:dyDescent="0.3">
      <c r="A208" s="16"/>
      <c r="B208" s="55">
        <v>2</v>
      </c>
      <c r="C208" s="56" t="s">
        <v>226</v>
      </c>
      <c r="D208" s="55">
        <v>5</v>
      </c>
      <c r="E208" s="55" t="s">
        <v>21</v>
      </c>
      <c r="F208" s="18" t="s">
        <v>21</v>
      </c>
      <c r="G208" s="18" t="s">
        <v>21</v>
      </c>
      <c r="H208" s="18" t="s">
        <v>21</v>
      </c>
      <c r="I208" s="18" t="s">
        <v>20</v>
      </c>
      <c r="J208" s="18" t="s">
        <v>21</v>
      </c>
      <c r="K208" s="18" t="s">
        <v>21</v>
      </c>
      <c r="L208" s="18" t="s">
        <v>21</v>
      </c>
      <c r="M208" s="18" t="s">
        <v>20</v>
      </c>
      <c r="N208" s="18" t="s">
        <v>21</v>
      </c>
      <c r="O208" s="18" t="s">
        <v>21</v>
      </c>
      <c r="P208" s="18" t="s">
        <v>21</v>
      </c>
      <c r="Q208" s="18" t="s">
        <v>23</v>
      </c>
      <c r="R208" s="18" t="s">
        <v>23</v>
      </c>
      <c r="S208" s="18" t="s">
        <v>21</v>
      </c>
      <c r="T208" s="18" t="s">
        <v>21</v>
      </c>
      <c r="U208" s="18" t="s">
        <v>21</v>
      </c>
      <c r="V208" s="37" t="s">
        <v>20</v>
      </c>
      <c r="W208" s="37" t="s">
        <v>21</v>
      </c>
      <c r="X208" s="37" t="s">
        <v>20</v>
      </c>
      <c r="Y208" s="18" t="s">
        <v>21</v>
      </c>
      <c r="Z208" s="18" t="s">
        <v>20</v>
      </c>
      <c r="AA208" s="20" t="s">
        <v>21</v>
      </c>
      <c r="AB208" s="20" t="s">
        <v>21</v>
      </c>
      <c r="AC208" s="20" t="s">
        <v>23</v>
      </c>
      <c r="AD208" s="18" t="s">
        <v>23</v>
      </c>
      <c r="AE208" s="18" t="s">
        <v>21</v>
      </c>
      <c r="AG208">
        <f t="shared" si="27"/>
        <v>0</v>
      </c>
      <c r="AH208">
        <f t="shared" si="28"/>
        <v>5</v>
      </c>
      <c r="AI208">
        <f t="shared" si="29"/>
        <v>17</v>
      </c>
      <c r="AJ208">
        <f t="shared" si="30"/>
        <v>4</v>
      </c>
      <c r="AL208">
        <f t="shared" si="31"/>
        <v>0</v>
      </c>
      <c r="AM208">
        <f t="shared" si="32"/>
        <v>15</v>
      </c>
      <c r="AN208">
        <f t="shared" si="33"/>
        <v>34</v>
      </c>
      <c r="AO208">
        <f t="shared" si="34"/>
        <v>4</v>
      </c>
      <c r="AP208">
        <f t="shared" si="35"/>
        <v>53</v>
      </c>
    </row>
    <row r="209" spans="1:42" ht="15.75" customHeight="1" x14ac:dyDescent="0.3">
      <c r="A209" s="16"/>
      <c r="B209" s="55">
        <v>3</v>
      </c>
      <c r="C209" s="56" t="s">
        <v>227</v>
      </c>
      <c r="D209" s="55">
        <v>5</v>
      </c>
      <c r="E209" s="55" t="s">
        <v>21</v>
      </c>
      <c r="F209" s="18" t="s">
        <v>21</v>
      </c>
      <c r="G209" s="18" t="s">
        <v>23</v>
      </c>
      <c r="H209" s="18" t="s">
        <v>21</v>
      </c>
      <c r="I209" s="18" t="s">
        <v>20</v>
      </c>
      <c r="J209" s="18" t="s">
        <v>21</v>
      </c>
      <c r="K209" s="18" t="s">
        <v>21</v>
      </c>
      <c r="L209" s="18" t="s">
        <v>20</v>
      </c>
      <c r="M209" s="18" t="s">
        <v>20</v>
      </c>
      <c r="N209" s="18" t="s">
        <v>21</v>
      </c>
      <c r="O209" s="18" t="s">
        <v>21</v>
      </c>
      <c r="P209" s="18" t="s">
        <v>21</v>
      </c>
      <c r="Q209" s="18" t="s">
        <v>23</v>
      </c>
      <c r="R209" s="18" t="s">
        <v>21</v>
      </c>
      <c r="S209" s="18" t="s">
        <v>21</v>
      </c>
      <c r="T209" s="18" t="s">
        <v>21</v>
      </c>
      <c r="U209" s="18" t="s">
        <v>20</v>
      </c>
      <c r="V209" s="37" t="s">
        <v>20</v>
      </c>
      <c r="W209" s="37" t="s">
        <v>21</v>
      </c>
      <c r="X209" s="37" t="s">
        <v>20</v>
      </c>
      <c r="Y209" s="18" t="s">
        <v>21</v>
      </c>
      <c r="Z209" s="18" t="s">
        <v>20</v>
      </c>
      <c r="AA209" s="20" t="s">
        <v>21</v>
      </c>
      <c r="AB209" s="20" t="s">
        <v>21</v>
      </c>
      <c r="AC209" s="20" t="s">
        <v>21</v>
      </c>
      <c r="AD209" s="18" t="s">
        <v>21</v>
      </c>
      <c r="AE209" s="18" t="s">
        <v>21</v>
      </c>
      <c r="AG209">
        <f t="shared" si="27"/>
        <v>0</v>
      </c>
      <c r="AH209">
        <f t="shared" si="28"/>
        <v>7</v>
      </c>
      <c r="AI209">
        <f t="shared" si="29"/>
        <v>17</v>
      </c>
      <c r="AJ209">
        <f t="shared" si="30"/>
        <v>2</v>
      </c>
      <c r="AL209">
        <f t="shared" si="31"/>
        <v>0</v>
      </c>
      <c r="AM209">
        <f t="shared" si="32"/>
        <v>21</v>
      </c>
      <c r="AN209">
        <f t="shared" si="33"/>
        <v>34</v>
      </c>
      <c r="AO209">
        <f t="shared" si="34"/>
        <v>2</v>
      </c>
      <c r="AP209">
        <f t="shared" si="35"/>
        <v>57</v>
      </c>
    </row>
    <row r="210" spans="1:42" ht="15.75" customHeight="1" x14ac:dyDescent="0.3">
      <c r="A210" s="16"/>
      <c r="B210" s="55">
        <v>4</v>
      </c>
      <c r="C210" s="56" t="s">
        <v>228</v>
      </c>
      <c r="D210" s="55">
        <v>5</v>
      </c>
      <c r="E210" s="55" t="s">
        <v>21</v>
      </c>
      <c r="F210" s="18" t="s">
        <v>20</v>
      </c>
      <c r="G210" s="18" t="s">
        <v>20</v>
      </c>
      <c r="H210" s="18" t="s">
        <v>20</v>
      </c>
      <c r="I210" s="18" t="s">
        <v>20</v>
      </c>
      <c r="J210" s="18" t="s">
        <v>21</v>
      </c>
      <c r="K210" s="18" t="s">
        <v>20</v>
      </c>
      <c r="L210" s="18" t="s">
        <v>20</v>
      </c>
      <c r="M210" s="18" t="s">
        <v>20</v>
      </c>
      <c r="N210" s="18" t="s">
        <v>20</v>
      </c>
      <c r="O210" s="18" t="s">
        <v>20</v>
      </c>
      <c r="P210" s="18" t="s">
        <v>21</v>
      </c>
      <c r="Q210" s="18" t="s">
        <v>21</v>
      </c>
      <c r="R210" s="18" t="s">
        <v>21</v>
      </c>
      <c r="S210" s="18" t="s">
        <v>20</v>
      </c>
      <c r="T210" s="18" t="s">
        <v>21</v>
      </c>
      <c r="U210" s="18" t="s">
        <v>20</v>
      </c>
      <c r="V210" s="37" t="s">
        <v>20</v>
      </c>
      <c r="W210" s="37" t="s">
        <v>20</v>
      </c>
      <c r="X210" s="37" t="s">
        <v>20</v>
      </c>
      <c r="Y210" s="18" t="s">
        <v>20</v>
      </c>
      <c r="Z210" s="18" t="s">
        <v>20</v>
      </c>
      <c r="AA210" s="20" t="s">
        <v>20</v>
      </c>
      <c r="AB210" s="20" t="s">
        <v>20</v>
      </c>
      <c r="AC210" s="20" t="s">
        <v>20</v>
      </c>
      <c r="AD210" s="18" t="s">
        <v>20</v>
      </c>
      <c r="AE210" s="18" t="s">
        <v>21</v>
      </c>
      <c r="AG210">
        <f t="shared" si="27"/>
        <v>0</v>
      </c>
      <c r="AH210">
        <f t="shared" si="28"/>
        <v>20</v>
      </c>
      <c r="AI210">
        <f t="shared" si="29"/>
        <v>6</v>
      </c>
      <c r="AJ210">
        <f t="shared" si="30"/>
        <v>0</v>
      </c>
      <c r="AL210">
        <f t="shared" si="31"/>
        <v>0</v>
      </c>
      <c r="AM210">
        <f t="shared" si="32"/>
        <v>60</v>
      </c>
      <c r="AN210">
        <f t="shared" si="33"/>
        <v>12</v>
      </c>
      <c r="AO210">
        <f t="shared" si="34"/>
        <v>0</v>
      </c>
      <c r="AP210">
        <f t="shared" si="35"/>
        <v>72</v>
      </c>
    </row>
    <row r="211" spans="1:42" ht="15.75" customHeight="1" x14ac:dyDescent="0.3">
      <c r="A211" s="16"/>
      <c r="B211" s="55">
        <v>5</v>
      </c>
      <c r="C211" s="56" t="s">
        <v>229</v>
      </c>
      <c r="D211" s="55">
        <v>5</v>
      </c>
      <c r="E211" s="55" t="s">
        <v>21</v>
      </c>
      <c r="F211" s="18" t="s">
        <v>20</v>
      </c>
      <c r="G211" s="18" t="s">
        <v>21</v>
      </c>
      <c r="H211" s="18" t="s">
        <v>20</v>
      </c>
      <c r="I211" s="18" t="s">
        <v>20</v>
      </c>
      <c r="J211" s="18" t="s">
        <v>21</v>
      </c>
      <c r="K211" s="18" t="s">
        <v>21</v>
      </c>
      <c r="L211" s="18" t="s">
        <v>20</v>
      </c>
      <c r="M211" s="18" t="s">
        <v>20</v>
      </c>
      <c r="N211" s="18" t="s">
        <v>20</v>
      </c>
      <c r="O211" s="18" t="s">
        <v>20</v>
      </c>
      <c r="P211" s="18" t="s">
        <v>21</v>
      </c>
      <c r="Q211" s="18" t="s">
        <v>20</v>
      </c>
      <c r="R211" s="18" t="s">
        <v>21</v>
      </c>
      <c r="S211" s="18" t="s">
        <v>20</v>
      </c>
      <c r="T211" s="18" t="s">
        <v>21</v>
      </c>
      <c r="U211" s="18" t="s">
        <v>20</v>
      </c>
      <c r="V211" s="37" t="s">
        <v>20</v>
      </c>
      <c r="W211" s="37" t="s">
        <v>21</v>
      </c>
      <c r="X211" s="37" t="s">
        <v>20</v>
      </c>
      <c r="Y211" s="18" t="s">
        <v>21</v>
      </c>
      <c r="Z211" s="18" t="s">
        <v>20</v>
      </c>
      <c r="AA211" s="20" t="s">
        <v>20</v>
      </c>
      <c r="AB211" s="20" t="s">
        <v>20</v>
      </c>
      <c r="AC211" s="20" t="s">
        <v>20</v>
      </c>
      <c r="AD211" s="18" t="s">
        <v>20</v>
      </c>
      <c r="AE211" s="18" t="s">
        <v>21</v>
      </c>
      <c r="AG211">
        <f t="shared" si="27"/>
        <v>0</v>
      </c>
      <c r="AH211">
        <f t="shared" si="28"/>
        <v>17</v>
      </c>
      <c r="AI211">
        <f t="shared" si="29"/>
        <v>9</v>
      </c>
      <c r="AJ211">
        <f t="shared" si="30"/>
        <v>0</v>
      </c>
      <c r="AL211">
        <f t="shared" si="31"/>
        <v>0</v>
      </c>
      <c r="AM211">
        <f t="shared" si="32"/>
        <v>51</v>
      </c>
      <c r="AN211">
        <f t="shared" si="33"/>
        <v>18</v>
      </c>
      <c r="AO211">
        <f t="shared" si="34"/>
        <v>0</v>
      </c>
      <c r="AP211">
        <f t="shared" si="35"/>
        <v>69</v>
      </c>
    </row>
    <row r="212" spans="1:42" ht="15.75" customHeight="1" x14ac:dyDescent="0.3">
      <c r="A212" s="16"/>
      <c r="B212" s="55">
        <v>6</v>
      </c>
      <c r="C212" s="56" t="s">
        <v>230</v>
      </c>
      <c r="D212" s="55">
        <v>5</v>
      </c>
      <c r="E212" s="55" t="s">
        <v>21</v>
      </c>
      <c r="F212" s="18" t="s">
        <v>21</v>
      </c>
      <c r="G212" s="18" t="s">
        <v>21</v>
      </c>
      <c r="H212" s="18" t="s">
        <v>21</v>
      </c>
      <c r="I212" s="18" t="s">
        <v>20</v>
      </c>
      <c r="J212" s="18" t="s">
        <v>21</v>
      </c>
      <c r="K212" s="18" t="s">
        <v>21</v>
      </c>
      <c r="L212" s="18" t="s">
        <v>21</v>
      </c>
      <c r="M212" s="18" t="s">
        <v>20</v>
      </c>
      <c r="N212" s="18" t="s">
        <v>20</v>
      </c>
      <c r="O212" s="18" t="s">
        <v>20</v>
      </c>
      <c r="P212" s="18" t="s">
        <v>21</v>
      </c>
      <c r="Q212" s="18" t="s">
        <v>23</v>
      </c>
      <c r="R212" s="18" t="s">
        <v>23</v>
      </c>
      <c r="S212" s="18" t="s">
        <v>21</v>
      </c>
      <c r="T212" s="18" t="s">
        <v>21</v>
      </c>
      <c r="U212" s="18" t="s">
        <v>20</v>
      </c>
      <c r="V212" s="37" t="s">
        <v>20</v>
      </c>
      <c r="W212" s="37" t="s">
        <v>20</v>
      </c>
      <c r="X212" s="37" t="s">
        <v>20</v>
      </c>
      <c r="Y212" s="18" t="s">
        <v>21</v>
      </c>
      <c r="Z212" s="18" t="s">
        <v>20</v>
      </c>
      <c r="AA212" s="20" t="s">
        <v>20</v>
      </c>
      <c r="AB212" s="20" t="s">
        <v>20</v>
      </c>
      <c r="AC212" s="20" t="s">
        <v>20</v>
      </c>
      <c r="AD212" s="29" t="s">
        <v>23</v>
      </c>
      <c r="AE212" s="29" t="s">
        <v>21</v>
      </c>
      <c r="AG212">
        <f t="shared" si="27"/>
        <v>0</v>
      </c>
      <c r="AH212">
        <f t="shared" si="28"/>
        <v>12</v>
      </c>
      <c r="AI212">
        <f t="shared" si="29"/>
        <v>11</v>
      </c>
      <c r="AJ212">
        <f t="shared" si="30"/>
        <v>3</v>
      </c>
      <c r="AL212">
        <f t="shared" si="31"/>
        <v>0</v>
      </c>
      <c r="AM212">
        <f t="shared" si="32"/>
        <v>36</v>
      </c>
      <c r="AN212">
        <f t="shared" si="33"/>
        <v>22</v>
      </c>
      <c r="AO212">
        <f t="shared" si="34"/>
        <v>3</v>
      </c>
      <c r="AP212">
        <f t="shared" si="35"/>
        <v>61</v>
      </c>
    </row>
    <row r="213" spans="1:42" ht="15.75" customHeight="1" x14ac:dyDescent="0.3">
      <c r="A213" s="16"/>
      <c r="B213" s="55">
        <v>7</v>
      </c>
      <c r="C213" s="56" t="s">
        <v>231</v>
      </c>
      <c r="D213" s="55">
        <v>5</v>
      </c>
      <c r="E213" s="55" t="s">
        <v>21</v>
      </c>
      <c r="F213" s="18" t="s">
        <v>21</v>
      </c>
      <c r="G213" s="18" t="s">
        <v>21</v>
      </c>
      <c r="H213" s="18" t="s">
        <v>21</v>
      </c>
      <c r="I213" s="18" t="s">
        <v>21</v>
      </c>
      <c r="J213" s="18" t="s">
        <v>21</v>
      </c>
      <c r="K213" s="18" t="s">
        <v>21</v>
      </c>
      <c r="L213" s="18" t="s">
        <v>21</v>
      </c>
      <c r="M213" s="18" t="s">
        <v>20</v>
      </c>
      <c r="N213" s="18" t="s">
        <v>21</v>
      </c>
      <c r="O213" s="18" t="s">
        <v>20</v>
      </c>
      <c r="P213" s="18" t="s">
        <v>21</v>
      </c>
      <c r="Q213" s="18" t="s">
        <v>23</v>
      </c>
      <c r="R213" s="18" t="s">
        <v>21</v>
      </c>
      <c r="S213" s="18" t="s">
        <v>21</v>
      </c>
      <c r="T213" s="18" t="s">
        <v>21</v>
      </c>
      <c r="U213" s="18" t="s">
        <v>21</v>
      </c>
      <c r="V213" s="37" t="s">
        <v>21</v>
      </c>
      <c r="W213" s="37" t="s">
        <v>21</v>
      </c>
      <c r="X213" s="37" t="s">
        <v>21</v>
      </c>
      <c r="Y213" s="18" t="s">
        <v>20</v>
      </c>
      <c r="Z213" s="18" t="s">
        <v>20</v>
      </c>
      <c r="AA213" s="20" t="s">
        <v>21</v>
      </c>
      <c r="AB213" s="20" t="s">
        <v>21</v>
      </c>
      <c r="AC213" s="20" t="s">
        <v>21</v>
      </c>
      <c r="AD213" s="29" t="s">
        <v>23</v>
      </c>
      <c r="AE213" s="29" t="s">
        <v>21</v>
      </c>
      <c r="AG213">
        <f t="shared" si="27"/>
        <v>0</v>
      </c>
      <c r="AH213">
        <f t="shared" si="28"/>
        <v>4</v>
      </c>
      <c r="AI213">
        <f t="shared" si="29"/>
        <v>20</v>
      </c>
      <c r="AJ213">
        <f t="shared" si="30"/>
        <v>2</v>
      </c>
      <c r="AL213">
        <f t="shared" si="31"/>
        <v>0</v>
      </c>
      <c r="AM213">
        <f t="shared" si="32"/>
        <v>12</v>
      </c>
      <c r="AN213">
        <f t="shared" si="33"/>
        <v>40</v>
      </c>
      <c r="AO213">
        <f t="shared" si="34"/>
        <v>2</v>
      </c>
      <c r="AP213">
        <f t="shared" si="35"/>
        <v>54</v>
      </c>
    </row>
    <row r="214" spans="1:42" ht="15.75" customHeight="1" x14ac:dyDescent="0.3">
      <c r="A214" s="16"/>
      <c r="B214" s="55">
        <v>8</v>
      </c>
      <c r="C214" s="56" t="s">
        <v>232</v>
      </c>
      <c r="D214" s="55">
        <v>5</v>
      </c>
      <c r="E214" s="55" t="s">
        <v>21</v>
      </c>
      <c r="F214" s="18" t="s">
        <v>21</v>
      </c>
      <c r="G214" s="18" t="s">
        <v>23</v>
      </c>
      <c r="H214" s="18" t="s">
        <v>21</v>
      </c>
      <c r="I214" s="18" t="s">
        <v>20</v>
      </c>
      <c r="J214" s="18" t="s">
        <v>23</v>
      </c>
      <c r="K214" s="18" t="s">
        <v>20</v>
      </c>
      <c r="L214" s="18" t="s">
        <v>20</v>
      </c>
      <c r="M214" s="18" t="s">
        <v>20</v>
      </c>
      <c r="N214" s="18" t="s">
        <v>20</v>
      </c>
      <c r="O214" s="18" t="s">
        <v>20</v>
      </c>
      <c r="P214" s="18" t="s">
        <v>23</v>
      </c>
      <c r="Q214" s="18" t="s">
        <v>21</v>
      </c>
      <c r="R214" s="18" t="s">
        <v>21</v>
      </c>
      <c r="S214" s="18" t="s">
        <v>23</v>
      </c>
      <c r="T214" s="18" t="s">
        <v>21</v>
      </c>
      <c r="U214" s="18" t="s">
        <v>20</v>
      </c>
      <c r="V214" s="37" t="s">
        <v>20</v>
      </c>
      <c r="W214" s="37" t="s">
        <v>21</v>
      </c>
      <c r="X214" s="37" t="s">
        <v>20</v>
      </c>
      <c r="Y214" s="18" t="s">
        <v>20</v>
      </c>
      <c r="Z214" s="18" t="s">
        <v>20</v>
      </c>
      <c r="AA214" s="20" t="s">
        <v>20</v>
      </c>
      <c r="AB214" s="20" t="s">
        <v>20</v>
      </c>
      <c r="AC214" s="20" t="s">
        <v>20</v>
      </c>
      <c r="AD214" s="29" t="s">
        <v>23</v>
      </c>
      <c r="AE214" s="29" t="s">
        <v>21</v>
      </c>
      <c r="AG214">
        <f t="shared" si="27"/>
        <v>0</v>
      </c>
      <c r="AH214">
        <f t="shared" si="28"/>
        <v>14</v>
      </c>
      <c r="AI214">
        <f t="shared" si="29"/>
        <v>7</v>
      </c>
      <c r="AJ214">
        <f t="shared" si="30"/>
        <v>5</v>
      </c>
      <c r="AL214">
        <f t="shared" si="31"/>
        <v>0</v>
      </c>
      <c r="AM214">
        <f t="shared" si="32"/>
        <v>42</v>
      </c>
      <c r="AN214">
        <f t="shared" si="33"/>
        <v>14</v>
      </c>
      <c r="AO214">
        <f t="shared" si="34"/>
        <v>5</v>
      </c>
      <c r="AP214">
        <f t="shared" si="35"/>
        <v>61</v>
      </c>
    </row>
    <row r="215" spans="1:42" ht="15.75" customHeight="1" x14ac:dyDescent="0.3">
      <c r="A215" s="16"/>
      <c r="B215" s="55">
        <v>9</v>
      </c>
      <c r="C215" s="56" t="s">
        <v>233</v>
      </c>
      <c r="D215" s="55">
        <v>5</v>
      </c>
      <c r="E215" s="55" t="s">
        <v>21</v>
      </c>
      <c r="F215" s="18" t="s">
        <v>20</v>
      </c>
      <c r="G215" s="18" t="s">
        <v>20</v>
      </c>
      <c r="H215" s="18" t="s">
        <v>20</v>
      </c>
      <c r="I215" s="18" t="s">
        <v>20</v>
      </c>
      <c r="J215" s="18" t="s">
        <v>21</v>
      </c>
      <c r="K215" s="18" t="s">
        <v>21</v>
      </c>
      <c r="L215" s="18" t="s">
        <v>21</v>
      </c>
      <c r="M215" s="18" t="s">
        <v>20</v>
      </c>
      <c r="N215" s="18" t="s">
        <v>20</v>
      </c>
      <c r="O215" s="18" t="s">
        <v>20</v>
      </c>
      <c r="P215" s="18" t="s">
        <v>21</v>
      </c>
      <c r="Q215" s="18" t="s">
        <v>21</v>
      </c>
      <c r="R215" s="18" t="s">
        <v>20</v>
      </c>
      <c r="S215" s="18" t="s">
        <v>20</v>
      </c>
      <c r="T215" s="18" t="s">
        <v>21</v>
      </c>
      <c r="U215" s="18" t="s">
        <v>20</v>
      </c>
      <c r="V215" s="37" t="s">
        <v>20</v>
      </c>
      <c r="W215" s="37" t="s">
        <v>20</v>
      </c>
      <c r="X215" s="37" t="s">
        <v>20</v>
      </c>
      <c r="Y215" s="18" t="s">
        <v>20</v>
      </c>
      <c r="Z215" s="18" t="s">
        <v>20</v>
      </c>
      <c r="AA215" s="20" t="s">
        <v>20</v>
      </c>
      <c r="AB215" s="20" t="s">
        <v>20</v>
      </c>
      <c r="AC215" s="20" t="s">
        <v>20</v>
      </c>
      <c r="AD215" s="29" t="s">
        <v>20</v>
      </c>
      <c r="AE215" s="29" t="s">
        <v>21</v>
      </c>
      <c r="AG215">
        <f t="shared" si="27"/>
        <v>0</v>
      </c>
      <c r="AH215">
        <f t="shared" si="28"/>
        <v>19</v>
      </c>
      <c r="AI215">
        <f t="shared" si="29"/>
        <v>7</v>
      </c>
      <c r="AJ215">
        <f t="shared" si="30"/>
        <v>0</v>
      </c>
      <c r="AL215">
        <f t="shared" si="31"/>
        <v>0</v>
      </c>
      <c r="AM215">
        <f t="shared" si="32"/>
        <v>57</v>
      </c>
      <c r="AN215">
        <f t="shared" si="33"/>
        <v>14</v>
      </c>
      <c r="AO215">
        <f t="shared" si="34"/>
        <v>0</v>
      </c>
      <c r="AP215">
        <f t="shared" si="35"/>
        <v>71</v>
      </c>
    </row>
    <row r="216" spans="1:42" ht="15.75" customHeight="1" x14ac:dyDescent="0.3">
      <c r="A216" s="16"/>
      <c r="B216" s="55">
        <v>10</v>
      </c>
      <c r="C216" s="56" t="s">
        <v>234</v>
      </c>
      <c r="D216" s="55">
        <v>5</v>
      </c>
      <c r="E216" s="55" t="s">
        <v>21</v>
      </c>
      <c r="F216" s="18" t="s">
        <v>20</v>
      </c>
      <c r="G216" s="18" t="s">
        <v>20</v>
      </c>
      <c r="H216" s="18" t="s">
        <v>21</v>
      </c>
      <c r="I216" s="18" t="s">
        <v>20</v>
      </c>
      <c r="J216" s="18" t="s">
        <v>20</v>
      </c>
      <c r="K216" s="18" t="s">
        <v>21</v>
      </c>
      <c r="L216" s="18" t="s">
        <v>20</v>
      </c>
      <c r="M216" s="18" t="s">
        <v>20</v>
      </c>
      <c r="N216" s="18" t="s">
        <v>20</v>
      </c>
      <c r="O216" s="18" t="s">
        <v>20</v>
      </c>
      <c r="P216" s="18" t="s">
        <v>21</v>
      </c>
      <c r="Q216" s="18" t="s">
        <v>21</v>
      </c>
      <c r="R216" s="18" t="s">
        <v>21</v>
      </c>
      <c r="S216" s="18" t="s">
        <v>20</v>
      </c>
      <c r="T216" s="18" t="s">
        <v>21</v>
      </c>
      <c r="U216" s="18" t="s">
        <v>20</v>
      </c>
      <c r="V216" s="37" t="s">
        <v>20</v>
      </c>
      <c r="W216" s="37" t="s">
        <v>20</v>
      </c>
      <c r="X216" s="37" t="s">
        <v>20</v>
      </c>
      <c r="Y216" s="18" t="s">
        <v>20</v>
      </c>
      <c r="Z216" s="18" t="s">
        <v>20</v>
      </c>
      <c r="AA216" s="20" t="s">
        <v>20</v>
      </c>
      <c r="AB216" s="20" t="s">
        <v>20</v>
      </c>
      <c r="AC216" s="20" t="s">
        <v>20</v>
      </c>
      <c r="AD216" s="29" t="s">
        <v>20</v>
      </c>
      <c r="AE216" s="29" t="s">
        <v>21</v>
      </c>
      <c r="AG216">
        <f t="shared" si="27"/>
        <v>0</v>
      </c>
      <c r="AH216">
        <f t="shared" si="28"/>
        <v>19</v>
      </c>
      <c r="AI216">
        <f t="shared" si="29"/>
        <v>7</v>
      </c>
      <c r="AJ216">
        <f t="shared" si="30"/>
        <v>0</v>
      </c>
      <c r="AL216">
        <f t="shared" si="31"/>
        <v>0</v>
      </c>
      <c r="AM216">
        <f t="shared" si="32"/>
        <v>57</v>
      </c>
      <c r="AN216">
        <f t="shared" si="33"/>
        <v>14</v>
      </c>
      <c r="AO216">
        <f t="shared" si="34"/>
        <v>0</v>
      </c>
      <c r="AP216">
        <f t="shared" si="35"/>
        <v>71</v>
      </c>
    </row>
    <row r="217" spans="1:42" ht="15.75" customHeight="1" x14ac:dyDescent="0.3">
      <c r="A217" s="16"/>
      <c r="B217" s="55">
        <v>11</v>
      </c>
      <c r="C217" s="56" t="s">
        <v>235</v>
      </c>
      <c r="D217" s="55">
        <v>5</v>
      </c>
      <c r="E217" s="55" t="s">
        <v>21</v>
      </c>
      <c r="F217" s="18" t="s">
        <v>21</v>
      </c>
      <c r="G217" s="18" t="s">
        <v>21</v>
      </c>
      <c r="H217" s="18" t="s">
        <v>21</v>
      </c>
      <c r="I217" s="18" t="s">
        <v>21</v>
      </c>
      <c r="J217" s="18" t="s">
        <v>21</v>
      </c>
      <c r="K217" s="18" t="s">
        <v>21</v>
      </c>
      <c r="L217" s="18" t="s">
        <v>20</v>
      </c>
      <c r="M217" s="18" t="s">
        <v>20</v>
      </c>
      <c r="N217" s="18" t="s">
        <v>20</v>
      </c>
      <c r="O217" s="18" t="s">
        <v>20</v>
      </c>
      <c r="P217" s="18" t="s">
        <v>21</v>
      </c>
      <c r="Q217" s="18" t="s">
        <v>21</v>
      </c>
      <c r="R217" s="18" t="s">
        <v>21</v>
      </c>
      <c r="S217" s="18" t="s">
        <v>20</v>
      </c>
      <c r="T217" s="18" t="s">
        <v>20</v>
      </c>
      <c r="U217" s="18" t="s">
        <v>21</v>
      </c>
      <c r="V217" s="37" t="s">
        <v>20</v>
      </c>
      <c r="W217" s="37" t="s">
        <v>21</v>
      </c>
      <c r="X217" s="37" t="s">
        <v>20</v>
      </c>
      <c r="Y217" s="18" t="s">
        <v>20</v>
      </c>
      <c r="Z217" s="18" t="s">
        <v>21</v>
      </c>
      <c r="AA217" s="20" t="s">
        <v>20</v>
      </c>
      <c r="AB217" s="20" t="s">
        <v>20</v>
      </c>
      <c r="AC217" s="20" t="s">
        <v>20</v>
      </c>
      <c r="AD217" s="29" t="s">
        <v>20</v>
      </c>
      <c r="AE217" s="29" t="s">
        <v>21</v>
      </c>
      <c r="AG217">
        <f t="shared" si="27"/>
        <v>0</v>
      </c>
      <c r="AH217">
        <f t="shared" si="28"/>
        <v>13</v>
      </c>
      <c r="AI217">
        <f t="shared" si="29"/>
        <v>13</v>
      </c>
      <c r="AJ217">
        <f t="shared" si="30"/>
        <v>0</v>
      </c>
      <c r="AL217">
        <f t="shared" si="31"/>
        <v>0</v>
      </c>
      <c r="AM217">
        <f t="shared" si="32"/>
        <v>39</v>
      </c>
      <c r="AN217">
        <f t="shared" si="33"/>
        <v>26</v>
      </c>
      <c r="AO217">
        <f t="shared" si="34"/>
        <v>0</v>
      </c>
      <c r="AP217">
        <f t="shared" si="35"/>
        <v>65</v>
      </c>
    </row>
    <row r="218" spans="1:42" ht="15.75" customHeight="1" x14ac:dyDescent="0.3">
      <c r="A218" s="16"/>
      <c r="B218" s="55">
        <v>12</v>
      </c>
      <c r="C218" s="56" t="s">
        <v>236</v>
      </c>
      <c r="D218" s="55">
        <v>5</v>
      </c>
      <c r="E218" s="55" t="s">
        <v>21</v>
      </c>
      <c r="F218" s="18" t="s">
        <v>21</v>
      </c>
      <c r="G218" s="18" t="s">
        <v>21</v>
      </c>
      <c r="H218" s="18" t="s">
        <v>21</v>
      </c>
      <c r="I218" s="18" t="s">
        <v>20</v>
      </c>
      <c r="J218" s="18" t="s">
        <v>21</v>
      </c>
      <c r="K218" s="18" t="s">
        <v>21</v>
      </c>
      <c r="L218" s="18" t="s">
        <v>20</v>
      </c>
      <c r="M218" s="18" t="s">
        <v>20</v>
      </c>
      <c r="N218" s="18" t="s">
        <v>20</v>
      </c>
      <c r="O218" s="18" t="s">
        <v>20</v>
      </c>
      <c r="P218" s="18" t="s">
        <v>23</v>
      </c>
      <c r="Q218" s="18" t="s">
        <v>23</v>
      </c>
      <c r="R218" s="18" t="s">
        <v>23</v>
      </c>
      <c r="S218" s="18" t="s">
        <v>21</v>
      </c>
      <c r="T218" s="18" t="s">
        <v>21</v>
      </c>
      <c r="U218" s="18" t="s">
        <v>20</v>
      </c>
      <c r="V218" s="37" t="s">
        <v>20</v>
      </c>
      <c r="W218" s="37" t="s">
        <v>20</v>
      </c>
      <c r="X218" s="37" t="s">
        <v>20</v>
      </c>
      <c r="Y218" s="18" t="s">
        <v>20</v>
      </c>
      <c r="Z218" s="18" t="s">
        <v>20</v>
      </c>
      <c r="AA218" s="20" t="s">
        <v>20</v>
      </c>
      <c r="AB218" s="20" t="s">
        <v>20</v>
      </c>
      <c r="AC218" s="20" t="s">
        <v>20</v>
      </c>
      <c r="AD218" s="29" t="s">
        <v>23</v>
      </c>
      <c r="AE218" s="29" t="s">
        <v>21</v>
      </c>
      <c r="AG218">
        <f t="shared" si="27"/>
        <v>0</v>
      </c>
      <c r="AH218">
        <f t="shared" si="28"/>
        <v>14</v>
      </c>
      <c r="AI218">
        <f t="shared" si="29"/>
        <v>8</v>
      </c>
      <c r="AJ218">
        <f t="shared" si="30"/>
        <v>4</v>
      </c>
      <c r="AL218">
        <f t="shared" si="31"/>
        <v>0</v>
      </c>
      <c r="AM218">
        <f t="shared" si="32"/>
        <v>42</v>
      </c>
      <c r="AN218">
        <f t="shared" si="33"/>
        <v>16</v>
      </c>
      <c r="AO218">
        <f t="shared" si="34"/>
        <v>4</v>
      </c>
      <c r="AP218">
        <f t="shared" si="35"/>
        <v>62</v>
      </c>
    </row>
    <row r="219" spans="1:42" ht="15.75" customHeight="1" x14ac:dyDescent="0.3">
      <c r="A219" s="16"/>
      <c r="B219" s="55">
        <v>13</v>
      </c>
      <c r="C219" s="56" t="s">
        <v>237</v>
      </c>
      <c r="D219" s="55">
        <v>5</v>
      </c>
      <c r="E219" s="55" t="s">
        <v>21</v>
      </c>
      <c r="F219" s="18" t="s">
        <v>21</v>
      </c>
      <c r="G219" s="18" t="s">
        <v>21</v>
      </c>
      <c r="H219" s="18" t="s">
        <v>21</v>
      </c>
      <c r="I219" s="18" t="s">
        <v>21</v>
      </c>
      <c r="J219" s="18" t="s">
        <v>20</v>
      </c>
      <c r="K219" s="18" t="s">
        <v>20</v>
      </c>
      <c r="L219" s="18" t="s">
        <v>20</v>
      </c>
      <c r="M219" s="18" t="s">
        <v>20</v>
      </c>
      <c r="N219" s="18" t="s">
        <v>21</v>
      </c>
      <c r="O219" s="18" t="s">
        <v>20</v>
      </c>
      <c r="P219" s="18" t="s">
        <v>23</v>
      </c>
      <c r="Q219" s="18" t="s">
        <v>21</v>
      </c>
      <c r="R219" s="18" t="s">
        <v>21</v>
      </c>
      <c r="S219" s="18" t="s">
        <v>20</v>
      </c>
      <c r="T219" s="18" t="s">
        <v>21</v>
      </c>
      <c r="U219" s="18" t="s">
        <v>21</v>
      </c>
      <c r="V219" s="37" t="s">
        <v>20</v>
      </c>
      <c r="W219" s="37" t="s">
        <v>20</v>
      </c>
      <c r="X219" s="37" t="s">
        <v>20</v>
      </c>
      <c r="Y219" s="18" t="s">
        <v>20</v>
      </c>
      <c r="Z219" s="18" t="s">
        <v>20</v>
      </c>
      <c r="AA219" s="20" t="s">
        <v>21</v>
      </c>
      <c r="AB219" s="20" t="s">
        <v>20</v>
      </c>
      <c r="AC219" s="20" t="s">
        <v>21</v>
      </c>
      <c r="AD219" s="29" t="s">
        <v>21</v>
      </c>
      <c r="AE219" s="29" t="s">
        <v>21</v>
      </c>
      <c r="AG219">
        <f t="shared" si="27"/>
        <v>0</v>
      </c>
      <c r="AH219">
        <f t="shared" si="28"/>
        <v>12</v>
      </c>
      <c r="AI219">
        <f t="shared" si="29"/>
        <v>13</v>
      </c>
      <c r="AJ219">
        <f t="shared" si="30"/>
        <v>1</v>
      </c>
      <c r="AL219">
        <f t="shared" si="31"/>
        <v>0</v>
      </c>
      <c r="AM219">
        <f t="shared" si="32"/>
        <v>36</v>
      </c>
      <c r="AN219">
        <f t="shared" si="33"/>
        <v>26</v>
      </c>
      <c r="AO219">
        <f t="shared" si="34"/>
        <v>1</v>
      </c>
      <c r="AP219">
        <f t="shared" si="35"/>
        <v>63</v>
      </c>
    </row>
    <row r="220" spans="1:42" ht="15.75" customHeight="1" x14ac:dyDescent="0.3">
      <c r="A220" s="16"/>
      <c r="B220" s="55">
        <v>14</v>
      </c>
      <c r="C220" s="56" t="s">
        <v>238</v>
      </c>
      <c r="D220" s="55">
        <v>5</v>
      </c>
      <c r="E220" s="55" t="s">
        <v>21</v>
      </c>
      <c r="F220" s="18" t="s">
        <v>21</v>
      </c>
      <c r="G220" s="18" t="s">
        <v>21</v>
      </c>
      <c r="H220" s="18" t="s">
        <v>23</v>
      </c>
      <c r="I220" s="18" t="s">
        <v>21</v>
      </c>
      <c r="J220" s="18" t="s">
        <v>23</v>
      </c>
      <c r="K220" s="18" t="s">
        <v>21</v>
      </c>
      <c r="L220" s="18" t="s">
        <v>21</v>
      </c>
      <c r="M220" s="18" t="s">
        <v>21</v>
      </c>
      <c r="N220" s="18" t="s">
        <v>21</v>
      </c>
      <c r="O220" s="18" t="s">
        <v>20</v>
      </c>
      <c r="P220" s="18" t="s">
        <v>21</v>
      </c>
      <c r="Q220" s="18" t="s">
        <v>23</v>
      </c>
      <c r="R220" s="18" t="s">
        <v>21</v>
      </c>
      <c r="S220" s="18" t="s">
        <v>21</v>
      </c>
      <c r="T220" s="18" t="s">
        <v>21</v>
      </c>
      <c r="U220" s="18" t="s">
        <v>20</v>
      </c>
      <c r="V220" s="37" t="s">
        <v>21</v>
      </c>
      <c r="W220" s="37" t="s">
        <v>20</v>
      </c>
      <c r="X220" s="37" t="s">
        <v>20</v>
      </c>
      <c r="Y220" s="18" t="s">
        <v>20</v>
      </c>
      <c r="Z220" s="18" t="s">
        <v>21</v>
      </c>
      <c r="AA220" s="20" t="s">
        <v>23</v>
      </c>
      <c r="AB220" s="20" t="s">
        <v>23</v>
      </c>
      <c r="AC220" s="20" t="s">
        <v>21</v>
      </c>
      <c r="AD220" s="29" t="s">
        <v>20</v>
      </c>
      <c r="AE220" s="29" t="s">
        <v>21</v>
      </c>
      <c r="AG220">
        <f t="shared" si="27"/>
        <v>0</v>
      </c>
      <c r="AH220">
        <f t="shared" si="28"/>
        <v>6</v>
      </c>
      <c r="AI220">
        <f t="shared" si="29"/>
        <v>15</v>
      </c>
      <c r="AJ220">
        <f t="shared" si="30"/>
        <v>5</v>
      </c>
      <c r="AL220">
        <f t="shared" si="31"/>
        <v>0</v>
      </c>
      <c r="AM220">
        <f t="shared" si="32"/>
        <v>18</v>
      </c>
      <c r="AN220">
        <f t="shared" si="33"/>
        <v>30</v>
      </c>
      <c r="AO220">
        <f t="shared" si="34"/>
        <v>5</v>
      </c>
      <c r="AP220">
        <f t="shared" si="35"/>
        <v>53</v>
      </c>
    </row>
    <row r="221" spans="1:42" ht="15.75" customHeight="1" x14ac:dyDescent="0.3">
      <c r="A221" s="16"/>
      <c r="B221" s="55">
        <v>15</v>
      </c>
      <c r="C221" s="56" t="s">
        <v>239</v>
      </c>
      <c r="D221" s="55">
        <v>5</v>
      </c>
      <c r="E221" s="55" t="s">
        <v>21</v>
      </c>
      <c r="F221" s="18" t="s">
        <v>21</v>
      </c>
      <c r="G221" s="18" t="s">
        <v>23</v>
      </c>
      <c r="H221" s="18" t="s">
        <v>21</v>
      </c>
      <c r="I221" s="18" t="s">
        <v>21</v>
      </c>
      <c r="J221" s="18" t="s">
        <v>21</v>
      </c>
      <c r="K221" s="18" t="s">
        <v>20</v>
      </c>
      <c r="L221" s="18" t="s">
        <v>20</v>
      </c>
      <c r="M221" s="18" t="s">
        <v>20</v>
      </c>
      <c r="N221" s="18" t="s">
        <v>21</v>
      </c>
      <c r="O221" s="18" t="s">
        <v>20</v>
      </c>
      <c r="P221" s="18" t="s">
        <v>21</v>
      </c>
      <c r="Q221" s="18" t="s">
        <v>21</v>
      </c>
      <c r="R221" s="18" t="s">
        <v>21</v>
      </c>
      <c r="S221" s="18" t="s">
        <v>20</v>
      </c>
      <c r="T221" s="18" t="s">
        <v>20</v>
      </c>
      <c r="U221" s="18" t="s">
        <v>21</v>
      </c>
      <c r="V221" s="37" t="s">
        <v>20</v>
      </c>
      <c r="W221" s="37" t="s">
        <v>20</v>
      </c>
      <c r="X221" s="37" t="s">
        <v>20</v>
      </c>
      <c r="Y221" s="18" t="s">
        <v>21</v>
      </c>
      <c r="Z221" s="18" t="s">
        <v>21</v>
      </c>
      <c r="AA221" s="20" t="s">
        <v>21</v>
      </c>
      <c r="AB221" s="20" t="s">
        <v>21</v>
      </c>
      <c r="AC221" s="20" t="s">
        <v>21</v>
      </c>
      <c r="AD221" s="29" t="s">
        <v>20</v>
      </c>
      <c r="AE221" s="29" t="s">
        <v>21</v>
      </c>
      <c r="AG221">
        <f t="shared" si="27"/>
        <v>0</v>
      </c>
      <c r="AH221">
        <f t="shared" si="28"/>
        <v>10</v>
      </c>
      <c r="AI221">
        <f t="shared" si="29"/>
        <v>15</v>
      </c>
      <c r="AJ221">
        <f t="shared" si="30"/>
        <v>1</v>
      </c>
      <c r="AL221">
        <f t="shared" si="31"/>
        <v>0</v>
      </c>
      <c r="AM221">
        <f t="shared" si="32"/>
        <v>30</v>
      </c>
      <c r="AN221">
        <f t="shared" si="33"/>
        <v>30</v>
      </c>
      <c r="AO221">
        <f t="shared" si="34"/>
        <v>1</v>
      </c>
      <c r="AP221">
        <f t="shared" si="35"/>
        <v>61</v>
      </c>
    </row>
    <row r="222" spans="1:42" ht="15.75" customHeight="1" x14ac:dyDescent="0.3">
      <c r="A222" s="16"/>
      <c r="B222" s="55">
        <v>16</v>
      </c>
      <c r="C222" s="56" t="s">
        <v>240</v>
      </c>
      <c r="D222" s="55">
        <v>5</v>
      </c>
      <c r="E222" s="55" t="s">
        <v>21</v>
      </c>
      <c r="F222" s="18" t="s">
        <v>20</v>
      </c>
      <c r="G222" s="18" t="s">
        <v>20</v>
      </c>
      <c r="H222" s="18" t="s">
        <v>21</v>
      </c>
      <c r="I222" s="18" t="s">
        <v>20</v>
      </c>
      <c r="J222" s="18" t="s">
        <v>21</v>
      </c>
      <c r="K222" s="18" t="s">
        <v>21</v>
      </c>
      <c r="L222" s="18" t="s">
        <v>20</v>
      </c>
      <c r="M222" s="18" t="s">
        <v>20</v>
      </c>
      <c r="N222" s="18" t="s">
        <v>20</v>
      </c>
      <c r="O222" s="18" t="s">
        <v>20</v>
      </c>
      <c r="P222" s="18" t="s">
        <v>21</v>
      </c>
      <c r="Q222" s="18" t="s">
        <v>20</v>
      </c>
      <c r="R222" s="18" t="s">
        <v>21</v>
      </c>
      <c r="S222" s="18" t="s">
        <v>21</v>
      </c>
      <c r="T222" s="18" t="s">
        <v>21</v>
      </c>
      <c r="U222" s="18" t="s">
        <v>20</v>
      </c>
      <c r="V222" s="37" t="s">
        <v>20</v>
      </c>
      <c r="W222" s="37" t="s">
        <v>20</v>
      </c>
      <c r="X222" s="37" t="s">
        <v>20</v>
      </c>
      <c r="Y222" s="18" t="s">
        <v>20</v>
      </c>
      <c r="Z222" s="18" t="s">
        <v>21</v>
      </c>
      <c r="AA222" s="20" t="s">
        <v>21</v>
      </c>
      <c r="AB222" s="20" t="s">
        <v>20</v>
      </c>
      <c r="AC222" s="20" t="s">
        <v>20</v>
      </c>
      <c r="AD222" s="29" t="s">
        <v>20</v>
      </c>
      <c r="AE222" s="29" t="s">
        <v>21</v>
      </c>
      <c r="AG222">
        <f t="shared" si="27"/>
        <v>0</v>
      </c>
      <c r="AH222">
        <f t="shared" si="28"/>
        <v>16</v>
      </c>
      <c r="AI222">
        <f t="shared" si="29"/>
        <v>10</v>
      </c>
      <c r="AJ222">
        <f t="shared" si="30"/>
        <v>0</v>
      </c>
      <c r="AL222">
        <f t="shared" si="31"/>
        <v>0</v>
      </c>
      <c r="AM222">
        <f t="shared" si="32"/>
        <v>48</v>
      </c>
      <c r="AN222">
        <f t="shared" si="33"/>
        <v>20</v>
      </c>
      <c r="AO222">
        <f t="shared" si="34"/>
        <v>0</v>
      </c>
      <c r="AP222">
        <f t="shared" si="35"/>
        <v>68</v>
      </c>
    </row>
    <row r="223" spans="1:42" ht="15.75" customHeight="1" x14ac:dyDescent="0.3">
      <c r="A223" s="16"/>
      <c r="B223" s="55">
        <v>17</v>
      </c>
      <c r="C223" s="56" t="s">
        <v>241</v>
      </c>
      <c r="D223" s="55">
        <v>5</v>
      </c>
      <c r="E223" s="55" t="s">
        <v>21</v>
      </c>
      <c r="F223" s="18" t="s">
        <v>21</v>
      </c>
      <c r="G223" s="18" t="s">
        <v>23</v>
      </c>
      <c r="H223" s="18" t="s">
        <v>21</v>
      </c>
      <c r="I223" s="18" t="s">
        <v>21</v>
      </c>
      <c r="J223" s="18" t="s">
        <v>21</v>
      </c>
      <c r="K223" s="18" t="s">
        <v>21</v>
      </c>
      <c r="L223" s="18" t="s">
        <v>21</v>
      </c>
      <c r="M223" s="18" t="s">
        <v>21</v>
      </c>
      <c r="N223" s="18" t="s">
        <v>21</v>
      </c>
      <c r="O223" s="18" t="s">
        <v>21</v>
      </c>
      <c r="P223" s="18" t="s">
        <v>21</v>
      </c>
      <c r="Q223" s="18" t="s">
        <v>23</v>
      </c>
      <c r="R223" s="18" t="s">
        <v>21</v>
      </c>
      <c r="S223" s="18" t="s">
        <v>21</v>
      </c>
      <c r="T223" s="18" t="s">
        <v>21</v>
      </c>
      <c r="U223" s="18" t="s">
        <v>21</v>
      </c>
      <c r="V223" s="37" t="s">
        <v>20</v>
      </c>
      <c r="W223" s="37" t="s">
        <v>21</v>
      </c>
      <c r="X223" s="37" t="s">
        <v>20</v>
      </c>
      <c r="Y223" s="18" t="s">
        <v>20</v>
      </c>
      <c r="Z223" s="18" t="s">
        <v>21</v>
      </c>
      <c r="AA223" s="20" t="s">
        <v>20</v>
      </c>
      <c r="AB223" s="20" t="s">
        <v>21</v>
      </c>
      <c r="AC223" s="20" t="s">
        <v>21</v>
      </c>
      <c r="AD223" s="29" t="s">
        <v>23</v>
      </c>
      <c r="AE223" s="29" t="s">
        <v>21</v>
      </c>
      <c r="AG223">
        <f t="shared" si="27"/>
        <v>0</v>
      </c>
      <c r="AH223">
        <f t="shared" si="28"/>
        <v>4</v>
      </c>
      <c r="AI223">
        <f t="shared" si="29"/>
        <v>19</v>
      </c>
      <c r="AJ223">
        <f t="shared" si="30"/>
        <v>3</v>
      </c>
      <c r="AL223">
        <f t="shared" si="31"/>
        <v>0</v>
      </c>
      <c r="AM223">
        <f t="shared" si="32"/>
        <v>12</v>
      </c>
      <c r="AN223">
        <f t="shared" si="33"/>
        <v>38</v>
      </c>
      <c r="AO223">
        <f t="shared" si="34"/>
        <v>3</v>
      </c>
      <c r="AP223">
        <f t="shared" si="35"/>
        <v>53</v>
      </c>
    </row>
    <row r="224" spans="1:42" ht="15.75" customHeight="1" x14ac:dyDescent="0.3">
      <c r="A224" s="16"/>
      <c r="B224" s="55">
        <v>18</v>
      </c>
      <c r="C224" s="56" t="s">
        <v>242</v>
      </c>
      <c r="D224" s="55">
        <v>5</v>
      </c>
      <c r="E224" s="55" t="s">
        <v>21</v>
      </c>
      <c r="F224" s="18" t="s">
        <v>20</v>
      </c>
      <c r="G224" s="18" t="s">
        <v>20</v>
      </c>
      <c r="H224" s="18" t="s">
        <v>21</v>
      </c>
      <c r="I224" s="18" t="s">
        <v>21</v>
      </c>
      <c r="J224" s="18" t="s">
        <v>20</v>
      </c>
      <c r="K224" s="18" t="s">
        <v>20</v>
      </c>
      <c r="L224" s="18" t="s">
        <v>21</v>
      </c>
      <c r="M224" s="18" t="s">
        <v>20</v>
      </c>
      <c r="N224" s="18" t="s">
        <v>20</v>
      </c>
      <c r="O224" s="18" t="s">
        <v>20</v>
      </c>
      <c r="P224" s="18" t="s">
        <v>21</v>
      </c>
      <c r="Q224" s="18" t="s">
        <v>21</v>
      </c>
      <c r="R224" s="18" t="s">
        <v>21</v>
      </c>
      <c r="S224" s="18" t="s">
        <v>20</v>
      </c>
      <c r="T224" s="18" t="s">
        <v>20</v>
      </c>
      <c r="U224" s="18" t="s">
        <v>20</v>
      </c>
      <c r="V224" s="37" t="s">
        <v>20</v>
      </c>
      <c r="W224" s="37" t="s">
        <v>20</v>
      </c>
      <c r="X224" s="37" t="s">
        <v>20</v>
      </c>
      <c r="Y224" s="18" t="s">
        <v>20</v>
      </c>
      <c r="Z224" s="18" t="s">
        <v>20</v>
      </c>
      <c r="AA224" s="20" t="s">
        <v>21</v>
      </c>
      <c r="AB224" s="20" t="s">
        <v>20</v>
      </c>
      <c r="AC224" s="20" t="s">
        <v>20</v>
      </c>
      <c r="AD224" s="29" t="s">
        <v>20</v>
      </c>
      <c r="AE224" s="29" t="s">
        <v>21</v>
      </c>
      <c r="AG224">
        <f t="shared" si="27"/>
        <v>0</v>
      </c>
      <c r="AH224">
        <f t="shared" si="28"/>
        <v>18</v>
      </c>
      <c r="AI224">
        <f t="shared" si="29"/>
        <v>8</v>
      </c>
      <c r="AJ224">
        <f t="shared" si="30"/>
        <v>0</v>
      </c>
      <c r="AL224">
        <f t="shared" si="31"/>
        <v>0</v>
      </c>
      <c r="AM224">
        <f t="shared" si="32"/>
        <v>54</v>
      </c>
      <c r="AN224">
        <f t="shared" si="33"/>
        <v>16</v>
      </c>
      <c r="AO224">
        <f t="shared" si="34"/>
        <v>0</v>
      </c>
      <c r="AP224">
        <f t="shared" si="35"/>
        <v>70</v>
      </c>
    </row>
    <row r="225" spans="1:42" ht="15.75" customHeight="1" x14ac:dyDescent="0.3">
      <c r="A225" s="16"/>
      <c r="B225" s="55">
        <v>19</v>
      </c>
      <c r="C225" s="56" t="s">
        <v>243</v>
      </c>
      <c r="D225" s="55">
        <v>5</v>
      </c>
      <c r="E225" s="55" t="s">
        <v>21</v>
      </c>
      <c r="F225" s="18" t="s">
        <v>20</v>
      </c>
      <c r="G225" s="18" t="s">
        <v>20</v>
      </c>
      <c r="H225" s="18" t="s">
        <v>20</v>
      </c>
      <c r="I225" s="18" t="s">
        <v>20</v>
      </c>
      <c r="J225" s="18" t="s">
        <v>20</v>
      </c>
      <c r="K225" s="18" t="s">
        <v>20</v>
      </c>
      <c r="L225" s="18" t="s">
        <v>20</v>
      </c>
      <c r="M225" s="18" t="s">
        <v>20</v>
      </c>
      <c r="N225" s="18" t="s">
        <v>20</v>
      </c>
      <c r="O225" s="18" t="s">
        <v>20</v>
      </c>
      <c r="P225" s="18" t="s">
        <v>20</v>
      </c>
      <c r="Q225" s="18" t="s">
        <v>20</v>
      </c>
      <c r="R225" s="18" t="s">
        <v>20</v>
      </c>
      <c r="S225" s="18" t="s">
        <v>20</v>
      </c>
      <c r="T225" s="18" t="s">
        <v>20</v>
      </c>
      <c r="U225" s="18" t="s">
        <v>20</v>
      </c>
      <c r="V225" s="37" t="s">
        <v>20</v>
      </c>
      <c r="W225" s="37" t="s">
        <v>20</v>
      </c>
      <c r="X225" s="37" t="s">
        <v>20</v>
      </c>
      <c r="Y225" s="18" t="s">
        <v>20</v>
      </c>
      <c r="Z225" s="18" t="s">
        <v>20</v>
      </c>
      <c r="AA225" s="20" t="s">
        <v>20</v>
      </c>
      <c r="AB225" s="20" t="s">
        <v>20</v>
      </c>
      <c r="AC225" s="20" t="s">
        <v>20</v>
      </c>
      <c r="AD225" s="29" t="s">
        <v>20</v>
      </c>
      <c r="AE225" s="29" t="s">
        <v>21</v>
      </c>
      <c r="AG225">
        <f t="shared" si="27"/>
        <v>0</v>
      </c>
      <c r="AH225">
        <f t="shared" si="28"/>
        <v>25</v>
      </c>
      <c r="AI225">
        <f t="shared" si="29"/>
        <v>1</v>
      </c>
      <c r="AJ225">
        <f t="shared" si="30"/>
        <v>0</v>
      </c>
      <c r="AL225">
        <f t="shared" si="31"/>
        <v>0</v>
      </c>
      <c r="AM225">
        <f t="shared" si="32"/>
        <v>75</v>
      </c>
      <c r="AN225">
        <f t="shared" si="33"/>
        <v>2</v>
      </c>
      <c r="AO225">
        <f t="shared" si="34"/>
        <v>0</v>
      </c>
      <c r="AP225">
        <f t="shared" si="35"/>
        <v>77</v>
      </c>
    </row>
    <row r="226" spans="1:42" ht="15.75" customHeight="1" x14ac:dyDescent="0.3">
      <c r="A226" s="16"/>
      <c r="B226" s="55">
        <v>20</v>
      </c>
      <c r="C226" s="56" t="s">
        <v>244</v>
      </c>
      <c r="D226" s="55">
        <v>5</v>
      </c>
      <c r="E226" s="55" t="s">
        <v>21</v>
      </c>
      <c r="F226" s="18" t="s">
        <v>20</v>
      </c>
      <c r="G226" s="18" t="s">
        <v>21</v>
      </c>
      <c r="H226" s="18" t="s">
        <v>21</v>
      </c>
      <c r="I226" s="18" t="s">
        <v>21</v>
      </c>
      <c r="J226" s="18" t="s">
        <v>21</v>
      </c>
      <c r="K226" s="18" t="s">
        <v>20</v>
      </c>
      <c r="L226" s="18" t="s">
        <v>20</v>
      </c>
      <c r="M226" s="18" t="s">
        <v>20</v>
      </c>
      <c r="N226" s="18" t="s">
        <v>21</v>
      </c>
      <c r="O226" s="18" t="s">
        <v>20</v>
      </c>
      <c r="P226" s="18" t="s">
        <v>21</v>
      </c>
      <c r="Q226" s="18" t="s">
        <v>21</v>
      </c>
      <c r="R226" s="18" t="s">
        <v>21</v>
      </c>
      <c r="S226" s="18" t="s">
        <v>20</v>
      </c>
      <c r="T226" s="18" t="s">
        <v>21</v>
      </c>
      <c r="U226" s="18" t="s">
        <v>21</v>
      </c>
      <c r="V226" s="37" t="s">
        <v>20</v>
      </c>
      <c r="W226" s="37" t="s">
        <v>21</v>
      </c>
      <c r="X226" s="37" t="s">
        <v>20</v>
      </c>
      <c r="Y226" s="18" t="s">
        <v>20</v>
      </c>
      <c r="Z226" s="18" t="s">
        <v>20</v>
      </c>
      <c r="AA226" s="20" t="s">
        <v>20</v>
      </c>
      <c r="AB226" s="20" t="s">
        <v>20</v>
      </c>
      <c r="AC226" s="20" t="s">
        <v>20</v>
      </c>
      <c r="AD226" s="29" t="s">
        <v>20</v>
      </c>
      <c r="AE226" s="29" t="s">
        <v>21</v>
      </c>
      <c r="AG226">
        <f t="shared" si="27"/>
        <v>0</v>
      </c>
      <c r="AH226">
        <f t="shared" si="28"/>
        <v>14</v>
      </c>
      <c r="AI226">
        <f t="shared" si="29"/>
        <v>12</v>
      </c>
      <c r="AJ226">
        <f t="shared" si="30"/>
        <v>0</v>
      </c>
      <c r="AL226">
        <f t="shared" si="31"/>
        <v>0</v>
      </c>
      <c r="AM226">
        <f t="shared" si="32"/>
        <v>42</v>
      </c>
      <c r="AN226">
        <f t="shared" si="33"/>
        <v>24</v>
      </c>
      <c r="AO226">
        <f t="shared" si="34"/>
        <v>0</v>
      </c>
      <c r="AP226">
        <f t="shared" si="35"/>
        <v>66</v>
      </c>
    </row>
    <row r="227" spans="1:42" ht="15.75" customHeight="1" x14ac:dyDescent="0.3">
      <c r="A227" s="16"/>
      <c r="B227" s="55">
        <v>21</v>
      </c>
      <c r="C227" s="56" t="s">
        <v>245</v>
      </c>
      <c r="D227" s="55">
        <v>5</v>
      </c>
      <c r="E227" s="55" t="s">
        <v>21</v>
      </c>
      <c r="F227" s="18" t="s">
        <v>39</v>
      </c>
      <c r="G227" s="18" t="s">
        <v>20</v>
      </c>
      <c r="H227" s="18" t="s">
        <v>20</v>
      </c>
      <c r="I227" s="18" t="s">
        <v>20</v>
      </c>
      <c r="J227" s="18" t="s">
        <v>20</v>
      </c>
      <c r="K227" s="18" t="s">
        <v>39</v>
      </c>
      <c r="L227" s="18" t="s">
        <v>39</v>
      </c>
      <c r="M227" s="18" t="s">
        <v>20</v>
      </c>
      <c r="N227" s="18" t="s">
        <v>20</v>
      </c>
      <c r="O227" s="18" t="s">
        <v>20</v>
      </c>
      <c r="P227" s="18" t="s">
        <v>20</v>
      </c>
      <c r="Q227" s="18" t="s">
        <v>20</v>
      </c>
      <c r="R227" s="18" t="s">
        <v>20</v>
      </c>
      <c r="S227" s="18" t="s">
        <v>20</v>
      </c>
      <c r="T227" s="18" t="s">
        <v>20</v>
      </c>
      <c r="U227" s="18" t="s">
        <v>20</v>
      </c>
      <c r="V227" s="37" t="s">
        <v>20</v>
      </c>
      <c r="W227" s="37" t="s">
        <v>20</v>
      </c>
      <c r="X227" s="37" t="s">
        <v>20</v>
      </c>
      <c r="Y227" s="18" t="s">
        <v>39</v>
      </c>
      <c r="Z227" s="18" t="s">
        <v>39</v>
      </c>
      <c r="AA227" s="20" t="s">
        <v>20</v>
      </c>
      <c r="AB227" s="20" t="s">
        <v>20</v>
      </c>
      <c r="AC227" s="20" t="s">
        <v>20</v>
      </c>
      <c r="AD227" s="29" t="s">
        <v>20</v>
      </c>
      <c r="AE227" s="29" t="s">
        <v>21</v>
      </c>
      <c r="AG227">
        <f t="shared" si="27"/>
        <v>5</v>
      </c>
      <c r="AH227">
        <f t="shared" si="28"/>
        <v>20</v>
      </c>
      <c r="AI227">
        <f t="shared" si="29"/>
        <v>1</v>
      </c>
      <c r="AJ227">
        <f t="shared" si="30"/>
        <v>0</v>
      </c>
      <c r="AL227">
        <f t="shared" si="31"/>
        <v>20</v>
      </c>
      <c r="AM227">
        <f t="shared" si="32"/>
        <v>60</v>
      </c>
      <c r="AN227">
        <f t="shared" si="33"/>
        <v>2</v>
      </c>
      <c r="AO227">
        <f t="shared" si="34"/>
        <v>0</v>
      </c>
      <c r="AP227">
        <f t="shared" si="35"/>
        <v>82</v>
      </c>
    </row>
    <row r="228" spans="1:42" ht="15.75" customHeight="1" x14ac:dyDescent="0.3">
      <c r="A228" s="16"/>
      <c r="B228" s="55">
        <v>22</v>
      </c>
      <c r="C228" s="56" t="s">
        <v>246</v>
      </c>
      <c r="D228" s="55">
        <v>5</v>
      </c>
      <c r="E228" s="55" t="s">
        <v>21</v>
      </c>
      <c r="F228" s="18" t="s">
        <v>21</v>
      </c>
      <c r="G228" s="18" t="s">
        <v>21</v>
      </c>
      <c r="H228" s="18" t="s">
        <v>21</v>
      </c>
      <c r="I228" s="18" t="s">
        <v>21</v>
      </c>
      <c r="J228" s="18" t="s">
        <v>21</v>
      </c>
      <c r="K228" s="18" t="s">
        <v>20</v>
      </c>
      <c r="L228" s="18" t="s">
        <v>20</v>
      </c>
      <c r="M228" s="18" t="s">
        <v>20</v>
      </c>
      <c r="N228" s="18" t="s">
        <v>20</v>
      </c>
      <c r="O228" s="18" t="s">
        <v>20</v>
      </c>
      <c r="P228" s="18" t="s">
        <v>21</v>
      </c>
      <c r="Q228" s="18" t="s">
        <v>21</v>
      </c>
      <c r="R228" s="18" t="s">
        <v>23</v>
      </c>
      <c r="S228" s="18" t="s">
        <v>21</v>
      </c>
      <c r="T228" s="18" t="s">
        <v>21</v>
      </c>
      <c r="U228" s="18" t="s">
        <v>20</v>
      </c>
      <c r="V228" s="37" t="s">
        <v>20</v>
      </c>
      <c r="W228" s="37" t="s">
        <v>20</v>
      </c>
      <c r="X228" s="37" t="s">
        <v>20</v>
      </c>
      <c r="Y228" s="18" t="s">
        <v>21</v>
      </c>
      <c r="Z228" s="18" t="s">
        <v>20</v>
      </c>
      <c r="AA228" s="20" t="s">
        <v>21</v>
      </c>
      <c r="AB228" s="20" t="s">
        <v>21</v>
      </c>
      <c r="AC228" s="20" t="s">
        <v>21</v>
      </c>
      <c r="AD228" s="47" t="s">
        <v>23</v>
      </c>
      <c r="AE228" s="47" t="s">
        <v>21</v>
      </c>
      <c r="AG228">
        <f t="shared" si="27"/>
        <v>0</v>
      </c>
      <c r="AH228">
        <f t="shared" si="28"/>
        <v>10</v>
      </c>
      <c r="AI228">
        <f t="shared" si="29"/>
        <v>14</v>
      </c>
      <c r="AJ228">
        <f t="shared" si="30"/>
        <v>2</v>
      </c>
      <c r="AL228">
        <f t="shared" si="31"/>
        <v>0</v>
      </c>
      <c r="AM228">
        <f t="shared" si="32"/>
        <v>30</v>
      </c>
      <c r="AN228">
        <f t="shared" si="33"/>
        <v>28</v>
      </c>
      <c r="AO228">
        <f t="shared" si="34"/>
        <v>2</v>
      </c>
      <c r="AP228">
        <f t="shared" si="35"/>
        <v>60</v>
      </c>
    </row>
    <row r="229" spans="1:42" ht="15.75" customHeight="1" x14ac:dyDescent="0.3">
      <c r="A229" s="16"/>
      <c r="B229" s="55">
        <v>23</v>
      </c>
      <c r="C229" s="56" t="s">
        <v>247</v>
      </c>
      <c r="D229" s="55">
        <v>5</v>
      </c>
      <c r="E229" s="55" t="s">
        <v>21</v>
      </c>
      <c r="F229" s="18" t="s">
        <v>21</v>
      </c>
      <c r="G229" s="18" t="s">
        <v>21</v>
      </c>
      <c r="H229" s="18" t="s">
        <v>21</v>
      </c>
      <c r="I229" s="18" t="s">
        <v>20</v>
      </c>
      <c r="J229" s="18" t="s">
        <v>20</v>
      </c>
      <c r="K229" s="18" t="s">
        <v>20</v>
      </c>
      <c r="L229" s="18" t="s">
        <v>20</v>
      </c>
      <c r="M229" s="18" t="s">
        <v>20</v>
      </c>
      <c r="N229" s="18" t="s">
        <v>21</v>
      </c>
      <c r="O229" s="18" t="s">
        <v>20</v>
      </c>
      <c r="P229" s="18" t="s">
        <v>21</v>
      </c>
      <c r="Q229" s="18" t="s">
        <v>21</v>
      </c>
      <c r="R229" s="18" t="s">
        <v>20</v>
      </c>
      <c r="S229" s="18" t="s">
        <v>21</v>
      </c>
      <c r="T229" s="18" t="s">
        <v>21</v>
      </c>
      <c r="U229" s="18" t="s">
        <v>21</v>
      </c>
      <c r="V229" s="37" t="s">
        <v>20</v>
      </c>
      <c r="W229" s="37" t="s">
        <v>20</v>
      </c>
      <c r="X229" s="37" t="s">
        <v>20</v>
      </c>
      <c r="Y229" s="18" t="s">
        <v>20</v>
      </c>
      <c r="Z229" s="18" t="s">
        <v>21</v>
      </c>
      <c r="AA229" s="20" t="s">
        <v>20</v>
      </c>
      <c r="AB229" s="20" t="s">
        <v>20</v>
      </c>
      <c r="AC229" s="20" t="s">
        <v>20</v>
      </c>
      <c r="AD229" s="29" t="s">
        <v>20</v>
      </c>
      <c r="AE229" s="29" t="s">
        <v>21</v>
      </c>
      <c r="AG229">
        <f t="shared" si="27"/>
        <v>0</v>
      </c>
      <c r="AH229">
        <f t="shared" si="28"/>
        <v>15</v>
      </c>
      <c r="AI229">
        <f t="shared" si="29"/>
        <v>11</v>
      </c>
      <c r="AJ229">
        <f t="shared" si="30"/>
        <v>0</v>
      </c>
      <c r="AL229">
        <f t="shared" si="31"/>
        <v>0</v>
      </c>
      <c r="AM229">
        <f t="shared" si="32"/>
        <v>45</v>
      </c>
      <c r="AN229">
        <f t="shared" si="33"/>
        <v>22</v>
      </c>
      <c r="AO229">
        <f t="shared" si="34"/>
        <v>0</v>
      </c>
      <c r="AP229">
        <f t="shared" si="35"/>
        <v>67</v>
      </c>
    </row>
    <row r="230" spans="1:42" ht="15.75" customHeight="1" x14ac:dyDescent="0.3">
      <c r="A230" s="16"/>
      <c r="B230" s="55">
        <v>24</v>
      </c>
      <c r="C230" s="56" t="s">
        <v>248</v>
      </c>
      <c r="D230" s="55">
        <v>5</v>
      </c>
      <c r="E230" s="55" t="s">
        <v>21</v>
      </c>
      <c r="F230" s="18" t="s">
        <v>20</v>
      </c>
      <c r="G230" s="18" t="s">
        <v>20</v>
      </c>
      <c r="H230" s="18" t="s">
        <v>20</v>
      </c>
      <c r="I230" s="18" t="s">
        <v>20</v>
      </c>
      <c r="J230" s="18" t="s">
        <v>20</v>
      </c>
      <c r="K230" s="18" t="s">
        <v>20</v>
      </c>
      <c r="L230" s="18" t="s">
        <v>39</v>
      </c>
      <c r="M230" s="18" t="s">
        <v>20</v>
      </c>
      <c r="N230" s="18" t="s">
        <v>20</v>
      </c>
      <c r="O230" s="18" t="s">
        <v>20</v>
      </c>
      <c r="P230" s="18" t="s">
        <v>20</v>
      </c>
      <c r="Q230" s="18" t="s">
        <v>21</v>
      </c>
      <c r="R230" s="18" t="s">
        <v>21</v>
      </c>
      <c r="S230" s="18" t="s">
        <v>20</v>
      </c>
      <c r="T230" s="18" t="s">
        <v>20</v>
      </c>
      <c r="U230" s="18" t="s">
        <v>20</v>
      </c>
      <c r="V230" s="37" t="s">
        <v>20</v>
      </c>
      <c r="W230" s="37" t="s">
        <v>21</v>
      </c>
      <c r="X230" s="37" t="s">
        <v>20</v>
      </c>
      <c r="Y230" s="18" t="s">
        <v>20</v>
      </c>
      <c r="Z230" s="18" t="s">
        <v>20</v>
      </c>
      <c r="AA230" s="20" t="s">
        <v>20</v>
      </c>
      <c r="AB230" s="20" t="s">
        <v>21</v>
      </c>
      <c r="AC230" s="20" t="s">
        <v>20</v>
      </c>
      <c r="AD230" s="29" t="s">
        <v>20</v>
      </c>
      <c r="AE230" s="29" t="s">
        <v>21</v>
      </c>
      <c r="AG230">
        <f t="shared" si="27"/>
        <v>1</v>
      </c>
      <c r="AH230">
        <f t="shared" si="28"/>
        <v>20</v>
      </c>
      <c r="AI230">
        <f t="shared" si="29"/>
        <v>5</v>
      </c>
      <c r="AJ230">
        <f t="shared" si="30"/>
        <v>0</v>
      </c>
      <c r="AL230">
        <f t="shared" si="31"/>
        <v>4</v>
      </c>
      <c r="AM230">
        <f t="shared" si="32"/>
        <v>60</v>
      </c>
      <c r="AN230">
        <f t="shared" si="33"/>
        <v>10</v>
      </c>
      <c r="AO230">
        <f t="shared" si="34"/>
        <v>0</v>
      </c>
      <c r="AP230">
        <f t="shared" si="35"/>
        <v>74</v>
      </c>
    </row>
    <row r="231" spans="1:42" ht="15.75" customHeight="1" x14ac:dyDescent="0.3">
      <c r="A231" s="16"/>
      <c r="B231" s="55">
        <v>25</v>
      </c>
      <c r="C231" s="56" t="s">
        <v>249</v>
      </c>
      <c r="D231" s="55">
        <v>5</v>
      </c>
      <c r="E231" s="55" t="s">
        <v>21</v>
      </c>
      <c r="F231" s="18" t="s">
        <v>21</v>
      </c>
      <c r="G231" s="18" t="s">
        <v>21</v>
      </c>
      <c r="H231" s="17" t="s">
        <v>21</v>
      </c>
      <c r="I231" s="18" t="s">
        <v>21</v>
      </c>
      <c r="J231" s="18" t="s">
        <v>21</v>
      </c>
      <c r="K231" s="18" t="s">
        <v>21</v>
      </c>
      <c r="L231" s="18" t="s">
        <v>21</v>
      </c>
      <c r="M231" s="18" t="s">
        <v>20</v>
      </c>
      <c r="N231" s="18" t="s">
        <v>21</v>
      </c>
      <c r="O231" s="18" t="s">
        <v>20</v>
      </c>
      <c r="P231" s="18" t="s">
        <v>21</v>
      </c>
      <c r="Q231" s="18" t="s">
        <v>21</v>
      </c>
      <c r="R231" s="18" t="s">
        <v>21</v>
      </c>
      <c r="S231" s="18" t="s">
        <v>21</v>
      </c>
      <c r="T231" s="18" t="s">
        <v>20</v>
      </c>
      <c r="U231" s="18" t="s">
        <v>21</v>
      </c>
      <c r="V231" s="37" t="s">
        <v>21</v>
      </c>
      <c r="W231" s="37" t="s">
        <v>21</v>
      </c>
      <c r="X231" s="37" t="s">
        <v>21</v>
      </c>
      <c r="Y231" s="18" t="s">
        <v>20</v>
      </c>
      <c r="Z231" s="18" t="s">
        <v>21</v>
      </c>
      <c r="AA231" s="20" t="s">
        <v>21</v>
      </c>
      <c r="AB231" s="20" t="s">
        <v>21</v>
      </c>
      <c r="AC231" s="20" t="s">
        <v>21</v>
      </c>
      <c r="AD231" s="29" t="s">
        <v>21</v>
      </c>
      <c r="AE231" s="29" t="s">
        <v>21</v>
      </c>
      <c r="AG231">
        <f t="shared" si="27"/>
        <v>0</v>
      </c>
      <c r="AH231">
        <f t="shared" si="28"/>
        <v>4</v>
      </c>
      <c r="AI231">
        <f t="shared" si="29"/>
        <v>22</v>
      </c>
      <c r="AJ231">
        <f t="shared" si="30"/>
        <v>0</v>
      </c>
      <c r="AL231">
        <f t="shared" si="31"/>
        <v>0</v>
      </c>
      <c r="AM231">
        <f t="shared" si="32"/>
        <v>12</v>
      </c>
      <c r="AN231">
        <f t="shared" si="33"/>
        <v>44</v>
      </c>
      <c r="AO231">
        <f t="shared" si="34"/>
        <v>0</v>
      </c>
      <c r="AP231">
        <f t="shared" si="35"/>
        <v>56</v>
      </c>
    </row>
    <row r="232" spans="1:42" ht="15.75" customHeight="1" thickBot="1" x14ac:dyDescent="0.35">
      <c r="A232" s="16"/>
      <c r="B232" s="57">
        <v>26</v>
      </c>
      <c r="C232" s="58" t="s">
        <v>250</v>
      </c>
      <c r="D232" s="57">
        <v>5</v>
      </c>
      <c r="E232" s="57" t="s">
        <v>21</v>
      </c>
      <c r="F232" s="21" t="s">
        <v>39</v>
      </c>
      <c r="G232" s="21" t="s">
        <v>20</v>
      </c>
      <c r="H232" s="41" t="s">
        <v>20</v>
      </c>
      <c r="I232" s="21" t="s">
        <v>20</v>
      </c>
      <c r="J232" s="21" t="s">
        <v>20</v>
      </c>
      <c r="K232" s="21" t="s">
        <v>20</v>
      </c>
      <c r="L232" s="21" t="s">
        <v>20</v>
      </c>
      <c r="M232" s="21" t="s">
        <v>20</v>
      </c>
      <c r="N232" s="21" t="s">
        <v>20</v>
      </c>
      <c r="O232" s="21" t="s">
        <v>20</v>
      </c>
      <c r="P232" s="21" t="s">
        <v>21</v>
      </c>
      <c r="Q232" s="21" t="s">
        <v>20</v>
      </c>
      <c r="R232" s="21" t="s">
        <v>20</v>
      </c>
      <c r="S232" s="21" t="s">
        <v>20</v>
      </c>
      <c r="T232" s="21" t="s">
        <v>20</v>
      </c>
      <c r="U232" s="21" t="s">
        <v>20</v>
      </c>
      <c r="V232" s="38" t="s">
        <v>20</v>
      </c>
      <c r="W232" s="38" t="s">
        <v>20</v>
      </c>
      <c r="X232" s="38" t="s">
        <v>20</v>
      </c>
      <c r="Y232" s="21" t="s">
        <v>20</v>
      </c>
      <c r="Z232" s="21" t="s">
        <v>20</v>
      </c>
      <c r="AA232" s="23" t="s">
        <v>20</v>
      </c>
      <c r="AB232" s="23" t="s">
        <v>20</v>
      </c>
      <c r="AC232" s="23" t="s">
        <v>20</v>
      </c>
      <c r="AD232" s="31" t="s">
        <v>20</v>
      </c>
      <c r="AE232" s="31" t="s">
        <v>21</v>
      </c>
      <c r="AG232">
        <f t="shared" si="27"/>
        <v>1</v>
      </c>
      <c r="AH232">
        <f t="shared" si="28"/>
        <v>23</v>
      </c>
      <c r="AI232">
        <f t="shared" si="29"/>
        <v>2</v>
      </c>
      <c r="AJ232">
        <f t="shared" si="30"/>
        <v>0</v>
      </c>
      <c r="AL232">
        <f t="shared" si="31"/>
        <v>4</v>
      </c>
      <c r="AM232">
        <f t="shared" si="32"/>
        <v>69</v>
      </c>
      <c r="AN232">
        <f t="shared" si="33"/>
        <v>4</v>
      </c>
      <c r="AO232">
        <f t="shared" si="34"/>
        <v>0</v>
      </c>
      <c r="AP232">
        <f t="shared" si="35"/>
        <v>77</v>
      </c>
    </row>
    <row r="233" spans="1:42" ht="15.75" customHeight="1" x14ac:dyDescent="0.3">
      <c r="B233" s="54"/>
    </row>
    <row r="234" spans="1:42" ht="15.75" customHeight="1" x14ac:dyDescent="0.3"/>
    <row r="235" spans="1:42" ht="15.75" customHeight="1" x14ac:dyDescent="0.3"/>
    <row r="236" spans="1:42" ht="15.75" customHeight="1" x14ac:dyDescent="0.3"/>
    <row r="237" spans="1:42" ht="15.75" customHeight="1" x14ac:dyDescent="0.3"/>
    <row r="238" spans="1:42" ht="15.75" customHeight="1" x14ac:dyDescent="0.3"/>
    <row r="239" spans="1:42" ht="15.75" customHeight="1" x14ac:dyDescent="0.3"/>
    <row r="240" spans="1:42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  <row r="1041" ht="15.75" customHeight="1" x14ac:dyDescent="0.3"/>
    <row r="1042" ht="15.75" customHeight="1" x14ac:dyDescent="0.3"/>
    <row r="1043" ht="15.75" customHeight="1" x14ac:dyDescent="0.3"/>
    <row r="1044" ht="15.75" customHeight="1" x14ac:dyDescent="0.3"/>
    <row r="1045" ht="15.75" customHeight="1" x14ac:dyDescent="0.3"/>
    <row r="1046" ht="15.75" customHeight="1" x14ac:dyDescent="0.3"/>
    <row r="1047" ht="15.75" customHeight="1" x14ac:dyDescent="0.3"/>
    <row r="1048" ht="15.75" customHeight="1" x14ac:dyDescent="0.3"/>
    <row r="1049" ht="15.75" customHeight="1" x14ac:dyDescent="0.3"/>
    <row r="1050" ht="15.75" customHeight="1" x14ac:dyDescent="0.3"/>
    <row r="1051" ht="15.75" customHeight="1" x14ac:dyDescent="0.3"/>
    <row r="1052" ht="15.75" customHeight="1" x14ac:dyDescent="0.3"/>
    <row r="1053" ht="15.75" customHeight="1" x14ac:dyDescent="0.3"/>
    <row r="1054" ht="15.75" customHeight="1" x14ac:dyDescent="0.3"/>
    <row r="1055" ht="15.75" customHeight="1" x14ac:dyDescent="0.3"/>
    <row r="1056" ht="15.75" customHeight="1" x14ac:dyDescent="0.3"/>
    <row r="1057" ht="15.75" customHeight="1" x14ac:dyDescent="0.3"/>
    <row r="1058" ht="15.75" customHeight="1" x14ac:dyDescent="0.3"/>
    <row r="1059" ht="15.75" customHeight="1" x14ac:dyDescent="0.3"/>
    <row r="1060" ht="15.75" customHeight="1" x14ac:dyDescent="0.3"/>
    <row r="1061" ht="15.75" customHeight="1" x14ac:dyDescent="0.3"/>
    <row r="1062" ht="15.75" customHeight="1" x14ac:dyDescent="0.3"/>
    <row r="1063" ht="15.75" customHeight="1" x14ac:dyDescent="0.3"/>
    <row r="1064" ht="15.75" customHeight="1" x14ac:dyDescent="0.3"/>
    <row r="1065" ht="15.75" customHeight="1" x14ac:dyDescent="0.3"/>
    <row r="1066" ht="15.75" customHeight="1" x14ac:dyDescent="0.3"/>
    <row r="1067" ht="15.75" customHeight="1" x14ac:dyDescent="0.3"/>
    <row r="1068" ht="15.75" customHeight="1" x14ac:dyDescent="0.3"/>
    <row r="1069" ht="15.75" customHeight="1" x14ac:dyDescent="0.3"/>
    <row r="1070" ht="15.75" customHeight="1" x14ac:dyDescent="0.3"/>
    <row r="1071" ht="15.75" customHeight="1" x14ac:dyDescent="0.3"/>
    <row r="1072" ht="15.75" customHeight="1" x14ac:dyDescent="0.3"/>
    <row r="1073" ht="15.75" customHeight="1" x14ac:dyDescent="0.3"/>
    <row r="1074" ht="15.75" customHeight="1" x14ac:dyDescent="0.3"/>
    <row r="1075" ht="15.75" customHeight="1" x14ac:dyDescent="0.3"/>
    <row r="1076" ht="15.75" customHeight="1" x14ac:dyDescent="0.3"/>
    <row r="1077" ht="15.75" customHeight="1" x14ac:dyDescent="0.3"/>
    <row r="1078" ht="15.75" customHeight="1" x14ac:dyDescent="0.3"/>
    <row r="1079" ht="15.75" customHeight="1" x14ac:dyDescent="0.3"/>
    <row r="1080" ht="15.75" customHeight="1" x14ac:dyDescent="0.3"/>
    <row r="1081" ht="15.75" customHeight="1" x14ac:dyDescent="0.3"/>
    <row r="1082" ht="15.75" customHeight="1" x14ac:dyDescent="0.3"/>
    <row r="1083" ht="15.75" customHeight="1" x14ac:dyDescent="0.3"/>
    <row r="1084" ht="15.75" customHeight="1" x14ac:dyDescent="0.3"/>
    <row r="1085" ht="15.75" customHeight="1" x14ac:dyDescent="0.3"/>
    <row r="1086" ht="15.75" customHeight="1" x14ac:dyDescent="0.3"/>
    <row r="1087" ht="15.75" customHeight="1" x14ac:dyDescent="0.3"/>
    <row r="1088" ht="15.75" customHeight="1" x14ac:dyDescent="0.3"/>
    <row r="1089" ht="15.75" customHeight="1" x14ac:dyDescent="0.3"/>
    <row r="1090" ht="15.75" customHeight="1" x14ac:dyDescent="0.3"/>
    <row r="1091" ht="15.75" customHeight="1" x14ac:dyDescent="0.3"/>
    <row r="1092" ht="15.75" customHeight="1" x14ac:dyDescent="0.3"/>
    <row r="1093" ht="15.75" customHeight="1" x14ac:dyDescent="0.3"/>
    <row r="1094" ht="15.75" customHeight="1" x14ac:dyDescent="0.3"/>
    <row r="1095" ht="15.75" customHeight="1" x14ac:dyDescent="0.3"/>
    <row r="1096" ht="15.75" customHeight="1" x14ac:dyDescent="0.3"/>
    <row r="1097" ht="15.75" customHeight="1" x14ac:dyDescent="0.3"/>
    <row r="1098" ht="15.75" customHeight="1" x14ac:dyDescent="0.3"/>
    <row r="1099" ht="15.75" customHeight="1" x14ac:dyDescent="0.3"/>
    <row r="1100" ht="15.75" customHeight="1" x14ac:dyDescent="0.3"/>
    <row r="1101" ht="15.75" customHeight="1" x14ac:dyDescent="0.3"/>
    <row r="1102" ht="15.75" customHeight="1" x14ac:dyDescent="0.3"/>
    <row r="1103" ht="15.75" customHeight="1" x14ac:dyDescent="0.3"/>
    <row r="1104" ht="15.75" customHeight="1" x14ac:dyDescent="0.3"/>
    <row r="1105" ht="15.75" customHeight="1" x14ac:dyDescent="0.3"/>
    <row r="1106" ht="15.75" customHeight="1" x14ac:dyDescent="0.3"/>
    <row r="1107" ht="15.75" customHeight="1" x14ac:dyDescent="0.3"/>
    <row r="1108" ht="15.75" customHeight="1" x14ac:dyDescent="0.3"/>
    <row r="1109" ht="15.75" customHeight="1" x14ac:dyDescent="0.3"/>
    <row r="1110" ht="15.75" customHeight="1" x14ac:dyDescent="0.3"/>
    <row r="1111" ht="15.75" customHeight="1" x14ac:dyDescent="0.3"/>
    <row r="1112" ht="15.75" customHeight="1" x14ac:dyDescent="0.3"/>
    <row r="1113" ht="15.75" customHeight="1" x14ac:dyDescent="0.3"/>
    <row r="1114" ht="15.75" customHeight="1" x14ac:dyDescent="0.3"/>
    <row r="1115" ht="15.75" customHeight="1" x14ac:dyDescent="0.3"/>
    <row r="1116" ht="15.75" customHeight="1" x14ac:dyDescent="0.3"/>
    <row r="1117" ht="15.75" customHeight="1" x14ac:dyDescent="0.3"/>
    <row r="1118" ht="15.75" customHeight="1" x14ac:dyDescent="0.3"/>
    <row r="1119" ht="15.75" customHeight="1" x14ac:dyDescent="0.3"/>
    <row r="1120" ht="15.75" customHeight="1" x14ac:dyDescent="0.3"/>
    <row r="1121" ht="15.75" customHeight="1" x14ac:dyDescent="0.3"/>
    <row r="1122" ht="15.75" customHeight="1" x14ac:dyDescent="0.3"/>
    <row r="1123" ht="15.75" customHeight="1" x14ac:dyDescent="0.3"/>
    <row r="1124" ht="15.75" customHeight="1" x14ac:dyDescent="0.3"/>
    <row r="1125" ht="15.75" customHeight="1" x14ac:dyDescent="0.3"/>
    <row r="1126" ht="15.75" customHeight="1" x14ac:dyDescent="0.3"/>
  </sheetData>
  <mergeCells count="11">
    <mergeCell ref="M4:O4"/>
    <mergeCell ref="J4:L4"/>
    <mergeCell ref="F4:I4"/>
    <mergeCell ref="AD4:AE4"/>
    <mergeCell ref="AA4:AC4"/>
    <mergeCell ref="Y4:Z4"/>
    <mergeCell ref="V4:X4"/>
    <mergeCell ref="S4:T4"/>
    <mergeCell ref="P4:R4"/>
    <mergeCell ref="C2:AE2"/>
    <mergeCell ref="C3:AE3"/>
  </mergeCells>
  <conditionalFormatting sqref="F6:AE232">
    <cfRule type="cellIs" dxfId="47" priority="1" operator="equal">
      <formula>"AD"</formula>
    </cfRule>
    <cfRule type="cellIs" dxfId="46" priority="2" operator="equal">
      <formula>"A"</formula>
    </cfRule>
    <cfRule type="cellIs" dxfId="45" priority="3" operator="equal">
      <formula>"B"</formula>
    </cfRule>
    <cfRule type="cellIs" dxfId="44" priority="4" operator="equal">
      <formula>"C"</formula>
    </cfRule>
  </conditionalFormatting>
  <dataValidations count="2">
    <dataValidation type="list" allowBlank="1" showInputMessage="1" showErrorMessage="1" sqref="AA6:AC232 J110:L130" xr:uid="{7DACFAB8-7B3B-4F93-91D9-286BF52BA3B3}">
      <formula1>"A,AD,B,C"</formula1>
    </dataValidation>
    <dataValidation type="list" allowBlank="1" showInputMessage="1" showErrorMessage="1" sqref="Q6:R26 T6:X26 AD229:AE232 F6:L26 AD27:AE80 F27:X48 AD82:AE97 AD135:AE199 AD201:AE203 AD205:AE227 AD99:AE133 Z27:Z48 F49:I232 J131:L232 J49:L109 M49:Z232" xr:uid="{C862CF3F-F6DA-4077-B02D-A59AEE02EBBB}">
      <formula1>"AD,A,B,C"</formula1>
    </dataValidation>
  </dataValidations>
  <pageMargins left="0.7" right="0.7" top="0.75" bottom="0.75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27269-9F02-4C4C-8A50-FA27F6F637BB}">
  <dimension ref="A2:AO1126"/>
  <sheetViews>
    <sheetView zoomScaleNormal="100" workbookViewId="0">
      <pane xSplit="3" ySplit="5" topLeftCell="D6" activePane="bottomRight" state="frozen"/>
      <selection pane="topRight" activeCell="C1" sqref="C1"/>
      <selection pane="bottomLeft" activeCell="A6" sqref="A6"/>
      <selection pane="bottomRight" activeCell="O1" sqref="O1"/>
    </sheetView>
  </sheetViews>
  <sheetFormatPr baseColWidth="10" defaultColWidth="14.44140625" defaultRowHeight="15" customHeight="1" x14ac:dyDescent="0.3"/>
  <cols>
    <col min="1" max="1" width="4" bestFit="1" customWidth="1"/>
    <col min="2" max="2" width="4.109375" customWidth="1"/>
    <col min="3" max="3" width="38.5546875" customWidth="1"/>
    <col min="4" max="4" width="5" customWidth="1"/>
    <col min="5" max="5" width="6.6640625" customWidth="1"/>
    <col min="6" max="31" width="5" customWidth="1"/>
    <col min="32" max="35" width="3.44140625" hidden="1" customWidth="1"/>
    <col min="36" max="36" width="1.44140625" style="65" hidden="1" customWidth="1"/>
    <col min="37" max="39" width="3" hidden="1" customWidth="1"/>
    <col min="40" max="40" width="2" hidden="1" customWidth="1"/>
    <col min="41" max="41" width="5.21875" bestFit="1" customWidth="1"/>
  </cols>
  <sheetData>
    <row r="2" spans="1:41" ht="45.75" customHeight="1" x14ac:dyDescent="0.3">
      <c r="C2" s="1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</row>
    <row r="3" spans="1:41" ht="26.25" customHeight="1" x14ac:dyDescent="0.3">
      <c r="C3" s="4" t="s">
        <v>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6"/>
    </row>
    <row r="4" spans="1:41" ht="41.25" customHeight="1" x14ac:dyDescent="0.3">
      <c r="C4" s="7"/>
      <c r="D4" s="8"/>
      <c r="E4" s="8"/>
      <c r="F4" s="9" t="s">
        <v>2</v>
      </c>
      <c r="G4" s="64"/>
      <c r="H4" s="64"/>
      <c r="I4" s="63"/>
      <c r="J4" s="9" t="s">
        <v>3</v>
      </c>
      <c r="K4" s="64"/>
      <c r="L4" s="63"/>
      <c r="M4" s="9" t="s">
        <v>4</v>
      </c>
      <c r="N4" s="64"/>
      <c r="O4" s="63"/>
      <c r="P4" s="9" t="s">
        <v>5</v>
      </c>
      <c r="Q4" s="64"/>
      <c r="R4" s="63"/>
      <c r="S4" s="10" t="s">
        <v>6</v>
      </c>
      <c r="T4" s="62"/>
      <c r="U4" s="11" t="s">
        <v>7</v>
      </c>
      <c r="V4" s="9" t="s">
        <v>8</v>
      </c>
      <c r="W4" s="64"/>
      <c r="X4" s="63"/>
      <c r="Y4" s="9" t="s">
        <v>9</v>
      </c>
      <c r="Z4" s="63"/>
      <c r="AA4" s="10" t="s">
        <v>10</v>
      </c>
      <c r="AB4" s="61"/>
      <c r="AC4" s="62"/>
      <c r="AD4" s="9" t="s">
        <v>11</v>
      </c>
      <c r="AE4" s="63"/>
    </row>
    <row r="5" spans="1:41" ht="27" customHeight="1" x14ac:dyDescent="0.3">
      <c r="B5" s="12"/>
      <c r="C5" s="13" t="s">
        <v>12</v>
      </c>
      <c r="D5" s="14" t="s">
        <v>13</v>
      </c>
      <c r="E5" s="15" t="s">
        <v>14</v>
      </c>
      <c r="F5" s="15" t="s">
        <v>15</v>
      </c>
      <c r="G5" s="15" t="s">
        <v>16</v>
      </c>
      <c r="H5" s="15" t="s">
        <v>17</v>
      </c>
      <c r="I5" s="15" t="s">
        <v>18</v>
      </c>
      <c r="J5" s="15" t="s">
        <v>15</v>
      </c>
      <c r="K5" s="15" t="s">
        <v>16</v>
      </c>
      <c r="L5" s="15" t="s">
        <v>17</v>
      </c>
      <c r="M5" s="15" t="s">
        <v>15</v>
      </c>
      <c r="N5" s="15" t="s">
        <v>16</v>
      </c>
      <c r="O5" s="15" t="s">
        <v>17</v>
      </c>
      <c r="P5" s="15" t="s">
        <v>15</v>
      </c>
      <c r="Q5" s="15" t="s">
        <v>16</v>
      </c>
      <c r="R5" s="15" t="s">
        <v>17</v>
      </c>
      <c r="S5" s="15" t="s">
        <v>15</v>
      </c>
      <c r="T5" s="15" t="s">
        <v>16</v>
      </c>
      <c r="U5" s="15" t="s">
        <v>15</v>
      </c>
      <c r="V5" s="15" t="s">
        <v>15</v>
      </c>
      <c r="W5" s="15" t="s">
        <v>16</v>
      </c>
      <c r="X5" s="15" t="s">
        <v>17</v>
      </c>
      <c r="Y5" s="15" t="s">
        <v>15</v>
      </c>
      <c r="Z5" s="15" t="s">
        <v>16</v>
      </c>
      <c r="AA5" s="15" t="s">
        <v>15</v>
      </c>
      <c r="AB5" s="15" t="s">
        <v>16</v>
      </c>
      <c r="AC5" s="15" t="s">
        <v>17</v>
      </c>
      <c r="AD5" s="15" t="s">
        <v>15</v>
      </c>
      <c r="AE5" s="15" t="s">
        <v>16</v>
      </c>
      <c r="AF5" s="68">
        <v>4</v>
      </c>
      <c r="AG5" s="68">
        <v>3</v>
      </c>
      <c r="AH5" s="68">
        <v>2</v>
      </c>
      <c r="AI5" s="68">
        <v>1</v>
      </c>
      <c r="AJ5" s="66"/>
      <c r="AK5" s="67" t="s">
        <v>39</v>
      </c>
      <c r="AL5" s="67" t="s">
        <v>20</v>
      </c>
      <c r="AM5" s="67" t="s">
        <v>21</v>
      </c>
      <c r="AN5" s="67" t="s">
        <v>23</v>
      </c>
      <c r="AO5" s="67" t="s">
        <v>251</v>
      </c>
    </row>
    <row r="6" spans="1:41" ht="14.4" x14ac:dyDescent="0.3">
      <c r="A6" s="16"/>
      <c r="B6" s="55">
        <v>12</v>
      </c>
      <c r="C6" s="71" t="s">
        <v>208</v>
      </c>
      <c r="D6" s="55">
        <v>5</v>
      </c>
      <c r="E6" s="55" t="s">
        <v>20</v>
      </c>
      <c r="F6" s="18" t="s">
        <v>20</v>
      </c>
      <c r="G6" s="18" t="s">
        <v>39</v>
      </c>
      <c r="H6" s="18" t="s">
        <v>20</v>
      </c>
      <c r="I6" s="18" t="s">
        <v>39</v>
      </c>
      <c r="J6" s="69" t="s">
        <v>20</v>
      </c>
      <c r="K6" s="69" t="s">
        <v>39</v>
      </c>
      <c r="L6" s="69" t="s">
        <v>20</v>
      </c>
      <c r="M6" s="18" t="s">
        <v>20</v>
      </c>
      <c r="N6" s="18" t="s">
        <v>20</v>
      </c>
      <c r="O6" s="18" t="s">
        <v>20</v>
      </c>
      <c r="P6" s="18" t="s">
        <v>20</v>
      </c>
      <c r="Q6" s="18" t="s">
        <v>20</v>
      </c>
      <c r="R6" s="18" t="s">
        <v>20</v>
      </c>
      <c r="S6" s="18" t="s">
        <v>20</v>
      </c>
      <c r="T6" s="18" t="s">
        <v>20</v>
      </c>
      <c r="U6" s="18" t="s">
        <v>20</v>
      </c>
      <c r="V6" s="49" t="s">
        <v>20</v>
      </c>
      <c r="W6" s="37" t="s">
        <v>20</v>
      </c>
      <c r="X6" s="37" t="s">
        <v>20</v>
      </c>
      <c r="Y6" s="18" t="s">
        <v>39</v>
      </c>
      <c r="Z6" s="18" t="s">
        <v>39</v>
      </c>
      <c r="AA6" s="18" t="s">
        <v>39</v>
      </c>
      <c r="AB6" s="18" t="s">
        <v>20</v>
      </c>
      <c r="AC6" s="18" t="s">
        <v>20</v>
      </c>
      <c r="AD6" s="29" t="s">
        <v>20</v>
      </c>
      <c r="AE6" s="29" t="s">
        <v>21</v>
      </c>
      <c r="AF6">
        <f>+COUNTIF(F6:AE6,"AD")</f>
        <v>6</v>
      </c>
      <c r="AG6">
        <f>+COUNTIF(F6:AE6,"A")</f>
        <v>19</v>
      </c>
      <c r="AH6">
        <f>+COUNTIF(F6:AE6,"b")</f>
        <v>1</v>
      </c>
      <c r="AI6">
        <f>+COUNTIF(F6:AE6,"c")</f>
        <v>0</v>
      </c>
      <c r="AK6">
        <f>+$AF$5*AF6</f>
        <v>24</v>
      </c>
      <c r="AL6">
        <f>+$AG$5*AG6</f>
        <v>57</v>
      </c>
      <c r="AM6">
        <f>+$AH$5*AH6</f>
        <v>2</v>
      </c>
      <c r="AN6">
        <f>+$AI$5*AI6</f>
        <v>0</v>
      </c>
      <c r="AO6">
        <f>+SUM(AK6:AN6)</f>
        <v>83</v>
      </c>
    </row>
    <row r="7" spans="1:41" ht="14.4" x14ac:dyDescent="0.3">
      <c r="A7" s="16"/>
      <c r="B7" s="55">
        <v>21</v>
      </c>
      <c r="C7" s="71" t="s">
        <v>245</v>
      </c>
      <c r="D7" s="55">
        <v>5</v>
      </c>
      <c r="E7" s="55" t="s">
        <v>21</v>
      </c>
      <c r="F7" s="18" t="s">
        <v>39</v>
      </c>
      <c r="G7" s="18" t="s">
        <v>20</v>
      </c>
      <c r="H7" s="18" t="s">
        <v>20</v>
      </c>
      <c r="I7" s="18" t="s">
        <v>20</v>
      </c>
      <c r="J7" s="18" t="s">
        <v>20</v>
      </c>
      <c r="K7" s="18" t="s">
        <v>39</v>
      </c>
      <c r="L7" s="18" t="s">
        <v>39</v>
      </c>
      <c r="M7" s="18" t="s">
        <v>20</v>
      </c>
      <c r="N7" s="18" t="s">
        <v>20</v>
      </c>
      <c r="O7" s="18" t="s">
        <v>20</v>
      </c>
      <c r="P7" s="18" t="s">
        <v>20</v>
      </c>
      <c r="Q7" s="18" t="s">
        <v>20</v>
      </c>
      <c r="R7" s="18" t="s">
        <v>20</v>
      </c>
      <c r="S7" s="18" t="s">
        <v>20</v>
      </c>
      <c r="T7" s="18" t="s">
        <v>20</v>
      </c>
      <c r="U7" s="18" t="s">
        <v>20</v>
      </c>
      <c r="V7" s="37" t="s">
        <v>20</v>
      </c>
      <c r="W7" s="37" t="s">
        <v>20</v>
      </c>
      <c r="X7" s="37" t="s">
        <v>20</v>
      </c>
      <c r="Y7" s="18" t="s">
        <v>39</v>
      </c>
      <c r="Z7" s="18" t="s">
        <v>39</v>
      </c>
      <c r="AA7" s="18" t="s">
        <v>20</v>
      </c>
      <c r="AB7" s="18" t="s">
        <v>20</v>
      </c>
      <c r="AC7" s="18" t="s">
        <v>20</v>
      </c>
      <c r="AD7" s="29" t="s">
        <v>20</v>
      </c>
      <c r="AE7" s="29" t="s">
        <v>21</v>
      </c>
      <c r="AF7">
        <f>+COUNTIF(F7:AE7,"AD")</f>
        <v>5</v>
      </c>
      <c r="AG7">
        <f>+COUNTIF(F7:AE7,"A")</f>
        <v>20</v>
      </c>
      <c r="AH7">
        <f>+COUNTIF(F7:AE7,"b")</f>
        <v>1</v>
      </c>
      <c r="AI7">
        <f>+COUNTIF(F7:AE7,"c")</f>
        <v>0</v>
      </c>
      <c r="AK7">
        <f>+$AF$5*AF7</f>
        <v>20</v>
      </c>
      <c r="AL7">
        <f>+$AG$5*AG7</f>
        <v>60</v>
      </c>
      <c r="AM7">
        <f>+$AH$5*AH7</f>
        <v>2</v>
      </c>
      <c r="AN7">
        <f>+$AI$5*AI7</f>
        <v>0</v>
      </c>
      <c r="AO7">
        <f>+SUM(AK7:AN7)</f>
        <v>82</v>
      </c>
    </row>
    <row r="8" spans="1:41" ht="14.4" x14ac:dyDescent="0.3">
      <c r="A8" s="16"/>
      <c r="B8" s="55">
        <v>1</v>
      </c>
      <c r="C8" s="71" t="s">
        <v>109</v>
      </c>
      <c r="D8" s="55">
        <v>3</v>
      </c>
      <c r="E8" s="55" t="s">
        <v>20</v>
      </c>
      <c r="F8" s="18" t="s">
        <v>39</v>
      </c>
      <c r="G8" s="18" t="s">
        <v>39</v>
      </c>
      <c r="H8" s="18" t="s">
        <v>20</v>
      </c>
      <c r="I8" s="18" t="s">
        <v>39</v>
      </c>
      <c r="J8" s="69" t="s">
        <v>20</v>
      </c>
      <c r="K8" s="69" t="s">
        <v>39</v>
      </c>
      <c r="L8" s="69" t="s">
        <v>20</v>
      </c>
      <c r="M8" s="18" t="s">
        <v>20</v>
      </c>
      <c r="N8" s="18" t="s">
        <v>20</v>
      </c>
      <c r="O8" s="18" t="s">
        <v>20</v>
      </c>
      <c r="P8" s="18" t="s">
        <v>20</v>
      </c>
      <c r="Q8" s="18" t="s">
        <v>20</v>
      </c>
      <c r="R8" s="18" t="s">
        <v>20</v>
      </c>
      <c r="S8" s="18" t="s">
        <v>20</v>
      </c>
      <c r="T8" s="18" t="s">
        <v>20</v>
      </c>
      <c r="U8" s="18" t="s">
        <v>20</v>
      </c>
      <c r="V8" s="37" t="s">
        <v>21</v>
      </c>
      <c r="W8" s="37" t="s">
        <v>20</v>
      </c>
      <c r="X8" s="37" t="s">
        <v>21</v>
      </c>
      <c r="Y8" s="18" t="s">
        <v>39</v>
      </c>
      <c r="Z8" s="18" t="s">
        <v>39</v>
      </c>
      <c r="AA8" s="18" t="s">
        <v>20</v>
      </c>
      <c r="AB8" s="18" t="s">
        <v>20</v>
      </c>
      <c r="AC8" s="18" t="s">
        <v>20</v>
      </c>
      <c r="AD8" s="37" t="s">
        <v>20</v>
      </c>
      <c r="AE8" s="37" t="s">
        <v>21</v>
      </c>
      <c r="AF8">
        <f>+COUNTIF(F8:AE8,"AD")</f>
        <v>6</v>
      </c>
      <c r="AG8">
        <f>+COUNTIF(F8:AE8,"A")</f>
        <v>17</v>
      </c>
      <c r="AH8">
        <f>+COUNTIF(F8:AE8,"b")</f>
        <v>3</v>
      </c>
      <c r="AI8">
        <f>+COUNTIF(F8:AE8,"c")</f>
        <v>0</v>
      </c>
      <c r="AK8">
        <f>+$AF$5*AF8</f>
        <v>24</v>
      </c>
      <c r="AL8">
        <f>+$AG$5*AG8</f>
        <v>51</v>
      </c>
      <c r="AM8">
        <f>+$AH$5*AH8</f>
        <v>6</v>
      </c>
      <c r="AN8">
        <f>+$AI$5*AI8</f>
        <v>0</v>
      </c>
      <c r="AO8">
        <f>+SUM(AK8:AN8)</f>
        <v>81</v>
      </c>
    </row>
    <row r="9" spans="1:41" ht="14.4" x14ac:dyDescent="0.3">
      <c r="A9" s="16"/>
      <c r="B9" s="55">
        <v>20</v>
      </c>
      <c r="C9" s="71" t="s">
        <v>191</v>
      </c>
      <c r="D9" s="55">
        <v>4</v>
      </c>
      <c r="E9" s="55" t="s">
        <v>21</v>
      </c>
      <c r="F9" s="18" t="s">
        <v>20</v>
      </c>
      <c r="G9" s="18" t="s">
        <v>20</v>
      </c>
      <c r="H9" s="18" t="s">
        <v>20</v>
      </c>
      <c r="I9" s="18" t="s">
        <v>39</v>
      </c>
      <c r="J9" s="69" t="s">
        <v>20</v>
      </c>
      <c r="K9" s="69" t="s">
        <v>39</v>
      </c>
      <c r="L9" s="69" t="s">
        <v>20</v>
      </c>
      <c r="M9" s="18" t="s">
        <v>20</v>
      </c>
      <c r="N9" s="18" t="s">
        <v>20</v>
      </c>
      <c r="O9" s="18" t="s">
        <v>20</v>
      </c>
      <c r="P9" s="18" t="s">
        <v>20</v>
      </c>
      <c r="Q9" s="18" t="s">
        <v>20</v>
      </c>
      <c r="R9" s="18" t="s">
        <v>20</v>
      </c>
      <c r="S9" s="18" t="s">
        <v>20</v>
      </c>
      <c r="T9" s="18" t="s">
        <v>20</v>
      </c>
      <c r="U9" s="18" t="s">
        <v>20</v>
      </c>
      <c r="V9" s="50" t="s">
        <v>20</v>
      </c>
      <c r="W9" s="37" t="s">
        <v>20</v>
      </c>
      <c r="X9" s="37" t="s">
        <v>20</v>
      </c>
      <c r="Y9" s="18" t="s">
        <v>39</v>
      </c>
      <c r="Z9" s="18" t="s">
        <v>39</v>
      </c>
      <c r="AA9" s="18" t="s">
        <v>20</v>
      </c>
      <c r="AB9" s="18" t="s">
        <v>20</v>
      </c>
      <c r="AC9" s="18" t="s">
        <v>20</v>
      </c>
      <c r="AD9" s="29" t="s">
        <v>20</v>
      </c>
      <c r="AE9" s="29" t="s">
        <v>21</v>
      </c>
      <c r="AF9">
        <f>+COUNTIF(F9:AE9,"AD")</f>
        <v>4</v>
      </c>
      <c r="AG9">
        <f>+COUNTIF(F9:AE9,"A")</f>
        <v>21</v>
      </c>
      <c r="AH9">
        <f>+COUNTIF(F9:AE9,"b")</f>
        <v>1</v>
      </c>
      <c r="AI9">
        <f>+COUNTIF(F9:AE9,"c")</f>
        <v>0</v>
      </c>
      <c r="AK9">
        <f>+$AF$5*AF9</f>
        <v>16</v>
      </c>
      <c r="AL9">
        <f>+$AG$5*AG9</f>
        <v>63</v>
      </c>
      <c r="AM9">
        <f>+$AH$5*AH9</f>
        <v>2</v>
      </c>
      <c r="AN9">
        <f>+$AI$5*AI9</f>
        <v>0</v>
      </c>
      <c r="AO9">
        <f>+SUM(AK9:AN9)</f>
        <v>81</v>
      </c>
    </row>
    <row r="10" spans="1:41" ht="14.4" x14ac:dyDescent="0.3">
      <c r="A10" s="16"/>
      <c r="B10" s="55">
        <v>19</v>
      </c>
      <c r="C10" s="71" t="s">
        <v>167</v>
      </c>
      <c r="D10" s="55">
        <v>4</v>
      </c>
      <c r="E10" s="55" t="s">
        <v>20</v>
      </c>
      <c r="F10" s="18" t="s">
        <v>39</v>
      </c>
      <c r="G10" s="18" t="s">
        <v>39</v>
      </c>
      <c r="H10" s="18" t="s">
        <v>39</v>
      </c>
      <c r="I10" s="18" t="s">
        <v>39</v>
      </c>
      <c r="J10" s="69" t="s">
        <v>20</v>
      </c>
      <c r="K10" s="69" t="s">
        <v>20</v>
      </c>
      <c r="L10" s="69" t="s">
        <v>20</v>
      </c>
      <c r="M10" s="18" t="s">
        <v>20</v>
      </c>
      <c r="N10" s="18" t="s">
        <v>20</v>
      </c>
      <c r="O10" s="18" t="s">
        <v>20</v>
      </c>
      <c r="P10" s="18" t="s">
        <v>20</v>
      </c>
      <c r="Q10" s="18" t="s">
        <v>21</v>
      </c>
      <c r="R10" s="18" t="s">
        <v>20</v>
      </c>
      <c r="S10" s="18" t="s">
        <v>20</v>
      </c>
      <c r="T10" s="18" t="s">
        <v>20</v>
      </c>
      <c r="U10" s="18" t="s">
        <v>20</v>
      </c>
      <c r="V10" s="37" t="s">
        <v>20</v>
      </c>
      <c r="W10" s="37" t="s">
        <v>20</v>
      </c>
      <c r="X10" s="37" t="s">
        <v>20</v>
      </c>
      <c r="Y10" s="18" t="s">
        <v>20</v>
      </c>
      <c r="Z10" s="18" t="s">
        <v>20</v>
      </c>
      <c r="AA10" s="18" t="s">
        <v>20</v>
      </c>
      <c r="AB10" s="18" t="s">
        <v>20</v>
      </c>
      <c r="AC10" s="18" t="s">
        <v>20</v>
      </c>
      <c r="AD10" s="18" t="s">
        <v>20</v>
      </c>
      <c r="AE10" s="18" t="s">
        <v>21</v>
      </c>
      <c r="AF10">
        <f>+COUNTIF(F10:AE10,"AD")</f>
        <v>4</v>
      </c>
      <c r="AG10">
        <f>+COUNTIF(F10:AE10,"A")</f>
        <v>20</v>
      </c>
      <c r="AH10">
        <f>+COUNTIF(F10:AE10,"b")</f>
        <v>2</v>
      </c>
      <c r="AI10">
        <f>+COUNTIF(F10:AE10,"c")</f>
        <v>0</v>
      </c>
      <c r="AK10">
        <f>+$AF$5*AF10</f>
        <v>16</v>
      </c>
      <c r="AL10">
        <f>+$AG$5*AG10</f>
        <v>60</v>
      </c>
      <c r="AM10">
        <f>+$AH$5*AH10</f>
        <v>4</v>
      </c>
      <c r="AN10">
        <f>+$AI$5*AI10</f>
        <v>0</v>
      </c>
      <c r="AO10">
        <f>+SUM(AK10:AN10)</f>
        <v>80</v>
      </c>
    </row>
    <row r="11" spans="1:41" ht="14.4" x14ac:dyDescent="0.3">
      <c r="A11" s="16"/>
      <c r="B11" s="55">
        <v>18</v>
      </c>
      <c r="C11" s="71" t="s">
        <v>79</v>
      </c>
      <c r="D11" s="55">
        <v>2</v>
      </c>
      <c r="E11" s="55" t="s">
        <v>20</v>
      </c>
      <c r="F11" s="18" t="s">
        <v>20</v>
      </c>
      <c r="G11" s="18" t="s">
        <v>20</v>
      </c>
      <c r="H11" s="18" t="s">
        <v>20</v>
      </c>
      <c r="I11" s="18" t="s">
        <v>20</v>
      </c>
      <c r="J11" s="18" t="s">
        <v>20</v>
      </c>
      <c r="K11" s="18" t="s">
        <v>20</v>
      </c>
      <c r="L11" s="18" t="s">
        <v>20</v>
      </c>
      <c r="M11" s="18" t="s">
        <v>20</v>
      </c>
      <c r="N11" s="18" t="s">
        <v>20</v>
      </c>
      <c r="O11" s="18" t="s">
        <v>20</v>
      </c>
      <c r="P11" s="18" t="s">
        <v>20</v>
      </c>
      <c r="Q11" s="18" t="s">
        <v>20</v>
      </c>
      <c r="R11" s="18" t="s">
        <v>20</v>
      </c>
      <c r="S11" s="18" t="s">
        <v>20</v>
      </c>
      <c r="T11" s="18" t="s">
        <v>20</v>
      </c>
      <c r="U11" s="18" t="s">
        <v>20</v>
      </c>
      <c r="V11" s="37" t="s">
        <v>20</v>
      </c>
      <c r="W11" s="37" t="s">
        <v>20</v>
      </c>
      <c r="X11" s="37" t="s">
        <v>20</v>
      </c>
      <c r="Y11" s="18" t="s">
        <v>39</v>
      </c>
      <c r="Z11" s="18" t="s">
        <v>39</v>
      </c>
      <c r="AA11" s="18" t="s">
        <v>20</v>
      </c>
      <c r="AB11" s="18" t="s">
        <v>20</v>
      </c>
      <c r="AC11" s="18" t="s">
        <v>20</v>
      </c>
      <c r="AD11" s="29" t="s">
        <v>20</v>
      </c>
      <c r="AE11" s="29" t="s">
        <v>21</v>
      </c>
      <c r="AF11">
        <f>+COUNTIF(F11:AE11,"AD")</f>
        <v>2</v>
      </c>
      <c r="AG11">
        <f>+COUNTIF(F11:AE11,"A")</f>
        <v>23</v>
      </c>
      <c r="AH11">
        <f>+COUNTIF(F11:AE11,"b")</f>
        <v>1</v>
      </c>
      <c r="AI11">
        <f>+COUNTIF(F11:AE11,"c")</f>
        <v>0</v>
      </c>
      <c r="AK11">
        <f>+$AF$5*AF11</f>
        <v>8</v>
      </c>
      <c r="AL11">
        <f>+$AG$5*AG11</f>
        <v>69</v>
      </c>
      <c r="AM11">
        <f>+$AH$5*AH11</f>
        <v>2</v>
      </c>
      <c r="AN11">
        <f>+$AI$5*AI11</f>
        <v>0</v>
      </c>
      <c r="AO11">
        <f>+SUM(AK11:AN11)</f>
        <v>79</v>
      </c>
    </row>
    <row r="12" spans="1:41" ht="14.4" x14ac:dyDescent="0.3">
      <c r="A12" s="16"/>
      <c r="B12" s="55">
        <v>2</v>
      </c>
      <c r="C12" s="71" t="s">
        <v>110</v>
      </c>
      <c r="D12" s="55">
        <v>3</v>
      </c>
      <c r="E12" s="55" t="s">
        <v>20</v>
      </c>
      <c r="F12" s="18" t="s">
        <v>20</v>
      </c>
      <c r="G12" s="18" t="s">
        <v>20</v>
      </c>
      <c r="H12" s="18" t="s">
        <v>20</v>
      </c>
      <c r="I12" s="18" t="s">
        <v>39</v>
      </c>
      <c r="J12" s="69" t="s">
        <v>39</v>
      </c>
      <c r="K12" s="69" t="s">
        <v>39</v>
      </c>
      <c r="L12" s="69" t="s">
        <v>20</v>
      </c>
      <c r="M12" s="18" t="s">
        <v>20</v>
      </c>
      <c r="N12" s="18" t="s">
        <v>20</v>
      </c>
      <c r="O12" s="18" t="s">
        <v>20</v>
      </c>
      <c r="P12" s="18" t="s">
        <v>20</v>
      </c>
      <c r="Q12" s="18" t="s">
        <v>20</v>
      </c>
      <c r="R12" s="18" t="s">
        <v>20</v>
      </c>
      <c r="S12" s="18" t="s">
        <v>20</v>
      </c>
      <c r="T12" s="18" t="s">
        <v>20</v>
      </c>
      <c r="U12" s="18" t="s">
        <v>20</v>
      </c>
      <c r="V12" s="37" t="s">
        <v>20</v>
      </c>
      <c r="W12" s="37" t="s">
        <v>20</v>
      </c>
      <c r="X12" s="37" t="s">
        <v>20</v>
      </c>
      <c r="Y12" s="18" t="s">
        <v>20</v>
      </c>
      <c r="Z12" s="18" t="s">
        <v>20</v>
      </c>
      <c r="AA12" s="18" t="s">
        <v>20</v>
      </c>
      <c r="AB12" s="18" t="s">
        <v>20</v>
      </c>
      <c r="AC12" s="18" t="s">
        <v>20</v>
      </c>
      <c r="AD12" s="37" t="s">
        <v>21</v>
      </c>
      <c r="AE12" s="37" t="s">
        <v>21</v>
      </c>
      <c r="AF12">
        <f>+COUNTIF(F12:AE12,"AD")</f>
        <v>3</v>
      </c>
      <c r="AG12">
        <f>+COUNTIF(F12:AE12,"A")</f>
        <v>21</v>
      </c>
      <c r="AH12">
        <f>+COUNTIF(F12:AE12,"b")</f>
        <v>2</v>
      </c>
      <c r="AI12">
        <f>+COUNTIF(F12:AE12,"c")</f>
        <v>0</v>
      </c>
      <c r="AK12">
        <f>+$AF$5*AF12</f>
        <v>12</v>
      </c>
      <c r="AL12">
        <f>+$AG$5*AG12</f>
        <v>63</v>
      </c>
      <c r="AM12">
        <f>+$AH$5*AH12</f>
        <v>4</v>
      </c>
      <c r="AN12">
        <f>+$AI$5*AI12</f>
        <v>0</v>
      </c>
      <c r="AO12">
        <f>+SUM(AK12:AN12)</f>
        <v>79</v>
      </c>
    </row>
    <row r="13" spans="1:41" ht="14.4" x14ac:dyDescent="0.3">
      <c r="A13" s="16"/>
      <c r="B13" s="55">
        <v>1</v>
      </c>
      <c r="C13" s="71" t="s">
        <v>41</v>
      </c>
      <c r="D13" s="55">
        <v>1</v>
      </c>
      <c r="E13" s="55" t="s">
        <v>21</v>
      </c>
      <c r="F13" s="18" t="s">
        <v>39</v>
      </c>
      <c r="G13" s="18" t="s">
        <v>20</v>
      </c>
      <c r="H13" s="18" t="s">
        <v>20</v>
      </c>
      <c r="I13" s="18" t="s">
        <v>20</v>
      </c>
      <c r="J13" s="18" t="s">
        <v>20</v>
      </c>
      <c r="K13" s="18" t="s">
        <v>20</v>
      </c>
      <c r="L13" s="18" t="s">
        <v>20</v>
      </c>
      <c r="M13" s="19" t="s">
        <v>20</v>
      </c>
      <c r="N13" s="19" t="s">
        <v>20</v>
      </c>
      <c r="O13" s="19" t="s">
        <v>20</v>
      </c>
      <c r="P13" s="19" t="s">
        <v>20</v>
      </c>
      <c r="Q13" s="18" t="s">
        <v>20</v>
      </c>
      <c r="R13" s="18" t="s">
        <v>20</v>
      </c>
      <c r="S13" s="19" t="s">
        <v>20</v>
      </c>
      <c r="T13" s="18" t="s">
        <v>20</v>
      </c>
      <c r="U13" s="18" t="s">
        <v>20</v>
      </c>
      <c r="V13" s="18" t="s">
        <v>20</v>
      </c>
      <c r="W13" s="18" t="s">
        <v>20</v>
      </c>
      <c r="X13" s="18" t="s">
        <v>20</v>
      </c>
      <c r="Y13" s="19" t="s">
        <v>20</v>
      </c>
      <c r="Z13" s="19" t="s">
        <v>20</v>
      </c>
      <c r="AA13" s="72" t="s">
        <v>20</v>
      </c>
      <c r="AB13" s="72" t="s">
        <v>20</v>
      </c>
      <c r="AC13" s="18" t="s">
        <v>20</v>
      </c>
      <c r="AD13" s="19" t="s">
        <v>20</v>
      </c>
      <c r="AE13" s="19" t="s">
        <v>21</v>
      </c>
      <c r="AF13">
        <f>+COUNTIF(F13:AE13,"AD")</f>
        <v>1</v>
      </c>
      <c r="AG13">
        <f>+COUNTIF(F13:AE13,"A")</f>
        <v>24</v>
      </c>
      <c r="AH13">
        <f>+COUNTIF(F13:AE13,"b")</f>
        <v>1</v>
      </c>
      <c r="AI13">
        <f>+COUNTIF(F13:AE13,"c")</f>
        <v>0</v>
      </c>
      <c r="AK13">
        <f>+$AF$5*AF13</f>
        <v>4</v>
      </c>
      <c r="AL13">
        <f>+$AG$5*AG13</f>
        <v>72</v>
      </c>
      <c r="AM13">
        <f>+$AH$5*AH13</f>
        <v>2</v>
      </c>
      <c r="AN13">
        <f>+$AI$5*AI13</f>
        <v>0</v>
      </c>
      <c r="AO13">
        <f>+SUM(AK13:AN13)</f>
        <v>78</v>
      </c>
    </row>
    <row r="14" spans="1:41" ht="14.4" x14ac:dyDescent="0.3">
      <c r="A14" s="16"/>
      <c r="B14" s="55">
        <v>8</v>
      </c>
      <c r="C14" s="71" t="s">
        <v>93</v>
      </c>
      <c r="D14" s="55">
        <v>2</v>
      </c>
      <c r="E14" s="55" t="s">
        <v>21</v>
      </c>
      <c r="F14" s="18" t="s">
        <v>20</v>
      </c>
      <c r="G14" s="18" t="s">
        <v>20</v>
      </c>
      <c r="H14" s="18" t="s">
        <v>20</v>
      </c>
      <c r="I14" s="18" t="s">
        <v>20</v>
      </c>
      <c r="J14" s="18" t="s">
        <v>20</v>
      </c>
      <c r="K14" s="18" t="s">
        <v>20</v>
      </c>
      <c r="L14" s="18" t="s">
        <v>39</v>
      </c>
      <c r="M14" s="18" t="s">
        <v>20</v>
      </c>
      <c r="N14" s="18" t="s">
        <v>20</v>
      </c>
      <c r="O14" s="18" t="s">
        <v>20</v>
      </c>
      <c r="P14" s="18" t="s">
        <v>20</v>
      </c>
      <c r="Q14" s="18" t="s">
        <v>20</v>
      </c>
      <c r="R14" s="18" t="s">
        <v>20</v>
      </c>
      <c r="S14" s="18" t="s">
        <v>20</v>
      </c>
      <c r="T14" s="18" t="s">
        <v>20</v>
      </c>
      <c r="U14" s="18" t="s">
        <v>20</v>
      </c>
      <c r="V14" s="37" t="s">
        <v>20</v>
      </c>
      <c r="W14" s="37" t="s">
        <v>20</v>
      </c>
      <c r="X14" s="37" t="s">
        <v>20</v>
      </c>
      <c r="Y14" s="18" t="s">
        <v>20</v>
      </c>
      <c r="Z14" s="18" t="s">
        <v>20</v>
      </c>
      <c r="AA14" s="18" t="s">
        <v>20</v>
      </c>
      <c r="AB14" s="18" t="s">
        <v>20</v>
      </c>
      <c r="AC14" s="18" t="s">
        <v>20</v>
      </c>
      <c r="AD14" s="18" t="s">
        <v>20</v>
      </c>
      <c r="AE14" s="18" t="s">
        <v>21</v>
      </c>
      <c r="AF14">
        <f>+COUNTIF(F14:AE14,"AD")</f>
        <v>1</v>
      </c>
      <c r="AG14">
        <f>+COUNTIF(F14:AE14,"A")</f>
        <v>24</v>
      </c>
      <c r="AH14">
        <f>+COUNTIF(F14:AE14,"b")</f>
        <v>1</v>
      </c>
      <c r="AI14">
        <f>+COUNTIF(F14:AE14,"c")</f>
        <v>0</v>
      </c>
      <c r="AK14">
        <f>+$AF$5*AF14</f>
        <v>4</v>
      </c>
      <c r="AL14">
        <f>+$AG$5*AG14</f>
        <v>72</v>
      </c>
      <c r="AM14">
        <f>+$AH$5*AH14</f>
        <v>2</v>
      </c>
      <c r="AN14">
        <f>+$AI$5*AI14</f>
        <v>0</v>
      </c>
      <c r="AO14">
        <f>+SUM(AK14:AN14)</f>
        <v>78</v>
      </c>
    </row>
    <row r="15" spans="1:41" ht="14.4" x14ac:dyDescent="0.3">
      <c r="A15" s="16"/>
      <c r="B15" s="55">
        <v>4</v>
      </c>
      <c r="C15" s="71" t="s">
        <v>112</v>
      </c>
      <c r="D15" s="55">
        <v>3</v>
      </c>
      <c r="E15" s="55" t="s">
        <v>20</v>
      </c>
      <c r="F15" s="18" t="s">
        <v>39</v>
      </c>
      <c r="G15" s="18" t="s">
        <v>20</v>
      </c>
      <c r="H15" s="18" t="s">
        <v>20</v>
      </c>
      <c r="I15" s="18" t="s">
        <v>20</v>
      </c>
      <c r="J15" s="69" t="s">
        <v>20</v>
      </c>
      <c r="K15" s="69" t="s">
        <v>39</v>
      </c>
      <c r="L15" s="69" t="s">
        <v>20</v>
      </c>
      <c r="M15" s="18" t="s">
        <v>20</v>
      </c>
      <c r="N15" s="18" t="s">
        <v>20</v>
      </c>
      <c r="O15" s="18" t="s">
        <v>20</v>
      </c>
      <c r="P15" s="18" t="s">
        <v>20</v>
      </c>
      <c r="Q15" s="18" t="s">
        <v>20</v>
      </c>
      <c r="R15" s="18" t="s">
        <v>20</v>
      </c>
      <c r="S15" s="18" t="s">
        <v>20</v>
      </c>
      <c r="T15" s="18" t="s">
        <v>20</v>
      </c>
      <c r="U15" s="18" t="s">
        <v>20</v>
      </c>
      <c r="V15" s="37" t="s">
        <v>20</v>
      </c>
      <c r="W15" s="37" t="s">
        <v>21</v>
      </c>
      <c r="X15" s="37" t="s">
        <v>20</v>
      </c>
      <c r="Y15" s="18" t="s">
        <v>20</v>
      </c>
      <c r="Z15" s="18" t="s">
        <v>20</v>
      </c>
      <c r="AA15" s="18" t="s">
        <v>20</v>
      </c>
      <c r="AB15" s="18" t="s">
        <v>20</v>
      </c>
      <c r="AC15" s="18" t="s">
        <v>20</v>
      </c>
      <c r="AD15" s="37" t="s">
        <v>20</v>
      </c>
      <c r="AE15" s="37" t="s">
        <v>21</v>
      </c>
      <c r="AF15">
        <f>+COUNTIF(F15:AE15,"AD")</f>
        <v>2</v>
      </c>
      <c r="AG15">
        <f>+COUNTIF(F15:AE15,"A")</f>
        <v>22</v>
      </c>
      <c r="AH15">
        <f>+COUNTIF(F15:AE15,"b")</f>
        <v>2</v>
      </c>
      <c r="AI15">
        <f>+COUNTIF(F15:AE15,"c")</f>
        <v>0</v>
      </c>
      <c r="AK15">
        <f>+$AF$5*AF15</f>
        <v>8</v>
      </c>
      <c r="AL15">
        <f>+$AG$5*AG15</f>
        <v>66</v>
      </c>
      <c r="AM15">
        <f>+$AH$5*AH15</f>
        <v>4</v>
      </c>
      <c r="AN15">
        <f>+$AI$5*AI15</f>
        <v>0</v>
      </c>
      <c r="AO15">
        <f>+SUM(AK15:AN15)</f>
        <v>78</v>
      </c>
    </row>
    <row r="16" spans="1:41" ht="14.4" x14ac:dyDescent="0.3">
      <c r="A16" s="16"/>
      <c r="B16" s="55">
        <v>9</v>
      </c>
      <c r="C16" s="71" t="s">
        <v>117</v>
      </c>
      <c r="D16" s="55">
        <v>3</v>
      </c>
      <c r="E16" s="55" t="s">
        <v>20</v>
      </c>
      <c r="F16" s="18" t="s">
        <v>20</v>
      </c>
      <c r="G16" s="18" t="s">
        <v>20</v>
      </c>
      <c r="H16" s="18" t="s">
        <v>20</v>
      </c>
      <c r="I16" s="18" t="s">
        <v>20</v>
      </c>
      <c r="J16" s="69" t="s">
        <v>20</v>
      </c>
      <c r="K16" s="69" t="s">
        <v>39</v>
      </c>
      <c r="L16" s="69" t="s">
        <v>20</v>
      </c>
      <c r="M16" s="18" t="s">
        <v>20</v>
      </c>
      <c r="N16" s="18" t="s">
        <v>20</v>
      </c>
      <c r="O16" s="18" t="s">
        <v>20</v>
      </c>
      <c r="P16" s="18" t="s">
        <v>20</v>
      </c>
      <c r="Q16" s="18" t="s">
        <v>20</v>
      </c>
      <c r="R16" s="18" t="s">
        <v>20</v>
      </c>
      <c r="S16" s="18" t="s">
        <v>20</v>
      </c>
      <c r="T16" s="18" t="s">
        <v>20</v>
      </c>
      <c r="U16" s="18" t="s">
        <v>20</v>
      </c>
      <c r="V16" s="37" t="s">
        <v>20</v>
      </c>
      <c r="W16" s="37" t="s">
        <v>20</v>
      </c>
      <c r="X16" s="37" t="s">
        <v>20</v>
      </c>
      <c r="Y16" s="18" t="s">
        <v>20</v>
      </c>
      <c r="Z16" s="18" t="s">
        <v>39</v>
      </c>
      <c r="AA16" s="18" t="s">
        <v>20</v>
      </c>
      <c r="AB16" s="18" t="s">
        <v>20</v>
      </c>
      <c r="AC16" s="18" t="s">
        <v>20</v>
      </c>
      <c r="AD16" s="37" t="s">
        <v>21</v>
      </c>
      <c r="AE16" s="37" t="s">
        <v>21</v>
      </c>
      <c r="AF16">
        <f>+COUNTIF(F16:AE16,"AD")</f>
        <v>2</v>
      </c>
      <c r="AG16">
        <f>+COUNTIF(F16:AE16,"A")</f>
        <v>22</v>
      </c>
      <c r="AH16">
        <f>+COUNTIF(F16:AE16,"b")</f>
        <v>2</v>
      </c>
      <c r="AI16">
        <f>+COUNTIF(F16:AE16,"c")</f>
        <v>0</v>
      </c>
      <c r="AK16">
        <f>+$AF$5*AF16</f>
        <v>8</v>
      </c>
      <c r="AL16">
        <f>+$AG$5*AG16</f>
        <v>66</v>
      </c>
      <c r="AM16">
        <f>+$AH$5*AH16</f>
        <v>4</v>
      </c>
      <c r="AN16">
        <f>+$AI$5*AI16</f>
        <v>0</v>
      </c>
      <c r="AO16">
        <f>+SUM(AK16:AN16)</f>
        <v>78</v>
      </c>
    </row>
    <row r="17" spans="1:41" ht="14.4" x14ac:dyDescent="0.3">
      <c r="A17" s="16"/>
      <c r="B17" s="55">
        <v>15</v>
      </c>
      <c r="C17" s="71" t="s">
        <v>123</v>
      </c>
      <c r="D17" s="55">
        <v>3</v>
      </c>
      <c r="E17" s="55" t="s">
        <v>20</v>
      </c>
      <c r="F17" s="18" t="s">
        <v>39</v>
      </c>
      <c r="G17" s="18" t="s">
        <v>39</v>
      </c>
      <c r="H17" s="18" t="s">
        <v>20</v>
      </c>
      <c r="I17" s="18" t="s">
        <v>39</v>
      </c>
      <c r="J17" s="69" t="s">
        <v>20</v>
      </c>
      <c r="K17" s="69" t="s">
        <v>20</v>
      </c>
      <c r="L17" s="69" t="s">
        <v>20</v>
      </c>
      <c r="M17" s="18" t="s">
        <v>20</v>
      </c>
      <c r="N17" s="18" t="s">
        <v>21</v>
      </c>
      <c r="O17" s="18" t="s">
        <v>20</v>
      </c>
      <c r="P17" s="18" t="s">
        <v>20</v>
      </c>
      <c r="Q17" s="18" t="s">
        <v>20</v>
      </c>
      <c r="R17" s="18" t="s">
        <v>20</v>
      </c>
      <c r="S17" s="18" t="s">
        <v>20</v>
      </c>
      <c r="T17" s="18" t="s">
        <v>20</v>
      </c>
      <c r="U17" s="18" t="s">
        <v>20</v>
      </c>
      <c r="V17" s="37" t="s">
        <v>20</v>
      </c>
      <c r="W17" s="37" t="s">
        <v>20</v>
      </c>
      <c r="X17" s="37" t="s">
        <v>20</v>
      </c>
      <c r="Y17" s="18" t="s">
        <v>20</v>
      </c>
      <c r="Z17" s="18" t="s">
        <v>21</v>
      </c>
      <c r="AA17" s="18" t="s">
        <v>20</v>
      </c>
      <c r="AB17" s="18" t="s">
        <v>20</v>
      </c>
      <c r="AC17" s="18" t="s">
        <v>20</v>
      </c>
      <c r="AD17" s="37" t="s">
        <v>20</v>
      </c>
      <c r="AE17" s="37" t="s">
        <v>21</v>
      </c>
      <c r="AF17">
        <f>+COUNTIF(F17:AE17,"AD")</f>
        <v>3</v>
      </c>
      <c r="AG17">
        <f>+COUNTIF(F17:AE17,"A")</f>
        <v>20</v>
      </c>
      <c r="AH17">
        <f>+COUNTIF(F17:AE17,"b")</f>
        <v>3</v>
      </c>
      <c r="AI17">
        <f>+COUNTIF(F17:AE17,"c")</f>
        <v>0</v>
      </c>
      <c r="AK17">
        <f>+$AF$5*AF17</f>
        <v>12</v>
      </c>
      <c r="AL17">
        <f>+$AG$5*AG17</f>
        <v>60</v>
      </c>
      <c r="AM17">
        <f>+$AH$5*AH17</f>
        <v>6</v>
      </c>
      <c r="AN17">
        <f>+$AI$5*AI17</f>
        <v>0</v>
      </c>
      <c r="AO17">
        <f>+SUM(AK17:AN17)</f>
        <v>78</v>
      </c>
    </row>
    <row r="18" spans="1:41" ht="14.4" x14ac:dyDescent="0.3">
      <c r="A18" s="16"/>
      <c r="B18" s="55">
        <v>3</v>
      </c>
      <c r="C18" s="71" t="s">
        <v>174</v>
      </c>
      <c r="D18" s="55">
        <v>4</v>
      </c>
      <c r="E18" s="55" t="s">
        <v>21</v>
      </c>
      <c r="F18" s="18" t="s">
        <v>39</v>
      </c>
      <c r="G18" s="18" t="s">
        <v>20</v>
      </c>
      <c r="H18" s="18" t="s">
        <v>39</v>
      </c>
      <c r="I18" s="18" t="s">
        <v>20</v>
      </c>
      <c r="J18" s="69" t="s">
        <v>20</v>
      </c>
      <c r="K18" s="69" t="s">
        <v>20</v>
      </c>
      <c r="L18" s="69" t="s">
        <v>20</v>
      </c>
      <c r="M18" s="18" t="s">
        <v>20</v>
      </c>
      <c r="N18" s="18" t="s">
        <v>20</v>
      </c>
      <c r="O18" s="18" t="s">
        <v>20</v>
      </c>
      <c r="P18" s="18" t="s">
        <v>20</v>
      </c>
      <c r="Q18" s="18" t="s">
        <v>20</v>
      </c>
      <c r="R18" s="18" t="s">
        <v>20</v>
      </c>
      <c r="S18" s="18" t="s">
        <v>20</v>
      </c>
      <c r="T18" s="18" t="s">
        <v>20</v>
      </c>
      <c r="U18" s="18" t="s">
        <v>20</v>
      </c>
      <c r="V18" s="37" t="s">
        <v>20</v>
      </c>
      <c r="W18" s="37" t="s">
        <v>20</v>
      </c>
      <c r="X18" s="37" t="s">
        <v>20</v>
      </c>
      <c r="Y18" s="18" t="s">
        <v>20</v>
      </c>
      <c r="Z18" s="18" t="s">
        <v>20</v>
      </c>
      <c r="AA18" s="18" t="s">
        <v>20</v>
      </c>
      <c r="AB18" s="18" t="s">
        <v>20</v>
      </c>
      <c r="AC18" s="18" t="s">
        <v>20</v>
      </c>
      <c r="AD18" s="18" t="s">
        <v>21</v>
      </c>
      <c r="AE18" s="18" t="s">
        <v>21</v>
      </c>
      <c r="AF18">
        <f>+COUNTIF(F18:AE18,"AD")</f>
        <v>2</v>
      </c>
      <c r="AG18">
        <f>+COUNTIF(F18:AE18,"A")</f>
        <v>22</v>
      </c>
      <c r="AH18">
        <f>+COUNTIF(F18:AE18,"b")</f>
        <v>2</v>
      </c>
      <c r="AI18">
        <f>+COUNTIF(F18:AE18,"c")</f>
        <v>0</v>
      </c>
      <c r="AK18">
        <f>+$AF$5*AF18</f>
        <v>8</v>
      </c>
      <c r="AL18">
        <f>+$AG$5*AG18</f>
        <v>66</v>
      </c>
      <c r="AM18">
        <f>+$AH$5*AH18</f>
        <v>4</v>
      </c>
      <c r="AN18">
        <f>+$AI$5*AI18</f>
        <v>0</v>
      </c>
      <c r="AO18">
        <f>+SUM(AK18:AN18)</f>
        <v>78</v>
      </c>
    </row>
    <row r="19" spans="1:41" ht="14.4" x14ac:dyDescent="0.3">
      <c r="A19" s="16"/>
      <c r="B19" s="55">
        <v>5</v>
      </c>
      <c r="C19" s="71" t="s">
        <v>176</v>
      </c>
      <c r="D19" s="55">
        <v>4</v>
      </c>
      <c r="E19" s="55" t="s">
        <v>21</v>
      </c>
      <c r="F19" s="18" t="s">
        <v>39</v>
      </c>
      <c r="G19" s="18" t="s">
        <v>20</v>
      </c>
      <c r="H19" s="18" t="s">
        <v>20</v>
      </c>
      <c r="I19" s="18" t="s">
        <v>20</v>
      </c>
      <c r="J19" s="69" t="s">
        <v>20</v>
      </c>
      <c r="K19" s="69" t="s">
        <v>20</v>
      </c>
      <c r="L19" s="69" t="s">
        <v>20</v>
      </c>
      <c r="M19" s="18" t="s">
        <v>20</v>
      </c>
      <c r="N19" s="18" t="s">
        <v>20</v>
      </c>
      <c r="O19" s="18" t="s">
        <v>20</v>
      </c>
      <c r="P19" s="18" t="s">
        <v>20</v>
      </c>
      <c r="Q19" s="18" t="s">
        <v>20</v>
      </c>
      <c r="R19" s="18" t="s">
        <v>20</v>
      </c>
      <c r="S19" s="18" t="s">
        <v>20</v>
      </c>
      <c r="T19" s="18" t="s">
        <v>20</v>
      </c>
      <c r="U19" s="18" t="s">
        <v>20</v>
      </c>
      <c r="V19" s="37" t="s">
        <v>20</v>
      </c>
      <c r="W19" s="37" t="s">
        <v>20</v>
      </c>
      <c r="X19" s="37" t="s">
        <v>20</v>
      </c>
      <c r="Y19" s="18" t="s">
        <v>20</v>
      </c>
      <c r="Z19" s="18" t="s">
        <v>20</v>
      </c>
      <c r="AA19" s="18" t="s">
        <v>20</v>
      </c>
      <c r="AB19" s="18" t="s">
        <v>20</v>
      </c>
      <c r="AC19" s="18" t="s">
        <v>20</v>
      </c>
      <c r="AD19" s="18" t="s">
        <v>20</v>
      </c>
      <c r="AE19" s="18" t="s">
        <v>21</v>
      </c>
      <c r="AF19">
        <f>+COUNTIF(F19:AE19,"AD")</f>
        <v>1</v>
      </c>
      <c r="AG19">
        <f>+COUNTIF(F19:AE19,"A")</f>
        <v>24</v>
      </c>
      <c r="AH19">
        <f>+COUNTIF(F19:AE19,"b")</f>
        <v>1</v>
      </c>
      <c r="AI19">
        <f>+COUNTIF(F19:AE19,"c")</f>
        <v>0</v>
      </c>
      <c r="AK19">
        <f>+$AF$5*AF19</f>
        <v>4</v>
      </c>
      <c r="AL19">
        <f>+$AG$5*AG19</f>
        <v>72</v>
      </c>
      <c r="AM19">
        <f>+$AH$5*AH19</f>
        <v>2</v>
      </c>
      <c r="AN19">
        <f>+$AI$5*AI19</f>
        <v>0</v>
      </c>
      <c r="AO19">
        <f>+SUM(AK19:AN19)</f>
        <v>78</v>
      </c>
    </row>
    <row r="20" spans="1:41" ht="14.4" x14ac:dyDescent="0.3">
      <c r="A20" s="16"/>
      <c r="B20" s="55">
        <v>11</v>
      </c>
      <c r="C20" s="71" t="s">
        <v>51</v>
      </c>
      <c r="D20" s="55">
        <v>1</v>
      </c>
      <c r="E20" s="55" t="s">
        <v>21</v>
      </c>
      <c r="F20" s="18" t="s">
        <v>39</v>
      </c>
      <c r="G20" s="18" t="s">
        <v>20</v>
      </c>
      <c r="H20" s="18" t="s">
        <v>20</v>
      </c>
      <c r="I20" s="18" t="s">
        <v>20</v>
      </c>
      <c r="J20" s="18" t="s">
        <v>20</v>
      </c>
      <c r="K20" s="18" t="s">
        <v>20</v>
      </c>
      <c r="L20" s="18" t="s">
        <v>20</v>
      </c>
      <c r="M20" s="18" t="s">
        <v>20</v>
      </c>
      <c r="N20" s="18" t="s">
        <v>20</v>
      </c>
      <c r="O20" s="18" t="s">
        <v>20</v>
      </c>
      <c r="P20" s="18" t="s">
        <v>20</v>
      </c>
      <c r="Q20" s="18" t="s">
        <v>20</v>
      </c>
      <c r="R20" s="18" t="s">
        <v>20</v>
      </c>
      <c r="S20" s="18" t="s">
        <v>20</v>
      </c>
      <c r="T20" s="18" t="s">
        <v>20</v>
      </c>
      <c r="U20" s="18" t="s">
        <v>20</v>
      </c>
      <c r="V20" s="18" t="s">
        <v>20</v>
      </c>
      <c r="W20" s="18" t="s">
        <v>20</v>
      </c>
      <c r="X20" s="18" t="s">
        <v>21</v>
      </c>
      <c r="Y20" s="19" t="s">
        <v>20</v>
      </c>
      <c r="Z20" s="18" t="s">
        <v>20</v>
      </c>
      <c r="AA20" s="72" t="s">
        <v>20</v>
      </c>
      <c r="AB20" s="72" t="s">
        <v>20</v>
      </c>
      <c r="AC20" s="18" t="s">
        <v>20</v>
      </c>
      <c r="AD20" s="29" t="s">
        <v>20</v>
      </c>
      <c r="AE20" s="29" t="s">
        <v>21</v>
      </c>
      <c r="AF20">
        <f>+COUNTIF(F20:AE20,"AD")</f>
        <v>1</v>
      </c>
      <c r="AG20">
        <f>+COUNTIF(F20:AE20,"A")</f>
        <v>23</v>
      </c>
      <c r="AH20">
        <f>+COUNTIF(F20:AE20,"b")</f>
        <v>2</v>
      </c>
      <c r="AI20">
        <f>+COUNTIF(F20:AE20,"c")</f>
        <v>0</v>
      </c>
      <c r="AK20">
        <f>+$AF$5*AF20</f>
        <v>4</v>
      </c>
      <c r="AL20">
        <f>+$AG$5*AG20</f>
        <v>69</v>
      </c>
      <c r="AM20">
        <f>+$AH$5*AH20</f>
        <v>4</v>
      </c>
      <c r="AN20">
        <f>+$AI$5*AI20</f>
        <v>0</v>
      </c>
      <c r="AO20">
        <f>+SUM(AK20:AN20)</f>
        <v>77</v>
      </c>
    </row>
    <row r="21" spans="1:41" ht="14.4" x14ac:dyDescent="0.3">
      <c r="A21" s="16"/>
      <c r="B21" s="55">
        <v>23</v>
      </c>
      <c r="C21" s="71" t="s">
        <v>84</v>
      </c>
      <c r="D21" s="55">
        <v>2</v>
      </c>
      <c r="E21" s="55" t="s">
        <v>20</v>
      </c>
      <c r="F21" s="18" t="s">
        <v>20</v>
      </c>
      <c r="G21" s="18" t="s">
        <v>20</v>
      </c>
      <c r="H21" s="18" t="s">
        <v>20</v>
      </c>
      <c r="I21" s="18" t="s">
        <v>20</v>
      </c>
      <c r="J21" s="18" t="s">
        <v>20</v>
      </c>
      <c r="K21" s="18" t="s">
        <v>20</v>
      </c>
      <c r="L21" s="18" t="s">
        <v>20</v>
      </c>
      <c r="M21" s="18" t="s">
        <v>20</v>
      </c>
      <c r="N21" s="18" t="s">
        <v>20</v>
      </c>
      <c r="O21" s="18" t="s">
        <v>20</v>
      </c>
      <c r="P21" s="18" t="s">
        <v>20</v>
      </c>
      <c r="Q21" s="18" t="s">
        <v>20</v>
      </c>
      <c r="R21" s="18" t="s">
        <v>20</v>
      </c>
      <c r="S21" s="18" t="s">
        <v>20</v>
      </c>
      <c r="T21" s="18" t="s">
        <v>20</v>
      </c>
      <c r="U21" s="18" t="s">
        <v>20</v>
      </c>
      <c r="V21" s="37" t="s">
        <v>20</v>
      </c>
      <c r="W21" s="37" t="s">
        <v>20</v>
      </c>
      <c r="X21" s="37" t="s">
        <v>20</v>
      </c>
      <c r="Y21" s="18" t="s">
        <v>20</v>
      </c>
      <c r="Z21" s="18" t="s">
        <v>20</v>
      </c>
      <c r="AA21" s="18" t="s">
        <v>20</v>
      </c>
      <c r="AB21" s="18" t="s">
        <v>20</v>
      </c>
      <c r="AC21" s="18" t="s">
        <v>20</v>
      </c>
      <c r="AD21" s="29" t="s">
        <v>20</v>
      </c>
      <c r="AE21" s="29" t="s">
        <v>21</v>
      </c>
      <c r="AF21">
        <f>+COUNTIF(F21:AE21,"AD")</f>
        <v>0</v>
      </c>
      <c r="AG21">
        <f>+COUNTIF(F21:AE21,"A")</f>
        <v>25</v>
      </c>
      <c r="AH21">
        <f>+COUNTIF(F21:AE21,"b")</f>
        <v>1</v>
      </c>
      <c r="AI21">
        <f>+COUNTIF(F21:AE21,"c")</f>
        <v>0</v>
      </c>
      <c r="AK21">
        <f>+$AF$5*AF21</f>
        <v>0</v>
      </c>
      <c r="AL21">
        <f>+$AG$5*AG21</f>
        <v>75</v>
      </c>
      <c r="AM21">
        <f>+$AH$5*AH21</f>
        <v>2</v>
      </c>
      <c r="AN21">
        <f>+$AI$5*AI21</f>
        <v>0</v>
      </c>
      <c r="AO21">
        <f>+SUM(AK21:AN21)</f>
        <v>77</v>
      </c>
    </row>
    <row r="22" spans="1:41" ht="15.75" customHeight="1" x14ac:dyDescent="0.3">
      <c r="A22" s="16"/>
      <c r="B22" s="55">
        <v>16</v>
      </c>
      <c r="C22" s="71" t="s">
        <v>124</v>
      </c>
      <c r="D22" s="55">
        <v>3</v>
      </c>
      <c r="E22" s="55" t="s">
        <v>20</v>
      </c>
      <c r="F22" s="18" t="s">
        <v>20</v>
      </c>
      <c r="G22" s="18" t="s">
        <v>20</v>
      </c>
      <c r="H22" s="18" t="s">
        <v>20</v>
      </c>
      <c r="I22" s="18" t="s">
        <v>20</v>
      </c>
      <c r="J22" s="69" t="s">
        <v>20</v>
      </c>
      <c r="K22" s="69" t="s">
        <v>20</v>
      </c>
      <c r="L22" s="69" t="s">
        <v>20</v>
      </c>
      <c r="M22" s="18" t="s">
        <v>20</v>
      </c>
      <c r="N22" s="18" t="s">
        <v>20</v>
      </c>
      <c r="O22" s="18" t="s">
        <v>20</v>
      </c>
      <c r="P22" s="18" t="s">
        <v>20</v>
      </c>
      <c r="Q22" s="18" t="s">
        <v>20</v>
      </c>
      <c r="R22" s="18" t="s">
        <v>20</v>
      </c>
      <c r="S22" s="18" t="s">
        <v>20</v>
      </c>
      <c r="T22" s="18" t="s">
        <v>20</v>
      </c>
      <c r="U22" s="18" t="s">
        <v>20</v>
      </c>
      <c r="V22" s="37" t="s">
        <v>20</v>
      </c>
      <c r="W22" s="37" t="s">
        <v>20</v>
      </c>
      <c r="X22" s="37" t="s">
        <v>20</v>
      </c>
      <c r="Y22" s="18" t="s">
        <v>20</v>
      </c>
      <c r="Z22" s="18" t="s">
        <v>20</v>
      </c>
      <c r="AA22" s="18" t="s">
        <v>20</v>
      </c>
      <c r="AB22" s="18" t="s">
        <v>20</v>
      </c>
      <c r="AC22" s="18" t="s">
        <v>20</v>
      </c>
      <c r="AD22" s="37" t="s">
        <v>20</v>
      </c>
      <c r="AE22" s="37" t="s">
        <v>21</v>
      </c>
      <c r="AF22">
        <f>+COUNTIF(F22:AE22,"AD")</f>
        <v>0</v>
      </c>
      <c r="AG22">
        <f>+COUNTIF(F22:AE22,"A")</f>
        <v>25</v>
      </c>
      <c r="AH22">
        <f>+COUNTIF(F22:AE22,"b")</f>
        <v>1</v>
      </c>
      <c r="AI22">
        <f>+COUNTIF(F22:AE22,"c")</f>
        <v>0</v>
      </c>
      <c r="AK22">
        <f>+$AF$5*AF22</f>
        <v>0</v>
      </c>
      <c r="AL22">
        <f>+$AG$5*AG22</f>
        <v>75</v>
      </c>
      <c r="AM22">
        <f>+$AH$5*AH22</f>
        <v>2</v>
      </c>
      <c r="AN22">
        <f>+$AI$5*AI22</f>
        <v>0</v>
      </c>
      <c r="AO22">
        <f>+SUM(AK22:AN22)</f>
        <v>77</v>
      </c>
    </row>
    <row r="23" spans="1:41" ht="15.75" customHeight="1" x14ac:dyDescent="0.3">
      <c r="A23" s="16"/>
      <c r="B23" s="55">
        <v>18</v>
      </c>
      <c r="C23" s="71" t="s">
        <v>126</v>
      </c>
      <c r="D23" s="55">
        <v>3</v>
      </c>
      <c r="E23" s="55" t="s">
        <v>20</v>
      </c>
      <c r="F23" s="18" t="s">
        <v>39</v>
      </c>
      <c r="G23" s="18" t="s">
        <v>20</v>
      </c>
      <c r="H23" s="18" t="s">
        <v>20</v>
      </c>
      <c r="I23" s="18" t="s">
        <v>20</v>
      </c>
      <c r="J23" s="69" t="s">
        <v>20</v>
      </c>
      <c r="K23" s="69" t="s">
        <v>20</v>
      </c>
      <c r="L23" s="69" t="s">
        <v>20</v>
      </c>
      <c r="M23" s="18" t="s">
        <v>20</v>
      </c>
      <c r="N23" s="18" t="s">
        <v>20</v>
      </c>
      <c r="O23" s="18" t="s">
        <v>20</v>
      </c>
      <c r="P23" s="18" t="s">
        <v>20</v>
      </c>
      <c r="Q23" s="18" t="s">
        <v>20</v>
      </c>
      <c r="R23" s="18" t="s">
        <v>20</v>
      </c>
      <c r="S23" s="18" t="s">
        <v>20</v>
      </c>
      <c r="T23" s="18" t="s">
        <v>20</v>
      </c>
      <c r="U23" s="18" t="s">
        <v>20</v>
      </c>
      <c r="V23" s="37" t="s">
        <v>20</v>
      </c>
      <c r="W23" s="37" t="s">
        <v>20</v>
      </c>
      <c r="X23" s="37" t="s">
        <v>20</v>
      </c>
      <c r="Y23" s="18" t="s">
        <v>21</v>
      </c>
      <c r="Z23" s="18" t="s">
        <v>20</v>
      </c>
      <c r="AA23" s="18" t="s">
        <v>20</v>
      </c>
      <c r="AB23" s="18" t="s">
        <v>20</v>
      </c>
      <c r="AC23" s="18" t="s">
        <v>20</v>
      </c>
      <c r="AD23" s="37" t="s">
        <v>20</v>
      </c>
      <c r="AE23" s="37" t="s">
        <v>21</v>
      </c>
      <c r="AF23">
        <f>+COUNTIF(F23:AE23,"AD")</f>
        <v>1</v>
      </c>
      <c r="AG23">
        <f>+COUNTIF(F23:AE23,"A")</f>
        <v>23</v>
      </c>
      <c r="AH23">
        <f>+COUNTIF(F23:AE23,"b")</f>
        <v>2</v>
      </c>
      <c r="AI23">
        <f>+COUNTIF(F23:AE23,"c")</f>
        <v>0</v>
      </c>
      <c r="AK23">
        <f>+$AF$5*AF23</f>
        <v>4</v>
      </c>
      <c r="AL23">
        <f>+$AG$5*AG23</f>
        <v>69</v>
      </c>
      <c r="AM23">
        <f>+$AH$5*AH23</f>
        <v>4</v>
      </c>
      <c r="AN23">
        <f>+$AI$5*AI23</f>
        <v>0</v>
      </c>
      <c r="AO23">
        <f>+SUM(AK23:AN23)</f>
        <v>77</v>
      </c>
    </row>
    <row r="24" spans="1:41" ht="15.75" customHeight="1" x14ac:dyDescent="0.3">
      <c r="A24" s="16"/>
      <c r="B24" s="55">
        <v>10</v>
      </c>
      <c r="C24" s="71" t="s">
        <v>137</v>
      </c>
      <c r="D24" s="55">
        <v>3</v>
      </c>
      <c r="E24" s="55" t="s">
        <v>21</v>
      </c>
      <c r="F24" s="18" t="s">
        <v>39</v>
      </c>
      <c r="G24" s="18" t="s">
        <v>20</v>
      </c>
      <c r="H24" s="18" t="s">
        <v>20</v>
      </c>
      <c r="I24" s="18" t="s">
        <v>20</v>
      </c>
      <c r="J24" s="18" t="s">
        <v>20</v>
      </c>
      <c r="K24" s="18" t="s">
        <v>39</v>
      </c>
      <c r="L24" s="18" t="s">
        <v>20</v>
      </c>
      <c r="M24" s="18" t="s">
        <v>20</v>
      </c>
      <c r="N24" s="18" t="s">
        <v>20</v>
      </c>
      <c r="O24" s="18" t="s">
        <v>20</v>
      </c>
      <c r="P24" s="18" t="s">
        <v>21</v>
      </c>
      <c r="Q24" s="18" t="s">
        <v>20</v>
      </c>
      <c r="R24" s="18" t="s">
        <v>20</v>
      </c>
      <c r="S24" s="18" t="s">
        <v>20</v>
      </c>
      <c r="T24" s="18" t="s">
        <v>20</v>
      </c>
      <c r="U24" s="18" t="s">
        <v>20</v>
      </c>
      <c r="V24" s="37" t="s">
        <v>21</v>
      </c>
      <c r="W24" s="37" t="s">
        <v>20</v>
      </c>
      <c r="X24" s="37" t="s">
        <v>20</v>
      </c>
      <c r="Y24" s="18" t="s">
        <v>20</v>
      </c>
      <c r="Z24" s="18" t="s">
        <v>20</v>
      </c>
      <c r="AA24" s="18" t="s">
        <v>20</v>
      </c>
      <c r="AB24" s="18" t="s">
        <v>20</v>
      </c>
      <c r="AC24" s="18" t="s">
        <v>20</v>
      </c>
      <c r="AD24" s="29" t="s">
        <v>20</v>
      </c>
      <c r="AE24" s="29" t="s">
        <v>21</v>
      </c>
      <c r="AF24">
        <f>+COUNTIF(F24:AE24,"AD")</f>
        <v>2</v>
      </c>
      <c r="AG24">
        <f>+COUNTIF(F24:AE24,"A")</f>
        <v>21</v>
      </c>
      <c r="AH24">
        <f>+COUNTIF(F24:AE24,"b")</f>
        <v>3</v>
      </c>
      <c r="AI24">
        <f>+COUNTIF(F24:AE24,"c")</f>
        <v>0</v>
      </c>
      <c r="AK24">
        <f>+$AF$5*AF24</f>
        <v>8</v>
      </c>
      <c r="AL24">
        <f>+$AG$5*AG24</f>
        <v>63</v>
      </c>
      <c r="AM24">
        <f>+$AH$5*AH24</f>
        <v>6</v>
      </c>
      <c r="AN24">
        <f>+$AI$5*AI24</f>
        <v>0</v>
      </c>
      <c r="AO24">
        <f>+SUM(AK24:AN24)</f>
        <v>77</v>
      </c>
    </row>
    <row r="25" spans="1:41" ht="15.75" customHeight="1" x14ac:dyDescent="0.3">
      <c r="A25" s="16"/>
      <c r="B25" s="55">
        <v>8</v>
      </c>
      <c r="C25" s="71" t="s">
        <v>156</v>
      </c>
      <c r="D25" s="55">
        <v>4</v>
      </c>
      <c r="E25" s="55" t="s">
        <v>20</v>
      </c>
      <c r="F25" s="18" t="s">
        <v>20</v>
      </c>
      <c r="G25" s="18" t="s">
        <v>20</v>
      </c>
      <c r="H25" s="18" t="s">
        <v>20</v>
      </c>
      <c r="I25" s="18" t="s">
        <v>20</v>
      </c>
      <c r="J25" s="69" t="s">
        <v>39</v>
      </c>
      <c r="K25" s="69" t="s">
        <v>20</v>
      </c>
      <c r="L25" s="69" t="s">
        <v>20</v>
      </c>
      <c r="M25" s="18" t="s">
        <v>20</v>
      </c>
      <c r="N25" s="18" t="s">
        <v>20</v>
      </c>
      <c r="O25" s="18" t="s">
        <v>20</v>
      </c>
      <c r="P25" s="18" t="s">
        <v>20</v>
      </c>
      <c r="Q25" s="18" t="s">
        <v>20</v>
      </c>
      <c r="R25" s="18" t="s">
        <v>20</v>
      </c>
      <c r="S25" s="18" t="s">
        <v>20</v>
      </c>
      <c r="T25" s="18" t="s">
        <v>20</v>
      </c>
      <c r="U25" s="18" t="s">
        <v>21</v>
      </c>
      <c r="V25" s="37" t="s">
        <v>20</v>
      </c>
      <c r="W25" s="37" t="s">
        <v>20</v>
      </c>
      <c r="X25" s="37" t="s">
        <v>20</v>
      </c>
      <c r="Y25" s="18" t="s">
        <v>20</v>
      </c>
      <c r="Z25" s="18" t="s">
        <v>20</v>
      </c>
      <c r="AA25" s="18" t="s">
        <v>20</v>
      </c>
      <c r="AB25" s="18" t="s">
        <v>20</v>
      </c>
      <c r="AC25" s="18" t="s">
        <v>20</v>
      </c>
      <c r="AD25" s="29" t="s">
        <v>20</v>
      </c>
      <c r="AE25" s="29" t="s">
        <v>21</v>
      </c>
      <c r="AF25">
        <f>+COUNTIF(F25:AE25,"AD")</f>
        <v>1</v>
      </c>
      <c r="AG25">
        <f>+COUNTIF(F25:AE25,"A")</f>
        <v>23</v>
      </c>
      <c r="AH25">
        <f>+COUNTIF(F25:AE25,"b")</f>
        <v>2</v>
      </c>
      <c r="AI25">
        <f>+COUNTIF(F25:AE25,"c")</f>
        <v>0</v>
      </c>
      <c r="AK25">
        <f>+$AF$5*AF25</f>
        <v>4</v>
      </c>
      <c r="AL25">
        <f>+$AG$5*AG25</f>
        <v>69</v>
      </c>
      <c r="AM25">
        <f>+$AH$5*AH25</f>
        <v>4</v>
      </c>
      <c r="AN25">
        <f>+$AI$5*AI25</f>
        <v>0</v>
      </c>
      <c r="AO25">
        <f>+SUM(AK25:AN25)</f>
        <v>77</v>
      </c>
    </row>
    <row r="26" spans="1:41" ht="15.75" customHeight="1" x14ac:dyDescent="0.3">
      <c r="A26" s="16"/>
      <c r="B26" s="55">
        <v>15</v>
      </c>
      <c r="C26" s="71" t="s">
        <v>186</v>
      </c>
      <c r="D26" s="55">
        <v>4</v>
      </c>
      <c r="E26" s="55" t="s">
        <v>21</v>
      </c>
      <c r="F26" s="18" t="s">
        <v>20</v>
      </c>
      <c r="G26" s="18" t="s">
        <v>20</v>
      </c>
      <c r="H26" s="18" t="s">
        <v>20</v>
      </c>
      <c r="I26" s="18" t="s">
        <v>20</v>
      </c>
      <c r="J26" s="69" t="s">
        <v>20</v>
      </c>
      <c r="K26" s="69" t="s">
        <v>20</v>
      </c>
      <c r="L26" s="69" t="s">
        <v>20</v>
      </c>
      <c r="M26" s="18" t="s">
        <v>20</v>
      </c>
      <c r="N26" s="18" t="s">
        <v>20</v>
      </c>
      <c r="O26" s="18" t="s">
        <v>20</v>
      </c>
      <c r="P26" s="18" t="s">
        <v>20</v>
      </c>
      <c r="Q26" s="18" t="s">
        <v>20</v>
      </c>
      <c r="R26" s="18" t="s">
        <v>20</v>
      </c>
      <c r="S26" s="18" t="s">
        <v>20</v>
      </c>
      <c r="T26" s="18" t="s">
        <v>20</v>
      </c>
      <c r="U26" s="18" t="s">
        <v>20</v>
      </c>
      <c r="V26" s="49" t="s">
        <v>20</v>
      </c>
      <c r="W26" s="37" t="s">
        <v>20</v>
      </c>
      <c r="X26" s="37" t="s">
        <v>20</v>
      </c>
      <c r="Y26" s="18" t="s">
        <v>20</v>
      </c>
      <c r="Z26" s="18" t="s">
        <v>20</v>
      </c>
      <c r="AA26" s="18" t="s">
        <v>20</v>
      </c>
      <c r="AB26" s="18" t="s">
        <v>20</v>
      </c>
      <c r="AC26" s="18" t="s">
        <v>20</v>
      </c>
      <c r="AD26" s="29" t="s">
        <v>20</v>
      </c>
      <c r="AE26" s="29" t="s">
        <v>21</v>
      </c>
      <c r="AF26">
        <f>+COUNTIF(F26:AE26,"AD")</f>
        <v>0</v>
      </c>
      <c r="AG26">
        <f>+COUNTIF(F26:AE26,"A")</f>
        <v>25</v>
      </c>
      <c r="AH26">
        <f>+COUNTIF(F26:AE26,"b")</f>
        <v>1</v>
      </c>
      <c r="AI26">
        <f>+COUNTIF(F26:AE26,"c")</f>
        <v>0</v>
      </c>
      <c r="AK26">
        <f>+$AF$5*AF26</f>
        <v>0</v>
      </c>
      <c r="AL26">
        <f>+$AG$5*AG26</f>
        <v>75</v>
      </c>
      <c r="AM26">
        <f>+$AH$5*AH26</f>
        <v>2</v>
      </c>
      <c r="AN26">
        <f>+$AI$5*AI26</f>
        <v>0</v>
      </c>
      <c r="AO26">
        <f>+SUM(AK26:AN26)</f>
        <v>77</v>
      </c>
    </row>
    <row r="27" spans="1:41" ht="15.75" customHeight="1" x14ac:dyDescent="0.3">
      <c r="A27" s="16"/>
      <c r="B27" s="55">
        <v>14</v>
      </c>
      <c r="C27" s="71" t="s">
        <v>210</v>
      </c>
      <c r="D27" s="55">
        <v>5</v>
      </c>
      <c r="E27" s="55" t="s">
        <v>20</v>
      </c>
      <c r="F27" s="18" t="s">
        <v>20</v>
      </c>
      <c r="G27" s="18" t="s">
        <v>20</v>
      </c>
      <c r="H27" s="18" t="s">
        <v>39</v>
      </c>
      <c r="I27" s="18" t="s">
        <v>20</v>
      </c>
      <c r="J27" s="69" t="s">
        <v>20</v>
      </c>
      <c r="K27" s="69" t="s">
        <v>39</v>
      </c>
      <c r="L27" s="69" t="s">
        <v>20</v>
      </c>
      <c r="M27" s="18" t="s">
        <v>21</v>
      </c>
      <c r="N27" s="18" t="s">
        <v>20</v>
      </c>
      <c r="O27" s="18" t="s">
        <v>20</v>
      </c>
      <c r="P27" s="18" t="s">
        <v>20</v>
      </c>
      <c r="Q27" s="18" t="s">
        <v>20</v>
      </c>
      <c r="R27" s="18" t="s">
        <v>20</v>
      </c>
      <c r="S27" s="18" t="s">
        <v>20</v>
      </c>
      <c r="T27" s="18" t="s">
        <v>21</v>
      </c>
      <c r="U27" s="18" t="s">
        <v>20</v>
      </c>
      <c r="V27" s="37" t="s">
        <v>20</v>
      </c>
      <c r="W27" s="37" t="s">
        <v>20</v>
      </c>
      <c r="X27" s="37" t="s">
        <v>20</v>
      </c>
      <c r="Y27" s="18" t="s">
        <v>20</v>
      </c>
      <c r="Z27" s="18" t="s">
        <v>39</v>
      </c>
      <c r="AA27" s="18" t="s">
        <v>21</v>
      </c>
      <c r="AB27" s="18" t="s">
        <v>20</v>
      </c>
      <c r="AC27" s="18" t="s">
        <v>20</v>
      </c>
      <c r="AD27" s="18" t="s">
        <v>20</v>
      </c>
      <c r="AE27" s="18" t="s">
        <v>21</v>
      </c>
      <c r="AF27">
        <f>+COUNTIF(F27:AE27,"AD")</f>
        <v>3</v>
      </c>
      <c r="AG27">
        <f>+COUNTIF(F27:AE27,"A")</f>
        <v>19</v>
      </c>
      <c r="AH27">
        <f>+COUNTIF(F27:AE27,"b")</f>
        <v>4</v>
      </c>
      <c r="AI27">
        <f>+COUNTIF(F27:AE27,"c")</f>
        <v>0</v>
      </c>
      <c r="AK27">
        <f>+$AF$5*AF27</f>
        <v>12</v>
      </c>
      <c r="AL27">
        <f>+$AG$5*AG27</f>
        <v>57</v>
      </c>
      <c r="AM27">
        <f>+$AH$5*AH27</f>
        <v>8</v>
      </c>
      <c r="AN27">
        <f>+$AI$5*AI27</f>
        <v>0</v>
      </c>
      <c r="AO27">
        <f>+SUM(AK27:AN27)</f>
        <v>77</v>
      </c>
    </row>
    <row r="28" spans="1:41" ht="15.75" customHeight="1" x14ac:dyDescent="0.3">
      <c r="A28" s="16"/>
      <c r="B28" s="55">
        <v>19</v>
      </c>
      <c r="C28" s="71" t="s">
        <v>243</v>
      </c>
      <c r="D28" s="55">
        <v>5</v>
      </c>
      <c r="E28" s="55" t="s">
        <v>21</v>
      </c>
      <c r="F28" s="18" t="s">
        <v>20</v>
      </c>
      <c r="G28" s="18" t="s">
        <v>20</v>
      </c>
      <c r="H28" s="18" t="s">
        <v>20</v>
      </c>
      <c r="I28" s="18" t="s">
        <v>20</v>
      </c>
      <c r="J28" s="18" t="s">
        <v>20</v>
      </c>
      <c r="K28" s="18" t="s">
        <v>20</v>
      </c>
      <c r="L28" s="18" t="s">
        <v>20</v>
      </c>
      <c r="M28" s="18" t="s">
        <v>20</v>
      </c>
      <c r="N28" s="18" t="s">
        <v>20</v>
      </c>
      <c r="O28" s="18" t="s">
        <v>20</v>
      </c>
      <c r="P28" s="18" t="s">
        <v>20</v>
      </c>
      <c r="Q28" s="18" t="s">
        <v>20</v>
      </c>
      <c r="R28" s="18" t="s">
        <v>20</v>
      </c>
      <c r="S28" s="18" t="s">
        <v>20</v>
      </c>
      <c r="T28" s="18" t="s">
        <v>20</v>
      </c>
      <c r="U28" s="18" t="s">
        <v>20</v>
      </c>
      <c r="V28" s="37" t="s">
        <v>20</v>
      </c>
      <c r="W28" s="37" t="s">
        <v>20</v>
      </c>
      <c r="X28" s="37" t="s">
        <v>20</v>
      </c>
      <c r="Y28" s="18" t="s">
        <v>20</v>
      </c>
      <c r="Z28" s="18" t="s">
        <v>20</v>
      </c>
      <c r="AA28" s="18" t="s">
        <v>20</v>
      </c>
      <c r="AB28" s="18" t="s">
        <v>20</v>
      </c>
      <c r="AC28" s="18" t="s">
        <v>20</v>
      </c>
      <c r="AD28" s="29" t="s">
        <v>20</v>
      </c>
      <c r="AE28" s="29" t="s">
        <v>21</v>
      </c>
      <c r="AF28">
        <f>+COUNTIF(F28:AE28,"AD")</f>
        <v>0</v>
      </c>
      <c r="AG28">
        <f>+COUNTIF(F28:AE28,"A")</f>
        <v>25</v>
      </c>
      <c r="AH28">
        <f>+COUNTIF(F28:AE28,"b")</f>
        <v>1</v>
      </c>
      <c r="AI28">
        <f>+COUNTIF(F28:AE28,"c")</f>
        <v>0</v>
      </c>
      <c r="AK28">
        <f>+$AF$5*AF28</f>
        <v>0</v>
      </c>
      <c r="AL28">
        <f>+$AG$5*AG28</f>
        <v>75</v>
      </c>
      <c r="AM28">
        <f>+$AH$5*AH28</f>
        <v>2</v>
      </c>
      <c r="AN28">
        <f>+$AI$5*AI28</f>
        <v>0</v>
      </c>
      <c r="AO28">
        <f>+SUM(AK28:AN28)</f>
        <v>77</v>
      </c>
    </row>
    <row r="29" spans="1:41" ht="15.75" customHeight="1" x14ac:dyDescent="0.3">
      <c r="A29" s="16"/>
      <c r="B29" s="55">
        <v>26</v>
      </c>
      <c r="C29" s="71" t="s">
        <v>250</v>
      </c>
      <c r="D29" s="55">
        <v>5</v>
      </c>
      <c r="E29" s="55" t="s">
        <v>21</v>
      </c>
      <c r="F29" s="18" t="s">
        <v>39</v>
      </c>
      <c r="G29" s="18" t="s">
        <v>20</v>
      </c>
      <c r="H29" s="17" t="s">
        <v>20</v>
      </c>
      <c r="I29" s="18" t="s">
        <v>20</v>
      </c>
      <c r="J29" s="18" t="s">
        <v>20</v>
      </c>
      <c r="K29" s="18" t="s">
        <v>20</v>
      </c>
      <c r="L29" s="18" t="s">
        <v>20</v>
      </c>
      <c r="M29" s="18" t="s">
        <v>20</v>
      </c>
      <c r="N29" s="18" t="s">
        <v>20</v>
      </c>
      <c r="O29" s="18" t="s">
        <v>20</v>
      </c>
      <c r="P29" s="18" t="s">
        <v>21</v>
      </c>
      <c r="Q29" s="18" t="s">
        <v>20</v>
      </c>
      <c r="R29" s="18" t="s">
        <v>20</v>
      </c>
      <c r="S29" s="18" t="s">
        <v>20</v>
      </c>
      <c r="T29" s="18" t="s">
        <v>20</v>
      </c>
      <c r="U29" s="18" t="s">
        <v>20</v>
      </c>
      <c r="V29" s="37" t="s">
        <v>20</v>
      </c>
      <c r="W29" s="37" t="s">
        <v>20</v>
      </c>
      <c r="X29" s="37" t="s">
        <v>20</v>
      </c>
      <c r="Y29" s="18" t="s">
        <v>20</v>
      </c>
      <c r="Z29" s="18" t="s">
        <v>20</v>
      </c>
      <c r="AA29" s="18" t="s">
        <v>20</v>
      </c>
      <c r="AB29" s="18" t="s">
        <v>20</v>
      </c>
      <c r="AC29" s="18" t="s">
        <v>20</v>
      </c>
      <c r="AD29" s="29" t="s">
        <v>20</v>
      </c>
      <c r="AE29" s="29" t="s">
        <v>21</v>
      </c>
      <c r="AF29">
        <f>+COUNTIF(F29:AE29,"AD")</f>
        <v>1</v>
      </c>
      <c r="AG29">
        <f>+COUNTIF(F29:AE29,"A")</f>
        <v>23</v>
      </c>
      <c r="AH29">
        <f>+COUNTIF(F29:AE29,"b")</f>
        <v>2</v>
      </c>
      <c r="AI29">
        <f>+COUNTIF(F29:AE29,"c")</f>
        <v>0</v>
      </c>
      <c r="AK29">
        <f>+$AF$5*AF29</f>
        <v>4</v>
      </c>
      <c r="AL29">
        <f>+$AG$5*AG29</f>
        <v>69</v>
      </c>
      <c r="AM29">
        <f>+$AH$5*AH29</f>
        <v>4</v>
      </c>
      <c r="AN29">
        <f>+$AI$5*AI29</f>
        <v>0</v>
      </c>
      <c r="AO29">
        <f>+SUM(AK29:AN29)</f>
        <v>77</v>
      </c>
    </row>
    <row r="30" spans="1:41" ht="15.75" customHeight="1" x14ac:dyDescent="0.3">
      <c r="A30" s="16"/>
      <c r="B30" s="55">
        <v>6</v>
      </c>
      <c r="C30" s="71" t="s">
        <v>67</v>
      </c>
      <c r="D30" s="55">
        <v>2</v>
      </c>
      <c r="E30" s="55" t="s">
        <v>20</v>
      </c>
      <c r="F30" s="18" t="s">
        <v>20</v>
      </c>
      <c r="G30" s="18" t="s">
        <v>21</v>
      </c>
      <c r="H30" s="18" t="s">
        <v>20</v>
      </c>
      <c r="I30" s="18" t="s">
        <v>20</v>
      </c>
      <c r="J30" s="18" t="s">
        <v>20</v>
      </c>
      <c r="K30" s="18" t="s">
        <v>20</v>
      </c>
      <c r="L30" s="18" t="s">
        <v>20</v>
      </c>
      <c r="M30" s="18" t="s">
        <v>20</v>
      </c>
      <c r="N30" s="18" t="s">
        <v>20</v>
      </c>
      <c r="O30" s="18" t="s">
        <v>20</v>
      </c>
      <c r="P30" s="18" t="s">
        <v>20</v>
      </c>
      <c r="Q30" s="18" t="s">
        <v>20</v>
      </c>
      <c r="R30" s="18" t="s">
        <v>20</v>
      </c>
      <c r="S30" s="18" t="s">
        <v>20</v>
      </c>
      <c r="T30" s="18" t="s">
        <v>20</v>
      </c>
      <c r="U30" s="18" t="s">
        <v>20</v>
      </c>
      <c r="V30" s="37" t="s">
        <v>20</v>
      </c>
      <c r="W30" s="37" t="s">
        <v>20</v>
      </c>
      <c r="X30" s="37" t="s">
        <v>20</v>
      </c>
      <c r="Y30" s="18" t="s">
        <v>20</v>
      </c>
      <c r="Z30" s="18" t="s">
        <v>20</v>
      </c>
      <c r="AA30" s="18" t="s">
        <v>20</v>
      </c>
      <c r="AB30" s="18" t="s">
        <v>20</v>
      </c>
      <c r="AC30" s="18" t="s">
        <v>20</v>
      </c>
      <c r="AD30" s="29" t="s">
        <v>20</v>
      </c>
      <c r="AE30" s="29" t="s">
        <v>21</v>
      </c>
      <c r="AF30">
        <f>+COUNTIF(F30:AE30,"AD")</f>
        <v>0</v>
      </c>
      <c r="AG30">
        <f>+COUNTIF(F30:AE30,"A")</f>
        <v>24</v>
      </c>
      <c r="AH30">
        <f>+COUNTIF(F30:AE30,"b")</f>
        <v>2</v>
      </c>
      <c r="AI30">
        <f>+COUNTIF(F30:AE30,"c")</f>
        <v>0</v>
      </c>
      <c r="AK30">
        <f>+$AF$5*AF30</f>
        <v>0</v>
      </c>
      <c r="AL30">
        <f>+$AG$5*AG30</f>
        <v>72</v>
      </c>
      <c r="AM30">
        <f>+$AH$5*AH30</f>
        <v>4</v>
      </c>
      <c r="AN30">
        <f>+$AI$5*AI30</f>
        <v>0</v>
      </c>
      <c r="AO30">
        <f>+SUM(AK30:AN30)</f>
        <v>76</v>
      </c>
    </row>
    <row r="31" spans="1:41" ht="15.75" customHeight="1" x14ac:dyDescent="0.3">
      <c r="A31" s="16"/>
      <c r="B31" s="55">
        <v>25</v>
      </c>
      <c r="C31" s="71" t="s">
        <v>196</v>
      </c>
      <c r="D31" s="55">
        <v>4</v>
      </c>
      <c r="E31" s="55" t="s">
        <v>21</v>
      </c>
      <c r="F31" s="18" t="s">
        <v>20</v>
      </c>
      <c r="G31" s="18" t="s">
        <v>20</v>
      </c>
      <c r="H31" s="18" t="s">
        <v>20</v>
      </c>
      <c r="I31" s="18" t="s">
        <v>20</v>
      </c>
      <c r="J31" s="69" t="s">
        <v>20</v>
      </c>
      <c r="K31" s="69" t="s">
        <v>39</v>
      </c>
      <c r="L31" s="69" t="s">
        <v>20</v>
      </c>
      <c r="M31" s="18" t="s">
        <v>20</v>
      </c>
      <c r="N31" s="18" t="s">
        <v>20</v>
      </c>
      <c r="O31" s="18" t="s">
        <v>20</v>
      </c>
      <c r="P31" s="18" t="s">
        <v>20</v>
      </c>
      <c r="Q31" s="18" t="s">
        <v>20</v>
      </c>
      <c r="R31" s="18" t="s">
        <v>20</v>
      </c>
      <c r="S31" s="18" t="s">
        <v>20</v>
      </c>
      <c r="T31" s="17" t="s">
        <v>20</v>
      </c>
      <c r="U31" s="18" t="s">
        <v>20</v>
      </c>
      <c r="V31" s="49" t="s">
        <v>20</v>
      </c>
      <c r="W31" s="37" t="s">
        <v>20</v>
      </c>
      <c r="X31" s="37" t="s">
        <v>20</v>
      </c>
      <c r="Y31" s="18" t="s">
        <v>20</v>
      </c>
      <c r="Z31" s="18" t="s">
        <v>21</v>
      </c>
      <c r="AA31" s="18" t="s">
        <v>20</v>
      </c>
      <c r="AB31" s="18" t="s">
        <v>21</v>
      </c>
      <c r="AC31" s="18" t="s">
        <v>20</v>
      </c>
      <c r="AD31" s="29" t="s">
        <v>20</v>
      </c>
      <c r="AE31" s="29" t="s">
        <v>21</v>
      </c>
      <c r="AF31">
        <f>+COUNTIF(F31:AE31,"AD")</f>
        <v>1</v>
      </c>
      <c r="AG31">
        <f>+COUNTIF(F31:AE31,"A")</f>
        <v>22</v>
      </c>
      <c r="AH31">
        <f>+COUNTIF(F31:AE31,"b")</f>
        <v>3</v>
      </c>
      <c r="AI31">
        <f>+COUNTIF(F31:AE31,"c")</f>
        <v>0</v>
      </c>
      <c r="AK31">
        <f>+$AF$5*AF31</f>
        <v>4</v>
      </c>
      <c r="AL31">
        <f>+$AG$5*AG31</f>
        <v>66</v>
      </c>
      <c r="AM31">
        <f>+$AH$5*AH31</f>
        <v>6</v>
      </c>
      <c r="AN31">
        <f>+$AI$5*AI31</f>
        <v>0</v>
      </c>
      <c r="AO31">
        <f>+SUM(AK31:AN31)</f>
        <v>76</v>
      </c>
    </row>
    <row r="32" spans="1:41" ht="15.75" customHeight="1" x14ac:dyDescent="0.3">
      <c r="A32" s="16"/>
      <c r="B32" s="55">
        <v>13</v>
      </c>
      <c r="C32" s="71" t="s">
        <v>209</v>
      </c>
      <c r="D32" s="55">
        <v>5</v>
      </c>
      <c r="E32" s="55" t="s">
        <v>20</v>
      </c>
      <c r="F32" s="18" t="s">
        <v>20</v>
      </c>
      <c r="G32" s="18" t="s">
        <v>20</v>
      </c>
      <c r="H32" s="18" t="s">
        <v>20</v>
      </c>
      <c r="I32" s="18" t="s">
        <v>20</v>
      </c>
      <c r="J32" s="69" t="s">
        <v>20</v>
      </c>
      <c r="K32" s="69" t="s">
        <v>20</v>
      </c>
      <c r="L32" s="69" t="s">
        <v>20</v>
      </c>
      <c r="M32" s="18" t="s">
        <v>20</v>
      </c>
      <c r="N32" s="18" t="s">
        <v>20</v>
      </c>
      <c r="O32" s="18" t="s">
        <v>20</v>
      </c>
      <c r="P32" s="18" t="s">
        <v>21</v>
      </c>
      <c r="Q32" s="18" t="s">
        <v>21</v>
      </c>
      <c r="R32" s="18" t="s">
        <v>20</v>
      </c>
      <c r="S32" s="18" t="s">
        <v>21</v>
      </c>
      <c r="T32" s="18" t="s">
        <v>21</v>
      </c>
      <c r="U32" s="18" t="s">
        <v>20</v>
      </c>
      <c r="V32" s="49" t="s">
        <v>20</v>
      </c>
      <c r="W32" s="37" t="s">
        <v>20</v>
      </c>
      <c r="X32" s="37" t="s">
        <v>20</v>
      </c>
      <c r="Y32" s="18" t="s">
        <v>20</v>
      </c>
      <c r="Z32" s="18" t="s">
        <v>39</v>
      </c>
      <c r="AA32" s="18" t="s">
        <v>39</v>
      </c>
      <c r="AB32" s="18" t="s">
        <v>20</v>
      </c>
      <c r="AC32" s="18" t="s">
        <v>39</v>
      </c>
      <c r="AD32" s="29" t="s">
        <v>20</v>
      </c>
      <c r="AE32" s="29" t="s">
        <v>21</v>
      </c>
      <c r="AF32">
        <f>+COUNTIF(F32:AE32,"AD")</f>
        <v>3</v>
      </c>
      <c r="AG32">
        <f>+COUNTIF(F32:AE32,"A")</f>
        <v>18</v>
      </c>
      <c r="AH32">
        <f>+COUNTIF(F32:AE32,"b")</f>
        <v>5</v>
      </c>
      <c r="AI32">
        <f>+COUNTIF(F32:AE32,"c")</f>
        <v>0</v>
      </c>
      <c r="AK32">
        <f>+$AF$5*AF32</f>
        <v>12</v>
      </c>
      <c r="AL32">
        <f>+$AG$5*AG32</f>
        <v>54</v>
      </c>
      <c r="AM32">
        <f>+$AH$5*AH32</f>
        <v>10</v>
      </c>
      <c r="AN32">
        <f>+$AI$5*AI32</f>
        <v>0</v>
      </c>
      <c r="AO32">
        <f>+SUM(AK32:AN32)</f>
        <v>76</v>
      </c>
    </row>
    <row r="33" spans="1:41" ht="15.75" customHeight="1" x14ac:dyDescent="0.3">
      <c r="A33" s="16"/>
      <c r="B33" s="55">
        <v>20</v>
      </c>
      <c r="C33" s="71" t="s">
        <v>216</v>
      </c>
      <c r="D33" s="55">
        <v>5</v>
      </c>
      <c r="E33" s="55" t="s">
        <v>20</v>
      </c>
      <c r="F33" s="18" t="s">
        <v>39</v>
      </c>
      <c r="G33" s="18" t="s">
        <v>20</v>
      </c>
      <c r="H33" s="18" t="s">
        <v>20</v>
      </c>
      <c r="I33" s="18" t="s">
        <v>39</v>
      </c>
      <c r="J33" s="69" t="s">
        <v>20</v>
      </c>
      <c r="K33" s="69" t="s">
        <v>20</v>
      </c>
      <c r="L33" s="69" t="s">
        <v>20</v>
      </c>
      <c r="M33" s="18" t="s">
        <v>20</v>
      </c>
      <c r="N33" s="18" t="s">
        <v>20</v>
      </c>
      <c r="O33" s="18" t="s">
        <v>20</v>
      </c>
      <c r="P33" s="18" t="s">
        <v>21</v>
      </c>
      <c r="Q33" s="18" t="s">
        <v>20</v>
      </c>
      <c r="R33" s="18" t="s">
        <v>20</v>
      </c>
      <c r="S33" s="18" t="s">
        <v>21</v>
      </c>
      <c r="T33" s="18" t="s">
        <v>21</v>
      </c>
      <c r="U33" s="18" t="s">
        <v>20</v>
      </c>
      <c r="V33" s="37" t="s">
        <v>20</v>
      </c>
      <c r="W33" s="37" t="s">
        <v>20</v>
      </c>
      <c r="X33" s="37" t="s">
        <v>20</v>
      </c>
      <c r="Y33" s="18" t="s">
        <v>20</v>
      </c>
      <c r="Z33" s="18" t="s">
        <v>20</v>
      </c>
      <c r="AA33" s="18" t="s">
        <v>20</v>
      </c>
      <c r="AB33" s="18" t="s">
        <v>20</v>
      </c>
      <c r="AC33" s="18" t="s">
        <v>20</v>
      </c>
      <c r="AD33" s="18" t="s">
        <v>20</v>
      </c>
      <c r="AE33" s="18" t="s">
        <v>21</v>
      </c>
      <c r="AF33">
        <f>+COUNTIF(F33:AE33,"AD")</f>
        <v>2</v>
      </c>
      <c r="AG33">
        <f>+COUNTIF(F33:AE33,"A")</f>
        <v>20</v>
      </c>
      <c r="AH33">
        <f>+COUNTIF(F33:AE33,"b")</f>
        <v>4</v>
      </c>
      <c r="AI33">
        <f>+COUNTIF(F33:AE33,"c")</f>
        <v>0</v>
      </c>
      <c r="AK33">
        <f>+$AF$5*AF33</f>
        <v>8</v>
      </c>
      <c r="AL33">
        <f>+$AG$5*AG33</f>
        <v>60</v>
      </c>
      <c r="AM33">
        <f>+$AH$5*AH33</f>
        <v>8</v>
      </c>
      <c r="AN33">
        <f>+$AI$5*AI33</f>
        <v>0</v>
      </c>
      <c r="AO33">
        <f>+SUM(AK33:AN33)</f>
        <v>76</v>
      </c>
    </row>
    <row r="34" spans="1:41" ht="15.75" customHeight="1" x14ac:dyDescent="0.3">
      <c r="A34" s="16"/>
      <c r="B34" s="55">
        <v>24</v>
      </c>
      <c r="C34" s="71" t="s">
        <v>220</v>
      </c>
      <c r="D34" s="55">
        <v>5</v>
      </c>
      <c r="E34" s="55" t="s">
        <v>20</v>
      </c>
      <c r="F34" s="18" t="s">
        <v>39</v>
      </c>
      <c r="G34" s="18" t="s">
        <v>20</v>
      </c>
      <c r="H34" s="18" t="s">
        <v>20</v>
      </c>
      <c r="I34" s="18" t="s">
        <v>39</v>
      </c>
      <c r="J34" s="69" t="s">
        <v>20</v>
      </c>
      <c r="K34" s="69" t="s">
        <v>20</v>
      </c>
      <c r="L34" s="69" t="s">
        <v>20</v>
      </c>
      <c r="M34" s="18" t="s">
        <v>20</v>
      </c>
      <c r="N34" s="18" t="s">
        <v>20</v>
      </c>
      <c r="O34" s="18" t="s">
        <v>20</v>
      </c>
      <c r="P34" s="18" t="s">
        <v>21</v>
      </c>
      <c r="Q34" s="18" t="s">
        <v>20</v>
      </c>
      <c r="R34" s="18" t="s">
        <v>20</v>
      </c>
      <c r="S34" s="18" t="s">
        <v>21</v>
      </c>
      <c r="T34" s="18" t="s">
        <v>21</v>
      </c>
      <c r="U34" s="18" t="s">
        <v>20</v>
      </c>
      <c r="V34" s="37" t="s">
        <v>20</v>
      </c>
      <c r="W34" s="37" t="s">
        <v>20</v>
      </c>
      <c r="X34" s="37" t="s">
        <v>20</v>
      </c>
      <c r="Y34" s="18" t="s">
        <v>20</v>
      </c>
      <c r="Z34" s="18" t="s">
        <v>20</v>
      </c>
      <c r="AA34" s="18" t="s">
        <v>20</v>
      </c>
      <c r="AB34" s="18" t="s">
        <v>20</v>
      </c>
      <c r="AC34" s="18" t="s">
        <v>20</v>
      </c>
      <c r="AD34" s="18" t="s">
        <v>20</v>
      </c>
      <c r="AE34" s="18" t="s">
        <v>21</v>
      </c>
      <c r="AF34">
        <f>+COUNTIF(F34:AE34,"AD")</f>
        <v>2</v>
      </c>
      <c r="AG34">
        <f>+COUNTIF(F34:AE34,"A")</f>
        <v>20</v>
      </c>
      <c r="AH34">
        <f>+COUNTIF(F34:AE34,"b")</f>
        <v>4</v>
      </c>
      <c r="AI34">
        <f>+COUNTIF(F34:AE34,"c")</f>
        <v>0</v>
      </c>
      <c r="AK34">
        <f>+$AF$5*AF34</f>
        <v>8</v>
      </c>
      <c r="AL34">
        <f>+$AG$5*AG34</f>
        <v>60</v>
      </c>
      <c r="AM34">
        <f>+$AH$5*AH34</f>
        <v>8</v>
      </c>
      <c r="AN34">
        <f>+$AI$5*AI34</f>
        <v>0</v>
      </c>
      <c r="AO34">
        <f>+SUM(AK34:AN34)</f>
        <v>76</v>
      </c>
    </row>
    <row r="35" spans="1:41" ht="15.75" customHeight="1" x14ac:dyDescent="0.3">
      <c r="A35" s="16"/>
      <c r="B35" s="55">
        <v>17</v>
      </c>
      <c r="C35" s="71" t="s">
        <v>38</v>
      </c>
      <c r="D35" s="55">
        <v>1</v>
      </c>
      <c r="E35" s="55" t="s">
        <v>20</v>
      </c>
      <c r="F35" s="18" t="s">
        <v>20</v>
      </c>
      <c r="G35" s="18" t="s">
        <v>20</v>
      </c>
      <c r="H35" s="18" t="s">
        <v>21</v>
      </c>
      <c r="I35" s="18" t="s">
        <v>20</v>
      </c>
      <c r="J35" s="18" t="s">
        <v>20</v>
      </c>
      <c r="K35" s="18" t="s">
        <v>20</v>
      </c>
      <c r="L35" s="18" t="s">
        <v>20</v>
      </c>
      <c r="M35" s="19" t="s">
        <v>20</v>
      </c>
      <c r="N35" s="19" t="s">
        <v>21</v>
      </c>
      <c r="O35" s="19" t="s">
        <v>20</v>
      </c>
      <c r="P35" s="19" t="s">
        <v>20</v>
      </c>
      <c r="Q35" s="18" t="s">
        <v>20</v>
      </c>
      <c r="R35" s="18" t="s">
        <v>21</v>
      </c>
      <c r="S35" s="19" t="s">
        <v>20</v>
      </c>
      <c r="T35" s="18" t="s">
        <v>20</v>
      </c>
      <c r="U35" s="18" t="s">
        <v>20</v>
      </c>
      <c r="V35" s="18" t="s">
        <v>20</v>
      </c>
      <c r="W35" s="18" t="s">
        <v>20</v>
      </c>
      <c r="X35" s="18" t="s">
        <v>20</v>
      </c>
      <c r="Y35" s="19" t="s">
        <v>20</v>
      </c>
      <c r="Z35" s="19" t="s">
        <v>20</v>
      </c>
      <c r="AA35" s="18" t="s">
        <v>20</v>
      </c>
      <c r="AB35" s="18" t="s">
        <v>39</v>
      </c>
      <c r="AC35" s="18" t="s">
        <v>20</v>
      </c>
      <c r="AD35" s="19" t="s">
        <v>20</v>
      </c>
      <c r="AE35" s="19" t="s">
        <v>21</v>
      </c>
      <c r="AF35">
        <f>+COUNTIF(F35:AE35,"AD")</f>
        <v>1</v>
      </c>
      <c r="AG35">
        <f>+COUNTIF(F35:AE35,"A")</f>
        <v>21</v>
      </c>
      <c r="AH35">
        <f>+COUNTIF(F35:AE35,"b")</f>
        <v>4</v>
      </c>
      <c r="AI35">
        <f>+COUNTIF(F35:AE35,"c")</f>
        <v>0</v>
      </c>
      <c r="AK35">
        <f>+$AF$5*AF35</f>
        <v>4</v>
      </c>
      <c r="AL35">
        <f>+$AG$5*AG35</f>
        <v>63</v>
      </c>
      <c r="AM35">
        <f>+$AH$5*AH35</f>
        <v>8</v>
      </c>
      <c r="AN35">
        <f>+$AI$5*AI35</f>
        <v>0</v>
      </c>
      <c r="AO35">
        <f>+SUM(AK35:AN35)</f>
        <v>75</v>
      </c>
    </row>
    <row r="36" spans="1:41" ht="15.75" customHeight="1" x14ac:dyDescent="0.3">
      <c r="A36" s="16"/>
      <c r="B36" s="55">
        <v>17</v>
      </c>
      <c r="C36" s="71" t="s">
        <v>125</v>
      </c>
      <c r="D36" s="55">
        <v>3</v>
      </c>
      <c r="E36" s="55" t="s">
        <v>20</v>
      </c>
      <c r="F36" s="18" t="s">
        <v>20</v>
      </c>
      <c r="G36" s="18" t="s">
        <v>20</v>
      </c>
      <c r="H36" s="18" t="s">
        <v>20</v>
      </c>
      <c r="I36" s="18" t="s">
        <v>20</v>
      </c>
      <c r="J36" s="69" t="s">
        <v>39</v>
      </c>
      <c r="K36" s="69" t="s">
        <v>20</v>
      </c>
      <c r="L36" s="69" t="s">
        <v>20</v>
      </c>
      <c r="M36" s="18" t="s">
        <v>20</v>
      </c>
      <c r="N36" s="18" t="s">
        <v>20</v>
      </c>
      <c r="O36" s="18" t="s">
        <v>20</v>
      </c>
      <c r="P36" s="18" t="s">
        <v>20</v>
      </c>
      <c r="Q36" s="18" t="s">
        <v>20</v>
      </c>
      <c r="R36" s="18" t="s">
        <v>20</v>
      </c>
      <c r="S36" s="18" t="s">
        <v>21</v>
      </c>
      <c r="T36" s="18" t="s">
        <v>20</v>
      </c>
      <c r="U36" s="18" t="s">
        <v>20</v>
      </c>
      <c r="V36" s="37" t="s">
        <v>21</v>
      </c>
      <c r="W36" s="37" t="s">
        <v>20</v>
      </c>
      <c r="X36" s="37" t="s">
        <v>21</v>
      </c>
      <c r="Y36" s="18" t="s">
        <v>20</v>
      </c>
      <c r="Z36" s="18" t="s">
        <v>20</v>
      </c>
      <c r="AA36" s="18" t="s">
        <v>20</v>
      </c>
      <c r="AB36" s="18" t="s">
        <v>20</v>
      </c>
      <c r="AC36" s="18" t="s">
        <v>20</v>
      </c>
      <c r="AD36" s="37" t="s">
        <v>20</v>
      </c>
      <c r="AE36" s="37" t="s">
        <v>21</v>
      </c>
      <c r="AF36">
        <f>+COUNTIF(F36:AE36,"AD")</f>
        <v>1</v>
      </c>
      <c r="AG36">
        <f>+COUNTIF(F36:AE36,"A")</f>
        <v>21</v>
      </c>
      <c r="AH36">
        <f>+COUNTIF(F36:AE36,"b")</f>
        <v>4</v>
      </c>
      <c r="AI36">
        <f>+COUNTIF(F36:AE36,"c")</f>
        <v>0</v>
      </c>
      <c r="AK36">
        <f>+$AF$5*AF36</f>
        <v>4</v>
      </c>
      <c r="AL36">
        <f>+$AG$5*AG36</f>
        <v>63</v>
      </c>
      <c r="AM36">
        <f>+$AH$5*AH36</f>
        <v>8</v>
      </c>
      <c r="AN36">
        <f>+$AI$5*AI36</f>
        <v>0</v>
      </c>
      <c r="AO36">
        <f>+SUM(AK36:AN36)</f>
        <v>75</v>
      </c>
    </row>
    <row r="37" spans="1:41" ht="15.75" customHeight="1" x14ac:dyDescent="0.3">
      <c r="A37" s="16"/>
      <c r="B37" s="55">
        <v>3</v>
      </c>
      <c r="C37" s="71" t="s">
        <v>130</v>
      </c>
      <c r="D37" s="55">
        <v>3</v>
      </c>
      <c r="E37" s="55" t="s">
        <v>21</v>
      </c>
      <c r="F37" s="18" t="s">
        <v>20</v>
      </c>
      <c r="G37" s="18" t="s">
        <v>20</v>
      </c>
      <c r="H37" s="18" t="s">
        <v>20</v>
      </c>
      <c r="I37" s="18" t="s">
        <v>20</v>
      </c>
      <c r="J37" s="18" t="s">
        <v>20</v>
      </c>
      <c r="K37" s="18" t="s">
        <v>20</v>
      </c>
      <c r="L37" s="18" t="s">
        <v>21</v>
      </c>
      <c r="M37" s="18" t="s">
        <v>20</v>
      </c>
      <c r="N37" s="18" t="s">
        <v>20</v>
      </c>
      <c r="O37" s="18" t="s">
        <v>21</v>
      </c>
      <c r="P37" s="18" t="s">
        <v>20</v>
      </c>
      <c r="Q37" s="18" t="s">
        <v>20</v>
      </c>
      <c r="R37" s="18" t="s">
        <v>20</v>
      </c>
      <c r="S37" s="18" t="s">
        <v>20</v>
      </c>
      <c r="T37" s="18" t="s">
        <v>20</v>
      </c>
      <c r="U37" s="18" t="s">
        <v>20</v>
      </c>
      <c r="V37" s="37" t="s">
        <v>20</v>
      </c>
      <c r="W37" s="37" t="s">
        <v>20</v>
      </c>
      <c r="X37" s="37" t="s">
        <v>20</v>
      </c>
      <c r="Y37" s="18" t="s">
        <v>20</v>
      </c>
      <c r="Z37" s="18" t="s">
        <v>20</v>
      </c>
      <c r="AA37" s="18" t="s">
        <v>20</v>
      </c>
      <c r="AB37" s="18" t="s">
        <v>20</v>
      </c>
      <c r="AC37" s="18" t="s">
        <v>20</v>
      </c>
      <c r="AD37" s="37" t="s">
        <v>20</v>
      </c>
      <c r="AE37" s="37" t="s">
        <v>21</v>
      </c>
      <c r="AF37">
        <f>+COUNTIF(F37:AE37,"AD")</f>
        <v>0</v>
      </c>
      <c r="AG37">
        <f>+COUNTIF(F37:AE37,"A")</f>
        <v>23</v>
      </c>
      <c r="AH37">
        <f>+COUNTIF(F37:AE37,"b")</f>
        <v>3</v>
      </c>
      <c r="AI37">
        <f>+COUNTIF(F37:AE37,"c")</f>
        <v>0</v>
      </c>
      <c r="AK37">
        <f>+$AF$5*AF37</f>
        <v>0</v>
      </c>
      <c r="AL37">
        <f>+$AG$5*AG37</f>
        <v>69</v>
      </c>
      <c r="AM37">
        <f>+$AH$5*AH37</f>
        <v>6</v>
      </c>
      <c r="AN37">
        <f>+$AI$5*AI37</f>
        <v>0</v>
      </c>
      <c r="AO37">
        <f>+SUM(AK37:AN37)</f>
        <v>75</v>
      </c>
    </row>
    <row r="38" spans="1:41" ht="15.75" customHeight="1" x14ac:dyDescent="0.3">
      <c r="A38" s="16"/>
      <c r="B38" s="55">
        <v>6</v>
      </c>
      <c r="C38" s="71" t="s">
        <v>133</v>
      </c>
      <c r="D38" s="55">
        <v>3</v>
      </c>
      <c r="E38" s="55" t="s">
        <v>21</v>
      </c>
      <c r="F38" s="18" t="s">
        <v>20</v>
      </c>
      <c r="G38" s="18" t="s">
        <v>20</v>
      </c>
      <c r="H38" s="18" t="s">
        <v>20</v>
      </c>
      <c r="I38" s="18" t="s">
        <v>20</v>
      </c>
      <c r="J38" s="18" t="s">
        <v>20</v>
      </c>
      <c r="K38" s="18" t="s">
        <v>20</v>
      </c>
      <c r="L38" s="18" t="s">
        <v>20</v>
      </c>
      <c r="M38" s="18" t="s">
        <v>20</v>
      </c>
      <c r="N38" s="18" t="s">
        <v>20</v>
      </c>
      <c r="O38" s="18" t="s">
        <v>20</v>
      </c>
      <c r="P38" s="18" t="s">
        <v>21</v>
      </c>
      <c r="Q38" s="18" t="s">
        <v>20</v>
      </c>
      <c r="R38" s="18" t="s">
        <v>20</v>
      </c>
      <c r="S38" s="18" t="s">
        <v>20</v>
      </c>
      <c r="T38" s="18" t="s">
        <v>20</v>
      </c>
      <c r="U38" s="18" t="s">
        <v>20</v>
      </c>
      <c r="V38" s="37" t="s">
        <v>20</v>
      </c>
      <c r="W38" s="37" t="s">
        <v>20</v>
      </c>
      <c r="X38" s="37" t="s">
        <v>21</v>
      </c>
      <c r="Y38" s="18" t="s">
        <v>20</v>
      </c>
      <c r="Z38" s="18" t="s">
        <v>20</v>
      </c>
      <c r="AA38" s="18" t="s">
        <v>20</v>
      </c>
      <c r="AB38" s="18" t="s">
        <v>20</v>
      </c>
      <c r="AC38" s="18" t="s">
        <v>20</v>
      </c>
      <c r="AD38" s="29" t="s">
        <v>20</v>
      </c>
      <c r="AE38" s="29" t="s">
        <v>21</v>
      </c>
      <c r="AF38">
        <f>+COUNTIF(F38:AE38,"AD")</f>
        <v>0</v>
      </c>
      <c r="AG38">
        <f>+COUNTIF(F38:AE38,"A")</f>
        <v>23</v>
      </c>
      <c r="AH38">
        <f>+COUNTIF(F38:AE38,"b")</f>
        <v>3</v>
      </c>
      <c r="AI38">
        <f>+COUNTIF(F38:AE38,"c")</f>
        <v>0</v>
      </c>
      <c r="AK38">
        <f>+$AF$5*AF38</f>
        <v>0</v>
      </c>
      <c r="AL38">
        <f>+$AG$5*AG38</f>
        <v>69</v>
      </c>
      <c r="AM38">
        <f>+$AH$5*AH38</f>
        <v>6</v>
      </c>
      <c r="AN38">
        <f>+$AI$5*AI38</f>
        <v>0</v>
      </c>
      <c r="AO38">
        <f>+SUM(AK38:AN38)</f>
        <v>75</v>
      </c>
    </row>
    <row r="39" spans="1:41" ht="15.75" customHeight="1" x14ac:dyDescent="0.3">
      <c r="A39" s="16"/>
      <c r="B39" s="55">
        <v>2</v>
      </c>
      <c r="C39" s="71" t="s">
        <v>150</v>
      </c>
      <c r="D39" s="55">
        <v>4</v>
      </c>
      <c r="E39" s="55" t="s">
        <v>20</v>
      </c>
      <c r="F39" s="18" t="s">
        <v>20</v>
      </c>
      <c r="G39" s="18" t="s">
        <v>20</v>
      </c>
      <c r="H39" s="18" t="s">
        <v>20</v>
      </c>
      <c r="I39" s="18" t="s">
        <v>20</v>
      </c>
      <c r="J39" s="69" t="s">
        <v>39</v>
      </c>
      <c r="K39" s="69" t="s">
        <v>20</v>
      </c>
      <c r="L39" s="69" t="s">
        <v>20</v>
      </c>
      <c r="M39" s="18" t="s">
        <v>21</v>
      </c>
      <c r="N39" s="18" t="s">
        <v>20</v>
      </c>
      <c r="O39" s="18" t="s">
        <v>20</v>
      </c>
      <c r="P39" s="18" t="s">
        <v>20</v>
      </c>
      <c r="Q39" s="18" t="s">
        <v>20</v>
      </c>
      <c r="R39" s="18" t="s">
        <v>20</v>
      </c>
      <c r="S39" s="18" t="s">
        <v>20</v>
      </c>
      <c r="T39" s="18" t="s">
        <v>20</v>
      </c>
      <c r="U39" s="18" t="s">
        <v>20</v>
      </c>
      <c r="V39" s="37" t="s">
        <v>20</v>
      </c>
      <c r="W39" s="37" t="s">
        <v>20</v>
      </c>
      <c r="X39" s="37" t="s">
        <v>20</v>
      </c>
      <c r="Y39" s="18" t="s">
        <v>20</v>
      </c>
      <c r="Z39" s="18" t="s">
        <v>21</v>
      </c>
      <c r="AA39" s="18" t="s">
        <v>20</v>
      </c>
      <c r="AB39" s="18" t="s">
        <v>20</v>
      </c>
      <c r="AC39" s="18" t="s">
        <v>21</v>
      </c>
      <c r="AD39" s="29" t="s">
        <v>20</v>
      </c>
      <c r="AE39" s="29" t="s">
        <v>21</v>
      </c>
      <c r="AF39">
        <f>+COUNTIF(F39:AE39,"AD")</f>
        <v>1</v>
      </c>
      <c r="AG39">
        <f>+COUNTIF(F39:AE39,"A")</f>
        <v>21</v>
      </c>
      <c r="AH39">
        <f>+COUNTIF(F39:AE39,"b")</f>
        <v>4</v>
      </c>
      <c r="AI39">
        <f>+COUNTIF(F39:AE39,"c")</f>
        <v>0</v>
      </c>
      <c r="AK39">
        <f>+$AF$5*AF39</f>
        <v>4</v>
      </c>
      <c r="AL39">
        <f>+$AG$5*AG39</f>
        <v>63</v>
      </c>
      <c r="AM39">
        <f>+$AH$5*AH39</f>
        <v>8</v>
      </c>
      <c r="AN39">
        <f>+$AI$5*AI39</f>
        <v>0</v>
      </c>
      <c r="AO39">
        <f>+SUM(AK39:AN39)</f>
        <v>75</v>
      </c>
    </row>
    <row r="40" spans="1:41" ht="15.75" customHeight="1" x14ac:dyDescent="0.3">
      <c r="A40" s="16"/>
      <c r="B40" s="55">
        <v>24</v>
      </c>
      <c r="C40" s="71" t="s">
        <v>195</v>
      </c>
      <c r="D40" s="55">
        <v>4</v>
      </c>
      <c r="E40" s="55" t="s">
        <v>21</v>
      </c>
      <c r="F40" s="18" t="s">
        <v>20</v>
      </c>
      <c r="G40" s="18" t="s">
        <v>20</v>
      </c>
      <c r="H40" s="18" t="s">
        <v>20</v>
      </c>
      <c r="I40" s="18" t="s">
        <v>20</v>
      </c>
      <c r="J40" s="69" t="s">
        <v>20</v>
      </c>
      <c r="K40" s="69" t="s">
        <v>20</v>
      </c>
      <c r="L40" s="69" t="s">
        <v>20</v>
      </c>
      <c r="M40" s="18" t="s">
        <v>20</v>
      </c>
      <c r="N40" s="18" t="s">
        <v>20</v>
      </c>
      <c r="O40" s="18" t="s">
        <v>20</v>
      </c>
      <c r="P40" s="18" t="s">
        <v>21</v>
      </c>
      <c r="Q40" s="18" t="s">
        <v>21</v>
      </c>
      <c r="R40" s="18" t="s">
        <v>20</v>
      </c>
      <c r="S40" s="18" t="s">
        <v>20</v>
      </c>
      <c r="T40" s="18" t="s">
        <v>20</v>
      </c>
      <c r="U40" s="18" t="s">
        <v>20</v>
      </c>
      <c r="V40" s="49" t="s">
        <v>20</v>
      </c>
      <c r="W40" s="37" t="s">
        <v>20</v>
      </c>
      <c r="X40" s="37" t="s">
        <v>20</v>
      </c>
      <c r="Y40" s="18" t="s">
        <v>20</v>
      </c>
      <c r="Z40" s="18" t="s">
        <v>20</v>
      </c>
      <c r="AA40" s="18" t="s">
        <v>20</v>
      </c>
      <c r="AB40" s="18" t="s">
        <v>20</v>
      </c>
      <c r="AC40" s="18" t="s">
        <v>20</v>
      </c>
      <c r="AD40" s="29" t="s">
        <v>20</v>
      </c>
      <c r="AE40" s="29" t="s">
        <v>21</v>
      </c>
      <c r="AF40">
        <f>+COUNTIF(F40:AE40,"AD")</f>
        <v>0</v>
      </c>
      <c r="AG40">
        <f>+COUNTIF(F40:AE40,"A")</f>
        <v>23</v>
      </c>
      <c r="AH40">
        <f>+COUNTIF(F40:AE40,"b")</f>
        <v>3</v>
      </c>
      <c r="AI40">
        <f>+COUNTIF(F40:AE40,"c")</f>
        <v>0</v>
      </c>
      <c r="AK40">
        <f>+$AF$5*AF40</f>
        <v>0</v>
      </c>
      <c r="AL40">
        <f>+$AG$5*AG40</f>
        <v>69</v>
      </c>
      <c r="AM40">
        <f>+$AH$5*AH40</f>
        <v>6</v>
      </c>
      <c r="AN40">
        <f>+$AI$5*AI40</f>
        <v>0</v>
      </c>
      <c r="AO40">
        <f>+SUM(AK40:AN40)</f>
        <v>75</v>
      </c>
    </row>
    <row r="41" spans="1:41" ht="15.75" customHeight="1" x14ac:dyDescent="0.3">
      <c r="A41" s="16"/>
      <c r="B41" s="55">
        <v>6</v>
      </c>
      <c r="C41" s="71" t="s">
        <v>202</v>
      </c>
      <c r="D41" s="55">
        <v>5</v>
      </c>
      <c r="E41" s="55" t="s">
        <v>20</v>
      </c>
      <c r="F41" s="18" t="s">
        <v>20</v>
      </c>
      <c r="G41" s="18" t="s">
        <v>20</v>
      </c>
      <c r="H41" s="18" t="s">
        <v>39</v>
      </c>
      <c r="I41" s="18" t="s">
        <v>39</v>
      </c>
      <c r="J41" s="69" t="s">
        <v>20</v>
      </c>
      <c r="K41" s="69" t="s">
        <v>20</v>
      </c>
      <c r="L41" s="69" t="s">
        <v>20</v>
      </c>
      <c r="M41" s="18" t="s">
        <v>20</v>
      </c>
      <c r="N41" s="18" t="s">
        <v>20</v>
      </c>
      <c r="O41" s="18" t="s">
        <v>20</v>
      </c>
      <c r="P41" s="18" t="s">
        <v>21</v>
      </c>
      <c r="Q41" s="18" t="s">
        <v>21</v>
      </c>
      <c r="R41" s="18" t="s">
        <v>21</v>
      </c>
      <c r="S41" s="18" t="s">
        <v>21</v>
      </c>
      <c r="T41" s="18" t="s">
        <v>20</v>
      </c>
      <c r="U41" s="18" t="s">
        <v>20</v>
      </c>
      <c r="V41" s="49" t="s">
        <v>20</v>
      </c>
      <c r="W41" s="37" t="s">
        <v>20</v>
      </c>
      <c r="X41" s="53" t="s">
        <v>20</v>
      </c>
      <c r="Y41" s="18" t="s">
        <v>20</v>
      </c>
      <c r="Z41" s="18" t="s">
        <v>20</v>
      </c>
      <c r="AA41" s="18" t="s">
        <v>20</v>
      </c>
      <c r="AB41" s="18" t="s">
        <v>20</v>
      </c>
      <c r="AC41" s="18" t="s">
        <v>20</v>
      </c>
      <c r="AD41" s="29" t="s">
        <v>20</v>
      </c>
      <c r="AE41" s="29" t="s">
        <v>21</v>
      </c>
      <c r="AF41">
        <f>+COUNTIF(F41:AE41,"AD")</f>
        <v>2</v>
      </c>
      <c r="AG41">
        <f>+COUNTIF(F41:AE41,"A")</f>
        <v>19</v>
      </c>
      <c r="AH41">
        <f>+COUNTIF(F41:AE41,"b")</f>
        <v>5</v>
      </c>
      <c r="AI41">
        <f>+COUNTIF(F41:AE41,"c")</f>
        <v>0</v>
      </c>
      <c r="AK41">
        <f>+$AF$5*AF41</f>
        <v>8</v>
      </c>
      <c r="AL41">
        <f>+$AG$5*AG41</f>
        <v>57</v>
      </c>
      <c r="AM41">
        <f>+$AH$5*AH41</f>
        <v>10</v>
      </c>
      <c r="AN41">
        <f>+$AI$5*AI41</f>
        <v>0</v>
      </c>
      <c r="AO41">
        <f>+SUM(AK41:AN41)</f>
        <v>75</v>
      </c>
    </row>
    <row r="42" spans="1:41" ht="15.75" customHeight="1" x14ac:dyDescent="0.3">
      <c r="A42" s="16"/>
      <c r="B42" s="55">
        <v>11</v>
      </c>
      <c r="C42" s="71" t="s">
        <v>207</v>
      </c>
      <c r="D42" s="55">
        <v>5</v>
      </c>
      <c r="E42" s="55" t="s">
        <v>20</v>
      </c>
      <c r="F42" s="18" t="s">
        <v>20</v>
      </c>
      <c r="G42" s="18" t="s">
        <v>20</v>
      </c>
      <c r="H42" s="18" t="s">
        <v>39</v>
      </c>
      <c r="I42" s="18" t="s">
        <v>20</v>
      </c>
      <c r="J42" s="69" t="s">
        <v>20</v>
      </c>
      <c r="K42" s="69" t="s">
        <v>20</v>
      </c>
      <c r="L42" s="69" t="s">
        <v>20</v>
      </c>
      <c r="M42" s="18" t="s">
        <v>20</v>
      </c>
      <c r="N42" s="18" t="s">
        <v>20</v>
      </c>
      <c r="O42" s="18" t="s">
        <v>20</v>
      </c>
      <c r="P42" s="18" t="s">
        <v>20</v>
      </c>
      <c r="Q42" s="18" t="s">
        <v>20</v>
      </c>
      <c r="R42" s="18" t="s">
        <v>21</v>
      </c>
      <c r="S42" s="18" t="s">
        <v>20</v>
      </c>
      <c r="T42" s="18" t="s">
        <v>21</v>
      </c>
      <c r="U42" s="18" t="s">
        <v>20</v>
      </c>
      <c r="V42" s="49" t="s">
        <v>20</v>
      </c>
      <c r="W42" s="37" t="s">
        <v>20</v>
      </c>
      <c r="X42" s="37" t="s">
        <v>20</v>
      </c>
      <c r="Y42" s="18" t="s">
        <v>20</v>
      </c>
      <c r="Z42" s="18" t="s">
        <v>20</v>
      </c>
      <c r="AA42" s="18" t="s">
        <v>20</v>
      </c>
      <c r="AB42" s="18" t="s">
        <v>20</v>
      </c>
      <c r="AC42" s="18" t="s">
        <v>21</v>
      </c>
      <c r="AD42" s="29" t="s">
        <v>20</v>
      </c>
      <c r="AE42" s="29" t="s">
        <v>21</v>
      </c>
      <c r="AF42">
        <f>+COUNTIF(F42:AE42,"AD")</f>
        <v>1</v>
      </c>
      <c r="AG42">
        <f>+COUNTIF(F42:AE42,"A")</f>
        <v>21</v>
      </c>
      <c r="AH42">
        <f>+COUNTIF(F42:AE42,"b")</f>
        <v>4</v>
      </c>
      <c r="AI42">
        <f>+COUNTIF(F42:AE42,"c")</f>
        <v>0</v>
      </c>
      <c r="AK42">
        <f>+$AF$5*AF42</f>
        <v>4</v>
      </c>
      <c r="AL42">
        <f>+$AG$5*AG42</f>
        <v>63</v>
      </c>
      <c r="AM42">
        <f>+$AH$5*AH42</f>
        <v>8</v>
      </c>
      <c r="AN42">
        <f>+$AI$5*AI42</f>
        <v>0</v>
      </c>
      <c r="AO42">
        <f>+SUM(AK42:AN42)</f>
        <v>75</v>
      </c>
    </row>
    <row r="43" spans="1:41" ht="15.75" customHeight="1" x14ac:dyDescent="0.3">
      <c r="A43" s="16"/>
      <c r="B43" s="55">
        <v>16</v>
      </c>
      <c r="C43" s="71" t="s">
        <v>212</v>
      </c>
      <c r="D43" s="55">
        <v>5</v>
      </c>
      <c r="E43" s="55" t="s">
        <v>20</v>
      </c>
      <c r="F43" s="18" t="s">
        <v>20</v>
      </c>
      <c r="G43" s="18" t="s">
        <v>20</v>
      </c>
      <c r="H43" s="18" t="s">
        <v>39</v>
      </c>
      <c r="I43" s="18" t="s">
        <v>39</v>
      </c>
      <c r="J43" s="69" t="s">
        <v>20</v>
      </c>
      <c r="K43" s="69" t="s">
        <v>20</v>
      </c>
      <c r="L43" s="69" t="s">
        <v>20</v>
      </c>
      <c r="M43" s="18" t="s">
        <v>20</v>
      </c>
      <c r="N43" s="18" t="s">
        <v>20</v>
      </c>
      <c r="O43" s="18" t="s">
        <v>20</v>
      </c>
      <c r="P43" s="18" t="s">
        <v>21</v>
      </c>
      <c r="Q43" s="18" t="s">
        <v>21</v>
      </c>
      <c r="R43" s="18" t="s">
        <v>21</v>
      </c>
      <c r="S43" s="18" t="s">
        <v>20</v>
      </c>
      <c r="T43" s="18" t="s">
        <v>21</v>
      </c>
      <c r="U43" s="18" t="s">
        <v>20</v>
      </c>
      <c r="V43" s="37" t="s">
        <v>20</v>
      </c>
      <c r="W43" s="37" t="s">
        <v>20</v>
      </c>
      <c r="X43" s="37" t="s">
        <v>20</v>
      </c>
      <c r="Y43" s="18" t="s">
        <v>20</v>
      </c>
      <c r="Z43" s="18" t="s">
        <v>20</v>
      </c>
      <c r="AA43" s="18" t="s">
        <v>20</v>
      </c>
      <c r="AB43" s="18" t="s">
        <v>20</v>
      </c>
      <c r="AC43" s="18" t="s">
        <v>20</v>
      </c>
      <c r="AD43" s="18" t="s">
        <v>20</v>
      </c>
      <c r="AE43" s="18" t="s">
        <v>21</v>
      </c>
      <c r="AF43">
        <f>+COUNTIF(F43:AE43,"AD")</f>
        <v>2</v>
      </c>
      <c r="AG43">
        <f>+COUNTIF(F43:AE43,"A")</f>
        <v>19</v>
      </c>
      <c r="AH43">
        <f>+COUNTIF(F43:AE43,"b")</f>
        <v>5</v>
      </c>
      <c r="AI43">
        <f>+COUNTIF(F43:AE43,"c")</f>
        <v>0</v>
      </c>
      <c r="AK43">
        <f>+$AF$5*AF43</f>
        <v>8</v>
      </c>
      <c r="AL43">
        <f>+$AG$5*AG43</f>
        <v>57</v>
      </c>
      <c r="AM43">
        <f>+$AH$5*AH43</f>
        <v>10</v>
      </c>
      <c r="AN43">
        <f>+$AI$5*AI43</f>
        <v>0</v>
      </c>
      <c r="AO43">
        <f>+SUM(AK43:AN43)</f>
        <v>75</v>
      </c>
    </row>
    <row r="44" spans="1:41" ht="15.75" customHeight="1" x14ac:dyDescent="0.3">
      <c r="A44" s="16"/>
      <c r="B44" s="55">
        <v>3</v>
      </c>
      <c r="C44" s="71" t="s">
        <v>24</v>
      </c>
      <c r="D44" s="55">
        <v>1</v>
      </c>
      <c r="E44" s="55" t="s">
        <v>20</v>
      </c>
      <c r="F44" s="18" t="s">
        <v>20</v>
      </c>
      <c r="G44" s="18" t="s">
        <v>20</v>
      </c>
      <c r="H44" s="18" t="s">
        <v>20</v>
      </c>
      <c r="I44" s="18" t="s">
        <v>20</v>
      </c>
      <c r="J44" s="18" t="s">
        <v>20</v>
      </c>
      <c r="K44" s="18" t="s">
        <v>20</v>
      </c>
      <c r="L44" s="18" t="s">
        <v>20</v>
      </c>
      <c r="M44" s="19" t="s">
        <v>20</v>
      </c>
      <c r="N44" s="19" t="s">
        <v>20</v>
      </c>
      <c r="O44" s="19" t="s">
        <v>20</v>
      </c>
      <c r="P44" s="19" t="s">
        <v>20</v>
      </c>
      <c r="Q44" s="18" t="s">
        <v>20</v>
      </c>
      <c r="R44" s="18" t="s">
        <v>21</v>
      </c>
      <c r="S44" s="19" t="s">
        <v>20</v>
      </c>
      <c r="T44" s="18" t="s">
        <v>20</v>
      </c>
      <c r="U44" s="18" t="s">
        <v>20</v>
      </c>
      <c r="V44" s="18" t="s">
        <v>20</v>
      </c>
      <c r="W44" s="18" t="s">
        <v>20</v>
      </c>
      <c r="X44" s="18" t="s">
        <v>20</v>
      </c>
      <c r="Y44" s="19" t="s">
        <v>20</v>
      </c>
      <c r="Z44" s="19" t="s">
        <v>20</v>
      </c>
      <c r="AA44" s="18" t="s">
        <v>20</v>
      </c>
      <c r="AB44" s="18" t="s">
        <v>21</v>
      </c>
      <c r="AC44" s="18" t="s">
        <v>21</v>
      </c>
      <c r="AD44" s="19" t="s">
        <v>20</v>
      </c>
      <c r="AE44" s="19" t="s">
        <v>21</v>
      </c>
      <c r="AF44">
        <f>+COUNTIF(F44:AE44,"AD")</f>
        <v>0</v>
      </c>
      <c r="AG44">
        <f>+COUNTIF(F44:AE44,"A")</f>
        <v>22</v>
      </c>
      <c r="AH44">
        <f>+COUNTIF(F44:AE44,"b")</f>
        <v>4</v>
      </c>
      <c r="AI44">
        <f>+COUNTIF(F44:AE44,"c")</f>
        <v>0</v>
      </c>
      <c r="AK44">
        <f>+$AF$5*AF44</f>
        <v>0</v>
      </c>
      <c r="AL44">
        <f>+$AG$5*AG44</f>
        <v>66</v>
      </c>
      <c r="AM44">
        <f>+$AH$5*AH44</f>
        <v>8</v>
      </c>
      <c r="AN44">
        <f>+$AI$5*AI44</f>
        <v>0</v>
      </c>
      <c r="AO44">
        <f>+SUM(AK44:AN44)</f>
        <v>74</v>
      </c>
    </row>
    <row r="45" spans="1:41" ht="15.75" customHeight="1" x14ac:dyDescent="0.3">
      <c r="A45" s="16"/>
      <c r="B45" s="55">
        <v>5</v>
      </c>
      <c r="C45" s="71" t="s">
        <v>132</v>
      </c>
      <c r="D45" s="55">
        <v>3</v>
      </c>
      <c r="E45" s="55" t="s">
        <v>21</v>
      </c>
      <c r="F45" s="18" t="s">
        <v>21</v>
      </c>
      <c r="G45" s="18" t="s">
        <v>20</v>
      </c>
      <c r="H45" s="18" t="s">
        <v>21</v>
      </c>
      <c r="I45" s="18" t="s">
        <v>20</v>
      </c>
      <c r="J45" s="18" t="s">
        <v>39</v>
      </c>
      <c r="K45" s="18" t="s">
        <v>39</v>
      </c>
      <c r="L45" s="18" t="s">
        <v>20</v>
      </c>
      <c r="M45" s="18" t="s">
        <v>20</v>
      </c>
      <c r="N45" s="18" t="s">
        <v>20</v>
      </c>
      <c r="O45" s="18" t="s">
        <v>20</v>
      </c>
      <c r="P45" s="18" t="s">
        <v>21</v>
      </c>
      <c r="Q45" s="18" t="s">
        <v>20</v>
      </c>
      <c r="R45" s="18" t="s">
        <v>20</v>
      </c>
      <c r="S45" s="18" t="s">
        <v>20</v>
      </c>
      <c r="T45" s="18" t="s">
        <v>20</v>
      </c>
      <c r="U45" s="18" t="s">
        <v>20</v>
      </c>
      <c r="V45" s="37" t="s">
        <v>20</v>
      </c>
      <c r="W45" s="37" t="s">
        <v>20</v>
      </c>
      <c r="X45" s="37" t="s">
        <v>20</v>
      </c>
      <c r="Y45" s="18" t="s">
        <v>20</v>
      </c>
      <c r="Z45" s="18" t="s">
        <v>20</v>
      </c>
      <c r="AA45" s="18" t="s">
        <v>20</v>
      </c>
      <c r="AB45" s="18" t="s">
        <v>20</v>
      </c>
      <c r="AC45" s="18" t="s">
        <v>20</v>
      </c>
      <c r="AD45" s="29" t="s">
        <v>23</v>
      </c>
      <c r="AE45" s="29" t="s">
        <v>21</v>
      </c>
      <c r="AF45">
        <f>+COUNTIF(F45:AE45,"AD")</f>
        <v>2</v>
      </c>
      <c r="AG45">
        <f>+COUNTIF(F45:AE45,"A")</f>
        <v>19</v>
      </c>
      <c r="AH45">
        <f>+COUNTIF(F45:AE45,"b")</f>
        <v>4</v>
      </c>
      <c r="AI45">
        <f>+COUNTIF(F45:AE45,"c")</f>
        <v>1</v>
      </c>
      <c r="AK45">
        <f>+$AF$5*AF45</f>
        <v>8</v>
      </c>
      <c r="AL45">
        <f>+$AG$5*AG45</f>
        <v>57</v>
      </c>
      <c r="AM45">
        <f>+$AH$5*AH45</f>
        <v>8</v>
      </c>
      <c r="AN45">
        <f>+$AI$5*AI45</f>
        <v>1</v>
      </c>
      <c r="AO45">
        <f>+SUM(AK45:AN45)</f>
        <v>74</v>
      </c>
    </row>
    <row r="46" spans="1:41" ht="15.75" customHeight="1" x14ac:dyDescent="0.3">
      <c r="A46" s="16"/>
      <c r="B46" s="55">
        <v>6</v>
      </c>
      <c r="C46" s="71" t="s">
        <v>154</v>
      </c>
      <c r="D46" s="55">
        <v>4</v>
      </c>
      <c r="E46" s="55" t="s">
        <v>20</v>
      </c>
      <c r="F46" s="18" t="s">
        <v>20</v>
      </c>
      <c r="G46" s="18" t="s">
        <v>21</v>
      </c>
      <c r="H46" s="18" t="s">
        <v>21</v>
      </c>
      <c r="I46" s="18" t="s">
        <v>20</v>
      </c>
      <c r="J46" s="69" t="s">
        <v>20</v>
      </c>
      <c r="K46" s="69" t="s">
        <v>20</v>
      </c>
      <c r="L46" s="69" t="s">
        <v>20</v>
      </c>
      <c r="M46" s="18" t="s">
        <v>20</v>
      </c>
      <c r="N46" s="18" t="s">
        <v>20</v>
      </c>
      <c r="O46" s="18" t="s">
        <v>20</v>
      </c>
      <c r="P46" s="18" t="s">
        <v>20</v>
      </c>
      <c r="Q46" s="18" t="s">
        <v>21</v>
      </c>
      <c r="R46" s="18" t="s">
        <v>20</v>
      </c>
      <c r="S46" s="18" t="s">
        <v>20</v>
      </c>
      <c r="T46" s="18" t="s">
        <v>20</v>
      </c>
      <c r="U46" s="18" t="s">
        <v>20</v>
      </c>
      <c r="V46" s="37" t="s">
        <v>20</v>
      </c>
      <c r="W46" s="37" t="s">
        <v>20</v>
      </c>
      <c r="X46" s="37" t="s">
        <v>20</v>
      </c>
      <c r="Y46" s="18" t="s">
        <v>20</v>
      </c>
      <c r="Z46" s="18" t="s">
        <v>20</v>
      </c>
      <c r="AA46" s="18" t="s">
        <v>20</v>
      </c>
      <c r="AB46" s="18" t="s">
        <v>20</v>
      </c>
      <c r="AC46" s="18" t="s">
        <v>20</v>
      </c>
      <c r="AD46" s="29" t="s">
        <v>20</v>
      </c>
      <c r="AE46" s="29" t="s">
        <v>21</v>
      </c>
      <c r="AF46">
        <f>+COUNTIF(F46:AE46,"AD")</f>
        <v>0</v>
      </c>
      <c r="AG46">
        <f>+COUNTIF(F46:AE46,"A")</f>
        <v>22</v>
      </c>
      <c r="AH46">
        <f>+COUNTIF(F46:AE46,"b")</f>
        <v>4</v>
      </c>
      <c r="AI46">
        <f>+COUNTIF(F46:AE46,"c")</f>
        <v>0</v>
      </c>
      <c r="AK46">
        <f>+$AF$5*AF46</f>
        <v>0</v>
      </c>
      <c r="AL46">
        <f>+$AG$5*AG46</f>
        <v>66</v>
      </c>
      <c r="AM46">
        <f>+$AH$5*AH46</f>
        <v>8</v>
      </c>
      <c r="AN46">
        <f>+$AI$5*AI46</f>
        <v>0</v>
      </c>
      <c r="AO46">
        <f>+SUM(AK46:AN46)</f>
        <v>74</v>
      </c>
    </row>
    <row r="47" spans="1:41" ht="15.75" customHeight="1" x14ac:dyDescent="0.3">
      <c r="A47" s="16"/>
      <c r="B47" s="55">
        <v>24</v>
      </c>
      <c r="C47" s="71" t="s">
        <v>248</v>
      </c>
      <c r="D47" s="55">
        <v>5</v>
      </c>
      <c r="E47" s="55" t="s">
        <v>21</v>
      </c>
      <c r="F47" s="18" t="s">
        <v>20</v>
      </c>
      <c r="G47" s="18" t="s">
        <v>20</v>
      </c>
      <c r="H47" s="18" t="s">
        <v>20</v>
      </c>
      <c r="I47" s="18" t="s">
        <v>20</v>
      </c>
      <c r="J47" s="18" t="s">
        <v>20</v>
      </c>
      <c r="K47" s="18" t="s">
        <v>20</v>
      </c>
      <c r="L47" s="18" t="s">
        <v>39</v>
      </c>
      <c r="M47" s="18" t="s">
        <v>20</v>
      </c>
      <c r="N47" s="18" t="s">
        <v>20</v>
      </c>
      <c r="O47" s="18" t="s">
        <v>20</v>
      </c>
      <c r="P47" s="18" t="s">
        <v>20</v>
      </c>
      <c r="Q47" s="18" t="s">
        <v>21</v>
      </c>
      <c r="R47" s="18" t="s">
        <v>21</v>
      </c>
      <c r="S47" s="18" t="s">
        <v>20</v>
      </c>
      <c r="T47" s="18" t="s">
        <v>20</v>
      </c>
      <c r="U47" s="18" t="s">
        <v>20</v>
      </c>
      <c r="V47" s="37" t="s">
        <v>20</v>
      </c>
      <c r="W47" s="37" t="s">
        <v>21</v>
      </c>
      <c r="X47" s="37" t="s">
        <v>20</v>
      </c>
      <c r="Y47" s="18" t="s">
        <v>20</v>
      </c>
      <c r="Z47" s="18" t="s">
        <v>20</v>
      </c>
      <c r="AA47" s="18" t="s">
        <v>20</v>
      </c>
      <c r="AB47" s="18" t="s">
        <v>21</v>
      </c>
      <c r="AC47" s="18" t="s">
        <v>20</v>
      </c>
      <c r="AD47" s="29" t="s">
        <v>20</v>
      </c>
      <c r="AE47" s="29" t="s">
        <v>21</v>
      </c>
      <c r="AF47">
        <f>+COUNTIF(F47:AE47,"AD")</f>
        <v>1</v>
      </c>
      <c r="AG47">
        <f>+COUNTIF(F47:AE47,"A")</f>
        <v>20</v>
      </c>
      <c r="AH47">
        <f>+COUNTIF(F47:AE47,"b")</f>
        <v>5</v>
      </c>
      <c r="AI47">
        <f>+COUNTIF(F47:AE47,"c")</f>
        <v>0</v>
      </c>
      <c r="AK47">
        <f>+$AF$5*AF47</f>
        <v>4</v>
      </c>
      <c r="AL47">
        <f>+$AG$5*AG47</f>
        <v>60</v>
      </c>
      <c r="AM47">
        <f>+$AH$5*AH47</f>
        <v>10</v>
      </c>
      <c r="AN47">
        <f>+$AI$5*AI47</f>
        <v>0</v>
      </c>
      <c r="AO47">
        <f>+SUM(AK47:AN47)</f>
        <v>74</v>
      </c>
    </row>
    <row r="48" spans="1:41" ht="15.75" customHeight="1" x14ac:dyDescent="0.3">
      <c r="A48" s="16"/>
      <c r="B48" s="55">
        <v>7</v>
      </c>
      <c r="C48" s="71" t="s">
        <v>28</v>
      </c>
      <c r="D48" s="55">
        <v>1</v>
      </c>
      <c r="E48" s="55" t="s">
        <v>20</v>
      </c>
      <c r="F48" s="18" t="s">
        <v>20</v>
      </c>
      <c r="G48" s="18" t="s">
        <v>20</v>
      </c>
      <c r="H48" s="18" t="s">
        <v>21</v>
      </c>
      <c r="I48" s="18" t="s">
        <v>20</v>
      </c>
      <c r="J48" s="18" t="s">
        <v>20</v>
      </c>
      <c r="K48" s="18" t="s">
        <v>20</v>
      </c>
      <c r="L48" s="18" t="s">
        <v>20</v>
      </c>
      <c r="M48" s="19" t="s">
        <v>20</v>
      </c>
      <c r="N48" s="19" t="s">
        <v>20</v>
      </c>
      <c r="O48" s="19" t="s">
        <v>20</v>
      </c>
      <c r="P48" s="19" t="s">
        <v>20</v>
      </c>
      <c r="Q48" s="18" t="s">
        <v>20</v>
      </c>
      <c r="R48" s="18" t="s">
        <v>20</v>
      </c>
      <c r="S48" s="19" t="s">
        <v>20</v>
      </c>
      <c r="T48" s="18" t="s">
        <v>20</v>
      </c>
      <c r="U48" s="18" t="s">
        <v>21</v>
      </c>
      <c r="V48" s="18" t="s">
        <v>20</v>
      </c>
      <c r="W48" s="18" t="s">
        <v>20</v>
      </c>
      <c r="X48" s="18" t="s">
        <v>20</v>
      </c>
      <c r="Y48" s="19" t="s">
        <v>20</v>
      </c>
      <c r="Z48" s="19" t="s">
        <v>20</v>
      </c>
      <c r="AA48" s="18" t="s">
        <v>20</v>
      </c>
      <c r="AB48" s="18" t="s">
        <v>21</v>
      </c>
      <c r="AC48" s="18" t="s">
        <v>20</v>
      </c>
      <c r="AD48" s="19" t="s">
        <v>21</v>
      </c>
      <c r="AE48" s="19" t="s">
        <v>21</v>
      </c>
      <c r="AF48">
        <f>+COUNTIF(F48:AE48,"AD")</f>
        <v>0</v>
      </c>
      <c r="AG48">
        <f>+COUNTIF(F48:AE48,"A")</f>
        <v>21</v>
      </c>
      <c r="AH48">
        <f>+COUNTIF(F48:AE48,"b")</f>
        <v>5</v>
      </c>
      <c r="AI48">
        <f>+COUNTIF(F48:AE48,"c")</f>
        <v>0</v>
      </c>
      <c r="AK48">
        <f>+$AF$5*AF48</f>
        <v>0</v>
      </c>
      <c r="AL48">
        <f>+$AG$5*AG48</f>
        <v>63</v>
      </c>
      <c r="AM48">
        <f>+$AH$5*AH48</f>
        <v>10</v>
      </c>
      <c r="AN48">
        <f>+$AI$5*AI48</f>
        <v>0</v>
      </c>
      <c r="AO48">
        <f>+SUM(AK48:AN48)</f>
        <v>73</v>
      </c>
    </row>
    <row r="49" spans="1:41" ht="15.75" customHeight="1" x14ac:dyDescent="0.3">
      <c r="A49" s="16"/>
      <c r="B49" s="55">
        <v>14</v>
      </c>
      <c r="C49" s="71" t="s">
        <v>162</v>
      </c>
      <c r="D49" s="55">
        <v>4</v>
      </c>
      <c r="E49" s="55" t="s">
        <v>20</v>
      </c>
      <c r="F49" s="18" t="s">
        <v>20</v>
      </c>
      <c r="G49" s="18" t="s">
        <v>20</v>
      </c>
      <c r="H49" s="18" t="s">
        <v>20</v>
      </c>
      <c r="I49" s="18" t="s">
        <v>20</v>
      </c>
      <c r="J49" s="69" t="s">
        <v>20</v>
      </c>
      <c r="K49" s="69" t="s">
        <v>20</v>
      </c>
      <c r="L49" s="69" t="s">
        <v>20</v>
      </c>
      <c r="M49" s="18" t="s">
        <v>20</v>
      </c>
      <c r="N49" s="18" t="s">
        <v>20</v>
      </c>
      <c r="O49" s="18" t="s">
        <v>20</v>
      </c>
      <c r="P49" s="18" t="s">
        <v>20</v>
      </c>
      <c r="Q49" s="18" t="s">
        <v>20</v>
      </c>
      <c r="R49" s="18" t="s">
        <v>21</v>
      </c>
      <c r="S49" s="18" t="s">
        <v>21</v>
      </c>
      <c r="T49" s="18" t="s">
        <v>20</v>
      </c>
      <c r="U49" s="18" t="s">
        <v>21</v>
      </c>
      <c r="V49" s="37" t="s">
        <v>20</v>
      </c>
      <c r="W49" s="37" t="s">
        <v>20</v>
      </c>
      <c r="X49" s="37" t="s">
        <v>20</v>
      </c>
      <c r="Y49" s="18" t="s">
        <v>20</v>
      </c>
      <c r="Z49" s="18" t="s">
        <v>20</v>
      </c>
      <c r="AA49" s="18" t="s">
        <v>21</v>
      </c>
      <c r="AB49" s="18" t="s">
        <v>20</v>
      </c>
      <c r="AC49" s="18" t="s">
        <v>20</v>
      </c>
      <c r="AD49" s="18" t="s">
        <v>20</v>
      </c>
      <c r="AE49" s="18" t="s">
        <v>21</v>
      </c>
      <c r="AF49">
        <f>+COUNTIF(F49:AE49,"AD")</f>
        <v>0</v>
      </c>
      <c r="AG49">
        <f>+COUNTIF(F49:AE49,"A")</f>
        <v>21</v>
      </c>
      <c r="AH49">
        <f>+COUNTIF(F49:AE49,"b")</f>
        <v>5</v>
      </c>
      <c r="AI49">
        <f>+COUNTIF(F49:AE49,"c")</f>
        <v>0</v>
      </c>
      <c r="AK49">
        <f>+$AF$5*AF49</f>
        <v>0</v>
      </c>
      <c r="AL49">
        <f>+$AG$5*AG49</f>
        <v>63</v>
      </c>
      <c r="AM49">
        <f>+$AH$5*AH49</f>
        <v>10</v>
      </c>
      <c r="AN49">
        <f>+$AI$5*AI49</f>
        <v>0</v>
      </c>
      <c r="AO49">
        <f>+SUM(AK49:AN49)</f>
        <v>73</v>
      </c>
    </row>
    <row r="50" spans="1:41" ht="15.75" customHeight="1" x14ac:dyDescent="0.3">
      <c r="A50" s="16"/>
      <c r="B50" s="55">
        <v>23</v>
      </c>
      <c r="C50" s="71" t="s">
        <v>194</v>
      </c>
      <c r="D50" s="55">
        <v>4</v>
      </c>
      <c r="E50" s="55" t="s">
        <v>21</v>
      </c>
      <c r="F50" s="18" t="s">
        <v>20</v>
      </c>
      <c r="G50" s="18" t="s">
        <v>20</v>
      </c>
      <c r="H50" s="18" t="s">
        <v>20</v>
      </c>
      <c r="I50" s="18" t="s">
        <v>20</v>
      </c>
      <c r="J50" s="69" t="s">
        <v>20</v>
      </c>
      <c r="K50" s="69" t="s">
        <v>20</v>
      </c>
      <c r="L50" s="69" t="s">
        <v>21</v>
      </c>
      <c r="M50" s="18" t="s">
        <v>20</v>
      </c>
      <c r="N50" s="18" t="s">
        <v>21</v>
      </c>
      <c r="O50" s="18" t="s">
        <v>20</v>
      </c>
      <c r="P50" s="18" t="s">
        <v>20</v>
      </c>
      <c r="Q50" s="18" t="s">
        <v>20</v>
      </c>
      <c r="R50" s="18" t="s">
        <v>20</v>
      </c>
      <c r="S50" s="18" t="s">
        <v>20</v>
      </c>
      <c r="T50" s="18" t="s">
        <v>20</v>
      </c>
      <c r="U50" s="18" t="s">
        <v>20</v>
      </c>
      <c r="V50" s="49" t="s">
        <v>20</v>
      </c>
      <c r="W50" s="37" t="s">
        <v>20</v>
      </c>
      <c r="X50" s="37" t="s">
        <v>20</v>
      </c>
      <c r="Y50" s="18" t="s">
        <v>20</v>
      </c>
      <c r="Z50" s="18" t="s">
        <v>20</v>
      </c>
      <c r="AA50" s="18" t="s">
        <v>21</v>
      </c>
      <c r="AB50" s="18" t="s">
        <v>21</v>
      </c>
      <c r="AC50" s="18" t="s">
        <v>20</v>
      </c>
      <c r="AD50" s="29" t="s">
        <v>20</v>
      </c>
      <c r="AE50" s="29" t="s">
        <v>21</v>
      </c>
      <c r="AF50">
        <f>+COUNTIF(F50:AE50,"AD")</f>
        <v>0</v>
      </c>
      <c r="AG50">
        <f>+COUNTIF(F50:AE50,"A")</f>
        <v>21</v>
      </c>
      <c r="AH50">
        <f>+COUNTIF(F50:AE50,"b")</f>
        <v>5</v>
      </c>
      <c r="AI50">
        <f>+COUNTIF(F50:AE50,"c")</f>
        <v>0</v>
      </c>
      <c r="AK50">
        <f>+$AF$5*AF50</f>
        <v>0</v>
      </c>
      <c r="AL50">
        <f>+$AG$5*AG50</f>
        <v>63</v>
      </c>
      <c r="AM50">
        <f>+$AH$5*AH50</f>
        <v>10</v>
      </c>
      <c r="AN50">
        <f>+$AI$5*AI50</f>
        <v>0</v>
      </c>
      <c r="AO50">
        <f>+SUM(AK50:AN50)</f>
        <v>73</v>
      </c>
    </row>
    <row r="51" spans="1:41" ht="15.75" customHeight="1" x14ac:dyDescent="0.3">
      <c r="A51" s="16"/>
      <c r="B51" s="55">
        <v>2</v>
      </c>
      <c r="C51" s="71" t="s">
        <v>198</v>
      </c>
      <c r="D51" s="55">
        <v>5</v>
      </c>
      <c r="E51" s="55" t="s">
        <v>20</v>
      </c>
      <c r="F51" s="18" t="s">
        <v>20</v>
      </c>
      <c r="G51" s="18" t="s">
        <v>20</v>
      </c>
      <c r="H51" s="18" t="s">
        <v>20</v>
      </c>
      <c r="I51" s="18" t="s">
        <v>20</v>
      </c>
      <c r="J51" s="69" t="s">
        <v>20</v>
      </c>
      <c r="K51" s="69" t="s">
        <v>20</v>
      </c>
      <c r="L51" s="69" t="s">
        <v>20</v>
      </c>
      <c r="M51" s="18" t="s">
        <v>20</v>
      </c>
      <c r="N51" s="18" t="s">
        <v>20</v>
      </c>
      <c r="O51" s="18" t="s">
        <v>20</v>
      </c>
      <c r="P51" s="18" t="s">
        <v>21</v>
      </c>
      <c r="Q51" s="18" t="s">
        <v>20</v>
      </c>
      <c r="R51" s="18" t="s">
        <v>20</v>
      </c>
      <c r="S51" s="18" t="s">
        <v>20</v>
      </c>
      <c r="T51" s="18" t="s">
        <v>21</v>
      </c>
      <c r="U51" s="18" t="s">
        <v>20</v>
      </c>
      <c r="V51" s="49" t="s">
        <v>20</v>
      </c>
      <c r="W51" s="37" t="s">
        <v>20</v>
      </c>
      <c r="X51" s="37" t="s">
        <v>20</v>
      </c>
      <c r="Y51" s="18" t="s">
        <v>21</v>
      </c>
      <c r="Z51" s="18" t="s">
        <v>20</v>
      </c>
      <c r="AA51" s="18" t="s">
        <v>21</v>
      </c>
      <c r="AB51" s="18" t="s">
        <v>20</v>
      </c>
      <c r="AC51" s="18" t="s">
        <v>20</v>
      </c>
      <c r="AD51" s="29" t="s">
        <v>20</v>
      </c>
      <c r="AE51" s="29" t="s">
        <v>21</v>
      </c>
      <c r="AF51">
        <f>+COUNTIF(F51:AE51,"AD")</f>
        <v>0</v>
      </c>
      <c r="AG51">
        <f>+COUNTIF(F51:AE51,"A")</f>
        <v>21</v>
      </c>
      <c r="AH51">
        <f>+COUNTIF(F51:AE51,"b")</f>
        <v>5</v>
      </c>
      <c r="AI51">
        <f>+COUNTIF(F51:AE51,"c")</f>
        <v>0</v>
      </c>
      <c r="AK51">
        <f>+$AF$5*AF51</f>
        <v>0</v>
      </c>
      <c r="AL51">
        <f>+$AG$5*AG51</f>
        <v>63</v>
      </c>
      <c r="AM51">
        <f>+$AH$5*AH51</f>
        <v>10</v>
      </c>
      <c r="AN51">
        <f>+$AI$5*AI51</f>
        <v>0</v>
      </c>
      <c r="AO51">
        <f>+SUM(AK51:AN51)</f>
        <v>73</v>
      </c>
    </row>
    <row r="52" spans="1:41" ht="15.75" customHeight="1" x14ac:dyDescent="0.3">
      <c r="A52" s="16"/>
      <c r="B52" s="55">
        <v>5</v>
      </c>
      <c r="C52" s="71" t="s">
        <v>201</v>
      </c>
      <c r="D52" s="55">
        <v>5</v>
      </c>
      <c r="E52" s="55" t="s">
        <v>20</v>
      </c>
      <c r="F52" s="18" t="s">
        <v>20</v>
      </c>
      <c r="G52" s="18" t="s">
        <v>20</v>
      </c>
      <c r="H52" s="18" t="s">
        <v>39</v>
      </c>
      <c r="I52" s="18" t="s">
        <v>39</v>
      </c>
      <c r="J52" s="69" t="s">
        <v>20</v>
      </c>
      <c r="K52" s="69" t="s">
        <v>20</v>
      </c>
      <c r="L52" s="69" t="s">
        <v>20</v>
      </c>
      <c r="M52" s="18" t="s">
        <v>20</v>
      </c>
      <c r="N52" s="18" t="s">
        <v>20</v>
      </c>
      <c r="O52" s="18" t="s">
        <v>20</v>
      </c>
      <c r="P52" s="18" t="s">
        <v>20</v>
      </c>
      <c r="Q52" s="18" t="s">
        <v>21</v>
      </c>
      <c r="R52" s="18" t="s">
        <v>21</v>
      </c>
      <c r="S52" s="18" t="s">
        <v>20</v>
      </c>
      <c r="T52" s="18" t="s">
        <v>21</v>
      </c>
      <c r="U52" s="18" t="s">
        <v>20</v>
      </c>
      <c r="V52" s="50" t="s">
        <v>20</v>
      </c>
      <c r="W52" s="37" t="s">
        <v>20</v>
      </c>
      <c r="X52" s="37" t="s">
        <v>20</v>
      </c>
      <c r="Y52" s="18" t="s">
        <v>20</v>
      </c>
      <c r="Z52" s="18" t="s">
        <v>20</v>
      </c>
      <c r="AA52" s="18" t="s">
        <v>21</v>
      </c>
      <c r="AB52" s="18" t="s">
        <v>21</v>
      </c>
      <c r="AC52" s="18" t="s">
        <v>21</v>
      </c>
      <c r="AD52" s="29" t="s">
        <v>20</v>
      </c>
      <c r="AE52" s="29" t="s">
        <v>21</v>
      </c>
      <c r="AF52">
        <f>+COUNTIF(F52:AE52,"AD")</f>
        <v>2</v>
      </c>
      <c r="AG52">
        <f>+COUNTIF(F52:AE52,"A")</f>
        <v>17</v>
      </c>
      <c r="AH52">
        <f>+COUNTIF(F52:AE52,"b")</f>
        <v>7</v>
      </c>
      <c r="AI52">
        <f>+COUNTIF(F52:AE52,"c")</f>
        <v>0</v>
      </c>
      <c r="AK52">
        <f>+$AF$5*AF52</f>
        <v>8</v>
      </c>
      <c r="AL52">
        <f>+$AG$5*AG52</f>
        <v>51</v>
      </c>
      <c r="AM52">
        <f>+$AH$5*AH52</f>
        <v>14</v>
      </c>
      <c r="AN52">
        <f>+$AI$5*AI52</f>
        <v>0</v>
      </c>
      <c r="AO52">
        <f>+SUM(AK52:AN52)</f>
        <v>73</v>
      </c>
    </row>
    <row r="53" spans="1:41" ht="15.75" customHeight="1" x14ac:dyDescent="0.3">
      <c r="A53" s="16"/>
      <c r="B53" s="55">
        <v>9</v>
      </c>
      <c r="C53" s="71" t="s">
        <v>205</v>
      </c>
      <c r="D53" s="55">
        <v>5</v>
      </c>
      <c r="E53" s="55" t="s">
        <v>20</v>
      </c>
      <c r="F53" s="18" t="s">
        <v>20</v>
      </c>
      <c r="G53" s="18" t="s">
        <v>20</v>
      </c>
      <c r="H53" s="18" t="s">
        <v>20</v>
      </c>
      <c r="I53" s="18" t="s">
        <v>20</v>
      </c>
      <c r="J53" s="69" t="s">
        <v>20</v>
      </c>
      <c r="K53" s="69" t="s">
        <v>20</v>
      </c>
      <c r="L53" s="69" t="s">
        <v>20</v>
      </c>
      <c r="M53" s="18" t="s">
        <v>20</v>
      </c>
      <c r="N53" s="18" t="s">
        <v>20</v>
      </c>
      <c r="O53" s="18" t="s">
        <v>20</v>
      </c>
      <c r="P53" s="18" t="s">
        <v>21</v>
      </c>
      <c r="Q53" s="18" t="s">
        <v>21</v>
      </c>
      <c r="R53" s="18" t="s">
        <v>20</v>
      </c>
      <c r="S53" s="18" t="s">
        <v>20</v>
      </c>
      <c r="T53" s="18" t="s">
        <v>21</v>
      </c>
      <c r="U53" s="18" t="s">
        <v>21</v>
      </c>
      <c r="V53" s="49" t="s">
        <v>20</v>
      </c>
      <c r="W53" s="37" t="s">
        <v>20</v>
      </c>
      <c r="X53" s="37" t="s">
        <v>20</v>
      </c>
      <c r="Y53" s="18" t="s">
        <v>20</v>
      </c>
      <c r="Z53" s="18" t="s">
        <v>20</v>
      </c>
      <c r="AA53" s="18" t="s">
        <v>20</v>
      </c>
      <c r="AB53" s="18" t="s">
        <v>20</v>
      </c>
      <c r="AC53" s="18" t="s">
        <v>20</v>
      </c>
      <c r="AD53" s="29" t="s">
        <v>20</v>
      </c>
      <c r="AE53" s="29" t="s">
        <v>21</v>
      </c>
      <c r="AF53">
        <f>+COUNTIF(F53:AE53,"AD")</f>
        <v>0</v>
      </c>
      <c r="AG53">
        <f>+COUNTIF(F53:AE53,"A")</f>
        <v>21</v>
      </c>
      <c r="AH53">
        <f>+COUNTIF(F53:AE53,"b")</f>
        <v>5</v>
      </c>
      <c r="AI53">
        <f>+COUNTIF(F53:AE53,"c")</f>
        <v>0</v>
      </c>
      <c r="AK53">
        <f>+$AF$5*AF53</f>
        <v>0</v>
      </c>
      <c r="AL53">
        <f>+$AG$5*AG53</f>
        <v>63</v>
      </c>
      <c r="AM53">
        <f>+$AH$5*AH53</f>
        <v>10</v>
      </c>
      <c r="AN53">
        <f>+$AI$5*AI53</f>
        <v>0</v>
      </c>
      <c r="AO53">
        <f>+SUM(AK53:AN53)</f>
        <v>73</v>
      </c>
    </row>
    <row r="54" spans="1:41" ht="15.75" customHeight="1" x14ac:dyDescent="0.3">
      <c r="A54" s="16"/>
      <c r="B54" s="55">
        <v>10</v>
      </c>
      <c r="C54" s="71" t="s">
        <v>206</v>
      </c>
      <c r="D54" s="55">
        <v>5</v>
      </c>
      <c r="E54" s="55" t="s">
        <v>20</v>
      </c>
      <c r="F54" s="18" t="s">
        <v>20</v>
      </c>
      <c r="G54" s="18" t="s">
        <v>20</v>
      </c>
      <c r="H54" s="18" t="s">
        <v>20</v>
      </c>
      <c r="I54" s="18" t="s">
        <v>20</v>
      </c>
      <c r="J54" s="69" t="s">
        <v>20</v>
      </c>
      <c r="K54" s="69" t="s">
        <v>20</v>
      </c>
      <c r="L54" s="69" t="s">
        <v>21</v>
      </c>
      <c r="M54" s="18" t="s">
        <v>20</v>
      </c>
      <c r="N54" s="18" t="s">
        <v>20</v>
      </c>
      <c r="O54" s="18" t="s">
        <v>20</v>
      </c>
      <c r="P54" s="18" t="s">
        <v>21</v>
      </c>
      <c r="Q54" s="18" t="s">
        <v>21</v>
      </c>
      <c r="R54" s="18" t="s">
        <v>20</v>
      </c>
      <c r="S54" s="18" t="s">
        <v>20</v>
      </c>
      <c r="T54" s="18" t="s">
        <v>21</v>
      </c>
      <c r="U54" s="18" t="s">
        <v>20</v>
      </c>
      <c r="V54" s="49" t="s">
        <v>20</v>
      </c>
      <c r="W54" s="37" t="s">
        <v>20</v>
      </c>
      <c r="X54" s="37" t="s">
        <v>21</v>
      </c>
      <c r="Y54" s="18" t="s">
        <v>20</v>
      </c>
      <c r="Z54" s="18" t="s">
        <v>20</v>
      </c>
      <c r="AA54" s="18" t="s">
        <v>39</v>
      </c>
      <c r="AB54" s="18" t="s">
        <v>20</v>
      </c>
      <c r="AC54" s="18" t="s">
        <v>20</v>
      </c>
      <c r="AD54" s="29" t="s">
        <v>20</v>
      </c>
      <c r="AE54" s="29" t="s">
        <v>21</v>
      </c>
      <c r="AF54">
        <f>+COUNTIF(F54:AE54,"AD")</f>
        <v>1</v>
      </c>
      <c r="AG54">
        <f>+COUNTIF(F54:AE54,"A")</f>
        <v>19</v>
      </c>
      <c r="AH54">
        <f>+COUNTIF(F54:AE54,"b")</f>
        <v>6</v>
      </c>
      <c r="AI54">
        <f>+COUNTIF(F54:AE54,"c")</f>
        <v>0</v>
      </c>
      <c r="AK54">
        <f>+$AF$5*AF54</f>
        <v>4</v>
      </c>
      <c r="AL54">
        <f>+$AG$5*AG54</f>
        <v>57</v>
      </c>
      <c r="AM54">
        <f>+$AH$5*AH54</f>
        <v>12</v>
      </c>
      <c r="AN54">
        <f>+$AI$5*AI54</f>
        <v>0</v>
      </c>
      <c r="AO54">
        <f>+SUM(AK54:AN54)</f>
        <v>73</v>
      </c>
    </row>
    <row r="55" spans="1:41" ht="15.75" customHeight="1" x14ac:dyDescent="0.3">
      <c r="A55" s="16"/>
      <c r="B55" s="55">
        <v>21</v>
      </c>
      <c r="C55" s="71" t="s">
        <v>217</v>
      </c>
      <c r="D55" s="55">
        <v>5</v>
      </c>
      <c r="E55" s="55" t="s">
        <v>20</v>
      </c>
      <c r="F55" s="18" t="s">
        <v>20</v>
      </c>
      <c r="G55" s="18" t="s">
        <v>20</v>
      </c>
      <c r="H55" s="18" t="s">
        <v>39</v>
      </c>
      <c r="I55" s="18" t="s">
        <v>20</v>
      </c>
      <c r="J55" s="69" t="s">
        <v>20</v>
      </c>
      <c r="K55" s="69" t="s">
        <v>20</v>
      </c>
      <c r="L55" s="69" t="s">
        <v>20</v>
      </c>
      <c r="M55" s="18" t="s">
        <v>21</v>
      </c>
      <c r="N55" s="18" t="s">
        <v>20</v>
      </c>
      <c r="O55" s="18" t="s">
        <v>20</v>
      </c>
      <c r="P55" s="18" t="s">
        <v>21</v>
      </c>
      <c r="Q55" s="18" t="s">
        <v>21</v>
      </c>
      <c r="R55" s="18" t="s">
        <v>21</v>
      </c>
      <c r="S55" s="18" t="s">
        <v>20</v>
      </c>
      <c r="T55" s="18" t="s">
        <v>21</v>
      </c>
      <c r="U55" s="18" t="s">
        <v>20</v>
      </c>
      <c r="V55" s="37" t="s">
        <v>20</v>
      </c>
      <c r="W55" s="37" t="s">
        <v>20</v>
      </c>
      <c r="X55" s="37" t="s">
        <v>20</v>
      </c>
      <c r="Y55" s="18" t="s">
        <v>20</v>
      </c>
      <c r="Z55" s="18" t="s">
        <v>20</v>
      </c>
      <c r="AA55" s="18" t="s">
        <v>20</v>
      </c>
      <c r="AB55" s="18" t="s">
        <v>20</v>
      </c>
      <c r="AC55" s="18" t="s">
        <v>20</v>
      </c>
      <c r="AD55" s="18" t="s">
        <v>20</v>
      </c>
      <c r="AE55" s="18" t="s">
        <v>21</v>
      </c>
      <c r="AF55">
        <f>+COUNTIF(F55:AE55,"AD")</f>
        <v>1</v>
      </c>
      <c r="AG55">
        <f>+COUNTIF(F55:AE55,"A")</f>
        <v>19</v>
      </c>
      <c r="AH55">
        <f>+COUNTIF(F55:AE55,"b")</f>
        <v>6</v>
      </c>
      <c r="AI55">
        <f>+COUNTIF(F55:AE55,"c")</f>
        <v>0</v>
      </c>
      <c r="AK55">
        <f>+$AF$5*AF55</f>
        <v>4</v>
      </c>
      <c r="AL55">
        <f>+$AG$5*AG55</f>
        <v>57</v>
      </c>
      <c r="AM55">
        <f>+$AH$5*AH55</f>
        <v>12</v>
      </c>
      <c r="AN55">
        <f>+$AI$5*AI55</f>
        <v>0</v>
      </c>
      <c r="AO55">
        <f>+SUM(AK55:AN55)</f>
        <v>73</v>
      </c>
    </row>
    <row r="56" spans="1:41" ht="15.75" customHeight="1" x14ac:dyDescent="0.3">
      <c r="A56" s="16"/>
      <c r="B56" s="55">
        <v>27</v>
      </c>
      <c r="C56" s="71" t="s">
        <v>223</v>
      </c>
      <c r="D56" s="55">
        <v>5</v>
      </c>
      <c r="E56" s="55" t="s">
        <v>20</v>
      </c>
      <c r="F56" s="18" t="s">
        <v>20</v>
      </c>
      <c r="G56" s="18" t="s">
        <v>20</v>
      </c>
      <c r="H56" s="18" t="s">
        <v>20</v>
      </c>
      <c r="I56" s="18" t="s">
        <v>20</v>
      </c>
      <c r="J56" s="69" t="s">
        <v>20</v>
      </c>
      <c r="K56" s="69" t="s">
        <v>20</v>
      </c>
      <c r="L56" s="69" t="s">
        <v>20</v>
      </c>
      <c r="M56" s="18" t="s">
        <v>20</v>
      </c>
      <c r="N56" s="18" t="s">
        <v>20</v>
      </c>
      <c r="O56" s="18" t="s">
        <v>20</v>
      </c>
      <c r="P56" s="18" t="s">
        <v>20</v>
      </c>
      <c r="Q56" s="18" t="s">
        <v>21</v>
      </c>
      <c r="R56" s="18" t="s">
        <v>21</v>
      </c>
      <c r="S56" s="18" t="s">
        <v>20</v>
      </c>
      <c r="T56" s="18" t="s">
        <v>21</v>
      </c>
      <c r="U56" s="18" t="s">
        <v>21</v>
      </c>
      <c r="V56" s="37" t="s">
        <v>20</v>
      </c>
      <c r="W56" s="37" t="s">
        <v>20</v>
      </c>
      <c r="X56" s="37" t="s">
        <v>20</v>
      </c>
      <c r="Y56" s="18" t="s">
        <v>20</v>
      </c>
      <c r="Z56" s="18" t="s">
        <v>20</v>
      </c>
      <c r="AA56" s="18" t="s">
        <v>20</v>
      </c>
      <c r="AB56" s="18" t="s">
        <v>20</v>
      </c>
      <c r="AC56" s="18" t="s">
        <v>20</v>
      </c>
      <c r="AD56" s="18" t="s">
        <v>20</v>
      </c>
      <c r="AE56" s="18" t="s">
        <v>21</v>
      </c>
      <c r="AF56">
        <f>+COUNTIF(F56:AE56,"AD")</f>
        <v>0</v>
      </c>
      <c r="AG56">
        <f>+COUNTIF(F56:AE56,"A")</f>
        <v>21</v>
      </c>
      <c r="AH56">
        <f>+COUNTIF(F56:AE56,"b")</f>
        <v>5</v>
      </c>
      <c r="AI56">
        <f>+COUNTIF(F56:AE56,"c")</f>
        <v>0</v>
      </c>
      <c r="AK56">
        <f>+$AF$5*AF56</f>
        <v>0</v>
      </c>
      <c r="AL56">
        <f>+$AG$5*AG56</f>
        <v>63</v>
      </c>
      <c r="AM56">
        <f>+$AH$5*AH56</f>
        <v>10</v>
      </c>
      <c r="AN56">
        <f>+$AI$5*AI56</f>
        <v>0</v>
      </c>
      <c r="AO56">
        <f>+SUM(AK56:AN56)</f>
        <v>73</v>
      </c>
    </row>
    <row r="57" spans="1:41" ht="15.75" customHeight="1" x14ac:dyDescent="0.3">
      <c r="A57" s="16"/>
      <c r="B57" s="55">
        <v>16</v>
      </c>
      <c r="C57" s="71" t="s">
        <v>37</v>
      </c>
      <c r="D57" s="55">
        <v>1</v>
      </c>
      <c r="E57" s="55" t="s">
        <v>20</v>
      </c>
      <c r="F57" s="18" t="s">
        <v>21</v>
      </c>
      <c r="G57" s="18" t="s">
        <v>21</v>
      </c>
      <c r="H57" s="18" t="s">
        <v>21</v>
      </c>
      <c r="I57" s="18" t="s">
        <v>21</v>
      </c>
      <c r="J57" s="18" t="s">
        <v>20</v>
      </c>
      <c r="K57" s="18" t="s">
        <v>20</v>
      </c>
      <c r="L57" s="18" t="s">
        <v>20</v>
      </c>
      <c r="M57" s="19" t="s">
        <v>20</v>
      </c>
      <c r="N57" s="19" t="s">
        <v>20</v>
      </c>
      <c r="O57" s="19" t="s">
        <v>20</v>
      </c>
      <c r="P57" s="19" t="s">
        <v>20</v>
      </c>
      <c r="Q57" s="18" t="s">
        <v>20</v>
      </c>
      <c r="R57" s="18" t="s">
        <v>20</v>
      </c>
      <c r="S57" s="19" t="s">
        <v>20</v>
      </c>
      <c r="T57" s="18" t="s">
        <v>20</v>
      </c>
      <c r="U57" s="18" t="s">
        <v>20</v>
      </c>
      <c r="V57" s="18" t="s">
        <v>20</v>
      </c>
      <c r="W57" s="18" t="s">
        <v>20</v>
      </c>
      <c r="X57" s="18" t="s">
        <v>20</v>
      </c>
      <c r="Y57" s="19" t="s">
        <v>20</v>
      </c>
      <c r="Z57" s="19" t="s">
        <v>20</v>
      </c>
      <c r="AA57" s="18" t="s">
        <v>20</v>
      </c>
      <c r="AB57" s="18" t="s">
        <v>21</v>
      </c>
      <c r="AC57" s="18" t="s">
        <v>20</v>
      </c>
      <c r="AD57" s="19" t="s">
        <v>20</v>
      </c>
      <c r="AE57" s="19" t="s">
        <v>21</v>
      </c>
      <c r="AF57">
        <f>+COUNTIF(F57:AE57,"AD")</f>
        <v>0</v>
      </c>
      <c r="AG57">
        <f>+COUNTIF(F57:AE57,"A")</f>
        <v>20</v>
      </c>
      <c r="AH57">
        <f>+COUNTIF(F57:AE57,"b")</f>
        <v>6</v>
      </c>
      <c r="AI57">
        <f>+COUNTIF(F57:AE57,"c")</f>
        <v>0</v>
      </c>
      <c r="AK57">
        <f>+$AF$5*AF57</f>
        <v>0</v>
      </c>
      <c r="AL57">
        <f>+$AG$5*AG57</f>
        <v>60</v>
      </c>
      <c r="AM57">
        <f>+$AH$5*AH57</f>
        <v>12</v>
      </c>
      <c r="AN57">
        <f>+$AI$5*AI57</f>
        <v>0</v>
      </c>
      <c r="AO57">
        <f>+SUM(AK57:AN57)</f>
        <v>72</v>
      </c>
    </row>
    <row r="58" spans="1:41" ht="15.75" customHeight="1" x14ac:dyDescent="0.3">
      <c r="A58" s="16"/>
      <c r="B58" s="55">
        <v>22</v>
      </c>
      <c r="C58" s="71" t="s">
        <v>193</v>
      </c>
      <c r="D58" s="55">
        <v>4</v>
      </c>
      <c r="E58" s="55" t="s">
        <v>21</v>
      </c>
      <c r="F58" s="18" t="s">
        <v>20</v>
      </c>
      <c r="G58" s="18" t="s">
        <v>39</v>
      </c>
      <c r="H58" s="18" t="s">
        <v>39</v>
      </c>
      <c r="I58" s="18" t="s">
        <v>39</v>
      </c>
      <c r="J58" s="69" t="s">
        <v>20</v>
      </c>
      <c r="K58" s="69" t="s">
        <v>20</v>
      </c>
      <c r="L58" s="69" t="s">
        <v>20</v>
      </c>
      <c r="M58" s="18" t="s">
        <v>20</v>
      </c>
      <c r="N58" s="18" t="s">
        <v>20</v>
      </c>
      <c r="O58" s="18" t="s">
        <v>20</v>
      </c>
      <c r="P58" s="18" t="s">
        <v>20</v>
      </c>
      <c r="Q58" s="18" t="s">
        <v>21</v>
      </c>
      <c r="R58" s="18" t="s">
        <v>21</v>
      </c>
      <c r="S58" s="18" t="s">
        <v>20</v>
      </c>
      <c r="T58" s="18" t="s">
        <v>20</v>
      </c>
      <c r="U58" s="18" t="s">
        <v>20</v>
      </c>
      <c r="V58" s="49" t="s">
        <v>20</v>
      </c>
      <c r="W58" s="37" t="s">
        <v>20</v>
      </c>
      <c r="X58" s="37" t="s">
        <v>20</v>
      </c>
      <c r="Y58" s="18" t="s">
        <v>20</v>
      </c>
      <c r="Z58" s="18" t="s">
        <v>20</v>
      </c>
      <c r="AA58" s="18" t="s">
        <v>20</v>
      </c>
      <c r="AB58" s="18" t="s">
        <v>21</v>
      </c>
      <c r="AC58" s="18" t="s">
        <v>20</v>
      </c>
      <c r="AD58" s="29" t="s">
        <v>55</v>
      </c>
      <c r="AE58" s="29" t="s">
        <v>55</v>
      </c>
      <c r="AF58">
        <f>+COUNTIF(F58:AE58,"AD")</f>
        <v>3</v>
      </c>
      <c r="AG58">
        <f>+COUNTIF(F58:AE58,"A")</f>
        <v>18</v>
      </c>
      <c r="AH58">
        <f>+COUNTIF(F58:AE58,"b")</f>
        <v>3</v>
      </c>
      <c r="AI58">
        <f>+COUNTIF(F58:AE58,"c")</f>
        <v>0</v>
      </c>
      <c r="AK58">
        <f>+$AF$5*AF58</f>
        <v>12</v>
      </c>
      <c r="AL58">
        <f>+$AG$5*AG58</f>
        <v>54</v>
      </c>
      <c r="AM58">
        <f>+$AH$5*AH58</f>
        <v>6</v>
      </c>
      <c r="AN58">
        <f>+$AI$5*AI58</f>
        <v>0</v>
      </c>
      <c r="AO58">
        <f>+SUM(AK58:AN58)</f>
        <v>72</v>
      </c>
    </row>
    <row r="59" spans="1:41" ht="15.75" customHeight="1" x14ac:dyDescent="0.3">
      <c r="A59" s="16"/>
      <c r="B59" s="55">
        <v>18</v>
      </c>
      <c r="C59" s="71" t="s">
        <v>214</v>
      </c>
      <c r="D59" s="55">
        <v>5</v>
      </c>
      <c r="E59" s="55" t="s">
        <v>20</v>
      </c>
      <c r="F59" s="18" t="s">
        <v>20</v>
      </c>
      <c r="G59" s="18" t="s">
        <v>20</v>
      </c>
      <c r="H59" s="18" t="s">
        <v>20</v>
      </c>
      <c r="I59" s="18" t="s">
        <v>20</v>
      </c>
      <c r="J59" s="69" t="s">
        <v>20</v>
      </c>
      <c r="K59" s="69" t="s">
        <v>20</v>
      </c>
      <c r="L59" s="69" t="s">
        <v>21</v>
      </c>
      <c r="M59" s="18" t="s">
        <v>20</v>
      </c>
      <c r="N59" s="18" t="s">
        <v>20</v>
      </c>
      <c r="O59" s="18" t="s">
        <v>20</v>
      </c>
      <c r="P59" s="18" t="s">
        <v>21</v>
      </c>
      <c r="Q59" s="18" t="s">
        <v>20</v>
      </c>
      <c r="R59" s="18" t="s">
        <v>21</v>
      </c>
      <c r="S59" s="18" t="s">
        <v>21</v>
      </c>
      <c r="T59" s="18" t="s">
        <v>21</v>
      </c>
      <c r="U59" s="18" t="s">
        <v>20</v>
      </c>
      <c r="V59" s="37" t="s">
        <v>20</v>
      </c>
      <c r="W59" s="37" t="s">
        <v>20</v>
      </c>
      <c r="X59" s="37" t="s">
        <v>20</v>
      </c>
      <c r="Y59" s="18" t="s">
        <v>20</v>
      </c>
      <c r="Z59" s="18" t="s">
        <v>20</v>
      </c>
      <c r="AA59" s="18" t="s">
        <v>20</v>
      </c>
      <c r="AB59" s="18" t="s">
        <v>20</v>
      </c>
      <c r="AC59" s="18" t="s">
        <v>20</v>
      </c>
      <c r="AD59" s="18" t="s">
        <v>20</v>
      </c>
      <c r="AE59" s="18" t="s">
        <v>21</v>
      </c>
      <c r="AF59">
        <f>+COUNTIF(F59:AE59,"AD")</f>
        <v>0</v>
      </c>
      <c r="AG59">
        <f>+COUNTIF(F59:AE59,"A")</f>
        <v>20</v>
      </c>
      <c r="AH59">
        <f>+COUNTIF(F59:AE59,"b")</f>
        <v>6</v>
      </c>
      <c r="AI59">
        <f>+COUNTIF(F59:AE59,"c")</f>
        <v>0</v>
      </c>
      <c r="AK59">
        <f>+$AF$5*AF59</f>
        <v>0</v>
      </c>
      <c r="AL59">
        <f>+$AG$5*AG59</f>
        <v>60</v>
      </c>
      <c r="AM59">
        <f>+$AH$5*AH59</f>
        <v>12</v>
      </c>
      <c r="AN59">
        <f>+$AI$5*AI59</f>
        <v>0</v>
      </c>
      <c r="AO59">
        <f>+SUM(AK59:AN59)</f>
        <v>72</v>
      </c>
    </row>
    <row r="60" spans="1:41" ht="15.75" customHeight="1" x14ac:dyDescent="0.3">
      <c r="A60" s="16"/>
      <c r="B60" s="55">
        <v>4</v>
      </c>
      <c r="C60" s="71" t="s">
        <v>228</v>
      </c>
      <c r="D60" s="55">
        <v>5</v>
      </c>
      <c r="E60" s="55" t="s">
        <v>21</v>
      </c>
      <c r="F60" s="18" t="s">
        <v>20</v>
      </c>
      <c r="G60" s="18" t="s">
        <v>20</v>
      </c>
      <c r="H60" s="18" t="s">
        <v>20</v>
      </c>
      <c r="I60" s="18" t="s">
        <v>20</v>
      </c>
      <c r="J60" s="18" t="s">
        <v>21</v>
      </c>
      <c r="K60" s="18" t="s">
        <v>20</v>
      </c>
      <c r="L60" s="18" t="s">
        <v>20</v>
      </c>
      <c r="M60" s="18" t="s">
        <v>20</v>
      </c>
      <c r="N60" s="18" t="s">
        <v>20</v>
      </c>
      <c r="O60" s="18" t="s">
        <v>20</v>
      </c>
      <c r="P60" s="18" t="s">
        <v>21</v>
      </c>
      <c r="Q60" s="18" t="s">
        <v>21</v>
      </c>
      <c r="R60" s="18" t="s">
        <v>21</v>
      </c>
      <c r="S60" s="18" t="s">
        <v>20</v>
      </c>
      <c r="T60" s="18" t="s">
        <v>21</v>
      </c>
      <c r="U60" s="18" t="s">
        <v>20</v>
      </c>
      <c r="V60" s="37" t="s">
        <v>20</v>
      </c>
      <c r="W60" s="37" t="s">
        <v>20</v>
      </c>
      <c r="X60" s="37" t="s">
        <v>20</v>
      </c>
      <c r="Y60" s="18" t="s">
        <v>20</v>
      </c>
      <c r="Z60" s="18" t="s">
        <v>20</v>
      </c>
      <c r="AA60" s="18" t="s">
        <v>20</v>
      </c>
      <c r="AB60" s="18" t="s">
        <v>20</v>
      </c>
      <c r="AC60" s="18" t="s">
        <v>20</v>
      </c>
      <c r="AD60" s="18" t="s">
        <v>20</v>
      </c>
      <c r="AE60" s="18" t="s">
        <v>21</v>
      </c>
      <c r="AF60">
        <f>+COUNTIF(F60:AE60,"AD")</f>
        <v>0</v>
      </c>
      <c r="AG60">
        <f>+COUNTIF(F60:AE60,"A")</f>
        <v>20</v>
      </c>
      <c r="AH60">
        <f>+COUNTIF(F60:AE60,"b")</f>
        <v>6</v>
      </c>
      <c r="AI60">
        <f>+COUNTIF(F60:AE60,"c")</f>
        <v>0</v>
      </c>
      <c r="AK60">
        <f>+$AF$5*AF60</f>
        <v>0</v>
      </c>
      <c r="AL60">
        <f>+$AG$5*AG60</f>
        <v>60</v>
      </c>
      <c r="AM60">
        <f>+$AH$5*AH60</f>
        <v>12</v>
      </c>
      <c r="AN60">
        <f>+$AI$5*AI60</f>
        <v>0</v>
      </c>
      <c r="AO60">
        <f>+SUM(AK60:AN60)</f>
        <v>72</v>
      </c>
    </row>
    <row r="61" spans="1:41" ht="15.75" customHeight="1" x14ac:dyDescent="0.3">
      <c r="A61" s="16"/>
      <c r="B61" s="55">
        <v>1</v>
      </c>
      <c r="C61" s="71" t="s">
        <v>19</v>
      </c>
      <c r="D61" s="55">
        <v>1</v>
      </c>
      <c r="E61" s="55" t="s">
        <v>20</v>
      </c>
      <c r="F61" s="17" t="s">
        <v>20</v>
      </c>
      <c r="G61" s="18" t="s">
        <v>20</v>
      </c>
      <c r="H61" s="18" t="s">
        <v>21</v>
      </c>
      <c r="I61" s="18" t="s">
        <v>20</v>
      </c>
      <c r="J61" s="18" t="s">
        <v>20</v>
      </c>
      <c r="K61" s="18" t="s">
        <v>20</v>
      </c>
      <c r="L61" s="18" t="s">
        <v>20</v>
      </c>
      <c r="M61" s="19" t="s">
        <v>20</v>
      </c>
      <c r="N61" s="19" t="s">
        <v>20</v>
      </c>
      <c r="O61" s="19" t="s">
        <v>20</v>
      </c>
      <c r="P61" s="19" t="s">
        <v>20</v>
      </c>
      <c r="Q61" s="18" t="s">
        <v>21</v>
      </c>
      <c r="R61" s="18" t="s">
        <v>21</v>
      </c>
      <c r="S61" s="19" t="s">
        <v>20</v>
      </c>
      <c r="T61" s="18" t="s">
        <v>20</v>
      </c>
      <c r="U61" s="18" t="s">
        <v>20</v>
      </c>
      <c r="V61" s="18" t="s">
        <v>20</v>
      </c>
      <c r="W61" s="18" t="s">
        <v>20</v>
      </c>
      <c r="X61" s="18" t="s">
        <v>20</v>
      </c>
      <c r="Y61" s="19" t="s">
        <v>21</v>
      </c>
      <c r="Z61" s="19" t="s">
        <v>20</v>
      </c>
      <c r="AA61" s="18" t="s">
        <v>21</v>
      </c>
      <c r="AB61" s="18" t="s">
        <v>21</v>
      </c>
      <c r="AC61" s="18" t="s">
        <v>20</v>
      </c>
      <c r="AD61" s="19" t="s">
        <v>20</v>
      </c>
      <c r="AE61" s="19" t="s">
        <v>21</v>
      </c>
      <c r="AF61">
        <f>+COUNTIF(F61:AE61,"AD")</f>
        <v>0</v>
      </c>
      <c r="AG61">
        <f>+COUNTIF(F61:AE61,"A")</f>
        <v>19</v>
      </c>
      <c r="AH61">
        <f>+COUNTIF(F61:AE61,"b")</f>
        <v>7</v>
      </c>
      <c r="AI61">
        <f>+COUNTIF(F61:AE61,"c")</f>
        <v>0</v>
      </c>
      <c r="AK61">
        <f>+$AF$5*AF61</f>
        <v>0</v>
      </c>
      <c r="AL61">
        <f>+$AG$5*AG61</f>
        <v>57</v>
      </c>
      <c r="AM61">
        <f>+$AH$5*AH61</f>
        <v>14</v>
      </c>
      <c r="AN61">
        <f>+$AI$5*AI61</f>
        <v>0</v>
      </c>
      <c r="AO61">
        <f>+SUM(AK61:AN61)</f>
        <v>71</v>
      </c>
    </row>
    <row r="62" spans="1:41" ht="15.75" customHeight="1" x14ac:dyDescent="0.3">
      <c r="A62" s="16"/>
      <c r="B62" s="55">
        <v>1</v>
      </c>
      <c r="C62" s="71" t="s">
        <v>149</v>
      </c>
      <c r="D62" s="55">
        <v>4</v>
      </c>
      <c r="E62" s="55" t="s">
        <v>20</v>
      </c>
      <c r="F62" s="18" t="s">
        <v>20</v>
      </c>
      <c r="G62" s="18" t="s">
        <v>20</v>
      </c>
      <c r="H62" s="18" t="s">
        <v>20</v>
      </c>
      <c r="I62" s="18" t="s">
        <v>20</v>
      </c>
      <c r="J62" s="69" t="s">
        <v>20</v>
      </c>
      <c r="K62" s="69" t="s">
        <v>20</v>
      </c>
      <c r="L62" s="69" t="s">
        <v>21</v>
      </c>
      <c r="M62" s="18" t="s">
        <v>20</v>
      </c>
      <c r="N62" s="18" t="s">
        <v>20</v>
      </c>
      <c r="O62" s="18" t="s">
        <v>20</v>
      </c>
      <c r="P62" s="18" t="s">
        <v>20</v>
      </c>
      <c r="Q62" s="18" t="s">
        <v>20</v>
      </c>
      <c r="R62" s="18" t="s">
        <v>20</v>
      </c>
      <c r="S62" s="18" t="s">
        <v>20</v>
      </c>
      <c r="T62" s="18" t="s">
        <v>21</v>
      </c>
      <c r="U62" s="18" t="s">
        <v>21</v>
      </c>
      <c r="V62" s="37" t="s">
        <v>20</v>
      </c>
      <c r="W62" s="37" t="s">
        <v>20</v>
      </c>
      <c r="X62" s="37" t="s">
        <v>20</v>
      </c>
      <c r="Y62" s="18" t="s">
        <v>20</v>
      </c>
      <c r="Z62" s="18" t="s">
        <v>20</v>
      </c>
      <c r="AA62" s="18" t="s">
        <v>21</v>
      </c>
      <c r="AB62" s="18" t="s">
        <v>20</v>
      </c>
      <c r="AC62" s="18" t="s">
        <v>21</v>
      </c>
      <c r="AD62" s="29" t="s">
        <v>21</v>
      </c>
      <c r="AE62" s="29" t="s">
        <v>21</v>
      </c>
      <c r="AF62">
        <f>+COUNTIF(F62:AE62,"AD")</f>
        <v>0</v>
      </c>
      <c r="AG62">
        <f>+COUNTIF(F62:AE62,"A")</f>
        <v>19</v>
      </c>
      <c r="AH62">
        <f>+COUNTIF(F62:AE62,"b")</f>
        <v>7</v>
      </c>
      <c r="AI62">
        <f>+COUNTIF(F62:AE62,"c")</f>
        <v>0</v>
      </c>
      <c r="AK62">
        <f>+$AF$5*AF62</f>
        <v>0</v>
      </c>
      <c r="AL62">
        <f>+$AG$5*AG62</f>
        <v>57</v>
      </c>
      <c r="AM62">
        <f>+$AH$5*AH62</f>
        <v>14</v>
      </c>
      <c r="AN62">
        <f>+$AI$5*AI62</f>
        <v>0</v>
      </c>
      <c r="AO62">
        <f>+SUM(AK62:AN62)</f>
        <v>71</v>
      </c>
    </row>
    <row r="63" spans="1:41" ht="15.75" customHeight="1" x14ac:dyDescent="0.3">
      <c r="A63" s="16"/>
      <c r="B63" s="55">
        <v>15</v>
      </c>
      <c r="C63" s="71" t="s">
        <v>163</v>
      </c>
      <c r="D63" s="55">
        <v>4</v>
      </c>
      <c r="E63" s="55" t="s">
        <v>20</v>
      </c>
      <c r="F63" s="18" t="s">
        <v>20</v>
      </c>
      <c r="G63" s="18" t="s">
        <v>21</v>
      </c>
      <c r="H63" s="18" t="s">
        <v>21</v>
      </c>
      <c r="I63" s="18" t="s">
        <v>20</v>
      </c>
      <c r="J63" s="69" t="s">
        <v>20</v>
      </c>
      <c r="K63" s="69" t="s">
        <v>20</v>
      </c>
      <c r="L63" s="69" t="s">
        <v>20</v>
      </c>
      <c r="M63" s="18" t="s">
        <v>21</v>
      </c>
      <c r="N63" s="18" t="s">
        <v>20</v>
      </c>
      <c r="O63" s="18" t="s">
        <v>20</v>
      </c>
      <c r="P63" s="18" t="s">
        <v>20</v>
      </c>
      <c r="Q63" s="18" t="s">
        <v>20</v>
      </c>
      <c r="R63" s="18" t="s">
        <v>20</v>
      </c>
      <c r="S63" s="18" t="s">
        <v>20</v>
      </c>
      <c r="T63" s="18" t="s">
        <v>20</v>
      </c>
      <c r="U63" s="18" t="s">
        <v>21</v>
      </c>
      <c r="V63" s="37" t="s">
        <v>20</v>
      </c>
      <c r="W63" s="37" t="s">
        <v>20</v>
      </c>
      <c r="X63" s="37" t="s">
        <v>20</v>
      </c>
      <c r="Y63" s="18" t="s">
        <v>20</v>
      </c>
      <c r="Z63" s="18" t="s">
        <v>21</v>
      </c>
      <c r="AA63" s="18" t="s">
        <v>21</v>
      </c>
      <c r="AB63" s="18" t="s">
        <v>20</v>
      </c>
      <c r="AC63" s="18" t="s">
        <v>20</v>
      </c>
      <c r="AD63" s="18" t="s">
        <v>20</v>
      </c>
      <c r="AE63" s="18" t="s">
        <v>21</v>
      </c>
      <c r="AF63">
        <f>+COUNTIF(F63:AE63,"AD")</f>
        <v>0</v>
      </c>
      <c r="AG63">
        <f>+COUNTIF(F63:AE63,"A")</f>
        <v>19</v>
      </c>
      <c r="AH63">
        <f>+COUNTIF(F63:AE63,"b")</f>
        <v>7</v>
      </c>
      <c r="AI63">
        <f>+COUNTIF(F63:AE63,"c")</f>
        <v>0</v>
      </c>
      <c r="AK63">
        <f>+$AF$5*AF63</f>
        <v>0</v>
      </c>
      <c r="AL63">
        <f>+$AG$5*AG63</f>
        <v>57</v>
      </c>
      <c r="AM63">
        <f>+$AH$5*AH63</f>
        <v>14</v>
      </c>
      <c r="AN63">
        <f>+$AI$5*AI63</f>
        <v>0</v>
      </c>
      <c r="AO63">
        <f>+SUM(AK63:AN63)</f>
        <v>71</v>
      </c>
    </row>
    <row r="64" spans="1:41" ht="15.75" customHeight="1" x14ac:dyDescent="0.3">
      <c r="A64" s="16"/>
      <c r="B64" s="55">
        <v>6</v>
      </c>
      <c r="C64" s="71" t="s">
        <v>177</v>
      </c>
      <c r="D64" s="55">
        <v>4</v>
      </c>
      <c r="E64" s="55" t="s">
        <v>21</v>
      </c>
      <c r="F64" s="18" t="s">
        <v>20</v>
      </c>
      <c r="G64" s="18" t="s">
        <v>20</v>
      </c>
      <c r="H64" s="18" t="s">
        <v>20</v>
      </c>
      <c r="I64" s="18" t="s">
        <v>20</v>
      </c>
      <c r="J64" s="69" t="s">
        <v>20</v>
      </c>
      <c r="K64" s="69" t="s">
        <v>20</v>
      </c>
      <c r="L64" s="69" t="s">
        <v>20</v>
      </c>
      <c r="M64" s="18" t="s">
        <v>20</v>
      </c>
      <c r="N64" s="18" t="s">
        <v>20</v>
      </c>
      <c r="O64" s="18" t="s">
        <v>21</v>
      </c>
      <c r="P64" s="18" t="s">
        <v>21</v>
      </c>
      <c r="Q64" s="18" t="s">
        <v>21</v>
      </c>
      <c r="R64" s="18" t="s">
        <v>21</v>
      </c>
      <c r="S64" s="18" t="s">
        <v>20</v>
      </c>
      <c r="T64" s="18" t="s">
        <v>20</v>
      </c>
      <c r="U64" s="18" t="s">
        <v>21</v>
      </c>
      <c r="V64" s="37" t="s">
        <v>20</v>
      </c>
      <c r="W64" s="37" t="s">
        <v>20</v>
      </c>
      <c r="X64" s="37" t="s">
        <v>20</v>
      </c>
      <c r="Y64" s="18" t="s">
        <v>20</v>
      </c>
      <c r="Z64" s="18" t="s">
        <v>20</v>
      </c>
      <c r="AA64" s="18" t="s">
        <v>21</v>
      </c>
      <c r="AB64" s="18" t="s">
        <v>20</v>
      </c>
      <c r="AC64" s="18" t="s">
        <v>20</v>
      </c>
      <c r="AD64" s="18" t="s">
        <v>20</v>
      </c>
      <c r="AE64" s="18" t="s">
        <v>21</v>
      </c>
      <c r="AF64">
        <f>+COUNTIF(F64:AE64,"AD")</f>
        <v>0</v>
      </c>
      <c r="AG64">
        <f>+COUNTIF(F64:AE64,"A")</f>
        <v>19</v>
      </c>
      <c r="AH64">
        <f>+COUNTIF(F64:AE64,"b")</f>
        <v>7</v>
      </c>
      <c r="AI64">
        <f>+COUNTIF(F64:AE64,"c")</f>
        <v>0</v>
      </c>
      <c r="AK64">
        <f>+$AF$5*AF64</f>
        <v>0</v>
      </c>
      <c r="AL64">
        <f>+$AG$5*AG64</f>
        <v>57</v>
      </c>
      <c r="AM64">
        <f>+$AH$5*AH64</f>
        <v>14</v>
      </c>
      <c r="AN64">
        <f>+$AI$5*AI64</f>
        <v>0</v>
      </c>
      <c r="AO64">
        <f>+SUM(AK64:AN64)</f>
        <v>71</v>
      </c>
    </row>
    <row r="65" spans="1:41" ht="15.75" customHeight="1" x14ac:dyDescent="0.3">
      <c r="A65" s="16"/>
      <c r="B65" s="55">
        <v>1</v>
      </c>
      <c r="C65" s="71" t="s">
        <v>197</v>
      </c>
      <c r="D65" s="55">
        <v>5</v>
      </c>
      <c r="E65" s="55" t="s">
        <v>20</v>
      </c>
      <c r="F65" s="18" t="s">
        <v>20</v>
      </c>
      <c r="G65" s="18" t="s">
        <v>20</v>
      </c>
      <c r="H65" s="18" t="s">
        <v>39</v>
      </c>
      <c r="I65" s="18" t="s">
        <v>39</v>
      </c>
      <c r="J65" s="69" t="s">
        <v>20</v>
      </c>
      <c r="K65" s="69" t="s">
        <v>20</v>
      </c>
      <c r="L65" s="69" t="s">
        <v>20</v>
      </c>
      <c r="M65" s="18" t="s">
        <v>20</v>
      </c>
      <c r="N65" s="18" t="s">
        <v>20</v>
      </c>
      <c r="O65" s="18" t="s">
        <v>20</v>
      </c>
      <c r="P65" s="18" t="s">
        <v>21</v>
      </c>
      <c r="Q65" s="18" t="s">
        <v>21</v>
      </c>
      <c r="R65" s="18" t="s">
        <v>21</v>
      </c>
      <c r="S65" s="18" t="s">
        <v>20</v>
      </c>
      <c r="T65" s="18" t="s">
        <v>21</v>
      </c>
      <c r="U65" s="18" t="s">
        <v>21</v>
      </c>
      <c r="V65" s="49" t="s">
        <v>20</v>
      </c>
      <c r="W65" s="37" t="s">
        <v>21</v>
      </c>
      <c r="X65" s="37" t="s">
        <v>21</v>
      </c>
      <c r="Y65" s="18" t="s">
        <v>20</v>
      </c>
      <c r="Z65" s="18" t="s">
        <v>20</v>
      </c>
      <c r="AA65" s="18" t="s">
        <v>20</v>
      </c>
      <c r="AB65" s="18" t="s">
        <v>20</v>
      </c>
      <c r="AC65" s="18" t="s">
        <v>21</v>
      </c>
      <c r="AD65" s="29" t="s">
        <v>20</v>
      </c>
      <c r="AE65" s="29" t="s">
        <v>21</v>
      </c>
      <c r="AF65">
        <f>+COUNTIF(F65:AE65,"AD")</f>
        <v>2</v>
      </c>
      <c r="AG65">
        <f>+COUNTIF(F65:AE65,"A")</f>
        <v>15</v>
      </c>
      <c r="AH65">
        <f>+COUNTIF(F65:AE65,"b")</f>
        <v>9</v>
      </c>
      <c r="AI65">
        <f>+COUNTIF(F65:AE65,"c")</f>
        <v>0</v>
      </c>
      <c r="AK65">
        <f>+$AF$5*AF65</f>
        <v>8</v>
      </c>
      <c r="AL65">
        <f>+$AG$5*AG65</f>
        <v>45</v>
      </c>
      <c r="AM65">
        <f>+$AH$5*AH65</f>
        <v>18</v>
      </c>
      <c r="AN65">
        <f>+$AI$5*AI65</f>
        <v>0</v>
      </c>
      <c r="AO65">
        <f>+SUM(AK65:AN65)</f>
        <v>71</v>
      </c>
    </row>
    <row r="66" spans="1:41" ht="15.75" customHeight="1" x14ac:dyDescent="0.3">
      <c r="A66" s="16"/>
      <c r="B66" s="55">
        <v>28</v>
      </c>
      <c r="C66" s="71" t="s">
        <v>224</v>
      </c>
      <c r="D66" s="55">
        <v>5</v>
      </c>
      <c r="E66" s="55" t="s">
        <v>20</v>
      </c>
      <c r="F66" s="18" t="s">
        <v>20</v>
      </c>
      <c r="G66" s="18" t="s">
        <v>20</v>
      </c>
      <c r="H66" s="18" t="s">
        <v>20</v>
      </c>
      <c r="I66" s="18" t="s">
        <v>20</v>
      </c>
      <c r="J66" s="69" t="s">
        <v>20</v>
      </c>
      <c r="K66" s="69" t="s">
        <v>20</v>
      </c>
      <c r="L66" s="69" t="s">
        <v>21</v>
      </c>
      <c r="M66" s="18" t="s">
        <v>20</v>
      </c>
      <c r="N66" s="18" t="s">
        <v>20</v>
      </c>
      <c r="O66" s="18" t="s">
        <v>20</v>
      </c>
      <c r="P66" s="18" t="s">
        <v>21</v>
      </c>
      <c r="Q66" s="18" t="s">
        <v>21</v>
      </c>
      <c r="R66" s="18" t="s">
        <v>21</v>
      </c>
      <c r="S66" s="18" t="s">
        <v>20</v>
      </c>
      <c r="T66" s="18" t="s">
        <v>21</v>
      </c>
      <c r="U66" s="18" t="s">
        <v>20</v>
      </c>
      <c r="V66" s="37" t="s">
        <v>20</v>
      </c>
      <c r="W66" s="37" t="s">
        <v>20</v>
      </c>
      <c r="X66" s="37" t="s">
        <v>21</v>
      </c>
      <c r="Y66" s="18" t="s">
        <v>20</v>
      </c>
      <c r="Z66" s="18" t="s">
        <v>20</v>
      </c>
      <c r="AA66" s="18" t="s">
        <v>20</v>
      </c>
      <c r="AB66" s="18" t="s">
        <v>20</v>
      </c>
      <c r="AC66" s="18" t="s">
        <v>20</v>
      </c>
      <c r="AD66" s="18" t="s">
        <v>20</v>
      </c>
      <c r="AE66" s="18" t="s">
        <v>21</v>
      </c>
      <c r="AF66">
        <f>+COUNTIF(F66:AE66,"AD")</f>
        <v>0</v>
      </c>
      <c r="AG66">
        <f>+COUNTIF(F66:AE66,"A")</f>
        <v>19</v>
      </c>
      <c r="AH66">
        <f>+COUNTIF(F66:AE66,"b")</f>
        <v>7</v>
      </c>
      <c r="AI66">
        <f>+COUNTIF(F66:AE66,"c")</f>
        <v>0</v>
      </c>
      <c r="AK66">
        <f>+$AF$5*AF66</f>
        <v>0</v>
      </c>
      <c r="AL66">
        <f>+$AG$5*AG66</f>
        <v>57</v>
      </c>
      <c r="AM66">
        <f>+$AH$5*AH66</f>
        <v>14</v>
      </c>
      <c r="AN66">
        <f>+$AI$5*AI66</f>
        <v>0</v>
      </c>
      <c r="AO66">
        <f>+SUM(AK66:AN66)</f>
        <v>71</v>
      </c>
    </row>
    <row r="67" spans="1:41" ht="15.75" customHeight="1" x14ac:dyDescent="0.3">
      <c r="A67" s="16"/>
      <c r="B67" s="55">
        <v>9</v>
      </c>
      <c r="C67" s="71" t="s">
        <v>233</v>
      </c>
      <c r="D67" s="55">
        <v>5</v>
      </c>
      <c r="E67" s="55" t="s">
        <v>21</v>
      </c>
      <c r="F67" s="18" t="s">
        <v>20</v>
      </c>
      <c r="G67" s="18" t="s">
        <v>20</v>
      </c>
      <c r="H67" s="18" t="s">
        <v>20</v>
      </c>
      <c r="I67" s="18" t="s">
        <v>20</v>
      </c>
      <c r="J67" s="18" t="s">
        <v>21</v>
      </c>
      <c r="K67" s="18" t="s">
        <v>21</v>
      </c>
      <c r="L67" s="18" t="s">
        <v>21</v>
      </c>
      <c r="M67" s="18" t="s">
        <v>20</v>
      </c>
      <c r="N67" s="18" t="s">
        <v>20</v>
      </c>
      <c r="O67" s="18" t="s">
        <v>20</v>
      </c>
      <c r="P67" s="18" t="s">
        <v>21</v>
      </c>
      <c r="Q67" s="18" t="s">
        <v>21</v>
      </c>
      <c r="R67" s="18" t="s">
        <v>20</v>
      </c>
      <c r="S67" s="18" t="s">
        <v>20</v>
      </c>
      <c r="T67" s="18" t="s">
        <v>21</v>
      </c>
      <c r="U67" s="18" t="s">
        <v>20</v>
      </c>
      <c r="V67" s="37" t="s">
        <v>20</v>
      </c>
      <c r="W67" s="37" t="s">
        <v>20</v>
      </c>
      <c r="X67" s="37" t="s">
        <v>20</v>
      </c>
      <c r="Y67" s="18" t="s">
        <v>20</v>
      </c>
      <c r="Z67" s="18" t="s">
        <v>20</v>
      </c>
      <c r="AA67" s="18" t="s">
        <v>20</v>
      </c>
      <c r="AB67" s="18" t="s">
        <v>20</v>
      </c>
      <c r="AC67" s="18" t="s">
        <v>20</v>
      </c>
      <c r="AD67" s="29" t="s">
        <v>20</v>
      </c>
      <c r="AE67" s="29" t="s">
        <v>21</v>
      </c>
      <c r="AF67">
        <f>+COUNTIF(F67:AE67,"AD")</f>
        <v>0</v>
      </c>
      <c r="AG67">
        <f>+COUNTIF(F67:AE67,"A")</f>
        <v>19</v>
      </c>
      <c r="AH67">
        <f>+COUNTIF(F67:AE67,"b")</f>
        <v>7</v>
      </c>
      <c r="AI67">
        <f>+COUNTIF(F67:AE67,"c")</f>
        <v>0</v>
      </c>
      <c r="AK67">
        <f>+$AF$5*AF67</f>
        <v>0</v>
      </c>
      <c r="AL67">
        <f>+$AG$5*AG67</f>
        <v>57</v>
      </c>
      <c r="AM67">
        <f>+$AH$5*AH67</f>
        <v>14</v>
      </c>
      <c r="AN67">
        <f>+$AI$5*AI67</f>
        <v>0</v>
      </c>
      <c r="AO67">
        <f>+SUM(AK67:AN67)</f>
        <v>71</v>
      </c>
    </row>
    <row r="68" spans="1:41" ht="15.75" customHeight="1" x14ac:dyDescent="0.3">
      <c r="A68" s="16"/>
      <c r="B68" s="55">
        <v>10</v>
      </c>
      <c r="C68" s="71" t="s">
        <v>234</v>
      </c>
      <c r="D68" s="55">
        <v>5</v>
      </c>
      <c r="E68" s="55" t="s">
        <v>21</v>
      </c>
      <c r="F68" s="18" t="s">
        <v>20</v>
      </c>
      <c r="G68" s="18" t="s">
        <v>20</v>
      </c>
      <c r="H68" s="18" t="s">
        <v>21</v>
      </c>
      <c r="I68" s="18" t="s">
        <v>20</v>
      </c>
      <c r="J68" s="18" t="s">
        <v>20</v>
      </c>
      <c r="K68" s="18" t="s">
        <v>21</v>
      </c>
      <c r="L68" s="18" t="s">
        <v>20</v>
      </c>
      <c r="M68" s="18" t="s">
        <v>20</v>
      </c>
      <c r="N68" s="18" t="s">
        <v>20</v>
      </c>
      <c r="O68" s="18" t="s">
        <v>20</v>
      </c>
      <c r="P68" s="18" t="s">
        <v>21</v>
      </c>
      <c r="Q68" s="18" t="s">
        <v>21</v>
      </c>
      <c r="R68" s="18" t="s">
        <v>21</v>
      </c>
      <c r="S68" s="18" t="s">
        <v>20</v>
      </c>
      <c r="T68" s="18" t="s">
        <v>21</v>
      </c>
      <c r="U68" s="18" t="s">
        <v>20</v>
      </c>
      <c r="V68" s="37" t="s">
        <v>20</v>
      </c>
      <c r="W68" s="37" t="s">
        <v>20</v>
      </c>
      <c r="X68" s="37" t="s">
        <v>20</v>
      </c>
      <c r="Y68" s="18" t="s">
        <v>20</v>
      </c>
      <c r="Z68" s="18" t="s">
        <v>20</v>
      </c>
      <c r="AA68" s="18" t="s">
        <v>20</v>
      </c>
      <c r="AB68" s="18" t="s">
        <v>20</v>
      </c>
      <c r="AC68" s="18" t="s">
        <v>20</v>
      </c>
      <c r="AD68" s="29" t="s">
        <v>20</v>
      </c>
      <c r="AE68" s="29" t="s">
        <v>21</v>
      </c>
      <c r="AF68">
        <f>+COUNTIF(F68:AE68,"AD")</f>
        <v>0</v>
      </c>
      <c r="AG68">
        <f>+COUNTIF(F68:AE68,"A")</f>
        <v>19</v>
      </c>
      <c r="AH68">
        <f>+COUNTIF(F68:AE68,"b")</f>
        <v>7</v>
      </c>
      <c r="AI68">
        <f>+COUNTIF(F68:AE68,"c")</f>
        <v>0</v>
      </c>
      <c r="AK68">
        <f>+$AF$5*AF68</f>
        <v>0</v>
      </c>
      <c r="AL68">
        <f>+$AG$5*AG68</f>
        <v>57</v>
      </c>
      <c r="AM68">
        <f>+$AH$5*AH68</f>
        <v>14</v>
      </c>
      <c r="AN68">
        <f>+$AI$5*AI68</f>
        <v>0</v>
      </c>
      <c r="AO68">
        <f>+SUM(AK68:AN68)</f>
        <v>71</v>
      </c>
    </row>
    <row r="69" spans="1:41" ht="15.75" customHeight="1" x14ac:dyDescent="0.3">
      <c r="A69" s="16"/>
      <c r="B69" s="55">
        <v>8</v>
      </c>
      <c r="C69" s="71" t="s">
        <v>69</v>
      </c>
      <c r="D69" s="55">
        <v>2</v>
      </c>
      <c r="E69" s="55" t="s">
        <v>20</v>
      </c>
      <c r="F69" s="18" t="s">
        <v>21</v>
      </c>
      <c r="G69" s="18" t="s">
        <v>21</v>
      </c>
      <c r="H69" s="18" t="s">
        <v>21</v>
      </c>
      <c r="I69" s="18" t="s">
        <v>21</v>
      </c>
      <c r="J69" s="18" t="s">
        <v>20</v>
      </c>
      <c r="K69" s="18" t="s">
        <v>20</v>
      </c>
      <c r="L69" s="18" t="s">
        <v>20</v>
      </c>
      <c r="M69" s="18" t="s">
        <v>21</v>
      </c>
      <c r="N69" s="18" t="s">
        <v>20</v>
      </c>
      <c r="O69" s="18" t="s">
        <v>20</v>
      </c>
      <c r="P69" s="18" t="s">
        <v>20</v>
      </c>
      <c r="Q69" s="18" t="s">
        <v>20</v>
      </c>
      <c r="R69" s="18" t="s">
        <v>20</v>
      </c>
      <c r="S69" s="18" t="s">
        <v>20</v>
      </c>
      <c r="T69" s="18" t="s">
        <v>20</v>
      </c>
      <c r="U69" s="18" t="s">
        <v>21</v>
      </c>
      <c r="V69" s="37" t="s">
        <v>20</v>
      </c>
      <c r="W69" s="37" t="s">
        <v>20</v>
      </c>
      <c r="X69" s="37" t="s">
        <v>20</v>
      </c>
      <c r="Y69" s="18" t="s">
        <v>20</v>
      </c>
      <c r="Z69" s="18" t="s">
        <v>20</v>
      </c>
      <c r="AA69" s="18" t="s">
        <v>20</v>
      </c>
      <c r="AB69" s="18" t="s">
        <v>20</v>
      </c>
      <c r="AC69" s="18" t="s">
        <v>20</v>
      </c>
      <c r="AD69" s="29" t="s">
        <v>21</v>
      </c>
      <c r="AE69" s="29" t="s">
        <v>21</v>
      </c>
      <c r="AF69">
        <f>+COUNTIF(F69:AE69,"AD")</f>
        <v>0</v>
      </c>
      <c r="AG69">
        <f>+COUNTIF(F69:AE69,"A")</f>
        <v>18</v>
      </c>
      <c r="AH69">
        <f>+COUNTIF(F69:AE69,"b")</f>
        <v>8</v>
      </c>
      <c r="AI69">
        <f>+COUNTIF(F69:AE69,"c")</f>
        <v>0</v>
      </c>
      <c r="AK69">
        <f>+$AF$5*AF69</f>
        <v>0</v>
      </c>
      <c r="AL69">
        <f>+$AG$5*AG69</f>
        <v>54</v>
      </c>
      <c r="AM69">
        <f>+$AH$5*AH69</f>
        <v>16</v>
      </c>
      <c r="AN69">
        <f>+$AI$5*AI69</f>
        <v>0</v>
      </c>
      <c r="AO69">
        <f>+SUM(AK69:AN69)</f>
        <v>70</v>
      </c>
    </row>
    <row r="70" spans="1:41" ht="15.75" customHeight="1" x14ac:dyDescent="0.3">
      <c r="A70" s="16"/>
      <c r="B70" s="55">
        <v>14</v>
      </c>
      <c r="C70" s="71" t="s">
        <v>99</v>
      </c>
      <c r="D70" s="55">
        <v>2</v>
      </c>
      <c r="E70" s="55" t="s">
        <v>21</v>
      </c>
      <c r="F70" s="18" t="s">
        <v>20</v>
      </c>
      <c r="G70" s="18" t="s">
        <v>20</v>
      </c>
      <c r="H70" s="18" t="s">
        <v>20</v>
      </c>
      <c r="I70" s="18" t="s">
        <v>20</v>
      </c>
      <c r="J70" s="18" t="s">
        <v>20</v>
      </c>
      <c r="K70" s="18" t="s">
        <v>20</v>
      </c>
      <c r="L70" s="18" t="s">
        <v>20</v>
      </c>
      <c r="M70" s="18" t="s">
        <v>21</v>
      </c>
      <c r="N70" s="18" t="s">
        <v>20</v>
      </c>
      <c r="O70" s="18" t="s">
        <v>20</v>
      </c>
      <c r="P70" s="18" t="s">
        <v>20</v>
      </c>
      <c r="Q70" s="18" t="s">
        <v>20</v>
      </c>
      <c r="R70" s="18" t="s">
        <v>20</v>
      </c>
      <c r="S70" s="18" t="s">
        <v>20</v>
      </c>
      <c r="T70" s="18" t="s">
        <v>20</v>
      </c>
      <c r="U70" s="18" t="s">
        <v>21</v>
      </c>
      <c r="V70" s="37" t="s">
        <v>20</v>
      </c>
      <c r="W70" s="37" t="s">
        <v>20</v>
      </c>
      <c r="X70" s="37" t="s">
        <v>20</v>
      </c>
      <c r="Y70" s="18" t="s">
        <v>20</v>
      </c>
      <c r="Z70" s="18" t="s">
        <v>20</v>
      </c>
      <c r="AA70" s="18" t="s">
        <v>21</v>
      </c>
      <c r="AB70" s="18" t="s">
        <v>21</v>
      </c>
      <c r="AC70" s="18" t="s">
        <v>21</v>
      </c>
      <c r="AD70" s="40" t="s">
        <v>23</v>
      </c>
      <c r="AE70" s="40" t="s">
        <v>21</v>
      </c>
      <c r="AF70">
        <f>+COUNTIF(F70:AE70,"AD")</f>
        <v>0</v>
      </c>
      <c r="AG70">
        <f>+COUNTIF(F70:AE70,"A")</f>
        <v>19</v>
      </c>
      <c r="AH70">
        <f>+COUNTIF(F70:AE70,"b")</f>
        <v>6</v>
      </c>
      <c r="AI70">
        <f>+COUNTIF(F70:AE70,"c")</f>
        <v>1</v>
      </c>
      <c r="AK70">
        <f>+$AF$5*AF70</f>
        <v>0</v>
      </c>
      <c r="AL70">
        <f>+$AG$5*AG70</f>
        <v>57</v>
      </c>
      <c r="AM70">
        <f>+$AH$5*AH70</f>
        <v>12</v>
      </c>
      <c r="AN70">
        <f>+$AI$5*AI70</f>
        <v>1</v>
      </c>
      <c r="AO70">
        <f>+SUM(AK70:AN70)</f>
        <v>70</v>
      </c>
    </row>
    <row r="71" spans="1:41" ht="15.75" customHeight="1" x14ac:dyDescent="0.3">
      <c r="A71" s="16"/>
      <c r="B71" s="55">
        <v>2</v>
      </c>
      <c r="C71" s="71" t="s">
        <v>129</v>
      </c>
      <c r="D71" s="55">
        <v>3</v>
      </c>
      <c r="E71" s="55" t="s">
        <v>21</v>
      </c>
      <c r="F71" s="18" t="s">
        <v>21</v>
      </c>
      <c r="G71" s="18" t="s">
        <v>20</v>
      </c>
      <c r="H71" s="18" t="s">
        <v>20</v>
      </c>
      <c r="I71" s="18" t="s">
        <v>20</v>
      </c>
      <c r="J71" s="18" t="s">
        <v>20</v>
      </c>
      <c r="K71" s="18" t="s">
        <v>20</v>
      </c>
      <c r="L71" s="18" t="s">
        <v>21</v>
      </c>
      <c r="M71" s="18" t="s">
        <v>20</v>
      </c>
      <c r="N71" s="18" t="s">
        <v>20</v>
      </c>
      <c r="O71" s="18" t="s">
        <v>20</v>
      </c>
      <c r="P71" s="18" t="s">
        <v>21</v>
      </c>
      <c r="Q71" s="18" t="s">
        <v>20</v>
      </c>
      <c r="R71" s="18" t="s">
        <v>20</v>
      </c>
      <c r="S71" s="18" t="s">
        <v>21</v>
      </c>
      <c r="T71" s="18" t="s">
        <v>20</v>
      </c>
      <c r="U71" s="18" t="s">
        <v>20</v>
      </c>
      <c r="V71" s="37" t="s">
        <v>21</v>
      </c>
      <c r="W71" s="37" t="s">
        <v>20</v>
      </c>
      <c r="X71" s="37" t="s">
        <v>20</v>
      </c>
      <c r="Y71" s="18" t="s">
        <v>21</v>
      </c>
      <c r="Z71" s="18" t="s">
        <v>20</v>
      </c>
      <c r="AA71" s="18" t="s">
        <v>20</v>
      </c>
      <c r="AB71" s="18" t="s">
        <v>20</v>
      </c>
      <c r="AC71" s="18" t="s">
        <v>20</v>
      </c>
      <c r="AD71" s="37" t="s">
        <v>21</v>
      </c>
      <c r="AE71" s="37" t="s">
        <v>21</v>
      </c>
      <c r="AF71">
        <f>+COUNTIF(F71:AE71,"AD")</f>
        <v>0</v>
      </c>
      <c r="AG71">
        <f>+COUNTIF(F71:AE71,"A")</f>
        <v>18</v>
      </c>
      <c r="AH71">
        <f>+COUNTIF(F71:AE71,"b")</f>
        <v>8</v>
      </c>
      <c r="AI71">
        <f>+COUNTIF(F71:AE71,"c")</f>
        <v>0</v>
      </c>
      <c r="AK71">
        <f>+$AF$5*AF71</f>
        <v>0</v>
      </c>
      <c r="AL71">
        <f>+$AG$5*AG71</f>
        <v>54</v>
      </c>
      <c r="AM71">
        <f>+$AH$5*AH71</f>
        <v>16</v>
      </c>
      <c r="AN71">
        <f>+$AI$5*AI71</f>
        <v>0</v>
      </c>
      <c r="AO71">
        <f>+SUM(AK71:AN71)</f>
        <v>70</v>
      </c>
    </row>
    <row r="72" spans="1:41" ht="15.75" customHeight="1" x14ac:dyDescent="0.3">
      <c r="A72" s="16"/>
      <c r="B72" s="55">
        <v>23</v>
      </c>
      <c r="C72" s="71" t="s">
        <v>171</v>
      </c>
      <c r="D72" s="55">
        <v>4</v>
      </c>
      <c r="E72" s="55" t="s">
        <v>20</v>
      </c>
      <c r="F72" s="18" t="s">
        <v>20</v>
      </c>
      <c r="G72" s="18" t="s">
        <v>20</v>
      </c>
      <c r="H72" s="18" t="s">
        <v>20</v>
      </c>
      <c r="I72" s="18" t="s">
        <v>20</v>
      </c>
      <c r="J72" s="69" t="s">
        <v>20</v>
      </c>
      <c r="K72" s="69" t="s">
        <v>20</v>
      </c>
      <c r="L72" s="69" t="s">
        <v>20</v>
      </c>
      <c r="M72" s="18" t="s">
        <v>21</v>
      </c>
      <c r="N72" s="18" t="s">
        <v>20</v>
      </c>
      <c r="O72" s="18" t="s">
        <v>20</v>
      </c>
      <c r="P72" s="18" t="s">
        <v>21</v>
      </c>
      <c r="Q72" s="18" t="s">
        <v>21</v>
      </c>
      <c r="R72" s="18" t="s">
        <v>21</v>
      </c>
      <c r="S72" s="18" t="s">
        <v>20</v>
      </c>
      <c r="T72" s="18" t="s">
        <v>20</v>
      </c>
      <c r="U72" s="18" t="s">
        <v>20</v>
      </c>
      <c r="V72" s="46" t="s">
        <v>20</v>
      </c>
      <c r="W72" s="37" t="s">
        <v>20</v>
      </c>
      <c r="X72" s="46" t="s">
        <v>20</v>
      </c>
      <c r="Y72" s="18" t="s">
        <v>21</v>
      </c>
      <c r="Z72" s="18" t="s">
        <v>21</v>
      </c>
      <c r="AA72" s="18" t="s">
        <v>21</v>
      </c>
      <c r="AB72" s="18" t="s">
        <v>20</v>
      </c>
      <c r="AC72" s="18" t="s">
        <v>20</v>
      </c>
      <c r="AD72" s="18" t="s">
        <v>20</v>
      </c>
      <c r="AE72" s="18" t="s">
        <v>21</v>
      </c>
      <c r="AF72">
        <f>+COUNTIF(F72:AE72,"AD")</f>
        <v>0</v>
      </c>
      <c r="AG72">
        <f>+COUNTIF(F72:AE72,"A")</f>
        <v>18</v>
      </c>
      <c r="AH72">
        <f>+COUNTIF(F72:AE72,"b")</f>
        <v>8</v>
      </c>
      <c r="AI72">
        <f>+COUNTIF(F72:AE72,"c")</f>
        <v>0</v>
      </c>
      <c r="AK72">
        <f>+$AF$5*AF72</f>
        <v>0</v>
      </c>
      <c r="AL72">
        <f>+$AG$5*AG72</f>
        <v>54</v>
      </c>
      <c r="AM72">
        <f>+$AH$5*AH72</f>
        <v>16</v>
      </c>
      <c r="AN72">
        <f>+$AI$5*AI72</f>
        <v>0</v>
      </c>
      <c r="AO72">
        <f>+SUM(AK72:AN72)</f>
        <v>70</v>
      </c>
    </row>
    <row r="73" spans="1:41" ht="15.75" customHeight="1" x14ac:dyDescent="0.3">
      <c r="A73" s="16"/>
      <c r="B73" s="55">
        <v>8</v>
      </c>
      <c r="C73" s="71" t="s">
        <v>179</v>
      </c>
      <c r="D73" s="55">
        <v>4</v>
      </c>
      <c r="E73" s="55" t="s">
        <v>21</v>
      </c>
      <c r="F73" s="18" t="s">
        <v>20</v>
      </c>
      <c r="G73" s="18" t="s">
        <v>20</v>
      </c>
      <c r="H73" s="18" t="s">
        <v>20</v>
      </c>
      <c r="I73" s="18" t="s">
        <v>20</v>
      </c>
      <c r="J73" s="69" t="s">
        <v>20</v>
      </c>
      <c r="K73" s="69" t="s">
        <v>20</v>
      </c>
      <c r="L73" s="69" t="s">
        <v>20</v>
      </c>
      <c r="M73" s="18" t="s">
        <v>21</v>
      </c>
      <c r="N73" s="18" t="s">
        <v>20</v>
      </c>
      <c r="O73" s="18" t="s">
        <v>20</v>
      </c>
      <c r="P73" s="18" t="s">
        <v>21</v>
      </c>
      <c r="Q73" s="18" t="s">
        <v>21</v>
      </c>
      <c r="R73" s="18" t="s">
        <v>21</v>
      </c>
      <c r="S73" s="18" t="s">
        <v>21</v>
      </c>
      <c r="T73" s="18" t="s">
        <v>20</v>
      </c>
      <c r="U73" s="18" t="s">
        <v>20</v>
      </c>
      <c r="V73" s="37" t="s">
        <v>20</v>
      </c>
      <c r="W73" s="37" t="s">
        <v>20</v>
      </c>
      <c r="X73" s="37" t="s">
        <v>20</v>
      </c>
      <c r="Y73" s="18" t="s">
        <v>20</v>
      </c>
      <c r="Z73" s="18" t="s">
        <v>21</v>
      </c>
      <c r="AA73" s="18" t="s">
        <v>20</v>
      </c>
      <c r="AB73" s="18" t="s">
        <v>20</v>
      </c>
      <c r="AC73" s="18" t="s">
        <v>21</v>
      </c>
      <c r="AD73" s="18" t="s">
        <v>20</v>
      </c>
      <c r="AE73" s="18" t="s">
        <v>21</v>
      </c>
      <c r="AF73">
        <f>+COUNTIF(F73:AE73,"AD")</f>
        <v>0</v>
      </c>
      <c r="AG73">
        <f>+COUNTIF(F73:AE73,"A")</f>
        <v>18</v>
      </c>
      <c r="AH73">
        <f>+COUNTIF(F73:AE73,"b")</f>
        <v>8</v>
      </c>
      <c r="AI73">
        <f>+COUNTIF(F73:AE73,"c")</f>
        <v>0</v>
      </c>
      <c r="AK73">
        <f>+$AF$5*AF73</f>
        <v>0</v>
      </c>
      <c r="AL73">
        <f>+$AG$5*AG73</f>
        <v>54</v>
      </c>
      <c r="AM73">
        <f>+$AH$5*AH73</f>
        <v>16</v>
      </c>
      <c r="AN73">
        <f>+$AI$5*AI73</f>
        <v>0</v>
      </c>
      <c r="AO73">
        <f>+SUM(AK73:AN73)</f>
        <v>70</v>
      </c>
    </row>
    <row r="74" spans="1:41" ht="15.75" customHeight="1" x14ac:dyDescent="0.3">
      <c r="A74" s="16"/>
      <c r="B74" s="55">
        <v>18</v>
      </c>
      <c r="C74" s="71" t="s">
        <v>242</v>
      </c>
      <c r="D74" s="55">
        <v>5</v>
      </c>
      <c r="E74" s="55" t="s">
        <v>21</v>
      </c>
      <c r="F74" s="18" t="s">
        <v>20</v>
      </c>
      <c r="G74" s="18" t="s">
        <v>20</v>
      </c>
      <c r="H74" s="18" t="s">
        <v>21</v>
      </c>
      <c r="I74" s="18" t="s">
        <v>21</v>
      </c>
      <c r="J74" s="18" t="s">
        <v>20</v>
      </c>
      <c r="K74" s="18" t="s">
        <v>20</v>
      </c>
      <c r="L74" s="18" t="s">
        <v>21</v>
      </c>
      <c r="M74" s="18" t="s">
        <v>20</v>
      </c>
      <c r="N74" s="18" t="s">
        <v>20</v>
      </c>
      <c r="O74" s="18" t="s">
        <v>20</v>
      </c>
      <c r="P74" s="18" t="s">
        <v>21</v>
      </c>
      <c r="Q74" s="18" t="s">
        <v>21</v>
      </c>
      <c r="R74" s="18" t="s">
        <v>21</v>
      </c>
      <c r="S74" s="18" t="s">
        <v>20</v>
      </c>
      <c r="T74" s="18" t="s">
        <v>20</v>
      </c>
      <c r="U74" s="18" t="s">
        <v>20</v>
      </c>
      <c r="V74" s="37" t="s">
        <v>20</v>
      </c>
      <c r="W74" s="37" t="s">
        <v>20</v>
      </c>
      <c r="X74" s="37" t="s">
        <v>20</v>
      </c>
      <c r="Y74" s="18" t="s">
        <v>20</v>
      </c>
      <c r="Z74" s="18" t="s">
        <v>20</v>
      </c>
      <c r="AA74" s="18" t="s">
        <v>21</v>
      </c>
      <c r="AB74" s="18" t="s">
        <v>20</v>
      </c>
      <c r="AC74" s="18" t="s">
        <v>20</v>
      </c>
      <c r="AD74" s="29" t="s">
        <v>20</v>
      </c>
      <c r="AE74" s="29" t="s">
        <v>21</v>
      </c>
      <c r="AF74">
        <f>+COUNTIF(F74:AE74,"AD")</f>
        <v>0</v>
      </c>
      <c r="AG74">
        <f>+COUNTIF(F74:AE74,"A")</f>
        <v>18</v>
      </c>
      <c r="AH74">
        <f>+COUNTIF(F74:AE74,"b")</f>
        <v>8</v>
      </c>
      <c r="AI74">
        <f>+COUNTIF(F74:AE74,"c")</f>
        <v>0</v>
      </c>
      <c r="AK74">
        <f>+$AF$5*AF74</f>
        <v>0</v>
      </c>
      <c r="AL74">
        <f>+$AG$5*AG74</f>
        <v>54</v>
      </c>
      <c r="AM74">
        <f>+$AH$5*AH74</f>
        <v>16</v>
      </c>
      <c r="AN74">
        <f>+$AI$5*AI74</f>
        <v>0</v>
      </c>
      <c r="AO74">
        <f>+SUM(AK74:AN74)</f>
        <v>70</v>
      </c>
    </row>
    <row r="75" spans="1:41" ht="15.75" customHeight="1" x14ac:dyDescent="0.3">
      <c r="A75" s="16"/>
      <c r="B75" s="55">
        <v>14</v>
      </c>
      <c r="C75" s="71" t="s">
        <v>54</v>
      </c>
      <c r="D75" s="55">
        <v>1</v>
      </c>
      <c r="E75" s="55" t="s">
        <v>21</v>
      </c>
      <c r="F75" s="18" t="s">
        <v>20</v>
      </c>
      <c r="G75" s="18" t="s">
        <v>20</v>
      </c>
      <c r="H75" s="18" t="s">
        <v>20</v>
      </c>
      <c r="I75" s="18" t="s">
        <v>20</v>
      </c>
      <c r="J75" s="18" t="s">
        <v>20</v>
      </c>
      <c r="K75" s="18" t="s">
        <v>20</v>
      </c>
      <c r="L75" s="18" t="s">
        <v>20</v>
      </c>
      <c r="M75" s="18" t="s">
        <v>20</v>
      </c>
      <c r="N75" s="18" t="s">
        <v>20</v>
      </c>
      <c r="O75" s="18" t="s">
        <v>20</v>
      </c>
      <c r="P75" s="18" t="s">
        <v>20</v>
      </c>
      <c r="Q75" s="18" t="s">
        <v>20</v>
      </c>
      <c r="R75" s="18" t="s">
        <v>20</v>
      </c>
      <c r="S75" s="18" t="s">
        <v>20</v>
      </c>
      <c r="T75" s="18" t="s">
        <v>20</v>
      </c>
      <c r="U75" s="18" t="s">
        <v>20</v>
      </c>
      <c r="V75" s="18" t="s">
        <v>21</v>
      </c>
      <c r="W75" s="18" t="s">
        <v>21</v>
      </c>
      <c r="X75" s="18" t="s">
        <v>20</v>
      </c>
      <c r="Y75" s="19" t="s">
        <v>21</v>
      </c>
      <c r="Z75" s="18" t="s">
        <v>20</v>
      </c>
      <c r="AA75" s="72" t="s">
        <v>20</v>
      </c>
      <c r="AB75" s="72" t="s">
        <v>20</v>
      </c>
      <c r="AC75" s="18" t="s">
        <v>20</v>
      </c>
      <c r="AD75" s="29" t="s">
        <v>55</v>
      </c>
      <c r="AE75" s="29" t="s">
        <v>55</v>
      </c>
      <c r="AF75">
        <f>+COUNTIF(F75:AE75,"AD")</f>
        <v>0</v>
      </c>
      <c r="AG75">
        <f>+COUNTIF(F75:AE75,"A")</f>
        <v>21</v>
      </c>
      <c r="AH75">
        <f>+COUNTIF(F75:AE75,"b")</f>
        <v>3</v>
      </c>
      <c r="AI75">
        <f>+COUNTIF(F75:AE75,"c")</f>
        <v>0</v>
      </c>
      <c r="AK75">
        <f>+$AF$5*AF75</f>
        <v>0</v>
      </c>
      <c r="AL75">
        <f>+$AG$5*AG75</f>
        <v>63</v>
      </c>
      <c r="AM75">
        <f>+$AH$5*AH75</f>
        <v>6</v>
      </c>
      <c r="AN75">
        <f>+$AI$5*AI75</f>
        <v>0</v>
      </c>
      <c r="AO75">
        <f>+SUM(AK75:AN75)</f>
        <v>69</v>
      </c>
    </row>
    <row r="76" spans="1:41" ht="15.75" customHeight="1" x14ac:dyDescent="0.3">
      <c r="A76" s="16"/>
      <c r="B76" s="55">
        <v>11</v>
      </c>
      <c r="C76" s="71" t="s">
        <v>72</v>
      </c>
      <c r="D76" s="55">
        <v>2</v>
      </c>
      <c r="E76" s="55" t="s">
        <v>20</v>
      </c>
      <c r="F76" s="18" t="s">
        <v>20</v>
      </c>
      <c r="G76" s="18" t="s">
        <v>20</v>
      </c>
      <c r="H76" s="18" t="s">
        <v>20</v>
      </c>
      <c r="I76" s="18" t="s">
        <v>20</v>
      </c>
      <c r="J76" s="18" t="s">
        <v>20</v>
      </c>
      <c r="K76" s="18" t="s">
        <v>20</v>
      </c>
      <c r="L76" s="18" t="s">
        <v>20</v>
      </c>
      <c r="M76" s="18" t="s">
        <v>20</v>
      </c>
      <c r="N76" s="18" t="s">
        <v>20</v>
      </c>
      <c r="O76" s="18" t="s">
        <v>20</v>
      </c>
      <c r="P76" s="18" t="s">
        <v>20</v>
      </c>
      <c r="Q76" s="18" t="s">
        <v>20</v>
      </c>
      <c r="R76" s="18" t="s">
        <v>20</v>
      </c>
      <c r="S76" s="18" t="s">
        <v>20</v>
      </c>
      <c r="T76" s="18" t="s">
        <v>21</v>
      </c>
      <c r="U76" s="18" t="s">
        <v>20</v>
      </c>
      <c r="V76" s="37" t="s">
        <v>21</v>
      </c>
      <c r="W76" s="37" t="s">
        <v>20</v>
      </c>
      <c r="X76" s="37" t="s">
        <v>21</v>
      </c>
      <c r="Y76" s="18" t="s">
        <v>20</v>
      </c>
      <c r="Z76" s="18" t="s">
        <v>20</v>
      </c>
      <c r="AA76" s="18" t="s">
        <v>20</v>
      </c>
      <c r="AB76" s="18" t="s">
        <v>20</v>
      </c>
      <c r="AC76" s="18" t="s">
        <v>20</v>
      </c>
      <c r="AD76" s="29" t="s">
        <v>55</v>
      </c>
      <c r="AE76" s="29" t="s">
        <v>55</v>
      </c>
      <c r="AF76">
        <f>+COUNTIF(F76:AE76,"AD")</f>
        <v>0</v>
      </c>
      <c r="AG76">
        <f>+COUNTIF(F76:AE76,"A")</f>
        <v>21</v>
      </c>
      <c r="AH76">
        <f>+COUNTIF(F76:AE76,"b")</f>
        <v>3</v>
      </c>
      <c r="AI76">
        <f>+COUNTIF(F76:AE76,"c")</f>
        <v>0</v>
      </c>
      <c r="AK76">
        <f>+$AF$5*AF76</f>
        <v>0</v>
      </c>
      <c r="AL76">
        <f>+$AG$5*AG76</f>
        <v>63</v>
      </c>
      <c r="AM76">
        <f>+$AH$5*AH76</f>
        <v>6</v>
      </c>
      <c r="AN76">
        <f>+$AI$5*AI76</f>
        <v>0</v>
      </c>
      <c r="AO76">
        <f>+SUM(AK76:AN76)</f>
        <v>69</v>
      </c>
    </row>
    <row r="77" spans="1:41" ht="15.75" customHeight="1" x14ac:dyDescent="0.3">
      <c r="A77" s="16"/>
      <c r="B77" s="55">
        <v>20</v>
      </c>
      <c r="C77" s="71" t="s">
        <v>81</v>
      </c>
      <c r="D77" s="55">
        <v>2</v>
      </c>
      <c r="E77" s="55" t="s">
        <v>20</v>
      </c>
      <c r="F77" s="18" t="s">
        <v>21</v>
      </c>
      <c r="G77" s="18" t="s">
        <v>21</v>
      </c>
      <c r="H77" s="18" t="s">
        <v>21</v>
      </c>
      <c r="I77" s="18" t="s">
        <v>21</v>
      </c>
      <c r="J77" s="18" t="s">
        <v>20</v>
      </c>
      <c r="K77" s="18" t="s">
        <v>21</v>
      </c>
      <c r="L77" s="18" t="s">
        <v>20</v>
      </c>
      <c r="M77" s="18" t="s">
        <v>20</v>
      </c>
      <c r="N77" s="18" t="s">
        <v>20</v>
      </c>
      <c r="O77" s="18" t="s">
        <v>20</v>
      </c>
      <c r="P77" s="18" t="s">
        <v>20</v>
      </c>
      <c r="Q77" s="18" t="s">
        <v>20</v>
      </c>
      <c r="R77" s="18" t="s">
        <v>20</v>
      </c>
      <c r="S77" s="18" t="s">
        <v>20</v>
      </c>
      <c r="T77" s="18" t="s">
        <v>21</v>
      </c>
      <c r="U77" s="18" t="s">
        <v>20</v>
      </c>
      <c r="V77" s="37" t="s">
        <v>20</v>
      </c>
      <c r="W77" s="37" t="s">
        <v>20</v>
      </c>
      <c r="X77" s="37" t="s">
        <v>21</v>
      </c>
      <c r="Y77" s="18" t="s">
        <v>20</v>
      </c>
      <c r="Z77" s="18" t="s">
        <v>20</v>
      </c>
      <c r="AA77" s="18" t="s">
        <v>20</v>
      </c>
      <c r="AB77" s="18" t="s">
        <v>20</v>
      </c>
      <c r="AC77" s="18" t="s">
        <v>20</v>
      </c>
      <c r="AD77" s="29" t="s">
        <v>21</v>
      </c>
      <c r="AE77" s="29" t="s">
        <v>21</v>
      </c>
      <c r="AF77">
        <f>+COUNTIF(F77:AE77,"AD")</f>
        <v>0</v>
      </c>
      <c r="AG77">
        <f>+COUNTIF(F77:AE77,"A")</f>
        <v>17</v>
      </c>
      <c r="AH77">
        <f>+COUNTIF(F77:AE77,"b")</f>
        <v>9</v>
      </c>
      <c r="AI77">
        <f>+COUNTIF(F77:AE77,"c")</f>
        <v>0</v>
      </c>
      <c r="AK77">
        <f>+$AF$5*AF77</f>
        <v>0</v>
      </c>
      <c r="AL77">
        <f>+$AG$5*AG77</f>
        <v>51</v>
      </c>
      <c r="AM77">
        <f>+$AH$5*AH77</f>
        <v>18</v>
      </c>
      <c r="AN77">
        <f>+$AI$5*AI77</f>
        <v>0</v>
      </c>
      <c r="AO77">
        <f>+SUM(AK77:AN77)</f>
        <v>69</v>
      </c>
    </row>
    <row r="78" spans="1:41" ht="15.75" customHeight="1" x14ac:dyDescent="0.3">
      <c r="A78" s="16"/>
      <c r="B78" s="55">
        <v>12</v>
      </c>
      <c r="C78" s="71" t="s">
        <v>139</v>
      </c>
      <c r="D78" s="55">
        <v>3</v>
      </c>
      <c r="E78" s="55" t="s">
        <v>21</v>
      </c>
      <c r="F78" s="18" t="s">
        <v>20</v>
      </c>
      <c r="G78" s="18" t="s">
        <v>20</v>
      </c>
      <c r="H78" s="18" t="s">
        <v>20</v>
      </c>
      <c r="I78" s="18" t="s">
        <v>20</v>
      </c>
      <c r="J78" s="18" t="s">
        <v>20</v>
      </c>
      <c r="K78" s="18" t="s">
        <v>20</v>
      </c>
      <c r="L78" s="18" t="s">
        <v>20</v>
      </c>
      <c r="M78" s="18" t="s">
        <v>20</v>
      </c>
      <c r="N78" s="18" t="s">
        <v>20</v>
      </c>
      <c r="O78" s="18" t="s">
        <v>20</v>
      </c>
      <c r="P78" s="18" t="s">
        <v>21</v>
      </c>
      <c r="Q78" s="18" t="s">
        <v>20</v>
      </c>
      <c r="R78" s="18" t="s">
        <v>21</v>
      </c>
      <c r="S78" s="18" t="s">
        <v>21</v>
      </c>
      <c r="T78" s="18" t="s">
        <v>21</v>
      </c>
      <c r="U78" s="18" t="s">
        <v>20</v>
      </c>
      <c r="V78" s="37" t="s">
        <v>20</v>
      </c>
      <c r="W78" s="37" t="s">
        <v>20</v>
      </c>
      <c r="X78" s="37" t="s">
        <v>21</v>
      </c>
      <c r="Y78" s="18" t="s">
        <v>21</v>
      </c>
      <c r="Z78" s="18" t="s">
        <v>20</v>
      </c>
      <c r="AA78" s="18" t="s">
        <v>20</v>
      </c>
      <c r="AB78" s="18" t="s">
        <v>20</v>
      </c>
      <c r="AC78" s="18" t="s">
        <v>20</v>
      </c>
      <c r="AD78" s="29" t="s">
        <v>23</v>
      </c>
      <c r="AE78" s="29" t="s">
        <v>21</v>
      </c>
      <c r="AF78">
        <f>+COUNTIF(F78:AE78,"AD")</f>
        <v>0</v>
      </c>
      <c r="AG78">
        <f>+COUNTIF(F78:AE78,"A")</f>
        <v>18</v>
      </c>
      <c r="AH78">
        <f>+COUNTIF(F78:AE78,"b")</f>
        <v>7</v>
      </c>
      <c r="AI78">
        <f>+COUNTIF(F78:AE78,"c")</f>
        <v>1</v>
      </c>
      <c r="AK78">
        <f>+$AF$5*AF78</f>
        <v>0</v>
      </c>
      <c r="AL78">
        <f>+$AG$5*AG78</f>
        <v>54</v>
      </c>
      <c r="AM78">
        <f>+$AH$5*AH78</f>
        <v>14</v>
      </c>
      <c r="AN78">
        <f>+$AI$5*AI78</f>
        <v>1</v>
      </c>
      <c r="AO78">
        <f>+SUM(AK78:AN78)</f>
        <v>69</v>
      </c>
    </row>
    <row r="79" spans="1:41" ht="15.75" customHeight="1" x14ac:dyDescent="0.3">
      <c r="A79" s="16"/>
      <c r="B79" s="55">
        <v>21</v>
      </c>
      <c r="C79" s="71" t="s">
        <v>169</v>
      </c>
      <c r="D79" s="55">
        <v>4</v>
      </c>
      <c r="E79" s="55" t="s">
        <v>20</v>
      </c>
      <c r="F79" s="18" t="s">
        <v>21</v>
      </c>
      <c r="G79" s="18" t="s">
        <v>21</v>
      </c>
      <c r="H79" s="18" t="s">
        <v>20</v>
      </c>
      <c r="I79" s="18" t="s">
        <v>20</v>
      </c>
      <c r="J79" s="69" t="s">
        <v>20</v>
      </c>
      <c r="K79" s="69" t="s">
        <v>20</v>
      </c>
      <c r="L79" s="69" t="s">
        <v>21</v>
      </c>
      <c r="M79" s="18" t="s">
        <v>21</v>
      </c>
      <c r="N79" s="18" t="s">
        <v>20</v>
      </c>
      <c r="O79" s="18" t="s">
        <v>20</v>
      </c>
      <c r="P79" s="18" t="s">
        <v>20</v>
      </c>
      <c r="Q79" s="18" t="s">
        <v>20</v>
      </c>
      <c r="R79" s="18" t="s">
        <v>20</v>
      </c>
      <c r="S79" s="18" t="s">
        <v>20</v>
      </c>
      <c r="T79" s="18" t="s">
        <v>20</v>
      </c>
      <c r="U79" s="18" t="s">
        <v>20</v>
      </c>
      <c r="V79" s="37" t="s">
        <v>20</v>
      </c>
      <c r="W79" s="37" t="s">
        <v>20</v>
      </c>
      <c r="X79" s="37" t="s">
        <v>20</v>
      </c>
      <c r="Y79" s="18" t="s">
        <v>21</v>
      </c>
      <c r="Z79" s="18" t="s">
        <v>21</v>
      </c>
      <c r="AA79" s="18" t="s">
        <v>20</v>
      </c>
      <c r="AB79" s="18" t="s">
        <v>20</v>
      </c>
      <c r="AC79" s="18" t="s">
        <v>21</v>
      </c>
      <c r="AD79" s="18" t="s">
        <v>21</v>
      </c>
      <c r="AE79" s="18" t="s">
        <v>21</v>
      </c>
      <c r="AF79">
        <f>+COUNTIF(F79:AE79,"AD")</f>
        <v>0</v>
      </c>
      <c r="AG79">
        <f>+COUNTIF(F79:AE79,"A")</f>
        <v>17</v>
      </c>
      <c r="AH79">
        <f>+COUNTIF(F79:AE79,"b")</f>
        <v>9</v>
      </c>
      <c r="AI79">
        <f>+COUNTIF(F79:AE79,"c")</f>
        <v>0</v>
      </c>
      <c r="AK79">
        <f>+$AF$5*AF79</f>
        <v>0</v>
      </c>
      <c r="AL79">
        <f>+$AG$5*AG79</f>
        <v>51</v>
      </c>
      <c r="AM79">
        <f>+$AH$5*AH79</f>
        <v>18</v>
      </c>
      <c r="AN79">
        <f>+$AI$5*AI79</f>
        <v>0</v>
      </c>
      <c r="AO79">
        <f>+SUM(AK79:AN79)</f>
        <v>69</v>
      </c>
    </row>
    <row r="80" spans="1:41" ht="15.75" customHeight="1" x14ac:dyDescent="0.3">
      <c r="A80" s="16"/>
      <c r="B80" s="55">
        <v>1</v>
      </c>
      <c r="C80" s="71" t="s">
        <v>225</v>
      </c>
      <c r="D80" s="55">
        <v>5</v>
      </c>
      <c r="E80" s="55" t="s">
        <v>21</v>
      </c>
      <c r="F80" s="18" t="s">
        <v>21</v>
      </c>
      <c r="G80" s="18" t="s">
        <v>20</v>
      </c>
      <c r="H80" s="18" t="s">
        <v>21</v>
      </c>
      <c r="I80" s="18" t="s">
        <v>21</v>
      </c>
      <c r="J80" s="18" t="s">
        <v>20</v>
      </c>
      <c r="K80" s="18" t="s">
        <v>20</v>
      </c>
      <c r="L80" s="18" t="s">
        <v>20</v>
      </c>
      <c r="M80" s="18" t="s">
        <v>20</v>
      </c>
      <c r="N80" s="18" t="s">
        <v>20</v>
      </c>
      <c r="O80" s="18" t="s">
        <v>20</v>
      </c>
      <c r="P80" s="18" t="s">
        <v>21</v>
      </c>
      <c r="Q80" s="18" t="s">
        <v>21</v>
      </c>
      <c r="R80" s="18" t="s">
        <v>21</v>
      </c>
      <c r="S80" s="18" t="s">
        <v>20</v>
      </c>
      <c r="T80" s="18" t="s">
        <v>21</v>
      </c>
      <c r="U80" s="18" t="s">
        <v>20</v>
      </c>
      <c r="V80" s="37" t="s">
        <v>20</v>
      </c>
      <c r="W80" s="37" t="s">
        <v>20</v>
      </c>
      <c r="X80" s="37" t="s">
        <v>20</v>
      </c>
      <c r="Y80" s="18" t="s">
        <v>20</v>
      </c>
      <c r="Z80" s="18" t="s">
        <v>20</v>
      </c>
      <c r="AA80" s="18" t="s">
        <v>20</v>
      </c>
      <c r="AB80" s="18" t="s">
        <v>20</v>
      </c>
      <c r="AC80" s="18" t="s">
        <v>21</v>
      </c>
      <c r="AD80" s="18" t="s">
        <v>20</v>
      </c>
      <c r="AE80" s="18" t="s">
        <v>21</v>
      </c>
      <c r="AF80">
        <f>+COUNTIF(F80:AE80,"AD")</f>
        <v>0</v>
      </c>
      <c r="AG80">
        <f>+COUNTIF(F80:AE80,"A")</f>
        <v>17</v>
      </c>
      <c r="AH80">
        <f>+COUNTIF(F80:AE80,"b")</f>
        <v>9</v>
      </c>
      <c r="AI80">
        <f>+COUNTIF(F80:AE80,"c")</f>
        <v>0</v>
      </c>
      <c r="AK80">
        <f>+$AF$5*AF80</f>
        <v>0</v>
      </c>
      <c r="AL80">
        <f>+$AG$5*AG80</f>
        <v>51</v>
      </c>
      <c r="AM80">
        <f>+$AH$5*AH80</f>
        <v>18</v>
      </c>
      <c r="AN80">
        <f>+$AI$5*AI80</f>
        <v>0</v>
      </c>
      <c r="AO80">
        <f>+SUM(AK80:AN80)</f>
        <v>69</v>
      </c>
    </row>
    <row r="81" spans="1:41" ht="15.75" customHeight="1" x14ac:dyDescent="0.3">
      <c r="A81" s="16"/>
      <c r="B81" s="55">
        <v>5</v>
      </c>
      <c r="C81" s="71" t="s">
        <v>229</v>
      </c>
      <c r="D81" s="55">
        <v>5</v>
      </c>
      <c r="E81" s="55" t="s">
        <v>21</v>
      </c>
      <c r="F81" s="18" t="s">
        <v>20</v>
      </c>
      <c r="G81" s="18" t="s">
        <v>21</v>
      </c>
      <c r="H81" s="18" t="s">
        <v>20</v>
      </c>
      <c r="I81" s="18" t="s">
        <v>20</v>
      </c>
      <c r="J81" s="18" t="s">
        <v>21</v>
      </c>
      <c r="K81" s="18" t="s">
        <v>21</v>
      </c>
      <c r="L81" s="18" t="s">
        <v>20</v>
      </c>
      <c r="M81" s="18" t="s">
        <v>20</v>
      </c>
      <c r="N81" s="18" t="s">
        <v>20</v>
      </c>
      <c r="O81" s="18" t="s">
        <v>20</v>
      </c>
      <c r="P81" s="18" t="s">
        <v>21</v>
      </c>
      <c r="Q81" s="18" t="s">
        <v>20</v>
      </c>
      <c r="R81" s="18" t="s">
        <v>21</v>
      </c>
      <c r="S81" s="18" t="s">
        <v>20</v>
      </c>
      <c r="T81" s="18" t="s">
        <v>21</v>
      </c>
      <c r="U81" s="18" t="s">
        <v>20</v>
      </c>
      <c r="V81" s="37" t="s">
        <v>20</v>
      </c>
      <c r="W81" s="37" t="s">
        <v>21</v>
      </c>
      <c r="X81" s="37" t="s">
        <v>20</v>
      </c>
      <c r="Y81" s="18" t="s">
        <v>21</v>
      </c>
      <c r="Z81" s="18" t="s">
        <v>20</v>
      </c>
      <c r="AA81" s="18" t="s">
        <v>20</v>
      </c>
      <c r="AB81" s="18" t="s">
        <v>20</v>
      </c>
      <c r="AC81" s="18" t="s">
        <v>20</v>
      </c>
      <c r="AD81" s="18" t="s">
        <v>20</v>
      </c>
      <c r="AE81" s="18" t="s">
        <v>21</v>
      </c>
      <c r="AF81">
        <f>+COUNTIF(F81:AE81,"AD")</f>
        <v>0</v>
      </c>
      <c r="AG81">
        <f>+COUNTIF(F81:AE81,"A")</f>
        <v>17</v>
      </c>
      <c r="AH81">
        <f>+COUNTIF(F81:AE81,"b")</f>
        <v>9</v>
      </c>
      <c r="AI81">
        <f>+COUNTIF(F81:AE81,"c")</f>
        <v>0</v>
      </c>
      <c r="AK81">
        <f>+$AF$5*AF81</f>
        <v>0</v>
      </c>
      <c r="AL81">
        <f>+$AG$5*AG81</f>
        <v>51</v>
      </c>
      <c r="AM81">
        <f>+$AH$5*AH81</f>
        <v>18</v>
      </c>
      <c r="AN81">
        <f>+$AI$5*AI81</f>
        <v>0</v>
      </c>
      <c r="AO81">
        <f>+SUM(AK81:AN81)</f>
        <v>69</v>
      </c>
    </row>
    <row r="82" spans="1:41" ht="15.75" customHeight="1" x14ac:dyDescent="0.3">
      <c r="A82" s="16"/>
      <c r="B82" s="55">
        <v>2</v>
      </c>
      <c r="C82" s="71" t="s">
        <v>42</v>
      </c>
      <c r="D82" s="55">
        <v>1</v>
      </c>
      <c r="E82" s="55" t="s">
        <v>21</v>
      </c>
      <c r="F82" s="18" t="s">
        <v>21</v>
      </c>
      <c r="G82" s="18" t="s">
        <v>21</v>
      </c>
      <c r="H82" s="18" t="s">
        <v>21</v>
      </c>
      <c r="I82" s="18" t="s">
        <v>21</v>
      </c>
      <c r="J82" s="18" t="s">
        <v>20</v>
      </c>
      <c r="K82" s="18" t="s">
        <v>21</v>
      </c>
      <c r="L82" s="18" t="s">
        <v>21</v>
      </c>
      <c r="M82" s="19" t="s">
        <v>20</v>
      </c>
      <c r="N82" s="19" t="s">
        <v>20</v>
      </c>
      <c r="O82" s="19" t="s">
        <v>20</v>
      </c>
      <c r="P82" s="19" t="s">
        <v>20</v>
      </c>
      <c r="Q82" s="18" t="s">
        <v>20</v>
      </c>
      <c r="R82" s="18" t="s">
        <v>21</v>
      </c>
      <c r="S82" s="19" t="s">
        <v>20</v>
      </c>
      <c r="T82" s="18" t="s">
        <v>20</v>
      </c>
      <c r="U82" s="18" t="s">
        <v>21</v>
      </c>
      <c r="V82" s="18" t="s">
        <v>20</v>
      </c>
      <c r="W82" s="18" t="s">
        <v>20</v>
      </c>
      <c r="X82" s="18" t="s">
        <v>20</v>
      </c>
      <c r="Y82" s="19" t="s">
        <v>20</v>
      </c>
      <c r="Z82" s="19" t="s">
        <v>20</v>
      </c>
      <c r="AA82" s="72" t="s">
        <v>20</v>
      </c>
      <c r="AB82" s="72" t="s">
        <v>21</v>
      </c>
      <c r="AC82" s="18" t="s">
        <v>20</v>
      </c>
      <c r="AD82" s="19" t="s">
        <v>20</v>
      </c>
      <c r="AE82" s="19" t="s">
        <v>21</v>
      </c>
      <c r="AF82">
        <f>+COUNTIF(F82:AE82,"AD")</f>
        <v>0</v>
      </c>
      <c r="AG82">
        <f>+COUNTIF(F82:AE82,"A")</f>
        <v>16</v>
      </c>
      <c r="AH82">
        <f>+COUNTIF(F82:AE82,"b")</f>
        <v>10</v>
      </c>
      <c r="AI82">
        <f>+COUNTIF(F82:AE82,"c")</f>
        <v>0</v>
      </c>
      <c r="AK82">
        <f>+$AF$5*AF82</f>
        <v>0</v>
      </c>
      <c r="AL82">
        <f>+$AG$5*AG82</f>
        <v>48</v>
      </c>
      <c r="AM82">
        <f>+$AH$5*AH82</f>
        <v>20</v>
      </c>
      <c r="AN82">
        <f>+$AI$5*AI82</f>
        <v>0</v>
      </c>
      <c r="AO82">
        <f>+SUM(AK82:AN82)</f>
        <v>68</v>
      </c>
    </row>
    <row r="83" spans="1:41" ht="15.75" customHeight="1" x14ac:dyDescent="0.3">
      <c r="A83" s="16"/>
      <c r="B83" s="55">
        <v>7</v>
      </c>
      <c r="C83" s="71" t="s">
        <v>47</v>
      </c>
      <c r="D83" s="55">
        <v>1</v>
      </c>
      <c r="E83" s="55" t="s">
        <v>21</v>
      </c>
      <c r="F83" s="18" t="s">
        <v>21</v>
      </c>
      <c r="G83" s="18" t="s">
        <v>21</v>
      </c>
      <c r="H83" s="18" t="s">
        <v>20</v>
      </c>
      <c r="I83" s="18" t="s">
        <v>21</v>
      </c>
      <c r="J83" s="18" t="s">
        <v>20</v>
      </c>
      <c r="K83" s="18" t="s">
        <v>20</v>
      </c>
      <c r="L83" s="18" t="s">
        <v>21</v>
      </c>
      <c r="M83" s="18" t="s">
        <v>20</v>
      </c>
      <c r="N83" s="18" t="s">
        <v>21</v>
      </c>
      <c r="O83" s="18" t="s">
        <v>20</v>
      </c>
      <c r="P83" s="18" t="s">
        <v>20</v>
      </c>
      <c r="Q83" s="18" t="s">
        <v>21</v>
      </c>
      <c r="R83" s="18" t="s">
        <v>20</v>
      </c>
      <c r="S83" s="18" t="s">
        <v>20</v>
      </c>
      <c r="T83" s="18" t="s">
        <v>20</v>
      </c>
      <c r="U83" s="18" t="s">
        <v>21</v>
      </c>
      <c r="V83" s="18" t="s">
        <v>20</v>
      </c>
      <c r="W83" s="18" t="s">
        <v>20</v>
      </c>
      <c r="X83" s="18" t="s">
        <v>21</v>
      </c>
      <c r="Y83" s="19" t="s">
        <v>20</v>
      </c>
      <c r="Z83" s="18" t="s">
        <v>20</v>
      </c>
      <c r="AA83" s="72" t="s">
        <v>20</v>
      </c>
      <c r="AB83" s="72" t="s">
        <v>20</v>
      </c>
      <c r="AC83" s="18" t="s">
        <v>20</v>
      </c>
      <c r="AD83" s="29" t="s">
        <v>21</v>
      </c>
      <c r="AE83" s="29" t="s">
        <v>21</v>
      </c>
      <c r="AF83">
        <f>+COUNTIF(F83:AE83,"AD")</f>
        <v>0</v>
      </c>
      <c r="AG83">
        <f>+COUNTIF(F83:AE83,"A")</f>
        <v>16</v>
      </c>
      <c r="AH83">
        <f>+COUNTIF(F83:AE83,"b")</f>
        <v>10</v>
      </c>
      <c r="AI83">
        <f>+COUNTIF(F83:AE83,"c")</f>
        <v>0</v>
      </c>
      <c r="AK83">
        <f>+$AF$5*AF83</f>
        <v>0</v>
      </c>
      <c r="AL83">
        <f>+$AG$5*AG83</f>
        <v>48</v>
      </c>
      <c r="AM83">
        <f>+$AH$5*AH83</f>
        <v>20</v>
      </c>
      <c r="AN83">
        <f>+$AI$5*AI83</f>
        <v>0</v>
      </c>
      <c r="AO83">
        <f>+SUM(AK83:AN83)</f>
        <v>68</v>
      </c>
    </row>
    <row r="84" spans="1:41" ht="15.75" customHeight="1" x14ac:dyDescent="0.3">
      <c r="A84" s="16"/>
      <c r="B84" s="55">
        <v>10</v>
      </c>
      <c r="C84" s="71" t="s">
        <v>50</v>
      </c>
      <c r="D84" s="55">
        <v>1</v>
      </c>
      <c r="E84" s="55" t="s">
        <v>21</v>
      </c>
      <c r="F84" s="18" t="s">
        <v>20</v>
      </c>
      <c r="G84" s="18" t="s">
        <v>21</v>
      </c>
      <c r="H84" s="18" t="s">
        <v>20</v>
      </c>
      <c r="I84" s="18" t="s">
        <v>21</v>
      </c>
      <c r="J84" s="18" t="s">
        <v>21</v>
      </c>
      <c r="K84" s="18" t="s">
        <v>21</v>
      </c>
      <c r="L84" s="18" t="s">
        <v>21</v>
      </c>
      <c r="M84" s="18" t="s">
        <v>20</v>
      </c>
      <c r="N84" s="18" t="s">
        <v>20</v>
      </c>
      <c r="O84" s="18" t="s">
        <v>20</v>
      </c>
      <c r="P84" s="18" t="s">
        <v>21</v>
      </c>
      <c r="Q84" s="18" t="s">
        <v>20</v>
      </c>
      <c r="R84" s="18" t="s">
        <v>21</v>
      </c>
      <c r="S84" s="18" t="s">
        <v>20</v>
      </c>
      <c r="T84" s="18" t="s">
        <v>20</v>
      </c>
      <c r="U84" s="18" t="s">
        <v>20</v>
      </c>
      <c r="V84" s="18" t="s">
        <v>20</v>
      </c>
      <c r="W84" s="18" t="s">
        <v>20</v>
      </c>
      <c r="X84" s="18" t="s">
        <v>20</v>
      </c>
      <c r="Y84" s="19" t="s">
        <v>20</v>
      </c>
      <c r="Z84" s="18" t="s">
        <v>20</v>
      </c>
      <c r="AA84" s="72" t="s">
        <v>21</v>
      </c>
      <c r="AB84" s="72" t="s">
        <v>21</v>
      </c>
      <c r="AC84" s="18" t="s">
        <v>20</v>
      </c>
      <c r="AD84" s="29" t="s">
        <v>20</v>
      </c>
      <c r="AE84" s="29" t="s">
        <v>21</v>
      </c>
      <c r="AF84">
        <f>+COUNTIF(F84:AE84,"AD")</f>
        <v>0</v>
      </c>
      <c r="AG84">
        <f>+COUNTIF(F84:AE84,"A")</f>
        <v>16</v>
      </c>
      <c r="AH84">
        <f>+COUNTIF(F84:AE84,"b")</f>
        <v>10</v>
      </c>
      <c r="AI84">
        <f>+COUNTIF(F84:AE84,"c")</f>
        <v>0</v>
      </c>
      <c r="AK84">
        <f>+$AF$5*AF84</f>
        <v>0</v>
      </c>
      <c r="AL84">
        <f>+$AG$5*AG84</f>
        <v>48</v>
      </c>
      <c r="AM84">
        <f>+$AH$5*AH84</f>
        <v>20</v>
      </c>
      <c r="AN84">
        <f>+$AI$5*AI84</f>
        <v>0</v>
      </c>
      <c r="AO84">
        <f>+SUM(AK84:AN84)</f>
        <v>68</v>
      </c>
    </row>
    <row r="85" spans="1:41" ht="15.75" customHeight="1" x14ac:dyDescent="0.3">
      <c r="A85" s="16"/>
      <c r="B85" s="55">
        <v>13</v>
      </c>
      <c r="C85" s="71" t="s">
        <v>121</v>
      </c>
      <c r="D85" s="55">
        <v>3</v>
      </c>
      <c r="E85" s="55" t="s">
        <v>20</v>
      </c>
      <c r="F85" s="18" t="s">
        <v>20</v>
      </c>
      <c r="G85" s="18" t="s">
        <v>20</v>
      </c>
      <c r="H85" s="18" t="s">
        <v>20</v>
      </c>
      <c r="I85" s="18" t="s">
        <v>20</v>
      </c>
      <c r="J85" s="69" t="s">
        <v>20</v>
      </c>
      <c r="K85" s="69" t="s">
        <v>21</v>
      </c>
      <c r="L85" s="69" t="s">
        <v>21</v>
      </c>
      <c r="M85" s="18" t="s">
        <v>21</v>
      </c>
      <c r="N85" s="18" t="s">
        <v>21</v>
      </c>
      <c r="O85" s="18" t="s">
        <v>20</v>
      </c>
      <c r="P85" s="18" t="s">
        <v>20</v>
      </c>
      <c r="Q85" s="18" t="s">
        <v>20</v>
      </c>
      <c r="R85" s="18" t="s">
        <v>20</v>
      </c>
      <c r="S85" s="18" t="s">
        <v>20</v>
      </c>
      <c r="T85" s="18" t="s">
        <v>20</v>
      </c>
      <c r="U85" s="18" t="s">
        <v>21</v>
      </c>
      <c r="V85" s="37" t="s">
        <v>20</v>
      </c>
      <c r="W85" s="37" t="s">
        <v>21</v>
      </c>
      <c r="X85" s="37" t="s">
        <v>20</v>
      </c>
      <c r="Y85" s="18" t="s">
        <v>21</v>
      </c>
      <c r="Z85" s="18" t="s">
        <v>20</v>
      </c>
      <c r="AA85" s="18" t="s">
        <v>20</v>
      </c>
      <c r="AB85" s="18" t="s">
        <v>21</v>
      </c>
      <c r="AC85" s="18" t="s">
        <v>20</v>
      </c>
      <c r="AD85" s="37" t="s">
        <v>21</v>
      </c>
      <c r="AE85" s="37" t="s">
        <v>21</v>
      </c>
      <c r="AF85">
        <f>+COUNTIF(F85:AE85,"AD")</f>
        <v>0</v>
      </c>
      <c r="AG85">
        <f>+COUNTIF(F85:AE85,"A")</f>
        <v>16</v>
      </c>
      <c r="AH85">
        <f>+COUNTIF(F85:AE85,"b")</f>
        <v>10</v>
      </c>
      <c r="AI85">
        <f>+COUNTIF(F85:AE85,"c")</f>
        <v>0</v>
      </c>
      <c r="AK85">
        <f>+$AF$5*AF85</f>
        <v>0</v>
      </c>
      <c r="AL85">
        <f>+$AG$5*AG85</f>
        <v>48</v>
      </c>
      <c r="AM85">
        <f>+$AH$5*AH85</f>
        <v>20</v>
      </c>
      <c r="AN85">
        <f>+$AI$5*AI85</f>
        <v>0</v>
      </c>
      <c r="AO85">
        <f>+SUM(AK85:AN85)</f>
        <v>68</v>
      </c>
    </row>
    <row r="86" spans="1:41" ht="15.75" customHeight="1" x14ac:dyDescent="0.3">
      <c r="A86" s="16"/>
      <c r="B86" s="55">
        <v>1</v>
      </c>
      <c r="C86" s="71" t="s">
        <v>128</v>
      </c>
      <c r="D86" s="55">
        <v>3</v>
      </c>
      <c r="E86" s="55" t="s">
        <v>21</v>
      </c>
      <c r="F86" s="18" t="s">
        <v>21</v>
      </c>
      <c r="G86" s="18" t="s">
        <v>20</v>
      </c>
      <c r="H86" s="18" t="s">
        <v>20</v>
      </c>
      <c r="I86" s="18" t="s">
        <v>20</v>
      </c>
      <c r="J86" s="18" t="s">
        <v>20</v>
      </c>
      <c r="K86" s="18" t="s">
        <v>20</v>
      </c>
      <c r="L86" s="18" t="s">
        <v>21</v>
      </c>
      <c r="M86" s="18" t="s">
        <v>20</v>
      </c>
      <c r="N86" s="18" t="s">
        <v>20</v>
      </c>
      <c r="O86" s="18" t="s">
        <v>20</v>
      </c>
      <c r="P86" s="18" t="s">
        <v>21</v>
      </c>
      <c r="Q86" s="18" t="s">
        <v>21</v>
      </c>
      <c r="R86" s="18" t="s">
        <v>20</v>
      </c>
      <c r="S86" s="18" t="s">
        <v>20</v>
      </c>
      <c r="T86" s="18" t="s">
        <v>20</v>
      </c>
      <c r="U86" s="18" t="s">
        <v>20</v>
      </c>
      <c r="V86" s="37" t="s">
        <v>21</v>
      </c>
      <c r="W86" s="37" t="s">
        <v>20</v>
      </c>
      <c r="X86" s="37" t="s">
        <v>20</v>
      </c>
      <c r="Y86" s="18" t="s">
        <v>20</v>
      </c>
      <c r="Z86" s="18" t="s">
        <v>20</v>
      </c>
      <c r="AA86" s="18" t="s">
        <v>21</v>
      </c>
      <c r="AB86" s="18" t="s">
        <v>21</v>
      </c>
      <c r="AC86" s="18" t="s">
        <v>21</v>
      </c>
      <c r="AD86" s="37" t="s">
        <v>21</v>
      </c>
      <c r="AE86" s="37" t="s">
        <v>21</v>
      </c>
      <c r="AF86">
        <f>+COUNTIF(F86:AE86,"AD")</f>
        <v>0</v>
      </c>
      <c r="AG86">
        <f>+COUNTIF(F86:AE86,"A")</f>
        <v>16</v>
      </c>
      <c r="AH86">
        <f>+COUNTIF(F86:AE86,"b")</f>
        <v>10</v>
      </c>
      <c r="AI86">
        <f>+COUNTIF(F86:AE86,"c")</f>
        <v>0</v>
      </c>
      <c r="AK86">
        <f>+$AF$5*AF86</f>
        <v>0</v>
      </c>
      <c r="AL86">
        <f>+$AG$5*AG86</f>
        <v>48</v>
      </c>
      <c r="AM86">
        <f>+$AH$5*AH86</f>
        <v>20</v>
      </c>
      <c r="AN86">
        <f>+$AI$5*AI86</f>
        <v>0</v>
      </c>
      <c r="AO86">
        <f>+SUM(AK86:AN86)</f>
        <v>68</v>
      </c>
    </row>
    <row r="87" spans="1:41" ht="15.75" customHeight="1" x14ac:dyDescent="0.3">
      <c r="A87" s="16"/>
      <c r="B87" s="55">
        <v>18</v>
      </c>
      <c r="C87" s="71" t="s">
        <v>145</v>
      </c>
      <c r="D87" s="55">
        <v>3</v>
      </c>
      <c r="E87" s="55" t="s">
        <v>21</v>
      </c>
      <c r="F87" s="18" t="s">
        <v>21</v>
      </c>
      <c r="G87" s="18" t="s">
        <v>21</v>
      </c>
      <c r="H87" s="18" t="s">
        <v>20</v>
      </c>
      <c r="I87" s="18" t="s">
        <v>21</v>
      </c>
      <c r="J87" s="18" t="s">
        <v>20</v>
      </c>
      <c r="K87" s="18" t="s">
        <v>20</v>
      </c>
      <c r="L87" s="18" t="s">
        <v>20</v>
      </c>
      <c r="M87" s="18" t="s">
        <v>21</v>
      </c>
      <c r="N87" s="18" t="s">
        <v>20</v>
      </c>
      <c r="O87" s="18" t="s">
        <v>21</v>
      </c>
      <c r="P87" s="18" t="s">
        <v>21</v>
      </c>
      <c r="Q87" s="18" t="s">
        <v>21</v>
      </c>
      <c r="R87" s="18" t="s">
        <v>20</v>
      </c>
      <c r="S87" s="18" t="s">
        <v>20</v>
      </c>
      <c r="T87" s="18" t="s">
        <v>20</v>
      </c>
      <c r="U87" s="18" t="s">
        <v>20</v>
      </c>
      <c r="V87" s="37" t="s">
        <v>20</v>
      </c>
      <c r="W87" s="37" t="s">
        <v>20</v>
      </c>
      <c r="X87" s="37" t="s">
        <v>20</v>
      </c>
      <c r="Y87" s="18" t="s">
        <v>20</v>
      </c>
      <c r="Z87" s="18" t="s">
        <v>21</v>
      </c>
      <c r="AA87" s="18" t="s">
        <v>20</v>
      </c>
      <c r="AB87" s="18" t="s">
        <v>21</v>
      </c>
      <c r="AC87" s="18" t="s">
        <v>20</v>
      </c>
      <c r="AD87" s="29" t="s">
        <v>20</v>
      </c>
      <c r="AE87" s="29" t="s">
        <v>21</v>
      </c>
      <c r="AF87">
        <f>+COUNTIF(F87:AE87,"AD")</f>
        <v>0</v>
      </c>
      <c r="AG87">
        <f>+COUNTIF(F87:AE87,"A")</f>
        <v>16</v>
      </c>
      <c r="AH87">
        <f>+COUNTIF(F87:AE87,"b")</f>
        <v>10</v>
      </c>
      <c r="AI87">
        <f>+COUNTIF(F87:AE87,"c")</f>
        <v>0</v>
      </c>
      <c r="AK87">
        <f>+$AF$5*AF87</f>
        <v>0</v>
      </c>
      <c r="AL87">
        <f>+$AG$5*AG87</f>
        <v>48</v>
      </c>
      <c r="AM87">
        <f>+$AH$5*AH87</f>
        <v>20</v>
      </c>
      <c r="AN87">
        <f>+$AI$5*AI87</f>
        <v>0</v>
      </c>
      <c r="AO87">
        <f>+SUM(AK87:AN87)</f>
        <v>68</v>
      </c>
    </row>
    <row r="88" spans="1:41" ht="15.75" customHeight="1" x14ac:dyDescent="0.3">
      <c r="A88" s="16"/>
      <c r="B88" s="55">
        <v>4</v>
      </c>
      <c r="C88" s="71" t="s">
        <v>152</v>
      </c>
      <c r="D88" s="55">
        <v>4</v>
      </c>
      <c r="E88" s="55" t="s">
        <v>20</v>
      </c>
      <c r="F88" s="18" t="s">
        <v>21</v>
      </c>
      <c r="G88" s="18" t="s">
        <v>20</v>
      </c>
      <c r="H88" s="18" t="s">
        <v>21</v>
      </c>
      <c r="I88" s="18" t="s">
        <v>20</v>
      </c>
      <c r="J88" s="69" t="s">
        <v>20</v>
      </c>
      <c r="K88" s="69" t="s">
        <v>20</v>
      </c>
      <c r="L88" s="69" t="s">
        <v>21</v>
      </c>
      <c r="M88" s="18" t="s">
        <v>20</v>
      </c>
      <c r="N88" s="18" t="s">
        <v>20</v>
      </c>
      <c r="O88" s="18" t="s">
        <v>20</v>
      </c>
      <c r="P88" s="18" t="s">
        <v>21</v>
      </c>
      <c r="Q88" s="18" t="s">
        <v>21</v>
      </c>
      <c r="R88" s="18" t="s">
        <v>21</v>
      </c>
      <c r="S88" s="18" t="s">
        <v>20</v>
      </c>
      <c r="T88" s="18" t="s">
        <v>20</v>
      </c>
      <c r="U88" s="18" t="s">
        <v>21</v>
      </c>
      <c r="V88" s="37" t="s">
        <v>20</v>
      </c>
      <c r="W88" s="37" t="s">
        <v>20</v>
      </c>
      <c r="X88" s="37" t="s">
        <v>20</v>
      </c>
      <c r="Y88" s="18" t="s">
        <v>20</v>
      </c>
      <c r="Z88" s="18" t="s">
        <v>20</v>
      </c>
      <c r="AA88" s="18" t="s">
        <v>21</v>
      </c>
      <c r="AB88" s="18" t="s">
        <v>21</v>
      </c>
      <c r="AC88" s="18" t="s">
        <v>20</v>
      </c>
      <c r="AD88" s="47" t="s">
        <v>20</v>
      </c>
      <c r="AE88" s="47" t="s">
        <v>21</v>
      </c>
      <c r="AF88">
        <f>+COUNTIF(F88:AE88,"AD")</f>
        <v>0</v>
      </c>
      <c r="AG88">
        <f>+COUNTIF(F88:AE88,"A")</f>
        <v>16</v>
      </c>
      <c r="AH88">
        <f>+COUNTIF(F88:AE88,"b")</f>
        <v>10</v>
      </c>
      <c r="AI88">
        <f>+COUNTIF(F88:AE88,"c")</f>
        <v>0</v>
      </c>
      <c r="AK88">
        <f>+$AF$5*AF88</f>
        <v>0</v>
      </c>
      <c r="AL88">
        <f>+$AG$5*AG88</f>
        <v>48</v>
      </c>
      <c r="AM88">
        <f>+$AH$5*AH88</f>
        <v>20</v>
      </c>
      <c r="AN88">
        <f>+$AI$5*AI88</f>
        <v>0</v>
      </c>
      <c r="AO88">
        <f>+SUM(AK88:AN88)</f>
        <v>68</v>
      </c>
    </row>
    <row r="89" spans="1:41" ht="15.75" customHeight="1" x14ac:dyDescent="0.3">
      <c r="A89" s="16"/>
      <c r="B89" s="55">
        <v>5</v>
      </c>
      <c r="C89" s="71" t="s">
        <v>153</v>
      </c>
      <c r="D89" s="55">
        <v>4</v>
      </c>
      <c r="E89" s="55" t="s">
        <v>20</v>
      </c>
      <c r="F89" s="18" t="s">
        <v>20</v>
      </c>
      <c r="G89" s="18" t="s">
        <v>21</v>
      </c>
      <c r="H89" s="18" t="s">
        <v>21</v>
      </c>
      <c r="I89" s="18" t="s">
        <v>20</v>
      </c>
      <c r="J89" s="69" t="s">
        <v>20</v>
      </c>
      <c r="K89" s="69" t="s">
        <v>20</v>
      </c>
      <c r="L89" s="69" t="s">
        <v>21</v>
      </c>
      <c r="M89" s="18" t="s">
        <v>21</v>
      </c>
      <c r="N89" s="18" t="s">
        <v>20</v>
      </c>
      <c r="O89" s="18" t="s">
        <v>20</v>
      </c>
      <c r="P89" s="18" t="s">
        <v>20</v>
      </c>
      <c r="Q89" s="18" t="s">
        <v>20</v>
      </c>
      <c r="R89" s="18" t="s">
        <v>20</v>
      </c>
      <c r="S89" s="18" t="s">
        <v>20</v>
      </c>
      <c r="T89" s="18" t="s">
        <v>20</v>
      </c>
      <c r="U89" s="18" t="s">
        <v>21</v>
      </c>
      <c r="V89" s="37" t="s">
        <v>20</v>
      </c>
      <c r="W89" s="37" t="s">
        <v>20</v>
      </c>
      <c r="X89" s="37" t="s">
        <v>20</v>
      </c>
      <c r="Y89" s="18" t="s">
        <v>20</v>
      </c>
      <c r="Z89" s="18" t="s">
        <v>21</v>
      </c>
      <c r="AA89" s="18" t="s">
        <v>21</v>
      </c>
      <c r="AB89" s="18" t="s">
        <v>20</v>
      </c>
      <c r="AC89" s="18" t="s">
        <v>20</v>
      </c>
      <c r="AD89" s="29" t="s">
        <v>23</v>
      </c>
      <c r="AE89" s="29" t="s">
        <v>21</v>
      </c>
      <c r="AF89">
        <f>+COUNTIF(F89:AE89,"AD")</f>
        <v>0</v>
      </c>
      <c r="AG89">
        <f>+COUNTIF(F89:AE89,"A")</f>
        <v>17</v>
      </c>
      <c r="AH89">
        <f>+COUNTIF(F89:AE89,"b")</f>
        <v>8</v>
      </c>
      <c r="AI89">
        <f>+COUNTIF(F89:AE89,"c")</f>
        <v>1</v>
      </c>
      <c r="AK89">
        <f>+$AF$5*AF89</f>
        <v>0</v>
      </c>
      <c r="AL89">
        <f>+$AG$5*AG89</f>
        <v>51</v>
      </c>
      <c r="AM89">
        <f>+$AH$5*AH89</f>
        <v>16</v>
      </c>
      <c r="AN89">
        <f>+$AI$5*AI89</f>
        <v>1</v>
      </c>
      <c r="AO89">
        <f>+SUM(AK89:AN89)</f>
        <v>68</v>
      </c>
    </row>
    <row r="90" spans="1:41" ht="15.75" customHeight="1" x14ac:dyDescent="0.3">
      <c r="A90" s="16"/>
      <c r="B90" s="55">
        <v>16</v>
      </c>
      <c r="C90" s="71" t="s">
        <v>240</v>
      </c>
      <c r="D90" s="55">
        <v>5</v>
      </c>
      <c r="E90" s="55" t="s">
        <v>21</v>
      </c>
      <c r="F90" s="18" t="s">
        <v>20</v>
      </c>
      <c r="G90" s="18" t="s">
        <v>20</v>
      </c>
      <c r="H90" s="18" t="s">
        <v>21</v>
      </c>
      <c r="I90" s="18" t="s">
        <v>20</v>
      </c>
      <c r="J90" s="18" t="s">
        <v>21</v>
      </c>
      <c r="K90" s="18" t="s">
        <v>21</v>
      </c>
      <c r="L90" s="18" t="s">
        <v>20</v>
      </c>
      <c r="M90" s="18" t="s">
        <v>20</v>
      </c>
      <c r="N90" s="18" t="s">
        <v>20</v>
      </c>
      <c r="O90" s="18" t="s">
        <v>20</v>
      </c>
      <c r="P90" s="18" t="s">
        <v>21</v>
      </c>
      <c r="Q90" s="18" t="s">
        <v>20</v>
      </c>
      <c r="R90" s="18" t="s">
        <v>21</v>
      </c>
      <c r="S90" s="18" t="s">
        <v>21</v>
      </c>
      <c r="T90" s="18" t="s">
        <v>21</v>
      </c>
      <c r="U90" s="18" t="s">
        <v>20</v>
      </c>
      <c r="V90" s="37" t="s">
        <v>20</v>
      </c>
      <c r="W90" s="37" t="s">
        <v>20</v>
      </c>
      <c r="X90" s="37" t="s">
        <v>20</v>
      </c>
      <c r="Y90" s="18" t="s">
        <v>20</v>
      </c>
      <c r="Z90" s="18" t="s">
        <v>21</v>
      </c>
      <c r="AA90" s="18" t="s">
        <v>21</v>
      </c>
      <c r="AB90" s="18" t="s">
        <v>20</v>
      </c>
      <c r="AC90" s="18" t="s">
        <v>20</v>
      </c>
      <c r="AD90" s="29" t="s">
        <v>20</v>
      </c>
      <c r="AE90" s="29" t="s">
        <v>21</v>
      </c>
      <c r="AF90">
        <f>+COUNTIF(F90:AE90,"AD")</f>
        <v>0</v>
      </c>
      <c r="AG90">
        <f>+COUNTIF(F90:AE90,"A")</f>
        <v>16</v>
      </c>
      <c r="AH90">
        <f>+COUNTIF(F90:AE90,"b")</f>
        <v>10</v>
      </c>
      <c r="AI90">
        <f>+COUNTIF(F90:AE90,"c")</f>
        <v>0</v>
      </c>
      <c r="AK90">
        <f>+$AF$5*AF90</f>
        <v>0</v>
      </c>
      <c r="AL90">
        <f>+$AG$5*AG90</f>
        <v>48</v>
      </c>
      <c r="AM90">
        <f>+$AH$5*AH90</f>
        <v>20</v>
      </c>
      <c r="AN90">
        <f>+$AI$5*AI90</f>
        <v>0</v>
      </c>
      <c r="AO90">
        <f>+SUM(AK90:AN90)</f>
        <v>68</v>
      </c>
    </row>
    <row r="91" spans="1:41" ht="15.75" customHeight="1" x14ac:dyDescent="0.3">
      <c r="A91" s="16"/>
      <c r="B91" s="55">
        <v>6</v>
      </c>
      <c r="C91" s="71" t="s">
        <v>27</v>
      </c>
      <c r="D91" s="55">
        <v>1</v>
      </c>
      <c r="E91" s="55" t="s">
        <v>20</v>
      </c>
      <c r="F91" s="18" t="s">
        <v>20</v>
      </c>
      <c r="G91" s="18" t="s">
        <v>20</v>
      </c>
      <c r="H91" s="18" t="s">
        <v>20</v>
      </c>
      <c r="I91" s="18" t="s">
        <v>20</v>
      </c>
      <c r="J91" s="18" t="s">
        <v>20</v>
      </c>
      <c r="K91" s="18" t="s">
        <v>20</v>
      </c>
      <c r="L91" s="18" t="s">
        <v>20</v>
      </c>
      <c r="M91" s="19" t="s">
        <v>20</v>
      </c>
      <c r="N91" s="19" t="s">
        <v>20</v>
      </c>
      <c r="O91" s="19" t="s">
        <v>20</v>
      </c>
      <c r="P91" s="19" t="s">
        <v>20</v>
      </c>
      <c r="Q91" s="18" t="s">
        <v>21</v>
      </c>
      <c r="R91" s="18" t="s">
        <v>21</v>
      </c>
      <c r="S91" s="19" t="s">
        <v>20</v>
      </c>
      <c r="T91" s="18" t="s">
        <v>21</v>
      </c>
      <c r="U91" s="18" t="s">
        <v>21</v>
      </c>
      <c r="V91" s="18" t="s">
        <v>21</v>
      </c>
      <c r="W91" s="18" t="s">
        <v>20</v>
      </c>
      <c r="X91" s="18" t="s">
        <v>20</v>
      </c>
      <c r="Y91" s="19" t="s">
        <v>20</v>
      </c>
      <c r="Z91" s="19" t="s">
        <v>21</v>
      </c>
      <c r="AA91" s="18" t="s">
        <v>21</v>
      </c>
      <c r="AB91" s="18" t="s">
        <v>21</v>
      </c>
      <c r="AC91" s="18" t="s">
        <v>21</v>
      </c>
      <c r="AD91" s="19" t="s">
        <v>21</v>
      </c>
      <c r="AE91" s="19" t="s">
        <v>21</v>
      </c>
      <c r="AF91">
        <f>+COUNTIF(F91:AE91,"AD")</f>
        <v>0</v>
      </c>
      <c r="AG91">
        <f>+COUNTIF(F91:AE91,"A")</f>
        <v>15</v>
      </c>
      <c r="AH91">
        <f>+COUNTIF(F91:AE91,"b")</f>
        <v>11</v>
      </c>
      <c r="AI91">
        <f>+COUNTIF(F91:AE91,"c")</f>
        <v>0</v>
      </c>
      <c r="AK91">
        <f>+$AF$5*AF91</f>
        <v>0</v>
      </c>
      <c r="AL91">
        <f>+$AG$5*AG91</f>
        <v>45</v>
      </c>
      <c r="AM91">
        <f>+$AH$5*AH91</f>
        <v>22</v>
      </c>
      <c r="AN91">
        <f>+$AI$5*AI91</f>
        <v>0</v>
      </c>
      <c r="AO91">
        <f>+SUM(AK91:AN91)</f>
        <v>67</v>
      </c>
    </row>
    <row r="92" spans="1:41" ht="15.75" customHeight="1" x14ac:dyDescent="0.3">
      <c r="A92" s="16"/>
      <c r="B92" s="55">
        <v>3</v>
      </c>
      <c r="C92" s="71" t="s">
        <v>43</v>
      </c>
      <c r="D92" s="55">
        <v>1</v>
      </c>
      <c r="E92" s="55" t="s">
        <v>21</v>
      </c>
      <c r="F92" s="18" t="s">
        <v>21</v>
      </c>
      <c r="G92" s="18" t="s">
        <v>20</v>
      </c>
      <c r="H92" s="18" t="s">
        <v>21</v>
      </c>
      <c r="I92" s="18" t="s">
        <v>21</v>
      </c>
      <c r="J92" s="18" t="s">
        <v>21</v>
      </c>
      <c r="K92" s="18" t="s">
        <v>20</v>
      </c>
      <c r="L92" s="18" t="s">
        <v>21</v>
      </c>
      <c r="M92" s="19" t="s">
        <v>20</v>
      </c>
      <c r="N92" s="19" t="s">
        <v>20</v>
      </c>
      <c r="O92" s="19" t="s">
        <v>20</v>
      </c>
      <c r="P92" s="19" t="s">
        <v>20</v>
      </c>
      <c r="Q92" s="18" t="s">
        <v>21</v>
      </c>
      <c r="R92" s="18" t="s">
        <v>21</v>
      </c>
      <c r="S92" s="19" t="s">
        <v>20</v>
      </c>
      <c r="T92" s="18" t="s">
        <v>20</v>
      </c>
      <c r="U92" s="18" t="s">
        <v>21</v>
      </c>
      <c r="V92" s="18" t="s">
        <v>20</v>
      </c>
      <c r="W92" s="18" t="s">
        <v>20</v>
      </c>
      <c r="X92" s="18" t="s">
        <v>20</v>
      </c>
      <c r="Y92" s="19" t="s">
        <v>20</v>
      </c>
      <c r="Z92" s="19" t="s">
        <v>20</v>
      </c>
      <c r="AA92" s="72" t="s">
        <v>20</v>
      </c>
      <c r="AB92" s="72" t="s">
        <v>21</v>
      </c>
      <c r="AC92" s="18" t="s">
        <v>21</v>
      </c>
      <c r="AD92" s="19" t="s">
        <v>20</v>
      </c>
      <c r="AE92" s="19" t="s">
        <v>21</v>
      </c>
      <c r="AF92">
        <f>+COUNTIF(F92:AE92,"AD")</f>
        <v>0</v>
      </c>
      <c r="AG92">
        <f>+COUNTIF(F92:AE92,"A")</f>
        <v>15</v>
      </c>
      <c r="AH92">
        <f>+COUNTIF(F92:AE92,"b")</f>
        <v>11</v>
      </c>
      <c r="AI92">
        <f>+COUNTIF(F92:AE92,"c")</f>
        <v>0</v>
      </c>
      <c r="AK92">
        <f>+$AF$5*AF92</f>
        <v>0</v>
      </c>
      <c r="AL92">
        <f>+$AG$5*AG92</f>
        <v>45</v>
      </c>
      <c r="AM92">
        <f>+$AH$5*AH92</f>
        <v>22</v>
      </c>
      <c r="AN92">
        <f>+$AI$5*AI92</f>
        <v>0</v>
      </c>
      <c r="AO92">
        <f>+SUM(AK92:AN92)</f>
        <v>67</v>
      </c>
    </row>
    <row r="93" spans="1:41" ht="15.75" customHeight="1" x14ac:dyDescent="0.3">
      <c r="A93" s="16"/>
      <c r="B93" s="55">
        <v>6</v>
      </c>
      <c r="C93" s="71" t="s">
        <v>46</v>
      </c>
      <c r="D93" s="55">
        <v>1</v>
      </c>
      <c r="E93" s="55" t="s">
        <v>21</v>
      </c>
      <c r="F93" s="18" t="s">
        <v>20</v>
      </c>
      <c r="G93" s="18" t="s">
        <v>20</v>
      </c>
      <c r="H93" s="18" t="s">
        <v>21</v>
      </c>
      <c r="I93" s="18" t="s">
        <v>20</v>
      </c>
      <c r="J93" s="18" t="s">
        <v>21</v>
      </c>
      <c r="K93" s="18" t="s">
        <v>20</v>
      </c>
      <c r="L93" s="18" t="s">
        <v>21</v>
      </c>
      <c r="M93" s="18" t="s">
        <v>20</v>
      </c>
      <c r="N93" s="18" t="s">
        <v>21</v>
      </c>
      <c r="O93" s="18" t="s">
        <v>20</v>
      </c>
      <c r="P93" s="18" t="s">
        <v>21</v>
      </c>
      <c r="Q93" s="18" t="s">
        <v>21</v>
      </c>
      <c r="R93" s="18" t="s">
        <v>21</v>
      </c>
      <c r="S93" s="18" t="s">
        <v>21</v>
      </c>
      <c r="T93" s="18" t="s">
        <v>20</v>
      </c>
      <c r="U93" s="18" t="s">
        <v>21</v>
      </c>
      <c r="V93" s="18" t="s">
        <v>20</v>
      </c>
      <c r="W93" s="18" t="s">
        <v>20</v>
      </c>
      <c r="X93" s="18" t="s">
        <v>20</v>
      </c>
      <c r="Y93" s="19" t="s">
        <v>20</v>
      </c>
      <c r="Z93" s="18" t="s">
        <v>20</v>
      </c>
      <c r="AA93" s="72" t="s">
        <v>20</v>
      </c>
      <c r="AB93" s="72" t="s">
        <v>20</v>
      </c>
      <c r="AC93" s="18" t="s">
        <v>20</v>
      </c>
      <c r="AD93" s="29" t="s">
        <v>21</v>
      </c>
      <c r="AE93" s="29" t="s">
        <v>21</v>
      </c>
      <c r="AF93">
        <f>+COUNTIF(F93:AE93,"AD")</f>
        <v>0</v>
      </c>
      <c r="AG93">
        <f>+COUNTIF(F93:AE93,"A")</f>
        <v>15</v>
      </c>
      <c r="AH93">
        <f>+COUNTIF(F93:AE93,"b")</f>
        <v>11</v>
      </c>
      <c r="AI93">
        <f>+COUNTIF(F93:AE93,"c")</f>
        <v>0</v>
      </c>
      <c r="AK93">
        <f>+$AF$5*AF93</f>
        <v>0</v>
      </c>
      <c r="AL93">
        <f>+$AG$5*AG93</f>
        <v>45</v>
      </c>
      <c r="AM93">
        <f>+$AH$5*AH93</f>
        <v>22</v>
      </c>
      <c r="AN93">
        <f>+$AI$5*AI93</f>
        <v>0</v>
      </c>
      <c r="AO93">
        <f>+SUM(AK93:AN93)</f>
        <v>67</v>
      </c>
    </row>
    <row r="94" spans="1:41" ht="15.75" customHeight="1" x14ac:dyDescent="0.3">
      <c r="A94" s="16"/>
      <c r="B94" s="55">
        <v>9</v>
      </c>
      <c r="C94" s="71" t="s">
        <v>49</v>
      </c>
      <c r="D94" s="55">
        <v>1</v>
      </c>
      <c r="E94" s="55" t="s">
        <v>21</v>
      </c>
      <c r="F94" s="18" t="s">
        <v>20</v>
      </c>
      <c r="G94" s="18" t="s">
        <v>21</v>
      </c>
      <c r="H94" s="18" t="s">
        <v>21</v>
      </c>
      <c r="I94" s="18" t="s">
        <v>21</v>
      </c>
      <c r="J94" s="18" t="s">
        <v>21</v>
      </c>
      <c r="K94" s="18" t="s">
        <v>21</v>
      </c>
      <c r="L94" s="18" t="s">
        <v>20</v>
      </c>
      <c r="M94" s="18" t="s">
        <v>20</v>
      </c>
      <c r="N94" s="18" t="s">
        <v>20</v>
      </c>
      <c r="O94" s="18" t="s">
        <v>20</v>
      </c>
      <c r="P94" s="18" t="s">
        <v>20</v>
      </c>
      <c r="Q94" s="18" t="s">
        <v>20</v>
      </c>
      <c r="R94" s="18" t="s">
        <v>20</v>
      </c>
      <c r="S94" s="18" t="s">
        <v>20</v>
      </c>
      <c r="T94" s="18" t="s">
        <v>20</v>
      </c>
      <c r="U94" s="18" t="s">
        <v>21</v>
      </c>
      <c r="V94" s="18" t="s">
        <v>20</v>
      </c>
      <c r="W94" s="18" t="s">
        <v>20</v>
      </c>
      <c r="X94" s="18" t="s">
        <v>20</v>
      </c>
      <c r="Y94" s="19" t="s">
        <v>20</v>
      </c>
      <c r="Z94" s="18" t="s">
        <v>20</v>
      </c>
      <c r="AA94" s="72" t="s">
        <v>21</v>
      </c>
      <c r="AB94" s="72" t="s">
        <v>21</v>
      </c>
      <c r="AC94" s="18" t="s">
        <v>21</v>
      </c>
      <c r="AD94" s="29" t="s">
        <v>21</v>
      </c>
      <c r="AE94" s="29" t="s">
        <v>21</v>
      </c>
      <c r="AF94">
        <f>+COUNTIF(F94:AE94,"AD")</f>
        <v>0</v>
      </c>
      <c r="AG94">
        <f>+COUNTIF(F94:AE94,"A")</f>
        <v>15</v>
      </c>
      <c r="AH94">
        <f>+COUNTIF(F94:AE94,"b")</f>
        <v>11</v>
      </c>
      <c r="AI94">
        <f>+COUNTIF(F94:AE94,"c")</f>
        <v>0</v>
      </c>
      <c r="AK94">
        <f>+$AF$5*AF94</f>
        <v>0</v>
      </c>
      <c r="AL94">
        <f>+$AG$5*AG94</f>
        <v>45</v>
      </c>
      <c r="AM94">
        <f>+$AH$5*AH94</f>
        <v>22</v>
      </c>
      <c r="AN94">
        <f>+$AI$5*AI94</f>
        <v>0</v>
      </c>
      <c r="AO94">
        <f>+SUM(AK94:AN94)</f>
        <v>67</v>
      </c>
    </row>
    <row r="95" spans="1:41" ht="15.75" customHeight="1" x14ac:dyDescent="0.3">
      <c r="A95" s="16"/>
      <c r="B95" s="55">
        <v>6</v>
      </c>
      <c r="C95" s="71" t="s">
        <v>114</v>
      </c>
      <c r="D95" s="55">
        <v>3</v>
      </c>
      <c r="E95" s="55" t="s">
        <v>20</v>
      </c>
      <c r="F95" s="18" t="s">
        <v>20</v>
      </c>
      <c r="G95" s="18" t="s">
        <v>20</v>
      </c>
      <c r="H95" s="18" t="s">
        <v>20</v>
      </c>
      <c r="I95" s="18" t="s">
        <v>20</v>
      </c>
      <c r="J95" s="69" t="s">
        <v>20</v>
      </c>
      <c r="K95" s="69" t="s">
        <v>20</v>
      </c>
      <c r="L95" s="69" t="s">
        <v>20</v>
      </c>
      <c r="M95" s="18" t="s">
        <v>21</v>
      </c>
      <c r="N95" s="18" t="s">
        <v>20</v>
      </c>
      <c r="O95" s="18" t="s">
        <v>20</v>
      </c>
      <c r="P95" s="18" t="s">
        <v>20</v>
      </c>
      <c r="Q95" s="18" t="s">
        <v>20</v>
      </c>
      <c r="R95" s="18" t="s">
        <v>21</v>
      </c>
      <c r="S95" s="18" t="s">
        <v>21</v>
      </c>
      <c r="T95" s="18" t="s">
        <v>20</v>
      </c>
      <c r="U95" s="18" t="s">
        <v>20</v>
      </c>
      <c r="V95" s="37" t="s">
        <v>21</v>
      </c>
      <c r="W95" s="37" t="s">
        <v>21</v>
      </c>
      <c r="X95" s="37" t="s">
        <v>20</v>
      </c>
      <c r="Y95" s="18" t="s">
        <v>21</v>
      </c>
      <c r="Z95" s="18" t="s">
        <v>20</v>
      </c>
      <c r="AA95" s="18" t="s">
        <v>20</v>
      </c>
      <c r="AB95" s="18" t="s">
        <v>21</v>
      </c>
      <c r="AC95" s="18" t="s">
        <v>21</v>
      </c>
      <c r="AD95" s="37" t="s">
        <v>23</v>
      </c>
      <c r="AE95" s="37" t="s">
        <v>21</v>
      </c>
      <c r="AF95">
        <f>+COUNTIF(F95:AE95,"AD")</f>
        <v>0</v>
      </c>
      <c r="AG95">
        <f>+COUNTIF(F95:AE95,"A")</f>
        <v>16</v>
      </c>
      <c r="AH95">
        <f>+COUNTIF(F95:AE95,"b")</f>
        <v>9</v>
      </c>
      <c r="AI95">
        <f>+COUNTIF(F95:AE95,"c")</f>
        <v>1</v>
      </c>
      <c r="AK95">
        <f>+$AF$5*AF95</f>
        <v>0</v>
      </c>
      <c r="AL95">
        <f>+$AG$5*AG95</f>
        <v>48</v>
      </c>
      <c r="AM95">
        <f>+$AH$5*AH95</f>
        <v>18</v>
      </c>
      <c r="AN95">
        <f>+$AI$5*AI95</f>
        <v>1</v>
      </c>
      <c r="AO95">
        <f>+SUM(AK95:AN95)</f>
        <v>67</v>
      </c>
    </row>
    <row r="96" spans="1:41" ht="15.75" customHeight="1" x14ac:dyDescent="0.3">
      <c r="A96" s="16"/>
      <c r="B96" s="55">
        <v>13</v>
      </c>
      <c r="C96" s="71" t="s">
        <v>140</v>
      </c>
      <c r="D96" s="55">
        <v>3</v>
      </c>
      <c r="E96" s="55" t="s">
        <v>21</v>
      </c>
      <c r="F96" s="18" t="s">
        <v>20</v>
      </c>
      <c r="G96" s="18" t="s">
        <v>20</v>
      </c>
      <c r="H96" s="18" t="s">
        <v>20</v>
      </c>
      <c r="I96" s="18" t="s">
        <v>39</v>
      </c>
      <c r="J96" s="18" t="s">
        <v>20</v>
      </c>
      <c r="K96" s="18" t="s">
        <v>20</v>
      </c>
      <c r="L96" s="18" t="s">
        <v>20</v>
      </c>
      <c r="M96" s="18" t="s">
        <v>20</v>
      </c>
      <c r="N96" s="18" t="s">
        <v>20</v>
      </c>
      <c r="O96" s="18" t="s">
        <v>20</v>
      </c>
      <c r="P96" s="18" t="s">
        <v>21</v>
      </c>
      <c r="Q96" s="18" t="s">
        <v>21</v>
      </c>
      <c r="R96" s="18" t="s">
        <v>20</v>
      </c>
      <c r="S96" s="18" t="s">
        <v>20</v>
      </c>
      <c r="T96" s="18" t="s">
        <v>20</v>
      </c>
      <c r="U96" s="18" t="s">
        <v>20</v>
      </c>
      <c r="V96" s="37" t="s">
        <v>20</v>
      </c>
      <c r="W96" s="37" t="s">
        <v>20</v>
      </c>
      <c r="X96" s="37" t="s">
        <v>20</v>
      </c>
      <c r="Y96" s="18" t="s">
        <v>21</v>
      </c>
      <c r="Z96" s="18" t="s">
        <v>21</v>
      </c>
      <c r="AA96" s="18" t="s">
        <v>21</v>
      </c>
      <c r="AB96" s="18" t="s">
        <v>20</v>
      </c>
      <c r="AC96" s="18" t="s">
        <v>21</v>
      </c>
      <c r="AD96" s="29" t="s">
        <v>55</v>
      </c>
      <c r="AE96" s="29" t="s">
        <v>55</v>
      </c>
      <c r="AF96">
        <f>+COUNTIF(F96:AE96,"AD")</f>
        <v>1</v>
      </c>
      <c r="AG96">
        <f>+COUNTIF(F96:AE96,"A")</f>
        <v>17</v>
      </c>
      <c r="AH96">
        <f>+COUNTIF(F96:AE96,"b")</f>
        <v>6</v>
      </c>
      <c r="AI96">
        <f>+COUNTIF(F96:AE96,"c")</f>
        <v>0</v>
      </c>
      <c r="AK96">
        <f>+$AF$5*AF96</f>
        <v>4</v>
      </c>
      <c r="AL96">
        <f>+$AG$5*AG96</f>
        <v>51</v>
      </c>
      <c r="AM96">
        <f>+$AH$5*AH96</f>
        <v>12</v>
      </c>
      <c r="AN96">
        <f>+$AI$5*AI96</f>
        <v>0</v>
      </c>
      <c r="AO96">
        <f>+SUM(AK96:AN96)</f>
        <v>67</v>
      </c>
    </row>
    <row r="97" spans="1:41" ht="15.75" customHeight="1" x14ac:dyDescent="0.3">
      <c r="A97" s="16"/>
      <c r="B97" s="55">
        <v>4</v>
      </c>
      <c r="C97" s="71" t="s">
        <v>175</v>
      </c>
      <c r="D97" s="55">
        <v>4</v>
      </c>
      <c r="E97" s="55" t="s">
        <v>21</v>
      </c>
      <c r="F97" s="18" t="s">
        <v>20</v>
      </c>
      <c r="G97" s="18" t="s">
        <v>20</v>
      </c>
      <c r="H97" s="18" t="s">
        <v>20</v>
      </c>
      <c r="I97" s="18" t="s">
        <v>20</v>
      </c>
      <c r="J97" s="69" t="s">
        <v>20</v>
      </c>
      <c r="K97" s="69" t="s">
        <v>20</v>
      </c>
      <c r="L97" s="69" t="s">
        <v>21</v>
      </c>
      <c r="M97" s="18" t="s">
        <v>20</v>
      </c>
      <c r="N97" s="18" t="s">
        <v>20</v>
      </c>
      <c r="O97" s="18" t="s">
        <v>20</v>
      </c>
      <c r="P97" s="18" t="s">
        <v>21</v>
      </c>
      <c r="Q97" s="18" t="s">
        <v>21</v>
      </c>
      <c r="R97" s="18" t="s">
        <v>21</v>
      </c>
      <c r="S97" s="18" t="s">
        <v>21</v>
      </c>
      <c r="T97" s="18" t="s">
        <v>21</v>
      </c>
      <c r="U97" s="18" t="s">
        <v>21</v>
      </c>
      <c r="V97" s="37" t="s">
        <v>20</v>
      </c>
      <c r="W97" s="37" t="s">
        <v>20</v>
      </c>
      <c r="X97" s="37" t="s">
        <v>20</v>
      </c>
      <c r="Y97" s="18" t="s">
        <v>20</v>
      </c>
      <c r="Z97" s="18" t="s">
        <v>20</v>
      </c>
      <c r="AA97" s="18" t="s">
        <v>20</v>
      </c>
      <c r="AB97" s="18" t="s">
        <v>21</v>
      </c>
      <c r="AC97" s="18" t="s">
        <v>21</v>
      </c>
      <c r="AD97" s="18" t="s">
        <v>21</v>
      </c>
      <c r="AE97" s="18" t="s">
        <v>21</v>
      </c>
      <c r="AF97">
        <f>+COUNTIF(F97:AE97,"AD")</f>
        <v>0</v>
      </c>
      <c r="AG97">
        <f>+COUNTIF(F97:AE97,"A")</f>
        <v>15</v>
      </c>
      <c r="AH97">
        <f>+COUNTIF(F97:AE97,"b")</f>
        <v>11</v>
      </c>
      <c r="AI97">
        <f>+COUNTIF(F97:AE97,"c")</f>
        <v>0</v>
      </c>
      <c r="AK97">
        <f>+$AF$5*AF97</f>
        <v>0</v>
      </c>
      <c r="AL97">
        <f>+$AG$5*AG97</f>
        <v>45</v>
      </c>
      <c r="AM97">
        <f>+$AH$5*AH97</f>
        <v>22</v>
      </c>
      <c r="AN97">
        <f>+$AI$5*AI97</f>
        <v>0</v>
      </c>
      <c r="AO97">
        <f>+SUM(AK97:AN97)</f>
        <v>67</v>
      </c>
    </row>
    <row r="98" spans="1:41" ht="15.75" customHeight="1" x14ac:dyDescent="0.3">
      <c r="A98" s="16"/>
      <c r="B98" s="55">
        <v>12</v>
      </c>
      <c r="C98" s="71" t="s">
        <v>183</v>
      </c>
      <c r="D98" s="55">
        <v>4</v>
      </c>
      <c r="E98" s="55" t="s">
        <v>21</v>
      </c>
      <c r="F98" s="18" t="s">
        <v>21</v>
      </c>
      <c r="G98" s="18" t="s">
        <v>21</v>
      </c>
      <c r="H98" s="18" t="s">
        <v>21</v>
      </c>
      <c r="I98" s="18" t="s">
        <v>21</v>
      </c>
      <c r="J98" s="69" t="s">
        <v>20</v>
      </c>
      <c r="K98" s="69" t="s">
        <v>20</v>
      </c>
      <c r="L98" s="69" t="s">
        <v>21</v>
      </c>
      <c r="M98" s="18" t="s">
        <v>20</v>
      </c>
      <c r="N98" s="18" t="s">
        <v>20</v>
      </c>
      <c r="O98" s="18" t="s">
        <v>20</v>
      </c>
      <c r="P98" s="18" t="s">
        <v>21</v>
      </c>
      <c r="Q98" s="18" t="s">
        <v>21</v>
      </c>
      <c r="R98" s="18" t="s">
        <v>21</v>
      </c>
      <c r="S98" s="18" t="s">
        <v>20</v>
      </c>
      <c r="T98" s="18" t="s">
        <v>20</v>
      </c>
      <c r="U98" s="18" t="s">
        <v>20</v>
      </c>
      <c r="V98" s="49" t="s">
        <v>20</v>
      </c>
      <c r="W98" s="37" t="s">
        <v>20</v>
      </c>
      <c r="X98" s="37" t="s">
        <v>20</v>
      </c>
      <c r="Y98" s="18" t="s">
        <v>20</v>
      </c>
      <c r="Z98" s="18" t="s">
        <v>21</v>
      </c>
      <c r="AA98" s="18" t="s">
        <v>21</v>
      </c>
      <c r="AB98" s="18" t="s">
        <v>20</v>
      </c>
      <c r="AC98" s="18" t="s">
        <v>20</v>
      </c>
      <c r="AD98" s="29" t="s">
        <v>20</v>
      </c>
      <c r="AE98" s="29" t="s">
        <v>21</v>
      </c>
      <c r="AF98">
        <f>+COUNTIF(F98:AE98,"AD")</f>
        <v>0</v>
      </c>
      <c r="AG98">
        <f>+COUNTIF(F98:AE98,"A")</f>
        <v>15</v>
      </c>
      <c r="AH98">
        <f>+COUNTIF(F98:AE98,"b")</f>
        <v>11</v>
      </c>
      <c r="AI98">
        <f>+COUNTIF(F98:AE98,"c")</f>
        <v>0</v>
      </c>
      <c r="AK98">
        <f>+$AF$5*AF98</f>
        <v>0</v>
      </c>
      <c r="AL98">
        <f>+$AG$5*AG98</f>
        <v>45</v>
      </c>
      <c r="AM98">
        <f>+$AH$5*AH98</f>
        <v>22</v>
      </c>
      <c r="AN98">
        <f>+$AI$5*AI98</f>
        <v>0</v>
      </c>
      <c r="AO98">
        <f>+SUM(AK98:AN98)</f>
        <v>67</v>
      </c>
    </row>
    <row r="99" spans="1:41" ht="15.75" customHeight="1" x14ac:dyDescent="0.3">
      <c r="A99" s="16"/>
      <c r="B99" s="55">
        <v>23</v>
      </c>
      <c r="C99" s="71" t="s">
        <v>247</v>
      </c>
      <c r="D99" s="55">
        <v>5</v>
      </c>
      <c r="E99" s="55" t="s">
        <v>21</v>
      </c>
      <c r="F99" s="18" t="s">
        <v>21</v>
      </c>
      <c r="G99" s="18" t="s">
        <v>21</v>
      </c>
      <c r="H99" s="18" t="s">
        <v>21</v>
      </c>
      <c r="I99" s="18" t="s">
        <v>20</v>
      </c>
      <c r="J99" s="18" t="s">
        <v>20</v>
      </c>
      <c r="K99" s="18" t="s">
        <v>20</v>
      </c>
      <c r="L99" s="18" t="s">
        <v>20</v>
      </c>
      <c r="M99" s="18" t="s">
        <v>20</v>
      </c>
      <c r="N99" s="18" t="s">
        <v>21</v>
      </c>
      <c r="O99" s="18" t="s">
        <v>20</v>
      </c>
      <c r="P99" s="18" t="s">
        <v>21</v>
      </c>
      <c r="Q99" s="18" t="s">
        <v>21</v>
      </c>
      <c r="R99" s="18" t="s">
        <v>20</v>
      </c>
      <c r="S99" s="18" t="s">
        <v>21</v>
      </c>
      <c r="T99" s="18" t="s">
        <v>21</v>
      </c>
      <c r="U99" s="18" t="s">
        <v>21</v>
      </c>
      <c r="V99" s="37" t="s">
        <v>20</v>
      </c>
      <c r="W99" s="37" t="s">
        <v>20</v>
      </c>
      <c r="X99" s="37" t="s">
        <v>20</v>
      </c>
      <c r="Y99" s="18" t="s">
        <v>20</v>
      </c>
      <c r="Z99" s="18" t="s">
        <v>21</v>
      </c>
      <c r="AA99" s="18" t="s">
        <v>20</v>
      </c>
      <c r="AB99" s="18" t="s">
        <v>20</v>
      </c>
      <c r="AC99" s="18" t="s">
        <v>20</v>
      </c>
      <c r="AD99" s="29" t="s">
        <v>20</v>
      </c>
      <c r="AE99" s="29" t="s">
        <v>21</v>
      </c>
      <c r="AF99">
        <f>+COUNTIF(F99:AE99,"AD")</f>
        <v>0</v>
      </c>
      <c r="AG99">
        <f>+COUNTIF(F99:AE99,"A")</f>
        <v>15</v>
      </c>
      <c r="AH99">
        <f>+COUNTIF(F99:AE99,"b")</f>
        <v>11</v>
      </c>
      <c r="AI99">
        <f>+COUNTIF(F99:AE99,"c")</f>
        <v>0</v>
      </c>
      <c r="AK99">
        <f>+$AF$5*AF99</f>
        <v>0</v>
      </c>
      <c r="AL99">
        <f>+$AG$5*AG99</f>
        <v>45</v>
      </c>
      <c r="AM99">
        <f>+$AH$5*AH99</f>
        <v>22</v>
      </c>
      <c r="AN99">
        <f>+$AI$5*AI99</f>
        <v>0</v>
      </c>
      <c r="AO99">
        <f>+SUM(AK99:AN99)</f>
        <v>67</v>
      </c>
    </row>
    <row r="100" spans="1:41" ht="15.75" customHeight="1" x14ac:dyDescent="0.3">
      <c r="A100" s="16"/>
      <c r="B100" s="55">
        <v>12</v>
      </c>
      <c r="C100" s="71" t="s">
        <v>52</v>
      </c>
      <c r="D100" s="55">
        <v>1</v>
      </c>
      <c r="E100" s="55" t="s">
        <v>21</v>
      </c>
      <c r="F100" s="18" t="s">
        <v>20</v>
      </c>
      <c r="G100" s="18" t="s">
        <v>21</v>
      </c>
      <c r="H100" s="18" t="s">
        <v>20</v>
      </c>
      <c r="I100" s="18" t="s">
        <v>21</v>
      </c>
      <c r="J100" s="18" t="s">
        <v>20</v>
      </c>
      <c r="K100" s="18" t="s">
        <v>21</v>
      </c>
      <c r="L100" s="18" t="s">
        <v>21</v>
      </c>
      <c r="M100" s="18" t="s">
        <v>20</v>
      </c>
      <c r="N100" s="18" t="s">
        <v>20</v>
      </c>
      <c r="O100" s="18" t="s">
        <v>20</v>
      </c>
      <c r="P100" s="18" t="s">
        <v>20</v>
      </c>
      <c r="Q100" s="18" t="s">
        <v>20</v>
      </c>
      <c r="R100" s="18" t="s">
        <v>20</v>
      </c>
      <c r="S100" s="18" t="s">
        <v>20</v>
      </c>
      <c r="T100" s="18" t="s">
        <v>20</v>
      </c>
      <c r="U100" s="18" t="s">
        <v>20</v>
      </c>
      <c r="V100" s="18" t="s">
        <v>21</v>
      </c>
      <c r="W100" s="18" t="s">
        <v>20</v>
      </c>
      <c r="X100" s="18" t="s">
        <v>21</v>
      </c>
      <c r="Y100" s="19" t="s">
        <v>21</v>
      </c>
      <c r="Z100" s="18" t="s">
        <v>20</v>
      </c>
      <c r="AA100" s="72" t="s">
        <v>21</v>
      </c>
      <c r="AB100" s="72" t="s">
        <v>21</v>
      </c>
      <c r="AC100" s="18" t="s">
        <v>21</v>
      </c>
      <c r="AD100" s="29" t="s">
        <v>21</v>
      </c>
      <c r="AE100" s="29" t="s">
        <v>21</v>
      </c>
      <c r="AF100">
        <f>+COUNTIF(F100:AE100,"AD")</f>
        <v>0</v>
      </c>
      <c r="AG100">
        <f>+COUNTIF(F100:AE100,"A")</f>
        <v>14</v>
      </c>
      <c r="AH100">
        <f>+COUNTIF(F100:AE100,"b")</f>
        <v>12</v>
      </c>
      <c r="AI100">
        <f>+COUNTIF(F100:AE100,"c")</f>
        <v>0</v>
      </c>
      <c r="AK100">
        <f>+$AF$5*AF100</f>
        <v>0</v>
      </c>
      <c r="AL100">
        <f>+$AG$5*AG100</f>
        <v>42</v>
      </c>
      <c r="AM100">
        <f>+$AH$5*AH100</f>
        <v>24</v>
      </c>
      <c r="AN100">
        <f>+$AI$5*AI100</f>
        <v>0</v>
      </c>
      <c r="AO100">
        <f>+SUM(AK100:AN100)</f>
        <v>66</v>
      </c>
    </row>
    <row r="101" spans="1:41" ht="15.75" customHeight="1" x14ac:dyDescent="0.3">
      <c r="A101" s="16"/>
      <c r="B101" s="55">
        <v>18</v>
      </c>
      <c r="C101" s="71" t="s">
        <v>59</v>
      </c>
      <c r="D101" s="55">
        <v>1</v>
      </c>
      <c r="E101" s="55" t="s">
        <v>21</v>
      </c>
      <c r="F101" s="18" t="s">
        <v>20</v>
      </c>
      <c r="G101" s="18" t="s">
        <v>21</v>
      </c>
      <c r="H101" s="18" t="s">
        <v>21</v>
      </c>
      <c r="I101" s="18" t="s">
        <v>21</v>
      </c>
      <c r="J101" s="18" t="s">
        <v>21</v>
      </c>
      <c r="K101" s="18" t="s">
        <v>21</v>
      </c>
      <c r="L101" s="18" t="s">
        <v>21</v>
      </c>
      <c r="M101" s="18" t="s">
        <v>20</v>
      </c>
      <c r="N101" s="18" t="s">
        <v>20</v>
      </c>
      <c r="O101" s="18" t="s">
        <v>20</v>
      </c>
      <c r="P101" s="18" t="s">
        <v>20</v>
      </c>
      <c r="Q101" s="18" t="s">
        <v>21</v>
      </c>
      <c r="R101" s="18" t="s">
        <v>20</v>
      </c>
      <c r="S101" s="18" t="s">
        <v>20</v>
      </c>
      <c r="T101" s="18" t="s">
        <v>20</v>
      </c>
      <c r="U101" s="18" t="s">
        <v>21</v>
      </c>
      <c r="V101" s="18" t="s">
        <v>21</v>
      </c>
      <c r="W101" s="18" t="s">
        <v>20</v>
      </c>
      <c r="X101" s="18" t="s">
        <v>20</v>
      </c>
      <c r="Y101" s="19" t="s">
        <v>21</v>
      </c>
      <c r="Z101" s="18" t="s">
        <v>20</v>
      </c>
      <c r="AA101" s="72" t="s">
        <v>20</v>
      </c>
      <c r="AB101" s="72" t="s">
        <v>20</v>
      </c>
      <c r="AC101" s="18" t="s">
        <v>21</v>
      </c>
      <c r="AD101" s="29" t="s">
        <v>20</v>
      </c>
      <c r="AE101" s="29" t="s">
        <v>21</v>
      </c>
      <c r="AF101">
        <f>+COUNTIF(F101:AE101,"AD")</f>
        <v>0</v>
      </c>
      <c r="AG101">
        <f>+COUNTIF(F101:AE101,"A")</f>
        <v>14</v>
      </c>
      <c r="AH101">
        <f>+COUNTIF(F101:AE101,"b")</f>
        <v>12</v>
      </c>
      <c r="AI101">
        <f>+COUNTIF(F101:AE101,"c")</f>
        <v>0</v>
      </c>
      <c r="AK101">
        <f>+$AF$5*AF101</f>
        <v>0</v>
      </c>
      <c r="AL101">
        <f>+$AG$5*AG101</f>
        <v>42</v>
      </c>
      <c r="AM101">
        <f>+$AH$5*AH101</f>
        <v>24</v>
      </c>
      <c r="AN101">
        <f>+$AI$5*AI101</f>
        <v>0</v>
      </c>
      <c r="AO101">
        <f>+SUM(AK101:AN101)</f>
        <v>66</v>
      </c>
    </row>
    <row r="102" spans="1:41" ht="15.75" customHeight="1" x14ac:dyDescent="0.3">
      <c r="A102" s="16"/>
      <c r="B102" s="55">
        <v>4</v>
      </c>
      <c r="C102" s="71" t="s">
        <v>131</v>
      </c>
      <c r="D102" s="55">
        <v>3</v>
      </c>
      <c r="E102" s="55" t="s">
        <v>21</v>
      </c>
      <c r="F102" s="18" t="s">
        <v>21</v>
      </c>
      <c r="G102" s="18" t="s">
        <v>21</v>
      </c>
      <c r="H102" s="18" t="s">
        <v>21</v>
      </c>
      <c r="I102" s="18" t="s">
        <v>20</v>
      </c>
      <c r="J102" s="18" t="s">
        <v>20</v>
      </c>
      <c r="K102" s="18" t="s">
        <v>20</v>
      </c>
      <c r="L102" s="18" t="s">
        <v>20</v>
      </c>
      <c r="M102" s="18" t="s">
        <v>20</v>
      </c>
      <c r="N102" s="18" t="s">
        <v>20</v>
      </c>
      <c r="O102" s="18" t="s">
        <v>20</v>
      </c>
      <c r="P102" s="18" t="s">
        <v>20</v>
      </c>
      <c r="Q102" s="18" t="s">
        <v>21</v>
      </c>
      <c r="R102" s="18" t="s">
        <v>20</v>
      </c>
      <c r="S102" s="18" t="s">
        <v>20</v>
      </c>
      <c r="T102" s="18" t="s">
        <v>20</v>
      </c>
      <c r="U102" s="18" t="s">
        <v>20</v>
      </c>
      <c r="V102" s="37" t="s">
        <v>21</v>
      </c>
      <c r="W102" s="37" t="s">
        <v>20</v>
      </c>
      <c r="X102" s="37" t="s">
        <v>21</v>
      </c>
      <c r="Y102" s="18" t="s">
        <v>20</v>
      </c>
      <c r="Z102" s="18" t="s">
        <v>20</v>
      </c>
      <c r="AA102" s="18" t="s">
        <v>21</v>
      </c>
      <c r="AB102" s="18" t="s">
        <v>21</v>
      </c>
      <c r="AC102" s="18" t="s">
        <v>21</v>
      </c>
      <c r="AD102" s="37" t="s">
        <v>23</v>
      </c>
      <c r="AE102" s="37" t="s">
        <v>21</v>
      </c>
      <c r="AF102">
        <f>+COUNTIF(F102:AE102,"AD")</f>
        <v>0</v>
      </c>
      <c r="AG102">
        <f>+COUNTIF(F102:AE102,"A")</f>
        <v>15</v>
      </c>
      <c r="AH102">
        <f>+COUNTIF(F102:AE102,"b")</f>
        <v>10</v>
      </c>
      <c r="AI102">
        <f>+COUNTIF(F102:AE102,"c")</f>
        <v>1</v>
      </c>
      <c r="AK102">
        <f>+$AF$5*AF102</f>
        <v>0</v>
      </c>
      <c r="AL102">
        <f>+$AG$5*AG102</f>
        <v>45</v>
      </c>
      <c r="AM102">
        <f>+$AH$5*AH102</f>
        <v>20</v>
      </c>
      <c r="AN102">
        <f>+$AI$5*AI102</f>
        <v>1</v>
      </c>
      <c r="AO102">
        <f>+SUM(AK102:AN102)</f>
        <v>66</v>
      </c>
    </row>
    <row r="103" spans="1:41" ht="15.75" customHeight="1" x14ac:dyDescent="0.3">
      <c r="A103" s="16"/>
      <c r="B103" s="55">
        <v>20</v>
      </c>
      <c r="C103" s="71" t="s">
        <v>147</v>
      </c>
      <c r="D103" s="55">
        <v>3</v>
      </c>
      <c r="E103" s="55" t="s">
        <v>21</v>
      </c>
      <c r="F103" s="18" t="s">
        <v>20</v>
      </c>
      <c r="G103" s="18" t="s">
        <v>20</v>
      </c>
      <c r="H103" s="18" t="s">
        <v>20</v>
      </c>
      <c r="I103" s="18" t="s">
        <v>20</v>
      </c>
      <c r="J103" s="18" t="s">
        <v>21</v>
      </c>
      <c r="K103" s="18" t="s">
        <v>21</v>
      </c>
      <c r="L103" s="18" t="s">
        <v>21</v>
      </c>
      <c r="M103" s="18" t="s">
        <v>20</v>
      </c>
      <c r="N103" s="18" t="s">
        <v>20</v>
      </c>
      <c r="O103" s="18" t="s">
        <v>20</v>
      </c>
      <c r="P103" s="18" t="s">
        <v>21</v>
      </c>
      <c r="Q103" s="18" t="s">
        <v>20</v>
      </c>
      <c r="R103" s="18" t="s">
        <v>21</v>
      </c>
      <c r="S103" s="18" t="s">
        <v>20</v>
      </c>
      <c r="T103" s="18" t="s">
        <v>20</v>
      </c>
      <c r="U103" s="18" t="s">
        <v>20</v>
      </c>
      <c r="V103" s="37" t="s">
        <v>21</v>
      </c>
      <c r="W103" s="37" t="s">
        <v>20</v>
      </c>
      <c r="X103" s="37" t="s">
        <v>21</v>
      </c>
      <c r="Y103" s="18" t="s">
        <v>21</v>
      </c>
      <c r="Z103" s="18" t="s">
        <v>20</v>
      </c>
      <c r="AA103" s="18" t="s">
        <v>21</v>
      </c>
      <c r="AB103" s="18" t="s">
        <v>21</v>
      </c>
      <c r="AC103" s="18" t="s">
        <v>21</v>
      </c>
      <c r="AD103" s="29" t="s">
        <v>20</v>
      </c>
      <c r="AE103" s="29" t="s">
        <v>21</v>
      </c>
      <c r="AF103">
        <f>+COUNTIF(F103:AE103,"AD")</f>
        <v>0</v>
      </c>
      <c r="AG103">
        <f>+COUNTIF(F103:AE103,"A")</f>
        <v>14</v>
      </c>
      <c r="AH103">
        <f>+COUNTIF(F103:AE103,"b")</f>
        <v>12</v>
      </c>
      <c r="AI103">
        <f>+COUNTIF(F103:AE103,"c")</f>
        <v>0</v>
      </c>
      <c r="AK103">
        <f>+$AF$5*AF103</f>
        <v>0</v>
      </c>
      <c r="AL103">
        <f>+$AG$5*AG103</f>
        <v>42</v>
      </c>
      <c r="AM103">
        <f>+$AH$5*AH103</f>
        <v>24</v>
      </c>
      <c r="AN103">
        <f>+$AI$5*AI103</f>
        <v>0</v>
      </c>
      <c r="AO103">
        <f>+SUM(AK103:AN103)</f>
        <v>66</v>
      </c>
    </row>
    <row r="104" spans="1:41" ht="15.75" customHeight="1" x14ac:dyDescent="0.3">
      <c r="A104" s="16"/>
      <c r="B104" s="55">
        <v>22</v>
      </c>
      <c r="C104" s="71" t="s">
        <v>170</v>
      </c>
      <c r="D104" s="55">
        <v>4</v>
      </c>
      <c r="E104" s="55" t="s">
        <v>20</v>
      </c>
      <c r="F104" s="18" t="s">
        <v>20</v>
      </c>
      <c r="G104" s="18" t="s">
        <v>20</v>
      </c>
      <c r="H104" s="18" t="s">
        <v>20</v>
      </c>
      <c r="I104" s="18" t="s">
        <v>20</v>
      </c>
      <c r="J104" s="69" t="s">
        <v>20</v>
      </c>
      <c r="K104" s="69" t="s">
        <v>20</v>
      </c>
      <c r="L104" s="69" t="s">
        <v>21</v>
      </c>
      <c r="M104" s="18" t="s">
        <v>21</v>
      </c>
      <c r="N104" s="18" t="s">
        <v>20</v>
      </c>
      <c r="O104" s="18" t="s">
        <v>20</v>
      </c>
      <c r="P104" s="18" t="s">
        <v>21</v>
      </c>
      <c r="Q104" s="18" t="s">
        <v>21</v>
      </c>
      <c r="R104" s="18" t="s">
        <v>21</v>
      </c>
      <c r="S104" s="18" t="s">
        <v>20</v>
      </c>
      <c r="T104" s="18" t="s">
        <v>20</v>
      </c>
      <c r="U104" s="18" t="s">
        <v>21</v>
      </c>
      <c r="V104" s="37" t="s">
        <v>20</v>
      </c>
      <c r="W104" s="37" t="s">
        <v>20</v>
      </c>
      <c r="X104" s="37" t="s">
        <v>20</v>
      </c>
      <c r="Y104" s="18" t="s">
        <v>21</v>
      </c>
      <c r="Z104" s="18" t="s">
        <v>20</v>
      </c>
      <c r="AA104" s="18" t="s">
        <v>21</v>
      </c>
      <c r="AB104" s="18" t="s">
        <v>21</v>
      </c>
      <c r="AC104" s="18" t="s">
        <v>21</v>
      </c>
      <c r="AD104" s="18" t="s">
        <v>21</v>
      </c>
      <c r="AE104" s="18" t="s">
        <v>21</v>
      </c>
      <c r="AF104">
        <f>+COUNTIF(F104:AE104,"AD")</f>
        <v>0</v>
      </c>
      <c r="AG104">
        <f>+COUNTIF(F104:AE104,"A")</f>
        <v>14</v>
      </c>
      <c r="AH104">
        <f>+COUNTIF(F104:AE104,"b")</f>
        <v>12</v>
      </c>
      <c r="AI104">
        <f>+COUNTIF(F104:AE104,"c")</f>
        <v>0</v>
      </c>
      <c r="AK104">
        <f>+$AF$5*AF104</f>
        <v>0</v>
      </c>
      <c r="AL104">
        <f>+$AG$5*AG104</f>
        <v>42</v>
      </c>
      <c r="AM104">
        <f>+$AH$5*AH104</f>
        <v>24</v>
      </c>
      <c r="AN104">
        <f>+$AI$5*AI104</f>
        <v>0</v>
      </c>
      <c r="AO104">
        <f>+SUM(AK104:AN104)</f>
        <v>66</v>
      </c>
    </row>
    <row r="105" spans="1:41" ht="15.75" customHeight="1" x14ac:dyDescent="0.3">
      <c r="A105" s="16"/>
      <c r="B105" s="55">
        <v>9</v>
      </c>
      <c r="C105" s="71" t="s">
        <v>180</v>
      </c>
      <c r="D105" s="55">
        <v>4</v>
      </c>
      <c r="E105" s="55" t="s">
        <v>21</v>
      </c>
      <c r="F105" s="18" t="s">
        <v>21</v>
      </c>
      <c r="G105" s="18" t="s">
        <v>21</v>
      </c>
      <c r="H105" s="18" t="s">
        <v>21</v>
      </c>
      <c r="I105" s="18" t="s">
        <v>21</v>
      </c>
      <c r="J105" s="69" t="s">
        <v>20</v>
      </c>
      <c r="K105" s="69" t="s">
        <v>20</v>
      </c>
      <c r="L105" s="69" t="s">
        <v>20</v>
      </c>
      <c r="M105" s="18" t="s">
        <v>20</v>
      </c>
      <c r="N105" s="18" t="s">
        <v>20</v>
      </c>
      <c r="O105" s="18" t="s">
        <v>20</v>
      </c>
      <c r="P105" s="18" t="s">
        <v>21</v>
      </c>
      <c r="Q105" s="18" t="s">
        <v>21</v>
      </c>
      <c r="R105" s="18" t="s">
        <v>21</v>
      </c>
      <c r="S105" s="18" t="s">
        <v>20</v>
      </c>
      <c r="T105" s="18" t="s">
        <v>20</v>
      </c>
      <c r="U105" s="18" t="s">
        <v>21</v>
      </c>
      <c r="V105" s="37" t="s">
        <v>20</v>
      </c>
      <c r="W105" s="37" t="s">
        <v>20</v>
      </c>
      <c r="X105" s="37" t="s">
        <v>20</v>
      </c>
      <c r="Y105" s="18" t="s">
        <v>20</v>
      </c>
      <c r="Z105" s="18" t="s">
        <v>21</v>
      </c>
      <c r="AA105" s="18" t="s">
        <v>21</v>
      </c>
      <c r="AB105" s="18" t="s">
        <v>21</v>
      </c>
      <c r="AC105" s="18" t="s">
        <v>20</v>
      </c>
      <c r="AD105" s="18" t="s">
        <v>20</v>
      </c>
      <c r="AE105" s="18" t="s">
        <v>21</v>
      </c>
      <c r="AF105">
        <f>+COUNTIF(F105:AE105,"AD")</f>
        <v>0</v>
      </c>
      <c r="AG105">
        <f>+COUNTIF(F105:AE105,"A")</f>
        <v>14</v>
      </c>
      <c r="AH105">
        <f>+COUNTIF(F105:AE105,"b")</f>
        <v>12</v>
      </c>
      <c r="AI105">
        <f>+COUNTIF(F105:AE105,"c")</f>
        <v>0</v>
      </c>
      <c r="AK105">
        <f>+$AF$5*AF105</f>
        <v>0</v>
      </c>
      <c r="AL105">
        <f>+$AG$5*AG105</f>
        <v>42</v>
      </c>
      <c r="AM105">
        <f>+$AH$5*AH105</f>
        <v>24</v>
      </c>
      <c r="AN105">
        <f>+$AI$5*AI105</f>
        <v>0</v>
      </c>
      <c r="AO105">
        <f>+SUM(AK105:AN105)</f>
        <v>66</v>
      </c>
    </row>
    <row r="106" spans="1:41" ht="15.75" customHeight="1" x14ac:dyDescent="0.3">
      <c r="A106" s="16"/>
      <c r="B106" s="55">
        <v>20</v>
      </c>
      <c r="C106" s="71" t="s">
        <v>244</v>
      </c>
      <c r="D106" s="55">
        <v>5</v>
      </c>
      <c r="E106" s="55" t="s">
        <v>21</v>
      </c>
      <c r="F106" s="18" t="s">
        <v>20</v>
      </c>
      <c r="G106" s="18" t="s">
        <v>21</v>
      </c>
      <c r="H106" s="18" t="s">
        <v>21</v>
      </c>
      <c r="I106" s="18" t="s">
        <v>21</v>
      </c>
      <c r="J106" s="18" t="s">
        <v>21</v>
      </c>
      <c r="K106" s="18" t="s">
        <v>20</v>
      </c>
      <c r="L106" s="18" t="s">
        <v>20</v>
      </c>
      <c r="M106" s="18" t="s">
        <v>20</v>
      </c>
      <c r="N106" s="18" t="s">
        <v>21</v>
      </c>
      <c r="O106" s="18" t="s">
        <v>20</v>
      </c>
      <c r="P106" s="18" t="s">
        <v>21</v>
      </c>
      <c r="Q106" s="18" t="s">
        <v>21</v>
      </c>
      <c r="R106" s="18" t="s">
        <v>21</v>
      </c>
      <c r="S106" s="18" t="s">
        <v>20</v>
      </c>
      <c r="T106" s="18" t="s">
        <v>21</v>
      </c>
      <c r="U106" s="18" t="s">
        <v>21</v>
      </c>
      <c r="V106" s="37" t="s">
        <v>20</v>
      </c>
      <c r="W106" s="37" t="s">
        <v>21</v>
      </c>
      <c r="X106" s="37" t="s">
        <v>20</v>
      </c>
      <c r="Y106" s="18" t="s">
        <v>20</v>
      </c>
      <c r="Z106" s="18" t="s">
        <v>20</v>
      </c>
      <c r="AA106" s="18" t="s">
        <v>20</v>
      </c>
      <c r="AB106" s="18" t="s">
        <v>20</v>
      </c>
      <c r="AC106" s="18" t="s">
        <v>20</v>
      </c>
      <c r="AD106" s="29" t="s">
        <v>20</v>
      </c>
      <c r="AE106" s="29" t="s">
        <v>21</v>
      </c>
      <c r="AF106">
        <f>+COUNTIF(F106:AE106,"AD")</f>
        <v>0</v>
      </c>
      <c r="AG106">
        <f>+COUNTIF(F106:AE106,"A")</f>
        <v>14</v>
      </c>
      <c r="AH106">
        <f>+COUNTIF(F106:AE106,"b")</f>
        <v>12</v>
      </c>
      <c r="AI106">
        <f>+COUNTIF(F106:AE106,"c")</f>
        <v>0</v>
      </c>
      <c r="AK106">
        <f>+$AF$5*AF106</f>
        <v>0</v>
      </c>
      <c r="AL106">
        <f>+$AG$5*AG106</f>
        <v>42</v>
      </c>
      <c r="AM106">
        <f>+$AH$5*AH106</f>
        <v>24</v>
      </c>
      <c r="AN106">
        <f>+$AI$5*AI106</f>
        <v>0</v>
      </c>
      <c r="AO106">
        <f>+SUM(AK106:AN106)</f>
        <v>66</v>
      </c>
    </row>
    <row r="107" spans="1:41" ht="15.75" customHeight="1" x14ac:dyDescent="0.3">
      <c r="A107" s="16"/>
      <c r="B107" s="55">
        <v>4</v>
      </c>
      <c r="C107" s="71" t="s">
        <v>25</v>
      </c>
      <c r="D107" s="55">
        <v>1</v>
      </c>
      <c r="E107" s="55" t="s">
        <v>20</v>
      </c>
      <c r="F107" s="18" t="s">
        <v>20</v>
      </c>
      <c r="G107" s="18" t="s">
        <v>21</v>
      </c>
      <c r="H107" s="18" t="s">
        <v>21</v>
      </c>
      <c r="I107" s="18" t="s">
        <v>21</v>
      </c>
      <c r="J107" s="18" t="s">
        <v>20</v>
      </c>
      <c r="K107" s="18" t="s">
        <v>20</v>
      </c>
      <c r="L107" s="18" t="s">
        <v>20</v>
      </c>
      <c r="M107" s="19" t="s">
        <v>21</v>
      </c>
      <c r="N107" s="19" t="s">
        <v>21</v>
      </c>
      <c r="O107" s="19" t="s">
        <v>20</v>
      </c>
      <c r="P107" s="19" t="s">
        <v>20</v>
      </c>
      <c r="Q107" s="18" t="s">
        <v>20</v>
      </c>
      <c r="R107" s="18" t="s">
        <v>21</v>
      </c>
      <c r="S107" s="19" t="s">
        <v>20</v>
      </c>
      <c r="T107" s="18" t="s">
        <v>21</v>
      </c>
      <c r="U107" s="18" t="s">
        <v>20</v>
      </c>
      <c r="V107" s="18" t="s">
        <v>21</v>
      </c>
      <c r="W107" s="18" t="s">
        <v>20</v>
      </c>
      <c r="X107" s="18" t="s">
        <v>20</v>
      </c>
      <c r="Y107" s="19" t="s">
        <v>21</v>
      </c>
      <c r="Z107" s="19" t="s">
        <v>20</v>
      </c>
      <c r="AA107" s="18" t="s">
        <v>21</v>
      </c>
      <c r="AB107" s="18" t="s">
        <v>21</v>
      </c>
      <c r="AC107" s="18" t="s">
        <v>21</v>
      </c>
      <c r="AD107" s="19" t="s">
        <v>20</v>
      </c>
      <c r="AE107" s="19" t="s">
        <v>21</v>
      </c>
      <c r="AF107">
        <f>+COUNTIF(F107:AE107,"AD")</f>
        <v>0</v>
      </c>
      <c r="AG107">
        <f>+COUNTIF(F107:AE107,"A")</f>
        <v>13</v>
      </c>
      <c r="AH107">
        <f>+COUNTIF(F107:AE107,"b")</f>
        <v>13</v>
      </c>
      <c r="AI107">
        <f>+COUNTIF(F107:AE107,"c")</f>
        <v>0</v>
      </c>
      <c r="AK107">
        <f>+$AF$5*AF107</f>
        <v>0</v>
      </c>
      <c r="AL107">
        <f>+$AG$5*AG107</f>
        <v>39</v>
      </c>
      <c r="AM107">
        <f>+$AH$5*AH107</f>
        <v>26</v>
      </c>
      <c r="AN107">
        <f>+$AI$5*AI107</f>
        <v>0</v>
      </c>
      <c r="AO107">
        <f>+SUM(AK107:AN107)</f>
        <v>65</v>
      </c>
    </row>
    <row r="108" spans="1:41" ht="15.75" customHeight="1" x14ac:dyDescent="0.3">
      <c r="A108" s="16"/>
      <c r="B108" s="55">
        <v>13</v>
      </c>
      <c r="C108" s="71" t="s">
        <v>53</v>
      </c>
      <c r="D108" s="55">
        <v>1</v>
      </c>
      <c r="E108" s="55" t="s">
        <v>21</v>
      </c>
      <c r="F108" s="18" t="s">
        <v>21</v>
      </c>
      <c r="G108" s="18" t="s">
        <v>20</v>
      </c>
      <c r="H108" s="18" t="s">
        <v>21</v>
      </c>
      <c r="I108" s="18" t="s">
        <v>21</v>
      </c>
      <c r="J108" s="18" t="s">
        <v>20</v>
      </c>
      <c r="K108" s="18" t="s">
        <v>21</v>
      </c>
      <c r="L108" s="18" t="s">
        <v>21</v>
      </c>
      <c r="M108" s="18" t="s">
        <v>21</v>
      </c>
      <c r="N108" s="18" t="s">
        <v>20</v>
      </c>
      <c r="O108" s="18" t="s">
        <v>20</v>
      </c>
      <c r="P108" s="18" t="s">
        <v>21</v>
      </c>
      <c r="Q108" s="18" t="s">
        <v>21</v>
      </c>
      <c r="R108" s="18" t="s">
        <v>21</v>
      </c>
      <c r="S108" s="18" t="s">
        <v>21</v>
      </c>
      <c r="T108" s="18" t="s">
        <v>20</v>
      </c>
      <c r="U108" s="18" t="s">
        <v>20</v>
      </c>
      <c r="V108" s="18" t="s">
        <v>20</v>
      </c>
      <c r="W108" s="18" t="s">
        <v>20</v>
      </c>
      <c r="X108" s="18" t="s">
        <v>20</v>
      </c>
      <c r="Y108" s="19" t="s">
        <v>20</v>
      </c>
      <c r="Z108" s="18" t="s">
        <v>20</v>
      </c>
      <c r="AA108" s="72" t="s">
        <v>20</v>
      </c>
      <c r="AB108" s="72" t="s">
        <v>20</v>
      </c>
      <c r="AC108" s="18" t="s">
        <v>21</v>
      </c>
      <c r="AD108" s="29" t="s">
        <v>21</v>
      </c>
      <c r="AE108" s="29" t="s">
        <v>21</v>
      </c>
      <c r="AF108">
        <f>+COUNTIF(F108:AE108,"AD")</f>
        <v>0</v>
      </c>
      <c r="AG108">
        <f>+COUNTIF(F108:AE108,"A")</f>
        <v>13</v>
      </c>
      <c r="AH108">
        <f>+COUNTIF(F108:AE108,"b")</f>
        <v>13</v>
      </c>
      <c r="AI108">
        <f>+COUNTIF(F108:AE108,"c")</f>
        <v>0</v>
      </c>
      <c r="AK108">
        <f>+$AF$5*AF108</f>
        <v>0</v>
      </c>
      <c r="AL108">
        <f>+$AG$5*AG108</f>
        <v>39</v>
      </c>
      <c r="AM108">
        <f>+$AH$5*AH108</f>
        <v>26</v>
      </c>
      <c r="AN108">
        <f>+$AI$5*AI108</f>
        <v>0</v>
      </c>
      <c r="AO108">
        <f>+SUM(AK108:AN108)</f>
        <v>65</v>
      </c>
    </row>
    <row r="109" spans="1:41" ht="15.75" customHeight="1" x14ac:dyDescent="0.3">
      <c r="A109" s="16"/>
      <c r="B109" s="55">
        <v>20</v>
      </c>
      <c r="C109" s="71" t="s">
        <v>105</v>
      </c>
      <c r="D109" s="55">
        <v>2</v>
      </c>
      <c r="E109" s="55" t="s">
        <v>21</v>
      </c>
      <c r="F109" s="18" t="s">
        <v>20</v>
      </c>
      <c r="G109" s="18" t="s">
        <v>20</v>
      </c>
      <c r="H109" s="18" t="s">
        <v>20</v>
      </c>
      <c r="I109" s="18" t="s">
        <v>20</v>
      </c>
      <c r="J109" s="18" t="s">
        <v>20</v>
      </c>
      <c r="K109" s="18" t="s">
        <v>20</v>
      </c>
      <c r="L109" s="18" t="s">
        <v>21</v>
      </c>
      <c r="M109" s="18" t="s">
        <v>21</v>
      </c>
      <c r="N109" s="18" t="s">
        <v>20</v>
      </c>
      <c r="O109" s="18" t="s">
        <v>20</v>
      </c>
      <c r="P109" s="18" t="s">
        <v>23</v>
      </c>
      <c r="Q109" s="18" t="s">
        <v>23</v>
      </c>
      <c r="R109" s="18" t="s">
        <v>21</v>
      </c>
      <c r="S109" s="18" t="s">
        <v>21</v>
      </c>
      <c r="T109" s="18" t="s">
        <v>20</v>
      </c>
      <c r="U109" s="18" t="s">
        <v>21</v>
      </c>
      <c r="V109" s="37" t="s">
        <v>21</v>
      </c>
      <c r="W109" s="37" t="s">
        <v>20</v>
      </c>
      <c r="X109" s="37" t="s">
        <v>21</v>
      </c>
      <c r="Y109" s="18" t="s">
        <v>20</v>
      </c>
      <c r="Z109" s="18" t="s">
        <v>20</v>
      </c>
      <c r="AA109" s="18" t="s">
        <v>20</v>
      </c>
      <c r="AB109" s="18" t="s">
        <v>20</v>
      </c>
      <c r="AC109" s="18" t="s">
        <v>20</v>
      </c>
      <c r="AD109" s="18" t="s">
        <v>21</v>
      </c>
      <c r="AE109" s="18" t="s">
        <v>21</v>
      </c>
      <c r="AF109">
        <f>+COUNTIF(F109:AE109,"AD")</f>
        <v>0</v>
      </c>
      <c r="AG109">
        <f>+COUNTIF(F109:AE109,"A")</f>
        <v>15</v>
      </c>
      <c r="AH109">
        <f>+COUNTIF(F109:AE109,"b")</f>
        <v>9</v>
      </c>
      <c r="AI109">
        <f>+COUNTIF(F109:AE109,"c")</f>
        <v>2</v>
      </c>
      <c r="AK109">
        <f>+$AF$5*AF109</f>
        <v>0</v>
      </c>
      <c r="AL109">
        <f>+$AG$5*AG109</f>
        <v>45</v>
      </c>
      <c r="AM109">
        <f>+$AH$5*AH109</f>
        <v>18</v>
      </c>
      <c r="AN109">
        <f>+$AI$5*AI109</f>
        <v>2</v>
      </c>
      <c r="AO109">
        <f>+SUM(AK109:AN109)</f>
        <v>65</v>
      </c>
    </row>
    <row r="110" spans="1:41" ht="15.75" customHeight="1" x14ac:dyDescent="0.3">
      <c r="A110" s="16"/>
      <c r="B110" s="55">
        <v>9</v>
      </c>
      <c r="C110" s="71" t="s">
        <v>157</v>
      </c>
      <c r="D110" s="55">
        <v>4</v>
      </c>
      <c r="E110" s="55" t="s">
        <v>20</v>
      </c>
      <c r="F110" s="18" t="s">
        <v>23</v>
      </c>
      <c r="G110" s="18" t="s">
        <v>21</v>
      </c>
      <c r="H110" s="18" t="s">
        <v>21</v>
      </c>
      <c r="I110" s="18" t="s">
        <v>21</v>
      </c>
      <c r="J110" s="69" t="s">
        <v>20</v>
      </c>
      <c r="K110" s="69" t="s">
        <v>20</v>
      </c>
      <c r="L110" s="69" t="s">
        <v>21</v>
      </c>
      <c r="M110" s="18" t="s">
        <v>20</v>
      </c>
      <c r="N110" s="18" t="s">
        <v>20</v>
      </c>
      <c r="O110" s="18" t="s">
        <v>20</v>
      </c>
      <c r="P110" s="18" t="s">
        <v>20</v>
      </c>
      <c r="Q110" s="18" t="s">
        <v>20</v>
      </c>
      <c r="R110" s="18" t="s">
        <v>20</v>
      </c>
      <c r="S110" s="18" t="s">
        <v>20</v>
      </c>
      <c r="T110" s="18" t="s">
        <v>20</v>
      </c>
      <c r="U110" s="18" t="s">
        <v>21</v>
      </c>
      <c r="V110" s="37" t="s">
        <v>20</v>
      </c>
      <c r="W110" s="37" t="s">
        <v>20</v>
      </c>
      <c r="X110" s="37" t="s">
        <v>20</v>
      </c>
      <c r="Y110" s="18" t="s">
        <v>20</v>
      </c>
      <c r="Z110" s="18" t="s">
        <v>21</v>
      </c>
      <c r="AA110" s="18" t="s">
        <v>21</v>
      </c>
      <c r="AB110" s="18" t="s">
        <v>21</v>
      </c>
      <c r="AC110" s="18" t="s">
        <v>23</v>
      </c>
      <c r="AD110" s="18" t="s">
        <v>20</v>
      </c>
      <c r="AE110" s="18" t="s">
        <v>21</v>
      </c>
      <c r="AF110">
        <f>+COUNTIF(F110:AE110,"AD")</f>
        <v>0</v>
      </c>
      <c r="AG110">
        <f>+COUNTIF(F110:AE110,"A")</f>
        <v>15</v>
      </c>
      <c r="AH110">
        <f>+COUNTIF(F110:AE110,"b")</f>
        <v>9</v>
      </c>
      <c r="AI110">
        <f>+COUNTIF(F110:AE110,"c")</f>
        <v>2</v>
      </c>
      <c r="AK110">
        <f>+$AF$5*AF110</f>
        <v>0</v>
      </c>
      <c r="AL110">
        <f>+$AG$5*AG110</f>
        <v>45</v>
      </c>
      <c r="AM110">
        <f>+$AH$5*AH110</f>
        <v>18</v>
      </c>
      <c r="AN110">
        <f>+$AI$5*AI110</f>
        <v>2</v>
      </c>
      <c r="AO110">
        <f>+SUM(AK110:AN110)</f>
        <v>65</v>
      </c>
    </row>
    <row r="111" spans="1:41" ht="15.75" customHeight="1" x14ac:dyDescent="0.3">
      <c r="A111" s="16"/>
      <c r="B111" s="55">
        <v>11</v>
      </c>
      <c r="C111" s="71" t="s">
        <v>235</v>
      </c>
      <c r="D111" s="55">
        <v>5</v>
      </c>
      <c r="E111" s="55" t="s">
        <v>21</v>
      </c>
      <c r="F111" s="18" t="s">
        <v>21</v>
      </c>
      <c r="G111" s="18" t="s">
        <v>21</v>
      </c>
      <c r="H111" s="18" t="s">
        <v>21</v>
      </c>
      <c r="I111" s="18" t="s">
        <v>21</v>
      </c>
      <c r="J111" s="18" t="s">
        <v>21</v>
      </c>
      <c r="K111" s="18" t="s">
        <v>21</v>
      </c>
      <c r="L111" s="18" t="s">
        <v>20</v>
      </c>
      <c r="M111" s="18" t="s">
        <v>20</v>
      </c>
      <c r="N111" s="18" t="s">
        <v>20</v>
      </c>
      <c r="O111" s="18" t="s">
        <v>20</v>
      </c>
      <c r="P111" s="18" t="s">
        <v>21</v>
      </c>
      <c r="Q111" s="18" t="s">
        <v>21</v>
      </c>
      <c r="R111" s="18" t="s">
        <v>21</v>
      </c>
      <c r="S111" s="18" t="s">
        <v>20</v>
      </c>
      <c r="T111" s="18" t="s">
        <v>20</v>
      </c>
      <c r="U111" s="18" t="s">
        <v>21</v>
      </c>
      <c r="V111" s="37" t="s">
        <v>20</v>
      </c>
      <c r="W111" s="37" t="s">
        <v>21</v>
      </c>
      <c r="X111" s="37" t="s">
        <v>20</v>
      </c>
      <c r="Y111" s="18" t="s">
        <v>20</v>
      </c>
      <c r="Z111" s="18" t="s">
        <v>21</v>
      </c>
      <c r="AA111" s="18" t="s">
        <v>20</v>
      </c>
      <c r="AB111" s="18" t="s">
        <v>20</v>
      </c>
      <c r="AC111" s="18" t="s">
        <v>20</v>
      </c>
      <c r="AD111" s="29" t="s">
        <v>20</v>
      </c>
      <c r="AE111" s="29" t="s">
        <v>21</v>
      </c>
      <c r="AF111">
        <f>+COUNTIF(F111:AE111,"AD")</f>
        <v>0</v>
      </c>
      <c r="AG111">
        <f>+COUNTIF(F111:AE111,"A")</f>
        <v>13</v>
      </c>
      <c r="AH111">
        <f>+COUNTIF(F111:AE111,"b")</f>
        <v>13</v>
      </c>
      <c r="AI111">
        <f>+COUNTIF(F111:AE111,"c")</f>
        <v>0</v>
      </c>
      <c r="AK111">
        <f>+$AF$5*AF111</f>
        <v>0</v>
      </c>
      <c r="AL111">
        <f>+$AG$5*AG111</f>
        <v>39</v>
      </c>
      <c r="AM111">
        <f>+$AH$5*AH111</f>
        <v>26</v>
      </c>
      <c r="AN111">
        <f>+$AI$5*AI111</f>
        <v>0</v>
      </c>
      <c r="AO111">
        <f>+SUM(AK111:AN111)</f>
        <v>65</v>
      </c>
    </row>
    <row r="112" spans="1:41" ht="15.75" customHeight="1" x14ac:dyDescent="0.3">
      <c r="A112" s="16"/>
      <c r="B112" s="55">
        <v>4</v>
      </c>
      <c r="C112" s="71" t="s">
        <v>44</v>
      </c>
      <c r="D112" s="55">
        <v>1</v>
      </c>
      <c r="E112" s="55" t="s">
        <v>21</v>
      </c>
      <c r="F112" s="18" t="s">
        <v>20</v>
      </c>
      <c r="G112" s="18" t="s">
        <v>20</v>
      </c>
      <c r="H112" s="18" t="s">
        <v>20</v>
      </c>
      <c r="I112" s="18" t="s">
        <v>20</v>
      </c>
      <c r="J112" s="18" t="s">
        <v>21</v>
      </c>
      <c r="K112" s="18" t="s">
        <v>21</v>
      </c>
      <c r="L112" s="18" t="s">
        <v>21</v>
      </c>
      <c r="M112" s="18" t="s">
        <v>21</v>
      </c>
      <c r="N112" s="18" t="s">
        <v>20</v>
      </c>
      <c r="O112" s="18" t="s">
        <v>20</v>
      </c>
      <c r="P112" s="18" t="s">
        <v>21</v>
      </c>
      <c r="Q112" s="18" t="s">
        <v>21</v>
      </c>
      <c r="R112" s="18" t="s">
        <v>21</v>
      </c>
      <c r="S112" s="18" t="s">
        <v>20</v>
      </c>
      <c r="T112" s="18" t="s">
        <v>20</v>
      </c>
      <c r="U112" s="18" t="s">
        <v>21</v>
      </c>
      <c r="V112" s="18" t="s">
        <v>20</v>
      </c>
      <c r="W112" s="18" t="s">
        <v>20</v>
      </c>
      <c r="X112" s="18" t="s">
        <v>20</v>
      </c>
      <c r="Y112" s="19" t="s">
        <v>21</v>
      </c>
      <c r="Z112" s="18" t="s">
        <v>20</v>
      </c>
      <c r="AA112" s="72" t="s">
        <v>21</v>
      </c>
      <c r="AB112" s="72" t="s">
        <v>21</v>
      </c>
      <c r="AC112" s="18" t="s">
        <v>21</v>
      </c>
      <c r="AD112" s="29" t="s">
        <v>21</v>
      </c>
      <c r="AE112" s="29" t="s">
        <v>21</v>
      </c>
      <c r="AF112">
        <f>+COUNTIF(F112:AE112,"AD")</f>
        <v>0</v>
      </c>
      <c r="AG112">
        <f>+COUNTIF(F112:AE112,"A")</f>
        <v>12</v>
      </c>
      <c r="AH112">
        <f>+COUNTIF(F112:AE112,"b")</f>
        <v>14</v>
      </c>
      <c r="AI112">
        <f>+COUNTIF(F112:AE112,"c")</f>
        <v>0</v>
      </c>
      <c r="AK112">
        <f>+$AF$5*AF112</f>
        <v>0</v>
      </c>
      <c r="AL112">
        <f>+$AG$5*AG112</f>
        <v>36</v>
      </c>
      <c r="AM112">
        <f>+$AH$5*AH112</f>
        <v>28</v>
      </c>
      <c r="AN112">
        <f>+$AI$5*AI112</f>
        <v>0</v>
      </c>
      <c r="AO112">
        <f>+SUM(AK112:AN112)</f>
        <v>64</v>
      </c>
    </row>
    <row r="113" spans="1:41" ht="15.75" customHeight="1" x14ac:dyDescent="0.3">
      <c r="A113" s="16"/>
      <c r="B113" s="55">
        <v>8</v>
      </c>
      <c r="C113" s="71" t="s">
        <v>48</v>
      </c>
      <c r="D113" s="55">
        <v>1</v>
      </c>
      <c r="E113" s="55" t="s">
        <v>21</v>
      </c>
      <c r="F113" s="18" t="s">
        <v>20</v>
      </c>
      <c r="G113" s="18" t="s">
        <v>21</v>
      </c>
      <c r="H113" s="18" t="s">
        <v>21</v>
      </c>
      <c r="I113" s="18" t="s">
        <v>21</v>
      </c>
      <c r="J113" s="18" t="s">
        <v>20</v>
      </c>
      <c r="K113" s="18" t="s">
        <v>21</v>
      </c>
      <c r="L113" s="18" t="s">
        <v>21</v>
      </c>
      <c r="M113" s="18" t="s">
        <v>20</v>
      </c>
      <c r="N113" s="18" t="s">
        <v>21</v>
      </c>
      <c r="O113" s="18" t="s">
        <v>21</v>
      </c>
      <c r="P113" s="18" t="s">
        <v>21</v>
      </c>
      <c r="Q113" s="18" t="s">
        <v>21</v>
      </c>
      <c r="R113" s="18" t="s">
        <v>21</v>
      </c>
      <c r="S113" s="18" t="s">
        <v>20</v>
      </c>
      <c r="T113" s="18" t="s">
        <v>20</v>
      </c>
      <c r="U113" s="18" t="s">
        <v>20</v>
      </c>
      <c r="V113" s="18" t="s">
        <v>21</v>
      </c>
      <c r="W113" s="18" t="s">
        <v>20</v>
      </c>
      <c r="X113" s="18" t="s">
        <v>21</v>
      </c>
      <c r="Y113" s="19" t="s">
        <v>21</v>
      </c>
      <c r="Z113" s="18" t="s">
        <v>20</v>
      </c>
      <c r="AA113" s="72" t="s">
        <v>20</v>
      </c>
      <c r="AB113" s="72" t="s">
        <v>20</v>
      </c>
      <c r="AC113" s="18" t="s">
        <v>20</v>
      </c>
      <c r="AD113" s="29" t="s">
        <v>20</v>
      </c>
      <c r="AE113" s="29" t="s">
        <v>21</v>
      </c>
      <c r="AF113">
        <f>+COUNTIF(F113:AE113,"AD")</f>
        <v>0</v>
      </c>
      <c r="AG113">
        <f>+COUNTIF(F113:AE113,"A")</f>
        <v>12</v>
      </c>
      <c r="AH113">
        <f>+COUNTIF(F113:AE113,"b")</f>
        <v>14</v>
      </c>
      <c r="AI113">
        <f>+COUNTIF(F113:AE113,"c")</f>
        <v>0</v>
      </c>
      <c r="AK113">
        <f>+$AF$5*AF113</f>
        <v>0</v>
      </c>
      <c r="AL113">
        <f>+$AG$5*AG113</f>
        <v>36</v>
      </c>
      <c r="AM113">
        <f>+$AH$5*AH113</f>
        <v>28</v>
      </c>
      <c r="AN113">
        <f>+$AI$5*AI113</f>
        <v>0</v>
      </c>
      <c r="AO113">
        <f>+SUM(AK113:AN113)</f>
        <v>64</v>
      </c>
    </row>
    <row r="114" spans="1:41" ht="15.75" customHeight="1" x14ac:dyDescent="0.3">
      <c r="A114" s="16"/>
      <c r="B114" s="55">
        <v>7</v>
      </c>
      <c r="C114" s="71" t="s">
        <v>178</v>
      </c>
      <c r="D114" s="55">
        <v>4</v>
      </c>
      <c r="E114" s="55" t="s">
        <v>21</v>
      </c>
      <c r="F114" s="18" t="s">
        <v>21</v>
      </c>
      <c r="G114" s="18" t="s">
        <v>20</v>
      </c>
      <c r="H114" s="18" t="s">
        <v>20</v>
      </c>
      <c r="I114" s="18" t="s">
        <v>21</v>
      </c>
      <c r="J114" s="69" t="s">
        <v>20</v>
      </c>
      <c r="K114" s="69" t="s">
        <v>21</v>
      </c>
      <c r="L114" s="69" t="s">
        <v>21</v>
      </c>
      <c r="M114" s="18" t="s">
        <v>20</v>
      </c>
      <c r="N114" s="18" t="s">
        <v>20</v>
      </c>
      <c r="O114" s="18" t="s">
        <v>20</v>
      </c>
      <c r="P114" s="18" t="s">
        <v>21</v>
      </c>
      <c r="Q114" s="18" t="s">
        <v>21</v>
      </c>
      <c r="R114" s="18" t="s">
        <v>21</v>
      </c>
      <c r="S114" s="18" t="s">
        <v>20</v>
      </c>
      <c r="T114" s="18" t="s">
        <v>20</v>
      </c>
      <c r="U114" s="18" t="s">
        <v>21</v>
      </c>
      <c r="V114" s="37" t="s">
        <v>20</v>
      </c>
      <c r="W114" s="37" t="s">
        <v>20</v>
      </c>
      <c r="X114" s="37" t="s">
        <v>20</v>
      </c>
      <c r="Y114" s="18" t="s">
        <v>20</v>
      </c>
      <c r="Z114" s="18" t="s">
        <v>21</v>
      </c>
      <c r="AA114" s="18" t="s">
        <v>21</v>
      </c>
      <c r="AB114" s="18" t="s">
        <v>21</v>
      </c>
      <c r="AC114" s="18" t="s">
        <v>21</v>
      </c>
      <c r="AD114" s="18" t="s">
        <v>21</v>
      </c>
      <c r="AE114" s="18" t="s">
        <v>21</v>
      </c>
      <c r="AF114">
        <f>+COUNTIF(F114:AE114,"AD")</f>
        <v>0</v>
      </c>
      <c r="AG114">
        <f>+COUNTIF(F114:AE114,"A")</f>
        <v>12</v>
      </c>
      <c r="AH114">
        <f>+COUNTIF(F114:AE114,"b")</f>
        <v>14</v>
      </c>
      <c r="AI114">
        <f>+COUNTIF(F114:AE114,"c")</f>
        <v>0</v>
      </c>
      <c r="AK114">
        <f>+$AF$5*AF114</f>
        <v>0</v>
      </c>
      <c r="AL114">
        <f>+$AG$5*AG114</f>
        <v>36</v>
      </c>
      <c r="AM114">
        <f>+$AH$5*AH114</f>
        <v>28</v>
      </c>
      <c r="AN114">
        <f>+$AI$5*AI114</f>
        <v>0</v>
      </c>
      <c r="AO114">
        <f>+SUM(AK114:AN114)</f>
        <v>64</v>
      </c>
    </row>
    <row r="115" spans="1:41" ht="15.75" customHeight="1" x14ac:dyDescent="0.3">
      <c r="A115" s="16"/>
      <c r="B115" s="55">
        <v>3</v>
      </c>
      <c r="C115" s="71" t="s">
        <v>199</v>
      </c>
      <c r="D115" s="55">
        <v>5</v>
      </c>
      <c r="E115" s="55" t="s">
        <v>20</v>
      </c>
      <c r="F115" s="18" t="s">
        <v>23</v>
      </c>
      <c r="G115" s="18" t="s">
        <v>23</v>
      </c>
      <c r="H115" s="18" t="s">
        <v>21</v>
      </c>
      <c r="I115" s="18" t="s">
        <v>21</v>
      </c>
      <c r="J115" s="69" t="s">
        <v>20</v>
      </c>
      <c r="K115" s="69" t="s">
        <v>20</v>
      </c>
      <c r="L115" s="69" t="s">
        <v>21</v>
      </c>
      <c r="M115" s="18" t="s">
        <v>20</v>
      </c>
      <c r="N115" s="18" t="s">
        <v>20</v>
      </c>
      <c r="O115" s="18" t="s">
        <v>20</v>
      </c>
      <c r="P115" s="18" t="s">
        <v>21</v>
      </c>
      <c r="Q115" s="18" t="s">
        <v>21</v>
      </c>
      <c r="R115" s="18" t="s">
        <v>20</v>
      </c>
      <c r="S115" s="18" t="s">
        <v>21</v>
      </c>
      <c r="T115" s="18" t="s">
        <v>20</v>
      </c>
      <c r="U115" s="18" t="s">
        <v>20</v>
      </c>
      <c r="V115" s="49" t="s">
        <v>20</v>
      </c>
      <c r="W115" s="37" t="s">
        <v>20</v>
      </c>
      <c r="X115" s="37" t="s">
        <v>20</v>
      </c>
      <c r="Y115" s="18" t="s">
        <v>20</v>
      </c>
      <c r="Z115" s="18" t="s">
        <v>20</v>
      </c>
      <c r="AA115" s="18" t="s">
        <v>21</v>
      </c>
      <c r="AB115" s="18" t="s">
        <v>21</v>
      </c>
      <c r="AC115" s="18" t="s">
        <v>21</v>
      </c>
      <c r="AD115" s="29" t="s">
        <v>20</v>
      </c>
      <c r="AE115" s="29" t="s">
        <v>21</v>
      </c>
      <c r="AF115">
        <f>+COUNTIF(F115:AE115,"AD")</f>
        <v>0</v>
      </c>
      <c r="AG115">
        <f>+COUNTIF(F115:AE115,"A")</f>
        <v>14</v>
      </c>
      <c r="AH115">
        <f>+COUNTIF(F115:AE115,"b")</f>
        <v>10</v>
      </c>
      <c r="AI115">
        <f>+COUNTIF(F115:AE115,"c")</f>
        <v>2</v>
      </c>
      <c r="AK115">
        <f>+$AF$5*AF115</f>
        <v>0</v>
      </c>
      <c r="AL115">
        <f>+$AG$5*AG115</f>
        <v>42</v>
      </c>
      <c r="AM115">
        <f>+$AH$5*AH115</f>
        <v>20</v>
      </c>
      <c r="AN115">
        <f>+$AI$5*AI115</f>
        <v>2</v>
      </c>
      <c r="AO115">
        <f>+SUM(AK115:AN115)</f>
        <v>64</v>
      </c>
    </row>
    <row r="116" spans="1:41" ht="15.75" customHeight="1" x14ac:dyDescent="0.3">
      <c r="A116" s="16"/>
      <c r="B116" s="55">
        <v>19</v>
      </c>
      <c r="C116" s="71" t="s">
        <v>215</v>
      </c>
      <c r="D116" s="55">
        <v>5</v>
      </c>
      <c r="E116" s="55" t="s">
        <v>20</v>
      </c>
      <c r="F116" s="18" t="s">
        <v>20</v>
      </c>
      <c r="G116" s="18" t="s">
        <v>20</v>
      </c>
      <c r="H116" s="18" t="s">
        <v>20</v>
      </c>
      <c r="I116" s="18" t="s">
        <v>20</v>
      </c>
      <c r="J116" s="69" t="s">
        <v>20</v>
      </c>
      <c r="K116" s="69" t="s">
        <v>20</v>
      </c>
      <c r="L116" s="69" t="s">
        <v>20</v>
      </c>
      <c r="M116" s="18" t="s">
        <v>20</v>
      </c>
      <c r="N116" s="18" t="s">
        <v>20</v>
      </c>
      <c r="O116" s="18" t="s">
        <v>20</v>
      </c>
      <c r="P116" s="18" t="s">
        <v>21</v>
      </c>
      <c r="Q116" s="18" t="s">
        <v>21</v>
      </c>
      <c r="R116" s="18" t="s">
        <v>21</v>
      </c>
      <c r="S116" s="18" t="s">
        <v>21</v>
      </c>
      <c r="T116" s="18" t="s">
        <v>21</v>
      </c>
      <c r="U116" s="18" t="s">
        <v>21</v>
      </c>
      <c r="V116" s="37" t="s">
        <v>21</v>
      </c>
      <c r="W116" s="37" t="s">
        <v>20</v>
      </c>
      <c r="X116" s="37" t="s">
        <v>20</v>
      </c>
      <c r="Y116" s="18" t="s">
        <v>21</v>
      </c>
      <c r="Z116" s="18" t="s">
        <v>20</v>
      </c>
      <c r="AA116" s="18" t="s">
        <v>20</v>
      </c>
      <c r="AB116" s="18" t="s">
        <v>20</v>
      </c>
      <c r="AC116" s="18" t="s">
        <v>20</v>
      </c>
      <c r="AD116" s="18" t="s">
        <v>55</v>
      </c>
      <c r="AE116" s="18" t="s">
        <v>55</v>
      </c>
      <c r="AF116">
        <f>+COUNTIF(F116:AE116,"AD")</f>
        <v>0</v>
      </c>
      <c r="AG116">
        <f>+COUNTIF(F116:AE116,"A")</f>
        <v>16</v>
      </c>
      <c r="AH116">
        <f>+COUNTIF(F116:AE116,"b")</f>
        <v>8</v>
      </c>
      <c r="AI116">
        <f>+COUNTIF(F116:AE116,"c")</f>
        <v>0</v>
      </c>
      <c r="AK116">
        <f>+$AF$5*AF116</f>
        <v>0</v>
      </c>
      <c r="AL116">
        <f>+$AG$5*AG116</f>
        <v>48</v>
      </c>
      <c r="AM116">
        <f>+$AH$5*AH116</f>
        <v>16</v>
      </c>
      <c r="AN116">
        <f>+$AI$5*AI116</f>
        <v>0</v>
      </c>
      <c r="AO116">
        <f>+SUM(AK116:AN116)</f>
        <v>64</v>
      </c>
    </row>
    <row r="117" spans="1:41" ht="15.75" customHeight="1" x14ac:dyDescent="0.3">
      <c r="A117" s="16"/>
      <c r="B117" s="55">
        <v>5</v>
      </c>
      <c r="C117" s="71" t="s">
        <v>45</v>
      </c>
      <c r="D117" s="55">
        <v>1</v>
      </c>
      <c r="E117" s="55" t="s">
        <v>21</v>
      </c>
      <c r="F117" s="18" t="s">
        <v>21</v>
      </c>
      <c r="G117" s="18" t="s">
        <v>21</v>
      </c>
      <c r="H117" s="18" t="s">
        <v>20</v>
      </c>
      <c r="I117" s="18" t="s">
        <v>21</v>
      </c>
      <c r="J117" s="18" t="s">
        <v>21</v>
      </c>
      <c r="K117" s="18" t="s">
        <v>21</v>
      </c>
      <c r="L117" s="18" t="s">
        <v>21</v>
      </c>
      <c r="M117" s="18" t="s">
        <v>20</v>
      </c>
      <c r="N117" s="18" t="s">
        <v>21</v>
      </c>
      <c r="O117" s="18" t="s">
        <v>20</v>
      </c>
      <c r="P117" s="18" t="s">
        <v>21</v>
      </c>
      <c r="Q117" s="18" t="s">
        <v>21</v>
      </c>
      <c r="R117" s="18" t="s">
        <v>21</v>
      </c>
      <c r="S117" s="18" t="s">
        <v>20</v>
      </c>
      <c r="T117" s="18" t="s">
        <v>20</v>
      </c>
      <c r="U117" s="18" t="s">
        <v>21</v>
      </c>
      <c r="V117" s="18" t="s">
        <v>20</v>
      </c>
      <c r="W117" s="18" t="s">
        <v>20</v>
      </c>
      <c r="X117" s="18" t="s">
        <v>20</v>
      </c>
      <c r="Y117" s="19" t="s">
        <v>21</v>
      </c>
      <c r="Z117" s="18" t="s">
        <v>20</v>
      </c>
      <c r="AA117" s="72" t="s">
        <v>20</v>
      </c>
      <c r="AB117" s="72" t="s">
        <v>20</v>
      </c>
      <c r="AC117" s="18" t="s">
        <v>21</v>
      </c>
      <c r="AD117" s="29" t="s">
        <v>21</v>
      </c>
      <c r="AE117" s="29" t="s">
        <v>21</v>
      </c>
      <c r="AF117">
        <f>+COUNTIF(F117:AE117,"AD")</f>
        <v>0</v>
      </c>
      <c r="AG117">
        <f>+COUNTIF(F117:AE117,"A")</f>
        <v>11</v>
      </c>
      <c r="AH117">
        <f>+COUNTIF(F117:AE117,"b")</f>
        <v>15</v>
      </c>
      <c r="AI117">
        <f>+COUNTIF(F117:AE117,"c")</f>
        <v>0</v>
      </c>
      <c r="AK117">
        <f>+$AF$5*AF117</f>
        <v>0</v>
      </c>
      <c r="AL117">
        <f>+$AG$5*AG117</f>
        <v>33</v>
      </c>
      <c r="AM117">
        <f>+$AH$5*AH117</f>
        <v>30</v>
      </c>
      <c r="AN117">
        <f>+$AI$5*AI117</f>
        <v>0</v>
      </c>
      <c r="AO117">
        <f>+SUM(AK117:AN117)</f>
        <v>63</v>
      </c>
    </row>
    <row r="118" spans="1:41" ht="15.75" customHeight="1" x14ac:dyDescent="0.3">
      <c r="A118" s="16"/>
      <c r="B118" s="55">
        <v>17</v>
      </c>
      <c r="C118" s="71" t="s">
        <v>58</v>
      </c>
      <c r="D118" s="55">
        <v>1</v>
      </c>
      <c r="E118" s="55" t="s">
        <v>21</v>
      </c>
      <c r="F118" s="18" t="s">
        <v>21</v>
      </c>
      <c r="G118" s="18" t="s">
        <v>21</v>
      </c>
      <c r="H118" s="18" t="s">
        <v>21</v>
      </c>
      <c r="I118" s="18" t="s">
        <v>21</v>
      </c>
      <c r="J118" s="18" t="s">
        <v>20</v>
      </c>
      <c r="K118" s="18" t="s">
        <v>21</v>
      </c>
      <c r="L118" s="18" t="s">
        <v>21</v>
      </c>
      <c r="M118" s="18" t="s">
        <v>21</v>
      </c>
      <c r="N118" s="18" t="s">
        <v>20</v>
      </c>
      <c r="O118" s="18" t="s">
        <v>20</v>
      </c>
      <c r="P118" s="18" t="s">
        <v>21</v>
      </c>
      <c r="Q118" s="18" t="s">
        <v>21</v>
      </c>
      <c r="R118" s="18" t="s">
        <v>21</v>
      </c>
      <c r="S118" s="18" t="s">
        <v>20</v>
      </c>
      <c r="T118" s="18" t="s">
        <v>21</v>
      </c>
      <c r="U118" s="18" t="s">
        <v>20</v>
      </c>
      <c r="V118" s="18" t="s">
        <v>20</v>
      </c>
      <c r="W118" s="18" t="s">
        <v>20</v>
      </c>
      <c r="X118" s="18" t="s">
        <v>20</v>
      </c>
      <c r="Y118" s="19" t="s">
        <v>21</v>
      </c>
      <c r="Z118" s="18" t="s">
        <v>20</v>
      </c>
      <c r="AA118" s="72" t="s">
        <v>20</v>
      </c>
      <c r="AB118" s="72" t="s">
        <v>20</v>
      </c>
      <c r="AC118" s="18" t="s">
        <v>21</v>
      </c>
      <c r="AD118" s="29" t="s">
        <v>21</v>
      </c>
      <c r="AE118" s="29" t="s">
        <v>21</v>
      </c>
      <c r="AF118">
        <f>+COUNTIF(F118:AE118,"AD")</f>
        <v>0</v>
      </c>
      <c r="AG118">
        <f>+COUNTIF(F118:AE118,"A")</f>
        <v>11</v>
      </c>
      <c r="AH118">
        <f>+COUNTIF(F118:AE118,"b")</f>
        <v>15</v>
      </c>
      <c r="AI118">
        <f>+COUNTIF(F118:AE118,"c")</f>
        <v>0</v>
      </c>
      <c r="AK118">
        <f>+$AF$5*AF118</f>
        <v>0</v>
      </c>
      <c r="AL118">
        <f>+$AG$5*AG118</f>
        <v>33</v>
      </c>
      <c r="AM118">
        <f>+$AH$5*AH118</f>
        <v>30</v>
      </c>
      <c r="AN118">
        <f>+$AI$5*AI118</f>
        <v>0</v>
      </c>
      <c r="AO118">
        <f>+SUM(AK118:AN118)</f>
        <v>63</v>
      </c>
    </row>
    <row r="119" spans="1:41" ht="15.75" customHeight="1" x14ac:dyDescent="0.3">
      <c r="A119" s="16"/>
      <c r="B119" s="55">
        <v>2</v>
      </c>
      <c r="C119" s="71" t="s">
        <v>63</v>
      </c>
      <c r="D119" s="55">
        <v>2</v>
      </c>
      <c r="E119" s="55" t="s">
        <v>20</v>
      </c>
      <c r="F119" s="18" t="s">
        <v>21</v>
      </c>
      <c r="G119" s="18" t="s">
        <v>21</v>
      </c>
      <c r="H119" s="18" t="s">
        <v>23</v>
      </c>
      <c r="I119" s="18" t="s">
        <v>21</v>
      </c>
      <c r="J119" s="18" t="s">
        <v>21</v>
      </c>
      <c r="K119" s="18" t="s">
        <v>23</v>
      </c>
      <c r="L119" s="18" t="s">
        <v>23</v>
      </c>
      <c r="M119" s="18" t="s">
        <v>20</v>
      </c>
      <c r="N119" s="18" t="s">
        <v>20</v>
      </c>
      <c r="O119" s="18" t="s">
        <v>20</v>
      </c>
      <c r="P119" s="18" t="s">
        <v>20</v>
      </c>
      <c r="Q119" s="18" t="s">
        <v>20</v>
      </c>
      <c r="R119" s="18" t="s">
        <v>20</v>
      </c>
      <c r="S119" s="18" t="s">
        <v>21</v>
      </c>
      <c r="T119" s="18" t="s">
        <v>20</v>
      </c>
      <c r="U119" s="18" t="s">
        <v>20</v>
      </c>
      <c r="V119" s="35" t="s">
        <v>20</v>
      </c>
      <c r="W119" s="35" t="s">
        <v>20</v>
      </c>
      <c r="X119" s="36" t="s">
        <v>20</v>
      </c>
      <c r="Y119" s="19" t="s">
        <v>20</v>
      </c>
      <c r="Z119" s="18" t="s">
        <v>20</v>
      </c>
      <c r="AA119" s="18" t="s">
        <v>21</v>
      </c>
      <c r="AB119" s="18" t="s">
        <v>21</v>
      </c>
      <c r="AC119" s="18" t="s">
        <v>21</v>
      </c>
      <c r="AD119" s="29" t="s">
        <v>20</v>
      </c>
      <c r="AE119" s="29" t="s">
        <v>21</v>
      </c>
      <c r="AF119">
        <f>+COUNTIF(F119:AE119,"AD")</f>
        <v>0</v>
      </c>
      <c r="AG119">
        <f>+COUNTIF(F119:AE119,"A")</f>
        <v>14</v>
      </c>
      <c r="AH119">
        <f>+COUNTIF(F119:AE119,"b")</f>
        <v>9</v>
      </c>
      <c r="AI119">
        <f>+COUNTIF(F119:AE119,"c")</f>
        <v>3</v>
      </c>
      <c r="AK119">
        <f>+$AF$5*AF119</f>
        <v>0</v>
      </c>
      <c r="AL119">
        <f>+$AG$5*AG119</f>
        <v>42</v>
      </c>
      <c r="AM119">
        <f>+$AH$5*AH119</f>
        <v>18</v>
      </c>
      <c r="AN119">
        <f>+$AI$5*AI119</f>
        <v>3</v>
      </c>
      <c r="AO119">
        <f>+SUM(AK119:AN119)</f>
        <v>63</v>
      </c>
    </row>
    <row r="120" spans="1:41" ht="15.75" customHeight="1" x14ac:dyDescent="0.3">
      <c r="A120" s="16"/>
      <c r="B120" s="55">
        <v>7</v>
      </c>
      <c r="C120" s="71" t="s">
        <v>68</v>
      </c>
      <c r="D120" s="55">
        <v>2</v>
      </c>
      <c r="E120" s="55" t="s">
        <v>20</v>
      </c>
      <c r="F120" s="18" t="s">
        <v>21</v>
      </c>
      <c r="G120" s="18" t="s">
        <v>21</v>
      </c>
      <c r="H120" s="18" t="s">
        <v>21</v>
      </c>
      <c r="I120" s="18" t="s">
        <v>21</v>
      </c>
      <c r="J120" s="18" t="s">
        <v>20</v>
      </c>
      <c r="K120" s="18" t="s">
        <v>21</v>
      </c>
      <c r="L120" s="18" t="s">
        <v>21</v>
      </c>
      <c r="M120" s="18" t="s">
        <v>21</v>
      </c>
      <c r="N120" s="18" t="s">
        <v>20</v>
      </c>
      <c r="O120" s="18" t="s">
        <v>23</v>
      </c>
      <c r="P120" s="18" t="s">
        <v>21</v>
      </c>
      <c r="Q120" s="18" t="s">
        <v>21</v>
      </c>
      <c r="R120" s="18" t="s">
        <v>21</v>
      </c>
      <c r="S120" s="18" t="s">
        <v>21</v>
      </c>
      <c r="T120" s="18" t="s">
        <v>20</v>
      </c>
      <c r="U120" s="18" t="s">
        <v>20</v>
      </c>
      <c r="V120" s="37" t="s">
        <v>20</v>
      </c>
      <c r="W120" s="37" t="s">
        <v>20</v>
      </c>
      <c r="X120" s="37" t="s">
        <v>20</v>
      </c>
      <c r="Y120" s="18" t="s">
        <v>20</v>
      </c>
      <c r="Z120" s="18" t="s">
        <v>20</v>
      </c>
      <c r="AA120" s="18" t="s">
        <v>20</v>
      </c>
      <c r="AB120" s="18" t="s">
        <v>20</v>
      </c>
      <c r="AC120" s="18" t="s">
        <v>20</v>
      </c>
      <c r="AD120" s="29" t="s">
        <v>21</v>
      </c>
      <c r="AE120" s="29" t="s">
        <v>21</v>
      </c>
      <c r="AF120">
        <f>+COUNTIF(F120:AE120,"AD")</f>
        <v>0</v>
      </c>
      <c r="AG120">
        <f>+COUNTIF(F120:AE120,"A")</f>
        <v>12</v>
      </c>
      <c r="AH120">
        <f>+COUNTIF(F120:AE120,"b")</f>
        <v>13</v>
      </c>
      <c r="AI120">
        <f>+COUNTIF(F120:AE120,"c")</f>
        <v>1</v>
      </c>
      <c r="AK120">
        <f>+$AF$5*AF120</f>
        <v>0</v>
      </c>
      <c r="AL120">
        <f>+$AG$5*AG120</f>
        <v>36</v>
      </c>
      <c r="AM120">
        <f>+$AH$5*AH120</f>
        <v>26</v>
      </c>
      <c r="AN120">
        <f>+$AI$5*AI120</f>
        <v>1</v>
      </c>
      <c r="AO120">
        <f>+SUM(AK120:AN120)</f>
        <v>63</v>
      </c>
    </row>
    <row r="121" spans="1:41" ht="15.75" customHeight="1" x14ac:dyDescent="0.3">
      <c r="A121" s="16"/>
      <c r="B121" s="55">
        <v>13</v>
      </c>
      <c r="C121" s="71" t="s">
        <v>98</v>
      </c>
      <c r="D121" s="55">
        <v>2</v>
      </c>
      <c r="E121" s="55" t="s">
        <v>21</v>
      </c>
      <c r="F121" s="18" t="s">
        <v>20</v>
      </c>
      <c r="G121" s="18" t="s">
        <v>21</v>
      </c>
      <c r="H121" s="18" t="s">
        <v>20</v>
      </c>
      <c r="I121" s="18" t="s">
        <v>21</v>
      </c>
      <c r="J121" s="18" t="s">
        <v>20</v>
      </c>
      <c r="K121" s="18" t="s">
        <v>20</v>
      </c>
      <c r="L121" s="18" t="s">
        <v>20</v>
      </c>
      <c r="M121" s="18" t="s">
        <v>21</v>
      </c>
      <c r="N121" s="18" t="s">
        <v>20</v>
      </c>
      <c r="O121" s="18" t="s">
        <v>21</v>
      </c>
      <c r="P121" s="18" t="s">
        <v>21</v>
      </c>
      <c r="Q121" s="18" t="s">
        <v>21</v>
      </c>
      <c r="R121" s="18" t="s">
        <v>21</v>
      </c>
      <c r="S121" s="18" t="s">
        <v>20</v>
      </c>
      <c r="T121" s="18" t="s">
        <v>20</v>
      </c>
      <c r="U121" s="18" t="s">
        <v>21</v>
      </c>
      <c r="V121" s="37" t="s">
        <v>21</v>
      </c>
      <c r="W121" s="37" t="s">
        <v>20</v>
      </c>
      <c r="X121" s="37" t="s">
        <v>21</v>
      </c>
      <c r="Y121" s="18" t="s">
        <v>21</v>
      </c>
      <c r="Z121" s="18" t="s">
        <v>21</v>
      </c>
      <c r="AA121" s="18" t="s">
        <v>21</v>
      </c>
      <c r="AB121" s="18" t="s">
        <v>20</v>
      </c>
      <c r="AC121" s="18" t="s">
        <v>20</v>
      </c>
      <c r="AD121" s="18" t="s">
        <v>21</v>
      </c>
      <c r="AE121" s="18" t="s">
        <v>21</v>
      </c>
      <c r="AF121">
        <f>+COUNTIF(F121:AE121,"AD")</f>
        <v>0</v>
      </c>
      <c r="AG121">
        <f>+COUNTIF(F121:AE121,"A")</f>
        <v>11</v>
      </c>
      <c r="AH121">
        <f>+COUNTIF(F121:AE121,"b")</f>
        <v>15</v>
      </c>
      <c r="AI121">
        <f>+COUNTIF(F121:AE121,"c")</f>
        <v>0</v>
      </c>
      <c r="AK121">
        <f>+$AF$5*AF121</f>
        <v>0</v>
      </c>
      <c r="AL121">
        <f>+$AG$5*AG121</f>
        <v>33</v>
      </c>
      <c r="AM121">
        <f>+$AH$5*AH121</f>
        <v>30</v>
      </c>
      <c r="AN121">
        <f>+$AI$5*AI121</f>
        <v>0</v>
      </c>
      <c r="AO121">
        <f>+SUM(AK121:AN121)</f>
        <v>63</v>
      </c>
    </row>
    <row r="122" spans="1:41" ht="15.75" customHeight="1" x14ac:dyDescent="0.3">
      <c r="A122" s="16"/>
      <c r="B122" s="55">
        <v>8</v>
      </c>
      <c r="C122" s="71" t="s">
        <v>116</v>
      </c>
      <c r="D122" s="55">
        <v>3</v>
      </c>
      <c r="E122" s="55" t="s">
        <v>20</v>
      </c>
      <c r="F122" s="18" t="s">
        <v>21</v>
      </c>
      <c r="G122" s="18" t="s">
        <v>21</v>
      </c>
      <c r="H122" s="18" t="s">
        <v>21</v>
      </c>
      <c r="I122" s="18" t="s">
        <v>21</v>
      </c>
      <c r="J122" s="69" t="s">
        <v>20</v>
      </c>
      <c r="K122" s="69" t="s">
        <v>20</v>
      </c>
      <c r="L122" s="69" t="s">
        <v>21</v>
      </c>
      <c r="M122" s="18" t="s">
        <v>20</v>
      </c>
      <c r="N122" s="18" t="s">
        <v>20</v>
      </c>
      <c r="O122" s="18" t="s">
        <v>21</v>
      </c>
      <c r="P122" s="18" t="s">
        <v>21</v>
      </c>
      <c r="Q122" s="18" t="s">
        <v>21</v>
      </c>
      <c r="R122" s="18" t="s">
        <v>21</v>
      </c>
      <c r="S122" s="18" t="s">
        <v>20</v>
      </c>
      <c r="T122" s="18" t="s">
        <v>20</v>
      </c>
      <c r="U122" s="18" t="s">
        <v>20</v>
      </c>
      <c r="V122" s="37" t="s">
        <v>20</v>
      </c>
      <c r="W122" s="37" t="s">
        <v>20</v>
      </c>
      <c r="X122" s="37" t="s">
        <v>20</v>
      </c>
      <c r="Y122" s="18" t="s">
        <v>21</v>
      </c>
      <c r="Z122" s="18" t="s">
        <v>21</v>
      </c>
      <c r="AA122" s="18" t="s">
        <v>21</v>
      </c>
      <c r="AB122" s="18" t="s">
        <v>21</v>
      </c>
      <c r="AC122" s="18" t="s">
        <v>20</v>
      </c>
      <c r="AD122" s="44" t="s">
        <v>21</v>
      </c>
      <c r="AE122" s="44" t="s">
        <v>21</v>
      </c>
      <c r="AF122">
        <f>+COUNTIF(F122:AE122,"AD")</f>
        <v>0</v>
      </c>
      <c r="AG122">
        <f>+COUNTIF(F122:AE122,"A")</f>
        <v>11</v>
      </c>
      <c r="AH122">
        <f>+COUNTIF(F122:AE122,"b")</f>
        <v>15</v>
      </c>
      <c r="AI122">
        <f>+COUNTIF(F122:AE122,"c")</f>
        <v>0</v>
      </c>
      <c r="AK122">
        <f>+$AF$5*AF122</f>
        <v>0</v>
      </c>
      <c r="AL122">
        <f>+$AG$5*AG122</f>
        <v>33</v>
      </c>
      <c r="AM122">
        <f>+$AH$5*AH122</f>
        <v>30</v>
      </c>
      <c r="AN122">
        <f>+$AI$5*AI122</f>
        <v>0</v>
      </c>
      <c r="AO122">
        <f>+SUM(AK122:AN122)</f>
        <v>63</v>
      </c>
    </row>
    <row r="123" spans="1:41" ht="15.75" customHeight="1" x14ac:dyDescent="0.3">
      <c r="A123" s="16"/>
      <c r="B123" s="55">
        <v>17</v>
      </c>
      <c r="C123" s="71" t="s">
        <v>144</v>
      </c>
      <c r="D123" s="55">
        <v>3</v>
      </c>
      <c r="E123" s="55" t="s">
        <v>21</v>
      </c>
      <c r="F123" s="18" t="s">
        <v>21</v>
      </c>
      <c r="G123" s="18" t="s">
        <v>21</v>
      </c>
      <c r="H123" s="18" t="s">
        <v>21</v>
      </c>
      <c r="I123" s="18" t="s">
        <v>21</v>
      </c>
      <c r="J123" s="18" t="s">
        <v>21</v>
      </c>
      <c r="K123" s="18" t="s">
        <v>21</v>
      </c>
      <c r="L123" s="18" t="s">
        <v>21</v>
      </c>
      <c r="M123" s="18" t="s">
        <v>20</v>
      </c>
      <c r="N123" s="18" t="s">
        <v>20</v>
      </c>
      <c r="O123" s="18" t="s">
        <v>20</v>
      </c>
      <c r="P123" s="18" t="s">
        <v>21</v>
      </c>
      <c r="Q123" s="18" t="s">
        <v>21</v>
      </c>
      <c r="R123" s="18" t="s">
        <v>21</v>
      </c>
      <c r="S123" s="18" t="s">
        <v>20</v>
      </c>
      <c r="T123" s="18" t="s">
        <v>20</v>
      </c>
      <c r="U123" s="18" t="s">
        <v>20</v>
      </c>
      <c r="V123" s="37" t="s">
        <v>21</v>
      </c>
      <c r="W123" s="37" t="s">
        <v>20</v>
      </c>
      <c r="X123" s="37" t="s">
        <v>21</v>
      </c>
      <c r="Y123" s="18" t="s">
        <v>20</v>
      </c>
      <c r="Z123" s="18" t="s">
        <v>20</v>
      </c>
      <c r="AA123" s="18" t="s">
        <v>21</v>
      </c>
      <c r="AB123" s="18" t="s">
        <v>20</v>
      </c>
      <c r="AC123" s="18" t="s">
        <v>21</v>
      </c>
      <c r="AD123" s="29" t="s">
        <v>20</v>
      </c>
      <c r="AE123" s="29" t="s">
        <v>21</v>
      </c>
      <c r="AF123">
        <f>+COUNTIF(F123:AE123,"AD")</f>
        <v>0</v>
      </c>
      <c r="AG123">
        <f>+COUNTIF(F123:AE123,"A")</f>
        <v>11</v>
      </c>
      <c r="AH123">
        <f>+COUNTIF(F123:AE123,"b")</f>
        <v>15</v>
      </c>
      <c r="AI123">
        <f>+COUNTIF(F123:AE123,"c")</f>
        <v>0</v>
      </c>
      <c r="AK123">
        <f>+$AF$5*AF123</f>
        <v>0</v>
      </c>
      <c r="AL123">
        <f>+$AG$5*AG123</f>
        <v>33</v>
      </c>
      <c r="AM123">
        <f>+$AH$5*AH123</f>
        <v>30</v>
      </c>
      <c r="AN123">
        <f>+$AI$5*AI123</f>
        <v>0</v>
      </c>
      <c r="AO123">
        <f>+SUM(AK123:AN123)</f>
        <v>63</v>
      </c>
    </row>
    <row r="124" spans="1:41" ht="15.75" customHeight="1" x14ac:dyDescent="0.3">
      <c r="A124" s="16"/>
      <c r="B124" s="55">
        <v>17</v>
      </c>
      <c r="C124" s="71" t="s">
        <v>188</v>
      </c>
      <c r="D124" s="55">
        <v>4</v>
      </c>
      <c r="E124" s="55" t="s">
        <v>21</v>
      </c>
      <c r="F124" s="18" t="s">
        <v>21</v>
      </c>
      <c r="G124" s="18" t="s">
        <v>21</v>
      </c>
      <c r="H124" s="18" t="s">
        <v>21</v>
      </c>
      <c r="I124" s="18" t="s">
        <v>21</v>
      </c>
      <c r="J124" s="69" t="s">
        <v>20</v>
      </c>
      <c r="K124" s="69" t="s">
        <v>20</v>
      </c>
      <c r="L124" s="69" t="s">
        <v>21</v>
      </c>
      <c r="M124" s="18" t="s">
        <v>21</v>
      </c>
      <c r="N124" s="18" t="s">
        <v>20</v>
      </c>
      <c r="O124" s="18" t="s">
        <v>21</v>
      </c>
      <c r="P124" s="18" t="s">
        <v>21</v>
      </c>
      <c r="Q124" s="18" t="s">
        <v>21</v>
      </c>
      <c r="R124" s="18" t="s">
        <v>21</v>
      </c>
      <c r="S124" s="18" t="s">
        <v>23</v>
      </c>
      <c r="T124" s="18" t="s">
        <v>21</v>
      </c>
      <c r="U124" s="18" t="s">
        <v>20</v>
      </c>
      <c r="V124" s="49" t="s">
        <v>20</v>
      </c>
      <c r="W124" s="37" t="s">
        <v>20</v>
      </c>
      <c r="X124" s="37" t="s">
        <v>20</v>
      </c>
      <c r="Y124" s="18" t="s">
        <v>20</v>
      </c>
      <c r="Z124" s="18" t="s">
        <v>20</v>
      </c>
      <c r="AA124" s="18" t="s">
        <v>20</v>
      </c>
      <c r="AB124" s="18" t="s">
        <v>20</v>
      </c>
      <c r="AC124" s="18" t="s">
        <v>20</v>
      </c>
      <c r="AD124" s="29" t="s">
        <v>21</v>
      </c>
      <c r="AE124" s="29" t="s">
        <v>21</v>
      </c>
      <c r="AF124">
        <f>+COUNTIF(F124:AE124,"AD")</f>
        <v>0</v>
      </c>
      <c r="AG124">
        <f>+COUNTIF(F124:AE124,"A")</f>
        <v>12</v>
      </c>
      <c r="AH124">
        <f>+COUNTIF(F124:AE124,"b")</f>
        <v>13</v>
      </c>
      <c r="AI124">
        <f>+COUNTIF(F124:AE124,"c")</f>
        <v>1</v>
      </c>
      <c r="AK124">
        <f>+$AF$5*AF124</f>
        <v>0</v>
      </c>
      <c r="AL124">
        <f>+$AG$5*AG124</f>
        <v>36</v>
      </c>
      <c r="AM124">
        <f>+$AH$5*AH124</f>
        <v>26</v>
      </c>
      <c r="AN124">
        <f>+$AI$5*AI124</f>
        <v>1</v>
      </c>
      <c r="AO124">
        <f>+SUM(AK124:AN124)</f>
        <v>63</v>
      </c>
    </row>
    <row r="125" spans="1:41" ht="15.75" customHeight="1" x14ac:dyDescent="0.3">
      <c r="A125" s="16"/>
      <c r="B125" s="55">
        <v>7</v>
      </c>
      <c r="C125" s="71" t="s">
        <v>203</v>
      </c>
      <c r="D125" s="55">
        <v>5</v>
      </c>
      <c r="E125" s="55" t="s">
        <v>20</v>
      </c>
      <c r="F125" s="18" t="s">
        <v>23</v>
      </c>
      <c r="G125" s="18" t="s">
        <v>21</v>
      </c>
      <c r="H125" s="18" t="s">
        <v>23</v>
      </c>
      <c r="I125" s="18" t="s">
        <v>21</v>
      </c>
      <c r="J125" s="69" t="s">
        <v>20</v>
      </c>
      <c r="K125" s="69" t="s">
        <v>20</v>
      </c>
      <c r="L125" s="69" t="s">
        <v>21</v>
      </c>
      <c r="M125" s="18" t="s">
        <v>21</v>
      </c>
      <c r="N125" s="18" t="s">
        <v>20</v>
      </c>
      <c r="O125" s="18" t="s">
        <v>20</v>
      </c>
      <c r="P125" s="18" t="s">
        <v>21</v>
      </c>
      <c r="Q125" s="18" t="s">
        <v>20</v>
      </c>
      <c r="R125" s="18" t="s">
        <v>20</v>
      </c>
      <c r="S125" s="18" t="s">
        <v>21</v>
      </c>
      <c r="T125" s="18" t="s">
        <v>21</v>
      </c>
      <c r="U125" s="18" t="s">
        <v>20</v>
      </c>
      <c r="V125" s="49" t="s">
        <v>20</v>
      </c>
      <c r="W125" s="37" t="s">
        <v>20</v>
      </c>
      <c r="X125" s="37" t="s">
        <v>20</v>
      </c>
      <c r="Y125" s="18" t="s">
        <v>20</v>
      </c>
      <c r="Z125" s="18" t="s">
        <v>21</v>
      </c>
      <c r="AA125" s="18" t="s">
        <v>21</v>
      </c>
      <c r="AB125" s="18" t="s">
        <v>20</v>
      </c>
      <c r="AC125" s="18" t="s">
        <v>21</v>
      </c>
      <c r="AD125" s="29" t="s">
        <v>20</v>
      </c>
      <c r="AE125" s="29" t="s">
        <v>21</v>
      </c>
      <c r="AF125">
        <f>+COUNTIF(F125:AE125,"AD")</f>
        <v>0</v>
      </c>
      <c r="AG125">
        <f>+COUNTIF(F125:AE125,"A")</f>
        <v>13</v>
      </c>
      <c r="AH125">
        <f>+COUNTIF(F125:AE125,"b")</f>
        <v>11</v>
      </c>
      <c r="AI125">
        <f>+COUNTIF(F125:AE125,"c")</f>
        <v>2</v>
      </c>
      <c r="AK125">
        <f>+$AF$5*AF125</f>
        <v>0</v>
      </c>
      <c r="AL125">
        <f>+$AG$5*AG125</f>
        <v>39</v>
      </c>
      <c r="AM125">
        <f>+$AH$5*AH125</f>
        <v>22</v>
      </c>
      <c r="AN125">
        <f>+$AI$5*AI125</f>
        <v>2</v>
      </c>
      <c r="AO125">
        <f>+SUM(AK125:AN125)</f>
        <v>63</v>
      </c>
    </row>
    <row r="126" spans="1:41" ht="15.75" customHeight="1" x14ac:dyDescent="0.3">
      <c r="A126" s="16"/>
      <c r="B126" s="55">
        <v>15</v>
      </c>
      <c r="C126" s="71" t="s">
        <v>211</v>
      </c>
      <c r="D126" s="55">
        <v>5</v>
      </c>
      <c r="E126" s="55" t="s">
        <v>20</v>
      </c>
      <c r="F126" s="18" t="s">
        <v>21</v>
      </c>
      <c r="G126" s="18" t="s">
        <v>21</v>
      </c>
      <c r="H126" s="18" t="s">
        <v>21</v>
      </c>
      <c r="I126" s="18" t="s">
        <v>21</v>
      </c>
      <c r="J126" s="69" t="s">
        <v>20</v>
      </c>
      <c r="K126" s="69" t="s">
        <v>20</v>
      </c>
      <c r="L126" s="69" t="s">
        <v>21</v>
      </c>
      <c r="M126" s="18" t="s">
        <v>20</v>
      </c>
      <c r="N126" s="18" t="s">
        <v>21</v>
      </c>
      <c r="O126" s="18" t="s">
        <v>20</v>
      </c>
      <c r="P126" s="18" t="s">
        <v>20</v>
      </c>
      <c r="Q126" s="18" t="s">
        <v>21</v>
      </c>
      <c r="R126" s="18" t="s">
        <v>21</v>
      </c>
      <c r="S126" s="18" t="s">
        <v>21</v>
      </c>
      <c r="T126" s="18" t="s">
        <v>21</v>
      </c>
      <c r="U126" s="18" t="s">
        <v>20</v>
      </c>
      <c r="V126" s="37" t="s">
        <v>20</v>
      </c>
      <c r="W126" s="37" t="s">
        <v>20</v>
      </c>
      <c r="X126" s="37" t="s">
        <v>20</v>
      </c>
      <c r="Y126" s="18" t="s">
        <v>21</v>
      </c>
      <c r="Z126" s="18" t="s">
        <v>21</v>
      </c>
      <c r="AA126" s="18" t="s">
        <v>21</v>
      </c>
      <c r="AB126" s="18" t="s">
        <v>21</v>
      </c>
      <c r="AC126" s="18" t="s">
        <v>20</v>
      </c>
      <c r="AD126" s="18" t="s">
        <v>20</v>
      </c>
      <c r="AE126" s="18" t="s">
        <v>21</v>
      </c>
      <c r="AF126">
        <f>+COUNTIF(F126:AE126,"AD")</f>
        <v>0</v>
      </c>
      <c r="AG126">
        <f>+COUNTIF(F126:AE126,"A")</f>
        <v>11</v>
      </c>
      <c r="AH126">
        <f>+COUNTIF(F126:AE126,"b")</f>
        <v>15</v>
      </c>
      <c r="AI126">
        <f>+COUNTIF(F126:AE126,"c")</f>
        <v>0</v>
      </c>
      <c r="AK126">
        <f>+$AF$5*AF126</f>
        <v>0</v>
      </c>
      <c r="AL126">
        <f>+$AG$5*AG126</f>
        <v>33</v>
      </c>
      <c r="AM126">
        <f>+$AH$5*AH126</f>
        <v>30</v>
      </c>
      <c r="AN126">
        <f>+$AI$5*AI126</f>
        <v>0</v>
      </c>
      <c r="AO126">
        <f>+SUM(AK126:AN126)</f>
        <v>63</v>
      </c>
    </row>
    <row r="127" spans="1:41" ht="15.75" customHeight="1" x14ac:dyDescent="0.3">
      <c r="A127" s="16"/>
      <c r="B127" s="55">
        <v>26</v>
      </c>
      <c r="C127" s="71" t="s">
        <v>222</v>
      </c>
      <c r="D127" s="55">
        <v>5</v>
      </c>
      <c r="E127" s="55" t="s">
        <v>20</v>
      </c>
      <c r="F127" s="18" t="s">
        <v>21</v>
      </c>
      <c r="G127" s="18" t="s">
        <v>21</v>
      </c>
      <c r="H127" s="18" t="s">
        <v>21</v>
      </c>
      <c r="I127" s="18" t="s">
        <v>21</v>
      </c>
      <c r="J127" s="69" t="s">
        <v>21</v>
      </c>
      <c r="K127" s="69" t="s">
        <v>21</v>
      </c>
      <c r="L127" s="69" t="s">
        <v>21</v>
      </c>
      <c r="M127" s="18" t="s">
        <v>20</v>
      </c>
      <c r="N127" s="18" t="s">
        <v>20</v>
      </c>
      <c r="O127" s="18" t="s">
        <v>20</v>
      </c>
      <c r="P127" s="18" t="s">
        <v>20</v>
      </c>
      <c r="Q127" s="18" t="s">
        <v>21</v>
      </c>
      <c r="R127" s="18" t="s">
        <v>23</v>
      </c>
      <c r="S127" s="18" t="s">
        <v>21</v>
      </c>
      <c r="T127" s="18" t="s">
        <v>21</v>
      </c>
      <c r="U127" s="18" t="s">
        <v>20</v>
      </c>
      <c r="V127" s="37" t="s">
        <v>20</v>
      </c>
      <c r="W127" s="37" t="s">
        <v>20</v>
      </c>
      <c r="X127" s="37" t="s">
        <v>20</v>
      </c>
      <c r="Y127" s="18" t="s">
        <v>20</v>
      </c>
      <c r="Z127" s="18" t="s">
        <v>20</v>
      </c>
      <c r="AA127" s="18" t="s">
        <v>21</v>
      </c>
      <c r="AB127" s="18" t="s">
        <v>21</v>
      </c>
      <c r="AC127" s="18" t="s">
        <v>20</v>
      </c>
      <c r="AD127" s="40" t="s">
        <v>20</v>
      </c>
      <c r="AE127" s="40" t="s">
        <v>21</v>
      </c>
      <c r="AF127">
        <f>+COUNTIF(F127:AE127,"AD")</f>
        <v>0</v>
      </c>
      <c r="AG127">
        <f>+COUNTIF(F127:AE127,"A")</f>
        <v>12</v>
      </c>
      <c r="AH127">
        <f>+COUNTIF(F127:AE127,"b")</f>
        <v>13</v>
      </c>
      <c r="AI127">
        <f>+COUNTIF(F127:AE127,"c")</f>
        <v>1</v>
      </c>
      <c r="AK127">
        <f>+$AF$5*AF127</f>
        <v>0</v>
      </c>
      <c r="AL127">
        <f>+$AG$5*AG127</f>
        <v>36</v>
      </c>
      <c r="AM127">
        <f>+$AH$5*AH127</f>
        <v>26</v>
      </c>
      <c r="AN127">
        <f>+$AI$5*AI127</f>
        <v>1</v>
      </c>
      <c r="AO127">
        <f>+SUM(AK127:AN127)</f>
        <v>63</v>
      </c>
    </row>
    <row r="128" spans="1:41" ht="15.75" customHeight="1" x14ac:dyDescent="0.3">
      <c r="A128" s="16"/>
      <c r="B128" s="55">
        <v>13</v>
      </c>
      <c r="C128" s="71" t="s">
        <v>237</v>
      </c>
      <c r="D128" s="55">
        <v>5</v>
      </c>
      <c r="E128" s="55" t="s">
        <v>21</v>
      </c>
      <c r="F128" s="18" t="s">
        <v>21</v>
      </c>
      <c r="G128" s="18" t="s">
        <v>21</v>
      </c>
      <c r="H128" s="18" t="s">
        <v>21</v>
      </c>
      <c r="I128" s="18" t="s">
        <v>21</v>
      </c>
      <c r="J128" s="18" t="s">
        <v>20</v>
      </c>
      <c r="K128" s="18" t="s">
        <v>20</v>
      </c>
      <c r="L128" s="18" t="s">
        <v>20</v>
      </c>
      <c r="M128" s="18" t="s">
        <v>20</v>
      </c>
      <c r="N128" s="18" t="s">
        <v>21</v>
      </c>
      <c r="O128" s="18" t="s">
        <v>20</v>
      </c>
      <c r="P128" s="18" t="s">
        <v>23</v>
      </c>
      <c r="Q128" s="18" t="s">
        <v>21</v>
      </c>
      <c r="R128" s="18" t="s">
        <v>21</v>
      </c>
      <c r="S128" s="18" t="s">
        <v>20</v>
      </c>
      <c r="T128" s="18" t="s">
        <v>21</v>
      </c>
      <c r="U128" s="18" t="s">
        <v>21</v>
      </c>
      <c r="V128" s="37" t="s">
        <v>20</v>
      </c>
      <c r="W128" s="37" t="s">
        <v>20</v>
      </c>
      <c r="X128" s="37" t="s">
        <v>20</v>
      </c>
      <c r="Y128" s="18" t="s">
        <v>20</v>
      </c>
      <c r="Z128" s="18" t="s">
        <v>20</v>
      </c>
      <c r="AA128" s="18" t="s">
        <v>21</v>
      </c>
      <c r="AB128" s="18" t="s">
        <v>20</v>
      </c>
      <c r="AC128" s="18" t="s">
        <v>21</v>
      </c>
      <c r="AD128" s="29" t="s">
        <v>21</v>
      </c>
      <c r="AE128" s="29" t="s">
        <v>21</v>
      </c>
      <c r="AF128">
        <f>+COUNTIF(F128:AE128,"AD")</f>
        <v>0</v>
      </c>
      <c r="AG128">
        <f>+COUNTIF(F128:AE128,"A")</f>
        <v>12</v>
      </c>
      <c r="AH128">
        <f>+COUNTIF(F128:AE128,"b")</f>
        <v>13</v>
      </c>
      <c r="AI128">
        <f>+COUNTIF(F128:AE128,"c")</f>
        <v>1</v>
      </c>
      <c r="AK128">
        <f>+$AF$5*AF128</f>
        <v>0</v>
      </c>
      <c r="AL128">
        <f>+$AG$5*AG128</f>
        <v>36</v>
      </c>
      <c r="AM128">
        <f>+$AH$5*AH128</f>
        <v>26</v>
      </c>
      <c r="AN128">
        <f>+$AI$5*AI128</f>
        <v>1</v>
      </c>
      <c r="AO128">
        <f>+SUM(AK128:AN128)</f>
        <v>63</v>
      </c>
    </row>
    <row r="129" spans="1:41" ht="15.75" customHeight="1" x14ac:dyDescent="0.3">
      <c r="A129" s="16"/>
      <c r="B129" s="55">
        <v>20</v>
      </c>
      <c r="C129" s="71" t="s">
        <v>61</v>
      </c>
      <c r="D129" s="55">
        <v>1</v>
      </c>
      <c r="E129" s="55" t="s">
        <v>21</v>
      </c>
      <c r="F129" s="18" t="s">
        <v>20</v>
      </c>
      <c r="G129" s="18" t="s">
        <v>21</v>
      </c>
      <c r="H129" s="18" t="s">
        <v>20</v>
      </c>
      <c r="I129" s="18" t="s">
        <v>21</v>
      </c>
      <c r="J129" s="18" t="s">
        <v>21</v>
      </c>
      <c r="K129" s="18" t="s">
        <v>21</v>
      </c>
      <c r="L129" s="18" t="s">
        <v>21</v>
      </c>
      <c r="M129" s="18" t="s">
        <v>20</v>
      </c>
      <c r="N129" s="18" t="s">
        <v>20</v>
      </c>
      <c r="O129" s="18" t="s">
        <v>20</v>
      </c>
      <c r="P129" s="18" t="s">
        <v>21</v>
      </c>
      <c r="Q129" s="18" t="s">
        <v>21</v>
      </c>
      <c r="R129" s="18" t="s">
        <v>21</v>
      </c>
      <c r="S129" s="18" t="s">
        <v>23</v>
      </c>
      <c r="T129" s="18" t="s">
        <v>21</v>
      </c>
      <c r="U129" s="18" t="s">
        <v>21</v>
      </c>
      <c r="V129" s="18" t="s">
        <v>20</v>
      </c>
      <c r="W129" s="18" t="s">
        <v>20</v>
      </c>
      <c r="X129" s="18" t="s">
        <v>20</v>
      </c>
      <c r="Y129" s="19" t="s">
        <v>21</v>
      </c>
      <c r="Z129" s="18" t="s">
        <v>20</v>
      </c>
      <c r="AA129" s="72" t="s">
        <v>20</v>
      </c>
      <c r="AB129" s="72" t="s">
        <v>20</v>
      </c>
      <c r="AC129" s="18" t="s">
        <v>21</v>
      </c>
      <c r="AD129" s="29" t="s">
        <v>21</v>
      </c>
      <c r="AE129" s="29" t="s">
        <v>21</v>
      </c>
      <c r="AF129">
        <f>+COUNTIF(F129:AE129,"AD")</f>
        <v>0</v>
      </c>
      <c r="AG129">
        <f>+COUNTIF(F129:AE129,"A")</f>
        <v>11</v>
      </c>
      <c r="AH129">
        <f>+COUNTIF(F129:AE129,"b")</f>
        <v>14</v>
      </c>
      <c r="AI129">
        <f>+COUNTIF(F129:AE129,"c")</f>
        <v>1</v>
      </c>
      <c r="AK129">
        <f>+$AF$5*AF129</f>
        <v>0</v>
      </c>
      <c r="AL129">
        <f>+$AG$5*AG129</f>
        <v>33</v>
      </c>
      <c r="AM129">
        <f>+$AH$5*AH129</f>
        <v>28</v>
      </c>
      <c r="AN129">
        <f>+$AI$5*AI129</f>
        <v>1</v>
      </c>
      <c r="AO129">
        <f>+SUM(AK129:AN129)</f>
        <v>62</v>
      </c>
    </row>
    <row r="130" spans="1:41" ht="15.75" customHeight="1" x14ac:dyDescent="0.3">
      <c r="A130" s="16"/>
      <c r="B130" s="55">
        <v>16</v>
      </c>
      <c r="C130" s="71" t="s">
        <v>77</v>
      </c>
      <c r="D130" s="55">
        <v>2</v>
      </c>
      <c r="E130" s="55" t="s">
        <v>20</v>
      </c>
      <c r="F130" s="18" t="s">
        <v>21</v>
      </c>
      <c r="G130" s="18" t="s">
        <v>21</v>
      </c>
      <c r="H130" s="18" t="s">
        <v>21</v>
      </c>
      <c r="I130" s="18" t="s">
        <v>21</v>
      </c>
      <c r="J130" s="18" t="s">
        <v>21</v>
      </c>
      <c r="K130" s="18" t="s">
        <v>21</v>
      </c>
      <c r="L130" s="18" t="s">
        <v>21</v>
      </c>
      <c r="M130" s="18" t="s">
        <v>20</v>
      </c>
      <c r="N130" s="18" t="s">
        <v>20</v>
      </c>
      <c r="O130" s="18" t="s">
        <v>20</v>
      </c>
      <c r="P130" s="18" t="s">
        <v>21</v>
      </c>
      <c r="Q130" s="18" t="s">
        <v>21</v>
      </c>
      <c r="R130" s="18" t="s">
        <v>21</v>
      </c>
      <c r="S130" s="18" t="s">
        <v>20</v>
      </c>
      <c r="T130" s="18" t="s">
        <v>20</v>
      </c>
      <c r="U130" s="18" t="s">
        <v>21</v>
      </c>
      <c r="V130" s="37" t="s">
        <v>20</v>
      </c>
      <c r="W130" s="37" t="s">
        <v>20</v>
      </c>
      <c r="X130" s="37" t="s">
        <v>20</v>
      </c>
      <c r="Y130" s="18" t="s">
        <v>20</v>
      </c>
      <c r="Z130" s="18" t="s">
        <v>20</v>
      </c>
      <c r="AA130" s="18" t="s">
        <v>21</v>
      </c>
      <c r="AB130" s="18" t="s">
        <v>21</v>
      </c>
      <c r="AC130" s="18" t="s">
        <v>21</v>
      </c>
      <c r="AD130" s="29" t="s">
        <v>21</v>
      </c>
      <c r="AE130" s="29" t="s">
        <v>21</v>
      </c>
      <c r="AF130">
        <f>+COUNTIF(F130:AE130,"AD")</f>
        <v>0</v>
      </c>
      <c r="AG130">
        <f>+COUNTIF(F130:AE130,"A")</f>
        <v>10</v>
      </c>
      <c r="AH130">
        <f>+COUNTIF(F130:AE130,"b")</f>
        <v>16</v>
      </c>
      <c r="AI130">
        <f>+COUNTIF(F130:AE130,"c")</f>
        <v>0</v>
      </c>
      <c r="AK130">
        <f>+$AF$5*AF130</f>
        <v>0</v>
      </c>
      <c r="AL130">
        <f>+$AG$5*AG130</f>
        <v>30</v>
      </c>
      <c r="AM130">
        <f>+$AH$5*AH130</f>
        <v>32</v>
      </c>
      <c r="AN130">
        <f>+$AI$5*AI130</f>
        <v>0</v>
      </c>
      <c r="AO130">
        <f>+SUM(AK130:AN130)</f>
        <v>62</v>
      </c>
    </row>
    <row r="131" spans="1:41" ht="15.75" customHeight="1" x14ac:dyDescent="0.3">
      <c r="A131" s="16"/>
      <c r="B131" s="55">
        <v>3</v>
      </c>
      <c r="C131" s="71" t="s">
        <v>88</v>
      </c>
      <c r="D131" s="55">
        <v>2</v>
      </c>
      <c r="E131" s="55" t="s">
        <v>21</v>
      </c>
      <c r="F131" s="18" t="s">
        <v>20</v>
      </c>
      <c r="G131" s="18" t="s">
        <v>21</v>
      </c>
      <c r="H131" s="18" t="s">
        <v>20</v>
      </c>
      <c r="I131" s="18" t="s">
        <v>21</v>
      </c>
      <c r="J131" s="18" t="s">
        <v>20</v>
      </c>
      <c r="K131" s="18" t="s">
        <v>20</v>
      </c>
      <c r="L131" s="18" t="s">
        <v>20</v>
      </c>
      <c r="M131" s="18" t="s">
        <v>23</v>
      </c>
      <c r="N131" s="18" t="s">
        <v>21</v>
      </c>
      <c r="O131" s="18" t="s">
        <v>20</v>
      </c>
      <c r="P131" s="18" t="s">
        <v>21</v>
      </c>
      <c r="Q131" s="18" t="s">
        <v>21</v>
      </c>
      <c r="R131" s="18" t="s">
        <v>21</v>
      </c>
      <c r="S131" s="18" t="s">
        <v>20</v>
      </c>
      <c r="T131" s="18" t="s">
        <v>20</v>
      </c>
      <c r="U131" s="18" t="s">
        <v>20</v>
      </c>
      <c r="V131" s="37" t="s">
        <v>21</v>
      </c>
      <c r="W131" s="37" t="s">
        <v>21</v>
      </c>
      <c r="X131" s="37" t="s">
        <v>21</v>
      </c>
      <c r="Y131" s="18" t="s">
        <v>21</v>
      </c>
      <c r="Z131" s="18" t="s">
        <v>21</v>
      </c>
      <c r="AA131" s="18" t="s">
        <v>20</v>
      </c>
      <c r="AB131" s="18" t="s">
        <v>20</v>
      </c>
      <c r="AC131" s="18" t="s">
        <v>20</v>
      </c>
      <c r="AD131" s="18" t="s">
        <v>23</v>
      </c>
      <c r="AE131" s="18" t="s">
        <v>21</v>
      </c>
      <c r="AF131">
        <f>+COUNTIF(F131:AE131,"AD")</f>
        <v>0</v>
      </c>
      <c r="AG131">
        <f>+COUNTIF(F131:AE131,"A")</f>
        <v>12</v>
      </c>
      <c r="AH131">
        <f>+COUNTIF(F131:AE131,"b")</f>
        <v>12</v>
      </c>
      <c r="AI131">
        <f>+COUNTIF(F131:AE131,"c")</f>
        <v>2</v>
      </c>
      <c r="AK131">
        <f>+$AF$5*AF131</f>
        <v>0</v>
      </c>
      <c r="AL131">
        <f>+$AG$5*AG131</f>
        <v>36</v>
      </c>
      <c r="AM131">
        <f>+$AH$5*AH131</f>
        <v>24</v>
      </c>
      <c r="AN131">
        <f>+$AI$5*AI131</f>
        <v>2</v>
      </c>
      <c r="AO131">
        <f>+SUM(AK131:AN131)</f>
        <v>62</v>
      </c>
    </row>
    <row r="132" spans="1:41" ht="15.75" customHeight="1" x14ac:dyDescent="0.3">
      <c r="A132" s="16"/>
      <c r="B132" s="55">
        <v>12</v>
      </c>
      <c r="C132" s="71" t="s">
        <v>97</v>
      </c>
      <c r="D132" s="55">
        <v>2</v>
      </c>
      <c r="E132" s="55" t="s">
        <v>21</v>
      </c>
      <c r="F132" s="18" t="s">
        <v>20</v>
      </c>
      <c r="G132" s="18" t="s">
        <v>21</v>
      </c>
      <c r="H132" s="18" t="s">
        <v>21</v>
      </c>
      <c r="I132" s="18" t="s">
        <v>21</v>
      </c>
      <c r="J132" s="18" t="s">
        <v>21</v>
      </c>
      <c r="K132" s="18" t="s">
        <v>21</v>
      </c>
      <c r="L132" s="18" t="s">
        <v>21</v>
      </c>
      <c r="M132" s="18" t="s">
        <v>20</v>
      </c>
      <c r="N132" s="18" t="s">
        <v>20</v>
      </c>
      <c r="O132" s="18" t="s">
        <v>20</v>
      </c>
      <c r="P132" s="18" t="s">
        <v>21</v>
      </c>
      <c r="Q132" s="18" t="s">
        <v>21</v>
      </c>
      <c r="R132" s="18" t="s">
        <v>21</v>
      </c>
      <c r="S132" s="18" t="s">
        <v>20</v>
      </c>
      <c r="T132" s="18" t="s">
        <v>20</v>
      </c>
      <c r="U132" s="18" t="s">
        <v>21</v>
      </c>
      <c r="V132" s="37" t="s">
        <v>21</v>
      </c>
      <c r="W132" s="37" t="s">
        <v>20</v>
      </c>
      <c r="X132" s="37" t="s">
        <v>20</v>
      </c>
      <c r="Y132" s="18" t="s">
        <v>20</v>
      </c>
      <c r="Z132" s="18" t="s">
        <v>20</v>
      </c>
      <c r="AA132" s="18" t="s">
        <v>23</v>
      </c>
      <c r="AB132" s="18" t="s">
        <v>21</v>
      </c>
      <c r="AC132" s="18" t="s">
        <v>21</v>
      </c>
      <c r="AD132" s="18" t="s">
        <v>20</v>
      </c>
      <c r="AE132" s="18" t="s">
        <v>21</v>
      </c>
      <c r="AF132">
        <f>+COUNTIF(F132:AE132,"AD")</f>
        <v>0</v>
      </c>
      <c r="AG132">
        <f>+COUNTIF(F132:AE132,"A")</f>
        <v>11</v>
      </c>
      <c r="AH132">
        <f>+COUNTIF(F132:AE132,"b")</f>
        <v>14</v>
      </c>
      <c r="AI132">
        <f>+COUNTIF(F132:AE132,"c")</f>
        <v>1</v>
      </c>
      <c r="AK132">
        <f>+$AF$5*AF132</f>
        <v>0</v>
      </c>
      <c r="AL132">
        <f>+$AG$5*AG132</f>
        <v>33</v>
      </c>
      <c r="AM132">
        <f>+$AH$5*AH132</f>
        <v>28</v>
      </c>
      <c r="AN132">
        <f>+$AI$5*AI132</f>
        <v>1</v>
      </c>
      <c r="AO132">
        <f>+SUM(AK132:AN132)</f>
        <v>62</v>
      </c>
    </row>
    <row r="133" spans="1:41" ht="15.75" customHeight="1" x14ac:dyDescent="0.3">
      <c r="A133" s="16"/>
      <c r="B133" s="55">
        <v>14</v>
      </c>
      <c r="C133" s="71" t="s">
        <v>141</v>
      </c>
      <c r="D133" s="55">
        <v>3</v>
      </c>
      <c r="E133" s="55" t="s">
        <v>21</v>
      </c>
      <c r="F133" s="18" t="s">
        <v>21</v>
      </c>
      <c r="G133" s="18" t="s">
        <v>21</v>
      </c>
      <c r="H133" s="18" t="s">
        <v>20</v>
      </c>
      <c r="I133" s="18" t="s">
        <v>20</v>
      </c>
      <c r="J133" s="18" t="s">
        <v>20</v>
      </c>
      <c r="K133" s="18" t="s">
        <v>20</v>
      </c>
      <c r="L133" s="18" t="s">
        <v>21</v>
      </c>
      <c r="M133" s="18" t="s">
        <v>20</v>
      </c>
      <c r="N133" s="18" t="s">
        <v>20</v>
      </c>
      <c r="O133" s="18" t="s">
        <v>20</v>
      </c>
      <c r="P133" s="18" t="s">
        <v>23</v>
      </c>
      <c r="Q133" s="18" t="s">
        <v>21</v>
      </c>
      <c r="R133" s="18" t="s">
        <v>21</v>
      </c>
      <c r="S133" s="18" t="s">
        <v>20</v>
      </c>
      <c r="T133" s="18" t="s">
        <v>20</v>
      </c>
      <c r="U133" s="18" t="s">
        <v>21</v>
      </c>
      <c r="V133" s="37" t="s">
        <v>21</v>
      </c>
      <c r="W133" s="37" t="s">
        <v>20</v>
      </c>
      <c r="X133" s="37" t="s">
        <v>21</v>
      </c>
      <c r="Y133" s="18" t="s">
        <v>21</v>
      </c>
      <c r="Z133" s="18" t="s">
        <v>21</v>
      </c>
      <c r="AA133" s="18" t="s">
        <v>21</v>
      </c>
      <c r="AB133" s="18" t="s">
        <v>21</v>
      </c>
      <c r="AC133" s="18" t="s">
        <v>20</v>
      </c>
      <c r="AD133" s="29" t="s">
        <v>21</v>
      </c>
      <c r="AE133" s="29" t="s">
        <v>21</v>
      </c>
      <c r="AF133">
        <f>+COUNTIF(F133:AE133,"AD")</f>
        <v>0</v>
      </c>
      <c r="AG133">
        <f>+COUNTIF(F133:AE133,"A")</f>
        <v>11</v>
      </c>
      <c r="AH133">
        <f>+COUNTIF(F133:AE133,"b")</f>
        <v>14</v>
      </c>
      <c r="AI133">
        <f>+COUNTIF(F133:AE133,"c")</f>
        <v>1</v>
      </c>
      <c r="AK133">
        <f>+$AF$5*AF133</f>
        <v>0</v>
      </c>
      <c r="AL133">
        <f>+$AG$5*AG133</f>
        <v>33</v>
      </c>
      <c r="AM133">
        <f>+$AH$5*AH133</f>
        <v>28</v>
      </c>
      <c r="AN133">
        <f>+$AI$5*AI133</f>
        <v>1</v>
      </c>
      <c r="AO133">
        <f>+SUM(AK133:AN133)</f>
        <v>62</v>
      </c>
    </row>
    <row r="134" spans="1:41" ht="15.75" customHeight="1" x14ac:dyDescent="0.3">
      <c r="A134" s="16"/>
      <c r="B134" s="55">
        <v>21</v>
      </c>
      <c r="C134" s="71" t="s">
        <v>148</v>
      </c>
      <c r="D134" s="55">
        <v>3</v>
      </c>
      <c r="E134" s="55" t="s">
        <v>21</v>
      </c>
      <c r="F134" s="18" t="s">
        <v>20</v>
      </c>
      <c r="G134" s="18" t="s">
        <v>20</v>
      </c>
      <c r="H134" s="18" t="s">
        <v>21</v>
      </c>
      <c r="I134" s="18" t="s">
        <v>20</v>
      </c>
      <c r="J134" s="18" t="s">
        <v>20</v>
      </c>
      <c r="K134" s="18" t="s">
        <v>20</v>
      </c>
      <c r="L134" s="18" t="s">
        <v>21</v>
      </c>
      <c r="M134" s="18" t="s">
        <v>21</v>
      </c>
      <c r="N134" s="18" t="s">
        <v>21</v>
      </c>
      <c r="O134" s="18" t="s">
        <v>21</v>
      </c>
      <c r="P134" s="18" t="s">
        <v>21</v>
      </c>
      <c r="Q134" s="18" t="s">
        <v>21</v>
      </c>
      <c r="R134" s="18" t="s">
        <v>21</v>
      </c>
      <c r="S134" s="18" t="s">
        <v>20</v>
      </c>
      <c r="T134" s="18" t="s">
        <v>20</v>
      </c>
      <c r="U134" s="18" t="s">
        <v>21</v>
      </c>
      <c r="V134" s="37" t="s">
        <v>21</v>
      </c>
      <c r="W134" s="37" t="s">
        <v>21</v>
      </c>
      <c r="X134" s="37" t="s">
        <v>21</v>
      </c>
      <c r="Y134" s="18" t="s">
        <v>20</v>
      </c>
      <c r="Z134" s="18" t="s">
        <v>20</v>
      </c>
      <c r="AA134" s="18" t="s">
        <v>21</v>
      </c>
      <c r="AB134" s="18" t="s">
        <v>21</v>
      </c>
      <c r="AC134" s="18" t="s">
        <v>21</v>
      </c>
      <c r="AD134" s="29" t="s">
        <v>20</v>
      </c>
      <c r="AE134" s="29" t="s">
        <v>21</v>
      </c>
      <c r="AF134">
        <f>+COUNTIF(F134:AE134,"AD")</f>
        <v>0</v>
      </c>
      <c r="AG134">
        <f>+COUNTIF(F134:AE134,"A")</f>
        <v>10</v>
      </c>
      <c r="AH134">
        <f>+COUNTIF(F134:AE134,"b")</f>
        <v>16</v>
      </c>
      <c r="AI134">
        <f>+COUNTIF(F134:AE134,"c")</f>
        <v>0</v>
      </c>
      <c r="AK134">
        <f>+$AF$5*AF134</f>
        <v>0</v>
      </c>
      <c r="AL134">
        <f>+$AG$5*AG134</f>
        <v>30</v>
      </c>
      <c r="AM134">
        <f>+$AH$5*AH134</f>
        <v>32</v>
      </c>
      <c r="AN134">
        <f>+$AI$5*AI134</f>
        <v>0</v>
      </c>
      <c r="AO134">
        <f>+SUM(AK134:AN134)</f>
        <v>62</v>
      </c>
    </row>
    <row r="135" spans="1:41" ht="15.75" customHeight="1" x14ac:dyDescent="0.3">
      <c r="A135" s="16"/>
      <c r="B135" s="55">
        <v>20</v>
      </c>
      <c r="C135" s="71" t="s">
        <v>168</v>
      </c>
      <c r="D135" s="55">
        <v>4</v>
      </c>
      <c r="E135" s="55" t="s">
        <v>20</v>
      </c>
      <c r="F135" s="18" t="s">
        <v>21</v>
      </c>
      <c r="G135" s="18" t="s">
        <v>23</v>
      </c>
      <c r="H135" s="18" t="s">
        <v>21</v>
      </c>
      <c r="I135" s="18" t="s">
        <v>21</v>
      </c>
      <c r="J135" s="69" t="s">
        <v>20</v>
      </c>
      <c r="K135" s="69" t="s">
        <v>21</v>
      </c>
      <c r="L135" s="69" t="s">
        <v>21</v>
      </c>
      <c r="M135" s="18" t="s">
        <v>21</v>
      </c>
      <c r="N135" s="18" t="s">
        <v>20</v>
      </c>
      <c r="O135" s="18" t="s">
        <v>21</v>
      </c>
      <c r="P135" s="18" t="s">
        <v>20</v>
      </c>
      <c r="Q135" s="18" t="s">
        <v>21</v>
      </c>
      <c r="R135" s="18" t="s">
        <v>20</v>
      </c>
      <c r="S135" s="18" t="s">
        <v>20</v>
      </c>
      <c r="T135" s="18" t="s">
        <v>20</v>
      </c>
      <c r="U135" s="18" t="s">
        <v>20</v>
      </c>
      <c r="V135" s="37" t="s">
        <v>20</v>
      </c>
      <c r="W135" s="37" t="s">
        <v>20</v>
      </c>
      <c r="X135" s="37" t="s">
        <v>20</v>
      </c>
      <c r="Y135" s="18" t="s">
        <v>21</v>
      </c>
      <c r="Z135" s="18" t="s">
        <v>21</v>
      </c>
      <c r="AA135" s="18" t="s">
        <v>21</v>
      </c>
      <c r="AB135" s="18" t="s">
        <v>21</v>
      </c>
      <c r="AC135" s="18" t="s">
        <v>21</v>
      </c>
      <c r="AD135" s="18" t="s">
        <v>20</v>
      </c>
      <c r="AE135" s="18" t="s">
        <v>21</v>
      </c>
      <c r="AF135">
        <f>+COUNTIF(F135:AE135,"AD")</f>
        <v>0</v>
      </c>
      <c r="AG135">
        <f>+COUNTIF(F135:AE135,"A")</f>
        <v>11</v>
      </c>
      <c r="AH135">
        <f>+COUNTIF(F135:AE135,"b")</f>
        <v>14</v>
      </c>
      <c r="AI135">
        <f>+COUNTIF(F135:AE135,"c")</f>
        <v>1</v>
      </c>
      <c r="AK135">
        <f>+$AF$5*AF135</f>
        <v>0</v>
      </c>
      <c r="AL135">
        <f>+$AG$5*AG135</f>
        <v>33</v>
      </c>
      <c r="AM135">
        <f>+$AH$5*AH135</f>
        <v>28</v>
      </c>
      <c r="AN135">
        <f>+$AI$5*AI135</f>
        <v>1</v>
      </c>
      <c r="AO135">
        <f>+SUM(AK135:AN135)</f>
        <v>62</v>
      </c>
    </row>
    <row r="136" spans="1:41" ht="15.75" customHeight="1" x14ac:dyDescent="0.3">
      <c r="A136" s="16"/>
      <c r="B136" s="55">
        <v>2</v>
      </c>
      <c r="C136" s="71" t="s">
        <v>173</v>
      </c>
      <c r="D136" s="55">
        <v>4</v>
      </c>
      <c r="E136" s="55" t="s">
        <v>21</v>
      </c>
      <c r="F136" s="18" t="s">
        <v>21</v>
      </c>
      <c r="G136" s="18" t="s">
        <v>21</v>
      </c>
      <c r="H136" s="18" t="s">
        <v>21</v>
      </c>
      <c r="I136" s="18" t="s">
        <v>21</v>
      </c>
      <c r="J136" s="69" t="s">
        <v>21</v>
      </c>
      <c r="K136" s="69" t="s">
        <v>21</v>
      </c>
      <c r="L136" s="69" t="s">
        <v>21</v>
      </c>
      <c r="M136" s="18" t="s">
        <v>21</v>
      </c>
      <c r="N136" s="18" t="s">
        <v>20</v>
      </c>
      <c r="O136" s="18" t="s">
        <v>20</v>
      </c>
      <c r="P136" s="18" t="s">
        <v>21</v>
      </c>
      <c r="Q136" s="18" t="s">
        <v>21</v>
      </c>
      <c r="R136" s="18" t="s">
        <v>21</v>
      </c>
      <c r="S136" s="18" t="s">
        <v>20</v>
      </c>
      <c r="T136" s="18" t="s">
        <v>21</v>
      </c>
      <c r="U136" s="18" t="s">
        <v>21</v>
      </c>
      <c r="V136" s="37" t="s">
        <v>21</v>
      </c>
      <c r="W136" s="37" t="s">
        <v>20</v>
      </c>
      <c r="X136" s="37" t="s">
        <v>21</v>
      </c>
      <c r="Y136" s="18" t="s">
        <v>20</v>
      </c>
      <c r="Z136" s="18" t="s">
        <v>20</v>
      </c>
      <c r="AA136" s="18" t="s">
        <v>20</v>
      </c>
      <c r="AB136" s="18" t="s">
        <v>20</v>
      </c>
      <c r="AC136" s="18" t="s">
        <v>20</v>
      </c>
      <c r="AD136" s="18" t="s">
        <v>20</v>
      </c>
      <c r="AE136" s="18" t="s">
        <v>21</v>
      </c>
      <c r="AF136">
        <f>+COUNTIF(F136:AE136,"AD")</f>
        <v>0</v>
      </c>
      <c r="AG136">
        <f>+COUNTIF(F136:AE136,"A")</f>
        <v>10</v>
      </c>
      <c r="AH136">
        <f>+COUNTIF(F136:AE136,"b")</f>
        <v>16</v>
      </c>
      <c r="AI136">
        <f>+COUNTIF(F136:AE136,"c")</f>
        <v>0</v>
      </c>
      <c r="AK136">
        <f>+$AF$5*AF136</f>
        <v>0</v>
      </c>
      <c r="AL136">
        <f>+$AG$5*AG136</f>
        <v>30</v>
      </c>
      <c r="AM136">
        <f>+$AH$5*AH136</f>
        <v>32</v>
      </c>
      <c r="AN136">
        <f>+$AI$5*AI136</f>
        <v>0</v>
      </c>
      <c r="AO136">
        <f>+SUM(AK136:AN136)</f>
        <v>62</v>
      </c>
    </row>
    <row r="137" spans="1:41" ht="15.75" customHeight="1" x14ac:dyDescent="0.3">
      <c r="A137" s="16"/>
      <c r="B137" s="55">
        <v>22</v>
      </c>
      <c r="C137" s="71" t="s">
        <v>218</v>
      </c>
      <c r="D137" s="55">
        <v>5</v>
      </c>
      <c r="E137" s="55" t="s">
        <v>20</v>
      </c>
      <c r="F137" s="18" t="s">
        <v>23</v>
      </c>
      <c r="G137" s="18" t="s">
        <v>23</v>
      </c>
      <c r="H137" s="18" t="s">
        <v>21</v>
      </c>
      <c r="I137" s="18" t="s">
        <v>21</v>
      </c>
      <c r="J137" s="69" t="s">
        <v>20</v>
      </c>
      <c r="K137" s="69" t="s">
        <v>20</v>
      </c>
      <c r="L137" s="69" t="s">
        <v>21</v>
      </c>
      <c r="M137" s="18" t="s">
        <v>20</v>
      </c>
      <c r="N137" s="18" t="s">
        <v>20</v>
      </c>
      <c r="O137" s="18" t="s">
        <v>20</v>
      </c>
      <c r="P137" s="18" t="s">
        <v>21</v>
      </c>
      <c r="Q137" s="18" t="s">
        <v>21</v>
      </c>
      <c r="R137" s="18" t="s">
        <v>21</v>
      </c>
      <c r="S137" s="18" t="s">
        <v>21</v>
      </c>
      <c r="T137" s="18" t="s">
        <v>21</v>
      </c>
      <c r="U137" s="18" t="s">
        <v>20</v>
      </c>
      <c r="V137" s="37" t="s">
        <v>21</v>
      </c>
      <c r="W137" s="37" t="s">
        <v>21</v>
      </c>
      <c r="X137" s="37" t="s">
        <v>21</v>
      </c>
      <c r="Y137" s="18" t="s">
        <v>20</v>
      </c>
      <c r="Z137" s="18" t="s">
        <v>20</v>
      </c>
      <c r="AA137" s="18" t="s">
        <v>20</v>
      </c>
      <c r="AB137" s="18" t="s">
        <v>20</v>
      </c>
      <c r="AC137" s="18" t="s">
        <v>20</v>
      </c>
      <c r="AD137" s="40" t="s">
        <v>20</v>
      </c>
      <c r="AE137" s="40" t="s">
        <v>21</v>
      </c>
      <c r="AF137">
        <f>+COUNTIF(F137:AE137,"AD")</f>
        <v>0</v>
      </c>
      <c r="AG137">
        <f>+COUNTIF(F137:AE137,"A")</f>
        <v>12</v>
      </c>
      <c r="AH137">
        <f>+COUNTIF(F137:AE137,"b")</f>
        <v>12</v>
      </c>
      <c r="AI137">
        <f>+COUNTIF(F137:AE137,"c")</f>
        <v>2</v>
      </c>
      <c r="AK137">
        <f>+$AF$5*AF137</f>
        <v>0</v>
      </c>
      <c r="AL137">
        <f>+$AG$5*AG137</f>
        <v>36</v>
      </c>
      <c r="AM137">
        <f>+$AH$5*AH137</f>
        <v>24</v>
      </c>
      <c r="AN137">
        <f>+$AI$5*AI137</f>
        <v>2</v>
      </c>
      <c r="AO137">
        <f>+SUM(AK137:AN137)</f>
        <v>62</v>
      </c>
    </row>
    <row r="138" spans="1:41" ht="15.75" customHeight="1" x14ac:dyDescent="0.3">
      <c r="A138" s="16"/>
      <c r="B138" s="55">
        <v>12</v>
      </c>
      <c r="C138" s="71" t="s">
        <v>236</v>
      </c>
      <c r="D138" s="55">
        <v>5</v>
      </c>
      <c r="E138" s="55" t="s">
        <v>21</v>
      </c>
      <c r="F138" s="18" t="s">
        <v>21</v>
      </c>
      <c r="G138" s="18" t="s">
        <v>21</v>
      </c>
      <c r="H138" s="18" t="s">
        <v>21</v>
      </c>
      <c r="I138" s="18" t="s">
        <v>20</v>
      </c>
      <c r="J138" s="18" t="s">
        <v>21</v>
      </c>
      <c r="K138" s="18" t="s">
        <v>21</v>
      </c>
      <c r="L138" s="18" t="s">
        <v>20</v>
      </c>
      <c r="M138" s="18" t="s">
        <v>20</v>
      </c>
      <c r="N138" s="18" t="s">
        <v>20</v>
      </c>
      <c r="O138" s="18" t="s">
        <v>20</v>
      </c>
      <c r="P138" s="18" t="s">
        <v>23</v>
      </c>
      <c r="Q138" s="18" t="s">
        <v>23</v>
      </c>
      <c r="R138" s="18" t="s">
        <v>23</v>
      </c>
      <c r="S138" s="18" t="s">
        <v>21</v>
      </c>
      <c r="T138" s="18" t="s">
        <v>21</v>
      </c>
      <c r="U138" s="18" t="s">
        <v>20</v>
      </c>
      <c r="V138" s="37" t="s">
        <v>20</v>
      </c>
      <c r="W138" s="37" t="s">
        <v>20</v>
      </c>
      <c r="X138" s="37" t="s">
        <v>20</v>
      </c>
      <c r="Y138" s="18" t="s">
        <v>20</v>
      </c>
      <c r="Z138" s="18" t="s">
        <v>20</v>
      </c>
      <c r="AA138" s="18" t="s">
        <v>20</v>
      </c>
      <c r="AB138" s="18" t="s">
        <v>20</v>
      </c>
      <c r="AC138" s="18" t="s">
        <v>20</v>
      </c>
      <c r="AD138" s="29" t="s">
        <v>23</v>
      </c>
      <c r="AE138" s="29" t="s">
        <v>21</v>
      </c>
      <c r="AF138">
        <f>+COUNTIF(F138:AE138,"AD")</f>
        <v>0</v>
      </c>
      <c r="AG138">
        <f>+COUNTIF(F138:AE138,"A")</f>
        <v>14</v>
      </c>
      <c r="AH138">
        <f>+COUNTIF(F138:AE138,"b")</f>
        <v>8</v>
      </c>
      <c r="AI138">
        <f>+COUNTIF(F138:AE138,"c")</f>
        <v>4</v>
      </c>
      <c r="AK138">
        <f>+$AF$5*AF138</f>
        <v>0</v>
      </c>
      <c r="AL138">
        <f>+$AG$5*AG138</f>
        <v>42</v>
      </c>
      <c r="AM138">
        <f>+$AH$5*AH138</f>
        <v>16</v>
      </c>
      <c r="AN138">
        <f>+$AI$5*AI138</f>
        <v>4</v>
      </c>
      <c r="AO138">
        <f>+SUM(AK138:AN138)</f>
        <v>62</v>
      </c>
    </row>
    <row r="139" spans="1:41" ht="15.75" customHeight="1" x14ac:dyDescent="0.3">
      <c r="A139" s="16"/>
      <c r="B139" s="55">
        <v>15</v>
      </c>
      <c r="C139" s="71" t="s">
        <v>56</v>
      </c>
      <c r="D139" s="55">
        <v>1</v>
      </c>
      <c r="E139" s="55" t="s">
        <v>21</v>
      </c>
      <c r="F139" s="18" t="s">
        <v>20</v>
      </c>
      <c r="G139" s="18" t="s">
        <v>21</v>
      </c>
      <c r="H139" s="18" t="s">
        <v>21</v>
      </c>
      <c r="I139" s="18" t="s">
        <v>20</v>
      </c>
      <c r="J139" s="18" t="s">
        <v>21</v>
      </c>
      <c r="K139" s="18" t="s">
        <v>21</v>
      </c>
      <c r="L139" s="18" t="s">
        <v>21</v>
      </c>
      <c r="M139" s="18" t="s">
        <v>20</v>
      </c>
      <c r="N139" s="18" t="s">
        <v>20</v>
      </c>
      <c r="O139" s="18" t="s">
        <v>20</v>
      </c>
      <c r="P139" s="18" t="s">
        <v>21</v>
      </c>
      <c r="Q139" s="18" t="s">
        <v>21</v>
      </c>
      <c r="R139" s="18" t="s">
        <v>21</v>
      </c>
      <c r="S139" s="18" t="s">
        <v>23</v>
      </c>
      <c r="T139" s="18" t="s">
        <v>21</v>
      </c>
      <c r="U139" s="18" t="s">
        <v>20</v>
      </c>
      <c r="V139" s="18" t="s">
        <v>20</v>
      </c>
      <c r="W139" s="18" t="s">
        <v>20</v>
      </c>
      <c r="X139" s="18" t="s">
        <v>20</v>
      </c>
      <c r="Y139" s="19" t="s">
        <v>23</v>
      </c>
      <c r="Z139" s="18" t="s">
        <v>21</v>
      </c>
      <c r="AA139" s="72" t="s">
        <v>20</v>
      </c>
      <c r="AB139" s="72" t="s">
        <v>20</v>
      </c>
      <c r="AC139" s="18" t="s">
        <v>21</v>
      </c>
      <c r="AD139" s="29" t="s">
        <v>21</v>
      </c>
      <c r="AE139" s="29" t="s">
        <v>21</v>
      </c>
      <c r="AF139">
        <f>+COUNTIF(F139:AE139,"AD")</f>
        <v>0</v>
      </c>
      <c r="AG139">
        <f>+COUNTIF(F139:AE139,"A")</f>
        <v>11</v>
      </c>
      <c r="AH139">
        <f>+COUNTIF(F139:AE139,"b")</f>
        <v>13</v>
      </c>
      <c r="AI139">
        <f>+COUNTIF(F139:AE139,"c")</f>
        <v>2</v>
      </c>
      <c r="AK139">
        <f>+$AF$5*AF139</f>
        <v>0</v>
      </c>
      <c r="AL139">
        <f>+$AG$5*AG139</f>
        <v>33</v>
      </c>
      <c r="AM139">
        <f>+$AH$5*AH139</f>
        <v>26</v>
      </c>
      <c r="AN139">
        <f>+$AI$5*AI139</f>
        <v>2</v>
      </c>
      <c r="AO139">
        <f>+SUM(AK139:AN139)</f>
        <v>61</v>
      </c>
    </row>
    <row r="140" spans="1:41" ht="15.75" customHeight="1" x14ac:dyDescent="0.3">
      <c r="A140" s="16"/>
      <c r="B140" s="55">
        <v>16</v>
      </c>
      <c r="C140" s="71" t="s">
        <v>57</v>
      </c>
      <c r="D140" s="55">
        <v>1</v>
      </c>
      <c r="E140" s="55" t="s">
        <v>21</v>
      </c>
      <c r="F140" s="18" t="s">
        <v>20</v>
      </c>
      <c r="G140" s="18" t="s">
        <v>21</v>
      </c>
      <c r="H140" s="18" t="s">
        <v>21</v>
      </c>
      <c r="I140" s="18" t="s">
        <v>21</v>
      </c>
      <c r="J140" s="18" t="s">
        <v>20</v>
      </c>
      <c r="K140" s="18" t="s">
        <v>21</v>
      </c>
      <c r="L140" s="18" t="s">
        <v>21</v>
      </c>
      <c r="M140" s="18" t="s">
        <v>21</v>
      </c>
      <c r="N140" s="18" t="s">
        <v>21</v>
      </c>
      <c r="O140" s="18" t="s">
        <v>20</v>
      </c>
      <c r="P140" s="18" t="s">
        <v>21</v>
      </c>
      <c r="Q140" s="18" t="s">
        <v>21</v>
      </c>
      <c r="R140" s="18" t="s">
        <v>21</v>
      </c>
      <c r="S140" s="18" t="s">
        <v>21</v>
      </c>
      <c r="T140" s="18" t="s">
        <v>21</v>
      </c>
      <c r="U140" s="18" t="s">
        <v>21</v>
      </c>
      <c r="V140" s="18" t="s">
        <v>20</v>
      </c>
      <c r="W140" s="18" t="s">
        <v>20</v>
      </c>
      <c r="X140" s="18" t="s">
        <v>21</v>
      </c>
      <c r="Y140" s="19" t="s">
        <v>20</v>
      </c>
      <c r="Z140" s="18" t="s">
        <v>20</v>
      </c>
      <c r="AA140" s="72" t="s">
        <v>20</v>
      </c>
      <c r="AB140" s="72" t="s">
        <v>20</v>
      </c>
      <c r="AC140" s="18" t="s">
        <v>21</v>
      </c>
      <c r="AD140" s="29" t="s">
        <v>21</v>
      </c>
      <c r="AE140" s="29" t="s">
        <v>21</v>
      </c>
      <c r="AF140">
        <f>+COUNTIF(F140:AE140,"AD")</f>
        <v>0</v>
      </c>
      <c r="AG140">
        <f>+COUNTIF(F140:AE140,"A")</f>
        <v>9</v>
      </c>
      <c r="AH140">
        <f>+COUNTIF(F140:AE140,"b")</f>
        <v>17</v>
      </c>
      <c r="AI140">
        <f>+COUNTIF(F140:AE140,"c")</f>
        <v>0</v>
      </c>
      <c r="AK140">
        <f>+$AF$5*AF140</f>
        <v>0</v>
      </c>
      <c r="AL140">
        <f>+$AG$5*AG140</f>
        <v>27</v>
      </c>
      <c r="AM140">
        <f>+$AH$5*AH140</f>
        <v>34</v>
      </c>
      <c r="AN140">
        <f>+$AI$5*AI140</f>
        <v>0</v>
      </c>
      <c r="AO140">
        <f>+SUM(AK140:AN140)</f>
        <v>61</v>
      </c>
    </row>
    <row r="141" spans="1:41" ht="15.75" customHeight="1" x14ac:dyDescent="0.3">
      <c r="A141" s="16"/>
      <c r="B141" s="55">
        <v>1</v>
      </c>
      <c r="C141" s="71" t="s">
        <v>62</v>
      </c>
      <c r="D141" s="55">
        <v>2</v>
      </c>
      <c r="E141" s="55" t="s">
        <v>20</v>
      </c>
      <c r="F141" s="18" t="s">
        <v>21</v>
      </c>
      <c r="G141" s="18" t="s">
        <v>23</v>
      </c>
      <c r="H141" s="18" t="s">
        <v>21</v>
      </c>
      <c r="I141" s="18" t="s">
        <v>21</v>
      </c>
      <c r="J141" s="18" t="s">
        <v>21</v>
      </c>
      <c r="K141" s="18" t="s">
        <v>21</v>
      </c>
      <c r="L141" s="18" t="s">
        <v>20</v>
      </c>
      <c r="M141" s="18" t="s">
        <v>20</v>
      </c>
      <c r="N141" s="18" t="s">
        <v>20</v>
      </c>
      <c r="O141" s="18" t="s">
        <v>21</v>
      </c>
      <c r="P141" s="18" t="s">
        <v>21</v>
      </c>
      <c r="Q141" s="18" t="s">
        <v>21</v>
      </c>
      <c r="R141" s="18" t="s">
        <v>21</v>
      </c>
      <c r="S141" s="18" t="s">
        <v>20</v>
      </c>
      <c r="T141" s="18" t="s">
        <v>21</v>
      </c>
      <c r="U141" s="18" t="s">
        <v>20</v>
      </c>
      <c r="V141" s="35" t="s">
        <v>20</v>
      </c>
      <c r="W141" s="35" t="s">
        <v>20</v>
      </c>
      <c r="X141" s="36" t="s">
        <v>20</v>
      </c>
      <c r="Y141" s="19" t="s">
        <v>20</v>
      </c>
      <c r="Z141" s="18" t="s">
        <v>20</v>
      </c>
      <c r="AA141" s="18" t="s">
        <v>21</v>
      </c>
      <c r="AB141" s="18" t="s">
        <v>21</v>
      </c>
      <c r="AC141" s="18" t="s">
        <v>21</v>
      </c>
      <c r="AD141" s="29" t="s">
        <v>21</v>
      </c>
      <c r="AE141" s="29" t="s">
        <v>21</v>
      </c>
      <c r="AF141">
        <f>+COUNTIF(F141:AE141,"AD")</f>
        <v>0</v>
      </c>
      <c r="AG141">
        <f>+COUNTIF(F141:AE141,"A")</f>
        <v>10</v>
      </c>
      <c r="AH141">
        <f>+COUNTIF(F141:AE141,"b")</f>
        <v>15</v>
      </c>
      <c r="AI141">
        <f>+COUNTIF(F141:AE141,"c")</f>
        <v>1</v>
      </c>
      <c r="AK141">
        <f>+$AF$5*AF141</f>
        <v>0</v>
      </c>
      <c r="AL141">
        <f>+$AG$5*AG141</f>
        <v>30</v>
      </c>
      <c r="AM141">
        <f>+$AH$5*AH141</f>
        <v>30</v>
      </c>
      <c r="AN141">
        <f>+$AI$5*AI141</f>
        <v>1</v>
      </c>
      <c r="AO141">
        <f>+SUM(AK141:AN141)</f>
        <v>61</v>
      </c>
    </row>
    <row r="142" spans="1:41" ht="15.75" customHeight="1" x14ac:dyDescent="0.3">
      <c r="A142" s="16"/>
      <c r="B142" s="55">
        <v>10</v>
      </c>
      <c r="C142" s="71" t="s">
        <v>71</v>
      </c>
      <c r="D142" s="55">
        <v>2</v>
      </c>
      <c r="E142" s="55" t="s">
        <v>20</v>
      </c>
      <c r="F142" s="18" t="s">
        <v>21</v>
      </c>
      <c r="G142" s="18" t="s">
        <v>21</v>
      </c>
      <c r="H142" s="18" t="s">
        <v>21</v>
      </c>
      <c r="I142" s="18" t="s">
        <v>21</v>
      </c>
      <c r="J142" s="18" t="s">
        <v>20</v>
      </c>
      <c r="K142" s="18" t="s">
        <v>21</v>
      </c>
      <c r="L142" s="18" t="s">
        <v>21</v>
      </c>
      <c r="M142" s="18" t="s">
        <v>21</v>
      </c>
      <c r="N142" s="18" t="s">
        <v>21</v>
      </c>
      <c r="O142" s="18" t="s">
        <v>20</v>
      </c>
      <c r="P142" s="18" t="s">
        <v>21</v>
      </c>
      <c r="Q142" s="18" t="s">
        <v>21</v>
      </c>
      <c r="R142" s="18" t="s">
        <v>21</v>
      </c>
      <c r="S142" s="18" t="s">
        <v>21</v>
      </c>
      <c r="T142" s="18" t="s">
        <v>20</v>
      </c>
      <c r="U142" s="18" t="s">
        <v>20</v>
      </c>
      <c r="V142" s="37" t="s">
        <v>20</v>
      </c>
      <c r="W142" s="37" t="s">
        <v>20</v>
      </c>
      <c r="X142" s="37" t="s">
        <v>20</v>
      </c>
      <c r="Y142" s="18" t="s">
        <v>20</v>
      </c>
      <c r="Z142" s="18" t="s">
        <v>21</v>
      </c>
      <c r="AA142" s="18" t="s">
        <v>20</v>
      </c>
      <c r="AB142" s="18" t="s">
        <v>21</v>
      </c>
      <c r="AC142" s="18" t="s">
        <v>21</v>
      </c>
      <c r="AD142" s="29" t="s">
        <v>21</v>
      </c>
      <c r="AE142" s="29" t="s">
        <v>21</v>
      </c>
      <c r="AF142">
        <f>+COUNTIF(F142:AE142,"AD")</f>
        <v>0</v>
      </c>
      <c r="AG142">
        <f>+COUNTIF(F142:AE142,"A")</f>
        <v>9</v>
      </c>
      <c r="AH142">
        <f>+COUNTIF(F142:AE142,"b")</f>
        <v>17</v>
      </c>
      <c r="AI142">
        <f>+COUNTIF(F142:AE142,"c")</f>
        <v>0</v>
      </c>
      <c r="AK142">
        <f>+$AF$5*AF142</f>
        <v>0</v>
      </c>
      <c r="AL142">
        <f>+$AG$5*AG142</f>
        <v>27</v>
      </c>
      <c r="AM142">
        <f>+$AH$5*AH142</f>
        <v>34</v>
      </c>
      <c r="AN142">
        <f>+$AI$5*AI142</f>
        <v>0</v>
      </c>
      <c r="AO142">
        <f>+SUM(AK142:AN142)</f>
        <v>61</v>
      </c>
    </row>
    <row r="143" spans="1:41" ht="15.75" customHeight="1" x14ac:dyDescent="0.3">
      <c r="A143" s="16"/>
      <c r="B143" s="55">
        <v>14</v>
      </c>
      <c r="C143" s="71" t="s">
        <v>185</v>
      </c>
      <c r="D143" s="55">
        <v>4</v>
      </c>
      <c r="E143" s="55" t="s">
        <v>21</v>
      </c>
      <c r="F143" s="18" t="s">
        <v>21</v>
      </c>
      <c r="G143" s="18" t="s">
        <v>21</v>
      </c>
      <c r="H143" s="18" t="s">
        <v>21</v>
      </c>
      <c r="I143" s="18" t="s">
        <v>21</v>
      </c>
      <c r="J143" s="69" t="s">
        <v>20</v>
      </c>
      <c r="K143" s="69" t="s">
        <v>21</v>
      </c>
      <c r="L143" s="69" t="s">
        <v>21</v>
      </c>
      <c r="M143" s="18" t="s">
        <v>21</v>
      </c>
      <c r="N143" s="18" t="s">
        <v>21</v>
      </c>
      <c r="O143" s="18" t="s">
        <v>20</v>
      </c>
      <c r="P143" s="18" t="s">
        <v>21</v>
      </c>
      <c r="Q143" s="18" t="s">
        <v>21</v>
      </c>
      <c r="R143" s="18" t="s">
        <v>21</v>
      </c>
      <c r="S143" s="18" t="s">
        <v>20</v>
      </c>
      <c r="T143" s="18" t="s">
        <v>20</v>
      </c>
      <c r="U143" s="18" t="s">
        <v>21</v>
      </c>
      <c r="V143" s="49" t="s">
        <v>20</v>
      </c>
      <c r="W143" s="37" t="s">
        <v>20</v>
      </c>
      <c r="X143" s="37" t="s">
        <v>20</v>
      </c>
      <c r="Y143" s="18" t="s">
        <v>21</v>
      </c>
      <c r="Z143" s="18" t="s">
        <v>21</v>
      </c>
      <c r="AA143" s="18" t="s">
        <v>20</v>
      </c>
      <c r="AB143" s="18" t="s">
        <v>21</v>
      </c>
      <c r="AC143" s="18" t="s">
        <v>20</v>
      </c>
      <c r="AD143" s="29" t="s">
        <v>21</v>
      </c>
      <c r="AE143" s="29" t="s">
        <v>21</v>
      </c>
      <c r="AF143">
        <f>+COUNTIF(F143:AE143,"AD")</f>
        <v>0</v>
      </c>
      <c r="AG143">
        <f>+COUNTIF(F143:AE143,"A")</f>
        <v>9</v>
      </c>
      <c r="AH143">
        <f>+COUNTIF(F143:AE143,"b")</f>
        <v>17</v>
      </c>
      <c r="AI143">
        <f>+COUNTIF(F143:AE143,"c")</f>
        <v>0</v>
      </c>
      <c r="AK143">
        <f>+$AF$5*AF143</f>
        <v>0</v>
      </c>
      <c r="AL143">
        <f>+$AG$5*AG143</f>
        <v>27</v>
      </c>
      <c r="AM143">
        <f>+$AH$5*AH143</f>
        <v>34</v>
      </c>
      <c r="AN143">
        <f>+$AI$5*AI143</f>
        <v>0</v>
      </c>
      <c r="AO143">
        <f>+SUM(AK143:AN143)</f>
        <v>61</v>
      </c>
    </row>
    <row r="144" spans="1:41" ht="15.75" customHeight="1" x14ac:dyDescent="0.3">
      <c r="A144" s="16"/>
      <c r="B144" s="55">
        <v>16</v>
      </c>
      <c r="C144" s="71" t="s">
        <v>187</v>
      </c>
      <c r="D144" s="55">
        <v>4</v>
      </c>
      <c r="E144" s="55" t="s">
        <v>21</v>
      </c>
      <c r="F144" s="18" t="s">
        <v>21</v>
      </c>
      <c r="G144" s="18" t="s">
        <v>21</v>
      </c>
      <c r="H144" s="18" t="s">
        <v>21</v>
      </c>
      <c r="I144" s="18" t="s">
        <v>21</v>
      </c>
      <c r="J144" s="69" t="s">
        <v>20</v>
      </c>
      <c r="K144" s="69" t="s">
        <v>20</v>
      </c>
      <c r="L144" s="69" t="s">
        <v>21</v>
      </c>
      <c r="M144" s="18" t="s">
        <v>20</v>
      </c>
      <c r="N144" s="18" t="s">
        <v>20</v>
      </c>
      <c r="O144" s="18" t="s">
        <v>20</v>
      </c>
      <c r="P144" s="18" t="s">
        <v>21</v>
      </c>
      <c r="Q144" s="18" t="s">
        <v>21</v>
      </c>
      <c r="R144" s="18" t="s">
        <v>21</v>
      </c>
      <c r="S144" s="18" t="s">
        <v>21</v>
      </c>
      <c r="T144" s="18" t="s">
        <v>20</v>
      </c>
      <c r="U144" s="18" t="s">
        <v>21</v>
      </c>
      <c r="V144" s="49" t="s">
        <v>20</v>
      </c>
      <c r="W144" s="37" t="s">
        <v>20</v>
      </c>
      <c r="X144" s="37" t="s">
        <v>20</v>
      </c>
      <c r="Y144" s="18" t="s">
        <v>21</v>
      </c>
      <c r="Z144" s="18" t="s">
        <v>21</v>
      </c>
      <c r="AA144" s="18" t="s">
        <v>21</v>
      </c>
      <c r="AB144" s="18" t="s">
        <v>21</v>
      </c>
      <c r="AC144" s="18" t="s">
        <v>21</v>
      </c>
      <c r="AD144" s="29" t="s">
        <v>21</v>
      </c>
      <c r="AE144" s="29" t="s">
        <v>21</v>
      </c>
      <c r="AF144">
        <f>+COUNTIF(F144:AE144,"AD")</f>
        <v>0</v>
      </c>
      <c r="AG144">
        <f>+COUNTIF(F144:AE144,"A")</f>
        <v>9</v>
      </c>
      <c r="AH144">
        <f>+COUNTIF(F144:AE144,"b")</f>
        <v>17</v>
      </c>
      <c r="AI144">
        <f>+COUNTIF(F144:AE144,"c")</f>
        <v>0</v>
      </c>
      <c r="AK144">
        <f>+$AF$5*AF144</f>
        <v>0</v>
      </c>
      <c r="AL144">
        <f>+$AG$5*AG144</f>
        <v>27</v>
      </c>
      <c r="AM144">
        <f>+$AH$5*AH144</f>
        <v>34</v>
      </c>
      <c r="AN144">
        <f>+$AI$5*AI144</f>
        <v>0</v>
      </c>
      <c r="AO144">
        <f>+SUM(AK144:AN144)</f>
        <v>61</v>
      </c>
    </row>
    <row r="145" spans="1:41" ht="15.75" customHeight="1" x14ac:dyDescent="0.3">
      <c r="A145" s="16"/>
      <c r="B145" s="55">
        <v>19</v>
      </c>
      <c r="C145" s="71" t="s">
        <v>190</v>
      </c>
      <c r="D145" s="55">
        <v>4</v>
      </c>
      <c r="E145" s="55" t="s">
        <v>21</v>
      </c>
      <c r="F145" s="18" t="s">
        <v>23</v>
      </c>
      <c r="G145" s="18" t="s">
        <v>21</v>
      </c>
      <c r="H145" s="18" t="s">
        <v>21</v>
      </c>
      <c r="I145" s="18" t="s">
        <v>21</v>
      </c>
      <c r="J145" s="69" t="s">
        <v>20</v>
      </c>
      <c r="K145" s="69" t="s">
        <v>20</v>
      </c>
      <c r="L145" s="69" t="s">
        <v>21</v>
      </c>
      <c r="M145" s="18" t="s">
        <v>20</v>
      </c>
      <c r="N145" s="18" t="s">
        <v>20</v>
      </c>
      <c r="O145" s="18" t="s">
        <v>21</v>
      </c>
      <c r="P145" s="18" t="s">
        <v>21</v>
      </c>
      <c r="Q145" s="18" t="s">
        <v>21</v>
      </c>
      <c r="R145" s="18" t="s">
        <v>21</v>
      </c>
      <c r="S145" s="18" t="s">
        <v>20</v>
      </c>
      <c r="T145" s="18" t="s">
        <v>20</v>
      </c>
      <c r="U145" s="18" t="s">
        <v>21</v>
      </c>
      <c r="V145" s="49" t="s">
        <v>20</v>
      </c>
      <c r="W145" s="37" t="s">
        <v>20</v>
      </c>
      <c r="X145" s="37" t="s">
        <v>20</v>
      </c>
      <c r="Y145" s="18" t="s">
        <v>20</v>
      </c>
      <c r="Z145" s="18" t="s">
        <v>21</v>
      </c>
      <c r="AA145" s="18" t="s">
        <v>21</v>
      </c>
      <c r="AB145" s="18" t="s">
        <v>21</v>
      </c>
      <c r="AC145" s="18" t="s">
        <v>21</v>
      </c>
      <c r="AD145" s="29" t="s">
        <v>21</v>
      </c>
      <c r="AE145" s="29" t="s">
        <v>21</v>
      </c>
      <c r="AF145">
        <f>+COUNTIF(F145:AE145,"AD")</f>
        <v>0</v>
      </c>
      <c r="AG145">
        <f>+COUNTIF(F145:AE145,"A")</f>
        <v>10</v>
      </c>
      <c r="AH145">
        <f>+COUNTIF(F145:AE145,"b")</f>
        <v>15</v>
      </c>
      <c r="AI145">
        <f>+COUNTIF(F145:AE145,"c")</f>
        <v>1</v>
      </c>
      <c r="AK145">
        <f>+$AF$5*AF145</f>
        <v>0</v>
      </c>
      <c r="AL145">
        <f>+$AG$5*AG145</f>
        <v>30</v>
      </c>
      <c r="AM145">
        <f>+$AH$5*AH145</f>
        <v>30</v>
      </c>
      <c r="AN145">
        <f>+$AI$5*AI145</f>
        <v>1</v>
      </c>
      <c r="AO145">
        <f>+SUM(AK145:AN145)</f>
        <v>61</v>
      </c>
    </row>
    <row r="146" spans="1:41" ht="15.75" customHeight="1" x14ac:dyDescent="0.3">
      <c r="A146" s="16"/>
      <c r="B146" s="55">
        <v>6</v>
      </c>
      <c r="C146" s="71" t="s">
        <v>230</v>
      </c>
      <c r="D146" s="55">
        <v>5</v>
      </c>
      <c r="E146" s="55" t="s">
        <v>21</v>
      </c>
      <c r="F146" s="18" t="s">
        <v>21</v>
      </c>
      <c r="G146" s="18" t="s">
        <v>21</v>
      </c>
      <c r="H146" s="18" t="s">
        <v>21</v>
      </c>
      <c r="I146" s="18" t="s">
        <v>20</v>
      </c>
      <c r="J146" s="18" t="s">
        <v>21</v>
      </c>
      <c r="K146" s="18" t="s">
        <v>21</v>
      </c>
      <c r="L146" s="18" t="s">
        <v>21</v>
      </c>
      <c r="M146" s="18" t="s">
        <v>20</v>
      </c>
      <c r="N146" s="18" t="s">
        <v>20</v>
      </c>
      <c r="O146" s="18" t="s">
        <v>20</v>
      </c>
      <c r="P146" s="18" t="s">
        <v>21</v>
      </c>
      <c r="Q146" s="18" t="s">
        <v>23</v>
      </c>
      <c r="R146" s="18" t="s">
        <v>23</v>
      </c>
      <c r="S146" s="18" t="s">
        <v>21</v>
      </c>
      <c r="T146" s="18" t="s">
        <v>21</v>
      </c>
      <c r="U146" s="18" t="s">
        <v>20</v>
      </c>
      <c r="V146" s="37" t="s">
        <v>20</v>
      </c>
      <c r="W146" s="37" t="s">
        <v>20</v>
      </c>
      <c r="X146" s="37" t="s">
        <v>20</v>
      </c>
      <c r="Y146" s="18" t="s">
        <v>21</v>
      </c>
      <c r="Z146" s="18" t="s">
        <v>20</v>
      </c>
      <c r="AA146" s="18" t="s">
        <v>20</v>
      </c>
      <c r="AB146" s="18" t="s">
        <v>20</v>
      </c>
      <c r="AC146" s="18" t="s">
        <v>20</v>
      </c>
      <c r="AD146" s="29" t="s">
        <v>23</v>
      </c>
      <c r="AE146" s="29" t="s">
        <v>21</v>
      </c>
      <c r="AF146">
        <f>+COUNTIF(F146:AE146,"AD")</f>
        <v>0</v>
      </c>
      <c r="AG146">
        <f>+COUNTIF(F146:AE146,"A")</f>
        <v>12</v>
      </c>
      <c r="AH146">
        <f>+COUNTIF(F146:AE146,"b")</f>
        <v>11</v>
      </c>
      <c r="AI146">
        <f>+COUNTIF(F146:AE146,"c")</f>
        <v>3</v>
      </c>
      <c r="AK146">
        <f>+$AF$5*AF146</f>
        <v>0</v>
      </c>
      <c r="AL146">
        <f>+$AG$5*AG146</f>
        <v>36</v>
      </c>
      <c r="AM146">
        <f>+$AH$5*AH146</f>
        <v>22</v>
      </c>
      <c r="AN146">
        <f>+$AI$5*AI146</f>
        <v>3</v>
      </c>
      <c r="AO146">
        <f>+SUM(AK146:AN146)</f>
        <v>61</v>
      </c>
    </row>
    <row r="147" spans="1:41" ht="15.75" customHeight="1" x14ac:dyDescent="0.3">
      <c r="A147" s="16"/>
      <c r="B147" s="55">
        <v>8</v>
      </c>
      <c r="C147" s="71" t="s">
        <v>232</v>
      </c>
      <c r="D147" s="55">
        <v>5</v>
      </c>
      <c r="E147" s="55" t="s">
        <v>21</v>
      </c>
      <c r="F147" s="18" t="s">
        <v>21</v>
      </c>
      <c r="G147" s="18" t="s">
        <v>23</v>
      </c>
      <c r="H147" s="18" t="s">
        <v>21</v>
      </c>
      <c r="I147" s="18" t="s">
        <v>20</v>
      </c>
      <c r="J147" s="18" t="s">
        <v>23</v>
      </c>
      <c r="K147" s="18" t="s">
        <v>20</v>
      </c>
      <c r="L147" s="18" t="s">
        <v>20</v>
      </c>
      <c r="M147" s="18" t="s">
        <v>20</v>
      </c>
      <c r="N147" s="18" t="s">
        <v>20</v>
      </c>
      <c r="O147" s="18" t="s">
        <v>20</v>
      </c>
      <c r="P147" s="18" t="s">
        <v>23</v>
      </c>
      <c r="Q147" s="18" t="s">
        <v>21</v>
      </c>
      <c r="R147" s="18" t="s">
        <v>21</v>
      </c>
      <c r="S147" s="18" t="s">
        <v>23</v>
      </c>
      <c r="T147" s="18" t="s">
        <v>21</v>
      </c>
      <c r="U147" s="18" t="s">
        <v>20</v>
      </c>
      <c r="V147" s="37" t="s">
        <v>20</v>
      </c>
      <c r="W147" s="37" t="s">
        <v>21</v>
      </c>
      <c r="X147" s="37" t="s">
        <v>20</v>
      </c>
      <c r="Y147" s="18" t="s">
        <v>20</v>
      </c>
      <c r="Z147" s="18" t="s">
        <v>20</v>
      </c>
      <c r="AA147" s="18" t="s">
        <v>20</v>
      </c>
      <c r="AB147" s="18" t="s">
        <v>20</v>
      </c>
      <c r="AC147" s="18" t="s">
        <v>20</v>
      </c>
      <c r="AD147" s="29" t="s">
        <v>23</v>
      </c>
      <c r="AE147" s="29" t="s">
        <v>21</v>
      </c>
      <c r="AF147">
        <f>+COUNTIF(F147:AE147,"AD")</f>
        <v>0</v>
      </c>
      <c r="AG147">
        <f>+COUNTIF(F147:AE147,"A")</f>
        <v>14</v>
      </c>
      <c r="AH147">
        <f>+COUNTIF(F147:AE147,"b")</f>
        <v>7</v>
      </c>
      <c r="AI147">
        <f>+COUNTIF(F147:AE147,"c")</f>
        <v>5</v>
      </c>
      <c r="AK147">
        <f>+$AF$5*AF147</f>
        <v>0</v>
      </c>
      <c r="AL147">
        <f>+$AG$5*AG147</f>
        <v>42</v>
      </c>
      <c r="AM147">
        <f>+$AH$5*AH147</f>
        <v>14</v>
      </c>
      <c r="AN147">
        <f>+$AI$5*AI147</f>
        <v>5</v>
      </c>
      <c r="AO147">
        <f>+SUM(AK147:AN147)</f>
        <v>61</v>
      </c>
    </row>
    <row r="148" spans="1:41" ht="15.75" customHeight="1" x14ac:dyDescent="0.3">
      <c r="A148" s="16"/>
      <c r="B148" s="55">
        <v>15</v>
      </c>
      <c r="C148" s="71" t="s">
        <v>239</v>
      </c>
      <c r="D148" s="55">
        <v>5</v>
      </c>
      <c r="E148" s="55" t="s">
        <v>21</v>
      </c>
      <c r="F148" s="18" t="s">
        <v>21</v>
      </c>
      <c r="G148" s="18" t="s">
        <v>23</v>
      </c>
      <c r="H148" s="18" t="s">
        <v>21</v>
      </c>
      <c r="I148" s="18" t="s">
        <v>21</v>
      </c>
      <c r="J148" s="18" t="s">
        <v>21</v>
      </c>
      <c r="K148" s="18" t="s">
        <v>20</v>
      </c>
      <c r="L148" s="18" t="s">
        <v>20</v>
      </c>
      <c r="M148" s="18" t="s">
        <v>20</v>
      </c>
      <c r="N148" s="18" t="s">
        <v>21</v>
      </c>
      <c r="O148" s="18" t="s">
        <v>20</v>
      </c>
      <c r="P148" s="18" t="s">
        <v>21</v>
      </c>
      <c r="Q148" s="18" t="s">
        <v>21</v>
      </c>
      <c r="R148" s="18" t="s">
        <v>21</v>
      </c>
      <c r="S148" s="18" t="s">
        <v>20</v>
      </c>
      <c r="T148" s="18" t="s">
        <v>20</v>
      </c>
      <c r="U148" s="18" t="s">
        <v>21</v>
      </c>
      <c r="V148" s="37" t="s">
        <v>20</v>
      </c>
      <c r="W148" s="37" t="s">
        <v>20</v>
      </c>
      <c r="X148" s="37" t="s">
        <v>20</v>
      </c>
      <c r="Y148" s="18" t="s">
        <v>21</v>
      </c>
      <c r="Z148" s="18" t="s">
        <v>21</v>
      </c>
      <c r="AA148" s="18" t="s">
        <v>21</v>
      </c>
      <c r="AB148" s="18" t="s">
        <v>21</v>
      </c>
      <c r="AC148" s="18" t="s">
        <v>21</v>
      </c>
      <c r="AD148" s="29" t="s">
        <v>20</v>
      </c>
      <c r="AE148" s="29" t="s">
        <v>21</v>
      </c>
      <c r="AF148">
        <f>+COUNTIF(F148:AE148,"AD")</f>
        <v>0</v>
      </c>
      <c r="AG148">
        <f>+COUNTIF(F148:AE148,"A")</f>
        <v>10</v>
      </c>
      <c r="AH148">
        <f>+COUNTIF(F148:AE148,"b")</f>
        <v>15</v>
      </c>
      <c r="AI148">
        <f>+COUNTIF(F148:AE148,"c")</f>
        <v>1</v>
      </c>
      <c r="AK148">
        <f>+$AF$5*AF148</f>
        <v>0</v>
      </c>
      <c r="AL148">
        <f>+$AG$5*AG148</f>
        <v>30</v>
      </c>
      <c r="AM148">
        <f>+$AH$5*AH148</f>
        <v>30</v>
      </c>
      <c r="AN148">
        <f>+$AI$5*AI148</f>
        <v>1</v>
      </c>
      <c r="AO148">
        <f>+SUM(AK148:AN148)</f>
        <v>61</v>
      </c>
    </row>
    <row r="149" spans="1:41" ht="15.75" customHeight="1" x14ac:dyDescent="0.3">
      <c r="A149" s="16"/>
      <c r="B149" s="55">
        <v>5</v>
      </c>
      <c r="C149" s="71" t="s">
        <v>26</v>
      </c>
      <c r="D149" s="55">
        <v>1</v>
      </c>
      <c r="E149" s="55" t="s">
        <v>20</v>
      </c>
      <c r="F149" s="18" t="s">
        <v>21</v>
      </c>
      <c r="G149" s="18" t="s">
        <v>21</v>
      </c>
      <c r="H149" s="18" t="s">
        <v>21</v>
      </c>
      <c r="I149" s="18" t="s">
        <v>21</v>
      </c>
      <c r="J149" s="18" t="s">
        <v>20</v>
      </c>
      <c r="K149" s="18" t="s">
        <v>20</v>
      </c>
      <c r="L149" s="18" t="s">
        <v>20</v>
      </c>
      <c r="M149" s="19" t="s">
        <v>20</v>
      </c>
      <c r="N149" s="19" t="s">
        <v>21</v>
      </c>
      <c r="O149" s="19" t="s">
        <v>20</v>
      </c>
      <c r="P149" s="19" t="s">
        <v>21</v>
      </c>
      <c r="Q149" s="18" t="s">
        <v>21</v>
      </c>
      <c r="R149" s="18" t="s">
        <v>21</v>
      </c>
      <c r="S149" s="19" t="s">
        <v>20</v>
      </c>
      <c r="T149" s="18" t="s">
        <v>21</v>
      </c>
      <c r="U149" s="18" t="s">
        <v>21</v>
      </c>
      <c r="V149" s="18" t="s">
        <v>20</v>
      </c>
      <c r="W149" s="18" t="s">
        <v>21</v>
      </c>
      <c r="X149" s="18" t="s">
        <v>20</v>
      </c>
      <c r="Y149" s="19" t="s">
        <v>21</v>
      </c>
      <c r="Z149" s="19" t="s">
        <v>20</v>
      </c>
      <c r="AA149" s="18" t="s">
        <v>21</v>
      </c>
      <c r="AB149" s="18" t="s">
        <v>21</v>
      </c>
      <c r="AC149" s="18" t="s">
        <v>23</v>
      </c>
      <c r="AD149" s="19" t="s">
        <v>21</v>
      </c>
      <c r="AE149" s="19" t="s">
        <v>21</v>
      </c>
      <c r="AF149">
        <f>+COUNTIF(F149:AE149,"AD")</f>
        <v>0</v>
      </c>
      <c r="AG149">
        <f>+COUNTIF(F149:AE149,"A")</f>
        <v>9</v>
      </c>
      <c r="AH149">
        <f>+COUNTIF(F149:AE149,"b")</f>
        <v>16</v>
      </c>
      <c r="AI149">
        <f>+COUNTIF(F149:AE149,"c")</f>
        <v>1</v>
      </c>
      <c r="AK149">
        <f>+$AF$5*AF149</f>
        <v>0</v>
      </c>
      <c r="AL149">
        <f>+$AG$5*AG149</f>
        <v>27</v>
      </c>
      <c r="AM149">
        <f>+$AH$5*AH149</f>
        <v>32</v>
      </c>
      <c r="AN149">
        <f>+$AI$5*AI149</f>
        <v>1</v>
      </c>
      <c r="AO149">
        <f>+SUM(AK149:AN149)</f>
        <v>60</v>
      </c>
    </row>
    <row r="150" spans="1:41" ht="15.75" customHeight="1" x14ac:dyDescent="0.3">
      <c r="A150" s="16"/>
      <c r="B150" s="55">
        <v>9</v>
      </c>
      <c r="C150" s="71" t="s">
        <v>30</v>
      </c>
      <c r="D150" s="55">
        <v>1</v>
      </c>
      <c r="E150" s="55" t="s">
        <v>20</v>
      </c>
      <c r="F150" s="18" t="s">
        <v>21</v>
      </c>
      <c r="G150" s="18" t="s">
        <v>21</v>
      </c>
      <c r="H150" s="18" t="s">
        <v>23</v>
      </c>
      <c r="I150" s="18" t="s">
        <v>21</v>
      </c>
      <c r="J150" s="18" t="s">
        <v>20</v>
      </c>
      <c r="K150" s="18" t="s">
        <v>20</v>
      </c>
      <c r="L150" s="18" t="s">
        <v>20</v>
      </c>
      <c r="M150" s="19" t="s">
        <v>20</v>
      </c>
      <c r="N150" s="19" t="s">
        <v>21</v>
      </c>
      <c r="O150" s="19" t="s">
        <v>20</v>
      </c>
      <c r="P150" s="19" t="s">
        <v>21</v>
      </c>
      <c r="Q150" s="18" t="s">
        <v>21</v>
      </c>
      <c r="R150" s="18" t="s">
        <v>21</v>
      </c>
      <c r="S150" s="19" t="s">
        <v>21</v>
      </c>
      <c r="T150" s="18" t="s">
        <v>20</v>
      </c>
      <c r="U150" s="18" t="s">
        <v>21</v>
      </c>
      <c r="V150" s="18" t="s">
        <v>21</v>
      </c>
      <c r="W150" s="18" t="s">
        <v>20</v>
      </c>
      <c r="X150" s="18" t="s">
        <v>20</v>
      </c>
      <c r="Y150" s="19" t="s">
        <v>21</v>
      </c>
      <c r="Z150" s="19" t="s">
        <v>20</v>
      </c>
      <c r="AA150" s="18" t="s">
        <v>21</v>
      </c>
      <c r="AB150" s="18" t="s">
        <v>21</v>
      </c>
      <c r="AC150" s="18" t="s">
        <v>23</v>
      </c>
      <c r="AD150" s="19" t="s">
        <v>20</v>
      </c>
      <c r="AE150" s="19" t="s">
        <v>21</v>
      </c>
      <c r="AF150">
        <f>+COUNTIF(F150:AE150,"AD")</f>
        <v>0</v>
      </c>
      <c r="AG150">
        <f>+COUNTIF(F150:AE150,"A")</f>
        <v>10</v>
      </c>
      <c r="AH150">
        <f>+COUNTIF(F150:AE150,"b")</f>
        <v>14</v>
      </c>
      <c r="AI150">
        <f>+COUNTIF(F150:AE150,"c")</f>
        <v>2</v>
      </c>
      <c r="AK150">
        <f>+$AF$5*AF150</f>
        <v>0</v>
      </c>
      <c r="AL150">
        <f>+$AG$5*AG150</f>
        <v>30</v>
      </c>
      <c r="AM150">
        <f>+$AH$5*AH150</f>
        <v>28</v>
      </c>
      <c r="AN150">
        <f>+$AI$5*AI150</f>
        <v>2</v>
      </c>
      <c r="AO150">
        <f>+SUM(AK150:AN150)</f>
        <v>60</v>
      </c>
    </row>
    <row r="151" spans="1:41" ht="15.75" customHeight="1" x14ac:dyDescent="0.3">
      <c r="A151" s="16"/>
      <c r="B151" s="55">
        <v>19</v>
      </c>
      <c r="C151" s="71" t="s">
        <v>60</v>
      </c>
      <c r="D151" s="55">
        <v>1</v>
      </c>
      <c r="E151" s="55" t="s">
        <v>21</v>
      </c>
      <c r="F151" s="18" t="s">
        <v>20</v>
      </c>
      <c r="G151" s="18" t="s">
        <v>21</v>
      </c>
      <c r="H151" s="18" t="s">
        <v>21</v>
      </c>
      <c r="I151" s="18" t="s">
        <v>21</v>
      </c>
      <c r="J151" s="18" t="s">
        <v>21</v>
      </c>
      <c r="K151" s="18" t="s">
        <v>21</v>
      </c>
      <c r="L151" s="18" t="s">
        <v>21</v>
      </c>
      <c r="M151" s="18" t="s">
        <v>21</v>
      </c>
      <c r="N151" s="18" t="s">
        <v>20</v>
      </c>
      <c r="O151" s="18" t="s">
        <v>20</v>
      </c>
      <c r="P151" s="18" t="s">
        <v>21</v>
      </c>
      <c r="Q151" s="18" t="s">
        <v>21</v>
      </c>
      <c r="R151" s="18" t="s">
        <v>21</v>
      </c>
      <c r="S151" s="18" t="s">
        <v>20</v>
      </c>
      <c r="T151" s="18" t="s">
        <v>21</v>
      </c>
      <c r="U151" s="18" t="s">
        <v>20</v>
      </c>
      <c r="V151" s="18" t="s">
        <v>21</v>
      </c>
      <c r="W151" s="18" t="s">
        <v>20</v>
      </c>
      <c r="X151" s="18" t="s">
        <v>20</v>
      </c>
      <c r="Y151" s="19" t="s">
        <v>20</v>
      </c>
      <c r="Z151" s="18" t="s">
        <v>20</v>
      </c>
      <c r="AA151" s="72" t="s">
        <v>21</v>
      </c>
      <c r="AB151" s="72" t="s">
        <v>23</v>
      </c>
      <c r="AC151" s="18" t="s">
        <v>21</v>
      </c>
      <c r="AD151" s="29" t="s">
        <v>21</v>
      </c>
      <c r="AE151" s="29" t="s">
        <v>21</v>
      </c>
      <c r="AF151">
        <f>+COUNTIF(F151:AE151,"AD")</f>
        <v>0</v>
      </c>
      <c r="AG151">
        <f>+COUNTIF(F151:AE151,"A")</f>
        <v>9</v>
      </c>
      <c r="AH151">
        <f>+COUNTIF(F151:AE151,"b")</f>
        <v>16</v>
      </c>
      <c r="AI151">
        <f>+COUNTIF(F151:AE151,"c")</f>
        <v>1</v>
      </c>
      <c r="AK151">
        <f>+$AF$5*AF151</f>
        <v>0</v>
      </c>
      <c r="AL151">
        <f>+$AG$5*AG151</f>
        <v>27</v>
      </c>
      <c r="AM151">
        <f>+$AH$5*AH151</f>
        <v>32</v>
      </c>
      <c r="AN151">
        <f>+$AI$5*AI151</f>
        <v>1</v>
      </c>
      <c r="AO151">
        <f>+SUM(AK151:AN151)</f>
        <v>60</v>
      </c>
    </row>
    <row r="152" spans="1:41" ht="15.75" customHeight="1" x14ac:dyDescent="0.3">
      <c r="A152" s="16"/>
      <c r="B152" s="55">
        <v>4</v>
      </c>
      <c r="C152" s="71" t="s">
        <v>89</v>
      </c>
      <c r="D152" s="55">
        <v>2</v>
      </c>
      <c r="E152" s="55" t="s">
        <v>21</v>
      </c>
      <c r="F152" s="18" t="s">
        <v>20</v>
      </c>
      <c r="G152" s="18" t="s">
        <v>21</v>
      </c>
      <c r="H152" s="18" t="s">
        <v>21</v>
      </c>
      <c r="I152" s="18" t="s">
        <v>21</v>
      </c>
      <c r="J152" s="18" t="s">
        <v>21</v>
      </c>
      <c r="K152" s="18" t="s">
        <v>21</v>
      </c>
      <c r="L152" s="18" t="s">
        <v>21</v>
      </c>
      <c r="M152" s="18" t="s">
        <v>21</v>
      </c>
      <c r="N152" s="18" t="s">
        <v>20</v>
      </c>
      <c r="O152" s="18" t="s">
        <v>21</v>
      </c>
      <c r="P152" s="18" t="s">
        <v>20</v>
      </c>
      <c r="Q152" s="18" t="s">
        <v>20</v>
      </c>
      <c r="R152" s="18" t="s">
        <v>20</v>
      </c>
      <c r="S152" s="18" t="s">
        <v>20</v>
      </c>
      <c r="T152" s="18" t="s">
        <v>20</v>
      </c>
      <c r="U152" s="18" t="s">
        <v>21</v>
      </c>
      <c r="V152" s="37" t="s">
        <v>20</v>
      </c>
      <c r="W152" s="37" t="s">
        <v>21</v>
      </c>
      <c r="X152" s="37" t="s">
        <v>21</v>
      </c>
      <c r="Y152" s="18" t="s">
        <v>21</v>
      </c>
      <c r="Z152" s="18" t="s">
        <v>21</v>
      </c>
      <c r="AA152" s="18" t="s">
        <v>21</v>
      </c>
      <c r="AB152" s="18" t="s">
        <v>21</v>
      </c>
      <c r="AC152" s="18" t="s">
        <v>21</v>
      </c>
      <c r="AD152" s="18" t="s">
        <v>21</v>
      </c>
      <c r="AE152" s="18" t="s">
        <v>21</v>
      </c>
      <c r="AF152">
        <f>+COUNTIF(F152:AE152,"AD")</f>
        <v>0</v>
      </c>
      <c r="AG152">
        <f>+COUNTIF(F152:AE152,"A")</f>
        <v>8</v>
      </c>
      <c r="AH152">
        <f>+COUNTIF(F152:AE152,"b")</f>
        <v>18</v>
      </c>
      <c r="AI152">
        <f>+COUNTIF(F152:AE152,"c")</f>
        <v>0</v>
      </c>
      <c r="AK152">
        <f>+$AF$5*AF152</f>
        <v>0</v>
      </c>
      <c r="AL152">
        <f>+$AG$5*AG152</f>
        <v>24</v>
      </c>
      <c r="AM152">
        <f>+$AH$5*AH152</f>
        <v>36</v>
      </c>
      <c r="AN152">
        <f>+$AI$5*AI152</f>
        <v>0</v>
      </c>
      <c r="AO152">
        <f>+SUM(AK152:AN152)</f>
        <v>60</v>
      </c>
    </row>
    <row r="153" spans="1:41" ht="15.75" customHeight="1" x14ac:dyDescent="0.3">
      <c r="A153" s="16"/>
      <c r="B153" s="55">
        <v>5</v>
      </c>
      <c r="C153" s="71" t="s">
        <v>90</v>
      </c>
      <c r="D153" s="55">
        <v>2</v>
      </c>
      <c r="E153" s="55" t="s">
        <v>21</v>
      </c>
      <c r="F153" s="18" t="s">
        <v>20</v>
      </c>
      <c r="G153" s="18" t="s">
        <v>20</v>
      </c>
      <c r="H153" s="18" t="s">
        <v>20</v>
      </c>
      <c r="I153" s="18" t="s">
        <v>20</v>
      </c>
      <c r="J153" s="18" t="s">
        <v>21</v>
      </c>
      <c r="K153" s="18" t="s">
        <v>20</v>
      </c>
      <c r="L153" s="18" t="s">
        <v>20</v>
      </c>
      <c r="M153" s="18" t="s">
        <v>21</v>
      </c>
      <c r="N153" s="18" t="s">
        <v>20</v>
      </c>
      <c r="O153" s="18" t="s">
        <v>20</v>
      </c>
      <c r="P153" s="18" t="s">
        <v>21</v>
      </c>
      <c r="Q153" s="18" t="s">
        <v>21</v>
      </c>
      <c r="R153" s="18" t="s">
        <v>21</v>
      </c>
      <c r="S153" s="18" t="s">
        <v>21</v>
      </c>
      <c r="T153" s="18" t="s">
        <v>20</v>
      </c>
      <c r="U153" s="18" t="s">
        <v>21</v>
      </c>
      <c r="V153" s="37" t="s">
        <v>21</v>
      </c>
      <c r="W153" s="37" t="s">
        <v>21</v>
      </c>
      <c r="X153" s="37" t="s">
        <v>21</v>
      </c>
      <c r="Y153" s="18" t="s">
        <v>21</v>
      </c>
      <c r="Z153" s="18" t="s">
        <v>20</v>
      </c>
      <c r="AA153" s="18" t="s">
        <v>21</v>
      </c>
      <c r="AB153" s="18" t="s">
        <v>23</v>
      </c>
      <c r="AC153" s="18" t="s">
        <v>21</v>
      </c>
      <c r="AD153" s="18" t="s">
        <v>23</v>
      </c>
      <c r="AE153" s="18" t="s">
        <v>21</v>
      </c>
      <c r="AF153">
        <f>+COUNTIF(F153:AE153,"AD")</f>
        <v>0</v>
      </c>
      <c r="AG153">
        <f>+COUNTIF(F153:AE153,"A")</f>
        <v>10</v>
      </c>
      <c r="AH153">
        <f>+COUNTIF(F153:AE153,"b")</f>
        <v>14</v>
      </c>
      <c r="AI153">
        <f>+COUNTIF(F153:AE153,"c")</f>
        <v>2</v>
      </c>
      <c r="AK153">
        <f>+$AF$5*AF153</f>
        <v>0</v>
      </c>
      <c r="AL153">
        <f>+$AG$5*AG153</f>
        <v>30</v>
      </c>
      <c r="AM153">
        <f>+$AH$5*AH153</f>
        <v>28</v>
      </c>
      <c r="AN153">
        <f>+$AI$5*AI153</f>
        <v>2</v>
      </c>
      <c r="AO153">
        <f>+SUM(AK153:AN153)</f>
        <v>60</v>
      </c>
    </row>
    <row r="154" spans="1:41" ht="15.75" customHeight="1" x14ac:dyDescent="0.3">
      <c r="A154" s="16"/>
      <c r="B154" s="55">
        <v>9</v>
      </c>
      <c r="C154" s="71" t="s">
        <v>94</v>
      </c>
      <c r="D154" s="55">
        <v>2</v>
      </c>
      <c r="E154" s="55" t="s">
        <v>21</v>
      </c>
      <c r="F154" s="18" t="s">
        <v>20</v>
      </c>
      <c r="G154" s="18" t="s">
        <v>21</v>
      </c>
      <c r="H154" s="18" t="s">
        <v>21</v>
      </c>
      <c r="I154" s="18" t="s">
        <v>21</v>
      </c>
      <c r="J154" s="18" t="s">
        <v>21</v>
      </c>
      <c r="K154" s="18" t="s">
        <v>21</v>
      </c>
      <c r="L154" s="18" t="s">
        <v>21</v>
      </c>
      <c r="M154" s="18" t="s">
        <v>21</v>
      </c>
      <c r="N154" s="18" t="s">
        <v>21</v>
      </c>
      <c r="O154" s="18" t="s">
        <v>20</v>
      </c>
      <c r="P154" s="18" t="s">
        <v>21</v>
      </c>
      <c r="Q154" s="18" t="s">
        <v>21</v>
      </c>
      <c r="R154" s="18" t="s">
        <v>21</v>
      </c>
      <c r="S154" s="18" t="s">
        <v>21</v>
      </c>
      <c r="T154" s="18" t="s">
        <v>20</v>
      </c>
      <c r="U154" s="18" t="s">
        <v>20</v>
      </c>
      <c r="V154" s="37" t="s">
        <v>20</v>
      </c>
      <c r="W154" s="37" t="s">
        <v>20</v>
      </c>
      <c r="X154" s="37" t="s">
        <v>20</v>
      </c>
      <c r="Y154" s="18" t="s">
        <v>20</v>
      </c>
      <c r="Z154" s="18" t="s">
        <v>21</v>
      </c>
      <c r="AA154" s="18" t="s">
        <v>21</v>
      </c>
      <c r="AB154" s="18" t="s">
        <v>21</v>
      </c>
      <c r="AC154" s="18" t="s">
        <v>21</v>
      </c>
      <c r="AD154" s="18" t="s">
        <v>21</v>
      </c>
      <c r="AE154" s="18" t="s">
        <v>21</v>
      </c>
      <c r="AF154">
        <f>+COUNTIF(F154:AE154,"AD")</f>
        <v>0</v>
      </c>
      <c r="AG154">
        <f>+COUNTIF(F154:AE154,"A")</f>
        <v>8</v>
      </c>
      <c r="AH154">
        <f>+COUNTIF(F154:AE154,"b")</f>
        <v>18</v>
      </c>
      <c r="AI154">
        <f>+COUNTIF(F154:AE154,"c")</f>
        <v>0</v>
      </c>
      <c r="AK154">
        <f>+$AF$5*AF154</f>
        <v>0</v>
      </c>
      <c r="AL154">
        <f>+$AG$5*AG154</f>
        <v>24</v>
      </c>
      <c r="AM154">
        <f>+$AH$5*AH154</f>
        <v>36</v>
      </c>
      <c r="AN154">
        <f>+$AI$5*AI154</f>
        <v>0</v>
      </c>
      <c r="AO154">
        <f>+SUM(AK154:AN154)</f>
        <v>60</v>
      </c>
    </row>
    <row r="155" spans="1:41" ht="15.75" customHeight="1" x14ac:dyDescent="0.3">
      <c r="A155" s="16"/>
      <c r="B155" s="55">
        <v>8</v>
      </c>
      <c r="C155" s="71" t="s">
        <v>135</v>
      </c>
      <c r="D155" s="55">
        <v>3</v>
      </c>
      <c r="E155" s="55" t="s">
        <v>21</v>
      </c>
      <c r="F155" s="18" t="s">
        <v>21</v>
      </c>
      <c r="G155" s="18" t="s">
        <v>23</v>
      </c>
      <c r="H155" s="18" t="s">
        <v>21</v>
      </c>
      <c r="I155" s="18" t="s">
        <v>21</v>
      </c>
      <c r="J155" s="18" t="s">
        <v>20</v>
      </c>
      <c r="K155" s="18" t="s">
        <v>20</v>
      </c>
      <c r="L155" s="18" t="s">
        <v>21</v>
      </c>
      <c r="M155" s="18" t="s">
        <v>20</v>
      </c>
      <c r="N155" s="18" t="s">
        <v>21</v>
      </c>
      <c r="O155" s="18" t="s">
        <v>20</v>
      </c>
      <c r="P155" s="18" t="s">
        <v>21</v>
      </c>
      <c r="Q155" s="18" t="s">
        <v>21</v>
      </c>
      <c r="R155" s="18" t="s">
        <v>21</v>
      </c>
      <c r="S155" s="18" t="s">
        <v>20</v>
      </c>
      <c r="T155" s="18" t="s">
        <v>20</v>
      </c>
      <c r="U155" s="18" t="s">
        <v>20</v>
      </c>
      <c r="V155" s="37" t="s">
        <v>20</v>
      </c>
      <c r="W155" s="37" t="s">
        <v>21</v>
      </c>
      <c r="X155" s="37" t="s">
        <v>20</v>
      </c>
      <c r="Y155" s="18" t="s">
        <v>20</v>
      </c>
      <c r="Z155" s="18" t="s">
        <v>20</v>
      </c>
      <c r="AA155" s="18" t="s">
        <v>23</v>
      </c>
      <c r="AB155" s="18" t="s">
        <v>23</v>
      </c>
      <c r="AC155" s="18" t="s">
        <v>21</v>
      </c>
      <c r="AD155" s="29" t="s">
        <v>21</v>
      </c>
      <c r="AE155" s="29" t="s">
        <v>21</v>
      </c>
      <c r="AF155">
        <f>+COUNTIF(F155:AE155,"AD")</f>
        <v>0</v>
      </c>
      <c r="AG155">
        <f>+COUNTIF(F155:AE155,"A")</f>
        <v>11</v>
      </c>
      <c r="AH155">
        <f>+COUNTIF(F155:AE155,"b")</f>
        <v>12</v>
      </c>
      <c r="AI155">
        <f>+COUNTIF(F155:AE155,"c")</f>
        <v>3</v>
      </c>
      <c r="AK155">
        <f>+$AF$5*AF155</f>
        <v>0</v>
      </c>
      <c r="AL155">
        <f>+$AG$5*AG155</f>
        <v>33</v>
      </c>
      <c r="AM155">
        <f>+$AH$5*AH155</f>
        <v>24</v>
      </c>
      <c r="AN155">
        <f>+$AI$5*AI155</f>
        <v>3</v>
      </c>
      <c r="AO155">
        <f>+SUM(AK155:AN155)</f>
        <v>60</v>
      </c>
    </row>
    <row r="156" spans="1:41" ht="15.75" customHeight="1" x14ac:dyDescent="0.3">
      <c r="A156" s="16"/>
      <c r="B156" s="55">
        <v>10</v>
      </c>
      <c r="C156" s="71" t="s">
        <v>158</v>
      </c>
      <c r="D156" s="55">
        <v>4</v>
      </c>
      <c r="E156" s="55" t="s">
        <v>20</v>
      </c>
      <c r="F156" s="18" t="s">
        <v>21</v>
      </c>
      <c r="G156" s="18" t="s">
        <v>23</v>
      </c>
      <c r="H156" s="18" t="s">
        <v>21</v>
      </c>
      <c r="I156" s="18" t="s">
        <v>23</v>
      </c>
      <c r="J156" s="69" t="s">
        <v>20</v>
      </c>
      <c r="K156" s="69" t="s">
        <v>21</v>
      </c>
      <c r="L156" s="69" t="s">
        <v>21</v>
      </c>
      <c r="M156" s="18" t="s">
        <v>21</v>
      </c>
      <c r="N156" s="18" t="s">
        <v>21</v>
      </c>
      <c r="O156" s="18" t="s">
        <v>20</v>
      </c>
      <c r="P156" s="18" t="s">
        <v>21</v>
      </c>
      <c r="Q156" s="18" t="s">
        <v>21</v>
      </c>
      <c r="R156" s="18" t="s">
        <v>21</v>
      </c>
      <c r="S156" s="18" t="s">
        <v>21</v>
      </c>
      <c r="T156" s="18" t="s">
        <v>20</v>
      </c>
      <c r="U156" s="18" t="s">
        <v>20</v>
      </c>
      <c r="V156" s="37" t="s">
        <v>20</v>
      </c>
      <c r="W156" s="37" t="s">
        <v>20</v>
      </c>
      <c r="X156" s="37" t="s">
        <v>20</v>
      </c>
      <c r="Y156" s="18" t="s">
        <v>20</v>
      </c>
      <c r="Z156" s="18" t="s">
        <v>21</v>
      </c>
      <c r="AA156" s="18" t="s">
        <v>20</v>
      </c>
      <c r="AB156" s="18" t="s">
        <v>20</v>
      </c>
      <c r="AC156" s="18" t="s">
        <v>20</v>
      </c>
      <c r="AD156" s="18" t="s">
        <v>23</v>
      </c>
      <c r="AE156" s="18" t="s">
        <v>21</v>
      </c>
      <c r="AF156">
        <f>+COUNTIF(F156:AE156,"AD")</f>
        <v>0</v>
      </c>
      <c r="AG156">
        <f>+COUNTIF(F156:AE156,"A")</f>
        <v>11</v>
      </c>
      <c r="AH156">
        <f>+COUNTIF(F156:AE156,"b")</f>
        <v>12</v>
      </c>
      <c r="AI156">
        <f>+COUNTIF(F156:AE156,"c")</f>
        <v>3</v>
      </c>
      <c r="AK156">
        <f>+$AF$5*AF156</f>
        <v>0</v>
      </c>
      <c r="AL156">
        <f>+$AG$5*AG156</f>
        <v>33</v>
      </c>
      <c r="AM156">
        <f>+$AH$5*AH156</f>
        <v>24</v>
      </c>
      <c r="AN156">
        <f>+$AI$5*AI156</f>
        <v>3</v>
      </c>
      <c r="AO156">
        <f>+SUM(AK156:AN156)</f>
        <v>60</v>
      </c>
    </row>
    <row r="157" spans="1:41" ht="15.75" customHeight="1" x14ac:dyDescent="0.3">
      <c r="A157" s="16"/>
      <c r="B157" s="55">
        <v>17</v>
      </c>
      <c r="C157" s="71" t="s">
        <v>165</v>
      </c>
      <c r="D157" s="55">
        <v>4</v>
      </c>
      <c r="E157" s="55" t="s">
        <v>20</v>
      </c>
      <c r="F157" s="18" t="s">
        <v>23</v>
      </c>
      <c r="G157" s="18" t="s">
        <v>21</v>
      </c>
      <c r="H157" s="18" t="s">
        <v>21</v>
      </c>
      <c r="I157" s="18" t="s">
        <v>21</v>
      </c>
      <c r="J157" s="69" t="s">
        <v>20</v>
      </c>
      <c r="K157" s="69" t="s">
        <v>20</v>
      </c>
      <c r="L157" s="69" t="s">
        <v>21</v>
      </c>
      <c r="M157" s="18" t="s">
        <v>21</v>
      </c>
      <c r="N157" s="18" t="s">
        <v>21</v>
      </c>
      <c r="O157" s="18" t="s">
        <v>20</v>
      </c>
      <c r="P157" s="18" t="s">
        <v>21</v>
      </c>
      <c r="Q157" s="18" t="s">
        <v>21</v>
      </c>
      <c r="R157" s="18" t="s">
        <v>21</v>
      </c>
      <c r="S157" s="18" t="s">
        <v>20</v>
      </c>
      <c r="T157" s="18" t="s">
        <v>20</v>
      </c>
      <c r="U157" s="18" t="s">
        <v>21</v>
      </c>
      <c r="V157" s="37" t="s">
        <v>21</v>
      </c>
      <c r="W157" s="37" t="s">
        <v>21</v>
      </c>
      <c r="X157" s="37" t="s">
        <v>21</v>
      </c>
      <c r="Y157" s="18" t="s">
        <v>20</v>
      </c>
      <c r="Z157" s="18" t="s">
        <v>20</v>
      </c>
      <c r="AA157" s="18" t="s">
        <v>21</v>
      </c>
      <c r="AB157" s="18" t="s">
        <v>21</v>
      </c>
      <c r="AC157" s="18" t="s">
        <v>20</v>
      </c>
      <c r="AD157" s="18" t="s">
        <v>20</v>
      </c>
      <c r="AE157" s="18" t="s">
        <v>21</v>
      </c>
      <c r="AF157">
        <f>+COUNTIF(F157:AE157,"AD")</f>
        <v>0</v>
      </c>
      <c r="AG157">
        <f>+COUNTIF(F157:AE157,"A")</f>
        <v>9</v>
      </c>
      <c r="AH157">
        <f>+COUNTIF(F157:AE157,"b")</f>
        <v>16</v>
      </c>
      <c r="AI157">
        <f>+COUNTIF(F157:AE157,"c")</f>
        <v>1</v>
      </c>
      <c r="AK157">
        <f>+$AF$5*AF157</f>
        <v>0</v>
      </c>
      <c r="AL157">
        <f>+$AG$5*AG157</f>
        <v>27</v>
      </c>
      <c r="AM157">
        <f>+$AH$5*AH157</f>
        <v>32</v>
      </c>
      <c r="AN157">
        <f>+$AI$5*AI157</f>
        <v>1</v>
      </c>
      <c r="AO157">
        <f>+SUM(AK157:AN157)</f>
        <v>60</v>
      </c>
    </row>
    <row r="158" spans="1:41" ht="15.75" customHeight="1" x14ac:dyDescent="0.3">
      <c r="A158" s="16"/>
      <c r="B158" s="55">
        <v>22</v>
      </c>
      <c r="C158" s="71" t="s">
        <v>246</v>
      </c>
      <c r="D158" s="55">
        <v>5</v>
      </c>
      <c r="E158" s="55" t="s">
        <v>21</v>
      </c>
      <c r="F158" s="18" t="s">
        <v>21</v>
      </c>
      <c r="G158" s="18" t="s">
        <v>21</v>
      </c>
      <c r="H158" s="18" t="s">
        <v>21</v>
      </c>
      <c r="I158" s="18" t="s">
        <v>21</v>
      </c>
      <c r="J158" s="18" t="s">
        <v>21</v>
      </c>
      <c r="K158" s="18" t="s">
        <v>20</v>
      </c>
      <c r="L158" s="18" t="s">
        <v>20</v>
      </c>
      <c r="M158" s="18" t="s">
        <v>20</v>
      </c>
      <c r="N158" s="18" t="s">
        <v>20</v>
      </c>
      <c r="O158" s="18" t="s">
        <v>20</v>
      </c>
      <c r="P158" s="18" t="s">
        <v>21</v>
      </c>
      <c r="Q158" s="18" t="s">
        <v>21</v>
      </c>
      <c r="R158" s="18" t="s">
        <v>23</v>
      </c>
      <c r="S158" s="18" t="s">
        <v>21</v>
      </c>
      <c r="T158" s="18" t="s">
        <v>21</v>
      </c>
      <c r="U158" s="18" t="s">
        <v>20</v>
      </c>
      <c r="V158" s="37" t="s">
        <v>20</v>
      </c>
      <c r="W158" s="37" t="s">
        <v>20</v>
      </c>
      <c r="X158" s="37" t="s">
        <v>20</v>
      </c>
      <c r="Y158" s="18" t="s">
        <v>21</v>
      </c>
      <c r="Z158" s="18" t="s">
        <v>20</v>
      </c>
      <c r="AA158" s="18" t="s">
        <v>21</v>
      </c>
      <c r="AB158" s="18" t="s">
        <v>21</v>
      </c>
      <c r="AC158" s="18" t="s">
        <v>21</v>
      </c>
      <c r="AD158" s="47" t="s">
        <v>23</v>
      </c>
      <c r="AE158" s="47" t="s">
        <v>21</v>
      </c>
      <c r="AF158">
        <f>+COUNTIF(F158:AE158,"AD")</f>
        <v>0</v>
      </c>
      <c r="AG158">
        <f>+COUNTIF(F158:AE158,"A")</f>
        <v>10</v>
      </c>
      <c r="AH158">
        <f>+COUNTIF(F158:AE158,"b")</f>
        <v>14</v>
      </c>
      <c r="AI158">
        <f>+COUNTIF(F158:AE158,"c")</f>
        <v>2</v>
      </c>
      <c r="AK158">
        <f>+$AF$5*AF158</f>
        <v>0</v>
      </c>
      <c r="AL158">
        <f>+$AG$5*AG158</f>
        <v>30</v>
      </c>
      <c r="AM158">
        <f>+$AH$5*AH158</f>
        <v>28</v>
      </c>
      <c r="AN158">
        <f>+$AI$5*AI158</f>
        <v>2</v>
      </c>
      <c r="AO158">
        <f>+SUM(AK158:AN158)</f>
        <v>60</v>
      </c>
    </row>
    <row r="159" spans="1:41" ht="15.75" customHeight="1" x14ac:dyDescent="0.3">
      <c r="A159" s="16"/>
      <c r="B159" s="55">
        <v>11</v>
      </c>
      <c r="C159" s="71" t="s">
        <v>32</v>
      </c>
      <c r="D159" s="55">
        <v>1</v>
      </c>
      <c r="E159" s="55" t="s">
        <v>20</v>
      </c>
      <c r="F159" s="18" t="s">
        <v>21</v>
      </c>
      <c r="G159" s="18" t="s">
        <v>21</v>
      </c>
      <c r="H159" s="18" t="s">
        <v>21</v>
      </c>
      <c r="I159" s="18" t="s">
        <v>21</v>
      </c>
      <c r="J159" s="18" t="s">
        <v>20</v>
      </c>
      <c r="K159" s="18" t="s">
        <v>20</v>
      </c>
      <c r="L159" s="18" t="s">
        <v>20</v>
      </c>
      <c r="M159" s="19" t="s">
        <v>21</v>
      </c>
      <c r="N159" s="19" t="s">
        <v>21</v>
      </c>
      <c r="O159" s="19" t="s">
        <v>20</v>
      </c>
      <c r="P159" s="19" t="s">
        <v>21</v>
      </c>
      <c r="Q159" s="18" t="s">
        <v>21</v>
      </c>
      <c r="R159" s="18" t="s">
        <v>23</v>
      </c>
      <c r="S159" s="19" t="s">
        <v>21</v>
      </c>
      <c r="T159" s="18" t="s">
        <v>20</v>
      </c>
      <c r="U159" s="18" t="s">
        <v>21</v>
      </c>
      <c r="V159" s="18" t="s">
        <v>20</v>
      </c>
      <c r="W159" s="18" t="s">
        <v>21</v>
      </c>
      <c r="X159" s="18" t="s">
        <v>20</v>
      </c>
      <c r="Y159" s="19" t="s">
        <v>20</v>
      </c>
      <c r="Z159" s="19" t="s">
        <v>20</v>
      </c>
      <c r="AA159" s="18" t="s">
        <v>21</v>
      </c>
      <c r="AB159" s="18" t="s">
        <v>21</v>
      </c>
      <c r="AC159" s="18" t="s">
        <v>23</v>
      </c>
      <c r="AD159" s="19" t="s">
        <v>21</v>
      </c>
      <c r="AE159" s="19" t="s">
        <v>21</v>
      </c>
      <c r="AF159">
        <f>+COUNTIF(F159:AE159,"AD")</f>
        <v>0</v>
      </c>
      <c r="AG159">
        <f>+COUNTIF(F159:AE159,"A")</f>
        <v>9</v>
      </c>
      <c r="AH159">
        <f>+COUNTIF(F159:AE159,"b")</f>
        <v>15</v>
      </c>
      <c r="AI159">
        <f>+COUNTIF(F159:AE159,"c")</f>
        <v>2</v>
      </c>
      <c r="AK159">
        <f>+$AF$5*AF159</f>
        <v>0</v>
      </c>
      <c r="AL159">
        <f>+$AG$5*AG159</f>
        <v>27</v>
      </c>
      <c r="AM159">
        <f>+$AH$5*AH159</f>
        <v>30</v>
      </c>
      <c r="AN159">
        <f>+$AI$5*AI159</f>
        <v>2</v>
      </c>
      <c r="AO159">
        <f>+SUM(AK159:AN159)</f>
        <v>59</v>
      </c>
    </row>
    <row r="160" spans="1:41" ht="15.75" customHeight="1" x14ac:dyDescent="0.3">
      <c r="A160" s="16"/>
      <c r="B160" s="55">
        <v>15</v>
      </c>
      <c r="C160" s="71" t="s">
        <v>36</v>
      </c>
      <c r="D160" s="55">
        <v>1</v>
      </c>
      <c r="E160" s="55" t="s">
        <v>20</v>
      </c>
      <c r="F160" s="18" t="s">
        <v>21</v>
      </c>
      <c r="G160" s="18" t="s">
        <v>21</v>
      </c>
      <c r="H160" s="18" t="s">
        <v>21</v>
      </c>
      <c r="I160" s="18" t="s">
        <v>21</v>
      </c>
      <c r="J160" s="18" t="s">
        <v>21</v>
      </c>
      <c r="K160" s="18" t="s">
        <v>21</v>
      </c>
      <c r="L160" s="18" t="s">
        <v>21</v>
      </c>
      <c r="M160" s="19" t="s">
        <v>20</v>
      </c>
      <c r="N160" s="19" t="s">
        <v>21</v>
      </c>
      <c r="O160" s="19" t="s">
        <v>20</v>
      </c>
      <c r="P160" s="19" t="s">
        <v>21</v>
      </c>
      <c r="Q160" s="18" t="s">
        <v>21</v>
      </c>
      <c r="R160" s="18" t="s">
        <v>21</v>
      </c>
      <c r="S160" s="19" t="s">
        <v>20</v>
      </c>
      <c r="T160" s="18" t="s">
        <v>21</v>
      </c>
      <c r="U160" s="18" t="s">
        <v>21</v>
      </c>
      <c r="V160" s="18" t="s">
        <v>21</v>
      </c>
      <c r="W160" s="18" t="s">
        <v>20</v>
      </c>
      <c r="X160" s="18" t="s">
        <v>20</v>
      </c>
      <c r="Y160" s="19" t="s">
        <v>20</v>
      </c>
      <c r="Z160" s="19" t="s">
        <v>20</v>
      </c>
      <c r="AA160" s="18" t="s">
        <v>21</v>
      </c>
      <c r="AB160" s="18" t="s">
        <v>21</v>
      </c>
      <c r="AC160" s="18" t="s">
        <v>23</v>
      </c>
      <c r="AD160" s="19" t="s">
        <v>20</v>
      </c>
      <c r="AE160" s="19" t="s">
        <v>21</v>
      </c>
      <c r="AF160">
        <f>+COUNTIF(F160:AE160,"AD")</f>
        <v>0</v>
      </c>
      <c r="AG160">
        <f>+COUNTIF(F160:AE160,"A")</f>
        <v>8</v>
      </c>
      <c r="AH160">
        <f>+COUNTIF(F160:AE160,"b")</f>
        <v>17</v>
      </c>
      <c r="AI160">
        <f>+COUNTIF(F160:AE160,"c")</f>
        <v>1</v>
      </c>
      <c r="AK160">
        <f>+$AF$5*AF160</f>
        <v>0</v>
      </c>
      <c r="AL160">
        <f>+$AG$5*AG160</f>
        <v>24</v>
      </c>
      <c r="AM160">
        <f>+$AH$5*AH160</f>
        <v>34</v>
      </c>
      <c r="AN160">
        <f>+$AI$5*AI160</f>
        <v>1</v>
      </c>
      <c r="AO160">
        <f>+SUM(AK160:AN160)</f>
        <v>59</v>
      </c>
    </row>
    <row r="161" spans="1:41" ht="15.75" customHeight="1" x14ac:dyDescent="0.3">
      <c r="A161" s="16"/>
      <c r="B161" s="55">
        <v>5</v>
      </c>
      <c r="C161" s="71" t="s">
        <v>66</v>
      </c>
      <c r="D161" s="55">
        <v>2</v>
      </c>
      <c r="E161" s="55" t="s">
        <v>20</v>
      </c>
      <c r="F161" s="18" t="s">
        <v>21</v>
      </c>
      <c r="G161" s="18" t="s">
        <v>21</v>
      </c>
      <c r="H161" s="18" t="s">
        <v>21</v>
      </c>
      <c r="I161" s="18" t="s">
        <v>21</v>
      </c>
      <c r="J161" s="18" t="s">
        <v>21</v>
      </c>
      <c r="K161" s="18" t="s">
        <v>21</v>
      </c>
      <c r="L161" s="18" t="s">
        <v>21</v>
      </c>
      <c r="M161" s="18" t="s">
        <v>21</v>
      </c>
      <c r="N161" s="18" t="s">
        <v>21</v>
      </c>
      <c r="O161" s="18" t="s">
        <v>20</v>
      </c>
      <c r="P161" s="18" t="s">
        <v>21</v>
      </c>
      <c r="Q161" s="18" t="s">
        <v>21</v>
      </c>
      <c r="R161" s="18" t="s">
        <v>21</v>
      </c>
      <c r="S161" s="18" t="s">
        <v>20</v>
      </c>
      <c r="T161" s="18" t="s">
        <v>21</v>
      </c>
      <c r="U161" s="18" t="s">
        <v>20</v>
      </c>
      <c r="V161" s="35" t="s">
        <v>20</v>
      </c>
      <c r="W161" s="35" t="s">
        <v>20</v>
      </c>
      <c r="X161" s="36" t="s">
        <v>20</v>
      </c>
      <c r="Y161" s="19" t="s">
        <v>20</v>
      </c>
      <c r="Z161" s="18" t="s">
        <v>20</v>
      </c>
      <c r="AA161" s="18" t="s">
        <v>21</v>
      </c>
      <c r="AB161" s="18" t="s">
        <v>21</v>
      </c>
      <c r="AC161" s="18" t="s">
        <v>23</v>
      </c>
      <c r="AD161" s="29" t="s">
        <v>21</v>
      </c>
      <c r="AE161" s="29" t="s">
        <v>21</v>
      </c>
      <c r="AF161">
        <f>+COUNTIF(F161:AE161,"AD")</f>
        <v>0</v>
      </c>
      <c r="AG161">
        <f>+COUNTIF(F161:AE161,"A")</f>
        <v>8</v>
      </c>
      <c r="AH161">
        <f>+COUNTIF(F161:AE161,"b")</f>
        <v>17</v>
      </c>
      <c r="AI161">
        <f>+COUNTIF(F161:AE161,"c")</f>
        <v>1</v>
      </c>
      <c r="AK161">
        <f>+$AF$5*AF161</f>
        <v>0</v>
      </c>
      <c r="AL161">
        <f>+$AG$5*AG161</f>
        <v>24</v>
      </c>
      <c r="AM161">
        <f>+$AH$5*AH161</f>
        <v>34</v>
      </c>
      <c r="AN161">
        <f>+$AI$5*AI161</f>
        <v>1</v>
      </c>
      <c r="AO161">
        <f>+SUM(AK161:AN161)</f>
        <v>59</v>
      </c>
    </row>
    <row r="162" spans="1:41" ht="15.75" customHeight="1" x14ac:dyDescent="0.3">
      <c r="A162" s="16"/>
      <c r="B162" s="55">
        <v>6</v>
      </c>
      <c r="C162" s="71" t="s">
        <v>91</v>
      </c>
      <c r="D162" s="55">
        <v>2</v>
      </c>
      <c r="E162" s="55" t="s">
        <v>21</v>
      </c>
      <c r="F162" s="18" t="s">
        <v>21</v>
      </c>
      <c r="G162" s="18" t="s">
        <v>21</v>
      </c>
      <c r="H162" s="18" t="s">
        <v>21</v>
      </c>
      <c r="I162" s="18" t="s">
        <v>21</v>
      </c>
      <c r="J162" s="18" t="s">
        <v>21</v>
      </c>
      <c r="K162" s="18" t="s">
        <v>21</v>
      </c>
      <c r="L162" s="18" t="s">
        <v>21</v>
      </c>
      <c r="M162" s="18" t="s">
        <v>20</v>
      </c>
      <c r="N162" s="18" t="s">
        <v>20</v>
      </c>
      <c r="O162" s="18" t="s">
        <v>21</v>
      </c>
      <c r="P162" s="18" t="s">
        <v>23</v>
      </c>
      <c r="Q162" s="18" t="s">
        <v>21</v>
      </c>
      <c r="R162" s="18" t="s">
        <v>21</v>
      </c>
      <c r="S162" s="18" t="s">
        <v>21</v>
      </c>
      <c r="T162" s="18" t="s">
        <v>20</v>
      </c>
      <c r="U162" s="18" t="s">
        <v>20</v>
      </c>
      <c r="V162" s="37" t="s">
        <v>20</v>
      </c>
      <c r="W162" s="37" t="s">
        <v>20</v>
      </c>
      <c r="X162" s="37" t="s">
        <v>20</v>
      </c>
      <c r="Y162" s="18" t="s">
        <v>21</v>
      </c>
      <c r="Z162" s="18" t="s">
        <v>20</v>
      </c>
      <c r="AA162" s="18" t="s">
        <v>21</v>
      </c>
      <c r="AB162" s="18" t="s">
        <v>21</v>
      </c>
      <c r="AC162" s="18" t="s">
        <v>21</v>
      </c>
      <c r="AD162" s="18" t="s">
        <v>21</v>
      </c>
      <c r="AE162" s="18" t="s">
        <v>21</v>
      </c>
      <c r="AF162">
        <f>+COUNTIF(F162:AE162,"AD")</f>
        <v>0</v>
      </c>
      <c r="AG162">
        <f>+COUNTIF(F162:AE162,"A")</f>
        <v>8</v>
      </c>
      <c r="AH162">
        <f>+COUNTIF(F162:AE162,"b")</f>
        <v>17</v>
      </c>
      <c r="AI162">
        <f>+COUNTIF(F162:AE162,"c")</f>
        <v>1</v>
      </c>
      <c r="AK162">
        <f>+$AF$5*AF162</f>
        <v>0</v>
      </c>
      <c r="AL162">
        <f>+$AG$5*AG162</f>
        <v>24</v>
      </c>
      <c r="AM162">
        <f>+$AH$5*AH162</f>
        <v>34</v>
      </c>
      <c r="AN162">
        <f>+$AI$5*AI162</f>
        <v>1</v>
      </c>
      <c r="AO162">
        <f>+SUM(AK162:AN162)</f>
        <v>59</v>
      </c>
    </row>
    <row r="163" spans="1:41" ht="15.75" customHeight="1" x14ac:dyDescent="0.3">
      <c r="A163" s="16"/>
      <c r="B163" s="55">
        <v>10</v>
      </c>
      <c r="C163" s="71" t="s">
        <v>181</v>
      </c>
      <c r="D163" s="55">
        <v>4</v>
      </c>
      <c r="E163" s="55" t="s">
        <v>21</v>
      </c>
      <c r="F163" s="18" t="s">
        <v>21</v>
      </c>
      <c r="G163" s="18" t="s">
        <v>20</v>
      </c>
      <c r="H163" s="18" t="s">
        <v>21</v>
      </c>
      <c r="I163" s="18" t="s">
        <v>21</v>
      </c>
      <c r="J163" s="69" t="s">
        <v>20</v>
      </c>
      <c r="K163" s="69" t="s">
        <v>20</v>
      </c>
      <c r="L163" s="69" t="s">
        <v>21</v>
      </c>
      <c r="M163" s="18" t="s">
        <v>23</v>
      </c>
      <c r="N163" s="18" t="s">
        <v>20</v>
      </c>
      <c r="O163" s="18" t="s">
        <v>20</v>
      </c>
      <c r="P163" s="18" t="s">
        <v>21</v>
      </c>
      <c r="Q163" s="18" t="s">
        <v>21</v>
      </c>
      <c r="R163" s="18" t="s">
        <v>21</v>
      </c>
      <c r="S163" s="18" t="s">
        <v>20</v>
      </c>
      <c r="T163" s="18" t="s">
        <v>20</v>
      </c>
      <c r="U163" s="18" t="s">
        <v>21</v>
      </c>
      <c r="V163" s="37" t="s">
        <v>20</v>
      </c>
      <c r="W163" s="37" t="s">
        <v>20</v>
      </c>
      <c r="X163" s="37" t="s">
        <v>20</v>
      </c>
      <c r="Y163" s="18" t="s">
        <v>21</v>
      </c>
      <c r="Z163" s="18" t="s">
        <v>21</v>
      </c>
      <c r="AA163" s="18" t="s">
        <v>21</v>
      </c>
      <c r="AB163" s="18" t="s">
        <v>23</v>
      </c>
      <c r="AC163" s="18" t="s">
        <v>21</v>
      </c>
      <c r="AD163" s="18" t="s">
        <v>23</v>
      </c>
      <c r="AE163" s="18" t="s">
        <v>21</v>
      </c>
      <c r="AF163">
        <f>+COUNTIF(F163:AE163,"AD")</f>
        <v>0</v>
      </c>
      <c r="AG163">
        <f>+COUNTIF(F163:AE163,"A")</f>
        <v>10</v>
      </c>
      <c r="AH163">
        <f>+COUNTIF(F163:AE163,"b")</f>
        <v>13</v>
      </c>
      <c r="AI163">
        <f>+COUNTIF(F163:AE163,"c")</f>
        <v>3</v>
      </c>
      <c r="AK163">
        <f>+$AF$5*AF163</f>
        <v>0</v>
      </c>
      <c r="AL163">
        <f>+$AG$5*AG163</f>
        <v>30</v>
      </c>
      <c r="AM163">
        <f>+$AH$5*AH163</f>
        <v>26</v>
      </c>
      <c r="AN163">
        <f>+$AI$5*AI163</f>
        <v>3</v>
      </c>
      <c r="AO163">
        <f>+SUM(AK163:AN163)</f>
        <v>59</v>
      </c>
    </row>
    <row r="164" spans="1:41" ht="15.75" customHeight="1" x14ac:dyDescent="0.3">
      <c r="A164" s="16"/>
      <c r="B164" s="55">
        <v>1</v>
      </c>
      <c r="C164" s="71" t="s">
        <v>86</v>
      </c>
      <c r="D164" s="55">
        <v>2</v>
      </c>
      <c r="E164" s="55" t="s">
        <v>21</v>
      </c>
      <c r="F164" s="18" t="s">
        <v>21</v>
      </c>
      <c r="G164" s="18" t="s">
        <v>21</v>
      </c>
      <c r="H164" s="18" t="s">
        <v>21</v>
      </c>
      <c r="I164" s="18" t="s">
        <v>21</v>
      </c>
      <c r="J164" s="18" t="s">
        <v>21</v>
      </c>
      <c r="K164" s="18" t="s">
        <v>20</v>
      </c>
      <c r="L164" s="18" t="s">
        <v>20</v>
      </c>
      <c r="M164" s="18" t="s">
        <v>21</v>
      </c>
      <c r="N164" s="18" t="s">
        <v>21</v>
      </c>
      <c r="O164" s="18" t="s">
        <v>21</v>
      </c>
      <c r="P164" s="18" t="s">
        <v>21</v>
      </c>
      <c r="Q164" s="18" t="s">
        <v>21</v>
      </c>
      <c r="R164" s="18" t="s">
        <v>21</v>
      </c>
      <c r="S164" s="18" t="s">
        <v>21</v>
      </c>
      <c r="T164" s="18" t="s">
        <v>21</v>
      </c>
      <c r="U164" s="18" t="s">
        <v>21</v>
      </c>
      <c r="V164" s="37" t="s">
        <v>21</v>
      </c>
      <c r="W164" s="37" t="s">
        <v>20</v>
      </c>
      <c r="X164" s="37" t="s">
        <v>20</v>
      </c>
      <c r="Y164" s="18" t="s">
        <v>20</v>
      </c>
      <c r="Z164" s="18" t="s">
        <v>20</v>
      </c>
      <c r="AA164" s="18" t="s">
        <v>21</v>
      </c>
      <c r="AB164" s="18" t="s">
        <v>21</v>
      </c>
      <c r="AC164" s="18" t="s">
        <v>21</v>
      </c>
      <c r="AD164" s="18" t="s">
        <v>21</v>
      </c>
      <c r="AE164" s="18" t="s">
        <v>21</v>
      </c>
      <c r="AF164">
        <f>+COUNTIF(F164:AE164,"AD")</f>
        <v>0</v>
      </c>
      <c r="AG164">
        <f>+COUNTIF(F164:AE164,"A")</f>
        <v>6</v>
      </c>
      <c r="AH164">
        <f>+COUNTIF(F164:AE164,"b")</f>
        <v>20</v>
      </c>
      <c r="AI164">
        <f>+COUNTIF(F164:AE164,"c")</f>
        <v>0</v>
      </c>
      <c r="AK164">
        <f>+$AF$5*AF164</f>
        <v>0</v>
      </c>
      <c r="AL164">
        <f>+$AG$5*AG164</f>
        <v>18</v>
      </c>
      <c r="AM164">
        <f>+$AH$5*AH164</f>
        <v>40</v>
      </c>
      <c r="AN164">
        <f>+$AI$5*AI164</f>
        <v>0</v>
      </c>
      <c r="AO164">
        <f>+SUM(AK164:AN164)</f>
        <v>58</v>
      </c>
    </row>
    <row r="165" spans="1:41" ht="15.75" customHeight="1" x14ac:dyDescent="0.3">
      <c r="A165" s="16"/>
      <c r="B165" s="55">
        <v>18</v>
      </c>
      <c r="C165" s="71" t="s">
        <v>103</v>
      </c>
      <c r="D165" s="55">
        <v>2</v>
      </c>
      <c r="E165" s="55" t="s">
        <v>21</v>
      </c>
      <c r="F165" s="18" t="s">
        <v>20</v>
      </c>
      <c r="G165" s="18" t="s">
        <v>21</v>
      </c>
      <c r="H165" s="18" t="s">
        <v>21</v>
      </c>
      <c r="I165" s="18" t="s">
        <v>20</v>
      </c>
      <c r="J165" s="18" t="s">
        <v>21</v>
      </c>
      <c r="K165" s="18" t="s">
        <v>20</v>
      </c>
      <c r="L165" s="18" t="s">
        <v>20</v>
      </c>
      <c r="M165" s="18" t="s">
        <v>23</v>
      </c>
      <c r="N165" s="18" t="s">
        <v>20</v>
      </c>
      <c r="O165" s="18" t="s">
        <v>20</v>
      </c>
      <c r="P165" s="18" t="s">
        <v>21</v>
      </c>
      <c r="Q165" s="18" t="s">
        <v>21</v>
      </c>
      <c r="R165" s="18" t="s">
        <v>21</v>
      </c>
      <c r="S165" s="18" t="s">
        <v>20</v>
      </c>
      <c r="T165" s="18" t="s">
        <v>21</v>
      </c>
      <c r="U165" s="18" t="s">
        <v>21</v>
      </c>
      <c r="V165" s="37" t="s">
        <v>21</v>
      </c>
      <c r="W165" s="37" t="s">
        <v>21</v>
      </c>
      <c r="X165" s="37" t="s">
        <v>21</v>
      </c>
      <c r="Y165" s="18" t="s">
        <v>23</v>
      </c>
      <c r="Z165" s="18" t="s">
        <v>21</v>
      </c>
      <c r="AA165" s="18" t="s">
        <v>21</v>
      </c>
      <c r="AB165" s="18" t="s">
        <v>20</v>
      </c>
      <c r="AC165" s="18" t="s">
        <v>20</v>
      </c>
      <c r="AD165" s="18" t="s">
        <v>23</v>
      </c>
      <c r="AE165" s="18" t="s">
        <v>21</v>
      </c>
      <c r="AF165">
        <f>+COUNTIF(F165:AE165,"AD")</f>
        <v>0</v>
      </c>
      <c r="AG165">
        <f>+COUNTIF(F165:AE165,"A")</f>
        <v>9</v>
      </c>
      <c r="AH165">
        <f>+COUNTIF(F165:AE165,"b")</f>
        <v>14</v>
      </c>
      <c r="AI165">
        <f>+COUNTIF(F165:AE165,"c")</f>
        <v>3</v>
      </c>
      <c r="AK165">
        <f>+$AF$5*AF165</f>
        <v>0</v>
      </c>
      <c r="AL165">
        <f>+$AG$5*AG165</f>
        <v>27</v>
      </c>
      <c r="AM165">
        <f>+$AH$5*AH165</f>
        <v>28</v>
      </c>
      <c r="AN165">
        <f>+$AI$5*AI165</f>
        <v>3</v>
      </c>
      <c r="AO165">
        <f>+SUM(AK165:AN165)</f>
        <v>58</v>
      </c>
    </row>
    <row r="166" spans="1:41" ht="15.75" customHeight="1" x14ac:dyDescent="0.3">
      <c r="A166" s="16"/>
      <c r="B166" s="55">
        <v>12</v>
      </c>
      <c r="C166" s="71" t="s">
        <v>120</v>
      </c>
      <c r="D166" s="55">
        <v>3</v>
      </c>
      <c r="E166" s="55" t="s">
        <v>20</v>
      </c>
      <c r="F166" s="18" t="s">
        <v>21</v>
      </c>
      <c r="G166" s="18" t="s">
        <v>23</v>
      </c>
      <c r="H166" s="18" t="s">
        <v>23</v>
      </c>
      <c r="I166" s="18" t="s">
        <v>21</v>
      </c>
      <c r="J166" s="69" t="s">
        <v>21</v>
      </c>
      <c r="K166" s="69" t="s">
        <v>20</v>
      </c>
      <c r="L166" s="69" t="s">
        <v>21</v>
      </c>
      <c r="M166" s="18" t="s">
        <v>21</v>
      </c>
      <c r="N166" s="18" t="s">
        <v>21</v>
      </c>
      <c r="O166" s="18" t="s">
        <v>20</v>
      </c>
      <c r="P166" s="18" t="s">
        <v>21</v>
      </c>
      <c r="Q166" s="18" t="s">
        <v>21</v>
      </c>
      <c r="R166" s="18" t="s">
        <v>21</v>
      </c>
      <c r="S166" s="18" t="s">
        <v>21</v>
      </c>
      <c r="T166" s="18" t="s">
        <v>20</v>
      </c>
      <c r="U166" s="18" t="s">
        <v>21</v>
      </c>
      <c r="V166" s="37" t="s">
        <v>20</v>
      </c>
      <c r="W166" s="37" t="s">
        <v>21</v>
      </c>
      <c r="X166" s="37" t="s">
        <v>20</v>
      </c>
      <c r="Y166" s="18" t="s">
        <v>20</v>
      </c>
      <c r="Z166" s="18" t="s">
        <v>20</v>
      </c>
      <c r="AA166" s="18" t="s">
        <v>20</v>
      </c>
      <c r="AB166" s="18" t="s">
        <v>21</v>
      </c>
      <c r="AC166" s="18" t="s">
        <v>20</v>
      </c>
      <c r="AD166" s="37" t="s">
        <v>23</v>
      </c>
      <c r="AE166" s="37" t="s">
        <v>21</v>
      </c>
      <c r="AF166">
        <f>+COUNTIF(F166:AE166,"AD")</f>
        <v>0</v>
      </c>
      <c r="AG166">
        <f>+COUNTIF(F166:AE166,"A")</f>
        <v>9</v>
      </c>
      <c r="AH166">
        <f>+COUNTIF(F166:AE166,"b")</f>
        <v>14</v>
      </c>
      <c r="AI166">
        <f>+COUNTIF(F166:AE166,"c")</f>
        <v>3</v>
      </c>
      <c r="AK166">
        <f>+$AF$5*AF166</f>
        <v>0</v>
      </c>
      <c r="AL166">
        <f>+$AG$5*AG166</f>
        <v>27</v>
      </c>
      <c r="AM166">
        <f>+$AH$5*AH166</f>
        <v>28</v>
      </c>
      <c r="AN166">
        <f>+$AI$5*AI166</f>
        <v>3</v>
      </c>
      <c r="AO166">
        <f>+SUM(AK166:AN166)</f>
        <v>58</v>
      </c>
    </row>
    <row r="167" spans="1:41" ht="15.75" customHeight="1" x14ac:dyDescent="0.3">
      <c r="A167" s="16"/>
      <c r="B167" s="55">
        <v>25</v>
      </c>
      <c r="C167" s="71" t="s">
        <v>221</v>
      </c>
      <c r="D167" s="55">
        <v>5</v>
      </c>
      <c r="E167" s="55" t="s">
        <v>20</v>
      </c>
      <c r="F167" s="18" t="s">
        <v>23</v>
      </c>
      <c r="G167" s="18" t="s">
        <v>23</v>
      </c>
      <c r="H167" s="18" t="s">
        <v>23</v>
      </c>
      <c r="I167" s="18" t="s">
        <v>23</v>
      </c>
      <c r="J167" s="69" t="s">
        <v>20</v>
      </c>
      <c r="K167" s="69" t="s">
        <v>20</v>
      </c>
      <c r="L167" s="69" t="s">
        <v>21</v>
      </c>
      <c r="M167" s="18" t="s">
        <v>20</v>
      </c>
      <c r="N167" s="18" t="s">
        <v>20</v>
      </c>
      <c r="O167" s="18" t="s">
        <v>20</v>
      </c>
      <c r="P167" s="18" t="s">
        <v>21</v>
      </c>
      <c r="Q167" s="18" t="s">
        <v>23</v>
      </c>
      <c r="R167" s="18" t="s">
        <v>23</v>
      </c>
      <c r="S167" s="18" t="s">
        <v>21</v>
      </c>
      <c r="T167" s="18" t="s">
        <v>23</v>
      </c>
      <c r="U167" s="18" t="s">
        <v>20</v>
      </c>
      <c r="V167" s="37" t="s">
        <v>20</v>
      </c>
      <c r="W167" s="37" t="s">
        <v>20</v>
      </c>
      <c r="X167" s="37" t="s">
        <v>20</v>
      </c>
      <c r="Y167" s="18" t="s">
        <v>20</v>
      </c>
      <c r="Z167" s="18" t="s">
        <v>20</v>
      </c>
      <c r="AA167" s="18" t="s">
        <v>21</v>
      </c>
      <c r="AB167" s="18" t="s">
        <v>21</v>
      </c>
      <c r="AC167" s="18" t="s">
        <v>20</v>
      </c>
      <c r="AD167" s="18" t="s">
        <v>20</v>
      </c>
      <c r="AE167" s="18" t="s">
        <v>21</v>
      </c>
      <c r="AF167">
        <f>+COUNTIF(F167:AE167,"AD")</f>
        <v>0</v>
      </c>
      <c r="AG167">
        <f>+COUNTIF(F167:AE167,"A")</f>
        <v>13</v>
      </c>
      <c r="AH167">
        <f>+COUNTIF(F167:AE167,"b")</f>
        <v>6</v>
      </c>
      <c r="AI167">
        <f>+COUNTIF(F167:AE167,"c")</f>
        <v>7</v>
      </c>
      <c r="AK167">
        <f>+$AF$5*AF167</f>
        <v>0</v>
      </c>
      <c r="AL167">
        <f>+$AG$5*AG167</f>
        <v>39</v>
      </c>
      <c r="AM167">
        <f>+$AH$5*AH167</f>
        <v>12</v>
      </c>
      <c r="AN167">
        <f>+$AI$5*AI167</f>
        <v>7</v>
      </c>
      <c r="AO167">
        <f>+SUM(AK167:AN167)</f>
        <v>58</v>
      </c>
    </row>
    <row r="168" spans="1:41" ht="15.75" customHeight="1" x14ac:dyDescent="0.3">
      <c r="A168" s="16"/>
      <c r="B168" s="55">
        <v>10</v>
      </c>
      <c r="C168" s="71" t="s">
        <v>31</v>
      </c>
      <c r="D168" s="55">
        <v>1</v>
      </c>
      <c r="E168" s="55" t="s">
        <v>20</v>
      </c>
      <c r="F168" s="18" t="s">
        <v>21</v>
      </c>
      <c r="G168" s="18" t="s">
        <v>21</v>
      </c>
      <c r="H168" s="18" t="s">
        <v>21</v>
      </c>
      <c r="I168" s="18" t="s">
        <v>21</v>
      </c>
      <c r="J168" s="18" t="s">
        <v>21</v>
      </c>
      <c r="K168" s="18" t="s">
        <v>21</v>
      </c>
      <c r="L168" s="18" t="s">
        <v>21</v>
      </c>
      <c r="M168" s="19" t="s">
        <v>21</v>
      </c>
      <c r="N168" s="19" t="s">
        <v>21</v>
      </c>
      <c r="O168" s="19" t="s">
        <v>20</v>
      </c>
      <c r="P168" s="19" t="s">
        <v>21</v>
      </c>
      <c r="Q168" s="18" t="s">
        <v>21</v>
      </c>
      <c r="R168" s="18" t="s">
        <v>21</v>
      </c>
      <c r="S168" s="19" t="s">
        <v>20</v>
      </c>
      <c r="T168" s="18" t="s">
        <v>21</v>
      </c>
      <c r="U168" s="18" t="s">
        <v>21</v>
      </c>
      <c r="V168" s="18" t="s">
        <v>20</v>
      </c>
      <c r="W168" s="18" t="s">
        <v>20</v>
      </c>
      <c r="X168" s="18" t="s">
        <v>20</v>
      </c>
      <c r="Y168" s="19" t="s">
        <v>21</v>
      </c>
      <c r="Z168" s="19" t="s">
        <v>20</v>
      </c>
      <c r="AA168" s="18" t="s">
        <v>21</v>
      </c>
      <c r="AB168" s="18" t="s">
        <v>21</v>
      </c>
      <c r="AC168" s="18" t="s">
        <v>23</v>
      </c>
      <c r="AD168" s="19" t="s">
        <v>21</v>
      </c>
      <c r="AE168" s="19" t="s">
        <v>21</v>
      </c>
      <c r="AF168">
        <f>+COUNTIF(F168:AE168,"AD")</f>
        <v>0</v>
      </c>
      <c r="AG168">
        <f>+COUNTIF(F168:AE168,"A")</f>
        <v>6</v>
      </c>
      <c r="AH168">
        <f>+COUNTIF(F168:AE168,"b")</f>
        <v>19</v>
      </c>
      <c r="AI168">
        <f>+COUNTIF(F168:AE168,"c")</f>
        <v>1</v>
      </c>
      <c r="AK168">
        <f>+$AF$5*AF168</f>
        <v>0</v>
      </c>
      <c r="AL168">
        <f>+$AG$5*AG168</f>
        <v>18</v>
      </c>
      <c r="AM168">
        <f>+$AH$5*AH168</f>
        <v>38</v>
      </c>
      <c r="AN168">
        <f>+$AI$5*AI168</f>
        <v>1</v>
      </c>
      <c r="AO168">
        <f>+SUM(AK168:AN168)</f>
        <v>57</v>
      </c>
    </row>
    <row r="169" spans="1:41" ht="15.75" customHeight="1" x14ac:dyDescent="0.3">
      <c r="A169" s="16"/>
      <c r="B169" s="55">
        <v>15</v>
      </c>
      <c r="C169" s="71" t="s">
        <v>76</v>
      </c>
      <c r="D169" s="55">
        <v>2</v>
      </c>
      <c r="E169" s="55" t="s">
        <v>20</v>
      </c>
      <c r="F169" s="18" t="s">
        <v>20</v>
      </c>
      <c r="G169" s="18" t="s">
        <v>21</v>
      </c>
      <c r="H169" s="18" t="s">
        <v>21</v>
      </c>
      <c r="I169" s="18" t="s">
        <v>21</v>
      </c>
      <c r="J169" s="18" t="s">
        <v>20</v>
      </c>
      <c r="K169" s="18" t="s">
        <v>21</v>
      </c>
      <c r="L169" s="18" t="s">
        <v>21</v>
      </c>
      <c r="M169" s="18" t="s">
        <v>21</v>
      </c>
      <c r="N169" s="18" t="s">
        <v>21</v>
      </c>
      <c r="O169" s="18" t="s">
        <v>20</v>
      </c>
      <c r="P169" s="18" t="s">
        <v>21</v>
      </c>
      <c r="Q169" s="18" t="s">
        <v>21</v>
      </c>
      <c r="R169" s="18" t="s">
        <v>21</v>
      </c>
      <c r="S169" s="18" t="s">
        <v>20</v>
      </c>
      <c r="T169" s="18" t="s">
        <v>21</v>
      </c>
      <c r="U169" s="18" t="s">
        <v>21</v>
      </c>
      <c r="V169" s="37" t="s">
        <v>21</v>
      </c>
      <c r="W169" s="37" t="s">
        <v>20</v>
      </c>
      <c r="X169" s="37" t="s">
        <v>20</v>
      </c>
      <c r="Y169" s="18" t="s">
        <v>21</v>
      </c>
      <c r="Z169" s="18" t="s">
        <v>21</v>
      </c>
      <c r="AA169" s="18" t="s">
        <v>21</v>
      </c>
      <c r="AB169" s="18" t="s">
        <v>21</v>
      </c>
      <c r="AC169" s="18" t="s">
        <v>21</v>
      </c>
      <c r="AD169" s="29" t="s">
        <v>23</v>
      </c>
      <c r="AE169" s="29" t="s">
        <v>21</v>
      </c>
      <c r="AF169">
        <f>+COUNTIF(F169:AE169,"AD")</f>
        <v>0</v>
      </c>
      <c r="AG169">
        <f>+COUNTIF(F169:AE169,"A")</f>
        <v>6</v>
      </c>
      <c r="AH169">
        <f>+COUNTIF(F169:AE169,"b")</f>
        <v>19</v>
      </c>
      <c r="AI169">
        <f>+COUNTIF(F169:AE169,"c")</f>
        <v>1</v>
      </c>
      <c r="AK169">
        <f>+$AF$5*AF169</f>
        <v>0</v>
      </c>
      <c r="AL169">
        <f>+$AG$5*AG169</f>
        <v>18</v>
      </c>
      <c r="AM169">
        <f>+$AH$5*AH169</f>
        <v>38</v>
      </c>
      <c r="AN169">
        <f>+$AI$5*AI169</f>
        <v>1</v>
      </c>
      <c r="AO169">
        <f>+SUM(AK169:AN169)</f>
        <v>57</v>
      </c>
    </row>
    <row r="170" spans="1:41" ht="15.75" customHeight="1" x14ac:dyDescent="0.3">
      <c r="A170" s="16"/>
      <c r="B170" s="55">
        <v>10</v>
      </c>
      <c r="C170" s="71" t="s">
        <v>95</v>
      </c>
      <c r="D170" s="55">
        <v>2</v>
      </c>
      <c r="E170" s="55" t="s">
        <v>21</v>
      </c>
      <c r="F170" s="18" t="s">
        <v>21</v>
      </c>
      <c r="G170" s="18" t="s">
        <v>21</v>
      </c>
      <c r="H170" s="18" t="s">
        <v>21</v>
      </c>
      <c r="I170" s="18" t="s">
        <v>21</v>
      </c>
      <c r="J170" s="18" t="s">
        <v>21</v>
      </c>
      <c r="K170" s="18" t="s">
        <v>20</v>
      </c>
      <c r="L170" s="18" t="s">
        <v>20</v>
      </c>
      <c r="M170" s="18" t="s">
        <v>20</v>
      </c>
      <c r="N170" s="18" t="s">
        <v>21</v>
      </c>
      <c r="O170" s="18" t="s">
        <v>21</v>
      </c>
      <c r="P170" s="18" t="s">
        <v>21</v>
      </c>
      <c r="Q170" s="18" t="s">
        <v>21</v>
      </c>
      <c r="R170" s="18" t="s">
        <v>21</v>
      </c>
      <c r="S170" s="18" t="s">
        <v>21</v>
      </c>
      <c r="T170" s="18" t="s">
        <v>23</v>
      </c>
      <c r="U170" s="18" t="s">
        <v>21</v>
      </c>
      <c r="V170" s="37" t="s">
        <v>21</v>
      </c>
      <c r="W170" s="37" t="s">
        <v>20</v>
      </c>
      <c r="X170" s="37" t="s">
        <v>20</v>
      </c>
      <c r="Y170" s="18" t="s">
        <v>21</v>
      </c>
      <c r="Z170" s="18" t="s">
        <v>20</v>
      </c>
      <c r="AA170" s="18" t="s">
        <v>20</v>
      </c>
      <c r="AB170" s="18" t="s">
        <v>21</v>
      </c>
      <c r="AC170" s="18" t="s">
        <v>21</v>
      </c>
      <c r="AD170" s="18" t="s">
        <v>23</v>
      </c>
      <c r="AE170" s="18" t="s">
        <v>21</v>
      </c>
      <c r="AF170">
        <f>+COUNTIF(F170:AE170,"AD")</f>
        <v>0</v>
      </c>
      <c r="AG170">
        <f>+COUNTIF(F170:AE170,"A")</f>
        <v>7</v>
      </c>
      <c r="AH170">
        <f>+COUNTIF(F170:AE170,"b")</f>
        <v>17</v>
      </c>
      <c r="AI170">
        <f>+COUNTIF(F170:AE170,"c")</f>
        <v>2</v>
      </c>
      <c r="AK170">
        <f>+$AF$5*AF170</f>
        <v>0</v>
      </c>
      <c r="AL170">
        <f>+$AG$5*AG170</f>
        <v>21</v>
      </c>
      <c r="AM170">
        <f>+$AH$5*AH170</f>
        <v>34</v>
      </c>
      <c r="AN170">
        <f>+$AI$5*AI170</f>
        <v>2</v>
      </c>
      <c r="AO170">
        <f>+SUM(AK170:AN170)</f>
        <v>57</v>
      </c>
    </row>
    <row r="171" spans="1:41" ht="15.75" customHeight="1" x14ac:dyDescent="0.3">
      <c r="A171" s="16"/>
      <c r="B171" s="55">
        <v>11</v>
      </c>
      <c r="C171" s="71" t="s">
        <v>96</v>
      </c>
      <c r="D171" s="55">
        <v>2</v>
      </c>
      <c r="E171" s="55" t="s">
        <v>21</v>
      </c>
      <c r="F171" s="18" t="s">
        <v>21</v>
      </c>
      <c r="G171" s="18" t="s">
        <v>23</v>
      </c>
      <c r="H171" s="18" t="s">
        <v>21</v>
      </c>
      <c r="I171" s="18" t="s">
        <v>21</v>
      </c>
      <c r="J171" s="18" t="s">
        <v>21</v>
      </c>
      <c r="K171" s="18" t="s">
        <v>21</v>
      </c>
      <c r="L171" s="18" t="s">
        <v>21</v>
      </c>
      <c r="M171" s="18" t="s">
        <v>20</v>
      </c>
      <c r="N171" s="18" t="s">
        <v>20</v>
      </c>
      <c r="O171" s="18" t="s">
        <v>20</v>
      </c>
      <c r="P171" s="18" t="s">
        <v>21</v>
      </c>
      <c r="Q171" s="18" t="s">
        <v>21</v>
      </c>
      <c r="R171" s="18" t="s">
        <v>21</v>
      </c>
      <c r="S171" s="18" t="s">
        <v>21</v>
      </c>
      <c r="T171" s="18" t="s">
        <v>20</v>
      </c>
      <c r="U171" s="18" t="s">
        <v>21</v>
      </c>
      <c r="V171" s="37" t="s">
        <v>21</v>
      </c>
      <c r="W171" s="37" t="s">
        <v>20</v>
      </c>
      <c r="X171" s="37" t="s">
        <v>20</v>
      </c>
      <c r="Y171" s="18" t="s">
        <v>20</v>
      </c>
      <c r="Z171" s="18" t="s">
        <v>20</v>
      </c>
      <c r="AA171" s="18" t="s">
        <v>23</v>
      </c>
      <c r="AB171" s="18" t="s">
        <v>21</v>
      </c>
      <c r="AC171" s="18" t="s">
        <v>21</v>
      </c>
      <c r="AD171" s="18" t="s">
        <v>23</v>
      </c>
      <c r="AE171" s="18" t="s">
        <v>21</v>
      </c>
      <c r="AF171">
        <f>+COUNTIF(F171:AE171,"AD")</f>
        <v>0</v>
      </c>
      <c r="AG171">
        <f>+COUNTIF(F171:AE171,"A")</f>
        <v>8</v>
      </c>
      <c r="AH171">
        <f>+COUNTIF(F171:AE171,"b")</f>
        <v>15</v>
      </c>
      <c r="AI171">
        <f>+COUNTIF(F171:AE171,"c")</f>
        <v>3</v>
      </c>
      <c r="AK171">
        <f>+$AF$5*AF171</f>
        <v>0</v>
      </c>
      <c r="AL171">
        <f>+$AG$5*AG171</f>
        <v>24</v>
      </c>
      <c r="AM171">
        <f>+$AH$5*AH171</f>
        <v>30</v>
      </c>
      <c r="AN171">
        <f>+$AI$5*AI171</f>
        <v>3</v>
      </c>
      <c r="AO171">
        <f>+SUM(AK171:AN171)</f>
        <v>57</v>
      </c>
    </row>
    <row r="172" spans="1:41" ht="15.75" customHeight="1" x14ac:dyDescent="0.3">
      <c r="A172" s="16"/>
      <c r="B172" s="55">
        <v>1</v>
      </c>
      <c r="C172" s="71" t="s">
        <v>172</v>
      </c>
      <c r="D172" s="55">
        <v>4</v>
      </c>
      <c r="E172" s="55" t="s">
        <v>21</v>
      </c>
      <c r="F172" s="18" t="s">
        <v>23</v>
      </c>
      <c r="G172" s="18" t="s">
        <v>21</v>
      </c>
      <c r="H172" s="18" t="s">
        <v>23</v>
      </c>
      <c r="I172" s="18" t="s">
        <v>23</v>
      </c>
      <c r="J172" s="69" t="s">
        <v>20</v>
      </c>
      <c r="K172" s="69" t="s">
        <v>21</v>
      </c>
      <c r="L172" s="69" t="s">
        <v>21</v>
      </c>
      <c r="M172" s="18" t="s">
        <v>21</v>
      </c>
      <c r="N172" s="18" t="s">
        <v>20</v>
      </c>
      <c r="O172" s="18" t="s">
        <v>20</v>
      </c>
      <c r="P172" s="18" t="s">
        <v>20</v>
      </c>
      <c r="Q172" s="18" t="s">
        <v>21</v>
      </c>
      <c r="R172" s="18" t="s">
        <v>21</v>
      </c>
      <c r="S172" s="18" t="s">
        <v>21</v>
      </c>
      <c r="T172" s="18" t="s">
        <v>20</v>
      </c>
      <c r="U172" s="18" t="s">
        <v>20</v>
      </c>
      <c r="V172" s="37" t="s">
        <v>20</v>
      </c>
      <c r="W172" s="37" t="s">
        <v>20</v>
      </c>
      <c r="X172" s="37" t="s">
        <v>20</v>
      </c>
      <c r="Y172" s="18" t="s">
        <v>23</v>
      </c>
      <c r="Z172" s="18" t="s">
        <v>21</v>
      </c>
      <c r="AA172" s="18" t="s">
        <v>21</v>
      </c>
      <c r="AB172" s="18" t="s">
        <v>20</v>
      </c>
      <c r="AC172" s="18" t="s">
        <v>21</v>
      </c>
      <c r="AD172" s="18" t="s">
        <v>23</v>
      </c>
      <c r="AE172" s="18" t="s">
        <v>21</v>
      </c>
      <c r="AF172">
        <f>+COUNTIF(F172:AE172,"AD")</f>
        <v>0</v>
      </c>
      <c r="AG172">
        <f>+COUNTIF(F172:AE172,"A")</f>
        <v>10</v>
      </c>
      <c r="AH172">
        <f>+COUNTIF(F172:AE172,"b")</f>
        <v>11</v>
      </c>
      <c r="AI172">
        <f>+COUNTIF(F172:AE172,"c")</f>
        <v>5</v>
      </c>
      <c r="AK172">
        <f>+$AF$5*AF172</f>
        <v>0</v>
      </c>
      <c r="AL172">
        <f>+$AG$5*AG172</f>
        <v>30</v>
      </c>
      <c r="AM172">
        <f>+$AH$5*AH172</f>
        <v>22</v>
      </c>
      <c r="AN172">
        <f>+$AI$5*AI172</f>
        <v>5</v>
      </c>
      <c r="AO172">
        <f>+SUM(AK172:AN172)</f>
        <v>57</v>
      </c>
    </row>
    <row r="173" spans="1:41" ht="15.75" customHeight="1" x14ac:dyDescent="0.3">
      <c r="A173" s="16"/>
      <c r="B173" s="55">
        <v>3</v>
      </c>
      <c r="C173" s="71" t="s">
        <v>227</v>
      </c>
      <c r="D173" s="55">
        <v>5</v>
      </c>
      <c r="E173" s="55" t="s">
        <v>21</v>
      </c>
      <c r="F173" s="18" t="s">
        <v>21</v>
      </c>
      <c r="G173" s="18" t="s">
        <v>23</v>
      </c>
      <c r="H173" s="18" t="s">
        <v>21</v>
      </c>
      <c r="I173" s="18" t="s">
        <v>20</v>
      </c>
      <c r="J173" s="18" t="s">
        <v>21</v>
      </c>
      <c r="K173" s="18" t="s">
        <v>21</v>
      </c>
      <c r="L173" s="18" t="s">
        <v>20</v>
      </c>
      <c r="M173" s="18" t="s">
        <v>20</v>
      </c>
      <c r="N173" s="18" t="s">
        <v>21</v>
      </c>
      <c r="O173" s="18" t="s">
        <v>21</v>
      </c>
      <c r="P173" s="18" t="s">
        <v>21</v>
      </c>
      <c r="Q173" s="18" t="s">
        <v>23</v>
      </c>
      <c r="R173" s="18" t="s">
        <v>21</v>
      </c>
      <c r="S173" s="18" t="s">
        <v>21</v>
      </c>
      <c r="T173" s="18" t="s">
        <v>21</v>
      </c>
      <c r="U173" s="18" t="s">
        <v>20</v>
      </c>
      <c r="V173" s="37" t="s">
        <v>20</v>
      </c>
      <c r="W173" s="37" t="s">
        <v>21</v>
      </c>
      <c r="X173" s="37" t="s">
        <v>20</v>
      </c>
      <c r="Y173" s="18" t="s">
        <v>21</v>
      </c>
      <c r="Z173" s="18" t="s">
        <v>20</v>
      </c>
      <c r="AA173" s="18" t="s">
        <v>21</v>
      </c>
      <c r="AB173" s="18" t="s">
        <v>21</v>
      </c>
      <c r="AC173" s="18" t="s">
        <v>21</v>
      </c>
      <c r="AD173" s="18" t="s">
        <v>21</v>
      </c>
      <c r="AE173" s="18" t="s">
        <v>21</v>
      </c>
      <c r="AF173">
        <f>+COUNTIF(F173:AE173,"AD")</f>
        <v>0</v>
      </c>
      <c r="AG173">
        <f>+COUNTIF(F173:AE173,"A")</f>
        <v>7</v>
      </c>
      <c r="AH173">
        <f>+COUNTIF(F173:AE173,"b")</f>
        <v>17</v>
      </c>
      <c r="AI173">
        <f>+COUNTIF(F173:AE173,"c")</f>
        <v>2</v>
      </c>
      <c r="AK173">
        <f>+$AF$5*AF173</f>
        <v>0</v>
      </c>
      <c r="AL173">
        <f>+$AG$5*AG173</f>
        <v>21</v>
      </c>
      <c r="AM173">
        <f>+$AH$5*AH173</f>
        <v>34</v>
      </c>
      <c r="AN173">
        <f>+$AI$5*AI173</f>
        <v>2</v>
      </c>
      <c r="AO173">
        <f>+SUM(AK173:AN173)</f>
        <v>57</v>
      </c>
    </row>
    <row r="174" spans="1:41" ht="15.75" customHeight="1" x14ac:dyDescent="0.3">
      <c r="A174" s="16"/>
      <c r="B174" s="55">
        <v>17</v>
      </c>
      <c r="C174" s="71" t="s">
        <v>102</v>
      </c>
      <c r="D174" s="55">
        <v>2</v>
      </c>
      <c r="E174" s="55" t="s">
        <v>21</v>
      </c>
      <c r="F174" s="18" t="s">
        <v>20</v>
      </c>
      <c r="G174" s="18" t="s">
        <v>21</v>
      </c>
      <c r="H174" s="18" t="s">
        <v>21</v>
      </c>
      <c r="I174" s="18" t="s">
        <v>21</v>
      </c>
      <c r="J174" s="18" t="s">
        <v>21</v>
      </c>
      <c r="K174" s="18" t="s">
        <v>21</v>
      </c>
      <c r="L174" s="18" t="s">
        <v>21</v>
      </c>
      <c r="M174" s="18" t="s">
        <v>21</v>
      </c>
      <c r="N174" s="18" t="s">
        <v>20</v>
      </c>
      <c r="O174" s="18" t="s">
        <v>21</v>
      </c>
      <c r="P174" s="18" t="s">
        <v>23</v>
      </c>
      <c r="Q174" s="18" t="s">
        <v>23</v>
      </c>
      <c r="R174" s="18" t="s">
        <v>21</v>
      </c>
      <c r="S174" s="18" t="s">
        <v>21</v>
      </c>
      <c r="T174" s="18" t="s">
        <v>20</v>
      </c>
      <c r="U174" s="18" t="s">
        <v>21</v>
      </c>
      <c r="V174" s="37" t="s">
        <v>20</v>
      </c>
      <c r="W174" s="37" t="s">
        <v>20</v>
      </c>
      <c r="X174" s="37" t="s">
        <v>20</v>
      </c>
      <c r="Y174" s="18" t="s">
        <v>21</v>
      </c>
      <c r="Z174" s="18" t="s">
        <v>20</v>
      </c>
      <c r="AA174" s="18" t="s">
        <v>21</v>
      </c>
      <c r="AB174" s="18" t="s">
        <v>21</v>
      </c>
      <c r="AC174" s="18" t="s">
        <v>21</v>
      </c>
      <c r="AD174" s="18" t="s">
        <v>23</v>
      </c>
      <c r="AE174" s="18" t="s">
        <v>21</v>
      </c>
      <c r="AF174">
        <f>+COUNTIF(F174:AE174,"AD")</f>
        <v>0</v>
      </c>
      <c r="AG174">
        <f>+COUNTIF(F174:AE174,"A")</f>
        <v>7</v>
      </c>
      <c r="AH174">
        <f>+COUNTIF(F174:AE174,"b")</f>
        <v>16</v>
      </c>
      <c r="AI174">
        <f>+COUNTIF(F174:AE174,"c")</f>
        <v>3</v>
      </c>
      <c r="AK174">
        <f>+$AF$5*AF174</f>
        <v>0</v>
      </c>
      <c r="AL174">
        <f>+$AG$5*AG174</f>
        <v>21</v>
      </c>
      <c r="AM174">
        <f>+$AH$5*AH174</f>
        <v>32</v>
      </c>
      <c r="AN174">
        <f>+$AI$5*AI174</f>
        <v>3</v>
      </c>
      <c r="AO174">
        <f>+SUM(AK174:AN174)</f>
        <v>56</v>
      </c>
    </row>
    <row r="175" spans="1:41" ht="15.75" customHeight="1" x14ac:dyDescent="0.3">
      <c r="A175" s="16"/>
      <c r="B175" s="55">
        <v>19</v>
      </c>
      <c r="C175" s="71" t="s">
        <v>146</v>
      </c>
      <c r="D175" s="55">
        <v>3</v>
      </c>
      <c r="E175" s="55" t="s">
        <v>21</v>
      </c>
      <c r="F175" s="18" t="s">
        <v>21</v>
      </c>
      <c r="G175" s="18" t="s">
        <v>21</v>
      </c>
      <c r="H175" s="18" t="s">
        <v>21</v>
      </c>
      <c r="I175" s="18" t="s">
        <v>21</v>
      </c>
      <c r="J175" s="18" t="s">
        <v>21</v>
      </c>
      <c r="K175" s="18" t="s">
        <v>21</v>
      </c>
      <c r="L175" s="18" t="s">
        <v>21</v>
      </c>
      <c r="M175" s="18" t="s">
        <v>21</v>
      </c>
      <c r="N175" s="18" t="s">
        <v>20</v>
      </c>
      <c r="O175" s="18" t="s">
        <v>21</v>
      </c>
      <c r="P175" s="18" t="s">
        <v>21</v>
      </c>
      <c r="Q175" s="18" t="s">
        <v>21</v>
      </c>
      <c r="R175" s="18" t="s">
        <v>23</v>
      </c>
      <c r="S175" s="18" t="s">
        <v>21</v>
      </c>
      <c r="T175" s="18" t="s">
        <v>20</v>
      </c>
      <c r="U175" s="18" t="s">
        <v>21</v>
      </c>
      <c r="V175" s="37" t="s">
        <v>21</v>
      </c>
      <c r="W175" s="37" t="s">
        <v>20</v>
      </c>
      <c r="X175" s="37" t="s">
        <v>21</v>
      </c>
      <c r="Y175" s="18" t="s">
        <v>20</v>
      </c>
      <c r="Z175" s="18" t="s">
        <v>20</v>
      </c>
      <c r="AA175" s="18" t="s">
        <v>21</v>
      </c>
      <c r="AB175" s="18" t="s">
        <v>21</v>
      </c>
      <c r="AC175" s="18" t="s">
        <v>23</v>
      </c>
      <c r="AD175" s="29" t="s">
        <v>20</v>
      </c>
      <c r="AE175" s="29" t="s">
        <v>21</v>
      </c>
      <c r="AF175">
        <f>+COUNTIF(F175:AE175,"AD")</f>
        <v>0</v>
      </c>
      <c r="AG175">
        <f>+COUNTIF(F175:AE175,"A")</f>
        <v>6</v>
      </c>
      <c r="AH175">
        <f>+COUNTIF(F175:AE175,"b")</f>
        <v>18</v>
      </c>
      <c r="AI175">
        <f>+COUNTIF(F175:AE175,"c")</f>
        <v>2</v>
      </c>
      <c r="AK175">
        <f>+$AF$5*AF175</f>
        <v>0</v>
      </c>
      <c r="AL175">
        <f>+$AG$5*AG175</f>
        <v>18</v>
      </c>
      <c r="AM175">
        <f>+$AH$5*AH175</f>
        <v>36</v>
      </c>
      <c r="AN175">
        <f>+$AI$5*AI175</f>
        <v>2</v>
      </c>
      <c r="AO175">
        <f>+SUM(AK175:AN175)</f>
        <v>56</v>
      </c>
    </row>
    <row r="176" spans="1:41" ht="15.75" customHeight="1" x14ac:dyDescent="0.3">
      <c r="A176" s="16"/>
      <c r="B176" s="55">
        <v>25</v>
      </c>
      <c r="C176" s="71" t="s">
        <v>249</v>
      </c>
      <c r="D176" s="55">
        <v>5</v>
      </c>
      <c r="E176" s="55" t="s">
        <v>21</v>
      </c>
      <c r="F176" s="18" t="s">
        <v>21</v>
      </c>
      <c r="G176" s="18" t="s">
        <v>21</v>
      </c>
      <c r="H176" s="17" t="s">
        <v>21</v>
      </c>
      <c r="I176" s="18" t="s">
        <v>21</v>
      </c>
      <c r="J176" s="18" t="s">
        <v>21</v>
      </c>
      <c r="K176" s="18" t="s">
        <v>21</v>
      </c>
      <c r="L176" s="18" t="s">
        <v>21</v>
      </c>
      <c r="M176" s="18" t="s">
        <v>20</v>
      </c>
      <c r="N176" s="18" t="s">
        <v>21</v>
      </c>
      <c r="O176" s="18" t="s">
        <v>20</v>
      </c>
      <c r="P176" s="18" t="s">
        <v>21</v>
      </c>
      <c r="Q176" s="18" t="s">
        <v>21</v>
      </c>
      <c r="R176" s="18" t="s">
        <v>21</v>
      </c>
      <c r="S176" s="18" t="s">
        <v>21</v>
      </c>
      <c r="T176" s="18" t="s">
        <v>20</v>
      </c>
      <c r="U176" s="18" t="s">
        <v>21</v>
      </c>
      <c r="V176" s="37" t="s">
        <v>21</v>
      </c>
      <c r="W176" s="37" t="s">
        <v>21</v>
      </c>
      <c r="X176" s="37" t="s">
        <v>21</v>
      </c>
      <c r="Y176" s="18" t="s">
        <v>20</v>
      </c>
      <c r="Z176" s="18" t="s">
        <v>21</v>
      </c>
      <c r="AA176" s="18" t="s">
        <v>21</v>
      </c>
      <c r="AB176" s="18" t="s">
        <v>21</v>
      </c>
      <c r="AC176" s="18" t="s">
        <v>21</v>
      </c>
      <c r="AD176" s="29" t="s">
        <v>21</v>
      </c>
      <c r="AE176" s="29" t="s">
        <v>21</v>
      </c>
      <c r="AF176">
        <f>+COUNTIF(F176:AE176,"AD")</f>
        <v>0</v>
      </c>
      <c r="AG176">
        <f>+COUNTIF(F176:AE176,"A")</f>
        <v>4</v>
      </c>
      <c r="AH176">
        <f>+COUNTIF(F176:AE176,"b")</f>
        <v>22</v>
      </c>
      <c r="AI176">
        <f>+COUNTIF(F176:AE176,"c")</f>
        <v>0</v>
      </c>
      <c r="AK176">
        <f>+$AF$5*AF176</f>
        <v>0</v>
      </c>
      <c r="AL176">
        <f>+$AG$5*AG176</f>
        <v>12</v>
      </c>
      <c r="AM176">
        <f>+$AH$5*AH176</f>
        <v>44</v>
      </c>
      <c r="AN176">
        <f>+$AI$5*AI176</f>
        <v>0</v>
      </c>
      <c r="AO176">
        <f>+SUM(AK176:AN176)</f>
        <v>56</v>
      </c>
    </row>
    <row r="177" spans="1:41" ht="15.75" customHeight="1" x14ac:dyDescent="0.3">
      <c r="A177" s="16"/>
      <c r="B177" s="55">
        <v>18</v>
      </c>
      <c r="C177" s="71" t="s">
        <v>40</v>
      </c>
      <c r="D177" s="55">
        <v>1</v>
      </c>
      <c r="E177" s="55" t="s">
        <v>20</v>
      </c>
      <c r="F177" s="18" t="s">
        <v>21</v>
      </c>
      <c r="G177" s="18" t="s">
        <v>21</v>
      </c>
      <c r="H177" s="18" t="s">
        <v>21</v>
      </c>
      <c r="I177" s="18" t="s">
        <v>21</v>
      </c>
      <c r="J177" s="18" t="s">
        <v>21</v>
      </c>
      <c r="K177" s="18" t="s">
        <v>21</v>
      </c>
      <c r="L177" s="18" t="s">
        <v>21</v>
      </c>
      <c r="M177" s="19" t="s">
        <v>21</v>
      </c>
      <c r="N177" s="19" t="s">
        <v>21</v>
      </c>
      <c r="O177" s="19" t="s">
        <v>20</v>
      </c>
      <c r="P177" s="19" t="s">
        <v>21</v>
      </c>
      <c r="Q177" s="18" t="s">
        <v>21</v>
      </c>
      <c r="R177" s="18" t="s">
        <v>21</v>
      </c>
      <c r="S177" s="19" t="s">
        <v>23</v>
      </c>
      <c r="T177" s="18" t="s">
        <v>23</v>
      </c>
      <c r="U177" s="18" t="s">
        <v>20</v>
      </c>
      <c r="V177" s="18" t="s">
        <v>21</v>
      </c>
      <c r="W177" s="18" t="s">
        <v>20</v>
      </c>
      <c r="X177" s="18" t="s">
        <v>20</v>
      </c>
      <c r="Y177" s="19" t="s">
        <v>20</v>
      </c>
      <c r="Z177" s="19" t="s">
        <v>20</v>
      </c>
      <c r="AA177" s="18" t="s">
        <v>21</v>
      </c>
      <c r="AB177" s="18" t="s">
        <v>21</v>
      </c>
      <c r="AC177" s="18" t="s">
        <v>23</v>
      </c>
      <c r="AD177" s="19" t="s">
        <v>21</v>
      </c>
      <c r="AE177" s="19" t="s">
        <v>21</v>
      </c>
      <c r="AF177">
        <f>+COUNTIF(F177:AE177,"AD")</f>
        <v>0</v>
      </c>
      <c r="AG177">
        <f>+COUNTIF(F177:AE177,"A")</f>
        <v>6</v>
      </c>
      <c r="AH177">
        <f>+COUNTIF(F177:AE177,"b")</f>
        <v>17</v>
      </c>
      <c r="AI177">
        <f>+COUNTIF(F177:AE177,"c")</f>
        <v>3</v>
      </c>
      <c r="AK177">
        <f>+$AF$5*AF177</f>
        <v>0</v>
      </c>
      <c r="AL177">
        <f>+$AG$5*AG177</f>
        <v>18</v>
      </c>
      <c r="AM177">
        <f>+$AH$5*AH177</f>
        <v>34</v>
      </c>
      <c r="AN177">
        <f>+$AI$5*AI177</f>
        <v>3</v>
      </c>
      <c r="AO177">
        <f>+SUM(AK177:AN177)</f>
        <v>55</v>
      </c>
    </row>
    <row r="178" spans="1:41" ht="15.75" customHeight="1" x14ac:dyDescent="0.3">
      <c r="A178" s="16"/>
      <c r="B178" s="55">
        <v>17</v>
      </c>
      <c r="C178" s="71" t="s">
        <v>78</v>
      </c>
      <c r="D178" s="55">
        <v>2</v>
      </c>
      <c r="E178" s="55" t="s">
        <v>20</v>
      </c>
      <c r="F178" s="18" t="s">
        <v>21</v>
      </c>
      <c r="G178" s="18" t="s">
        <v>21</v>
      </c>
      <c r="H178" s="18" t="s">
        <v>21</v>
      </c>
      <c r="I178" s="18" t="s">
        <v>21</v>
      </c>
      <c r="J178" s="18" t="s">
        <v>23</v>
      </c>
      <c r="K178" s="18" t="s">
        <v>21</v>
      </c>
      <c r="L178" s="18" t="s">
        <v>21</v>
      </c>
      <c r="M178" s="18" t="s">
        <v>21</v>
      </c>
      <c r="N178" s="18" t="s">
        <v>21</v>
      </c>
      <c r="O178" s="18" t="s">
        <v>20</v>
      </c>
      <c r="P178" s="18" t="s">
        <v>21</v>
      </c>
      <c r="Q178" s="18" t="s">
        <v>21</v>
      </c>
      <c r="R178" s="18" t="s">
        <v>21</v>
      </c>
      <c r="S178" s="18" t="s">
        <v>21</v>
      </c>
      <c r="T178" s="18" t="s">
        <v>21</v>
      </c>
      <c r="U178" s="18" t="s">
        <v>21</v>
      </c>
      <c r="V178" s="37" t="s">
        <v>20</v>
      </c>
      <c r="W178" s="37" t="s">
        <v>20</v>
      </c>
      <c r="X178" s="37" t="s">
        <v>20</v>
      </c>
      <c r="Y178" s="18" t="s">
        <v>20</v>
      </c>
      <c r="Z178" s="18" t="s">
        <v>20</v>
      </c>
      <c r="AA178" s="18" t="s">
        <v>23</v>
      </c>
      <c r="AB178" s="18" t="s">
        <v>23</v>
      </c>
      <c r="AC178" s="18" t="s">
        <v>21</v>
      </c>
      <c r="AD178" s="29" t="s">
        <v>21</v>
      </c>
      <c r="AE178" s="29" t="s">
        <v>21</v>
      </c>
      <c r="AF178">
        <f>+COUNTIF(F178:AE178,"AD")</f>
        <v>0</v>
      </c>
      <c r="AG178">
        <f>+COUNTIF(F178:AE178,"A")</f>
        <v>6</v>
      </c>
      <c r="AH178">
        <f>+COUNTIF(F178:AE178,"b")</f>
        <v>17</v>
      </c>
      <c r="AI178">
        <f>+COUNTIF(F178:AE178,"c")</f>
        <v>3</v>
      </c>
      <c r="AK178">
        <f>+$AF$5*AF178</f>
        <v>0</v>
      </c>
      <c r="AL178">
        <f>+$AG$5*AG178</f>
        <v>18</v>
      </c>
      <c r="AM178">
        <f>+$AH$5*AH178</f>
        <v>34</v>
      </c>
      <c r="AN178">
        <f>+$AI$5*AI178</f>
        <v>3</v>
      </c>
      <c r="AO178">
        <f>+SUM(AK178:AN178)</f>
        <v>55</v>
      </c>
    </row>
    <row r="179" spans="1:41" ht="15.75" customHeight="1" x14ac:dyDescent="0.3">
      <c r="A179" s="16"/>
      <c r="B179" s="55">
        <v>15</v>
      </c>
      <c r="C179" s="71" t="s">
        <v>100</v>
      </c>
      <c r="D179" s="55">
        <v>2</v>
      </c>
      <c r="E179" s="55" t="s">
        <v>21</v>
      </c>
      <c r="F179" s="18" t="s">
        <v>21</v>
      </c>
      <c r="G179" s="18" t="s">
        <v>21</v>
      </c>
      <c r="H179" s="18" t="s">
        <v>21</v>
      </c>
      <c r="I179" s="18" t="s">
        <v>21</v>
      </c>
      <c r="J179" s="18" t="s">
        <v>21</v>
      </c>
      <c r="K179" s="18" t="s">
        <v>21</v>
      </c>
      <c r="L179" s="18" t="s">
        <v>21</v>
      </c>
      <c r="M179" s="18" t="s">
        <v>21</v>
      </c>
      <c r="N179" s="18" t="s">
        <v>23</v>
      </c>
      <c r="O179" s="18" t="s">
        <v>21</v>
      </c>
      <c r="P179" s="18" t="s">
        <v>21</v>
      </c>
      <c r="Q179" s="18" t="s">
        <v>21</v>
      </c>
      <c r="R179" s="18" t="s">
        <v>21</v>
      </c>
      <c r="S179" s="18" t="s">
        <v>21</v>
      </c>
      <c r="T179" s="18" t="s">
        <v>20</v>
      </c>
      <c r="U179" s="18" t="s">
        <v>20</v>
      </c>
      <c r="V179" s="37" t="s">
        <v>21</v>
      </c>
      <c r="W179" s="37" t="s">
        <v>20</v>
      </c>
      <c r="X179" s="37" t="s">
        <v>21</v>
      </c>
      <c r="Y179" s="18" t="s">
        <v>20</v>
      </c>
      <c r="Z179" s="18" t="s">
        <v>21</v>
      </c>
      <c r="AA179" s="18" t="s">
        <v>21</v>
      </c>
      <c r="AB179" s="18" t="s">
        <v>21</v>
      </c>
      <c r="AC179" s="18" t="s">
        <v>21</v>
      </c>
      <c r="AD179" s="18" t="s">
        <v>21</v>
      </c>
      <c r="AE179" s="18" t="s">
        <v>21</v>
      </c>
      <c r="AF179">
        <f>+COUNTIF(F179:AE179,"AD")</f>
        <v>0</v>
      </c>
      <c r="AG179">
        <f>+COUNTIF(F179:AE179,"A")</f>
        <v>4</v>
      </c>
      <c r="AH179">
        <f>+COUNTIF(F179:AE179,"b")</f>
        <v>21</v>
      </c>
      <c r="AI179">
        <f>+COUNTIF(F179:AE179,"c")</f>
        <v>1</v>
      </c>
      <c r="AK179">
        <f>+$AF$5*AF179</f>
        <v>0</v>
      </c>
      <c r="AL179">
        <f>+$AG$5*AG179</f>
        <v>12</v>
      </c>
      <c r="AM179">
        <f>+$AH$5*AH179</f>
        <v>42</v>
      </c>
      <c r="AN179">
        <f>+$AI$5*AI179</f>
        <v>1</v>
      </c>
      <c r="AO179">
        <f>+SUM(AK179:AN179)</f>
        <v>55</v>
      </c>
    </row>
    <row r="180" spans="1:41" ht="15.75" customHeight="1" x14ac:dyDescent="0.3">
      <c r="A180" s="16"/>
      <c r="B180" s="55">
        <v>22</v>
      </c>
      <c r="C180" s="71" t="s">
        <v>107</v>
      </c>
      <c r="D180" s="55">
        <v>2</v>
      </c>
      <c r="E180" s="55" t="s">
        <v>21</v>
      </c>
      <c r="F180" s="18" t="s">
        <v>21</v>
      </c>
      <c r="G180" s="18" t="s">
        <v>21</v>
      </c>
      <c r="H180" s="18" t="s">
        <v>23</v>
      </c>
      <c r="I180" s="18" t="s">
        <v>21</v>
      </c>
      <c r="J180" s="18" t="s">
        <v>20</v>
      </c>
      <c r="K180" s="18" t="s">
        <v>21</v>
      </c>
      <c r="L180" s="18" t="s">
        <v>21</v>
      </c>
      <c r="M180" s="18" t="s">
        <v>20</v>
      </c>
      <c r="N180" s="18" t="s">
        <v>21</v>
      </c>
      <c r="O180" s="18" t="s">
        <v>20</v>
      </c>
      <c r="P180" s="18" t="s">
        <v>21</v>
      </c>
      <c r="Q180" s="18" t="s">
        <v>21</v>
      </c>
      <c r="R180" s="18" t="s">
        <v>21</v>
      </c>
      <c r="S180" s="18" t="s">
        <v>20</v>
      </c>
      <c r="T180" s="18" t="s">
        <v>21</v>
      </c>
      <c r="U180" s="18" t="s">
        <v>21</v>
      </c>
      <c r="V180" s="37" t="s">
        <v>21</v>
      </c>
      <c r="W180" s="37" t="s">
        <v>21</v>
      </c>
      <c r="X180" s="37" t="s">
        <v>21</v>
      </c>
      <c r="Y180" s="18" t="s">
        <v>21</v>
      </c>
      <c r="Z180" s="18" t="s">
        <v>21</v>
      </c>
      <c r="AA180" s="18" t="s">
        <v>21</v>
      </c>
      <c r="AB180" s="18" t="s">
        <v>21</v>
      </c>
      <c r="AC180" s="18" t="s">
        <v>20</v>
      </c>
      <c r="AD180" s="18" t="s">
        <v>23</v>
      </c>
      <c r="AE180" s="18" t="s">
        <v>21</v>
      </c>
      <c r="AF180">
        <f>+COUNTIF(F180:AE180,"AD")</f>
        <v>0</v>
      </c>
      <c r="AG180">
        <f>+COUNTIF(F180:AE180,"A")</f>
        <v>5</v>
      </c>
      <c r="AH180">
        <f>+COUNTIF(F180:AE180,"b")</f>
        <v>19</v>
      </c>
      <c r="AI180">
        <f>+COUNTIF(F180:AE180,"c")</f>
        <v>2</v>
      </c>
      <c r="AK180">
        <f>+$AF$5*AF180</f>
        <v>0</v>
      </c>
      <c r="AL180">
        <f>+$AG$5*AG180</f>
        <v>15</v>
      </c>
      <c r="AM180">
        <f>+$AH$5*AH180</f>
        <v>38</v>
      </c>
      <c r="AN180">
        <f>+$AI$5*AI180</f>
        <v>2</v>
      </c>
      <c r="AO180">
        <f>+SUM(AK180:AN180)</f>
        <v>55</v>
      </c>
    </row>
    <row r="181" spans="1:41" ht="15.75" customHeight="1" x14ac:dyDescent="0.3">
      <c r="A181" s="16"/>
      <c r="B181" s="55">
        <v>11</v>
      </c>
      <c r="C181" s="71" t="s">
        <v>119</v>
      </c>
      <c r="D181" s="55">
        <v>3</v>
      </c>
      <c r="E181" s="55" t="s">
        <v>20</v>
      </c>
      <c r="F181" s="18" t="s">
        <v>21</v>
      </c>
      <c r="G181" s="18" t="s">
        <v>21</v>
      </c>
      <c r="H181" s="18" t="s">
        <v>21</v>
      </c>
      <c r="I181" s="18" t="s">
        <v>21</v>
      </c>
      <c r="J181" s="69" t="s">
        <v>21</v>
      </c>
      <c r="K181" s="69" t="s">
        <v>21</v>
      </c>
      <c r="L181" s="69" t="s">
        <v>21</v>
      </c>
      <c r="M181" s="18" t="s">
        <v>21</v>
      </c>
      <c r="N181" s="18" t="s">
        <v>21</v>
      </c>
      <c r="O181" s="18" t="s">
        <v>21</v>
      </c>
      <c r="P181" s="18" t="s">
        <v>23</v>
      </c>
      <c r="Q181" s="18" t="s">
        <v>21</v>
      </c>
      <c r="R181" s="18" t="s">
        <v>21</v>
      </c>
      <c r="S181" s="18" t="s">
        <v>20</v>
      </c>
      <c r="T181" s="18" t="s">
        <v>20</v>
      </c>
      <c r="U181" s="18" t="s">
        <v>21</v>
      </c>
      <c r="V181" s="37" t="s">
        <v>20</v>
      </c>
      <c r="W181" s="37" t="s">
        <v>20</v>
      </c>
      <c r="X181" s="37" t="s">
        <v>20</v>
      </c>
      <c r="Y181" s="18" t="s">
        <v>21</v>
      </c>
      <c r="Z181" s="18" t="s">
        <v>21</v>
      </c>
      <c r="AA181" s="18" t="s">
        <v>21</v>
      </c>
      <c r="AB181" s="18" t="s">
        <v>21</v>
      </c>
      <c r="AC181" s="18" t="s">
        <v>21</v>
      </c>
      <c r="AD181" s="37" t="s">
        <v>23</v>
      </c>
      <c r="AE181" s="37" t="s">
        <v>21</v>
      </c>
      <c r="AF181">
        <f>+COUNTIF(F181:AE181,"AD")</f>
        <v>0</v>
      </c>
      <c r="AG181">
        <f>+COUNTIF(F181:AE181,"A")</f>
        <v>5</v>
      </c>
      <c r="AH181">
        <f>+COUNTIF(F181:AE181,"b")</f>
        <v>19</v>
      </c>
      <c r="AI181">
        <f>+COUNTIF(F181:AE181,"c")</f>
        <v>2</v>
      </c>
      <c r="AK181">
        <f>+$AF$5*AF181</f>
        <v>0</v>
      </c>
      <c r="AL181">
        <f>+$AG$5*AG181</f>
        <v>15</v>
      </c>
      <c r="AM181">
        <f>+$AH$5*AH181</f>
        <v>38</v>
      </c>
      <c r="AN181">
        <f>+$AI$5*AI181</f>
        <v>2</v>
      </c>
      <c r="AO181">
        <f>+SUM(AK181:AN181)</f>
        <v>55</v>
      </c>
    </row>
    <row r="182" spans="1:41" ht="15.75" customHeight="1" x14ac:dyDescent="0.3">
      <c r="A182" s="16"/>
      <c r="B182" s="55">
        <v>19</v>
      </c>
      <c r="C182" s="71" t="s">
        <v>127</v>
      </c>
      <c r="D182" s="55">
        <v>3</v>
      </c>
      <c r="E182" s="55" t="s">
        <v>20</v>
      </c>
      <c r="F182" s="18" t="s">
        <v>21</v>
      </c>
      <c r="G182" s="18" t="s">
        <v>23</v>
      </c>
      <c r="H182" s="18" t="s">
        <v>23</v>
      </c>
      <c r="I182" s="18" t="s">
        <v>23</v>
      </c>
      <c r="J182" s="69" t="s">
        <v>21</v>
      </c>
      <c r="K182" s="69" t="s">
        <v>20</v>
      </c>
      <c r="L182" s="69" t="s">
        <v>21</v>
      </c>
      <c r="M182" s="18" t="s">
        <v>21</v>
      </c>
      <c r="N182" s="18" t="s">
        <v>21</v>
      </c>
      <c r="O182" s="18" t="s">
        <v>21</v>
      </c>
      <c r="P182" s="18" t="s">
        <v>21</v>
      </c>
      <c r="Q182" s="18" t="s">
        <v>21</v>
      </c>
      <c r="R182" s="18" t="s">
        <v>21</v>
      </c>
      <c r="S182" s="18" t="s">
        <v>20</v>
      </c>
      <c r="T182" s="18" t="s">
        <v>20</v>
      </c>
      <c r="U182" s="18" t="s">
        <v>20</v>
      </c>
      <c r="V182" s="37" t="s">
        <v>20</v>
      </c>
      <c r="W182" s="37" t="s">
        <v>21</v>
      </c>
      <c r="X182" s="37" t="s">
        <v>20</v>
      </c>
      <c r="Y182" s="18" t="s">
        <v>23</v>
      </c>
      <c r="Z182" s="18" t="s">
        <v>20</v>
      </c>
      <c r="AA182" s="18" t="s">
        <v>21</v>
      </c>
      <c r="AB182" s="18" t="s">
        <v>21</v>
      </c>
      <c r="AC182" s="18" t="s">
        <v>21</v>
      </c>
      <c r="AD182" s="37" t="s">
        <v>21</v>
      </c>
      <c r="AE182" s="37" t="s">
        <v>21</v>
      </c>
      <c r="AF182">
        <f>+COUNTIF(F182:AE182,"AD")</f>
        <v>0</v>
      </c>
      <c r="AG182">
        <f>+COUNTIF(F182:AE182,"A")</f>
        <v>7</v>
      </c>
      <c r="AH182">
        <f>+COUNTIF(F182:AE182,"b")</f>
        <v>15</v>
      </c>
      <c r="AI182">
        <f>+COUNTIF(F182:AE182,"c")</f>
        <v>4</v>
      </c>
      <c r="AK182">
        <f>+$AF$5*AF182</f>
        <v>0</v>
      </c>
      <c r="AL182">
        <f>+$AG$5*AG182</f>
        <v>21</v>
      </c>
      <c r="AM182">
        <f>+$AH$5*AH182</f>
        <v>30</v>
      </c>
      <c r="AN182">
        <f>+$AI$5*AI182</f>
        <v>4</v>
      </c>
      <c r="AO182">
        <f>+SUM(AK182:AN182)</f>
        <v>55</v>
      </c>
    </row>
    <row r="183" spans="1:41" ht="15.75" customHeight="1" x14ac:dyDescent="0.3">
      <c r="A183" s="16"/>
      <c r="B183" s="55">
        <v>7</v>
      </c>
      <c r="C183" s="71" t="s">
        <v>134</v>
      </c>
      <c r="D183" s="55">
        <v>3</v>
      </c>
      <c r="E183" s="55" t="s">
        <v>21</v>
      </c>
      <c r="F183" s="18" t="s">
        <v>23</v>
      </c>
      <c r="G183" s="18" t="s">
        <v>21</v>
      </c>
      <c r="H183" s="18" t="s">
        <v>23</v>
      </c>
      <c r="I183" s="18" t="s">
        <v>21</v>
      </c>
      <c r="J183" s="18" t="s">
        <v>21</v>
      </c>
      <c r="K183" s="18" t="s">
        <v>21</v>
      </c>
      <c r="L183" s="18" t="s">
        <v>21</v>
      </c>
      <c r="M183" s="18" t="s">
        <v>20</v>
      </c>
      <c r="N183" s="18" t="s">
        <v>20</v>
      </c>
      <c r="O183" s="18" t="s">
        <v>21</v>
      </c>
      <c r="P183" s="18" t="s">
        <v>21</v>
      </c>
      <c r="Q183" s="18" t="s">
        <v>23</v>
      </c>
      <c r="R183" s="18" t="s">
        <v>21</v>
      </c>
      <c r="S183" s="18" t="s">
        <v>20</v>
      </c>
      <c r="T183" s="18" t="s">
        <v>21</v>
      </c>
      <c r="U183" s="18" t="s">
        <v>20</v>
      </c>
      <c r="V183" s="37" t="s">
        <v>21</v>
      </c>
      <c r="W183" s="37" t="s">
        <v>21</v>
      </c>
      <c r="X183" s="37" t="s">
        <v>21</v>
      </c>
      <c r="Y183" s="18" t="s">
        <v>20</v>
      </c>
      <c r="Z183" s="18" t="s">
        <v>20</v>
      </c>
      <c r="AA183" s="18" t="s">
        <v>21</v>
      </c>
      <c r="AB183" s="18" t="s">
        <v>21</v>
      </c>
      <c r="AC183" s="18" t="s">
        <v>21</v>
      </c>
      <c r="AD183" s="29" t="s">
        <v>21</v>
      </c>
      <c r="AE183" s="29" t="s">
        <v>21</v>
      </c>
      <c r="AF183">
        <f>+COUNTIF(F183:AE183,"AD")</f>
        <v>0</v>
      </c>
      <c r="AG183">
        <f>+COUNTIF(F183:AE183,"A")</f>
        <v>6</v>
      </c>
      <c r="AH183">
        <f>+COUNTIF(F183:AE183,"b")</f>
        <v>17</v>
      </c>
      <c r="AI183">
        <f>+COUNTIF(F183:AE183,"c")</f>
        <v>3</v>
      </c>
      <c r="AK183">
        <f>+$AF$5*AF183</f>
        <v>0</v>
      </c>
      <c r="AL183">
        <f>+$AG$5*AG183</f>
        <v>18</v>
      </c>
      <c r="AM183">
        <f>+$AH$5*AH183</f>
        <v>34</v>
      </c>
      <c r="AN183">
        <f>+$AI$5*AI183</f>
        <v>3</v>
      </c>
      <c r="AO183">
        <f>+SUM(AK183:AN183)</f>
        <v>55</v>
      </c>
    </row>
    <row r="184" spans="1:41" ht="15.75" customHeight="1" x14ac:dyDescent="0.3">
      <c r="A184" s="16"/>
      <c r="B184" s="55">
        <v>3</v>
      </c>
      <c r="C184" s="71" t="s">
        <v>151</v>
      </c>
      <c r="D184" s="55">
        <v>4</v>
      </c>
      <c r="E184" s="55" t="s">
        <v>20</v>
      </c>
      <c r="F184" s="18" t="s">
        <v>23</v>
      </c>
      <c r="G184" s="18" t="s">
        <v>21</v>
      </c>
      <c r="H184" s="18" t="s">
        <v>23</v>
      </c>
      <c r="I184" s="18" t="s">
        <v>21</v>
      </c>
      <c r="J184" s="69" t="s">
        <v>21</v>
      </c>
      <c r="K184" s="69" t="s">
        <v>21</v>
      </c>
      <c r="L184" s="69" t="s">
        <v>21</v>
      </c>
      <c r="M184" s="18" t="s">
        <v>21</v>
      </c>
      <c r="N184" s="18" t="s">
        <v>20</v>
      </c>
      <c r="O184" s="18" t="s">
        <v>20</v>
      </c>
      <c r="P184" s="18" t="s">
        <v>21</v>
      </c>
      <c r="Q184" s="18" t="s">
        <v>21</v>
      </c>
      <c r="R184" s="18" t="s">
        <v>21</v>
      </c>
      <c r="S184" s="18" t="s">
        <v>20</v>
      </c>
      <c r="T184" s="18" t="s">
        <v>20</v>
      </c>
      <c r="U184" s="18" t="s">
        <v>21</v>
      </c>
      <c r="V184" s="37" t="s">
        <v>20</v>
      </c>
      <c r="W184" s="46" t="s">
        <v>21</v>
      </c>
      <c r="X184" s="37" t="s">
        <v>20</v>
      </c>
      <c r="Y184" s="18" t="s">
        <v>21</v>
      </c>
      <c r="Z184" s="18" t="s">
        <v>23</v>
      </c>
      <c r="AA184" s="18" t="s">
        <v>21</v>
      </c>
      <c r="AB184" s="18" t="s">
        <v>21</v>
      </c>
      <c r="AC184" s="18" t="s">
        <v>21</v>
      </c>
      <c r="AD184" s="29" t="s">
        <v>21</v>
      </c>
      <c r="AE184" s="29" t="s">
        <v>21</v>
      </c>
      <c r="AF184">
        <f>+COUNTIF(F184:AE184,"AD")</f>
        <v>0</v>
      </c>
      <c r="AG184">
        <f>+COUNTIF(F184:AE184,"A")</f>
        <v>6</v>
      </c>
      <c r="AH184">
        <f>+COUNTIF(F184:AE184,"b")</f>
        <v>17</v>
      </c>
      <c r="AI184">
        <f>+COUNTIF(F184:AE184,"c")</f>
        <v>3</v>
      </c>
      <c r="AK184">
        <f>+$AF$5*AF184</f>
        <v>0</v>
      </c>
      <c r="AL184">
        <f>+$AG$5*AG184</f>
        <v>18</v>
      </c>
      <c r="AM184">
        <f>+$AH$5*AH184</f>
        <v>34</v>
      </c>
      <c r="AN184">
        <f>+$AI$5*AI184</f>
        <v>3</v>
      </c>
      <c r="AO184">
        <f>+SUM(AK184:AN184)</f>
        <v>55</v>
      </c>
    </row>
    <row r="185" spans="1:41" ht="15.75" customHeight="1" x14ac:dyDescent="0.3">
      <c r="A185" s="16"/>
      <c r="B185" s="55">
        <v>16</v>
      </c>
      <c r="C185" s="71" t="s">
        <v>164</v>
      </c>
      <c r="D185" s="55">
        <v>4</v>
      </c>
      <c r="E185" s="55" t="s">
        <v>20</v>
      </c>
      <c r="F185" s="18" t="s">
        <v>23</v>
      </c>
      <c r="G185" s="18" t="s">
        <v>23</v>
      </c>
      <c r="H185" s="18" t="s">
        <v>23</v>
      </c>
      <c r="I185" s="18" t="s">
        <v>21</v>
      </c>
      <c r="J185" s="69" t="s">
        <v>21</v>
      </c>
      <c r="K185" s="69" t="s">
        <v>21</v>
      </c>
      <c r="L185" s="69" t="s">
        <v>21</v>
      </c>
      <c r="M185" s="18" t="s">
        <v>21</v>
      </c>
      <c r="N185" s="18" t="s">
        <v>20</v>
      </c>
      <c r="O185" s="18" t="s">
        <v>21</v>
      </c>
      <c r="P185" s="18" t="s">
        <v>20</v>
      </c>
      <c r="Q185" s="18" t="s">
        <v>20</v>
      </c>
      <c r="R185" s="18" t="s">
        <v>20</v>
      </c>
      <c r="S185" s="18" t="s">
        <v>21</v>
      </c>
      <c r="T185" s="18" t="s">
        <v>21</v>
      </c>
      <c r="U185" s="18" t="s">
        <v>21</v>
      </c>
      <c r="V185" s="37" t="s">
        <v>20</v>
      </c>
      <c r="W185" s="37" t="s">
        <v>20</v>
      </c>
      <c r="X185" s="37" t="s">
        <v>20</v>
      </c>
      <c r="Y185" s="18" t="s">
        <v>21</v>
      </c>
      <c r="Z185" s="18" t="s">
        <v>21</v>
      </c>
      <c r="AA185" s="18" t="s">
        <v>21</v>
      </c>
      <c r="AB185" s="18" t="s">
        <v>21</v>
      </c>
      <c r="AC185" s="18" t="s">
        <v>21</v>
      </c>
      <c r="AD185" s="18" t="s">
        <v>23</v>
      </c>
      <c r="AE185" s="18" t="s">
        <v>21</v>
      </c>
      <c r="AF185">
        <f>+COUNTIF(F185:AE185,"AD")</f>
        <v>0</v>
      </c>
      <c r="AG185">
        <f>+COUNTIF(F185:AE185,"A")</f>
        <v>7</v>
      </c>
      <c r="AH185">
        <f>+COUNTIF(F185:AE185,"b")</f>
        <v>15</v>
      </c>
      <c r="AI185">
        <f>+COUNTIF(F185:AE185,"c")</f>
        <v>4</v>
      </c>
      <c r="AK185">
        <f>+$AF$5*AF185</f>
        <v>0</v>
      </c>
      <c r="AL185">
        <f>+$AG$5*AG185</f>
        <v>21</v>
      </c>
      <c r="AM185">
        <f>+$AH$5*AH185</f>
        <v>30</v>
      </c>
      <c r="AN185">
        <f>+$AI$5*AI185</f>
        <v>4</v>
      </c>
      <c r="AO185">
        <f>+SUM(AK185:AN185)</f>
        <v>55</v>
      </c>
    </row>
    <row r="186" spans="1:41" ht="15.75" customHeight="1" x14ac:dyDescent="0.3">
      <c r="A186" s="16"/>
      <c r="B186" s="55">
        <v>18</v>
      </c>
      <c r="C186" s="71" t="s">
        <v>189</v>
      </c>
      <c r="D186" s="55">
        <v>4</v>
      </c>
      <c r="E186" s="55" t="s">
        <v>21</v>
      </c>
      <c r="F186" s="18" t="s">
        <v>23</v>
      </c>
      <c r="G186" s="18" t="s">
        <v>23</v>
      </c>
      <c r="H186" s="18" t="s">
        <v>23</v>
      </c>
      <c r="I186" s="18" t="s">
        <v>23</v>
      </c>
      <c r="J186" s="69" t="s">
        <v>20</v>
      </c>
      <c r="K186" s="69" t="s">
        <v>20</v>
      </c>
      <c r="L186" s="69" t="s">
        <v>21</v>
      </c>
      <c r="M186" s="18" t="s">
        <v>21</v>
      </c>
      <c r="N186" s="18" t="s">
        <v>21</v>
      </c>
      <c r="O186" s="18" t="s">
        <v>20</v>
      </c>
      <c r="P186" s="18" t="s">
        <v>21</v>
      </c>
      <c r="Q186" s="18" t="s">
        <v>21</v>
      </c>
      <c r="R186" s="18" t="s">
        <v>23</v>
      </c>
      <c r="S186" s="18" t="s">
        <v>21</v>
      </c>
      <c r="T186" s="18" t="s">
        <v>20</v>
      </c>
      <c r="U186" s="18" t="s">
        <v>21</v>
      </c>
      <c r="V186" s="49" t="s">
        <v>20</v>
      </c>
      <c r="W186" s="37" t="s">
        <v>21</v>
      </c>
      <c r="X186" s="37" t="s">
        <v>20</v>
      </c>
      <c r="Y186" s="18" t="s">
        <v>20</v>
      </c>
      <c r="Z186" s="18" t="s">
        <v>20</v>
      </c>
      <c r="AA186" s="18" t="s">
        <v>21</v>
      </c>
      <c r="AB186" s="18" t="s">
        <v>21</v>
      </c>
      <c r="AC186" s="18" t="s">
        <v>21</v>
      </c>
      <c r="AD186" s="29" t="s">
        <v>21</v>
      </c>
      <c r="AE186" s="29" t="s">
        <v>21</v>
      </c>
      <c r="AF186">
        <f>+COUNTIF(F186:AE186,"AD")</f>
        <v>0</v>
      </c>
      <c r="AG186">
        <f>+COUNTIF(F186:AE186,"A")</f>
        <v>8</v>
      </c>
      <c r="AH186">
        <f>+COUNTIF(F186:AE186,"b")</f>
        <v>13</v>
      </c>
      <c r="AI186">
        <f>+COUNTIF(F186:AE186,"c")</f>
        <v>5</v>
      </c>
      <c r="AK186">
        <f>+$AF$5*AF186</f>
        <v>0</v>
      </c>
      <c r="AL186">
        <f>+$AG$5*AG186</f>
        <v>24</v>
      </c>
      <c r="AM186">
        <f>+$AH$5*AH186</f>
        <v>26</v>
      </c>
      <c r="AN186">
        <f>+$AI$5*AI186</f>
        <v>5</v>
      </c>
      <c r="AO186">
        <f>+SUM(AK186:AN186)</f>
        <v>55</v>
      </c>
    </row>
    <row r="187" spans="1:41" ht="15.75" customHeight="1" x14ac:dyDescent="0.3">
      <c r="A187" s="16"/>
      <c r="B187" s="55">
        <v>21</v>
      </c>
      <c r="C187" s="71" t="s">
        <v>192</v>
      </c>
      <c r="D187" s="55">
        <v>4</v>
      </c>
      <c r="E187" s="55" t="s">
        <v>21</v>
      </c>
      <c r="F187" s="18" t="s">
        <v>21</v>
      </c>
      <c r="G187" s="18" t="s">
        <v>23</v>
      </c>
      <c r="H187" s="18" t="s">
        <v>23</v>
      </c>
      <c r="I187" s="18" t="s">
        <v>23</v>
      </c>
      <c r="J187" s="69" t="s">
        <v>20</v>
      </c>
      <c r="K187" s="69" t="s">
        <v>21</v>
      </c>
      <c r="L187" s="69" t="s">
        <v>21</v>
      </c>
      <c r="M187" s="18" t="s">
        <v>21</v>
      </c>
      <c r="N187" s="18" t="s">
        <v>21</v>
      </c>
      <c r="O187" s="18" t="s">
        <v>21</v>
      </c>
      <c r="P187" s="18" t="s">
        <v>21</v>
      </c>
      <c r="Q187" s="18" t="s">
        <v>21</v>
      </c>
      <c r="R187" s="18" t="s">
        <v>23</v>
      </c>
      <c r="S187" s="18" t="s">
        <v>21</v>
      </c>
      <c r="T187" s="18" t="s">
        <v>20</v>
      </c>
      <c r="U187" s="18" t="s">
        <v>20</v>
      </c>
      <c r="V187" s="49" t="s">
        <v>20</v>
      </c>
      <c r="W187" s="37" t="s">
        <v>20</v>
      </c>
      <c r="X187" s="37" t="s">
        <v>20</v>
      </c>
      <c r="Y187" s="18" t="s">
        <v>21</v>
      </c>
      <c r="Z187" s="18" t="s">
        <v>21</v>
      </c>
      <c r="AA187" s="18" t="s">
        <v>21</v>
      </c>
      <c r="AB187" s="18" t="s">
        <v>21</v>
      </c>
      <c r="AC187" s="18" t="s">
        <v>20</v>
      </c>
      <c r="AD187" s="29" t="s">
        <v>21</v>
      </c>
      <c r="AE187" s="29" t="s">
        <v>21</v>
      </c>
      <c r="AF187">
        <f>+COUNTIF(F187:AE187,"AD")</f>
        <v>0</v>
      </c>
      <c r="AG187">
        <f>+COUNTIF(F187:AE187,"A")</f>
        <v>7</v>
      </c>
      <c r="AH187">
        <f>+COUNTIF(F187:AE187,"b")</f>
        <v>15</v>
      </c>
      <c r="AI187">
        <f>+COUNTIF(F187:AE187,"c")</f>
        <v>4</v>
      </c>
      <c r="AK187">
        <f>+$AF$5*AF187</f>
        <v>0</v>
      </c>
      <c r="AL187">
        <f>+$AG$5*AG187</f>
        <v>21</v>
      </c>
      <c r="AM187">
        <f>+$AH$5*AH187</f>
        <v>30</v>
      </c>
      <c r="AN187">
        <f>+$AI$5*AI187</f>
        <v>4</v>
      </c>
      <c r="AO187">
        <f>+SUM(AK187:AN187)</f>
        <v>55</v>
      </c>
    </row>
    <row r="188" spans="1:41" ht="15.75" customHeight="1" x14ac:dyDescent="0.3">
      <c r="A188" s="16"/>
      <c r="B188" s="55">
        <v>8</v>
      </c>
      <c r="C188" s="71" t="s">
        <v>204</v>
      </c>
      <c r="D188" s="55">
        <v>5</v>
      </c>
      <c r="E188" s="55" t="s">
        <v>20</v>
      </c>
      <c r="F188" s="18" t="s">
        <v>21</v>
      </c>
      <c r="G188" s="18" t="s">
        <v>21</v>
      </c>
      <c r="H188" s="18" t="s">
        <v>21</v>
      </c>
      <c r="I188" s="18" t="s">
        <v>21</v>
      </c>
      <c r="J188" s="69" t="s">
        <v>21</v>
      </c>
      <c r="K188" s="69" t="s">
        <v>21</v>
      </c>
      <c r="L188" s="69" t="s">
        <v>21</v>
      </c>
      <c r="M188" s="18" t="s">
        <v>21</v>
      </c>
      <c r="N188" s="18" t="s">
        <v>20</v>
      </c>
      <c r="O188" s="18" t="s">
        <v>20</v>
      </c>
      <c r="P188" s="18" t="s">
        <v>21</v>
      </c>
      <c r="Q188" s="18" t="s">
        <v>23</v>
      </c>
      <c r="R188" s="18" t="s">
        <v>21</v>
      </c>
      <c r="S188" s="18" t="s">
        <v>21</v>
      </c>
      <c r="T188" s="18" t="s">
        <v>21</v>
      </c>
      <c r="U188" s="18" t="s">
        <v>21</v>
      </c>
      <c r="V188" s="49" t="s">
        <v>21</v>
      </c>
      <c r="W188" s="37" t="s">
        <v>20</v>
      </c>
      <c r="X188" s="37" t="s">
        <v>20</v>
      </c>
      <c r="Y188" s="18" t="s">
        <v>21</v>
      </c>
      <c r="Z188" s="18" t="s">
        <v>21</v>
      </c>
      <c r="AA188" s="18" t="s">
        <v>21</v>
      </c>
      <c r="AB188" s="18" t="s">
        <v>21</v>
      </c>
      <c r="AC188" s="18" t="s">
        <v>21</v>
      </c>
      <c r="AD188" s="29" t="s">
        <v>21</v>
      </c>
      <c r="AE188" s="29" t="s">
        <v>21</v>
      </c>
      <c r="AF188">
        <f>+COUNTIF(F188:AE188,"AD")</f>
        <v>0</v>
      </c>
      <c r="AG188">
        <f>+COUNTIF(F188:AE188,"A")</f>
        <v>4</v>
      </c>
      <c r="AH188">
        <f>+COUNTIF(F188:AE188,"b")</f>
        <v>21</v>
      </c>
      <c r="AI188">
        <f>+COUNTIF(F188:AE188,"c")</f>
        <v>1</v>
      </c>
      <c r="AK188">
        <f>+$AF$5*AF188</f>
        <v>0</v>
      </c>
      <c r="AL188">
        <f>+$AG$5*AG188</f>
        <v>12</v>
      </c>
      <c r="AM188">
        <f>+$AH$5*AH188</f>
        <v>42</v>
      </c>
      <c r="AN188">
        <f>+$AI$5*AI188</f>
        <v>1</v>
      </c>
      <c r="AO188">
        <f>+SUM(AK188:AN188)</f>
        <v>55</v>
      </c>
    </row>
    <row r="189" spans="1:41" ht="15.75" customHeight="1" x14ac:dyDescent="0.3">
      <c r="A189" s="16"/>
      <c r="B189" s="55">
        <v>7</v>
      </c>
      <c r="C189" s="71" t="s">
        <v>92</v>
      </c>
      <c r="D189" s="55">
        <v>2</v>
      </c>
      <c r="E189" s="55" t="s">
        <v>21</v>
      </c>
      <c r="F189" s="18" t="s">
        <v>21</v>
      </c>
      <c r="G189" s="18" t="s">
        <v>23</v>
      </c>
      <c r="H189" s="18" t="s">
        <v>21</v>
      </c>
      <c r="I189" s="18" t="s">
        <v>21</v>
      </c>
      <c r="J189" s="18" t="s">
        <v>21</v>
      </c>
      <c r="K189" s="18" t="s">
        <v>20</v>
      </c>
      <c r="L189" s="18" t="s">
        <v>20</v>
      </c>
      <c r="M189" s="18" t="s">
        <v>21</v>
      </c>
      <c r="N189" s="18" t="s">
        <v>21</v>
      </c>
      <c r="O189" s="18" t="s">
        <v>21</v>
      </c>
      <c r="P189" s="18" t="s">
        <v>21</v>
      </c>
      <c r="Q189" s="18" t="s">
        <v>21</v>
      </c>
      <c r="R189" s="18" t="s">
        <v>21</v>
      </c>
      <c r="S189" s="18" t="s">
        <v>21</v>
      </c>
      <c r="T189" s="18" t="s">
        <v>21</v>
      </c>
      <c r="U189" s="18" t="s">
        <v>21</v>
      </c>
      <c r="V189" s="37" t="s">
        <v>20</v>
      </c>
      <c r="W189" s="37" t="s">
        <v>21</v>
      </c>
      <c r="X189" s="37" t="s">
        <v>21</v>
      </c>
      <c r="Y189" s="18" t="s">
        <v>21</v>
      </c>
      <c r="Z189" s="18" t="s">
        <v>20</v>
      </c>
      <c r="AA189" s="18" t="s">
        <v>21</v>
      </c>
      <c r="AB189" s="18" t="s">
        <v>21</v>
      </c>
      <c r="AC189" s="18" t="s">
        <v>21</v>
      </c>
      <c r="AD189" s="18" t="s">
        <v>23</v>
      </c>
      <c r="AE189" s="18" t="s">
        <v>21</v>
      </c>
      <c r="AF189">
        <f>+COUNTIF(F189:AE189,"AD")</f>
        <v>0</v>
      </c>
      <c r="AG189">
        <f>+COUNTIF(F189:AE189,"A")</f>
        <v>4</v>
      </c>
      <c r="AH189">
        <f>+COUNTIF(F189:AE189,"b")</f>
        <v>20</v>
      </c>
      <c r="AI189">
        <f>+COUNTIF(F189:AE189,"c")</f>
        <v>2</v>
      </c>
      <c r="AK189">
        <f>+$AF$5*AF189</f>
        <v>0</v>
      </c>
      <c r="AL189">
        <f>+$AG$5*AG189</f>
        <v>12</v>
      </c>
      <c r="AM189">
        <f>+$AH$5*AH189</f>
        <v>40</v>
      </c>
      <c r="AN189">
        <f>+$AI$5*AI189</f>
        <v>2</v>
      </c>
      <c r="AO189">
        <f>+SUM(AK189:AN189)</f>
        <v>54</v>
      </c>
    </row>
    <row r="190" spans="1:41" ht="15.75" customHeight="1" x14ac:dyDescent="0.3">
      <c r="A190" s="16"/>
      <c r="B190" s="55">
        <v>18</v>
      </c>
      <c r="C190" s="71" t="s">
        <v>166</v>
      </c>
      <c r="D190" s="55">
        <v>4</v>
      </c>
      <c r="E190" s="55" t="s">
        <v>20</v>
      </c>
      <c r="F190" s="18" t="s">
        <v>23</v>
      </c>
      <c r="G190" s="18" t="s">
        <v>23</v>
      </c>
      <c r="H190" s="18" t="s">
        <v>23</v>
      </c>
      <c r="I190" s="18" t="s">
        <v>23</v>
      </c>
      <c r="J190" s="69" t="s">
        <v>21</v>
      </c>
      <c r="K190" s="69" t="s">
        <v>21</v>
      </c>
      <c r="L190" s="69" t="s">
        <v>21</v>
      </c>
      <c r="M190" s="18" t="s">
        <v>21</v>
      </c>
      <c r="N190" s="18" t="s">
        <v>21</v>
      </c>
      <c r="O190" s="18" t="s">
        <v>21</v>
      </c>
      <c r="P190" s="18" t="s">
        <v>21</v>
      </c>
      <c r="Q190" s="18" t="s">
        <v>21</v>
      </c>
      <c r="R190" s="18" t="s">
        <v>21</v>
      </c>
      <c r="S190" s="18" t="s">
        <v>21</v>
      </c>
      <c r="T190" s="18" t="s">
        <v>20</v>
      </c>
      <c r="U190" s="18" t="s">
        <v>21</v>
      </c>
      <c r="V190" s="37" t="s">
        <v>20</v>
      </c>
      <c r="W190" s="37" t="s">
        <v>20</v>
      </c>
      <c r="X190" s="37" t="s">
        <v>20</v>
      </c>
      <c r="Y190" s="18" t="s">
        <v>20</v>
      </c>
      <c r="Z190" s="18" t="s">
        <v>21</v>
      </c>
      <c r="AA190" s="18" t="s">
        <v>21</v>
      </c>
      <c r="AB190" s="18" t="s">
        <v>20</v>
      </c>
      <c r="AC190" s="18" t="s">
        <v>21</v>
      </c>
      <c r="AD190" s="18" t="s">
        <v>21</v>
      </c>
      <c r="AE190" s="18" t="s">
        <v>21</v>
      </c>
      <c r="AF190">
        <f>+COUNTIF(F190:AE190,"AD")</f>
        <v>0</v>
      </c>
      <c r="AG190">
        <f>+COUNTIF(F190:AE190,"A")</f>
        <v>6</v>
      </c>
      <c r="AH190">
        <f>+COUNTIF(F190:AE190,"b")</f>
        <v>16</v>
      </c>
      <c r="AI190">
        <f>+COUNTIF(F190:AE190,"c")</f>
        <v>4</v>
      </c>
      <c r="AK190">
        <f>+$AF$5*AF190</f>
        <v>0</v>
      </c>
      <c r="AL190">
        <f>+$AG$5*AG190</f>
        <v>18</v>
      </c>
      <c r="AM190">
        <f>+$AH$5*AH190</f>
        <v>32</v>
      </c>
      <c r="AN190">
        <f>+$AI$5*AI190</f>
        <v>4</v>
      </c>
      <c r="AO190">
        <f>+SUM(AK190:AN190)</f>
        <v>54</v>
      </c>
    </row>
    <row r="191" spans="1:41" ht="15.75" customHeight="1" x14ac:dyDescent="0.3">
      <c r="A191" s="16"/>
      <c r="B191" s="55">
        <v>4</v>
      </c>
      <c r="C191" s="71" t="s">
        <v>200</v>
      </c>
      <c r="D191" s="55">
        <v>5</v>
      </c>
      <c r="E191" s="55" t="s">
        <v>20</v>
      </c>
      <c r="F191" s="18" t="s">
        <v>23</v>
      </c>
      <c r="G191" s="18" t="s">
        <v>23</v>
      </c>
      <c r="H191" s="18" t="s">
        <v>23</v>
      </c>
      <c r="I191" s="18" t="s">
        <v>23</v>
      </c>
      <c r="J191" s="69" t="s">
        <v>21</v>
      </c>
      <c r="K191" s="69" t="s">
        <v>21</v>
      </c>
      <c r="L191" s="69" t="s">
        <v>21</v>
      </c>
      <c r="M191" s="18" t="s">
        <v>21</v>
      </c>
      <c r="N191" s="18" t="s">
        <v>21</v>
      </c>
      <c r="O191" s="18" t="s">
        <v>20</v>
      </c>
      <c r="P191" s="18" t="s">
        <v>23</v>
      </c>
      <c r="Q191" s="18" t="s">
        <v>21</v>
      </c>
      <c r="R191" s="18" t="s">
        <v>21</v>
      </c>
      <c r="S191" s="18" t="s">
        <v>21</v>
      </c>
      <c r="T191" s="18" t="s">
        <v>21</v>
      </c>
      <c r="U191" s="18" t="s">
        <v>20</v>
      </c>
      <c r="V191" s="49" t="s">
        <v>20</v>
      </c>
      <c r="W191" s="37" t="s">
        <v>20</v>
      </c>
      <c r="X191" s="37" t="s">
        <v>20</v>
      </c>
      <c r="Y191" s="18" t="s">
        <v>20</v>
      </c>
      <c r="Z191" s="18" t="s">
        <v>20</v>
      </c>
      <c r="AA191" s="18" t="s">
        <v>21</v>
      </c>
      <c r="AB191" s="18" t="s">
        <v>21</v>
      </c>
      <c r="AC191" s="18" t="s">
        <v>21</v>
      </c>
      <c r="AD191" s="29" t="s">
        <v>21</v>
      </c>
      <c r="AE191" s="29" t="s">
        <v>21</v>
      </c>
      <c r="AF191">
        <f>+COUNTIF(F191:AE191,"AD")</f>
        <v>0</v>
      </c>
      <c r="AG191">
        <f>+COUNTIF(F191:AE191,"A")</f>
        <v>7</v>
      </c>
      <c r="AH191">
        <f>+COUNTIF(F191:AE191,"b")</f>
        <v>14</v>
      </c>
      <c r="AI191">
        <f>+COUNTIF(F191:AE191,"c")</f>
        <v>5</v>
      </c>
      <c r="AK191">
        <f>+$AF$5*AF191</f>
        <v>0</v>
      </c>
      <c r="AL191">
        <f>+$AG$5*AG191</f>
        <v>21</v>
      </c>
      <c r="AM191">
        <f>+$AH$5*AH191</f>
        <v>28</v>
      </c>
      <c r="AN191">
        <f>+$AI$5*AI191</f>
        <v>5</v>
      </c>
      <c r="AO191">
        <f>+SUM(AK191:AN191)</f>
        <v>54</v>
      </c>
    </row>
    <row r="192" spans="1:41" ht="15.75" customHeight="1" x14ac:dyDescent="0.3">
      <c r="A192" s="16"/>
      <c r="B192" s="55">
        <v>23</v>
      </c>
      <c r="C192" s="71" t="s">
        <v>219</v>
      </c>
      <c r="D192" s="55">
        <v>5</v>
      </c>
      <c r="E192" s="55" t="s">
        <v>20</v>
      </c>
      <c r="F192" s="18" t="s">
        <v>23</v>
      </c>
      <c r="G192" s="18" t="s">
        <v>23</v>
      </c>
      <c r="H192" s="18" t="s">
        <v>23</v>
      </c>
      <c r="I192" s="18" t="s">
        <v>21</v>
      </c>
      <c r="J192" s="69" t="s">
        <v>20</v>
      </c>
      <c r="K192" s="69" t="s">
        <v>20</v>
      </c>
      <c r="L192" s="69" t="s">
        <v>21</v>
      </c>
      <c r="M192" s="18" t="s">
        <v>20</v>
      </c>
      <c r="N192" s="18" t="s">
        <v>21</v>
      </c>
      <c r="O192" s="18" t="s">
        <v>20</v>
      </c>
      <c r="P192" s="18" t="s">
        <v>21</v>
      </c>
      <c r="Q192" s="18" t="s">
        <v>23</v>
      </c>
      <c r="R192" s="18" t="s">
        <v>21</v>
      </c>
      <c r="S192" s="18" t="s">
        <v>21</v>
      </c>
      <c r="T192" s="18" t="s">
        <v>21</v>
      </c>
      <c r="U192" s="18" t="s">
        <v>20</v>
      </c>
      <c r="V192" s="37" t="s">
        <v>20</v>
      </c>
      <c r="W192" s="37" t="s">
        <v>21</v>
      </c>
      <c r="X192" s="37" t="s">
        <v>20</v>
      </c>
      <c r="Y192" s="18" t="s">
        <v>21</v>
      </c>
      <c r="Z192" s="18" t="s">
        <v>20</v>
      </c>
      <c r="AA192" s="18" t="s">
        <v>23</v>
      </c>
      <c r="AB192" s="18" t="s">
        <v>21</v>
      </c>
      <c r="AC192" s="18" t="s">
        <v>21</v>
      </c>
      <c r="AD192" s="18" t="s">
        <v>23</v>
      </c>
      <c r="AE192" s="18" t="s">
        <v>21</v>
      </c>
      <c r="AF192">
        <f>+COUNTIF(F192:AE192,"AD")</f>
        <v>0</v>
      </c>
      <c r="AG192">
        <f>+COUNTIF(F192:AE192,"A")</f>
        <v>8</v>
      </c>
      <c r="AH192">
        <f>+COUNTIF(F192:AE192,"b")</f>
        <v>12</v>
      </c>
      <c r="AI192">
        <f>+COUNTIF(F192:AE192,"c")</f>
        <v>6</v>
      </c>
      <c r="AK192">
        <f>+$AF$5*AF192</f>
        <v>0</v>
      </c>
      <c r="AL192">
        <f>+$AG$5*AG192</f>
        <v>24</v>
      </c>
      <c r="AM192">
        <f>+$AH$5*AH192</f>
        <v>24</v>
      </c>
      <c r="AN192">
        <f>+$AI$5*AI192</f>
        <v>6</v>
      </c>
      <c r="AO192">
        <f>+SUM(AK192:AN192)</f>
        <v>54</v>
      </c>
    </row>
    <row r="193" spans="1:41" ht="15.75" customHeight="1" x14ac:dyDescent="0.3">
      <c r="A193" s="16"/>
      <c r="B193" s="55">
        <v>7</v>
      </c>
      <c r="C193" s="71" t="s">
        <v>231</v>
      </c>
      <c r="D193" s="55">
        <v>5</v>
      </c>
      <c r="E193" s="55" t="s">
        <v>21</v>
      </c>
      <c r="F193" s="18" t="s">
        <v>21</v>
      </c>
      <c r="G193" s="18" t="s">
        <v>21</v>
      </c>
      <c r="H193" s="18" t="s">
        <v>21</v>
      </c>
      <c r="I193" s="18" t="s">
        <v>21</v>
      </c>
      <c r="J193" s="18" t="s">
        <v>21</v>
      </c>
      <c r="K193" s="18" t="s">
        <v>21</v>
      </c>
      <c r="L193" s="18" t="s">
        <v>21</v>
      </c>
      <c r="M193" s="18" t="s">
        <v>20</v>
      </c>
      <c r="N193" s="18" t="s">
        <v>21</v>
      </c>
      <c r="O193" s="18" t="s">
        <v>20</v>
      </c>
      <c r="P193" s="18" t="s">
        <v>21</v>
      </c>
      <c r="Q193" s="18" t="s">
        <v>23</v>
      </c>
      <c r="R193" s="18" t="s">
        <v>21</v>
      </c>
      <c r="S193" s="18" t="s">
        <v>21</v>
      </c>
      <c r="T193" s="18" t="s">
        <v>21</v>
      </c>
      <c r="U193" s="18" t="s">
        <v>21</v>
      </c>
      <c r="V193" s="37" t="s">
        <v>21</v>
      </c>
      <c r="W193" s="37" t="s">
        <v>21</v>
      </c>
      <c r="X193" s="37" t="s">
        <v>21</v>
      </c>
      <c r="Y193" s="18" t="s">
        <v>20</v>
      </c>
      <c r="Z193" s="18" t="s">
        <v>20</v>
      </c>
      <c r="AA193" s="18" t="s">
        <v>21</v>
      </c>
      <c r="AB193" s="18" t="s">
        <v>21</v>
      </c>
      <c r="AC193" s="18" t="s">
        <v>21</v>
      </c>
      <c r="AD193" s="29" t="s">
        <v>23</v>
      </c>
      <c r="AE193" s="29" t="s">
        <v>21</v>
      </c>
      <c r="AF193">
        <f>+COUNTIF(F193:AE193,"AD")</f>
        <v>0</v>
      </c>
      <c r="AG193">
        <f>+COUNTIF(F193:AE193,"A")</f>
        <v>4</v>
      </c>
      <c r="AH193">
        <f>+COUNTIF(F193:AE193,"b")</f>
        <v>20</v>
      </c>
      <c r="AI193">
        <f>+COUNTIF(F193:AE193,"c")</f>
        <v>2</v>
      </c>
      <c r="AK193">
        <f>+$AF$5*AF193</f>
        <v>0</v>
      </c>
      <c r="AL193">
        <f>+$AG$5*AG193</f>
        <v>12</v>
      </c>
      <c r="AM193">
        <f>+$AH$5*AH193</f>
        <v>40</v>
      </c>
      <c r="AN193">
        <f>+$AI$5*AI193</f>
        <v>2</v>
      </c>
      <c r="AO193">
        <f>+SUM(AK193:AN193)</f>
        <v>54</v>
      </c>
    </row>
    <row r="194" spans="1:41" ht="15.75" customHeight="1" x14ac:dyDescent="0.3">
      <c r="A194" s="16"/>
      <c r="B194" s="55">
        <v>14</v>
      </c>
      <c r="C194" s="71" t="s">
        <v>75</v>
      </c>
      <c r="D194" s="55">
        <v>2</v>
      </c>
      <c r="E194" s="55" t="s">
        <v>20</v>
      </c>
      <c r="F194" s="18" t="s">
        <v>20</v>
      </c>
      <c r="G194" s="18" t="s">
        <v>21</v>
      </c>
      <c r="H194" s="18" t="s">
        <v>21</v>
      </c>
      <c r="I194" s="18" t="s">
        <v>21</v>
      </c>
      <c r="J194" s="18" t="s">
        <v>21</v>
      </c>
      <c r="K194" s="18" t="s">
        <v>23</v>
      </c>
      <c r="L194" s="18" t="s">
        <v>20</v>
      </c>
      <c r="M194" s="18" t="s">
        <v>21</v>
      </c>
      <c r="N194" s="18" t="s">
        <v>21</v>
      </c>
      <c r="O194" s="18" t="s">
        <v>23</v>
      </c>
      <c r="P194" s="18" t="s">
        <v>20</v>
      </c>
      <c r="Q194" s="18" t="s">
        <v>20</v>
      </c>
      <c r="R194" s="18" t="s">
        <v>21</v>
      </c>
      <c r="S194" s="18" t="s">
        <v>21</v>
      </c>
      <c r="T194" s="18" t="s">
        <v>23</v>
      </c>
      <c r="U194" s="18" t="s">
        <v>21</v>
      </c>
      <c r="V194" s="37" t="s">
        <v>21</v>
      </c>
      <c r="W194" s="37" t="s">
        <v>20</v>
      </c>
      <c r="X194" s="37" t="s">
        <v>21</v>
      </c>
      <c r="Y194" s="18" t="s">
        <v>21</v>
      </c>
      <c r="Z194" s="18" t="s">
        <v>20</v>
      </c>
      <c r="AA194" s="18" t="s">
        <v>23</v>
      </c>
      <c r="AB194" s="18" t="s">
        <v>21</v>
      </c>
      <c r="AC194" s="18" t="s">
        <v>21</v>
      </c>
      <c r="AD194" s="29" t="s">
        <v>23</v>
      </c>
      <c r="AE194" s="29" t="s">
        <v>21</v>
      </c>
      <c r="AF194">
        <f>+COUNTIF(F194:AE194,"AD")</f>
        <v>0</v>
      </c>
      <c r="AG194">
        <f>+COUNTIF(F194:AE194,"A")</f>
        <v>6</v>
      </c>
      <c r="AH194">
        <f>+COUNTIF(F194:AE194,"b")</f>
        <v>15</v>
      </c>
      <c r="AI194">
        <f>+COUNTIF(F194:AE194,"c")</f>
        <v>5</v>
      </c>
      <c r="AK194">
        <f>+$AF$5*AF194</f>
        <v>0</v>
      </c>
      <c r="AL194">
        <f>+$AG$5*AG194</f>
        <v>18</v>
      </c>
      <c r="AM194">
        <f>+$AH$5*AH194</f>
        <v>30</v>
      </c>
      <c r="AN194">
        <f>+$AI$5*AI194</f>
        <v>5</v>
      </c>
      <c r="AO194">
        <f>+SUM(AK194:AN194)</f>
        <v>53</v>
      </c>
    </row>
    <row r="195" spans="1:41" ht="15.75" customHeight="1" x14ac:dyDescent="0.3">
      <c r="A195" s="16"/>
      <c r="B195" s="55">
        <v>19</v>
      </c>
      <c r="C195" s="71" t="s">
        <v>80</v>
      </c>
      <c r="D195" s="55">
        <v>2</v>
      </c>
      <c r="E195" s="55" t="s">
        <v>20</v>
      </c>
      <c r="F195" s="18" t="s">
        <v>21</v>
      </c>
      <c r="G195" s="18" t="s">
        <v>20</v>
      </c>
      <c r="H195" s="18" t="s">
        <v>21</v>
      </c>
      <c r="I195" s="18" t="s">
        <v>21</v>
      </c>
      <c r="J195" s="18" t="s">
        <v>21</v>
      </c>
      <c r="K195" s="18" t="s">
        <v>23</v>
      </c>
      <c r="L195" s="18" t="s">
        <v>23</v>
      </c>
      <c r="M195" s="18" t="s">
        <v>21</v>
      </c>
      <c r="N195" s="18" t="s">
        <v>21</v>
      </c>
      <c r="O195" s="18" t="s">
        <v>20</v>
      </c>
      <c r="P195" s="18" t="s">
        <v>21</v>
      </c>
      <c r="Q195" s="18" t="s">
        <v>21</v>
      </c>
      <c r="R195" s="18" t="s">
        <v>23</v>
      </c>
      <c r="S195" s="18" t="s">
        <v>21</v>
      </c>
      <c r="T195" s="18" t="s">
        <v>21</v>
      </c>
      <c r="U195" s="18" t="s">
        <v>21</v>
      </c>
      <c r="V195" s="37" t="s">
        <v>21</v>
      </c>
      <c r="W195" s="37" t="s">
        <v>20</v>
      </c>
      <c r="X195" s="37" t="s">
        <v>20</v>
      </c>
      <c r="Y195" s="18" t="s">
        <v>20</v>
      </c>
      <c r="Z195" s="18" t="s">
        <v>20</v>
      </c>
      <c r="AA195" s="18" t="s">
        <v>23</v>
      </c>
      <c r="AB195" s="18" t="s">
        <v>21</v>
      </c>
      <c r="AC195" s="18" t="s">
        <v>21</v>
      </c>
      <c r="AD195" s="29" t="s">
        <v>23</v>
      </c>
      <c r="AE195" s="29" t="s">
        <v>21</v>
      </c>
      <c r="AF195">
        <f>+COUNTIF(F195:AE195,"AD")</f>
        <v>0</v>
      </c>
      <c r="AG195">
        <f>+COUNTIF(F195:AE195,"A")</f>
        <v>6</v>
      </c>
      <c r="AH195">
        <f>+COUNTIF(F195:AE195,"b")</f>
        <v>15</v>
      </c>
      <c r="AI195">
        <f>+COUNTIF(F195:AE195,"c")</f>
        <v>5</v>
      </c>
      <c r="AK195">
        <f>+$AF$5*AF195</f>
        <v>0</v>
      </c>
      <c r="AL195">
        <f>+$AG$5*AG195</f>
        <v>18</v>
      </c>
      <c r="AM195">
        <f>+$AH$5*AH195</f>
        <v>30</v>
      </c>
      <c r="AN195">
        <f>+$AI$5*AI195</f>
        <v>5</v>
      </c>
      <c r="AO195">
        <f>+SUM(AK195:AN195)</f>
        <v>53</v>
      </c>
    </row>
    <row r="196" spans="1:41" ht="15.75" customHeight="1" x14ac:dyDescent="0.3">
      <c r="A196" s="16"/>
      <c r="B196" s="55">
        <v>9</v>
      </c>
      <c r="C196" s="71" t="s">
        <v>136</v>
      </c>
      <c r="D196" s="55">
        <v>3</v>
      </c>
      <c r="E196" s="55" t="s">
        <v>21</v>
      </c>
      <c r="F196" s="18" t="s">
        <v>23</v>
      </c>
      <c r="G196" s="18" t="s">
        <v>21</v>
      </c>
      <c r="H196" s="18" t="s">
        <v>23</v>
      </c>
      <c r="I196" s="18" t="s">
        <v>21</v>
      </c>
      <c r="J196" s="18" t="s">
        <v>20</v>
      </c>
      <c r="K196" s="18" t="s">
        <v>21</v>
      </c>
      <c r="L196" s="18" t="s">
        <v>21</v>
      </c>
      <c r="M196" s="18" t="s">
        <v>21</v>
      </c>
      <c r="N196" s="18" t="s">
        <v>21</v>
      </c>
      <c r="O196" s="18" t="s">
        <v>21</v>
      </c>
      <c r="P196" s="18" t="s">
        <v>23</v>
      </c>
      <c r="Q196" s="18" t="s">
        <v>20</v>
      </c>
      <c r="R196" s="18" t="s">
        <v>21</v>
      </c>
      <c r="S196" s="18" t="s">
        <v>21</v>
      </c>
      <c r="T196" s="18" t="s">
        <v>20</v>
      </c>
      <c r="U196" s="18" t="s">
        <v>20</v>
      </c>
      <c r="V196" s="37" t="s">
        <v>21</v>
      </c>
      <c r="W196" s="37" t="s">
        <v>21</v>
      </c>
      <c r="X196" s="37" t="s">
        <v>21</v>
      </c>
      <c r="Y196" s="18" t="s">
        <v>20</v>
      </c>
      <c r="Z196" s="18" t="s">
        <v>20</v>
      </c>
      <c r="AA196" s="18" t="s">
        <v>23</v>
      </c>
      <c r="AB196" s="18" t="s">
        <v>23</v>
      </c>
      <c r="AC196" s="18" t="s">
        <v>21</v>
      </c>
      <c r="AD196" s="29" t="s">
        <v>21</v>
      </c>
      <c r="AE196" s="29" t="s">
        <v>21</v>
      </c>
      <c r="AF196">
        <f>+COUNTIF(F196:AE196,"AD")</f>
        <v>0</v>
      </c>
      <c r="AG196">
        <f>+COUNTIF(F196:AE196,"A")</f>
        <v>6</v>
      </c>
      <c r="AH196">
        <f>+COUNTIF(F196:AE196,"b")</f>
        <v>15</v>
      </c>
      <c r="AI196">
        <f>+COUNTIF(F196:AE196,"c")</f>
        <v>5</v>
      </c>
      <c r="AK196">
        <f>+$AF$5*AF196</f>
        <v>0</v>
      </c>
      <c r="AL196">
        <f>+$AG$5*AG196</f>
        <v>18</v>
      </c>
      <c r="AM196">
        <f>+$AH$5*AH196</f>
        <v>30</v>
      </c>
      <c r="AN196">
        <f>+$AI$5*AI196</f>
        <v>5</v>
      </c>
      <c r="AO196">
        <f>+SUM(AK196:AN196)</f>
        <v>53</v>
      </c>
    </row>
    <row r="197" spans="1:41" ht="15.75" customHeight="1" x14ac:dyDescent="0.3">
      <c r="A197" s="16"/>
      <c r="B197" s="55">
        <v>11</v>
      </c>
      <c r="C197" s="71" t="s">
        <v>159</v>
      </c>
      <c r="D197" s="55">
        <v>4</v>
      </c>
      <c r="E197" s="55" t="s">
        <v>20</v>
      </c>
      <c r="F197" s="18" t="s">
        <v>23</v>
      </c>
      <c r="G197" s="18" t="s">
        <v>23</v>
      </c>
      <c r="H197" s="18" t="s">
        <v>23</v>
      </c>
      <c r="I197" s="18" t="s">
        <v>21</v>
      </c>
      <c r="J197" s="69" t="s">
        <v>20</v>
      </c>
      <c r="K197" s="69" t="s">
        <v>21</v>
      </c>
      <c r="L197" s="69" t="s">
        <v>21</v>
      </c>
      <c r="M197" s="18" t="s">
        <v>21</v>
      </c>
      <c r="N197" s="18" t="s">
        <v>21</v>
      </c>
      <c r="O197" s="18" t="s">
        <v>21</v>
      </c>
      <c r="P197" s="18" t="s">
        <v>21</v>
      </c>
      <c r="Q197" s="18" t="s">
        <v>21</v>
      </c>
      <c r="R197" s="18" t="s">
        <v>21</v>
      </c>
      <c r="S197" s="18" t="s">
        <v>20</v>
      </c>
      <c r="T197" s="18" t="s">
        <v>21</v>
      </c>
      <c r="U197" s="18" t="s">
        <v>20</v>
      </c>
      <c r="V197" s="37" t="s">
        <v>20</v>
      </c>
      <c r="W197" s="37" t="s">
        <v>20</v>
      </c>
      <c r="X197" s="37" t="s">
        <v>20</v>
      </c>
      <c r="Y197" s="18" t="s">
        <v>21</v>
      </c>
      <c r="Z197" s="18" t="s">
        <v>21</v>
      </c>
      <c r="AA197" s="18" t="s">
        <v>21</v>
      </c>
      <c r="AB197" s="18" t="s">
        <v>21</v>
      </c>
      <c r="AC197" s="18" t="s">
        <v>23</v>
      </c>
      <c r="AD197" s="18" t="s">
        <v>23</v>
      </c>
      <c r="AE197" s="18" t="s">
        <v>21</v>
      </c>
      <c r="AF197">
        <f>+COUNTIF(F197:AE197,"AD")</f>
        <v>0</v>
      </c>
      <c r="AG197">
        <f>+COUNTIF(F197:AE197,"A")</f>
        <v>6</v>
      </c>
      <c r="AH197">
        <f>+COUNTIF(F197:AE197,"b")</f>
        <v>15</v>
      </c>
      <c r="AI197">
        <f>+COUNTIF(F197:AE197,"c")</f>
        <v>5</v>
      </c>
      <c r="AK197">
        <f>+$AF$5*AF197</f>
        <v>0</v>
      </c>
      <c r="AL197">
        <f>+$AG$5*AG197</f>
        <v>18</v>
      </c>
      <c r="AM197">
        <f>+$AH$5*AH197</f>
        <v>30</v>
      </c>
      <c r="AN197">
        <f>+$AI$5*AI197</f>
        <v>5</v>
      </c>
      <c r="AO197">
        <f>+SUM(AK197:AN197)</f>
        <v>53</v>
      </c>
    </row>
    <row r="198" spans="1:41" ht="15.75" customHeight="1" x14ac:dyDescent="0.3">
      <c r="A198" s="16"/>
      <c r="B198" s="55">
        <v>13</v>
      </c>
      <c r="C198" s="71" t="s">
        <v>184</v>
      </c>
      <c r="D198" s="55">
        <v>4</v>
      </c>
      <c r="E198" s="55" t="s">
        <v>21</v>
      </c>
      <c r="F198" s="18" t="s">
        <v>21</v>
      </c>
      <c r="G198" s="18" t="s">
        <v>21</v>
      </c>
      <c r="H198" s="18" t="s">
        <v>23</v>
      </c>
      <c r="I198" s="18" t="s">
        <v>21</v>
      </c>
      <c r="J198" s="69" t="s">
        <v>20</v>
      </c>
      <c r="K198" s="69" t="s">
        <v>20</v>
      </c>
      <c r="L198" s="69" t="s">
        <v>21</v>
      </c>
      <c r="M198" s="18" t="s">
        <v>21</v>
      </c>
      <c r="N198" s="18" t="s">
        <v>20</v>
      </c>
      <c r="O198" s="18" t="s">
        <v>21</v>
      </c>
      <c r="P198" s="18" t="s">
        <v>21</v>
      </c>
      <c r="Q198" s="18" t="s">
        <v>21</v>
      </c>
      <c r="R198" s="18" t="s">
        <v>21</v>
      </c>
      <c r="S198" s="18" t="s">
        <v>23</v>
      </c>
      <c r="T198" s="18" t="s">
        <v>23</v>
      </c>
      <c r="U198" s="18" t="s">
        <v>20</v>
      </c>
      <c r="V198" s="49" t="s">
        <v>20</v>
      </c>
      <c r="W198" s="37" t="s">
        <v>21</v>
      </c>
      <c r="X198" s="37" t="s">
        <v>20</v>
      </c>
      <c r="Y198" s="18" t="s">
        <v>23</v>
      </c>
      <c r="Z198" s="18" t="s">
        <v>21</v>
      </c>
      <c r="AA198" s="18" t="s">
        <v>21</v>
      </c>
      <c r="AB198" s="18" t="s">
        <v>20</v>
      </c>
      <c r="AC198" s="18" t="s">
        <v>23</v>
      </c>
      <c r="AD198" s="29" t="s">
        <v>23</v>
      </c>
      <c r="AE198" s="29" t="s">
        <v>21</v>
      </c>
      <c r="AF198">
        <f>+COUNTIF(F198:AE198,"AD")</f>
        <v>0</v>
      </c>
      <c r="AG198">
        <f>+COUNTIF(F198:AE198,"A")</f>
        <v>7</v>
      </c>
      <c r="AH198">
        <f>+COUNTIF(F198:AE198,"b")</f>
        <v>13</v>
      </c>
      <c r="AI198">
        <f>+COUNTIF(F198:AE198,"c")</f>
        <v>6</v>
      </c>
      <c r="AK198">
        <f>+$AF$5*AF198</f>
        <v>0</v>
      </c>
      <c r="AL198">
        <f>+$AG$5*AG198</f>
        <v>21</v>
      </c>
      <c r="AM198">
        <f>+$AH$5*AH198</f>
        <v>26</v>
      </c>
      <c r="AN198">
        <f>+$AI$5*AI198</f>
        <v>6</v>
      </c>
      <c r="AO198">
        <f>+SUM(AK198:AN198)</f>
        <v>53</v>
      </c>
    </row>
    <row r="199" spans="1:41" ht="15.75" customHeight="1" x14ac:dyDescent="0.3">
      <c r="A199" s="16"/>
      <c r="B199" s="55">
        <v>2</v>
      </c>
      <c r="C199" s="71" t="s">
        <v>226</v>
      </c>
      <c r="D199" s="55">
        <v>5</v>
      </c>
      <c r="E199" s="55" t="s">
        <v>21</v>
      </c>
      <c r="F199" s="18" t="s">
        <v>21</v>
      </c>
      <c r="G199" s="18" t="s">
        <v>21</v>
      </c>
      <c r="H199" s="18" t="s">
        <v>21</v>
      </c>
      <c r="I199" s="18" t="s">
        <v>20</v>
      </c>
      <c r="J199" s="18" t="s">
        <v>21</v>
      </c>
      <c r="K199" s="18" t="s">
        <v>21</v>
      </c>
      <c r="L199" s="18" t="s">
        <v>21</v>
      </c>
      <c r="M199" s="18" t="s">
        <v>20</v>
      </c>
      <c r="N199" s="18" t="s">
        <v>21</v>
      </c>
      <c r="O199" s="18" t="s">
        <v>21</v>
      </c>
      <c r="P199" s="18" t="s">
        <v>21</v>
      </c>
      <c r="Q199" s="18" t="s">
        <v>23</v>
      </c>
      <c r="R199" s="18" t="s">
        <v>23</v>
      </c>
      <c r="S199" s="18" t="s">
        <v>21</v>
      </c>
      <c r="T199" s="18" t="s">
        <v>21</v>
      </c>
      <c r="U199" s="18" t="s">
        <v>21</v>
      </c>
      <c r="V199" s="37" t="s">
        <v>20</v>
      </c>
      <c r="W199" s="37" t="s">
        <v>21</v>
      </c>
      <c r="X199" s="37" t="s">
        <v>20</v>
      </c>
      <c r="Y199" s="18" t="s">
        <v>21</v>
      </c>
      <c r="Z199" s="18" t="s">
        <v>20</v>
      </c>
      <c r="AA199" s="18" t="s">
        <v>21</v>
      </c>
      <c r="AB199" s="18" t="s">
        <v>21</v>
      </c>
      <c r="AC199" s="18" t="s">
        <v>23</v>
      </c>
      <c r="AD199" s="18" t="s">
        <v>23</v>
      </c>
      <c r="AE199" s="18" t="s">
        <v>21</v>
      </c>
      <c r="AF199">
        <f>+COUNTIF(F199:AE199,"AD")</f>
        <v>0</v>
      </c>
      <c r="AG199">
        <f>+COUNTIF(F199:AE199,"A")</f>
        <v>5</v>
      </c>
      <c r="AH199">
        <f>+COUNTIF(F199:AE199,"b")</f>
        <v>17</v>
      </c>
      <c r="AI199">
        <f>+COUNTIF(F199:AE199,"c")</f>
        <v>4</v>
      </c>
      <c r="AK199">
        <f>+$AF$5*AF199</f>
        <v>0</v>
      </c>
      <c r="AL199">
        <f>+$AG$5*AG199</f>
        <v>15</v>
      </c>
      <c r="AM199">
        <f>+$AH$5*AH199</f>
        <v>34</v>
      </c>
      <c r="AN199">
        <f>+$AI$5*AI199</f>
        <v>4</v>
      </c>
      <c r="AO199">
        <f>+SUM(AK199:AN199)</f>
        <v>53</v>
      </c>
    </row>
    <row r="200" spans="1:41" ht="15.75" customHeight="1" x14ac:dyDescent="0.3">
      <c r="A200" s="16"/>
      <c r="B200" s="55">
        <v>14</v>
      </c>
      <c r="C200" s="71" t="s">
        <v>238</v>
      </c>
      <c r="D200" s="55">
        <v>5</v>
      </c>
      <c r="E200" s="55" t="s">
        <v>21</v>
      </c>
      <c r="F200" s="18" t="s">
        <v>21</v>
      </c>
      <c r="G200" s="18" t="s">
        <v>21</v>
      </c>
      <c r="H200" s="18" t="s">
        <v>23</v>
      </c>
      <c r="I200" s="18" t="s">
        <v>21</v>
      </c>
      <c r="J200" s="18" t="s">
        <v>23</v>
      </c>
      <c r="K200" s="18" t="s">
        <v>21</v>
      </c>
      <c r="L200" s="18" t="s">
        <v>21</v>
      </c>
      <c r="M200" s="18" t="s">
        <v>21</v>
      </c>
      <c r="N200" s="18" t="s">
        <v>21</v>
      </c>
      <c r="O200" s="18" t="s">
        <v>20</v>
      </c>
      <c r="P200" s="18" t="s">
        <v>21</v>
      </c>
      <c r="Q200" s="18" t="s">
        <v>23</v>
      </c>
      <c r="R200" s="18" t="s">
        <v>21</v>
      </c>
      <c r="S200" s="18" t="s">
        <v>21</v>
      </c>
      <c r="T200" s="18" t="s">
        <v>21</v>
      </c>
      <c r="U200" s="18" t="s">
        <v>20</v>
      </c>
      <c r="V200" s="37" t="s">
        <v>21</v>
      </c>
      <c r="W200" s="37" t="s">
        <v>20</v>
      </c>
      <c r="X200" s="37" t="s">
        <v>20</v>
      </c>
      <c r="Y200" s="18" t="s">
        <v>20</v>
      </c>
      <c r="Z200" s="18" t="s">
        <v>21</v>
      </c>
      <c r="AA200" s="18" t="s">
        <v>23</v>
      </c>
      <c r="AB200" s="18" t="s">
        <v>23</v>
      </c>
      <c r="AC200" s="18" t="s">
        <v>21</v>
      </c>
      <c r="AD200" s="29" t="s">
        <v>20</v>
      </c>
      <c r="AE200" s="29" t="s">
        <v>21</v>
      </c>
      <c r="AF200">
        <f>+COUNTIF(F200:AE200,"AD")</f>
        <v>0</v>
      </c>
      <c r="AG200">
        <f>+COUNTIF(F200:AE200,"A")</f>
        <v>6</v>
      </c>
      <c r="AH200">
        <f>+COUNTIF(F200:AE200,"b")</f>
        <v>15</v>
      </c>
      <c r="AI200">
        <f>+COUNTIF(F200:AE200,"c")</f>
        <v>5</v>
      </c>
      <c r="AK200">
        <f>+$AF$5*AF200</f>
        <v>0</v>
      </c>
      <c r="AL200">
        <f>+$AG$5*AG200</f>
        <v>18</v>
      </c>
      <c r="AM200">
        <f>+$AH$5*AH200</f>
        <v>30</v>
      </c>
      <c r="AN200">
        <f>+$AI$5*AI200</f>
        <v>5</v>
      </c>
      <c r="AO200">
        <f>+SUM(AK200:AN200)</f>
        <v>53</v>
      </c>
    </row>
    <row r="201" spans="1:41" ht="15.75" customHeight="1" x14ac:dyDescent="0.3">
      <c r="A201" s="16"/>
      <c r="B201" s="55">
        <v>17</v>
      </c>
      <c r="C201" s="71" t="s">
        <v>241</v>
      </c>
      <c r="D201" s="55">
        <v>5</v>
      </c>
      <c r="E201" s="55" t="s">
        <v>21</v>
      </c>
      <c r="F201" s="18" t="s">
        <v>21</v>
      </c>
      <c r="G201" s="18" t="s">
        <v>23</v>
      </c>
      <c r="H201" s="18" t="s">
        <v>21</v>
      </c>
      <c r="I201" s="18" t="s">
        <v>21</v>
      </c>
      <c r="J201" s="18" t="s">
        <v>21</v>
      </c>
      <c r="K201" s="18" t="s">
        <v>21</v>
      </c>
      <c r="L201" s="18" t="s">
        <v>21</v>
      </c>
      <c r="M201" s="18" t="s">
        <v>21</v>
      </c>
      <c r="N201" s="18" t="s">
        <v>21</v>
      </c>
      <c r="O201" s="18" t="s">
        <v>21</v>
      </c>
      <c r="P201" s="18" t="s">
        <v>21</v>
      </c>
      <c r="Q201" s="18" t="s">
        <v>23</v>
      </c>
      <c r="R201" s="18" t="s">
        <v>21</v>
      </c>
      <c r="S201" s="18" t="s">
        <v>21</v>
      </c>
      <c r="T201" s="18" t="s">
        <v>21</v>
      </c>
      <c r="U201" s="18" t="s">
        <v>21</v>
      </c>
      <c r="V201" s="37" t="s">
        <v>20</v>
      </c>
      <c r="W201" s="37" t="s">
        <v>21</v>
      </c>
      <c r="X201" s="37" t="s">
        <v>20</v>
      </c>
      <c r="Y201" s="18" t="s">
        <v>20</v>
      </c>
      <c r="Z201" s="18" t="s">
        <v>21</v>
      </c>
      <c r="AA201" s="18" t="s">
        <v>20</v>
      </c>
      <c r="AB201" s="18" t="s">
        <v>21</v>
      </c>
      <c r="AC201" s="18" t="s">
        <v>21</v>
      </c>
      <c r="AD201" s="29" t="s">
        <v>23</v>
      </c>
      <c r="AE201" s="29" t="s">
        <v>21</v>
      </c>
      <c r="AF201">
        <f>+COUNTIF(F201:AE201,"AD")</f>
        <v>0</v>
      </c>
      <c r="AG201">
        <f>+COUNTIF(F201:AE201,"A")</f>
        <v>4</v>
      </c>
      <c r="AH201">
        <f>+COUNTIF(F201:AE201,"b")</f>
        <v>19</v>
      </c>
      <c r="AI201">
        <f>+COUNTIF(F201:AE201,"c")</f>
        <v>3</v>
      </c>
      <c r="AK201">
        <f>+$AF$5*AF201</f>
        <v>0</v>
      </c>
      <c r="AL201">
        <f>+$AG$5*AG201</f>
        <v>12</v>
      </c>
      <c r="AM201">
        <f>+$AH$5*AH201</f>
        <v>38</v>
      </c>
      <c r="AN201">
        <f>+$AI$5*AI201</f>
        <v>3</v>
      </c>
      <c r="AO201">
        <f>+SUM(AK201:AN201)</f>
        <v>53</v>
      </c>
    </row>
    <row r="202" spans="1:41" ht="15.75" customHeight="1" x14ac:dyDescent="0.3">
      <c r="A202" s="16"/>
      <c r="B202" s="55">
        <v>9</v>
      </c>
      <c r="C202" s="71" t="s">
        <v>70</v>
      </c>
      <c r="D202" s="55">
        <v>2</v>
      </c>
      <c r="E202" s="55" t="s">
        <v>20</v>
      </c>
      <c r="F202" s="18" t="s">
        <v>21</v>
      </c>
      <c r="G202" s="18" t="s">
        <v>21</v>
      </c>
      <c r="H202" s="18" t="s">
        <v>21</v>
      </c>
      <c r="I202" s="18" t="s">
        <v>21</v>
      </c>
      <c r="J202" s="18" t="s">
        <v>21</v>
      </c>
      <c r="K202" s="18" t="s">
        <v>21</v>
      </c>
      <c r="L202" s="18" t="s">
        <v>21</v>
      </c>
      <c r="M202" s="18" t="s">
        <v>21</v>
      </c>
      <c r="N202" s="18" t="s">
        <v>21</v>
      </c>
      <c r="O202" s="18" t="s">
        <v>23</v>
      </c>
      <c r="P202" s="18" t="s">
        <v>21</v>
      </c>
      <c r="Q202" s="18" t="s">
        <v>21</v>
      </c>
      <c r="R202" s="18" t="s">
        <v>21</v>
      </c>
      <c r="S202" s="18" t="s">
        <v>23</v>
      </c>
      <c r="T202" s="18" t="s">
        <v>23</v>
      </c>
      <c r="U202" s="18" t="s">
        <v>20</v>
      </c>
      <c r="V202" s="37" t="s">
        <v>20</v>
      </c>
      <c r="W202" s="37" t="s">
        <v>20</v>
      </c>
      <c r="X202" s="37" t="s">
        <v>20</v>
      </c>
      <c r="Y202" s="18" t="s">
        <v>21</v>
      </c>
      <c r="Z202" s="18" t="s">
        <v>20</v>
      </c>
      <c r="AA202" s="18" t="s">
        <v>23</v>
      </c>
      <c r="AB202" s="18" t="s">
        <v>21</v>
      </c>
      <c r="AC202" s="18" t="s">
        <v>23</v>
      </c>
      <c r="AD202" s="29" t="s">
        <v>21</v>
      </c>
      <c r="AE202" s="29" t="s">
        <v>21</v>
      </c>
      <c r="AF202">
        <f>+COUNTIF(F202:AE202,"AD")</f>
        <v>0</v>
      </c>
      <c r="AG202">
        <f>+COUNTIF(F202:AE202,"A")</f>
        <v>5</v>
      </c>
      <c r="AH202">
        <f>+COUNTIF(F202:AE202,"b")</f>
        <v>16</v>
      </c>
      <c r="AI202">
        <f>+COUNTIF(F202:AE202,"c")</f>
        <v>5</v>
      </c>
      <c r="AK202">
        <f>+$AF$5*AF202</f>
        <v>0</v>
      </c>
      <c r="AL202">
        <f>+$AG$5*AG202</f>
        <v>15</v>
      </c>
      <c r="AM202">
        <f>+$AH$5*AH202</f>
        <v>32</v>
      </c>
      <c r="AN202">
        <f>+$AI$5*AI202</f>
        <v>5</v>
      </c>
      <c r="AO202">
        <f>+SUM(AK202:AN202)</f>
        <v>52</v>
      </c>
    </row>
    <row r="203" spans="1:41" ht="15.75" customHeight="1" x14ac:dyDescent="0.3">
      <c r="A203" s="16"/>
      <c r="B203" s="55">
        <v>21</v>
      </c>
      <c r="C203" s="71" t="s">
        <v>106</v>
      </c>
      <c r="D203" s="55">
        <v>2</v>
      </c>
      <c r="E203" s="55" t="s">
        <v>21</v>
      </c>
      <c r="F203" s="18" t="s">
        <v>21</v>
      </c>
      <c r="G203" s="18" t="s">
        <v>23</v>
      </c>
      <c r="H203" s="18" t="s">
        <v>21</v>
      </c>
      <c r="I203" s="18" t="s">
        <v>21</v>
      </c>
      <c r="J203" s="18" t="s">
        <v>20</v>
      </c>
      <c r="K203" s="18" t="s">
        <v>20</v>
      </c>
      <c r="L203" s="18" t="s">
        <v>20</v>
      </c>
      <c r="M203" s="18" t="s">
        <v>21</v>
      </c>
      <c r="N203" s="18" t="s">
        <v>21</v>
      </c>
      <c r="O203" s="18" t="s">
        <v>21</v>
      </c>
      <c r="P203" s="18" t="s">
        <v>21</v>
      </c>
      <c r="Q203" s="18" t="s">
        <v>21</v>
      </c>
      <c r="R203" s="18" t="s">
        <v>21</v>
      </c>
      <c r="S203" s="18" t="s">
        <v>23</v>
      </c>
      <c r="T203" s="18" t="s">
        <v>21</v>
      </c>
      <c r="U203" s="18" t="s">
        <v>20</v>
      </c>
      <c r="V203" s="37" t="s">
        <v>21</v>
      </c>
      <c r="W203" s="37" t="s">
        <v>21</v>
      </c>
      <c r="X203" s="37" t="s">
        <v>21</v>
      </c>
      <c r="Y203" s="18" t="s">
        <v>23</v>
      </c>
      <c r="Z203" s="18" t="s">
        <v>21</v>
      </c>
      <c r="AA203" s="18" t="s">
        <v>21</v>
      </c>
      <c r="AB203" s="18" t="s">
        <v>21</v>
      </c>
      <c r="AC203" s="18" t="s">
        <v>21</v>
      </c>
      <c r="AD203" s="18" t="s">
        <v>23</v>
      </c>
      <c r="AE203" s="18" t="s">
        <v>21</v>
      </c>
      <c r="AF203">
        <f>+COUNTIF(F203:AE203,"AD")</f>
        <v>0</v>
      </c>
      <c r="AG203">
        <f>+COUNTIF(F203:AE203,"A")</f>
        <v>4</v>
      </c>
      <c r="AH203">
        <f>+COUNTIF(F203:AE203,"b")</f>
        <v>18</v>
      </c>
      <c r="AI203">
        <f>+COUNTIF(F203:AE203,"c")</f>
        <v>4</v>
      </c>
      <c r="AK203">
        <f>+$AF$5*AF203</f>
        <v>0</v>
      </c>
      <c r="AL203">
        <f>+$AG$5*AG203</f>
        <v>12</v>
      </c>
      <c r="AM203">
        <f>+$AH$5*AH203</f>
        <v>36</v>
      </c>
      <c r="AN203">
        <f>+$AI$5*AI203</f>
        <v>4</v>
      </c>
      <c r="AO203">
        <f>+SUM(AK203:AN203)</f>
        <v>52</v>
      </c>
    </row>
    <row r="204" spans="1:41" ht="15.75" customHeight="1" x14ac:dyDescent="0.3">
      <c r="A204" s="16"/>
      <c r="B204" s="55">
        <v>10</v>
      </c>
      <c r="C204" s="71" t="s">
        <v>118</v>
      </c>
      <c r="D204" s="55">
        <v>3</v>
      </c>
      <c r="E204" s="55" t="s">
        <v>20</v>
      </c>
      <c r="F204" s="18" t="s">
        <v>23</v>
      </c>
      <c r="G204" s="18" t="s">
        <v>23</v>
      </c>
      <c r="H204" s="18" t="s">
        <v>23</v>
      </c>
      <c r="I204" s="18" t="s">
        <v>23</v>
      </c>
      <c r="J204" s="69" t="s">
        <v>21</v>
      </c>
      <c r="K204" s="69" t="s">
        <v>21</v>
      </c>
      <c r="L204" s="69" t="s">
        <v>21</v>
      </c>
      <c r="M204" s="18" t="s">
        <v>21</v>
      </c>
      <c r="N204" s="18" t="s">
        <v>23</v>
      </c>
      <c r="O204" s="18" t="s">
        <v>21</v>
      </c>
      <c r="P204" s="18" t="s">
        <v>23</v>
      </c>
      <c r="Q204" s="18" t="s">
        <v>21</v>
      </c>
      <c r="R204" s="18" t="s">
        <v>21</v>
      </c>
      <c r="S204" s="18" t="s">
        <v>20</v>
      </c>
      <c r="T204" s="18" t="s">
        <v>20</v>
      </c>
      <c r="U204" s="18" t="s">
        <v>21</v>
      </c>
      <c r="V204" s="37" t="s">
        <v>20</v>
      </c>
      <c r="W204" s="37" t="s">
        <v>21</v>
      </c>
      <c r="X204" s="37" t="s">
        <v>20</v>
      </c>
      <c r="Y204" s="18" t="s">
        <v>20</v>
      </c>
      <c r="Z204" s="18" t="s">
        <v>20</v>
      </c>
      <c r="AA204" s="18" t="s">
        <v>21</v>
      </c>
      <c r="AB204" s="18" t="s">
        <v>21</v>
      </c>
      <c r="AC204" s="18" t="s">
        <v>21</v>
      </c>
      <c r="AD204" s="37" t="s">
        <v>21</v>
      </c>
      <c r="AE204" s="37" t="s">
        <v>21</v>
      </c>
      <c r="AF204">
        <f>+COUNTIF(F204:AE204,"AD")</f>
        <v>0</v>
      </c>
      <c r="AG204">
        <f>+COUNTIF(F204:AE204,"A")</f>
        <v>6</v>
      </c>
      <c r="AH204">
        <f>+COUNTIF(F204:AE204,"b")</f>
        <v>14</v>
      </c>
      <c r="AI204">
        <f>+COUNTIF(F204:AE204,"c")</f>
        <v>6</v>
      </c>
      <c r="AK204">
        <f>+$AF$5*AF204</f>
        <v>0</v>
      </c>
      <c r="AL204">
        <f>+$AG$5*AG204</f>
        <v>18</v>
      </c>
      <c r="AM204">
        <f>+$AH$5*AH204</f>
        <v>28</v>
      </c>
      <c r="AN204">
        <f>+$AI$5*AI204</f>
        <v>6</v>
      </c>
      <c r="AO204">
        <f>+SUM(AK204:AN204)</f>
        <v>52</v>
      </c>
    </row>
    <row r="205" spans="1:41" ht="15.75" customHeight="1" x14ac:dyDescent="0.3">
      <c r="A205" s="16"/>
      <c r="B205" s="55">
        <v>7</v>
      </c>
      <c r="C205" s="71" t="s">
        <v>155</v>
      </c>
      <c r="D205" s="55">
        <v>4</v>
      </c>
      <c r="E205" s="55" t="s">
        <v>20</v>
      </c>
      <c r="F205" s="18" t="s">
        <v>21</v>
      </c>
      <c r="G205" s="18" t="s">
        <v>21</v>
      </c>
      <c r="H205" s="18" t="s">
        <v>23</v>
      </c>
      <c r="I205" s="18" t="s">
        <v>23</v>
      </c>
      <c r="J205" s="69" t="s">
        <v>20</v>
      </c>
      <c r="K205" s="69" t="s">
        <v>20</v>
      </c>
      <c r="L205" s="69" t="s">
        <v>20</v>
      </c>
      <c r="M205" s="18" t="s">
        <v>20</v>
      </c>
      <c r="N205" s="18" t="s">
        <v>21</v>
      </c>
      <c r="O205" s="18" t="s">
        <v>21</v>
      </c>
      <c r="P205" s="18" t="s">
        <v>23</v>
      </c>
      <c r="Q205" s="18" t="s">
        <v>21</v>
      </c>
      <c r="R205" s="18" t="s">
        <v>23</v>
      </c>
      <c r="S205" s="18" t="s">
        <v>21</v>
      </c>
      <c r="T205" s="18" t="s">
        <v>20</v>
      </c>
      <c r="U205" s="18" t="s">
        <v>21</v>
      </c>
      <c r="V205" s="37" t="s">
        <v>20</v>
      </c>
      <c r="W205" s="37" t="s">
        <v>21</v>
      </c>
      <c r="X205" s="37" t="s">
        <v>20</v>
      </c>
      <c r="Y205" s="18" t="s">
        <v>21</v>
      </c>
      <c r="Z205" s="18" t="s">
        <v>20</v>
      </c>
      <c r="AA205" s="18" t="s">
        <v>21</v>
      </c>
      <c r="AB205" s="18" t="s">
        <v>21</v>
      </c>
      <c r="AC205" s="18" t="s">
        <v>21</v>
      </c>
      <c r="AD205" s="29" t="s">
        <v>55</v>
      </c>
      <c r="AE205" s="29" t="s">
        <v>55</v>
      </c>
      <c r="AF205">
        <f>+COUNTIF(F205:AE205,"AD")</f>
        <v>0</v>
      </c>
      <c r="AG205">
        <f>+COUNTIF(F205:AE205,"A")</f>
        <v>8</v>
      </c>
      <c r="AH205">
        <f>+COUNTIF(F205:AE205,"b")</f>
        <v>12</v>
      </c>
      <c r="AI205">
        <f>+COUNTIF(F205:AE205,"c")</f>
        <v>4</v>
      </c>
      <c r="AK205">
        <f>+$AF$5*AF205</f>
        <v>0</v>
      </c>
      <c r="AL205">
        <f>+$AG$5*AG205</f>
        <v>24</v>
      </c>
      <c r="AM205">
        <f>+$AH$5*AH205</f>
        <v>24</v>
      </c>
      <c r="AN205">
        <f>+$AI$5*AI205</f>
        <v>4</v>
      </c>
      <c r="AO205">
        <f>+SUM(AK205:AN205)</f>
        <v>52</v>
      </c>
    </row>
    <row r="206" spans="1:41" ht="15.75" customHeight="1" x14ac:dyDescent="0.3">
      <c r="A206" s="16"/>
      <c r="B206" s="55">
        <v>13</v>
      </c>
      <c r="C206" s="71" t="s">
        <v>34</v>
      </c>
      <c r="D206" s="55">
        <v>1</v>
      </c>
      <c r="E206" s="55" t="s">
        <v>20</v>
      </c>
      <c r="F206" s="18" t="s">
        <v>21</v>
      </c>
      <c r="G206" s="18" t="s">
        <v>21</v>
      </c>
      <c r="H206" s="18" t="s">
        <v>23</v>
      </c>
      <c r="I206" s="18" t="s">
        <v>21</v>
      </c>
      <c r="J206" s="18" t="s">
        <v>21</v>
      </c>
      <c r="K206" s="18" t="s">
        <v>21</v>
      </c>
      <c r="L206" s="18" t="s">
        <v>21</v>
      </c>
      <c r="M206" s="19" t="s">
        <v>21</v>
      </c>
      <c r="N206" s="19" t="s">
        <v>21</v>
      </c>
      <c r="O206" s="19" t="s">
        <v>21</v>
      </c>
      <c r="P206" s="19" t="s">
        <v>21</v>
      </c>
      <c r="Q206" s="18" t="s">
        <v>21</v>
      </c>
      <c r="R206" s="18" t="s">
        <v>21</v>
      </c>
      <c r="S206" s="19" t="s">
        <v>23</v>
      </c>
      <c r="T206" s="18" t="s">
        <v>23</v>
      </c>
      <c r="U206" s="18" t="s">
        <v>21</v>
      </c>
      <c r="V206" s="18" t="s">
        <v>21</v>
      </c>
      <c r="W206" s="18" t="s">
        <v>21</v>
      </c>
      <c r="X206" s="18" t="s">
        <v>20</v>
      </c>
      <c r="Y206" s="19" t="s">
        <v>20</v>
      </c>
      <c r="Z206" s="19" t="s">
        <v>20</v>
      </c>
      <c r="AA206" s="18" t="s">
        <v>21</v>
      </c>
      <c r="AB206" s="18" t="s">
        <v>21</v>
      </c>
      <c r="AC206" s="18" t="s">
        <v>23</v>
      </c>
      <c r="AD206" s="19" t="s">
        <v>21</v>
      </c>
      <c r="AE206" s="19" t="s">
        <v>21</v>
      </c>
      <c r="AF206">
        <f>+COUNTIF(F206:AE206,"AD")</f>
        <v>0</v>
      </c>
      <c r="AG206">
        <f>+COUNTIF(F206:AE206,"A")</f>
        <v>3</v>
      </c>
      <c r="AH206">
        <f>+COUNTIF(F206:AE206,"b")</f>
        <v>19</v>
      </c>
      <c r="AI206">
        <f>+COUNTIF(F206:AE206,"c")</f>
        <v>4</v>
      </c>
      <c r="AK206">
        <f>+$AF$5*AF206</f>
        <v>0</v>
      </c>
      <c r="AL206">
        <f>+$AG$5*AG206</f>
        <v>9</v>
      </c>
      <c r="AM206">
        <f>+$AH$5*AH206</f>
        <v>38</v>
      </c>
      <c r="AN206">
        <f>+$AI$5*AI206</f>
        <v>4</v>
      </c>
      <c r="AO206">
        <f>+SUM(AK206:AN206)</f>
        <v>51</v>
      </c>
    </row>
    <row r="207" spans="1:41" ht="15.75" customHeight="1" x14ac:dyDescent="0.3">
      <c r="A207" s="16"/>
      <c r="B207" s="55">
        <v>4</v>
      </c>
      <c r="C207" s="71" t="s">
        <v>65</v>
      </c>
      <c r="D207" s="55">
        <v>2</v>
      </c>
      <c r="E207" s="55" t="s">
        <v>20</v>
      </c>
      <c r="F207" s="18" t="s">
        <v>21</v>
      </c>
      <c r="G207" s="18" t="s">
        <v>23</v>
      </c>
      <c r="H207" s="18" t="s">
        <v>21</v>
      </c>
      <c r="I207" s="18" t="s">
        <v>21</v>
      </c>
      <c r="J207" s="18" t="s">
        <v>21</v>
      </c>
      <c r="K207" s="18" t="s">
        <v>23</v>
      </c>
      <c r="L207" s="18" t="s">
        <v>21</v>
      </c>
      <c r="M207" s="18" t="s">
        <v>21</v>
      </c>
      <c r="N207" s="18" t="s">
        <v>21</v>
      </c>
      <c r="O207" s="18" t="s">
        <v>23</v>
      </c>
      <c r="P207" s="18" t="s">
        <v>23</v>
      </c>
      <c r="Q207" s="18" t="s">
        <v>23</v>
      </c>
      <c r="R207" s="18" t="s">
        <v>21</v>
      </c>
      <c r="S207" s="18" t="s">
        <v>23</v>
      </c>
      <c r="T207" s="18" t="s">
        <v>23</v>
      </c>
      <c r="U207" s="18" t="s">
        <v>20</v>
      </c>
      <c r="V207" s="35" t="s">
        <v>20</v>
      </c>
      <c r="W207" s="35" t="s">
        <v>20</v>
      </c>
      <c r="X207" s="36" t="s">
        <v>20</v>
      </c>
      <c r="Y207" s="19" t="s">
        <v>20</v>
      </c>
      <c r="Z207" s="18" t="s">
        <v>20</v>
      </c>
      <c r="AA207" s="18" t="s">
        <v>21</v>
      </c>
      <c r="AB207" s="18" t="s">
        <v>21</v>
      </c>
      <c r="AC207" s="18" t="s">
        <v>21</v>
      </c>
      <c r="AD207" s="29" t="s">
        <v>21</v>
      </c>
      <c r="AE207" s="29" t="s">
        <v>21</v>
      </c>
      <c r="AF207">
        <f>+COUNTIF(F207:AE207,"AD")</f>
        <v>0</v>
      </c>
      <c r="AG207">
        <f>+COUNTIF(F207:AE207,"A")</f>
        <v>6</v>
      </c>
      <c r="AH207">
        <f>+COUNTIF(F207:AE207,"b")</f>
        <v>13</v>
      </c>
      <c r="AI207">
        <f>+COUNTIF(F207:AE207,"c")</f>
        <v>7</v>
      </c>
      <c r="AK207">
        <f>+$AF$5*AF207</f>
        <v>0</v>
      </c>
      <c r="AL207">
        <f>+$AG$5*AG207</f>
        <v>18</v>
      </c>
      <c r="AM207">
        <f>+$AH$5*AH207</f>
        <v>26</v>
      </c>
      <c r="AN207">
        <f>+$AI$5*AI207</f>
        <v>7</v>
      </c>
      <c r="AO207">
        <f>+SUM(AK207:AN207)</f>
        <v>51</v>
      </c>
    </row>
    <row r="208" spans="1:41" ht="15.75" customHeight="1" x14ac:dyDescent="0.3">
      <c r="A208" s="16"/>
      <c r="B208" s="55">
        <v>3</v>
      </c>
      <c r="C208" s="71" t="s">
        <v>111</v>
      </c>
      <c r="D208" s="55">
        <v>3</v>
      </c>
      <c r="E208" s="55" t="s">
        <v>20</v>
      </c>
      <c r="F208" s="18" t="s">
        <v>23</v>
      </c>
      <c r="G208" s="18" t="s">
        <v>21</v>
      </c>
      <c r="H208" s="18" t="s">
        <v>23</v>
      </c>
      <c r="I208" s="18" t="s">
        <v>23</v>
      </c>
      <c r="J208" s="69" t="s">
        <v>21</v>
      </c>
      <c r="K208" s="69" t="s">
        <v>20</v>
      </c>
      <c r="L208" s="69" t="s">
        <v>21</v>
      </c>
      <c r="M208" s="18" t="s">
        <v>21</v>
      </c>
      <c r="N208" s="18" t="s">
        <v>21</v>
      </c>
      <c r="O208" s="18" t="s">
        <v>21</v>
      </c>
      <c r="P208" s="18" t="s">
        <v>23</v>
      </c>
      <c r="Q208" s="18" t="s">
        <v>21</v>
      </c>
      <c r="R208" s="18" t="s">
        <v>21</v>
      </c>
      <c r="S208" s="18" t="s">
        <v>21</v>
      </c>
      <c r="T208" s="18" t="s">
        <v>21</v>
      </c>
      <c r="U208" s="18" t="s">
        <v>20</v>
      </c>
      <c r="V208" s="37" t="s">
        <v>20</v>
      </c>
      <c r="W208" s="37" t="s">
        <v>21</v>
      </c>
      <c r="X208" s="37" t="s">
        <v>21</v>
      </c>
      <c r="Y208" s="18" t="s">
        <v>21</v>
      </c>
      <c r="Z208" s="18" t="s">
        <v>20</v>
      </c>
      <c r="AA208" s="18" t="s">
        <v>21</v>
      </c>
      <c r="AB208" s="18" t="s">
        <v>21</v>
      </c>
      <c r="AC208" s="18" t="s">
        <v>21</v>
      </c>
      <c r="AD208" s="37" t="s">
        <v>23</v>
      </c>
      <c r="AE208" s="37" t="s">
        <v>21</v>
      </c>
      <c r="AF208">
        <f>+COUNTIF(F208:AE208,"AD")</f>
        <v>0</v>
      </c>
      <c r="AG208">
        <f>+COUNTIF(F208:AE208,"A")</f>
        <v>4</v>
      </c>
      <c r="AH208">
        <f>+COUNTIF(F208:AE208,"b")</f>
        <v>17</v>
      </c>
      <c r="AI208">
        <f>+COUNTIF(F208:AE208,"c")</f>
        <v>5</v>
      </c>
      <c r="AK208">
        <f>+$AF$5*AF208</f>
        <v>0</v>
      </c>
      <c r="AL208">
        <f>+$AG$5*AG208</f>
        <v>12</v>
      </c>
      <c r="AM208">
        <f>+$AH$5*AH208</f>
        <v>34</v>
      </c>
      <c r="AN208">
        <f>+$AI$5*AI208</f>
        <v>5</v>
      </c>
      <c r="AO208">
        <f>+SUM(AK208:AN208)</f>
        <v>51</v>
      </c>
    </row>
    <row r="209" spans="1:41" ht="15.75" customHeight="1" x14ac:dyDescent="0.3">
      <c r="A209" s="16"/>
      <c r="B209" s="55">
        <v>11</v>
      </c>
      <c r="C209" s="71" t="s">
        <v>138</v>
      </c>
      <c r="D209" s="55">
        <v>3</v>
      </c>
      <c r="E209" s="55" t="s">
        <v>21</v>
      </c>
      <c r="F209" s="18" t="s">
        <v>21</v>
      </c>
      <c r="G209" s="18" t="s">
        <v>21</v>
      </c>
      <c r="H209" s="18" t="s">
        <v>21</v>
      </c>
      <c r="I209" s="18" t="s">
        <v>21</v>
      </c>
      <c r="J209" s="18" t="s">
        <v>21</v>
      </c>
      <c r="K209" s="18" t="s">
        <v>21</v>
      </c>
      <c r="L209" s="18" t="s">
        <v>21</v>
      </c>
      <c r="M209" s="18" t="s">
        <v>21</v>
      </c>
      <c r="N209" s="18" t="s">
        <v>21</v>
      </c>
      <c r="O209" s="18" t="s">
        <v>21</v>
      </c>
      <c r="P209" s="18" t="s">
        <v>21</v>
      </c>
      <c r="Q209" s="18" t="s">
        <v>21</v>
      </c>
      <c r="R209" s="18" t="s">
        <v>23</v>
      </c>
      <c r="S209" s="18" t="s">
        <v>23</v>
      </c>
      <c r="T209" s="18" t="s">
        <v>21</v>
      </c>
      <c r="U209" s="18" t="s">
        <v>20</v>
      </c>
      <c r="V209" s="37" t="s">
        <v>21</v>
      </c>
      <c r="W209" s="37" t="s">
        <v>20</v>
      </c>
      <c r="X209" s="37" t="s">
        <v>21</v>
      </c>
      <c r="Y209" s="18" t="s">
        <v>21</v>
      </c>
      <c r="Z209" s="18" t="s">
        <v>21</v>
      </c>
      <c r="AA209" s="18" t="s">
        <v>21</v>
      </c>
      <c r="AB209" s="18" t="s">
        <v>21</v>
      </c>
      <c r="AC209" s="18" t="s">
        <v>21</v>
      </c>
      <c r="AD209" s="29" t="s">
        <v>23</v>
      </c>
      <c r="AE209" s="29" t="s">
        <v>21</v>
      </c>
      <c r="AF209">
        <f>+COUNTIF(F209:AE209,"AD")</f>
        <v>0</v>
      </c>
      <c r="AG209">
        <f>+COUNTIF(F209:AE209,"A")</f>
        <v>2</v>
      </c>
      <c r="AH209">
        <f>+COUNTIF(F209:AE209,"b")</f>
        <v>21</v>
      </c>
      <c r="AI209">
        <f>+COUNTIF(F209:AE209,"c")</f>
        <v>3</v>
      </c>
      <c r="AK209">
        <f>+$AF$5*AF209</f>
        <v>0</v>
      </c>
      <c r="AL209">
        <f>+$AG$5*AG209</f>
        <v>6</v>
      </c>
      <c r="AM209">
        <f>+$AH$5*AH209</f>
        <v>42</v>
      </c>
      <c r="AN209">
        <f>+$AI$5*AI209</f>
        <v>3</v>
      </c>
      <c r="AO209">
        <f>+SUM(AK209:AN209)</f>
        <v>51</v>
      </c>
    </row>
    <row r="210" spans="1:41" ht="15.75" customHeight="1" x14ac:dyDescent="0.3">
      <c r="A210" s="16"/>
      <c r="B210" s="55">
        <v>16</v>
      </c>
      <c r="C210" s="71" t="s">
        <v>143</v>
      </c>
      <c r="D210" s="55">
        <v>3</v>
      </c>
      <c r="E210" s="55" t="s">
        <v>21</v>
      </c>
      <c r="F210" s="18" t="s">
        <v>23</v>
      </c>
      <c r="G210" s="18" t="s">
        <v>23</v>
      </c>
      <c r="H210" s="18" t="s">
        <v>21</v>
      </c>
      <c r="I210" s="18" t="s">
        <v>21</v>
      </c>
      <c r="J210" s="18" t="s">
        <v>21</v>
      </c>
      <c r="K210" s="18" t="s">
        <v>21</v>
      </c>
      <c r="L210" s="18" t="s">
        <v>21</v>
      </c>
      <c r="M210" s="18" t="s">
        <v>21</v>
      </c>
      <c r="N210" s="18" t="s">
        <v>20</v>
      </c>
      <c r="O210" s="18" t="s">
        <v>21</v>
      </c>
      <c r="P210" s="18" t="s">
        <v>21</v>
      </c>
      <c r="Q210" s="18" t="s">
        <v>20</v>
      </c>
      <c r="R210" s="18" t="s">
        <v>21</v>
      </c>
      <c r="S210" s="18" t="s">
        <v>23</v>
      </c>
      <c r="T210" s="18" t="s">
        <v>21</v>
      </c>
      <c r="U210" s="18" t="s">
        <v>20</v>
      </c>
      <c r="V210" s="37" t="s">
        <v>21</v>
      </c>
      <c r="W210" s="37" t="s">
        <v>20</v>
      </c>
      <c r="X210" s="37" t="s">
        <v>21</v>
      </c>
      <c r="Y210" s="18" t="s">
        <v>23</v>
      </c>
      <c r="Z210" s="18" t="s">
        <v>21</v>
      </c>
      <c r="AA210" s="18" t="s">
        <v>21</v>
      </c>
      <c r="AB210" s="18" t="s">
        <v>21</v>
      </c>
      <c r="AC210" s="18" t="s">
        <v>21</v>
      </c>
      <c r="AD210" s="29" t="s">
        <v>23</v>
      </c>
      <c r="AE210" s="29" t="s">
        <v>21</v>
      </c>
      <c r="AF210">
        <f>+COUNTIF(F210:AE210,"AD")</f>
        <v>0</v>
      </c>
      <c r="AG210">
        <f>+COUNTIF(F210:AE210,"A")</f>
        <v>4</v>
      </c>
      <c r="AH210">
        <f>+COUNTIF(F210:AE210,"b")</f>
        <v>17</v>
      </c>
      <c r="AI210">
        <f>+COUNTIF(F210:AE210,"c")</f>
        <v>5</v>
      </c>
      <c r="AK210">
        <f>+$AF$5*AF210</f>
        <v>0</v>
      </c>
      <c r="AL210">
        <f>+$AG$5*AG210</f>
        <v>12</v>
      </c>
      <c r="AM210">
        <f>+$AH$5*AH210</f>
        <v>34</v>
      </c>
      <c r="AN210">
        <f>+$AI$5*AI210</f>
        <v>5</v>
      </c>
      <c r="AO210">
        <f>+SUM(AK210:AN210)</f>
        <v>51</v>
      </c>
    </row>
    <row r="211" spans="1:41" ht="15.75" customHeight="1" x14ac:dyDescent="0.3">
      <c r="A211" s="16"/>
      <c r="B211" s="55">
        <v>13</v>
      </c>
      <c r="C211" s="71" t="s">
        <v>161</v>
      </c>
      <c r="D211" s="55">
        <v>4</v>
      </c>
      <c r="E211" s="55" t="s">
        <v>20</v>
      </c>
      <c r="F211" s="18" t="s">
        <v>21</v>
      </c>
      <c r="G211" s="18" t="s">
        <v>21</v>
      </c>
      <c r="H211" s="18" t="s">
        <v>21</v>
      </c>
      <c r="I211" s="18" t="s">
        <v>21</v>
      </c>
      <c r="J211" s="69" t="s">
        <v>21</v>
      </c>
      <c r="K211" s="69" t="s">
        <v>21</v>
      </c>
      <c r="L211" s="69" t="s">
        <v>21</v>
      </c>
      <c r="M211" s="18" t="s">
        <v>23</v>
      </c>
      <c r="N211" s="18" t="s">
        <v>23</v>
      </c>
      <c r="O211" s="18" t="s">
        <v>21</v>
      </c>
      <c r="P211" s="18" t="s">
        <v>20</v>
      </c>
      <c r="Q211" s="18" t="s">
        <v>21</v>
      </c>
      <c r="R211" s="18" t="s">
        <v>21</v>
      </c>
      <c r="S211" s="18" t="s">
        <v>20</v>
      </c>
      <c r="T211" s="18" t="s">
        <v>21</v>
      </c>
      <c r="U211" s="18" t="s">
        <v>20</v>
      </c>
      <c r="V211" s="37" t="s">
        <v>21</v>
      </c>
      <c r="W211" s="37" t="s">
        <v>21</v>
      </c>
      <c r="X211" s="37" t="s">
        <v>21</v>
      </c>
      <c r="Y211" s="18" t="s">
        <v>21</v>
      </c>
      <c r="Z211" s="18" t="s">
        <v>21</v>
      </c>
      <c r="AA211" s="18" t="s">
        <v>21</v>
      </c>
      <c r="AB211" s="18" t="s">
        <v>21</v>
      </c>
      <c r="AC211" s="18" t="s">
        <v>23</v>
      </c>
      <c r="AD211" s="18" t="s">
        <v>23</v>
      </c>
      <c r="AE211" s="18" t="s">
        <v>21</v>
      </c>
      <c r="AF211">
        <f>+COUNTIF(F211:AE211,"AD")</f>
        <v>0</v>
      </c>
      <c r="AG211">
        <f>+COUNTIF(F211:AE211,"A")</f>
        <v>3</v>
      </c>
      <c r="AH211">
        <f>+COUNTIF(F211:AE211,"b")</f>
        <v>19</v>
      </c>
      <c r="AI211">
        <f>+COUNTIF(F211:AE211,"c")</f>
        <v>4</v>
      </c>
      <c r="AK211">
        <f>+$AF$5*AF211</f>
        <v>0</v>
      </c>
      <c r="AL211">
        <f>+$AG$5*AG211</f>
        <v>9</v>
      </c>
      <c r="AM211">
        <f>+$AH$5*AH211</f>
        <v>38</v>
      </c>
      <c r="AN211">
        <f>+$AI$5*AI211</f>
        <v>4</v>
      </c>
      <c r="AO211">
        <f>+SUM(AK211:AN211)</f>
        <v>51</v>
      </c>
    </row>
    <row r="212" spans="1:41" ht="15.75" customHeight="1" x14ac:dyDescent="0.3">
      <c r="A212" s="16"/>
      <c r="B212" s="55">
        <v>14</v>
      </c>
      <c r="C212" s="71" t="s">
        <v>35</v>
      </c>
      <c r="D212" s="55">
        <v>1</v>
      </c>
      <c r="E212" s="55" t="s">
        <v>20</v>
      </c>
      <c r="F212" s="18" t="s">
        <v>21</v>
      </c>
      <c r="G212" s="18" t="s">
        <v>23</v>
      </c>
      <c r="H212" s="18" t="s">
        <v>21</v>
      </c>
      <c r="I212" s="18" t="s">
        <v>21</v>
      </c>
      <c r="J212" s="18" t="s">
        <v>21</v>
      </c>
      <c r="K212" s="18" t="s">
        <v>21</v>
      </c>
      <c r="L212" s="18" t="s">
        <v>21</v>
      </c>
      <c r="M212" s="19" t="s">
        <v>21</v>
      </c>
      <c r="N212" s="19" t="s">
        <v>21</v>
      </c>
      <c r="O212" s="19" t="s">
        <v>21</v>
      </c>
      <c r="P212" s="19" t="s">
        <v>21</v>
      </c>
      <c r="Q212" s="18" t="s">
        <v>21</v>
      </c>
      <c r="R212" s="18" t="s">
        <v>21</v>
      </c>
      <c r="S212" s="19" t="s">
        <v>23</v>
      </c>
      <c r="T212" s="18" t="s">
        <v>23</v>
      </c>
      <c r="U212" s="18" t="s">
        <v>21</v>
      </c>
      <c r="V212" s="18" t="s">
        <v>20</v>
      </c>
      <c r="W212" s="18" t="s">
        <v>21</v>
      </c>
      <c r="X212" s="18" t="s">
        <v>20</v>
      </c>
      <c r="Y212" s="19" t="s">
        <v>21</v>
      </c>
      <c r="Z212" s="19" t="s">
        <v>20</v>
      </c>
      <c r="AA212" s="18" t="s">
        <v>21</v>
      </c>
      <c r="AB212" s="18" t="s">
        <v>23</v>
      </c>
      <c r="AC212" s="18" t="s">
        <v>23</v>
      </c>
      <c r="AD212" s="19" t="s">
        <v>21</v>
      </c>
      <c r="AE212" s="19" t="s">
        <v>21</v>
      </c>
      <c r="AF212">
        <f>+COUNTIF(F212:AE212,"AD")</f>
        <v>0</v>
      </c>
      <c r="AG212">
        <f>+COUNTIF(F212:AE212,"A")</f>
        <v>3</v>
      </c>
      <c r="AH212">
        <f>+COUNTIF(F212:AE212,"b")</f>
        <v>18</v>
      </c>
      <c r="AI212">
        <f>+COUNTIF(F212:AE212,"c")</f>
        <v>5</v>
      </c>
      <c r="AK212">
        <f>+$AF$5*AF212</f>
        <v>0</v>
      </c>
      <c r="AL212">
        <f>+$AG$5*AG212</f>
        <v>9</v>
      </c>
      <c r="AM212">
        <f>+$AH$5*AH212</f>
        <v>36</v>
      </c>
      <c r="AN212">
        <f>+$AI$5*AI212</f>
        <v>5</v>
      </c>
      <c r="AO212">
        <f>+SUM(AK212:AN212)</f>
        <v>50</v>
      </c>
    </row>
    <row r="213" spans="1:41" ht="15.75" customHeight="1" x14ac:dyDescent="0.3">
      <c r="A213" s="16"/>
      <c r="B213" s="55">
        <v>12</v>
      </c>
      <c r="C213" s="71" t="s">
        <v>160</v>
      </c>
      <c r="D213" s="55">
        <v>4</v>
      </c>
      <c r="E213" s="55" t="s">
        <v>20</v>
      </c>
      <c r="F213" s="18" t="s">
        <v>23</v>
      </c>
      <c r="G213" s="18" t="s">
        <v>23</v>
      </c>
      <c r="H213" s="18" t="s">
        <v>23</v>
      </c>
      <c r="I213" s="18" t="s">
        <v>21</v>
      </c>
      <c r="J213" s="69" t="s">
        <v>21</v>
      </c>
      <c r="K213" s="69" t="s">
        <v>21</v>
      </c>
      <c r="L213" s="69" t="s">
        <v>21</v>
      </c>
      <c r="M213" s="18" t="s">
        <v>21</v>
      </c>
      <c r="N213" s="18" t="s">
        <v>20</v>
      </c>
      <c r="O213" s="18" t="s">
        <v>21</v>
      </c>
      <c r="P213" s="18" t="s">
        <v>21</v>
      </c>
      <c r="Q213" s="18" t="s">
        <v>21</v>
      </c>
      <c r="R213" s="18" t="s">
        <v>21</v>
      </c>
      <c r="S213" s="18" t="s">
        <v>21</v>
      </c>
      <c r="T213" s="18" t="s">
        <v>21</v>
      </c>
      <c r="U213" s="18" t="s">
        <v>21</v>
      </c>
      <c r="V213" s="37" t="s">
        <v>20</v>
      </c>
      <c r="W213" s="37" t="s">
        <v>20</v>
      </c>
      <c r="X213" s="37" t="s">
        <v>21</v>
      </c>
      <c r="Y213" s="18" t="s">
        <v>21</v>
      </c>
      <c r="Z213" s="18" t="s">
        <v>21</v>
      </c>
      <c r="AA213" s="18" t="s">
        <v>21</v>
      </c>
      <c r="AB213" s="18" t="s">
        <v>21</v>
      </c>
      <c r="AC213" s="18" t="s">
        <v>23</v>
      </c>
      <c r="AD213" s="18" t="s">
        <v>23</v>
      </c>
      <c r="AE213" s="18" t="s">
        <v>21</v>
      </c>
      <c r="AF213">
        <f>+COUNTIF(F213:AE213,"AD")</f>
        <v>0</v>
      </c>
      <c r="AG213">
        <f>+COUNTIF(F213:AE213,"A")</f>
        <v>3</v>
      </c>
      <c r="AH213">
        <f>+COUNTIF(F213:AE213,"b")</f>
        <v>18</v>
      </c>
      <c r="AI213">
        <f>+COUNTIF(F213:AE213,"c")</f>
        <v>5</v>
      </c>
      <c r="AK213">
        <f>+$AF$5*AF213</f>
        <v>0</v>
      </c>
      <c r="AL213">
        <f>+$AG$5*AG213</f>
        <v>9</v>
      </c>
      <c r="AM213">
        <f>+$AH$5*AH213</f>
        <v>36</v>
      </c>
      <c r="AN213">
        <f>+$AI$5*AI213</f>
        <v>5</v>
      </c>
      <c r="AO213">
        <f>+SUM(AK213:AN213)</f>
        <v>50</v>
      </c>
    </row>
    <row r="214" spans="1:41" ht="15.75" customHeight="1" x14ac:dyDescent="0.3">
      <c r="A214" s="16"/>
      <c r="B214" s="55">
        <v>8</v>
      </c>
      <c r="C214" s="71" t="s">
        <v>29</v>
      </c>
      <c r="D214" s="55">
        <v>1</v>
      </c>
      <c r="E214" s="55" t="s">
        <v>20</v>
      </c>
      <c r="F214" s="18" t="s">
        <v>21</v>
      </c>
      <c r="G214" s="18" t="s">
        <v>23</v>
      </c>
      <c r="H214" s="18" t="s">
        <v>21</v>
      </c>
      <c r="I214" s="18" t="s">
        <v>21</v>
      </c>
      <c r="J214" s="18" t="s">
        <v>21</v>
      </c>
      <c r="K214" s="18" t="s">
        <v>21</v>
      </c>
      <c r="L214" s="18" t="s">
        <v>21</v>
      </c>
      <c r="M214" s="19" t="s">
        <v>21</v>
      </c>
      <c r="N214" s="19" t="s">
        <v>21</v>
      </c>
      <c r="O214" s="19" t="s">
        <v>21</v>
      </c>
      <c r="P214" s="19" t="s">
        <v>21</v>
      </c>
      <c r="Q214" s="18" t="s">
        <v>21</v>
      </c>
      <c r="R214" s="18" t="s">
        <v>21</v>
      </c>
      <c r="S214" s="19" t="s">
        <v>23</v>
      </c>
      <c r="T214" s="18" t="s">
        <v>21</v>
      </c>
      <c r="U214" s="18" t="s">
        <v>21</v>
      </c>
      <c r="V214" s="18" t="s">
        <v>20</v>
      </c>
      <c r="W214" s="18" t="s">
        <v>21</v>
      </c>
      <c r="X214" s="18" t="s">
        <v>20</v>
      </c>
      <c r="Y214" s="19" t="s">
        <v>21</v>
      </c>
      <c r="Z214" s="19" t="s">
        <v>21</v>
      </c>
      <c r="AA214" s="18" t="s">
        <v>21</v>
      </c>
      <c r="AB214" s="18" t="s">
        <v>23</v>
      </c>
      <c r="AC214" s="18" t="s">
        <v>23</v>
      </c>
      <c r="AD214" s="19" t="s">
        <v>23</v>
      </c>
      <c r="AE214" s="19" t="s">
        <v>21</v>
      </c>
      <c r="AF214">
        <f>+COUNTIF(F214:AE214,"AD")</f>
        <v>0</v>
      </c>
      <c r="AG214">
        <f>+COUNTIF(F214:AE214,"A")</f>
        <v>2</v>
      </c>
      <c r="AH214">
        <f>+COUNTIF(F214:AE214,"b")</f>
        <v>19</v>
      </c>
      <c r="AI214">
        <f>+COUNTIF(F214:AE214,"c")</f>
        <v>5</v>
      </c>
      <c r="AK214">
        <f>+$AF$5*AF214</f>
        <v>0</v>
      </c>
      <c r="AL214">
        <f>+$AG$5*AG214</f>
        <v>6</v>
      </c>
      <c r="AM214">
        <f>+$AH$5*AH214</f>
        <v>38</v>
      </c>
      <c r="AN214">
        <f>+$AI$5*AI214</f>
        <v>5</v>
      </c>
      <c r="AO214">
        <f>+SUM(AK214:AN214)</f>
        <v>49</v>
      </c>
    </row>
    <row r="215" spans="1:41" ht="15.75" customHeight="1" x14ac:dyDescent="0.3">
      <c r="A215" s="16"/>
      <c r="B215" s="55">
        <v>23</v>
      </c>
      <c r="C215" s="71" t="s">
        <v>108</v>
      </c>
      <c r="D215" s="55">
        <v>2</v>
      </c>
      <c r="E215" s="55" t="s">
        <v>21</v>
      </c>
      <c r="F215" s="18" t="s">
        <v>21</v>
      </c>
      <c r="G215" s="18" t="s">
        <v>23</v>
      </c>
      <c r="H215" s="18" t="s">
        <v>21</v>
      </c>
      <c r="I215" s="18" t="s">
        <v>21</v>
      </c>
      <c r="J215" s="18" t="s">
        <v>20</v>
      </c>
      <c r="K215" s="18" t="s">
        <v>21</v>
      </c>
      <c r="L215" s="18" t="s">
        <v>21</v>
      </c>
      <c r="M215" s="18" t="s">
        <v>23</v>
      </c>
      <c r="N215" s="18" t="s">
        <v>21</v>
      </c>
      <c r="O215" s="18" t="s">
        <v>21</v>
      </c>
      <c r="P215" s="18" t="s">
        <v>23</v>
      </c>
      <c r="Q215" s="18" t="s">
        <v>21</v>
      </c>
      <c r="R215" s="17" t="s">
        <v>23</v>
      </c>
      <c r="S215" s="18" t="s">
        <v>23</v>
      </c>
      <c r="T215" s="18" t="s">
        <v>23</v>
      </c>
      <c r="U215" s="18" t="s">
        <v>21</v>
      </c>
      <c r="V215" s="37" t="s">
        <v>20</v>
      </c>
      <c r="W215" s="37" t="s">
        <v>20</v>
      </c>
      <c r="X215" s="37" t="s">
        <v>20</v>
      </c>
      <c r="Y215" s="18" t="s">
        <v>21</v>
      </c>
      <c r="Z215" s="18" t="s">
        <v>21</v>
      </c>
      <c r="AA215" s="18" t="s">
        <v>21</v>
      </c>
      <c r="AB215" s="18" t="s">
        <v>21</v>
      </c>
      <c r="AC215" s="18" t="s">
        <v>21</v>
      </c>
      <c r="AD215" s="18" t="s">
        <v>23</v>
      </c>
      <c r="AE215" s="18" t="s">
        <v>21</v>
      </c>
      <c r="AF215">
        <f>+COUNTIF(F215:AE215,"AD")</f>
        <v>0</v>
      </c>
      <c r="AG215">
        <f>+COUNTIF(F215:AE215,"A")</f>
        <v>4</v>
      </c>
      <c r="AH215">
        <f>+COUNTIF(F215:AE215,"b")</f>
        <v>15</v>
      </c>
      <c r="AI215">
        <f>+COUNTIF(F215:AE215,"c")</f>
        <v>7</v>
      </c>
      <c r="AK215">
        <f>+$AF$5*AF215</f>
        <v>0</v>
      </c>
      <c r="AL215">
        <f>+$AG$5*AG215</f>
        <v>12</v>
      </c>
      <c r="AM215">
        <f>+$AH$5*AH215</f>
        <v>30</v>
      </c>
      <c r="AN215">
        <f>+$AI$5*AI215</f>
        <v>7</v>
      </c>
      <c r="AO215">
        <f>+SUM(AK215:AN215)</f>
        <v>49</v>
      </c>
    </row>
    <row r="216" spans="1:41" ht="15.75" customHeight="1" x14ac:dyDescent="0.3">
      <c r="A216" s="16"/>
      <c r="B216" s="55">
        <v>11</v>
      </c>
      <c r="C216" s="71" t="s">
        <v>182</v>
      </c>
      <c r="D216" s="55">
        <v>4</v>
      </c>
      <c r="E216" s="55" t="s">
        <v>21</v>
      </c>
      <c r="F216" s="18" t="s">
        <v>23</v>
      </c>
      <c r="G216" s="18" t="s">
        <v>23</v>
      </c>
      <c r="H216" s="18" t="s">
        <v>23</v>
      </c>
      <c r="I216" s="18" t="s">
        <v>23</v>
      </c>
      <c r="J216" s="69" t="s">
        <v>21</v>
      </c>
      <c r="K216" s="69" t="s">
        <v>21</v>
      </c>
      <c r="L216" s="69" t="s">
        <v>21</v>
      </c>
      <c r="M216" s="18" t="s">
        <v>21</v>
      </c>
      <c r="N216" s="18" t="s">
        <v>20</v>
      </c>
      <c r="O216" s="18" t="s">
        <v>21</v>
      </c>
      <c r="P216" s="18" t="s">
        <v>23</v>
      </c>
      <c r="Q216" s="18" t="s">
        <v>21</v>
      </c>
      <c r="R216" s="18" t="s">
        <v>21</v>
      </c>
      <c r="S216" s="18" t="s">
        <v>21</v>
      </c>
      <c r="T216" s="18" t="s">
        <v>20</v>
      </c>
      <c r="U216" s="18" t="s">
        <v>20</v>
      </c>
      <c r="V216" s="37" t="s">
        <v>20</v>
      </c>
      <c r="W216" s="37" t="s">
        <v>21</v>
      </c>
      <c r="X216" s="37" t="s">
        <v>20</v>
      </c>
      <c r="Y216" s="18" t="s">
        <v>23</v>
      </c>
      <c r="Z216" s="18" t="s">
        <v>23</v>
      </c>
      <c r="AA216" s="18" t="s">
        <v>21</v>
      </c>
      <c r="AB216" s="18" t="s">
        <v>21</v>
      </c>
      <c r="AC216" s="18" t="s">
        <v>21</v>
      </c>
      <c r="AD216" s="18" t="s">
        <v>23</v>
      </c>
      <c r="AE216" s="18" t="s">
        <v>21</v>
      </c>
      <c r="AF216">
        <f>+COUNTIF(F216:AE216,"AD")</f>
        <v>0</v>
      </c>
      <c r="AG216">
        <f>+COUNTIF(F216:AE216,"A")</f>
        <v>5</v>
      </c>
      <c r="AH216">
        <f>+COUNTIF(F216:AE216,"b")</f>
        <v>13</v>
      </c>
      <c r="AI216">
        <f>+COUNTIF(F216:AE216,"c")</f>
        <v>8</v>
      </c>
      <c r="AK216">
        <f>+$AF$5*AF216</f>
        <v>0</v>
      </c>
      <c r="AL216">
        <f>+$AG$5*AG216</f>
        <v>15</v>
      </c>
      <c r="AM216">
        <f>+$AH$5*AH216</f>
        <v>26</v>
      </c>
      <c r="AN216">
        <f>+$AI$5*AI216</f>
        <v>8</v>
      </c>
      <c r="AO216">
        <f>+SUM(AK216:AN216)</f>
        <v>49</v>
      </c>
    </row>
    <row r="217" spans="1:41" ht="15.75" customHeight="1" x14ac:dyDescent="0.3">
      <c r="A217" s="16"/>
      <c r="B217" s="55">
        <v>12</v>
      </c>
      <c r="C217" s="71" t="s">
        <v>33</v>
      </c>
      <c r="D217" s="55">
        <v>1</v>
      </c>
      <c r="E217" s="55" t="s">
        <v>20</v>
      </c>
      <c r="F217" s="18" t="s">
        <v>21</v>
      </c>
      <c r="G217" s="18" t="s">
        <v>21</v>
      </c>
      <c r="H217" s="18" t="s">
        <v>21</v>
      </c>
      <c r="I217" s="18" t="s">
        <v>23</v>
      </c>
      <c r="J217" s="18" t="s">
        <v>21</v>
      </c>
      <c r="K217" s="18" t="s">
        <v>21</v>
      </c>
      <c r="L217" s="18" t="s">
        <v>21</v>
      </c>
      <c r="M217" s="19" t="s">
        <v>21</v>
      </c>
      <c r="N217" s="19" t="s">
        <v>21</v>
      </c>
      <c r="O217" s="19" t="s">
        <v>21</v>
      </c>
      <c r="P217" s="19" t="s">
        <v>21</v>
      </c>
      <c r="Q217" s="18" t="s">
        <v>21</v>
      </c>
      <c r="R217" s="18" t="s">
        <v>21</v>
      </c>
      <c r="S217" s="19" t="s">
        <v>23</v>
      </c>
      <c r="T217" s="18" t="s">
        <v>23</v>
      </c>
      <c r="U217" s="18" t="s">
        <v>21</v>
      </c>
      <c r="V217" s="18" t="s">
        <v>21</v>
      </c>
      <c r="W217" s="18" t="s">
        <v>21</v>
      </c>
      <c r="X217" s="18" t="s">
        <v>20</v>
      </c>
      <c r="Y217" s="19" t="s">
        <v>20</v>
      </c>
      <c r="Z217" s="19" t="s">
        <v>20</v>
      </c>
      <c r="AA217" s="18" t="s">
        <v>23</v>
      </c>
      <c r="AB217" s="18" t="s">
        <v>23</v>
      </c>
      <c r="AC217" s="18" t="s">
        <v>23</v>
      </c>
      <c r="AD217" s="19" t="s">
        <v>23</v>
      </c>
      <c r="AE217" s="19" t="s">
        <v>21</v>
      </c>
      <c r="AF217">
        <f>+COUNTIF(F217:AE217,"AD")</f>
        <v>0</v>
      </c>
      <c r="AG217">
        <f>+COUNTIF(F217:AE217,"A")</f>
        <v>3</v>
      </c>
      <c r="AH217">
        <f>+COUNTIF(F217:AE217,"b")</f>
        <v>16</v>
      </c>
      <c r="AI217">
        <f>+COUNTIF(F217:AE217,"c")</f>
        <v>7</v>
      </c>
      <c r="AK217">
        <f>+$AF$5*AF217</f>
        <v>0</v>
      </c>
      <c r="AL217">
        <f>+$AG$5*AG217</f>
        <v>9</v>
      </c>
      <c r="AM217">
        <f>+$AH$5*AH217</f>
        <v>32</v>
      </c>
      <c r="AN217">
        <f>+$AI$5*AI217</f>
        <v>7</v>
      </c>
      <c r="AO217">
        <f>+SUM(AK217:AN217)</f>
        <v>48</v>
      </c>
    </row>
    <row r="218" spans="1:41" ht="15.75" customHeight="1" x14ac:dyDescent="0.3">
      <c r="A218" s="16"/>
      <c r="B218" s="55">
        <v>3</v>
      </c>
      <c r="C218" s="71" t="s">
        <v>64</v>
      </c>
      <c r="D218" s="55">
        <v>2</v>
      </c>
      <c r="E218" s="55" t="s">
        <v>20</v>
      </c>
      <c r="F218" s="18" t="s">
        <v>21</v>
      </c>
      <c r="G218" s="18" t="s">
        <v>23</v>
      </c>
      <c r="H218" s="18" t="s">
        <v>21</v>
      </c>
      <c r="I218" s="18" t="s">
        <v>21</v>
      </c>
      <c r="J218" s="18" t="s">
        <v>20</v>
      </c>
      <c r="K218" s="18" t="s">
        <v>23</v>
      </c>
      <c r="L218" s="18" t="s">
        <v>21</v>
      </c>
      <c r="M218" s="18" t="s">
        <v>21</v>
      </c>
      <c r="N218" s="18" t="s">
        <v>21</v>
      </c>
      <c r="O218" s="18" t="s">
        <v>23</v>
      </c>
      <c r="P218" s="18" t="s">
        <v>21</v>
      </c>
      <c r="Q218" s="18" t="s">
        <v>20</v>
      </c>
      <c r="R218" s="18" t="s">
        <v>21</v>
      </c>
      <c r="S218" s="18" t="s">
        <v>23</v>
      </c>
      <c r="T218" s="18" t="s">
        <v>21</v>
      </c>
      <c r="U218" s="18" t="s">
        <v>20</v>
      </c>
      <c r="V218" s="35" t="s">
        <v>21</v>
      </c>
      <c r="W218" s="35" t="s">
        <v>21</v>
      </c>
      <c r="X218" s="36" t="s">
        <v>21</v>
      </c>
      <c r="Y218" s="19" t="s">
        <v>21</v>
      </c>
      <c r="Z218" s="18" t="s">
        <v>20</v>
      </c>
      <c r="AA218" s="18" t="s">
        <v>21</v>
      </c>
      <c r="AB218" s="18" t="s">
        <v>21</v>
      </c>
      <c r="AC218" s="18" t="s">
        <v>21</v>
      </c>
      <c r="AD218" s="29" t="s">
        <v>55</v>
      </c>
      <c r="AE218" s="29" t="s">
        <v>55</v>
      </c>
      <c r="AF218">
        <f>+COUNTIF(F218:AE218,"AD")</f>
        <v>0</v>
      </c>
      <c r="AG218">
        <f>+COUNTIF(F218:AE218,"A")</f>
        <v>4</v>
      </c>
      <c r="AH218">
        <f>+COUNTIF(F218:AE218,"b")</f>
        <v>16</v>
      </c>
      <c r="AI218">
        <f>+COUNTIF(F218:AE218,"c")</f>
        <v>4</v>
      </c>
      <c r="AK218">
        <f>+$AF$5*AF218</f>
        <v>0</v>
      </c>
      <c r="AL218">
        <f>+$AG$5*AG218</f>
        <v>12</v>
      </c>
      <c r="AM218">
        <f>+$AH$5*AH218</f>
        <v>32</v>
      </c>
      <c r="AN218">
        <f>+$AI$5*AI218</f>
        <v>4</v>
      </c>
      <c r="AO218">
        <f>+SUM(AK218:AN218)</f>
        <v>48</v>
      </c>
    </row>
    <row r="219" spans="1:41" ht="15.75" customHeight="1" x14ac:dyDescent="0.3">
      <c r="A219" s="16"/>
      <c r="B219" s="55">
        <v>21</v>
      </c>
      <c r="C219" s="71" t="s">
        <v>82</v>
      </c>
      <c r="D219" s="55">
        <v>2</v>
      </c>
      <c r="E219" s="55" t="s">
        <v>20</v>
      </c>
      <c r="F219" s="18" t="s">
        <v>21</v>
      </c>
      <c r="G219" s="18" t="s">
        <v>20</v>
      </c>
      <c r="H219" s="18" t="s">
        <v>21</v>
      </c>
      <c r="I219" s="18" t="s">
        <v>21</v>
      </c>
      <c r="J219" s="18" t="s">
        <v>20</v>
      </c>
      <c r="K219" s="18" t="s">
        <v>21</v>
      </c>
      <c r="L219" s="18" t="s">
        <v>23</v>
      </c>
      <c r="M219" s="18" t="s">
        <v>21</v>
      </c>
      <c r="N219" s="18" t="s">
        <v>21</v>
      </c>
      <c r="O219" s="18" t="s">
        <v>23</v>
      </c>
      <c r="P219" s="18" t="s">
        <v>23</v>
      </c>
      <c r="Q219" s="18" t="s">
        <v>23</v>
      </c>
      <c r="R219" s="18" t="s">
        <v>21</v>
      </c>
      <c r="S219" s="18" t="s">
        <v>23</v>
      </c>
      <c r="T219" s="18" t="s">
        <v>23</v>
      </c>
      <c r="U219" s="18" t="s">
        <v>21</v>
      </c>
      <c r="V219" s="37" t="s">
        <v>20</v>
      </c>
      <c r="W219" s="37" t="s">
        <v>21</v>
      </c>
      <c r="X219" s="37" t="s">
        <v>20</v>
      </c>
      <c r="Y219" s="18" t="s">
        <v>21</v>
      </c>
      <c r="Z219" s="18" t="s">
        <v>21</v>
      </c>
      <c r="AA219" s="18" t="s">
        <v>23</v>
      </c>
      <c r="AB219" s="18" t="s">
        <v>21</v>
      </c>
      <c r="AC219" s="18" t="s">
        <v>21</v>
      </c>
      <c r="AD219" s="29" t="s">
        <v>23</v>
      </c>
      <c r="AE219" s="29" t="s">
        <v>21</v>
      </c>
      <c r="AF219">
        <f>+COUNTIF(F219:AE219,"AD")</f>
        <v>0</v>
      </c>
      <c r="AG219">
        <f>+COUNTIF(F219:AE219,"A")</f>
        <v>4</v>
      </c>
      <c r="AH219">
        <f>+COUNTIF(F219:AE219,"b")</f>
        <v>14</v>
      </c>
      <c r="AI219">
        <f>+COUNTIF(F219:AE219,"c")</f>
        <v>8</v>
      </c>
      <c r="AK219">
        <f>+$AF$5*AF219</f>
        <v>0</v>
      </c>
      <c r="AL219">
        <f>+$AG$5*AG219</f>
        <v>12</v>
      </c>
      <c r="AM219">
        <f>+$AH$5*AH219</f>
        <v>28</v>
      </c>
      <c r="AN219">
        <f>+$AI$5*AI219</f>
        <v>8</v>
      </c>
      <c r="AO219">
        <f>+SUM(AK219:AN219)</f>
        <v>48</v>
      </c>
    </row>
    <row r="220" spans="1:41" ht="15.75" customHeight="1" x14ac:dyDescent="0.3">
      <c r="A220" s="16"/>
      <c r="B220" s="55">
        <v>22</v>
      </c>
      <c r="C220" s="71" t="s">
        <v>83</v>
      </c>
      <c r="D220" s="55">
        <v>2</v>
      </c>
      <c r="E220" s="55" t="s">
        <v>20</v>
      </c>
      <c r="F220" s="18" t="s">
        <v>21</v>
      </c>
      <c r="G220" s="18" t="s">
        <v>23</v>
      </c>
      <c r="H220" s="18" t="s">
        <v>21</v>
      </c>
      <c r="I220" s="18" t="s">
        <v>21</v>
      </c>
      <c r="J220" s="18" t="s">
        <v>21</v>
      </c>
      <c r="K220" s="18" t="s">
        <v>21</v>
      </c>
      <c r="L220" s="18" t="s">
        <v>20</v>
      </c>
      <c r="M220" s="18" t="s">
        <v>21</v>
      </c>
      <c r="N220" s="18" t="s">
        <v>21</v>
      </c>
      <c r="O220" s="18" t="s">
        <v>23</v>
      </c>
      <c r="P220" s="18" t="s">
        <v>23</v>
      </c>
      <c r="Q220" s="18" t="s">
        <v>23</v>
      </c>
      <c r="R220" s="18" t="s">
        <v>21</v>
      </c>
      <c r="S220" s="18" t="s">
        <v>23</v>
      </c>
      <c r="T220" s="18" t="s">
        <v>23</v>
      </c>
      <c r="U220" s="18" t="s">
        <v>21</v>
      </c>
      <c r="V220" s="37" t="s">
        <v>20</v>
      </c>
      <c r="W220" s="37" t="s">
        <v>20</v>
      </c>
      <c r="X220" s="37" t="s">
        <v>20</v>
      </c>
      <c r="Y220" s="18" t="s">
        <v>21</v>
      </c>
      <c r="Z220" s="18" t="s">
        <v>21</v>
      </c>
      <c r="AA220" s="18" t="s">
        <v>23</v>
      </c>
      <c r="AB220" s="18" t="s">
        <v>21</v>
      </c>
      <c r="AC220" s="18" t="s">
        <v>21</v>
      </c>
      <c r="AD220" s="29" t="s">
        <v>23</v>
      </c>
      <c r="AE220" s="29" t="s">
        <v>21</v>
      </c>
      <c r="AF220">
        <f>+COUNTIF(F220:AE220,"AD")</f>
        <v>0</v>
      </c>
      <c r="AG220">
        <f>+COUNTIF(F220:AE220,"A")</f>
        <v>4</v>
      </c>
      <c r="AH220">
        <f>+COUNTIF(F220:AE220,"b")</f>
        <v>14</v>
      </c>
      <c r="AI220">
        <f>+COUNTIF(F220:AE220,"c")</f>
        <v>8</v>
      </c>
      <c r="AK220">
        <f>+$AF$5*AF220</f>
        <v>0</v>
      </c>
      <c r="AL220">
        <f>+$AG$5*AG220</f>
        <v>12</v>
      </c>
      <c r="AM220">
        <f>+$AH$5*AH220</f>
        <v>28</v>
      </c>
      <c r="AN220">
        <f>+$AI$5*AI220</f>
        <v>8</v>
      </c>
      <c r="AO220">
        <f>+SUM(AK220:AN220)</f>
        <v>48</v>
      </c>
    </row>
    <row r="221" spans="1:41" ht="15.75" customHeight="1" x14ac:dyDescent="0.3">
      <c r="A221" s="16"/>
      <c r="B221" s="55">
        <v>24</v>
      </c>
      <c r="C221" s="71" t="s">
        <v>85</v>
      </c>
      <c r="D221" s="55">
        <v>2</v>
      </c>
      <c r="E221" s="55" t="s">
        <v>20</v>
      </c>
      <c r="F221" s="18" t="s">
        <v>21</v>
      </c>
      <c r="G221" s="18" t="s">
        <v>23</v>
      </c>
      <c r="H221" s="18" t="s">
        <v>21</v>
      </c>
      <c r="I221" s="18" t="s">
        <v>21</v>
      </c>
      <c r="J221" s="18" t="s">
        <v>21</v>
      </c>
      <c r="K221" s="18" t="s">
        <v>21</v>
      </c>
      <c r="L221" s="18" t="s">
        <v>23</v>
      </c>
      <c r="M221" s="18" t="s">
        <v>21</v>
      </c>
      <c r="N221" s="18" t="s">
        <v>21</v>
      </c>
      <c r="O221" s="18" t="s">
        <v>23</v>
      </c>
      <c r="P221" s="18" t="s">
        <v>21</v>
      </c>
      <c r="Q221" s="18" t="s">
        <v>21</v>
      </c>
      <c r="R221" s="18" t="s">
        <v>21</v>
      </c>
      <c r="S221" s="18" t="s">
        <v>23</v>
      </c>
      <c r="T221" s="18" t="s">
        <v>21</v>
      </c>
      <c r="U221" s="18" t="s">
        <v>21</v>
      </c>
      <c r="V221" s="37" t="s">
        <v>21</v>
      </c>
      <c r="W221" s="37" t="s">
        <v>20</v>
      </c>
      <c r="X221" s="37" t="s">
        <v>20</v>
      </c>
      <c r="Y221" s="18" t="s">
        <v>21</v>
      </c>
      <c r="Z221" s="18" t="s">
        <v>21</v>
      </c>
      <c r="AA221" s="18" t="s">
        <v>21</v>
      </c>
      <c r="AB221" s="18" t="s">
        <v>21</v>
      </c>
      <c r="AC221" s="18" t="s">
        <v>23</v>
      </c>
      <c r="AD221" s="29" t="s">
        <v>23</v>
      </c>
      <c r="AE221" s="29" t="s">
        <v>21</v>
      </c>
      <c r="AF221">
        <f>+COUNTIF(F221:AE221,"AD")</f>
        <v>0</v>
      </c>
      <c r="AG221">
        <f>+COUNTIF(F221:AE221,"A")</f>
        <v>2</v>
      </c>
      <c r="AH221">
        <f>+COUNTIF(F221:AE221,"b")</f>
        <v>18</v>
      </c>
      <c r="AI221">
        <f>+COUNTIF(F221:AE221,"c")</f>
        <v>6</v>
      </c>
      <c r="AK221">
        <f>+$AF$5*AF221</f>
        <v>0</v>
      </c>
      <c r="AL221">
        <f>+$AG$5*AG221</f>
        <v>6</v>
      </c>
      <c r="AM221">
        <f>+$AH$5*AH221</f>
        <v>36</v>
      </c>
      <c r="AN221">
        <f>+$AI$5*AI221</f>
        <v>6</v>
      </c>
      <c r="AO221">
        <f>+SUM(AK221:AN221)</f>
        <v>48</v>
      </c>
    </row>
    <row r="222" spans="1:41" ht="15.75" customHeight="1" x14ac:dyDescent="0.3">
      <c r="A222" s="16"/>
      <c r="B222" s="55">
        <v>7</v>
      </c>
      <c r="C222" s="71" t="s">
        <v>115</v>
      </c>
      <c r="D222" s="55">
        <v>3</v>
      </c>
      <c r="E222" s="55" t="s">
        <v>20</v>
      </c>
      <c r="F222" s="18" t="s">
        <v>23</v>
      </c>
      <c r="G222" s="18" t="s">
        <v>23</v>
      </c>
      <c r="H222" s="18" t="s">
        <v>23</v>
      </c>
      <c r="I222" s="18" t="s">
        <v>23</v>
      </c>
      <c r="J222" s="69" t="s">
        <v>21</v>
      </c>
      <c r="K222" s="69" t="s">
        <v>21</v>
      </c>
      <c r="L222" s="69" t="s">
        <v>21</v>
      </c>
      <c r="M222" s="18" t="s">
        <v>20</v>
      </c>
      <c r="N222" s="18" t="s">
        <v>21</v>
      </c>
      <c r="O222" s="18" t="s">
        <v>21</v>
      </c>
      <c r="P222" s="18" t="s">
        <v>21</v>
      </c>
      <c r="Q222" s="18" t="s">
        <v>21</v>
      </c>
      <c r="R222" s="18" t="s">
        <v>21</v>
      </c>
      <c r="S222" s="18" t="s">
        <v>23</v>
      </c>
      <c r="T222" s="18" t="s">
        <v>23</v>
      </c>
      <c r="U222" s="18" t="s">
        <v>20</v>
      </c>
      <c r="V222" s="37" t="s">
        <v>20</v>
      </c>
      <c r="W222" s="37" t="s">
        <v>21</v>
      </c>
      <c r="X222" s="37" t="s">
        <v>21</v>
      </c>
      <c r="Y222" s="18" t="s">
        <v>23</v>
      </c>
      <c r="Z222" s="18" t="s">
        <v>21</v>
      </c>
      <c r="AA222" s="18" t="s">
        <v>21</v>
      </c>
      <c r="AB222" s="18" t="s">
        <v>20</v>
      </c>
      <c r="AC222" s="18" t="s">
        <v>21</v>
      </c>
      <c r="AD222" s="37" t="s">
        <v>23</v>
      </c>
      <c r="AE222" s="37" t="s">
        <v>21</v>
      </c>
      <c r="AF222">
        <f>+COUNTIF(F222:AE222,"AD")</f>
        <v>0</v>
      </c>
      <c r="AG222">
        <f>+COUNTIF(F222:AE222,"A")</f>
        <v>4</v>
      </c>
      <c r="AH222">
        <f>+COUNTIF(F222:AE222,"b")</f>
        <v>14</v>
      </c>
      <c r="AI222">
        <f>+COUNTIF(F222:AE222,"c")</f>
        <v>8</v>
      </c>
      <c r="AK222">
        <f>+$AF$5*AF222</f>
        <v>0</v>
      </c>
      <c r="AL222">
        <f>+$AG$5*AG222</f>
        <v>12</v>
      </c>
      <c r="AM222">
        <f>+$AH$5*AH222</f>
        <v>28</v>
      </c>
      <c r="AN222">
        <f>+$AI$5*AI222</f>
        <v>8</v>
      </c>
      <c r="AO222">
        <f>+SUM(AK222:AN222)</f>
        <v>48</v>
      </c>
    </row>
    <row r="223" spans="1:41" ht="15.75" customHeight="1" x14ac:dyDescent="0.3">
      <c r="A223" s="16"/>
      <c r="B223" s="55">
        <v>16</v>
      </c>
      <c r="C223" s="71" t="s">
        <v>101</v>
      </c>
      <c r="D223" s="55">
        <v>2</v>
      </c>
      <c r="E223" s="55" t="s">
        <v>21</v>
      </c>
      <c r="F223" s="18" t="s">
        <v>21</v>
      </c>
      <c r="G223" s="18" t="s">
        <v>23</v>
      </c>
      <c r="H223" s="18" t="s">
        <v>21</v>
      </c>
      <c r="I223" s="18" t="s">
        <v>21</v>
      </c>
      <c r="J223" s="18" t="s">
        <v>21</v>
      </c>
      <c r="K223" s="18" t="s">
        <v>21</v>
      </c>
      <c r="L223" s="18" t="s">
        <v>21</v>
      </c>
      <c r="M223" s="18" t="s">
        <v>21</v>
      </c>
      <c r="N223" s="18" t="s">
        <v>23</v>
      </c>
      <c r="O223" s="18" t="s">
        <v>21</v>
      </c>
      <c r="P223" s="18" t="s">
        <v>23</v>
      </c>
      <c r="Q223" s="18" t="s">
        <v>23</v>
      </c>
      <c r="R223" s="18" t="s">
        <v>21</v>
      </c>
      <c r="S223" s="18" t="s">
        <v>21</v>
      </c>
      <c r="T223" s="18" t="s">
        <v>21</v>
      </c>
      <c r="U223" s="18" t="s">
        <v>21</v>
      </c>
      <c r="V223" s="37" t="s">
        <v>21</v>
      </c>
      <c r="W223" s="37" t="s">
        <v>21</v>
      </c>
      <c r="X223" s="37" t="s">
        <v>21</v>
      </c>
      <c r="Y223" s="18" t="s">
        <v>23</v>
      </c>
      <c r="Z223" s="18" t="s">
        <v>20</v>
      </c>
      <c r="AA223" s="18" t="s">
        <v>21</v>
      </c>
      <c r="AB223" s="18" t="s">
        <v>21</v>
      </c>
      <c r="AC223" s="18" t="s">
        <v>21</v>
      </c>
      <c r="AD223" s="18" t="s">
        <v>23</v>
      </c>
      <c r="AE223" s="18" t="s">
        <v>21</v>
      </c>
      <c r="AF223">
        <f>+COUNTIF(F223:AE223,"AD")</f>
        <v>0</v>
      </c>
      <c r="AG223">
        <f>+COUNTIF(F223:AE223,"A")</f>
        <v>1</v>
      </c>
      <c r="AH223">
        <f>+COUNTIF(F223:AE223,"b")</f>
        <v>19</v>
      </c>
      <c r="AI223">
        <f>+COUNTIF(F223:AE223,"c")</f>
        <v>6</v>
      </c>
      <c r="AK223">
        <f>+$AF$5*AF223</f>
        <v>0</v>
      </c>
      <c r="AL223">
        <f>+$AG$5*AG223</f>
        <v>3</v>
      </c>
      <c r="AM223">
        <f>+$AH$5*AH223</f>
        <v>38</v>
      </c>
      <c r="AN223">
        <f>+$AI$5*AI223</f>
        <v>6</v>
      </c>
      <c r="AO223">
        <f>+SUM(AK223:AN223)</f>
        <v>47</v>
      </c>
    </row>
    <row r="224" spans="1:41" ht="15.75" customHeight="1" x14ac:dyDescent="0.3">
      <c r="A224" s="16"/>
      <c r="B224" s="55">
        <v>15</v>
      </c>
      <c r="C224" s="71" t="s">
        <v>142</v>
      </c>
      <c r="D224" s="55">
        <v>3</v>
      </c>
      <c r="E224" s="55" t="s">
        <v>21</v>
      </c>
      <c r="F224" s="18" t="s">
        <v>23</v>
      </c>
      <c r="G224" s="18" t="s">
        <v>23</v>
      </c>
      <c r="H224" s="18" t="s">
        <v>23</v>
      </c>
      <c r="I224" s="18" t="s">
        <v>21</v>
      </c>
      <c r="J224" s="18" t="s">
        <v>21</v>
      </c>
      <c r="K224" s="18" t="s">
        <v>21</v>
      </c>
      <c r="L224" s="18" t="s">
        <v>21</v>
      </c>
      <c r="M224" s="18" t="s">
        <v>21</v>
      </c>
      <c r="N224" s="18" t="s">
        <v>21</v>
      </c>
      <c r="O224" s="18" t="s">
        <v>21</v>
      </c>
      <c r="P224" s="18" t="s">
        <v>23</v>
      </c>
      <c r="Q224" s="18" t="s">
        <v>21</v>
      </c>
      <c r="R224" s="18" t="s">
        <v>21</v>
      </c>
      <c r="S224" s="18" t="s">
        <v>23</v>
      </c>
      <c r="T224" s="18" t="s">
        <v>23</v>
      </c>
      <c r="U224" s="18" t="s">
        <v>20</v>
      </c>
      <c r="V224" s="37" t="s">
        <v>20</v>
      </c>
      <c r="W224" s="37" t="s">
        <v>20</v>
      </c>
      <c r="X224" s="37" t="s">
        <v>21</v>
      </c>
      <c r="Y224" s="18" t="s">
        <v>23</v>
      </c>
      <c r="Z224" s="18" t="s">
        <v>21</v>
      </c>
      <c r="AA224" s="18" t="s">
        <v>21</v>
      </c>
      <c r="AB224" s="18" t="s">
        <v>21</v>
      </c>
      <c r="AC224" s="18" t="s">
        <v>21</v>
      </c>
      <c r="AD224" s="29" t="s">
        <v>23</v>
      </c>
      <c r="AE224" s="29" t="s">
        <v>21</v>
      </c>
      <c r="AF224">
        <f>+COUNTIF(F224:AE224,"AD")</f>
        <v>0</v>
      </c>
      <c r="AG224">
        <f>+COUNTIF(F224:AE224,"A")</f>
        <v>3</v>
      </c>
      <c r="AH224">
        <f>+COUNTIF(F224:AE224,"b")</f>
        <v>15</v>
      </c>
      <c r="AI224">
        <f>+COUNTIF(F224:AE224,"c")</f>
        <v>8</v>
      </c>
      <c r="AK224">
        <f>+$AF$5*AF224</f>
        <v>0</v>
      </c>
      <c r="AL224">
        <f>+$AG$5*AG224</f>
        <v>9</v>
      </c>
      <c r="AM224">
        <f>+$AH$5*AH224</f>
        <v>30</v>
      </c>
      <c r="AN224">
        <f>+$AI$5*AI224</f>
        <v>8</v>
      </c>
      <c r="AO224">
        <f>+SUM(AK224:AN224)</f>
        <v>47</v>
      </c>
    </row>
    <row r="225" spans="1:41" ht="15.75" customHeight="1" x14ac:dyDescent="0.3">
      <c r="A225" s="16"/>
      <c r="B225" s="55">
        <v>2</v>
      </c>
      <c r="C225" s="71" t="s">
        <v>22</v>
      </c>
      <c r="D225" s="55">
        <v>1</v>
      </c>
      <c r="E225" s="55" t="s">
        <v>20</v>
      </c>
      <c r="F225" s="18" t="s">
        <v>21</v>
      </c>
      <c r="G225" s="18" t="s">
        <v>23</v>
      </c>
      <c r="H225" s="18" t="s">
        <v>21</v>
      </c>
      <c r="I225" s="18" t="s">
        <v>21</v>
      </c>
      <c r="J225" s="18" t="s">
        <v>21</v>
      </c>
      <c r="K225" s="18" t="s">
        <v>21</v>
      </c>
      <c r="L225" s="18" t="s">
        <v>21</v>
      </c>
      <c r="M225" s="19" t="s">
        <v>21</v>
      </c>
      <c r="N225" s="19" t="s">
        <v>21</v>
      </c>
      <c r="O225" s="19" t="s">
        <v>23</v>
      </c>
      <c r="P225" s="19" t="s">
        <v>21</v>
      </c>
      <c r="Q225" s="18" t="s">
        <v>21</v>
      </c>
      <c r="R225" s="18" t="s">
        <v>21</v>
      </c>
      <c r="S225" s="19" t="s">
        <v>23</v>
      </c>
      <c r="T225" s="18" t="s">
        <v>23</v>
      </c>
      <c r="U225" s="18" t="s">
        <v>21</v>
      </c>
      <c r="V225" s="18" t="s">
        <v>21</v>
      </c>
      <c r="W225" s="18" t="s">
        <v>21</v>
      </c>
      <c r="X225" s="18" t="s">
        <v>20</v>
      </c>
      <c r="Y225" s="19" t="s">
        <v>21</v>
      </c>
      <c r="Z225" s="19" t="s">
        <v>20</v>
      </c>
      <c r="AA225" s="18" t="s">
        <v>23</v>
      </c>
      <c r="AB225" s="18" t="s">
        <v>23</v>
      </c>
      <c r="AC225" s="18" t="s">
        <v>23</v>
      </c>
      <c r="AD225" s="19" t="s">
        <v>23</v>
      </c>
      <c r="AE225" s="19" t="s">
        <v>21</v>
      </c>
      <c r="AF225">
        <f>+COUNTIF(F225:AE225,"AD")</f>
        <v>0</v>
      </c>
      <c r="AG225">
        <f>+COUNTIF(F225:AE225,"A")</f>
        <v>2</v>
      </c>
      <c r="AH225">
        <f>+COUNTIF(F225:AE225,"b")</f>
        <v>16</v>
      </c>
      <c r="AI225">
        <f>+COUNTIF(F225:AE225,"c")</f>
        <v>8</v>
      </c>
      <c r="AK225">
        <f>+$AF$5*AF225</f>
        <v>0</v>
      </c>
      <c r="AL225">
        <f>+$AG$5*AG225</f>
        <v>6</v>
      </c>
      <c r="AM225">
        <f>+$AH$5*AH225</f>
        <v>32</v>
      </c>
      <c r="AN225">
        <f>+$AI$5*AI225</f>
        <v>8</v>
      </c>
      <c r="AO225">
        <f>+SUM(AK225:AN225)</f>
        <v>46</v>
      </c>
    </row>
    <row r="226" spans="1:41" ht="15.75" customHeight="1" x14ac:dyDescent="0.3">
      <c r="A226" s="16"/>
      <c r="B226" s="55">
        <v>12</v>
      </c>
      <c r="C226" s="71" t="s">
        <v>73</v>
      </c>
      <c r="D226" s="55">
        <v>2</v>
      </c>
      <c r="E226" s="55" t="s">
        <v>20</v>
      </c>
      <c r="F226" s="18" t="s">
        <v>20</v>
      </c>
      <c r="G226" s="18" t="s">
        <v>21</v>
      </c>
      <c r="H226" s="18" t="s">
        <v>21</v>
      </c>
      <c r="I226" s="18" t="s">
        <v>21</v>
      </c>
      <c r="J226" s="18" t="s">
        <v>21</v>
      </c>
      <c r="K226" s="18" t="s">
        <v>21</v>
      </c>
      <c r="L226" s="18" t="s">
        <v>21</v>
      </c>
      <c r="M226" s="18" t="s">
        <v>21</v>
      </c>
      <c r="N226" s="18" t="s">
        <v>21</v>
      </c>
      <c r="O226" s="18" t="s">
        <v>23</v>
      </c>
      <c r="P226" s="18" t="s">
        <v>23</v>
      </c>
      <c r="Q226" s="18" t="s">
        <v>23</v>
      </c>
      <c r="R226" s="18" t="s">
        <v>21</v>
      </c>
      <c r="S226" s="18" t="s">
        <v>23</v>
      </c>
      <c r="T226" s="18" t="s">
        <v>23</v>
      </c>
      <c r="U226" s="18" t="s">
        <v>21</v>
      </c>
      <c r="V226" s="37" t="s">
        <v>21</v>
      </c>
      <c r="W226" s="37" t="s">
        <v>21</v>
      </c>
      <c r="X226" s="37" t="s">
        <v>21</v>
      </c>
      <c r="Y226" s="18" t="s">
        <v>21</v>
      </c>
      <c r="Z226" s="18" t="s">
        <v>21</v>
      </c>
      <c r="AA226" s="18" t="s">
        <v>23</v>
      </c>
      <c r="AB226" s="18" t="s">
        <v>21</v>
      </c>
      <c r="AC226" s="18" t="s">
        <v>23</v>
      </c>
      <c r="AD226" s="29" t="s">
        <v>23</v>
      </c>
      <c r="AE226" s="29" t="s">
        <v>21</v>
      </c>
      <c r="AF226">
        <f>+COUNTIF(F226:AE226,"AD")</f>
        <v>0</v>
      </c>
      <c r="AG226">
        <f>+COUNTIF(F226:AE226,"A")</f>
        <v>1</v>
      </c>
      <c r="AH226">
        <f>+COUNTIF(F226:AE226,"b")</f>
        <v>17</v>
      </c>
      <c r="AI226">
        <f>+COUNTIF(F226:AE226,"c")</f>
        <v>8</v>
      </c>
      <c r="AK226">
        <f>+$AF$5*AF226</f>
        <v>0</v>
      </c>
      <c r="AL226">
        <f>+$AG$5*AG226</f>
        <v>3</v>
      </c>
      <c r="AM226">
        <f>+$AH$5*AH226</f>
        <v>34</v>
      </c>
      <c r="AN226">
        <f>+$AI$5*AI226</f>
        <v>8</v>
      </c>
      <c r="AO226">
        <f>+SUM(AK226:AN226)</f>
        <v>45</v>
      </c>
    </row>
    <row r="227" spans="1:41" ht="15.75" customHeight="1" x14ac:dyDescent="0.3">
      <c r="A227" s="16"/>
      <c r="B227" s="55">
        <v>13</v>
      </c>
      <c r="C227" s="71" t="s">
        <v>74</v>
      </c>
      <c r="D227" s="55">
        <v>2</v>
      </c>
      <c r="E227" s="55" t="s">
        <v>20</v>
      </c>
      <c r="F227" s="18" t="s">
        <v>21</v>
      </c>
      <c r="G227" s="18" t="s">
        <v>21</v>
      </c>
      <c r="H227" s="18" t="s">
        <v>21</v>
      </c>
      <c r="I227" s="18" t="s">
        <v>21</v>
      </c>
      <c r="J227" s="18" t="s">
        <v>21</v>
      </c>
      <c r="K227" s="18" t="s">
        <v>23</v>
      </c>
      <c r="L227" s="18" t="s">
        <v>21</v>
      </c>
      <c r="M227" s="18" t="s">
        <v>21</v>
      </c>
      <c r="N227" s="18" t="s">
        <v>21</v>
      </c>
      <c r="O227" s="18" t="s">
        <v>23</v>
      </c>
      <c r="P227" s="18" t="s">
        <v>23</v>
      </c>
      <c r="Q227" s="18" t="s">
        <v>23</v>
      </c>
      <c r="R227" s="18" t="s">
        <v>23</v>
      </c>
      <c r="S227" s="18" t="s">
        <v>23</v>
      </c>
      <c r="T227" s="18" t="s">
        <v>23</v>
      </c>
      <c r="U227" s="18" t="s">
        <v>21</v>
      </c>
      <c r="V227" s="37" t="s">
        <v>20</v>
      </c>
      <c r="W227" s="37" t="s">
        <v>20</v>
      </c>
      <c r="X227" s="37" t="s">
        <v>20</v>
      </c>
      <c r="Y227" s="18" t="s">
        <v>21</v>
      </c>
      <c r="Z227" s="18" t="s">
        <v>21</v>
      </c>
      <c r="AA227" s="18" t="s">
        <v>21</v>
      </c>
      <c r="AB227" s="18" t="s">
        <v>23</v>
      </c>
      <c r="AC227" s="18" t="s">
        <v>23</v>
      </c>
      <c r="AD227" s="29" t="s">
        <v>23</v>
      </c>
      <c r="AE227" s="29" t="s">
        <v>21</v>
      </c>
      <c r="AF227">
        <f>+COUNTIF(F227:AE227,"AD")</f>
        <v>0</v>
      </c>
      <c r="AG227">
        <f>+COUNTIF(F227:AE227,"A")</f>
        <v>3</v>
      </c>
      <c r="AH227">
        <f>+COUNTIF(F227:AE227,"b")</f>
        <v>13</v>
      </c>
      <c r="AI227">
        <f>+COUNTIF(F227:AE227,"c")</f>
        <v>10</v>
      </c>
      <c r="AK227">
        <f>+$AF$5*AF227</f>
        <v>0</v>
      </c>
      <c r="AL227">
        <f>+$AG$5*AG227</f>
        <v>9</v>
      </c>
      <c r="AM227">
        <f>+$AH$5*AH227</f>
        <v>26</v>
      </c>
      <c r="AN227">
        <f>+$AI$5*AI227</f>
        <v>10</v>
      </c>
      <c r="AO227">
        <f>+SUM(AK227:AN227)</f>
        <v>45</v>
      </c>
    </row>
    <row r="228" spans="1:41" ht="15.75" customHeight="1" x14ac:dyDescent="0.3">
      <c r="A228" s="16"/>
      <c r="B228" s="55">
        <v>17</v>
      </c>
      <c r="C228" s="71" t="s">
        <v>213</v>
      </c>
      <c r="D228" s="55">
        <v>5</v>
      </c>
      <c r="E228" s="55" t="s">
        <v>20</v>
      </c>
      <c r="F228" s="18" t="s">
        <v>23</v>
      </c>
      <c r="G228" s="18" t="s">
        <v>23</v>
      </c>
      <c r="H228" s="18" t="s">
        <v>23</v>
      </c>
      <c r="I228" s="18" t="s">
        <v>23</v>
      </c>
      <c r="J228" s="69" t="s">
        <v>21</v>
      </c>
      <c r="K228" s="69" t="s">
        <v>21</v>
      </c>
      <c r="L228" s="69" t="s">
        <v>21</v>
      </c>
      <c r="M228" s="18" t="s">
        <v>21</v>
      </c>
      <c r="N228" s="18" t="s">
        <v>21</v>
      </c>
      <c r="O228" s="18" t="s">
        <v>20</v>
      </c>
      <c r="P228" s="18" t="s">
        <v>23</v>
      </c>
      <c r="Q228" s="18" t="s">
        <v>21</v>
      </c>
      <c r="R228" s="18" t="s">
        <v>23</v>
      </c>
      <c r="S228" s="18" t="s">
        <v>21</v>
      </c>
      <c r="T228" s="18" t="s">
        <v>23</v>
      </c>
      <c r="U228" s="18" t="s">
        <v>20</v>
      </c>
      <c r="V228" s="37" t="s">
        <v>21</v>
      </c>
      <c r="W228" s="37" t="s">
        <v>21</v>
      </c>
      <c r="X228" s="37" t="s">
        <v>21</v>
      </c>
      <c r="Y228" s="18" t="s">
        <v>21</v>
      </c>
      <c r="Z228" s="18" t="s">
        <v>21</v>
      </c>
      <c r="AA228" s="18" t="s">
        <v>23</v>
      </c>
      <c r="AB228" s="18" t="s">
        <v>21</v>
      </c>
      <c r="AC228" s="18" t="s">
        <v>23</v>
      </c>
      <c r="AD228" s="18" t="s">
        <v>23</v>
      </c>
      <c r="AE228" s="18" t="s">
        <v>21</v>
      </c>
      <c r="AF228">
        <f>+COUNTIF(F228:AE228,"AD")</f>
        <v>0</v>
      </c>
      <c r="AG228">
        <f>+COUNTIF(F228:AE228,"A")</f>
        <v>2</v>
      </c>
      <c r="AH228">
        <f>+COUNTIF(F228:AE228,"b")</f>
        <v>14</v>
      </c>
      <c r="AI228">
        <f>+COUNTIF(F228:AE228,"c")</f>
        <v>10</v>
      </c>
      <c r="AK228">
        <f>+$AF$5*AF228</f>
        <v>0</v>
      </c>
      <c r="AL228">
        <f>+$AG$5*AG228</f>
        <v>6</v>
      </c>
      <c r="AM228">
        <f>+$AH$5*AH228</f>
        <v>28</v>
      </c>
      <c r="AN228">
        <f>+$AI$5*AI228</f>
        <v>10</v>
      </c>
      <c r="AO228">
        <f>+SUM(AK228:AN228)</f>
        <v>44</v>
      </c>
    </row>
    <row r="229" spans="1:41" ht="15.75" customHeight="1" x14ac:dyDescent="0.3">
      <c r="A229" s="16"/>
      <c r="B229" s="55">
        <v>2</v>
      </c>
      <c r="C229" s="71" t="s">
        <v>87</v>
      </c>
      <c r="D229" s="55">
        <v>2</v>
      </c>
      <c r="E229" s="55" t="s">
        <v>21</v>
      </c>
      <c r="F229" s="18" t="s">
        <v>21</v>
      </c>
      <c r="G229" s="18" t="s">
        <v>23</v>
      </c>
      <c r="H229" s="18" t="s">
        <v>21</v>
      </c>
      <c r="I229" s="18" t="s">
        <v>21</v>
      </c>
      <c r="J229" s="18" t="s">
        <v>21</v>
      </c>
      <c r="K229" s="18" t="s">
        <v>21</v>
      </c>
      <c r="L229" s="18" t="s">
        <v>21</v>
      </c>
      <c r="M229" s="18" t="s">
        <v>23</v>
      </c>
      <c r="N229" s="18" t="s">
        <v>21</v>
      </c>
      <c r="O229" s="18" t="s">
        <v>21</v>
      </c>
      <c r="P229" s="18" t="s">
        <v>23</v>
      </c>
      <c r="Q229" s="18" t="s">
        <v>21</v>
      </c>
      <c r="R229" s="18" t="s">
        <v>23</v>
      </c>
      <c r="S229" s="18" t="s">
        <v>23</v>
      </c>
      <c r="T229" s="18" t="s">
        <v>21</v>
      </c>
      <c r="U229" s="18" t="s">
        <v>21</v>
      </c>
      <c r="V229" s="37" t="s">
        <v>21</v>
      </c>
      <c r="W229" s="37" t="s">
        <v>21</v>
      </c>
      <c r="X229" s="37" t="s">
        <v>21</v>
      </c>
      <c r="Y229" s="18" t="s">
        <v>21</v>
      </c>
      <c r="Z229" s="18" t="s">
        <v>23</v>
      </c>
      <c r="AA229" s="18" t="s">
        <v>23</v>
      </c>
      <c r="AB229" s="18" t="s">
        <v>21</v>
      </c>
      <c r="AC229" s="18" t="s">
        <v>23</v>
      </c>
      <c r="AD229" s="18" t="s">
        <v>23</v>
      </c>
      <c r="AE229" s="18" t="s">
        <v>21</v>
      </c>
      <c r="AF229">
        <f>+COUNTIF(F229:AE229,"AD")</f>
        <v>0</v>
      </c>
      <c r="AG229">
        <f>+COUNTIF(F229:AE229,"A")</f>
        <v>0</v>
      </c>
      <c r="AH229">
        <f>+COUNTIF(F229:AE229,"b")</f>
        <v>17</v>
      </c>
      <c r="AI229">
        <f>+COUNTIF(F229:AE229,"c")</f>
        <v>9</v>
      </c>
      <c r="AK229">
        <f>+$AF$5*AF229</f>
        <v>0</v>
      </c>
      <c r="AL229">
        <f>+$AG$5*AG229</f>
        <v>0</v>
      </c>
      <c r="AM229">
        <f>+$AH$5*AH229</f>
        <v>34</v>
      </c>
      <c r="AN229">
        <f>+$AI$5*AI229</f>
        <v>9</v>
      </c>
      <c r="AO229">
        <f>+SUM(AK229:AN229)</f>
        <v>43</v>
      </c>
    </row>
    <row r="230" spans="1:41" ht="15.75" customHeight="1" x14ac:dyDescent="0.3">
      <c r="A230" s="16"/>
      <c r="B230" s="55">
        <v>19</v>
      </c>
      <c r="C230" s="71" t="s">
        <v>104</v>
      </c>
      <c r="D230" s="55">
        <v>2</v>
      </c>
      <c r="E230" s="55" t="s">
        <v>21</v>
      </c>
      <c r="F230" s="18" t="s">
        <v>21</v>
      </c>
      <c r="G230" s="18" t="s">
        <v>23</v>
      </c>
      <c r="H230" s="18" t="s">
        <v>21</v>
      </c>
      <c r="I230" s="18" t="s">
        <v>21</v>
      </c>
      <c r="J230" s="18" t="s">
        <v>21</v>
      </c>
      <c r="K230" s="18" t="s">
        <v>21</v>
      </c>
      <c r="L230" s="18" t="s">
        <v>21</v>
      </c>
      <c r="M230" s="18" t="s">
        <v>23</v>
      </c>
      <c r="N230" s="18" t="s">
        <v>23</v>
      </c>
      <c r="O230" s="18" t="s">
        <v>23</v>
      </c>
      <c r="P230" s="18" t="s">
        <v>23</v>
      </c>
      <c r="Q230" s="18" t="s">
        <v>21</v>
      </c>
      <c r="R230" s="18" t="s">
        <v>23</v>
      </c>
      <c r="S230" s="18" t="s">
        <v>21</v>
      </c>
      <c r="T230" s="18" t="s">
        <v>23</v>
      </c>
      <c r="U230" s="18" t="s">
        <v>21</v>
      </c>
      <c r="V230" s="37" t="s">
        <v>21</v>
      </c>
      <c r="W230" s="37" t="s">
        <v>21</v>
      </c>
      <c r="X230" s="37" t="s">
        <v>21</v>
      </c>
      <c r="Y230" s="18" t="s">
        <v>23</v>
      </c>
      <c r="Z230" s="18" t="s">
        <v>23</v>
      </c>
      <c r="AA230" s="18" t="s">
        <v>21</v>
      </c>
      <c r="AB230" s="18" t="s">
        <v>21</v>
      </c>
      <c r="AC230" s="18" t="s">
        <v>21</v>
      </c>
      <c r="AD230" s="18" t="s">
        <v>23</v>
      </c>
      <c r="AE230" s="18" t="s">
        <v>21</v>
      </c>
      <c r="AF230">
        <f>+COUNTIF(F230:AE230,"AD")</f>
        <v>0</v>
      </c>
      <c r="AG230">
        <f>+COUNTIF(F230:AE230,"A")</f>
        <v>0</v>
      </c>
      <c r="AH230">
        <f>+COUNTIF(F230:AE230,"b")</f>
        <v>16</v>
      </c>
      <c r="AI230">
        <f>+COUNTIF(F230:AE230,"c")</f>
        <v>10</v>
      </c>
      <c r="AK230">
        <f>+$AF$5*AF230</f>
        <v>0</v>
      </c>
      <c r="AL230">
        <f>+$AG$5*AG230</f>
        <v>0</v>
      </c>
      <c r="AM230">
        <f>+$AH$5*AH230</f>
        <v>32</v>
      </c>
      <c r="AN230">
        <f>+$AI$5*AI230</f>
        <v>10</v>
      </c>
      <c r="AO230">
        <f>+SUM(AK230:AN230)</f>
        <v>42</v>
      </c>
    </row>
    <row r="231" spans="1:41" ht="15.75" customHeight="1" x14ac:dyDescent="0.3">
      <c r="A231" s="16"/>
      <c r="B231" s="55">
        <v>5</v>
      </c>
      <c r="C231" s="71" t="s">
        <v>113</v>
      </c>
      <c r="D231" s="55">
        <v>3</v>
      </c>
      <c r="E231" s="55" t="s">
        <v>20</v>
      </c>
      <c r="F231" s="18" t="s">
        <v>23</v>
      </c>
      <c r="G231" s="18" t="s">
        <v>23</v>
      </c>
      <c r="H231" s="18" t="s">
        <v>23</v>
      </c>
      <c r="I231" s="18" t="s">
        <v>23</v>
      </c>
      <c r="J231" s="69" t="s">
        <v>21</v>
      </c>
      <c r="K231" s="69" t="s">
        <v>21</v>
      </c>
      <c r="L231" s="69" t="s">
        <v>21</v>
      </c>
      <c r="M231" s="18" t="s">
        <v>21</v>
      </c>
      <c r="N231" s="18" t="s">
        <v>23</v>
      </c>
      <c r="O231" s="18" t="s">
        <v>23</v>
      </c>
      <c r="P231" s="18" t="s">
        <v>23</v>
      </c>
      <c r="Q231" s="18" t="s">
        <v>23</v>
      </c>
      <c r="R231" s="18" t="s">
        <v>21</v>
      </c>
      <c r="S231" s="18" t="s">
        <v>23</v>
      </c>
      <c r="T231" s="18" t="s">
        <v>23</v>
      </c>
      <c r="U231" s="18" t="s">
        <v>21</v>
      </c>
      <c r="V231" s="37" t="s">
        <v>21</v>
      </c>
      <c r="W231" s="37" t="s">
        <v>21</v>
      </c>
      <c r="X231" s="37" t="s">
        <v>21</v>
      </c>
      <c r="Y231" s="18" t="s">
        <v>23</v>
      </c>
      <c r="Z231" s="18" t="s">
        <v>21</v>
      </c>
      <c r="AA231" s="18" t="s">
        <v>21</v>
      </c>
      <c r="AB231" s="18" t="s">
        <v>21</v>
      </c>
      <c r="AC231" s="18" t="s">
        <v>21</v>
      </c>
      <c r="AD231" s="37" t="s">
        <v>23</v>
      </c>
      <c r="AE231" s="37" t="s">
        <v>21</v>
      </c>
      <c r="AF231">
        <f>+COUNTIF(F231:AE231,"AD")</f>
        <v>0</v>
      </c>
      <c r="AG231">
        <f>+COUNTIF(F231:AE231,"A")</f>
        <v>0</v>
      </c>
      <c r="AH231">
        <f>+COUNTIF(F231:AE231,"b")</f>
        <v>14</v>
      </c>
      <c r="AI231">
        <f>+COUNTIF(F231:AE231,"c")</f>
        <v>12</v>
      </c>
      <c r="AK231">
        <f>+$AF$5*AF231</f>
        <v>0</v>
      </c>
      <c r="AL231">
        <f>+$AG$5*AG231</f>
        <v>0</v>
      </c>
      <c r="AM231">
        <f>+$AH$5*AH231</f>
        <v>28</v>
      </c>
      <c r="AN231">
        <f>+$AI$5*AI231</f>
        <v>12</v>
      </c>
      <c r="AO231">
        <f>+SUM(AK231:AN231)</f>
        <v>40</v>
      </c>
    </row>
    <row r="232" spans="1:41" ht="15.75" customHeight="1" x14ac:dyDescent="0.3">
      <c r="A232" s="16"/>
      <c r="B232" s="55">
        <v>14</v>
      </c>
      <c r="C232" s="71" t="s">
        <v>122</v>
      </c>
      <c r="D232" s="55">
        <v>3</v>
      </c>
      <c r="E232" s="55" t="s">
        <v>20</v>
      </c>
      <c r="F232" s="18" t="s">
        <v>23</v>
      </c>
      <c r="G232" s="18" t="s">
        <v>23</v>
      </c>
      <c r="H232" s="18" t="s">
        <v>23</v>
      </c>
      <c r="I232" s="18" t="s">
        <v>23</v>
      </c>
      <c r="J232" s="69" t="s">
        <v>21</v>
      </c>
      <c r="K232" s="69" t="s">
        <v>23</v>
      </c>
      <c r="L232" s="69" t="s">
        <v>21</v>
      </c>
      <c r="M232" s="18" t="s">
        <v>21</v>
      </c>
      <c r="N232" s="18" t="s">
        <v>23</v>
      </c>
      <c r="O232" s="18" t="s">
        <v>23</v>
      </c>
      <c r="P232" s="18" t="s">
        <v>23</v>
      </c>
      <c r="Q232" s="18" t="s">
        <v>21</v>
      </c>
      <c r="R232" s="18" t="s">
        <v>23</v>
      </c>
      <c r="S232" s="18" t="s">
        <v>23</v>
      </c>
      <c r="T232" s="18" t="s">
        <v>23</v>
      </c>
      <c r="U232" s="18" t="s">
        <v>21</v>
      </c>
      <c r="V232" s="37" t="s">
        <v>20</v>
      </c>
      <c r="W232" s="37" t="s">
        <v>21</v>
      </c>
      <c r="X232" s="37" t="s">
        <v>20</v>
      </c>
      <c r="Y232" s="18" t="s">
        <v>21</v>
      </c>
      <c r="Z232" s="18" t="s">
        <v>23</v>
      </c>
      <c r="AA232" s="18" t="s">
        <v>23</v>
      </c>
      <c r="AB232" s="18" t="s">
        <v>23</v>
      </c>
      <c r="AC232" s="18" t="s">
        <v>21</v>
      </c>
      <c r="AD232" s="37" t="s">
        <v>21</v>
      </c>
      <c r="AE232" s="37" t="s">
        <v>21</v>
      </c>
      <c r="AF232">
        <f>+COUNTIF(F232:AE232,"AD")</f>
        <v>0</v>
      </c>
      <c r="AG232">
        <f>+COUNTIF(F232:AE232,"A")</f>
        <v>2</v>
      </c>
      <c r="AH232">
        <f>+COUNTIF(F232:AE232,"b")</f>
        <v>10</v>
      </c>
      <c r="AI232">
        <f>+COUNTIF(F232:AE232,"c")</f>
        <v>14</v>
      </c>
      <c r="AK232">
        <f>+$AF$5*AF232</f>
        <v>0</v>
      </c>
      <c r="AL232">
        <f>+$AG$5*AG232</f>
        <v>6</v>
      </c>
      <c r="AM232">
        <f>+$AH$5*AH232</f>
        <v>20</v>
      </c>
      <c r="AN232">
        <f>+$AI$5*AI232</f>
        <v>14</v>
      </c>
      <c r="AO232">
        <f>+SUM(AK232:AN232)</f>
        <v>40</v>
      </c>
    </row>
    <row r="233" spans="1:41" ht="15.75" customHeight="1" x14ac:dyDescent="0.3">
      <c r="B233" s="54"/>
    </row>
    <row r="234" spans="1:41" ht="15.75" customHeight="1" x14ac:dyDescent="0.3"/>
    <row r="235" spans="1:41" ht="15.75" customHeight="1" x14ac:dyDescent="0.3"/>
    <row r="236" spans="1:41" ht="15.75" customHeight="1" x14ac:dyDescent="0.3"/>
    <row r="237" spans="1:41" ht="15.75" customHeight="1" x14ac:dyDescent="0.3"/>
    <row r="238" spans="1:41" ht="15.75" customHeight="1" x14ac:dyDescent="0.3"/>
    <row r="239" spans="1:41" ht="15.75" customHeight="1" x14ac:dyDescent="0.3"/>
    <row r="240" spans="1:41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  <row r="1041" ht="15.75" customHeight="1" x14ac:dyDescent="0.3"/>
    <row r="1042" ht="15.75" customHeight="1" x14ac:dyDescent="0.3"/>
    <row r="1043" ht="15.75" customHeight="1" x14ac:dyDescent="0.3"/>
    <row r="1044" ht="15.75" customHeight="1" x14ac:dyDescent="0.3"/>
    <row r="1045" ht="15.75" customHeight="1" x14ac:dyDescent="0.3"/>
    <row r="1046" ht="15.75" customHeight="1" x14ac:dyDescent="0.3"/>
    <row r="1047" ht="15.75" customHeight="1" x14ac:dyDescent="0.3"/>
    <row r="1048" ht="15.75" customHeight="1" x14ac:dyDescent="0.3"/>
    <row r="1049" ht="15.75" customHeight="1" x14ac:dyDescent="0.3"/>
    <row r="1050" ht="15.75" customHeight="1" x14ac:dyDescent="0.3"/>
    <row r="1051" ht="15.75" customHeight="1" x14ac:dyDescent="0.3"/>
    <row r="1052" ht="15.75" customHeight="1" x14ac:dyDescent="0.3"/>
    <row r="1053" ht="15.75" customHeight="1" x14ac:dyDescent="0.3"/>
    <row r="1054" ht="15.75" customHeight="1" x14ac:dyDescent="0.3"/>
    <row r="1055" ht="15.75" customHeight="1" x14ac:dyDescent="0.3"/>
    <row r="1056" ht="15.75" customHeight="1" x14ac:dyDescent="0.3"/>
    <row r="1057" ht="15.75" customHeight="1" x14ac:dyDescent="0.3"/>
    <row r="1058" ht="15.75" customHeight="1" x14ac:dyDescent="0.3"/>
    <row r="1059" ht="15.75" customHeight="1" x14ac:dyDescent="0.3"/>
    <row r="1060" ht="15.75" customHeight="1" x14ac:dyDescent="0.3"/>
    <row r="1061" ht="15.75" customHeight="1" x14ac:dyDescent="0.3"/>
    <row r="1062" ht="15.75" customHeight="1" x14ac:dyDescent="0.3"/>
    <row r="1063" ht="15.75" customHeight="1" x14ac:dyDescent="0.3"/>
    <row r="1064" ht="15.75" customHeight="1" x14ac:dyDescent="0.3"/>
    <row r="1065" ht="15.75" customHeight="1" x14ac:dyDescent="0.3"/>
    <row r="1066" ht="15.75" customHeight="1" x14ac:dyDescent="0.3"/>
    <row r="1067" ht="15.75" customHeight="1" x14ac:dyDescent="0.3"/>
    <row r="1068" ht="15.75" customHeight="1" x14ac:dyDescent="0.3"/>
    <row r="1069" ht="15.75" customHeight="1" x14ac:dyDescent="0.3"/>
    <row r="1070" ht="15.75" customHeight="1" x14ac:dyDescent="0.3"/>
    <row r="1071" ht="15.75" customHeight="1" x14ac:dyDescent="0.3"/>
    <row r="1072" ht="15.75" customHeight="1" x14ac:dyDescent="0.3"/>
    <row r="1073" ht="15.75" customHeight="1" x14ac:dyDescent="0.3"/>
    <row r="1074" ht="15.75" customHeight="1" x14ac:dyDescent="0.3"/>
    <row r="1075" ht="15.75" customHeight="1" x14ac:dyDescent="0.3"/>
    <row r="1076" ht="15.75" customHeight="1" x14ac:dyDescent="0.3"/>
    <row r="1077" ht="15.75" customHeight="1" x14ac:dyDescent="0.3"/>
    <row r="1078" ht="15.75" customHeight="1" x14ac:dyDescent="0.3"/>
    <row r="1079" ht="15.75" customHeight="1" x14ac:dyDescent="0.3"/>
    <row r="1080" ht="15.75" customHeight="1" x14ac:dyDescent="0.3"/>
    <row r="1081" ht="15.75" customHeight="1" x14ac:dyDescent="0.3"/>
    <row r="1082" ht="15.75" customHeight="1" x14ac:dyDescent="0.3"/>
    <row r="1083" ht="15.75" customHeight="1" x14ac:dyDescent="0.3"/>
    <row r="1084" ht="15.75" customHeight="1" x14ac:dyDescent="0.3"/>
    <row r="1085" ht="15.75" customHeight="1" x14ac:dyDescent="0.3"/>
    <row r="1086" ht="15.75" customHeight="1" x14ac:dyDescent="0.3"/>
    <row r="1087" ht="15.75" customHeight="1" x14ac:dyDescent="0.3"/>
    <row r="1088" ht="15.75" customHeight="1" x14ac:dyDescent="0.3"/>
    <row r="1089" ht="15.75" customHeight="1" x14ac:dyDescent="0.3"/>
    <row r="1090" ht="15.75" customHeight="1" x14ac:dyDescent="0.3"/>
    <row r="1091" ht="15.75" customHeight="1" x14ac:dyDescent="0.3"/>
    <row r="1092" ht="15.75" customHeight="1" x14ac:dyDescent="0.3"/>
    <row r="1093" ht="15.75" customHeight="1" x14ac:dyDescent="0.3"/>
    <row r="1094" ht="15.75" customHeight="1" x14ac:dyDescent="0.3"/>
    <row r="1095" ht="15.75" customHeight="1" x14ac:dyDescent="0.3"/>
    <row r="1096" ht="15.75" customHeight="1" x14ac:dyDescent="0.3"/>
    <row r="1097" ht="15.75" customHeight="1" x14ac:dyDescent="0.3"/>
    <row r="1098" ht="15.75" customHeight="1" x14ac:dyDescent="0.3"/>
    <row r="1099" ht="15.75" customHeight="1" x14ac:dyDescent="0.3"/>
    <row r="1100" ht="15.75" customHeight="1" x14ac:dyDescent="0.3"/>
    <row r="1101" ht="15.75" customHeight="1" x14ac:dyDescent="0.3"/>
    <row r="1102" ht="15.75" customHeight="1" x14ac:dyDescent="0.3"/>
    <row r="1103" ht="15.75" customHeight="1" x14ac:dyDescent="0.3"/>
    <row r="1104" ht="15.75" customHeight="1" x14ac:dyDescent="0.3"/>
    <row r="1105" ht="15.75" customHeight="1" x14ac:dyDescent="0.3"/>
    <row r="1106" ht="15.75" customHeight="1" x14ac:dyDescent="0.3"/>
    <row r="1107" ht="15.75" customHeight="1" x14ac:dyDescent="0.3"/>
    <row r="1108" ht="15.75" customHeight="1" x14ac:dyDescent="0.3"/>
    <row r="1109" ht="15.75" customHeight="1" x14ac:dyDescent="0.3"/>
    <row r="1110" ht="15.75" customHeight="1" x14ac:dyDescent="0.3"/>
    <row r="1111" ht="15.75" customHeight="1" x14ac:dyDescent="0.3"/>
    <row r="1112" ht="15.75" customHeight="1" x14ac:dyDescent="0.3"/>
    <row r="1113" ht="15.75" customHeight="1" x14ac:dyDescent="0.3"/>
    <row r="1114" ht="15.75" customHeight="1" x14ac:dyDescent="0.3"/>
    <row r="1115" ht="15.75" customHeight="1" x14ac:dyDescent="0.3"/>
    <row r="1116" ht="15.75" customHeight="1" x14ac:dyDescent="0.3"/>
    <row r="1117" ht="15.75" customHeight="1" x14ac:dyDescent="0.3"/>
    <row r="1118" ht="15.75" customHeight="1" x14ac:dyDescent="0.3"/>
    <row r="1119" ht="15.75" customHeight="1" x14ac:dyDescent="0.3"/>
    <row r="1120" ht="15.75" customHeight="1" x14ac:dyDescent="0.3"/>
    <row r="1121" ht="15.75" customHeight="1" x14ac:dyDescent="0.3"/>
    <row r="1122" ht="15.75" customHeight="1" x14ac:dyDescent="0.3"/>
    <row r="1123" ht="15.75" customHeight="1" x14ac:dyDescent="0.3"/>
    <row r="1124" ht="15.75" customHeight="1" x14ac:dyDescent="0.3"/>
    <row r="1125" ht="15.75" customHeight="1" x14ac:dyDescent="0.3"/>
    <row r="1126" ht="15.75" customHeight="1" x14ac:dyDescent="0.3"/>
  </sheetData>
  <mergeCells count="11">
    <mergeCell ref="AD4:AE4"/>
    <mergeCell ref="C2:AE2"/>
    <mergeCell ref="C3:AE3"/>
    <mergeCell ref="F4:I4"/>
    <mergeCell ref="J4:L4"/>
    <mergeCell ref="M4:O4"/>
    <mergeCell ref="P4:R4"/>
    <mergeCell ref="S4:T4"/>
    <mergeCell ref="V4:X4"/>
    <mergeCell ref="Y4:Z4"/>
    <mergeCell ref="AA4:AC4"/>
  </mergeCells>
  <conditionalFormatting sqref="F6:AE232">
    <cfRule type="cellIs" dxfId="43" priority="1" operator="equal">
      <formula>"AD"</formula>
    </cfRule>
    <cfRule type="cellIs" dxfId="42" priority="2" operator="equal">
      <formula>"A"</formula>
    </cfRule>
    <cfRule type="cellIs" dxfId="41" priority="3" operator="equal">
      <formula>"B"</formula>
    </cfRule>
    <cfRule type="cellIs" dxfId="40" priority="4" operator="equal">
      <formula>"C"</formula>
    </cfRule>
  </conditionalFormatting>
  <dataValidations count="2">
    <dataValidation type="list" allowBlank="1" showInputMessage="1" showErrorMessage="1" sqref="Q6:R26 T6:X26 AD229:AE232 F6:L26 AD27:AE80 F27:X48 AD82:AE97 AD135:AE199 AD201:AE203 AD205:AE227 AD99:AE133 Z27:Z48 F49:I232 J131:L232 J49:L109 M49:Z232" xr:uid="{397C0B29-7E8A-4327-A710-606897CDEA53}">
      <formula1>"AD,A,B,C"</formula1>
    </dataValidation>
    <dataValidation type="list" allowBlank="1" showInputMessage="1" showErrorMessage="1" sqref="AA6:AC232 J110:L130" xr:uid="{2BAFDF50-0644-4CA3-A47E-14A4652AED59}">
      <formula1>"A,AD,B,C"</formula1>
    </dataValidation>
  </dataValidations>
  <pageMargins left="0.7" right="0.7" top="0.75" bottom="0.75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9ACFA-7634-4244-A829-726CE84E67E1}">
  <sheetPr filterMode="1">
    <pageSetUpPr fitToPage="1"/>
  </sheetPr>
  <dimension ref="A2:AP1126"/>
  <sheetViews>
    <sheetView zoomScaleNormal="100" workbookViewId="0">
      <pane xSplit="3" ySplit="5" topLeftCell="D6" activePane="bottomRight" state="frozen"/>
      <selection pane="topRight" activeCell="C1" sqref="C1"/>
      <selection pane="bottomLeft" activeCell="A6" sqref="A6"/>
      <selection pane="bottomRight" activeCell="C2" sqref="C2:AE2"/>
    </sheetView>
  </sheetViews>
  <sheetFormatPr baseColWidth="10" defaultColWidth="14.44140625" defaultRowHeight="15" customHeight="1" x14ac:dyDescent="0.3"/>
  <cols>
    <col min="1" max="1" width="4" bestFit="1" customWidth="1"/>
    <col min="2" max="2" width="4.109375" customWidth="1"/>
    <col min="3" max="3" width="38.5546875" customWidth="1"/>
    <col min="4" max="4" width="5" hidden="1" customWidth="1"/>
    <col min="5" max="5" width="6.6640625" hidden="1" customWidth="1"/>
    <col min="6" max="31" width="5" customWidth="1"/>
    <col min="32" max="32" width="2" hidden="1" customWidth="1"/>
    <col min="33" max="36" width="3.44140625" hidden="1" customWidth="1"/>
    <col min="37" max="37" width="1.44140625" style="65" hidden="1" customWidth="1"/>
    <col min="38" max="40" width="3" hidden="1" customWidth="1"/>
    <col min="41" max="41" width="2" hidden="1" customWidth="1"/>
    <col min="42" max="42" width="5.21875" bestFit="1" customWidth="1"/>
  </cols>
  <sheetData>
    <row r="2" spans="1:42" ht="24" customHeight="1" x14ac:dyDescent="0.3">
      <c r="C2" s="77" t="s">
        <v>253</v>
      </c>
      <c r="D2" s="2"/>
      <c r="E2" s="2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9"/>
    </row>
    <row r="3" spans="1:42" ht="26.25" customHeight="1" x14ac:dyDescent="0.3">
      <c r="C3" s="74" t="s">
        <v>252</v>
      </c>
      <c r="D3" s="5"/>
      <c r="E3" s="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6"/>
    </row>
    <row r="4" spans="1:42" ht="20.399999999999999" customHeight="1" x14ac:dyDescent="0.3">
      <c r="C4" s="7"/>
      <c r="D4" s="8"/>
      <c r="E4" s="8"/>
      <c r="F4" s="80" t="s">
        <v>2</v>
      </c>
      <c r="G4" s="81"/>
      <c r="H4" s="81"/>
      <c r="I4" s="82"/>
      <c r="J4" s="80" t="s">
        <v>3</v>
      </c>
      <c r="K4" s="81"/>
      <c r="L4" s="82"/>
      <c r="M4" s="80" t="s">
        <v>4</v>
      </c>
      <c r="N4" s="81"/>
      <c r="O4" s="82"/>
      <c r="P4" s="80" t="s">
        <v>5</v>
      </c>
      <c r="Q4" s="81"/>
      <c r="R4" s="82"/>
      <c r="S4" s="83" t="s">
        <v>6</v>
      </c>
      <c r="T4" s="84"/>
      <c r="U4" s="86" t="s">
        <v>7</v>
      </c>
      <c r="V4" s="80" t="s">
        <v>8</v>
      </c>
      <c r="W4" s="81"/>
      <c r="X4" s="82"/>
      <c r="Y4" s="80" t="s">
        <v>9</v>
      </c>
      <c r="Z4" s="82"/>
      <c r="AA4" s="83" t="s">
        <v>10</v>
      </c>
      <c r="AB4" s="85"/>
      <c r="AC4" s="84"/>
      <c r="AD4" s="80" t="s">
        <v>11</v>
      </c>
      <c r="AE4" s="82"/>
    </row>
    <row r="5" spans="1:42" ht="27" customHeight="1" x14ac:dyDescent="0.3">
      <c r="B5" s="12"/>
      <c r="C5" s="13" t="s">
        <v>12</v>
      </c>
      <c r="D5" s="14" t="s">
        <v>13</v>
      </c>
      <c r="E5" s="15" t="s">
        <v>14</v>
      </c>
      <c r="F5" s="15" t="s">
        <v>15</v>
      </c>
      <c r="G5" s="15" t="s">
        <v>16</v>
      </c>
      <c r="H5" s="15" t="s">
        <v>17</v>
      </c>
      <c r="I5" s="15" t="s">
        <v>18</v>
      </c>
      <c r="J5" s="15" t="s">
        <v>15</v>
      </c>
      <c r="K5" s="15" t="s">
        <v>16</v>
      </c>
      <c r="L5" s="15" t="s">
        <v>17</v>
      </c>
      <c r="M5" s="15" t="s">
        <v>15</v>
      </c>
      <c r="N5" s="15" t="s">
        <v>16</v>
      </c>
      <c r="O5" s="15" t="s">
        <v>17</v>
      </c>
      <c r="P5" s="15" t="s">
        <v>15</v>
      </c>
      <c r="Q5" s="15" t="s">
        <v>16</v>
      </c>
      <c r="R5" s="15" t="s">
        <v>17</v>
      </c>
      <c r="S5" s="15" t="s">
        <v>15</v>
      </c>
      <c r="T5" s="15" t="s">
        <v>16</v>
      </c>
      <c r="U5" s="15" t="s">
        <v>15</v>
      </c>
      <c r="V5" s="15" t="s">
        <v>15</v>
      </c>
      <c r="W5" s="15" t="s">
        <v>16</v>
      </c>
      <c r="X5" s="15" t="s">
        <v>17</v>
      </c>
      <c r="Y5" s="15" t="s">
        <v>15</v>
      </c>
      <c r="Z5" s="15" t="s">
        <v>16</v>
      </c>
      <c r="AA5" s="15" t="s">
        <v>15</v>
      </c>
      <c r="AB5" s="15" t="s">
        <v>16</v>
      </c>
      <c r="AC5" s="15" t="s">
        <v>17</v>
      </c>
      <c r="AD5" s="15" t="s">
        <v>15</v>
      </c>
      <c r="AE5" s="15" t="s">
        <v>16</v>
      </c>
      <c r="AG5" s="68">
        <v>4</v>
      </c>
      <c r="AH5" s="68">
        <v>3</v>
      </c>
      <c r="AI5" s="68">
        <v>2</v>
      </c>
      <c r="AJ5" s="68">
        <v>1</v>
      </c>
      <c r="AK5" s="66"/>
      <c r="AL5" s="67" t="s">
        <v>39</v>
      </c>
      <c r="AM5" s="67" t="s">
        <v>20</v>
      </c>
      <c r="AN5" s="67" t="s">
        <v>21</v>
      </c>
      <c r="AO5" s="67" t="s">
        <v>23</v>
      </c>
      <c r="AP5" s="67" t="s">
        <v>251</v>
      </c>
    </row>
    <row r="6" spans="1:42" ht="15.6" x14ac:dyDescent="0.3">
      <c r="A6" s="16"/>
      <c r="B6" s="55">
        <v>1</v>
      </c>
      <c r="C6" s="56" t="s">
        <v>38</v>
      </c>
      <c r="D6" s="55">
        <v>1</v>
      </c>
      <c r="E6" s="55" t="s">
        <v>20</v>
      </c>
      <c r="F6" s="18" t="s">
        <v>20</v>
      </c>
      <c r="G6" s="18" t="s">
        <v>20</v>
      </c>
      <c r="H6" s="18" t="s">
        <v>21</v>
      </c>
      <c r="I6" s="18" t="s">
        <v>20</v>
      </c>
      <c r="J6" s="18" t="s">
        <v>20</v>
      </c>
      <c r="K6" s="18" t="s">
        <v>20</v>
      </c>
      <c r="L6" s="18" t="s">
        <v>20</v>
      </c>
      <c r="M6" s="19" t="s">
        <v>20</v>
      </c>
      <c r="N6" s="19" t="s">
        <v>21</v>
      </c>
      <c r="O6" s="19" t="s">
        <v>20</v>
      </c>
      <c r="P6" s="19" t="s">
        <v>20</v>
      </c>
      <c r="Q6" s="18" t="s">
        <v>20</v>
      </c>
      <c r="R6" s="18" t="s">
        <v>21</v>
      </c>
      <c r="S6" s="19" t="s">
        <v>20</v>
      </c>
      <c r="T6" s="18" t="s">
        <v>20</v>
      </c>
      <c r="U6" s="18" t="s">
        <v>20</v>
      </c>
      <c r="V6" s="18" t="s">
        <v>20</v>
      </c>
      <c r="W6" s="18" t="s">
        <v>20</v>
      </c>
      <c r="X6" s="18" t="s">
        <v>20</v>
      </c>
      <c r="Y6" s="19" t="s">
        <v>20</v>
      </c>
      <c r="Z6" s="19" t="s">
        <v>20</v>
      </c>
      <c r="AA6" s="20" t="s">
        <v>20</v>
      </c>
      <c r="AB6" s="20" t="s">
        <v>39</v>
      </c>
      <c r="AC6" s="20" t="s">
        <v>20</v>
      </c>
      <c r="AD6" s="19" t="s">
        <v>20</v>
      </c>
      <c r="AE6" s="19" t="s">
        <v>21</v>
      </c>
      <c r="AG6">
        <f>+COUNTIF(F6:AE6,"AD")</f>
        <v>1</v>
      </c>
      <c r="AH6">
        <f>+COUNTIF(F6:AE6,"A")</f>
        <v>21</v>
      </c>
      <c r="AI6">
        <f>+COUNTIF(F6:AE6,"b")</f>
        <v>4</v>
      </c>
      <c r="AJ6">
        <f>+COUNTIF(F6:AE6,"c")</f>
        <v>0</v>
      </c>
      <c r="AL6">
        <f>+$AG$5*AG6</f>
        <v>4</v>
      </c>
      <c r="AM6">
        <f>+$AH$5*AH6</f>
        <v>63</v>
      </c>
      <c r="AN6">
        <f>+$AI$5*AI6</f>
        <v>8</v>
      </c>
      <c r="AO6">
        <f>+$AJ$5*AJ6</f>
        <v>0</v>
      </c>
      <c r="AP6" s="73">
        <f>+SUM(AL6:AO6)</f>
        <v>75</v>
      </c>
    </row>
    <row r="7" spans="1:42" ht="15.6" x14ac:dyDescent="0.3">
      <c r="A7" s="16"/>
      <c r="B7" s="55">
        <v>2</v>
      </c>
      <c r="C7" s="56" t="s">
        <v>24</v>
      </c>
      <c r="D7" s="55">
        <v>1</v>
      </c>
      <c r="E7" s="55" t="s">
        <v>20</v>
      </c>
      <c r="F7" s="18" t="s">
        <v>20</v>
      </c>
      <c r="G7" s="18" t="s">
        <v>20</v>
      </c>
      <c r="H7" s="18" t="s">
        <v>20</v>
      </c>
      <c r="I7" s="18" t="s">
        <v>20</v>
      </c>
      <c r="J7" s="18" t="s">
        <v>20</v>
      </c>
      <c r="K7" s="18" t="s">
        <v>20</v>
      </c>
      <c r="L7" s="18" t="s">
        <v>20</v>
      </c>
      <c r="M7" s="19" t="s">
        <v>20</v>
      </c>
      <c r="N7" s="19" t="s">
        <v>20</v>
      </c>
      <c r="O7" s="19" t="s">
        <v>20</v>
      </c>
      <c r="P7" s="19" t="s">
        <v>20</v>
      </c>
      <c r="Q7" s="18" t="s">
        <v>20</v>
      </c>
      <c r="R7" s="18" t="s">
        <v>21</v>
      </c>
      <c r="S7" s="19" t="s">
        <v>20</v>
      </c>
      <c r="T7" s="18" t="s">
        <v>20</v>
      </c>
      <c r="U7" s="18" t="s">
        <v>20</v>
      </c>
      <c r="V7" s="18" t="s">
        <v>20</v>
      </c>
      <c r="W7" s="18" t="s">
        <v>20</v>
      </c>
      <c r="X7" s="18" t="s">
        <v>20</v>
      </c>
      <c r="Y7" s="19" t="s">
        <v>20</v>
      </c>
      <c r="Z7" s="19" t="s">
        <v>20</v>
      </c>
      <c r="AA7" s="20" t="s">
        <v>20</v>
      </c>
      <c r="AB7" s="20" t="s">
        <v>21</v>
      </c>
      <c r="AC7" s="20" t="s">
        <v>21</v>
      </c>
      <c r="AD7" s="19" t="s">
        <v>20</v>
      </c>
      <c r="AE7" s="19" t="s">
        <v>21</v>
      </c>
      <c r="AG7">
        <f>+COUNTIF(F7:AE7,"AD")</f>
        <v>0</v>
      </c>
      <c r="AH7">
        <f>+COUNTIF(F7:AE7,"A")</f>
        <v>22</v>
      </c>
      <c r="AI7">
        <f>+COUNTIF(F7:AE7,"b")</f>
        <v>4</v>
      </c>
      <c r="AJ7">
        <f>+COUNTIF(F7:AE7,"c")</f>
        <v>0</v>
      </c>
      <c r="AL7">
        <f>+$AG$5*AG7</f>
        <v>0</v>
      </c>
      <c r="AM7">
        <f>+$AH$5*AH7</f>
        <v>66</v>
      </c>
      <c r="AN7">
        <f>+$AI$5*AI7</f>
        <v>8</v>
      </c>
      <c r="AO7">
        <f>+$AJ$5*AJ7</f>
        <v>0</v>
      </c>
      <c r="AP7" s="73">
        <f>+SUM(AL7:AO7)</f>
        <v>74</v>
      </c>
    </row>
    <row r="8" spans="1:42" ht="15.6" x14ac:dyDescent="0.3">
      <c r="A8" s="16"/>
      <c r="B8" s="55">
        <v>3</v>
      </c>
      <c r="C8" s="56" t="s">
        <v>28</v>
      </c>
      <c r="D8" s="55">
        <v>1</v>
      </c>
      <c r="E8" s="55" t="s">
        <v>20</v>
      </c>
      <c r="F8" s="18" t="s">
        <v>20</v>
      </c>
      <c r="G8" s="18" t="s">
        <v>20</v>
      </c>
      <c r="H8" s="18" t="s">
        <v>21</v>
      </c>
      <c r="I8" s="18" t="s">
        <v>20</v>
      </c>
      <c r="J8" s="18" t="s">
        <v>20</v>
      </c>
      <c r="K8" s="18" t="s">
        <v>20</v>
      </c>
      <c r="L8" s="18" t="s">
        <v>20</v>
      </c>
      <c r="M8" s="19" t="s">
        <v>20</v>
      </c>
      <c r="N8" s="19" t="s">
        <v>20</v>
      </c>
      <c r="O8" s="19" t="s">
        <v>20</v>
      </c>
      <c r="P8" s="19" t="s">
        <v>20</v>
      </c>
      <c r="Q8" s="18" t="s">
        <v>20</v>
      </c>
      <c r="R8" s="18" t="s">
        <v>20</v>
      </c>
      <c r="S8" s="19" t="s">
        <v>20</v>
      </c>
      <c r="T8" s="18" t="s">
        <v>20</v>
      </c>
      <c r="U8" s="18" t="s">
        <v>21</v>
      </c>
      <c r="V8" s="18" t="s">
        <v>20</v>
      </c>
      <c r="W8" s="18" t="s">
        <v>20</v>
      </c>
      <c r="X8" s="18" t="s">
        <v>20</v>
      </c>
      <c r="Y8" s="19" t="s">
        <v>20</v>
      </c>
      <c r="Z8" s="19" t="s">
        <v>20</v>
      </c>
      <c r="AA8" s="20" t="s">
        <v>20</v>
      </c>
      <c r="AB8" s="20" t="s">
        <v>21</v>
      </c>
      <c r="AC8" s="20" t="s">
        <v>20</v>
      </c>
      <c r="AD8" s="19" t="s">
        <v>21</v>
      </c>
      <c r="AE8" s="19" t="s">
        <v>21</v>
      </c>
      <c r="AG8">
        <f>+COUNTIF(F8:AE8,"AD")</f>
        <v>0</v>
      </c>
      <c r="AH8">
        <f>+COUNTIF(F8:AE8,"A")</f>
        <v>21</v>
      </c>
      <c r="AI8">
        <f>+COUNTIF(F8:AE8,"b")</f>
        <v>5</v>
      </c>
      <c r="AJ8">
        <f>+COUNTIF(F8:AE8,"c")</f>
        <v>0</v>
      </c>
      <c r="AL8">
        <f>+$AG$5*AG8</f>
        <v>0</v>
      </c>
      <c r="AM8">
        <f>+$AH$5*AH8</f>
        <v>63</v>
      </c>
      <c r="AN8">
        <f>+$AI$5*AI8</f>
        <v>10</v>
      </c>
      <c r="AO8">
        <f>+$AJ$5*AJ8</f>
        <v>0</v>
      </c>
      <c r="AP8" s="73">
        <f>+SUM(AL8:AO8)</f>
        <v>73</v>
      </c>
    </row>
    <row r="9" spans="1:42" ht="15.6" x14ac:dyDescent="0.3">
      <c r="A9" s="16"/>
      <c r="B9" s="55">
        <v>4</v>
      </c>
      <c r="C9" s="56" t="s">
        <v>37</v>
      </c>
      <c r="D9" s="55">
        <v>1</v>
      </c>
      <c r="E9" s="55" t="s">
        <v>20</v>
      </c>
      <c r="F9" s="18" t="s">
        <v>21</v>
      </c>
      <c r="G9" s="18" t="s">
        <v>21</v>
      </c>
      <c r="H9" s="18" t="s">
        <v>21</v>
      </c>
      <c r="I9" s="18" t="s">
        <v>21</v>
      </c>
      <c r="J9" s="18" t="s">
        <v>20</v>
      </c>
      <c r="K9" s="18" t="s">
        <v>20</v>
      </c>
      <c r="L9" s="18" t="s">
        <v>20</v>
      </c>
      <c r="M9" s="19" t="s">
        <v>20</v>
      </c>
      <c r="N9" s="19" t="s">
        <v>20</v>
      </c>
      <c r="O9" s="19" t="s">
        <v>20</v>
      </c>
      <c r="P9" s="19" t="s">
        <v>20</v>
      </c>
      <c r="Q9" s="18" t="s">
        <v>20</v>
      </c>
      <c r="R9" s="18" t="s">
        <v>20</v>
      </c>
      <c r="S9" s="19" t="s">
        <v>20</v>
      </c>
      <c r="T9" s="18" t="s">
        <v>20</v>
      </c>
      <c r="U9" s="18" t="s">
        <v>20</v>
      </c>
      <c r="V9" s="18" t="s">
        <v>20</v>
      </c>
      <c r="W9" s="18" t="s">
        <v>20</v>
      </c>
      <c r="X9" s="18" t="s">
        <v>20</v>
      </c>
      <c r="Y9" s="19" t="s">
        <v>20</v>
      </c>
      <c r="Z9" s="19" t="s">
        <v>20</v>
      </c>
      <c r="AA9" s="20" t="s">
        <v>20</v>
      </c>
      <c r="AB9" s="20" t="s">
        <v>21</v>
      </c>
      <c r="AC9" s="20" t="s">
        <v>20</v>
      </c>
      <c r="AD9" s="19" t="s">
        <v>20</v>
      </c>
      <c r="AE9" s="19" t="s">
        <v>21</v>
      </c>
      <c r="AG9">
        <f>+COUNTIF(F9:AE9,"AD")</f>
        <v>0</v>
      </c>
      <c r="AH9">
        <f>+COUNTIF(F9:AE9,"A")</f>
        <v>20</v>
      </c>
      <c r="AI9">
        <f>+COUNTIF(F9:AE9,"b")</f>
        <v>6</v>
      </c>
      <c r="AJ9">
        <f>+COUNTIF(F9:AE9,"c")</f>
        <v>0</v>
      </c>
      <c r="AL9">
        <f>+$AG$5*AG9</f>
        <v>0</v>
      </c>
      <c r="AM9">
        <f>+$AH$5*AH9</f>
        <v>60</v>
      </c>
      <c r="AN9">
        <f>+$AI$5*AI9</f>
        <v>12</v>
      </c>
      <c r="AO9">
        <f>+$AJ$5*AJ9</f>
        <v>0</v>
      </c>
      <c r="AP9" s="73">
        <f>+SUM(AL9:AO9)</f>
        <v>72</v>
      </c>
    </row>
    <row r="10" spans="1:42" ht="15.6" x14ac:dyDescent="0.3">
      <c r="A10" s="16"/>
      <c r="B10" s="55">
        <v>5</v>
      </c>
      <c r="C10" s="56" t="s">
        <v>19</v>
      </c>
      <c r="D10" s="55">
        <v>1</v>
      </c>
      <c r="E10" s="55" t="s">
        <v>20</v>
      </c>
      <c r="F10" s="17" t="s">
        <v>20</v>
      </c>
      <c r="G10" s="18" t="s">
        <v>20</v>
      </c>
      <c r="H10" s="18" t="s">
        <v>21</v>
      </c>
      <c r="I10" s="18" t="s">
        <v>20</v>
      </c>
      <c r="J10" s="18" t="s">
        <v>20</v>
      </c>
      <c r="K10" s="18" t="s">
        <v>20</v>
      </c>
      <c r="L10" s="18" t="s">
        <v>20</v>
      </c>
      <c r="M10" s="19" t="s">
        <v>20</v>
      </c>
      <c r="N10" s="19" t="s">
        <v>20</v>
      </c>
      <c r="O10" s="19" t="s">
        <v>20</v>
      </c>
      <c r="P10" s="19" t="s">
        <v>20</v>
      </c>
      <c r="Q10" s="18" t="s">
        <v>21</v>
      </c>
      <c r="R10" s="18" t="s">
        <v>21</v>
      </c>
      <c r="S10" s="19" t="s">
        <v>20</v>
      </c>
      <c r="T10" s="18" t="s">
        <v>20</v>
      </c>
      <c r="U10" s="18" t="s">
        <v>20</v>
      </c>
      <c r="V10" s="18" t="s">
        <v>20</v>
      </c>
      <c r="W10" s="18" t="s">
        <v>20</v>
      </c>
      <c r="X10" s="18" t="s">
        <v>20</v>
      </c>
      <c r="Y10" s="19" t="s">
        <v>21</v>
      </c>
      <c r="Z10" s="19" t="s">
        <v>20</v>
      </c>
      <c r="AA10" s="20" t="s">
        <v>21</v>
      </c>
      <c r="AB10" s="20" t="s">
        <v>21</v>
      </c>
      <c r="AC10" s="20" t="s">
        <v>20</v>
      </c>
      <c r="AD10" s="19" t="s">
        <v>20</v>
      </c>
      <c r="AE10" s="19" t="s">
        <v>21</v>
      </c>
      <c r="AG10">
        <f>+COUNTIF(F10:AE10,"AD")</f>
        <v>0</v>
      </c>
      <c r="AH10">
        <f>+COUNTIF(F10:AE10,"A")</f>
        <v>19</v>
      </c>
      <c r="AI10">
        <f>+COUNTIF(F10:AE10,"b")</f>
        <v>7</v>
      </c>
      <c r="AJ10">
        <f>+COUNTIF(F10:AE10,"c")</f>
        <v>0</v>
      </c>
      <c r="AL10">
        <f>+$AG$5*AG10</f>
        <v>0</v>
      </c>
      <c r="AM10">
        <f>+$AH$5*AH10</f>
        <v>57</v>
      </c>
      <c r="AN10">
        <f>+$AI$5*AI10</f>
        <v>14</v>
      </c>
      <c r="AO10">
        <f>+$AJ$5*AJ10</f>
        <v>0</v>
      </c>
      <c r="AP10" s="73">
        <f>+SUM(AL10:AO10)</f>
        <v>71</v>
      </c>
    </row>
    <row r="11" spans="1:42" ht="15.6" x14ac:dyDescent="0.3">
      <c r="A11" s="16"/>
      <c r="B11" s="55">
        <v>6</v>
      </c>
      <c r="C11" s="56" t="s">
        <v>27</v>
      </c>
      <c r="D11" s="55">
        <v>1</v>
      </c>
      <c r="E11" s="55" t="s">
        <v>20</v>
      </c>
      <c r="F11" s="18" t="s">
        <v>20</v>
      </c>
      <c r="G11" s="18" t="s">
        <v>20</v>
      </c>
      <c r="H11" s="18" t="s">
        <v>20</v>
      </c>
      <c r="I11" s="18" t="s">
        <v>20</v>
      </c>
      <c r="J11" s="18" t="s">
        <v>20</v>
      </c>
      <c r="K11" s="18" t="s">
        <v>20</v>
      </c>
      <c r="L11" s="18" t="s">
        <v>20</v>
      </c>
      <c r="M11" s="19" t="s">
        <v>20</v>
      </c>
      <c r="N11" s="19" t="s">
        <v>20</v>
      </c>
      <c r="O11" s="19" t="s">
        <v>20</v>
      </c>
      <c r="P11" s="19" t="s">
        <v>20</v>
      </c>
      <c r="Q11" s="18" t="s">
        <v>21</v>
      </c>
      <c r="R11" s="18" t="s">
        <v>21</v>
      </c>
      <c r="S11" s="19" t="s">
        <v>20</v>
      </c>
      <c r="T11" s="18" t="s">
        <v>21</v>
      </c>
      <c r="U11" s="18" t="s">
        <v>21</v>
      </c>
      <c r="V11" s="18" t="s">
        <v>21</v>
      </c>
      <c r="W11" s="18" t="s">
        <v>20</v>
      </c>
      <c r="X11" s="18" t="s">
        <v>20</v>
      </c>
      <c r="Y11" s="19" t="s">
        <v>20</v>
      </c>
      <c r="Z11" s="19" t="s">
        <v>21</v>
      </c>
      <c r="AA11" s="20" t="s">
        <v>21</v>
      </c>
      <c r="AB11" s="20" t="s">
        <v>21</v>
      </c>
      <c r="AC11" s="20" t="s">
        <v>21</v>
      </c>
      <c r="AD11" s="19" t="s">
        <v>21</v>
      </c>
      <c r="AE11" s="19" t="s">
        <v>21</v>
      </c>
      <c r="AG11">
        <f>+COUNTIF(F11:AE11,"AD")</f>
        <v>0</v>
      </c>
      <c r="AH11">
        <f>+COUNTIF(F11:AE11,"A")</f>
        <v>15</v>
      </c>
      <c r="AI11">
        <f>+COUNTIF(F11:AE11,"b")</f>
        <v>11</v>
      </c>
      <c r="AJ11">
        <f>+COUNTIF(F11:AE11,"c")</f>
        <v>0</v>
      </c>
      <c r="AL11">
        <f>+$AG$5*AG11</f>
        <v>0</v>
      </c>
      <c r="AM11">
        <f>+$AH$5*AH11</f>
        <v>45</v>
      </c>
      <c r="AN11">
        <f>+$AI$5*AI11</f>
        <v>22</v>
      </c>
      <c r="AO11">
        <f>+$AJ$5*AJ11</f>
        <v>0</v>
      </c>
      <c r="AP11" s="73">
        <f>+SUM(AL11:AO11)</f>
        <v>67</v>
      </c>
    </row>
    <row r="12" spans="1:42" ht="15.6" x14ac:dyDescent="0.3">
      <c r="A12" s="16"/>
      <c r="B12" s="55">
        <v>7</v>
      </c>
      <c r="C12" s="56" t="s">
        <v>25</v>
      </c>
      <c r="D12" s="55">
        <v>1</v>
      </c>
      <c r="E12" s="55" t="s">
        <v>20</v>
      </c>
      <c r="F12" s="18" t="s">
        <v>20</v>
      </c>
      <c r="G12" s="18" t="s">
        <v>21</v>
      </c>
      <c r="H12" s="18" t="s">
        <v>21</v>
      </c>
      <c r="I12" s="18" t="s">
        <v>21</v>
      </c>
      <c r="J12" s="18" t="s">
        <v>20</v>
      </c>
      <c r="K12" s="18" t="s">
        <v>20</v>
      </c>
      <c r="L12" s="18" t="s">
        <v>20</v>
      </c>
      <c r="M12" s="19" t="s">
        <v>21</v>
      </c>
      <c r="N12" s="19" t="s">
        <v>21</v>
      </c>
      <c r="O12" s="19" t="s">
        <v>20</v>
      </c>
      <c r="P12" s="19" t="s">
        <v>20</v>
      </c>
      <c r="Q12" s="18" t="s">
        <v>20</v>
      </c>
      <c r="R12" s="18" t="s">
        <v>21</v>
      </c>
      <c r="S12" s="19" t="s">
        <v>20</v>
      </c>
      <c r="T12" s="18" t="s">
        <v>21</v>
      </c>
      <c r="U12" s="18" t="s">
        <v>20</v>
      </c>
      <c r="V12" s="18" t="s">
        <v>21</v>
      </c>
      <c r="W12" s="18" t="s">
        <v>20</v>
      </c>
      <c r="X12" s="18" t="s">
        <v>20</v>
      </c>
      <c r="Y12" s="19" t="s">
        <v>21</v>
      </c>
      <c r="Z12" s="19" t="s">
        <v>20</v>
      </c>
      <c r="AA12" s="20" t="s">
        <v>21</v>
      </c>
      <c r="AB12" s="20" t="s">
        <v>21</v>
      </c>
      <c r="AC12" s="20" t="s">
        <v>21</v>
      </c>
      <c r="AD12" s="19" t="s">
        <v>20</v>
      </c>
      <c r="AE12" s="19" t="s">
        <v>21</v>
      </c>
      <c r="AG12">
        <f>+COUNTIF(F12:AE12,"AD")</f>
        <v>0</v>
      </c>
      <c r="AH12">
        <f>+COUNTIF(F12:AE12,"A")</f>
        <v>13</v>
      </c>
      <c r="AI12">
        <f>+COUNTIF(F12:AE12,"b")</f>
        <v>13</v>
      </c>
      <c r="AJ12">
        <f>+COUNTIF(F12:AE12,"c")</f>
        <v>0</v>
      </c>
      <c r="AL12">
        <f>+$AG$5*AG12</f>
        <v>0</v>
      </c>
      <c r="AM12">
        <f>+$AH$5*AH12</f>
        <v>39</v>
      </c>
      <c r="AN12">
        <f>+$AI$5*AI12</f>
        <v>26</v>
      </c>
      <c r="AO12">
        <f>+$AJ$5*AJ12</f>
        <v>0</v>
      </c>
      <c r="AP12" s="73">
        <f>+SUM(AL12:AO12)</f>
        <v>65</v>
      </c>
    </row>
    <row r="13" spans="1:42" ht="15.6" x14ac:dyDescent="0.3">
      <c r="A13" s="16"/>
      <c r="B13" s="55">
        <v>8</v>
      </c>
      <c r="C13" s="56" t="s">
        <v>26</v>
      </c>
      <c r="D13" s="55">
        <v>1</v>
      </c>
      <c r="E13" s="55" t="s">
        <v>20</v>
      </c>
      <c r="F13" s="18" t="s">
        <v>21</v>
      </c>
      <c r="G13" s="18" t="s">
        <v>21</v>
      </c>
      <c r="H13" s="18" t="s">
        <v>21</v>
      </c>
      <c r="I13" s="18" t="s">
        <v>21</v>
      </c>
      <c r="J13" s="18" t="s">
        <v>20</v>
      </c>
      <c r="K13" s="18" t="s">
        <v>20</v>
      </c>
      <c r="L13" s="18" t="s">
        <v>20</v>
      </c>
      <c r="M13" s="19" t="s">
        <v>20</v>
      </c>
      <c r="N13" s="19" t="s">
        <v>21</v>
      </c>
      <c r="O13" s="19" t="s">
        <v>20</v>
      </c>
      <c r="P13" s="19" t="s">
        <v>21</v>
      </c>
      <c r="Q13" s="18" t="s">
        <v>21</v>
      </c>
      <c r="R13" s="18" t="s">
        <v>21</v>
      </c>
      <c r="S13" s="19" t="s">
        <v>20</v>
      </c>
      <c r="T13" s="18" t="s">
        <v>21</v>
      </c>
      <c r="U13" s="18" t="s">
        <v>21</v>
      </c>
      <c r="V13" s="18" t="s">
        <v>20</v>
      </c>
      <c r="W13" s="18" t="s">
        <v>21</v>
      </c>
      <c r="X13" s="18" t="s">
        <v>20</v>
      </c>
      <c r="Y13" s="19" t="s">
        <v>21</v>
      </c>
      <c r="Z13" s="19" t="s">
        <v>20</v>
      </c>
      <c r="AA13" s="20" t="s">
        <v>21</v>
      </c>
      <c r="AB13" s="20" t="s">
        <v>21</v>
      </c>
      <c r="AC13" s="20" t="s">
        <v>23</v>
      </c>
      <c r="AD13" s="19" t="s">
        <v>21</v>
      </c>
      <c r="AE13" s="19" t="s">
        <v>21</v>
      </c>
      <c r="AG13">
        <f>+COUNTIF(F13:AE13,"AD")</f>
        <v>0</v>
      </c>
      <c r="AH13">
        <f>+COUNTIF(F13:AE13,"A")</f>
        <v>9</v>
      </c>
      <c r="AI13">
        <f>+COUNTIF(F13:AE13,"b")</f>
        <v>16</v>
      </c>
      <c r="AJ13">
        <f>+COUNTIF(F13:AE13,"c")</f>
        <v>1</v>
      </c>
      <c r="AL13">
        <f>+$AG$5*AG13</f>
        <v>0</v>
      </c>
      <c r="AM13">
        <f>+$AH$5*AH13</f>
        <v>27</v>
      </c>
      <c r="AN13">
        <f>+$AI$5*AI13</f>
        <v>32</v>
      </c>
      <c r="AO13">
        <f>+$AJ$5*AJ13</f>
        <v>1</v>
      </c>
      <c r="AP13" s="73">
        <f>+SUM(AL13:AO13)</f>
        <v>60</v>
      </c>
    </row>
    <row r="14" spans="1:42" ht="15.6" x14ac:dyDescent="0.3">
      <c r="A14" s="16"/>
      <c r="B14" s="55">
        <v>9</v>
      </c>
      <c r="C14" s="56" t="s">
        <v>30</v>
      </c>
      <c r="D14" s="55">
        <v>1</v>
      </c>
      <c r="E14" s="55" t="s">
        <v>20</v>
      </c>
      <c r="F14" s="18" t="s">
        <v>21</v>
      </c>
      <c r="G14" s="18" t="s">
        <v>21</v>
      </c>
      <c r="H14" s="18" t="s">
        <v>23</v>
      </c>
      <c r="I14" s="18" t="s">
        <v>21</v>
      </c>
      <c r="J14" s="18" t="s">
        <v>20</v>
      </c>
      <c r="K14" s="18" t="s">
        <v>20</v>
      </c>
      <c r="L14" s="18" t="s">
        <v>20</v>
      </c>
      <c r="M14" s="19" t="s">
        <v>20</v>
      </c>
      <c r="N14" s="19" t="s">
        <v>21</v>
      </c>
      <c r="O14" s="19" t="s">
        <v>20</v>
      </c>
      <c r="P14" s="19" t="s">
        <v>21</v>
      </c>
      <c r="Q14" s="18" t="s">
        <v>21</v>
      </c>
      <c r="R14" s="18" t="s">
        <v>21</v>
      </c>
      <c r="S14" s="19" t="s">
        <v>21</v>
      </c>
      <c r="T14" s="18" t="s">
        <v>20</v>
      </c>
      <c r="U14" s="18" t="s">
        <v>21</v>
      </c>
      <c r="V14" s="18" t="s">
        <v>21</v>
      </c>
      <c r="W14" s="18" t="s">
        <v>20</v>
      </c>
      <c r="X14" s="18" t="s">
        <v>20</v>
      </c>
      <c r="Y14" s="19" t="s">
        <v>21</v>
      </c>
      <c r="Z14" s="19" t="s">
        <v>20</v>
      </c>
      <c r="AA14" s="20" t="s">
        <v>21</v>
      </c>
      <c r="AB14" s="20" t="s">
        <v>21</v>
      </c>
      <c r="AC14" s="20" t="s">
        <v>23</v>
      </c>
      <c r="AD14" s="19" t="s">
        <v>20</v>
      </c>
      <c r="AE14" s="19" t="s">
        <v>21</v>
      </c>
      <c r="AG14">
        <f>+COUNTIF(F14:AE14,"AD")</f>
        <v>0</v>
      </c>
      <c r="AH14">
        <f>+COUNTIF(F14:AE14,"A")</f>
        <v>10</v>
      </c>
      <c r="AI14">
        <f>+COUNTIF(F14:AE14,"b")</f>
        <v>14</v>
      </c>
      <c r="AJ14">
        <f>+COUNTIF(F14:AE14,"c")</f>
        <v>2</v>
      </c>
      <c r="AL14">
        <f>+$AG$5*AG14</f>
        <v>0</v>
      </c>
      <c r="AM14">
        <f>+$AH$5*AH14</f>
        <v>30</v>
      </c>
      <c r="AN14">
        <f>+$AI$5*AI14</f>
        <v>28</v>
      </c>
      <c r="AO14">
        <f>+$AJ$5*AJ14</f>
        <v>2</v>
      </c>
      <c r="AP14" s="73">
        <f>+SUM(AL14:AO14)</f>
        <v>60</v>
      </c>
    </row>
    <row r="15" spans="1:42" ht="15.6" x14ac:dyDescent="0.3">
      <c r="A15" s="16"/>
      <c r="B15" s="55">
        <v>10</v>
      </c>
      <c r="C15" s="56" t="s">
        <v>32</v>
      </c>
      <c r="D15" s="55">
        <v>1</v>
      </c>
      <c r="E15" s="55" t="s">
        <v>20</v>
      </c>
      <c r="F15" s="18" t="s">
        <v>21</v>
      </c>
      <c r="G15" s="18" t="s">
        <v>21</v>
      </c>
      <c r="H15" s="18" t="s">
        <v>21</v>
      </c>
      <c r="I15" s="18" t="s">
        <v>21</v>
      </c>
      <c r="J15" s="18" t="s">
        <v>20</v>
      </c>
      <c r="K15" s="18" t="s">
        <v>20</v>
      </c>
      <c r="L15" s="18" t="s">
        <v>20</v>
      </c>
      <c r="M15" s="19" t="s">
        <v>21</v>
      </c>
      <c r="N15" s="19" t="s">
        <v>21</v>
      </c>
      <c r="O15" s="19" t="s">
        <v>20</v>
      </c>
      <c r="P15" s="19" t="s">
        <v>21</v>
      </c>
      <c r="Q15" s="18" t="s">
        <v>21</v>
      </c>
      <c r="R15" s="18" t="s">
        <v>23</v>
      </c>
      <c r="S15" s="19" t="s">
        <v>21</v>
      </c>
      <c r="T15" s="18" t="s">
        <v>20</v>
      </c>
      <c r="U15" s="18" t="s">
        <v>21</v>
      </c>
      <c r="V15" s="18" t="s">
        <v>20</v>
      </c>
      <c r="W15" s="18" t="s">
        <v>21</v>
      </c>
      <c r="X15" s="18" t="s">
        <v>20</v>
      </c>
      <c r="Y15" s="19" t="s">
        <v>20</v>
      </c>
      <c r="Z15" s="19" t="s">
        <v>20</v>
      </c>
      <c r="AA15" s="20" t="s">
        <v>21</v>
      </c>
      <c r="AB15" s="20" t="s">
        <v>21</v>
      </c>
      <c r="AC15" s="20" t="s">
        <v>23</v>
      </c>
      <c r="AD15" s="19" t="s">
        <v>21</v>
      </c>
      <c r="AE15" s="19" t="s">
        <v>21</v>
      </c>
      <c r="AG15">
        <f>+COUNTIF(F15:AE15,"AD")</f>
        <v>0</v>
      </c>
      <c r="AH15">
        <f>+COUNTIF(F15:AE15,"A")</f>
        <v>9</v>
      </c>
      <c r="AI15">
        <f>+COUNTIF(F15:AE15,"b")</f>
        <v>15</v>
      </c>
      <c r="AJ15">
        <f>+COUNTIF(F15:AE15,"c")</f>
        <v>2</v>
      </c>
      <c r="AL15">
        <f>+$AG$5*AG15</f>
        <v>0</v>
      </c>
      <c r="AM15">
        <f>+$AH$5*AH15</f>
        <v>27</v>
      </c>
      <c r="AN15">
        <f>+$AI$5*AI15</f>
        <v>30</v>
      </c>
      <c r="AO15">
        <f>+$AJ$5*AJ15</f>
        <v>2</v>
      </c>
      <c r="AP15" s="73">
        <f>+SUM(AL15:AO15)</f>
        <v>59</v>
      </c>
    </row>
    <row r="16" spans="1:42" ht="15.6" x14ac:dyDescent="0.3">
      <c r="A16" s="16"/>
      <c r="B16" s="55">
        <v>11</v>
      </c>
      <c r="C16" s="56" t="s">
        <v>36</v>
      </c>
      <c r="D16" s="55">
        <v>1</v>
      </c>
      <c r="E16" s="55" t="s">
        <v>20</v>
      </c>
      <c r="F16" s="18" t="s">
        <v>21</v>
      </c>
      <c r="G16" s="18" t="s">
        <v>21</v>
      </c>
      <c r="H16" s="18" t="s">
        <v>21</v>
      </c>
      <c r="I16" s="18" t="s">
        <v>21</v>
      </c>
      <c r="J16" s="18" t="s">
        <v>21</v>
      </c>
      <c r="K16" s="18" t="s">
        <v>21</v>
      </c>
      <c r="L16" s="18" t="s">
        <v>21</v>
      </c>
      <c r="M16" s="19" t="s">
        <v>20</v>
      </c>
      <c r="N16" s="19" t="s">
        <v>21</v>
      </c>
      <c r="O16" s="19" t="s">
        <v>20</v>
      </c>
      <c r="P16" s="19" t="s">
        <v>21</v>
      </c>
      <c r="Q16" s="18" t="s">
        <v>21</v>
      </c>
      <c r="R16" s="18" t="s">
        <v>21</v>
      </c>
      <c r="S16" s="19" t="s">
        <v>20</v>
      </c>
      <c r="T16" s="18" t="s">
        <v>21</v>
      </c>
      <c r="U16" s="18" t="s">
        <v>21</v>
      </c>
      <c r="V16" s="18" t="s">
        <v>21</v>
      </c>
      <c r="W16" s="18" t="s">
        <v>20</v>
      </c>
      <c r="X16" s="18" t="s">
        <v>20</v>
      </c>
      <c r="Y16" s="19" t="s">
        <v>20</v>
      </c>
      <c r="Z16" s="19" t="s">
        <v>20</v>
      </c>
      <c r="AA16" s="20" t="s">
        <v>21</v>
      </c>
      <c r="AB16" s="20" t="s">
        <v>21</v>
      </c>
      <c r="AC16" s="20" t="s">
        <v>23</v>
      </c>
      <c r="AD16" s="19" t="s">
        <v>20</v>
      </c>
      <c r="AE16" s="19" t="s">
        <v>21</v>
      </c>
      <c r="AG16">
        <f>+COUNTIF(F16:AE16,"AD")</f>
        <v>0</v>
      </c>
      <c r="AH16">
        <f>+COUNTIF(F16:AE16,"A")</f>
        <v>8</v>
      </c>
      <c r="AI16">
        <f>+COUNTIF(F16:AE16,"b")</f>
        <v>17</v>
      </c>
      <c r="AJ16">
        <f>+COUNTIF(F16:AE16,"c")</f>
        <v>1</v>
      </c>
      <c r="AL16">
        <f>+$AG$5*AG16</f>
        <v>0</v>
      </c>
      <c r="AM16">
        <f>+$AH$5*AH16</f>
        <v>24</v>
      </c>
      <c r="AN16">
        <f>+$AI$5*AI16</f>
        <v>34</v>
      </c>
      <c r="AO16">
        <f>+$AJ$5*AJ16</f>
        <v>1</v>
      </c>
      <c r="AP16" s="73">
        <f>+SUM(AL16:AO16)</f>
        <v>59</v>
      </c>
    </row>
    <row r="17" spans="1:42" ht="15.6" x14ac:dyDescent="0.3">
      <c r="A17" s="16"/>
      <c r="B17" s="55">
        <v>12</v>
      </c>
      <c r="C17" s="56" t="s">
        <v>31</v>
      </c>
      <c r="D17" s="55">
        <v>1</v>
      </c>
      <c r="E17" s="55" t="s">
        <v>20</v>
      </c>
      <c r="F17" s="18" t="s">
        <v>21</v>
      </c>
      <c r="G17" s="18" t="s">
        <v>21</v>
      </c>
      <c r="H17" s="18" t="s">
        <v>21</v>
      </c>
      <c r="I17" s="18" t="s">
        <v>21</v>
      </c>
      <c r="J17" s="18" t="s">
        <v>21</v>
      </c>
      <c r="K17" s="18" t="s">
        <v>21</v>
      </c>
      <c r="L17" s="18" t="s">
        <v>21</v>
      </c>
      <c r="M17" s="19" t="s">
        <v>21</v>
      </c>
      <c r="N17" s="19" t="s">
        <v>21</v>
      </c>
      <c r="O17" s="19" t="s">
        <v>20</v>
      </c>
      <c r="P17" s="19" t="s">
        <v>21</v>
      </c>
      <c r="Q17" s="18" t="s">
        <v>21</v>
      </c>
      <c r="R17" s="18" t="s">
        <v>21</v>
      </c>
      <c r="S17" s="19" t="s">
        <v>20</v>
      </c>
      <c r="T17" s="18" t="s">
        <v>21</v>
      </c>
      <c r="U17" s="18" t="s">
        <v>21</v>
      </c>
      <c r="V17" s="18" t="s">
        <v>20</v>
      </c>
      <c r="W17" s="18" t="s">
        <v>20</v>
      </c>
      <c r="X17" s="18" t="s">
        <v>20</v>
      </c>
      <c r="Y17" s="19" t="s">
        <v>21</v>
      </c>
      <c r="Z17" s="19" t="s">
        <v>20</v>
      </c>
      <c r="AA17" s="20" t="s">
        <v>21</v>
      </c>
      <c r="AB17" s="20" t="s">
        <v>21</v>
      </c>
      <c r="AC17" s="20" t="s">
        <v>23</v>
      </c>
      <c r="AD17" s="19" t="s">
        <v>21</v>
      </c>
      <c r="AE17" s="19" t="s">
        <v>21</v>
      </c>
      <c r="AG17">
        <f>+COUNTIF(F17:AE17,"AD")</f>
        <v>0</v>
      </c>
      <c r="AH17">
        <f>+COUNTIF(F17:AE17,"A")</f>
        <v>6</v>
      </c>
      <c r="AI17">
        <f>+COUNTIF(F17:AE17,"b")</f>
        <v>19</v>
      </c>
      <c r="AJ17">
        <f>+COUNTIF(F17:AE17,"c")</f>
        <v>1</v>
      </c>
      <c r="AL17">
        <f>+$AG$5*AG17</f>
        <v>0</v>
      </c>
      <c r="AM17">
        <f>+$AH$5*AH17</f>
        <v>18</v>
      </c>
      <c r="AN17">
        <f>+$AI$5*AI17</f>
        <v>38</v>
      </c>
      <c r="AO17">
        <f>+$AJ$5*AJ17</f>
        <v>1</v>
      </c>
      <c r="AP17" s="73">
        <f>+SUM(AL17:AO17)</f>
        <v>57</v>
      </c>
    </row>
    <row r="18" spans="1:42" ht="15.6" x14ac:dyDescent="0.3">
      <c r="A18" s="16"/>
      <c r="B18" s="55">
        <v>13</v>
      </c>
      <c r="C18" s="56" t="s">
        <v>40</v>
      </c>
      <c r="D18" s="55">
        <v>1</v>
      </c>
      <c r="E18" s="55" t="s">
        <v>20</v>
      </c>
      <c r="F18" s="18" t="s">
        <v>21</v>
      </c>
      <c r="G18" s="18" t="s">
        <v>21</v>
      </c>
      <c r="H18" s="18" t="s">
        <v>21</v>
      </c>
      <c r="I18" s="18" t="s">
        <v>21</v>
      </c>
      <c r="J18" s="18" t="s">
        <v>21</v>
      </c>
      <c r="K18" s="18" t="s">
        <v>21</v>
      </c>
      <c r="L18" s="18" t="s">
        <v>21</v>
      </c>
      <c r="M18" s="19" t="s">
        <v>21</v>
      </c>
      <c r="N18" s="19" t="s">
        <v>21</v>
      </c>
      <c r="O18" s="19" t="s">
        <v>20</v>
      </c>
      <c r="P18" s="19" t="s">
        <v>21</v>
      </c>
      <c r="Q18" s="18" t="s">
        <v>21</v>
      </c>
      <c r="R18" s="18" t="s">
        <v>21</v>
      </c>
      <c r="S18" s="19" t="s">
        <v>23</v>
      </c>
      <c r="T18" s="18" t="s">
        <v>23</v>
      </c>
      <c r="U18" s="18" t="s">
        <v>20</v>
      </c>
      <c r="V18" s="18" t="s">
        <v>21</v>
      </c>
      <c r="W18" s="18" t="s">
        <v>20</v>
      </c>
      <c r="X18" s="18" t="s">
        <v>20</v>
      </c>
      <c r="Y18" s="19" t="s">
        <v>20</v>
      </c>
      <c r="Z18" s="19" t="s">
        <v>20</v>
      </c>
      <c r="AA18" s="20" t="s">
        <v>21</v>
      </c>
      <c r="AB18" s="20" t="s">
        <v>21</v>
      </c>
      <c r="AC18" s="20" t="s">
        <v>23</v>
      </c>
      <c r="AD18" s="19" t="s">
        <v>21</v>
      </c>
      <c r="AE18" s="19" t="s">
        <v>21</v>
      </c>
      <c r="AG18">
        <f>+COUNTIF(F18:AE18,"AD")</f>
        <v>0</v>
      </c>
      <c r="AH18">
        <f>+COUNTIF(F18:AE18,"A")</f>
        <v>6</v>
      </c>
      <c r="AI18">
        <f>+COUNTIF(F18:AE18,"b")</f>
        <v>17</v>
      </c>
      <c r="AJ18">
        <f>+COUNTIF(F18:AE18,"c")</f>
        <v>3</v>
      </c>
      <c r="AL18">
        <f>+$AG$5*AG18</f>
        <v>0</v>
      </c>
      <c r="AM18">
        <f>+$AH$5*AH18</f>
        <v>18</v>
      </c>
      <c r="AN18">
        <f>+$AI$5*AI18</f>
        <v>34</v>
      </c>
      <c r="AO18">
        <f>+$AJ$5*AJ18</f>
        <v>3</v>
      </c>
      <c r="AP18" s="73">
        <f>+SUM(AL18:AO18)</f>
        <v>55</v>
      </c>
    </row>
    <row r="19" spans="1:42" ht="15.6" x14ac:dyDescent="0.3">
      <c r="A19" s="16"/>
      <c r="B19" s="55">
        <v>14</v>
      </c>
      <c r="C19" s="56" t="s">
        <v>34</v>
      </c>
      <c r="D19" s="55">
        <v>1</v>
      </c>
      <c r="E19" s="55" t="s">
        <v>20</v>
      </c>
      <c r="F19" s="18" t="s">
        <v>21</v>
      </c>
      <c r="G19" s="18" t="s">
        <v>21</v>
      </c>
      <c r="H19" s="18" t="s">
        <v>23</v>
      </c>
      <c r="I19" s="18" t="s">
        <v>21</v>
      </c>
      <c r="J19" s="18" t="s">
        <v>21</v>
      </c>
      <c r="K19" s="18" t="s">
        <v>21</v>
      </c>
      <c r="L19" s="18" t="s">
        <v>21</v>
      </c>
      <c r="M19" s="19" t="s">
        <v>21</v>
      </c>
      <c r="N19" s="19" t="s">
        <v>21</v>
      </c>
      <c r="O19" s="19" t="s">
        <v>21</v>
      </c>
      <c r="P19" s="19" t="s">
        <v>21</v>
      </c>
      <c r="Q19" s="18" t="s">
        <v>21</v>
      </c>
      <c r="R19" s="18" t="s">
        <v>21</v>
      </c>
      <c r="S19" s="19" t="s">
        <v>23</v>
      </c>
      <c r="T19" s="18" t="s">
        <v>23</v>
      </c>
      <c r="U19" s="18" t="s">
        <v>21</v>
      </c>
      <c r="V19" s="18" t="s">
        <v>21</v>
      </c>
      <c r="W19" s="18" t="s">
        <v>21</v>
      </c>
      <c r="X19" s="18" t="s">
        <v>20</v>
      </c>
      <c r="Y19" s="19" t="s">
        <v>20</v>
      </c>
      <c r="Z19" s="19" t="s">
        <v>20</v>
      </c>
      <c r="AA19" s="20" t="s">
        <v>21</v>
      </c>
      <c r="AB19" s="20" t="s">
        <v>21</v>
      </c>
      <c r="AC19" s="20" t="s">
        <v>23</v>
      </c>
      <c r="AD19" s="19" t="s">
        <v>21</v>
      </c>
      <c r="AE19" s="19" t="s">
        <v>21</v>
      </c>
      <c r="AG19">
        <f>+COUNTIF(F19:AE19,"AD")</f>
        <v>0</v>
      </c>
      <c r="AH19">
        <f>+COUNTIF(F19:AE19,"A")</f>
        <v>3</v>
      </c>
      <c r="AI19">
        <f>+COUNTIF(F19:AE19,"b")</f>
        <v>19</v>
      </c>
      <c r="AJ19">
        <f>+COUNTIF(F19:AE19,"c")</f>
        <v>4</v>
      </c>
      <c r="AL19">
        <f>+$AG$5*AG19</f>
        <v>0</v>
      </c>
      <c r="AM19">
        <f>+$AH$5*AH19</f>
        <v>9</v>
      </c>
      <c r="AN19">
        <f>+$AI$5*AI19</f>
        <v>38</v>
      </c>
      <c r="AO19">
        <f>+$AJ$5*AJ19</f>
        <v>4</v>
      </c>
      <c r="AP19" s="73">
        <f>+SUM(AL19:AO19)</f>
        <v>51</v>
      </c>
    </row>
    <row r="20" spans="1:42" ht="15.6" x14ac:dyDescent="0.3">
      <c r="A20" s="16"/>
      <c r="B20" s="55">
        <v>15</v>
      </c>
      <c r="C20" s="56" t="s">
        <v>35</v>
      </c>
      <c r="D20" s="55">
        <v>1</v>
      </c>
      <c r="E20" s="55" t="s">
        <v>20</v>
      </c>
      <c r="F20" s="18" t="s">
        <v>21</v>
      </c>
      <c r="G20" s="18" t="s">
        <v>23</v>
      </c>
      <c r="H20" s="18" t="s">
        <v>21</v>
      </c>
      <c r="I20" s="18" t="s">
        <v>21</v>
      </c>
      <c r="J20" s="18" t="s">
        <v>21</v>
      </c>
      <c r="K20" s="18" t="s">
        <v>21</v>
      </c>
      <c r="L20" s="18" t="s">
        <v>21</v>
      </c>
      <c r="M20" s="19" t="s">
        <v>21</v>
      </c>
      <c r="N20" s="19" t="s">
        <v>21</v>
      </c>
      <c r="O20" s="19" t="s">
        <v>21</v>
      </c>
      <c r="P20" s="19" t="s">
        <v>21</v>
      </c>
      <c r="Q20" s="18" t="s">
        <v>21</v>
      </c>
      <c r="R20" s="18" t="s">
        <v>21</v>
      </c>
      <c r="S20" s="19" t="s">
        <v>23</v>
      </c>
      <c r="T20" s="18" t="s">
        <v>23</v>
      </c>
      <c r="U20" s="18" t="s">
        <v>21</v>
      </c>
      <c r="V20" s="18" t="s">
        <v>20</v>
      </c>
      <c r="W20" s="18" t="s">
        <v>21</v>
      </c>
      <c r="X20" s="18" t="s">
        <v>20</v>
      </c>
      <c r="Y20" s="19" t="s">
        <v>21</v>
      </c>
      <c r="Z20" s="19" t="s">
        <v>20</v>
      </c>
      <c r="AA20" s="20" t="s">
        <v>21</v>
      </c>
      <c r="AB20" s="20" t="s">
        <v>23</v>
      </c>
      <c r="AC20" s="20" t="s">
        <v>23</v>
      </c>
      <c r="AD20" s="19" t="s">
        <v>21</v>
      </c>
      <c r="AE20" s="19" t="s">
        <v>21</v>
      </c>
      <c r="AG20">
        <f>+COUNTIF(F20:AE20,"AD")</f>
        <v>0</v>
      </c>
      <c r="AH20">
        <f>+COUNTIF(F20:AE20,"A")</f>
        <v>3</v>
      </c>
      <c r="AI20">
        <f>+COUNTIF(F20:AE20,"b")</f>
        <v>18</v>
      </c>
      <c r="AJ20">
        <f>+COUNTIF(F20:AE20,"c")</f>
        <v>5</v>
      </c>
      <c r="AL20">
        <f>+$AG$5*AG20</f>
        <v>0</v>
      </c>
      <c r="AM20">
        <f>+$AH$5*AH20</f>
        <v>9</v>
      </c>
      <c r="AN20">
        <f>+$AI$5*AI20</f>
        <v>36</v>
      </c>
      <c r="AO20">
        <f>+$AJ$5*AJ20</f>
        <v>5</v>
      </c>
      <c r="AP20" s="73">
        <f>+SUM(AL20:AO20)</f>
        <v>50</v>
      </c>
    </row>
    <row r="21" spans="1:42" ht="15.6" x14ac:dyDescent="0.3">
      <c r="A21" s="16"/>
      <c r="B21" s="55">
        <v>16</v>
      </c>
      <c r="C21" s="56" t="s">
        <v>29</v>
      </c>
      <c r="D21" s="55">
        <v>1</v>
      </c>
      <c r="E21" s="55" t="s">
        <v>20</v>
      </c>
      <c r="F21" s="18" t="s">
        <v>21</v>
      </c>
      <c r="G21" s="18" t="s">
        <v>23</v>
      </c>
      <c r="H21" s="18" t="s">
        <v>21</v>
      </c>
      <c r="I21" s="18" t="s">
        <v>21</v>
      </c>
      <c r="J21" s="18" t="s">
        <v>21</v>
      </c>
      <c r="K21" s="18" t="s">
        <v>21</v>
      </c>
      <c r="L21" s="18" t="s">
        <v>21</v>
      </c>
      <c r="M21" s="19" t="s">
        <v>21</v>
      </c>
      <c r="N21" s="19" t="s">
        <v>21</v>
      </c>
      <c r="O21" s="19" t="s">
        <v>21</v>
      </c>
      <c r="P21" s="19" t="s">
        <v>21</v>
      </c>
      <c r="Q21" s="18" t="s">
        <v>21</v>
      </c>
      <c r="R21" s="18" t="s">
        <v>21</v>
      </c>
      <c r="S21" s="19" t="s">
        <v>23</v>
      </c>
      <c r="T21" s="18" t="s">
        <v>21</v>
      </c>
      <c r="U21" s="18" t="s">
        <v>21</v>
      </c>
      <c r="V21" s="18" t="s">
        <v>20</v>
      </c>
      <c r="W21" s="18" t="s">
        <v>21</v>
      </c>
      <c r="X21" s="18" t="s">
        <v>20</v>
      </c>
      <c r="Y21" s="19" t="s">
        <v>21</v>
      </c>
      <c r="Z21" s="19" t="s">
        <v>21</v>
      </c>
      <c r="AA21" s="20" t="s">
        <v>21</v>
      </c>
      <c r="AB21" s="20" t="s">
        <v>23</v>
      </c>
      <c r="AC21" s="20" t="s">
        <v>23</v>
      </c>
      <c r="AD21" s="19" t="s">
        <v>23</v>
      </c>
      <c r="AE21" s="19" t="s">
        <v>21</v>
      </c>
      <c r="AG21">
        <f>+COUNTIF(F21:AE21,"AD")</f>
        <v>0</v>
      </c>
      <c r="AH21">
        <f>+COUNTIF(F21:AE21,"A")</f>
        <v>2</v>
      </c>
      <c r="AI21">
        <f>+COUNTIF(F21:AE21,"b")</f>
        <v>19</v>
      </c>
      <c r="AJ21">
        <f>+COUNTIF(F21:AE21,"c")</f>
        <v>5</v>
      </c>
      <c r="AL21">
        <f>+$AG$5*AG21</f>
        <v>0</v>
      </c>
      <c r="AM21">
        <f>+$AH$5*AH21</f>
        <v>6</v>
      </c>
      <c r="AN21">
        <f>+$AI$5*AI21</f>
        <v>38</v>
      </c>
      <c r="AO21">
        <f>+$AJ$5*AJ21</f>
        <v>5</v>
      </c>
      <c r="AP21" s="73">
        <f>+SUM(AL21:AO21)</f>
        <v>49</v>
      </c>
    </row>
    <row r="22" spans="1:42" ht="15.75" customHeight="1" x14ac:dyDescent="0.3">
      <c r="A22" s="16"/>
      <c r="B22" s="55">
        <v>17</v>
      </c>
      <c r="C22" s="56" t="s">
        <v>33</v>
      </c>
      <c r="D22" s="55">
        <v>1</v>
      </c>
      <c r="E22" s="55" t="s">
        <v>20</v>
      </c>
      <c r="F22" s="18" t="s">
        <v>21</v>
      </c>
      <c r="G22" s="18" t="s">
        <v>21</v>
      </c>
      <c r="H22" s="18" t="s">
        <v>21</v>
      </c>
      <c r="I22" s="18" t="s">
        <v>23</v>
      </c>
      <c r="J22" s="18" t="s">
        <v>21</v>
      </c>
      <c r="K22" s="18" t="s">
        <v>21</v>
      </c>
      <c r="L22" s="18" t="s">
        <v>21</v>
      </c>
      <c r="M22" s="19" t="s">
        <v>21</v>
      </c>
      <c r="N22" s="19" t="s">
        <v>21</v>
      </c>
      <c r="O22" s="19" t="s">
        <v>21</v>
      </c>
      <c r="P22" s="19" t="s">
        <v>21</v>
      </c>
      <c r="Q22" s="18" t="s">
        <v>21</v>
      </c>
      <c r="R22" s="18" t="s">
        <v>21</v>
      </c>
      <c r="S22" s="19" t="s">
        <v>23</v>
      </c>
      <c r="T22" s="18" t="s">
        <v>23</v>
      </c>
      <c r="U22" s="18" t="s">
        <v>21</v>
      </c>
      <c r="V22" s="18" t="s">
        <v>21</v>
      </c>
      <c r="W22" s="18" t="s">
        <v>21</v>
      </c>
      <c r="X22" s="18" t="s">
        <v>20</v>
      </c>
      <c r="Y22" s="19" t="s">
        <v>20</v>
      </c>
      <c r="Z22" s="19" t="s">
        <v>20</v>
      </c>
      <c r="AA22" s="20" t="s">
        <v>23</v>
      </c>
      <c r="AB22" s="20" t="s">
        <v>23</v>
      </c>
      <c r="AC22" s="20" t="s">
        <v>23</v>
      </c>
      <c r="AD22" s="19" t="s">
        <v>23</v>
      </c>
      <c r="AE22" s="19" t="s">
        <v>21</v>
      </c>
      <c r="AG22">
        <f>+COUNTIF(F22:AE22,"AD")</f>
        <v>0</v>
      </c>
      <c r="AH22">
        <f>+COUNTIF(F22:AE22,"A")</f>
        <v>3</v>
      </c>
      <c r="AI22">
        <f>+COUNTIF(F22:AE22,"b")</f>
        <v>16</v>
      </c>
      <c r="AJ22">
        <f>+COUNTIF(F22:AE22,"c")</f>
        <v>7</v>
      </c>
      <c r="AL22">
        <f>+$AG$5*AG22</f>
        <v>0</v>
      </c>
      <c r="AM22">
        <f>+$AH$5*AH22</f>
        <v>9</v>
      </c>
      <c r="AN22">
        <f>+$AI$5*AI22</f>
        <v>32</v>
      </c>
      <c r="AO22">
        <f>+$AJ$5*AJ22</f>
        <v>7</v>
      </c>
      <c r="AP22" s="73">
        <f>+SUM(AL22:AO22)</f>
        <v>48</v>
      </c>
    </row>
    <row r="23" spans="1:42" ht="15.75" customHeight="1" thickBot="1" x14ac:dyDescent="0.35">
      <c r="A23" s="16"/>
      <c r="B23" s="55">
        <v>18</v>
      </c>
      <c r="C23" s="58" t="s">
        <v>22</v>
      </c>
      <c r="D23" s="57">
        <v>1</v>
      </c>
      <c r="E23" s="57" t="s">
        <v>20</v>
      </c>
      <c r="F23" s="21" t="s">
        <v>21</v>
      </c>
      <c r="G23" s="21" t="s">
        <v>23</v>
      </c>
      <c r="H23" s="21" t="s">
        <v>21</v>
      </c>
      <c r="I23" s="21" t="s">
        <v>21</v>
      </c>
      <c r="J23" s="21" t="s">
        <v>21</v>
      </c>
      <c r="K23" s="21" t="s">
        <v>21</v>
      </c>
      <c r="L23" s="21" t="s">
        <v>21</v>
      </c>
      <c r="M23" s="22" t="s">
        <v>21</v>
      </c>
      <c r="N23" s="22" t="s">
        <v>21</v>
      </c>
      <c r="O23" s="22" t="s">
        <v>23</v>
      </c>
      <c r="P23" s="22" t="s">
        <v>21</v>
      </c>
      <c r="Q23" s="21" t="s">
        <v>21</v>
      </c>
      <c r="R23" s="21" t="s">
        <v>21</v>
      </c>
      <c r="S23" s="22" t="s">
        <v>23</v>
      </c>
      <c r="T23" s="21" t="s">
        <v>23</v>
      </c>
      <c r="U23" s="21" t="s">
        <v>21</v>
      </c>
      <c r="V23" s="21" t="s">
        <v>21</v>
      </c>
      <c r="W23" s="21" t="s">
        <v>21</v>
      </c>
      <c r="X23" s="21" t="s">
        <v>20</v>
      </c>
      <c r="Y23" s="22" t="s">
        <v>21</v>
      </c>
      <c r="Z23" s="22" t="s">
        <v>20</v>
      </c>
      <c r="AA23" s="23" t="s">
        <v>23</v>
      </c>
      <c r="AB23" s="23" t="s">
        <v>23</v>
      </c>
      <c r="AC23" s="23" t="s">
        <v>23</v>
      </c>
      <c r="AD23" s="22" t="s">
        <v>23</v>
      </c>
      <c r="AE23" s="22" t="s">
        <v>21</v>
      </c>
      <c r="AG23">
        <f>+COUNTIF(F23:AE23,"AD")</f>
        <v>0</v>
      </c>
      <c r="AH23">
        <f>+COUNTIF(F23:AE23,"A")</f>
        <v>2</v>
      </c>
      <c r="AI23">
        <f>+COUNTIF(F23:AE23,"b")</f>
        <v>16</v>
      </c>
      <c r="AJ23">
        <f>+COUNTIF(F23:AE23,"c")</f>
        <v>8</v>
      </c>
      <c r="AL23">
        <f>+$AG$5*AG23</f>
        <v>0</v>
      </c>
      <c r="AM23">
        <f>+$AH$5*AH23</f>
        <v>6</v>
      </c>
      <c r="AN23">
        <f>+$AI$5*AI23</f>
        <v>32</v>
      </c>
      <c r="AO23">
        <f>+$AJ$5*AJ23</f>
        <v>8</v>
      </c>
      <c r="AP23" s="73">
        <f>+SUM(AL23:AO23)</f>
        <v>46</v>
      </c>
    </row>
    <row r="24" spans="1:42" ht="15.75" hidden="1" customHeight="1" x14ac:dyDescent="0.3">
      <c r="A24" s="16"/>
      <c r="B24" s="59">
        <v>1</v>
      </c>
      <c r="C24" s="60" t="s">
        <v>41</v>
      </c>
      <c r="D24" s="59">
        <v>1</v>
      </c>
      <c r="E24" s="59" t="s">
        <v>21</v>
      </c>
      <c r="F24" s="24" t="s">
        <v>39</v>
      </c>
      <c r="G24" s="24" t="s">
        <v>20</v>
      </c>
      <c r="H24" s="24" t="s">
        <v>20</v>
      </c>
      <c r="I24" s="24" t="s">
        <v>20</v>
      </c>
      <c r="J24" s="24" t="s">
        <v>20</v>
      </c>
      <c r="K24" s="24" t="s">
        <v>20</v>
      </c>
      <c r="L24" s="24" t="s">
        <v>20</v>
      </c>
      <c r="M24" s="25" t="s">
        <v>20</v>
      </c>
      <c r="N24" s="25" t="s">
        <v>20</v>
      </c>
      <c r="O24" s="25" t="s">
        <v>20</v>
      </c>
      <c r="P24" s="25" t="s">
        <v>20</v>
      </c>
      <c r="Q24" s="24" t="s">
        <v>20</v>
      </c>
      <c r="R24" s="24" t="s">
        <v>20</v>
      </c>
      <c r="S24" s="25" t="s">
        <v>20</v>
      </c>
      <c r="T24" s="24" t="s">
        <v>20</v>
      </c>
      <c r="U24" s="24" t="s">
        <v>20</v>
      </c>
      <c r="V24" s="24" t="s">
        <v>20</v>
      </c>
      <c r="W24" s="24" t="s">
        <v>20</v>
      </c>
      <c r="X24" s="24" t="s">
        <v>20</v>
      </c>
      <c r="Y24" s="25" t="s">
        <v>20</v>
      </c>
      <c r="Z24" s="25" t="s">
        <v>20</v>
      </c>
      <c r="AA24" s="26" t="s">
        <v>20</v>
      </c>
      <c r="AB24" s="26" t="s">
        <v>20</v>
      </c>
      <c r="AC24" s="27" t="s">
        <v>20</v>
      </c>
      <c r="AD24" s="25" t="s">
        <v>20</v>
      </c>
      <c r="AE24" s="25" t="s">
        <v>21</v>
      </c>
      <c r="AG24">
        <f t="shared" ref="AG7:AG70" si="0">+COUNTIF(F24:AE24,"AD")</f>
        <v>1</v>
      </c>
      <c r="AH24">
        <f t="shared" ref="AH7:AH70" si="1">+COUNTIF(F24:AE24,"A")</f>
        <v>24</v>
      </c>
      <c r="AI24">
        <f t="shared" ref="AI7:AI70" si="2">+COUNTIF(F24:AE24,"b")</f>
        <v>1</v>
      </c>
      <c r="AJ24">
        <f t="shared" ref="AJ7:AJ70" si="3">+COUNTIF(F24:AE24,"c")</f>
        <v>0</v>
      </c>
      <c r="AL24">
        <f t="shared" ref="AL7:AL70" si="4">+$AG$5*AG24</f>
        <v>4</v>
      </c>
      <c r="AM24">
        <f t="shared" ref="AM7:AM70" si="5">+$AH$5*AH24</f>
        <v>72</v>
      </c>
      <c r="AN24">
        <f t="shared" ref="AN7:AN70" si="6">+$AI$5*AI24</f>
        <v>2</v>
      </c>
      <c r="AO24">
        <f t="shared" ref="AO7:AO70" si="7">+$AJ$5*AJ24</f>
        <v>0</v>
      </c>
      <c r="AP24">
        <f t="shared" ref="AP7:AP70" si="8">+SUM(AL24:AO24)</f>
        <v>78</v>
      </c>
    </row>
    <row r="25" spans="1:42" ht="15.75" hidden="1" customHeight="1" x14ac:dyDescent="0.3">
      <c r="A25" s="16"/>
      <c r="B25" s="55">
        <v>2</v>
      </c>
      <c r="C25" s="56" t="s">
        <v>42</v>
      </c>
      <c r="D25" s="55">
        <v>1</v>
      </c>
      <c r="E25" s="55" t="s">
        <v>21</v>
      </c>
      <c r="F25" s="18" t="s">
        <v>21</v>
      </c>
      <c r="G25" s="18" t="s">
        <v>21</v>
      </c>
      <c r="H25" s="18" t="s">
        <v>21</v>
      </c>
      <c r="I25" s="18" t="s">
        <v>21</v>
      </c>
      <c r="J25" s="18" t="s">
        <v>20</v>
      </c>
      <c r="K25" s="18" t="s">
        <v>21</v>
      </c>
      <c r="L25" s="18" t="s">
        <v>21</v>
      </c>
      <c r="M25" s="19" t="s">
        <v>20</v>
      </c>
      <c r="N25" s="19" t="s">
        <v>20</v>
      </c>
      <c r="O25" s="19" t="s">
        <v>20</v>
      </c>
      <c r="P25" s="19" t="s">
        <v>20</v>
      </c>
      <c r="Q25" s="18" t="s">
        <v>20</v>
      </c>
      <c r="R25" s="18" t="s">
        <v>21</v>
      </c>
      <c r="S25" s="19" t="s">
        <v>20</v>
      </c>
      <c r="T25" s="18" t="s">
        <v>20</v>
      </c>
      <c r="U25" s="18" t="s">
        <v>21</v>
      </c>
      <c r="V25" s="18" t="s">
        <v>20</v>
      </c>
      <c r="W25" s="18" t="s">
        <v>20</v>
      </c>
      <c r="X25" s="18" t="s">
        <v>20</v>
      </c>
      <c r="Y25" s="19" t="s">
        <v>20</v>
      </c>
      <c r="Z25" s="19" t="s">
        <v>20</v>
      </c>
      <c r="AA25" s="28" t="s">
        <v>20</v>
      </c>
      <c r="AB25" s="28" t="s">
        <v>21</v>
      </c>
      <c r="AC25" s="20" t="s">
        <v>20</v>
      </c>
      <c r="AD25" s="19" t="s">
        <v>20</v>
      </c>
      <c r="AE25" s="19" t="s">
        <v>21</v>
      </c>
      <c r="AG25">
        <f t="shared" si="0"/>
        <v>0</v>
      </c>
      <c r="AH25">
        <f t="shared" si="1"/>
        <v>16</v>
      </c>
      <c r="AI25">
        <f t="shared" si="2"/>
        <v>10</v>
      </c>
      <c r="AJ25">
        <f t="shared" si="3"/>
        <v>0</v>
      </c>
      <c r="AL25">
        <f t="shared" si="4"/>
        <v>0</v>
      </c>
      <c r="AM25">
        <f t="shared" si="5"/>
        <v>48</v>
      </c>
      <c r="AN25">
        <f t="shared" si="6"/>
        <v>20</v>
      </c>
      <c r="AO25">
        <f t="shared" si="7"/>
        <v>0</v>
      </c>
      <c r="AP25">
        <f t="shared" si="8"/>
        <v>68</v>
      </c>
    </row>
    <row r="26" spans="1:42" ht="15.75" hidden="1" customHeight="1" x14ac:dyDescent="0.3">
      <c r="A26" s="16"/>
      <c r="B26" s="55">
        <v>3</v>
      </c>
      <c r="C26" s="56" t="s">
        <v>43</v>
      </c>
      <c r="D26" s="55">
        <v>1</v>
      </c>
      <c r="E26" s="55" t="s">
        <v>21</v>
      </c>
      <c r="F26" s="18" t="s">
        <v>21</v>
      </c>
      <c r="G26" s="18" t="s">
        <v>20</v>
      </c>
      <c r="H26" s="18" t="s">
        <v>21</v>
      </c>
      <c r="I26" s="18" t="s">
        <v>21</v>
      </c>
      <c r="J26" s="18" t="s">
        <v>21</v>
      </c>
      <c r="K26" s="18" t="s">
        <v>20</v>
      </c>
      <c r="L26" s="18" t="s">
        <v>21</v>
      </c>
      <c r="M26" s="19" t="s">
        <v>20</v>
      </c>
      <c r="N26" s="19" t="s">
        <v>20</v>
      </c>
      <c r="O26" s="19" t="s">
        <v>20</v>
      </c>
      <c r="P26" s="19" t="s">
        <v>20</v>
      </c>
      <c r="Q26" s="18" t="s">
        <v>21</v>
      </c>
      <c r="R26" s="18" t="s">
        <v>21</v>
      </c>
      <c r="S26" s="19" t="s">
        <v>20</v>
      </c>
      <c r="T26" s="18" t="s">
        <v>20</v>
      </c>
      <c r="U26" s="18" t="s">
        <v>21</v>
      </c>
      <c r="V26" s="18" t="s">
        <v>20</v>
      </c>
      <c r="W26" s="18" t="s">
        <v>20</v>
      </c>
      <c r="X26" s="18" t="s">
        <v>20</v>
      </c>
      <c r="Y26" s="19" t="s">
        <v>20</v>
      </c>
      <c r="Z26" s="19" t="s">
        <v>20</v>
      </c>
      <c r="AA26" s="28" t="s">
        <v>20</v>
      </c>
      <c r="AB26" s="28" t="s">
        <v>21</v>
      </c>
      <c r="AC26" s="20" t="s">
        <v>21</v>
      </c>
      <c r="AD26" s="19" t="s">
        <v>20</v>
      </c>
      <c r="AE26" s="19" t="s">
        <v>21</v>
      </c>
      <c r="AG26">
        <f t="shared" si="0"/>
        <v>0</v>
      </c>
      <c r="AH26">
        <f t="shared" si="1"/>
        <v>15</v>
      </c>
      <c r="AI26">
        <f t="shared" si="2"/>
        <v>11</v>
      </c>
      <c r="AJ26">
        <f t="shared" si="3"/>
        <v>0</v>
      </c>
      <c r="AL26">
        <f t="shared" si="4"/>
        <v>0</v>
      </c>
      <c r="AM26">
        <f t="shared" si="5"/>
        <v>45</v>
      </c>
      <c r="AN26">
        <f t="shared" si="6"/>
        <v>22</v>
      </c>
      <c r="AO26">
        <f t="shared" si="7"/>
        <v>0</v>
      </c>
      <c r="AP26">
        <f t="shared" si="8"/>
        <v>67</v>
      </c>
    </row>
    <row r="27" spans="1:42" ht="15.75" hidden="1" customHeight="1" x14ac:dyDescent="0.3">
      <c r="A27" s="16"/>
      <c r="B27" s="55">
        <v>4</v>
      </c>
      <c r="C27" s="56" t="s">
        <v>44</v>
      </c>
      <c r="D27" s="55">
        <v>1</v>
      </c>
      <c r="E27" s="55" t="s">
        <v>21</v>
      </c>
      <c r="F27" s="18" t="s">
        <v>20</v>
      </c>
      <c r="G27" s="18" t="s">
        <v>20</v>
      </c>
      <c r="H27" s="18" t="s">
        <v>20</v>
      </c>
      <c r="I27" s="18" t="s">
        <v>20</v>
      </c>
      <c r="J27" s="18" t="s">
        <v>21</v>
      </c>
      <c r="K27" s="18" t="s">
        <v>21</v>
      </c>
      <c r="L27" s="18" t="s">
        <v>21</v>
      </c>
      <c r="M27" s="18" t="s">
        <v>21</v>
      </c>
      <c r="N27" s="18" t="s">
        <v>20</v>
      </c>
      <c r="O27" s="18" t="s">
        <v>20</v>
      </c>
      <c r="P27" s="18" t="s">
        <v>21</v>
      </c>
      <c r="Q27" s="18" t="s">
        <v>21</v>
      </c>
      <c r="R27" s="18" t="s">
        <v>21</v>
      </c>
      <c r="S27" s="18" t="s">
        <v>20</v>
      </c>
      <c r="T27" s="18" t="s">
        <v>20</v>
      </c>
      <c r="U27" s="18" t="s">
        <v>21</v>
      </c>
      <c r="V27" s="18" t="s">
        <v>20</v>
      </c>
      <c r="W27" s="18" t="s">
        <v>20</v>
      </c>
      <c r="X27" s="18" t="s">
        <v>20</v>
      </c>
      <c r="Y27" s="19" t="s">
        <v>21</v>
      </c>
      <c r="Z27" s="18" t="s">
        <v>20</v>
      </c>
      <c r="AA27" s="28" t="s">
        <v>21</v>
      </c>
      <c r="AB27" s="28" t="s">
        <v>21</v>
      </c>
      <c r="AC27" s="20" t="s">
        <v>21</v>
      </c>
      <c r="AD27" s="29" t="s">
        <v>21</v>
      </c>
      <c r="AE27" s="29" t="s">
        <v>21</v>
      </c>
      <c r="AG27">
        <f t="shared" si="0"/>
        <v>0</v>
      </c>
      <c r="AH27">
        <f t="shared" si="1"/>
        <v>12</v>
      </c>
      <c r="AI27">
        <f t="shared" si="2"/>
        <v>14</v>
      </c>
      <c r="AJ27">
        <f t="shared" si="3"/>
        <v>0</v>
      </c>
      <c r="AL27">
        <f t="shared" si="4"/>
        <v>0</v>
      </c>
      <c r="AM27">
        <f t="shared" si="5"/>
        <v>36</v>
      </c>
      <c r="AN27">
        <f t="shared" si="6"/>
        <v>28</v>
      </c>
      <c r="AO27">
        <f t="shared" si="7"/>
        <v>0</v>
      </c>
      <c r="AP27">
        <f t="shared" si="8"/>
        <v>64</v>
      </c>
    </row>
    <row r="28" spans="1:42" ht="15.75" hidden="1" customHeight="1" x14ac:dyDescent="0.3">
      <c r="A28" s="16"/>
      <c r="B28" s="55">
        <v>5</v>
      </c>
      <c r="C28" s="56" t="s">
        <v>45</v>
      </c>
      <c r="D28" s="55">
        <v>1</v>
      </c>
      <c r="E28" s="55" t="s">
        <v>21</v>
      </c>
      <c r="F28" s="18" t="s">
        <v>21</v>
      </c>
      <c r="G28" s="18" t="s">
        <v>21</v>
      </c>
      <c r="H28" s="18" t="s">
        <v>20</v>
      </c>
      <c r="I28" s="18" t="s">
        <v>21</v>
      </c>
      <c r="J28" s="18" t="s">
        <v>21</v>
      </c>
      <c r="K28" s="18" t="s">
        <v>21</v>
      </c>
      <c r="L28" s="18" t="s">
        <v>21</v>
      </c>
      <c r="M28" s="18" t="s">
        <v>20</v>
      </c>
      <c r="N28" s="18" t="s">
        <v>21</v>
      </c>
      <c r="O28" s="18" t="s">
        <v>20</v>
      </c>
      <c r="P28" s="18" t="s">
        <v>21</v>
      </c>
      <c r="Q28" s="18" t="s">
        <v>21</v>
      </c>
      <c r="R28" s="18" t="s">
        <v>21</v>
      </c>
      <c r="S28" s="18" t="s">
        <v>20</v>
      </c>
      <c r="T28" s="18" t="s">
        <v>20</v>
      </c>
      <c r="U28" s="18" t="s">
        <v>21</v>
      </c>
      <c r="V28" s="18" t="s">
        <v>20</v>
      </c>
      <c r="W28" s="18" t="s">
        <v>20</v>
      </c>
      <c r="X28" s="18" t="s">
        <v>20</v>
      </c>
      <c r="Y28" s="19" t="s">
        <v>21</v>
      </c>
      <c r="Z28" s="18" t="s">
        <v>20</v>
      </c>
      <c r="AA28" s="28" t="s">
        <v>20</v>
      </c>
      <c r="AB28" s="28" t="s">
        <v>20</v>
      </c>
      <c r="AC28" s="20" t="s">
        <v>21</v>
      </c>
      <c r="AD28" s="29" t="s">
        <v>21</v>
      </c>
      <c r="AE28" s="29" t="s">
        <v>21</v>
      </c>
      <c r="AG28">
        <f t="shared" si="0"/>
        <v>0</v>
      </c>
      <c r="AH28">
        <f t="shared" si="1"/>
        <v>11</v>
      </c>
      <c r="AI28">
        <f t="shared" si="2"/>
        <v>15</v>
      </c>
      <c r="AJ28">
        <f t="shared" si="3"/>
        <v>0</v>
      </c>
      <c r="AL28">
        <f t="shared" si="4"/>
        <v>0</v>
      </c>
      <c r="AM28">
        <f t="shared" si="5"/>
        <v>33</v>
      </c>
      <c r="AN28">
        <f t="shared" si="6"/>
        <v>30</v>
      </c>
      <c r="AO28">
        <f t="shared" si="7"/>
        <v>0</v>
      </c>
      <c r="AP28">
        <f t="shared" si="8"/>
        <v>63</v>
      </c>
    </row>
    <row r="29" spans="1:42" ht="15.75" hidden="1" customHeight="1" x14ac:dyDescent="0.3">
      <c r="A29" s="16"/>
      <c r="B29" s="55">
        <v>6</v>
      </c>
      <c r="C29" s="56" t="s">
        <v>46</v>
      </c>
      <c r="D29" s="55">
        <v>1</v>
      </c>
      <c r="E29" s="55" t="s">
        <v>21</v>
      </c>
      <c r="F29" s="18" t="s">
        <v>20</v>
      </c>
      <c r="G29" s="18" t="s">
        <v>20</v>
      </c>
      <c r="H29" s="18" t="s">
        <v>21</v>
      </c>
      <c r="I29" s="18" t="s">
        <v>20</v>
      </c>
      <c r="J29" s="18" t="s">
        <v>21</v>
      </c>
      <c r="K29" s="18" t="s">
        <v>20</v>
      </c>
      <c r="L29" s="18" t="s">
        <v>21</v>
      </c>
      <c r="M29" s="18" t="s">
        <v>20</v>
      </c>
      <c r="N29" s="18" t="s">
        <v>21</v>
      </c>
      <c r="O29" s="18" t="s">
        <v>20</v>
      </c>
      <c r="P29" s="18" t="s">
        <v>21</v>
      </c>
      <c r="Q29" s="18" t="s">
        <v>21</v>
      </c>
      <c r="R29" s="18" t="s">
        <v>21</v>
      </c>
      <c r="S29" s="18" t="s">
        <v>21</v>
      </c>
      <c r="T29" s="18" t="s">
        <v>20</v>
      </c>
      <c r="U29" s="18" t="s">
        <v>21</v>
      </c>
      <c r="V29" s="18" t="s">
        <v>20</v>
      </c>
      <c r="W29" s="18" t="s">
        <v>20</v>
      </c>
      <c r="X29" s="18" t="s">
        <v>20</v>
      </c>
      <c r="Y29" s="19" t="s">
        <v>20</v>
      </c>
      <c r="Z29" s="18" t="s">
        <v>20</v>
      </c>
      <c r="AA29" s="28" t="s">
        <v>20</v>
      </c>
      <c r="AB29" s="28" t="s">
        <v>20</v>
      </c>
      <c r="AC29" s="20" t="s">
        <v>20</v>
      </c>
      <c r="AD29" s="29" t="s">
        <v>21</v>
      </c>
      <c r="AE29" s="29" t="s">
        <v>21</v>
      </c>
      <c r="AG29">
        <f t="shared" si="0"/>
        <v>0</v>
      </c>
      <c r="AH29">
        <f t="shared" si="1"/>
        <v>15</v>
      </c>
      <c r="AI29">
        <f t="shared" si="2"/>
        <v>11</v>
      </c>
      <c r="AJ29">
        <f t="shared" si="3"/>
        <v>0</v>
      </c>
      <c r="AL29">
        <f t="shared" si="4"/>
        <v>0</v>
      </c>
      <c r="AM29">
        <f t="shared" si="5"/>
        <v>45</v>
      </c>
      <c r="AN29">
        <f t="shared" si="6"/>
        <v>22</v>
      </c>
      <c r="AO29">
        <f t="shared" si="7"/>
        <v>0</v>
      </c>
      <c r="AP29">
        <f t="shared" si="8"/>
        <v>67</v>
      </c>
    </row>
    <row r="30" spans="1:42" ht="15.75" hidden="1" customHeight="1" x14ac:dyDescent="0.3">
      <c r="A30" s="16"/>
      <c r="B30" s="55">
        <v>7</v>
      </c>
      <c r="C30" s="56" t="s">
        <v>47</v>
      </c>
      <c r="D30" s="55">
        <v>1</v>
      </c>
      <c r="E30" s="55" t="s">
        <v>21</v>
      </c>
      <c r="F30" s="18" t="s">
        <v>21</v>
      </c>
      <c r="G30" s="18" t="s">
        <v>21</v>
      </c>
      <c r="H30" s="18" t="s">
        <v>20</v>
      </c>
      <c r="I30" s="18" t="s">
        <v>21</v>
      </c>
      <c r="J30" s="18" t="s">
        <v>20</v>
      </c>
      <c r="K30" s="18" t="s">
        <v>20</v>
      </c>
      <c r="L30" s="18" t="s">
        <v>21</v>
      </c>
      <c r="M30" s="18" t="s">
        <v>20</v>
      </c>
      <c r="N30" s="18" t="s">
        <v>21</v>
      </c>
      <c r="O30" s="18" t="s">
        <v>20</v>
      </c>
      <c r="P30" s="18" t="s">
        <v>20</v>
      </c>
      <c r="Q30" s="18" t="s">
        <v>21</v>
      </c>
      <c r="R30" s="18" t="s">
        <v>20</v>
      </c>
      <c r="S30" s="18" t="s">
        <v>20</v>
      </c>
      <c r="T30" s="18" t="s">
        <v>20</v>
      </c>
      <c r="U30" s="18" t="s">
        <v>21</v>
      </c>
      <c r="V30" s="18" t="s">
        <v>20</v>
      </c>
      <c r="W30" s="18" t="s">
        <v>20</v>
      </c>
      <c r="X30" s="18" t="s">
        <v>21</v>
      </c>
      <c r="Y30" s="19" t="s">
        <v>20</v>
      </c>
      <c r="Z30" s="18" t="s">
        <v>20</v>
      </c>
      <c r="AA30" s="28" t="s">
        <v>20</v>
      </c>
      <c r="AB30" s="28" t="s">
        <v>20</v>
      </c>
      <c r="AC30" s="20" t="s">
        <v>20</v>
      </c>
      <c r="AD30" s="29" t="s">
        <v>21</v>
      </c>
      <c r="AE30" s="29" t="s">
        <v>21</v>
      </c>
      <c r="AG30">
        <f t="shared" si="0"/>
        <v>0</v>
      </c>
      <c r="AH30">
        <f t="shared" si="1"/>
        <v>16</v>
      </c>
      <c r="AI30">
        <f t="shared" si="2"/>
        <v>10</v>
      </c>
      <c r="AJ30">
        <f t="shared" si="3"/>
        <v>0</v>
      </c>
      <c r="AL30">
        <f t="shared" si="4"/>
        <v>0</v>
      </c>
      <c r="AM30">
        <f t="shared" si="5"/>
        <v>48</v>
      </c>
      <c r="AN30">
        <f t="shared" si="6"/>
        <v>20</v>
      </c>
      <c r="AO30">
        <f t="shared" si="7"/>
        <v>0</v>
      </c>
      <c r="AP30">
        <f t="shared" si="8"/>
        <v>68</v>
      </c>
    </row>
    <row r="31" spans="1:42" ht="15.75" hidden="1" customHeight="1" x14ac:dyDescent="0.3">
      <c r="A31" s="16"/>
      <c r="B31" s="55">
        <v>8</v>
      </c>
      <c r="C31" s="56" t="s">
        <v>48</v>
      </c>
      <c r="D31" s="55">
        <v>1</v>
      </c>
      <c r="E31" s="55" t="s">
        <v>21</v>
      </c>
      <c r="F31" s="18" t="s">
        <v>20</v>
      </c>
      <c r="G31" s="18" t="s">
        <v>21</v>
      </c>
      <c r="H31" s="18" t="s">
        <v>21</v>
      </c>
      <c r="I31" s="18" t="s">
        <v>21</v>
      </c>
      <c r="J31" s="18" t="s">
        <v>20</v>
      </c>
      <c r="K31" s="18" t="s">
        <v>21</v>
      </c>
      <c r="L31" s="18" t="s">
        <v>21</v>
      </c>
      <c r="M31" s="18" t="s">
        <v>20</v>
      </c>
      <c r="N31" s="18" t="s">
        <v>21</v>
      </c>
      <c r="O31" s="18" t="s">
        <v>21</v>
      </c>
      <c r="P31" s="18" t="s">
        <v>21</v>
      </c>
      <c r="Q31" s="18" t="s">
        <v>21</v>
      </c>
      <c r="R31" s="18" t="s">
        <v>21</v>
      </c>
      <c r="S31" s="18" t="s">
        <v>20</v>
      </c>
      <c r="T31" s="18" t="s">
        <v>20</v>
      </c>
      <c r="U31" s="18" t="s">
        <v>20</v>
      </c>
      <c r="V31" s="18" t="s">
        <v>21</v>
      </c>
      <c r="W31" s="18" t="s">
        <v>20</v>
      </c>
      <c r="X31" s="18" t="s">
        <v>21</v>
      </c>
      <c r="Y31" s="19" t="s">
        <v>21</v>
      </c>
      <c r="Z31" s="18" t="s">
        <v>20</v>
      </c>
      <c r="AA31" s="28" t="s">
        <v>20</v>
      </c>
      <c r="AB31" s="28" t="s">
        <v>20</v>
      </c>
      <c r="AC31" s="20" t="s">
        <v>20</v>
      </c>
      <c r="AD31" s="29" t="s">
        <v>20</v>
      </c>
      <c r="AE31" s="29" t="s">
        <v>21</v>
      </c>
      <c r="AG31">
        <f t="shared" si="0"/>
        <v>0</v>
      </c>
      <c r="AH31">
        <f t="shared" si="1"/>
        <v>12</v>
      </c>
      <c r="AI31">
        <f t="shared" si="2"/>
        <v>14</v>
      </c>
      <c r="AJ31">
        <f t="shared" si="3"/>
        <v>0</v>
      </c>
      <c r="AL31">
        <f t="shared" si="4"/>
        <v>0</v>
      </c>
      <c r="AM31">
        <f t="shared" si="5"/>
        <v>36</v>
      </c>
      <c r="AN31">
        <f t="shared" si="6"/>
        <v>28</v>
      </c>
      <c r="AO31">
        <f t="shared" si="7"/>
        <v>0</v>
      </c>
      <c r="AP31">
        <f t="shared" si="8"/>
        <v>64</v>
      </c>
    </row>
    <row r="32" spans="1:42" ht="15.75" hidden="1" customHeight="1" x14ac:dyDescent="0.3">
      <c r="A32" s="16"/>
      <c r="B32" s="55">
        <v>9</v>
      </c>
      <c r="C32" s="56" t="s">
        <v>49</v>
      </c>
      <c r="D32" s="55">
        <v>1</v>
      </c>
      <c r="E32" s="55" t="s">
        <v>21</v>
      </c>
      <c r="F32" s="18" t="s">
        <v>20</v>
      </c>
      <c r="G32" s="18" t="s">
        <v>21</v>
      </c>
      <c r="H32" s="18" t="s">
        <v>21</v>
      </c>
      <c r="I32" s="18" t="s">
        <v>21</v>
      </c>
      <c r="J32" s="18" t="s">
        <v>21</v>
      </c>
      <c r="K32" s="18" t="s">
        <v>21</v>
      </c>
      <c r="L32" s="18" t="s">
        <v>20</v>
      </c>
      <c r="M32" s="18" t="s">
        <v>20</v>
      </c>
      <c r="N32" s="18" t="s">
        <v>20</v>
      </c>
      <c r="O32" s="18" t="s">
        <v>20</v>
      </c>
      <c r="P32" s="18" t="s">
        <v>20</v>
      </c>
      <c r="Q32" s="18" t="s">
        <v>20</v>
      </c>
      <c r="R32" s="18" t="s">
        <v>20</v>
      </c>
      <c r="S32" s="18" t="s">
        <v>20</v>
      </c>
      <c r="T32" s="18" t="s">
        <v>20</v>
      </c>
      <c r="U32" s="18" t="s">
        <v>21</v>
      </c>
      <c r="V32" s="18" t="s">
        <v>20</v>
      </c>
      <c r="W32" s="18" t="s">
        <v>20</v>
      </c>
      <c r="X32" s="18" t="s">
        <v>20</v>
      </c>
      <c r="Y32" s="19" t="s">
        <v>20</v>
      </c>
      <c r="Z32" s="18" t="s">
        <v>20</v>
      </c>
      <c r="AA32" s="28" t="s">
        <v>21</v>
      </c>
      <c r="AB32" s="28" t="s">
        <v>21</v>
      </c>
      <c r="AC32" s="20" t="s">
        <v>21</v>
      </c>
      <c r="AD32" s="29" t="s">
        <v>21</v>
      </c>
      <c r="AE32" s="29" t="s">
        <v>21</v>
      </c>
      <c r="AG32">
        <f t="shared" si="0"/>
        <v>0</v>
      </c>
      <c r="AH32">
        <f t="shared" si="1"/>
        <v>15</v>
      </c>
      <c r="AI32">
        <f t="shared" si="2"/>
        <v>11</v>
      </c>
      <c r="AJ32">
        <f t="shared" si="3"/>
        <v>0</v>
      </c>
      <c r="AL32">
        <f t="shared" si="4"/>
        <v>0</v>
      </c>
      <c r="AM32">
        <f t="shared" si="5"/>
        <v>45</v>
      </c>
      <c r="AN32">
        <f t="shared" si="6"/>
        <v>22</v>
      </c>
      <c r="AO32">
        <f t="shared" si="7"/>
        <v>0</v>
      </c>
      <c r="AP32">
        <f t="shared" si="8"/>
        <v>67</v>
      </c>
    </row>
    <row r="33" spans="1:42" ht="15.75" hidden="1" customHeight="1" x14ac:dyDescent="0.3">
      <c r="A33" s="16"/>
      <c r="B33" s="55">
        <v>10</v>
      </c>
      <c r="C33" s="56" t="s">
        <v>50</v>
      </c>
      <c r="D33" s="55">
        <v>1</v>
      </c>
      <c r="E33" s="55" t="s">
        <v>21</v>
      </c>
      <c r="F33" s="18" t="s">
        <v>20</v>
      </c>
      <c r="G33" s="18" t="s">
        <v>21</v>
      </c>
      <c r="H33" s="18" t="s">
        <v>20</v>
      </c>
      <c r="I33" s="18" t="s">
        <v>21</v>
      </c>
      <c r="J33" s="18" t="s">
        <v>21</v>
      </c>
      <c r="K33" s="18" t="s">
        <v>21</v>
      </c>
      <c r="L33" s="18" t="s">
        <v>21</v>
      </c>
      <c r="M33" s="18" t="s">
        <v>20</v>
      </c>
      <c r="N33" s="18" t="s">
        <v>20</v>
      </c>
      <c r="O33" s="18" t="s">
        <v>20</v>
      </c>
      <c r="P33" s="18" t="s">
        <v>21</v>
      </c>
      <c r="Q33" s="18" t="s">
        <v>20</v>
      </c>
      <c r="R33" s="18" t="s">
        <v>21</v>
      </c>
      <c r="S33" s="18" t="s">
        <v>20</v>
      </c>
      <c r="T33" s="18" t="s">
        <v>20</v>
      </c>
      <c r="U33" s="18" t="s">
        <v>20</v>
      </c>
      <c r="V33" s="18" t="s">
        <v>20</v>
      </c>
      <c r="W33" s="18" t="s">
        <v>20</v>
      </c>
      <c r="X33" s="18" t="s">
        <v>20</v>
      </c>
      <c r="Y33" s="19" t="s">
        <v>20</v>
      </c>
      <c r="Z33" s="18" t="s">
        <v>20</v>
      </c>
      <c r="AA33" s="28" t="s">
        <v>21</v>
      </c>
      <c r="AB33" s="28" t="s">
        <v>21</v>
      </c>
      <c r="AC33" s="20" t="s">
        <v>20</v>
      </c>
      <c r="AD33" s="29" t="s">
        <v>20</v>
      </c>
      <c r="AE33" s="29" t="s">
        <v>21</v>
      </c>
      <c r="AG33">
        <f t="shared" si="0"/>
        <v>0</v>
      </c>
      <c r="AH33">
        <f t="shared" si="1"/>
        <v>16</v>
      </c>
      <c r="AI33">
        <f t="shared" si="2"/>
        <v>10</v>
      </c>
      <c r="AJ33">
        <f t="shared" si="3"/>
        <v>0</v>
      </c>
      <c r="AL33">
        <f t="shared" si="4"/>
        <v>0</v>
      </c>
      <c r="AM33">
        <f t="shared" si="5"/>
        <v>48</v>
      </c>
      <c r="AN33">
        <f t="shared" si="6"/>
        <v>20</v>
      </c>
      <c r="AO33">
        <f t="shared" si="7"/>
        <v>0</v>
      </c>
      <c r="AP33">
        <f t="shared" si="8"/>
        <v>68</v>
      </c>
    </row>
    <row r="34" spans="1:42" ht="15.75" hidden="1" customHeight="1" x14ac:dyDescent="0.3">
      <c r="A34" s="16"/>
      <c r="B34" s="55">
        <v>11</v>
      </c>
      <c r="C34" s="56" t="s">
        <v>51</v>
      </c>
      <c r="D34" s="55">
        <v>1</v>
      </c>
      <c r="E34" s="55" t="s">
        <v>21</v>
      </c>
      <c r="F34" s="18" t="s">
        <v>39</v>
      </c>
      <c r="G34" s="18" t="s">
        <v>20</v>
      </c>
      <c r="H34" s="18" t="s">
        <v>20</v>
      </c>
      <c r="I34" s="18" t="s">
        <v>20</v>
      </c>
      <c r="J34" s="18" t="s">
        <v>20</v>
      </c>
      <c r="K34" s="18" t="s">
        <v>20</v>
      </c>
      <c r="L34" s="18" t="s">
        <v>20</v>
      </c>
      <c r="M34" s="18" t="s">
        <v>20</v>
      </c>
      <c r="N34" s="18" t="s">
        <v>20</v>
      </c>
      <c r="O34" s="18" t="s">
        <v>20</v>
      </c>
      <c r="P34" s="18" t="s">
        <v>20</v>
      </c>
      <c r="Q34" s="18" t="s">
        <v>20</v>
      </c>
      <c r="R34" s="18" t="s">
        <v>20</v>
      </c>
      <c r="S34" s="18" t="s">
        <v>20</v>
      </c>
      <c r="T34" s="18" t="s">
        <v>20</v>
      </c>
      <c r="U34" s="18" t="s">
        <v>20</v>
      </c>
      <c r="V34" s="18" t="s">
        <v>20</v>
      </c>
      <c r="W34" s="18" t="s">
        <v>20</v>
      </c>
      <c r="X34" s="18" t="s">
        <v>21</v>
      </c>
      <c r="Y34" s="19" t="s">
        <v>20</v>
      </c>
      <c r="Z34" s="18" t="s">
        <v>20</v>
      </c>
      <c r="AA34" s="28" t="s">
        <v>20</v>
      </c>
      <c r="AB34" s="28" t="s">
        <v>20</v>
      </c>
      <c r="AC34" s="20" t="s">
        <v>20</v>
      </c>
      <c r="AD34" s="29" t="s">
        <v>20</v>
      </c>
      <c r="AE34" s="29" t="s">
        <v>21</v>
      </c>
      <c r="AG34">
        <f t="shared" si="0"/>
        <v>1</v>
      </c>
      <c r="AH34">
        <f t="shared" si="1"/>
        <v>23</v>
      </c>
      <c r="AI34">
        <f t="shared" si="2"/>
        <v>2</v>
      </c>
      <c r="AJ34">
        <f t="shared" si="3"/>
        <v>0</v>
      </c>
      <c r="AL34">
        <f t="shared" si="4"/>
        <v>4</v>
      </c>
      <c r="AM34">
        <f t="shared" si="5"/>
        <v>69</v>
      </c>
      <c r="AN34">
        <f t="shared" si="6"/>
        <v>4</v>
      </c>
      <c r="AO34">
        <f t="shared" si="7"/>
        <v>0</v>
      </c>
      <c r="AP34">
        <f t="shared" si="8"/>
        <v>77</v>
      </c>
    </row>
    <row r="35" spans="1:42" ht="15.75" hidden="1" customHeight="1" x14ac:dyDescent="0.3">
      <c r="A35" s="16"/>
      <c r="B35" s="55">
        <v>12</v>
      </c>
      <c r="C35" s="56" t="s">
        <v>52</v>
      </c>
      <c r="D35" s="55">
        <v>1</v>
      </c>
      <c r="E35" s="55" t="s">
        <v>21</v>
      </c>
      <c r="F35" s="18" t="s">
        <v>20</v>
      </c>
      <c r="G35" s="18" t="s">
        <v>21</v>
      </c>
      <c r="H35" s="18" t="s">
        <v>20</v>
      </c>
      <c r="I35" s="18" t="s">
        <v>21</v>
      </c>
      <c r="J35" s="18" t="s">
        <v>20</v>
      </c>
      <c r="K35" s="18" t="s">
        <v>21</v>
      </c>
      <c r="L35" s="18" t="s">
        <v>21</v>
      </c>
      <c r="M35" s="18" t="s">
        <v>20</v>
      </c>
      <c r="N35" s="18" t="s">
        <v>20</v>
      </c>
      <c r="O35" s="18" t="s">
        <v>20</v>
      </c>
      <c r="P35" s="18" t="s">
        <v>20</v>
      </c>
      <c r="Q35" s="18" t="s">
        <v>20</v>
      </c>
      <c r="R35" s="18" t="s">
        <v>20</v>
      </c>
      <c r="S35" s="18" t="s">
        <v>20</v>
      </c>
      <c r="T35" s="18" t="s">
        <v>20</v>
      </c>
      <c r="U35" s="18" t="s">
        <v>20</v>
      </c>
      <c r="V35" s="18" t="s">
        <v>21</v>
      </c>
      <c r="W35" s="18" t="s">
        <v>20</v>
      </c>
      <c r="X35" s="18" t="s">
        <v>21</v>
      </c>
      <c r="Y35" s="19" t="s">
        <v>21</v>
      </c>
      <c r="Z35" s="18" t="s">
        <v>20</v>
      </c>
      <c r="AA35" s="28" t="s">
        <v>21</v>
      </c>
      <c r="AB35" s="28" t="s">
        <v>21</v>
      </c>
      <c r="AC35" s="20" t="s">
        <v>21</v>
      </c>
      <c r="AD35" s="29" t="s">
        <v>21</v>
      </c>
      <c r="AE35" s="29" t="s">
        <v>21</v>
      </c>
      <c r="AG35">
        <f t="shared" si="0"/>
        <v>0</v>
      </c>
      <c r="AH35">
        <f t="shared" si="1"/>
        <v>14</v>
      </c>
      <c r="AI35">
        <f t="shared" si="2"/>
        <v>12</v>
      </c>
      <c r="AJ35">
        <f t="shared" si="3"/>
        <v>0</v>
      </c>
      <c r="AL35">
        <f t="shared" si="4"/>
        <v>0</v>
      </c>
      <c r="AM35">
        <f t="shared" si="5"/>
        <v>42</v>
      </c>
      <c r="AN35">
        <f t="shared" si="6"/>
        <v>24</v>
      </c>
      <c r="AO35">
        <f t="shared" si="7"/>
        <v>0</v>
      </c>
      <c r="AP35">
        <f t="shared" si="8"/>
        <v>66</v>
      </c>
    </row>
    <row r="36" spans="1:42" ht="15.75" hidden="1" customHeight="1" x14ac:dyDescent="0.3">
      <c r="A36" s="16"/>
      <c r="B36" s="55">
        <v>13</v>
      </c>
      <c r="C36" s="56" t="s">
        <v>53</v>
      </c>
      <c r="D36" s="55">
        <v>1</v>
      </c>
      <c r="E36" s="55" t="s">
        <v>21</v>
      </c>
      <c r="F36" s="18" t="s">
        <v>21</v>
      </c>
      <c r="G36" s="18" t="s">
        <v>20</v>
      </c>
      <c r="H36" s="18" t="s">
        <v>21</v>
      </c>
      <c r="I36" s="18" t="s">
        <v>21</v>
      </c>
      <c r="J36" s="18" t="s">
        <v>20</v>
      </c>
      <c r="K36" s="18" t="s">
        <v>21</v>
      </c>
      <c r="L36" s="18" t="s">
        <v>21</v>
      </c>
      <c r="M36" s="18" t="s">
        <v>21</v>
      </c>
      <c r="N36" s="18" t="s">
        <v>20</v>
      </c>
      <c r="O36" s="18" t="s">
        <v>20</v>
      </c>
      <c r="P36" s="18" t="s">
        <v>21</v>
      </c>
      <c r="Q36" s="18" t="s">
        <v>21</v>
      </c>
      <c r="R36" s="18" t="s">
        <v>21</v>
      </c>
      <c r="S36" s="18" t="s">
        <v>21</v>
      </c>
      <c r="T36" s="18" t="s">
        <v>20</v>
      </c>
      <c r="U36" s="18" t="s">
        <v>20</v>
      </c>
      <c r="V36" s="18" t="s">
        <v>20</v>
      </c>
      <c r="W36" s="18" t="s">
        <v>20</v>
      </c>
      <c r="X36" s="18" t="s">
        <v>20</v>
      </c>
      <c r="Y36" s="19" t="s">
        <v>20</v>
      </c>
      <c r="Z36" s="18" t="s">
        <v>20</v>
      </c>
      <c r="AA36" s="28" t="s">
        <v>20</v>
      </c>
      <c r="AB36" s="28" t="s">
        <v>20</v>
      </c>
      <c r="AC36" s="20" t="s">
        <v>21</v>
      </c>
      <c r="AD36" s="29" t="s">
        <v>21</v>
      </c>
      <c r="AE36" s="29" t="s">
        <v>21</v>
      </c>
      <c r="AG36">
        <f t="shared" si="0"/>
        <v>0</v>
      </c>
      <c r="AH36">
        <f t="shared" si="1"/>
        <v>13</v>
      </c>
      <c r="AI36">
        <f t="shared" si="2"/>
        <v>13</v>
      </c>
      <c r="AJ36">
        <f t="shared" si="3"/>
        <v>0</v>
      </c>
      <c r="AL36">
        <f t="shared" si="4"/>
        <v>0</v>
      </c>
      <c r="AM36">
        <f t="shared" si="5"/>
        <v>39</v>
      </c>
      <c r="AN36">
        <f t="shared" si="6"/>
        <v>26</v>
      </c>
      <c r="AO36">
        <f t="shared" si="7"/>
        <v>0</v>
      </c>
      <c r="AP36">
        <f t="shared" si="8"/>
        <v>65</v>
      </c>
    </row>
    <row r="37" spans="1:42" ht="15.75" hidden="1" customHeight="1" x14ac:dyDescent="0.3">
      <c r="A37" s="16"/>
      <c r="B37" s="55">
        <v>14</v>
      </c>
      <c r="C37" s="56" t="s">
        <v>54</v>
      </c>
      <c r="D37" s="55">
        <v>1</v>
      </c>
      <c r="E37" s="55" t="s">
        <v>21</v>
      </c>
      <c r="F37" s="18" t="s">
        <v>20</v>
      </c>
      <c r="G37" s="18" t="s">
        <v>20</v>
      </c>
      <c r="H37" s="18" t="s">
        <v>20</v>
      </c>
      <c r="I37" s="18" t="s">
        <v>20</v>
      </c>
      <c r="J37" s="18" t="s">
        <v>20</v>
      </c>
      <c r="K37" s="18" t="s">
        <v>20</v>
      </c>
      <c r="L37" s="18" t="s">
        <v>20</v>
      </c>
      <c r="M37" s="18" t="s">
        <v>20</v>
      </c>
      <c r="N37" s="18" t="s">
        <v>20</v>
      </c>
      <c r="O37" s="18" t="s">
        <v>20</v>
      </c>
      <c r="P37" s="18" t="s">
        <v>20</v>
      </c>
      <c r="Q37" s="18" t="s">
        <v>20</v>
      </c>
      <c r="R37" s="18" t="s">
        <v>20</v>
      </c>
      <c r="S37" s="18" t="s">
        <v>20</v>
      </c>
      <c r="T37" s="18" t="s">
        <v>20</v>
      </c>
      <c r="U37" s="18" t="s">
        <v>20</v>
      </c>
      <c r="V37" s="18" t="s">
        <v>21</v>
      </c>
      <c r="W37" s="18" t="s">
        <v>21</v>
      </c>
      <c r="X37" s="18" t="s">
        <v>20</v>
      </c>
      <c r="Y37" s="19" t="s">
        <v>21</v>
      </c>
      <c r="Z37" s="18" t="s">
        <v>20</v>
      </c>
      <c r="AA37" s="28" t="s">
        <v>20</v>
      </c>
      <c r="AB37" s="28" t="s">
        <v>20</v>
      </c>
      <c r="AC37" s="20" t="s">
        <v>20</v>
      </c>
      <c r="AD37" s="29" t="s">
        <v>55</v>
      </c>
      <c r="AE37" s="29" t="s">
        <v>55</v>
      </c>
      <c r="AG37">
        <f t="shared" si="0"/>
        <v>0</v>
      </c>
      <c r="AH37">
        <f t="shared" si="1"/>
        <v>21</v>
      </c>
      <c r="AI37">
        <f t="shared" si="2"/>
        <v>3</v>
      </c>
      <c r="AJ37">
        <f t="shared" si="3"/>
        <v>0</v>
      </c>
      <c r="AL37">
        <f t="shared" si="4"/>
        <v>0</v>
      </c>
      <c r="AM37">
        <f t="shared" si="5"/>
        <v>63</v>
      </c>
      <c r="AN37">
        <f t="shared" si="6"/>
        <v>6</v>
      </c>
      <c r="AO37">
        <f t="shared" si="7"/>
        <v>0</v>
      </c>
      <c r="AP37">
        <f t="shared" si="8"/>
        <v>69</v>
      </c>
    </row>
    <row r="38" spans="1:42" ht="15.75" hidden="1" customHeight="1" x14ac:dyDescent="0.3">
      <c r="A38" s="16"/>
      <c r="B38" s="55">
        <v>15</v>
      </c>
      <c r="C38" s="56" t="s">
        <v>56</v>
      </c>
      <c r="D38" s="55">
        <v>1</v>
      </c>
      <c r="E38" s="55" t="s">
        <v>21</v>
      </c>
      <c r="F38" s="18" t="s">
        <v>20</v>
      </c>
      <c r="G38" s="18" t="s">
        <v>21</v>
      </c>
      <c r="H38" s="18" t="s">
        <v>21</v>
      </c>
      <c r="I38" s="18" t="s">
        <v>20</v>
      </c>
      <c r="J38" s="18" t="s">
        <v>21</v>
      </c>
      <c r="K38" s="18" t="s">
        <v>21</v>
      </c>
      <c r="L38" s="18" t="s">
        <v>21</v>
      </c>
      <c r="M38" s="18" t="s">
        <v>20</v>
      </c>
      <c r="N38" s="18" t="s">
        <v>20</v>
      </c>
      <c r="O38" s="18" t="s">
        <v>20</v>
      </c>
      <c r="P38" s="18" t="s">
        <v>21</v>
      </c>
      <c r="Q38" s="18" t="s">
        <v>21</v>
      </c>
      <c r="R38" s="18" t="s">
        <v>21</v>
      </c>
      <c r="S38" s="18" t="s">
        <v>23</v>
      </c>
      <c r="T38" s="18" t="s">
        <v>21</v>
      </c>
      <c r="U38" s="18" t="s">
        <v>20</v>
      </c>
      <c r="V38" s="18" t="s">
        <v>20</v>
      </c>
      <c r="W38" s="18" t="s">
        <v>20</v>
      </c>
      <c r="X38" s="18" t="s">
        <v>20</v>
      </c>
      <c r="Y38" s="19" t="s">
        <v>23</v>
      </c>
      <c r="Z38" s="18" t="s">
        <v>21</v>
      </c>
      <c r="AA38" s="28" t="s">
        <v>20</v>
      </c>
      <c r="AB38" s="28" t="s">
        <v>20</v>
      </c>
      <c r="AC38" s="20" t="s">
        <v>21</v>
      </c>
      <c r="AD38" s="29" t="s">
        <v>21</v>
      </c>
      <c r="AE38" s="29" t="s">
        <v>21</v>
      </c>
      <c r="AG38">
        <f t="shared" si="0"/>
        <v>0</v>
      </c>
      <c r="AH38">
        <f t="shared" si="1"/>
        <v>11</v>
      </c>
      <c r="AI38">
        <f t="shared" si="2"/>
        <v>13</v>
      </c>
      <c r="AJ38">
        <f t="shared" si="3"/>
        <v>2</v>
      </c>
      <c r="AL38">
        <f t="shared" si="4"/>
        <v>0</v>
      </c>
      <c r="AM38">
        <f t="shared" si="5"/>
        <v>33</v>
      </c>
      <c r="AN38">
        <f t="shared" si="6"/>
        <v>26</v>
      </c>
      <c r="AO38">
        <f t="shared" si="7"/>
        <v>2</v>
      </c>
      <c r="AP38">
        <f t="shared" si="8"/>
        <v>61</v>
      </c>
    </row>
    <row r="39" spans="1:42" ht="15.75" hidden="1" customHeight="1" x14ac:dyDescent="0.3">
      <c r="A39" s="16"/>
      <c r="B39" s="55">
        <v>16</v>
      </c>
      <c r="C39" s="56" t="s">
        <v>57</v>
      </c>
      <c r="D39" s="55">
        <v>1</v>
      </c>
      <c r="E39" s="55" t="s">
        <v>21</v>
      </c>
      <c r="F39" s="18" t="s">
        <v>20</v>
      </c>
      <c r="G39" s="18" t="s">
        <v>21</v>
      </c>
      <c r="H39" s="18" t="s">
        <v>21</v>
      </c>
      <c r="I39" s="18" t="s">
        <v>21</v>
      </c>
      <c r="J39" s="18" t="s">
        <v>20</v>
      </c>
      <c r="K39" s="18" t="s">
        <v>21</v>
      </c>
      <c r="L39" s="18" t="s">
        <v>21</v>
      </c>
      <c r="M39" s="18" t="s">
        <v>21</v>
      </c>
      <c r="N39" s="18" t="s">
        <v>21</v>
      </c>
      <c r="O39" s="18" t="s">
        <v>20</v>
      </c>
      <c r="P39" s="18" t="s">
        <v>21</v>
      </c>
      <c r="Q39" s="18" t="s">
        <v>21</v>
      </c>
      <c r="R39" s="18" t="s">
        <v>21</v>
      </c>
      <c r="S39" s="18" t="s">
        <v>21</v>
      </c>
      <c r="T39" s="18" t="s">
        <v>21</v>
      </c>
      <c r="U39" s="18" t="s">
        <v>21</v>
      </c>
      <c r="V39" s="18" t="s">
        <v>20</v>
      </c>
      <c r="W39" s="18" t="s">
        <v>20</v>
      </c>
      <c r="X39" s="18" t="s">
        <v>21</v>
      </c>
      <c r="Y39" s="19" t="s">
        <v>20</v>
      </c>
      <c r="Z39" s="18" t="s">
        <v>20</v>
      </c>
      <c r="AA39" s="28" t="s">
        <v>20</v>
      </c>
      <c r="AB39" s="28" t="s">
        <v>20</v>
      </c>
      <c r="AC39" s="20" t="s">
        <v>21</v>
      </c>
      <c r="AD39" s="29" t="s">
        <v>21</v>
      </c>
      <c r="AE39" s="29" t="s">
        <v>21</v>
      </c>
      <c r="AG39">
        <f t="shared" si="0"/>
        <v>0</v>
      </c>
      <c r="AH39">
        <f t="shared" si="1"/>
        <v>9</v>
      </c>
      <c r="AI39">
        <f t="shared" si="2"/>
        <v>17</v>
      </c>
      <c r="AJ39">
        <f t="shared" si="3"/>
        <v>0</v>
      </c>
      <c r="AL39">
        <f t="shared" si="4"/>
        <v>0</v>
      </c>
      <c r="AM39">
        <f t="shared" si="5"/>
        <v>27</v>
      </c>
      <c r="AN39">
        <f t="shared" si="6"/>
        <v>34</v>
      </c>
      <c r="AO39">
        <f t="shared" si="7"/>
        <v>0</v>
      </c>
      <c r="AP39">
        <f t="shared" si="8"/>
        <v>61</v>
      </c>
    </row>
    <row r="40" spans="1:42" ht="15.75" hidden="1" customHeight="1" x14ac:dyDescent="0.3">
      <c r="A40" s="16"/>
      <c r="B40" s="55">
        <v>17</v>
      </c>
      <c r="C40" s="56" t="s">
        <v>58</v>
      </c>
      <c r="D40" s="55">
        <v>1</v>
      </c>
      <c r="E40" s="55" t="s">
        <v>21</v>
      </c>
      <c r="F40" s="18" t="s">
        <v>21</v>
      </c>
      <c r="G40" s="18" t="s">
        <v>21</v>
      </c>
      <c r="H40" s="18" t="s">
        <v>21</v>
      </c>
      <c r="I40" s="18" t="s">
        <v>21</v>
      </c>
      <c r="J40" s="18" t="s">
        <v>20</v>
      </c>
      <c r="K40" s="18" t="s">
        <v>21</v>
      </c>
      <c r="L40" s="18" t="s">
        <v>21</v>
      </c>
      <c r="M40" s="18" t="s">
        <v>21</v>
      </c>
      <c r="N40" s="18" t="s">
        <v>20</v>
      </c>
      <c r="O40" s="18" t="s">
        <v>20</v>
      </c>
      <c r="P40" s="18" t="s">
        <v>21</v>
      </c>
      <c r="Q40" s="18" t="s">
        <v>21</v>
      </c>
      <c r="R40" s="18" t="s">
        <v>21</v>
      </c>
      <c r="S40" s="18" t="s">
        <v>20</v>
      </c>
      <c r="T40" s="18" t="s">
        <v>21</v>
      </c>
      <c r="U40" s="18" t="s">
        <v>20</v>
      </c>
      <c r="V40" s="18" t="s">
        <v>20</v>
      </c>
      <c r="W40" s="18" t="s">
        <v>20</v>
      </c>
      <c r="X40" s="18" t="s">
        <v>20</v>
      </c>
      <c r="Y40" s="19" t="s">
        <v>21</v>
      </c>
      <c r="Z40" s="18" t="s">
        <v>20</v>
      </c>
      <c r="AA40" s="28" t="s">
        <v>20</v>
      </c>
      <c r="AB40" s="28" t="s">
        <v>20</v>
      </c>
      <c r="AC40" s="20" t="s">
        <v>21</v>
      </c>
      <c r="AD40" s="29" t="s">
        <v>21</v>
      </c>
      <c r="AE40" s="29" t="s">
        <v>21</v>
      </c>
      <c r="AG40">
        <f t="shared" si="0"/>
        <v>0</v>
      </c>
      <c r="AH40">
        <f t="shared" si="1"/>
        <v>11</v>
      </c>
      <c r="AI40">
        <f t="shared" si="2"/>
        <v>15</v>
      </c>
      <c r="AJ40">
        <f t="shared" si="3"/>
        <v>0</v>
      </c>
      <c r="AL40">
        <f t="shared" si="4"/>
        <v>0</v>
      </c>
      <c r="AM40">
        <f t="shared" si="5"/>
        <v>33</v>
      </c>
      <c r="AN40">
        <f t="shared" si="6"/>
        <v>30</v>
      </c>
      <c r="AO40">
        <f t="shared" si="7"/>
        <v>0</v>
      </c>
      <c r="AP40">
        <f t="shared" si="8"/>
        <v>63</v>
      </c>
    </row>
    <row r="41" spans="1:42" ht="15.75" hidden="1" customHeight="1" x14ac:dyDescent="0.3">
      <c r="A41" s="16"/>
      <c r="B41" s="55">
        <v>18</v>
      </c>
      <c r="C41" s="56" t="s">
        <v>59</v>
      </c>
      <c r="D41" s="55">
        <v>1</v>
      </c>
      <c r="E41" s="55" t="s">
        <v>21</v>
      </c>
      <c r="F41" s="18" t="s">
        <v>20</v>
      </c>
      <c r="G41" s="18" t="s">
        <v>21</v>
      </c>
      <c r="H41" s="18" t="s">
        <v>21</v>
      </c>
      <c r="I41" s="18" t="s">
        <v>21</v>
      </c>
      <c r="J41" s="18" t="s">
        <v>21</v>
      </c>
      <c r="K41" s="18" t="s">
        <v>21</v>
      </c>
      <c r="L41" s="18" t="s">
        <v>21</v>
      </c>
      <c r="M41" s="18" t="s">
        <v>20</v>
      </c>
      <c r="N41" s="18" t="s">
        <v>20</v>
      </c>
      <c r="O41" s="18" t="s">
        <v>20</v>
      </c>
      <c r="P41" s="18" t="s">
        <v>20</v>
      </c>
      <c r="Q41" s="18" t="s">
        <v>21</v>
      </c>
      <c r="R41" s="18" t="s">
        <v>20</v>
      </c>
      <c r="S41" s="18" t="s">
        <v>20</v>
      </c>
      <c r="T41" s="18" t="s">
        <v>20</v>
      </c>
      <c r="U41" s="18" t="s">
        <v>21</v>
      </c>
      <c r="V41" s="18" t="s">
        <v>21</v>
      </c>
      <c r="W41" s="18" t="s">
        <v>20</v>
      </c>
      <c r="X41" s="18" t="s">
        <v>20</v>
      </c>
      <c r="Y41" s="19" t="s">
        <v>21</v>
      </c>
      <c r="Z41" s="18" t="s">
        <v>20</v>
      </c>
      <c r="AA41" s="28" t="s">
        <v>20</v>
      </c>
      <c r="AB41" s="28" t="s">
        <v>20</v>
      </c>
      <c r="AC41" s="20" t="s">
        <v>21</v>
      </c>
      <c r="AD41" s="29" t="s">
        <v>20</v>
      </c>
      <c r="AE41" s="29" t="s">
        <v>21</v>
      </c>
      <c r="AG41">
        <f t="shared" si="0"/>
        <v>0</v>
      </c>
      <c r="AH41">
        <f t="shared" si="1"/>
        <v>14</v>
      </c>
      <c r="AI41">
        <f t="shared" si="2"/>
        <v>12</v>
      </c>
      <c r="AJ41">
        <f t="shared" si="3"/>
        <v>0</v>
      </c>
      <c r="AL41">
        <f t="shared" si="4"/>
        <v>0</v>
      </c>
      <c r="AM41">
        <f t="shared" si="5"/>
        <v>42</v>
      </c>
      <c r="AN41">
        <f t="shared" si="6"/>
        <v>24</v>
      </c>
      <c r="AO41">
        <f t="shared" si="7"/>
        <v>0</v>
      </c>
      <c r="AP41">
        <f t="shared" si="8"/>
        <v>66</v>
      </c>
    </row>
    <row r="42" spans="1:42" ht="15.75" hidden="1" customHeight="1" x14ac:dyDescent="0.3">
      <c r="A42" s="16"/>
      <c r="B42" s="55">
        <v>19</v>
      </c>
      <c r="C42" s="56" t="s">
        <v>60</v>
      </c>
      <c r="D42" s="55">
        <v>1</v>
      </c>
      <c r="E42" s="55" t="s">
        <v>21</v>
      </c>
      <c r="F42" s="18" t="s">
        <v>20</v>
      </c>
      <c r="G42" s="18" t="s">
        <v>21</v>
      </c>
      <c r="H42" s="18" t="s">
        <v>21</v>
      </c>
      <c r="I42" s="18" t="s">
        <v>21</v>
      </c>
      <c r="J42" s="18" t="s">
        <v>21</v>
      </c>
      <c r="K42" s="18" t="s">
        <v>21</v>
      </c>
      <c r="L42" s="18" t="s">
        <v>21</v>
      </c>
      <c r="M42" s="18" t="s">
        <v>21</v>
      </c>
      <c r="N42" s="18" t="s">
        <v>20</v>
      </c>
      <c r="O42" s="18" t="s">
        <v>20</v>
      </c>
      <c r="P42" s="18" t="s">
        <v>21</v>
      </c>
      <c r="Q42" s="18" t="s">
        <v>21</v>
      </c>
      <c r="R42" s="18" t="s">
        <v>21</v>
      </c>
      <c r="S42" s="18" t="s">
        <v>20</v>
      </c>
      <c r="T42" s="18" t="s">
        <v>21</v>
      </c>
      <c r="U42" s="18" t="s">
        <v>20</v>
      </c>
      <c r="V42" s="18" t="s">
        <v>21</v>
      </c>
      <c r="W42" s="18" t="s">
        <v>20</v>
      </c>
      <c r="X42" s="18" t="s">
        <v>20</v>
      </c>
      <c r="Y42" s="19" t="s">
        <v>20</v>
      </c>
      <c r="Z42" s="18" t="s">
        <v>20</v>
      </c>
      <c r="AA42" s="28" t="s">
        <v>21</v>
      </c>
      <c r="AB42" s="28" t="s">
        <v>23</v>
      </c>
      <c r="AC42" s="20" t="s">
        <v>21</v>
      </c>
      <c r="AD42" s="29" t="s">
        <v>21</v>
      </c>
      <c r="AE42" s="29" t="s">
        <v>21</v>
      </c>
      <c r="AG42">
        <f t="shared" si="0"/>
        <v>0</v>
      </c>
      <c r="AH42">
        <f t="shared" si="1"/>
        <v>9</v>
      </c>
      <c r="AI42">
        <f t="shared" si="2"/>
        <v>16</v>
      </c>
      <c r="AJ42">
        <f t="shared" si="3"/>
        <v>1</v>
      </c>
      <c r="AL42">
        <f t="shared" si="4"/>
        <v>0</v>
      </c>
      <c r="AM42">
        <f t="shared" si="5"/>
        <v>27</v>
      </c>
      <c r="AN42">
        <f t="shared" si="6"/>
        <v>32</v>
      </c>
      <c r="AO42">
        <f t="shared" si="7"/>
        <v>1</v>
      </c>
      <c r="AP42">
        <f t="shared" si="8"/>
        <v>60</v>
      </c>
    </row>
    <row r="43" spans="1:42" ht="15.75" hidden="1" customHeight="1" thickBot="1" x14ac:dyDescent="0.35">
      <c r="A43" s="16"/>
      <c r="B43" s="57">
        <v>20</v>
      </c>
      <c r="C43" s="58" t="s">
        <v>61</v>
      </c>
      <c r="D43" s="57">
        <v>1</v>
      </c>
      <c r="E43" s="57" t="s">
        <v>21</v>
      </c>
      <c r="F43" s="21" t="s">
        <v>20</v>
      </c>
      <c r="G43" s="21" t="s">
        <v>21</v>
      </c>
      <c r="H43" s="21" t="s">
        <v>20</v>
      </c>
      <c r="I43" s="21" t="s">
        <v>21</v>
      </c>
      <c r="J43" s="21" t="s">
        <v>21</v>
      </c>
      <c r="K43" s="21" t="s">
        <v>21</v>
      </c>
      <c r="L43" s="21" t="s">
        <v>21</v>
      </c>
      <c r="M43" s="21" t="s">
        <v>20</v>
      </c>
      <c r="N43" s="21" t="s">
        <v>20</v>
      </c>
      <c r="O43" s="21" t="s">
        <v>20</v>
      </c>
      <c r="P43" s="21" t="s">
        <v>21</v>
      </c>
      <c r="Q43" s="21" t="s">
        <v>21</v>
      </c>
      <c r="R43" s="21" t="s">
        <v>21</v>
      </c>
      <c r="S43" s="21" t="s">
        <v>23</v>
      </c>
      <c r="T43" s="21" t="s">
        <v>21</v>
      </c>
      <c r="U43" s="21" t="s">
        <v>21</v>
      </c>
      <c r="V43" s="21" t="s">
        <v>20</v>
      </c>
      <c r="W43" s="21" t="s">
        <v>20</v>
      </c>
      <c r="X43" s="21" t="s">
        <v>20</v>
      </c>
      <c r="Y43" s="22" t="s">
        <v>21</v>
      </c>
      <c r="Z43" s="21" t="s">
        <v>20</v>
      </c>
      <c r="AA43" s="30" t="s">
        <v>20</v>
      </c>
      <c r="AB43" s="30" t="s">
        <v>20</v>
      </c>
      <c r="AC43" s="23" t="s">
        <v>21</v>
      </c>
      <c r="AD43" s="31" t="s">
        <v>21</v>
      </c>
      <c r="AE43" s="31" t="s">
        <v>21</v>
      </c>
      <c r="AG43">
        <f t="shared" si="0"/>
        <v>0</v>
      </c>
      <c r="AH43">
        <f t="shared" si="1"/>
        <v>11</v>
      </c>
      <c r="AI43">
        <f t="shared" si="2"/>
        <v>14</v>
      </c>
      <c r="AJ43">
        <f t="shared" si="3"/>
        <v>1</v>
      </c>
      <c r="AL43">
        <f t="shared" si="4"/>
        <v>0</v>
      </c>
      <c r="AM43">
        <f t="shared" si="5"/>
        <v>33</v>
      </c>
      <c r="AN43">
        <f t="shared" si="6"/>
        <v>28</v>
      </c>
      <c r="AO43">
        <f t="shared" si="7"/>
        <v>1</v>
      </c>
      <c r="AP43">
        <f t="shared" si="8"/>
        <v>62</v>
      </c>
    </row>
    <row r="44" spans="1:42" ht="15.75" hidden="1" customHeight="1" x14ac:dyDescent="0.3">
      <c r="A44" s="16"/>
      <c r="B44" s="59">
        <v>1</v>
      </c>
      <c r="C44" s="60" t="s">
        <v>62</v>
      </c>
      <c r="D44" s="59">
        <v>2</v>
      </c>
      <c r="E44" s="59" t="s">
        <v>20</v>
      </c>
      <c r="F44" s="24" t="s">
        <v>21</v>
      </c>
      <c r="G44" s="24" t="s">
        <v>23</v>
      </c>
      <c r="H44" s="24" t="s">
        <v>21</v>
      </c>
      <c r="I44" s="24" t="s">
        <v>21</v>
      </c>
      <c r="J44" s="24" t="s">
        <v>21</v>
      </c>
      <c r="K44" s="24" t="s">
        <v>21</v>
      </c>
      <c r="L44" s="24" t="s">
        <v>20</v>
      </c>
      <c r="M44" s="24" t="s">
        <v>20</v>
      </c>
      <c r="N44" s="24" t="s">
        <v>20</v>
      </c>
      <c r="O44" s="24" t="s">
        <v>21</v>
      </c>
      <c r="P44" s="24" t="s">
        <v>21</v>
      </c>
      <c r="Q44" s="24" t="s">
        <v>21</v>
      </c>
      <c r="R44" s="24" t="s">
        <v>21</v>
      </c>
      <c r="S44" s="24" t="s">
        <v>20</v>
      </c>
      <c r="T44" s="24" t="s">
        <v>21</v>
      </c>
      <c r="U44" s="24" t="s">
        <v>20</v>
      </c>
      <c r="V44" s="32" t="s">
        <v>20</v>
      </c>
      <c r="W44" s="32" t="s">
        <v>20</v>
      </c>
      <c r="X44" s="33" t="s">
        <v>20</v>
      </c>
      <c r="Y44" s="25" t="s">
        <v>20</v>
      </c>
      <c r="Z44" s="24" t="s">
        <v>20</v>
      </c>
      <c r="AA44" s="27" t="s">
        <v>21</v>
      </c>
      <c r="AB44" s="27" t="s">
        <v>21</v>
      </c>
      <c r="AC44" s="27" t="s">
        <v>21</v>
      </c>
      <c r="AD44" s="34" t="s">
        <v>21</v>
      </c>
      <c r="AE44" s="34" t="s">
        <v>21</v>
      </c>
      <c r="AG44">
        <f t="shared" si="0"/>
        <v>0</v>
      </c>
      <c r="AH44">
        <f t="shared" si="1"/>
        <v>10</v>
      </c>
      <c r="AI44">
        <f t="shared" si="2"/>
        <v>15</v>
      </c>
      <c r="AJ44">
        <f t="shared" si="3"/>
        <v>1</v>
      </c>
      <c r="AL44">
        <f t="shared" si="4"/>
        <v>0</v>
      </c>
      <c r="AM44">
        <f t="shared" si="5"/>
        <v>30</v>
      </c>
      <c r="AN44">
        <f t="shared" si="6"/>
        <v>30</v>
      </c>
      <c r="AO44">
        <f t="shared" si="7"/>
        <v>1</v>
      </c>
      <c r="AP44">
        <f t="shared" si="8"/>
        <v>61</v>
      </c>
    </row>
    <row r="45" spans="1:42" ht="15.75" hidden="1" customHeight="1" x14ac:dyDescent="0.3">
      <c r="A45" s="16"/>
      <c r="B45" s="55">
        <v>2</v>
      </c>
      <c r="C45" s="56" t="s">
        <v>63</v>
      </c>
      <c r="D45" s="55">
        <v>2</v>
      </c>
      <c r="E45" s="55" t="s">
        <v>20</v>
      </c>
      <c r="F45" s="18" t="s">
        <v>21</v>
      </c>
      <c r="G45" s="18" t="s">
        <v>21</v>
      </c>
      <c r="H45" s="18" t="s">
        <v>23</v>
      </c>
      <c r="I45" s="18" t="s">
        <v>21</v>
      </c>
      <c r="J45" s="18" t="s">
        <v>21</v>
      </c>
      <c r="K45" s="18" t="s">
        <v>23</v>
      </c>
      <c r="L45" s="18" t="s">
        <v>23</v>
      </c>
      <c r="M45" s="18" t="s">
        <v>20</v>
      </c>
      <c r="N45" s="18" t="s">
        <v>20</v>
      </c>
      <c r="O45" s="18" t="s">
        <v>20</v>
      </c>
      <c r="P45" s="18" t="s">
        <v>20</v>
      </c>
      <c r="Q45" s="18" t="s">
        <v>20</v>
      </c>
      <c r="R45" s="18" t="s">
        <v>20</v>
      </c>
      <c r="S45" s="18" t="s">
        <v>21</v>
      </c>
      <c r="T45" s="18" t="s">
        <v>20</v>
      </c>
      <c r="U45" s="18" t="s">
        <v>20</v>
      </c>
      <c r="V45" s="35" t="s">
        <v>20</v>
      </c>
      <c r="W45" s="35" t="s">
        <v>20</v>
      </c>
      <c r="X45" s="36" t="s">
        <v>20</v>
      </c>
      <c r="Y45" s="19" t="s">
        <v>20</v>
      </c>
      <c r="Z45" s="18" t="s">
        <v>20</v>
      </c>
      <c r="AA45" s="20" t="s">
        <v>21</v>
      </c>
      <c r="AB45" s="20" t="s">
        <v>21</v>
      </c>
      <c r="AC45" s="20" t="s">
        <v>21</v>
      </c>
      <c r="AD45" s="29" t="s">
        <v>20</v>
      </c>
      <c r="AE45" s="29" t="s">
        <v>21</v>
      </c>
      <c r="AG45">
        <f t="shared" si="0"/>
        <v>0</v>
      </c>
      <c r="AH45">
        <f t="shared" si="1"/>
        <v>14</v>
      </c>
      <c r="AI45">
        <f t="shared" si="2"/>
        <v>9</v>
      </c>
      <c r="AJ45">
        <f t="shared" si="3"/>
        <v>3</v>
      </c>
      <c r="AL45">
        <f t="shared" si="4"/>
        <v>0</v>
      </c>
      <c r="AM45">
        <f t="shared" si="5"/>
        <v>42</v>
      </c>
      <c r="AN45">
        <f t="shared" si="6"/>
        <v>18</v>
      </c>
      <c r="AO45">
        <f t="shared" si="7"/>
        <v>3</v>
      </c>
      <c r="AP45">
        <f t="shared" si="8"/>
        <v>63</v>
      </c>
    </row>
    <row r="46" spans="1:42" ht="15.75" hidden="1" customHeight="1" x14ac:dyDescent="0.3">
      <c r="A46" s="16"/>
      <c r="B46" s="55">
        <v>3</v>
      </c>
      <c r="C46" s="56" t="s">
        <v>64</v>
      </c>
      <c r="D46" s="55">
        <v>2</v>
      </c>
      <c r="E46" s="55" t="s">
        <v>20</v>
      </c>
      <c r="F46" s="18" t="s">
        <v>21</v>
      </c>
      <c r="G46" s="18" t="s">
        <v>23</v>
      </c>
      <c r="H46" s="18" t="s">
        <v>21</v>
      </c>
      <c r="I46" s="18" t="s">
        <v>21</v>
      </c>
      <c r="J46" s="18" t="s">
        <v>20</v>
      </c>
      <c r="K46" s="18" t="s">
        <v>23</v>
      </c>
      <c r="L46" s="18" t="s">
        <v>21</v>
      </c>
      <c r="M46" s="18" t="s">
        <v>21</v>
      </c>
      <c r="N46" s="18" t="s">
        <v>21</v>
      </c>
      <c r="O46" s="18" t="s">
        <v>23</v>
      </c>
      <c r="P46" s="18" t="s">
        <v>21</v>
      </c>
      <c r="Q46" s="18" t="s">
        <v>20</v>
      </c>
      <c r="R46" s="18" t="s">
        <v>21</v>
      </c>
      <c r="S46" s="18" t="s">
        <v>23</v>
      </c>
      <c r="T46" s="18" t="s">
        <v>21</v>
      </c>
      <c r="U46" s="18" t="s">
        <v>20</v>
      </c>
      <c r="V46" s="35" t="s">
        <v>21</v>
      </c>
      <c r="W46" s="35" t="s">
        <v>21</v>
      </c>
      <c r="X46" s="36" t="s">
        <v>21</v>
      </c>
      <c r="Y46" s="19" t="s">
        <v>21</v>
      </c>
      <c r="Z46" s="18" t="s">
        <v>20</v>
      </c>
      <c r="AA46" s="20" t="s">
        <v>21</v>
      </c>
      <c r="AB46" s="20" t="s">
        <v>21</v>
      </c>
      <c r="AC46" s="20" t="s">
        <v>21</v>
      </c>
      <c r="AD46" s="29" t="s">
        <v>55</v>
      </c>
      <c r="AE46" s="29" t="s">
        <v>55</v>
      </c>
      <c r="AG46">
        <f t="shared" si="0"/>
        <v>0</v>
      </c>
      <c r="AH46">
        <f t="shared" si="1"/>
        <v>4</v>
      </c>
      <c r="AI46">
        <f t="shared" si="2"/>
        <v>16</v>
      </c>
      <c r="AJ46">
        <f t="shared" si="3"/>
        <v>4</v>
      </c>
      <c r="AL46">
        <f t="shared" si="4"/>
        <v>0</v>
      </c>
      <c r="AM46">
        <f t="shared" si="5"/>
        <v>12</v>
      </c>
      <c r="AN46">
        <f t="shared" si="6"/>
        <v>32</v>
      </c>
      <c r="AO46">
        <f t="shared" si="7"/>
        <v>4</v>
      </c>
      <c r="AP46">
        <f t="shared" si="8"/>
        <v>48</v>
      </c>
    </row>
    <row r="47" spans="1:42" ht="15.75" hidden="1" customHeight="1" x14ac:dyDescent="0.3">
      <c r="A47" s="16"/>
      <c r="B47" s="55">
        <v>4</v>
      </c>
      <c r="C47" s="56" t="s">
        <v>65</v>
      </c>
      <c r="D47" s="55">
        <v>2</v>
      </c>
      <c r="E47" s="55" t="s">
        <v>20</v>
      </c>
      <c r="F47" s="18" t="s">
        <v>21</v>
      </c>
      <c r="G47" s="18" t="s">
        <v>23</v>
      </c>
      <c r="H47" s="18" t="s">
        <v>21</v>
      </c>
      <c r="I47" s="18" t="s">
        <v>21</v>
      </c>
      <c r="J47" s="18" t="s">
        <v>21</v>
      </c>
      <c r="K47" s="18" t="s">
        <v>23</v>
      </c>
      <c r="L47" s="18" t="s">
        <v>21</v>
      </c>
      <c r="M47" s="18" t="s">
        <v>21</v>
      </c>
      <c r="N47" s="18" t="s">
        <v>21</v>
      </c>
      <c r="O47" s="18" t="s">
        <v>23</v>
      </c>
      <c r="P47" s="18" t="s">
        <v>23</v>
      </c>
      <c r="Q47" s="18" t="s">
        <v>23</v>
      </c>
      <c r="R47" s="18" t="s">
        <v>21</v>
      </c>
      <c r="S47" s="18" t="s">
        <v>23</v>
      </c>
      <c r="T47" s="18" t="s">
        <v>23</v>
      </c>
      <c r="U47" s="18" t="s">
        <v>20</v>
      </c>
      <c r="V47" s="35" t="s">
        <v>20</v>
      </c>
      <c r="W47" s="35" t="s">
        <v>20</v>
      </c>
      <c r="X47" s="36" t="s">
        <v>20</v>
      </c>
      <c r="Y47" s="19" t="s">
        <v>20</v>
      </c>
      <c r="Z47" s="18" t="s">
        <v>20</v>
      </c>
      <c r="AA47" s="20" t="s">
        <v>21</v>
      </c>
      <c r="AB47" s="20" t="s">
        <v>21</v>
      </c>
      <c r="AC47" s="20" t="s">
        <v>21</v>
      </c>
      <c r="AD47" s="29" t="s">
        <v>21</v>
      </c>
      <c r="AE47" s="29" t="s">
        <v>21</v>
      </c>
      <c r="AG47">
        <f t="shared" si="0"/>
        <v>0</v>
      </c>
      <c r="AH47">
        <f t="shared" si="1"/>
        <v>6</v>
      </c>
      <c r="AI47">
        <f t="shared" si="2"/>
        <v>13</v>
      </c>
      <c r="AJ47">
        <f t="shared" si="3"/>
        <v>7</v>
      </c>
      <c r="AL47">
        <f t="shared" si="4"/>
        <v>0</v>
      </c>
      <c r="AM47">
        <f t="shared" si="5"/>
        <v>18</v>
      </c>
      <c r="AN47">
        <f t="shared" si="6"/>
        <v>26</v>
      </c>
      <c r="AO47">
        <f t="shared" si="7"/>
        <v>7</v>
      </c>
      <c r="AP47">
        <f t="shared" si="8"/>
        <v>51</v>
      </c>
    </row>
    <row r="48" spans="1:42" ht="15.75" hidden="1" customHeight="1" x14ac:dyDescent="0.3">
      <c r="A48" s="16"/>
      <c r="B48" s="55">
        <v>5</v>
      </c>
      <c r="C48" s="56" t="s">
        <v>66</v>
      </c>
      <c r="D48" s="55">
        <v>2</v>
      </c>
      <c r="E48" s="55" t="s">
        <v>20</v>
      </c>
      <c r="F48" s="18" t="s">
        <v>21</v>
      </c>
      <c r="G48" s="18" t="s">
        <v>21</v>
      </c>
      <c r="H48" s="18" t="s">
        <v>21</v>
      </c>
      <c r="I48" s="18" t="s">
        <v>21</v>
      </c>
      <c r="J48" s="18" t="s">
        <v>21</v>
      </c>
      <c r="K48" s="18" t="s">
        <v>21</v>
      </c>
      <c r="L48" s="18" t="s">
        <v>21</v>
      </c>
      <c r="M48" s="18" t="s">
        <v>21</v>
      </c>
      <c r="N48" s="18" t="s">
        <v>21</v>
      </c>
      <c r="O48" s="18" t="s">
        <v>20</v>
      </c>
      <c r="P48" s="18" t="s">
        <v>21</v>
      </c>
      <c r="Q48" s="18" t="s">
        <v>21</v>
      </c>
      <c r="R48" s="18" t="s">
        <v>21</v>
      </c>
      <c r="S48" s="18" t="s">
        <v>20</v>
      </c>
      <c r="T48" s="18" t="s">
        <v>21</v>
      </c>
      <c r="U48" s="18" t="s">
        <v>20</v>
      </c>
      <c r="V48" s="35" t="s">
        <v>20</v>
      </c>
      <c r="W48" s="35" t="s">
        <v>20</v>
      </c>
      <c r="X48" s="36" t="s">
        <v>20</v>
      </c>
      <c r="Y48" s="19" t="s">
        <v>20</v>
      </c>
      <c r="Z48" s="18" t="s">
        <v>20</v>
      </c>
      <c r="AA48" s="20" t="s">
        <v>21</v>
      </c>
      <c r="AB48" s="20" t="s">
        <v>21</v>
      </c>
      <c r="AC48" s="20" t="s">
        <v>23</v>
      </c>
      <c r="AD48" s="29" t="s">
        <v>21</v>
      </c>
      <c r="AE48" s="29" t="s">
        <v>21</v>
      </c>
      <c r="AG48">
        <f t="shared" si="0"/>
        <v>0</v>
      </c>
      <c r="AH48">
        <f t="shared" si="1"/>
        <v>8</v>
      </c>
      <c r="AI48">
        <f t="shared" si="2"/>
        <v>17</v>
      </c>
      <c r="AJ48">
        <f t="shared" si="3"/>
        <v>1</v>
      </c>
      <c r="AL48">
        <f t="shared" si="4"/>
        <v>0</v>
      </c>
      <c r="AM48">
        <f t="shared" si="5"/>
        <v>24</v>
      </c>
      <c r="AN48">
        <f t="shared" si="6"/>
        <v>34</v>
      </c>
      <c r="AO48">
        <f t="shared" si="7"/>
        <v>1</v>
      </c>
      <c r="AP48">
        <f t="shared" si="8"/>
        <v>59</v>
      </c>
    </row>
    <row r="49" spans="1:42" ht="15.75" hidden="1" customHeight="1" x14ac:dyDescent="0.3">
      <c r="A49" s="16"/>
      <c r="B49" s="55">
        <v>6</v>
      </c>
      <c r="C49" s="56" t="s">
        <v>67</v>
      </c>
      <c r="D49" s="55">
        <v>2</v>
      </c>
      <c r="E49" s="55" t="s">
        <v>20</v>
      </c>
      <c r="F49" s="18" t="s">
        <v>20</v>
      </c>
      <c r="G49" s="18" t="s">
        <v>21</v>
      </c>
      <c r="H49" s="18" t="s">
        <v>20</v>
      </c>
      <c r="I49" s="18" t="s">
        <v>20</v>
      </c>
      <c r="J49" s="18" t="s">
        <v>20</v>
      </c>
      <c r="K49" s="18" t="s">
        <v>20</v>
      </c>
      <c r="L49" s="18" t="s">
        <v>20</v>
      </c>
      <c r="M49" s="18" t="s">
        <v>20</v>
      </c>
      <c r="N49" s="18" t="s">
        <v>20</v>
      </c>
      <c r="O49" s="18" t="s">
        <v>20</v>
      </c>
      <c r="P49" s="18" t="s">
        <v>20</v>
      </c>
      <c r="Q49" s="18" t="s">
        <v>20</v>
      </c>
      <c r="R49" s="18" t="s">
        <v>20</v>
      </c>
      <c r="S49" s="18" t="s">
        <v>20</v>
      </c>
      <c r="T49" s="18" t="s">
        <v>20</v>
      </c>
      <c r="U49" s="18" t="s">
        <v>20</v>
      </c>
      <c r="V49" s="37" t="s">
        <v>20</v>
      </c>
      <c r="W49" s="37" t="s">
        <v>20</v>
      </c>
      <c r="X49" s="37" t="s">
        <v>20</v>
      </c>
      <c r="Y49" s="18" t="s">
        <v>20</v>
      </c>
      <c r="Z49" s="18" t="s">
        <v>20</v>
      </c>
      <c r="AA49" s="20" t="s">
        <v>20</v>
      </c>
      <c r="AB49" s="20" t="s">
        <v>20</v>
      </c>
      <c r="AC49" s="20" t="s">
        <v>20</v>
      </c>
      <c r="AD49" s="29" t="s">
        <v>20</v>
      </c>
      <c r="AE49" s="29" t="s">
        <v>21</v>
      </c>
      <c r="AG49">
        <f t="shared" si="0"/>
        <v>0</v>
      </c>
      <c r="AH49">
        <f t="shared" si="1"/>
        <v>24</v>
      </c>
      <c r="AI49">
        <f t="shared" si="2"/>
        <v>2</v>
      </c>
      <c r="AJ49">
        <f t="shared" si="3"/>
        <v>0</v>
      </c>
      <c r="AL49">
        <f t="shared" si="4"/>
        <v>0</v>
      </c>
      <c r="AM49">
        <f t="shared" si="5"/>
        <v>72</v>
      </c>
      <c r="AN49">
        <f t="shared" si="6"/>
        <v>4</v>
      </c>
      <c r="AO49">
        <f t="shared" si="7"/>
        <v>0</v>
      </c>
      <c r="AP49">
        <f t="shared" si="8"/>
        <v>76</v>
      </c>
    </row>
    <row r="50" spans="1:42" ht="15.75" hidden="1" customHeight="1" x14ac:dyDescent="0.3">
      <c r="A50" s="16"/>
      <c r="B50" s="55">
        <v>7</v>
      </c>
      <c r="C50" s="56" t="s">
        <v>68</v>
      </c>
      <c r="D50" s="55">
        <v>2</v>
      </c>
      <c r="E50" s="55" t="s">
        <v>20</v>
      </c>
      <c r="F50" s="18" t="s">
        <v>21</v>
      </c>
      <c r="G50" s="18" t="s">
        <v>21</v>
      </c>
      <c r="H50" s="18" t="s">
        <v>21</v>
      </c>
      <c r="I50" s="18" t="s">
        <v>21</v>
      </c>
      <c r="J50" s="18" t="s">
        <v>20</v>
      </c>
      <c r="K50" s="18" t="s">
        <v>21</v>
      </c>
      <c r="L50" s="18" t="s">
        <v>21</v>
      </c>
      <c r="M50" s="18" t="s">
        <v>21</v>
      </c>
      <c r="N50" s="18" t="s">
        <v>20</v>
      </c>
      <c r="O50" s="18" t="s">
        <v>23</v>
      </c>
      <c r="P50" s="18" t="s">
        <v>21</v>
      </c>
      <c r="Q50" s="18" t="s">
        <v>21</v>
      </c>
      <c r="R50" s="18" t="s">
        <v>21</v>
      </c>
      <c r="S50" s="18" t="s">
        <v>21</v>
      </c>
      <c r="T50" s="18" t="s">
        <v>20</v>
      </c>
      <c r="U50" s="18" t="s">
        <v>20</v>
      </c>
      <c r="V50" s="37" t="s">
        <v>20</v>
      </c>
      <c r="W50" s="37" t="s">
        <v>20</v>
      </c>
      <c r="X50" s="37" t="s">
        <v>20</v>
      </c>
      <c r="Y50" s="18" t="s">
        <v>20</v>
      </c>
      <c r="Z50" s="18" t="s">
        <v>20</v>
      </c>
      <c r="AA50" s="20" t="s">
        <v>20</v>
      </c>
      <c r="AB50" s="20" t="s">
        <v>20</v>
      </c>
      <c r="AC50" s="20" t="s">
        <v>20</v>
      </c>
      <c r="AD50" s="29" t="s">
        <v>21</v>
      </c>
      <c r="AE50" s="29" t="s">
        <v>21</v>
      </c>
      <c r="AG50">
        <f t="shared" si="0"/>
        <v>0</v>
      </c>
      <c r="AH50">
        <f t="shared" si="1"/>
        <v>12</v>
      </c>
      <c r="AI50">
        <f t="shared" si="2"/>
        <v>13</v>
      </c>
      <c r="AJ50">
        <f t="shared" si="3"/>
        <v>1</v>
      </c>
      <c r="AL50">
        <f t="shared" si="4"/>
        <v>0</v>
      </c>
      <c r="AM50">
        <f t="shared" si="5"/>
        <v>36</v>
      </c>
      <c r="AN50">
        <f t="shared" si="6"/>
        <v>26</v>
      </c>
      <c r="AO50">
        <f t="shared" si="7"/>
        <v>1</v>
      </c>
      <c r="AP50">
        <f t="shared" si="8"/>
        <v>63</v>
      </c>
    </row>
    <row r="51" spans="1:42" ht="15.75" hidden="1" customHeight="1" x14ac:dyDescent="0.3">
      <c r="A51" s="16"/>
      <c r="B51" s="55">
        <v>8</v>
      </c>
      <c r="C51" s="56" t="s">
        <v>69</v>
      </c>
      <c r="D51" s="55">
        <v>2</v>
      </c>
      <c r="E51" s="55" t="s">
        <v>20</v>
      </c>
      <c r="F51" s="18" t="s">
        <v>21</v>
      </c>
      <c r="G51" s="18" t="s">
        <v>21</v>
      </c>
      <c r="H51" s="18" t="s">
        <v>21</v>
      </c>
      <c r="I51" s="18" t="s">
        <v>21</v>
      </c>
      <c r="J51" s="18" t="s">
        <v>20</v>
      </c>
      <c r="K51" s="18" t="s">
        <v>20</v>
      </c>
      <c r="L51" s="18" t="s">
        <v>20</v>
      </c>
      <c r="M51" s="18" t="s">
        <v>21</v>
      </c>
      <c r="N51" s="18" t="s">
        <v>20</v>
      </c>
      <c r="O51" s="18" t="s">
        <v>20</v>
      </c>
      <c r="P51" s="18" t="s">
        <v>20</v>
      </c>
      <c r="Q51" s="18" t="s">
        <v>20</v>
      </c>
      <c r="R51" s="18" t="s">
        <v>20</v>
      </c>
      <c r="S51" s="18" t="s">
        <v>20</v>
      </c>
      <c r="T51" s="18" t="s">
        <v>20</v>
      </c>
      <c r="U51" s="18" t="s">
        <v>21</v>
      </c>
      <c r="V51" s="37" t="s">
        <v>20</v>
      </c>
      <c r="W51" s="37" t="s">
        <v>20</v>
      </c>
      <c r="X51" s="37" t="s">
        <v>20</v>
      </c>
      <c r="Y51" s="18" t="s">
        <v>20</v>
      </c>
      <c r="Z51" s="18" t="s">
        <v>20</v>
      </c>
      <c r="AA51" s="20" t="s">
        <v>20</v>
      </c>
      <c r="AB51" s="20" t="s">
        <v>20</v>
      </c>
      <c r="AC51" s="20" t="s">
        <v>20</v>
      </c>
      <c r="AD51" s="29" t="s">
        <v>21</v>
      </c>
      <c r="AE51" s="29" t="s">
        <v>21</v>
      </c>
      <c r="AG51">
        <f t="shared" si="0"/>
        <v>0</v>
      </c>
      <c r="AH51">
        <f t="shared" si="1"/>
        <v>18</v>
      </c>
      <c r="AI51">
        <f t="shared" si="2"/>
        <v>8</v>
      </c>
      <c r="AJ51">
        <f t="shared" si="3"/>
        <v>0</v>
      </c>
      <c r="AL51">
        <f t="shared" si="4"/>
        <v>0</v>
      </c>
      <c r="AM51">
        <f t="shared" si="5"/>
        <v>54</v>
      </c>
      <c r="AN51">
        <f t="shared" si="6"/>
        <v>16</v>
      </c>
      <c r="AO51">
        <f t="shared" si="7"/>
        <v>0</v>
      </c>
      <c r="AP51">
        <f t="shared" si="8"/>
        <v>70</v>
      </c>
    </row>
    <row r="52" spans="1:42" ht="15.75" hidden="1" customHeight="1" x14ac:dyDescent="0.3">
      <c r="A52" s="16"/>
      <c r="B52" s="55">
        <v>9</v>
      </c>
      <c r="C52" s="56" t="s">
        <v>70</v>
      </c>
      <c r="D52" s="55">
        <v>2</v>
      </c>
      <c r="E52" s="55" t="s">
        <v>20</v>
      </c>
      <c r="F52" s="18" t="s">
        <v>21</v>
      </c>
      <c r="G52" s="18" t="s">
        <v>21</v>
      </c>
      <c r="H52" s="18" t="s">
        <v>21</v>
      </c>
      <c r="I52" s="18" t="s">
        <v>21</v>
      </c>
      <c r="J52" s="18" t="s">
        <v>21</v>
      </c>
      <c r="K52" s="18" t="s">
        <v>21</v>
      </c>
      <c r="L52" s="18" t="s">
        <v>21</v>
      </c>
      <c r="M52" s="18" t="s">
        <v>21</v>
      </c>
      <c r="N52" s="18" t="s">
        <v>21</v>
      </c>
      <c r="O52" s="18" t="s">
        <v>23</v>
      </c>
      <c r="P52" s="18" t="s">
        <v>21</v>
      </c>
      <c r="Q52" s="18" t="s">
        <v>21</v>
      </c>
      <c r="R52" s="18" t="s">
        <v>21</v>
      </c>
      <c r="S52" s="18" t="s">
        <v>23</v>
      </c>
      <c r="T52" s="18" t="s">
        <v>23</v>
      </c>
      <c r="U52" s="18" t="s">
        <v>20</v>
      </c>
      <c r="V52" s="37" t="s">
        <v>20</v>
      </c>
      <c r="W52" s="37" t="s">
        <v>20</v>
      </c>
      <c r="X52" s="37" t="s">
        <v>20</v>
      </c>
      <c r="Y52" s="18" t="s">
        <v>21</v>
      </c>
      <c r="Z52" s="18" t="s">
        <v>20</v>
      </c>
      <c r="AA52" s="20" t="s">
        <v>23</v>
      </c>
      <c r="AB52" s="20" t="s">
        <v>21</v>
      </c>
      <c r="AC52" s="20" t="s">
        <v>23</v>
      </c>
      <c r="AD52" s="29" t="s">
        <v>21</v>
      </c>
      <c r="AE52" s="29" t="s">
        <v>21</v>
      </c>
      <c r="AG52">
        <f t="shared" si="0"/>
        <v>0</v>
      </c>
      <c r="AH52">
        <f t="shared" si="1"/>
        <v>5</v>
      </c>
      <c r="AI52">
        <f t="shared" si="2"/>
        <v>16</v>
      </c>
      <c r="AJ52">
        <f t="shared" si="3"/>
        <v>5</v>
      </c>
      <c r="AL52">
        <f t="shared" si="4"/>
        <v>0</v>
      </c>
      <c r="AM52">
        <f t="shared" si="5"/>
        <v>15</v>
      </c>
      <c r="AN52">
        <f t="shared" si="6"/>
        <v>32</v>
      </c>
      <c r="AO52">
        <f t="shared" si="7"/>
        <v>5</v>
      </c>
      <c r="AP52">
        <f t="shared" si="8"/>
        <v>52</v>
      </c>
    </row>
    <row r="53" spans="1:42" ht="15.75" hidden="1" customHeight="1" x14ac:dyDescent="0.3">
      <c r="A53" s="16"/>
      <c r="B53" s="55">
        <v>10</v>
      </c>
      <c r="C53" s="56" t="s">
        <v>71</v>
      </c>
      <c r="D53" s="55">
        <v>2</v>
      </c>
      <c r="E53" s="55" t="s">
        <v>20</v>
      </c>
      <c r="F53" s="18" t="s">
        <v>21</v>
      </c>
      <c r="G53" s="18" t="s">
        <v>21</v>
      </c>
      <c r="H53" s="18" t="s">
        <v>21</v>
      </c>
      <c r="I53" s="18" t="s">
        <v>21</v>
      </c>
      <c r="J53" s="18" t="s">
        <v>20</v>
      </c>
      <c r="K53" s="18" t="s">
        <v>21</v>
      </c>
      <c r="L53" s="18" t="s">
        <v>21</v>
      </c>
      <c r="M53" s="18" t="s">
        <v>21</v>
      </c>
      <c r="N53" s="18" t="s">
        <v>21</v>
      </c>
      <c r="O53" s="18" t="s">
        <v>20</v>
      </c>
      <c r="P53" s="18" t="s">
        <v>21</v>
      </c>
      <c r="Q53" s="18" t="s">
        <v>21</v>
      </c>
      <c r="R53" s="18" t="s">
        <v>21</v>
      </c>
      <c r="S53" s="18" t="s">
        <v>21</v>
      </c>
      <c r="T53" s="18" t="s">
        <v>20</v>
      </c>
      <c r="U53" s="18" t="s">
        <v>20</v>
      </c>
      <c r="V53" s="37" t="s">
        <v>20</v>
      </c>
      <c r="W53" s="37" t="s">
        <v>20</v>
      </c>
      <c r="X53" s="37" t="s">
        <v>20</v>
      </c>
      <c r="Y53" s="18" t="s">
        <v>20</v>
      </c>
      <c r="Z53" s="18" t="s">
        <v>21</v>
      </c>
      <c r="AA53" s="20" t="s">
        <v>20</v>
      </c>
      <c r="AB53" s="20" t="s">
        <v>21</v>
      </c>
      <c r="AC53" s="20" t="s">
        <v>21</v>
      </c>
      <c r="AD53" s="29" t="s">
        <v>21</v>
      </c>
      <c r="AE53" s="29" t="s">
        <v>21</v>
      </c>
      <c r="AG53">
        <f t="shared" si="0"/>
        <v>0</v>
      </c>
      <c r="AH53">
        <f t="shared" si="1"/>
        <v>9</v>
      </c>
      <c r="AI53">
        <f t="shared" si="2"/>
        <v>17</v>
      </c>
      <c r="AJ53">
        <f t="shared" si="3"/>
        <v>0</v>
      </c>
      <c r="AL53">
        <f t="shared" si="4"/>
        <v>0</v>
      </c>
      <c r="AM53">
        <f t="shared" si="5"/>
        <v>27</v>
      </c>
      <c r="AN53">
        <f t="shared" si="6"/>
        <v>34</v>
      </c>
      <c r="AO53">
        <f t="shared" si="7"/>
        <v>0</v>
      </c>
      <c r="AP53">
        <f t="shared" si="8"/>
        <v>61</v>
      </c>
    </row>
    <row r="54" spans="1:42" ht="15.75" hidden="1" customHeight="1" x14ac:dyDescent="0.3">
      <c r="A54" s="16"/>
      <c r="B54" s="55">
        <v>11</v>
      </c>
      <c r="C54" s="56" t="s">
        <v>72</v>
      </c>
      <c r="D54" s="55">
        <v>2</v>
      </c>
      <c r="E54" s="55" t="s">
        <v>20</v>
      </c>
      <c r="F54" s="18" t="s">
        <v>20</v>
      </c>
      <c r="G54" s="18" t="s">
        <v>20</v>
      </c>
      <c r="H54" s="18" t="s">
        <v>20</v>
      </c>
      <c r="I54" s="18" t="s">
        <v>20</v>
      </c>
      <c r="J54" s="18" t="s">
        <v>20</v>
      </c>
      <c r="K54" s="18" t="s">
        <v>20</v>
      </c>
      <c r="L54" s="18" t="s">
        <v>20</v>
      </c>
      <c r="M54" s="18" t="s">
        <v>20</v>
      </c>
      <c r="N54" s="18" t="s">
        <v>20</v>
      </c>
      <c r="O54" s="18" t="s">
        <v>20</v>
      </c>
      <c r="P54" s="18" t="s">
        <v>20</v>
      </c>
      <c r="Q54" s="18" t="s">
        <v>20</v>
      </c>
      <c r="R54" s="18" t="s">
        <v>20</v>
      </c>
      <c r="S54" s="18" t="s">
        <v>20</v>
      </c>
      <c r="T54" s="18" t="s">
        <v>21</v>
      </c>
      <c r="U54" s="18" t="s">
        <v>20</v>
      </c>
      <c r="V54" s="37" t="s">
        <v>21</v>
      </c>
      <c r="W54" s="37" t="s">
        <v>20</v>
      </c>
      <c r="X54" s="37" t="s">
        <v>21</v>
      </c>
      <c r="Y54" s="18" t="s">
        <v>20</v>
      </c>
      <c r="Z54" s="18" t="s">
        <v>20</v>
      </c>
      <c r="AA54" s="20" t="s">
        <v>20</v>
      </c>
      <c r="AB54" s="20" t="s">
        <v>20</v>
      </c>
      <c r="AC54" s="20" t="s">
        <v>20</v>
      </c>
      <c r="AD54" s="29" t="s">
        <v>55</v>
      </c>
      <c r="AE54" s="29" t="s">
        <v>55</v>
      </c>
      <c r="AG54">
        <f t="shared" si="0"/>
        <v>0</v>
      </c>
      <c r="AH54">
        <f t="shared" si="1"/>
        <v>21</v>
      </c>
      <c r="AI54">
        <f t="shared" si="2"/>
        <v>3</v>
      </c>
      <c r="AJ54">
        <f t="shared" si="3"/>
        <v>0</v>
      </c>
      <c r="AL54">
        <f t="shared" si="4"/>
        <v>0</v>
      </c>
      <c r="AM54">
        <f t="shared" si="5"/>
        <v>63</v>
      </c>
      <c r="AN54">
        <f t="shared" si="6"/>
        <v>6</v>
      </c>
      <c r="AO54">
        <f t="shared" si="7"/>
        <v>0</v>
      </c>
      <c r="AP54">
        <f t="shared" si="8"/>
        <v>69</v>
      </c>
    </row>
    <row r="55" spans="1:42" ht="15.75" hidden="1" customHeight="1" x14ac:dyDescent="0.3">
      <c r="A55" s="16"/>
      <c r="B55" s="55">
        <v>12</v>
      </c>
      <c r="C55" s="56" t="s">
        <v>73</v>
      </c>
      <c r="D55" s="55">
        <v>2</v>
      </c>
      <c r="E55" s="55" t="s">
        <v>20</v>
      </c>
      <c r="F55" s="18" t="s">
        <v>20</v>
      </c>
      <c r="G55" s="18" t="s">
        <v>21</v>
      </c>
      <c r="H55" s="18" t="s">
        <v>21</v>
      </c>
      <c r="I55" s="18" t="s">
        <v>21</v>
      </c>
      <c r="J55" s="18" t="s">
        <v>21</v>
      </c>
      <c r="K55" s="18" t="s">
        <v>21</v>
      </c>
      <c r="L55" s="18" t="s">
        <v>21</v>
      </c>
      <c r="M55" s="18" t="s">
        <v>21</v>
      </c>
      <c r="N55" s="18" t="s">
        <v>21</v>
      </c>
      <c r="O55" s="18" t="s">
        <v>23</v>
      </c>
      <c r="P55" s="18" t="s">
        <v>23</v>
      </c>
      <c r="Q55" s="18" t="s">
        <v>23</v>
      </c>
      <c r="R55" s="18" t="s">
        <v>21</v>
      </c>
      <c r="S55" s="18" t="s">
        <v>23</v>
      </c>
      <c r="T55" s="18" t="s">
        <v>23</v>
      </c>
      <c r="U55" s="18" t="s">
        <v>21</v>
      </c>
      <c r="V55" s="37" t="s">
        <v>21</v>
      </c>
      <c r="W55" s="37" t="s">
        <v>21</v>
      </c>
      <c r="X55" s="37" t="s">
        <v>21</v>
      </c>
      <c r="Y55" s="18" t="s">
        <v>21</v>
      </c>
      <c r="Z55" s="18" t="s">
        <v>21</v>
      </c>
      <c r="AA55" s="20" t="s">
        <v>23</v>
      </c>
      <c r="AB55" s="20" t="s">
        <v>21</v>
      </c>
      <c r="AC55" s="20" t="s">
        <v>23</v>
      </c>
      <c r="AD55" s="29" t="s">
        <v>23</v>
      </c>
      <c r="AE55" s="29" t="s">
        <v>21</v>
      </c>
      <c r="AG55">
        <f t="shared" si="0"/>
        <v>0</v>
      </c>
      <c r="AH55">
        <f t="shared" si="1"/>
        <v>1</v>
      </c>
      <c r="AI55">
        <f t="shared" si="2"/>
        <v>17</v>
      </c>
      <c r="AJ55">
        <f t="shared" si="3"/>
        <v>8</v>
      </c>
      <c r="AL55">
        <f t="shared" si="4"/>
        <v>0</v>
      </c>
      <c r="AM55">
        <f t="shared" si="5"/>
        <v>3</v>
      </c>
      <c r="AN55">
        <f t="shared" si="6"/>
        <v>34</v>
      </c>
      <c r="AO55">
        <f t="shared" si="7"/>
        <v>8</v>
      </c>
      <c r="AP55">
        <f t="shared" si="8"/>
        <v>45</v>
      </c>
    </row>
    <row r="56" spans="1:42" ht="15.75" hidden="1" customHeight="1" x14ac:dyDescent="0.3">
      <c r="A56" s="16"/>
      <c r="B56" s="55">
        <v>13</v>
      </c>
      <c r="C56" s="56" t="s">
        <v>74</v>
      </c>
      <c r="D56" s="55">
        <v>2</v>
      </c>
      <c r="E56" s="55" t="s">
        <v>20</v>
      </c>
      <c r="F56" s="18" t="s">
        <v>21</v>
      </c>
      <c r="G56" s="18" t="s">
        <v>21</v>
      </c>
      <c r="H56" s="18" t="s">
        <v>21</v>
      </c>
      <c r="I56" s="18" t="s">
        <v>21</v>
      </c>
      <c r="J56" s="18" t="s">
        <v>21</v>
      </c>
      <c r="K56" s="18" t="s">
        <v>23</v>
      </c>
      <c r="L56" s="18" t="s">
        <v>21</v>
      </c>
      <c r="M56" s="18" t="s">
        <v>21</v>
      </c>
      <c r="N56" s="18" t="s">
        <v>21</v>
      </c>
      <c r="O56" s="18" t="s">
        <v>23</v>
      </c>
      <c r="P56" s="18" t="s">
        <v>23</v>
      </c>
      <c r="Q56" s="18" t="s">
        <v>23</v>
      </c>
      <c r="R56" s="18" t="s">
        <v>23</v>
      </c>
      <c r="S56" s="18" t="s">
        <v>23</v>
      </c>
      <c r="T56" s="18" t="s">
        <v>23</v>
      </c>
      <c r="U56" s="18" t="s">
        <v>21</v>
      </c>
      <c r="V56" s="37" t="s">
        <v>20</v>
      </c>
      <c r="W56" s="37" t="s">
        <v>20</v>
      </c>
      <c r="X56" s="37" t="s">
        <v>20</v>
      </c>
      <c r="Y56" s="18" t="s">
        <v>21</v>
      </c>
      <c r="Z56" s="18" t="s">
        <v>21</v>
      </c>
      <c r="AA56" s="20" t="s">
        <v>21</v>
      </c>
      <c r="AB56" s="20" t="s">
        <v>23</v>
      </c>
      <c r="AC56" s="20" t="s">
        <v>23</v>
      </c>
      <c r="AD56" s="29" t="s">
        <v>23</v>
      </c>
      <c r="AE56" s="29" t="s">
        <v>21</v>
      </c>
      <c r="AG56">
        <f t="shared" si="0"/>
        <v>0</v>
      </c>
      <c r="AH56">
        <f t="shared" si="1"/>
        <v>3</v>
      </c>
      <c r="AI56">
        <f t="shared" si="2"/>
        <v>13</v>
      </c>
      <c r="AJ56">
        <f t="shared" si="3"/>
        <v>10</v>
      </c>
      <c r="AL56">
        <f t="shared" si="4"/>
        <v>0</v>
      </c>
      <c r="AM56">
        <f t="shared" si="5"/>
        <v>9</v>
      </c>
      <c r="AN56">
        <f t="shared" si="6"/>
        <v>26</v>
      </c>
      <c r="AO56">
        <f t="shared" si="7"/>
        <v>10</v>
      </c>
      <c r="AP56">
        <f t="shared" si="8"/>
        <v>45</v>
      </c>
    </row>
    <row r="57" spans="1:42" ht="15.75" hidden="1" customHeight="1" x14ac:dyDescent="0.3">
      <c r="A57" s="16"/>
      <c r="B57" s="55">
        <v>14</v>
      </c>
      <c r="C57" s="56" t="s">
        <v>75</v>
      </c>
      <c r="D57" s="55">
        <v>2</v>
      </c>
      <c r="E57" s="55" t="s">
        <v>20</v>
      </c>
      <c r="F57" s="18" t="s">
        <v>20</v>
      </c>
      <c r="G57" s="18" t="s">
        <v>21</v>
      </c>
      <c r="H57" s="18" t="s">
        <v>21</v>
      </c>
      <c r="I57" s="18" t="s">
        <v>21</v>
      </c>
      <c r="J57" s="18" t="s">
        <v>21</v>
      </c>
      <c r="K57" s="18" t="s">
        <v>23</v>
      </c>
      <c r="L57" s="18" t="s">
        <v>20</v>
      </c>
      <c r="M57" s="18" t="s">
        <v>21</v>
      </c>
      <c r="N57" s="18" t="s">
        <v>21</v>
      </c>
      <c r="O57" s="18" t="s">
        <v>23</v>
      </c>
      <c r="P57" s="18" t="s">
        <v>20</v>
      </c>
      <c r="Q57" s="18" t="s">
        <v>20</v>
      </c>
      <c r="R57" s="18" t="s">
        <v>21</v>
      </c>
      <c r="S57" s="18" t="s">
        <v>21</v>
      </c>
      <c r="T57" s="18" t="s">
        <v>23</v>
      </c>
      <c r="U57" s="18" t="s">
        <v>21</v>
      </c>
      <c r="V57" s="37" t="s">
        <v>21</v>
      </c>
      <c r="W57" s="37" t="s">
        <v>20</v>
      </c>
      <c r="X57" s="37" t="s">
        <v>21</v>
      </c>
      <c r="Y57" s="18" t="s">
        <v>21</v>
      </c>
      <c r="Z57" s="18" t="s">
        <v>20</v>
      </c>
      <c r="AA57" s="20" t="s">
        <v>23</v>
      </c>
      <c r="AB57" s="20" t="s">
        <v>21</v>
      </c>
      <c r="AC57" s="20" t="s">
        <v>21</v>
      </c>
      <c r="AD57" s="29" t="s">
        <v>23</v>
      </c>
      <c r="AE57" s="29" t="s">
        <v>21</v>
      </c>
      <c r="AG57">
        <f t="shared" si="0"/>
        <v>0</v>
      </c>
      <c r="AH57">
        <f t="shared" si="1"/>
        <v>6</v>
      </c>
      <c r="AI57">
        <f t="shared" si="2"/>
        <v>15</v>
      </c>
      <c r="AJ57">
        <f t="shared" si="3"/>
        <v>5</v>
      </c>
      <c r="AL57">
        <f t="shared" si="4"/>
        <v>0</v>
      </c>
      <c r="AM57">
        <f t="shared" si="5"/>
        <v>18</v>
      </c>
      <c r="AN57">
        <f t="shared" si="6"/>
        <v>30</v>
      </c>
      <c r="AO57">
        <f t="shared" si="7"/>
        <v>5</v>
      </c>
      <c r="AP57">
        <f t="shared" si="8"/>
        <v>53</v>
      </c>
    </row>
    <row r="58" spans="1:42" ht="15.75" hidden="1" customHeight="1" x14ac:dyDescent="0.3">
      <c r="A58" s="16"/>
      <c r="B58" s="55">
        <v>15</v>
      </c>
      <c r="C58" s="56" t="s">
        <v>76</v>
      </c>
      <c r="D58" s="55">
        <v>2</v>
      </c>
      <c r="E58" s="55" t="s">
        <v>20</v>
      </c>
      <c r="F58" s="18" t="s">
        <v>20</v>
      </c>
      <c r="G58" s="18" t="s">
        <v>21</v>
      </c>
      <c r="H58" s="18" t="s">
        <v>21</v>
      </c>
      <c r="I58" s="18" t="s">
        <v>21</v>
      </c>
      <c r="J58" s="18" t="s">
        <v>20</v>
      </c>
      <c r="K58" s="18" t="s">
        <v>21</v>
      </c>
      <c r="L58" s="18" t="s">
        <v>21</v>
      </c>
      <c r="M58" s="18" t="s">
        <v>21</v>
      </c>
      <c r="N58" s="18" t="s">
        <v>21</v>
      </c>
      <c r="O58" s="18" t="s">
        <v>20</v>
      </c>
      <c r="P58" s="18" t="s">
        <v>21</v>
      </c>
      <c r="Q58" s="18" t="s">
        <v>21</v>
      </c>
      <c r="R58" s="18" t="s">
        <v>21</v>
      </c>
      <c r="S58" s="18" t="s">
        <v>20</v>
      </c>
      <c r="T58" s="18" t="s">
        <v>21</v>
      </c>
      <c r="U58" s="18" t="s">
        <v>21</v>
      </c>
      <c r="V58" s="37" t="s">
        <v>21</v>
      </c>
      <c r="W58" s="37" t="s">
        <v>20</v>
      </c>
      <c r="X58" s="37" t="s">
        <v>20</v>
      </c>
      <c r="Y58" s="18" t="s">
        <v>21</v>
      </c>
      <c r="Z58" s="18" t="s">
        <v>21</v>
      </c>
      <c r="AA58" s="20" t="s">
        <v>21</v>
      </c>
      <c r="AB58" s="20" t="s">
        <v>21</v>
      </c>
      <c r="AC58" s="20" t="s">
        <v>21</v>
      </c>
      <c r="AD58" s="29" t="s">
        <v>23</v>
      </c>
      <c r="AE58" s="29" t="s">
        <v>21</v>
      </c>
      <c r="AG58">
        <f t="shared" si="0"/>
        <v>0</v>
      </c>
      <c r="AH58">
        <f t="shared" si="1"/>
        <v>6</v>
      </c>
      <c r="AI58">
        <f t="shared" si="2"/>
        <v>19</v>
      </c>
      <c r="AJ58">
        <f t="shared" si="3"/>
        <v>1</v>
      </c>
      <c r="AL58">
        <f t="shared" si="4"/>
        <v>0</v>
      </c>
      <c r="AM58">
        <f t="shared" si="5"/>
        <v>18</v>
      </c>
      <c r="AN58">
        <f t="shared" si="6"/>
        <v>38</v>
      </c>
      <c r="AO58">
        <f t="shared" si="7"/>
        <v>1</v>
      </c>
      <c r="AP58">
        <f t="shared" si="8"/>
        <v>57</v>
      </c>
    </row>
    <row r="59" spans="1:42" ht="15.75" hidden="1" customHeight="1" x14ac:dyDescent="0.3">
      <c r="A59" s="16"/>
      <c r="B59" s="55">
        <v>16</v>
      </c>
      <c r="C59" s="56" t="s">
        <v>77</v>
      </c>
      <c r="D59" s="55">
        <v>2</v>
      </c>
      <c r="E59" s="55" t="s">
        <v>20</v>
      </c>
      <c r="F59" s="18" t="s">
        <v>21</v>
      </c>
      <c r="G59" s="18" t="s">
        <v>21</v>
      </c>
      <c r="H59" s="18" t="s">
        <v>21</v>
      </c>
      <c r="I59" s="18" t="s">
        <v>21</v>
      </c>
      <c r="J59" s="18" t="s">
        <v>21</v>
      </c>
      <c r="K59" s="18" t="s">
        <v>21</v>
      </c>
      <c r="L59" s="18" t="s">
        <v>21</v>
      </c>
      <c r="M59" s="18" t="s">
        <v>20</v>
      </c>
      <c r="N59" s="18" t="s">
        <v>20</v>
      </c>
      <c r="O59" s="18" t="s">
        <v>20</v>
      </c>
      <c r="P59" s="18" t="s">
        <v>21</v>
      </c>
      <c r="Q59" s="18" t="s">
        <v>21</v>
      </c>
      <c r="R59" s="18" t="s">
        <v>21</v>
      </c>
      <c r="S59" s="18" t="s">
        <v>20</v>
      </c>
      <c r="T59" s="18" t="s">
        <v>20</v>
      </c>
      <c r="U59" s="18" t="s">
        <v>21</v>
      </c>
      <c r="V59" s="37" t="s">
        <v>20</v>
      </c>
      <c r="W59" s="37" t="s">
        <v>20</v>
      </c>
      <c r="X59" s="37" t="s">
        <v>20</v>
      </c>
      <c r="Y59" s="18" t="s">
        <v>20</v>
      </c>
      <c r="Z59" s="18" t="s">
        <v>20</v>
      </c>
      <c r="AA59" s="20" t="s">
        <v>21</v>
      </c>
      <c r="AB59" s="20" t="s">
        <v>21</v>
      </c>
      <c r="AC59" s="20" t="s">
        <v>21</v>
      </c>
      <c r="AD59" s="29" t="s">
        <v>21</v>
      </c>
      <c r="AE59" s="29" t="s">
        <v>21</v>
      </c>
      <c r="AG59">
        <f t="shared" si="0"/>
        <v>0</v>
      </c>
      <c r="AH59">
        <f t="shared" si="1"/>
        <v>10</v>
      </c>
      <c r="AI59">
        <f t="shared" si="2"/>
        <v>16</v>
      </c>
      <c r="AJ59">
        <f t="shared" si="3"/>
        <v>0</v>
      </c>
      <c r="AL59">
        <f t="shared" si="4"/>
        <v>0</v>
      </c>
      <c r="AM59">
        <f t="shared" si="5"/>
        <v>30</v>
      </c>
      <c r="AN59">
        <f t="shared" si="6"/>
        <v>32</v>
      </c>
      <c r="AO59">
        <f t="shared" si="7"/>
        <v>0</v>
      </c>
      <c r="AP59">
        <f t="shared" si="8"/>
        <v>62</v>
      </c>
    </row>
    <row r="60" spans="1:42" ht="15.75" hidden="1" customHeight="1" x14ac:dyDescent="0.3">
      <c r="A60" s="16"/>
      <c r="B60" s="55">
        <v>17</v>
      </c>
      <c r="C60" s="56" t="s">
        <v>78</v>
      </c>
      <c r="D60" s="55">
        <v>2</v>
      </c>
      <c r="E60" s="55" t="s">
        <v>20</v>
      </c>
      <c r="F60" s="18" t="s">
        <v>21</v>
      </c>
      <c r="G60" s="18" t="s">
        <v>21</v>
      </c>
      <c r="H60" s="18" t="s">
        <v>21</v>
      </c>
      <c r="I60" s="18" t="s">
        <v>21</v>
      </c>
      <c r="J60" s="18" t="s">
        <v>23</v>
      </c>
      <c r="K60" s="18" t="s">
        <v>21</v>
      </c>
      <c r="L60" s="18" t="s">
        <v>21</v>
      </c>
      <c r="M60" s="18" t="s">
        <v>21</v>
      </c>
      <c r="N60" s="18" t="s">
        <v>21</v>
      </c>
      <c r="O60" s="18" t="s">
        <v>20</v>
      </c>
      <c r="P60" s="18" t="s">
        <v>21</v>
      </c>
      <c r="Q60" s="18" t="s">
        <v>21</v>
      </c>
      <c r="R60" s="18" t="s">
        <v>21</v>
      </c>
      <c r="S60" s="18" t="s">
        <v>21</v>
      </c>
      <c r="T60" s="18" t="s">
        <v>21</v>
      </c>
      <c r="U60" s="18" t="s">
        <v>21</v>
      </c>
      <c r="V60" s="37" t="s">
        <v>20</v>
      </c>
      <c r="W60" s="37" t="s">
        <v>20</v>
      </c>
      <c r="X60" s="37" t="s">
        <v>20</v>
      </c>
      <c r="Y60" s="18" t="s">
        <v>20</v>
      </c>
      <c r="Z60" s="18" t="s">
        <v>20</v>
      </c>
      <c r="AA60" s="20" t="s">
        <v>23</v>
      </c>
      <c r="AB60" s="20" t="s">
        <v>23</v>
      </c>
      <c r="AC60" s="20" t="s">
        <v>21</v>
      </c>
      <c r="AD60" s="29" t="s">
        <v>21</v>
      </c>
      <c r="AE60" s="29" t="s">
        <v>21</v>
      </c>
      <c r="AG60">
        <f t="shared" si="0"/>
        <v>0</v>
      </c>
      <c r="AH60">
        <f t="shared" si="1"/>
        <v>6</v>
      </c>
      <c r="AI60">
        <f t="shared" si="2"/>
        <v>17</v>
      </c>
      <c r="AJ60">
        <f t="shared" si="3"/>
        <v>3</v>
      </c>
      <c r="AL60">
        <f t="shared" si="4"/>
        <v>0</v>
      </c>
      <c r="AM60">
        <f t="shared" si="5"/>
        <v>18</v>
      </c>
      <c r="AN60">
        <f t="shared" si="6"/>
        <v>34</v>
      </c>
      <c r="AO60">
        <f t="shared" si="7"/>
        <v>3</v>
      </c>
      <c r="AP60">
        <f t="shared" si="8"/>
        <v>55</v>
      </c>
    </row>
    <row r="61" spans="1:42" ht="15.75" hidden="1" customHeight="1" x14ac:dyDescent="0.3">
      <c r="A61" s="16"/>
      <c r="B61" s="55">
        <v>18</v>
      </c>
      <c r="C61" s="56" t="s">
        <v>79</v>
      </c>
      <c r="D61" s="55">
        <v>2</v>
      </c>
      <c r="E61" s="55" t="s">
        <v>20</v>
      </c>
      <c r="F61" s="18" t="s">
        <v>20</v>
      </c>
      <c r="G61" s="18" t="s">
        <v>20</v>
      </c>
      <c r="H61" s="18" t="s">
        <v>20</v>
      </c>
      <c r="I61" s="18" t="s">
        <v>20</v>
      </c>
      <c r="J61" s="18" t="s">
        <v>20</v>
      </c>
      <c r="K61" s="18" t="s">
        <v>20</v>
      </c>
      <c r="L61" s="18" t="s">
        <v>20</v>
      </c>
      <c r="M61" s="18" t="s">
        <v>20</v>
      </c>
      <c r="N61" s="18" t="s">
        <v>20</v>
      </c>
      <c r="O61" s="18" t="s">
        <v>20</v>
      </c>
      <c r="P61" s="18" t="s">
        <v>20</v>
      </c>
      <c r="Q61" s="18" t="s">
        <v>20</v>
      </c>
      <c r="R61" s="18" t="s">
        <v>20</v>
      </c>
      <c r="S61" s="18" t="s">
        <v>20</v>
      </c>
      <c r="T61" s="18" t="s">
        <v>20</v>
      </c>
      <c r="U61" s="18" t="s">
        <v>20</v>
      </c>
      <c r="V61" s="37" t="s">
        <v>20</v>
      </c>
      <c r="W61" s="37" t="s">
        <v>20</v>
      </c>
      <c r="X61" s="37" t="s">
        <v>20</v>
      </c>
      <c r="Y61" s="18" t="s">
        <v>39</v>
      </c>
      <c r="Z61" s="18" t="s">
        <v>39</v>
      </c>
      <c r="AA61" s="20" t="s">
        <v>20</v>
      </c>
      <c r="AB61" s="20" t="s">
        <v>20</v>
      </c>
      <c r="AC61" s="20" t="s">
        <v>20</v>
      </c>
      <c r="AD61" s="29" t="s">
        <v>20</v>
      </c>
      <c r="AE61" s="29" t="s">
        <v>21</v>
      </c>
      <c r="AG61">
        <f t="shared" si="0"/>
        <v>2</v>
      </c>
      <c r="AH61">
        <f t="shared" si="1"/>
        <v>23</v>
      </c>
      <c r="AI61">
        <f t="shared" si="2"/>
        <v>1</v>
      </c>
      <c r="AJ61">
        <f t="shared" si="3"/>
        <v>0</v>
      </c>
      <c r="AL61">
        <f t="shared" si="4"/>
        <v>8</v>
      </c>
      <c r="AM61">
        <f t="shared" si="5"/>
        <v>69</v>
      </c>
      <c r="AN61">
        <f t="shared" si="6"/>
        <v>2</v>
      </c>
      <c r="AO61">
        <f t="shared" si="7"/>
        <v>0</v>
      </c>
      <c r="AP61">
        <f t="shared" si="8"/>
        <v>79</v>
      </c>
    </row>
    <row r="62" spans="1:42" ht="15.75" hidden="1" customHeight="1" x14ac:dyDescent="0.3">
      <c r="A62" s="16"/>
      <c r="B62" s="55">
        <v>19</v>
      </c>
      <c r="C62" s="56" t="s">
        <v>80</v>
      </c>
      <c r="D62" s="55">
        <v>2</v>
      </c>
      <c r="E62" s="55" t="s">
        <v>20</v>
      </c>
      <c r="F62" s="18" t="s">
        <v>21</v>
      </c>
      <c r="G62" s="18" t="s">
        <v>20</v>
      </c>
      <c r="H62" s="18" t="s">
        <v>21</v>
      </c>
      <c r="I62" s="18" t="s">
        <v>21</v>
      </c>
      <c r="J62" s="18" t="s">
        <v>21</v>
      </c>
      <c r="K62" s="18" t="s">
        <v>23</v>
      </c>
      <c r="L62" s="18" t="s">
        <v>23</v>
      </c>
      <c r="M62" s="18" t="s">
        <v>21</v>
      </c>
      <c r="N62" s="18" t="s">
        <v>21</v>
      </c>
      <c r="O62" s="18" t="s">
        <v>20</v>
      </c>
      <c r="P62" s="18" t="s">
        <v>21</v>
      </c>
      <c r="Q62" s="18" t="s">
        <v>21</v>
      </c>
      <c r="R62" s="18" t="s">
        <v>23</v>
      </c>
      <c r="S62" s="18" t="s">
        <v>21</v>
      </c>
      <c r="T62" s="18" t="s">
        <v>21</v>
      </c>
      <c r="U62" s="18" t="s">
        <v>21</v>
      </c>
      <c r="V62" s="37" t="s">
        <v>21</v>
      </c>
      <c r="W62" s="37" t="s">
        <v>20</v>
      </c>
      <c r="X62" s="37" t="s">
        <v>20</v>
      </c>
      <c r="Y62" s="18" t="s">
        <v>20</v>
      </c>
      <c r="Z62" s="18" t="s">
        <v>20</v>
      </c>
      <c r="AA62" s="20" t="s">
        <v>23</v>
      </c>
      <c r="AB62" s="20" t="s">
        <v>21</v>
      </c>
      <c r="AC62" s="20" t="s">
        <v>21</v>
      </c>
      <c r="AD62" s="29" t="s">
        <v>23</v>
      </c>
      <c r="AE62" s="29" t="s">
        <v>21</v>
      </c>
      <c r="AG62">
        <f t="shared" si="0"/>
        <v>0</v>
      </c>
      <c r="AH62">
        <f t="shared" si="1"/>
        <v>6</v>
      </c>
      <c r="AI62">
        <f t="shared" si="2"/>
        <v>15</v>
      </c>
      <c r="AJ62">
        <f t="shared" si="3"/>
        <v>5</v>
      </c>
      <c r="AL62">
        <f t="shared" si="4"/>
        <v>0</v>
      </c>
      <c r="AM62">
        <f t="shared" si="5"/>
        <v>18</v>
      </c>
      <c r="AN62">
        <f t="shared" si="6"/>
        <v>30</v>
      </c>
      <c r="AO62">
        <f t="shared" si="7"/>
        <v>5</v>
      </c>
      <c r="AP62">
        <f t="shared" si="8"/>
        <v>53</v>
      </c>
    </row>
    <row r="63" spans="1:42" ht="15.75" hidden="1" customHeight="1" x14ac:dyDescent="0.3">
      <c r="A63" s="16"/>
      <c r="B63" s="55">
        <v>20</v>
      </c>
      <c r="C63" s="56" t="s">
        <v>81</v>
      </c>
      <c r="D63" s="55">
        <v>2</v>
      </c>
      <c r="E63" s="55" t="s">
        <v>20</v>
      </c>
      <c r="F63" s="18" t="s">
        <v>21</v>
      </c>
      <c r="G63" s="18" t="s">
        <v>21</v>
      </c>
      <c r="H63" s="18" t="s">
        <v>21</v>
      </c>
      <c r="I63" s="18" t="s">
        <v>21</v>
      </c>
      <c r="J63" s="18" t="s">
        <v>20</v>
      </c>
      <c r="K63" s="18" t="s">
        <v>21</v>
      </c>
      <c r="L63" s="18" t="s">
        <v>20</v>
      </c>
      <c r="M63" s="18" t="s">
        <v>20</v>
      </c>
      <c r="N63" s="18" t="s">
        <v>20</v>
      </c>
      <c r="O63" s="18" t="s">
        <v>20</v>
      </c>
      <c r="P63" s="18" t="s">
        <v>20</v>
      </c>
      <c r="Q63" s="18" t="s">
        <v>20</v>
      </c>
      <c r="R63" s="18" t="s">
        <v>20</v>
      </c>
      <c r="S63" s="18" t="s">
        <v>20</v>
      </c>
      <c r="T63" s="18" t="s">
        <v>21</v>
      </c>
      <c r="U63" s="18" t="s">
        <v>20</v>
      </c>
      <c r="V63" s="37" t="s">
        <v>20</v>
      </c>
      <c r="W63" s="37" t="s">
        <v>20</v>
      </c>
      <c r="X63" s="37" t="s">
        <v>21</v>
      </c>
      <c r="Y63" s="18" t="s">
        <v>20</v>
      </c>
      <c r="Z63" s="18" t="s">
        <v>20</v>
      </c>
      <c r="AA63" s="20" t="s">
        <v>20</v>
      </c>
      <c r="AB63" s="20" t="s">
        <v>20</v>
      </c>
      <c r="AC63" s="20" t="s">
        <v>20</v>
      </c>
      <c r="AD63" s="29" t="s">
        <v>21</v>
      </c>
      <c r="AE63" s="29" t="s">
        <v>21</v>
      </c>
      <c r="AG63">
        <f t="shared" si="0"/>
        <v>0</v>
      </c>
      <c r="AH63">
        <f t="shared" si="1"/>
        <v>17</v>
      </c>
      <c r="AI63">
        <f t="shared" si="2"/>
        <v>9</v>
      </c>
      <c r="AJ63">
        <f t="shared" si="3"/>
        <v>0</v>
      </c>
      <c r="AL63">
        <f t="shared" si="4"/>
        <v>0</v>
      </c>
      <c r="AM63">
        <f t="shared" si="5"/>
        <v>51</v>
      </c>
      <c r="AN63">
        <f t="shared" si="6"/>
        <v>18</v>
      </c>
      <c r="AO63">
        <f t="shared" si="7"/>
        <v>0</v>
      </c>
      <c r="AP63">
        <f t="shared" si="8"/>
        <v>69</v>
      </c>
    </row>
    <row r="64" spans="1:42" ht="15.75" hidden="1" customHeight="1" x14ac:dyDescent="0.3">
      <c r="A64" s="16"/>
      <c r="B64" s="55">
        <v>21</v>
      </c>
      <c r="C64" s="56" t="s">
        <v>82</v>
      </c>
      <c r="D64" s="55">
        <v>2</v>
      </c>
      <c r="E64" s="55" t="s">
        <v>20</v>
      </c>
      <c r="F64" s="18" t="s">
        <v>21</v>
      </c>
      <c r="G64" s="18" t="s">
        <v>20</v>
      </c>
      <c r="H64" s="18" t="s">
        <v>21</v>
      </c>
      <c r="I64" s="18" t="s">
        <v>21</v>
      </c>
      <c r="J64" s="18" t="s">
        <v>20</v>
      </c>
      <c r="K64" s="18" t="s">
        <v>21</v>
      </c>
      <c r="L64" s="18" t="s">
        <v>23</v>
      </c>
      <c r="M64" s="18" t="s">
        <v>21</v>
      </c>
      <c r="N64" s="18" t="s">
        <v>21</v>
      </c>
      <c r="O64" s="18" t="s">
        <v>23</v>
      </c>
      <c r="P64" s="18" t="s">
        <v>23</v>
      </c>
      <c r="Q64" s="18" t="s">
        <v>23</v>
      </c>
      <c r="R64" s="18" t="s">
        <v>21</v>
      </c>
      <c r="S64" s="18" t="s">
        <v>23</v>
      </c>
      <c r="T64" s="18" t="s">
        <v>23</v>
      </c>
      <c r="U64" s="18" t="s">
        <v>21</v>
      </c>
      <c r="V64" s="37" t="s">
        <v>20</v>
      </c>
      <c r="W64" s="37" t="s">
        <v>21</v>
      </c>
      <c r="X64" s="37" t="s">
        <v>20</v>
      </c>
      <c r="Y64" s="18" t="s">
        <v>21</v>
      </c>
      <c r="Z64" s="18" t="s">
        <v>21</v>
      </c>
      <c r="AA64" s="20" t="s">
        <v>23</v>
      </c>
      <c r="AB64" s="20" t="s">
        <v>21</v>
      </c>
      <c r="AC64" s="20" t="s">
        <v>21</v>
      </c>
      <c r="AD64" s="29" t="s">
        <v>23</v>
      </c>
      <c r="AE64" s="29" t="s">
        <v>21</v>
      </c>
      <c r="AG64">
        <f t="shared" si="0"/>
        <v>0</v>
      </c>
      <c r="AH64">
        <f t="shared" si="1"/>
        <v>4</v>
      </c>
      <c r="AI64">
        <f t="shared" si="2"/>
        <v>14</v>
      </c>
      <c r="AJ64">
        <f t="shared" si="3"/>
        <v>8</v>
      </c>
      <c r="AL64">
        <f t="shared" si="4"/>
        <v>0</v>
      </c>
      <c r="AM64">
        <f t="shared" si="5"/>
        <v>12</v>
      </c>
      <c r="AN64">
        <f t="shared" si="6"/>
        <v>28</v>
      </c>
      <c r="AO64">
        <f t="shared" si="7"/>
        <v>8</v>
      </c>
      <c r="AP64">
        <f t="shared" si="8"/>
        <v>48</v>
      </c>
    </row>
    <row r="65" spans="1:42" ht="15.75" hidden="1" customHeight="1" x14ac:dyDescent="0.3">
      <c r="A65" s="16"/>
      <c r="B65" s="55">
        <v>22</v>
      </c>
      <c r="C65" s="56" t="s">
        <v>83</v>
      </c>
      <c r="D65" s="55">
        <v>2</v>
      </c>
      <c r="E65" s="55" t="s">
        <v>20</v>
      </c>
      <c r="F65" s="18" t="s">
        <v>21</v>
      </c>
      <c r="G65" s="18" t="s">
        <v>23</v>
      </c>
      <c r="H65" s="18" t="s">
        <v>21</v>
      </c>
      <c r="I65" s="18" t="s">
        <v>21</v>
      </c>
      <c r="J65" s="18" t="s">
        <v>21</v>
      </c>
      <c r="K65" s="18" t="s">
        <v>21</v>
      </c>
      <c r="L65" s="18" t="s">
        <v>20</v>
      </c>
      <c r="M65" s="18" t="s">
        <v>21</v>
      </c>
      <c r="N65" s="18" t="s">
        <v>21</v>
      </c>
      <c r="O65" s="18" t="s">
        <v>23</v>
      </c>
      <c r="P65" s="18" t="s">
        <v>23</v>
      </c>
      <c r="Q65" s="18" t="s">
        <v>23</v>
      </c>
      <c r="R65" s="18" t="s">
        <v>21</v>
      </c>
      <c r="S65" s="18" t="s">
        <v>23</v>
      </c>
      <c r="T65" s="18" t="s">
        <v>23</v>
      </c>
      <c r="U65" s="18" t="s">
        <v>21</v>
      </c>
      <c r="V65" s="37" t="s">
        <v>20</v>
      </c>
      <c r="W65" s="37" t="s">
        <v>20</v>
      </c>
      <c r="X65" s="37" t="s">
        <v>20</v>
      </c>
      <c r="Y65" s="18" t="s">
        <v>21</v>
      </c>
      <c r="Z65" s="18" t="s">
        <v>21</v>
      </c>
      <c r="AA65" s="20" t="s">
        <v>23</v>
      </c>
      <c r="AB65" s="20" t="s">
        <v>21</v>
      </c>
      <c r="AC65" s="20" t="s">
        <v>21</v>
      </c>
      <c r="AD65" s="29" t="s">
        <v>23</v>
      </c>
      <c r="AE65" s="29" t="s">
        <v>21</v>
      </c>
      <c r="AG65">
        <f t="shared" si="0"/>
        <v>0</v>
      </c>
      <c r="AH65">
        <f t="shared" si="1"/>
        <v>4</v>
      </c>
      <c r="AI65">
        <f t="shared" si="2"/>
        <v>14</v>
      </c>
      <c r="AJ65">
        <f t="shared" si="3"/>
        <v>8</v>
      </c>
      <c r="AL65">
        <f t="shared" si="4"/>
        <v>0</v>
      </c>
      <c r="AM65">
        <f t="shared" si="5"/>
        <v>12</v>
      </c>
      <c r="AN65">
        <f t="shared" si="6"/>
        <v>28</v>
      </c>
      <c r="AO65">
        <f t="shared" si="7"/>
        <v>8</v>
      </c>
      <c r="AP65">
        <f t="shared" si="8"/>
        <v>48</v>
      </c>
    </row>
    <row r="66" spans="1:42" ht="15.75" hidden="1" customHeight="1" x14ac:dyDescent="0.3">
      <c r="A66" s="16"/>
      <c r="B66" s="55">
        <v>23</v>
      </c>
      <c r="C66" s="56" t="s">
        <v>84</v>
      </c>
      <c r="D66" s="55">
        <v>2</v>
      </c>
      <c r="E66" s="55" t="s">
        <v>20</v>
      </c>
      <c r="F66" s="18" t="s">
        <v>20</v>
      </c>
      <c r="G66" s="18" t="s">
        <v>20</v>
      </c>
      <c r="H66" s="18" t="s">
        <v>20</v>
      </c>
      <c r="I66" s="18" t="s">
        <v>20</v>
      </c>
      <c r="J66" s="18" t="s">
        <v>20</v>
      </c>
      <c r="K66" s="18" t="s">
        <v>20</v>
      </c>
      <c r="L66" s="18" t="s">
        <v>20</v>
      </c>
      <c r="M66" s="18" t="s">
        <v>20</v>
      </c>
      <c r="N66" s="18" t="s">
        <v>20</v>
      </c>
      <c r="O66" s="18" t="s">
        <v>20</v>
      </c>
      <c r="P66" s="18" t="s">
        <v>20</v>
      </c>
      <c r="Q66" s="18" t="s">
        <v>20</v>
      </c>
      <c r="R66" s="18" t="s">
        <v>20</v>
      </c>
      <c r="S66" s="18" t="s">
        <v>20</v>
      </c>
      <c r="T66" s="18" t="s">
        <v>20</v>
      </c>
      <c r="U66" s="18" t="s">
        <v>20</v>
      </c>
      <c r="V66" s="37" t="s">
        <v>20</v>
      </c>
      <c r="W66" s="37" t="s">
        <v>20</v>
      </c>
      <c r="X66" s="37" t="s">
        <v>20</v>
      </c>
      <c r="Y66" s="18" t="s">
        <v>20</v>
      </c>
      <c r="Z66" s="18" t="s">
        <v>20</v>
      </c>
      <c r="AA66" s="20" t="s">
        <v>20</v>
      </c>
      <c r="AB66" s="20" t="s">
        <v>20</v>
      </c>
      <c r="AC66" s="20" t="s">
        <v>20</v>
      </c>
      <c r="AD66" s="29" t="s">
        <v>20</v>
      </c>
      <c r="AE66" s="29" t="s">
        <v>21</v>
      </c>
      <c r="AG66">
        <f t="shared" si="0"/>
        <v>0</v>
      </c>
      <c r="AH66">
        <f t="shared" si="1"/>
        <v>25</v>
      </c>
      <c r="AI66">
        <f t="shared" si="2"/>
        <v>1</v>
      </c>
      <c r="AJ66">
        <f t="shared" si="3"/>
        <v>0</v>
      </c>
      <c r="AL66">
        <f t="shared" si="4"/>
        <v>0</v>
      </c>
      <c r="AM66">
        <f t="shared" si="5"/>
        <v>75</v>
      </c>
      <c r="AN66">
        <f t="shared" si="6"/>
        <v>2</v>
      </c>
      <c r="AO66">
        <f t="shared" si="7"/>
        <v>0</v>
      </c>
      <c r="AP66">
        <f t="shared" si="8"/>
        <v>77</v>
      </c>
    </row>
    <row r="67" spans="1:42" ht="15.75" hidden="1" customHeight="1" thickBot="1" x14ac:dyDescent="0.35">
      <c r="A67" s="16"/>
      <c r="B67" s="57">
        <v>24</v>
      </c>
      <c r="C67" s="58" t="s">
        <v>85</v>
      </c>
      <c r="D67" s="57">
        <v>2</v>
      </c>
      <c r="E67" s="57" t="s">
        <v>20</v>
      </c>
      <c r="F67" s="21" t="s">
        <v>21</v>
      </c>
      <c r="G67" s="21" t="s">
        <v>23</v>
      </c>
      <c r="H67" s="21" t="s">
        <v>21</v>
      </c>
      <c r="I67" s="21" t="s">
        <v>21</v>
      </c>
      <c r="J67" s="21" t="s">
        <v>21</v>
      </c>
      <c r="K67" s="21" t="s">
        <v>21</v>
      </c>
      <c r="L67" s="21" t="s">
        <v>23</v>
      </c>
      <c r="M67" s="21" t="s">
        <v>21</v>
      </c>
      <c r="N67" s="21" t="s">
        <v>21</v>
      </c>
      <c r="O67" s="21" t="s">
        <v>23</v>
      </c>
      <c r="P67" s="21" t="s">
        <v>21</v>
      </c>
      <c r="Q67" s="21" t="s">
        <v>21</v>
      </c>
      <c r="R67" s="21" t="s">
        <v>21</v>
      </c>
      <c r="S67" s="21" t="s">
        <v>23</v>
      </c>
      <c r="T67" s="21" t="s">
        <v>21</v>
      </c>
      <c r="U67" s="21" t="s">
        <v>21</v>
      </c>
      <c r="V67" s="38" t="s">
        <v>21</v>
      </c>
      <c r="W67" s="38" t="s">
        <v>20</v>
      </c>
      <c r="X67" s="38" t="s">
        <v>20</v>
      </c>
      <c r="Y67" s="21" t="s">
        <v>21</v>
      </c>
      <c r="Z67" s="21" t="s">
        <v>21</v>
      </c>
      <c r="AA67" s="23" t="s">
        <v>21</v>
      </c>
      <c r="AB67" s="23" t="s">
        <v>21</v>
      </c>
      <c r="AC67" s="23" t="s">
        <v>23</v>
      </c>
      <c r="AD67" s="31" t="s">
        <v>23</v>
      </c>
      <c r="AE67" s="31" t="s">
        <v>21</v>
      </c>
      <c r="AG67">
        <f t="shared" si="0"/>
        <v>0</v>
      </c>
      <c r="AH67">
        <f t="shared" si="1"/>
        <v>2</v>
      </c>
      <c r="AI67">
        <f t="shared" si="2"/>
        <v>18</v>
      </c>
      <c r="AJ67">
        <f t="shared" si="3"/>
        <v>6</v>
      </c>
      <c r="AL67">
        <f t="shared" si="4"/>
        <v>0</v>
      </c>
      <c r="AM67">
        <f t="shared" si="5"/>
        <v>6</v>
      </c>
      <c r="AN67">
        <f t="shared" si="6"/>
        <v>36</v>
      </c>
      <c r="AO67">
        <f t="shared" si="7"/>
        <v>6</v>
      </c>
      <c r="AP67">
        <f t="shared" si="8"/>
        <v>48</v>
      </c>
    </row>
    <row r="68" spans="1:42" ht="15.75" hidden="1" customHeight="1" x14ac:dyDescent="0.3">
      <c r="A68" s="16"/>
      <c r="B68" s="59">
        <v>1</v>
      </c>
      <c r="C68" s="60" t="s">
        <v>86</v>
      </c>
      <c r="D68" s="59">
        <v>2</v>
      </c>
      <c r="E68" s="59" t="s">
        <v>21</v>
      </c>
      <c r="F68" s="24" t="s">
        <v>21</v>
      </c>
      <c r="G68" s="24" t="s">
        <v>21</v>
      </c>
      <c r="H68" s="24" t="s">
        <v>21</v>
      </c>
      <c r="I68" s="24" t="s">
        <v>21</v>
      </c>
      <c r="J68" s="24" t="s">
        <v>21</v>
      </c>
      <c r="K68" s="24" t="s">
        <v>20</v>
      </c>
      <c r="L68" s="24" t="s">
        <v>20</v>
      </c>
      <c r="M68" s="24" t="s">
        <v>21</v>
      </c>
      <c r="N68" s="24" t="s">
        <v>21</v>
      </c>
      <c r="O68" s="24" t="s">
        <v>21</v>
      </c>
      <c r="P68" s="24" t="s">
        <v>21</v>
      </c>
      <c r="Q68" s="24" t="s">
        <v>21</v>
      </c>
      <c r="R68" s="24" t="s">
        <v>21</v>
      </c>
      <c r="S68" s="24" t="s">
        <v>21</v>
      </c>
      <c r="T68" s="24" t="s">
        <v>21</v>
      </c>
      <c r="U68" s="24" t="s">
        <v>21</v>
      </c>
      <c r="V68" s="39" t="s">
        <v>21</v>
      </c>
      <c r="W68" s="39" t="s">
        <v>20</v>
      </c>
      <c r="X68" s="39" t="s">
        <v>20</v>
      </c>
      <c r="Y68" s="24" t="s">
        <v>20</v>
      </c>
      <c r="Z68" s="24" t="s">
        <v>20</v>
      </c>
      <c r="AA68" s="27" t="s">
        <v>21</v>
      </c>
      <c r="AB68" s="27" t="s">
        <v>21</v>
      </c>
      <c r="AC68" s="27" t="s">
        <v>21</v>
      </c>
      <c r="AD68" s="24" t="s">
        <v>21</v>
      </c>
      <c r="AE68" s="24" t="s">
        <v>21</v>
      </c>
      <c r="AG68">
        <f t="shared" si="0"/>
        <v>0</v>
      </c>
      <c r="AH68">
        <f t="shared" si="1"/>
        <v>6</v>
      </c>
      <c r="AI68">
        <f t="shared" si="2"/>
        <v>20</v>
      </c>
      <c r="AJ68">
        <f t="shared" si="3"/>
        <v>0</v>
      </c>
      <c r="AL68">
        <f t="shared" si="4"/>
        <v>0</v>
      </c>
      <c r="AM68">
        <f t="shared" si="5"/>
        <v>18</v>
      </c>
      <c r="AN68">
        <f t="shared" si="6"/>
        <v>40</v>
      </c>
      <c r="AO68">
        <f t="shared" si="7"/>
        <v>0</v>
      </c>
      <c r="AP68">
        <f t="shared" si="8"/>
        <v>58</v>
      </c>
    </row>
    <row r="69" spans="1:42" ht="15.75" hidden="1" customHeight="1" x14ac:dyDescent="0.3">
      <c r="A69" s="16"/>
      <c r="B69" s="55">
        <v>2</v>
      </c>
      <c r="C69" s="56" t="s">
        <v>87</v>
      </c>
      <c r="D69" s="55">
        <v>2</v>
      </c>
      <c r="E69" s="55" t="s">
        <v>21</v>
      </c>
      <c r="F69" s="18" t="s">
        <v>21</v>
      </c>
      <c r="G69" s="18" t="s">
        <v>23</v>
      </c>
      <c r="H69" s="18" t="s">
        <v>21</v>
      </c>
      <c r="I69" s="18" t="s">
        <v>21</v>
      </c>
      <c r="J69" s="18" t="s">
        <v>21</v>
      </c>
      <c r="K69" s="18" t="s">
        <v>21</v>
      </c>
      <c r="L69" s="18" t="s">
        <v>21</v>
      </c>
      <c r="M69" s="18" t="s">
        <v>23</v>
      </c>
      <c r="N69" s="18" t="s">
        <v>21</v>
      </c>
      <c r="O69" s="18" t="s">
        <v>21</v>
      </c>
      <c r="P69" s="18" t="s">
        <v>23</v>
      </c>
      <c r="Q69" s="18" t="s">
        <v>21</v>
      </c>
      <c r="R69" s="18" t="s">
        <v>23</v>
      </c>
      <c r="S69" s="18" t="s">
        <v>23</v>
      </c>
      <c r="T69" s="18" t="s">
        <v>21</v>
      </c>
      <c r="U69" s="18" t="s">
        <v>21</v>
      </c>
      <c r="V69" s="37" t="s">
        <v>21</v>
      </c>
      <c r="W69" s="37" t="s">
        <v>21</v>
      </c>
      <c r="X69" s="37" t="s">
        <v>21</v>
      </c>
      <c r="Y69" s="18" t="s">
        <v>21</v>
      </c>
      <c r="Z69" s="18" t="s">
        <v>23</v>
      </c>
      <c r="AA69" s="20" t="s">
        <v>23</v>
      </c>
      <c r="AB69" s="20" t="s">
        <v>21</v>
      </c>
      <c r="AC69" s="20" t="s">
        <v>23</v>
      </c>
      <c r="AD69" s="18" t="s">
        <v>23</v>
      </c>
      <c r="AE69" s="18" t="s">
        <v>21</v>
      </c>
      <c r="AG69">
        <f t="shared" si="0"/>
        <v>0</v>
      </c>
      <c r="AH69">
        <f t="shared" si="1"/>
        <v>0</v>
      </c>
      <c r="AI69">
        <f t="shared" si="2"/>
        <v>17</v>
      </c>
      <c r="AJ69">
        <f t="shared" si="3"/>
        <v>9</v>
      </c>
      <c r="AL69">
        <f t="shared" si="4"/>
        <v>0</v>
      </c>
      <c r="AM69">
        <f t="shared" si="5"/>
        <v>0</v>
      </c>
      <c r="AN69">
        <f t="shared" si="6"/>
        <v>34</v>
      </c>
      <c r="AO69">
        <f t="shared" si="7"/>
        <v>9</v>
      </c>
      <c r="AP69">
        <f t="shared" si="8"/>
        <v>43</v>
      </c>
    </row>
    <row r="70" spans="1:42" ht="15.75" hidden="1" customHeight="1" x14ac:dyDescent="0.3">
      <c r="A70" s="16"/>
      <c r="B70" s="55">
        <v>3</v>
      </c>
      <c r="C70" s="56" t="s">
        <v>88</v>
      </c>
      <c r="D70" s="55">
        <v>2</v>
      </c>
      <c r="E70" s="55" t="s">
        <v>21</v>
      </c>
      <c r="F70" s="18" t="s">
        <v>20</v>
      </c>
      <c r="G70" s="18" t="s">
        <v>21</v>
      </c>
      <c r="H70" s="18" t="s">
        <v>20</v>
      </c>
      <c r="I70" s="18" t="s">
        <v>21</v>
      </c>
      <c r="J70" s="18" t="s">
        <v>20</v>
      </c>
      <c r="K70" s="18" t="s">
        <v>20</v>
      </c>
      <c r="L70" s="18" t="s">
        <v>20</v>
      </c>
      <c r="M70" s="18" t="s">
        <v>23</v>
      </c>
      <c r="N70" s="18" t="s">
        <v>21</v>
      </c>
      <c r="O70" s="18" t="s">
        <v>20</v>
      </c>
      <c r="P70" s="18" t="s">
        <v>21</v>
      </c>
      <c r="Q70" s="18" t="s">
        <v>21</v>
      </c>
      <c r="R70" s="18" t="s">
        <v>21</v>
      </c>
      <c r="S70" s="18" t="s">
        <v>20</v>
      </c>
      <c r="T70" s="18" t="s">
        <v>20</v>
      </c>
      <c r="U70" s="18" t="s">
        <v>20</v>
      </c>
      <c r="V70" s="37" t="s">
        <v>21</v>
      </c>
      <c r="W70" s="37" t="s">
        <v>21</v>
      </c>
      <c r="X70" s="37" t="s">
        <v>21</v>
      </c>
      <c r="Y70" s="18" t="s">
        <v>21</v>
      </c>
      <c r="Z70" s="18" t="s">
        <v>21</v>
      </c>
      <c r="AA70" s="20" t="s">
        <v>20</v>
      </c>
      <c r="AB70" s="20" t="s">
        <v>20</v>
      </c>
      <c r="AC70" s="20" t="s">
        <v>20</v>
      </c>
      <c r="AD70" s="18" t="s">
        <v>23</v>
      </c>
      <c r="AE70" s="18" t="s">
        <v>21</v>
      </c>
      <c r="AG70">
        <f t="shared" si="0"/>
        <v>0</v>
      </c>
      <c r="AH70">
        <f t="shared" si="1"/>
        <v>12</v>
      </c>
      <c r="AI70">
        <f t="shared" si="2"/>
        <v>12</v>
      </c>
      <c r="AJ70">
        <f t="shared" si="3"/>
        <v>2</v>
      </c>
      <c r="AL70">
        <f t="shared" si="4"/>
        <v>0</v>
      </c>
      <c r="AM70">
        <f t="shared" si="5"/>
        <v>36</v>
      </c>
      <c r="AN70">
        <f t="shared" si="6"/>
        <v>24</v>
      </c>
      <c r="AO70">
        <f t="shared" si="7"/>
        <v>2</v>
      </c>
      <c r="AP70">
        <f t="shared" si="8"/>
        <v>62</v>
      </c>
    </row>
    <row r="71" spans="1:42" ht="15.75" hidden="1" customHeight="1" x14ac:dyDescent="0.3">
      <c r="A71" s="16"/>
      <c r="B71" s="55">
        <v>4</v>
      </c>
      <c r="C71" s="56" t="s">
        <v>89</v>
      </c>
      <c r="D71" s="55">
        <v>2</v>
      </c>
      <c r="E71" s="55" t="s">
        <v>21</v>
      </c>
      <c r="F71" s="18" t="s">
        <v>20</v>
      </c>
      <c r="G71" s="18" t="s">
        <v>21</v>
      </c>
      <c r="H71" s="18" t="s">
        <v>21</v>
      </c>
      <c r="I71" s="18" t="s">
        <v>21</v>
      </c>
      <c r="J71" s="18" t="s">
        <v>21</v>
      </c>
      <c r="K71" s="18" t="s">
        <v>21</v>
      </c>
      <c r="L71" s="18" t="s">
        <v>21</v>
      </c>
      <c r="M71" s="18" t="s">
        <v>21</v>
      </c>
      <c r="N71" s="18" t="s">
        <v>20</v>
      </c>
      <c r="O71" s="18" t="s">
        <v>21</v>
      </c>
      <c r="P71" s="18" t="s">
        <v>20</v>
      </c>
      <c r="Q71" s="18" t="s">
        <v>20</v>
      </c>
      <c r="R71" s="18" t="s">
        <v>20</v>
      </c>
      <c r="S71" s="18" t="s">
        <v>20</v>
      </c>
      <c r="T71" s="18" t="s">
        <v>20</v>
      </c>
      <c r="U71" s="18" t="s">
        <v>21</v>
      </c>
      <c r="V71" s="37" t="s">
        <v>20</v>
      </c>
      <c r="W71" s="37" t="s">
        <v>21</v>
      </c>
      <c r="X71" s="37" t="s">
        <v>21</v>
      </c>
      <c r="Y71" s="18" t="s">
        <v>21</v>
      </c>
      <c r="Z71" s="18" t="s">
        <v>21</v>
      </c>
      <c r="AA71" s="20" t="s">
        <v>21</v>
      </c>
      <c r="AB71" s="20" t="s">
        <v>21</v>
      </c>
      <c r="AC71" s="20" t="s">
        <v>21</v>
      </c>
      <c r="AD71" s="18" t="s">
        <v>21</v>
      </c>
      <c r="AE71" s="18" t="s">
        <v>21</v>
      </c>
      <c r="AG71">
        <f t="shared" ref="AG71:AG134" si="9">+COUNTIF(F71:AE71,"AD")</f>
        <v>0</v>
      </c>
      <c r="AH71">
        <f t="shared" ref="AH71:AH134" si="10">+COUNTIF(F71:AE71,"A")</f>
        <v>8</v>
      </c>
      <c r="AI71">
        <f t="shared" ref="AI71:AI134" si="11">+COUNTIF(F71:AE71,"b")</f>
        <v>18</v>
      </c>
      <c r="AJ71">
        <f t="shared" ref="AJ71:AJ134" si="12">+COUNTIF(F71:AE71,"c")</f>
        <v>0</v>
      </c>
      <c r="AL71">
        <f t="shared" ref="AL71:AL134" si="13">+$AG$5*AG71</f>
        <v>0</v>
      </c>
      <c r="AM71">
        <f t="shared" ref="AM71:AM134" si="14">+$AH$5*AH71</f>
        <v>24</v>
      </c>
      <c r="AN71">
        <f t="shared" ref="AN71:AN134" si="15">+$AI$5*AI71</f>
        <v>36</v>
      </c>
      <c r="AO71">
        <f t="shared" ref="AO71:AO134" si="16">+$AJ$5*AJ71</f>
        <v>0</v>
      </c>
      <c r="AP71">
        <f t="shared" ref="AP71:AP134" si="17">+SUM(AL71:AO71)</f>
        <v>60</v>
      </c>
    </row>
    <row r="72" spans="1:42" ht="15.75" hidden="1" customHeight="1" x14ac:dyDescent="0.3">
      <c r="A72" s="16"/>
      <c r="B72" s="55">
        <v>5</v>
      </c>
      <c r="C72" s="56" t="s">
        <v>90</v>
      </c>
      <c r="D72" s="55">
        <v>2</v>
      </c>
      <c r="E72" s="55" t="s">
        <v>21</v>
      </c>
      <c r="F72" s="18" t="s">
        <v>20</v>
      </c>
      <c r="G72" s="18" t="s">
        <v>20</v>
      </c>
      <c r="H72" s="18" t="s">
        <v>20</v>
      </c>
      <c r="I72" s="18" t="s">
        <v>20</v>
      </c>
      <c r="J72" s="18" t="s">
        <v>21</v>
      </c>
      <c r="K72" s="18" t="s">
        <v>20</v>
      </c>
      <c r="L72" s="18" t="s">
        <v>20</v>
      </c>
      <c r="M72" s="18" t="s">
        <v>21</v>
      </c>
      <c r="N72" s="18" t="s">
        <v>20</v>
      </c>
      <c r="O72" s="18" t="s">
        <v>20</v>
      </c>
      <c r="P72" s="18" t="s">
        <v>21</v>
      </c>
      <c r="Q72" s="18" t="s">
        <v>21</v>
      </c>
      <c r="R72" s="18" t="s">
        <v>21</v>
      </c>
      <c r="S72" s="18" t="s">
        <v>21</v>
      </c>
      <c r="T72" s="18" t="s">
        <v>20</v>
      </c>
      <c r="U72" s="18" t="s">
        <v>21</v>
      </c>
      <c r="V72" s="37" t="s">
        <v>21</v>
      </c>
      <c r="W72" s="37" t="s">
        <v>21</v>
      </c>
      <c r="X72" s="37" t="s">
        <v>21</v>
      </c>
      <c r="Y72" s="18" t="s">
        <v>21</v>
      </c>
      <c r="Z72" s="18" t="s">
        <v>20</v>
      </c>
      <c r="AA72" s="20" t="s">
        <v>21</v>
      </c>
      <c r="AB72" s="20" t="s">
        <v>23</v>
      </c>
      <c r="AC72" s="20" t="s">
        <v>21</v>
      </c>
      <c r="AD72" s="18" t="s">
        <v>23</v>
      </c>
      <c r="AE72" s="18" t="s">
        <v>21</v>
      </c>
      <c r="AG72">
        <f t="shared" si="9"/>
        <v>0</v>
      </c>
      <c r="AH72">
        <f t="shared" si="10"/>
        <v>10</v>
      </c>
      <c r="AI72">
        <f t="shared" si="11"/>
        <v>14</v>
      </c>
      <c r="AJ72">
        <f t="shared" si="12"/>
        <v>2</v>
      </c>
      <c r="AL72">
        <f t="shared" si="13"/>
        <v>0</v>
      </c>
      <c r="AM72">
        <f t="shared" si="14"/>
        <v>30</v>
      </c>
      <c r="AN72">
        <f t="shared" si="15"/>
        <v>28</v>
      </c>
      <c r="AO72">
        <f t="shared" si="16"/>
        <v>2</v>
      </c>
      <c r="AP72">
        <f t="shared" si="17"/>
        <v>60</v>
      </c>
    </row>
    <row r="73" spans="1:42" ht="15.75" hidden="1" customHeight="1" x14ac:dyDescent="0.3">
      <c r="A73" s="16"/>
      <c r="B73" s="55">
        <v>6</v>
      </c>
      <c r="C73" s="56" t="s">
        <v>91</v>
      </c>
      <c r="D73" s="55">
        <v>2</v>
      </c>
      <c r="E73" s="55" t="s">
        <v>21</v>
      </c>
      <c r="F73" s="18" t="s">
        <v>21</v>
      </c>
      <c r="G73" s="18" t="s">
        <v>21</v>
      </c>
      <c r="H73" s="18" t="s">
        <v>21</v>
      </c>
      <c r="I73" s="18" t="s">
        <v>21</v>
      </c>
      <c r="J73" s="18" t="s">
        <v>21</v>
      </c>
      <c r="K73" s="18" t="s">
        <v>21</v>
      </c>
      <c r="L73" s="18" t="s">
        <v>21</v>
      </c>
      <c r="M73" s="18" t="s">
        <v>20</v>
      </c>
      <c r="N73" s="18" t="s">
        <v>20</v>
      </c>
      <c r="O73" s="18" t="s">
        <v>21</v>
      </c>
      <c r="P73" s="18" t="s">
        <v>23</v>
      </c>
      <c r="Q73" s="18" t="s">
        <v>21</v>
      </c>
      <c r="R73" s="18" t="s">
        <v>21</v>
      </c>
      <c r="S73" s="18" t="s">
        <v>21</v>
      </c>
      <c r="T73" s="18" t="s">
        <v>20</v>
      </c>
      <c r="U73" s="18" t="s">
        <v>20</v>
      </c>
      <c r="V73" s="37" t="s">
        <v>20</v>
      </c>
      <c r="W73" s="37" t="s">
        <v>20</v>
      </c>
      <c r="X73" s="37" t="s">
        <v>20</v>
      </c>
      <c r="Y73" s="18" t="s">
        <v>21</v>
      </c>
      <c r="Z73" s="18" t="s">
        <v>20</v>
      </c>
      <c r="AA73" s="20" t="s">
        <v>21</v>
      </c>
      <c r="AB73" s="20" t="s">
        <v>21</v>
      </c>
      <c r="AC73" s="20" t="s">
        <v>21</v>
      </c>
      <c r="AD73" s="18" t="s">
        <v>21</v>
      </c>
      <c r="AE73" s="18" t="s">
        <v>21</v>
      </c>
      <c r="AG73">
        <f t="shared" si="9"/>
        <v>0</v>
      </c>
      <c r="AH73">
        <f t="shared" si="10"/>
        <v>8</v>
      </c>
      <c r="AI73">
        <f t="shared" si="11"/>
        <v>17</v>
      </c>
      <c r="AJ73">
        <f t="shared" si="12"/>
        <v>1</v>
      </c>
      <c r="AL73">
        <f t="shared" si="13"/>
        <v>0</v>
      </c>
      <c r="AM73">
        <f t="shared" si="14"/>
        <v>24</v>
      </c>
      <c r="AN73">
        <f t="shared" si="15"/>
        <v>34</v>
      </c>
      <c r="AO73">
        <f t="shared" si="16"/>
        <v>1</v>
      </c>
      <c r="AP73">
        <f t="shared" si="17"/>
        <v>59</v>
      </c>
    </row>
    <row r="74" spans="1:42" ht="15.75" hidden="1" customHeight="1" x14ac:dyDescent="0.3">
      <c r="A74" s="16"/>
      <c r="B74" s="55">
        <v>7</v>
      </c>
      <c r="C74" s="56" t="s">
        <v>92</v>
      </c>
      <c r="D74" s="55">
        <v>2</v>
      </c>
      <c r="E74" s="55" t="s">
        <v>21</v>
      </c>
      <c r="F74" s="18" t="s">
        <v>21</v>
      </c>
      <c r="G74" s="18" t="s">
        <v>23</v>
      </c>
      <c r="H74" s="18" t="s">
        <v>21</v>
      </c>
      <c r="I74" s="18" t="s">
        <v>21</v>
      </c>
      <c r="J74" s="18" t="s">
        <v>21</v>
      </c>
      <c r="K74" s="18" t="s">
        <v>20</v>
      </c>
      <c r="L74" s="18" t="s">
        <v>20</v>
      </c>
      <c r="M74" s="18" t="s">
        <v>21</v>
      </c>
      <c r="N74" s="18" t="s">
        <v>21</v>
      </c>
      <c r="O74" s="18" t="s">
        <v>21</v>
      </c>
      <c r="P74" s="18" t="s">
        <v>21</v>
      </c>
      <c r="Q74" s="18" t="s">
        <v>21</v>
      </c>
      <c r="R74" s="18" t="s">
        <v>21</v>
      </c>
      <c r="S74" s="18" t="s">
        <v>21</v>
      </c>
      <c r="T74" s="18" t="s">
        <v>21</v>
      </c>
      <c r="U74" s="18" t="s">
        <v>21</v>
      </c>
      <c r="V74" s="37" t="s">
        <v>20</v>
      </c>
      <c r="W74" s="37" t="s">
        <v>21</v>
      </c>
      <c r="X74" s="37" t="s">
        <v>21</v>
      </c>
      <c r="Y74" s="18" t="s">
        <v>21</v>
      </c>
      <c r="Z74" s="18" t="s">
        <v>20</v>
      </c>
      <c r="AA74" s="20" t="s">
        <v>21</v>
      </c>
      <c r="AB74" s="20" t="s">
        <v>21</v>
      </c>
      <c r="AC74" s="20" t="s">
        <v>21</v>
      </c>
      <c r="AD74" s="18" t="s">
        <v>23</v>
      </c>
      <c r="AE74" s="18" t="s">
        <v>21</v>
      </c>
      <c r="AG74">
        <f t="shared" si="9"/>
        <v>0</v>
      </c>
      <c r="AH74">
        <f t="shared" si="10"/>
        <v>4</v>
      </c>
      <c r="AI74">
        <f t="shared" si="11"/>
        <v>20</v>
      </c>
      <c r="AJ74">
        <f t="shared" si="12"/>
        <v>2</v>
      </c>
      <c r="AL74">
        <f t="shared" si="13"/>
        <v>0</v>
      </c>
      <c r="AM74">
        <f t="shared" si="14"/>
        <v>12</v>
      </c>
      <c r="AN74">
        <f t="shared" si="15"/>
        <v>40</v>
      </c>
      <c r="AO74">
        <f t="shared" si="16"/>
        <v>2</v>
      </c>
      <c r="AP74">
        <f t="shared" si="17"/>
        <v>54</v>
      </c>
    </row>
    <row r="75" spans="1:42" ht="15.75" hidden="1" customHeight="1" x14ac:dyDescent="0.3">
      <c r="A75" s="16"/>
      <c r="B75" s="55">
        <v>8</v>
      </c>
      <c r="C75" s="56" t="s">
        <v>93</v>
      </c>
      <c r="D75" s="55">
        <v>2</v>
      </c>
      <c r="E75" s="55" t="s">
        <v>21</v>
      </c>
      <c r="F75" s="18" t="s">
        <v>20</v>
      </c>
      <c r="G75" s="18" t="s">
        <v>20</v>
      </c>
      <c r="H75" s="18" t="s">
        <v>20</v>
      </c>
      <c r="I75" s="18" t="s">
        <v>20</v>
      </c>
      <c r="J75" s="18" t="s">
        <v>20</v>
      </c>
      <c r="K75" s="18" t="s">
        <v>20</v>
      </c>
      <c r="L75" s="18" t="s">
        <v>39</v>
      </c>
      <c r="M75" s="18" t="s">
        <v>20</v>
      </c>
      <c r="N75" s="18" t="s">
        <v>20</v>
      </c>
      <c r="O75" s="18" t="s">
        <v>20</v>
      </c>
      <c r="P75" s="18" t="s">
        <v>20</v>
      </c>
      <c r="Q75" s="18" t="s">
        <v>20</v>
      </c>
      <c r="R75" s="18" t="s">
        <v>20</v>
      </c>
      <c r="S75" s="18" t="s">
        <v>20</v>
      </c>
      <c r="T75" s="18" t="s">
        <v>20</v>
      </c>
      <c r="U75" s="18" t="s">
        <v>20</v>
      </c>
      <c r="V75" s="37" t="s">
        <v>20</v>
      </c>
      <c r="W75" s="37" t="s">
        <v>20</v>
      </c>
      <c r="X75" s="37" t="s">
        <v>20</v>
      </c>
      <c r="Y75" s="18" t="s">
        <v>20</v>
      </c>
      <c r="Z75" s="18" t="s">
        <v>20</v>
      </c>
      <c r="AA75" s="20" t="s">
        <v>20</v>
      </c>
      <c r="AB75" s="20" t="s">
        <v>20</v>
      </c>
      <c r="AC75" s="20" t="s">
        <v>20</v>
      </c>
      <c r="AD75" s="18" t="s">
        <v>20</v>
      </c>
      <c r="AE75" s="18" t="s">
        <v>21</v>
      </c>
      <c r="AG75">
        <f t="shared" si="9"/>
        <v>1</v>
      </c>
      <c r="AH75">
        <f t="shared" si="10"/>
        <v>24</v>
      </c>
      <c r="AI75">
        <f t="shared" si="11"/>
        <v>1</v>
      </c>
      <c r="AJ75">
        <f t="shared" si="12"/>
        <v>0</v>
      </c>
      <c r="AL75">
        <f t="shared" si="13"/>
        <v>4</v>
      </c>
      <c r="AM75">
        <f t="shared" si="14"/>
        <v>72</v>
      </c>
      <c r="AN75">
        <f t="shared" si="15"/>
        <v>2</v>
      </c>
      <c r="AO75">
        <f t="shared" si="16"/>
        <v>0</v>
      </c>
      <c r="AP75">
        <f t="shared" si="17"/>
        <v>78</v>
      </c>
    </row>
    <row r="76" spans="1:42" ht="15.75" hidden="1" customHeight="1" x14ac:dyDescent="0.3">
      <c r="A76" s="16"/>
      <c r="B76" s="55">
        <v>9</v>
      </c>
      <c r="C76" s="56" t="s">
        <v>94</v>
      </c>
      <c r="D76" s="55">
        <v>2</v>
      </c>
      <c r="E76" s="55" t="s">
        <v>21</v>
      </c>
      <c r="F76" s="18" t="s">
        <v>20</v>
      </c>
      <c r="G76" s="18" t="s">
        <v>21</v>
      </c>
      <c r="H76" s="18" t="s">
        <v>21</v>
      </c>
      <c r="I76" s="18" t="s">
        <v>21</v>
      </c>
      <c r="J76" s="18" t="s">
        <v>21</v>
      </c>
      <c r="K76" s="18" t="s">
        <v>21</v>
      </c>
      <c r="L76" s="18" t="s">
        <v>21</v>
      </c>
      <c r="M76" s="18" t="s">
        <v>21</v>
      </c>
      <c r="N76" s="18" t="s">
        <v>21</v>
      </c>
      <c r="O76" s="18" t="s">
        <v>20</v>
      </c>
      <c r="P76" s="18" t="s">
        <v>21</v>
      </c>
      <c r="Q76" s="18" t="s">
        <v>21</v>
      </c>
      <c r="R76" s="18" t="s">
        <v>21</v>
      </c>
      <c r="S76" s="18" t="s">
        <v>21</v>
      </c>
      <c r="T76" s="18" t="s">
        <v>20</v>
      </c>
      <c r="U76" s="18" t="s">
        <v>20</v>
      </c>
      <c r="V76" s="37" t="s">
        <v>20</v>
      </c>
      <c r="W76" s="37" t="s">
        <v>20</v>
      </c>
      <c r="X76" s="37" t="s">
        <v>20</v>
      </c>
      <c r="Y76" s="18" t="s">
        <v>20</v>
      </c>
      <c r="Z76" s="18" t="s">
        <v>21</v>
      </c>
      <c r="AA76" s="20" t="s">
        <v>21</v>
      </c>
      <c r="AB76" s="20" t="s">
        <v>21</v>
      </c>
      <c r="AC76" s="20" t="s">
        <v>21</v>
      </c>
      <c r="AD76" s="18" t="s">
        <v>21</v>
      </c>
      <c r="AE76" s="18" t="s">
        <v>21</v>
      </c>
      <c r="AG76">
        <f t="shared" si="9"/>
        <v>0</v>
      </c>
      <c r="AH76">
        <f t="shared" si="10"/>
        <v>8</v>
      </c>
      <c r="AI76">
        <f t="shared" si="11"/>
        <v>18</v>
      </c>
      <c r="AJ76">
        <f t="shared" si="12"/>
        <v>0</v>
      </c>
      <c r="AL76">
        <f t="shared" si="13"/>
        <v>0</v>
      </c>
      <c r="AM76">
        <f t="shared" si="14"/>
        <v>24</v>
      </c>
      <c r="AN76">
        <f t="shared" si="15"/>
        <v>36</v>
      </c>
      <c r="AO76">
        <f t="shared" si="16"/>
        <v>0</v>
      </c>
      <c r="AP76">
        <f t="shared" si="17"/>
        <v>60</v>
      </c>
    </row>
    <row r="77" spans="1:42" ht="15.75" hidden="1" customHeight="1" x14ac:dyDescent="0.3">
      <c r="A77" s="16"/>
      <c r="B77" s="55">
        <v>10</v>
      </c>
      <c r="C77" s="56" t="s">
        <v>95</v>
      </c>
      <c r="D77" s="55">
        <v>2</v>
      </c>
      <c r="E77" s="55" t="s">
        <v>21</v>
      </c>
      <c r="F77" s="18" t="s">
        <v>21</v>
      </c>
      <c r="G77" s="18" t="s">
        <v>21</v>
      </c>
      <c r="H77" s="18" t="s">
        <v>21</v>
      </c>
      <c r="I77" s="18" t="s">
        <v>21</v>
      </c>
      <c r="J77" s="18" t="s">
        <v>21</v>
      </c>
      <c r="K77" s="18" t="s">
        <v>20</v>
      </c>
      <c r="L77" s="18" t="s">
        <v>20</v>
      </c>
      <c r="M77" s="18" t="s">
        <v>20</v>
      </c>
      <c r="N77" s="18" t="s">
        <v>21</v>
      </c>
      <c r="O77" s="18" t="s">
        <v>21</v>
      </c>
      <c r="P77" s="18" t="s">
        <v>21</v>
      </c>
      <c r="Q77" s="18" t="s">
        <v>21</v>
      </c>
      <c r="R77" s="18" t="s">
        <v>21</v>
      </c>
      <c r="S77" s="18" t="s">
        <v>21</v>
      </c>
      <c r="T77" s="18" t="s">
        <v>23</v>
      </c>
      <c r="U77" s="18" t="s">
        <v>21</v>
      </c>
      <c r="V77" s="37" t="s">
        <v>21</v>
      </c>
      <c r="W77" s="37" t="s">
        <v>20</v>
      </c>
      <c r="X77" s="37" t="s">
        <v>20</v>
      </c>
      <c r="Y77" s="18" t="s">
        <v>21</v>
      </c>
      <c r="Z77" s="18" t="s">
        <v>20</v>
      </c>
      <c r="AA77" s="20" t="s">
        <v>20</v>
      </c>
      <c r="AB77" s="20" t="s">
        <v>21</v>
      </c>
      <c r="AC77" s="20" t="s">
        <v>21</v>
      </c>
      <c r="AD77" s="18" t="s">
        <v>23</v>
      </c>
      <c r="AE77" s="18" t="s">
        <v>21</v>
      </c>
      <c r="AG77">
        <f t="shared" si="9"/>
        <v>0</v>
      </c>
      <c r="AH77">
        <f t="shared" si="10"/>
        <v>7</v>
      </c>
      <c r="AI77">
        <f t="shared" si="11"/>
        <v>17</v>
      </c>
      <c r="AJ77">
        <f t="shared" si="12"/>
        <v>2</v>
      </c>
      <c r="AL77">
        <f t="shared" si="13"/>
        <v>0</v>
      </c>
      <c r="AM77">
        <f t="shared" si="14"/>
        <v>21</v>
      </c>
      <c r="AN77">
        <f t="shared" si="15"/>
        <v>34</v>
      </c>
      <c r="AO77">
        <f t="shared" si="16"/>
        <v>2</v>
      </c>
      <c r="AP77">
        <f t="shared" si="17"/>
        <v>57</v>
      </c>
    </row>
    <row r="78" spans="1:42" ht="15.75" hidden="1" customHeight="1" x14ac:dyDescent="0.3">
      <c r="A78" s="16"/>
      <c r="B78" s="55">
        <v>11</v>
      </c>
      <c r="C78" s="56" t="s">
        <v>96</v>
      </c>
      <c r="D78" s="55">
        <v>2</v>
      </c>
      <c r="E78" s="55" t="s">
        <v>21</v>
      </c>
      <c r="F78" s="18" t="s">
        <v>21</v>
      </c>
      <c r="G78" s="18" t="s">
        <v>23</v>
      </c>
      <c r="H78" s="18" t="s">
        <v>21</v>
      </c>
      <c r="I78" s="18" t="s">
        <v>21</v>
      </c>
      <c r="J78" s="18" t="s">
        <v>21</v>
      </c>
      <c r="K78" s="18" t="s">
        <v>21</v>
      </c>
      <c r="L78" s="18" t="s">
        <v>21</v>
      </c>
      <c r="M78" s="18" t="s">
        <v>20</v>
      </c>
      <c r="N78" s="18" t="s">
        <v>20</v>
      </c>
      <c r="O78" s="18" t="s">
        <v>20</v>
      </c>
      <c r="P78" s="18" t="s">
        <v>21</v>
      </c>
      <c r="Q78" s="18" t="s">
        <v>21</v>
      </c>
      <c r="R78" s="18" t="s">
        <v>21</v>
      </c>
      <c r="S78" s="18" t="s">
        <v>21</v>
      </c>
      <c r="T78" s="18" t="s">
        <v>20</v>
      </c>
      <c r="U78" s="18" t="s">
        <v>21</v>
      </c>
      <c r="V78" s="37" t="s">
        <v>21</v>
      </c>
      <c r="W78" s="37" t="s">
        <v>20</v>
      </c>
      <c r="X78" s="37" t="s">
        <v>20</v>
      </c>
      <c r="Y78" s="18" t="s">
        <v>20</v>
      </c>
      <c r="Z78" s="18" t="s">
        <v>20</v>
      </c>
      <c r="AA78" s="20" t="s">
        <v>23</v>
      </c>
      <c r="AB78" s="20" t="s">
        <v>21</v>
      </c>
      <c r="AC78" s="20" t="s">
        <v>21</v>
      </c>
      <c r="AD78" s="18" t="s">
        <v>23</v>
      </c>
      <c r="AE78" s="18" t="s">
        <v>21</v>
      </c>
      <c r="AG78">
        <f t="shared" si="9"/>
        <v>0</v>
      </c>
      <c r="AH78">
        <f t="shared" si="10"/>
        <v>8</v>
      </c>
      <c r="AI78">
        <f t="shared" si="11"/>
        <v>15</v>
      </c>
      <c r="AJ78">
        <f t="shared" si="12"/>
        <v>3</v>
      </c>
      <c r="AL78">
        <f t="shared" si="13"/>
        <v>0</v>
      </c>
      <c r="AM78">
        <f t="shared" si="14"/>
        <v>24</v>
      </c>
      <c r="AN78">
        <f t="shared" si="15"/>
        <v>30</v>
      </c>
      <c r="AO78">
        <f t="shared" si="16"/>
        <v>3</v>
      </c>
      <c r="AP78">
        <f t="shared" si="17"/>
        <v>57</v>
      </c>
    </row>
    <row r="79" spans="1:42" ht="15.75" hidden="1" customHeight="1" x14ac:dyDescent="0.3">
      <c r="A79" s="16"/>
      <c r="B79" s="55">
        <v>12</v>
      </c>
      <c r="C79" s="56" t="s">
        <v>97</v>
      </c>
      <c r="D79" s="55">
        <v>2</v>
      </c>
      <c r="E79" s="55" t="s">
        <v>21</v>
      </c>
      <c r="F79" s="18" t="s">
        <v>20</v>
      </c>
      <c r="G79" s="18" t="s">
        <v>21</v>
      </c>
      <c r="H79" s="18" t="s">
        <v>21</v>
      </c>
      <c r="I79" s="18" t="s">
        <v>21</v>
      </c>
      <c r="J79" s="18" t="s">
        <v>21</v>
      </c>
      <c r="K79" s="18" t="s">
        <v>21</v>
      </c>
      <c r="L79" s="18" t="s">
        <v>21</v>
      </c>
      <c r="M79" s="18" t="s">
        <v>20</v>
      </c>
      <c r="N79" s="18" t="s">
        <v>20</v>
      </c>
      <c r="O79" s="18" t="s">
        <v>20</v>
      </c>
      <c r="P79" s="18" t="s">
        <v>21</v>
      </c>
      <c r="Q79" s="18" t="s">
        <v>21</v>
      </c>
      <c r="R79" s="18" t="s">
        <v>21</v>
      </c>
      <c r="S79" s="18" t="s">
        <v>20</v>
      </c>
      <c r="T79" s="18" t="s">
        <v>20</v>
      </c>
      <c r="U79" s="18" t="s">
        <v>21</v>
      </c>
      <c r="V79" s="37" t="s">
        <v>21</v>
      </c>
      <c r="W79" s="37" t="s">
        <v>20</v>
      </c>
      <c r="X79" s="37" t="s">
        <v>20</v>
      </c>
      <c r="Y79" s="18" t="s">
        <v>20</v>
      </c>
      <c r="Z79" s="18" t="s">
        <v>20</v>
      </c>
      <c r="AA79" s="20" t="s">
        <v>23</v>
      </c>
      <c r="AB79" s="20" t="s">
        <v>21</v>
      </c>
      <c r="AC79" s="20" t="s">
        <v>21</v>
      </c>
      <c r="AD79" s="18" t="s">
        <v>20</v>
      </c>
      <c r="AE79" s="18" t="s">
        <v>21</v>
      </c>
      <c r="AG79">
        <f t="shared" si="9"/>
        <v>0</v>
      </c>
      <c r="AH79">
        <f t="shared" si="10"/>
        <v>11</v>
      </c>
      <c r="AI79">
        <f t="shared" si="11"/>
        <v>14</v>
      </c>
      <c r="AJ79">
        <f t="shared" si="12"/>
        <v>1</v>
      </c>
      <c r="AL79">
        <f t="shared" si="13"/>
        <v>0</v>
      </c>
      <c r="AM79">
        <f t="shared" si="14"/>
        <v>33</v>
      </c>
      <c r="AN79">
        <f t="shared" si="15"/>
        <v>28</v>
      </c>
      <c r="AO79">
        <f t="shared" si="16"/>
        <v>1</v>
      </c>
      <c r="AP79">
        <f t="shared" si="17"/>
        <v>62</v>
      </c>
    </row>
    <row r="80" spans="1:42" ht="15.75" hidden="1" customHeight="1" x14ac:dyDescent="0.3">
      <c r="A80" s="16"/>
      <c r="B80" s="55">
        <v>13</v>
      </c>
      <c r="C80" s="56" t="s">
        <v>98</v>
      </c>
      <c r="D80" s="55">
        <v>2</v>
      </c>
      <c r="E80" s="55" t="s">
        <v>21</v>
      </c>
      <c r="F80" s="18" t="s">
        <v>20</v>
      </c>
      <c r="G80" s="18" t="s">
        <v>21</v>
      </c>
      <c r="H80" s="18" t="s">
        <v>20</v>
      </c>
      <c r="I80" s="18" t="s">
        <v>21</v>
      </c>
      <c r="J80" s="18" t="s">
        <v>20</v>
      </c>
      <c r="K80" s="18" t="s">
        <v>20</v>
      </c>
      <c r="L80" s="18" t="s">
        <v>20</v>
      </c>
      <c r="M80" s="18" t="s">
        <v>21</v>
      </c>
      <c r="N80" s="18" t="s">
        <v>20</v>
      </c>
      <c r="O80" s="18" t="s">
        <v>21</v>
      </c>
      <c r="P80" s="18" t="s">
        <v>21</v>
      </c>
      <c r="Q80" s="18" t="s">
        <v>21</v>
      </c>
      <c r="R80" s="18" t="s">
        <v>21</v>
      </c>
      <c r="S80" s="18" t="s">
        <v>20</v>
      </c>
      <c r="T80" s="18" t="s">
        <v>20</v>
      </c>
      <c r="U80" s="18" t="s">
        <v>21</v>
      </c>
      <c r="V80" s="37" t="s">
        <v>21</v>
      </c>
      <c r="W80" s="37" t="s">
        <v>20</v>
      </c>
      <c r="X80" s="37" t="s">
        <v>21</v>
      </c>
      <c r="Y80" s="18" t="s">
        <v>21</v>
      </c>
      <c r="Z80" s="18" t="s">
        <v>21</v>
      </c>
      <c r="AA80" s="20" t="s">
        <v>21</v>
      </c>
      <c r="AB80" s="20" t="s">
        <v>20</v>
      </c>
      <c r="AC80" s="20" t="s">
        <v>20</v>
      </c>
      <c r="AD80" s="18" t="s">
        <v>21</v>
      </c>
      <c r="AE80" s="18" t="s">
        <v>21</v>
      </c>
      <c r="AG80">
        <f t="shared" si="9"/>
        <v>0</v>
      </c>
      <c r="AH80">
        <f t="shared" si="10"/>
        <v>11</v>
      </c>
      <c r="AI80">
        <f t="shared" si="11"/>
        <v>15</v>
      </c>
      <c r="AJ80">
        <f t="shared" si="12"/>
        <v>0</v>
      </c>
      <c r="AL80">
        <f t="shared" si="13"/>
        <v>0</v>
      </c>
      <c r="AM80">
        <f t="shared" si="14"/>
        <v>33</v>
      </c>
      <c r="AN80">
        <f t="shared" si="15"/>
        <v>30</v>
      </c>
      <c r="AO80">
        <f t="shared" si="16"/>
        <v>0</v>
      </c>
      <c r="AP80">
        <f t="shared" si="17"/>
        <v>63</v>
      </c>
    </row>
    <row r="81" spans="1:42" ht="15.75" hidden="1" customHeight="1" x14ac:dyDescent="0.3">
      <c r="A81" s="16"/>
      <c r="B81" s="55">
        <v>14</v>
      </c>
      <c r="C81" s="56" t="s">
        <v>99</v>
      </c>
      <c r="D81" s="55">
        <v>2</v>
      </c>
      <c r="E81" s="55" t="s">
        <v>21</v>
      </c>
      <c r="F81" s="18" t="s">
        <v>20</v>
      </c>
      <c r="G81" s="18" t="s">
        <v>20</v>
      </c>
      <c r="H81" s="18" t="s">
        <v>20</v>
      </c>
      <c r="I81" s="18" t="s">
        <v>20</v>
      </c>
      <c r="J81" s="18" t="s">
        <v>20</v>
      </c>
      <c r="K81" s="18" t="s">
        <v>20</v>
      </c>
      <c r="L81" s="18" t="s">
        <v>20</v>
      </c>
      <c r="M81" s="18" t="s">
        <v>21</v>
      </c>
      <c r="N81" s="18" t="s">
        <v>20</v>
      </c>
      <c r="O81" s="18" t="s">
        <v>20</v>
      </c>
      <c r="P81" s="18" t="s">
        <v>20</v>
      </c>
      <c r="Q81" s="18" t="s">
        <v>20</v>
      </c>
      <c r="R81" s="18" t="s">
        <v>20</v>
      </c>
      <c r="S81" s="18" t="s">
        <v>20</v>
      </c>
      <c r="T81" s="18" t="s">
        <v>20</v>
      </c>
      <c r="U81" s="18" t="s">
        <v>21</v>
      </c>
      <c r="V81" s="37" t="s">
        <v>20</v>
      </c>
      <c r="W81" s="37" t="s">
        <v>20</v>
      </c>
      <c r="X81" s="37" t="s">
        <v>20</v>
      </c>
      <c r="Y81" s="18" t="s">
        <v>20</v>
      </c>
      <c r="Z81" s="18" t="s">
        <v>20</v>
      </c>
      <c r="AA81" s="20" t="s">
        <v>21</v>
      </c>
      <c r="AB81" s="20" t="s">
        <v>21</v>
      </c>
      <c r="AC81" s="20" t="s">
        <v>21</v>
      </c>
      <c r="AD81" s="40" t="s">
        <v>23</v>
      </c>
      <c r="AE81" s="40" t="s">
        <v>21</v>
      </c>
      <c r="AG81">
        <f t="shared" si="9"/>
        <v>0</v>
      </c>
      <c r="AH81">
        <f t="shared" si="10"/>
        <v>19</v>
      </c>
      <c r="AI81">
        <f t="shared" si="11"/>
        <v>6</v>
      </c>
      <c r="AJ81">
        <f t="shared" si="12"/>
        <v>1</v>
      </c>
      <c r="AL81">
        <f t="shared" si="13"/>
        <v>0</v>
      </c>
      <c r="AM81">
        <f t="shared" si="14"/>
        <v>57</v>
      </c>
      <c r="AN81">
        <f t="shared" si="15"/>
        <v>12</v>
      </c>
      <c r="AO81">
        <f t="shared" si="16"/>
        <v>1</v>
      </c>
      <c r="AP81">
        <f t="shared" si="17"/>
        <v>70</v>
      </c>
    </row>
    <row r="82" spans="1:42" ht="15.75" hidden="1" customHeight="1" x14ac:dyDescent="0.3">
      <c r="A82" s="16"/>
      <c r="B82" s="55">
        <v>15</v>
      </c>
      <c r="C82" s="56" t="s">
        <v>100</v>
      </c>
      <c r="D82" s="55">
        <v>2</v>
      </c>
      <c r="E82" s="55" t="s">
        <v>21</v>
      </c>
      <c r="F82" s="18" t="s">
        <v>21</v>
      </c>
      <c r="G82" s="18" t="s">
        <v>21</v>
      </c>
      <c r="H82" s="18" t="s">
        <v>21</v>
      </c>
      <c r="I82" s="18" t="s">
        <v>21</v>
      </c>
      <c r="J82" s="18" t="s">
        <v>21</v>
      </c>
      <c r="K82" s="18" t="s">
        <v>21</v>
      </c>
      <c r="L82" s="18" t="s">
        <v>21</v>
      </c>
      <c r="M82" s="18" t="s">
        <v>21</v>
      </c>
      <c r="N82" s="18" t="s">
        <v>23</v>
      </c>
      <c r="O82" s="18" t="s">
        <v>21</v>
      </c>
      <c r="P82" s="18" t="s">
        <v>21</v>
      </c>
      <c r="Q82" s="18" t="s">
        <v>21</v>
      </c>
      <c r="R82" s="18" t="s">
        <v>21</v>
      </c>
      <c r="S82" s="18" t="s">
        <v>21</v>
      </c>
      <c r="T82" s="18" t="s">
        <v>20</v>
      </c>
      <c r="U82" s="18" t="s">
        <v>20</v>
      </c>
      <c r="V82" s="37" t="s">
        <v>21</v>
      </c>
      <c r="W82" s="37" t="s">
        <v>20</v>
      </c>
      <c r="X82" s="37" t="s">
        <v>21</v>
      </c>
      <c r="Y82" s="18" t="s">
        <v>20</v>
      </c>
      <c r="Z82" s="18" t="s">
        <v>21</v>
      </c>
      <c r="AA82" s="20" t="s">
        <v>21</v>
      </c>
      <c r="AB82" s="20" t="s">
        <v>21</v>
      </c>
      <c r="AC82" s="20" t="s">
        <v>21</v>
      </c>
      <c r="AD82" s="18" t="s">
        <v>21</v>
      </c>
      <c r="AE82" s="18" t="s">
        <v>21</v>
      </c>
      <c r="AG82">
        <f t="shared" si="9"/>
        <v>0</v>
      </c>
      <c r="AH82">
        <f t="shared" si="10"/>
        <v>4</v>
      </c>
      <c r="AI82">
        <f t="shared" si="11"/>
        <v>21</v>
      </c>
      <c r="AJ82">
        <f t="shared" si="12"/>
        <v>1</v>
      </c>
      <c r="AL82">
        <f t="shared" si="13"/>
        <v>0</v>
      </c>
      <c r="AM82">
        <f t="shared" si="14"/>
        <v>12</v>
      </c>
      <c r="AN82">
        <f t="shared" si="15"/>
        <v>42</v>
      </c>
      <c r="AO82">
        <f t="shared" si="16"/>
        <v>1</v>
      </c>
      <c r="AP82">
        <f t="shared" si="17"/>
        <v>55</v>
      </c>
    </row>
    <row r="83" spans="1:42" ht="15.75" hidden="1" customHeight="1" x14ac:dyDescent="0.3">
      <c r="A83" s="16"/>
      <c r="B83" s="55">
        <v>16</v>
      </c>
      <c r="C83" s="56" t="s">
        <v>101</v>
      </c>
      <c r="D83" s="55">
        <v>2</v>
      </c>
      <c r="E83" s="55" t="s">
        <v>21</v>
      </c>
      <c r="F83" s="18" t="s">
        <v>21</v>
      </c>
      <c r="G83" s="18" t="s">
        <v>23</v>
      </c>
      <c r="H83" s="18" t="s">
        <v>21</v>
      </c>
      <c r="I83" s="18" t="s">
        <v>21</v>
      </c>
      <c r="J83" s="18" t="s">
        <v>21</v>
      </c>
      <c r="K83" s="18" t="s">
        <v>21</v>
      </c>
      <c r="L83" s="18" t="s">
        <v>21</v>
      </c>
      <c r="M83" s="18" t="s">
        <v>21</v>
      </c>
      <c r="N83" s="18" t="s">
        <v>23</v>
      </c>
      <c r="O83" s="18" t="s">
        <v>21</v>
      </c>
      <c r="P83" s="18" t="s">
        <v>23</v>
      </c>
      <c r="Q83" s="18" t="s">
        <v>23</v>
      </c>
      <c r="R83" s="18" t="s">
        <v>21</v>
      </c>
      <c r="S83" s="18" t="s">
        <v>21</v>
      </c>
      <c r="T83" s="18" t="s">
        <v>21</v>
      </c>
      <c r="U83" s="18" t="s">
        <v>21</v>
      </c>
      <c r="V83" s="37" t="s">
        <v>21</v>
      </c>
      <c r="W83" s="37" t="s">
        <v>21</v>
      </c>
      <c r="X83" s="37" t="s">
        <v>21</v>
      </c>
      <c r="Y83" s="18" t="s">
        <v>23</v>
      </c>
      <c r="Z83" s="18" t="s">
        <v>20</v>
      </c>
      <c r="AA83" s="20" t="s">
        <v>21</v>
      </c>
      <c r="AB83" s="20" t="s">
        <v>21</v>
      </c>
      <c r="AC83" s="20" t="s">
        <v>21</v>
      </c>
      <c r="AD83" s="18" t="s">
        <v>23</v>
      </c>
      <c r="AE83" s="18" t="s">
        <v>21</v>
      </c>
      <c r="AG83">
        <f t="shared" si="9"/>
        <v>0</v>
      </c>
      <c r="AH83">
        <f t="shared" si="10"/>
        <v>1</v>
      </c>
      <c r="AI83">
        <f t="shared" si="11"/>
        <v>19</v>
      </c>
      <c r="AJ83">
        <f t="shared" si="12"/>
        <v>6</v>
      </c>
      <c r="AL83">
        <f t="shared" si="13"/>
        <v>0</v>
      </c>
      <c r="AM83">
        <f t="shared" si="14"/>
        <v>3</v>
      </c>
      <c r="AN83">
        <f t="shared" si="15"/>
        <v>38</v>
      </c>
      <c r="AO83">
        <f t="shared" si="16"/>
        <v>6</v>
      </c>
      <c r="AP83">
        <f t="shared" si="17"/>
        <v>47</v>
      </c>
    </row>
    <row r="84" spans="1:42" ht="15.75" hidden="1" customHeight="1" x14ac:dyDescent="0.3">
      <c r="A84" s="16"/>
      <c r="B84" s="55">
        <v>17</v>
      </c>
      <c r="C84" s="56" t="s">
        <v>102</v>
      </c>
      <c r="D84" s="55">
        <v>2</v>
      </c>
      <c r="E84" s="55" t="s">
        <v>21</v>
      </c>
      <c r="F84" s="18" t="s">
        <v>20</v>
      </c>
      <c r="G84" s="18" t="s">
        <v>21</v>
      </c>
      <c r="H84" s="18" t="s">
        <v>21</v>
      </c>
      <c r="I84" s="18" t="s">
        <v>21</v>
      </c>
      <c r="J84" s="18" t="s">
        <v>21</v>
      </c>
      <c r="K84" s="18" t="s">
        <v>21</v>
      </c>
      <c r="L84" s="18" t="s">
        <v>21</v>
      </c>
      <c r="M84" s="18" t="s">
        <v>21</v>
      </c>
      <c r="N84" s="18" t="s">
        <v>20</v>
      </c>
      <c r="O84" s="18" t="s">
        <v>21</v>
      </c>
      <c r="P84" s="18" t="s">
        <v>23</v>
      </c>
      <c r="Q84" s="18" t="s">
        <v>23</v>
      </c>
      <c r="R84" s="18" t="s">
        <v>21</v>
      </c>
      <c r="S84" s="18" t="s">
        <v>21</v>
      </c>
      <c r="T84" s="18" t="s">
        <v>20</v>
      </c>
      <c r="U84" s="18" t="s">
        <v>21</v>
      </c>
      <c r="V84" s="37" t="s">
        <v>20</v>
      </c>
      <c r="W84" s="37" t="s">
        <v>20</v>
      </c>
      <c r="X84" s="37" t="s">
        <v>20</v>
      </c>
      <c r="Y84" s="18" t="s">
        <v>21</v>
      </c>
      <c r="Z84" s="18" t="s">
        <v>20</v>
      </c>
      <c r="AA84" s="20" t="s">
        <v>21</v>
      </c>
      <c r="AB84" s="20" t="s">
        <v>21</v>
      </c>
      <c r="AC84" s="20" t="s">
        <v>21</v>
      </c>
      <c r="AD84" s="18" t="s">
        <v>23</v>
      </c>
      <c r="AE84" s="18" t="s">
        <v>21</v>
      </c>
      <c r="AG84">
        <f t="shared" si="9"/>
        <v>0</v>
      </c>
      <c r="AH84">
        <f t="shared" si="10"/>
        <v>7</v>
      </c>
      <c r="AI84">
        <f t="shared" si="11"/>
        <v>16</v>
      </c>
      <c r="AJ84">
        <f t="shared" si="12"/>
        <v>3</v>
      </c>
      <c r="AL84">
        <f t="shared" si="13"/>
        <v>0</v>
      </c>
      <c r="AM84">
        <f t="shared" si="14"/>
        <v>21</v>
      </c>
      <c r="AN84">
        <f t="shared" si="15"/>
        <v>32</v>
      </c>
      <c r="AO84">
        <f t="shared" si="16"/>
        <v>3</v>
      </c>
      <c r="AP84">
        <f t="shared" si="17"/>
        <v>56</v>
      </c>
    </row>
    <row r="85" spans="1:42" ht="15.75" hidden="1" customHeight="1" x14ac:dyDescent="0.3">
      <c r="A85" s="16"/>
      <c r="B85" s="55">
        <v>18</v>
      </c>
      <c r="C85" s="56" t="s">
        <v>103</v>
      </c>
      <c r="D85" s="55">
        <v>2</v>
      </c>
      <c r="E85" s="55" t="s">
        <v>21</v>
      </c>
      <c r="F85" s="18" t="s">
        <v>20</v>
      </c>
      <c r="G85" s="18" t="s">
        <v>21</v>
      </c>
      <c r="H85" s="18" t="s">
        <v>21</v>
      </c>
      <c r="I85" s="18" t="s">
        <v>20</v>
      </c>
      <c r="J85" s="18" t="s">
        <v>21</v>
      </c>
      <c r="K85" s="18" t="s">
        <v>20</v>
      </c>
      <c r="L85" s="18" t="s">
        <v>20</v>
      </c>
      <c r="M85" s="18" t="s">
        <v>23</v>
      </c>
      <c r="N85" s="18" t="s">
        <v>20</v>
      </c>
      <c r="O85" s="18" t="s">
        <v>20</v>
      </c>
      <c r="P85" s="18" t="s">
        <v>21</v>
      </c>
      <c r="Q85" s="18" t="s">
        <v>21</v>
      </c>
      <c r="R85" s="18" t="s">
        <v>21</v>
      </c>
      <c r="S85" s="18" t="s">
        <v>20</v>
      </c>
      <c r="T85" s="18" t="s">
        <v>21</v>
      </c>
      <c r="U85" s="18" t="s">
        <v>21</v>
      </c>
      <c r="V85" s="37" t="s">
        <v>21</v>
      </c>
      <c r="W85" s="37" t="s">
        <v>21</v>
      </c>
      <c r="X85" s="37" t="s">
        <v>21</v>
      </c>
      <c r="Y85" s="18" t="s">
        <v>23</v>
      </c>
      <c r="Z85" s="18" t="s">
        <v>21</v>
      </c>
      <c r="AA85" s="20" t="s">
        <v>21</v>
      </c>
      <c r="AB85" s="20" t="s">
        <v>20</v>
      </c>
      <c r="AC85" s="20" t="s">
        <v>20</v>
      </c>
      <c r="AD85" s="18" t="s">
        <v>23</v>
      </c>
      <c r="AE85" s="18" t="s">
        <v>21</v>
      </c>
      <c r="AG85">
        <f t="shared" si="9"/>
        <v>0</v>
      </c>
      <c r="AH85">
        <f t="shared" si="10"/>
        <v>9</v>
      </c>
      <c r="AI85">
        <f t="shared" si="11"/>
        <v>14</v>
      </c>
      <c r="AJ85">
        <f t="shared" si="12"/>
        <v>3</v>
      </c>
      <c r="AL85">
        <f t="shared" si="13"/>
        <v>0</v>
      </c>
      <c r="AM85">
        <f t="shared" si="14"/>
        <v>27</v>
      </c>
      <c r="AN85">
        <f t="shared" si="15"/>
        <v>28</v>
      </c>
      <c r="AO85">
        <f t="shared" si="16"/>
        <v>3</v>
      </c>
      <c r="AP85">
        <f t="shared" si="17"/>
        <v>58</v>
      </c>
    </row>
    <row r="86" spans="1:42" ht="15.75" hidden="1" customHeight="1" x14ac:dyDescent="0.3">
      <c r="A86" s="16"/>
      <c r="B86" s="55">
        <v>19</v>
      </c>
      <c r="C86" s="56" t="s">
        <v>104</v>
      </c>
      <c r="D86" s="55">
        <v>2</v>
      </c>
      <c r="E86" s="55" t="s">
        <v>21</v>
      </c>
      <c r="F86" s="18" t="s">
        <v>21</v>
      </c>
      <c r="G86" s="18" t="s">
        <v>23</v>
      </c>
      <c r="H86" s="18" t="s">
        <v>21</v>
      </c>
      <c r="I86" s="18" t="s">
        <v>21</v>
      </c>
      <c r="J86" s="18" t="s">
        <v>21</v>
      </c>
      <c r="K86" s="18" t="s">
        <v>21</v>
      </c>
      <c r="L86" s="18" t="s">
        <v>21</v>
      </c>
      <c r="M86" s="18" t="s">
        <v>23</v>
      </c>
      <c r="N86" s="18" t="s">
        <v>23</v>
      </c>
      <c r="O86" s="18" t="s">
        <v>23</v>
      </c>
      <c r="P86" s="18" t="s">
        <v>23</v>
      </c>
      <c r="Q86" s="18" t="s">
        <v>21</v>
      </c>
      <c r="R86" s="18" t="s">
        <v>23</v>
      </c>
      <c r="S86" s="18" t="s">
        <v>21</v>
      </c>
      <c r="T86" s="18" t="s">
        <v>23</v>
      </c>
      <c r="U86" s="18" t="s">
        <v>21</v>
      </c>
      <c r="V86" s="37" t="s">
        <v>21</v>
      </c>
      <c r="W86" s="37" t="s">
        <v>21</v>
      </c>
      <c r="X86" s="37" t="s">
        <v>21</v>
      </c>
      <c r="Y86" s="18" t="s">
        <v>23</v>
      </c>
      <c r="Z86" s="18" t="s">
        <v>23</v>
      </c>
      <c r="AA86" s="20" t="s">
        <v>21</v>
      </c>
      <c r="AB86" s="20" t="s">
        <v>21</v>
      </c>
      <c r="AC86" s="20" t="s">
        <v>21</v>
      </c>
      <c r="AD86" s="18" t="s">
        <v>23</v>
      </c>
      <c r="AE86" s="18" t="s">
        <v>21</v>
      </c>
      <c r="AG86">
        <f t="shared" si="9"/>
        <v>0</v>
      </c>
      <c r="AH86">
        <f t="shared" si="10"/>
        <v>0</v>
      </c>
      <c r="AI86">
        <f t="shared" si="11"/>
        <v>16</v>
      </c>
      <c r="AJ86">
        <f t="shared" si="12"/>
        <v>10</v>
      </c>
      <c r="AL86">
        <f t="shared" si="13"/>
        <v>0</v>
      </c>
      <c r="AM86">
        <f t="shared" si="14"/>
        <v>0</v>
      </c>
      <c r="AN86">
        <f t="shared" si="15"/>
        <v>32</v>
      </c>
      <c r="AO86">
        <f t="shared" si="16"/>
        <v>10</v>
      </c>
      <c r="AP86">
        <f t="shared" si="17"/>
        <v>42</v>
      </c>
    </row>
    <row r="87" spans="1:42" ht="15.75" hidden="1" customHeight="1" x14ac:dyDescent="0.3">
      <c r="A87" s="16"/>
      <c r="B87" s="55">
        <v>20</v>
      </c>
      <c r="C87" s="56" t="s">
        <v>105</v>
      </c>
      <c r="D87" s="55">
        <v>2</v>
      </c>
      <c r="E87" s="55" t="s">
        <v>21</v>
      </c>
      <c r="F87" s="18" t="s">
        <v>20</v>
      </c>
      <c r="G87" s="18" t="s">
        <v>20</v>
      </c>
      <c r="H87" s="18" t="s">
        <v>20</v>
      </c>
      <c r="I87" s="18" t="s">
        <v>20</v>
      </c>
      <c r="J87" s="18" t="s">
        <v>20</v>
      </c>
      <c r="K87" s="18" t="s">
        <v>20</v>
      </c>
      <c r="L87" s="18" t="s">
        <v>21</v>
      </c>
      <c r="M87" s="18" t="s">
        <v>21</v>
      </c>
      <c r="N87" s="18" t="s">
        <v>20</v>
      </c>
      <c r="O87" s="18" t="s">
        <v>20</v>
      </c>
      <c r="P87" s="18" t="s">
        <v>23</v>
      </c>
      <c r="Q87" s="18" t="s">
        <v>23</v>
      </c>
      <c r="R87" s="18" t="s">
        <v>21</v>
      </c>
      <c r="S87" s="18" t="s">
        <v>21</v>
      </c>
      <c r="T87" s="18" t="s">
        <v>20</v>
      </c>
      <c r="U87" s="18" t="s">
        <v>21</v>
      </c>
      <c r="V87" s="37" t="s">
        <v>21</v>
      </c>
      <c r="W87" s="37" t="s">
        <v>20</v>
      </c>
      <c r="X87" s="37" t="s">
        <v>21</v>
      </c>
      <c r="Y87" s="18" t="s">
        <v>20</v>
      </c>
      <c r="Z87" s="18" t="s">
        <v>20</v>
      </c>
      <c r="AA87" s="20" t="s">
        <v>20</v>
      </c>
      <c r="AB87" s="20" t="s">
        <v>20</v>
      </c>
      <c r="AC87" s="20" t="s">
        <v>20</v>
      </c>
      <c r="AD87" s="18" t="s">
        <v>21</v>
      </c>
      <c r="AE87" s="18" t="s">
        <v>21</v>
      </c>
      <c r="AG87">
        <f t="shared" si="9"/>
        <v>0</v>
      </c>
      <c r="AH87">
        <f t="shared" si="10"/>
        <v>15</v>
      </c>
      <c r="AI87">
        <f t="shared" si="11"/>
        <v>9</v>
      </c>
      <c r="AJ87">
        <f t="shared" si="12"/>
        <v>2</v>
      </c>
      <c r="AL87">
        <f t="shared" si="13"/>
        <v>0</v>
      </c>
      <c r="AM87">
        <f t="shared" si="14"/>
        <v>45</v>
      </c>
      <c r="AN87">
        <f t="shared" si="15"/>
        <v>18</v>
      </c>
      <c r="AO87">
        <f t="shared" si="16"/>
        <v>2</v>
      </c>
      <c r="AP87">
        <f t="shared" si="17"/>
        <v>65</v>
      </c>
    </row>
    <row r="88" spans="1:42" ht="15.75" hidden="1" customHeight="1" x14ac:dyDescent="0.3">
      <c r="A88" s="16"/>
      <c r="B88" s="55">
        <v>21</v>
      </c>
      <c r="C88" s="56" t="s">
        <v>106</v>
      </c>
      <c r="D88" s="55">
        <v>2</v>
      </c>
      <c r="E88" s="55" t="s">
        <v>21</v>
      </c>
      <c r="F88" s="18" t="s">
        <v>21</v>
      </c>
      <c r="G88" s="18" t="s">
        <v>23</v>
      </c>
      <c r="H88" s="18" t="s">
        <v>21</v>
      </c>
      <c r="I88" s="18" t="s">
        <v>21</v>
      </c>
      <c r="J88" s="18" t="s">
        <v>20</v>
      </c>
      <c r="K88" s="18" t="s">
        <v>20</v>
      </c>
      <c r="L88" s="18" t="s">
        <v>20</v>
      </c>
      <c r="M88" s="18" t="s">
        <v>21</v>
      </c>
      <c r="N88" s="18" t="s">
        <v>21</v>
      </c>
      <c r="O88" s="18" t="s">
        <v>21</v>
      </c>
      <c r="P88" s="18" t="s">
        <v>21</v>
      </c>
      <c r="Q88" s="18" t="s">
        <v>21</v>
      </c>
      <c r="R88" s="18" t="s">
        <v>21</v>
      </c>
      <c r="S88" s="18" t="s">
        <v>23</v>
      </c>
      <c r="T88" s="18" t="s">
        <v>21</v>
      </c>
      <c r="U88" s="18" t="s">
        <v>20</v>
      </c>
      <c r="V88" s="37" t="s">
        <v>21</v>
      </c>
      <c r="W88" s="37" t="s">
        <v>21</v>
      </c>
      <c r="X88" s="37" t="s">
        <v>21</v>
      </c>
      <c r="Y88" s="18" t="s">
        <v>23</v>
      </c>
      <c r="Z88" s="18" t="s">
        <v>21</v>
      </c>
      <c r="AA88" s="20" t="s">
        <v>21</v>
      </c>
      <c r="AB88" s="20" t="s">
        <v>21</v>
      </c>
      <c r="AC88" s="20" t="s">
        <v>21</v>
      </c>
      <c r="AD88" s="18" t="s">
        <v>23</v>
      </c>
      <c r="AE88" s="18" t="s">
        <v>21</v>
      </c>
      <c r="AG88">
        <f t="shared" si="9"/>
        <v>0</v>
      </c>
      <c r="AH88">
        <f t="shared" si="10"/>
        <v>4</v>
      </c>
      <c r="AI88">
        <f t="shared" si="11"/>
        <v>18</v>
      </c>
      <c r="AJ88">
        <f t="shared" si="12"/>
        <v>4</v>
      </c>
      <c r="AL88">
        <f t="shared" si="13"/>
        <v>0</v>
      </c>
      <c r="AM88">
        <f t="shared" si="14"/>
        <v>12</v>
      </c>
      <c r="AN88">
        <f t="shared" si="15"/>
        <v>36</v>
      </c>
      <c r="AO88">
        <f t="shared" si="16"/>
        <v>4</v>
      </c>
      <c r="AP88">
        <f t="shared" si="17"/>
        <v>52</v>
      </c>
    </row>
    <row r="89" spans="1:42" ht="15.75" hidden="1" customHeight="1" x14ac:dyDescent="0.3">
      <c r="A89" s="16"/>
      <c r="B89" s="55">
        <v>22</v>
      </c>
      <c r="C89" s="56" t="s">
        <v>107</v>
      </c>
      <c r="D89" s="55">
        <v>2</v>
      </c>
      <c r="E89" s="55" t="s">
        <v>21</v>
      </c>
      <c r="F89" s="18" t="s">
        <v>21</v>
      </c>
      <c r="G89" s="18" t="s">
        <v>21</v>
      </c>
      <c r="H89" s="18" t="s">
        <v>23</v>
      </c>
      <c r="I89" s="18" t="s">
        <v>21</v>
      </c>
      <c r="J89" s="18" t="s">
        <v>20</v>
      </c>
      <c r="K89" s="18" t="s">
        <v>21</v>
      </c>
      <c r="L89" s="18" t="s">
        <v>21</v>
      </c>
      <c r="M89" s="18" t="s">
        <v>20</v>
      </c>
      <c r="N89" s="18" t="s">
        <v>21</v>
      </c>
      <c r="O89" s="18" t="s">
        <v>20</v>
      </c>
      <c r="P89" s="18" t="s">
        <v>21</v>
      </c>
      <c r="Q89" s="18" t="s">
        <v>21</v>
      </c>
      <c r="R89" s="18" t="s">
        <v>21</v>
      </c>
      <c r="S89" s="18" t="s">
        <v>20</v>
      </c>
      <c r="T89" s="18" t="s">
        <v>21</v>
      </c>
      <c r="U89" s="18" t="s">
        <v>21</v>
      </c>
      <c r="V89" s="37" t="s">
        <v>21</v>
      </c>
      <c r="W89" s="37" t="s">
        <v>21</v>
      </c>
      <c r="X89" s="37" t="s">
        <v>21</v>
      </c>
      <c r="Y89" s="18" t="s">
        <v>21</v>
      </c>
      <c r="Z89" s="18" t="s">
        <v>21</v>
      </c>
      <c r="AA89" s="20" t="s">
        <v>21</v>
      </c>
      <c r="AB89" s="20" t="s">
        <v>21</v>
      </c>
      <c r="AC89" s="20" t="s">
        <v>20</v>
      </c>
      <c r="AD89" s="18" t="s">
        <v>23</v>
      </c>
      <c r="AE89" s="18" t="s">
        <v>21</v>
      </c>
      <c r="AG89">
        <f t="shared" si="9"/>
        <v>0</v>
      </c>
      <c r="AH89">
        <f t="shared" si="10"/>
        <v>5</v>
      </c>
      <c r="AI89">
        <f t="shared" si="11"/>
        <v>19</v>
      </c>
      <c r="AJ89">
        <f t="shared" si="12"/>
        <v>2</v>
      </c>
      <c r="AL89">
        <f t="shared" si="13"/>
        <v>0</v>
      </c>
      <c r="AM89">
        <f t="shared" si="14"/>
        <v>15</v>
      </c>
      <c r="AN89">
        <f t="shared" si="15"/>
        <v>38</v>
      </c>
      <c r="AO89">
        <f t="shared" si="16"/>
        <v>2</v>
      </c>
      <c r="AP89">
        <f t="shared" si="17"/>
        <v>55</v>
      </c>
    </row>
    <row r="90" spans="1:42" ht="15.75" hidden="1" customHeight="1" thickBot="1" x14ac:dyDescent="0.35">
      <c r="A90" s="16"/>
      <c r="B90" s="57">
        <v>23</v>
      </c>
      <c r="C90" s="58" t="s">
        <v>108</v>
      </c>
      <c r="D90" s="57">
        <v>2</v>
      </c>
      <c r="E90" s="57" t="s">
        <v>21</v>
      </c>
      <c r="F90" s="21" t="s">
        <v>21</v>
      </c>
      <c r="G90" s="21" t="s">
        <v>23</v>
      </c>
      <c r="H90" s="21" t="s">
        <v>21</v>
      </c>
      <c r="I90" s="21" t="s">
        <v>21</v>
      </c>
      <c r="J90" s="21" t="s">
        <v>20</v>
      </c>
      <c r="K90" s="21" t="s">
        <v>21</v>
      </c>
      <c r="L90" s="21" t="s">
        <v>21</v>
      </c>
      <c r="M90" s="21" t="s">
        <v>23</v>
      </c>
      <c r="N90" s="21" t="s">
        <v>21</v>
      </c>
      <c r="O90" s="21" t="s">
        <v>21</v>
      </c>
      <c r="P90" s="21" t="s">
        <v>23</v>
      </c>
      <c r="Q90" s="21" t="s">
        <v>21</v>
      </c>
      <c r="R90" s="41" t="s">
        <v>23</v>
      </c>
      <c r="S90" s="21" t="s">
        <v>23</v>
      </c>
      <c r="T90" s="21" t="s">
        <v>23</v>
      </c>
      <c r="U90" s="21" t="s">
        <v>21</v>
      </c>
      <c r="V90" s="38" t="s">
        <v>20</v>
      </c>
      <c r="W90" s="38" t="s">
        <v>20</v>
      </c>
      <c r="X90" s="38" t="s">
        <v>20</v>
      </c>
      <c r="Y90" s="21" t="s">
        <v>21</v>
      </c>
      <c r="Z90" s="21" t="s">
        <v>21</v>
      </c>
      <c r="AA90" s="23" t="s">
        <v>21</v>
      </c>
      <c r="AB90" s="23" t="s">
        <v>21</v>
      </c>
      <c r="AC90" s="23" t="s">
        <v>21</v>
      </c>
      <c r="AD90" s="21" t="s">
        <v>23</v>
      </c>
      <c r="AE90" s="21" t="s">
        <v>21</v>
      </c>
      <c r="AG90">
        <f t="shared" si="9"/>
        <v>0</v>
      </c>
      <c r="AH90">
        <f t="shared" si="10"/>
        <v>4</v>
      </c>
      <c r="AI90">
        <f t="shared" si="11"/>
        <v>15</v>
      </c>
      <c r="AJ90">
        <f t="shared" si="12"/>
        <v>7</v>
      </c>
      <c r="AL90">
        <f t="shared" si="13"/>
        <v>0</v>
      </c>
      <c r="AM90">
        <f t="shared" si="14"/>
        <v>12</v>
      </c>
      <c r="AN90">
        <f t="shared" si="15"/>
        <v>30</v>
      </c>
      <c r="AO90">
        <f t="shared" si="16"/>
        <v>7</v>
      </c>
      <c r="AP90">
        <f t="shared" si="17"/>
        <v>49</v>
      </c>
    </row>
    <row r="91" spans="1:42" ht="15.75" hidden="1" customHeight="1" x14ac:dyDescent="0.3">
      <c r="A91" s="16"/>
      <c r="B91" s="59">
        <v>1</v>
      </c>
      <c r="C91" s="60" t="s">
        <v>109</v>
      </c>
      <c r="D91" s="59">
        <v>3</v>
      </c>
      <c r="E91" s="59" t="s">
        <v>20</v>
      </c>
      <c r="F91" s="24" t="s">
        <v>39</v>
      </c>
      <c r="G91" s="24" t="s">
        <v>39</v>
      </c>
      <c r="H91" s="24" t="s">
        <v>20</v>
      </c>
      <c r="I91" s="24" t="s">
        <v>39</v>
      </c>
      <c r="J91" s="42" t="s">
        <v>20</v>
      </c>
      <c r="K91" s="42" t="s">
        <v>39</v>
      </c>
      <c r="L91" s="42" t="s">
        <v>20</v>
      </c>
      <c r="M91" s="24" t="s">
        <v>20</v>
      </c>
      <c r="N91" s="24" t="s">
        <v>20</v>
      </c>
      <c r="O91" s="24" t="s">
        <v>20</v>
      </c>
      <c r="P91" s="24" t="s">
        <v>20</v>
      </c>
      <c r="Q91" s="24" t="s">
        <v>20</v>
      </c>
      <c r="R91" s="24" t="s">
        <v>20</v>
      </c>
      <c r="S91" s="24" t="s">
        <v>20</v>
      </c>
      <c r="T91" s="24" t="s">
        <v>20</v>
      </c>
      <c r="U91" s="24" t="s">
        <v>20</v>
      </c>
      <c r="V91" s="39" t="s">
        <v>21</v>
      </c>
      <c r="W91" s="39" t="s">
        <v>20</v>
      </c>
      <c r="X91" s="39" t="s">
        <v>21</v>
      </c>
      <c r="Y91" s="24" t="s">
        <v>39</v>
      </c>
      <c r="Z91" s="24" t="s">
        <v>39</v>
      </c>
      <c r="AA91" s="27" t="s">
        <v>20</v>
      </c>
      <c r="AB91" s="27" t="s">
        <v>20</v>
      </c>
      <c r="AC91" s="27" t="s">
        <v>20</v>
      </c>
      <c r="AD91" s="39" t="s">
        <v>20</v>
      </c>
      <c r="AE91" s="39" t="s">
        <v>21</v>
      </c>
      <c r="AG91">
        <f t="shared" si="9"/>
        <v>6</v>
      </c>
      <c r="AH91">
        <f t="shared" si="10"/>
        <v>17</v>
      </c>
      <c r="AI91">
        <f t="shared" si="11"/>
        <v>3</v>
      </c>
      <c r="AJ91">
        <f t="shared" si="12"/>
        <v>0</v>
      </c>
      <c r="AL91">
        <f t="shared" si="13"/>
        <v>24</v>
      </c>
      <c r="AM91">
        <f t="shared" si="14"/>
        <v>51</v>
      </c>
      <c r="AN91">
        <f t="shared" si="15"/>
        <v>6</v>
      </c>
      <c r="AO91">
        <f t="shared" si="16"/>
        <v>0</v>
      </c>
      <c r="AP91">
        <f t="shared" si="17"/>
        <v>81</v>
      </c>
    </row>
    <row r="92" spans="1:42" ht="15.75" hidden="1" customHeight="1" x14ac:dyDescent="0.3">
      <c r="A92" s="16"/>
      <c r="B92" s="55">
        <v>2</v>
      </c>
      <c r="C92" s="56" t="s">
        <v>110</v>
      </c>
      <c r="D92" s="55">
        <v>3</v>
      </c>
      <c r="E92" s="55" t="s">
        <v>20</v>
      </c>
      <c r="F92" s="18" t="s">
        <v>20</v>
      </c>
      <c r="G92" s="18" t="s">
        <v>20</v>
      </c>
      <c r="H92" s="18" t="s">
        <v>20</v>
      </c>
      <c r="I92" s="18" t="s">
        <v>39</v>
      </c>
      <c r="J92" s="43" t="s">
        <v>39</v>
      </c>
      <c r="K92" s="43" t="s">
        <v>39</v>
      </c>
      <c r="L92" s="43" t="s">
        <v>20</v>
      </c>
      <c r="M92" s="18" t="s">
        <v>20</v>
      </c>
      <c r="N92" s="18" t="s">
        <v>20</v>
      </c>
      <c r="O92" s="18" t="s">
        <v>20</v>
      </c>
      <c r="P92" s="18" t="s">
        <v>20</v>
      </c>
      <c r="Q92" s="18" t="s">
        <v>20</v>
      </c>
      <c r="R92" s="18" t="s">
        <v>20</v>
      </c>
      <c r="S92" s="18" t="s">
        <v>20</v>
      </c>
      <c r="T92" s="18" t="s">
        <v>20</v>
      </c>
      <c r="U92" s="18" t="s">
        <v>20</v>
      </c>
      <c r="V92" s="37" t="s">
        <v>20</v>
      </c>
      <c r="W92" s="37" t="s">
        <v>20</v>
      </c>
      <c r="X92" s="37" t="s">
        <v>20</v>
      </c>
      <c r="Y92" s="18" t="s">
        <v>20</v>
      </c>
      <c r="Z92" s="18" t="s">
        <v>20</v>
      </c>
      <c r="AA92" s="20" t="s">
        <v>20</v>
      </c>
      <c r="AB92" s="20" t="s">
        <v>20</v>
      </c>
      <c r="AC92" s="20" t="s">
        <v>20</v>
      </c>
      <c r="AD92" s="37" t="s">
        <v>21</v>
      </c>
      <c r="AE92" s="37" t="s">
        <v>21</v>
      </c>
      <c r="AG92">
        <f t="shared" si="9"/>
        <v>3</v>
      </c>
      <c r="AH92">
        <f t="shared" si="10"/>
        <v>21</v>
      </c>
      <c r="AI92">
        <f t="shared" si="11"/>
        <v>2</v>
      </c>
      <c r="AJ92">
        <f t="shared" si="12"/>
        <v>0</v>
      </c>
      <c r="AL92">
        <f t="shared" si="13"/>
        <v>12</v>
      </c>
      <c r="AM92">
        <f t="shared" si="14"/>
        <v>63</v>
      </c>
      <c r="AN92">
        <f t="shared" si="15"/>
        <v>4</v>
      </c>
      <c r="AO92">
        <f t="shared" si="16"/>
        <v>0</v>
      </c>
      <c r="AP92">
        <f t="shared" si="17"/>
        <v>79</v>
      </c>
    </row>
    <row r="93" spans="1:42" ht="15.75" hidden="1" customHeight="1" x14ac:dyDescent="0.3">
      <c r="A93" s="16"/>
      <c r="B93" s="55">
        <v>3</v>
      </c>
      <c r="C93" s="56" t="s">
        <v>111</v>
      </c>
      <c r="D93" s="55">
        <v>3</v>
      </c>
      <c r="E93" s="55" t="s">
        <v>20</v>
      </c>
      <c r="F93" s="18" t="s">
        <v>23</v>
      </c>
      <c r="G93" s="18" t="s">
        <v>21</v>
      </c>
      <c r="H93" s="18" t="s">
        <v>23</v>
      </c>
      <c r="I93" s="18" t="s">
        <v>23</v>
      </c>
      <c r="J93" s="43" t="s">
        <v>21</v>
      </c>
      <c r="K93" s="43" t="s">
        <v>20</v>
      </c>
      <c r="L93" s="43" t="s">
        <v>21</v>
      </c>
      <c r="M93" s="18" t="s">
        <v>21</v>
      </c>
      <c r="N93" s="18" t="s">
        <v>21</v>
      </c>
      <c r="O93" s="18" t="s">
        <v>21</v>
      </c>
      <c r="P93" s="18" t="s">
        <v>23</v>
      </c>
      <c r="Q93" s="18" t="s">
        <v>21</v>
      </c>
      <c r="R93" s="18" t="s">
        <v>21</v>
      </c>
      <c r="S93" s="18" t="s">
        <v>21</v>
      </c>
      <c r="T93" s="18" t="s">
        <v>21</v>
      </c>
      <c r="U93" s="18" t="s">
        <v>20</v>
      </c>
      <c r="V93" s="37" t="s">
        <v>20</v>
      </c>
      <c r="W93" s="37" t="s">
        <v>21</v>
      </c>
      <c r="X93" s="37" t="s">
        <v>21</v>
      </c>
      <c r="Y93" s="18" t="s">
        <v>21</v>
      </c>
      <c r="Z93" s="18" t="s">
        <v>20</v>
      </c>
      <c r="AA93" s="20" t="s">
        <v>21</v>
      </c>
      <c r="AB93" s="20" t="s">
        <v>21</v>
      </c>
      <c r="AC93" s="20" t="s">
        <v>21</v>
      </c>
      <c r="AD93" s="37" t="s">
        <v>23</v>
      </c>
      <c r="AE93" s="37" t="s">
        <v>21</v>
      </c>
      <c r="AG93">
        <f t="shared" si="9"/>
        <v>0</v>
      </c>
      <c r="AH93">
        <f t="shared" si="10"/>
        <v>4</v>
      </c>
      <c r="AI93">
        <f t="shared" si="11"/>
        <v>17</v>
      </c>
      <c r="AJ93">
        <f t="shared" si="12"/>
        <v>5</v>
      </c>
      <c r="AL93">
        <f t="shared" si="13"/>
        <v>0</v>
      </c>
      <c r="AM93">
        <f t="shared" si="14"/>
        <v>12</v>
      </c>
      <c r="AN93">
        <f t="shared" si="15"/>
        <v>34</v>
      </c>
      <c r="AO93">
        <f t="shared" si="16"/>
        <v>5</v>
      </c>
      <c r="AP93">
        <f t="shared" si="17"/>
        <v>51</v>
      </c>
    </row>
    <row r="94" spans="1:42" ht="15.75" hidden="1" customHeight="1" x14ac:dyDescent="0.3">
      <c r="A94" s="16"/>
      <c r="B94" s="55">
        <v>4</v>
      </c>
      <c r="C94" s="56" t="s">
        <v>112</v>
      </c>
      <c r="D94" s="55">
        <v>3</v>
      </c>
      <c r="E94" s="55" t="s">
        <v>20</v>
      </c>
      <c r="F94" s="18" t="s">
        <v>39</v>
      </c>
      <c r="G94" s="18" t="s">
        <v>20</v>
      </c>
      <c r="H94" s="18" t="s">
        <v>20</v>
      </c>
      <c r="I94" s="18" t="s">
        <v>20</v>
      </c>
      <c r="J94" s="43" t="s">
        <v>20</v>
      </c>
      <c r="K94" s="43" t="s">
        <v>39</v>
      </c>
      <c r="L94" s="43" t="s">
        <v>20</v>
      </c>
      <c r="M94" s="18" t="s">
        <v>20</v>
      </c>
      <c r="N94" s="18" t="s">
        <v>20</v>
      </c>
      <c r="O94" s="18" t="s">
        <v>20</v>
      </c>
      <c r="P94" s="18" t="s">
        <v>20</v>
      </c>
      <c r="Q94" s="18" t="s">
        <v>20</v>
      </c>
      <c r="R94" s="18" t="s">
        <v>20</v>
      </c>
      <c r="S94" s="18" t="s">
        <v>20</v>
      </c>
      <c r="T94" s="18" t="s">
        <v>20</v>
      </c>
      <c r="U94" s="18" t="s">
        <v>20</v>
      </c>
      <c r="V94" s="37" t="s">
        <v>20</v>
      </c>
      <c r="W94" s="37" t="s">
        <v>21</v>
      </c>
      <c r="X94" s="37" t="s">
        <v>20</v>
      </c>
      <c r="Y94" s="18" t="s">
        <v>20</v>
      </c>
      <c r="Z94" s="18" t="s">
        <v>20</v>
      </c>
      <c r="AA94" s="20" t="s">
        <v>20</v>
      </c>
      <c r="AB94" s="20" t="s">
        <v>20</v>
      </c>
      <c r="AC94" s="20" t="s">
        <v>20</v>
      </c>
      <c r="AD94" s="37" t="s">
        <v>20</v>
      </c>
      <c r="AE94" s="37" t="s">
        <v>21</v>
      </c>
      <c r="AG94">
        <f t="shared" si="9"/>
        <v>2</v>
      </c>
      <c r="AH94">
        <f t="shared" si="10"/>
        <v>22</v>
      </c>
      <c r="AI94">
        <f t="shared" si="11"/>
        <v>2</v>
      </c>
      <c r="AJ94">
        <f t="shared" si="12"/>
        <v>0</v>
      </c>
      <c r="AL94">
        <f t="shared" si="13"/>
        <v>8</v>
      </c>
      <c r="AM94">
        <f t="shared" si="14"/>
        <v>66</v>
      </c>
      <c r="AN94">
        <f t="shared" si="15"/>
        <v>4</v>
      </c>
      <c r="AO94">
        <f t="shared" si="16"/>
        <v>0</v>
      </c>
      <c r="AP94">
        <f t="shared" si="17"/>
        <v>78</v>
      </c>
    </row>
    <row r="95" spans="1:42" ht="15.75" hidden="1" customHeight="1" x14ac:dyDescent="0.3">
      <c r="A95" s="16"/>
      <c r="B95" s="55">
        <v>5</v>
      </c>
      <c r="C95" s="56" t="s">
        <v>113</v>
      </c>
      <c r="D95" s="55">
        <v>3</v>
      </c>
      <c r="E95" s="55" t="s">
        <v>20</v>
      </c>
      <c r="F95" s="18" t="s">
        <v>23</v>
      </c>
      <c r="G95" s="18" t="s">
        <v>23</v>
      </c>
      <c r="H95" s="18" t="s">
        <v>23</v>
      </c>
      <c r="I95" s="18" t="s">
        <v>23</v>
      </c>
      <c r="J95" s="43" t="s">
        <v>21</v>
      </c>
      <c r="K95" s="43" t="s">
        <v>21</v>
      </c>
      <c r="L95" s="43" t="s">
        <v>21</v>
      </c>
      <c r="M95" s="18" t="s">
        <v>21</v>
      </c>
      <c r="N95" s="18" t="s">
        <v>23</v>
      </c>
      <c r="O95" s="18" t="s">
        <v>23</v>
      </c>
      <c r="P95" s="18" t="s">
        <v>23</v>
      </c>
      <c r="Q95" s="18" t="s">
        <v>23</v>
      </c>
      <c r="R95" s="18" t="s">
        <v>21</v>
      </c>
      <c r="S95" s="18" t="s">
        <v>23</v>
      </c>
      <c r="T95" s="18" t="s">
        <v>23</v>
      </c>
      <c r="U95" s="18" t="s">
        <v>21</v>
      </c>
      <c r="V95" s="37" t="s">
        <v>21</v>
      </c>
      <c r="W95" s="37" t="s">
        <v>21</v>
      </c>
      <c r="X95" s="37" t="s">
        <v>21</v>
      </c>
      <c r="Y95" s="18" t="s">
        <v>23</v>
      </c>
      <c r="Z95" s="18" t="s">
        <v>21</v>
      </c>
      <c r="AA95" s="20" t="s">
        <v>21</v>
      </c>
      <c r="AB95" s="20" t="s">
        <v>21</v>
      </c>
      <c r="AC95" s="20" t="s">
        <v>21</v>
      </c>
      <c r="AD95" s="37" t="s">
        <v>23</v>
      </c>
      <c r="AE95" s="37" t="s">
        <v>21</v>
      </c>
      <c r="AG95">
        <f t="shared" si="9"/>
        <v>0</v>
      </c>
      <c r="AH95">
        <f t="shared" si="10"/>
        <v>0</v>
      </c>
      <c r="AI95">
        <f t="shared" si="11"/>
        <v>14</v>
      </c>
      <c r="AJ95">
        <f t="shared" si="12"/>
        <v>12</v>
      </c>
      <c r="AL95">
        <f t="shared" si="13"/>
        <v>0</v>
      </c>
      <c r="AM95">
        <f t="shared" si="14"/>
        <v>0</v>
      </c>
      <c r="AN95">
        <f t="shared" si="15"/>
        <v>28</v>
      </c>
      <c r="AO95">
        <f t="shared" si="16"/>
        <v>12</v>
      </c>
      <c r="AP95">
        <f t="shared" si="17"/>
        <v>40</v>
      </c>
    </row>
    <row r="96" spans="1:42" ht="15.75" hidden="1" customHeight="1" x14ac:dyDescent="0.3">
      <c r="A96" s="16"/>
      <c r="B96" s="55">
        <v>6</v>
      </c>
      <c r="C96" s="56" t="s">
        <v>114</v>
      </c>
      <c r="D96" s="55">
        <v>3</v>
      </c>
      <c r="E96" s="55" t="s">
        <v>20</v>
      </c>
      <c r="F96" s="18" t="s">
        <v>20</v>
      </c>
      <c r="G96" s="18" t="s">
        <v>20</v>
      </c>
      <c r="H96" s="18" t="s">
        <v>20</v>
      </c>
      <c r="I96" s="18" t="s">
        <v>20</v>
      </c>
      <c r="J96" s="43" t="s">
        <v>20</v>
      </c>
      <c r="K96" s="43" t="s">
        <v>20</v>
      </c>
      <c r="L96" s="43" t="s">
        <v>20</v>
      </c>
      <c r="M96" s="18" t="s">
        <v>21</v>
      </c>
      <c r="N96" s="18" t="s">
        <v>20</v>
      </c>
      <c r="O96" s="18" t="s">
        <v>20</v>
      </c>
      <c r="P96" s="18" t="s">
        <v>20</v>
      </c>
      <c r="Q96" s="18" t="s">
        <v>20</v>
      </c>
      <c r="R96" s="18" t="s">
        <v>21</v>
      </c>
      <c r="S96" s="18" t="s">
        <v>21</v>
      </c>
      <c r="T96" s="18" t="s">
        <v>20</v>
      </c>
      <c r="U96" s="18" t="s">
        <v>20</v>
      </c>
      <c r="V96" s="37" t="s">
        <v>21</v>
      </c>
      <c r="W96" s="37" t="s">
        <v>21</v>
      </c>
      <c r="X96" s="37" t="s">
        <v>20</v>
      </c>
      <c r="Y96" s="18" t="s">
        <v>21</v>
      </c>
      <c r="Z96" s="18" t="s">
        <v>20</v>
      </c>
      <c r="AA96" s="20" t="s">
        <v>20</v>
      </c>
      <c r="AB96" s="20" t="s">
        <v>21</v>
      </c>
      <c r="AC96" s="20" t="s">
        <v>21</v>
      </c>
      <c r="AD96" s="37" t="s">
        <v>23</v>
      </c>
      <c r="AE96" s="37" t="s">
        <v>21</v>
      </c>
      <c r="AG96">
        <f t="shared" si="9"/>
        <v>0</v>
      </c>
      <c r="AH96">
        <f t="shared" si="10"/>
        <v>16</v>
      </c>
      <c r="AI96">
        <f t="shared" si="11"/>
        <v>9</v>
      </c>
      <c r="AJ96">
        <f t="shared" si="12"/>
        <v>1</v>
      </c>
      <c r="AL96">
        <f t="shared" si="13"/>
        <v>0</v>
      </c>
      <c r="AM96">
        <f t="shared" si="14"/>
        <v>48</v>
      </c>
      <c r="AN96">
        <f t="shared" si="15"/>
        <v>18</v>
      </c>
      <c r="AO96">
        <f t="shared" si="16"/>
        <v>1</v>
      </c>
      <c r="AP96">
        <f t="shared" si="17"/>
        <v>67</v>
      </c>
    </row>
    <row r="97" spans="1:42" ht="15.75" hidden="1" customHeight="1" x14ac:dyDescent="0.3">
      <c r="A97" s="16"/>
      <c r="B97" s="55">
        <v>7</v>
      </c>
      <c r="C97" s="56" t="s">
        <v>115</v>
      </c>
      <c r="D97" s="55">
        <v>3</v>
      </c>
      <c r="E97" s="55" t="s">
        <v>20</v>
      </c>
      <c r="F97" s="18" t="s">
        <v>23</v>
      </c>
      <c r="G97" s="18" t="s">
        <v>23</v>
      </c>
      <c r="H97" s="18" t="s">
        <v>23</v>
      </c>
      <c r="I97" s="18" t="s">
        <v>23</v>
      </c>
      <c r="J97" s="43" t="s">
        <v>21</v>
      </c>
      <c r="K97" s="43" t="s">
        <v>21</v>
      </c>
      <c r="L97" s="43" t="s">
        <v>21</v>
      </c>
      <c r="M97" s="18" t="s">
        <v>20</v>
      </c>
      <c r="N97" s="18" t="s">
        <v>21</v>
      </c>
      <c r="O97" s="18" t="s">
        <v>21</v>
      </c>
      <c r="P97" s="18" t="s">
        <v>21</v>
      </c>
      <c r="Q97" s="18" t="s">
        <v>21</v>
      </c>
      <c r="R97" s="18" t="s">
        <v>21</v>
      </c>
      <c r="S97" s="18" t="s">
        <v>23</v>
      </c>
      <c r="T97" s="18" t="s">
        <v>23</v>
      </c>
      <c r="U97" s="18" t="s">
        <v>20</v>
      </c>
      <c r="V97" s="37" t="s">
        <v>20</v>
      </c>
      <c r="W97" s="37" t="s">
        <v>21</v>
      </c>
      <c r="X97" s="37" t="s">
        <v>21</v>
      </c>
      <c r="Y97" s="18" t="s">
        <v>23</v>
      </c>
      <c r="Z97" s="18" t="s">
        <v>21</v>
      </c>
      <c r="AA97" s="20" t="s">
        <v>21</v>
      </c>
      <c r="AB97" s="20" t="s">
        <v>20</v>
      </c>
      <c r="AC97" s="20" t="s">
        <v>21</v>
      </c>
      <c r="AD97" s="37" t="s">
        <v>23</v>
      </c>
      <c r="AE97" s="37" t="s">
        <v>21</v>
      </c>
      <c r="AG97">
        <f t="shared" si="9"/>
        <v>0</v>
      </c>
      <c r="AH97">
        <f t="shared" si="10"/>
        <v>4</v>
      </c>
      <c r="AI97">
        <f t="shared" si="11"/>
        <v>14</v>
      </c>
      <c r="AJ97">
        <f t="shared" si="12"/>
        <v>8</v>
      </c>
      <c r="AL97">
        <f t="shared" si="13"/>
        <v>0</v>
      </c>
      <c r="AM97">
        <f t="shared" si="14"/>
        <v>12</v>
      </c>
      <c r="AN97">
        <f t="shared" si="15"/>
        <v>28</v>
      </c>
      <c r="AO97">
        <f t="shared" si="16"/>
        <v>8</v>
      </c>
      <c r="AP97">
        <f t="shared" si="17"/>
        <v>48</v>
      </c>
    </row>
    <row r="98" spans="1:42" ht="15.75" hidden="1" customHeight="1" x14ac:dyDescent="0.3">
      <c r="A98" s="16"/>
      <c r="B98" s="55">
        <v>8</v>
      </c>
      <c r="C98" s="56" t="s">
        <v>116</v>
      </c>
      <c r="D98" s="55">
        <v>3</v>
      </c>
      <c r="E98" s="55" t="s">
        <v>20</v>
      </c>
      <c r="F98" s="18" t="s">
        <v>21</v>
      </c>
      <c r="G98" s="18" t="s">
        <v>21</v>
      </c>
      <c r="H98" s="18" t="s">
        <v>21</v>
      </c>
      <c r="I98" s="18" t="s">
        <v>21</v>
      </c>
      <c r="J98" s="43" t="s">
        <v>20</v>
      </c>
      <c r="K98" s="43" t="s">
        <v>20</v>
      </c>
      <c r="L98" s="43" t="s">
        <v>21</v>
      </c>
      <c r="M98" s="18" t="s">
        <v>20</v>
      </c>
      <c r="N98" s="18" t="s">
        <v>20</v>
      </c>
      <c r="O98" s="18" t="s">
        <v>21</v>
      </c>
      <c r="P98" s="18" t="s">
        <v>21</v>
      </c>
      <c r="Q98" s="18" t="s">
        <v>21</v>
      </c>
      <c r="R98" s="18" t="s">
        <v>21</v>
      </c>
      <c r="S98" s="18" t="s">
        <v>20</v>
      </c>
      <c r="T98" s="18" t="s">
        <v>20</v>
      </c>
      <c r="U98" s="18" t="s">
        <v>20</v>
      </c>
      <c r="V98" s="37" t="s">
        <v>20</v>
      </c>
      <c r="W98" s="37" t="s">
        <v>20</v>
      </c>
      <c r="X98" s="37" t="s">
        <v>20</v>
      </c>
      <c r="Y98" s="18" t="s">
        <v>21</v>
      </c>
      <c r="Z98" s="18" t="s">
        <v>21</v>
      </c>
      <c r="AA98" s="20" t="s">
        <v>21</v>
      </c>
      <c r="AB98" s="20" t="s">
        <v>21</v>
      </c>
      <c r="AC98" s="20" t="s">
        <v>20</v>
      </c>
      <c r="AD98" s="44" t="s">
        <v>21</v>
      </c>
      <c r="AE98" s="44" t="s">
        <v>21</v>
      </c>
      <c r="AG98">
        <f t="shared" si="9"/>
        <v>0</v>
      </c>
      <c r="AH98">
        <f t="shared" si="10"/>
        <v>11</v>
      </c>
      <c r="AI98">
        <f t="shared" si="11"/>
        <v>15</v>
      </c>
      <c r="AJ98">
        <f t="shared" si="12"/>
        <v>0</v>
      </c>
      <c r="AL98">
        <f t="shared" si="13"/>
        <v>0</v>
      </c>
      <c r="AM98">
        <f t="shared" si="14"/>
        <v>33</v>
      </c>
      <c r="AN98">
        <f t="shared" si="15"/>
        <v>30</v>
      </c>
      <c r="AO98">
        <f t="shared" si="16"/>
        <v>0</v>
      </c>
      <c r="AP98">
        <f t="shared" si="17"/>
        <v>63</v>
      </c>
    </row>
    <row r="99" spans="1:42" ht="15.75" hidden="1" customHeight="1" x14ac:dyDescent="0.3">
      <c r="A99" s="16"/>
      <c r="B99" s="55">
        <v>9</v>
      </c>
      <c r="C99" s="56" t="s">
        <v>117</v>
      </c>
      <c r="D99" s="55">
        <v>3</v>
      </c>
      <c r="E99" s="55" t="s">
        <v>20</v>
      </c>
      <c r="F99" s="18" t="s">
        <v>20</v>
      </c>
      <c r="G99" s="18" t="s">
        <v>20</v>
      </c>
      <c r="H99" s="18" t="s">
        <v>20</v>
      </c>
      <c r="I99" s="18" t="s">
        <v>20</v>
      </c>
      <c r="J99" s="43" t="s">
        <v>20</v>
      </c>
      <c r="K99" s="43" t="s">
        <v>39</v>
      </c>
      <c r="L99" s="43" t="s">
        <v>20</v>
      </c>
      <c r="M99" s="18" t="s">
        <v>20</v>
      </c>
      <c r="N99" s="18" t="s">
        <v>20</v>
      </c>
      <c r="O99" s="18" t="s">
        <v>20</v>
      </c>
      <c r="P99" s="18" t="s">
        <v>20</v>
      </c>
      <c r="Q99" s="18" t="s">
        <v>20</v>
      </c>
      <c r="R99" s="18" t="s">
        <v>20</v>
      </c>
      <c r="S99" s="18" t="s">
        <v>20</v>
      </c>
      <c r="T99" s="18" t="s">
        <v>20</v>
      </c>
      <c r="U99" s="18" t="s">
        <v>20</v>
      </c>
      <c r="V99" s="37" t="s">
        <v>20</v>
      </c>
      <c r="W99" s="37" t="s">
        <v>20</v>
      </c>
      <c r="X99" s="37" t="s">
        <v>20</v>
      </c>
      <c r="Y99" s="18" t="s">
        <v>20</v>
      </c>
      <c r="Z99" s="18" t="s">
        <v>39</v>
      </c>
      <c r="AA99" s="20" t="s">
        <v>20</v>
      </c>
      <c r="AB99" s="20" t="s">
        <v>20</v>
      </c>
      <c r="AC99" s="20" t="s">
        <v>20</v>
      </c>
      <c r="AD99" s="37" t="s">
        <v>21</v>
      </c>
      <c r="AE99" s="37" t="s">
        <v>21</v>
      </c>
      <c r="AG99">
        <f t="shared" si="9"/>
        <v>2</v>
      </c>
      <c r="AH99">
        <f t="shared" si="10"/>
        <v>22</v>
      </c>
      <c r="AI99">
        <f t="shared" si="11"/>
        <v>2</v>
      </c>
      <c r="AJ99">
        <f t="shared" si="12"/>
        <v>0</v>
      </c>
      <c r="AL99">
        <f t="shared" si="13"/>
        <v>8</v>
      </c>
      <c r="AM99">
        <f t="shared" si="14"/>
        <v>66</v>
      </c>
      <c r="AN99">
        <f t="shared" si="15"/>
        <v>4</v>
      </c>
      <c r="AO99">
        <f t="shared" si="16"/>
        <v>0</v>
      </c>
      <c r="AP99">
        <f t="shared" si="17"/>
        <v>78</v>
      </c>
    </row>
    <row r="100" spans="1:42" ht="15.75" hidden="1" customHeight="1" x14ac:dyDescent="0.3">
      <c r="A100" s="16"/>
      <c r="B100" s="55">
        <v>10</v>
      </c>
      <c r="C100" s="56" t="s">
        <v>118</v>
      </c>
      <c r="D100" s="55">
        <v>3</v>
      </c>
      <c r="E100" s="55" t="s">
        <v>20</v>
      </c>
      <c r="F100" s="18" t="s">
        <v>23</v>
      </c>
      <c r="G100" s="18" t="s">
        <v>23</v>
      </c>
      <c r="H100" s="18" t="s">
        <v>23</v>
      </c>
      <c r="I100" s="18" t="s">
        <v>23</v>
      </c>
      <c r="J100" s="43" t="s">
        <v>21</v>
      </c>
      <c r="K100" s="43" t="s">
        <v>21</v>
      </c>
      <c r="L100" s="43" t="s">
        <v>21</v>
      </c>
      <c r="M100" s="18" t="s">
        <v>21</v>
      </c>
      <c r="N100" s="18" t="s">
        <v>23</v>
      </c>
      <c r="O100" s="18" t="s">
        <v>21</v>
      </c>
      <c r="P100" s="18" t="s">
        <v>23</v>
      </c>
      <c r="Q100" s="18" t="s">
        <v>21</v>
      </c>
      <c r="R100" s="18" t="s">
        <v>21</v>
      </c>
      <c r="S100" s="18" t="s">
        <v>20</v>
      </c>
      <c r="T100" s="18" t="s">
        <v>20</v>
      </c>
      <c r="U100" s="18" t="s">
        <v>21</v>
      </c>
      <c r="V100" s="37" t="s">
        <v>20</v>
      </c>
      <c r="W100" s="37" t="s">
        <v>21</v>
      </c>
      <c r="X100" s="37" t="s">
        <v>20</v>
      </c>
      <c r="Y100" s="18" t="s">
        <v>20</v>
      </c>
      <c r="Z100" s="18" t="s">
        <v>20</v>
      </c>
      <c r="AA100" s="20" t="s">
        <v>21</v>
      </c>
      <c r="AB100" s="20" t="s">
        <v>21</v>
      </c>
      <c r="AC100" s="20" t="s">
        <v>21</v>
      </c>
      <c r="AD100" s="37" t="s">
        <v>21</v>
      </c>
      <c r="AE100" s="37" t="s">
        <v>21</v>
      </c>
      <c r="AG100">
        <f t="shared" si="9"/>
        <v>0</v>
      </c>
      <c r="AH100">
        <f t="shared" si="10"/>
        <v>6</v>
      </c>
      <c r="AI100">
        <f t="shared" si="11"/>
        <v>14</v>
      </c>
      <c r="AJ100">
        <f t="shared" si="12"/>
        <v>6</v>
      </c>
      <c r="AL100">
        <f t="shared" si="13"/>
        <v>0</v>
      </c>
      <c r="AM100">
        <f t="shared" si="14"/>
        <v>18</v>
      </c>
      <c r="AN100">
        <f t="shared" si="15"/>
        <v>28</v>
      </c>
      <c r="AO100">
        <f t="shared" si="16"/>
        <v>6</v>
      </c>
      <c r="AP100">
        <f t="shared" si="17"/>
        <v>52</v>
      </c>
    </row>
    <row r="101" spans="1:42" ht="15.75" hidden="1" customHeight="1" x14ac:dyDescent="0.3">
      <c r="A101" s="16"/>
      <c r="B101" s="55">
        <v>11</v>
      </c>
      <c r="C101" s="56" t="s">
        <v>119</v>
      </c>
      <c r="D101" s="55">
        <v>3</v>
      </c>
      <c r="E101" s="55" t="s">
        <v>20</v>
      </c>
      <c r="F101" s="18" t="s">
        <v>21</v>
      </c>
      <c r="G101" s="18" t="s">
        <v>21</v>
      </c>
      <c r="H101" s="18" t="s">
        <v>21</v>
      </c>
      <c r="I101" s="18" t="s">
        <v>21</v>
      </c>
      <c r="J101" s="43" t="s">
        <v>21</v>
      </c>
      <c r="K101" s="43" t="s">
        <v>21</v>
      </c>
      <c r="L101" s="43" t="s">
        <v>21</v>
      </c>
      <c r="M101" s="18" t="s">
        <v>21</v>
      </c>
      <c r="N101" s="18" t="s">
        <v>21</v>
      </c>
      <c r="O101" s="18" t="s">
        <v>21</v>
      </c>
      <c r="P101" s="18" t="s">
        <v>23</v>
      </c>
      <c r="Q101" s="18" t="s">
        <v>21</v>
      </c>
      <c r="R101" s="18" t="s">
        <v>21</v>
      </c>
      <c r="S101" s="18" t="s">
        <v>20</v>
      </c>
      <c r="T101" s="18" t="s">
        <v>20</v>
      </c>
      <c r="U101" s="18" t="s">
        <v>21</v>
      </c>
      <c r="V101" s="37" t="s">
        <v>20</v>
      </c>
      <c r="W101" s="37" t="s">
        <v>20</v>
      </c>
      <c r="X101" s="37" t="s">
        <v>20</v>
      </c>
      <c r="Y101" s="18" t="s">
        <v>21</v>
      </c>
      <c r="Z101" s="18" t="s">
        <v>21</v>
      </c>
      <c r="AA101" s="20" t="s">
        <v>21</v>
      </c>
      <c r="AB101" s="20" t="s">
        <v>21</v>
      </c>
      <c r="AC101" s="20" t="s">
        <v>21</v>
      </c>
      <c r="AD101" s="37" t="s">
        <v>23</v>
      </c>
      <c r="AE101" s="37" t="s">
        <v>21</v>
      </c>
      <c r="AG101">
        <f t="shared" si="9"/>
        <v>0</v>
      </c>
      <c r="AH101">
        <f t="shared" si="10"/>
        <v>5</v>
      </c>
      <c r="AI101">
        <f t="shared" si="11"/>
        <v>19</v>
      </c>
      <c r="AJ101">
        <f t="shared" si="12"/>
        <v>2</v>
      </c>
      <c r="AL101">
        <f t="shared" si="13"/>
        <v>0</v>
      </c>
      <c r="AM101">
        <f t="shared" si="14"/>
        <v>15</v>
      </c>
      <c r="AN101">
        <f t="shared" si="15"/>
        <v>38</v>
      </c>
      <c r="AO101">
        <f t="shared" si="16"/>
        <v>2</v>
      </c>
      <c r="AP101">
        <f t="shared" si="17"/>
        <v>55</v>
      </c>
    </row>
    <row r="102" spans="1:42" ht="15.75" hidden="1" customHeight="1" x14ac:dyDescent="0.3">
      <c r="A102" s="16"/>
      <c r="B102" s="55">
        <v>12</v>
      </c>
      <c r="C102" s="56" t="s">
        <v>120</v>
      </c>
      <c r="D102" s="55">
        <v>3</v>
      </c>
      <c r="E102" s="55" t="s">
        <v>20</v>
      </c>
      <c r="F102" s="18" t="s">
        <v>21</v>
      </c>
      <c r="G102" s="18" t="s">
        <v>23</v>
      </c>
      <c r="H102" s="18" t="s">
        <v>23</v>
      </c>
      <c r="I102" s="18" t="s">
        <v>21</v>
      </c>
      <c r="J102" s="43" t="s">
        <v>21</v>
      </c>
      <c r="K102" s="43" t="s">
        <v>20</v>
      </c>
      <c r="L102" s="43" t="s">
        <v>21</v>
      </c>
      <c r="M102" s="18" t="s">
        <v>21</v>
      </c>
      <c r="N102" s="18" t="s">
        <v>21</v>
      </c>
      <c r="O102" s="18" t="s">
        <v>20</v>
      </c>
      <c r="P102" s="18" t="s">
        <v>21</v>
      </c>
      <c r="Q102" s="18" t="s">
        <v>21</v>
      </c>
      <c r="R102" s="18" t="s">
        <v>21</v>
      </c>
      <c r="S102" s="18" t="s">
        <v>21</v>
      </c>
      <c r="T102" s="18" t="s">
        <v>20</v>
      </c>
      <c r="U102" s="18" t="s">
        <v>21</v>
      </c>
      <c r="V102" s="37" t="s">
        <v>20</v>
      </c>
      <c r="W102" s="37" t="s">
        <v>21</v>
      </c>
      <c r="X102" s="37" t="s">
        <v>20</v>
      </c>
      <c r="Y102" s="18" t="s">
        <v>20</v>
      </c>
      <c r="Z102" s="18" t="s">
        <v>20</v>
      </c>
      <c r="AA102" s="20" t="s">
        <v>20</v>
      </c>
      <c r="AB102" s="20" t="s">
        <v>21</v>
      </c>
      <c r="AC102" s="20" t="s">
        <v>20</v>
      </c>
      <c r="AD102" s="37" t="s">
        <v>23</v>
      </c>
      <c r="AE102" s="37" t="s">
        <v>21</v>
      </c>
      <c r="AG102">
        <f t="shared" si="9"/>
        <v>0</v>
      </c>
      <c r="AH102">
        <f t="shared" si="10"/>
        <v>9</v>
      </c>
      <c r="AI102">
        <f t="shared" si="11"/>
        <v>14</v>
      </c>
      <c r="AJ102">
        <f t="shared" si="12"/>
        <v>3</v>
      </c>
      <c r="AL102">
        <f t="shared" si="13"/>
        <v>0</v>
      </c>
      <c r="AM102">
        <f t="shared" si="14"/>
        <v>27</v>
      </c>
      <c r="AN102">
        <f t="shared" si="15"/>
        <v>28</v>
      </c>
      <c r="AO102">
        <f t="shared" si="16"/>
        <v>3</v>
      </c>
      <c r="AP102">
        <f t="shared" si="17"/>
        <v>58</v>
      </c>
    </row>
    <row r="103" spans="1:42" ht="15.75" hidden="1" customHeight="1" x14ac:dyDescent="0.3">
      <c r="A103" s="16"/>
      <c r="B103" s="55">
        <v>13</v>
      </c>
      <c r="C103" s="56" t="s">
        <v>121</v>
      </c>
      <c r="D103" s="55">
        <v>3</v>
      </c>
      <c r="E103" s="55" t="s">
        <v>20</v>
      </c>
      <c r="F103" s="18" t="s">
        <v>20</v>
      </c>
      <c r="G103" s="18" t="s">
        <v>20</v>
      </c>
      <c r="H103" s="18" t="s">
        <v>20</v>
      </c>
      <c r="I103" s="18" t="s">
        <v>20</v>
      </c>
      <c r="J103" s="43" t="s">
        <v>20</v>
      </c>
      <c r="K103" s="43" t="s">
        <v>21</v>
      </c>
      <c r="L103" s="43" t="s">
        <v>21</v>
      </c>
      <c r="M103" s="18" t="s">
        <v>21</v>
      </c>
      <c r="N103" s="18" t="s">
        <v>21</v>
      </c>
      <c r="O103" s="18" t="s">
        <v>20</v>
      </c>
      <c r="P103" s="18" t="s">
        <v>20</v>
      </c>
      <c r="Q103" s="18" t="s">
        <v>20</v>
      </c>
      <c r="R103" s="18" t="s">
        <v>20</v>
      </c>
      <c r="S103" s="18" t="s">
        <v>20</v>
      </c>
      <c r="T103" s="18" t="s">
        <v>20</v>
      </c>
      <c r="U103" s="18" t="s">
        <v>21</v>
      </c>
      <c r="V103" s="37" t="s">
        <v>20</v>
      </c>
      <c r="W103" s="37" t="s">
        <v>21</v>
      </c>
      <c r="X103" s="37" t="s">
        <v>20</v>
      </c>
      <c r="Y103" s="18" t="s">
        <v>21</v>
      </c>
      <c r="Z103" s="18" t="s">
        <v>20</v>
      </c>
      <c r="AA103" s="20" t="s">
        <v>20</v>
      </c>
      <c r="AB103" s="20" t="s">
        <v>21</v>
      </c>
      <c r="AC103" s="20" t="s">
        <v>20</v>
      </c>
      <c r="AD103" s="37" t="s">
        <v>21</v>
      </c>
      <c r="AE103" s="37" t="s">
        <v>21</v>
      </c>
      <c r="AG103">
        <f t="shared" si="9"/>
        <v>0</v>
      </c>
      <c r="AH103">
        <f t="shared" si="10"/>
        <v>16</v>
      </c>
      <c r="AI103">
        <f t="shared" si="11"/>
        <v>10</v>
      </c>
      <c r="AJ103">
        <f t="shared" si="12"/>
        <v>0</v>
      </c>
      <c r="AL103">
        <f t="shared" si="13"/>
        <v>0</v>
      </c>
      <c r="AM103">
        <f t="shared" si="14"/>
        <v>48</v>
      </c>
      <c r="AN103">
        <f t="shared" si="15"/>
        <v>20</v>
      </c>
      <c r="AO103">
        <f t="shared" si="16"/>
        <v>0</v>
      </c>
      <c r="AP103">
        <f t="shared" si="17"/>
        <v>68</v>
      </c>
    </row>
    <row r="104" spans="1:42" ht="15.75" hidden="1" customHeight="1" x14ac:dyDescent="0.3">
      <c r="A104" s="16"/>
      <c r="B104" s="55">
        <v>14</v>
      </c>
      <c r="C104" s="56" t="s">
        <v>122</v>
      </c>
      <c r="D104" s="55">
        <v>3</v>
      </c>
      <c r="E104" s="55" t="s">
        <v>20</v>
      </c>
      <c r="F104" s="18" t="s">
        <v>23</v>
      </c>
      <c r="G104" s="18" t="s">
        <v>23</v>
      </c>
      <c r="H104" s="18" t="s">
        <v>23</v>
      </c>
      <c r="I104" s="18" t="s">
        <v>23</v>
      </c>
      <c r="J104" s="43" t="s">
        <v>21</v>
      </c>
      <c r="K104" s="43" t="s">
        <v>23</v>
      </c>
      <c r="L104" s="43" t="s">
        <v>21</v>
      </c>
      <c r="M104" s="18" t="s">
        <v>21</v>
      </c>
      <c r="N104" s="18" t="s">
        <v>23</v>
      </c>
      <c r="O104" s="18" t="s">
        <v>23</v>
      </c>
      <c r="P104" s="18" t="s">
        <v>23</v>
      </c>
      <c r="Q104" s="18" t="s">
        <v>21</v>
      </c>
      <c r="R104" s="18" t="s">
        <v>23</v>
      </c>
      <c r="S104" s="18" t="s">
        <v>23</v>
      </c>
      <c r="T104" s="18" t="s">
        <v>23</v>
      </c>
      <c r="U104" s="18" t="s">
        <v>21</v>
      </c>
      <c r="V104" s="37" t="s">
        <v>20</v>
      </c>
      <c r="W104" s="37" t="s">
        <v>21</v>
      </c>
      <c r="X104" s="37" t="s">
        <v>20</v>
      </c>
      <c r="Y104" s="18" t="s">
        <v>21</v>
      </c>
      <c r="Z104" s="18" t="s">
        <v>23</v>
      </c>
      <c r="AA104" s="20" t="s">
        <v>23</v>
      </c>
      <c r="AB104" s="20" t="s">
        <v>23</v>
      </c>
      <c r="AC104" s="20" t="s">
        <v>21</v>
      </c>
      <c r="AD104" s="37" t="s">
        <v>21</v>
      </c>
      <c r="AE104" s="37" t="s">
        <v>21</v>
      </c>
      <c r="AG104">
        <f t="shared" si="9"/>
        <v>0</v>
      </c>
      <c r="AH104">
        <f t="shared" si="10"/>
        <v>2</v>
      </c>
      <c r="AI104">
        <f t="shared" si="11"/>
        <v>10</v>
      </c>
      <c r="AJ104">
        <f t="shared" si="12"/>
        <v>14</v>
      </c>
      <c r="AL104">
        <f t="shared" si="13"/>
        <v>0</v>
      </c>
      <c r="AM104">
        <f t="shared" si="14"/>
        <v>6</v>
      </c>
      <c r="AN104">
        <f t="shared" si="15"/>
        <v>20</v>
      </c>
      <c r="AO104">
        <f t="shared" si="16"/>
        <v>14</v>
      </c>
      <c r="AP104">
        <f t="shared" si="17"/>
        <v>40</v>
      </c>
    </row>
    <row r="105" spans="1:42" ht="15.75" hidden="1" customHeight="1" x14ac:dyDescent="0.3">
      <c r="A105" s="16"/>
      <c r="B105" s="55">
        <v>15</v>
      </c>
      <c r="C105" s="56" t="s">
        <v>123</v>
      </c>
      <c r="D105" s="55">
        <v>3</v>
      </c>
      <c r="E105" s="55" t="s">
        <v>20</v>
      </c>
      <c r="F105" s="18" t="s">
        <v>39</v>
      </c>
      <c r="G105" s="18" t="s">
        <v>39</v>
      </c>
      <c r="H105" s="18" t="s">
        <v>20</v>
      </c>
      <c r="I105" s="18" t="s">
        <v>39</v>
      </c>
      <c r="J105" s="43" t="s">
        <v>20</v>
      </c>
      <c r="K105" s="43" t="s">
        <v>20</v>
      </c>
      <c r="L105" s="43" t="s">
        <v>20</v>
      </c>
      <c r="M105" s="18" t="s">
        <v>20</v>
      </c>
      <c r="N105" s="18" t="s">
        <v>21</v>
      </c>
      <c r="O105" s="18" t="s">
        <v>20</v>
      </c>
      <c r="P105" s="18" t="s">
        <v>20</v>
      </c>
      <c r="Q105" s="18" t="s">
        <v>20</v>
      </c>
      <c r="R105" s="18" t="s">
        <v>20</v>
      </c>
      <c r="S105" s="18" t="s">
        <v>20</v>
      </c>
      <c r="T105" s="18" t="s">
        <v>20</v>
      </c>
      <c r="U105" s="18" t="s">
        <v>20</v>
      </c>
      <c r="V105" s="37" t="s">
        <v>20</v>
      </c>
      <c r="W105" s="37" t="s">
        <v>20</v>
      </c>
      <c r="X105" s="37" t="s">
        <v>20</v>
      </c>
      <c r="Y105" s="18" t="s">
        <v>20</v>
      </c>
      <c r="Z105" s="18" t="s">
        <v>21</v>
      </c>
      <c r="AA105" s="20" t="s">
        <v>20</v>
      </c>
      <c r="AB105" s="20" t="s">
        <v>20</v>
      </c>
      <c r="AC105" s="20" t="s">
        <v>20</v>
      </c>
      <c r="AD105" s="37" t="s">
        <v>20</v>
      </c>
      <c r="AE105" s="37" t="s">
        <v>21</v>
      </c>
      <c r="AG105">
        <f t="shared" si="9"/>
        <v>3</v>
      </c>
      <c r="AH105">
        <f t="shared" si="10"/>
        <v>20</v>
      </c>
      <c r="AI105">
        <f t="shared" si="11"/>
        <v>3</v>
      </c>
      <c r="AJ105">
        <f t="shared" si="12"/>
        <v>0</v>
      </c>
      <c r="AL105">
        <f t="shared" si="13"/>
        <v>12</v>
      </c>
      <c r="AM105">
        <f t="shared" si="14"/>
        <v>60</v>
      </c>
      <c r="AN105">
        <f t="shared" si="15"/>
        <v>6</v>
      </c>
      <c r="AO105">
        <f t="shared" si="16"/>
        <v>0</v>
      </c>
      <c r="AP105">
        <f t="shared" si="17"/>
        <v>78</v>
      </c>
    </row>
    <row r="106" spans="1:42" ht="15.75" hidden="1" customHeight="1" x14ac:dyDescent="0.3">
      <c r="A106" s="16"/>
      <c r="B106" s="55">
        <v>16</v>
      </c>
      <c r="C106" s="56" t="s">
        <v>124</v>
      </c>
      <c r="D106" s="55">
        <v>3</v>
      </c>
      <c r="E106" s="55" t="s">
        <v>20</v>
      </c>
      <c r="F106" s="18" t="s">
        <v>20</v>
      </c>
      <c r="G106" s="18" t="s">
        <v>20</v>
      </c>
      <c r="H106" s="18" t="s">
        <v>20</v>
      </c>
      <c r="I106" s="18" t="s">
        <v>20</v>
      </c>
      <c r="J106" s="43" t="s">
        <v>20</v>
      </c>
      <c r="K106" s="43" t="s">
        <v>20</v>
      </c>
      <c r="L106" s="43" t="s">
        <v>20</v>
      </c>
      <c r="M106" s="18" t="s">
        <v>20</v>
      </c>
      <c r="N106" s="18" t="s">
        <v>20</v>
      </c>
      <c r="O106" s="18" t="s">
        <v>20</v>
      </c>
      <c r="P106" s="18" t="s">
        <v>20</v>
      </c>
      <c r="Q106" s="18" t="s">
        <v>20</v>
      </c>
      <c r="R106" s="18" t="s">
        <v>20</v>
      </c>
      <c r="S106" s="18" t="s">
        <v>20</v>
      </c>
      <c r="T106" s="18" t="s">
        <v>20</v>
      </c>
      <c r="U106" s="18" t="s">
        <v>20</v>
      </c>
      <c r="V106" s="37" t="s">
        <v>20</v>
      </c>
      <c r="W106" s="37" t="s">
        <v>20</v>
      </c>
      <c r="X106" s="37" t="s">
        <v>20</v>
      </c>
      <c r="Y106" s="18" t="s">
        <v>20</v>
      </c>
      <c r="Z106" s="18" t="s">
        <v>20</v>
      </c>
      <c r="AA106" s="20" t="s">
        <v>20</v>
      </c>
      <c r="AB106" s="20" t="s">
        <v>20</v>
      </c>
      <c r="AC106" s="20" t="s">
        <v>20</v>
      </c>
      <c r="AD106" s="37" t="s">
        <v>20</v>
      </c>
      <c r="AE106" s="37" t="s">
        <v>21</v>
      </c>
      <c r="AG106">
        <f t="shared" si="9"/>
        <v>0</v>
      </c>
      <c r="AH106">
        <f t="shared" si="10"/>
        <v>25</v>
      </c>
      <c r="AI106">
        <f t="shared" si="11"/>
        <v>1</v>
      </c>
      <c r="AJ106">
        <f t="shared" si="12"/>
        <v>0</v>
      </c>
      <c r="AL106">
        <f t="shared" si="13"/>
        <v>0</v>
      </c>
      <c r="AM106">
        <f t="shared" si="14"/>
        <v>75</v>
      </c>
      <c r="AN106">
        <f t="shared" si="15"/>
        <v>2</v>
      </c>
      <c r="AO106">
        <f t="shared" si="16"/>
        <v>0</v>
      </c>
      <c r="AP106">
        <f t="shared" si="17"/>
        <v>77</v>
      </c>
    </row>
    <row r="107" spans="1:42" ht="15.75" hidden="1" customHeight="1" x14ac:dyDescent="0.3">
      <c r="A107" s="16"/>
      <c r="B107" s="55">
        <v>17</v>
      </c>
      <c r="C107" s="56" t="s">
        <v>125</v>
      </c>
      <c r="D107" s="55">
        <v>3</v>
      </c>
      <c r="E107" s="55" t="s">
        <v>20</v>
      </c>
      <c r="F107" s="18" t="s">
        <v>20</v>
      </c>
      <c r="G107" s="18" t="s">
        <v>20</v>
      </c>
      <c r="H107" s="18" t="s">
        <v>20</v>
      </c>
      <c r="I107" s="18" t="s">
        <v>20</v>
      </c>
      <c r="J107" s="43" t="s">
        <v>39</v>
      </c>
      <c r="K107" s="43" t="s">
        <v>20</v>
      </c>
      <c r="L107" s="43" t="s">
        <v>20</v>
      </c>
      <c r="M107" s="18" t="s">
        <v>20</v>
      </c>
      <c r="N107" s="18" t="s">
        <v>20</v>
      </c>
      <c r="O107" s="18" t="s">
        <v>20</v>
      </c>
      <c r="P107" s="18" t="s">
        <v>20</v>
      </c>
      <c r="Q107" s="18" t="s">
        <v>20</v>
      </c>
      <c r="R107" s="18" t="s">
        <v>20</v>
      </c>
      <c r="S107" s="18" t="s">
        <v>21</v>
      </c>
      <c r="T107" s="18" t="s">
        <v>20</v>
      </c>
      <c r="U107" s="18" t="s">
        <v>20</v>
      </c>
      <c r="V107" s="37" t="s">
        <v>21</v>
      </c>
      <c r="W107" s="37" t="s">
        <v>20</v>
      </c>
      <c r="X107" s="37" t="s">
        <v>21</v>
      </c>
      <c r="Y107" s="18" t="s">
        <v>20</v>
      </c>
      <c r="Z107" s="18" t="s">
        <v>20</v>
      </c>
      <c r="AA107" s="20" t="s">
        <v>20</v>
      </c>
      <c r="AB107" s="20" t="s">
        <v>20</v>
      </c>
      <c r="AC107" s="20" t="s">
        <v>20</v>
      </c>
      <c r="AD107" s="37" t="s">
        <v>20</v>
      </c>
      <c r="AE107" s="37" t="s">
        <v>21</v>
      </c>
      <c r="AG107">
        <f t="shared" si="9"/>
        <v>1</v>
      </c>
      <c r="AH107">
        <f t="shared" si="10"/>
        <v>21</v>
      </c>
      <c r="AI107">
        <f t="shared" si="11"/>
        <v>4</v>
      </c>
      <c r="AJ107">
        <f t="shared" si="12"/>
        <v>0</v>
      </c>
      <c r="AL107">
        <f t="shared" si="13"/>
        <v>4</v>
      </c>
      <c r="AM107">
        <f t="shared" si="14"/>
        <v>63</v>
      </c>
      <c r="AN107">
        <f t="shared" si="15"/>
        <v>8</v>
      </c>
      <c r="AO107">
        <f t="shared" si="16"/>
        <v>0</v>
      </c>
      <c r="AP107">
        <f t="shared" si="17"/>
        <v>75</v>
      </c>
    </row>
    <row r="108" spans="1:42" ht="15.75" hidden="1" customHeight="1" x14ac:dyDescent="0.3">
      <c r="A108" s="16"/>
      <c r="B108" s="55">
        <v>18</v>
      </c>
      <c r="C108" s="56" t="s">
        <v>126</v>
      </c>
      <c r="D108" s="55">
        <v>3</v>
      </c>
      <c r="E108" s="55" t="s">
        <v>20</v>
      </c>
      <c r="F108" s="18" t="s">
        <v>39</v>
      </c>
      <c r="G108" s="18" t="s">
        <v>20</v>
      </c>
      <c r="H108" s="18" t="s">
        <v>20</v>
      </c>
      <c r="I108" s="18" t="s">
        <v>20</v>
      </c>
      <c r="J108" s="43" t="s">
        <v>20</v>
      </c>
      <c r="K108" s="43" t="s">
        <v>20</v>
      </c>
      <c r="L108" s="43" t="s">
        <v>20</v>
      </c>
      <c r="M108" s="18" t="s">
        <v>20</v>
      </c>
      <c r="N108" s="18" t="s">
        <v>20</v>
      </c>
      <c r="O108" s="18" t="s">
        <v>20</v>
      </c>
      <c r="P108" s="18" t="s">
        <v>20</v>
      </c>
      <c r="Q108" s="18" t="s">
        <v>20</v>
      </c>
      <c r="R108" s="18" t="s">
        <v>20</v>
      </c>
      <c r="S108" s="18" t="s">
        <v>20</v>
      </c>
      <c r="T108" s="18" t="s">
        <v>20</v>
      </c>
      <c r="U108" s="18" t="s">
        <v>20</v>
      </c>
      <c r="V108" s="37" t="s">
        <v>20</v>
      </c>
      <c r="W108" s="37" t="s">
        <v>20</v>
      </c>
      <c r="X108" s="37" t="s">
        <v>20</v>
      </c>
      <c r="Y108" s="18" t="s">
        <v>21</v>
      </c>
      <c r="Z108" s="18" t="s">
        <v>20</v>
      </c>
      <c r="AA108" s="20" t="s">
        <v>20</v>
      </c>
      <c r="AB108" s="20" t="s">
        <v>20</v>
      </c>
      <c r="AC108" s="20" t="s">
        <v>20</v>
      </c>
      <c r="AD108" s="37" t="s">
        <v>20</v>
      </c>
      <c r="AE108" s="37" t="s">
        <v>21</v>
      </c>
      <c r="AG108">
        <f t="shared" si="9"/>
        <v>1</v>
      </c>
      <c r="AH108">
        <f t="shared" si="10"/>
        <v>23</v>
      </c>
      <c r="AI108">
        <f t="shared" si="11"/>
        <v>2</v>
      </c>
      <c r="AJ108">
        <f t="shared" si="12"/>
        <v>0</v>
      </c>
      <c r="AL108">
        <f t="shared" si="13"/>
        <v>4</v>
      </c>
      <c r="AM108">
        <f t="shared" si="14"/>
        <v>69</v>
      </c>
      <c r="AN108">
        <f t="shared" si="15"/>
        <v>4</v>
      </c>
      <c r="AO108">
        <f t="shared" si="16"/>
        <v>0</v>
      </c>
      <c r="AP108">
        <f t="shared" si="17"/>
        <v>77</v>
      </c>
    </row>
    <row r="109" spans="1:42" ht="15.75" hidden="1" customHeight="1" thickBot="1" x14ac:dyDescent="0.35">
      <c r="A109" s="16"/>
      <c r="B109" s="57">
        <v>19</v>
      </c>
      <c r="C109" s="58" t="s">
        <v>127</v>
      </c>
      <c r="D109" s="57">
        <v>3</v>
      </c>
      <c r="E109" s="57" t="s">
        <v>20</v>
      </c>
      <c r="F109" s="21" t="s">
        <v>21</v>
      </c>
      <c r="G109" s="21" t="s">
        <v>23</v>
      </c>
      <c r="H109" s="21" t="s">
        <v>23</v>
      </c>
      <c r="I109" s="21" t="s">
        <v>23</v>
      </c>
      <c r="J109" s="45" t="s">
        <v>21</v>
      </c>
      <c r="K109" s="45" t="s">
        <v>20</v>
      </c>
      <c r="L109" s="45" t="s">
        <v>21</v>
      </c>
      <c r="M109" s="21" t="s">
        <v>21</v>
      </c>
      <c r="N109" s="21" t="s">
        <v>21</v>
      </c>
      <c r="O109" s="21" t="s">
        <v>21</v>
      </c>
      <c r="P109" s="21" t="s">
        <v>21</v>
      </c>
      <c r="Q109" s="21" t="s">
        <v>21</v>
      </c>
      <c r="R109" s="21" t="s">
        <v>21</v>
      </c>
      <c r="S109" s="21" t="s">
        <v>20</v>
      </c>
      <c r="T109" s="21" t="s">
        <v>20</v>
      </c>
      <c r="U109" s="21" t="s">
        <v>20</v>
      </c>
      <c r="V109" s="38" t="s">
        <v>20</v>
      </c>
      <c r="W109" s="38" t="s">
        <v>21</v>
      </c>
      <c r="X109" s="38" t="s">
        <v>20</v>
      </c>
      <c r="Y109" s="21" t="s">
        <v>23</v>
      </c>
      <c r="Z109" s="21" t="s">
        <v>20</v>
      </c>
      <c r="AA109" s="23" t="s">
        <v>21</v>
      </c>
      <c r="AB109" s="23" t="s">
        <v>21</v>
      </c>
      <c r="AC109" s="23" t="s">
        <v>21</v>
      </c>
      <c r="AD109" s="38" t="s">
        <v>21</v>
      </c>
      <c r="AE109" s="38" t="s">
        <v>21</v>
      </c>
      <c r="AG109">
        <f t="shared" si="9"/>
        <v>0</v>
      </c>
      <c r="AH109">
        <f t="shared" si="10"/>
        <v>7</v>
      </c>
      <c r="AI109">
        <f t="shared" si="11"/>
        <v>15</v>
      </c>
      <c r="AJ109">
        <f t="shared" si="12"/>
        <v>4</v>
      </c>
      <c r="AL109">
        <f t="shared" si="13"/>
        <v>0</v>
      </c>
      <c r="AM109">
        <f t="shared" si="14"/>
        <v>21</v>
      </c>
      <c r="AN109">
        <f t="shared" si="15"/>
        <v>30</v>
      </c>
      <c r="AO109">
        <f t="shared" si="16"/>
        <v>4</v>
      </c>
      <c r="AP109">
        <f t="shared" si="17"/>
        <v>55</v>
      </c>
    </row>
    <row r="110" spans="1:42" ht="15.75" hidden="1" customHeight="1" x14ac:dyDescent="0.3">
      <c r="A110" s="16"/>
      <c r="B110" s="59">
        <v>1</v>
      </c>
      <c r="C110" s="60" t="s">
        <v>128</v>
      </c>
      <c r="D110" s="59">
        <v>3</v>
      </c>
      <c r="E110" s="59" t="s">
        <v>21</v>
      </c>
      <c r="F110" s="24" t="s">
        <v>21</v>
      </c>
      <c r="G110" s="24" t="s">
        <v>20</v>
      </c>
      <c r="H110" s="24" t="s">
        <v>20</v>
      </c>
      <c r="I110" s="24" t="s">
        <v>20</v>
      </c>
      <c r="J110" s="27" t="s">
        <v>20</v>
      </c>
      <c r="K110" s="27" t="s">
        <v>20</v>
      </c>
      <c r="L110" s="27" t="s">
        <v>21</v>
      </c>
      <c r="M110" s="24" t="s">
        <v>20</v>
      </c>
      <c r="N110" s="24" t="s">
        <v>20</v>
      </c>
      <c r="O110" s="24" t="s">
        <v>20</v>
      </c>
      <c r="P110" s="24" t="s">
        <v>21</v>
      </c>
      <c r="Q110" s="24" t="s">
        <v>21</v>
      </c>
      <c r="R110" s="24" t="s">
        <v>20</v>
      </c>
      <c r="S110" s="24" t="s">
        <v>20</v>
      </c>
      <c r="T110" s="24" t="s">
        <v>20</v>
      </c>
      <c r="U110" s="24" t="s">
        <v>20</v>
      </c>
      <c r="V110" s="39" t="s">
        <v>21</v>
      </c>
      <c r="W110" s="39" t="s">
        <v>20</v>
      </c>
      <c r="X110" s="39" t="s">
        <v>20</v>
      </c>
      <c r="Y110" s="24" t="s">
        <v>20</v>
      </c>
      <c r="Z110" s="24" t="s">
        <v>20</v>
      </c>
      <c r="AA110" s="27" t="s">
        <v>21</v>
      </c>
      <c r="AB110" s="27" t="s">
        <v>21</v>
      </c>
      <c r="AC110" s="27" t="s">
        <v>21</v>
      </c>
      <c r="AD110" s="39" t="s">
        <v>21</v>
      </c>
      <c r="AE110" s="39" t="s">
        <v>21</v>
      </c>
      <c r="AG110">
        <f t="shared" si="9"/>
        <v>0</v>
      </c>
      <c r="AH110">
        <f t="shared" si="10"/>
        <v>16</v>
      </c>
      <c r="AI110">
        <f t="shared" si="11"/>
        <v>10</v>
      </c>
      <c r="AJ110">
        <f t="shared" si="12"/>
        <v>0</v>
      </c>
      <c r="AL110">
        <f t="shared" si="13"/>
        <v>0</v>
      </c>
      <c r="AM110">
        <f t="shared" si="14"/>
        <v>48</v>
      </c>
      <c r="AN110">
        <f t="shared" si="15"/>
        <v>20</v>
      </c>
      <c r="AO110">
        <f t="shared" si="16"/>
        <v>0</v>
      </c>
      <c r="AP110">
        <f t="shared" si="17"/>
        <v>68</v>
      </c>
    </row>
    <row r="111" spans="1:42" ht="15.75" hidden="1" customHeight="1" x14ac:dyDescent="0.3">
      <c r="A111" s="16"/>
      <c r="B111" s="55">
        <v>2</v>
      </c>
      <c r="C111" s="56" t="s">
        <v>129</v>
      </c>
      <c r="D111" s="55">
        <v>3</v>
      </c>
      <c r="E111" s="55" t="s">
        <v>21</v>
      </c>
      <c r="F111" s="18" t="s">
        <v>21</v>
      </c>
      <c r="G111" s="18" t="s">
        <v>20</v>
      </c>
      <c r="H111" s="18" t="s">
        <v>20</v>
      </c>
      <c r="I111" s="18" t="s">
        <v>20</v>
      </c>
      <c r="J111" s="20" t="s">
        <v>20</v>
      </c>
      <c r="K111" s="20" t="s">
        <v>20</v>
      </c>
      <c r="L111" s="20" t="s">
        <v>21</v>
      </c>
      <c r="M111" s="18" t="s">
        <v>20</v>
      </c>
      <c r="N111" s="18" t="s">
        <v>20</v>
      </c>
      <c r="O111" s="18" t="s">
        <v>20</v>
      </c>
      <c r="P111" s="18" t="s">
        <v>21</v>
      </c>
      <c r="Q111" s="18" t="s">
        <v>20</v>
      </c>
      <c r="R111" s="18" t="s">
        <v>20</v>
      </c>
      <c r="S111" s="18" t="s">
        <v>21</v>
      </c>
      <c r="T111" s="18" t="s">
        <v>20</v>
      </c>
      <c r="U111" s="18" t="s">
        <v>20</v>
      </c>
      <c r="V111" s="37" t="s">
        <v>21</v>
      </c>
      <c r="W111" s="37" t="s">
        <v>20</v>
      </c>
      <c r="X111" s="37" t="s">
        <v>20</v>
      </c>
      <c r="Y111" s="18" t="s">
        <v>21</v>
      </c>
      <c r="Z111" s="18" t="s">
        <v>20</v>
      </c>
      <c r="AA111" s="20" t="s">
        <v>20</v>
      </c>
      <c r="AB111" s="20" t="s">
        <v>20</v>
      </c>
      <c r="AC111" s="20" t="s">
        <v>20</v>
      </c>
      <c r="AD111" s="37" t="s">
        <v>21</v>
      </c>
      <c r="AE111" s="37" t="s">
        <v>21</v>
      </c>
      <c r="AG111">
        <f t="shared" si="9"/>
        <v>0</v>
      </c>
      <c r="AH111">
        <f t="shared" si="10"/>
        <v>18</v>
      </c>
      <c r="AI111">
        <f t="shared" si="11"/>
        <v>8</v>
      </c>
      <c r="AJ111">
        <f t="shared" si="12"/>
        <v>0</v>
      </c>
      <c r="AL111">
        <f t="shared" si="13"/>
        <v>0</v>
      </c>
      <c r="AM111">
        <f t="shared" si="14"/>
        <v>54</v>
      </c>
      <c r="AN111">
        <f t="shared" si="15"/>
        <v>16</v>
      </c>
      <c r="AO111">
        <f t="shared" si="16"/>
        <v>0</v>
      </c>
      <c r="AP111">
        <f t="shared" si="17"/>
        <v>70</v>
      </c>
    </row>
    <row r="112" spans="1:42" ht="15.75" hidden="1" customHeight="1" x14ac:dyDescent="0.3">
      <c r="A112" s="16"/>
      <c r="B112" s="55">
        <v>3</v>
      </c>
      <c r="C112" s="56" t="s">
        <v>130</v>
      </c>
      <c r="D112" s="55">
        <v>3</v>
      </c>
      <c r="E112" s="55" t="s">
        <v>21</v>
      </c>
      <c r="F112" s="18" t="s">
        <v>20</v>
      </c>
      <c r="G112" s="18" t="s">
        <v>20</v>
      </c>
      <c r="H112" s="18" t="s">
        <v>20</v>
      </c>
      <c r="I112" s="18" t="s">
        <v>20</v>
      </c>
      <c r="J112" s="20" t="s">
        <v>20</v>
      </c>
      <c r="K112" s="20" t="s">
        <v>20</v>
      </c>
      <c r="L112" s="20" t="s">
        <v>21</v>
      </c>
      <c r="M112" s="18" t="s">
        <v>20</v>
      </c>
      <c r="N112" s="18" t="s">
        <v>20</v>
      </c>
      <c r="O112" s="18" t="s">
        <v>21</v>
      </c>
      <c r="P112" s="18" t="s">
        <v>20</v>
      </c>
      <c r="Q112" s="18" t="s">
        <v>20</v>
      </c>
      <c r="R112" s="18" t="s">
        <v>20</v>
      </c>
      <c r="S112" s="18" t="s">
        <v>20</v>
      </c>
      <c r="T112" s="18" t="s">
        <v>20</v>
      </c>
      <c r="U112" s="18" t="s">
        <v>20</v>
      </c>
      <c r="V112" s="37" t="s">
        <v>20</v>
      </c>
      <c r="W112" s="37" t="s">
        <v>20</v>
      </c>
      <c r="X112" s="37" t="s">
        <v>20</v>
      </c>
      <c r="Y112" s="18" t="s">
        <v>20</v>
      </c>
      <c r="Z112" s="18" t="s">
        <v>20</v>
      </c>
      <c r="AA112" s="20" t="s">
        <v>20</v>
      </c>
      <c r="AB112" s="20" t="s">
        <v>20</v>
      </c>
      <c r="AC112" s="20" t="s">
        <v>20</v>
      </c>
      <c r="AD112" s="37" t="s">
        <v>20</v>
      </c>
      <c r="AE112" s="37" t="s">
        <v>21</v>
      </c>
      <c r="AG112">
        <f t="shared" si="9"/>
        <v>0</v>
      </c>
      <c r="AH112">
        <f t="shared" si="10"/>
        <v>23</v>
      </c>
      <c r="AI112">
        <f t="shared" si="11"/>
        <v>3</v>
      </c>
      <c r="AJ112">
        <f t="shared" si="12"/>
        <v>0</v>
      </c>
      <c r="AL112">
        <f t="shared" si="13"/>
        <v>0</v>
      </c>
      <c r="AM112">
        <f t="shared" si="14"/>
        <v>69</v>
      </c>
      <c r="AN112">
        <f t="shared" si="15"/>
        <v>6</v>
      </c>
      <c r="AO112">
        <f t="shared" si="16"/>
        <v>0</v>
      </c>
      <c r="AP112">
        <f t="shared" si="17"/>
        <v>75</v>
      </c>
    </row>
    <row r="113" spans="1:42" ht="15.75" hidden="1" customHeight="1" x14ac:dyDescent="0.3">
      <c r="A113" s="16"/>
      <c r="B113" s="55">
        <v>4</v>
      </c>
      <c r="C113" s="56" t="s">
        <v>131</v>
      </c>
      <c r="D113" s="55">
        <v>3</v>
      </c>
      <c r="E113" s="55" t="s">
        <v>21</v>
      </c>
      <c r="F113" s="18" t="s">
        <v>21</v>
      </c>
      <c r="G113" s="18" t="s">
        <v>21</v>
      </c>
      <c r="H113" s="18" t="s">
        <v>21</v>
      </c>
      <c r="I113" s="18" t="s">
        <v>20</v>
      </c>
      <c r="J113" s="20" t="s">
        <v>20</v>
      </c>
      <c r="K113" s="20" t="s">
        <v>20</v>
      </c>
      <c r="L113" s="20" t="s">
        <v>20</v>
      </c>
      <c r="M113" s="18" t="s">
        <v>20</v>
      </c>
      <c r="N113" s="18" t="s">
        <v>20</v>
      </c>
      <c r="O113" s="18" t="s">
        <v>20</v>
      </c>
      <c r="P113" s="18" t="s">
        <v>20</v>
      </c>
      <c r="Q113" s="18" t="s">
        <v>21</v>
      </c>
      <c r="R113" s="18" t="s">
        <v>20</v>
      </c>
      <c r="S113" s="18" t="s">
        <v>20</v>
      </c>
      <c r="T113" s="18" t="s">
        <v>20</v>
      </c>
      <c r="U113" s="18" t="s">
        <v>20</v>
      </c>
      <c r="V113" s="37" t="s">
        <v>21</v>
      </c>
      <c r="W113" s="37" t="s">
        <v>20</v>
      </c>
      <c r="X113" s="37" t="s">
        <v>21</v>
      </c>
      <c r="Y113" s="18" t="s">
        <v>20</v>
      </c>
      <c r="Z113" s="18" t="s">
        <v>20</v>
      </c>
      <c r="AA113" s="20" t="s">
        <v>21</v>
      </c>
      <c r="AB113" s="20" t="s">
        <v>21</v>
      </c>
      <c r="AC113" s="20" t="s">
        <v>21</v>
      </c>
      <c r="AD113" s="37" t="s">
        <v>23</v>
      </c>
      <c r="AE113" s="37" t="s">
        <v>21</v>
      </c>
      <c r="AG113">
        <f t="shared" si="9"/>
        <v>0</v>
      </c>
      <c r="AH113">
        <f t="shared" si="10"/>
        <v>15</v>
      </c>
      <c r="AI113">
        <f t="shared" si="11"/>
        <v>10</v>
      </c>
      <c r="AJ113">
        <f t="shared" si="12"/>
        <v>1</v>
      </c>
      <c r="AL113">
        <f t="shared" si="13"/>
        <v>0</v>
      </c>
      <c r="AM113">
        <f t="shared" si="14"/>
        <v>45</v>
      </c>
      <c r="AN113">
        <f t="shared" si="15"/>
        <v>20</v>
      </c>
      <c r="AO113">
        <f t="shared" si="16"/>
        <v>1</v>
      </c>
      <c r="AP113">
        <f t="shared" si="17"/>
        <v>66</v>
      </c>
    </row>
    <row r="114" spans="1:42" ht="15.75" hidden="1" customHeight="1" x14ac:dyDescent="0.3">
      <c r="A114" s="16"/>
      <c r="B114" s="55">
        <v>5</v>
      </c>
      <c r="C114" s="56" t="s">
        <v>132</v>
      </c>
      <c r="D114" s="55">
        <v>3</v>
      </c>
      <c r="E114" s="55" t="s">
        <v>21</v>
      </c>
      <c r="F114" s="18" t="s">
        <v>21</v>
      </c>
      <c r="G114" s="18" t="s">
        <v>20</v>
      </c>
      <c r="H114" s="18" t="s">
        <v>21</v>
      </c>
      <c r="I114" s="18" t="s">
        <v>20</v>
      </c>
      <c r="J114" s="20" t="s">
        <v>39</v>
      </c>
      <c r="K114" s="20" t="s">
        <v>39</v>
      </c>
      <c r="L114" s="20" t="s">
        <v>20</v>
      </c>
      <c r="M114" s="18" t="s">
        <v>20</v>
      </c>
      <c r="N114" s="18" t="s">
        <v>20</v>
      </c>
      <c r="O114" s="18" t="s">
        <v>20</v>
      </c>
      <c r="P114" s="18" t="s">
        <v>21</v>
      </c>
      <c r="Q114" s="18" t="s">
        <v>20</v>
      </c>
      <c r="R114" s="18" t="s">
        <v>20</v>
      </c>
      <c r="S114" s="18" t="s">
        <v>20</v>
      </c>
      <c r="T114" s="18" t="s">
        <v>20</v>
      </c>
      <c r="U114" s="18" t="s">
        <v>20</v>
      </c>
      <c r="V114" s="37" t="s">
        <v>20</v>
      </c>
      <c r="W114" s="37" t="s">
        <v>20</v>
      </c>
      <c r="X114" s="37" t="s">
        <v>20</v>
      </c>
      <c r="Y114" s="18" t="s">
        <v>20</v>
      </c>
      <c r="Z114" s="18" t="s">
        <v>20</v>
      </c>
      <c r="AA114" s="20" t="s">
        <v>20</v>
      </c>
      <c r="AB114" s="20" t="s">
        <v>20</v>
      </c>
      <c r="AC114" s="20" t="s">
        <v>20</v>
      </c>
      <c r="AD114" s="29" t="s">
        <v>23</v>
      </c>
      <c r="AE114" s="29" t="s">
        <v>21</v>
      </c>
      <c r="AG114">
        <f t="shared" si="9"/>
        <v>2</v>
      </c>
      <c r="AH114">
        <f t="shared" si="10"/>
        <v>19</v>
      </c>
      <c r="AI114">
        <f t="shared" si="11"/>
        <v>4</v>
      </c>
      <c r="AJ114">
        <f t="shared" si="12"/>
        <v>1</v>
      </c>
      <c r="AL114">
        <f t="shared" si="13"/>
        <v>8</v>
      </c>
      <c r="AM114">
        <f t="shared" si="14"/>
        <v>57</v>
      </c>
      <c r="AN114">
        <f t="shared" si="15"/>
        <v>8</v>
      </c>
      <c r="AO114">
        <f t="shared" si="16"/>
        <v>1</v>
      </c>
      <c r="AP114">
        <f t="shared" si="17"/>
        <v>74</v>
      </c>
    </row>
    <row r="115" spans="1:42" ht="15.75" hidden="1" customHeight="1" x14ac:dyDescent="0.3">
      <c r="A115" s="16"/>
      <c r="B115" s="55">
        <v>6</v>
      </c>
      <c r="C115" s="56" t="s">
        <v>133</v>
      </c>
      <c r="D115" s="55">
        <v>3</v>
      </c>
      <c r="E115" s="55" t="s">
        <v>21</v>
      </c>
      <c r="F115" s="18" t="s">
        <v>20</v>
      </c>
      <c r="G115" s="18" t="s">
        <v>20</v>
      </c>
      <c r="H115" s="18" t="s">
        <v>20</v>
      </c>
      <c r="I115" s="18" t="s">
        <v>20</v>
      </c>
      <c r="J115" s="20" t="s">
        <v>20</v>
      </c>
      <c r="K115" s="20" t="s">
        <v>20</v>
      </c>
      <c r="L115" s="20" t="s">
        <v>20</v>
      </c>
      <c r="M115" s="18" t="s">
        <v>20</v>
      </c>
      <c r="N115" s="18" t="s">
        <v>20</v>
      </c>
      <c r="O115" s="18" t="s">
        <v>20</v>
      </c>
      <c r="P115" s="18" t="s">
        <v>21</v>
      </c>
      <c r="Q115" s="18" t="s">
        <v>20</v>
      </c>
      <c r="R115" s="18" t="s">
        <v>20</v>
      </c>
      <c r="S115" s="18" t="s">
        <v>20</v>
      </c>
      <c r="T115" s="18" t="s">
        <v>20</v>
      </c>
      <c r="U115" s="18" t="s">
        <v>20</v>
      </c>
      <c r="V115" s="37" t="s">
        <v>20</v>
      </c>
      <c r="W115" s="37" t="s">
        <v>20</v>
      </c>
      <c r="X115" s="37" t="s">
        <v>21</v>
      </c>
      <c r="Y115" s="18" t="s">
        <v>20</v>
      </c>
      <c r="Z115" s="18" t="s">
        <v>20</v>
      </c>
      <c r="AA115" s="20" t="s">
        <v>20</v>
      </c>
      <c r="AB115" s="20" t="s">
        <v>20</v>
      </c>
      <c r="AC115" s="20" t="s">
        <v>20</v>
      </c>
      <c r="AD115" s="29" t="s">
        <v>20</v>
      </c>
      <c r="AE115" s="29" t="s">
        <v>21</v>
      </c>
      <c r="AG115">
        <f t="shared" si="9"/>
        <v>0</v>
      </c>
      <c r="AH115">
        <f t="shared" si="10"/>
        <v>23</v>
      </c>
      <c r="AI115">
        <f t="shared" si="11"/>
        <v>3</v>
      </c>
      <c r="AJ115">
        <f t="shared" si="12"/>
        <v>0</v>
      </c>
      <c r="AL115">
        <f t="shared" si="13"/>
        <v>0</v>
      </c>
      <c r="AM115">
        <f t="shared" si="14"/>
        <v>69</v>
      </c>
      <c r="AN115">
        <f t="shared" si="15"/>
        <v>6</v>
      </c>
      <c r="AO115">
        <f t="shared" si="16"/>
        <v>0</v>
      </c>
      <c r="AP115">
        <f t="shared" si="17"/>
        <v>75</v>
      </c>
    </row>
    <row r="116" spans="1:42" ht="15.75" hidden="1" customHeight="1" x14ac:dyDescent="0.3">
      <c r="A116" s="16"/>
      <c r="B116" s="55">
        <v>7</v>
      </c>
      <c r="C116" s="56" t="s">
        <v>134</v>
      </c>
      <c r="D116" s="55">
        <v>3</v>
      </c>
      <c r="E116" s="55" t="s">
        <v>21</v>
      </c>
      <c r="F116" s="18" t="s">
        <v>23</v>
      </c>
      <c r="G116" s="18" t="s">
        <v>21</v>
      </c>
      <c r="H116" s="18" t="s">
        <v>23</v>
      </c>
      <c r="I116" s="18" t="s">
        <v>21</v>
      </c>
      <c r="J116" s="20" t="s">
        <v>21</v>
      </c>
      <c r="K116" s="20" t="s">
        <v>21</v>
      </c>
      <c r="L116" s="20" t="s">
        <v>21</v>
      </c>
      <c r="M116" s="18" t="s">
        <v>20</v>
      </c>
      <c r="N116" s="18" t="s">
        <v>20</v>
      </c>
      <c r="O116" s="18" t="s">
        <v>21</v>
      </c>
      <c r="P116" s="18" t="s">
        <v>21</v>
      </c>
      <c r="Q116" s="18" t="s">
        <v>23</v>
      </c>
      <c r="R116" s="18" t="s">
        <v>21</v>
      </c>
      <c r="S116" s="18" t="s">
        <v>20</v>
      </c>
      <c r="T116" s="18" t="s">
        <v>21</v>
      </c>
      <c r="U116" s="18" t="s">
        <v>20</v>
      </c>
      <c r="V116" s="37" t="s">
        <v>21</v>
      </c>
      <c r="W116" s="37" t="s">
        <v>21</v>
      </c>
      <c r="X116" s="37" t="s">
        <v>21</v>
      </c>
      <c r="Y116" s="18" t="s">
        <v>20</v>
      </c>
      <c r="Z116" s="18" t="s">
        <v>20</v>
      </c>
      <c r="AA116" s="20" t="s">
        <v>21</v>
      </c>
      <c r="AB116" s="20" t="s">
        <v>21</v>
      </c>
      <c r="AC116" s="20" t="s">
        <v>21</v>
      </c>
      <c r="AD116" s="29" t="s">
        <v>21</v>
      </c>
      <c r="AE116" s="29" t="s">
        <v>21</v>
      </c>
      <c r="AG116">
        <f t="shared" si="9"/>
        <v>0</v>
      </c>
      <c r="AH116">
        <f t="shared" si="10"/>
        <v>6</v>
      </c>
      <c r="AI116">
        <f t="shared" si="11"/>
        <v>17</v>
      </c>
      <c r="AJ116">
        <f t="shared" si="12"/>
        <v>3</v>
      </c>
      <c r="AL116">
        <f t="shared" si="13"/>
        <v>0</v>
      </c>
      <c r="AM116">
        <f t="shared" si="14"/>
        <v>18</v>
      </c>
      <c r="AN116">
        <f t="shared" si="15"/>
        <v>34</v>
      </c>
      <c r="AO116">
        <f t="shared" si="16"/>
        <v>3</v>
      </c>
      <c r="AP116">
        <f t="shared" si="17"/>
        <v>55</v>
      </c>
    </row>
    <row r="117" spans="1:42" ht="15.75" hidden="1" customHeight="1" x14ac:dyDescent="0.3">
      <c r="A117" s="16"/>
      <c r="B117" s="55">
        <v>8</v>
      </c>
      <c r="C117" s="56" t="s">
        <v>135</v>
      </c>
      <c r="D117" s="55">
        <v>3</v>
      </c>
      <c r="E117" s="55" t="s">
        <v>21</v>
      </c>
      <c r="F117" s="18" t="s">
        <v>21</v>
      </c>
      <c r="G117" s="18" t="s">
        <v>23</v>
      </c>
      <c r="H117" s="18" t="s">
        <v>21</v>
      </c>
      <c r="I117" s="18" t="s">
        <v>21</v>
      </c>
      <c r="J117" s="20" t="s">
        <v>20</v>
      </c>
      <c r="K117" s="20" t="s">
        <v>20</v>
      </c>
      <c r="L117" s="20" t="s">
        <v>21</v>
      </c>
      <c r="M117" s="18" t="s">
        <v>20</v>
      </c>
      <c r="N117" s="18" t="s">
        <v>21</v>
      </c>
      <c r="O117" s="18" t="s">
        <v>20</v>
      </c>
      <c r="P117" s="18" t="s">
        <v>21</v>
      </c>
      <c r="Q117" s="18" t="s">
        <v>21</v>
      </c>
      <c r="R117" s="18" t="s">
        <v>21</v>
      </c>
      <c r="S117" s="18" t="s">
        <v>20</v>
      </c>
      <c r="T117" s="18" t="s">
        <v>20</v>
      </c>
      <c r="U117" s="18" t="s">
        <v>20</v>
      </c>
      <c r="V117" s="37" t="s">
        <v>20</v>
      </c>
      <c r="W117" s="37" t="s">
        <v>21</v>
      </c>
      <c r="X117" s="37" t="s">
        <v>20</v>
      </c>
      <c r="Y117" s="18" t="s">
        <v>20</v>
      </c>
      <c r="Z117" s="18" t="s">
        <v>20</v>
      </c>
      <c r="AA117" s="20" t="s">
        <v>23</v>
      </c>
      <c r="AB117" s="20" t="s">
        <v>23</v>
      </c>
      <c r="AC117" s="20" t="s">
        <v>21</v>
      </c>
      <c r="AD117" s="29" t="s">
        <v>21</v>
      </c>
      <c r="AE117" s="29" t="s">
        <v>21</v>
      </c>
      <c r="AG117">
        <f t="shared" si="9"/>
        <v>0</v>
      </c>
      <c r="AH117">
        <f t="shared" si="10"/>
        <v>11</v>
      </c>
      <c r="AI117">
        <f t="shared" si="11"/>
        <v>12</v>
      </c>
      <c r="AJ117">
        <f t="shared" si="12"/>
        <v>3</v>
      </c>
      <c r="AL117">
        <f t="shared" si="13"/>
        <v>0</v>
      </c>
      <c r="AM117">
        <f t="shared" si="14"/>
        <v>33</v>
      </c>
      <c r="AN117">
        <f t="shared" si="15"/>
        <v>24</v>
      </c>
      <c r="AO117">
        <f t="shared" si="16"/>
        <v>3</v>
      </c>
      <c r="AP117">
        <f t="shared" si="17"/>
        <v>60</v>
      </c>
    </row>
    <row r="118" spans="1:42" ht="15.75" hidden="1" customHeight="1" x14ac:dyDescent="0.3">
      <c r="A118" s="16"/>
      <c r="B118" s="55">
        <v>9</v>
      </c>
      <c r="C118" s="56" t="s">
        <v>136</v>
      </c>
      <c r="D118" s="55">
        <v>3</v>
      </c>
      <c r="E118" s="55" t="s">
        <v>21</v>
      </c>
      <c r="F118" s="18" t="s">
        <v>23</v>
      </c>
      <c r="G118" s="18" t="s">
        <v>21</v>
      </c>
      <c r="H118" s="18" t="s">
        <v>23</v>
      </c>
      <c r="I118" s="18" t="s">
        <v>21</v>
      </c>
      <c r="J118" s="20" t="s">
        <v>20</v>
      </c>
      <c r="K118" s="20" t="s">
        <v>21</v>
      </c>
      <c r="L118" s="20" t="s">
        <v>21</v>
      </c>
      <c r="M118" s="18" t="s">
        <v>21</v>
      </c>
      <c r="N118" s="18" t="s">
        <v>21</v>
      </c>
      <c r="O118" s="18" t="s">
        <v>21</v>
      </c>
      <c r="P118" s="18" t="s">
        <v>23</v>
      </c>
      <c r="Q118" s="18" t="s">
        <v>20</v>
      </c>
      <c r="R118" s="18" t="s">
        <v>21</v>
      </c>
      <c r="S118" s="18" t="s">
        <v>21</v>
      </c>
      <c r="T118" s="18" t="s">
        <v>20</v>
      </c>
      <c r="U118" s="18" t="s">
        <v>20</v>
      </c>
      <c r="V118" s="37" t="s">
        <v>21</v>
      </c>
      <c r="W118" s="37" t="s">
        <v>21</v>
      </c>
      <c r="X118" s="37" t="s">
        <v>21</v>
      </c>
      <c r="Y118" s="18" t="s">
        <v>20</v>
      </c>
      <c r="Z118" s="18" t="s">
        <v>20</v>
      </c>
      <c r="AA118" s="20" t="s">
        <v>23</v>
      </c>
      <c r="AB118" s="20" t="s">
        <v>23</v>
      </c>
      <c r="AC118" s="20" t="s">
        <v>21</v>
      </c>
      <c r="AD118" s="29" t="s">
        <v>21</v>
      </c>
      <c r="AE118" s="29" t="s">
        <v>21</v>
      </c>
      <c r="AG118">
        <f t="shared" si="9"/>
        <v>0</v>
      </c>
      <c r="AH118">
        <f t="shared" si="10"/>
        <v>6</v>
      </c>
      <c r="AI118">
        <f t="shared" si="11"/>
        <v>15</v>
      </c>
      <c r="AJ118">
        <f t="shared" si="12"/>
        <v>5</v>
      </c>
      <c r="AL118">
        <f t="shared" si="13"/>
        <v>0</v>
      </c>
      <c r="AM118">
        <f t="shared" si="14"/>
        <v>18</v>
      </c>
      <c r="AN118">
        <f t="shared" si="15"/>
        <v>30</v>
      </c>
      <c r="AO118">
        <f t="shared" si="16"/>
        <v>5</v>
      </c>
      <c r="AP118">
        <f t="shared" si="17"/>
        <v>53</v>
      </c>
    </row>
    <row r="119" spans="1:42" ht="15.75" hidden="1" customHeight="1" x14ac:dyDescent="0.3">
      <c r="A119" s="16"/>
      <c r="B119" s="55">
        <v>10</v>
      </c>
      <c r="C119" s="56" t="s">
        <v>137</v>
      </c>
      <c r="D119" s="55">
        <v>3</v>
      </c>
      <c r="E119" s="55" t="s">
        <v>21</v>
      </c>
      <c r="F119" s="18" t="s">
        <v>39</v>
      </c>
      <c r="G119" s="18" t="s">
        <v>20</v>
      </c>
      <c r="H119" s="18" t="s">
        <v>20</v>
      </c>
      <c r="I119" s="18" t="s">
        <v>20</v>
      </c>
      <c r="J119" s="20" t="s">
        <v>20</v>
      </c>
      <c r="K119" s="20" t="s">
        <v>39</v>
      </c>
      <c r="L119" s="20" t="s">
        <v>20</v>
      </c>
      <c r="M119" s="18" t="s">
        <v>20</v>
      </c>
      <c r="N119" s="18" t="s">
        <v>20</v>
      </c>
      <c r="O119" s="18" t="s">
        <v>20</v>
      </c>
      <c r="P119" s="18" t="s">
        <v>21</v>
      </c>
      <c r="Q119" s="18" t="s">
        <v>20</v>
      </c>
      <c r="R119" s="18" t="s">
        <v>20</v>
      </c>
      <c r="S119" s="18" t="s">
        <v>20</v>
      </c>
      <c r="T119" s="18" t="s">
        <v>20</v>
      </c>
      <c r="U119" s="18" t="s">
        <v>20</v>
      </c>
      <c r="V119" s="37" t="s">
        <v>21</v>
      </c>
      <c r="W119" s="37" t="s">
        <v>20</v>
      </c>
      <c r="X119" s="37" t="s">
        <v>20</v>
      </c>
      <c r="Y119" s="18" t="s">
        <v>20</v>
      </c>
      <c r="Z119" s="18" t="s">
        <v>20</v>
      </c>
      <c r="AA119" s="20" t="s">
        <v>20</v>
      </c>
      <c r="AB119" s="20" t="s">
        <v>20</v>
      </c>
      <c r="AC119" s="20" t="s">
        <v>20</v>
      </c>
      <c r="AD119" s="29" t="s">
        <v>20</v>
      </c>
      <c r="AE119" s="29" t="s">
        <v>21</v>
      </c>
      <c r="AG119">
        <f t="shared" si="9"/>
        <v>2</v>
      </c>
      <c r="AH119">
        <f t="shared" si="10"/>
        <v>21</v>
      </c>
      <c r="AI119">
        <f t="shared" si="11"/>
        <v>3</v>
      </c>
      <c r="AJ119">
        <f t="shared" si="12"/>
        <v>0</v>
      </c>
      <c r="AL119">
        <f t="shared" si="13"/>
        <v>8</v>
      </c>
      <c r="AM119">
        <f t="shared" si="14"/>
        <v>63</v>
      </c>
      <c r="AN119">
        <f t="shared" si="15"/>
        <v>6</v>
      </c>
      <c r="AO119">
        <f t="shared" si="16"/>
        <v>0</v>
      </c>
      <c r="AP119">
        <f t="shared" si="17"/>
        <v>77</v>
      </c>
    </row>
    <row r="120" spans="1:42" ht="15.75" hidden="1" customHeight="1" x14ac:dyDescent="0.3">
      <c r="A120" s="16"/>
      <c r="B120" s="55">
        <v>11</v>
      </c>
      <c r="C120" s="56" t="s">
        <v>138</v>
      </c>
      <c r="D120" s="55">
        <v>3</v>
      </c>
      <c r="E120" s="55" t="s">
        <v>21</v>
      </c>
      <c r="F120" s="18" t="s">
        <v>21</v>
      </c>
      <c r="G120" s="18" t="s">
        <v>21</v>
      </c>
      <c r="H120" s="18" t="s">
        <v>21</v>
      </c>
      <c r="I120" s="18" t="s">
        <v>21</v>
      </c>
      <c r="J120" s="20" t="s">
        <v>21</v>
      </c>
      <c r="K120" s="20" t="s">
        <v>21</v>
      </c>
      <c r="L120" s="20" t="s">
        <v>21</v>
      </c>
      <c r="M120" s="18" t="s">
        <v>21</v>
      </c>
      <c r="N120" s="18" t="s">
        <v>21</v>
      </c>
      <c r="O120" s="18" t="s">
        <v>21</v>
      </c>
      <c r="P120" s="18" t="s">
        <v>21</v>
      </c>
      <c r="Q120" s="18" t="s">
        <v>21</v>
      </c>
      <c r="R120" s="18" t="s">
        <v>23</v>
      </c>
      <c r="S120" s="18" t="s">
        <v>23</v>
      </c>
      <c r="T120" s="18" t="s">
        <v>21</v>
      </c>
      <c r="U120" s="18" t="s">
        <v>20</v>
      </c>
      <c r="V120" s="37" t="s">
        <v>21</v>
      </c>
      <c r="W120" s="37" t="s">
        <v>20</v>
      </c>
      <c r="X120" s="37" t="s">
        <v>21</v>
      </c>
      <c r="Y120" s="18" t="s">
        <v>21</v>
      </c>
      <c r="Z120" s="18" t="s">
        <v>21</v>
      </c>
      <c r="AA120" s="20" t="s">
        <v>21</v>
      </c>
      <c r="AB120" s="20" t="s">
        <v>21</v>
      </c>
      <c r="AC120" s="20" t="s">
        <v>21</v>
      </c>
      <c r="AD120" s="29" t="s">
        <v>23</v>
      </c>
      <c r="AE120" s="29" t="s">
        <v>21</v>
      </c>
      <c r="AG120">
        <f t="shared" si="9"/>
        <v>0</v>
      </c>
      <c r="AH120">
        <f t="shared" si="10"/>
        <v>2</v>
      </c>
      <c r="AI120">
        <f t="shared" si="11"/>
        <v>21</v>
      </c>
      <c r="AJ120">
        <f t="shared" si="12"/>
        <v>3</v>
      </c>
      <c r="AL120">
        <f t="shared" si="13"/>
        <v>0</v>
      </c>
      <c r="AM120">
        <f t="shared" si="14"/>
        <v>6</v>
      </c>
      <c r="AN120">
        <f t="shared" si="15"/>
        <v>42</v>
      </c>
      <c r="AO120">
        <f t="shared" si="16"/>
        <v>3</v>
      </c>
      <c r="AP120">
        <f t="shared" si="17"/>
        <v>51</v>
      </c>
    </row>
    <row r="121" spans="1:42" ht="15.75" hidden="1" customHeight="1" x14ac:dyDescent="0.3">
      <c r="A121" s="16"/>
      <c r="B121" s="55">
        <v>12</v>
      </c>
      <c r="C121" s="56" t="s">
        <v>139</v>
      </c>
      <c r="D121" s="55">
        <v>3</v>
      </c>
      <c r="E121" s="55" t="s">
        <v>21</v>
      </c>
      <c r="F121" s="18" t="s">
        <v>20</v>
      </c>
      <c r="G121" s="18" t="s">
        <v>20</v>
      </c>
      <c r="H121" s="18" t="s">
        <v>20</v>
      </c>
      <c r="I121" s="18" t="s">
        <v>20</v>
      </c>
      <c r="J121" s="20" t="s">
        <v>20</v>
      </c>
      <c r="K121" s="20" t="s">
        <v>20</v>
      </c>
      <c r="L121" s="20" t="s">
        <v>20</v>
      </c>
      <c r="M121" s="18" t="s">
        <v>20</v>
      </c>
      <c r="N121" s="18" t="s">
        <v>20</v>
      </c>
      <c r="O121" s="18" t="s">
        <v>20</v>
      </c>
      <c r="P121" s="18" t="s">
        <v>21</v>
      </c>
      <c r="Q121" s="18" t="s">
        <v>20</v>
      </c>
      <c r="R121" s="18" t="s">
        <v>21</v>
      </c>
      <c r="S121" s="18" t="s">
        <v>21</v>
      </c>
      <c r="T121" s="18" t="s">
        <v>21</v>
      </c>
      <c r="U121" s="18" t="s">
        <v>20</v>
      </c>
      <c r="V121" s="37" t="s">
        <v>20</v>
      </c>
      <c r="W121" s="37" t="s">
        <v>20</v>
      </c>
      <c r="X121" s="37" t="s">
        <v>21</v>
      </c>
      <c r="Y121" s="18" t="s">
        <v>21</v>
      </c>
      <c r="Z121" s="18" t="s">
        <v>20</v>
      </c>
      <c r="AA121" s="20" t="s">
        <v>20</v>
      </c>
      <c r="AB121" s="20" t="s">
        <v>20</v>
      </c>
      <c r="AC121" s="20" t="s">
        <v>20</v>
      </c>
      <c r="AD121" s="29" t="s">
        <v>23</v>
      </c>
      <c r="AE121" s="29" t="s">
        <v>21</v>
      </c>
      <c r="AG121">
        <f t="shared" si="9"/>
        <v>0</v>
      </c>
      <c r="AH121">
        <f t="shared" si="10"/>
        <v>18</v>
      </c>
      <c r="AI121">
        <f t="shared" si="11"/>
        <v>7</v>
      </c>
      <c r="AJ121">
        <f t="shared" si="12"/>
        <v>1</v>
      </c>
      <c r="AL121">
        <f t="shared" si="13"/>
        <v>0</v>
      </c>
      <c r="AM121">
        <f t="shared" si="14"/>
        <v>54</v>
      </c>
      <c r="AN121">
        <f t="shared" si="15"/>
        <v>14</v>
      </c>
      <c r="AO121">
        <f t="shared" si="16"/>
        <v>1</v>
      </c>
      <c r="AP121">
        <f t="shared" si="17"/>
        <v>69</v>
      </c>
    </row>
    <row r="122" spans="1:42" ht="15.75" hidden="1" customHeight="1" x14ac:dyDescent="0.3">
      <c r="A122" s="16"/>
      <c r="B122" s="55">
        <v>13</v>
      </c>
      <c r="C122" s="56" t="s">
        <v>140</v>
      </c>
      <c r="D122" s="55">
        <v>3</v>
      </c>
      <c r="E122" s="55" t="s">
        <v>21</v>
      </c>
      <c r="F122" s="18" t="s">
        <v>20</v>
      </c>
      <c r="G122" s="18" t="s">
        <v>20</v>
      </c>
      <c r="H122" s="18" t="s">
        <v>20</v>
      </c>
      <c r="I122" s="18" t="s">
        <v>39</v>
      </c>
      <c r="J122" s="20" t="s">
        <v>20</v>
      </c>
      <c r="K122" s="20" t="s">
        <v>20</v>
      </c>
      <c r="L122" s="20" t="s">
        <v>20</v>
      </c>
      <c r="M122" s="18" t="s">
        <v>20</v>
      </c>
      <c r="N122" s="18" t="s">
        <v>20</v>
      </c>
      <c r="O122" s="18" t="s">
        <v>20</v>
      </c>
      <c r="P122" s="18" t="s">
        <v>21</v>
      </c>
      <c r="Q122" s="18" t="s">
        <v>21</v>
      </c>
      <c r="R122" s="18" t="s">
        <v>20</v>
      </c>
      <c r="S122" s="18" t="s">
        <v>20</v>
      </c>
      <c r="T122" s="18" t="s">
        <v>20</v>
      </c>
      <c r="U122" s="18" t="s">
        <v>20</v>
      </c>
      <c r="V122" s="37" t="s">
        <v>20</v>
      </c>
      <c r="W122" s="37" t="s">
        <v>20</v>
      </c>
      <c r="X122" s="37" t="s">
        <v>20</v>
      </c>
      <c r="Y122" s="18" t="s">
        <v>21</v>
      </c>
      <c r="Z122" s="18" t="s">
        <v>21</v>
      </c>
      <c r="AA122" s="20" t="s">
        <v>21</v>
      </c>
      <c r="AB122" s="20" t="s">
        <v>20</v>
      </c>
      <c r="AC122" s="20" t="s">
        <v>21</v>
      </c>
      <c r="AD122" s="29" t="s">
        <v>55</v>
      </c>
      <c r="AE122" s="29" t="s">
        <v>55</v>
      </c>
      <c r="AG122">
        <f t="shared" si="9"/>
        <v>1</v>
      </c>
      <c r="AH122">
        <f t="shared" si="10"/>
        <v>17</v>
      </c>
      <c r="AI122">
        <f t="shared" si="11"/>
        <v>6</v>
      </c>
      <c r="AJ122">
        <f t="shared" si="12"/>
        <v>0</v>
      </c>
      <c r="AL122">
        <f t="shared" si="13"/>
        <v>4</v>
      </c>
      <c r="AM122">
        <f t="shared" si="14"/>
        <v>51</v>
      </c>
      <c r="AN122">
        <f t="shared" si="15"/>
        <v>12</v>
      </c>
      <c r="AO122">
        <f t="shared" si="16"/>
        <v>0</v>
      </c>
      <c r="AP122">
        <f t="shared" si="17"/>
        <v>67</v>
      </c>
    </row>
    <row r="123" spans="1:42" ht="15.75" hidden="1" customHeight="1" x14ac:dyDescent="0.3">
      <c r="A123" s="16"/>
      <c r="B123" s="55">
        <v>14</v>
      </c>
      <c r="C123" s="56" t="s">
        <v>141</v>
      </c>
      <c r="D123" s="55">
        <v>3</v>
      </c>
      <c r="E123" s="55" t="s">
        <v>21</v>
      </c>
      <c r="F123" s="18" t="s">
        <v>21</v>
      </c>
      <c r="G123" s="18" t="s">
        <v>21</v>
      </c>
      <c r="H123" s="18" t="s">
        <v>20</v>
      </c>
      <c r="I123" s="18" t="s">
        <v>20</v>
      </c>
      <c r="J123" s="20" t="s">
        <v>20</v>
      </c>
      <c r="K123" s="20" t="s">
        <v>20</v>
      </c>
      <c r="L123" s="20" t="s">
        <v>21</v>
      </c>
      <c r="M123" s="18" t="s">
        <v>20</v>
      </c>
      <c r="N123" s="18" t="s">
        <v>20</v>
      </c>
      <c r="O123" s="18" t="s">
        <v>20</v>
      </c>
      <c r="P123" s="18" t="s">
        <v>23</v>
      </c>
      <c r="Q123" s="18" t="s">
        <v>21</v>
      </c>
      <c r="R123" s="18" t="s">
        <v>21</v>
      </c>
      <c r="S123" s="18" t="s">
        <v>20</v>
      </c>
      <c r="T123" s="18" t="s">
        <v>20</v>
      </c>
      <c r="U123" s="18" t="s">
        <v>21</v>
      </c>
      <c r="V123" s="37" t="s">
        <v>21</v>
      </c>
      <c r="W123" s="37" t="s">
        <v>20</v>
      </c>
      <c r="X123" s="37" t="s">
        <v>21</v>
      </c>
      <c r="Y123" s="18" t="s">
        <v>21</v>
      </c>
      <c r="Z123" s="18" t="s">
        <v>21</v>
      </c>
      <c r="AA123" s="20" t="s">
        <v>21</v>
      </c>
      <c r="AB123" s="20" t="s">
        <v>21</v>
      </c>
      <c r="AC123" s="20" t="s">
        <v>20</v>
      </c>
      <c r="AD123" s="29" t="s">
        <v>21</v>
      </c>
      <c r="AE123" s="29" t="s">
        <v>21</v>
      </c>
      <c r="AG123">
        <f t="shared" si="9"/>
        <v>0</v>
      </c>
      <c r="AH123">
        <f t="shared" si="10"/>
        <v>11</v>
      </c>
      <c r="AI123">
        <f t="shared" si="11"/>
        <v>14</v>
      </c>
      <c r="AJ123">
        <f t="shared" si="12"/>
        <v>1</v>
      </c>
      <c r="AL123">
        <f t="shared" si="13"/>
        <v>0</v>
      </c>
      <c r="AM123">
        <f t="shared" si="14"/>
        <v>33</v>
      </c>
      <c r="AN123">
        <f t="shared" si="15"/>
        <v>28</v>
      </c>
      <c r="AO123">
        <f t="shared" si="16"/>
        <v>1</v>
      </c>
      <c r="AP123">
        <f t="shared" si="17"/>
        <v>62</v>
      </c>
    </row>
    <row r="124" spans="1:42" ht="15.75" hidden="1" customHeight="1" x14ac:dyDescent="0.3">
      <c r="A124" s="16"/>
      <c r="B124" s="55">
        <v>15</v>
      </c>
      <c r="C124" s="56" t="s">
        <v>142</v>
      </c>
      <c r="D124" s="55">
        <v>3</v>
      </c>
      <c r="E124" s="55" t="s">
        <v>21</v>
      </c>
      <c r="F124" s="18" t="s">
        <v>23</v>
      </c>
      <c r="G124" s="18" t="s">
        <v>23</v>
      </c>
      <c r="H124" s="18" t="s">
        <v>23</v>
      </c>
      <c r="I124" s="18" t="s">
        <v>21</v>
      </c>
      <c r="J124" s="20" t="s">
        <v>21</v>
      </c>
      <c r="K124" s="20" t="s">
        <v>21</v>
      </c>
      <c r="L124" s="20" t="s">
        <v>21</v>
      </c>
      <c r="M124" s="18" t="s">
        <v>21</v>
      </c>
      <c r="N124" s="18" t="s">
        <v>21</v>
      </c>
      <c r="O124" s="18" t="s">
        <v>21</v>
      </c>
      <c r="P124" s="18" t="s">
        <v>23</v>
      </c>
      <c r="Q124" s="18" t="s">
        <v>21</v>
      </c>
      <c r="R124" s="18" t="s">
        <v>21</v>
      </c>
      <c r="S124" s="18" t="s">
        <v>23</v>
      </c>
      <c r="T124" s="18" t="s">
        <v>23</v>
      </c>
      <c r="U124" s="18" t="s">
        <v>20</v>
      </c>
      <c r="V124" s="37" t="s">
        <v>20</v>
      </c>
      <c r="W124" s="37" t="s">
        <v>20</v>
      </c>
      <c r="X124" s="37" t="s">
        <v>21</v>
      </c>
      <c r="Y124" s="18" t="s">
        <v>23</v>
      </c>
      <c r="Z124" s="18" t="s">
        <v>21</v>
      </c>
      <c r="AA124" s="20" t="s">
        <v>21</v>
      </c>
      <c r="AB124" s="20" t="s">
        <v>21</v>
      </c>
      <c r="AC124" s="20" t="s">
        <v>21</v>
      </c>
      <c r="AD124" s="29" t="s">
        <v>23</v>
      </c>
      <c r="AE124" s="29" t="s">
        <v>21</v>
      </c>
      <c r="AG124">
        <f t="shared" si="9"/>
        <v>0</v>
      </c>
      <c r="AH124">
        <f t="shared" si="10"/>
        <v>3</v>
      </c>
      <c r="AI124">
        <f t="shared" si="11"/>
        <v>15</v>
      </c>
      <c r="AJ124">
        <f t="shared" si="12"/>
        <v>8</v>
      </c>
      <c r="AL124">
        <f t="shared" si="13"/>
        <v>0</v>
      </c>
      <c r="AM124">
        <f t="shared" si="14"/>
        <v>9</v>
      </c>
      <c r="AN124">
        <f t="shared" si="15"/>
        <v>30</v>
      </c>
      <c r="AO124">
        <f t="shared" si="16"/>
        <v>8</v>
      </c>
      <c r="AP124">
        <f t="shared" si="17"/>
        <v>47</v>
      </c>
    </row>
    <row r="125" spans="1:42" ht="15.75" hidden="1" customHeight="1" x14ac:dyDescent="0.3">
      <c r="A125" s="16"/>
      <c r="B125" s="55">
        <v>16</v>
      </c>
      <c r="C125" s="56" t="s">
        <v>143</v>
      </c>
      <c r="D125" s="55">
        <v>3</v>
      </c>
      <c r="E125" s="55" t="s">
        <v>21</v>
      </c>
      <c r="F125" s="18" t="s">
        <v>23</v>
      </c>
      <c r="G125" s="18" t="s">
        <v>23</v>
      </c>
      <c r="H125" s="18" t="s">
        <v>21</v>
      </c>
      <c r="I125" s="18" t="s">
        <v>21</v>
      </c>
      <c r="J125" s="20" t="s">
        <v>21</v>
      </c>
      <c r="K125" s="20" t="s">
        <v>21</v>
      </c>
      <c r="L125" s="20" t="s">
        <v>21</v>
      </c>
      <c r="M125" s="18" t="s">
        <v>21</v>
      </c>
      <c r="N125" s="18" t="s">
        <v>20</v>
      </c>
      <c r="O125" s="18" t="s">
        <v>21</v>
      </c>
      <c r="P125" s="18" t="s">
        <v>21</v>
      </c>
      <c r="Q125" s="18" t="s">
        <v>20</v>
      </c>
      <c r="R125" s="18" t="s">
        <v>21</v>
      </c>
      <c r="S125" s="18" t="s">
        <v>23</v>
      </c>
      <c r="T125" s="18" t="s">
        <v>21</v>
      </c>
      <c r="U125" s="18" t="s">
        <v>20</v>
      </c>
      <c r="V125" s="37" t="s">
        <v>21</v>
      </c>
      <c r="W125" s="37" t="s">
        <v>20</v>
      </c>
      <c r="X125" s="37" t="s">
        <v>21</v>
      </c>
      <c r="Y125" s="18" t="s">
        <v>23</v>
      </c>
      <c r="Z125" s="18" t="s">
        <v>21</v>
      </c>
      <c r="AA125" s="20" t="s">
        <v>21</v>
      </c>
      <c r="AB125" s="20" t="s">
        <v>21</v>
      </c>
      <c r="AC125" s="20" t="s">
        <v>21</v>
      </c>
      <c r="AD125" s="29" t="s">
        <v>23</v>
      </c>
      <c r="AE125" s="29" t="s">
        <v>21</v>
      </c>
      <c r="AG125">
        <f t="shared" si="9"/>
        <v>0</v>
      </c>
      <c r="AH125">
        <f t="shared" si="10"/>
        <v>4</v>
      </c>
      <c r="AI125">
        <f t="shared" si="11"/>
        <v>17</v>
      </c>
      <c r="AJ125">
        <f t="shared" si="12"/>
        <v>5</v>
      </c>
      <c r="AL125">
        <f t="shared" si="13"/>
        <v>0</v>
      </c>
      <c r="AM125">
        <f t="shared" si="14"/>
        <v>12</v>
      </c>
      <c r="AN125">
        <f t="shared" si="15"/>
        <v>34</v>
      </c>
      <c r="AO125">
        <f t="shared" si="16"/>
        <v>5</v>
      </c>
      <c r="AP125">
        <f t="shared" si="17"/>
        <v>51</v>
      </c>
    </row>
    <row r="126" spans="1:42" ht="15.75" hidden="1" customHeight="1" x14ac:dyDescent="0.3">
      <c r="A126" s="16"/>
      <c r="B126" s="55">
        <v>17</v>
      </c>
      <c r="C126" s="56" t="s">
        <v>144</v>
      </c>
      <c r="D126" s="55">
        <v>3</v>
      </c>
      <c r="E126" s="55" t="s">
        <v>21</v>
      </c>
      <c r="F126" s="18" t="s">
        <v>21</v>
      </c>
      <c r="G126" s="18" t="s">
        <v>21</v>
      </c>
      <c r="H126" s="18" t="s">
        <v>21</v>
      </c>
      <c r="I126" s="18" t="s">
        <v>21</v>
      </c>
      <c r="J126" s="20" t="s">
        <v>21</v>
      </c>
      <c r="K126" s="20" t="s">
        <v>21</v>
      </c>
      <c r="L126" s="20" t="s">
        <v>21</v>
      </c>
      <c r="M126" s="18" t="s">
        <v>20</v>
      </c>
      <c r="N126" s="18" t="s">
        <v>20</v>
      </c>
      <c r="O126" s="18" t="s">
        <v>20</v>
      </c>
      <c r="P126" s="18" t="s">
        <v>21</v>
      </c>
      <c r="Q126" s="18" t="s">
        <v>21</v>
      </c>
      <c r="R126" s="18" t="s">
        <v>21</v>
      </c>
      <c r="S126" s="18" t="s">
        <v>20</v>
      </c>
      <c r="T126" s="18" t="s">
        <v>20</v>
      </c>
      <c r="U126" s="18" t="s">
        <v>20</v>
      </c>
      <c r="V126" s="37" t="s">
        <v>21</v>
      </c>
      <c r="W126" s="37" t="s">
        <v>20</v>
      </c>
      <c r="X126" s="37" t="s">
        <v>21</v>
      </c>
      <c r="Y126" s="18" t="s">
        <v>20</v>
      </c>
      <c r="Z126" s="18" t="s">
        <v>20</v>
      </c>
      <c r="AA126" s="20" t="s">
        <v>21</v>
      </c>
      <c r="AB126" s="20" t="s">
        <v>20</v>
      </c>
      <c r="AC126" s="20" t="s">
        <v>21</v>
      </c>
      <c r="AD126" s="29" t="s">
        <v>20</v>
      </c>
      <c r="AE126" s="29" t="s">
        <v>21</v>
      </c>
      <c r="AG126">
        <f t="shared" si="9"/>
        <v>0</v>
      </c>
      <c r="AH126">
        <f t="shared" si="10"/>
        <v>11</v>
      </c>
      <c r="AI126">
        <f t="shared" si="11"/>
        <v>15</v>
      </c>
      <c r="AJ126">
        <f t="shared" si="12"/>
        <v>0</v>
      </c>
      <c r="AL126">
        <f t="shared" si="13"/>
        <v>0</v>
      </c>
      <c r="AM126">
        <f t="shared" si="14"/>
        <v>33</v>
      </c>
      <c r="AN126">
        <f t="shared" si="15"/>
        <v>30</v>
      </c>
      <c r="AO126">
        <f t="shared" si="16"/>
        <v>0</v>
      </c>
      <c r="AP126">
        <f t="shared" si="17"/>
        <v>63</v>
      </c>
    </row>
    <row r="127" spans="1:42" ht="15.75" hidden="1" customHeight="1" x14ac:dyDescent="0.3">
      <c r="A127" s="16"/>
      <c r="B127" s="55">
        <v>18</v>
      </c>
      <c r="C127" s="56" t="s">
        <v>145</v>
      </c>
      <c r="D127" s="55">
        <v>3</v>
      </c>
      <c r="E127" s="55" t="s">
        <v>21</v>
      </c>
      <c r="F127" s="18" t="s">
        <v>21</v>
      </c>
      <c r="G127" s="18" t="s">
        <v>21</v>
      </c>
      <c r="H127" s="18" t="s">
        <v>20</v>
      </c>
      <c r="I127" s="18" t="s">
        <v>21</v>
      </c>
      <c r="J127" s="20" t="s">
        <v>20</v>
      </c>
      <c r="K127" s="20" t="s">
        <v>20</v>
      </c>
      <c r="L127" s="20" t="s">
        <v>20</v>
      </c>
      <c r="M127" s="18" t="s">
        <v>21</v>
      </c>
      <c r="N127" s="18" t="s">
        <v>20</v>
      </c>
      <c r="O127" s="18" t="s">
        <v>21</v>
      </c>
      <c r="P127" s="18" t="s">
        <v>21</v>
      </c>
      <c r="Q127" s="18" t="s">
        <v>21</v>
      </c>
      <c r="R127" s="18" t="s">
        <v>20</v>
      </c>
      <c r="S127" s="18" t="s">
        <v>20</v>
      </c>
      <c r="T127" s="18" t="s">
        <v>20</v>
      </c>
      <c r="U127" s="18" t="s">
        <v>20</v>
      </c>
      <c r="V127" s="37" t="s">
        <v>20</v>
      </c>
      <c r="W127" s="37" t="s">
        <v>20</v>
      </c>
      <c r="X127" s="37" t="s">
        <v>20</v>
      </c>
      <c r="Y127" s="18" t="s">
        <v>20</v>
      </c>
      <c r="Z127" s="18" t="s">
        <v>21</v>
      </c>
      <c r="AA127" s="20" t="s">
        <v>20</v>
      </c>
      <c r="AB127" s="20" t="s">
        <v>21</v>
      </c>
      <c r="AC127" s="20" t="s">
        <v>20</v>
      </c>
      <c r="AD127" s="29" t="s">
        <v>20</v>
      </c>
      <c r="AE127" s="29" t="s">
        <v>21</v>
      </c>
      <c r="AG127">
        <f t="shared" si="9"/>
        <v>0</v>
      </c>
      <c r="AH127">
        <f t="shared" si="10"/>
        <v>16</v>
      </c>
      <c r="AI127">
        <f t="shared" si="11"/>
        <v>10</v>
      </c>
      <c r="AJ127">
        <f t="shared" si="12"/>
        <v>0</v>
      </c>
      <c r="AL127">
        <f t="shared" si="13"/>
        <v>0</v>
      </c>
      <c r="AM127">
        <f t="shared" si="14"/>
        <v>48</v>
      </c>
      <c r="AN127">
        <f t="shared" si="15"/>
        <v>20</v>
      </c>
      <c r="AO127">
        <f t="shared" si="16"/>
        <v>0</v>
      </c>
      <c r="AP127">
        <f t="shared" si="17"/>
        <v>68</v>
      </c>
    </row>
    <row r="128" spans="1:42" ht="15.75" hidden="1" customHeight="1" x14ac:dyDescent="0.3">
      <c r="A128" s="16"/>
      <c r="B128" s="55">
        <v>19</v>
      </c>
      <c r="C128" s="56" t="s">
        <v>146</v>
      </c>
      <c r="D128" s="55">
        <v>3</v>
      </c>
      <c r="E128" s="55" t="s">
        <v>21</v>
      </c>
      <c r="F128" s="18" t="s">
        <v>21</v>
      </c>
      <c r="G128" s="18" t="s">
        <v>21</v>
      </c>
      <c r="H128" s="18" t="s">
        <v>21</v>
      </c>
      <c r="I128" s="18" t="s">
        <v>21</v>
      </c>
      <c r="J128" s="20" t="s">
        <v>21</v>
      </c>
      <c r="K128" s="20" t="s">
        <v>21</v>
      </c>
      <c r="L128" s="20" t="s">
        <v>21</v>
      </c>
      <c r="M128" s="18" t="s">
        <v>21</v>
      </c>
      <c r="N128" s="18" t="s">
        <v>20</v>
      </c>
      <c r="O128" s="18" t="s">
        <v>21</v>
      </c>
      <c r="P128" s="18" t="s">
        <v>21</v>
      </c>
      <c r="Q128" s="18" t="s">
        <v>21</v>
      </c>
      <c r="R128" s="18" t="s">
        <v>23</v>
      </c>
      <c r="S128" s="18" t="s">
        <v>21</v>
      </c>
      <c r="T128" s="18" t="s">
        <v>20</v>
      </c>
      <c r="U128" s="18" t="s">
        <v>21</v>
      </c>
      <c r="V128" s="37" t="s">
        <v>21</v>
      </c>
      <c r="W128" s="37" t="s">
        <v>20</v>
      </c>
      <c r="X128" s="37" t="s">
        <v>21</v>
      </c>
      <c r="Y128" s="18" t="s">
        <v>20</v>
      </c>
      <c r="Z128" s="18" t="s">
        <v>20</v>
      </c>
      <c r="AA128" s="20" t="s">
        <v>21</v>
      </c>
      <c r="AB128" s="20" t="s">
        <v>21</v>
      </c>
      <c r="AC128" s="20" t="s">
        <v>23</v>
      </c>
      <c r="AD128" s="29" t="s">
        <v>20</v>
      </c>
      <c r="AE128" s="29" t="s">
        <v>21</v>
      </c>
      <c r="AG128">
        <f t="shared" si="9"/>
        <v>0</v>
      </c>
      <c r="AH128">
        <f t="shared" si="10"/>
        <v>6</v>
      </c>
      <c r="AI128">
        <f t="shared" si="11"/>
        <v>18</v>
      </c>
      <c r="AJ128">
        <f t="shared" si="12"/>
        <v>2</v>
      </c>
      <c r="AL128">
        <f t="shared" si="13"/>
        <v>0</v>
      </c>
      <c r="AM128">
        <f t="shared" si="14"/>
        <v>18</v>
      </c>
      <c r="AN128">
        <f t="shared" si="15"/>
        <v>36</v>
      </c>
      <c r="AO128">
        <f t="shared" si="16"/>
        <v>2</v>
      </c>
      <c r="AP128">
        <f t="shared" si="17"/>
        <v>56</v>
      </c>
    </row>
    <row r="129" spans="1:42" ht="15.75" hidden="1" customHeight="1" x14ac:dyDescent="0.3">
      <c r="A129" s="16"/>
      <c r="B129" s="55">
        <v>20</v>
      </c>
      <c r="C129" s="56" t="s">
        <v>147</v>
      </c>
      <c r="D129" s="55">
        <v>3</v>
      </c>
      <c r="E129" s="55" t="s">
        <v>21</v>
      </c>
      <c r="F129" s="18" t="s">
        <v>20</v>
      </c>
      <c r="G129" s="18" t="s">
        <v>20</v>
      </c>
      <c r="H129" s="18" t="s">
        <v>20</v>
      </c>
      <c r="I129" s="18" t="s">
        <v>20</v>
      </c>
      <c r="J129" s="20" t="s">
        <v>21</v>
      </c>
      <c r="K129" s="20" t="s">
        <v>21</v>
      </c>
      <c r="L129" s="20" t="s">
        <v>21</v>
      </c>
      <c r="M129" s="18" t="s">
        <v>20</v>
      </c>
      <c r="N129" s="18" t="s">
        <v>20</v>
      </c>
      <c r="O129" s="18" t="s">
        <v>20</v>
      </c>
      <c r="P129" s="18" t="s">
        <v>21</v>
      </c>
      <c r="Q129" s="18" t="s">
        <v>20</v>
      </c>
      <c r="R129" s="18" t="s">
        <v>21</v>
      </c>
      <c r="S129" s="18" t="s">
        <v>20</v>
      </c>
      <c r="T129" s="18" t="s">
        <v>20</v>
      </c>
      <c r="U129" s="18" t="s">
        <v>20</v>
      </c>
      <c r="V129" s="37" t="s">
        <v>21</v>
      </c>
      <c r="W129" s="37" t="s">
        <v>20</v>
      </c>
      <c r="X129" s="37" t="s">
        <v>21</v>
      </c>
      <c r="Y129" s="18" t="s">
        <v>21</v>
      </c>
      <c r="Z129" s="18" t="s">
        <v>20</v>
      </c>
      <c r="AA129" s="20" t="s">
        <v>21</v>
      </c>
      <c r="AB129" s="20" t="s">
        <v>21</v>
      </c>
      <c r="AC129" s="20" t="s">
        <v>21</v>
      </c>
      <c r="AD129" s="29" t="s">
        <v>20</v>
      </c>
      <c r="AE129" s="29" t="s">
        <v>21</v>
      </c>
      <c r="AG129">
        <f t="shared" si="9"/>
        <v>0</v>
      </c>
      <c r="AH129">
        <f t="shared" si="10"/>
        <v>14</v>
      </c>
      <c r="AI129">
        <f t="shared" si="11"/>
        <v>12</v>
      </c>
      <c r="AJ129">
        <f t="shared" si="12"/>
        <v>0</v>
      </c>
      <c r="AL129">
        <f t="shared" si="13"/>
        <v>0</v>
      </c>
      <c r="AM129">
        <f t="shared" si="14"/>
        <v>42</v>
      </c>
      <c r="AN129">
        <f t="shared" si="15"/>
        <v>24</v>
      </c>
      <c r="AO129">
        <f t="shared" si="16"/>
        <v>0</v>
      </c>
      <c r="AP129">
        <f t="shared" si="17"/>
        <v>66</v>
      </c>
    </row>
    <row r="130" spans="1:42" ht="15.75" hidden="1" customHeight="1" thickBot="1" x14ac:dyDescent="0.35">
      <c r="A130" s="16"/>
      <c r="B130" s="57">
        <v>21</v>
      </c>
      <c r="C130" s="58" t="s">
        <v>148</v>
      </c>
      <c r="D130" s="57">
        <v>3</v>
      </c>
      <c r="E130" s="57" t="s">
        <v>21</v>
      </c>
      <c r="F130" s="21" t="s">
        <v>20</v>
      </c>
      <c r="G130" s="21" t="s">
        <v>20</v>
      </c>
      <c r="H130" s="21" t="s">
        <v>21</v>
      </c>
      <c r="I130" s="21" t="s">
        <v>20</v>
      </c>
      <c r="J130" s="23" t="s">
        <v>20</v>
      </c>
      <c r="K130" s="23" t="s">
        <v>20</v>
      </c>
      <c r="L130" s="23" t="s">
        <v>21</v>
      </c>
      <c r="M130" s="21" t="s">
        <v>21</v>
      </c>
      <c r="N130" s="21" t="s">
        <v>21</v>
      </c>
      <c r="O130" s="21" t="s">
        <v>21</v>
      </c>
      <c r="P130" s="21" t="s">
        <v>21</v>
      </c>
      <c r="Q130" s="21" t="s">
        <v>21</v>
      </c>
      <c r="R130" s="21" t="s">
        <v>21</v>
      </c>
      <c r="S130" s="21" t="s">
        <v>20</v>
      </c>
      <c r="T130" s="21" t="s">
        <v>20</v>
      </c>
      <c r="U130" s="21" t="s">
        <v>21</v>
      </c>
      <c r="V130" s="38" t="s">
        <v>21</v>
      </c>
      <c r="W130" s="38" t="s">
        <v>21</v>
      </c>
      <c r="X130" s="38" t="s">
        <v>21</v>
      </c>
      <c r="Y130" s="21" t="s">
        <v>20</v>
      </c>
      <c r="Z130" s="21" t="s">
        <v>20</v>
      </c>
      <c r="AA130" s="23" t="s">
        <v>21</v>
      </c>
      <c r="AB130" s="23" t="s">
        <v>21</v>
      </c>
      <c r="AC130" s="23" t="s">
        <v>21</v>
      </c>
      <c r="AD130" s="31" t="s">
        <v>20</v>
      </c>
      <c r="AE130" s="31" t="s">
        <v>21</v>
      </c>
      <c r="AG130">
        <f t="shared" si="9"/>
        <v>0</v>
      </c>
      <c r="AH130">
        <f t="shared" si="10"/>
        <v>10</v>
      </c>
      <c r="AI130">
        <f t="shared" si="11"/>
        <v>16</v>
      </c>
      <c r="AJ130">
        <f t="shared" si="12"/>
        <v>0</v>
      </c>
      <c r="AL130">
        <f t="shared" si="13"/>
        <v>0</v>
      </c>
      <c r="AM130">
        <f t="shared" si="14"/>
        <v>30</v>
      </c>
      <c r="AN130">
        <f t="shared" si="15"/>
        <v>32</v>
      </c>
      <c r="AO130">
        <f t="shared" si="16"/>
        <v>0</v>
      </c>
      <c r="AP130">
        <f t="shared" si="17"/>
        <v>62</v>
      </c>
    </row>
    <row r="131" spans="1:42" ht="15.75" hidden="1" customHeight="1" x14ac:dyDescent="0.3">
      <c r="A131" s="16"/>
      <c r="B131" s="59">
        <v>1</v>
      </c>
      <c r="C131" s="60" t="s">
        <v>149</v>
      </c>
      <c r="D131" s="59">
        <v>4</v>
      </c>
      <c r="E131" s="59" t="s">
        <v>20</v>
      </c>
      <c r="F131" s="24" t="s">
        <v>20</v>
      </c>
      <c r="G131" s="24" t="s">
        <v>20</v>
      </c>
      <c r="H131" s="24" t="s">
        <v>20</v>
      </c>
      <c r="I131" s="24" t="s">
        <v>20</v>
      </c>
      <c r="J131" s="42" t="s">
        <v>20</v>
      </c>
      <c r="K131" s="42" t="s">
        <v>20</v>
      </c>
      <c r="L131" s="42" t="s">
        <v>21</v>
      </c>
      <c r="M131" s="24" t="s">
        <v>20</v>
      </c>
      <c r="N131" s="24" t="s">
        <v>20</v>
      </c>
      <c r="O131" s="24" t="s">
        <v>20</v>
      </c>
      <c r="P131" s="24" t="s">
        <v>20</v>
      </c>
      <c r="Q131" s="24" t="s">
        <v>20</v>
      </c>
      <c r="R131" s="24" t="s">
        <v>20</v>
      </c>
      <c r="S131" s="24" t="s">
        <v>20</v>
      </c>
      <c r="T131" s="24" t="s">
        <v>21</v>
      </c>
      <c r="U131" s="24" t="s">
        <v>21</v>
      </c>
      <c r="V131" s="39" t="s">
        <v>20</v>
      </c>
      <c r="W131" s="39" t="s">
        <v>20</v>
      </c>
      <c r="X131" s="39" t="s">
        <v>20</v>
      </c>
      <c r="Y131" s="24" t="s">
        <v>20</v>
      </c>
      <c r="Z131" s="24" t="s">
        <v>20</v>
      </c>
      <c r="AA131" s="27" t="s">
        <v>21</v>
      </c>
      <c r="AB131" s="27" t="s">
        <v>20</v>
      </c>
      <c r="AC131" s="27" t="s">
        <v>21</v>
      </c>
      <c r="AD131" s="34" t="s">
        <v>21</v>
      </c>
      <c r="AE131" s="34" t="s">
        <v>21</v>
      </c>
      <c r="AG131">
        <f t="shared" si="9"/>
        <v>0</v>
      </c>
      <c r="AH131">
        <f t="shared" si="10"/>
        <v>19</v>
      </c>
      <c r="AI131">
        <f t="shared" si="11"/>
        <v>7</v>
      </c>
      <c r="AJ131">
        <f t="shared" si="12"/>
        <v>0</v>
      </c>
      <c r="AL131">
        <f t="shared" si="13"/>
        <v>0</v>
      </c>
      <c r="AM131">
        <f t="shared" si="14"/>
        <v>57</v>
      </c>
      <c r="AN131">
        <f t="shared" si="15"/>
        <v>14</v>
      </c>
      <c r="AO131">
        <f t="shared" si="16"/>
        <v>0</v>
      </c>
      <c r="AP131">
        <f t="shared" si="17"/>
        <v>71</v>
      </c>
    </row>
    <row r="132" spans="1:42" ht="15.75" hidden="1" customHeight="1" x14ac:dyDescent="0.3">
      <c r="A132" s="16"/>
      <c r="B132" s="55">
        <v>2</v>
      </c>
      <c r="C132" s="56" t="s">
        <v>150</v>
      </c>
      <c r="D132" s="55">
        <v>4</v>
      </c>
      <c r="E132" s="55" t="s">
        <v>20</v>
      </c>
      <c r="F132" s="18" t="s">
        <v>20</v>
      </c>
      <c r="G132" s="18" t="s">
        <v>20</v>
      </c>
      <c r="H132" s="18" t="s">
        <v>20</v>
      </c>
      <c r="I132" s="18" t="s">
        <v>20</v>
      </c>
      <c r="J132" s="43" t="s">
        <v>39</v>
      </c>
      <c r="K132" s="43" t="s">
        <v>20</v>
      </c>
      <c r="L132" s="43" t="s">
        <v>20</v>
      </c>
      <c r="M132" s="18" t="s">
        <v>21</v>
      </c>
      <c r="N132" s="18" t="s">
        <v>20</v>
      </c>
      <c r="O132" s="18" t="s">
        <v>20</v>
      </c>
      <c r="P132" s="18" t="s">
        <v>20</v>
      </c>
      <c r="Q132" s="18" t="s">
        <v>20</v>
      </c>
      <c r="R132" s="18" t="s">
        <v>20</v>
      </c>
      <c r="S132" s="18" t="s">
        <v>20</v>
      </c>
      <c r="T132" s="18" t="s">
        <v>20</v>
      </c>
      <c r="U132" s="18" t="s">
        <v>20</v>
      </c>
      <c r="V132" s="37" t="s">
        <v>20</v>
      </c>
      <c r="W132" s="37" t="s">
        <v>20</v>
      </c>
      <c r="X132" s="37" t="s">
        <v>20</v>
      </c>
      <c r="Y132" s="18" t="s">
        <v>20</v>
      </c>
      <c r="Z132" s="18" t="s">
        <v>21</v>
      </c>
      <c r="AA132" s="20" t="s">
        <v>20</v>
      </c>
      <c r="AB132" s="20" t="s">
        <v>20</v>
      </c>
      <c r="AC132" s="20" t="s">
        <v>21</v>
      </c>
      <c r="AD132" s="29" t="s">
        <v>20</v>
      </c>
      <c r="AE132" s="29" t="s">
        <v>21</v>
      </c>
      <c r="AG132">
        <f t="shared" si="9"/>
        <v>1</v>
      </c>
      <c r="AH132">
        <f t="shared" si="10"/>
        <v>21</v>
      </c>
      <c r="AI132">
        <f t="shared" si="11"/>
        <v>4</v>
      </c>
      <c r="AJ132">
        <f t="shared" si="12"/>
        <v>0</v>
      </c>
      <c r="AL132">
        <f t="shared" si="13"/>
        <v>4</v>
      </c>
      <c r="AM132">
        <f t="shared" si="14"/>
        <v>63</v>
      </c>
      <c r="AN132">
        <f t="shared" si="15"/>
        <v>8</v>
      </c>
      <c r="AO132">
        <f t="shared" si="16"/>
        <v>0</v>
      </c>
      <c r="AP132">
        <f t="shared" si="17"/>
        <v>75</v>
      </c>
    </row>
    <row r="133" spans="1:42" ht="15.75" hidden="1" customHeight="1" x14ac:dyDescent="0.3">
      <c r="A133" s="16"/>
      <c r="B133" s="55">
        <v>3</v>
      </c>
      <c r="C133" s="56" t="s">
        <v>151</v>
      </c>
      <c r="D133" s="55">
        <v>4</v>
      </c>
      <c r="E133" s="55" t="s">
        <v>20</v>
      </c>
      <c r="F133" s="18" t="s">
        <v>23</v>
      </c>
      <c r="G133" s="18" t="s">
        <v>21</v>
      </c>
      <c r="H133" s="18" t="s">
        <v>23</v>
      </c>
      <c r="I133" s="18" t="s">
        <v>21</v>
      </c>
      <c r="J133" s="43" t="s">
        <v>21</v>
      </c>
      <c r="K133" s="43" t="s">
        <v>21</v>
      </c>
      <c r="L133" s="43" t="s">
        <v>21</v>
      </c>
      <c r="M133" s="18" t="s">
        <v>21</v>
      </c>
      <c r="N133" s="18" t="s">
        <v>20</v>
      </c>
      <c r="O133" s="18" t="s">
        <v>20</v>
      </c>
      <c r="P133" s="18" t="s">
        <v>21</v>
      </c>
      <c r="Q133" s="18" t="s">
        <v>21</v>
      </c>
      <c r="R133" s="18" t="s">
        <v>21</v>
      </c>
      <c r="S133" s="18" t="s">
        <v>20</v>
      </c>
      <c r="T133" s="18" t="s">
        <v>20</v>
      </c>
      <c r="U133" s="18" t="s">
        <v>21</v>
      </c>
      <c r="V133" s="37" t="s">
        <v>20</v>
      </c>
      <c r="W133" s="46" t="s">
        <v>21</v>
      </c>
      <c r="X133" s="37" t="s">
        <v>20</v>
      </c>
      <c r="Y133" s="18" t="s">
        <v>21</v>
      </c>
      <c r="Z133" s="18" t="s">
        <v>23</v>
      </c>
      <c r="AA133" s="20" t="s">
        <v>21</v>
      </c>
      <c r="AB133" s="20" t="s">
        <v>21</v>
      </c>
      <c r="AC133" s="20" t="s">
        <v>21</v>
      </c>
      <c r="AD133" s="29" t="s">
        <v>21</v>
      </c>
      <c r="AE133" s="29" t="s">
        <v>21</v>
      </c>
      <c r="AG133">
        <f t="shared" si="9"/>
        <v>0</v>
      </c>
      <c r="AH133">
        <f t="shared" si="10"/>
        <v>6</v>
      </c>
      <c r="AI133">
        <f t="shared" si="11"/>
        <v>17</v>
      </c>
      <c r="AJ133">
        <f t="shared" si="12"/>
        <v>3</v>
      </c>
      <c r="AL133">
        <f t="shared" si="13"/>
        <v>0</v>
      </c>
      <c r="AM133">
        <f t="shared" si="14"/>
        <v>18</v>
      </c>
      <c r="AN133">
        <f t="shared" si="15"/>
        <v>34</v>
      </c>
      <c r="AO133">
        <f t="shared" si="16"/>
        <v>3</v>
      </c>
      <c r="AP133">
        <f t="shared" si="17"/>
        <v>55</v>
      </c>
    </row>
    <row r="134" spans="1:42" ht="15.75" hidden="1" customHeight="1" x14ac:dyDescent="0.3">
      <c r="A134" s="16"/>
      <c r="B134" s="55">
        <v>4</v>
      </c>
      <c r="C134" s="56" t="s">
        <v>152</v>
      </c>
      <c r="D134" s="55">
        <v>4</v>
      </c>
      <c r="E134" s="55" t="s">
        <v>20</v>
      </c>
      <c r="F134" s="18" t="s">
        <v>21</v>
      </c>
      <c r="G134" s="18" t="s">
        <v>20</v>
      </c>
      <c r="H134" s="18" t="s">
        <v>21</v>
      </c>
      <c r="I134" s="18" t="s">
        <v>20</v>
      </c>
      <c r="J134" s="43" t="s">
        <v>20</v>
      </c>
      <c r="K134" s="43" t="s">
        <v>20</v>
      </c>
      <c r="L134" s="43" t="s">
        <v>21</v>
      </c>
      <c r="M134" s="18" t="s">
        <v>20</v>
      </c>
      <c r="N134" s="18" t="s">
        <v>20</v>
      </c>
      <c r="O134" s="18" t="s">
        <v>20</v>
      </c>
      <c r="P134" s="18" t="s">
        <v>21</v>
      </c>
      <c r="Q134" s="18" t="s">
        <v>21</v>
      </c>
      <c r="R134" s="18" t="s">
        <v>21</v>
      </c>
      <c r="S134" s="18" t="s">
        <v>20</v>
      </c>
      <c r="T134" s="18" t="s">
        <v>20</v>
      </c>
      <c r="U134" s="18" t="s">
        <v>21</v>
      </c>
      <c r="V134" s="37" t="s">
        <v>20</v>
      </c>
      <c r="W134" s="37" t="s">
        <v>20</v>
      </c>
      <c r="X134" s="37" t="s">
        <v>20</v>
      </c>
      <c r="Y134" s="18" t="s">
        <v>20</v>
      </c>
      <c r="Z134" s="18" t="s">
        <v>20</v>
      </c>
      <c r="AA134" s="20" t="s">
        <v>21</v>
      </c>
      <c r="AB134" s="20" t="s">
        <v>21</v>
      </c>
      <c r="AC134" s="20" t="s">
        <v>20</v>
      </c>
      <c r="AD134" s="47" t="s">
        <v>20</v>
      </c>
      <c r="AE134" s="47" t="s">
        <v>21</v>
      </c>
      <c r="AG134">
        <f t="shared" si="9"/>
        <v>0</v>
      </c>
      <c r="AH134">
        <f t="shared" si="10"/>
        <v>16</v>
      </c>
      <c r="AI134">
        <f t="shared" si="11"/>
        <v>10</v>
      </c>
      <c r="AJ134">
        <f t="shared" si="12"/>
        <v>0</v>
      </c>
      <c r="AL134">
        <f t="shared" si="13"/>
        <v>0</v>
      </c>
      <c r="AM134">
        <f t="shared" si="14"/>
        <v>48</v>
      </c>
      <c r="AN134">
        <f t="shared" si="15"/>
        <v>20</v>
      </c>
      <c r="AO134">
        <f t="shared" si="16"/>
        <v>0</v>
      </c>
      <c r="AP134">
        <f t="shared" si="17"/>
        <v>68</v>
      </c>
    </row>
    <row r="135" spans="1:42" ht="15.75" hidden="1" customHeight="1" x14ac:dyDescent="0.3">
      <c r="A135" s="16"/>
      <c r="B135" s="55">
        <v>5</v>
      </c>
      <c r="C135" s="56" t="s">
        <v>153</v>
      </c>
      <c r="D135" s="55">
        <v>4</v>
      </c>
      <c r="E135" s="55" t="s">
        <v>20</v>
      </c>
      <c r="F135" s="18" t="s">
        <v>20</v>
      </c>
      <c r="G135" s="18" t="s">
        <v>21</v>
      </c>
      <c r="H135" s="18" t="s">
        <v>21</v>
      </c>
      <c r="I135" s="18" t="s">
        <v>20</v>
      </c>
      <c r="J135" s="43" t="s">
        <v>20</v>
      </c>
      <c r="K135" s="43" t="s">
        <v>20</v>
      </c>
      <c r="L135" s="43" t="s">
        <v>21</v>
      </c>
      <c r="M135" s="18" t="s">
        <v>21</v>
      </c>
      <c r="N135" s="18" t="s">
        <v>20</v>
      </c>
      <c r="O135" s="18" t="s">
        <v>20</v>
      </c>
      <c r="P135" s="18" t="s">
        <v>20</v>
      </c>
      <c r="Q135" s="18" t="s">
        <v>20</v>
      </c>
      <c r="R135" s="18" t="s">
        <v>20</v>
      </c>
      <c r="S135" s="18" t="s">
        <v>20</v>
      </c>
      <c r="T135" s="18" t="s">
        <v>20</v>
      </c>
      <c r="U135" s="18" t="s">
        <v>21</v>
      </c>
      <c r="V135" s="37" t="s">
        <v>20</v>
      </c>
      <c r="W135" s="37" t="s">
        <v>20</v>
      </c>
      <c r="X135" s="37" t="s">
        <v>20</v>
      </c>
      <c r="Y135" s="18" t="s">
        <v>20</v>
      </c>
      <c r="Z135" s="18" t="s">
        <v>21</v>
      </c>
      <c r="AA135" s="20" t="s">
        <v>21</v>
      </c>
      <c r="AB135" s="20" t="s">
        <v>20</v>
      </c>
      <c r="AC135" s="20" t="s">
        <v>20</v>
      </c>
      <c r="AD135" s="29" t="s">
        <v>23</v>
      </c>
      <c r="AE135" s="29" t="s">
        <v>21</v>
      </c>
      <c r="AG135">
        <f t="shared" ref="AG135:AG198" si="18">+COUNTIF(F135:AE135,"AD")</f>
        <v>0</v>
      </c>
      <c r="AH135">
        <f t="shared" ref="AH135:AH198" si="19">+COUNTIF(F135:AE135,"A")</f>
        <v>17</v>
      </c>
      <c r="AI135">
        <f t="shared" ref="AI135:AI198" si="20">+COUNTIF(F135:AE135,"b")</f>
        <v>8</v>
      </c>
      <c r="AJ135">
        <f t="shared" ref="AJ135:AJ198" si="21">+COUNTIF(F135:AE135,"c")</f>
        <v>1</v>
      </c>
      <c r="AL135">
        <f t="shared" ref="AL135:AL198" si="22">+$AG$5*AG135</f>
        <v>0</v>
      </c>
      <c r="AM135">
        <f t="shared" ref="AM135:AM198" si="23">+$AH$5*AH135</f>
        <v>51</v>
      </c>
      <c r="AN135">
        <f t="shared" ref="AN135:AN198" si="24">+$AI$5*AI135</f>
        <v>16</v>
      </c>
      <c r="AO135">
        <f t="shared" ref="AO135:AO198" si="25">+$AJ$5*AJ135</f>
        <v>1</v>
      </c>
      <c r="AP135">
        <f t="shared" ref="AP135:AP198" si="26">+SUM(AL135:AO135)</f>
        <v>68</v>
      </c>
    </row>
    <row r="136" spans="1:42" ht="15.75" hidden="1" customHeight="1" x14ac:dyDescent="0.3">
      <c r="A136" s="16"/>
      <c r="B136" s="55">
        <v>6</v>
      </c>
      <c r="C136" s="56" t="s">
        <v>154</v>
      </c>
      <c r="D136" s="55">
        <v>4</v>
      </c>
      <c r="E136" s="55" t="s">
        <v>20</v>
      </c>
      <c r="F136" s="18" t="s">
        <v>20</v>
      </c>
      <c r="G136" s="18" t="s">
        <v>21</v>
      </c>
      <c r="H136" s="18" t="s">
        <v>21</v>
      </c>
      <c r="I136" s="18" t="s">
        <v>20</v>
      </c>
      <c r="J136" s="43" t="s">
        <v>20</v>
      </c>
      <c r="K136" s="43" t="s">
        <v>20</v>
      </c>
      <c r="L136" s="43" t="s">
        <v>20</v>
      </c>
      <c r="M136" s="18" t="s">
        <v>20</v>
      </c>
      <c r="N136" s="18" t="s">
        <v>20</v>
      </c>
      <c r="O136" s="18" t="s">
        <v>20</v>
      </c>
      <c r="P136" s="18" t="s">
        <v>20</v>
      </c>
      <c r="Q136" s="18" t="s">
        <v>21</v>
      </c>
      <c r="R136" s="18" t="s">
        <v>20</v>
      </c>
      <c r="S136" s="18" t="s">
        <v>20</v>
      </c>
      <c r="T136" s="18" t="s">
        <v>20</v>
      </c>
      <c r="U136" s="18" t="s">
        <v>20</v>
      </c>
      <c r="V136" s="37" t="s">
        <v>20</v>
      </c>
      <c r="W136" s="37" t="s">
        <v>20</v>
      </c>
      <c r="X136" s="37" t="s">
        <v>20</v>
      </c>
      <c r="Y136" s="18" t="s">
        <v>20</v>
      </c>
      <c r="Z136" s="18" t="s">
        <v>20</v>
      </c>
      <c r="AA136" s="20" t="s">
        <v>20</v>
      </c>
      <c r="AB136" s="20" t="s">
        <v>20</v>
      </c>
      <c r="AC136" s="20" t="s">
        <v>20</v>
      </c>
      <c r="AD136" s="29" t="s">
        <v>20</v>
      </c>
      <c r="AE136" s="29" t="s">
        <v>21</v>
      </c>
      <c r="AG136">
        <f t="shared" si="18"/>
        <v>0</v>
      </c>
      <c r="AH136">
        <f t="shared" si="19"/>
        <v>22</v>
      </c>
      <c r="AI136">
        <f t="shared" si="20"/>
        <v>4</v>
      </c>
      <c r="AJ136">
        <f t="shared" si="21"/>
        <v>0</v>
      </c>
      <c r="AL136">
        <f t="shared" si="22"/>
        <v>0</v>
      </c>
      <c r="AM136">
        <f t="shared" si="23"/>
        <v>66</v>
      </c>
      <c r="AN136">
        <f t="shared" si="24"/>
        <v>8</v>
      </c>
      <c r="AO136">
        <f t="shared" si="25"/>
        <v>0</v>
      </c>
      <c r="AP136">
        <f t="shared" si="26"/>
        <v>74</v>
      </c>
    </row>
    <row r="137" spans="1:42" ht="15.75" hidden="1" customHeight="1" x14ac:dyDescent="0.3">
      <c r="A137" s="16"/>
      <c r="B137" s="55">
        <v>7</v>
      </c>
      <c r="C137" s="56" t="s">
        <v>155</v>
      </c>
      <c r="D137" s="55">
        <v>4</v>
      </c>
      <c r="E137" s="55" t="s">
        <v>20</v>
      </c>
      <c r="F137" s="18" t="s">
        <v>21</v>
      </c>
      <c r="G137" s="18" t="s">
        <v>21</v>
      </c>
      <c r="H137" s="18" t="s">
        <v>23</v>
      </c>
      <c r="I137" s="18" t="s">
        <v>23</v>
      </c>
      <c r="J137" s="43" t="s">
        <v>20</v>
      </c>
      <c r="K137" s="43" t="s">
        <v>20</v>
      </c>
      <c r="L137" s="43" t="s">
        <v>20</v>
      </c>
      <c r="M137" s="18" t="s">
        <v>20</v>
      </c>
      <c r="N137" s="18" t="s">
        <v>21</v>
      </c>
      <c r="O137" s="18" t="s">
        <v>21</v>
      </c>
      <c r="P137" s="18" t="s">
        <v>23</v>
      </c>
      <c r="Q137" s="18" t="s">
        <v>21</v>
      </c>
      <c r="R137" s="18" t="s">
        <v>23</v>
      </c>
      <c r="S137" s="18" t="s">
        <v>21</v>
      </c>
      <c r="T137" s="18" t="s">
        <v>20</v>
      </c>
      <c r="U137" s="18" t="s">
        <v>21</v>
      </c>
      <c r="V137" s="37" t="s">
        <v>20</v>
      </c>
      <c r="W137" s="37" t="s">
        <v>21</v>
      </c>
      <c r="X137" s="37" t="s">
        <v>20</v>
      </c>
      <c r="Y137" s="18" t="s">
        <v>21</v>
      </c>
      <c r="Z137" s="18" t="s">
        <v>20</v>
      </c>
      <c r="AA137" s="20" t="s">
        <v>21</v>
      </c>
      <c r="AB137" s="20" t="s">
        <v>21</v>
      </c>
      <c r="AC137" s="20" t="s">
        <v>21</v>
      </c>
      <c r="AD137" s="29" t="s">
        <v>55</v>
      </c>
      <c r="AE137" s="29" t="s">
        <v>55</v>
      </c>
      <c r="AG137">
        <f t="shared" si="18"/>
        <v>0</v>
      </c>
      <c r="AH137">
        <f t="shared" si="19"/>
        <v>8</v>
      </c>
      <c r="AI137">
        <f t="shared" si="20"/>
        <v>12</v>
      </c>
      <c r="AJ137">
        <f t="shared" si="21"/>
        <v>4</v>
      </c>
      <c r="AL137">
        <f t="shared" si="22"/>
        <v>0</v>
      </c>
      <c r="AM137">
        <f t="shared" si="23"/>
        <v>24</v>
      </c>
      <c r="AN137">
        <f t="shared" si="24"/>
        <v>24</v>
      </c>
      <c r="AO137">
        <f t="shared" si="25"/>
        <v>4</v>
      </c>
      <c r="AP137">
        <f t="shared" si="26"/>
        <v>52</v>
      </c>
    </row>
    <row r="138" spans="1:42" ht="15.75" hidden="1" customHeight="1" x14ac:dyDescent="0.3">
      <c r="A138" s="16"/>
      <c r="B138" s="55">
        <v>8</v>
      </c>
      <c r="C138" s="56" t="s">
        <v>156</v>
      </c>
      <c r="D138" s="55">
        <v>4</v>
      </c>
      <c r="E138" s="55" t="s">
        <v>20</v>
      </c>
      <c r="F138" s="18" t="s">
        <v>20</v>
      </c>
      <c r="G138" s="18" t="s">
        <v>20</v>
      </c>
      <c r="H138" s="18" t="s">
        <v>20</v>
      </c>
      <c r="I138" s="18" t="s">
        <v>20</v>
      </c>
      <c r="J138" s="43" t="s">
        <v>39</v>
      </c>
      <c r="K138" s="43" t="s">
        <v>20</v>
      </c>
      <c r="L138" s="43" t="s">
        <v>20</v>
      </c>
      <c r="M138" s="18" t="s">
        <v>20</v>
      </c>
      <c r="N138" s="18" t="s">
        <v>20</v>
      </c>
      <c r="O138" s="18" t="s">
        <v>20</v>
      </c>
      <c r="P138" s="18" t="s">
        <v>20</v>
      </c>
      <c r="Q138" s="18" t="s">
        <v>20</v>
      </c>
      <c r="R138" s="18" t="s">
        <v>20</v>
      </c>
      <c r="S138" s="18" t="s">
        <v>20</v>
      </c>
      <c r="T138" s="18" t="s">
        <v>20</v>
      </c>
      <c r="U138" s="18" t="s">
        <v>21</v>
      </c>
      <c r="V138" s="37" t="s">
        <v>20</v>
      </c>
      <c r="W138" s="37" t="s">
        <v>20</v>
      </c>
      <c r="X138" s="37" t="s">
        <v>20</v>
      </c>
      <c r="Y138" s="18" t="s">
        <v>20</v>
      </c>
      <c r="Z138" s="18" t="s">
        <v>20</v>
      </c>
      <c r="AA138" s="20" t="s">
        <v>20</v>
      </c>
      <c r="AB138" s="20" t="s">
        <v>20</v>
      </c>
      <c r="AC138" s="20" t="s">
        <v>20</v>
      </c>
      <c r="AD138" s="29" t="s">
        <v>20</v>
      </c>
      <c r="AE138" s="29" t="s">
        <v>21</v>
      </c>
      <c r="AG138">
        <f t="shared" si="18"/>
        <v>1</v>
      </c>
      <c r="AH138">
        <f t="shared" si="19"/>
        <v>23</v>
      </c>
      <c r="AI138">
        <f t="shared" si="20"/>
        <v>2</v>
      </c>
      <c r="AJ138">
        <f t="shared" si="21"/>
        <v>0</v>
      </c>
      <c r="AL138">
        <f t="shared" si="22"/>
        <v>4</v>
      </c>
      <c r="AM138">
        <f t="shared" si="23"/>
        <v>69</v>
      </c>
      <c r="AN138">
        <f t="shared" si="24"/>
        <v>4</v>
      </c>
      <c r="AO138">
        <f t="shared" si="25"/>
        <v>0</v>
      </c>
      <c r="AP138">
        <f t="shared" si="26"/>
        <v>77</v>
      </c>
    </row>
    <row r="139" spans="1:42" ht="15.75" hidden="1" customHeight="1" x14ac:dyDescent="0.3">
      <c r="A139" s="16"/>
      <c r="B139" s="55">
        <v>9</v>
      </c>
      <c r="C139" s="56" t="s">
        <v>157</v>
      </c>
      <c r="D139" s="55">
        <v>4</v>
      </c>
      <c r="E139" s="55" t="s">
        <v>20</v>
      </c>
      <c r="F139" s="18" t="s">
        <v>23</v>
      </c>
      <c r="G139" s="18" t="s">
        <v>21</v>
      </c>
      <c r="H139" s="18" t="s">
        <v>21</v>
      </c>
      <c r="I139" s="18" t="s">
        <v>21</v>
      </c>
      <c r="J139" s="43" t="s">
        <v>20</v>
      </c>
      <c r="K139" s="43" t="s">
        <v>20</v>
      </c>
      <c r="L139" s="43" t="s">
        <v>21</v>
      </c>
      <c r="M139" s="18" t="s">
        <v>20</v>
      </c>
      <c r="N139" s="18" t="s">
        <v>20</v>
      </c>
      <c r="O139" s="18" t="s">
        <v>20</v>
      </c>
      <c r="P139" s="18" t="s">
        <v>20</v>
      </c>
      <c r="Q139" s="18" t="s">
        <v>20</v>
      </c>
      <c r="R139" s="18" t="s">
        <v>20</v>
      </c>
      <c r="S139" s="18" t="s">
        <v>20</v>
      </c>
      <c r="T139" s="18" t="s">
        <v>20</v>
      </c>
      <c r="U139" s="18" t="s">
        <v>21</v>
      </c>
      <c r="V139" s="37" t="s">
        <v>20</v>
      </c>
      <c r="W139" s="37" t="s">
        <v>20</v>
      </c>
      <c r="X139" s="37" t="s">
        <v>20</v>
      </c>
      <c r="Y139" s="18" t="s">
        <v>20</v>
      </c>
      <c r="Z139" s="18" t="s">
        <v>21</v>
      </c>
      <c r="AA139" s="20" t="s">
        <v>21</v>
      </c>
      <c r="AB139" s="20" t="s">
        <v>21</v>
      </c>
      <c r="AC139" s="20" t="s">
        <v>23</v>
      </c>
      <c r="AD139" s="18" t="s">
        <v>20</v>
      </c>
      <c r="AE139" s="18" t="s">
        <v>21</v>
      </c>
      <c r="AG139">
        <f t="shared" si="18"/>
        <v>0</v>
      </c>
      <c r="AH139">
        <f t="shared" si="19"/>
        <v>15</v>
      </c>
      <c r="AI139">
        <f t="shared" si="20"/>
        <v>9</v>
      </c>
      <c r="AJ139">
        <f t="shared" si="21"/>
        <v>2</v>
      </c>
      <c r="AL139">
        <f t="shared" si="22"/>
        <v>0</v>
      </c>
      <c r="AM139">
        <f t="shared" si="23"/>
        <v>45</v>
      </c>
      <c r="AN139">
        <f t="shared" si="24"/>
        <v>18</v>
      </c>
      <c r="AO139">
        <f t="shared" si="25"/>
        <v>2</v>
      </c>
      <c r="AP139">
        <f t="shared" si="26"/>
        <v>65</v>
      </c>
    </row>
    <row r="140" spans="1:42" ht="15.75" hidden="1" customHeight="1" x14ac:dyDescent="0.3">
      <c r="A140" s="16"/>
      <c r="B140" s="55">
        <v>10</v>
      </c>
      <c r="C140" s="56" t="s">
        <v>158</v>
      </c>
      <c r="D140" s="55">
        <v>4</v>
      </c>
      <c r="E140" s="55" t="s">
        <v>20</v>
      </c>
      <c r="F140" s="18" t="s">
        <v>21</v>
      </c>
      <c r="G140" s="18" t="s">
        <v>23</v>
      </c>
      <c r="H140" s="18" t="s">
        <v>21</v>
      </c>
      <c r="I140" s="18" t="s">
        <v>23</v>
      </c>
      <c r="J140" s="43" t="s">
        <v>20</v>
      </c>
      <c r="K140" s="43" t="s">
        <v>21</v>
      </c>
      <c r="L140" s="43" t="s">
        <v>21</v>
      </c>
      <c r="M140" s="18" t="s">
        <v>21</v>
      </c>
      <c r="N140" s="18" t="s">
        <v>21</v>
      </c>
      <c r="O140" s="18" t="s">
        <v>20</v>
      </c>
      <c r="P140" s="18" t="s">
        <v>21</v>
      </c>
      <c r="Q140" s="18" t="s">
        <v>21</v>
      </c>
      <c r="R140" s="18" t="s">
        <v>21</v>
      </c>
      <c r="S140" s="18" t="s">
        <v>21</v>
      </c>
      <c r="T140" s="18" t="s">
        <v>20</v>
      </c>
      <c r="U140" s="18" t="s">
        <v>20</v>
      </c>
      <c r="V140" s="37" t="s">
        <v>20</v>
      </c>
      <c r="W140" s="37" t="s">
        <v>20</v>
      </c>
      <c r="X140" s="37" t="s">
        <v>20</v>
      </c>
      <c r="Y140" s="18" t="s">
        <v>20</v>
      </c>
      <c r="Z140" s="18" t="s">
        <v>21</v>
      </c>
      <c r="AA140" s="20" t="s">
        <v>20</v>
      </c>
      <c r="AB140" s="20" t="s">
        <v>20</v>
      </c>
      <c r="AC140" s="20" t="s">
        <v>20</v>
      </c>
      <c r="AD140" s="18" t="s">
        <v>23</v>
      </c>
      <c r="AE140" s="18" t="s">
        <v>21</v>
      </c>
      <c r="AG140">
        <f t="shared" si="18"/>
        <v>0</v>
      </c>
      <c r="AH140">
        <f t="shared" si="19"/>
        <v>11</v>
      </c>
      <c r="AI140">
        <f t="shared" si="20"/>
        <v>12</v>
      </c>
      <c r="AJ140">
        <f t="shared" si="21"/>
        <v>3</v>
      </c>
      <c r="AL140">
        <f t="shared" si="22"/>
        <v>0</v>
      </c>
      <c r="AM140">
        <f t="shared" si="23"/>
        <v>33</v>
      </c>
      <c r="AN140">
        <f t="shared" si="24"/>
        <v>24</v>
      </c>
      <c r="AO140">
        <f t="shared" si="25"/>
        <v>3</v>
      </c>
      <c r="AP140">
        <f t="shared" si="26"/>
        <v>60</v>
      </c>
    </row>
    <row r="141" spans="1:42" ht="15.75" hidden="1" customHeight="1" x14ac:dyDescent="0.3">
      <c r="A141" s="16"/>
      <c r="B141" s="55">
        <v>11</v>
      </c>
      <c r="C141" s="56" t="s">
        <v>159</v>
      </c>
      <c r="D141" s="55">
        <v>4</v>
      </c>
      <c r="E141" s="55" t="s">
        <v>20</v>
      </c>
      <c r="F141" s="18" t="s">
        <v>23</v>
      </c>
      <c r="G141" s="18" t="s">
        <v>23</v>
      </c>
      <c r="H141" s="18" t="s">
        <v>23</v>
      </c>
      <c r="I141" s="18" t="s">
        <v>21</v>
      </c>
      <c r="J141" s="43" t="s">
        <v>20</v>
      </c>
      <c r="K141" s="43" t="s">
        <v>21</v>
      </c>
      <c r="L141" s="43" t="s">
        <v>21</v>
      </c>
      <c r="M141" s="18" t="s">
        <v>21</v>
      </c>
      <c r="N141" s="18" t="s">
        <v>21</v>
      </c>
      <c r="O141" s="18" t="s">
        <v>21</v>
      </c>
      <c r="P141" s="18" t="s">
        <v>21</v>
      </c>
      <c r="Q141" s="18" t="s">
        <v>21</v>
      </c>
      <c r="R141" s="18" t="s">
        <v>21</v>
      </c>
      <c r="S141" s="18" t="s">
        <v>20</v>
      </c>
      <c r="T141" s="18" t="s">
        <v>21</v>
      </c>
      <c r="U141" s="18" t="s">
        <v>20</v>
      </c>
      <c r="V141" s="37" t="s">
        <v>20</v>
      </c>
      <c r="W141" s="37" t="s">
        <v>20</v>
      </c>
      <c r="X141" s="37" t="s">
        <v>20</v>
      </c>
      <c r="Y141" s="18" t="s">
        <v>21</v>
      </c>
      <c r="Z141" s="18" t="s">
        <v>21</v>
      </c>
      <c r="AA141" s="20" t="s">
        <v>21</v>
      </c>
      <c r="AB141" s="20" t="s">
        <v>21</v>
      </c>
      <c r="AC141" s="20" t="s">
        <v>23</v>
      </c>
      <c r="AD141" s="18" t="s">
        <v>23</v>
      </c>
      <c r="AE141" s="18" t="s">
        <v>21</v>
      </c>
      <c r="AG141">
        <f t="shared" si="18"/>
        <v>0</v>
      </c>
      <c r="AH141">
        <f t="shared" si="19"/>
        <v>6</v>
      </c>
      <c r="AI141">
        <f t="shared" si="20"/>
        <v>15</v>
      </c>
      <c r="AJ141">
        <f t="shared" si="21"/>
        <v>5</v>
      </c>
      <c r="AL141">
        <f t="shared" si="22"/>
        <v>0</v>
      </c>
      <c r="AM141">
        <f t="shared" si="23"/>
        <v>18</v>
      </c>
      <c r="AN141">
        <f t="shared" si="24"/>
        <v>30</v>
      </c>
      <c r="AO141">
        <f t="shared" si="25"/>
        <v>5</v>
      </c>
      <c r="AP141">
        <f t="shared" si="26"/>
        <v>53</v>
      </c>
    </row>
    <row r="142" spans="1:42" ht="15.75" hidden="1" customHeight="1" x14ac:dyDescent="0.3">
      <c r="A142" s="16"/>
      <c r="B142" s="55">
        <v>12</v>
      </c>
      <c r="C142" s="56" t="s">
        <v>160</v>
      </c>
      <c r="D142" s="55">
        <v>4</v>
      </c>
      <c r="E142" s="55" t="s">
        <v>20</v>
      </c>
      <c r="F142" s="18" t="s">
        <v>23</v>
      </c>
      <c r="G142" s="18" t="s">
        <v>23</v>
      </c>
      <c r="H142" s="18" t="s">
        <v>23</v>
      </c>
      <c r="I142" s="18" t="s">
        <v>21</v>
      </c>
      <c r="J142" s="43" t="s">
        <v>21</v>
      </c>
      <c r="K142" s="43" t="s">
        <v>21</v>
      </c>
      <c r="L142" s="43" t="s">
        <v>21</v>
      </c>
      <c r="M142" s="18" t="s">
        <v>21</v>
      </c>
      <c r="N142" s="18" t="s">
        <v>20</v>
      </c>
      <c r="O142" s="18" t="s">
        <v>21</v>
      </c>
      <c r="P142" s="18" t="s">
        <v>21</v>
      </c>
      <c r="Q142" s="18" t="s">
        <v>21</v>
      </c>
      <c r="R142" s="18" t="s">
        <v>21</v>
      </c>
      <c r="S142" s="18" t="s">
        <v>21</v>
      </c>
      <c r="T142" s="18" t="s">
        <v>21</v>
      </c>
      <c r="U142" s="18" t="s">
        <v>21</v>
      </c>
      <c r="V142" s="37" t="s">
        <v>20</v>
      </c>
      <c r="W142" s="37" t="s">
        <v>20</v>
      </c>
      <c r="X142" s="37" t="s">
        <v>21</v>
      </c>
      <c r="Y142" s="18" t="s">
        <v>21</v>
      </c>
      <c r="Z142" s="18" t="s">
        <v>21</v>
      </c>
      <c r="AA142" s="20" t="s">
        <v>21</v>
      </c>
      <c r="AB142" s="20" t="s">
        <v>21</v>
      </c>
      <c r="AC142" s="20" t="s">
        <v>23</v>
      </c>
      <c r="AD142" s="18" t="s">
        <v>23</v>
      </c>
      <c r="AE142" s="18" t="s">
        <v>21</v>
      </c>
      <c r="AG142">
        <f t="shared" si="18"/>
        <v>0</v>
      </c>
      <c r="AH142">
        <f t="shared" si="19"/>
        <v>3</v>
      </c>
      <c r="AI142">
        <f t="shared" si="20"/>
        <v>18</v>
      </c>
      <c r="AJ142">
        <f t="shared" si="21"/>
        <v>5</v>
      </c>
      <c r="AL142">
        <f t="shared" si="22"/>
        <v>0</v>
      </c>
      <c r="AM142">
        <f t="shared" si="23"/>
        <v>9</v>
      </c>
      <c r="AN142">
        <f t="shared" si="24"/>
        <v>36</v>
      </c>
      <c r="AO142">
        <f t="shared" si="25"/>
        <v>5</v>
      </c>
      <c r="AP142">
        <f t="shared" si="26"/>
        <v>50</v>
      </c>
    </row>
    <row r="143" spans="1:42" ht="15.75" hidden="1" customHeight="1" x14ac:dyDescent="0.3">
      <c r="A143" s="16"/>
      <c r="B143" s="55">
        <v>13</v>
      </c>
      <c r="C143" s="56" t="s">
        <v>161</v>
      </c>
      <c r="D143" s="55">
        <v>4</v>
      </c>
      <c r="E143" s="55" t="s">
        <v>20</v>
      </c>
      <c r="F143" s="18" t="s">
        <v>21</v>
      </c>
      <c r="G143" s="18" t="s">
        <v>21</v>
      </c>
      <c r="H143" s="18" t="s">
        <v>21</v>
      </c>
      <c r="I143" s="18" t="s">
        <v>21</v>
      </c>
      <c r="J143" s="43" t="s">
        <v>21</v>
      </c>
      <c r="K143" s="43" t="s">
        <v>21</v>
      </c>
      <c r="L143" s="43" t="s">
        <v>21</v>
      </c>
      <c r="M143" s="18" t="s">
        <v>23</v>
      </c>
      <c r="N143" s="18" t="s">
        <v>23</v>
      </c>
      <c r="O143" s="18" t="s">
        <v>21</v>
      </c>
      <c r="P143" s="18" t="s">
        <v>20</v>
      </c>
      <c r="Q143" s="18" t="s">
        <v>21</v>
      </c>
      <c r="R143" s="18" t="s">
        <v>21</v>
      </c>
      <c r="S143" s="18" t="s">
        <v>20</v>
      </c>
      <c r="T143" s="18" t="s">
        <v>21</v>
      </c>
      <c r="U143" s="18" t="s">
        <v>20</v>
      </c>
      <c r="V143" s="37" t="s">
        <v>21</v>
      </c>
      <c r="W143" s="37" t="s">
        <v>21</v>
      </c>
      <c r="X143" s="37" t="s">
        <v>21</v>
      </c>
      <c r="Y143" s="18" t="s">
        <v>21</v>
      </c>
      <c r="Z143" s="18" t="s">
        <v>21</v>
      </c>
      <c r="AA143" s="20" t="s">
        <v>21</v>
      </c>
      <c r="AB143" s="20" t="s">
        <v>21</v>
      </c>
      <c r="AC143" s="20" t="s">
        <v>23</v>
      </c>
      <c r="AD143" s="18" t="s">
        <v>23</v>
      </c>
      <c r="AE143" s="18" t="s">
        <v>21</v>
      </c>
      <c r="AG143">
        <f t="shared" si="18"/>
        <v>0</v>
      </c>
      <c r="AH143">
        <f t="shared" si="19"/>
        <v>3</v>
      </c>
      <c r="AI143">
        <f t="shared" si="20"/>
        <v>19</v>
      </c>
      <c r="AJ143">
        <f t="shared" si="21"/>
        <v>4</v>
      </c>
      <c r="AL143">
        <f t="shared" si="22"/>
        <v>0</v>
      </c>
      <c r="AM143">
        <f t="shared" si="23"/>
        <v>9</v>
      </c>
      <c r="AN143">
        <f t="shared" si="24"/>
        <v>38</v>
      </c>
      <c r="AO143">
        <f t="shared" si="25"/>
        <v>4</v>
      </c>
      <c r="AP143">
        <f t="shared" si="26"/>
        <v>51</v>
      </c>
    </row>
    <row r="144" spans="1:42" ht="15.75" hidden="1" customHeight="1" x14ac:dyDescent="0.3">
      <c r="A144" s="16"/>
      <c r="B144" s="55">
        <v>14</v>
      </c>
      <c r="C144" s="56" t="s">
        <v>162</v>
      </c>
      <c r="D144" s="55">
        <v>4</v>
      </c>
      <c r="E144" s="55" t="s">
        <v>20</v>
      </c>
      <c r="F144" s="18" t="s">
        <v>20</v>
      </c>
      <c r="G144" s="18" t="s">
        <v>20</v>
      </c>
      <c r="H144" s="18" t="s">
        <v>20</v>
      </c>
      <c r="I144" s="18" t="s">
        <v>20</v>
      </c>
      <c r="J144" s="43" t="s">
        <v>20</v>
      </c>
      <c r="K144" s="43" t="s">
        <v>20</v>
      </c>
      <c r="L144" s="43" t="s">
        <v>20</v>
      </c>
      <c r="M144" s="18" t="s">
        <v>20</v>
      </c>
      <c r="N144" s="18" t="s">
        <v>20</v>
      </c>
      <c r="O144" s="18" t="s">
        <v>20</v>
      </c>
      <c r="P144" s="18" t="s">
        <v>20</v>
      </c>
      <c r="Q144" s="18" t="s">
        <v>20</v>
      </c>
      <c r="R144" s="18" t="s">
        <v>21</v>
      </c>
      <c r="S144" s="18" t="s">
        <v>21</v>
      </c>
      <c r="T144" s="18" t="s">
        <v>20</v>
      </c>
      <c r="U144" s="18" t="s">
        <v>21</v>
      </c>
      <c r="V144" s="37" t="s">
        <v>20</v>
      </c>
      <c r="W144" s="37" t="s">
        <v>20</v>
      </c>
      <c r="X144" s="37" t="s">
        <v>20</v>
      </c>
      <c r="Y144" s="18" t="s">
        <v>20</v>
      </c>
      <c r="Z144" s="18" t="s">
        <v>20</v>
      </c>
      <c r="AA144" s="20" t="s">
        <v>21</v>
      </c>
      <c r="AB144" s="20" t="s">
        <v>20</v>
      </c>
      <c r="AC144" s="20" t="s">
        <v>20</v>
      </c>
      <c r="AD144" s="18" t="s">
        <v>20</v>
      </c>
      <c r="AE144" s="18" t="s">
        <v>21</v>
      </c>
      <c r="AG144">
        <f t="shared" si="18"/>
        <v>0</v>
      </c>
      <c r="AH144">
        <f t="shared" si="19"/>
        <v>21</v>
      </c>
      <c r="AI144">
        <f t="shared" si="20"/>
        <v>5</v>
      </c>
      <c r="AJ144">
        <f t="shared" si="21"/>
        <v>0</v>
      </c>
      <c r="AL144">
        <f t="shared" si="22"/>
        <v>0</v>
      </c>
      <c r="AM144">
        <f t="shared" si="23"/>
        <v>63</v>
      </c>
      <c r="AN144">
        <f t="shared" si="24"/>
        <v>10</v>
      </c>
      <c r="AO144">
        <f t="shared" si="25"/>
        <v>0</v>
      </c>
      <c r="AP144">
        <f t="shared" si="26"/>
        <v>73</v>
      </c>
    </row>
    <row r="145" spans="1:42" ht="15.75" hidden="1" customHeight="1" x14ac:dyDescent="0.3">
      <c r="A145" s="16"/>
      <c r="B145" s="55">
        <v>15</v>
      </c>
      <c r="C145" s="56" t="s">
        <v>163</v>
      </c>
      <c r="D145" s="55">
        <v>4</v>
      </c>
      <c r="E145" s="55" t="s">
        <v>20</v>
      </c>
      <c r="F145" s="18" t="s">
        <v>20</v>
      </c>
      <c r="G145" s="18" t="s">
        <v>21</v>
      </c>
      <c r="H145" s="18" t="s">
        <v>21</v>
      </c>
      <c r="I145" s="18" t="s">
        <v>20</v>
      </c>
      <c r="J145" s="43" t="s">
        <v>20</v>
      </c>
      <c r="K145" s="43" t="s">
        <v>20</v>
      </c>
      <c r="L145" s="43" t="s">
        <v>20</v>
      </c>
      <c r="M145" s="18" t="s">
        <v>21</v>
      </c>
      <c r="N145" s="18" t="s">
        <v>20</v>
      </c>
      <c r="O145" s="18" t="s">
        <v>20</v>
      </c>
      <c r="P145" s="18" t="s">
        <v>20</v>
      </c>
      <c r="Q145" s="18" t="s">
        <v>20</v>
      </c>
      <c r="R145" s="18" t="s">
        <v>20</v>
      </c>
      <c r="S145" s="18" t="s">
        <v>20</v>
      </c>
      <c r="T145" s="18" t="s">
        <v>20</v>
      </c>
      <c r="U145" s="18" t="s">
        <v>21</v>
      </c>
      <c r="V145" s="37" t="s">
        <v>20</v>
      </c>
      <c r="W145" s="37" t="s">
        <v>20</v>
      </c>
      <c r="X145" s="37" t="s">
        <v>20</v>
      </c>
      <c r="Y145" s="18" t="s">
        <v>20</v>
      </c>
      <c r="Z145" s="18" t="s">
        <v>21</v>
      </c>
      <c r="AA145" s="20" t="s">
        <v>21</v>
      </c>
      <c r="AB145" s="20" t="s">
        <v>20</v>
      </c>
      <c r="AC145" s="20" t="s">
        <v>20</v>
      </c>
      <c r="AD145" s="18" t="s">
        <v>20</v>
      </c>
      <c r="AE145" s="18" t="s">
        <v>21</v>
      </c>
      <c r="AG145">
        <f t="shared" si="18"/>
        <v>0</v>
      </c>
      <c r="AH145">
        <f t="shared" si="19"/>
        <v>19</v>
      </c>
      <c r="AI145">
        <f t="shared" si="20"/>
        <v>7</v>
      </c>
      <c r="AJ145">
        <f t="shared" si="21"/>
        <v>0</v>
      </c>
      <c r="AL145">
        <f t="shared" si="22"/>
        <v>0</v>
      </c>
      <c r="AM145">
        <f t="shared" si="23"/>
        <v>57</v>
      </c>
      <c r="AN145">
        <f t="shared" si="24"/>
        <v>14</v>
      </c>
      <c r="AO145">
        <f t="shared" si="25"/>
        <v>0</v>
      </c>
      <c r="AP145">
        <f t="shared" si="26"/>
        <v>71</v>
      </c>
    </row>
    <row r="146" spans="1:42" ht="15.75" hidden="1" customHeight="1" x14ac:dyDescent="0.3">
      <c r="A146" s="16"/>
      <c r="B146" s="55">
        <v>16</v>
      </c>
      <c r="C146" s="56" t="s">
        <v>164</v>
      </c>
      <c r="D146" s="55">
        <v>4</v>
      </c>
      <c r="E146" s="55" t="s">
        <v>20</v>
      </c>
      <c r="F146" s="18" t="s">
        <v>23</v>
      </c>
      <c r="G146" s="18" t="s">
        <v>23</v>
      </c>
      <c r="H146" s="18" t="s">
        <v>23</v>
      </c>
      <c r="I146" s="18" t="s">
        <v>21</v>
      </c>
      <c r="J146" s="43" t="s">
        <v>21</v>
      </c>
      <c r="K146" s="43" t="s">
        <v>21</v>
      </c>
      <c r="L146" s="43" t="s">
        <v>21</v>
      </c>
      <c r="M146" s="18" t="s">
        <v>21</v>
      </c>
      <c r="N146" s="18" t="s">
        <v>20</v>
      </c>
      <c r="O146" s="18" t="s">
        <v>21</v>
      </c>
      <c r="P146" s="18" t="s">
        <v>20</v>
      </c>
      <c r="Q146" s="18" t="s">
        <v>20</v>
      </c>
      <c r="R146" s="18" t="s">
        <v>20</v>
      </c>
      <c r="S146" s="18" t="s">
        <v>21</v>
      </c>
      <c r="T146" s="18" t="s">
        <v>21</v>
      </c>
      <c r="U146" s="18" t="s">
        <v>21</v>
      </c>
      <c r="V146" s="37" t="s">
        <v>20</v>
      </c>
      <c r="W146" s="37" t="s">
        <v>20</v>
      </c>
      <c r="X146" s="37" t="s">
        <v>20</v>
      </c>
      <c r="Y146" s="18" t="s">
        <v>21</v>
      </c>
      <c r="Z146" s="18" t="s">
        <v>21</v>
      </c>
      <c r="AA146" s="20" t="s">
        <v>21</v>
      </c>
      <c r="AB146" s="20" t="s">
        <v>21</v>
      </c>
      <c r="AC146" s="20" t="s">
        <v>21</v>
      </c>
      <c r="AD146" s="18" t="s">
        <v>23</v>
      </c>
      <c r="AE146" s="18" t="s">
        <v>21</v>
      </c>
      <c r="AG146">
        <f t="shared" si="18"/>
        <v>0</v>
      </c>
      <c r="AH146">
        <f t="shared" si="19"/>
        <v>7</v>
      </c>
      <c r="AI146">
        <f t="shared" si="20"/>
        <v>15</v>
      </c>
      <c r="AJ146">
        <f t="shared" si="21"/>
        <v>4</v>
      </c>
      <c r="AL146">
        <f t="shared" si="22"/>
        <v>0</v>
      </c>
      <c r="AM146">
        <f t="shared" si="23"/>
        <v>21</v>
      </c>
      <c r="AN146">
        <f t="shared" si="24"/>
        <v>30</v>
      </c>
      <c r="AO146">
        <f t="shared" si="25"/>
        <v>4</v>
      </c>
      <c r="AP146">
        <f t="shared" si="26"/>
        <v>55</v>
      </c>
    </row>
    <row r="147" spans="1:42" ht="15.75" hidden="1" customHeight="1" x14ac:dyDescent="0.3">
      <c r="A147" s="16"/>
      <c r="B147" s="55">
        <v>17</v>
      </c>
      <c r="C147" s="56" t="s">
        <v>165</v>
      </c>
      <c r="D147" s="55">
        <v>4</v>
      </c>
      <c r="E147" s="55" t="s">
        <v>20</v>
      </c>
      <c r="F147" s="18" t="s">
        <v>23</v>
      </c>
      <c r="G147" s="18" t="s">
        <v>21</v>
      </c>
      <c r="H147" s="18" t="s">
        <v>21</v>
      </c>
      <c r="I147" s="18" t="s">
        <v>21</v>
      </c>
      <c r="J147" s="43" t="s">
        <v>20</v>
      </c>
      <c r="K147" s="43" t="s">
        <v>20</v>
      </c>
      <c r="L147" s="43" t="s">
        <v>21</v>
      </c>
      <c r="M147" s="18" t="s">
        <v>21</v>
      </c>
      <c r="N147" s="18" t="s">
        <v>21</v>
      </c>
      <c r="O147" s="18" t="s">
        <v>20</v>
      </c>
      <c r="P147" s="18" t="s">
        <v>21</v>
      </c>
      <c r="Q147" s="18" t="s">
        <v>21</v>
      </c>
      <c r="R147" s="18" t="s">
        <v>21</v>
      </c>
      <c r="S147" s="18" t="s">
        <v>20</v>
      </c>
      <c r="T147" s="18" t="s">
        <v>20</v>
      </c>
      <c r="U147" s="18" t="s">
        <v>21</v>
      </c>
      <c r="V147" s="37" t="s">
        <v>21</v>
      </c>
      <c r="W147" s="37" t="s">
        <v>21</v>
      </c>
      <c r="X147" s="37" t="s">
        <v>21</v>
      </c>
      <c r="Y147" s="18" t="s">
        <v>20</v>
      </c>
      <c r="Z147" s="18" t="s">
        <v>20</v>
      </c>
      <c r="AA147" s="20" t="s">
        <v>21</v>
      </c>
      <c r="AB147" s="20" t="s">
        <v>21</v>
      </c>
      <c r="AC147" s="20" t="s">
        <v>20</v>
      </c>
      <c r="AD147" s="18" t="s">
        <v>20</v>
      </c>
      <c r="AE147" s="18" t="s">
        <v>21</v>
      </c>
      <c r="AG147">
        <f t="shared" si="18"/>
        <v>0</v>
      </c>
      <c r="AH147">
        <f t="shared" si="19"/>
        <v>9</v>
      </c>
      <c r="AI147">
        <f t="shared" si="20"/>
        <v>16</v>
      </c>
      <c r="AJ147">
        <f t="shared" si="21"/>
        <v>1</v>
      </c>
      <c r="AL147">
        <f t="shared" si="22"/>
        <v>0</v>
      </c>
      <c r="AM147">
        <f t="shared" si="23"/>
        <v>27</v>
      </c>
      <c r="AN147">
        <f t="shared" si="24"/>
        <v>32</v>
      </c>
      <c r="AO147">
        <f t="shared" si="25"/>
        <v>1</v>
      </c>
      <c r="AP147">
        <f t="shared" si="26"/>
        <v>60</v>
      </c>
    </row>
    <row r="148" spans="1:42" ht="15.75" hidden="1" customHeight="1" x14ac:dyDescent="0.3">
      <c r="A148" s="16"/>
      <c r="B148" s="55">
        <v>18</v>
      </c>
      <c r="C148" s="56" t="s">
        <v>166</v>
      </c>
      <c r="D148" s="55">
        <v>4</v>
      </c>
      <c r="E148" s="55" t="s">
        <v>20</v>
      </c>
      <c r="F148" s="18" t="s">
        <v>23</v>
      </c>
      <c r="G148" s="18" t="s">
        <v>23</v>
      </c>
      <c r="H148" s="18" t="s">
        <v>23</v>
      </c>
      <c r="I148" s="18" t="s">
        <v>23</v>
      </c>
      <c r="J148" s="43" t="s">
        <v>21</v>
      </c>
      <c r="K148" s="43" t="s">
        <v>21</v>
      </c>
      <c r="L148" s="43" t="s">
        <v>21</v>
      </c>
      <c r="M148" s="18" t="s">
        <v>21</v>
      </c>
      <c r="N148" s="18" t="s">
        <v>21</v>
      </c>
      <c r="O148" s="18" t="s">
        <v>21</v>
      </c>
      <c r="P148" s="18" t="s">
        <v>21</v>
      </c>
      <c r="Q148" s="18" t="s">
        <v>21</v>
      </c>
      <c r="R148" s="18" t="s">
        <v>21</v>
      </c>
      <c r="S148" s="18" t="s">
        <v>21</v>
      </c>
      <c r="T148" s="18" t="s">
        <v>20</v>
      </c>
      <c r="U148" s="18" t="s">
        <v>21</v>
      </c>
      <c r="V148" s="37" t="s">
        <v>20</v>
      </c>
      <c r="W148" s="37" t="s">
        <v>20</v>
      </c>
      <c r="X148" s="37" t="s">
        <v>20</v>
      </c>
      <c r="Y148" s="18" t="s">
        <v>20</v>
      </c>
      <c r="Z148" s="18" t="s">
        <v>21</v>
      </c>
      <c r="AA148" s="20" t="s">
        <v>21</v>
      </c>
      <c r="AB148" s="20" t="s">
        <v>20</v>
      </c>
      <c r="AC148" s="20" t="s">
        <v>21</v>
      </c>
      <c r="AD148" s="18" t="s">
        <v>21</v>
      </c>
      <c r="AE148" s="18" t="s">
        <v>21</v>
      </c>
      <c r="AG148">
        <f t="shared" si="18"/>
        <v>0</v>
      </c>
      <c r="AH148">
        <f t="shared" si="19"/>
        <v>6</v>
      </c>
      <c r="AI148">
        <f t="shared" si="20"/>
        <v>16</v>
      </c>
      <c r="AJ148">
        <f t="shared" si="21"/>
        <v>4</v>
      </c>
      <c r="AL148">
        <f t="shared" si="22"/>
        <v>0</v>
      </c>
      <c r="AM148">
        <f t="shared" si="23"/>
        <v>18</v>
      </c>
      <c r="AN148">
        <f t="shared" si="24"/>
        <v>32</v>
      </c>
      <c r="AO148">
        <f t="shared" si="25"/>
        <v>4</v>
      </c>
      <c r="AP148">
        <f t="shared" si="26"/>
        <v>54</v>
      </c>
    </row>
    <row r="149" spans="1:42" ht="15.75" hidden="1" customHeight="1" x14ac:dyDescent="0.3">
      <c r="A149" s="16"/>
      <c r="B149" s="55">
        <v>19</v>
      </c>
      <c r="C149" s="56" t="s">
        <v>167</v>
      </c>
      <c r="D149" s="55">
        <v>4</v>
      </c>
      <c r="E149" s="55" t="s">
        <v>20</v>
      </c>
      <c r="F149" s="18" t="s">
        <v>39</v>
      </c>
      <c r="G149" s="18" t="s">
        <v>39</v>
      </c>
      <c r="H149" s="18" t="s">
        <v>39</v>
      </c>
      <c r="I149" s="18" t="s">
        <v>39</v>
      </c>
      <c r="J149" s="43" t="s">
        <v>20</v>
      </c>
      <c r="K149" s="43" t="s">
        <v>20</v>
      </c>
      <c r="L149" s="43" t="s">
        <v>20</v>
      </c>
      <c r="M149" s="18" t="s">
        <v>20</v>
      </c>
      <c r="N149" s="18" t="s">
        <v>20</v>
      </c>
      <c r="O149" s="18" t="s">
        <v>20</v>
      </c>
      <c r="P149" s="18" t="s">
        <v>20</v>
      </c>
      <c r="Q149" s="18" t="s">
        <v>21</v>
      </c>
      <c r="R149" s="18" t="s">
        <v>20</v>
      </c>
      <c r="S149" s="18" t="s">
        <v>20</v>
      </c>
      <c r="T149" s="18" t="s">
        <v>20</v>
      </c>
      <c r="U149" s="18" t="s">
        <v>20</v>
      </c>
      <c r="V149" s="37" t="s">
        <v>20</v>
      </c>
      <c r="W149" s="37" t="s">
        <v>20</v>
      </c>
      <c r="X149" s="37" t="s">
        <v>20</v>
      </c>
      <c r="Y149" s="18" t="s">
        <v>20</v>
      </c>
      <c r="Z149" s="18" t="s">
        <v>20</v>
      </c>
      <c r="AA149" s="20" t="s">
        <v>20</v>
      </c>
      <c r="AB149" s="20" t="s">
        <v>20</v>
      </c>
      <c r="AC149" s="20" t="s">
        <v>20</v>
      </c>
      <c r="AD149" s="18" t="s">
        <v>20</v>
      </c>
      <c r="AE149" s="18" t="s">
        <v>21</v>
      </c>
      <c r="AG149">
        <f t="shared" si="18"/>
        <v>4</v>
      </c>
      <c r="AH149">
        <f t="shared" si="19"/>
        <v>20</v>
      </c>
      <c r="AI149">
        <f t="shared" si="20"/>
        <v>2</v>
      </c>
      <c r="AJ149">
        <f t="shared" si="21"/>
        <v>0</v>
      </c>
      <c r="AL149">
        <f t="shared" si="22"/>
        <v>16</v>
      </c>
      <c r="AM149">
        <f t="shared" si="23"/>
        <v>60</v>
      </c>
      <c r="AN149">
        <f t="shared" si="24"/>
        <v>4</v>
      </c>
      <c r="AO149">
        <f t="shared" si="25"/>
        <v>0</v>
      </c>
      <c r="AP149">
        <f t="shared" si="26"/>
        <v>80</v>
      </c>
    </row>
    <row r="150" spans="1:42" ht="15.75" hidden="1" customHeight="1" x14ac:dyDescent="0.3">
      <c r="A150" s="16"/>
      <c r="B150" s="55">
        <v>20</v>
      </c>
      <c r="C150" s="56" t="s">
        <v>168</v>
      </c>
      <c r="D150" s="55">
        <v>4</v>
      </c>
      <c r="E150" s="55" t="s">
        <v>20</v>
      </c>
      <c r="F150" s="18" t="s">
        <v>21</v>
      </c>
      <c r="G150" s="18" t="s">
        <v>23</v>
      </c>
      <c r="H150" s="18" t="s">
        <v>21</v>
      </c>
      <c r="I150" s="18" t="s">
        <v>21</v>
      </c>
      <c r="J150" s="43" t="s">
        <v>20</v>
      </c>
      <c r="K150" s="43" t="s">
        <v>21</v>
      </c>
      <c r="L150" s="43" t="s">
        <v>21</v>
      </c>
      <c r="M150" s="18" t="s">
        <v>21</v>
      </c>
      <c r="N150" s="18" t="s">
        <v>20</v>
      </c>
      <c r="O150" s="18" t="s">
        <v>21</v>
      </c>
      <c r="P150" s="18" t="s">
        <v>20</v>
      </c>
      <c r="Q150" s="18" t="s">
        <v>21</v>
      </c>
      <c r="R150" s="18" t="s">
        <v>20</v>
      </c>
      <c r="S150" s="18" t="s">
        <v>20</v>
      </c>
      <c r="T150" s="18" t="s">
        <v>20</v>
      </c>
      <c r="U150" s="18" t="s">
        <v>20</v>
      </c>
      <c r="V150" s="37" t="s">
        <v>20</v>
      </c>
      <c r="W150" s="37" t="s">
        <v>20</v>
      </c>
      <c r="X150" s="37" t="s">
        <v>20</v>
      </c>
      <c r="Y150" s="18" t="s">
        <v>21</v>
      </c>
      <c r="Z150" s="18" t="s">
        <v>21</v>
      </c>
      <c r="AA150" s="20" t="s">
        <v>21</v>
      </c>
      <c r="AB150" s="20" t="s">
        <v>21</v>
      </c>
      <c r="AC150" s="20" t="s">
        <v>21</v>
      </c>
      <c r="AD150" s="18" t="s">
        <v>20</v>
      </c>
      <c r="AE150" s="18" t="s">
        <v>21</v>
      </c>
      <c r="AG150">
        <f t="shared" si="18"/>
        <v>0</v>
      </c>
      <c r="AH150">
        <f t="shared" si="19"/>
        <v>11</v>
      </c>
      <c r="AI150">
        <f t="shared" si="20"/>
        <v>14</v>
      </c>
      <c r="AJ150">
        <f t="shared" si="21"/>
        <v>1</v>
      </c>
      <c r="AL150">
        <f t="shared" si="22"/>
        <v>0</v>
      </c>
      <c r="AM150">
        <f t="shared" si="23"/>
        <v>33</v>
      </c>
      <c r="AN150">
        <f t="shared" si="24"/>
        <v>28</v>
      </c>
      <c r="AO150">
        <f t="shared" si="25"/>
        <v>1</v>
      </c>
      <c r="AP150">
        <f t="shared" si="26"/>
        <v>62</v>
      </c>
    </row>
    <row r="151" spans="1:42" ht="15.75" hidden="1" customHeight="1" x14ac:dyDescent="0.3">
      <c r="A151" s="16"/>
      <c r="B151" s="55">
        <v>21</v>
      </c>
      <c r="C151" s="56" t="s">
        <v>169</v>
      </c>
      <c r="D151" s="55">
        <v>4</v>
      </c>
      <c r="E151" s="55" t="s">
        <v>20</v>
      </c>
      <c r="F151" s="18" t="s">
        <v>21</v>
      </c>
      <c r="G151" s="18" t="s">
        <v>21</v>
      </c>
      <c r="H151" s="18" t="s">
        <v>20</v>
      </c>
      <c r="I151" s="18" t="s">
        <v>20</v>
      </c>
      <c r="J151" s="43" t="s">
        <v>20</v>
      </c>
      <c r="K151" s="43" t="s">
        <v>20</v>
      </c>
      <c r="L151" s="43" t="s">
        <v>21</v>
      </c>
      <c r="M151" s="18" t="s">
        <v>21</v>
      </c>
      <c r="N151" s="18" t="s">
        <v>20</v>
      </c>
      <c r="O151" s="18" t="s">
        <v>20</v>
      </c>
      <c r="P151" s="18" t="s">
        <v>20</v>
      </c>
      <c r="Q151" s="18" t="s">
        <v>20</v>
      </c>
      <c r="R151" s="18" t="s">
        <v>20</v>
      </c>
      <c r="S151" s="18" t="s">
        <v>20</v>
      </c>
      <c r="T151" s="18" t="s">
        <v>20</v>
      </c>
      <c r="U151" s="18" t="s">
        <v>20</v>
      </c>
      <c r="V151" s="37" t="s">
        <v>20</v>
      </c>
      <c r="W151" s="37" t="s">
        <v>20</v>
      </c>
      <c r="X151" s="37" t="s">
        <v>20</v>
      </c>
      <c r="Y151" s="18" t="s">
        <v>21</v>
      </c>
      <c r="Z151" s="18" t="s">
        <v>21</v>
      </c>
      <c r="AA151" s="20" t="s">
        <v>20</v>
      </c>
      <c r="AB151" s="20" t="s">
        <v>20</v>
      </c>
      <c r="AC151" s="20" t="s">
        <v>21</v>
      </c>
      <c r="AD151" s="18" t="s">
        <v>21</v>
      </c>
      <c r="AE151" s="18" t="s">
        <v>21</v>
      </c>
      <c r="AG151">
        <f t="shared" si="18"/>
        <v>0</v>
      </c>
      <c r="AH151">
        <f t="shared" si="19"/>
        <v>17</v>
      </c>
      <c r="AI151">
        <f t="shared" si="20"/>
        <v>9</v>
      </c>
      <c r="AJ151">
        <f t="shared" si="21"/>
        <v>0</v>
      </c>
      <c r="AL151">
        <f t="shared" si="22"/>
        <v>0</v>
      </c>
      <c r="AM151">
        <f t="shared" si="23"/>
        <v>51</v>
      </c>
      <c r="AN151">
        <f t="shared" si="24"/>
        <v>18</v>
      </c>
      <c r="AO151">
        <f t="shared" si="25"/>
        <v>0</v>
      </c>
      <c r="AP151">
        <f t="shared" si="26"/>
        <v>69</v>
      </c>
    </row>
    <row r="152" spans="1:42" ht="15.75" hidden="1" customHeight="1" x14ac:dyDescent="0.3">
      <c r="A152" s="16"/>
      <c r="B152" s="55">
        <v>22</v>
      </c>
      <c r="C152" s="56" t="s">
        <v>170</v>
      </c>
      <c r="D152" s="55">
        <v>4</v>
      </c>
      <c r="E152" s="55" t="s">
        <v>20</v>
      </c>
      <c r="F152" s="18" t="s">
        <v>20</v>
      </c>
      <c r="G152" s="18" t="s">
        <v>20</v>
      </c>
      <c r="H152" s="18" t="s">
        <v>20</v>
      </c>
      <c r="I152" s="18" t="s">
        <v>20</v>
      </c>
      <c r="J152" s="43" t="s">
        <v>20</v>
      </c>
      <c r="K152" s="43" t="s">
        <v>20</v>
      </c>
      <c r="L152" s="43" t="s">
        <v>21</v>
      </c>
      <c r="M152" s="18" t="s">
        <v>21</v>
      </c>
      <c r="N152" s="18" t="s">
        <v>20</v>
      </c>
      <c r="O152" s="18" t="s">
        <v>20</v>
      </c>
      <c r="P152" s="18" t="s">
        <v>21</v>
      </c>
      <c r="Q152" s="18" t="s">
        <v>21</v>
      </c>
      <c r="R152" s="18" t="s">
        <v>21</v>
      </c>
      <c r="S152" s="18" t="s">
        <v>20</v>
      </c>
      <c r="T152" s="18" t="s">
        <v>20</v>
      </c>
      <c r="U152" s="18" t="s">
        <v>21</v>
      </c>
      <c r="V152" s="37" t="s">
        <v>20</v>
      </c>
      <c r="W152" s="37" t="s">
        <v>20</v>
      </c>
      <c r="X152" s="37" t="s">
        <v>20</v>
      </c>
      <c r="Y152" s="18" t="s">
        <v>21</v>
      </c>
      <c r="Z152" s="18" t="s">
        <v>20</v>
      </c>
      <c r="AA152" s="20" t="s">
        <v>21</v>
      </c>
      <c r="AB152" s="20" t="s">
        <v>21</v>
      </c>
      <c r="AC152" s="20" t="s">
        <v>21</v>
      </c>
      <c r="AD152" s="18" t="s">
        <v>21</v>
      </c>
      <c r="AE152" s="18" t="s">
        <v>21</v>
      </c>
      <c r="AG152">
        <f t="shared" si="18"/>
        <v>0</v>
      </c>
      <c r="AH152">
        <f t="shared" si="19"/>
        <v>14</v>
      </c>
      <c r="AI152">
        <f t="shared" si="20"/>
        <v>12</v>
      </c>
      <c r="AJ152">
        <f t="shared" si="21"/>
        <v>0</v>
      </c>
      <c r="AL152">
        <f t="shared" si="22"/>
        <v>0</v>
      </c>
      <c r="AM152">
        <f t="shared" si="23"/>
        <v>42</v>
      </c>
      <c r="AN152">
        <f t="shared" si="24"/>
        <v>24</v>
      </c>
      <c r="AO152">
        <f t="shared" si="25"/>
        <v>0</v>
      </c>
      <c r="AP152">
        <f t="shared" si="26"/>
        <v>66</v>
      </c>
    </row>
    <row r="153" spans="1:42" ht="15.75" hidden="1" customHeight="1" thickBot="1" x14ac:dyDescent="0.35">
      <c r="A153" s="16"/>
      <c r="B153" s="57">
        <v>23</v>
      </c>
      <c r="C153" s="58" t="s">
        <v>171</v>
      </c>
      <c r="D153" s="57">
        <v>4</v>
      </c>
      <c r="E153" s="57" t="s">
        <v>20</v>
      </c>
      <c r="F153" s="21" t="s">
        <v>20</v>
      </c>
      <c r="G153" s="21" t="s">
        <v>20</v>
      </c>
      <c r="H153" s="21" t="s">
        <v>20</v>
      </c>
      <c r="I153" s="21" t="s">
        <v>20</v>
      </c>
      <c r="J153" s="45" t="s">
        <v>20</v>
      </c>
      <c r="K153" s="45" t="s">
        <v>20</v>
      </c>
      <c r="L153" s="45" t="s">
        <v>20</v>
      </c>
      <c r="M153" s="21" t="s">
        <v>21</v>
      </c>
      <c r="N153" s="21" t="s">
        <v>20</v>
      </c>
      <c r="O153" s="21" t="s">
        <v>20</v>
      </c>
      <c r="P153" s="21" t="s">
        <v>21</v>
      </c>
      <c r="Q153" s="21" t="s">
        <v>21</v>
      </c>
      <c r="R153" s="21" t="s">
        <v>21</v>
      </c>
      <c r="S153" s="21" t="s">
        <v>20</v>
      </c>
      <c r="T153" s="21" t="s">
        <v>20</v>
      </c>
      <c r="U153" s="21" t="s">
        <v>20</v>
      </c>
      <c r="V153" s="48" t="s">
        <v>20</v>
      </c>
      <c r="W153" s="38" t="s">
        <v>20</v>
      </c>
      <c r="X153" s="48" t="s">
        <v>20</v>
      </c>
      <c r="Y153" s="21" t="s">
        <v>21</v>
      </c>
      <c r="Z153" s="21" t="s">
        <v>21</v>
      </c>
      <c r="AA153" s="23" t="s">
        <v>21</v>
      </c>
      <c r="AB153" s="23" t="s">
        <v>20</v>
      </c>
      <c r="AC153" s="23" t="s">
        <v>20</v>
      </c>
      <c r="AD153" s="21" t="s">
        <v>20</v>
      </c>
      <c r="AE153" s="21" t="s">
        <v>21</v>
      </c>
      <c r="AG153">
        <f t="shared" si="18"/>
        <v>0</v>
      </c>
      <c r="AH153">
        <f t="shared" si="19"/>
        <v>18</v>
      </c>
      <c r="AI153">
        <f t="shared" si="20"/>
        <v>8</v>
      </c>
      <c r="AJ153">
        <f t="shared" si="21"/>
        <v>0</v>
      </c>
      <c r="AL153">
        <f t="shared" si="22"/>
        <v>0</v>
      </c>
      <c r="AM153">
        <f t="shared" si="23"/>
        <v>54</v>
      </c>
      <c r="AN153">
        <f t="shared" si="24"/>
        <v>16</v>
      </c>
      <c r="AO153">
        <f t="shared" si="25"/>
        <v>0</v>
      </c>
      <c r="AP153">
        <f t="shared" si="26"/>
        <v>70</v>
      </c>
    </row>
    <row r="154" spans="1:42" ht="15.75" hidden="1" customHeight="1" x14ac:dyDescent="0.3">
      <c r="A154" s="16"/>
      <c r="B154" s="59">
        <v>1</v>
      </c>
      <c r="C154" s="60" t="s">
        <v>172</v>
      </c>
      <c r="D154" s="59">
        <v>4</v>
      </c>
      <c r="E154" s="59" t="s">
        <v>21</v>
      </c>
      <c r="F154" s="24" t="s">
        <v>23</v>
      </c>
      <c r="G154" s="24" t="s">
        <v>21</v>
      </c>
      <c r="H154" s="24" t="s">
        <v>23</v>
      </c>
      <c r="I154" s="24" t="s">
        <v>23</v>
      </c>
      <c r="J154" s="42" t="s">
        <v>20</v>
      </c>
      <c r="K154" s="42" t="s">
        <v>21</v>
      </c>
      <c r="L154" s="42" t="s">
        <v>21</v>
      </c>
      <c r="M154" s="24" t="s">
        <v>21</v>
      </c>
      <c r="N154" s="24" t="s">
        <v>20</v>
      </c>
      <c r="O154" s="24" t="s">
        <v>20</v>
      </c>
      <c r="P154" s="24" t="s">
        <v>20</v>
      </c>
      <c r="Q154" s="24" t="s">
        <v>21</v>
      </c>
      <c r="R154" s="24" t="s">
        <v>21</v>
      </c>
      <c r="S154" s="24" t="s">
        <v>21</v>
      </c>
      <c r="T154" s="24" t="s">
        <v>20</v>
      </c>
      <c r="U154" s="24" t="s">
        <v>20</v>
      </c>
      <c r="V154" s="39" t="s">
        <v>20</v>
      </c>
      <c r="W154" s="39" t="s">
        <v>20</v>
      </c>
      <c r="X154" s="39" t="s">
        <v>20</v>
      </c>
      <c r="Y154" s="24" t="s">
        <v>23</v>
      </c>
      <c r="Z154" s="24" t="s">
        <v>21</v>
      </c>
      <c r="AA154" s="27" t="s">
        <v>21</v>
      </c>
      <c r="AB154" s="27" t="s">
        <v>20</v>
      </c>
      <c r="AC154" s="27" t="s">
        <v>21</v>
      </c>
      <c r="AD154" s="24" t="s">
        <v>23</v>
      </c>
      <c r="AE154" s="24" t="s">
        <v>21</v>
      </c>
      <c r="AG154">
        <f t="shared" si="18"/>
        <v>0</v>
      </c>
      <c r="AH154">
        <f t="shared" si="19"/>
        <v>10</v>
      </c>
      <c r="AI154">
        <f t="shared" si="20"/>
        <v>11</v>
      </c>
      <c r="AJ154">
        <f t="shared" si="21"/>
        <v>5</v>
      </c>
      <c r="AL154">
        <f t="shared" si="22"/>
        <v>0</v>
      </c>
      <c r="AM154">
        <f t="shared" si="23"/>
        <v>30</v>
      </c>
      <c r="AN154">
        <f t="shared" si="24"/>
        <v>22</v>
      </c>
      <c r="AO154">
        <f t="shared" si="25"/>
        <v>5</v>
      </c>
      <c r="AP154">
        <f t="shared" si="26"/>
        <v>57</v>
      </c>
    </row>
    <row r="155" spans="1:42" ht="15.75" hidden="1" customHeight="1" x14ac:dyDescent="0.3">
      <c r="A155" s="16"/>
      <c r="B155" s="55">
        <v>2</v>
      </c>
      <c r="C155" s="56" t="s">
        <v>173</v>
      </c>
      <c r="D155" s="55">
        <v>4</v>
      </c>
      <c r="E155" s="55" t="s">
        <v>21</v>
      </c>
      <c r="F155" s="18" t="s">
        <v>21</v>
      </c>
      <c r="G155" s="18" t="s">
        <v>21</v>
      </c>
      <c r="H155" s="18" t="s">
        <v>21</v>
      </c>
      <c r="I155" s="18" t="s">
        <v>21</v>
      </c>
      <c r="J155" s="43" t="s">
        <v>21</v>
      </c>
      <c r="K155" s="43" t="s">
        <v>21</v>
      </c>
      <c r="L155" s="43" t="s">
        <v>21</v>
      </c>
      <c r="M155" s="18" t="s">
        <v>21</v>
      </c>
      <c r="N155" s="18" t="s">
        <v>20</v>
      </c>
      <c r="O155" s="18" t="s">
        <v>20</v>
      </c>
      <c r="P155" s="18" t="s">
        <v>21</v>
      </c>
      <c r="Q155" s="18" t="s">
        <v>21</v>
      </c>
      <c r="R155" s="18" t="s">
        <v>21</v>
      </c>
      <c r="S155" s="18" t="s">
        <v>20</v>
      </c>
      <c r="T155" s="18" t="s">
        <v>21</v>
      </c>
      <c r="U155" s="18" t="s">
        <v>21</v>
      </c>
      <c r="V155" s="37" t="s">
        <v>21</v>
      </c>
      <c r="W155" s="37" t="s">
        <v>20</v>
      </c>
      <c r="X155" s="37" t="s">
        <v>21</v>
      </c>
      <c r="Y155" s="18" t="s">
        <v>20</v>
      </c>
      <c r="Z155" s="18" t="s">
        <v>20</v>
      </c>
      <c r="AA155" s="20" t="s">
        <v>20</v>
      </c>
      <c r="AB155" s="20" t="s">
        <v>20</v>
      </c>
      <c r="AC155" s="20" t="s">
        <v>20</v>
      </c>
      <c r="AD155" s="18" t="s">
        <v>20</v>
      </c>
      <c r="AE155" s="18" t="s">
        <v>21</v>
      </c>
      <c r="AG155">
        <f t="shared" si="18"/>
        <v>0</v>
      </c>
      <c r="AH155">
        <f t="shared" si="19"/>
        <v>10</v>
      </c>
      <c r="AI155">
        <f t="shared" si="20"/>
        <v>16</v>
      </c>
      <c r="AJ155">
        <f t="shared" si="21"/>
        <v>0</v>
      </c>
      <c r="AL155">
        <f t="shared" si="22"/>
        <v>0</v>
      </c>
      <c r="AM155">
        <f t="shared" si="23"/>
        <v>30</v>
      </c>
      <c r="AN155">
        <f t="shared" si="24"/>
        <v>32</v>
      </c>
      <c r="AO155">
        <f t="shared" si="25"/>
        <v>0</v>
      </c>
      <c r="AP155">
        <f t="shared" si="26"/>
        <v>62</v>
      </c>
    </row>
    <row r="156" spans="1:42" ht="15.75" hidden="1" customHeight="1" x14ac:dyDescent="0.3">
      <c r="A156" s="16"/>
      <c r="B156" s="55">
        <v>3</v>
      </c>
      <c r="C156" s="56" t="s">
        <v>174</v>
      </c>
      <c r="D156" s="55">
        <v>4</v>
      </c>
      <c r="E156" s="55" t="s">
        <v>21</v>
      </c>
      <c r="F156" s="18" t="s">
        <v>39</v>
      </c>
      <c r="G156" s="18" t="s">
        <v>20</v>
      </c>
      <c r="H156" s="18" t="s">
        <v>39</v>
      </c>
      <c r="I156" s="18" t="s">
        <v>20</v>
      </c>
      <c r="J156" s="43" t="s">
        <v>20</v>
      </c>
      <c r="K156" s="43" t="s">
        <v>20</v>
      </c>
      <c r="L156" s="43" t="s">
        <v>20</v>
      </c>
      <c r="M156" s="18" t="s">
        <v>20</v>
      </c>
      <c r="N156" s="18" t="s">
        <v>20</v>
      </c>
      <c r="O156" s="18" t="s">
        <v>20</v>
      </c>
      <c r="P156" s="18" t="s">
        <v>20</v>
      </c>
      <c r="Q156" s="18" t="s">
        <v>20</v>
      </c>
      <c r="R156" s="18" t="s">
        <v>20</v>
      </c>
      <c r="S156" s="18" t="s">
        <v>20</v>
      </c>
      <c r="T156" s="18" t="s">
        <v>20</v>
      </c>
      <c r="U156" s="18" t="s">
        <v>20</v>
      </c>
      <c r="V156" s="37" t="s">
        <v>20</v>
      </c>
      <c r="W156" s="37" t="s">
        <v>20</v>
      </c>
      <c r="X156" s="37" t="s">
        <v>20</v>
      </c>
      <c r="Y156" s="18" t="s">
        <v>20</v>
      </c>
      <c r="Z156" s="18" t="s">
        <v>20</v>
      </c>
      <c r="AA156" s="20" t="s">
        <v>20</v>
      </c>
      <c r="AB156" s="20" t="s">
        <v>20</v>
      </c>
      <c r="AC156" s="20" t="s">
        <v>20</v>
      </c>
      <c r="AD156" s="18" t="s">
        <v>21</v>
      </c>
      <c r="AE156" s="18" t="s">
        <v>21</v>
      </c>
      <c r="AG156">
        <f t="shared" si="18"/>
        <v>2</v>
      </c>
      <c r="AH156">
        <f t="shared" si="19"/>
        <v>22</v>
      </c>
      <c r="AI156">
        <f t="shared" si="20"/>
        <v>2</v>
      </c>
      <c r="AJ156">
        <f t="shared" si="21"/>
        <v>0</v>
      </c>
      <c r="AL156">
        <f t="shared" si="22"/>
        <v>8</v>
      </c>
      <c r="AM156">
        <f t="shared" si="23"/>
        <v>66</v>
      </c>
      <c r="AN156">
        <f t="shared" si="24"/>
        <v>4</v>
      </c>
      <c r="AO156">
        <f t="shared" si="25"/>
        <v>0</v>
      </c>
      <c r="AP156">
        <f t="shared" si="26"/>
        <v>78</v>
      </c>
    </row>
    <row r="157" spans="1:42" ht="15.75" hidden="1" customHeight="1" x14ac:dyDescent="0.3">
      <c r="A157" s="16"/>
      <c r="B157" s="55">
        <v>4</v>
      </c>
      <c r="C157" s="56" t="s">
        <v>175</v>
      </c>
      <c r="D157" s="55">
        <v>4</v>
      </c>
      <c r="E157" s="55" t="s">
        <v>21</v>
      </c>
      <c r="F157" s="18" t="s">
        <v>20</v>
      </c>
      <c r="G157" s="18" t="s">
        <v>20</v>
      </c>
      <c r="H157" s="18" t="s">
        <v>20</v>
      </c>
      <c r="I157" s="18" t="s">
        <v>20</v>
      </c>
      <c r="J157" s="43" t="s">
        <v>20</v>
      </c>
      <c r="K157" s="43" t="s">
        <v>20</v>
      </c>
      <c r="L157" s="43" t="s">
        <v>21</v>
      </c>
      <c r="M157" s="18" t="s">
        <v>20</v>
      </c>
      <c r="N157" s="18" t="s">
        <v>20</v>
      </c>
      <c r="O157" s="18" t="s">
        <v>20</v>
      </c>
      <c r="P157" s="18" t="s">
        <v>21</v>
      </c>
      <c r="Q157" s="18" t="s">
        <v>21</v>
      </c>
      <c r="R157" s="18" t="s">
        <v>21</v>
      </c>
      <c r="S157" s="18" t="s">
        <v>21</v>
      </c>
      <c r="T157" s="18" t="s">
        <v>21</v>
      </c>
      <c r="U157" s="18" t="s">
        <v>21</v>
      </c>
      <c r="V157" s="37" t="s">
        <v>20</v>
      </c>
      <c r="W157" s="37" t="s">
        <v>20</v>
      </c>
      <c r="X157" s="37" t="s">
        <v>20</v>
      </c>
      <c r="Y157" s="18" t="s">
        <v>20</v>
      </c>
      <c r="Z157" s="18" t="s">
        <v>20</v>
      </c>
      <c r="AA157" s="20" t="s">
        <v>20</v>
      </c>
      <c r="AB157" s="20" t="s">
        <v>21</v>
      </c>
      <c r="AC157" s="20" t="s">
        <v>21</v>
      </c>
      <c r="AD157" s="18" t="s">
        <v>21</v>
      </c>
      <c r="AE157" s="18" t="s">
        <v>21</v>
      </c>
      <c r="AG157">
        <f t="shared" si="18"/>
        <v>0</v>
      </c>
      <c r="AH157">
        <f t="shared" si="19"/>
        <v>15</v>
      </c>
      <c r="AI157">
        <f t="shared" si="20"/>
        <v>11</v>
      </c>
      <c r="AJ157">
        <f t="shared" si="21"/>
        <v>0</v>
      </c>
      <c r="AL157">
        <f t="shared" si="22"/>
        <v>0</v>
      </c>
      <c r="AM157">
        <f t="shared" si="23"/>
        <v>45</v>
      </c>
      <c r="AN157">
        <f t="shared" si="24"/>
        <v>22</v>
      </c>
      <c r="AO157">
        <f t="shared" si="25"/>
        <v>0</v>
      </c>
      <c r="AP157">
        <f t="shared" si="26"/>
        <v>67</v>
      </c>
    </row>
    <row r="158" spans="1:42" ht="15.75" hidden="1" customHeight="1" x14ac:dyDescent="0.3">
      <c r="A158" s="16"/>
      <c r="B158" s="55">
        <v>5</v>
      </c>
      <c r="C158" s="56" t="s">
        <v>176</v>
      </c>
      <c r="D158" s="55">
        <v>4</v>
      </c>
      <c r="E158" s="55" t="s">
        <v>21</v>
      </c>
      <c r="F158" s="18" t="s">
        <v>39</v>
      </c>
      <c r="G158" s="18" t="s">
        <v>20</v>
      </c>
      <c r="H158" s="18" t="s">
        <v>20</v>
      </c>
      <c r="I158" s="18" t="s">
        <v>20</v>
      </c>
      <c r="J158" s="43" t="s">
        <v>20</v>
      </c>
      <c r="K158" s="43" t="s">
        <v>20</v>
      </c>
      <c r="L158" s="43" t="s">
        <v>20</v>
      </c>
      <c r="M158" s="18" t="s">
        <v>20</v>
      </c>
      <c r="N158" s="18" t="s">
        <v>20</v>
      </c>
      <c r="O158" s="18" t="s">
        <v>20</v>
      </c>
      <c r="P158" s="18" t="s">
        <v>20</v>
      </c>
      <c r="Q158" s="18" t="s">
        <v>20</v>
      </c>
      <c r="R158" s="18" t="s">
        <v>20</v>
      </c>
      <c r="S158" s="18" t="s">
        <v>20</v>
      </c>
      <c r="T158" s="18" t="s">
        <v>20</v>
      </c>
      <c r="U158" s="18" t="s">
        <v>20</v>
      </c>
      <c r="V158" s="37" t="s">
        <v>20</v>
      </c>
      <c r="W158" s="37" t="s">
        <v>20</v>
      </c>
      <c r="X158" s="37" t="s">
        <v>20</v>
      </c>
      <c r="Y158" s="18" t="s">
        <v>20</v>
      </c>
      <c r="Z158" s="18" t="s">
        <v>20</v>
      </c>
      <c r="AA158" s="20" t="s">
        <v>20</v>
      </c>
      <c r="AB158" s="20" t="s">
        <v>20</v>
      </c>
      <c r="AC158" s="20" t="s">
        <v>20</v>
      </c>
      <c r="AD158" s="18" t="s">
        <v>20</v>
      </c>
      <c r="AE158" s="18" t="s">
        <v>21</v>
      </c>
      <c r="AG158">
        <f t="shared" si="18"/>
        <v>1</v>
      </c>
      <c r="AH158">
        <f t="shared" si="19"/>
        <v>24</v>
      </c>
      <c r="AI158">
        <f t="shared" si="20"/>
        <v>1</v>
      </c>
      <c r="AJ158">
        <f t="shared" si="21"/>
        <v>0</v>
      </c>
      <c r="AL158">
        <f t="shared" si="22"/>
        <v>4</v>
      </c>
      <c r="AM158">
        <f t="shared" si="23"/>
        <v>72</v>
      </c>
      <c r="AN158">
        <f t="shared" si="24"/>
        <v>2</v>
      </c>
      <c r="AO158">
        <f t="shared" si="25"/>
        <v>0</v>
      </c>
      <c r="AP158">
        <f t="shared" si="26"/>
        <v>78</v>
      </c>
    </row>
    <row r="159" spans="1:42" ht="15.75" hidden="1" customHeight="1" x14ac:dyDescent="0.3">
      <c r="A159" s="16"/>
      <c r="B159" s="55">
        <v>6</v>
      </c>
      <c r="C159" s="56" t="s">
        <v>177</v>
      </c>
      <c r="D159" s="55">
        <v>4</v>
      </c>
      <c r="E159" s="55" t="s">
        <v>21</v>
      </c>
      <c r="F159" s="18" t="s">
        <v>20</v>
      </c>
      <c r="G159" s="18" t="s">
        <v>20</v>
      </c>
      <c r="H159" s="18" t="s">
        <v>20</v>
      </c>
      <c r="I159" s="18" t="s">
        <v>20</v>
      </c>
      <c r="J159" s="43" t="s">
        <v>20</v>
      </c>
      <c r="K159" s="43" t="s">
        <v>20</v>
      </c>
      <c r="L159" s="43" t="s">
        <v>20</v>
      </c>
      <c r="M159" s="18" t="s">
        <v>20</v>
      </c>
      <c r="N159" s="18" t="s">
        <v>20</v>
      </c>
      <c r="O159" s="18" t="s">
        <v>21</v>
      </c>
      <c r="P159" s="18" t="s">
        <v>21</v>
      </c>
      <c r="Q159" s="18" t="s">
        <v>21</v>
      </c>
      <c r="R159" s="18" t="s">
        <v>21</v>
      </c>
      <c r="S159" s="18" t="s">
        <v>20</v>
      </c>
      <c r="T159" s="18" t="s">
        <v>20</v>
      </c>
      <c r="U159" s="18" t="s">
        <v>21</v>
      </c>
      <c r="V159" s="37" t="s">
        <v>20</v>
      </c>
      <c r="W159" s="37" t="s">
        <v>20</v>
      </c>
      <c r="X159" s="37" t="s">
        <v>20</v>
      </c>
      <c r="Y159" s="18" t="s">
        <v>20</v>
      </c>
      <c r="Z159" s="18" t="s">
        <v>20</v>
      </c>
      <c r="AA159" s="20" t="s">
        <v>21</v>
      </c>
      <c r="AB159" s="20" t="s">
        <v>20</v>
      </c>
      <c r="AC159" s="20" t="s">
        <v>20</v>
      </c>
      <c r="AD159" s="18" t="s">
        <v>20</v>
      </c>
      <c r="AE159" s="18" t="s">
        <v>21</v>
      </c>
      <c r="AG159">
        <f t="shared" si="18"/>
        <v>0</v>
      </c>
      <c r="AH159">
        <f t="shared" si="19"/>
        <v>19</v>
      </c>
      <c r="AI159">
        <f t="shared" si="20"/>
        <v>7</v>
      </c>
      <c r="AJ159">
        <f t="shared" si="21"/>
        <v>0</v>
      </c>
      <c r="AL159">
        <f t="shared" si="22"/>
        <v>0</v>
      </c>
      <c r="AM159">
        <f t="shared" si="23"/>
        <v>57</v>
      </c>
      <c r="AN159">
        <f t="shared" si="24"/>
        <v>14</v>
      </c>
      <c r="AO159">
        <f t="shared" si="25"/>
        <v>0</v>
      </c>
      <c r="AP159">
        <f t="shared" si="26"/>
        <v>71</v>
      </c>
    </row>
    <row r="160" spans="1:42" ht="15.75" hidden="1" customHeight="1" x14ac:dyDescent="0.3">
      <c r="A160" s="16"/>
      <c r="B160" s="55">
        <v>7</v>
      </c>
      <c r="C160" s="56" t="s">
        <v>178</v>
      </c>
      <c r="D160" s="55">
        <v>4</v>
      </c>
      <c r="E160" s="55" t="s">
        <v>21</v>
      </c>
      <c r="F160" s="18" t="s">
        <v>21</v>
      </c>
      <c r="G160" s="18" t="s">
        <v>20</v>
      </c>
      <c r="H160" s="18" t="s">
        <v>20</v>
      </c>
      <c r="I160" s="18" t="s">
        <v>21</v>
      </c>
      <c r="J160" s="43" t="s">
        <v>20</v>
      </c>
      <c r="K160" s="43" t="s">
        <v>21</v>
      </c>
      <c r="L160" s="43" t="s">
        <v>21</v>
      </c>
      <c r="M160" s="18" t="s">
        <v>20</v>
      </c>
      <c r="N160" s="18" t="s">
        <v>20</v>
      </c>
      <c r="O160" s="18" t="s">
        <v>20</v>
      </c>
      <c r="P160" s="18" t="s">
        <v>21</v>
      </c>
      <c r="Q160" s="18" t="s">
        <v>21</v>
      </c>
      <c r="R160" s="18" t="s">
        <v>21</v>
      </c>
      <c r="S160" s="18" t="s">
        <v>20</v>
      </c>
      <c r="T160" s="18" t="s">
        <v>20</v>
      </c>
      <c r="U160" s="18" t="s">
        <v>21</v>
      </c>
      <c r="V160" s="37" t="s">
        <v>20</v>
      </c>
      <c r="W160" s="37" t="s">
        <v>20</v>
      </c>
      <c r="X160" s="37" t="s">
        <v>20</v>
      </c>
      <c r="Y160" s="18" t="s">
        <v>20</v>
      </c>
      <c r="Z160" s="18" t="s">
        <v>21</v>
      </c>
      <c r="AA160" s="20" t="s">
        <v>21</v>
      </c>
      <c r="AB160" s="20" t="s">
        <v>21</v>
      </c>
      <c r="AC160" s="20" t="s">
        <v>21</v>
      </c>
      <c r="AD160" s="18" t="s">
        <v>21</v>
      </c>
      <c r="AE160" s="18" t="s">
        <v>21</v>
      </c>
      <c r="AG160">
        <f t="shared" si="18"/>
        <v>0</v>
      </c>
      <c r="AH160">
        <f t="shared" si="19"/>
        <v>12</v>
      </c>
      <c r="AI160">
        <f t="shared" si="20"/>
        <v>14</v>
      </c>
      <c r="AJ160">
        <f t="shared" si="21"/>
        <v>0</v>
      </c>
      <c r="AL160">
        <f t="shared" si="22"/>
        <v>0</v>
      </c>
      <c r="AM160">
        <f t="shared" si="23"/>
        <v>36</v>
      </c>
      <c r="AN160">
        <f t="shared" si="24"/>
        <v>28</v>
      </c>
      <c r="AO160">
        <f t="shared" si="25"/>
        <v>0</v>
      </c>
      <c r="AP160">
        <f t="shared" si="26"/>
        <v>64</v>
      </c>
    </row>
    <row r="161" spans="1:42" ht="15.75" hidden="1" customHeight="1" x14ac:dyDescent="0.3">
      <c r="A161" s="16"/>
      <c r="B161" s="55">
        <v>8</v>
      </c>
      <c r="C161" s="56" t="s">
        <v>179</v>
      </c>
      <c r="D161" s="55">
        <v>4</v>
      </c>
      <c r="E161" s="55" t="s">
        <v>21</v>
      </c>
      <c r="F161" s="18" t="s">
        <v>20</v>
      </c>
      <c r="G161" s="18" t="s">
        <v>20</v>
      </c>
      <c r="H161" s="18" t="s">
        <v>20</v>
      </c>
      <c r="I161" s="18" t="s">
        <v>20</v>
      </c>
      <c r="J161" s="43" t="s">
        <v>20</v>
      </c>
      <c r="K161" s="43" t="s">
        <v>20</v>
      </c>
      <c r="L161" s="43" t="s">
        <v>20</v>
      </c>
      <c r="M161" s="18" t="s">
        <v>21</v>
      </c>
      <c r="N161" s="18" t="s">
        <v>20</v>
      </c>
      <c r="O161" s="18" t="s">
        <v>20</v>
      </c>
      <c r="P161" s="18" t="s">
        <v>21</v>
      </c>
      <c r="Q161" s="18" t="s">
        <v>21</v>
      </c>
      <c r="R161" s="18" t="s">
        <v>21</v>
      </c>
      <c r="S161" s="18" t="s">
        <v>21</v>
      </c>
      <c r="T161" s="18" t="s">
        <v>20</v>
      </c>
      <c r="U161" s="18" t="s">
        <v>20</v>
      </c>
      <c r="V161" s="37" t="s">
        <v>20</v>
      </c>
      <c r="W161" s="37" t="s">
        <v>20</v>
      </c>
      <c r="X161" s="37" t="s">
        <v>20</v>
      </c>
      <c r="Y161" s="18" t="s">
        <v>20</v>
      </c>
      <c r="Z161" s="18" t="s">
        <v>21</v>
      </c>
      <c r="AA161" s="20" t="s">
        <v>20</v>
      </c>
      <c r="AB161" s="20" t="s">
        <v>20</v>
      </c>
      <c r="AC161" s="20" t="s">
        <v>21</v>
      </c>
      <c r="AD161" s="18" t="s">
        <v>20</v>
      </c>
      <c r="AE161" s="18" t="s">
        <v>21</v>
      </c>
      <c r="AG161">
        <f t="shared" si="18"/>
        <v>0</v>
      </c>
      <c r="AH161">
        <f t="shared" si="19"/>
        <v>18</v>
      </c>
      <c r="AI161">
        <f t="shared" si="20"/>
        <v>8</v>
      </c>
      <c r="AJ161">
        <f t="shared" si="21"/>
        <v>0</v>
      </c>
      <c r="AL161">
        <f t="shared" si="22"/>
        <v>0</v>
      </c>
      <c r="AM161">
        <f t="shared" si="23"/>
        <v>54</v>
      </c>
      <c r="AN161">
        <f t="shared" si="24"/>
        <v>16</v>
      </c>
      <c r="AO161">
        <f t="shared" si="25"/>
        <v>0</v>
      </c>
      <c r="AP161">
        <f t="shared" si="26"/>
        <v>70</v>
      </c>
    </row>
    <row r="162" spans="1:42" ht="15.75" hidden="1" customHeight="1" x14ac:dyDescent="0.3">
      <c r="A162" s="16"/>
      <c r="B162" s="55">
        <v>9</v>
      </c>
      <c r="C162" s="56" t="s">
        <v>180</v>
      </c>
      <c r="D162" s="55">
        <v>4</v>
      </c>
      <c r="E162" s="55" t="s">
        <v>21</v>
      </c>
      <c r="F162" s="18" t="s">
        <v>21</v>
      </c>
      <c r="G162" s="18" t="s">
        <v>21</v>
      </c>
      <c r="H162" s="18" t="s">
        <v>21</v>
      </c>
      <c r="I162" s="18" t="s">
        <v>21</v>
      </c>
      <c r="J162" s="43" t="s">
        <v>20</v>
      </c>
      <c r="K162" s="43" t="s">
        <v>20</v>
      </c>
      <c r="L162" s="43" t="s">
        <v>20</v>
      </c>
      <c r="M162" s="18" t="s">
        <v>20</v>
      </c>
      <c r="N162" s="18" t="s">
        <v>20</v>
      </c>
      <c r="O162" s="18" t="s">
        <v>20</v>
      </c>
      <c r="P162" s="18" t="s">
        <v>21</v>
      </c>
      <c r="Q162" s="18" t="s">
        <v>21</v>
      </c>
      <c r="R162" s="18" t="s">
        <v>21</v>
      </c>
      <c r="S162" s="18" t="s">
        <v>20</v>
      </c>
      <c r="T162" s="18" t="s">
        <v>20</v>
      </c>
      <c r="U162" s="18" t="s">
        <v>21</v>
      </c>
      <c r="V162" s="37" t="s">
        <v>20</v>
      </c>
      <c r="W162" s="37" t="s">
        <v>20</v>
      </c>
      <c r="X162" s="37" t="s">
        <v>20</v>
      </c>
      <c r="Y162" s="18" t="s">
        <v>20</v>
      </c>
      <c r="Z162" s="18" t="s">
        <v>21</v>
      </c>
      <c r="AA162" s="20" t="s">
        <v>21</v>
      </c>
      <c r="AB162" s="20" t="s">
        <v>21</v>
      </c>
      <c r="AC162" s="20" t="s">
        <v>20</v>
      </c>
      <c r="AD162" s="18" t="s">
        <v>20</v>
      </c>
      <c r="AE162" s="18" t="s">
        <v>21</v>
      </c>
      <c r="AG162">
        <f t="shared" si="18"/>
        <v>0</v>
      </c>
      <c r="AH162">
        <f t="shared" si="19"/>
        <v>14</v>
      </c>
      <c r="AI162">
        <f t="shared" si="20"/>
        <v>12</v>
      </c>
      <c r="AJ162">
        <f t="shared" si="21"/>
        <v>0</v>
      </c>
      <c r="AL162">
        <f t="shared" si="22"/>
        <v>0</v>
      </c>
      <c r="AM162">
        <f t="shared" si="23"/>
        <v>42</v>
      </c>
      <c r="AN162">
        <f t="shared" si="24"/>
        <v>24</v>
      </c>
      <c r="AO162">
        <f t="shared" si="25"/>
        <v>0</v>
      </c>
      <c r="AP162">
        <f t="shared" si="26"/>
        <v>66</v>
      </c>
    </row>
    <row r="163" spans="1:42" ht="15.75" hidden="1" customHeight="1" x14ac:dyDescent="0.3">
      <c r="A163" s="16"/>
      <c r="B163" s="55">
        <v>10</v>
      </c>
      <c r="C163" s="56" t="s">
        <v>181</v>
      </c>
      <c r="D163" s="55">
        <v>4</v>
      </c>
      <c r="E163" s="55" t="s">
        <v>21</v>
      </c>
      <c r="F163" s="18" t="s">
        <v>21</v>
      </c>
      <c r="G163" s="18" t="s">
        <v>20</v>
      </c>
      <c r="H163" s="18" t="s">
        <v>21</v>
      </c>
      <c r="I163" s="18" t="s">
        <v>21</v>
      </c>
      <c r="J163" s="43" t="s">
        <v>20</v>
      </c>
      <c r="K163" s="43" t="s">
        <v>20</v>
      </c>
      <c r="L163" s="43" t="s">
        <v>21</v>
      </c>
      <c r="M163" s="18" t="s">
        <v>23</v>
      </c>
      <c r="N163" s="18" t="s">
        <v>20</v>
      </c>
      <c r="O163" s="18" t="s">
        <v>20</v>
      </c>
      <c r="P163" s="18" t="s">
        <v>21</v>
      </c>
      <c r="Q163" s="18" t="s">
        <v>21</v>
      </c>
      <c r="R163" s="18" t="s">
        <v>21</v>
      </c>
      <c r="S163" s="18" t="s">
        <v>20</v>
      </c>
      <c r="T163" s="18" t="s">
        <v>20</v>
      </c>
      <c r="U163" s="18" t="s">
        <v>21</v>
      </c>
      <c r="V163" s="37" t="s">
        <v>20</v>
      </c>
      <c r="W163" s="37" t="s">
        <v>20</v>
      </c>
      <c r="X163" s="37" t="s">
        <v>20</v>
      </c>
      <c r="Y163" s="18" t="s">
        <v>21</v>
      </c>
      <c r="Z163" s="18" t="s">
        <v>21</v>
      </c>
      <c r="AA163" s="20" t="s">
        <v>21</v>
      </c>
      <c r="AB163" s="20" t="s">
        <v>23</v>
      </c>
      <c r="AC163" s="20" t="s">
        <v>21</v>
      </c>
      <c r="AD163" s="18" t="s">
        <v>23</v>
      </c>
      <c r="AE163" s="18" t="s">
        <v>21</v>
      </c>
      <c r="AG163">
        <f t="shared" si="18"/>
        <v>0</v>
      </c>
      <c r="AH163">
        <f t="shared" si="19"/>
        <v>10</v>
      </c>
      <c r="AI163">
        <f t="shared" si="20"/>
        <v>13</v>
      </c>
      <c r="AJ163">
        <f t="shared" si="21"/>
        <v>3</v>
      </c>
      <c r="AL163">
        <f t="shared" si="22"/>
        <v>0</v>
      </c>
      <c r="AM163">
        <f t="shared" si="23"/>
        <v>30</v>
      </c>
      <c r="AN163">
        <f t="shared" si="24"/>
        <v>26</v>
      </c>
      <c r="AO163">
        <f t="shared" si="25"/>
        <v>3</v>
      </c>
      <c r="AP163">
        <f t="shared" si="26"/>
        <v>59</v>
      </c>
    </row>
    <row r="164" spans="1:42" ht="15.75" hidden="1" customHeight="1" x14ac:dyDescent="0.3">
      <c r="A164" s="16"/>
      <c r="B164" s="55">
        <v>11</v>
      </c>
      <c r="C164" s="56" t="s">
        <v>182</v>
      </c>
      <c r="D164" s="55">
        <v>4</v>
      </c>
      <c r="E164" s="55" t="s">
        <v>21</v>
      </c>
      <c r="F164" s="18" t="s">
        <v>23</v>
      </c>
      <c r="G164" s="18" t="s">
        <v>23</v>
      </c>
      <c r="H164" s="18" t="s">
        <v>23</v>
      </c>
      <c r="I164" s="18" t="s">
        <v>23</v>
      </c>
      <c r="J164" s="43" t="s">
        <v>21</v>
      </c>
      <c r="K164" s="43" t="s">
        <v>21</v>
      </c>
      <c r="L164" s="43" t="s">
        <v>21</v>
      </c>
      <c r="M164" s="18" t="s">
        <v>21</v>
      </c>
      <c r="N164" s="18" t="s">
        <v>20</v>
      </c>
      <c r="O164" s="18" t="s">
        <v>21</v>
      </c>
      <c r="P164" s="18" t="s">
        <v>23</v>
      </c>
      <c r="Q164" s="18" t="s">
        <v>21</v>
      </c>
      <c r="R164" s="18" t="s">
        <v>21</v>
      </c>
      <c r="S164" s="18" t="s">
        <v>21</v>
      </c>
      <c r="T164" s="18" t="s">
        <v>20</v>
      </c>
      <c r="U164" s="18" t="s">
        <v>20</v>
      </c>
      <c r="V164" s="37" t="s">
        <v>20</v>
      </c>
      <c r="W164" s="37" t="s">
        <v>21</v>
      </c>
      <c r="X164" s="37" t="s">
        <v>20</v>
      </c>
      <c r="Y164" s="18" t="s">
        <v>23</v>
      </c>
      <c r="Z164" s="18" t="s">
        <v>23</v>
      </c>
      <c r="AA164" s="20" t="s">
        <v>21</v>
      </c>
      <c r="AB164" s="20" t="s">
        <v>21</v>
      </c>
      <c r="AC164" s="20" t="s">
        <v>21</v>
      </c>
      <c r="AD164" s="18" t="s">
        <v>23</v>
      </c>
      <c r="AE164" s="18" t="s">
        <v>21</v>
      </c>
      <c r="AG164">
        <f t="shared" si="18"/>
        <v>0</v>
      </c>
      <c r="AH164">
        <f t="shared" si="19"/>
        <v>5</v>
      </c>
      <c r="AI164">
        <f t="shared" si="20"/>
        <v>13</v>
      </c>
      <c r="AJ164">
        <f t="shared" si="21"/>
        <v>8</v>
      </c>
      <c r="AL164">
        <f t="shared" si="22"/>
        <v>0</v>
      </c>
      <c r="AM164">
        <f t="shared" si="23"/>
        <v>15</v>
      </c>
      <c r="AN164">
        <f t="shared" si="24"/>
        <v>26</v>
      </c>
      <c r="AO164">
        <f t="shared" si="25"/>
        <v>8</v>
      </c>
      <c r="AP164">
        <f t="shared" si="26"/>
        <v>49</v>
      </c>
    </row>
    <row r="165" spans="1:42" ht="15.75" hidden="1" customHeight="1" x14ac:dyDescent="0.3">
      <c r="A165" s="16"/>
      <c r="B165" s="55">
        <v>12</v>
      </c>
      <c r="C165" s="56" t="s">
        <v>183</v>
      </c>
      <c r="D165" s="55">
        <v>4</v>
      </c>
      <c r="E165" s="55" t="s">
        <v>21</v>
      </c>
      <c r="F165" s="18" t="s">
        <v>21</v>
      </c>
      <c r="G165" s="18" t="s">
        <v>21</v>
      </c>
      <c r="H165" s="18" t="s">
        <v>21</v>
      </c>
      <c r="I165" s="18" t="s">
        <v>21</v>
      </c>
      <c r="J165" s="43" t="s">
        <v>20</v>
      </c>
      <c r="K165" s="43" t="s">
        <v>20</v>
      </c>
      <c r="L165" s="43" t="s">
        <v>21</v>
      </c>
      <c r="M165" s="18" t="s">
        <v>20</v>
      </c>
      <c r="N165" s="18" t="s">
        <v>20</v>
      </c>
      <c r="O165" s="18" t="s">
        <v>20</v>
      </c>
      <c r="P165" s="18" t="s">
        <v>21</v>
      </c>
      <c r="Q165" s="18" t="s">
        <v>21</v>
      </c>
      <c r="R165" s="18" t="s">
        <v>21</v>
      </c>
      <c r="S165" s="18" t="s">
        <v>20</v>
      </c>
      <c r="T165" s="18" t="s">
        <v>20</v>
      </c>
      <c r="U165" s="18" t="s">
        <v>20</v>
      </c>
      <c r="V165" s="49" t="s">
        <v>20</v>
      </c>
      <c r="W165" s="37" t="s">
        <v>20</v>
      </c>
      <c r="X165" s="37" t="s">
        <v>20</v>
      </c>
      <c r="Y165" s="18" t="s">
        <v>20</v>
      </c>
      <c r="Z165" s="18" t="s">
        <v>21</v>
      </c>
      <c r="AA165" s="20" t="s">
        <v>21</v>
      </c>
      <c r="AB165" s="20" t="s">
        <v>20</v>
      </c>
      <c r="AC165" s="20" t="s">
        <v>20</v>
      </c>
      <c r="AD165" s="29" t="s">
        <v>20</v>
      </c>
      <c r="AE165" s="29" t="s">
        <v>21</v>
      </c>
      <c r="AG165">
        <f t="shared" si="18"/>
        <v>0</v>
      </c>
      <c r="AH165">
        <f t="shared" si="19"/>
        <v>15</v>
      </c>
      <c r="AI165">
        <f t="shared" si="20"/>
        <v>11</v>
      </c>
      <c r="AJ165">
        <f t="shared" si="21"/>
        <v>0</v>
      </c>
      <c r="AL165">
        <f t="shared" si="22"/>
        <v>0</v>
      </c>
      <c r="AM165">
        <f t="shared" si="23"/>
        <v>45</v>
      </c>
      <c r="AN165">
        <f t="shared" si="24"/>
        <v>22</v>
      </c>
      <c r="AO165">
        <f t="shared" si="25"/>
        <v>0</v>
      </c>
      <c r="AP165">
        <f t="shared" si="26"/>
        <v>67</v>
      </c>
    </row>
    <row r="166" spans="1:42" ht="15.75" hidden="1" customHeight="1" x14ac:dyDescent="0.3">
      <c r="A166" s="16"/>
      <c r="B166" s="55">
        <v>13</v>
      </c>
      <c r="C166" s="56" t="s">
        <v>184</v>
      </c>
      <c r="D166" s="55">
        <v>4</v>
      </c>
      <c r="E166" s="55" t="s">
        <v>21</v>
      </c>
      <c r="F166" s="18" t="s">
        <v>21</v>
      </c>
      <c r="G166" s="18" t="s">
        <v>21</v>
      </c>
      <c r="H166" s="18" t="s">
        <v>23</v>
      </c>
      <c r="I166" s="18" t="s">
        <v>21</v>
      </c>
      <c r="J166" s="43" t="s">
        <v>20</v>
      </c>
      <c r="K166" s="43" t="s">
        <v>20</v>
      </c>
      <c r="L166" s="43" t="s">
        <v>21</v>
      </c>
      <c r="M166" s="18" t="s">
        <v>21</v>
      </c>
      <c r="N166" s="18" t="s">
        <v>20</v>
      </c>
      <c r="O166" s="18" t="s">
        <v>21</v>
      </c>
      <c r="P166" s="18" t="s">
        <v>21</v>
      </c>
      <c r="Q166" s="18" t="s">
        <v>21</v>
      </c>
      <c r="R166" s="18" t="s">
        <v>21</v>
      </c>
      <c r="S166" s="18" t="s">
        <v>23</v>
      </c>
      <c r="T166" s="18" t="s">
        <v>23</v>
      </c>
      <c r="U166" s="18" t="s">
        <v>20</v>
      </c>
      <c r="V166" s="49" t="s">
        <v>20</v>
      </c>
      <c r="W166" s="37" t="s">
        <v>21</v>
      </c>
      <c r="X166" s="37" t="s">
        <v>20</v>
      </c>
      <c r="Y166" s="18" t="s">
        <v>23</v>
      </c>
      <c r="Z166" s="18" t="s">
        <v>21</v>
      </c>
      <c r="AA166" s="20" t="s">
        <v>21</v>
      </c>
      <c r="AB166" s="20" t="s">
        <v>20</v>
      </c>
      <c r="AC166" s="20" t="s">
        <v>23</v>
      </c>
      <c r="AD166" s="29" t="s">
        <v>23</v>
      </c>
      <c r="AE166" s="29" t="s">
        <v>21</v>
      </c>
      <c r="AG166">
        <f t="shared" si="18"/>
        <v>0</v>
      </c>
      <c r="AH166">
        <f t="shared" si="19"/>
        <v>7</v>
      </c>
      <c r="AI166">
        <f t="shared" si="20"/>
        <v>13</v>
      </c>
      <c r="AJ166">
        <f t="shared" si="21"/>
        <v>6</v>
      </c>
      <c r="AL166">
        <f t="shared" si="22"/>
        <v>0</v>
      </c>
      <c r="AM166">
        <f t="shared" si="23"/>
        <v>21</v>
      </c>
      <c r="AN166">
        <f t="shared" si="24"/>
        <v>26</v>
      </c>
      <c r="AO166">
        <f t="shared" si="25"/>
        <v>6</v>
      </c>
      <c r="AP166">
        <f t="shared" si="26"/>
        <v>53</v>
      </c>
    </row>
    <row r="167" spans="1:42" ht="15.75" hidden="1" customHeight="1" x14ac:dyDescent="0.3">
      <c r="A167" s="16"/>
      <c r="B167" s="55">
        <v>14</v>
      </c>
      <c r="C167" s="56" t="s">
        <v>185</v>
      </c>
      <c r="D167" s="55">
        <v>4</v>
      </c>
      <c r="E167" s="55" t="s">
        <v>21</v>
      </c>
      <c r="F167" s="18" t="s">
        <v>21</v>
      </c>
      <c r="G167" s="18" t="s">
        <v>21</v>
      </c>
      <c r="H167" s="18" t="s">
        <v>21</v>
      </c>
      <c r="I167" s="18" t="s">
        <v>21</v>
      </c>
      <c r="J167" s="43" t="s">
        <v>20</v>
      </c>
      <c r="K167" s="43" t="s">
        <v>21</v>
      </c>
      <c r="L167" s="43" t="s">
        <v>21</v>
      </c>
      <c r="M167" s="18" t="s">
        <v>21</v>
      </c>
      <c r="N167" s="18" t="s">
        <v>21</v>
      </c>
      <c r="O167" s="18" t="s">
        <v>20</v>
      </c>
      <c r="P167" s="18" t="s">
        <v>21</v>
      </c>
      <c r="Q167" s="18" t="s">
        <v>21</v>
      </c>
      <c r="R167" s="18" t="s">
        <v>21</v>
      </c>
      <c r="S167" s="18" t="s">
        <v>20</v>
      </c>
      <c r="T167" s="18" t="s">
        <v>20</v>
      </c>
      <c r="U167" s="18" t="s">
        <v>21</v>
      </c>
      <c r="V167" s="49" t="s">
        <v>20</v>
      </c>
      <c r="W167" s="37" t="s">
        <v>20</v>
      </c>
      <c r="X167" s="37" t="s">
        <v>20</v>
      </c>
      <c r="Y167" s="18" t="s">
        <v>21</v>
      </c>
      <c r="Z167" s="18" t="s">
        <v>21</v>
      </c>
      <c r="AA167" s="20" t="s">
        <v>20</v>
      </c>
      <c r="AB167" s="20" t="s">
        <v>21</v>
      </c>
      <c r="AC167" s="20" t="s">
        <v>20</v>
      </c>
      <c r="AD167" s="29" t="s">
        <v>21</v>
      </c>
      <c r="AE167" s="29" t="s">
        <v>21</v>
      </c>
      <c r="AG167">
        <f t="shared" si="18"/>
        <v>0</v>
      </c>
      <c r="AH167">
        <f t="shared" si="19"/>
        <v>9</v>
      </c>
      <c r="AI167">
        <f t="shared" si="20"/>
        <v>17</v>
      </c>
      <c r="AJ167">
        <f t="shared" si="21"/>
        <v>0</v>
      </c>
      <c r="AL167">
        <f t="shared" si="22"/>
        <v>0</v>
      </c>
      <c r="AM167">
        <f t="shared" si="23"/>
        <v>27</v>
      </c>
      <c r="AN167">
        <f t="shared" si="24"/>
        <v>34</v>
      </c>
      <c r="AO167">
        <f t="shared" si="25"/>
        <v>0</v>
      </c>
      <c r="AP167">
        <f t="shared" si="26"/>
        <v>61</v>
      </c>
    </row>
    <row r="168" spans="1:42" ht="15.75" hidden="1" customHeight="1" x14ac:dyDescent="0.3">
      <c r="A168" s="16"/>
      <c r="B168" s="55">
        <v>15</v>
      </c>
      <c r="C168" s="56" t="s">
        <v>186</v>
      </c>
      <c r="D168" s="55">
        <v>4</v>
      </c>
      <c r="E168" s="55" t="s">
        <v>21</v>
      </c>
      <c r="F168" s="18" t="s">
        <v>20</v>
      </c>
      <c r="G168" s="18" t="s">
        <v>20</v>
      </c>
      <c r="H168" s="18" t="s">
        <v>20</v>
      </c>
      <c r="I168" s="18" t="s">
        <v>20</v>
      </c>
      <c r="J168" s="43" t="s">
        <v>20</v>
      </c>
      <c r="K168" s="43" t="s">
        <v>20</v>
      </c>
      <c r="L168" s="43" t="s">
        <v>20</v>
      </c>
      <c r="M168" s="18" t="s">
        <v>20</v>
      </c>
      <c r="N168" s="18" t="s">
        <v>20</v>
      </c>
      <c r="O168" s="18" t="s">
        <v>20</v>
      </c>
      <c r="P168" s="18" t="s">
        <v>20</v>
      </c>
      <c r="Q168" s="18" t="s">
        <v>20</v>
      </c>
      <c r="R168" s="18" t="s">
        <v>20</v>
      </c>
      <c r="S168" s="18" t="s">
        <v>20</v>
      </c>
      <c r="T168" s="18" t="s">
        <v>20</v>
      </c>
      <c r="U168" s="18" t="s">
        <v>20</v>
      </c>
      <c r="V168" s="49" t="s">
        <v>20</v>
      </c>
      <c r="W168" s="37" t="s">
        <v>20</v>
      </c>
      <c r="X168" s="37" t="s">
        <v>20</v>
      </c>
      <c r="Y168" s="18" t="s">
        <v>20</v>
      </c>
      <c r="Z168" s="18" t="s">
        <v>20</v>
      </c>
      <c r="AA168" s="20" t="s">
        <v>20</v>
      </c>
      <c r="AB168" s="20" t="s">
        <v>20</v>
      </c>
      <c r="AC168" s="20" t="s">
        <v>20</v>
      </c>
      <c r="AD168" s="29" t="s">
        <v>20</v>
      </c>
      <c r="AE168" s="29" t="s">
        <v>21</v>
      </c>
      <c r="AG168">
        <f t="shared" si="18"/>
        <v>0</v>
      </c>
      <c r="AH168">
        <f t="shared" si="19"/>
        <v>25</v>
      </c>
      <c r="AI168">
        <f t="shared" si="20"/>
        <v>1</v>
      </c>
      <c r="AJ168">
        <f t="shared" si="21"/>
        <v>0</v>
      </c>
      <c r="AL168">
        <f t="shared" si="22"/>
        <v>0</v>
      </c>
      <c r="AM168">
        <f t="shared" si="23"/>
        <v>75</v>
      </c>
      <c r="AN168">
        <f t="shared" si="24"/>
        <v>2</v>
      </c>
      <c r="AO168">
        <f t="shared" si="25"/>
        <v>0</v>
      </c>
      <c r="AP168">
        <f t="shared" si="26"/>
        <v>77</v>
      </c>
    </row>
    <row r="169" spans="1:42" ht="15.75" hidden="1" customHeight="1" x14ac:dyDescent="0.3">
      <c r="A169" s="16"/>
      <c r="B169" s="55">
        <v>16</v>
      </c>
      <c r="C169" s="56" t="s">
        <v>187</v>
      </c>
      <c r="D169" s="55">
        <v>4</v>
      </c>
      <c r="E169" s="55" t="s">
        <v>21</v>
      </c>
      <c r="F169" s="18" t="s">
        <v>21</v>
      </c>
      <c r="G169" s="18" t="s">
        <v>21</v>
      </c>
      <c r="H169" s="18" t="s">
        <v>21</v>
      </c>
      <c r="I169" s="18" t="s">
        <v>21</v>
      </c>
      <c r="J169" s="43" t="s">
        <v>20</v>
      </c>
      <c r="K169" s="43" t="s">
        <v>20</v>
      </c>
      <c r="L169" s="43" t="s">
        <v>21</v>
      </c>
      <c r="M169" s="18" t="s">
        <v>20</v>
      </c>
      <c r="N169" s="18" t="s">
        <v>20</v>
      </c>
      <c r="O169" s="18" t="s">
        <v>20</v>
      </c>
      <c r="P169" s="18" t="s">
        <v>21</v>
      </c>
      <c r="Q169" s="18" t="s">
        <v>21</v>
      </c>
      <c r="R169" s="18" t="s">
        <v>21</v>
      </c>
      <c r="S169" s="18" t="s">
        <v>21</v>
      </c>
      <c r="T169" s="18" t="s">
        <v>20</v>
      </c>
      <c r="U169" s="18" t="s">
        <v>21</v>
      </c>
      <c r="V169" s="49" t="s">
        <v>20</v>
      </c>
      <c r="W169" s="37" t="s">
        <v>20</v>
      </c>
      <c r="X169" s="37" t="s">
        <v>20</v>
      </c>
      <c r="Y169" s="18" t="s">
        <v>21</v>
      </c>
      <c r="Z169" s="18" t="s">
        <v>21</v>
      </c>
      <c r="AA169" s="20" t="s">
        <v>21</v>
      </c>
      <c r="AB169" s="20" t="s">
        <v>21</v>
      </c>
      <c r="AC169" s="20" t="s">
        <v>21</v>
      </c>
      <c r="AD169" s="29" t="s">
        <v>21</v>
      </c>
      <c r="AE169" s="29" t="s">
        <v>21</v>
      </c>
      <c r="AG169">
        <f t="shared" si="18"/>
        <v>0</v>
      </c>
      <c r="AH169">
        <f t="shared" si="19"/>
        <v>9</v>
      </c>
      <c r="AI169">
        <f t="shared" si="20"/>
        <v>17</v>
      </c>
      <c r="AJ169">
        <f t="shared" si="21"/>
        <v>0</v>
      </c>
      <c r="AL169">
        <f t="shared" si="22"/>
        <v>0</v>
      </c>
      <c r="AM169">
        <f t="shared" si="23"/>
        <v>27</v>
      </c>
      <c r="AN169">
        <f t="shared" si="24"/>
        <v>34</v>
      </c>
      <c r="AO169">
        <f t="shared" si="25"/>
        <v>0</v>
      </c>
      <c r="AP169">
        <f t="shared" si="26"/>
        <v>61</v>
      </c>
    </row>
    <row r="170" spans="1:42" ht="15.75" hidden="1" customHeight="1" x14ac:dyDescent="0.3">
      <c r="A170" s="16"/>
      <c r="B170" s="55">
        <v>17</v>
      </c>
      <c r="C170" s="56" t="s">
        <v>188</v>
      </c>
      <c r="D170" s="55">
        <v>4</v>
      </c>
      <c r="E170" s="55" t="s">
        <v>21</v>
      </c>
      <c r="F170" s="18" t="s">
        <v>21</v>
      </c>
      <c r="G170" s="18" t="s">
        <v>21</v>
      </c>
      <c r="H170" s="18" t="s">
        <v>21</v>
      </c>
      <c r="I170" s="18" t="s">
        <v>21</v>
      </c>
      <c r="J170" s="43" t="s">
        <v>20</v>
      </c>
      <c r="K170" s="43" t="s">
        <v>20</v>
      </c>
      <c r="L170" s="43" t="s">
        <v>21</v>
      </c>
      <c r="M170" s="18" t="s">
        <v>21</v>
      </c>
      <c r="N170" s="18" t="s">
        <v>20</v>
      </c>
      <c r="O170" s="18" t="s">
        <v>21</v>
      </c>
      <c r="P170" s="18" t="s">
        <v>21</v>
      </c>
      <c r="Q170" s="18" t="s">
        <v>21</v>
      </c>
      <c r="R170" s="18" t="s">
        <v>21</v>
      </c>
      <c r="S170" s="18" t="s">
        <v>23</v>
      </c>
      <c r="T170" s="18" t="s">
        <v>21</v>
      </c>
      <c r="U170" s="18" t="s">
        <v>20</v>
      </c>
      <c r="V170" s="49" t="s">
        <v>20</v>
      </c>
      <c r="W170" s="37" t="s">
        <v>20</v>
      </c>
      <c r="X170" s="37" t="s">
        <v>20</v>
      </c>
      <c r="Y170" s="18" t="s">
        <v>20</v>
      </c>
      <c r="Z170" s="18" t="s">
        <v>20</v>
      </c>
      <c r="AA170" s="20" t="s">
        <v>20</v>
      </c>
      <c r="AB170" s="20" t="s">
        <v>20</v>
      </c>
      <c r="AC170" s="20" t="s">
        <v>20</v>
      </c>
      <c r="AD170" s="29" t="s">
        <v>21</v>
      </c>
      <c r="AE170" s="29" t="s">
        <v>21</v>
      </c>
      <c r="AG170">
        <f t="shared" si="18"/>
        <v>0</v>
      </c>
      <c r="AH170">
        <f t="shared" si="19"/>
        <v>12</v>
      </c>
      <c r="AI170">
        <f t="shared" si="20"/>
        <v>13</v>
      </c>
      <c r="AJ170">
        <f t="shared" si="21"/>
        <v>1</v>
      </c>
      <c r="AL170">
        <f t="shared" si="22"/>
        <v>0</v>
      </c>
      <c r="AM170">
        <f t="shared" si="23"/>
        <v>36</v>
      </c>
      <c r="AN170">
        <f t="shared" si="24"/>
        <v>26</v>
      </c>
      <c r="AO170">
        <f t="shared" si="25"/>
        <v>1</v>
      </c>
      <c r="AP170">
        <f t="shared" si="26"/>
        <v>63</v>
      </c>
    </row>
    <row r="171" spans="1:42" ht="15.75" hidden="1" customHeight="1" x14ac:dyDescent="0.3">
      <c r="A171" s="16"/>
      <c r="B171" s="55">
        <v>18</v>
      </c>
      <c r="C171" s="56" t="s">
        <v>189</v>
      </c>
      <c r="D171" s="55">
        <v>4</v>
      </c>
      <c r="E171" s="55" t="s">
        <v>21</v>
      </c>
      <c r="F171" s="18" t="s">
        <v>23</v>
      </c>
      <c r="G171" s="18" t="s">
        <v>23</v>
      </c>
      <c r="H171" s="18" t="s">
        <v>23</v>
      </c>
      <c r="I171" s="18" t="s">
        <v>23</v>
      </c>
      <c r="J171" s="43" t="s">
        <v>20</v>
      </c>
      <c r="K171" s="43" t="s">
        <v>20</v>
      </c>
      <c r="L171" s="43" t="s">
        <v>21</v>
      </c>
      <c r="M171" s="18" t="s">
        <v>21</v>
      </c>
      <c r="N171" s="18" t="s">
        <v>21</v>
      </c>
      <c r="O171" s="18" t="s">
        <v>20</v>
      </c>
      <c r="P171" s="18" t="s">
        <v>21</v>
      </c>
      <c r="Q171" s="18" t="s">
        <v>21</v>
      </c>
      <c r="R171" s="18" t="s">
        <v>23</v>
      </c>
      <c r="S171" s="18" t="s">
        <v>21</v>
      </c>
      <c r="T171" s="18" t="s">
        <v>20</v>
      </c>
      <c r="U171" s="18" t="s">
        <v>21</v>
      </c>
      <c r="V171" s="49" t="s">
        <v>20</v>
      </c>
      <c r="W171" s="37" t="s">
        <v>21</v>
      </c>
      <c r="X171" s="37" t="s">
        <v>20</v>
      </c>
      <c r="Y171" s="18" t="s">
        <v>20</v>
      </c>
      <c r="Z171" s="18" t="s">
        <v>20</v>
      </c>
      <c r="AA171" s="20" t="s">
        <v>21</v>
      </c>
      <c r="AB171" s="20" t="s">
        <v>21</v>
      </c>
      <c r="AC171" s="20" t="s">
        <v>21</v>
      </c>
      <c r="AD171" s="29" t="s">
        <v>21</v>
      </c>
      <c r="AE171" s="29" t="s">
        <v>21</v>
      </c>
      <c r="AG171">
        <f t="shared" si="18"/>
        <v>0</v>
      </c>
      <c r="AH171">
        <f t="shared" si="19"/>
        <v>8</v>
      </c>
      <c r="AI171">
        <f t="shared" si="20"/>
        <v>13</v>
      </c>
      <c r="AJ171">
        <f t="shared" si="21"/>
        <v>5</v>
      </c>
      <c r="AL171">
        <f t="shared" si="22"/>
        <v>0</v>
      </c>
      <c r="AM171">
        <f t="shared" si="23"/>
        <v>24</v>
      </c>
      <c r="AN171">
        <f t="shared" si="24"/>
        <v>26</v>
      </c>
      <c r="AO171">
        <f t="shared" si="25"/>
        <v>5</v>
      </c>
      <c r="AP171">
        <f t="shared" si="26"/>
        <v>55</v>
      </c>
    </row>
    <row r="172" spans="1:42" ht="15.75" hidden="1" customHeight="1" x14ac:dyDescent="0.3">
      <c r="A172" s="16"/>
      <c r="B172" s="55">
        <v>19</v>
      </c>
      <c r="C172" s="56" t="s">
        <v>190</v>
      </c>
      <c r="D172" s="55">
        <v>4</v>
      </c>
      <c r="E172" s="55" t="s">
        <v>21</v>
      </c>
      <c r="F172" s="18" t="s">
        <v>23</v>
      </c>
      <c r="G172" s="18" t="s">
        <v>21</v>
      </c>
      <c r="H172" s="18" t="s">
        <v>21</v>
      </c>
      <c r="I172" s="18" t="s">
        <v>21</v>
      </c>
      <c r="J172" s="43" t="s">
        <v>20</v>
      </c>
      <c r="K172" s="43" t="s">
        <v>20</v>
      </c>
      <c r="L172" s="43" t="s">
        <v>21</v>
      </c>
      <c r="M172" s="18" t="s">
        <v>20</v>
      </c>
      <c r="N172" s="18" t="s">
        <v>20</v>
      </c>
      <c r="O172" s="18" t="s">
        <v>21</v>
      </c>
      <c r="P172" s="18" t="s">
        <v>21</v>
      </c>
      <c r="Q172" s="18" t="s">
        <v>21</v>
      </c>
      <c r="R172" s="18" t="s">
        <v>21</v>
      </c>
      <c r="S172" s="18" t="s">
        <v>20</v>
      </c>
      <c r="T172" s="18" t="s">
        <v>20</v>
      </c>
      <c r="U172" s="18" t="s">
        <v>21</v>
      </c>
      <c r="V172" s="49" t="s">
        <v>20</v>
      </c>
      <c r="W172" s="37" t="s">
        <v>20</v>
      </c>
      <c r="X172" s="37" t="s">
        <v>20</v>
      </c>
      <c r="Y172" s="18" t="s">
        <v>20</v>
      </c>
      <c r="Z172" s="18" t="s">
        <v>21</v>
      </c>
      <c r="AA172" s="20" t="s">
        <v>21</v>
      </c>
      <c r="AB172" s="20" t="s">
        <v>21</v>
      </c>
      <c r="AC172" s="20" t="s">
        <v>21</v>
      </c>
      <c r="AD172" s="29" t="s">
        <v>21</v>
      </c>
      <c r="AE172" s="29" t="s">
        <v>21</v>
      </c>
      <c r="AG172">
        <f t="shared" si="18"/>
        <v>0</v>
      </c>
      <c r="AH172">
        <f t="shared" si="19"/>
        <v>10</v>
      </c>
      <c r="AI172">
        <f t="shared" si="20"/>
        <v>15</v>
      </c>
      <c r="AJ172">
        <f t="shared" si="21"/>
        <v>1</v>
      </c>
      <c r="AL172">
        <f t="shared" si="22"/>
        <v>0</v>
      </c>
      <c r="AM172">
        <f t="shared" si="23"/>
        <v>30</v>
      </c>
      <c r="AN172">
        <f t="shared" si="24"/>
        <v>30</v>
      </c>
      <c r="AO172">
        <f t="shared" si="25"/>
        <v>1</v>
      </c>
      <c r="AP172">
        <f t="shared" si="26"/>
        <v>61</v>
      </c>
    </row>
    <row r="173" spans="1:42" ht="15.75" hidden="1" customHeight="1" x14ac:dyDescent="0.3">
      <c r="A173" s="16"/>
      <c r="B173" s="55">
        <v>20</v>
      </c>
      <c r="C173" s="56" t="s">
        <v>191</v>
      </c>
      <c r="D173" s="55">
        <v>4</v>
      </c>
      <c r="E173" s="55" t="s">
        <v>21</v>
      </c>
      <c r="F173" s="18" t="s">
        <v>20</v>
      </c>
      <c r="G173" s="18" t="s">
        <v>20</v>
      </c>
      <c r="H173" s="18" t="s">
        <v>20</v>
      </c>
      <c r="I173" s="18" t="s">
        <v>39</v>
      </c>
      <c r="J173" s="43" t="s">
        <v>20</v>
      </c>
      <c r="K173" s="43" t="s">
        <v>39</v>
      </c>
      <c r="L173" s="43" t="s">
        <v>20</v>
      </c>
      <c r="M173" s="18" t="s">
        <v>20</v>
      </c>
      <c r="N173" s="18" t="s">
        <v>20</v>
      </c>
      <c r="O173" s="18" t="s">
        <v>20</v>
      </c>
      <c r="P173" s="18" t="s">
        <v>20</v>
      </c>
      <c r="Q173" s="18" t="s">
        <v>20</v>
      </c>
      <c r="R173" s="18" t="s">
        <v>20</v>
      </c>
      <c r="S173" s="18" t="s">
        <v>20</v>
      </c>
      <c r="T173" s="18" t="s">
        <v>20</v>
      </c>
      <c r="U173" s="18" t="s">
        <v>20</v>
      </c>
      <c r="V173" s="50" t="s">
        <v>20</v>
      </c>
      <c r="W173" s="37" t="s">
        <v>20</v>
      </c>
      <c r="X173" s="37" t="s">
        <v>20</v>
      </c>
      <c r="Y173" s="18" t="s">
        <v>39</v>
      </c>
      <c r="Z173" s="18" t="s">
        <v>39</v>
      </c>
      <c r="AA173" s="20" t="s">
        <v>20</v>
      </c>
      <c r="AB173" s="20" t="s">
        <v>20</v>
      </c>
      <c r="AC173" s="20" t="s">
        <v>20</v>
      </c>
      <c r="AD173" s="29" t="s">
        <v>20</v>
      </c>
      <c r="AE173" s="29" t="s">
        <v>21</v>
      </c>
      <c r="AG173">
        <f t="shared" si="18"/>
        <v>4</v>
      </c>
      <c r="AH173">
        <f t="shared" si="19"/>
        <v>21</v>
      </c>
      <c r="AI173">
        <f t="shared" si="20"/>
        <v>1</v>
      </c>
      <c r="AJ173">
        <f t="shared" si="21"/>
        <v>0</v>
      </c>
      <c r="AL173">
        <f t="shared" si="22"/>
        <v>16</v>
      </c>
      <c r="AM173">
        <f t="shared" si="23"/>
        <v>63</v>
      </c>
      <c r="AN173">
        <f t="shared" si="24"/>
        <v>2</v>
      </c>
      <c r="AO173">
        <f t="shared" si="25"/>
        <v>0</v>
      </c>
      <c r="AP173">
        <f t="shared" si="26"/>
        <v>81</v>
      </c>
    </row>
    <row r="174" spans="1:42" ht="15.75" hidden="1" customHeight="1" x14ac:dyDescent="0.3">
      <c r="A174" s="16"/>
      <c r="B174" s="55">
        <v>21</v>
      </c>
      <c r="C174" s="56" t="s">
        <v>192</v>
      </c>
      <c r="D174" s="55">
        <v>4</v>
      </c>
      <c r="E174" s="55" t="s">
        <v>21</v>
      </c>
      <c r="F174" s="18" t="s">
        <v>21</v>
      </c>
      <c r="G174" s="18" t="s">
        <v>23</v>
      </c>
      <c r="H174" s="18" t="s">
        <v>23</v>
      </c>
      <c r="I174" s="18" t="s">
        <v>23</v>
      </c>
      <c r="J174" s="43" t="s">
        <v>20</v>
      </c>
      <c r="K174" s="43" t="s">
        <v>21</v>
      </c>
      <c r="L174" s="43" t="s">
        <v>21</v>
      </c>
      <c r="M174" s="18" t="s">
        <v>21</v>
      </c>
      <c r="N174" s="18" t="s">
        <v>21</v>
      </c>
      <c r="O174" s="18" t="s">
        <v>21</v>
      </c>
      <c r="P174" s="18" t="s">
        <v>21</v>
      </c>
      <c r="Q174" s="18" t="s">
        <v>21</v>
      </c>
      <c r="R174" s="18" t="s">
        <v>23</v>
      </c>
      <c r="S174" s="18" t="s">
        <v>21</v>
      </c>
      <c r="T174" s="18" t="s">
        <v>20</v>
      </c>
      <c r="U174" s="18" t="s">
        <v>20</v>
      </c>
      <c r="V174" s="49" t="s">
        <v>20</v>
      </c>
      <c r="W174" s="37" t="s">
        <v>20</v>
      </c>
      <c r="X174" s="37" t="s">
        <v>20</v>
      </c>
      <c r="Y174" s="18" t="s">
        <v>21</v>
      </c>
      <c r="Z174" s="18" t="s">
        <v>21</v>
      </c>
      <c r="AA174" s="20" t="s">
        <v>21</v>
      </c>
      <c r="AB174" s="20" t="s">
        <v>21</v>
      </c>
      <c r="AC174" s="20" t="s">
        <v>20</v>
      </c>
      <c r="AD174" s="29" t="s">
        <v>21</v>
      </c>
      <c r="AE174" s="29" t="s">
        <v>21</v>
      </c>
      <c r="AG174">
        <f t="shared" si="18"/>
        <v>0</v>
      </c>
      <c r="AH174">
        <f t="shared" si="19"/>
        <v>7</v>
      </c>
      <c r="AI174">
        <f t="shared" si="20"/>
        <v>15</v>
      </c>
      <c r="AJ174">
        <f t="shared" si="21"/>
        <v>4</v>
      </c>
      <c r="AL174">
        <f t="shared" si="22"/>
        <v>0</v>
      </c>
      <c r="AM174">
        <f t="shared" si="23"/>
        <v>21</v>
      </c>
      <c r="AN174">
        <f t="shared" si="24"/>
        <v>30</v>
      </c>
      <c r="AO174">
        <f t="shared" si="25"/>
        <v>4</v>
      </c>
      <c r="AP174">
        <f t="shared" si="26"/>
        <v>55</v>
      </c>
    </row>
    <row r="175" spans="1:42" ht="15.75" hidden="1" customHeight="1" x14ac:dyDescent="0.3">
      <c r="A175" s="16"/>
      <c r="B175" s="55">
        <v>22</v>
      </c>
      <c r="C175" s="56" t="s">
        <v>193</v>
      </c>
      <c r="D175" s="55">
        <v>4</v>
      </c>
      <c r="E175" s="55" t="s">
        <v>21</v>
      </c>
      <c r="F175" s="18" t="s">
        <v>20</v>
      </c>
      <c r="G175" s="18" t="s">
        <v>39</v>
      </c>
      <c r="H175" s="18" t="s">
        <v>39</v>
      </c>
      <c r="I175" s="18" t="s">
        <v>39</v>
      </c>
      <c r="J175" s="43" t="s">
        <v>20</v>
      </c>
      <c r="K175" s="43" t="s">
        <v>20</v>
      </c>
      <c r="L175" s="43" t="s">
        <v>20</v>
      </c>
      <c r="M175" s="18" t="s">
        <v>20</v>
      </c>
      <c r="N175" s="18" t="s">
        <v>20</v>
      </c>
      <c r="O175" s="18" t="s">
        <v>20</v>
      </c>
      <c r="P175" s="18" t="s">
        <v>20</v>
      </c>
      <c r="Q175" s="18" t="s">
        <v>21</v>
      </c>
      <c r="R175" s="18" t="s">
        <v>21</v>
      </c>
      <c r="S175" s="18" t="s">
        <v>20</v>
      </c>
      <c r="T175" s="18" t="s">
        <v>20</v>
      </c>
      <c r="U175" s="18" t="s">
        <v>20</v>
      </c>
      <c r="V175" s="49" t="s">
        <v>20</v>
      </c>
      <c r="W175" s="37" t="s">
        <v>20</v>
      </c>
      <c r="X175" s="37" t="s">
        <v>20</v>
      </c>
      <c r="Y175" s="18" t="s">
        <v>20</v>
      </c>
      <c r="Z175" s="18" t="s">
        <v>20</v>
      </c>
      <c r="AA175" s="20" t="s">
        <v>20</v>
      </c>
      <c r="AB175" s="20" t="s">
        <v>21</v>
      </c>
      <c r="AC175" s="20" t="s">
        <v>20</v>
      </c>
      <c r="AD175" s="29" t="s">
        <v>55</v>
      </c>
      <c r="AE175" s="29" t="s">
        <v>55</v>
      </c>
      <c r="AG175">
        <f t="shared" si="18"/>
        <v>3</v>
      </c>
      <c r="AH175">
        <f t="shared" si="19"/>
        <v>18</v>
      </c>
      <c r="AI175">
        <f t="shared" si="20"/>
        <v>3</v>
      </c>
      <c r="AJ175">
        <f t="shared" si="21"/>
        <v>0</v>
      </c>
      <c r="AL175">
        <f t="shared" si="22"/>
        <v>12</v>
      </c>
      <c r="AM175">
        <f t="shared" si="23"/>
        <v>54</v>
      </c>
      <c r="AN175">
        <f t="shared" si="24"/>
        <v>6</v>
      </c>
      <c r="AO175">
        <f t="shared" si="25"/>
        <v>0</v>
      </c>
      <c r="AP175">
        <f t="shared" si="26"/>
        <v>72</v>
      </c>
    </row>
    <row r="176" spans="1:42" ht="15.75" hidden="1" customHeight="1" x14ac:dyDescent="0.3">
      <c r="A176" s="16"/>
      <c r="B176" s="55">
        <v>23</v>
      </c>
      <c r="C176" s="56" t="s">
        <v>194</v>
      </c>
      <c r="D176" s="55">
        <v>4</v>
      </c>
      <c r="E176" s="55" t="s">
        <v>21</v>
      </c>
      <c r="F176" s="18" t="s">
        <v>20</v>
      </c>
      <c r="G176" s="18" t="s">
        <v>20</v>
      </c>
      <c r="H176" s="18" t="s">
        <v>20</v>
      </c>
      <c r="I176" s="18" t="s">
        <v>20</v>
      </c>
      <c r="J176" s="43" t="s">
        <v>20</v>
      </c>
      <c r="K176" s="43" t="s">
        <v>20</v>
      </c>
      <c r="L176" s="43" t="s">
        <v>21</v>
      </c>
      <c r="M176" s="18" t="s">
        <v>20</v>
      </c>
      <c r="N176" s="18" t="s">
        <v>21</v>
      </c>
      <c r="O176" s="18" t="s">
        <v>20</v>
      </c>
      <c r="P176" s="18" t="s">
        <v>20</v>
      </c>
      <c r="Q176" s="18" t="s">
        <v>20</v>
      </c>
      <c r="R176" s="18" t="s">
        <v>20</v>
      </c>
      <c r="S176" s="18" t="s">
        <v>20</v>
      </c>
      <c r="T176" s="18" t="s">
        <v>20</v>
      </c>
      <c r="U176" s="18" t="s">
        <v>20</v>
      </c>
      <c r="V176" s="49" t="s">
        <v>20</v>
      </c>
      <c r="W176" s="37" t="s">
        <v>20</v>
      </c>
      <c r="X176" s="37" t="s">
        <v>20</v>
      </c>
      <c r="Y176" s="18" t="s">
        <v>20</v>
      </c>
      <c r="Z176" s="18" t="s">
        <v>20</v>
      </c>
      <c r="AA176" s="20" t="s">
        <v>21</v>
      </c>
      <c r="AB176" s="20" t="s">
        <v>21</v>
      </c>
      <c r="AC176" s="20" t="s">
        <v>20</v>
      </c>
      <c r="AD176" s="29" t="s">
        <v>20</v>
      </c>
      <c r="AE176" s="29" t="s">
        <v>21</v>
      </c>
      <c r="AG176">
        <f t="shared" si="18"/>
        <v>0</v>
      </c>
      <c r="AH176">
        <f t="shared" si="19"/>
        <v>21</v>
      </c>
      <c r="AI176">
        <f t="shared" si="20"/>
        <v>5</v>
      </c>
      <c r="AJ176">
        <f t="shared" si="21"/>
        <v>0</v>
      </c>
      <c r="AL176">
        <f t="shared" si="22"/>
        <v>0</v>
      </c>
      <c r="AM176">
        <f t="shared" si="23"/>
        <v>63</v>
      </c>
      <c r="AN176">
        <f t="shared" si="24"/>
        <v>10</v>
      </c>
      <c r="AO176">
        <f t="shared" si="25"/>
        <v>0</v>
      </c>
      <c r="AP176">
        <f t="shared" si="26"/>
        <v>73</v>
      </c>
    </row>
    <row r="177" spans="1:42" ht="15.75" hidden="1" customHeight="1" x14ac:dyDescent="0.3">
      <c r="A177" s="16"/>
      <c r="B177" s="55">
        <v>24</v>
      </c>
      <c r="C177" s="56" t="s">
        <v>195</v>
      </c>
      <c r="D177" s="55">
        <v>4</v>
      </c>
      <c r="E177" s="55" t="s">
        <v>21</v>
      </c>
      <c r="F177" s="18" t="s">
        <v>20</v>
      </c>
      <c r="G177" s="18" t="s">
        <v>20</v>
      </c>
      <c r="H177" s="18" t="s">
        <v>20</v>
      </c>
      <c r="I177" s="18" t="s">
        <v>20</v>
      </c>
      <c r="J177" s="43" t="s">
        <v>20</v>
      </c>
      <c r="K177" s="43" t="s">
        <v>20</v>
      </c>
      <c r="L177" s="43" t="s">
        <v>20</v>
      </c>
      <c r="M177" s="18" t="s">
        <v>20</v>
      </c>
      <c r="N177" s="18" t="s">
        <v>20</v>
      </c>
      <c r="O177" s="18" t="s">
        <v>20</v>
      </c>
      <c r="P177" s="18" t="s">
        <v>21</v>
      </c>
      <c r="Q177" s="18" t="s">
        <v>21</v>
      </c>
      <c r="R177" s="18" t="s">
        <v>20</v>
      </c>
      <c r="S177" s="18" t="s">
        <v>20</v>
      </c>
      <c r="T177" s="18" t="s">
        <v>20</v>
      </c>
      <c r="U177" s="18" t="s">
        <v>20</v>
      </c>
      <c r="V177" s="49" t="s">
        <v>20</v>
      </c>
      <c r="W177" s="37" t="s">
        <v>20</v>
      </c>
      <c r="X177" s="37" t="s">
        <v>20</v>
      </c>
      <c r="Y177" s="18" t="s">
        <v>20</v>
      </c>
      <c r="Z177" s="18" t="s">
        <v>20</v>
      </c>
      <c r="AA177" s="20" t="s">
        <v>20</v>
      </c>
      <c r="AB177" s="20" t="s">
        <v>20</v>
      </c>
      <c r="AC177" s="20" t="s">
        <v>20</v>
      </c>
      <c r="AD177" s="29" t="s">
        <v>20</v>
      </c>
      <c r="AE177" s="29" t="s">
        <v>21</v>
      </c>
      <c r="AG177">
        <f t="shared" si="18"/>
        <v>0</v>
      </c>
      <c r="AH177">
        <f t="shared" si="19"/>
        <v>23</v>
      </c>
      <c r="AI177">
        <f t="shared" si="20"/>
        <v>3</v>
      </c>
      <c r="AJ177">
        <f t="shared" si="21"/>
        <v>0</v>
      </c>
      <c r="AL177">
        <f t="shared" si="22"/>
        <v>0</v>
      </c>
      <c r="AM177">
        <f t="shared" si="23"/>
        <v>69</v>
      </c>
      <c r="AN177">
        <f t="shared" si="24"/>
        <v>6</v>
      </c>
      <c r="AO177">
        <f t="shared" si="25"/>
        <v>0</v>
      </c>
      <c r="AP177">
        <f t="shared" si="26"/>
        <v>75</v>
      </c>
    </row>
    <row r="178" spans="1:42" ht="15.75" hidden="1" customHeight="1" thickBot="1" x14ac:dyDescent="0.35">
      <c r="A178" s="16"/>
      <c r="B178" s="57">
        <v>25</v>
      </c>
      <c r="C178" s="58" t="s">
        <v>196</v>
      </c>
      <c r="D178" s="57">
        <v>4</v>
      </c>
      <c r="E178" s="57" t="s">
        <v>21</v>
      </c>
      <c r="F178" s="21" t="s">
        <v>20</v>
      </c>
      <c r="G178" s="21" t="s">
        <v>20</v>
      </c>
      <c r="H178" s="21" t="s">
        <v>20</v>
      </c>
      <c r="I178" s="21" t="s">
        <v>20</v>
      </c>
      <c r="J178" s="45" t="s">
        <v>20</v>
      </c>
      <c r="K178" s="45" t="s">
        <v>39</v>
      </c>
      <c r="L178" s="45" t="s">
        <v>20</v>
      </c>
      <c r="M178" s="21" t="s">
        <v>20</v>
      </c>
      <c r="N178" s="21" t="s">
        <v>20</v>
      </c>
      <c r="O178" s="21" t="s">
        <v>20</v>
      </c>
      <c r="P178" s="21" t="s">
        <v>20</v>
      </c>
      <c r="Q178" s="21" t="s">
        <v>20</v>
      </c>
      <c r="R178" s="21" t="s">
        <v>20</v>
      </c>
      <c r="S178" s="21" t="s">
        <v>20</v>
      </c>
      <c r="T178" s="41" t="s">
        <v>20</v>
      </c>
      <c r="U178" s="21" t="s">
        <v>20</v>
      </c>
      <c r="V178" s="51" t="s">
        <v>20</v>
      </c>
      <c r="W178" s="38" t="s">
        <v>20</v>
      </c>
      <c r="X178" s="38" t="s">
        <v>20</v>
      </c>
      <c r="Y178" s="21" t="s">
        <v>20</v>
      </c>
      <c r="Z178" s="21" t="s">
        <v>21</v>
      </c>
      <c r="AA178" s="23" t="s">
        <v>20</v>
      </c>
      <c r="AB178" s="23" t="s">
        <v>21</v>
      </c>
      <c r="AC178" s="23" t="s">
        <v>20</v>
      </c>
      <c r="AD178" s="31" t="s">
        <v>20</v>
      </c>
      <c r="AE178" s="31" t="s">
        <v>21</v>
      </c>
      <c r="AG178">
        <f t="shared" si="18"/>
        <v>1</v>
      </c>
      <c r="AH178">
        <f t="shared" si="19"/>
        <v>22</v>
      </c>
      <c r="AI178">
        <f t="shared" si="20"/>
        <v>3</v>
      </c>
      <c r="AJ178">
        <f t="shared" si="21"/>
        <v>0</v>
      </c>
      <c r="AL178">
        <f t="shared" si="22"/>
        <v>4</v>
      </c>
      <c r="AM178">
        <f t="shared" si="23"/>
        <v>66</v>
      </c>
      <c r="AN178">
        <f t="shared" si="24"/>
        <v>6</v>
      </c>
      <c r="AO178">
        <f t="shared" si="25"/>
        <v>0</v>
      </c>
      <c r="AP178">
        <f t="shared" si="26"/>
        <v>76</v>
      </c>
    </row>
    <row r="179" spans="1:42" ht="15.75" hidden="1" customHeight="1" x14ac:dyDescent="0.3">
      <c r="A179" s="16"/>
      <c r="B179" s="59">
        <v>1</v>
      </c>
      <c r="C179" s="60" t="s">
        <v>197</v>
      </c>
      <c r="D179" s="59">
        <v>5</v>
      </c>
      <c r="E179" s="59" t="s">
        <v>20</v>
      </c>
      <c r="F179" s="24" t="s">
        <v>20</v>
      </c>
      <c r="G179" s="24" t="s">
        <v>20</v>
      </c>
      <c r="H179" s="24" t="s">
        <v>39</v>
      </c>
      <c r="I179" s="24" t="s">
        <v>39</v>
      </c>
      <c r="J179" s="42" t="s">
        <v>20</v>
      </c>
      <c r="K179" s="42" t="s">
        <v>20</v>
      </c>
      <c r="L179" s="42" t="s">
        <v>20</v>
      </c>
      <c r="M179" s="24" t="s">
        <v>20</v>
      </c>
      <c r="N179" s="24" t="s">
        <v>20</v>
      </c>
      <c r="O179" s="24" t="s">
        <v>20</v>
      </c>
      <c r="P179" s="24" t="s">
        <v>21</v>
      </c>
      <c r="Q179" s="24" t="s">
        <v>21</v>
      </c>
      <c r="R179" s="24" t="s">
        <v>21</v>
      </c>
      <c r="S179" s="24" t="s">
        <v>20</v>
      </c>
      <c r="T179" s="24" t="s">
        <v>21</v>
      </c>
      <c r="U179" s="24" t="s">
        <v>21</v>
      </c>
      <c r="V179" s="52" t="s">
        <v>20</v>
      </c>
      <c r="W179" s="39" t="s">
        <v>21</v>
      </c>
      <c r="X179" s="39" t="s">
        <v>21</v>
      </c>
      <c r="Y179" s="24" t="s">
        <v>20</v>
      </c>
      <c r="Z179" s="24" t="s">
        <v>20</v>
      </c>
      <c r="AA179" s="27" t="s">
        <v>20</v>
      </c>
      <c r="AB179" s="27" t="s">
        <v>20</v>
      </c>
      <c r="AC179" s="27" t="s">
        <v>21</v>
      </c>
      <c r="AD179" s="34" t="s">
        <v>20</v>
      </c>
      <c r="AE179" s="34" t="s">
        <v>21</v>
      </c>
      <c r="AG179">
        <f t="shared" si="18"/>
        <v>2</v>
      </c>
      <c r="AH179">
        <f t="shared" si="19"/>
        <v>15</v>
      </c>
      <c r="AI179">
        <f t="shared" si="20"/>
        <v>9</v>
      </c>
      <c r="AJ179">
        <f t="shared" si="21"/>
        <v>0</v>
      </c>
      <c r="AL179">
        <f t="shared" si="22"/>
        <v>8</v>
      </c>
      <c r="AM179">
        <f t="shared" si="23"/>
        <v>45</v>
      </c>
      <c r="AN179">
        <f t="shared" si="24"/>
        <v>18</v>
      </c>
      <c r="AO179">
        <f t="shared" si="25"/>
        <v>0</v>
      </c>
      <c r="AP179">
        <f t="shared" si="26"/>
        <v>71</v>
      </c>
    </row>
    <row r="180" spans="1:42" ht="15.75" hidden="1" customHeight="1" x14ac:dyDescent="0.3">
      <c r="A180" s="16"/>
      <c r="B180" s="55">
        <v>2</v>
      </c>
      <c r="C180" s="56" t="s">
        <v>198</v>
      </c>
      <c r="D180" s="55">
        <v>5</v>
      </c>
      <c r="E180" s="55" t="s">
        <v>20</v>
      </c>
      <c r="F180" s="18" t="s">
        <v>20</v>
      </c>
      <c r="G180" s="18" t="s">
        <v>20</v>
      </c>
      <c r="H180" s="18" t="s">
        <v>20</v>
      </c>
      <c r="I180" s="18" t="s">
        <v>20</v>
      </c>
      <c r="J180" s="43" t="s">
        <v>20</v>
      </c>
      <c r="K180" s="43" t="s">
        <v>20</v>
      </c>
      <c r="L180" s="43" t="s">
        <v>20</v>
      </c>
      <c r="M180" s="18" t="s">
        <v>20</v>
      </c>
      <c r="N180" s="18" t="s">
        <v>20</v>
      </c>
      <c r="O180" s="18" t="s">
        <v>20</v>
      </c>
      <c r="P180" s="18" t="s">
        <v>21</v>
      </c>
      <c r="Q180" s="18" t="s">
        <v>20</v>
      </c>
      <c r="R180" s="18" t="s">
        <v>20</v>
      </c>
      <c r="S180" s="18" t="s">
        <v>20</v>
      </c>
      <c r="T180" s="18" t="s">
        <v>21</v>
      </c>
      <c r="U180" s="18" t="s">
        <v>20</v>
      </c>
      <c r="V180" s="49" t="s">
        <v>20</v>
      </c>
      <c r="W180" s="37" t="s">
        <v>20</v>
      </c>
      <c r="X180" s="37" t="s">
        <v>20</v>
      </c>
      <c r="Y180" s="18" t="s">
        <v>21</v>
      </c>
      <c r="Z180" s="18" t="s">
        <v>20</v>
      </c>
      <c r="AA180" s="20" t="s">
        <v>21</v>
      </c>
      <c r="AB180" s="20" t="s">
        <v>20</v>
      </c>
      <c r="AC180" s="20" t="s">
        <v>20</v>
      </c>
      <c r="AD180" s="29" t="s">
        <v>20</v>
      </c>
      <c r="AE180" s="29" t="s">
        <v>21</v>
      </c>
      <c r="AG180">
        <f t="shared" si="18"/>
        <v>0</v>
      </c>
      <c r="AH180">
        <f t="shared" si="19"/>
        <v>21</v>
      </c>
      <c r="AI180">
        <f t="shared" si="20"/>
        <v>5</v>
      </c>
      <c r="AJ180">
        <f t="shared" si="21"/>
        <v>0</v>
      </c>
      <c r="AL180">
        <f t="shared" si="22"/>
        <v>0</v>
      </c>
      <c r="AM180">
        <f t="shared" si="23"/>
        <v>63</v>
      </c>
      <c r="AN180">
        <f t="shared" si="24"/>
        <v>10</v>
      </c>
      <c r="AO180">
        <f t="shared" si="25"/>
        <v>0</v>
      </c>
      <c r="AP180">
        <f t="shared" si="26"/>
        <v>73</v>
      </c>
    </row>
    <row r="181" spans="1:42" ht="15.75" hidden="1" customHeight="1" x14ac:dyDescent="0.3">
      <c r="A181" s="16"/>
      <c r="B181" s="55">
        <v>3</v>
      </c>
      <c r="C181" s="56" t="s">
        <v>199</v>
      </c>
      <c r="D181" s="55">
        <v>5</v>
      </c>
      <c r="E181" s="55" t="s">
        <v>20</v>
      </c>
      <c r="F181" s="18" t="s">
        <v>23</v>
      </c>
      <c r="G181" s="18" t="s">
        <v>23</v>
      </c>
      <c r="H181" s="18" t="s">
        <v>21</v>
      </c>
      <c r="I181" s="18" t="s">
        <v>21</v>
      </c>
      <c r="J181" s="43" t="s">
        <v>20</v>
      </c>
      <c r="K181" s="43" t="s">
        <v>20</v>
      </c>
      <c r="L181" s="43" t="s">
        <v>21</v>
      </c>
      <c r="M181" s="18" t="s">
        <v>20</v>
      </c>
      <c r="N181" s="18" t="s">
        <v>20</v>
      </c>
      <c r="O181" s="18" t="s">
        <v>20</v>
      </c>
      <c r="P181" s="18" t="s">
        <v>21</v>
      </c>
      <c r="Q181" s="18" t="s">
        <v>21</v>
      </c>
      <c r="R181" s="18" t="s">
        <v>20</v>
      </c>
      <c r="S181" s="18" t="s">
        <v>21</v>
      </c>
      <c r="T181" s="18" t="s">
        <v>20</v>
      </c>
      <c r="U181" s="18" t="s">
        <v>20</v>
      </c>
      <c r="V181" s="49" t="s">
        <v>20</v>
      </c>
      <c r="W181" s="37" t="s">
        <v>20</v>
      </c>
      <c r="X181" s="37" t="s">
        <v>20</v>
      </c>
      <c r="Y181" s="18" t="s">
        <v>20</v>
      </c>
      <c r="Z181" s="18" t="s">
        <v>20</v>
      </c>
      <c r="AA181" s="20" t="s">
        <v>21</v>
      </c>
      <c r="AB181" s="20" t="s">
        <v>21</v>
      </c>
      <c r="AC181" s="20" t="s">
        <v>21</v>
      </c>
      <c r="AD181" s="29" t="s">
        <v>20</v>
      </c>
      <c r="AE181" s="29" t="s">
        <v>21</v>
      </c>
      <c r="AG181">
        <f t="shared" si="18"/>
        <v>0</v>
      </c>
      <c r="AH181">
        <f t="shared" si="19"/>
        <v>14</v>
      </c>
      <c r="AI181">
        <f t="shared" si="20"/>
        <v>10</v>
      </c>
      <c r="AJ181">
        <f t="shared" si="21"/>
        <v>2</v>
      </c>
      <c r="AL181">
        <f t="shared" si="22"/>
        <v>0</v>
      </c>
      <c r="AM181">
        <f t="shared" si="23"/>
        <v>42</v>
      </c>
      <c r="AN181">
        <f t="shared" si="24"/>
        <v>20</v>
      </c>
      <c r="AO181">
        <f t="shared" si="25"/>
        <v>2</v>
      </c>
      <c r="AP181">
        <f t="shared" si="26"/>
        <v>64</v>
      </c>
    </row>
    <row r="182" spans="1:42" ht="15.75" hidden="1" customHeight="1" x14ac:dyDescent="0.3">
      <c r="A182" s="16"/>
      <c r="B182" s="55">
        <v>4</v>
      </c>
      <c r="C182" s="56" t="s">
        <v>200</v>
      </c>
      <c r="D182" s="55">
        <v>5</v>
      </c>
      <c r="E182" s="55" t="s">
        <v>20</v>
      </c>
      <c r="F182" s="18" t="s">
        <v>23</v>
      </c>
      <c r="G182" s="18" t="s">
        <v>23</v>
      </c>
      <c r="H182" s="18" t="s">
        <v>23</v>
      </c>
      <c r="I182" s="18" t="s">
        <v>23</v>
      </c>
      <c r="J182" s="43" t="s">
        <v>21</v>
      </c>
      <c r="K182" s="43" t="s">
        <v>21</v>
      </c>
      <c r="L182" s="43" t="s">
        <v>21</v>
      </c>
      <c r="M182" s="18" t="s">
        <v>21</v>
      </c>
      <c r="N182" s="18" t="s">
        <v>21</v>
      </c>
      <c r="O182" s="18" t="s">
        <v>20</v>
      </c>
      <c r="P182" s="18" t="s">
        <v>23</v>
      </c>
      <c r="Q182" s="18" t="s">
        <v>21</v>
      </c>
      <c r="R182" s="18" t="s">
        <v>21</v>
      </c>
      <c r="S182" s="18" t="s">
        <v>21</v>
      </c>
      <c r="T182" s="18" t="s">
        <v>21</v>
      </c>
      <c r="U182" s="18" t="s">
        <v>20</v>
      </c>
      <c r="V182" s="49" t="s">
        <v>20</v>
      </c>
      <c r="W182" s="37" t="s">
        <v>20</v>
      </c>
      <c r="X182" s="37" t="s">
        <v>20</v>
      </c>
      <c r="Y182" s="18" t="s">
        <v>20</v>
      </c>
      <c r="Z182" s="18" t="s">
        <v>20</v>
      </c>
      <c r="AA182" s="20" t="s">
        <v>21</v>
      </c>
      <c r="AB182" s="20" t="s">
        <v>21</v>
      </c>
      <c r="AC182" s="20" t="s">
        <v>21</v>
      </c>
      <c r="AD182" s="29" t="s">
        <v>21</v>
      </c>
      <c r="AE182" s="29" t="s">
        <v>21</v>
      </c>
      <c r="AG182">
        <f t="shared" si="18"/>
        <v>0</v>
      </c>
      <c r="AH182">
        <f t="shared" si="19"/>
        <v>7</v>
      </c>
      <c r="AI182">
        <f t="shared" si="20"/>
        <v>14</v>
      </c>
      <c r="AJ182">
        <f t="shared" si="21"/>
        <v>5</v>
      </c>
      <c r="AL182">
        <f t="shared" si="22"/>
        <v>0</v>
      </c>
      <c r="AM182">
        <f t="shared" si="23"/>
        <v>21</v>
      </c>
      <c r="AN182">
        <f t="shared" si="24"/>
        <v>28</v>
      </c>
      <c r="AO182">
        <f t="shared" si="25"/>
        <v>5</v>
      </c>
      <c r="AP182">
        <f t="shared" si="26"/>
        <v>54</v>
      </c>
    </row>
    <row r="183" spans="1:42" ht="15.75" hidden="1" customHeight="1" x14ac:dyDescent="0.3">
      <c r="A183" s="16"/>
      <c r="B183" s="55">
        <v>5</v>
      </c>
      <c r="C183" s="56" t="s">
        <v>201</v>
      </c>
      <c r="D183" s="55">
        <v>5</v>
      </c>
      <c r="E183" s="55" t="s">
        <v>20</v>
      </c>
      <c r="F183" s="18" t="s">
        <v>20</v>
      </c>
      <c r="G183" s="18" t="s">
        <v>20</v>
      </c>
      <c r="H183" s="18" t="s">
        <v>39</v>
      </c>
      <c r="I183" s="18" t="s">
        <v>39</v>
      </c>
      <c r="J183" s="43" t="s">
        <v>20</v>
      </c>
      <c r="K183" s="43" t="s">
        <v>20</v>
      </c>
      <c r="L183" s="43" t="s">
        <v>20</v>
      </c>
      <c r="M183" s="18" t="s">
        <v>20</v>
      </c>
      <c r="N183" s="18" t="s">
        <v>20</v>
      </c>
      <c r="O183" s="18" t="s">
        <v>20</v>
      </c>
      <c r="P183" s="18" t="s">
        <v>20</v>
      </c>
      <c r="Q183" s="18" t="s">
        <v>21</v>
      </c>
      <c r="R183" s="18" t="s">
        <v>21</v>
      </c>
      <c r="S183" s="18" t="s">
        <v>20</v>
      </c>
      <c r="T183" s="18" t="s">
        <v>21</v>
      </c>
      <c r="U183" s="18" t="s">
        <v>20</v>
      </c>
      <c r="V183" s="50" t="s">
        <v>20</v>
      </c>
      <c r="W183" s="37" t="s">
        <v>20</v>
      </c>
      <c r="X183" s="37" t="s">
        <v>20</v>
      </c>
      <c r="Y183" s="18" t="s">
        <v>20</v>
      </c>
      <c r="Z183" s="18" t="s">
        <v>20</v>
      </c>
      <c r="AA183" s="20" t="s">
        <v>21</v>
      </c>
      <c r="AB183" s="20" t="s">
        <v>21</v>
      </c>
      <c r="AC183" s="20" t="s">
        <v>21</v>
      </c>
      <c r="AD183" s="29" t="s">
        <v>20</v>
      </c>
      <c r="AE183" s="29" t="s">
        <v>21</v>
      </c>
      <c r="AG183">
        <f t="shared" si="18"/>
        <v>2</v>
      </c>
      <c r="AH183">
        <f t="shared" si="19"/>
        <v>17</v>
      </c>
      <c r="AI183">
        <f t="shared" si="20"/>
        <v>7</v>
      </c>
      <c r="AJ183">
        <f t="shared" si="21"/>
        <v>0</v>
      </c>
      <c r="AL183">
        <f t="shared" si="22"/>
        <v>8</v>
      </c>
      <c r="AM183">
        <f t="shared" si="23"/>
        <v>51</v>
      </c>
      <c r="AN183">
        <f t="shared" si="24"/>
        <v>14</v>
      </c>
      <c r="AO183">
        <f t="shared" si="25"/>
        <v>0</v>
      </c>
      <c r="AP183">
        <f t="shared" si="26"/>
        <v>73</v>
      </c>
    </row>
    <row r="184" spans="1:42" ht="15.75" hidden="1" customHeight="1" x14ac:dyDescent="0.3">
      <c r="A184" s="16"/>
      <c r="B184" s="55">
        <v>6</v>
      </c>
      <c r="C184" s="56" t="s">
        <v>202</v>
      </c>
      <c r="D184" s="55">
        <v>5</v>
      </c>
      <c r="E184" s="55" t="s">
        <v>20</v>
      </c>
      <c r="F184" s="18" t="s">
        <v>20</v>
      </c>
      <c r="G184" s="18" t="s">
        <v>20</v>
      </c>
      <c r="H184" s="18" t="s">
        <v>39</v>
      </c>
      <c r="I184" s="18" t="s">
        <v>39</v>
      </c>
      <c r="J184" s="43" t="s">
        <v>20</v>
      </c>
      <c r="K184" s="43" t="s">
        <v>20</v>
      </c>
      <c r="L184" s="43" t="s">
        <v>20</v>
      </c>
      <c r="M184" s="18" t="s">
        <v>20</v>
      </c>
      <c r="N184" s="18" t="s">
        <v>20</v>
      </c>
      <c r="O184" s="18" t="s">
        <v>20</v>
      </c>
      <c r="P184" s="18" t="s">
        <v>21</v>
      </c>
      <c r="Q184" s="18" t="s">
        <v>21</v>
      </c>
      <c r="R184" s="18" t="s">
        <v>21</v>
      </c>
      <c r="S184" s="18" t="s">
        <v>21</v>
      </c>
      <c r="T184" s="18" t="s">
        <v>20</v>
      </c>
      <c r="U184" s="18" t="s">
        <v>20</v>
      </c>
      <c r="V184" s="49" t="s">
        <v>20</v>
      </c>
      <c r="W184" s="37" t="s">
        <v>20</v>
      </c>
      <c r="X184" s="53" t="s">
        <v>20</v>
      </c>
      <c r="Y184" s="18" t="s">
        <v>20</v>
      </c>
      <c r="Z184" s="18" t="s">
        <v>20</v>
      </c>
      <c r="AA184" s="20" t="s">
        <v>20</v>
      </c>
      <c r="AB184" s="20" t="s">
        <v>20</v>
      </c>
      <c r="AC184" s="20" t="s">
        <v>20</v>
      </c>
      <c r="AD184" s="29" t="s">
        <v>20</v>
      </c>
      <c r="AE184" s="29" t="s">
        <v>21</v>
      </c>
      <c r="AG184">
        <f t="shared" si="18"/>
        <v>2</v>
      </c>
      <c r="AH184">
        <f t="shared" si="19"/>
        <v>19</v>
      </c>
      <c r="AI184">
        <f t="shared" si="20"/>
        <v>5</v>
      </c>
      <c r="AJ184">
        <f t="shared" si="21"/>
        <v>0</v>
      </c>
      <c r="AL184">
        <f t="shared" si="22"/>
        <v>8</v>
      </c>
      <c r="AM184">
        <f t="shared" si="23"/>
        <v>57</v>
      </c>
      <c r="AN184">
        <f t="shared" si="24"/>
        <v>10</v>
      </c>
      <c r="AO184">
        <f t="shared" si="25"/>
        <v>0</v>
      </c>
      <c r="AP184">
        <f t="shared" si="26"/>
        <v>75</v>
      </c>
    </row>
    <row r="185" spans="1:42" ht="15.75" hidden="1" customHeight="1" x14ac:dyDescent="0.3">
      <c r="A185" s="16"/>
      <c r="B185" s="55">
        <v>7</v>
      </c>
      <c r="C185" s="56" t="s">
        <v>203</v>
      </c>
      <c r="D185" s="55">
        <v>5</v>
      </c>
      <c r="E185" s="55" t="s">
        <v>20</v>
      </c>
      <c r="F185" s="18" t="s">
        <v>23</v>
      </c>
      <c r="G185" s="18" t="s">
        <v>21</v>
      </c>
      <c r="H185" s="18" t="s">
        <v>23</v>
      </c>
      <c r="I185" s="18" t="s">
        <v>21</v>
      </c>
      <c r="J185" s="43" t="s">
        <v>20</v>
      </c>
      <c r="K185" s="43" t="s">
        <v>20</v>
      </c>
      <c r="L185" s="43" t="s">
        <v>21</v>
      </c>
      <c r="M185" s="18" t="s">
        <v>21</v>
      </c>
      <c r="N185" s="18" t="s">
        <v>20</v>
      </c>
      <c r="O185" s="18" t="s">
        <v>20</v>
      </c>
      <c r="P185" s="18" t="s">
        <v>21</v>
      </c>
      <c r="Q185" s="18" t="s">
        <v>20</v>
      </c>
      <c r="R185" s="18" t="s">
        <v>20</v>
      </c>
      <c r="S185" s="18" t="s">
        <v>21</v>
      </c>
      <c r="T185" s="18" t="s">
        <v>21</v>
      </c>
      <c r="U185" s="18" t="s">
        <v>20</v>
      </c>
      <c r="V185" s="49" t="s">
        <v>20</v>
      </c>
      <c r="W185" s="37" t="s">
        <v>20</v>
      </c>
      <c r="X185" s="37" t="s">
        <v>20</v>
      </c>
      <c r="Y185" s="18" t="s">
        <v>20</v>
      </c>
      <c r="Z185" s="18" t="s">
        <v>21</v>
      </c>
      <c r="AA185" s="20" t="s">
        <v>21</v>
      </c>
      <c r="AB185" s="20" t="s">
        <v>20</v>
      </c>
      <c r="AC185" s="20" t="s">
        <v>21</v>
      </c>
      <c r="AD185" s="29" t="s">
        <v>20</v>
      </c>
      <c r="AE185" s="29" t="s">
        <v>21</v>
      </c>
      <c r="AG185">
        <f t="shared" si="18"/>
        <v>0</v>
      </c>
      <c r="AH185">
        <f t="shared" si="19"/>
        <v>13</v>
      </c>
      <c r="AI185">
        <f t="shared" si="20"/>
        <v>11</v>
      </c>
      <c r="AJ185">
        <f t="shared" si="21"/>
        <v>2</v>
      </c>
      <c r="AL185">
        <f t="shared" si="22"/>
        <v>0</v>
      </c>
      <c r="AM185">
        <f t="shared" si="23"/>
        <v>39</v>
      </c>
      <c r="AN185">
        <f t="shared" si="24"/>
        <v>22</v>
      </c>
      <c r="AO185">
        <f t="shared" si="25"/>
        <v>2</v>
      </c>
      <c r="AP185">
        <f t="shared" si="26"/>
        <v>63</v>
      </c>
    </row>
    <row r="186" spans="1:42" ht="15.75" hidden="1" customHeight="1" x14ac:dyDescent="0.3">
      <c r="A186" s="16"/>
      <c r="B186" s="55">
        <v>8</v>
      </c>
      <c r="C186" s="56" t="s">
        <v>204</v>
      </c>
      <c r="D186" s="55">
        <v>5</v>
      </c>
      <c r="E186" s="55" t="s">
        <v>20</v>
      </c>
      <c r="F186" s="18" t="s">
        <v>21</v>
      </c>
      <c r="G186" s="18" t="s">
        <v>21</v>
      </c>
      <c r="H186" s="18" t="s">
        <v>21</v>
      </c>
      <c r="I186" s="18" t="s">
        <v>21</v>
      </c>
      <c r="J186" s="43" t="s">
        <v>21</v>
      </c>
      <c r="K186" s="43" t="s">
        <v>21</v>
      </c>
      <c r="L186" s="43" t="s">
        <v>21</v>
      </c>
      <c r="M186" s="18" t="s">
        <v>21</v>
      </c>
      <c r="N186" s="18" t="s">
        <v>20</v>
      </c>
      <c r="O186" s="18" t="s">
        <v>20</v>
      </c>
      <c r="P186" s="18" t="s">
        <v>21</v>
      </c>
      <c r="Q186" s="18" t="s">
        <v>23</v>
      </c>
      <c r="R186" s="18" t="s">
        <v>21</v>
      </c>
      <c r="S186" s="18" t="s">
        <v>21</v>
      </c>
      <c r="T186" s="18" t="s">
        <v>21</v>
      </c>
      <c r="U186" s="18" t="s">
        <v>21</v>
      </c>
      <c r="V186" s="49" t="s">
        <v>21</v>
      </c>
      <c r="W186" s="37" t="s">
        <v>20</v>
      </c>
      <c r="X186" s="37" t="s">
        <v>20</v>
      </c>
      <c r="Y186" s="18" t="s">
        <v>21</v>
      </c>
      <c r="Z186" s="18" t="s">
        <v>21</v>
      </c>
      <c r="AA186" s="20" t="s">
        <v>21</v>
      </c>
      <c r="AB186" s="20" t="s">
        <v>21</v>
      </c>
      <c r="AC186" s="20" t="s">
        <v>21</v>
      </c>
      <c r="AD186" s="29" t="s">
        <v>21</v>
      </c>
      <c r="AE186" s="29" t="s">
        <v>21</v>
      </c>
      <c r="AG186">
        <f t="shared" si="18"/>
        <v>0</v>
      </c>
      <c r="AH186">
        <f t="shared" si="19"/>
        <v>4</v>
      </c>
      <c r="AI186">
        <f t="shared" si="20"/>
        <v>21</v>
      </c>
      <c r="AJ186">
        <f t="shared" si="21"/>
        <v>1</v>
      </c>
      <c r="AL186">
        <f t="shared" si="22"/>
        <v>0</v>
      </c>
      <c r="AM186">
        <f t="shared" si="23"/>
        <v>12</v>
      </c>
      <c r="AN186">
        <f t="shared" si="24"/>
        <v>42</v>
      </c>
      <c r="AO186">
        <f t="shared" si="25"/>
        <v>1</v>
      </c>
      <c r="AP186">
        <f t="shared" si="26"/>
        <v>55</v>
      </c>
    </row>
    <row r="187" spans="1:42" ht="15.75" hidden="1" customHeight="1" x14ac:dyDescent="0.3">
      <c r="A187" s="16"/>
      <c r="B187" s="55">
        <v>9</v>
      </c>
      <c r="C187" s="56" t="s">
        <v>205</v>
      </c>
      <c r="D187" s="55">
        <v>5</v>
      </c>
      <c r="E187" s="55" t="s">
        <v>20</v>
      </c>
      <c r="F187" s="18" t="s">
        <v>20</v>
      </c>
      <c r="G187" s="18" t="s">
        <v>20</v>
      </c>
      <c r="H187" s="18" t="s">
        <v>20</v>
      </c>
      <c r="I187" s="18" t="s">
        <v>20</v>
      </c>
      <c r="J187" s="43" t="s">
        <v>20</v>
      </c>
      <c r="K187" s="43" t="s">
        <v>20</v>
      </c>
      <c r="L187" s="43" t="s">
        <v>20</v>
      </c>
      <c r="M187" s="18" t="s">
        <v>20</v>
      </c>
      <c r="N187" s="18" t="s">
        <v>20</v>
      </c>
      <c r="O187" s="18" t="s">
        <v>20</v>
      </c>
      <c r="P187" s="18" t="s">
        <v>21</v>
      </c>
      <c r="Q187" s="18" t="s">
        <v>21</v>
      </c>
      <c r="R187" s="18" t="s">
        <v>20</v>
      </c>
      <c r="S187" s="18" t="s">
        <v>20</v>
      </c>
      <c r="T187" s="18" t="s">
        <v>21</v>
      </c>
      <c r="U187" s="18" t="s">
        <v>21</v>
      </c>
      <c r="V187" s="49" t="s">
        <v>20</v>
      </c>
      <c r="W187" s="37" t="s">
        <v>20</v>
      </c>
      <c r="X187" s="37" t="s">
        <v>20</v>
      </c>
      <c r="Y187" s="18" t="s">
        <v>20</v>
      </c>
      <c r="Z187" s="18" t="s">
        <v>20</v>
      </c>
      <c r="AA187" s="20" t="s">
        <v>20</v>
      </c>
      <c r="AB187" s="20" t="s">
        <v>20</v>
      </c>
      <c r="AC187" s="20" t="s">
        <v>20</v>
      </c>
      <c r="AD187" s="29" t="s">
        <v>20</v>
      </c>
      <c r="AE187" s="29" t="s">
        <v>21</v>
      </c>
      <c r="AG187">
        <f t="shared" si="18"/>
        <v>0</v>
      </c>
      <c r="AH187">
        <f t="shared" si="19"/>
        <v>21</v>
      </c>
      <c r="AI187">
        <f t="shared" si="20"/>
        <v>5</v>
      </c>
      <c r="AJ187">
        <f t="shared" si="21"/>
        <v>0</v>
      </c>
      <c r="AL187">
        <f t="shared" si="22"/>
        <v>0</v>
      </c>
      <c r="AM187">
        <f t="shared" si="23"/>
        <v>63</v>
      </c>
      <c r="AN187">
        <f t="shared" si="24"/>
        <v>10</v>
      </c>
      <c r="AO187">
        <f t="shared" si="25"/>
        <v>0</v>
      </c>
      <c r="AP187">
        <f t="shared" si="26"/>
        <v>73</v>
      </c>
    </row>
    <row r="188" spans="1:42" ht="15.75" hidden="1" customHeight="1" x14ac:dyDescent="0.3">
      <c r="A188" s="16"/>
      <c r="B188" s="55">
        <v>10</v>
      </c>
      <c r="C188" s="56" t="s">
        <v>206</v>
      </c>
      <c r="D188" s="55">
        <v>5</v>
      </c>
      <c r="E188" s="55" t="s">
        <v>20</v>
      </c>
      <c r="F188" s="18" t="s">
        <v>20</v>
      </c>
      <c r="G188" s="18" t="s">
        <v>20</v>
      </c>
      <c r="H188" s="18" t="s">
        <v>20</v>
      </c>
      <c r="I188" s="18" t="s">
        <v>20</v>
      </c>
      <c r="J188" s="43" t="s">
        <v>20</v>
      </c>
      <c r="K188" s="43" t="s">
        <v>20</v>
      </c>
      <c r="L188" s="43" t="s">
        <v>21</v>
      </c>
      <c r="M188" s="18" t="s">
        <v>20</v>
      </c>
      <c r="N188" s="18" t="s">
        <v>20</v>
      </c>
      <c r="O188" s="18" t="s">
        <v>20</v>
      </c>
      <c r="P188" s="18" t="s">
        <v>21</v>
      </c>
      <c r="Q188" s="18" t="s">
        <v>21</v>
      </c>
      <c r="R188" s="18" t="s">
        <v>20</v>
      </c>
      <c r="S188" s="18" t="s">
        <v>20</v>
      </c>
      <c r="T188" s="18" t="s">
        <v>21</v>
      </c>
      <c r="U188" s="18" t="s">
        <v>20</v>
      </c>
      <c r="V188" s="49" t="s">
        <v>20</v>
      </c>
      <c r="W188" s="37" t="s">
        <v>20</v>
      </c>
      <c r="X188" s="37" t="s">
        <v>21</v>
      </c>
      <c r="Y188" s="18" t="s">
        <v>20</v>
      </c>
      <c r="Z188" s="18" t="s">
        <v>20</v>
      </c>
      <c r="AA188" s="20" t="s">
        <v>39</v>
      </c>
      <c r="AB188" s="20" t="s">
        <v>20</v>
      </c>
      <c r="AC188" s="20" t="s">
        <v>20</v>
      </c>
      <c r="AD188" s="29" t="s">
        <v>20</v>
      </c>
      <c r="AE188" s="29" t="s">
        <v>21</v>
      </c>
      <c r="AG188">
        <f t="shared" si="18"/>
        <v>1</v>
      </c>
      <c r="AH188">
        <f t="shared" si="19"/>
        <v>19</v>
      </c>
      <c r="AI188">
        <f t="shared" si="20"/>
        <v>6</v>
      </c>
      <c r="AJ188">
        <f t="shared" si="21"/>
        <v>0</v>
      </c>
      <c r="AL188">
        <f t="shared" si="22"/>
        <v>4</v>
      </c>
      <c r="AM188">
        <f t="shared" si="23"/>
        <v>57</v>
      </c>
      <c r="AN188">
        <f t="shared" si="24"/>
        <v>12</v>
      </c>
      <c r="AO188">
        <f t="shared" si="25"/>
        <v>0</v>
      </c>
      <c r="AP188">
        <f t="shared" si="26"/>
        <v>73</v>
      </c>
    </row>
    <row r="189" spans="1:42" ht="15.75" hidden="1" customHeight="1" x14ac:dyDescent="0.3">
      <c r="A189" s="16"/>
      <c r="B189" s="55">
        <v>11</v>
      </c>
      <c r="C189" s="56" t="s">
        <v>207</v>
      </c>
      <c r="D189" s="55">
        <v>5</v>
      </c>
      <c r="E189" s="55" t="s">
        <v>20</v>
      </c>
      <c r="F189" s="18" t="s">
        <v>20</v>
      </c>
      <c r="G189" s="18" t="s">
        <v>20</v>
      </c>
      <c r="H189" s="18" t="s">
        <v>39</v>
      </c>
      <c r="I189" s="18" t="s">
        <v>20</v>
      </c>
      <c r="J189" s="43" t="s">
        <v>20</v>
      </c>
      <c r="K189" s="43" t="s">
        <v>20</v>
      </c>
      <c r="L189" s="43" t="s">
        <v>20</v>
      </c>
      <c r="M189" s="18" t="s">
        <v>20</v>
      </c>
      <c r="N189" s="18" t="s">
        <v>20</v>
      </c>
      <c r="O189" s="18" t="s">
        <v>20</v>
      </c>
      <c r="P189" s="18" t="s">
        <v>20</v>
      </c>
      <c r="Q189" s="18" t="s">
        <v>20</v>
      </c>
      <c r="R189" s="18" t="s">
        <v>21</v>
      </c>
      <c r="S189" s="18" t="s">
        <v>20</v>
      </c>
      <c r="T189" s="18" t="s">
        <v>21</v>
      </c>
      <c r="U189" s="18" t="s">
        <v>20</v>
      </c>
      <c r="V189" s="49" t="s">
        <v>20</v>
      </c>
      <c r="W189" s="37" t="s">
        <v>20</v>
      </c>
      <c r="X189" s="37" t="s">
        <v>20</v>
      </c>
      <c r="Y189" s="18" t="s">
        <v>20</v>
      </c>
      <c r="Z189" s="18" t="s">
        <v>20</v>
      </c>
      <c r="AA189" s="20" t="s">
        <v>20</v>
      </c>
      <c r="AB189" s="20" t="s">
        <v>20</v>
      </c>
      <c r="AC189" s="20" t="s">
        <v>21</v>
      </c>
      <c r="AD189" s="29" t="s">
        <v>20</v>
      </c>
      <c r="AE189" s="29" t="s">
        <v>21</v>
      </c>
      <c r="AG189">
        <f t="shared" si="18"/>
        <v>1</v>
      </c>
      <c r="AH189">
        <f t="shared" si="19"/>
        <v>21</v>
      </c>
      <c r="AI189">
        <f t="shared" si="20"/>
        <v>4</v>
      </c>
      <c r="AJ189">
        <f t="shared" si="21"/>
        <v>0</v>
      </c>
      <c r="AL189">
        <f t="shared" si="22"/>
        <v>4</v>
      </c>
      <c r="AM189">
        <f t="shared" si="23"/>
        <v>63</v>
      </c>
      <c r="AN189">
        <f t="shared" si="24"/>
        <v>8</v>
      </c>
      <c r="AO189">
        <f t="shared" si="25"/>
        <v>0</v>
      </c>
      <c r="AP189">
        <f t="shared" si="26"/>
        <v>75</v>
      </c>
    </row>
    <row r="190" spans="1:42" ht="15.75" hidden="1" customHeight="1" x14ac:dyDescent="0.3">
      <c r="A190" s="16"/>
      <c r="B190" s="55">
        <v>12</v>
      </c>
      <c r="C190" s="56" t="s">
        <v>208</v>
      </c>
      <c r="D190" s="55">
        <v>5</v>
      </c>
      <c r="E190" s="55" t="s">
        <v>20</v>
      </c>
      <c r="F190" s="18" t="s">
        <v>20</v>
      </c>
      <c r="G190" s="18" t="s">
        <v>39</v>
      </c>
      <c r="H190" s="18" t="s">
        <v>20</v>
      </c>
      <c r="I190" s="18" t="s">
        <v>39</v>
      </c>
      <c r="J190" s="43" t="s">
        <v>20</v>
      </c>
      <c r="K190" s="43" t="s">
        <v>39</v>
      </c>
      <c r="L190" s="43" t="s">
        <v>20</v>
      </c>
      <c r="M190" s="18" t="s">
        <v>20</v>
      </c>
      <c r="N190" s="18" t="s">
        <v>20</v>
      </c>
      <c r="O190" s="18" t="s">
        <v>20</v>
      </c>
      <c r="P190" s="18" t="s">
        <v>20</v>
      </c>
      <c r="Q190" s="18" t="s">
        <v>20</v>
      </c>
      <c r="R190" s="18" t="s">
        <v>20</v>
      </c>
      <c r="S190" s="18" t="s">
        <v>20</v>
      </c>
      <c r="T190" s="18" t="s">
        <v>20</v>
      </c>
      <c r="U190" s="18" t="s">
        <v>20</v>
      </c>
      <c r="V190" s="49" t="s">
        <v>20</v>
      </c>
      <c r="W190" s="37" t="s">
        <v>20</v>
      </c>
      <c r="X190" s="37" t="s">
        <v>20</v>
      </c>
      <c r="Y190" s="18" t="s">
        <v>39</v>
      </c>
      <c r="Z190" s="18" t="s">
        <v>39</v>
      </c>
      <c r="AA190" s="20" t="s">
        <v>20</v>
      </c>
      <c r="AB190" s="20" t="s">
        <v>20</v>
      </c>
      <c r="AC190" s="20" t="s">
        <v>20</v>
      </c>
      <c r="AD190" s="29" t="s">
        <v>20</v>
      </c>
      <c r="AE190" s="29" t="s">
        <v>21</v>
      </c>
      <c r="AG190">
        <f t="shared" si="18"/>
        <v>5</v>
      </c>
      <c r="AH190">
        <f t="shared" si="19"/>
        <v>20</v>
      </c>
      <c r="AI190">
        <f t="shared" si="20"/>
        <v>1</v>
      </c>
      <c r="AJ190">
        <f t="shared" si="21"/>
        <v>0</v>
      </c>
      <c r="AL190">
        <f t="shared" si="22"/>
        <v>20</v>
      </c>
      <c r="AM190">
        <f t="shared" si="23"/>
        <v>60</v>
      </c>
      <c r="AN190">
        <f t="shared" si="24"/>
        <v>2</v>
      </c>
      <c r="AO190">
        <f t="shared" si="25"/>
        <v>0</v>
      </c>
      <c r="AP190">
        <f t="shared" si="26"/>
        <v>82</v>
      </c>
    </row>
    <row r="191" spans="1:42" ht="15.75" hidden="1" customHeight="1" x14ac:dyDescent="0.3">
      <c r="A191" s="16"/>
      <c r="B191" s="55">
        <v>13</v>
      </c>
      <c r="C191" s="56" t="s">
        <v>209</v>
      </c>
      <c r="D191" s="55">
        <v>5</v>
      </c>
      <c r="E191" s="55" t="s">
        <v>20</v>
      </c>
      <c r="F191" s="18" t="s">
        <v>20</v>
      </c>
      <c r="G191" s="18" t="s">
        <v>20</v>
      </c>
      <c r="H191" s="18" t="s">
        <v>20</v>
      </c>
      <c r="I191" s="18" t="s">
        <v>20</v>
      </c>
      <c r="J191" s="43" t="s">
        <v>20</v>
      </c>
      <c r="K191" s="43" t="s">
        <v>20</v>
      </c>
      <c r="L191" s="43" t="s">
        <v>20</v>
      </c>
      <c r="M191" s="18" t="s">
        <v>20</v>
      </c>
      <c r="N191" s="18" t="s">
        <v>20</v>
      </c>
      <c r="O191" s="18" t="s">
        <v>20</v>
      </c>
      <c r="P191" s="18" t="s">
        <v>21</v>
      </c>
      <c r="Q191" s="18" t="s">
        <v>21</v>
      </c>
      <c r="R191" s="18" t="s">
        <v>20</v>
      </c>
      <c r="S191" s="18" t="s">
        <v>21</v>
      </c>
      <c r="T191" s="18" t="s">
        <v>21</v>
      </c>
      <c r="U191" s="18" t="s">
        <v>20</v>
      </c>
      <c r="V191" s="49" t="s">
        <v>20</v>
      </c>
      <c r="W191" s="37" t="s">
        <v>20</v>
      </c>
      <c r="X191" s="37" t="s">
        <v>20</v>
      </c>
      <c r="Y191" s="18" t="s">
        <v>20</v>
      </c>
      <c r="Z191" s="18" t="s">
        <v>39</v>
      </c>
      <c r="AA191" s="20" t="s">
        <v>39</v>
      </c>
      <c r="AB191" s="20" t="s">
        <v>20</v>
      </c>
      <c r="AC191" s="20" t="s">
        <v>39</v>
      </c>
      <c r="AD191" s="29" t="s">
        <v>20</v>
      </c>
      <c r="AE191" s="29" t="s">
        <v>21</v>
      </c>
      <c r="AG191">
        <f t="shared" si="18"/>
        <v>3</v>
      </c>
      <c r="AH191">
        <f t="shared" si="19"/>
        <v>18</v>
      </c>
      <c r="AI191">
        <f t="shared" si="20"/>
        <v>5</v>
      </c>
      <c r="AJ191">
        <f t="shared" si="21"/>
        <v>0</v>
      </c>
      <c r="AL191">
        <f t="shared" si="22"/>
        <v>12</v>
      </c>
      <c r="AM191">
        <f t="shared" si="23"/>
        <v>54</v>
      </c>
      <c r="AN191">
        <f t="shared" si="24"/>
        <v>10</v>
      </c>
      <c r="AO191">
        <f t="shared" si="25"/>
        <v>0</v>
      </c>
      <c r="AP191">
        <f t="shared" si="26"/>
        <v>76</v>
      </c>
    </row>
    <row r="192" spans="1:42" ht="15.75" hidden="1" customHeight="1" x14ac:dyDescent="0.3">
      <c r="A192" s="16"/>
      <c r="B192" s="55">
        <v>14</v>
      </c>
      <c r="C192" s="56" t="s">
        <v>210</v>
      </c>
      <c r="D192" s="55">
        <v>5</v>
      </c>
      <c r="E192" s="55" t="s">
        <v>20</v>
      </c>
      <c r="F192" s="18" t="s">
        <v>20</v>
      </c>
      <c r="G192" s="18" t="s">
        <v>20</v>
      </c>
      <c r="H192" s="18" t="s">
        <v>39</v>
      </c>
      <c r="I192" s="18" t="s">
        <v>20</v>
      </c>
      <c r="J192" s="43" t="s">
        <v>20</v>
      </c>
      <c r="K192" s="43" t="s">
        <v>39</v>
      </c>
      <c r="L192" s="43" t="s">
        <v>20</v>
      </c>
      <c r="M192" s="18" t="s">
        <v>21</v>
      </c>
      <c r="N192" s="18" t="s">
        <v>20</v>
      </c>
      <c r="O192" s="18" t="s">
        <v>20</v>
      </c>
      <c r="P192" s="18" t="s">
        <v>20</v>
      </c>
      <c r="Q192" s="18" t="s">
        <v>20</v>
      </c>
      <c r="R192" s="18" t="s">
        <v>20</v>
      </c>
      <c r="S192" s="18" t="s">
        <v>20</v>
      </c>
      <c r="T192" s="18" t="s">
        <v>21</v>
      </c>
      <c r="U192" s="18" t="s">
        <v>20</v>
      </c>
      <c r="V192" s="37" t="s">
        <v>20</v>
      </c>
      <c r="W192" s="37" t="s">
        <v>20</v>
      </c>
      <c r="X192" s="37" t="s">
        <v>20</v>
      </c>
      <c r="Y192" s="18" t="s">
        <v>20</v>
      </c>
      <c r="Z192" s="18" t="s">
        <v>39</v>
      </c>
      <c r="AA192" s="20" t="s">
        <v>21</v>
      </c>
      <c r="AB192" s="20" t="s">
        <v>20</v>
      </c>
      <c r="AC192" s="20" t="s">
        <v>20</v>
      </c>
      <c r="AD192" s="18" t="s">
        <v>20</v>
      </c>
      <c r="AE192" s="18" t="s">
        <v>21</v>
      </c>
      <c r="AG192">
        <f t="shared" si="18"/>
        <v>3</v>
      </c>
      <c r="AH192">
        <f t="shared" si="19"/>
        <v>19</v>
      </c>
      <c r="AI192">
        <f t="shared" si="20"/>
        <v>4</v>
      </c>
      <c r="AJ192">
        <f t="shared" si="21"/>
        <v>0</v>
      </c>
      <c r="AL192">
        <f t="shared" si="22"/>
        <v>12</v>
      </c>
      <c r="AM192">
        <f t="shared" si="23"/>
        <v>57</v>
      </c>
      <c r="AN192">
        <f t="shared" si="24"/>
        <v>8</v>
      </c>
      <c r="AO192">
        <f t="shared" si="25"/>
        <v>0</v>
      </c>
      <c r="AP192">
        <f t="shared" si="26"/>
        <v>77</v>
      </c>
    </row>
    <row r="193" spans="1:42" ht="15.75" hidden="1" customHeight="1" x14ac:dyDescent="0.3">
      <c r="A193" s="16"/>
      <c r="B193" s="55">
        <v>15</v>
      </c>
      <c r="C193" s="56" t="s">
        <v>211</v>
      </c>
      <c r="D193" s="55">
        <v>5</v>
      </c>
      <c r="E193" s="55" t="s">
        <v>20</v>
      </c>
      <c r="F193" s="18" t="s">
        <v>21</v>
      </c>
      <c r="G193" s="18" t="s">
        <v>21</v>
      </c>
      <c r="H193" s="18" t="s">
        <v>21</v>
      </c>
      <c r="I193" s="18" t="s">
        <v>21</v>
      </c>
      <c r="J193" s="43" t="s">
        <v>20</v>
      </c>
      <c r="K193" s="43" t="s">
        <v>20</v>
      </c>
      <c r="L193" s="43" t="s">
        <v>21</v>
      </c>
      <c r="M193" s="18" t="s">
        <v>20</v>
      </c>
      <c r="N193" s="18" t="s">
        <v>21</v>
      </c>
      <c r="O193" s="18" t="s">
        <v>20</v>
      </c>
      <c r="P193" s="18" t="s">
        <v>20</v>
      </c>
      <c r="Q193" s="18" t="s">
        <v>21</v>
      </c>
      <c r="R193" s="18" t="s">
        <v>21</v>
      </c>
      <c r="S193" s="18" t="s">
        <v>21</v>
      </c>
      <c r="T193" s="18" t="s">
        <v>21</v>
      </c>
      <c r="U193" s="18" t="s">
        <v>20</v>
      </c>
      <c r="V193" s="37" t="s">
        <v>20</v>
      </c>
      <c r="W193" s="37" t="s">
        <v>20</v>
      </c>
      <c r="X193" s="37" t="s">
        <v>20</v>
      </c>
      <c r="Y193" s="18" t="s">
        <v>21</v>
      </c>
      <c r="Z193" s="18" t="s">
        <v>21</v>
      </c>
      <c r="AA193" s="20" t="s">
        <v>21</v>
      </c>
      <c r="AB193" s="20" t="s">
        <v>21</v>
      </c>
      <c r="AC193" s="20" t="s">
        <v>20</v>
      </c>
      <c r="AD193" s="18" t="s">
        <v>20</v>
      </c>
      <c r="AE193" s="18" t="s">
        <v>21</v>
      </c>
      <c r="AG193">
        <f t="shared" si="18"/>
        <v>0</v>
      </c>
      <c r="AH193">
        <f t="shared" si="19"/>
        <v>11</v>
      </c>
      <c r="AI193">
        <f t="shared" si="20"/>
        <v>15</v>
      </c>
      <c r="AJ193">
        <f t="shared" si="21"/>
        <v>0</v>
      </c>
      <c r="AL193">
        <f t="shared" si="22"/>
        <v>0</v>
      </c>
      <c r="AM193">
        <f t="shared" si="23"/>
        <v>33</v>
      </c>
      <c r="AN193">
        <f t="shared" si="24"/>
        <v>30</v>
      </c>
      <c r="AO193">
        <f t="shared" si="25"/>
        <v>0</v>
      </c>
      <c r="AP193">
        <f t="shared" si="26"/>
        <v>63</v>
      </c>
    </row>
    <row r="194" spans="1:42" ht="15.75" hidden="1" customHeight="1" x14ac:dyDescent="0.3">
      <c r="A194" s="16"/>
      <c r="B194" s="55">
        <v>16</v>
      </c>
      <c r="C194" s="56" t="s">
        <v>212</v>
      </c>
      <c r="D194" s="55">
        <v>5</v>
      </c>
      <c r="E194" s="55" t="s">
        <v>20</v>
      </c>
      <c r="F194" s="18" t="s">
        <v>20</v>
      </c>
      <c r="G194" s="18" t="s">
        <v>20</v>
      </c>
      <c r="H194" s="18" t="s">
        <v>39</v>
      </c>
      <c r="I194" s="18" t="s">
        <v>39</v>
      </c>
      <c r="J194" s="43" t="s">
        <v>20</v>
      </c>
      <c r="K194" s="43" t="s">
        <v>20</v>
      </c>
      <c r="L194" s="43" t="s">
        <v>20</v>
      </c>
      <c r="M194" s="18" t="s">
        <v>20</v>
      </c>
      <c r="N194" s="18" t="s">
        <v>20</v>
      </c>
      <c r="O194" s="18" t="s">
        <v>20</v>
      </c>
      <c r="P194" s="18" t="s">
        <v>21</v>
      </c>
      <c r="Q194" s="18" t="s">
        <v>21</v>
      </c>
      <c r="R194" s="18" t="s">
        <v>21</v>
      </c>
      <c r="S194" s="18" t="s">
        <v>20</v>
      </c>
      <c r="T194" s="18" t="s">
        <v>21</v>
      </c>
      <c r="U194" s="18" t="s">
        <v>20</v>
      </c>
      <c r="V194" s="37" t="s">
        <v>20</v>
      </c>
      <c r="W194" s="37" t="s">
        <v>20</v>
      </c>
      <c r="X194" s="37" t="s">
        <v>20</v>
      </c>
      <c r="Y194" s="18" t="s">
        <v>20</v>
      </c>
      <c r="Z194" s="18" t="s">
        <v>20</v>
      </c>
      <c r="AA194" s="20" t="s">
        <v>20</v>
      </c>
      <c r="AB194" s="20" t="s">
        <v>20</v>
      </c>
      <c r="AC194" s="20" t="s">
        <v>20</v>
      </c>
      <c r="AD194" s="18" t="s">
        <v>20</v>
      </c>
      <c r="AE194" s="18" t="s">
        <v>21</v>
      </c>
      <c r="AG194">
        <f t="shared" si="18"/>
        <v>2</v>
      </c>
      <c r="AH194">
        <f t="shared" si="19"/>
        <v>19</v>
      </c>
      <c r="AI194">
        <f t="shared" si="20"/>
        <v>5</v>
      </c>
      <c r="AJ194">
        <f t="shared" si="21"/>
        <v>0</v>
      </c>
      <c r="AL194">
        <f t="shared" si="22"/>
        <v>8</v>
      </c>
      <c r="AM194">
        <f t="shared" si="23"/>
        <v>57</v>
      </c>
      <c r="AN194">
        <f t="shared" si="24"/>
        <v>10</v>
      </c>
      <c r="AO194">
        <f t="shared" si="25"/>
        <v>0</v>
      </c>
      <c r="AP194">
        <f t="shared" si="26"/>
        <v>75</v>
      </c>
    </row>
    <row r="195" spans="1:42" ht="15.75" hidden="1" customHeight="1" x14ac:dyDescent="0.3">
      <c r="A195" s="16"/>
      <c r="B195" s="55">
        <v>17</v>
      </c>
      <c r="C195" s="56" t="s">
        <v>213</v>
      </c>
      <c r="D195" s="55">
        <v>5</v>
      </c>
      <c r="E195" s="55" t="s">
        <v>20</v>
      </c>
      <c r="F195" s="18" t="s">
        <v>23</v>
      </c>
      <c r="G195" s="18" t="s">
        <v>23</v>
      </c>
      <c r="H195" s="18" t="s">
        <v>23</v>
      </c>
      <c r="I195" s="18" t="s">
        <v>23</v>
      </c>
      <c r="J195" s="43" t="s">
        <v>21</v>
      </c>
      <c r="K195" s="43" t="s">
        <v>21</v>
      </c>
      <c r="L195" s="43" t="s">
        <v>21</v>
      </c>
      <c r="M195" s="18" t="s">
        <v>21</v>
      </c>
      <c r="N195" s="18" t="s">
        <v>21</v>
      </c>
      <c r="O195" s="18" t="s">
        <v>20</v>
      </c>
      <c r="P195" s="18" t="s">
        <v>23</v>
      </c>
      <c r="Q195" s="18" t="s">
        <v>21</v>
      </c>
      <c r="R195" s="18" t="s">
        <v>23</v>
      </c>
      <c r="S195" s="18" t="s">
        <v>21</v>
      </c>
      <c r="T195" s="18" t="s">
        <v>23</v>
      </c>
      <c r="U195" s="18" t="s">
        <v>20</v>
      </c>
      <c r="V195" s="37" t="s">
        <v>21</v>
      </c>
      <c r="W195" s="37" t="s">
        <v>21</v>
      </c>
      <c r="X195" s="37" t="s">
        <v>21</v>
      </c>
      <c r="Y195" s="18" t="s">
        <v>21</v>
      </c>
      <c r="Z195" s="18" t="s">
        <v>21</v>
      </c>
      <c r="AA195" s="20" t="s">
        <v>23</v>
      </c>
      <c r="AB195" s="20" t="s">
        <v>21</v>
      </c>
      <c r="AC195" s="20" t="s">
        <v>23</v>
      </c>
      <c r="AD195" s="18" t="s">
        <v>23</v>
      </c>
      <c r="AE195" s="18" t="s">
        <v>21</v>
      </c>
      <c r="AG195">
        <f t="shared" si="18"/>
        <v>0</v>
      </c>
      <c r="AH195">
        <f t="shared" si="19"/>
        <v>2</v>
      </c>
      <c r="AI195">
        <f t="shared" si="20"/>
        <v>14</v>
      </c>
      <c r="AJ195">
        <f t="shared" si="21"/>
        <v>10</v>
      </c>
      <c r="AL195">
        <f t="shared" si="22"/>
        <v>0</v>
      </c>
      <c r="AM195">
        <f t="shared" si="23"/>
        <v>6</v>
      </c>
      <c r="AN195">
        <f t="shared" si="24"/>
        <v>28</v>
      </c>
      <c r="AO195">
        <f t="shared" si="25"/>
        <v>10</v>
      </c>
      <c r="AP195">
        <f t="shared" si="26"/>
        <v>44</v>
      </c>
    </row>
    <row r="196" spans="1:42" ht="15.75" hidden="1" customHeight="1" x14ac:dyDescent="0.3">
      <c r="A196" s="16"/>
      <c r="B196" s="55">
        <v>18</v>
      </c>
      <c r="C196" s="56" t="s">
        <v>214</v>
      </c>
      <c r="D196" s="55">
        <v>5</v>
      </c>
      <c r="E196" s="55" t="s">
        <v>20</v>
      </c>
      <c r="F196" s="18" t="s">
        <v>20</v>
      </c>
      <c r="G196" s="18" t="s">
        <v>20</v>
      </c>
      <c r="H196" s="18" t="s">
        <v>20</v>
      </c>
      <c r="I196" s="18" t="s">
        <v>20</v>
      </c>
      <c r="J196" s="43" t="s">
        <v>20</v>
      </c>
      <c r="K196" s="43" t="s">
        <v>20</v>
      </c>
      <c r="L196" s="43" t="s">
        <v>21</v>
      </c>
      <c r="M196" s="18" t="s">
        <v>20</v>
      </c>
      <c r="N196" s="18" t="s">
        <v>20</v>
      </c>
      <c r="O196" s="18" t="s">
        <v>20</v>
      </c>
      <c r="P196" s="18" t="s">
        <v>21</v>
      </c>
      <c r="Q196" s="18" t="s">
        <v>20</v>
      </c>
      <c r="R196" s="18" t="s">
        <v>21</v>
      </c>
      <c r="S196" s="18" t="s">
        <v>21</v>
      </c>
      <c r="T196" s="18" t="s">
        <v>21</v>
      </c>
      <c r="U196" s="18" t="s">
        <v>20</v>
      </c>
      <c r="V196" s="37" t="s">
        <v>20</v>
      </c>
      <c r="W196" s="37" t="s">
        <v>20</v>
      </c>
      <c r="X196" s="37" t="s">
        <v>20</v>
      </c>
      <c r="Y196" s="18" t="s">
        <v>20</v>
      </c>
      <c r="Z196" s="18" t="s">
        <v>20</v>
      </c>
      <c r="AA196" s="20" t="s">
        <v>20</v>
      </c>
      <c r="AB196" s="20" t="s">
        <v>20</v>
      </c>
      <c r="AC196" s="20" t="s">
        <v>20</v>
      </c>
      <c r="AD196" s="18" t="s">
        <v>20</v>
      </c>
      <c r="AE196" s="18" t="s">
        <v>21</v>
      </c>
      <c r="AG196">
        <f t="shared" si="18"/>
        <v>0</v>
      </c>
      <c r="AH196">
        <f t="shared" si="19"/>
        <v>20</v>
      </c>
      <c r="AI196">
        <f t="shared" si="20"/>
        <v>6</v>
      </c>
      <c r="AJ196">
        <f t="shared" si="21"/>
        <v>0</v>
      </c>
      <c r="AL196">
        <f t="shared" si="22"/>
        <v>0</v>
      </c>
      <c r="AM196">
        <f t="shared" si="23"/>
        <v>60</v>
      </c>
      <c r="AN196">
        <f t="shared" si="24"/>
        <v>12</v>
      </c>
      <c r="AO196">
        <f t="shared" si="25"/>
        <v>0</v>
      </c>
      <c r="AP196">
        <f t="shared" si="26"/>
        <v>72</v>
      </c>
    </row>
    <row r="197" spans="1:42" ht="15.75" hidden="1" customHeight="1" x14ac:dyDescent="0.3">
      <c r="A197" s="16"/>
      <c r="B197" s="55">
        <v>19</v>
      </c>
      <c r="C197" s="56" t="s">
        <v>215</v>
      </c>
      <c r="D197" s="55">
        <v>5</v>
      </c>
      <c r="E197" s="55" t="s">
        <v>20</v>
      </c>
      <c r="F197" s="18" t="s">
        <v>20</v>
      </c>
      <c r="G197" s="18" t="s">
        <v>20</v>
      </c>
      <c r="H197" s="18" t="s">
        <v>20</v>
      </c>
      <c r="I197" s="18" t="s">
        <v>20</v>
      </c>
      <c r="J197" s="43" t="s">
        <v>20</v>
      </c>
      <c r="K197" s="43" t="s">
        <v>20</v>
      </c>
      <c r="L197" s="43" t="s">
        <v>20</v>
      </c>
      <c r="M197" s="18" t="s">
        <v>20</v>
      </c>
      <c r="N197" s="18" t="s">
        <v>20</v>
      </c>
      <c r="O197" s="18" t="s">
        <v>20</v>
      </c>
      <c r="P197" s="18" t="s">
        <v>21</v>
      </c>
      <c r="Q197" s="18" t="s">
        <v>21</v>
      </c>
      <c r="R197" s="18" t="s">
        <v>21</v>
      </c>
      <c r="S197" s="18" t="s">
        <v>21</v>
      </c>
      <c r="T197" s="18" t="s">
        <v>21</v>
      </c>
      <c r="U197" s="18" t="s">
        <v>21</v>
      </c>
      <c r="V197" s="37" t="s">
        <v>21</v>
      </c>
      <c r="W197" s="37" t="s">
        <v>20</v>
      </c>
      <c r="X197" s="37" t="s">
        <v>20</v>
      </c>
      <c r="Y197" s="18" t="s">
        <v>21</v>
      </c>
      <c r="Z197" s="18" t="s">
        <v>20</v>
      </c>
      <c r="AA197" s="20" t="s">
        <v>20</v>
      </c>
      <c r="AB197" s="20" t="s">
        <v>20</v>
      </c>
      <c r="AC197" s="20" t="s">
        <v>20</v>
      </c>
      <c r="AD197" s="18" t="s">
        <v>55</v>
      </c>
      <c r="AE197" s="18" t="s">
        <v>55</v>
      </c>
      <c r="AG197">
        <f t="shared" si="18"/>
        <v>0</v>
      </c>
      <c r="AH197">
        <f t="shared" si="19"/>
        <v>16</v>
      </c>
      <c r="AI197">
        <f t="shared" si="20"/>
        <v>8</v>
      </c>
      <c r="AJ197">
        <f t="shared" si="21"/>
        <v>0</v>
      </c>
      <c r="AL197">
        <f t="shared" si="22"/>
        <v>0</v>
      </c>
      <c r="AM197">
        <f t="shared" si="23"/>
        <v>48</v>
      </c>
      <c r="AN197">
        <f t="shared" si="24"/>
        <v>16</v>
      </c>
      <c r="AO197">
        <f t="shared" si="25"/>
        <v>0</v>
      </c>
      <c r="AP197">
        <f t="shared" si="26"/>
        <v>64</v>
      </c>
    </row>
    <row r="198" spans="1:42" ht="15.75" hidden="1" customHeight="1" x14ac:dyDescent="0.3">
      <c r="A198" s="16"/>
      <c r="B198" s="55">
        <v>20</v>
      </c>
      <c r="C198" s="56" t="s">
        <v>216</v>
      </c>
      <c r="D198" s="55">
        <v>5</v>
      </c>
      <c r="E198" s="55" t="s">
        <v>20</v>
      </c>
      <c r="F198" s="18" t="s">
        <v>39</v>
      </c>
      <c r="G198" s="18" t="s">
        <v>20</v>
      </c>
      <c r="H198" s="18" t="s">
        <v>20</v>
      </c>
      <c r="I198" s="18" t="s">
        <v>39</v>
      </c>
      <c r="J198" s="43" t="s">
        <v>20</v>
      </c>
      <c r="K198" s="43" t="s">
        <v>20</v>
      </c>
      <c r="L198" s="43" t="s">
        <v>20</v>
      </c>
      <c r="M198" s="18" t="s">
        <v>20</v>
      </c>
      <c r="N198" s="18" t="s">
        <v>20</v>
      </c>
      <c r="O198" s="18" t="s">
        <v>20</v>
      </c>
      <c r="P198" s="18" t="s">
        <v>21</v>
      </c>
      <c r="Q198" s="18" t="s">
        <v>20</v>
      </c>
      <c r="R198" s="18" t="s">
        <v>20</v>
      </c>
      <c r="S198" s="18" t="s">
        <v>21</v>
      </c>
      <c r="T198" s="18" t="s">
        <v>21</v>
      </c>
      <c r="U198" s="18" t="s">
        <v>20</v>
      </c>
      <c r="V198" s="37" t="s">
        <v>20</v>
      </c>
      <c r="W198" s="37" t="s">
        <v>20</v>
      </c>
      <c r="X198" s="37" t="s">
        <v>20</v>
      </c>
      <c r="Y198" s="18" t="s">
        <v>20</v>
      </c>
      <c r="Z198" s="18" t="s">
        <v>20</v>
      </c>
      <c r="AA198" s="20" t="s">
        <v>20</v>
      </c>
      <c r="AB198" s="20" t="s">
        <v>20</v>
      </c>
      <c r="AC198" s="20" t="s">
        <v>20</v>
      </c>
      <c r="AD198" s="18" t="s">
        <v>20</v>
      </c>
      <c r="AE198" s="18" t="s">
        <v>21</v>
      </c>
      <c r="AG198">
        <f t="shared" si="18"/>
        <v>2</v>
      </c>
      <c r="AH198">
        <f t="shared" si="19"/>
        <v>20</v>
      </c>
      <c r="AI198">
        <f t="shared" si="20"/>
        <v>4</v>
      </c>
      <c r="AJ198">
        <f t="shared" si="21"/>
        <v>0</v>
      </c>
      <c r="AL198">
        <f t="shared" si="22"/>
        <v>8</v>
      </c>
      <c r="AM198">
        <f t="shared" si="23"/>
        <v>60</v>
      </c>
      <c r="AN198">
        <f t="shared" si="24"/>
        <v>8</v>
      </c>
      <c r="AO198">
        <f t="shared" si="25"/>
        <v>0</v>
      </c>
      <c r="AP198">
        <f t="shared" si="26"/>
        <v>76</v>
      </c>
    </row>
    <row r="199" spans="1:42" ht="15.75" hidden="1" customHeight="1" x14ac:dyDescent="0.3">
      <c r="A199" s="16"/>
      <c r="B199" s="55">
        <v>21</v>
      </c>
      <c r="C199" s="56" t="s">
        <v>217</v>
      </c>
      <c r="D199" s="55">
        <v>5</v>
      </c>
      <c r="E199" s="55" t="s">
        <v>20</v>
      </c>
      <c r="F199" s="18" t="s">
        <v>20</v>
      </c>
      <c r="G199" s="18" t="s">
        <v>20</v>
      </c>
      <c r="H199" s="18" t="s">
        <v>39</v>
      </c>
      <c r="I199" s="18" t="s">
        <v>20</v>
      </c>
      <c r="J199" s="43" t="s">
        <v>20</v>
      </c>
      <c r="K199" s="43" t="s">
        <v>20</v>
      </c>
      <c r="L199" s="43" t="s">
        <v>20</v>
      </c>
      <c r="M199" s="18" t="s">
        <v>21</v>
      </c>
      <c r="N199" s="18" t="s">
        <v>20</v>
      </c>
      <c r="O199" s="18" t="s">
        <v>20</v>
      </c>
      <c r="P199" s="18" t="s">
        <v>21</v>
      </c>
      <c r="Q199" s="18" t="s">
        <v>21</v>
      </c>
      <c r="R199" s="18" t="s">
        <v>21</v>
      </c>
      <c r="S199" s="18" t="s">
        <v>20</v>
      </c>
      <c r="T199" s="18" t="s">
        <v>21</v>
      </c>
      <c r="U199" s="18" t="s">
        <v>20</v>
      </c>
      <c r="V199" s="37" t="s">
        <v>20</v>
      </c>
      <c r="W199" s="37" t="s">
        <v>20</v>
      </c>
      <c r="X199" s="37" t="s">
        <v>20</v>
      </c>
      <c r="Y199" s="18" t="s">
        <v>20</v>
      </c>
      <c r="Z199" s="18" t="s">
        <v>20</v>
      </c>
      <c r="AA199" s="20" t="s">
        <v>20</v>
      </c>
      <c r="AB199" s="20" t="s">
        <v>20</v>
      </c>
      <c r="AC199" s="20" t="s">
        <v>20</v>
      </c>
      <c r="AD199" s="18" t="s">
        <v>20</v>
      </c>
      <c r="AE199" s="18" t="s">
        <v>21</v>
      </c>
      <c r="AG199">
        <f t="shared" ref="AG199:AG232" si="27">+COUNTIF(F199:AE199,"AD")</f>
        <v>1</v>
      </c>
      <c r="AH199">
        <f t="shared" ref="AH199:AH232" si="28">+COUNTIF(F199:AE199,"A")</f>
        <v>19</v>
      </c>
      <c r="AI199">
        <f t="shared" ref="AI199:AI232" si="29">+COUNTIF(F199:AE199,"b")</f>
        <v>6</v>
      </c>
      <c r="AJ199">
        <f t="shared" ref="AJ199:AJ232" si="30">+COUNTIF(F199:AE199,"c")</f>
        <v>0</v>
      </c>
      <c r="AL199">
        <f t="shared" ref="AL199:AL232" si="31">+$AG$5*AG199</f>
        <v>4</v>
      </c>
      <c r="AM199">
        <f t="shared" ref="AM199:AM232" si="32">+$AH$5*AH199</f>
        <v>57</v>
      </c>
      <c r="AN199">
        <f t="shared" ref="AN199:AN232" si="33">+$AI$5*AI199</f>
        <v>12</v>
      </c>
      <c r="AO199">
        <f t="shared" ref="AO199:AO232" si="34">+$AJ$5*AJ199</f>
        <v>0</v>
      </c>
      <c r="AP199">
        <f t="shared" ref="AP199:AP232" si="35">+SUM(AL199:AO199)</f>
        <v>73</v>
      </c>
    </row>
    <row r="200" spans="1:42" ht="15.75" hidden="1" customHeight="1" x14ac:dyDescent="0.3">
      <c r="A200" s="16"/>
      <c r="B200" s="55">
        <v>22</v>
      </c>
      <c r="C200" s="56" t="s">
        <v>218</v>
      </c>
      <c r="D200" s="55">
        <v>5</v>
      </c>
      <c r="E200" s="55" t="s">
        <v>20</v>
      </c>
      <c r="F200" s="18" t="s">
        <v>23</v>
      </c>
      <c r="G200" s="18" t="s">
        <v>23</v>
      </c>
      <c r="H200" s="18" t="s">
        <v>21</v>
      </c>
      <c r="I200" s="18" t="s">
        <v>21</v>
      </c>
      <c r="J200" s="43" t="s">
        <v>20</v>
      </c>
      <c r="K200" s="43" t="s">
        <v>20</v>
      </c>
      <c r="L200" s="43" t="s">
        <v>21</v>
      </c>
      <c r="M200" s="18" t="s">
        <v>20</v>
      </c>
      <c r="N200" s="18" t="s">
        <v>20</v>
      </c>
      <c r="O200" s="18" t="s">
        <v>20</v>
      </c>
      <c r="P200" s="18" t="s">
        <v>21</v>
      </c>
      <c r="Q200" s="18" t="s">
        <v>21</v>
      </c>
      <c r="R200" s="18" t="s">
        <v>21</v>
      </c>
      <c r="S200" s="18" t="s">
        <v>21</v>
      </c>
      <c r="T200" s="18" t="s">
        <v>21</v>
      </c>
      <c r="U200" s="18" t="s">
        <v>20</v>
      </c>
      <c r="V200" s="37" t="s">
        <v>21</v>
      </c>
      <c r="W200" s="37" t="s">
        <v>21</v>
      </c>
      <c r="X200" s="37" t="s">
        <v>21</v>
      </c>
      <c r="Y200" s="18" t="s">
        <v>20</v>
      </c>
      <c r="Z200" s="18" t="s">
        <v>20</v>
      </c>
      <c r="AA200" s="20" t="s">
        <v>20</v>
      </c>
      <c r="AB200" s="20" t="s">
        <v>20</v>
      </c>
      <c r="AC200" s="20" t="s">
        <v>20</v>
      </c>
      <c r="AD200" s="40" t="s">
        <v>20</v>
      </c>
      <c r="AE200" s="40" t="s">
        <v>21</v>
      </c>
      <c r="AG200">
        <f t="shared" si="27"/>
        <v>0</v>
      </c>
      <c r="AH200">
        <f t="shared" si="28"/>
        <v>12</v>
      </c>
      <c r="AI200">
        <f t="shared" si="29"/>
        <v>12</v>
      </c>
      <c r="AJ200">
        <f t="shared" si="30"/>
        <v>2</v>
      </c>
      <c r="AL200">
        <f t="shared" si="31"/>
        <v>0</v>
      </c>
      <c r="AM200">
        <f t="shared" si="32"/>
        <v>36</v>
      </c>
      <c r="AN200">
        <f t="shared" si="33"/>
        <v>24</v>
      </c>
      <c r="AO200">
        <f t="shared" si="34"/>
        <v>2</v>
      </c>
      <c r="AP200">
        <f t="shared" si="35"/>
        <v>62</v>
      </c>
    </row>
    <row r="201" spans="1:42" ht="15.75" hidden="1" customHeight="1" x14ac:dyDescent="0.3">
      <c r="A201" s="16"/>
      <c r="B201" s="55">
        <v>23</v>
      </c>
      <c r="C201" s="56" t="s">
        <v>219</v>
      </c>
      <c r="D201" s="55">
        <v>5</v>
      </c>
      <c r="E201" s="55" t="s">
        <v>20</v>
      </c>
      <c r="F201" s="18" t="s">
        <v>23</v>
      </c>
      <c r="G201" s="18" t="s">
        <v>23</v>
      </c>
      <c r="H201" s="18" t="s">
        <v>23</v>
      </c>
      <c r="I201" s="18" t="s">
        <v>21</v>
      </c>
      <c r="J201" s="43" t="s">
        <v>20</v>
      </c>
      <c r="K201" s="43" t="s">
        <v>20</v>
      </c>
      <c r="L201" s="43" t="s">
        <v>21</v>
      </c>
      <c r="M201" s="18" t="s">
        <v>20</v>
      </c>
      <c r="N201" s="18" t="s">
        <v>21</v>
      </c>
      <c r="O201" s="18" t="s">
        <v>20</v>
      </c>
      <c r="P201" s="18" t="s">
        <v>21</v>
      </c>
      <c r="Q201" s="18" t="s">
        <v>23</v>
      </c>
      <c r="R201" s="18" t="s">
        <v>21</v>
      </c>
      <c r="S201" s="18" t="s">
        <v>21</v>
      </c>
      <c r="T201" s="18" t="s">
        <v>21</v>
      </c>
      <c r="U201" s="18" t="s">
        <v>20</v>
      </c>
      <c r="V201" s="37" t="s">
        <v>20</v>
      </c>
      <c r="W201" s="37" t="s">
        <v>21</v>
      </c>
      <c r="X201" s="37" t="s">
        <v>20</v>
      </c>
      <c r="Y201" s="18" t="s">
        <v>21</v>
      </c>
      <c r="Z201" s="18" t="s">
        <v>20</v>
      </c>
      <c r="AA201" s="20" t="s">
        <v>23</v>
      </c>
      <c r="AB201" s="20" t="s">
        <v>21</v>
      </c>
      <c r="AC201" s="20" t="s">
        <v>21</v>
      </c>
      <c r="AD201" s="18" t="s">
        <v>23</v>
      </c>
      <c r="AE201" s="18" t="s">
        <v>21</v>
      </c>
      <c r="AG201">
        <f t="shared" si="27"/>
        <v>0</v>
      </c>
      <c r="AH201">
        <f t="shared" si="28"/>
        <v>8</v>
      </c>
      <c r="AI201">
        <f t="shared" si="29"/>
        <v>12</v>
      </c>
      <c r="AJ201">
        <f t="shared" si="30"/>
        <v>6</v>
      </c>
      <c r="AL201">
        <f t="shared" si="31"/>
        <v>0</v>
      </c>
      <c r="AM201">
        <f t="shared" si="32"/>
        <v>24</v>
      </c>
      <c r="AN201">
        <f t="shared" si="33"/>
        <v>24</v>
      </c>
      <c r="AO201">
        <f t="shared" si="34"/>
        <v>6</v>
      </c>
      <c r="AP201">
        <f t="shared" si="35"/>
        <v>54</v>
      </c>
    </row>
    <row r="202" spans="1:42" ht="15.75" hidden="1" customHeight="1" x14ac:dyDescent="0.3">
      <c r="A202" s="16"/>
      <c r="B202" s="55">
        <v>24</v>
      </c>
      <c r="C202" s="56" t="s">
        <v>220</v>
      </c>
      <c r="D202" s="55">
        <v>5</v>
      </c>
      <c r="E202" s="55" t="s">
        <v>20</v>
      </c>
      <c r="F202" s="18" t="s">
        <v>39</v>
      </c>
      <c r="G202" s="18" t="s">
        <v>20</v>
      </c>
      <c r="H202" s="18" t="s">
        <v>20</v>
      </c>
      <c r="I202" s="18" t="s">
        <v>39</v>
      </c>
      <c r="J202" s="43" t="s">
        <v>20</v>
      </c>
      <c r="K202" s="43" t="s">
        <v>20</v>
      </c>
      <c r="L202" s="43" t="s">
        <v>20</v>
      </c>
      <c r="M202" s="18" t="s">
        <v>20</v>
      </c>
      <c r="N202" s="18" t="s">
        <v>20</v>
      </c>
      <c r="O202" s="18" t="s">
        <v>20</v>
      </c>
      <c r="P202" s="18" t="s">
        <v>21</v>
      </c>
      <c r="Q202" s="18" t="s">
        <v>20</v>
      </c>
      <c r="R202" s="18" t="s">
        <v>20</v>
      </c>
      <c r="S202" s="18" t="s">
        <v>21</v>
      </c>
      <c r="T202" s="18" t="s">
        <v>21</v>
      </c>
      <c r="U202" s="18" t="s">
        <v>20</v>
      </c>
      <c r="V202" s="37" t="s">
        <v>20</v>
      </c>
      <c r="W202" s="37" t="s">
        <v>20</v>
      </c>
      <c r="X202" s="37" t="s">
        <v>20</v>
      </c>
      <c r="Y202" s="18" t="s">
        <v>20</v>
      </c>
      <c r="Z202" s="18" t="s">
        <v>20</v>
      </c>
      <c r="AA202" s="20" t="s">
        <v>20</v>
      </c>
      <c r="AB202" s="20" t="s">
        <v>20</v>
      </c>
      <c r="AC202" s="20" t="s">
        <v>20</v>
      </c>
      <c r="AD202" s="18" t="s">
        <v>20</v>
      </c>
      <c r="AE202" s="18" t="s">
        <v>21</v>
      </c>
      <c r="AG202">
        <f t="shared" si="27"/>
        <v>2</v>
      </c>
      <c r="AH202">
        <f t="shared" si="28"/>
        <v>20</v>
      </c>
      <c r="AI202">
        <f t="shared" si="29"/>
        <v>4</v>
      </c>
      <c r="AJ202">
        <f t="shared" si="30"/>
        <v>0</v>
      </c>
      <c r="AL202">
        <f t="shared" si="31"/>
        <v>8</v>
      </c>
      <c r="AM202">
        <f t="shared" si="32"/>
        <v>60</v>
      </c>
      <c r="AN202">
        <f t="shared" si="33"/>
        <v>8</v>
      </c>
      <c r="AO202">
        <f t="shared" si="34"/>
        <v>0</v>
      </c>
      <c r="AP202">
        <f t="shared" si="35"/>
        <v>76</v>
      </c>
    </row>
    <row r="203" spans="1:42" ht="15.75" hidden="1" customHeight="1" x14ac:dyDescent="0.3">
      <c r="A203" s="16"/>
      <c r="B203" s="55">
        <v>25</v>
      </c>
      <c r="C203" s="56" t="s">
        <v>221</v>
      </c>
      <c r="D203" s="55">
        <v>5</v>
      </c>
      <c r="E203" s="55" t="s">
        <v>20</v>
      </c>
      <c r="F203" s="18" t="s">
        <v>23</v>
      </c>
      <c r="G203" s="18" t="s">
        <v>23</v>
      </c>
      <c r="H203" s="18" t="s">
        <v>23</v>
      </c>
      <c r="I203" s="18" t="s">
        <v>23</v>
      </c>
      <c r="J203" s="43" t="s">
        <v>20</v>
      </c>
      <c r="K203" s="43" t="s">
        <v>20</v>
      </c>
      <c r="L203" s="43" t="s">
        <v>21</v>
      </c>
      <c r="M203" s="18" t="s">
        <v>20</v>
      </c>
      <c r="N203" s="18" t="s">
        <v>20</v>
      </c>
      <c r="O203" s="18" t="s">
        <v>20</v>
      </c>
      <c r="P203" s="18" t="s">
        <v>21</v>
      </c>
      <c r="Q203" s="18" t="s">
        <v>23</v>
      </c>
      <c r="R203" s="18" t="s">
        <v>23</v>
      </c>
      <c r="S203" s="18" t="s">
        <v>21</v>
      </c>
      <c r="T203" s="18" t="s">
        <v>23</v>
      </c>
      <c r="U203" s="18" t="s">
        <v>20</v>
      </c>
      <c r="V203" s="37" t="s">
        <v>20</v>
      </c>
      <c r="W203" s="37" t="s">
        <v>20</v>
      </c>
      <c r="X203" s="37" t="s">
        <v>20</v>
      </c>
      <c r="Y203" s="18" t="s">
        <v>20</v>
      </c>
      <c r="Z203" s="18" t="s">
        <v>20</v>
      </c>
      <c r="AA203" s="20" t="s">
        <v>21</v>
      </c>
      <c r="AB203" s="20" t="s">
        <v>21</v>
      </c>
      <c r="AC203" s="20" t="s">
        <v>20</v>
      </c>
      <c r="AD203" s="18" t="s">
        <v>20</v>
      </c>
      <c r="AE203" s="18" t="s">
        <v>21</v>
      </c>
      <c r="AG203">
        <f t="shared" si="27"/>
        <v>0</v>
      </c>
      <c r="AH203">
        <f t="shared" si="28"/>
        <v>13</v>
      </c>
      <c r="AI203">
        <f t="shared" si="29"/>
        <v>6</v>
      </c>
      <c r="AJ203">
        <f t="shared" si="30"/>
        <v>7</v>
      </c>
      <c r="AL203">
        <f t="shared" si="31"/>
        <v>0</v>
      </c>
      <c r="AM203">
        <f t="shared" si="32"/>
        <v>39</v>
      </c>
      <c r="AN203">
        <f t="shared" si="33"/>
        <v>12</v>
      </c>
      <c r="AO203">
        <f t="shared" si="34"/>
        <v>7</v>
      </c>
      <c r="AP203">
        <f t="shared" si="35"/>
        <v>58</v>
      </c>
    </row>
    <row r="204" spans="1:42" ht="15.75" hidden="1" customHeight="1" x14ac:dyDescent="0.3">
      <c r="A204" s="16"/>
      <c r="B204" s="55">
        <v>26</v>
      </c>
      <c r="C204" s="56" t="s">
        <v>222</v>
      </c>
      <c r="D204" s="55">
        <v>5</v>
      </c>
      <c r="E204" s="55" t="s">
        <v>20</v>
      </c>
      <c r="F204" s="18" t="s">
        <v>21</v>
      </c>
      <c r="G204" s="18" t="s">
        <v>21</v>
      </c>
      <c r="H204" s="18" t="s">
        <v>21</v>
      </c>
      <c r="I204" s="18" t="s">
        <v>21</v>
      </c>
      <c r="J204" s="43" t="s">
        <v>21</v>
      </c>
      <c r="K204" s="43" t="s">
        <v>21</v>
      </c>
      <c r="L204" s="43" t="s">
        <v>21</v>
      </c>
      <c r="M204" s="18" t="s">
        <v>20</v>
      </c>
      <c r="N204" s="18" t="s">
        <v>20</v>
      </c>
      <c r="O204" s="18" t="s">
        <v>20</v>
      </c>
      <c r="P204" s="18" t="s">
        <v>20</v>
      </c>
      <c r="Q204" s="18" t="s">
        <v>21</v>
      </c>
      <c r="R204" s="18" t="s">
        <v>23</v>
      </c>
      <c r="S204" s="18" t="s">
        <v>21</v>
      </c>
      <c r="T204" s="18" t="s">
        <v>21</v>
      </c>
      <c r="U204" s="18" t="s">
        <v>20</v>
      </c>
      <c r="V204" s="37" t="s">
        <v>20</v>
      </c>
      <c r="W204" s="37" t="s">
        <v>20</v>
      </c>
      <c r="X204" s="37" t="s">
        <v>20</v>
      </c>
      <c r="Y204" s="18" t="s">
        <v>20</v>
      </c>
      <c r="Z204" s="18" t="s">
        <v>20</v>
      </c>
      <c r="AA204" s="20" t="s">
        <v>21</v>
      </c>
      <c r="AB204" s="20" t="s">
        <v>21</v>
      </c>
      <c r="AC204" s="20" t="s">
        <v>20</v>
      </c>
      <c r="AD204" s="40" t="s">
        <v>20</v>
      </c>
      <c r="AE204" s="40" t="s">
        <v>21</v>
      </c>
      <c r="AG204">
        <f t="shared" si="27"/>
        <v>0</v>
      </c>
      <c r="AH204">
        <f t="shared" si="28"/>
        <v>12</v>
      </c>
      <c r="AI204">
        <f t="shared" si="29"/>
        <v>13</v>
      </c>
      <c r="AJ204">
        <f t="shared" si="30"/>
        <v>1</v>
      </c>
      <c r="AL204">
        <f t="shared" si="31"/>
        <v>0</v>
      </c>
      <c r="AM204">
        <f t="shared" si="32"/>
        <v>36</v>
      </c>
      <c r="AN204">
        <f t="shared" si="33"/>
        <v>26</v>
      </c>
      <c r="AO204">
        <f t="shared" si="34"/>
        <v>1</v>
      </c>
      <c r="AP204">
        <f t="shared" si="35"/>
        <v>63</v>
      </c>
    </row>
    <row r="205" spans="1:42" ht="15.75" hidden="1" customHeight="1" x14ac:dyDescent="0.3">
      <c r="A205" s="16"/>
      <c r="B205" s="55">
        <v>27</v>
      </c>
      <c r="C205" s="56" t="s">
        <v>223</v>
      </c>
      <c r="D205" s="55">
        <v>5</v>
      </c>
      <c r="E205" s="55" t="s">
        <v>20</v>
      </c>
      <c r="F205" s="18" t="s">
        <v>20</v>
      </c>
      <c r="G205" s="18" t="s">
        <v>20</v>
      </c>
      <c r="H205" s="18" t="s">
        <v>20</v>
      </c>
      <c r="I205" s="18" t="s">
        <v>20</v>
      </c>
      <c r="J205" s="43" t="s">
        <v>20</v>
      </c>
      <c r="K205" s="43" t="s">
        <v>20</v>
      </c>
      <c r="L205" s="43" t="s">
        <v>20</v>
      </c>
      <c r="M205" s="18" t="s">
        <v>20</v>
      </c>
      <c r="N205" s="18" t="s">
        <v>20</v>
      </c>
      <c r="O205" s="18" t="s">
        <v>20</v>
      </c>
      <c r="P205" s="18" t="s">
        <v>20</v>
      </c>
      <c r="Q205" s="18" t="s">
        <v>21</v>
      </c>
      <c r="R205" s="18" t="s">
        <v>21</v>
      </c>
      <c r="S205" s="18" t="s">
        <v>20</v>
      </c>
      <c r="T205" s="18" t="s">
        <v>21</v>
      </c>
      <c r="U205" s="18" t="s">
        <v>21</v>
      </c>
      <c r="V205" s="37" t="s">
        <v>20</v>
      </c>
      <c r="W205" s="37" t="s">
        <v>20</v>
      </c>
      <c r="X205" s="37" t="s">
        <v>20</v>
      </c>
      <c r="Y205" s="18" t="s">
        <v>20</v>
      </c>
      <c r="Z205" s="18" t="s">
        <v>20</v>
      </c>
      <c r="AA205" s="20" t="s">
        <v>20</v>
      </c>
      <c r="AB205" s="20" t="s">
        <v>20</v>
      </c>
      <c r="AC205" s="20" t="s">
        <v>20</v>
      </c>
      <c r="AD205" s="18" t="s">
        <v>20</v>
      </c>
      <c r="AE205" s="18" t="s">
        <v>21</v>
      </c>
      <c r="AG205">
        <f t="shared" si="27"/>
        <v>0</v>
      </c>
      <c r="AH205">
        <f t="shared" si="28"/>
        <v>21</v>
      </c>
      <c r="AI205">
        <f t="shared" si="29"/>
        <v>5</v>
      </c>
      <c r="AJ205">
        <f t="shared" si="30"/>
        <v>0</v>
      </c>
      <c r="AL205">
        <f t="shared" si="31"/>
        <v>0</v>
      </c>
      <c r="AM205">
        <f t="shared" si="32"/>
        <v>63</v>
      </c>
      <c r="AN205">
        <f t="shared" si="33"/>
        <v>10</v>
      </c>
      <c r="AO205">
        <f t="shared" si="34"/>
        <v>0</v>
      </c>
      <c r="AP205">
        <f t="shared" si="35"/>
        <v>73</v>
      </c>
    </row>
    <row r="206" spans="1:42" ht="15.75" hidden="1" customHeight="1" thickBot="1" x14ac:dyDescent="0.35">
      <c r="A206" s="16"/>
      <c r="B206" s="57">
        <v>28</v>
      </c>
      <c r="C206" s="58" t="s">
        <v>224</v>
      </c>
      <c r="D206" s="57">
        <v>5</v>
      </c>
      <c r="E206" s="57" t="s">
        <v>20</v>
      </c>
      <c r="F206" s="21" t="s">
        <v>20</v>
      </c>
      <c r="G206" s="21" t="s">
        <v>20</v>
      </c>
      <c r="H206" s="21" t="s">
        <v>20</v>
      </c>
      <c r="I206" s="21" t="s">
        <v>20</v>
      </c>
      <c r="J206" s="45" t="s">
        <v>20</v>
      </c>
      <c r="K206" s="45" t="s">
        <v>20</v>
      </c>
      <c r="L206" s="45" t="s">
        <v>21</v>
      </c>
      <c r="M206" s="21" t="s">
        <v>20</v>
      </c>
      <c r="N206" s="21" t="s">
        <v>20</v>
      </c>
      <c r="O206" s="21" t="s">
        <v>20</v>
      </c>
      <c r="P206" s="21" t="s">
        <v>21</v>
      </c>
      <c r="Q206" s="21" t="s">
        <v>21</v>
      </c>
      <c r="R206" s="21" t="s">
        <v>21</v>
      </c>
      <c r="S206" s="21" t="s">
        <v>20</v>
      </c>
      <c r="T206" s="21" t="s">
        <v>21</v>
      </c>
      <c r="U206" s="21" t="s">
        <v>20</v>
      </c>
      <c r="V206" s="38" t="s">
        <v>20</v>
      </c>
      <c r="W206" s="38" t="s">
        <v>20</v>
      </c>
      <c r="X206" s="38" t="s">
        <v>21</v>
      </c>
      <c r="Y206" s="21" t="s">
        <v>20</v>
      </c>
      <c r="Z206" s="21" t="s">
        <v>20</v>
      </c>
      <c r="AA206" s="23" t="s">
        <v>20</v>
      </c>
      <c r="AB206" s="23" t="s">
        <v>20</v>
      </c>
      <c r="AC206" s="23" t="s">
        <v>20</v>
      </c>
      <c r="AD206" s="21" t="s">
        <v>20</v>
      </c>
      <c r="AE206" s="21" t="s">
        <v>21</v>
      </c>
      <c r="AG206">
        <f t="shared" si="27"/>
        <v>0</v>
      </c>
      <c r="AH206">
        <f t="shared" si="28"/>
        <v>19</v>
      </c>
      <c r="AI206">
        <f t="shared" si="29"/>
        <v>7</v>
      </c>
      <c r="AJ206">
        <f t="shared" si="30"/>
        <v>0</v>
      </c>
      <c r="AL206">
        <f t="shared" si="31"/>
        <v>0</v>
      </c>
      <c r="AM206">
        <f t="shared" si="32"/>
        <v>57</v>
      </c>
      <c r="AN206">
        <f t="shared" si="33"/>
        <v>14</v>
      </c>
      <c r="AO206">
        <f t="shared" si="34"/>
        <v>0</v>
      </c>
      <c r="AP206">
        <f t="shared" si="35"/>
        <v>71</v>
      </c>
    </row>
    <row r="207" spans="1:42" ht="15.75" hidden="1" customHeight="1" x14ac:dyDescent="0.3">
      <c r="A207" s="16"/>
      <c r="B207" s="59">
        <v>1</v>
      </c>
      <c r="C207" s="60" t="s">
        <v>225</v>
      </c>
      <c r="D207" s="59">
        <v>5</v>
      </c>
      <c r="E207" s="59" t="s">
        <v>21</v>
      </c>
      <c r="F207" s="24" t="s">
        <v>21</v>
      </c>
      <c r="G207" s="24" t="s">
        <v>20</v>
      </c>
      <c r="H207" s="24" t="s">
        <v>21</v>
      </c>
      <c r="I207" s="24" t="s">
        <v>21</v>
      </c>
      <c r="J207" s="24" t="s">
        <v>20</v>
      </c>
      <c r="K207" s="24" t="s">
        <v>20</v>
      </c>
      <c r="L207" s="24" t="s">
        <v>20</v>
      </c>
      <c r="M207" s="24" t="s">
        <v>20</v>
      </c>
      <c r="N207" s="24" t="s">
        <v>20</v>
      </c>
      <c r="O207" s="24" t="s">
        <v>20</v>
      </c>
      <c r="P207" s="24" t="s">
        <v>21</v>
      </c>
      <c r="Q207" s="24" t="s">
        <v>21</v>
      </c>
      <c r="R207" s="24" t="s">
        <v>21</v>
      </c>
      <c r="S207" s="24" t="s">
        <v>20</v>
      </c>
      <c r="T207" s="24" t="s">
        <v>21</v>
      </c>
      <c r="U207" s="24" t="s">
        <v>20</v>
      </c>
      <c r="V207" s="39" t="s">
        <v>20</v>
      </c>
      <c r="W207" s="39" t="s">
        <v>20</v>
      </c>
      <c r="X207" s="39" t="s">
        <v>20</v>
      </c>
      <c r="Y207" s="24" t="s">
        <v>20</v>
      </c>
      <c r="Z207" s="24" t="s">
        <v>20</v>
      </c>
      <c r="AA207" s="27" t="s">
        <v>20</v>
      </c>
      <c r="AB207" s="27" t="s">
        <v>20</v>
      </c>
      <c r="AC207" s="27" t="s">
        <v>21</v>
      </c>
      <c r="AD207" s="24" t="s">
        <v>20</v>
      </c>
      <c r="AE207" s="24" t="s">
        <v>21</v>
      </c>
      <c r="AG207">
        <f t="shared" si="27"/>
        <v>0</v>
      </c>
      <c r="AH207">
        <f t="shared" si="28"/>
        <v>17</v>
      </c>
      <c r="AI207">
        <f t="shared" si="29"/>
        <v>9</v>
      </c>
      <c r="AJ207">
        <f t="shared" si="30"/>
        <v>0</v>
      </c>
      <c r="AL207">
        <f t="shared" si="31"/>
        <v>0</v>
      </c>
      <c r="AM207">
        <f t="shared" si="32"/>
        <v>51</v>
      </c>
      <c r="AN207">
        <f t="shared" si="33"/>
        <v>18</v>
      </c>
      <c r="AO207">
        <f t="shared" si="34"/>
        <v>0</v>
      </c>
      <c r="AP207">
        <f t="shared" si="35"/>
        <v>69</v>
      </c>
    </row>
    <row r="208" spans="1:42" ht="15.75" hidden="1" customHeight="1" x14ac:dyDescent="0.3">
      <c r="A208" s="16"/>
      <c r="B208" s="55">
        <v>2</v>
      </c>
      <c r="C208" s="56" t="s">
        <v>226</v>
      </c>
      <c r="D208" s="55">
        <v>5</v>
      </c>
      <c r="E208" s="55" t="s">
        <v>21</v>
      </c>
      <c r="F208" s="18" t="s">
        <v>21</v>
      </c>
      <c r="G208" s="18" t="s">
        <v>21</v>
      </c>
      <c r="H208" s="18" t="s">
        <v>21</v>
      </c>
      <c r="I208" s="18" t="s">
        <v>20</v>
      </c>
      <c r="J208" s="18" t="s">
        <v>21</v>
      </c>
      <c r="K208" s="18" t="s">
        <v>21</v>
      </c>
      <c r="L208" s="18" t="s">
        <v>21</v>
      </c>
      <c r="M208" s="18" t="s">
        <v>20</v>
      </c>
      <c r="N208" s="18" t="s">
        <v>21</v>
      </c>
      <c r="O208" s="18" t="s">
        <v>21</v>
      </c>
      <c r="P208" s="18" t="s">
        <v>21</v>
      </c>
      <c r="Q208" s="18" t="s">
        <v>23</v>
      </c>
      <c r="R208" s="18" t="s">
        <v>23</v>
      </c>
      <c r="S208" s="18" t="s">
        <v>21</v>
      </c>
      <c r="T208" s="18" t="s">
        <v>21</v>
      </c>
      <c r="U208" s="18" t="s">
        <v>21</v>
      </c>
      <c r="V208" s="37" t="s">
        <v>20</v>
      </c>
      <c r="W208" s="37" t="s">
        <v>21</v>
      </c>
      <c r="X208" s="37" t="s">
        <v>20</v>
      </c>
      <c r="Y208" s="18" t="s">
        <v>21</v>
      </c>
      <c r="Z208" s="18" t="s">
        <v>20</v>
      </c>
      <c r="AA208" s="20" t="s">
        <v>21</v>
      </c>
      <c r="AB208" s="20" t="s">
        <v>21</v>
      </c>
      <c r="AC208" s="20" t="s">
        <v>23</v>
      </c>
      <c r="AD208" s="18" t="s">
        <v>23</v>
      </c>
      <c r="AE208" s="18" t="s">
        <v>21</v>
      </c>
      <c r="AG208">
        <f t="shared" si="27"/>
        <v>0</v>
      </c>
      <c r="AH208">
        <f t="shared" si="28"/>
        <v>5</v>
      </c>
      <c r="AI208">
        <f t="shared" si="29"/>
        <v>17</v>
      </c>
      <c r="AJ208">
        <f t="shared" si="30"/>
        <v>4</v>
      </c>
      <c r="AL208">
        <f t="shared" si="31"/>
        <v>0</v>
      </c>
      <c r="AM208">
        <f t="shared" si="32"/>
        <v>15</v>
      </c>
      <c r="AN208">
        <f t="shared" si="33"/>
        <v>34</v>
      </c>
      <c r="AO208">
        <f t="shared" si="34"/>
        <v>4</v>
      </c>
      <c r="AP208">
        <f t="shared" si="35"/>
        <v>53</v>
      </c>
    </row>
    <row r="209" spans="1:42" ht="15.75" hidden="1" customHeight="1" x14ac:dyDescent="0.3">
      <c r="A209" s="16"/>
      <c r="B209" s="55">
        <v>3</v>
      </c>
      <c r="C209" s="56" t="s">
        <v>227</v>
      </c>
      <c r="D209" s="55">
        <v>5</v>
      </c>
      <c r="E209" s="55" t="s">
        <v>21</v>
      </c>
      <c r="F209" s="18" t="s">
        <v>21</v>
      </c>
      <c r="G209" s="18" t="s">
        <v>23</v>
      </c>
      <c r="H209" s="18" t="s">
        <v>21</v>
      </c>
      <c r="I209" s="18" t="s">
        <v>20</v>
      </c>
      <c r="J209" s="18" t="s">
        <v>21</v>
      </c>
      <c r="K209" s="18" t="s">
        <v>21</v>
      </c>
      <c r="L209" s="18" t="s">
        <v>20</v>
      </c>
      <c r="M209" s="18" t="s">
        <v>20</v>
      </c>
      <c r="N209" s="18" t="s">
        <v>21</v>
      </c>
      <c r="O209" s="18" t="s">
        <v>21</v>
      </c>
      <c r="P209" s="18" t="s">
        <v>21</v>
      </c>
      <c r="Q209" s="18" t="s">
        <v>23</v>
      </c>
      <c r="R209" s="18" t="s">
        <v>21</v>
      </c>
      <c r="S209" s="18" t="s">
        <v>21</v>
      </c>
      <c r="T209" s="18" t="s">
        <v>21</v>
      </c>
      <c r="U209" s="18" t="s">
        <v>20</v>
      </c>
      <c r="V209" s="37" t="s">
        <v>20</v>
      </c>
      <c r="W209" s="37" t="s">
        <v>21</v>
      </c>
      <c r="X209" s="37" t="s">
        <v>20</v>
      </c>
      <c r="Y209" s="18" t="s">
        <v>21</v>
      </c>
      <c r="Z209" s="18" t="s">
        <v>20</v>
      </c>
      <c r="AA209" s="20" t="s">
        <v>21</v>
      </c>
      <c r="AB209" s="20" t="s">
        <v>21</v>
      </c>
      <c r="AC209" s="20" t="s">
        <v>21</v>
      </c>
      <c r="AD209" s="18" t="s">
        <v>21</v>
      </c>
      <c r="AE209" s="18" t="s">
        <v>21</v>
      </c>
      <c r="AG209">
        <f t="shared" si="27"/>
        <v>0</v>
      </c>
      <c r="AH209">
        <f t="shared" si="28"/>
        <v>7</v>
      </c>
      <c r="AI209">
        <f t="shared" si="29"/>
        <v>17</v>
      </c>
      <c r="AJ209">
        <f t="shared" si="30"/>
        <v>2</v>
      </c>
      <c r="AL209">
        <f t="shared" si="31"/>
        <v>0</v>
      </c>
      <c r="AM209">
        <f t="shared" si="32"/>
        <v>21</v>
      </c>
      <c r="AN209">
        <f t="shared" si="33"/>
        <v>34</v>
      </c>
      <c r="AO209">
        <f t="shared" si="34"/>
        <v>2</v>
      </c>
      <c r="AP209">
        <f t="shared" si="35"/>
        <v>57</v>
      </c>
    </row>
    <row r="210" spans="1:42" ht="15.75" hidden="1" customHeight="1" x14ac:dyDescent="0.3">
      <c r="A210" s="16"/>
      <c r="B210" s="55">
        <v>4</v>
      </c>
      <c r="C210" s="56" t="s">
        <v>228</v>
      </c>
      <c r="D210" s="55">
        <v>5</v>
      </c>
      <c r="E210" s="55" t="s">
        <v>21</v>
      </c>
      <c r="F210" s="18" t="s">
        <v>20</v>
      </c>
      <c r="G210" s="18" t="s">
        <v>20</v>
      </c>
      <c r="H210" s="18" t="s">
        <v>20</v>
      </c>
      <c r="I210" s="18" t="s">
        <v>20</v>
      </c>
      <c r="J210" s="18" t="s">
        <v>21</v>
      </c>
      <c r="K210" s="18" t="s">
        <v>20</v>
      </c>
      <c r="L210" s="18" t="s">
        <v>20</v>
      </c>
      <c r="M210" s="18" t="s">
        <v>20</v>
      </c>
      <c r="N210" s="18" t="s">
        <v>20</v>
      </c>
      <c r="O210" s="18" t="s">
        <v>20</v>
      </c>
      <c r="P210" s="18" t="s">
        <v>21</v>
      </c>
      <c r="Q210" s="18" t="s">
        <v>21</v>
      </c>
      <c r="R210" s="18" t="s">
        <v>21</v>
      </c>
      <c r="S210" s="18" t="s">
        <v>20</v>
      </c>
      <c r="T210" s="18" t="s">
        <v>21</v>
      </c>
      <c r="U210" s="18" t="s">
        <v>20</v>
      </c>
      <c r="V210" s="37" t="s">
        <v>20</v>
      </c>
      <c r="W210" s="37" t="s">
        <v>20</v>
      </c>
      <c r="X210" s="37" t="s">
        <v>20</v>
      </c>
      <c r="Y210" s="18" t="s">
        <v>20</v>
      </c>
      <c r="Z210" s="18" t="s">
        <v>20</v>
      </c>
      <c r="AA210" s="20" t="s">
        <v>20</v>
      </c>
      <c r="AB210" s="20" t="s">
        <v>20</v>
      </c>
      <c r="AC210" s="20" t="s">
        <v>20</v>
      </c>
      <c r="AD210" s="18" t="s">
        <v>20</v>
      </c>
      <c r="AE210" s="18" t="s">
        <v>21</v>
      </c>
      <c r="AG210">
        <f t="shared" si="27"/>
        <v>0</v>
      </c>
      <c r="AH210">
        <f t="shared" si="28"/>
        <v>20</v>
      </c>
      <c r="AI210">
        <f t="shared" si="29"/>
        <v>6</v>
      </c>
      <c r="AJ210">
        <f t="shared" si="30"/>
        <v>0</v>
      </c>
      <c r="AL210">
        <f t="shared" si="31"/>
        <v>0</v>
      </c>
      <c r="AM210">
        <f t="shared" si="32"/>
        <v>60</v>
      </c>
      <c r="AN210">
        <f t="shared" si="33"/>
        <v>12</v>
      </c>
      <c r="AO210">
        <f t="shared" si="34"/>
        <v>0</v>
      </c>
      <c r="AP210">
        <f t="shared" si="35"/>
        <v>72</v>
      </c>
    </row>
    <row r="211" spans="1:42" ht="15.75" hidden="1" customHeight="1" x14ac:dyDescent="0.3">
      <c r="A211" s="16"/>
      <c r="B211" s="55">
        <v>5</v>
      </c>
      <c r="C211" s="56" t="s">
        <v>229</v>
      </c>
      <c r="D211" s="55">
        <v>5</v>
      </c>
      <c r="E211" s="55" t="s">
        <v>21</v>
      </c>
      <c r="F211" s="18" t="s">
        <v>20</v>
      </c>
      <c r="G211" s="18" t="s">
        <v>21</v>
      </c>
      <c r="H211" s="18" t="s">
        <v>20</v>
      </c>
      <c r="I211" s="18" t="s">
        <v>20</v>
      </c>
      <c r="J211" s="18" t="s">
        <v>21</v>
      </c>
      <c r="K211" s="18" t="s">
        <v>21</v>
      </c>
      <c r="L211" s="18" t="s">
        <v>20</v>
      </c>
      <c r="M211" s="18" t="s">
        <v>20</v>
      </c>
      <c r="N211" s="18" t="s">
        <v>20</v>
      </c>
      <c r="O211" s="18" t="s">
        <v>20</v>
      </c>
      <c r="P211" s="18" t="s">
        <v>21</v>
      </c>
      <c r="Q211" s="18" t="s">
        <v>20</v>
      </c>
      <c r="R211" s="18" t="s">
        <v>21</v>
      </c>
      <c r="S211" s="18" t="s">
        <v>20</v>
      </c>
      <c r="T211" s="18" t="s">
        <v>21</v>
      </c>
      <c r="U211" s="18" t="s">
        <v>20</v>
      </c>
      <c r="V211" s="37" t="s">
        <v>20</v>
      </c>
      <c r="W211" s="37" t="s">
        <v>21</v>
      </c>
      <c r="X211" s="37" t="s">
        <v>20</v>
      </c>
      <c r="Y211" s="18" t="s">
        <v>21</v>
      </c>
      <c r="Z211" s="18" t="s">
        <v>20</v>
      </c>
      <c r="AA211" s="20" t="s">
        <v>20</v>
      </c>
      <c r="AB211" s="20" t="s">
        <v>20</v>
      </c>
      <c r="AC211" s="20" t="s">
        <v>20</v>
      </c>
      <c r="AD211" s="18" t="s">
        <v>20</v>
      </c>
      <c r="AE211" s="18" t="s">
        <v>21</v>
      </c>
      <c r="AG211">
        <f t="shared" si="27"/>
        <v>0</v>
      </c>
      <c r="AH211">
        <f t="shared" si="28"/>
        <v>17</v>
      </c>
      <c r="AI211">
        <f t="shared" si="29"/>
        <v>9</v>
      </c>
      <c r="AJ211">
        <f t="shared" si="30"/>
        <v>0</v>
      </c>
      <c r="AL211">
        <f t="shared" si="31"/>
        <v>0</v>
      </c>
      <c r="AM211">
        <f t="shared" si="32"/>
        <v>51</v>
      </c>
      <c r="AN211">
        <f t="shared" si="33"/>
        <v>18</v>
      </c>
      <c r="AO211">
        <f t="shared" si="34"/>
        <v>0</v>
      </c>
      <c r="AP211">
        <f t="shared" si="35"/>
        <v>69</v>
      </c>
    </row>
    <row r="212" spans="1:42" ht="15.75" hidden="1" customHeight="1" x14ac:dyDescent="0.3">
      <c r="A212" s="16"/>
      <c r="B212" s="55">
        <v>6</v>
      </c>
      <c r="C212" s="56" t="s">
        <v>230</v>
      </c>
      <c r="D212" s="55">
        <v>5</v>
      </c>
      <c r="E212" s="55" t="s">
        <v>21</v>
      </c>
      <c r="F212" s="18" t="s">
        <v>21</v>
      </c>
      <c r="G212" s="18" t="s">
        <v>21</v>
      </c>
      <c r="H212" s="18" t="s">
        <v>21</v>
      </c>
      <c r="I212" s="18" t="s">
        <v>20</v>
      </c>
      <c r="J212" s="18" t="s">
        <v>21</v>
      </c>
      <c r="K212" s="18" t="s">
        <v>21</v>
      </c>
      <c r="L212" s="18" t="s">
        <v>21</v>
      </c>
      <c r="M212" s="18" t="s">
        <v>20</v>
      </c>
      <c r="N212" s="18" t="s">
        <v>20</v>
      </c>
      <c r="O212" s="18" t="s">
        <v>20</v>
      </c>
      <c r="P212" s="18" t="s">
        <v>21</v>
      </c>
      <c r="Q212" s="18" t="s">
        <v>23</v>
      </c>
      <c r="R212" s="18" t="s">
        <v>23</v>
      </c>
      <c r="S212" s="18" t="s">
        <v>21</v>
      </c>
      <c r="T212" s="18" t="s">
        <v>21</v>
      </c>
      <c r="U212" s="18" t="s">
        <v>20</v>
      </c>
      <c r="V212" s="37" t="s">
        <v>20</v>
      </c>
      <c r="W212" s="37" t="s">
        <v>20</v>
      </c>
      <c r="X212" s="37" t="s">
        <v>20</v>
      </c>
      <c r="Y212" s="18" t="s">
        <v>21</v>
      </c>
      <c r="Z212" s="18" t="s">
        <v>20</v>
      </c>
      <c r="AA212" s="20" t="s">
        <v>20</v>
      </c>
      <c r="AB212" s="20" t="s">
        <v>20</v>
      </c>
      <c r="AC212" s="20" t="s">
        <v>20</v>
      </c>
      <c r="AD212" s="29" t="s">
        <v>23</v>
      </c>
      <c r="AE212" s="29" t="s">
        <v>21</v>
      </c>
      <c r="AG212">
        <f t="shared" si="27"/>
        <v>0</v>
      </c>
      <c r="AH212">
        <f t="shared" si="28"/>
        <v>12</v>
      </c>
      <c r="AI212">
        <f t="shared" si="29"/>
        <v>11</v>
      </c>
      <c r="AJ212">
        <f t="shared" si="30"/>
        <v>3</v>
      </c>
      <c r="AL212">
        <f t="shared" si="31"/>
        <v>0</v>
      </c>
      <c r="AM212">
        <f t="shared" si="32"/>
        <v>36</v>
      </c>
      <c r="AN212">
        <f t="shared" si="33"/>
        <v>22</v>
      </c>
      <c r="AO212">
        <f t="shared" si="34"/>
        <v>3</v>
      </c>
      <c r="AP212">
        <f t="shared" si="35"/>
        <v>61</v>
      </c>
    </row>
    <row r="213" spans="1:42" ht="15.75" hidden="1" customHeight="1" x14ac:dyDescent="0.3">
      <c r="A213" s="16"/>
      <c r="B213" s="55">
        <v>7</v>
      </c>
      <c r="C213" s="56" t="s">
        <v>231</v>
      </c>
      <c r="D213" s="55">
        <v>5</v>
      </c>
      <c r="E213" s="55" t="s">
        <v>21</v>
      </c>
      <c r="F213" s="18" t="s">
        <v>21</v>
      </c>
      <c r="G213" s="18" t="s">
        <v>21</v>
      </c>
      <c r="H213" s="18" t="s">
        <v>21</v>
      </c>
      <c r="I213" s="18" t="s">
        <v>21</v>
      </c>
      <c r="J213" s="18" t="s">
        <v>21</v>
      </c>
      <c r="K213" s="18" t="s">
        <v>21</v>
      </c>
      <c r="L213" s="18" t="s">
        <v>21</v>
      </c>
      <c r="M213" s="18" t="s">
        <v>20</v>
      </c>
      <c r="N213" s="18" t="s">
        <v>21</v>
      </c>
      <c r="O213" s="18" t="s">
        <v>20</v>
      </c>
      <c r="P213" s="18" t="s">
        <v>21</v>
      </c>
      <c r="Q213" s="18" t="s">
        <v>23</v>
      </c>
      <c r="R213" s="18" t="s">
        <v>21</v>
      </c>
      <c r="S213" s="18" t="s">
        <v>21</v>
      </c>
      <c r="T213" s="18" t="s">
        <v>21</v>
      </c>
      <c r="U213" s="18" t="s">
        <v>21</v>
      </c>
      <c r="V213" s="37" t="s">
        <v>21</v>
      </c>
      <c r="W213" s="37" t="s">
        <v>21</v>
      </c>
      <c r="X213" s="37" t="s">
        <v>21</v>
      </c>
      <c r="Y213" s="18" t="s">
        <v>20</v>
      </c>
      <c r="Z213" s="18" t="s">
        <v>20</v>
      </c>
      <c r="AA213" s="20" t="s">
        <v>21</v>
      </c>
      <c r="AB213" s="20" t="s">
        <v>21</v>
      </c>
      <c r="AC213" s="20" t="s">
        <v>21</v>
      </c>
      <c r="AD213" s="29" t="s">
        <v>23</v>
      </c>
      <c r="AE213" s="29" t="s">
        <v>21</v>
      </c>
      <c r="AG213">
        <f t="shared" si="27"/>
        <v>0</v>
      </c>
      <c r="AH213">
        <f t="shared" si="28"/>
        <v>4</v>
      </c>
      <c r="AI213">
        <f t="shared" si="29"/>
        <v>20</v>
      </c>
      <c r="AJ213">
        <f t="shared" si="30"/>
        <v>2</v>
      </c>
      <c r="AL213">
        <f t="shared" si="31"/>
        <v>0</v>
      </c>
      <c r="AM213">
        <f t="shared" si="32"/>
        <v>12</v>
      </c>
      <c r="AN213">
        <f t="shared" si="33"/>
        <v>40</v>
      </c>
      <c r="AO213">
        <f t="shared" si="34"/>
        <v>2</v>
      </c>
      <c r="AP213">
        <f t="shared" si="35"/>
        <v>54</v>
      </c>
    </row>
    <row r="214" spans="1:42" ht="15.75" hidden="1" customHeight="1" x14ac:dyDescent="0.3">
      <c r="A214" s="16"/>
      <c r="B214" s="55">
        <v>8</v>
      </c>
      <c r="C214" s="56" t="s">
        <v>232</v>
      </c>
      <c r="D214" s="55">
        <v>5</v>
      </c>
      <c r="E214" s="55" t="s">
        <v>21</v>
      </c>
      <c r="F214" s="18" t="s">
        <v>21</v>
      </c>
      <c r="G214" s="18" t="s">
        <v>23</v>
      </c>
      <c r="H214" s="18" t="s">
        <v>21</v>
      </c>
      <c r="I214" s="18" t="s">
        <v>20</v>
      </c>
      <c r="J214" s="18" t="s">
        <v>23</v>
      </c>
      <c r="K214" s="18" t="s">
        <v>20</v>
      </c>
      <c r="L214" s="18" t="s">
        <v>20</v>
      </c>
      <c r="M214" s="18" t="s">
        <v>20</v>
      </c>
      <c r="N214" s="18" t="s">
        <v>20</v>
      </c>
      <c r="O214" s="18" t="s">
        <v>20</v>
      </c>
      <c r="P214" s="18" t="s">
        <v>23</v>
      </c>
      <c r="Q214" s="18" t="s">
        <v>21</v>
      </c>
      <c r="R214" s="18" t="s">
        <v>21</v>
      </c>
      <c r="S214" s="18" t="s">
        <v>23</v>
      </c>
      <c r="T214" s="18" t="s">
        <v>21</v>
      </c>
      <c r="U214" s="18" t="s">
        <v>20</v>
      </c>
      <c r="V214" s="37" t="s">
        <v>20</v>
      </c>
      <c r="W214" s="37" t="s">
        <v>21</v>
      </c>
      <c r="X214" s="37" t="s">
        <v>20</v>
      </c>
      <c r="Y214" s="18" t="s">
        <v>20</v>
      </c>
      <c r="Z214" s="18" t="s">
        <v>20</v>
      </c>
      <c r="AA214" s="20" t="s">
        <v>20</v>
      </c>
      <c r="AB214" s="20" t="s">
        <v>20</v>
      </c>
      <c r="AC214" s="20" t="s">
        <v>20</v>
      </c>
      <c r="AD214" s="29" t="s">
        <v>23</v>
      </c>
      <c r="AE214" s="29" t="s">
        <v>21</v>
      </c>
      <c r="AG214">
        <f t="shared" si="27"/>
        <v>0</v>
      </c>
      <c r="AH214">
        <f t="shared" si="28"/>
        <v>14</v>
      </c>
      <c r="AI214">
        <f t="shared" si="29"/>
        <v>7</v>
      </c>
      <c r="AJ214">
        <f t="shared" si="30"/>
        <v>5</v>
      </c>
      <c r="AL214">
        <f t="shared" si="31"/>
        <v>0</v>
      </c>
      <c r="AM214">
        <f t="shared" si="32"/>
        <v>42</v>
      </c>
      <c r="AN214">
        <f t="shared" si="33"/>
        <v>14</v>
      </c>
      <c r="AO214">
        <f t="shared" si="34"/>
        <v>5</v>
      </c>
      <c r="AP214">
        <f t="shared" si="35"/>
        <v>61</v>
      </c>
    </row>
    <row r="215" spans="1:42" ht="15.75" hidden="1" customHeight="1" x14ac:dyDescent="0.3">
      <c r="A215" s="16"/>
      <c r="B215" s="55">
        <v>9</v>
      </c>
      <c r="C215" s="56" t="s">
        <v>233</v>
      </c>
      <c r="D215" s="55">
        <v>5</v>
      </c>
      <c r="E215" s="55" t="s">
        <v>21</v>
      </c>
      <c r="F215" s="18" t="s">
        <v>20</v>
      </c>
      <c r="G215" s="18" t="s">
        <v>20</v>
      </c>
      <c r="H215" s="18" t="s">
        <v>20</v>
      </c>
      <c r="I215" s="18" t="s">
        <v>20</v>
      </c>
      <c r="J215" s="18" t="s">
        <v>21</v>
      </c>
      <c r="K215" s="18" t="s">
        <v>21</v>
      </c>
      <c r="L215" s="18" t="s">
        <v>21</v>
      </c>
      <c r="M215" s="18" t="s">
        <v>20</v>
      </c>
      <c r="N215" s="18" t="s">
        <v>20</v>
      </c>
      <c r="O215" s="18" t="s">
        <v>20</v>
      </c>
      <c r="P215" s="18" t="s">
        <v>21</v>
      </c>
      <c r="Q215" s="18" t="s">
        <v>21</v>
      </c>
      <c r="R215" s="18" t="s">
        <v>20</v>
      </c>
      <c r="S215" s="18" t="s">
        <v>20</v>
      </c>
      <c r="T215" s="18" t="s">
        <v>21</v>
      </c>
      <c r="U215" s="18" t="s">
        <v>20</v>
      </c>
      <c r="V215" s="37" t="s">
        <v>20</v>
      </c>
      <c r="W215" s="37" t="s">
        <v>20</v>
      </c>
      <c r="X215" s="37" t="s">
        <v>20</v>
      </c>
      <c r="Y215" s="18" t="s">
        <v>20</v>
      </c>
      <c r="Z215" s="18" t="s">
        <v>20</v>
      </c>
      <c r="AA215" s="20" t="s">
        <v>20</v>
      </c>
      <c r="AB215" s="20" t="s">
        <v>20</v>
      </c>
      <c r="AC215" s="20" t="s">
        <v>20</v>
      </c>
      <c r="AD215" s="29" t="s">
        <v>20</v>
      </c>
      <c r="AE215" s="29" t="s">
        <v>21</v>
      </c>
      <c r="AG215">
        <f t="shared" si="27"/>
        <v>0</v>
      </c>
      <c r="AH215">
        <f t="shared" si="28"/>
        <v>19</v>
      </c>
      <c r="AI215">
        <f t="shared" si="29"/>
        <v>7</v>
      </c>
      <c r="AJ215">
        <f t="shared" si="30"/>
        <v>0</v>
      </c>
      <c r="AL215">
        <f t="shared" si="31"/>
        <v>0</v>
      </c>
      <c r="AM215">
        <f t="shared" si="32"/>
        <v>57</v>
      </c>
      <c r="AN215">
        <f t="shared" si="33"/>
        <v>14</v>
      </c>
      <c r="AO215">
        <f t="shared" si="34"/>
        <v>0</v>
      </c>
      <c r="AP215">
        <f t="shared" si="35"/>
        <v>71</v>
      </c>
    </row>
    <row r="216" spans="1:42" ht="15.75" hidden="1" customHeight="1" x14ac:dyDescent="0.3">
      <c r="A216" s="16"/>
      <c r="B216" s="55">
        <v>10</v>
      </c>
      <c r="C216" s="56" t="s">
        <v>234</v>
      </c>
      <c r="D216" s="55">
        <v>5</v>
      </c>
      <c r="E216" s="55" t="s">
        <v>21</v>
      </c>
      <c r="F216" s="18" t="s">
        <v>20</v>
      </c>
      <c r="G216" s="18" t="s">
        <v>20</v>
      </c>
      <c r="H216" s="18" t="s">
        <v>21</v>
      </c>
      <c r="I216" s="18" t="s">
        <v>20</v>
      </c>
      <c r="J216" s="18" t="s">
        <v>20</v>
      </c>
      <c r="K216" s="18" t="s">
        <v>21</v>
      </c>
      <c r="L216" s="18" t="s">
        <v>20</v>
      </c>
      <c r="M216" s="18" t="s">
        <v>20</v>
      </c>
      <c r="N216" s="18" t="s">
        <v>20</v>
      </c>
      <c r="O216" s="18" t="s">
        <v>20</v>
      </c>
      <c r="P216" s="18" t="s">
        <v>21</v>
      </c>
      <c r="Q216" s="18" t="s">
        <v>21</v>
      </c>
      <c r="R216" s="18" t="s">
        <v>21</v>
      </c>
      <c r="S216" s="18" t="s">
        <v>20</v>
      </c>
      <c r="T216" s="18" t="s">
        <v>21</v>
      </c>
      <c r="U216" s="18" t="s">
        <v>20</v>
      </c>
      <c r="V216" s="37" t="s">
        <v>20</v>
      </c>
      <c r="W216" s="37" t="s">
        <v>20</v>
      </c>
      <c r="X216" s="37" t="s">
        <v>20</v>
      </c>
      <c r="Y216" s="18" t="s">
        <v>20</v>
      </c>
      <c r="Z216" s="18" t="s">
        <v>20</v>
      </c>
      <c r="AA216" s="20" t="s">
        <v>20</v>
      </c>
      <c r="AB216" s="20" t="s">
        <v>20</v>
      </c>
      <c r="AC216" s="20" t="s">
        <v>20</v>
      </c>
      <c r="AD216" s="29" t="s">
        <v>20</v>
      </c>
      <c r="AE216" s="29" t="s">
        <v>21</v>
      </c>
      <c r="AG216">
        <f t="shared" si="27"/>
        <v>0</v>
      </c>
      <c r="AH216">
        <f t="shared" si="28"/>
        <v>19</v>
      </c>
      <c r="AI216">
        <f t="shared" si="29"/>
        <v>7</v>
      </c>
      <c r="AJ216">
        <f t="shared" si="30"/>
        <v>0</v>
      </c>
      <c r="AL216">
        <f t="shared" si="31"/>
        <v>0</v>
      </c>
      <c r="AM216">
        <f t="shared" si="32"/>
        <v>57</v>
      </c>
      <c r="AN216">
        <f t="shared" si="33"/>
        <v>14</v>
      </c>
      <c r="AO216">
        <f t="shared" si="34"/>
        <v>0</v>
      </c>
      <c r="AP216">
        <f t="shared" si="35"/>
        <v>71</v>
      </c>
    </row>
    <row r="217" spans="1:42" ht="15.75" hidden="1" customHeight="1" x14ac:dyDescent="0.3">
      <c r="A217" s="16"/>
      <c r="B217" s="55">
        <v>11</v>
      </c>
      <c r="C217" s="56" t="s">
        <v>235</v>
      </c>
      <c r="D217" s="55">
        <v>5</v>
      </c>
      <c r="E217" s="55" t="s">
        <v>21</v>
      </c>
      <c r="F217" s="18" t="s">
        <v>21</v>
      </c>
      <c r="G217" s="18" t="s">
        <v>21</v>
      </c>
      <c r="H217" s="18" t="s">
        <v>21</v>
      </c>
      <c r="I217" s="18" t="s">
        <v>21</v>
      </c>
      <c r="J217" s="18" t="s">
        <v>21</v>
      </c>
      <c r="K217" s="18" t="s">
        <v>21</v>
      </c>
      <c r="L217" s="18" t="s">
        <v>20</v>
      </c>
      <c r="M217" s="18" t="s">
        <v>20</v>
      </c>
      <c r="N217" s="18" t="s">
        <v>20</v>
      </c>
      <c r="O217" s="18" t="s">
        <v>20</v>
      </c>
      <c r="P217" s="18" t="s">
        <v>21</v>
      </c>
      <c r="Q217" s="18" t="s">
        <v>21</v>
      </c>
      <c r="R217" s="18" t="s">
        <v>21</v>
      </c>
      <c r="S217" s="18" t="s">
        <v>20</v>
      </c>
      <c r="T217" s="18" t="s">
        <v>20</v>
      </c>
      <c r="U217" s="18" t="s">
        <v>21</v>
      </c>
      <c r="V217" s="37" t="s">
        <v>20</v>
      </c>
      <c r="W217" s="37" t="s">
        <v>21</v>
      </c>
      <c r="X217" s="37" t="s">
        <v>20</v>
      </c>
      <c r="Y217" s="18" t="s">
        <v>20</v>
      </c>
      <c r="Z217" s="18" t="s">
        <v>21</v>
      </c>
      <c r="AA217" s="20" t="s">
        <v>20</v>
      </c>
      <c r="AB217" s="20" t="s">
        <v>20</v>
      </c>
      <c r="AC217" s="20" t="s">
        <v>20</v>
      </c>
      <c r="AD217" s="29" t="s">
        <v>20</v>
      </c>
      <c r="AE217" s="29" t="s">
        <v>21</v>
      </c>
      <c r="AG217">
        <f t="shared" si="27"/>
        <v>0</v>
      </c>
      <c r="AH217">
        <f t="shared" si="28"/>
        <v>13</v>
      </c>
      <c r="AI217">
        <f t="shared" si="29"/>
        <v>13</v>
      </c>
      <c r="AJ217">
        <f t="shared" si="30"/>
        <v>0</v>
      </c>
      <c r="AL217">
        <f t="shared" si="31"/>
        <v>0</v>
      </c>
      <c r="AM217">
        <f t="shared" si="32"/>
        <v>39</v>
      </c>
      <c r="AN217">
        <f t="shared" si="33"/>
        <v>26</v>
      </c>
      <c r="AO217">
        <f t="shared" si="34"/>
        <v>0</v>
      </c>
      <c r="AP217">
        <f t="shared" si="35"/>
        <v>65</v>
      </c>
    </row>
    <row r="218" spans="1:42" ht="15.75" hidden="1" customHeight="1" x14ac:dyDescent="0.3">
      <c r="A218" s="16"/>
      <c r="B218" s="55">
        <v>12</v>
      </c>
      <c r="C218" s="56" t="s">
        <v>236</v>
      </c>
      <c r="D218" s="55">
        <v>5</v>
      </c>
      <c r="E218" s="55" t="s">
        <v>21</v>
      </c>
      <c r="F218" s="18" t="s">
        <v>21</v>
      </c>
      <c r="G218" s="18" t="s">
        <v>21</v>
      </c>
      <c r="H218" s="18" t="s">
        <v>21</v>
      </c>
      <c r="I218" s="18" t="s">
        <v>20</v>
      </c>
      <c r="J218" s="18" t="s">
        <v>21</v>
      </c>
      <c r="K218" s="18" t="s">
        <v>21</v>
      </c>
      <c r="L218" s="18" t="s">
        <v>20</v>
      </c>
      <c r="M218" s="18" t="s">
        <v>20</v>
      </c>
      <c r="N218" s="18" t="s">
        <v>20</v>
      </c>
      <c r="O218" s="18" t="s">
        <v>20</v>
      </c>
      <c r="P218" s="18" t="s">
        <v>23</v>
      </c>
      <c r="Q218" s="18" t="s">
        <v>23</v>
      </c>
      <c r="R218" s="18" t="s">
        <v>23</v>
      </c>
      <c r="S218" s="18" t="s">
        <v>21</v>
      </c>
      <c r="T218" s="18" t="s">
        <v>21</v>
      </c>
      <c r="U218" s="18" t="s">
        <v>20</v>
      </c>
      <c r="V218" s="37" t="s">
        <v>20</v>
      </c>
      <c r="W218" s="37" t="s">
        <v>20</v>
      </c>
      <c r="X218" s="37" t="s">
        <v>20</v>
      </c>
      <c r="Y218" s="18" t="s">
        <v>20</v>
      </c>
      <c r="Z218" s="18" t="s">
        <v>20</v>
      </c>
      <c r="AA218" s="20" t="s">
        <v>20</v>
      </c>
      <c r="AB218" s="20" t="s">
        <v>20</v>
      </c>
      <c r="AC218" s="20" t="s">
        <v>20</v>
      </c>
      <c r="AD218" s="29" t="s">
        <v>23</v>
      </c>
      <c r="AE218" s="29" t="s">
        <v>21</v>
      </c>
      <c r="AG218">
        <f t="shared" si="27"/>
        <v>0</v>
      </c>
      <c r="AH218">
        <f t="shared" si="28"/>
        <v>14</v>
      </c>
      <c r="AI218">
        <f t="shared" si="29"/>
        <v>8</v>
      </c>
      <c r="AJ218">
        <f t="shared" si="30"/>
        <v>4</v>
      </c>
      <c r="AL218">
        <f t="shared" si="31"/>
        <v>0</v>
      </c>
      <c r="AM218">
        <f t="shared" si="32"/>
        <v>42</v>
      </c>
      <c r="AN218">
        <f t="shared" si="33"/>
        <v>16</v>
      </c>
      <c r="AO218">
        <f t="shared" si="34"/>
        <v>4</v>
      </c>
      <c r="AP218">
        <f t="shared" si="35"/>
        <v>62</v>
      </c>
    </row>
    <row r="219" spans="1:42" ht="15.75" hidden="1" customHeight="1" x14ac:dyDescent="0.3">
      <c r="A219" s="16"/>
      <c r="B219" s="55">
        <v>13</v>
      </c>
      <c r="C219" s="56" t="s">
        <v>237</v>
      </c>
      <c r="D219" s="55">
        <v>5</v>
      </c>
      <c r="E219" s="55" t="s">
        <v>21</v>
      </c>
      <c r="F219" s="18" t="s">
        <v>21</v>
      </c>
      <c r="G219" s="18" t="s">
        <v>21</v>
      </c>
      <c r="H219" s="18" t="s">
        <v>21</v>
      </c>
      <c r="I219" s="18" t="s">
        <v>21</v>
      </c>
      <c r="J219" s="18" t="s">
        <v>20</v>
      </c>
      <c r="K219" s="18" t="s">
        <v>20</v>
      </c>
      <c r="L219" s="18" t="s">
        <v>20</v>
      </c>
      <c r="M219" s="18" t="s">
        <v>20</v>
      </c>
      <c r="N219" s="18" t="s">
        <v>21</v>
      </c>
      <c r="O219" s="18" t="s">
        <v>20</v>
      </c>
      <c r="P219" s="18" t="s">
        <v>23</v>
      </c>
      <c r="Q219" s="18" t="s">
        <v>21</v>
      </c>
      <c r="R219" s="18" t="s">
        <v>21</v>
      </c>
      <c r="S219" s="18" t="s">
        <v>20</v>
      </c>
      <c r="T219" s="18" t="s">
        <v>21</v>
      </c>
      <c r="U219" s="18" t="s">
        <v>21</v>
      </c>
      <c r="V219" s="37" t="s">
        <v>20</v>
      </c>
      <c r="W219" s="37" t="s">
        <v>20</v>
      </c>
      <c r="X219" s="37" t="s">
        <v>20</v>
      </c>
      <c r="Y219" s="18" t="s">
        <v>20</v>
      </c>
      <c r="Z219" s="18" t="s">
        <v>20</v>
      </c>
      <c r="AA219" s="20" t="s">
        <v>21</v>
      </c>
      <c r="AB219" s="20" t="s">
        <v>20</v>
      </c>
      <c r="AC219" s="20" t="s">
        <v>21</v>
      </c>
      <c r="AD219" s="29" t="s">
        <v>21</v>
      </c>
      <c r="AE219" s="29" t="s">
        <v>21</v>
      </c>
      <c r="AG219">
        <f t="shared" si="27"/>
        <v>0</v>
      </c>
      <c r="AH219">
        <f t="shared" si="28"/>
        <v>12</v>
      </c>
      <c r="AI219">
        <f t="shared" si="29"/>
        <v>13</v>
      </c>
      <c r="AJ219">
        <f t="shared" si="30"/>
        <v>1</v>
      </c>
      <c r="AL219">
        <f t="shared" si="31"/>
        <v>0</v>
      </c>
      <c r="AM219">
        <f t="shared" si="32"/>
        <v>36</v>
      </c>
      <c r="AN219">
        <f t="shared" si="33"/>
        <v>26</v>
      </c>
      <c r="AO219">
        <f t="shared" si="34"/>
        <v>1</v>
      </c>
      <c r="AP219">
        <f t="shared" si="35"/>
        <v>63</v>
      </c>
    </row>
    <row r="220" spans="1:42" ht="15.75" hidden="1" customHeight="1" x14ac:dyDescent="0.3">
      <c r="A220" s="16"/>
      <c r="B220" s="55">
        <v>14</v>
      </c>
      <c r="C220" s="56" t="s">
        <v>238</v>
      </c>
      <c r="D220" s="55">
        <v>5</v>
      </c>
      <c r="E220" s="55" t="s">
        <v>21</v>
      </c>
      <c r="F220" s="18" t="s">
        <v>21</v>
      </c>
      <c r="G220" s="18" t="s">
        <v>21</v>
      </c>
      <c r="H220" s="18" t="s">
        <v>23</v>
      </c>
      <c r="I220" s="18" t="s">
        <v>21</v>
      </c>
      <c r="J220" s="18" t="s">
        <v>23</v>
      </c>
      <c r="K220" s="18" t="s">
        <v>21</v>
      </c>
      <c r="L220" s="18" t="s">
        <v>21</v>
      </c>
      <c r="M220" s="18" t="s">
        <v>21</v>
      </c>
      <c r="N220" s="18" t="s">
        <v>21</v>
      </c>
      <c r="O220" s="18" t="s">
        <v>20</v>
      </c>
      <c r="P220" s="18" t="s">
        <v>21</v>
      </c>
      <c r="Q220" s="18" t="s">
        <v>23</v>
      </c>
      <c r="R220" s="18" t="s">
        <v>21</v>
      </c>
      <c r="S220" s="18" t="s">
        <v>21</v>
      </c>
      <c r="T220" s="18" t="s">
        <v>21</v>
      </c>
      <c r="U220" s="18" t="s">
        <v>20</v>
      </c>
      <c r="V220" s="37" t="s">
        <v>21</v>
      </c>
      <c r="W220" s="37" t="s">
        <v>20</v>
      </c>
      <c r="X220" s="37" t="s">
        <v>20</v>
      </c>
      <c r="Y220" s="18" t="s">
        <v>20</v>
      </c>
      <c r="Z220" s="18" t="s">
        <v>21</v>
      </c>
      <c r="AA220" s="20" t="s">
        <v>23</v>
      </c>
      <c r="AB220" s="20" t="s">
        <v>23</v>
      </c>
      <c r="AC220" s="20" t="s">
        <v>21</v>
      </c>
      <c r="AD220" s="29" t="s">
        <v>20</v>
      </c>
      <c r="AE220" s="29" t="s">
        <v>21</v>
      </c>
      <c r="AG220">
        <f t="shared" si="27"/>
        <v>0</v>
      </c>
      <c r="AH220">
        <f t="shared" si="28"/>
        <v>6</v>
      </c>
      <c r="AI220">
        <f t="shared" si="29"/>
        <v>15</v>
      </c>
      <c r="AJ220">
        <f t="shared" si="30"/>
        <v>5</v>
      </c>
      <c r="AL220">
        <f t="shared" si="31"/>
        <v>0</v>
      </c>
      <c r="AM220">
        <f t="shared" si="32"/>
        <v>18</v>
      </c>
      <c r="AN220">
        <f t="shared" si="33"/>
        <v>30</v>
      </c>
      <c r="AO220">
        <f t="shared" si="34"/>
        <v>5</v>
      </c>
      <c r="AP220">
        <f t="shared" si="35"/>
        <v>53</v>
      </c>
    </row>
    <row r="221" spans="1:42" ht="15.75" hidden="1" customHeight="1" x14ac:dyDescent="0.3">
      <c r="A221" s="16"/>
      <c r="B221" s="55">
        <v>15</v>
      </c>
      <c r="C221" s="56" t="s">
        <v>239</v>
      </c>
      <c r="D221" s="55">
        <v>5</v>
      </c>
      <c r="E221" s="55" t="s">
        <v>21</v>
      </c>
      <c r="F221" s="18" t="s">
        <v>21</v>
      </c>
      <c r="G221" s="18" t="s">
        <v>23</v>
      </c>
      <c r="H221" s="18" t="s">
        <v>21</v>
      </c>
      <c r="I221" s="18" t="s">
        <v>21</v>
      </c>
      <c r="J221" s="18" t="s">
        <v>21</v>
      </c>
      <c r="K221" s="18" t="s">
        <v>20</v>
      </c>
      <c r="L221" s="18" t="s">
        <v>20</v>
      </c>
      <c r="M221" s="18" t="s">
        <v>20</v>
      </c>
      <c r="N221" s="18" t="s">
        <v>21</v>
      </c>
      <c r="O221" s="18" t="s">
        <v>20</v>
      </c>
      <c r="P221" s="18" t="s">
        <v>21</v>
      </c>
      <c r="Q221" s="18" t="s">
        <v>21</v>
      </c>
      <c r="R221" s="18" t="s">
        <v>21</v>
      </c>
      <c r="S221" s="18" t="s">
        <v>20</v>
      </c>
      <c r="T221" s="18" t="s">
        <v>20</v>
      </c>
      <c r="U221" s="18" t="s">
        <v>21</v>
      </c>
      <c r="V221" s="37" t="s">
        <v>20</v>
      </c>
      <c r="W221" s="37" t="s">
        <v>20</v>
      </c>
      <c r="X221" s="37" t="s">
        <v>20</v>
      </c>
      <c r="Y221" s="18" t="s">
        <v>21</v>
      </c>
      <c r="Z221" s="18" t="s">
        <v>21</v>
      </c>
      <c r="AA221" s="20" t="s">
        <v>21</v>
      </c>
      <c r="AB221" s="20" t="s">
        <v>21</v>
      </c>
      <c r="AC221" s="20" t="s">
        <v>21</v>
      </c>
      <c r="AD221" s="29" t="s">
        <v>20</v>
      </c>
      <c r="AE221" s="29" t="s">
        <v>21</v>
      </c>
      <c r="AG221">
        <f t="shared" si="27"/>
        <v>0</v>
      </c>
      <c r="AH221">
        <f t="shared" si="28"/>
        <v>10</v>
      </c>
      <c r="AI221">
        <f t="shared" si="29"/>
        <v>15</v>
      </c>
      <c r="AJ221">
        <f t="shared" si="30"/>
        <v>1</v>
      </c>
      <c r="AL221">
        <f t="shared" si="31"/>
        <v>0</v>
      </c>
      <c r="AM221">
        <f t="shared" si="32"/>
        <v>30</v>
      </c>
      <c r="AN221">
        <f t="shared" si="33"/>
        <v>30</v>
      </c>
      <c r="AO221">
        <f t="shared" si="34"/>
        <v>1</v>
      </c>
      <c r="AP221">
        <f t="shared" si="35"/>
        <v>61</v>
      </c>
    </row>
    <row r="222" spans="1:42" ht="15.75" hidden="1" customHeight="1" x14ac:dyDescent="0.3">
      <c r="A222" s="16"/>
      <c r="B222" s="55">
        <v>16</v>
      </c>
      <c r="C222" s="56" t="s">
        <v>240</v>
      </c>
      <c r="D222" s="55">
        <v>5</v>
      </c>
      <c r="E222" s="55" t="s">
        <v>21</v>
      </c>
      <c r="F222" s="18" t="s">
        <v>20</v>
      </c>
      <c r="G222" s="18" t="s">
        <v>20</v>
      </c>
      <c r="H222" s="18" t="s">
        <v>21</v>
      </c>
      <c r="I222" s="18" t="s">
        <v>20</v>
      </c>
      <c r="J222" s="18" t="s">
        <v>21</v>
      </c>
      <c r="K222" s="18" t="s">
        <v>21</v>
      </c>
      <c r="L222" s="18" t="s">
        <v>20</v>
      </c>
      <c r="M222" s="18" t="s">
        <v>20</v>
      </c>
      <c r="N222" s="18" t="s">
        <v>20</v>
      </c>
      <c r="O222" s="18" t="s">
        <v>20</v>
      </c>
      <c r="P222" s="18" t="s">
        <v>21</v>
      </c>
      <c r="Q222" s="18" t="s">
        <v>20</v>
      </c>
      <c r="R222" s="18" t="s">
        <v>21</v>
      </c>
      <c r="S222" s="18" t="s">
        <v>21</v>
      </c>
      <c r="T222" s="18" t="s">
        <v>21</v>
      </c>
      <c r="U222" s="18" t="s">
        <v>20</v>
      </c>
      <c r="V222" s="37" t="s">
        <v>20</v>
      </c>
      <c r="W222" s="37" t="s">
        <v>20</v>
      </c>
      <c r="X222" s="37" t="s">
        <v>20</v>
      </c>
      <c r="Y222" s="18" t="s">
        <v>20</v>
      </c>
      <c r="Z222" s="18" t="s">
        <v>21</v>
      </c>
      <c r="AA222" s="20" t="s">
        <v>21</v>
      </c>
      <c r="AB222" s="20" t="s">
        <v>20</v>
      </c>
      <c r="AC222" s="20" t="s">
        <v>20</v>
      </c>
      <c r="AD222" s="29" t="s">
        <v>20</v>
      </c>
      <c r="AE222" s="29" t="s">
        <v>21</v>
      </c>
      <c r="AG222">
        <f t="shared" si="27"/>
        <v>0</v>
      </c>
      <c r="AH222">
        <f t="shared" si="28"/>
        <v>16</v>
      </c>
      <c r="AI222">
        <f t="shared" si="29"/>
        <v>10</v>
      </c>
      <c r="AJ222">
        <f t="shared" si="30"/>
        <v>0</v>
      </c>
      <c r="AL222">
        <f t="shared" si="31"/>
        <v>0</v>
      </c>
      <c r="AM222">
        <f t="shared" si="32"/>
        <v>48</v>
      </c>
      <c r="AN222">
        <f t="shared" si="33"/>
        <v>20</v>
      </c>
      <c r="AO222">
        <f t="shared" si="34"/>
        <v>0</v>
      </c>
      <c r="AP222">
        <f t="shared" si="35"/>
        <v>68</v>
      </c>
    </row>
    <row r="223" spans="1:42" ht="15.75" hidden="1" customHeight="1" x14ac:dyDescent="0.3">
      <c r="A223" s="16"/>
      <c r="B223" s="55">
        <v>17</v>
      </c>
      <c r="C223" s="56" t="s">
        <v>241</v>
      </c>
      <c r="D223" s="55">
        <v>5</v>
      </c>
      <c r="E223" s="55" t="s">
        <v>21</v>
      </c>
      <c r="F223" s="18" t="s">
        <v>21</v>
      </c>
      <c r="G223" s="18" t="s">
        <v>23</v>
      </c>
      <c r="H223" s="18" t="s">
        <v>21</v>
      </c>
      <c r="I223" s="18" t="s">
        <v>21</v>
      </c>
      <c r="J223" s="18" t="s">
        <v>21</v>
      </c>
      <c r="K223" s="18" t="s">
        <v>21</v>
      </c>
      <c r="L223" s="18" t="s">
        <v>21</v>
      </c>
      <c r="M223" s="18" t="s">
        <v>21</v>
      </c>
      <c r="N223" s="18" t="s">
        <v>21</v>
      </c>
      <c r="O223" s="18" t="s">
        <v>21</v>
      </c>
      <c r="P223" s="18" t="s">
        <v>21</v>
      </c>
      <c r="Q223" s="18" t="s">
        <v>23</v>
      </c>
      <c r="R223" s="18" t="s">
        <v>21</v>
      </c>
      <c r="S223" s="18" t="s">
        <v>21</v>
      </c>
      <c r="T223" s="18" t="s">
        <v>21</v>
      </c>
      <c r="U223" s="18" t="s">
        <v>21</v>
      </c>
      <c r="V223" s="37" t="s">
        <v>20</v>
      </c>
      <c r="W223" s="37" t="s">
        <v>21</v>
      </c>
      <c r="X223" s="37" t="s">
        <v>20</v>
      </c>
      <c r="Y223" s="18" t="s">
        <v>20</v>
      </c>
      <c r="Z223" s="18" t="s">
        <v>21</v>
      </c>
      <c r="AA223" s="20" t="s">
        <v>20</v>
      </c>
      <c r="AB223" s="20" t="s">
        <v>21</v>
      </c>
      <c r="AC223" s="20" t="s">
        <v>21</v>
      </c>
      <c r="AD223" s="29" t="s">
        <v>23</v>
      </c>
      <c r="AE223" s="29" t="s">
        <v>21</v>
      </c>
      <c r="AG223">
        <f t="shared" si="27"/>
        <v>0</v>
      </c>
      <c r="AH223">
        <f t="shared" si="28"/>
        <v>4</v>
      </c>
      <c r="AI223">
        <f t="shared" si="29"/>
        <v>19</v>
      </c>
      <c r="AJ223">
        <f t="shared" si="30"/>
        <v>3</v>
      </c>
      <c r="AL223">
        <f t="shared" si="31"/>
        <v>0</v>
      </c>
      <c r="AM223">
        <f t="shared" si="32"/>
        <v>12</v>
      </c>
      <c r="AN223">
        <f t="shared" si="33"/>
        <v>38</v>
      </c>
      <c r="AO223">
        <f t="shared" si="34"/>
        <v>3</v>
      </c>
      <c r="AP223">
        <f t="shared" si="35"/>
        <v>53</v>
      </c>
    </row>
    <row r="224" spans="1:42" ht="15.75" hidden="1" customHeight="1" x14ac:dyDescent="0.3">
      <c r="A224" s="16"/>
      <c r="B224" s="55">
        <v>18</v>
      </c>
      <c r="C224" s="56" t="s">
        <v>242</v>
      </c>
      <c r="D224" s="55">
        <v>5</v>
      </c>
      <c r="E224" s="55" t="s">
        <v>21</v>
      </c>
      <c r="F224" s="18" t="s">
        <v>20</v>
      </c>
      <c r="G224" s="18" t="s">
        <v>20</v>
      </c>
      <c r="H224" s="18" t="s">
        <v>21</v>
      </c>
      <c r="I224" s="18" t="s">
        <v>21</v>
      </c>
      <c r="J224" s="18" t="s">
        <v>20</v>
      </c>
      <c r="K224" s="18" t="s">
        <v>20</v>
      </c>
      <c r="L224" s="18" t="s">
        <v>21</v>
      </c>
      <c r="M224" s="18" t="s">
        <v>20</v>
      </c>
      <c r="N224" s="18" t="s">
        <v>20</v>
      </c>
      <c r="O224" s="18" t="s">
        <v>20</v>
      </c>
      <c r="P224" s="18" t="s">
        <v>21</v>
      </c>
      <c r="Q224" s="18" t="s">
        <v>21</v>
      </c>
      <c r="R224" s="18" t="s">
        <v>21</v>
      </c>
      <c r="S224" s="18" t="s">
        <v>20</v>
      </c>
      <c r="T224" s="18" t="s">
        <v>20</v>
      </c>
      <c r="U224" s="18" t="s">
        <v>20</v>
      </c>
      <c r="V224" s="37" t="s">
        <v>20</v>
      </c>
      <c r="W224" s="37" t="s">
        <v>20</v>
      </c>
      <c r="X224" s="37" t="s">
        <v>20</v>
      </c>
      <c r="Y224" s="18" t="s">
        <v>20</v>
      </c>
      <c r="Z224" s="18" t="s">
        <v>20</v>
      </c>
      <c r="AA224" s="20" t="s">
        <v>21</v>
      </c>
      <c r="AB224" s="20" t="s">
        <v>20</v>
      </c>
      <c r="AC224" s="20" t="s">
        <v>20</v>
      </c>
      <c r="AD224" s="29" t="s">
        <v>20</v>
      </c>
      <c r="AE224" s="29" t="s">
        <v>21</v>
      </c>
      <c r="AG224">
        <f t="shared" si="27"/>
        <v>0</v>
      </c>
      <c r="AH224">
        <f t="shared" si="28"/>
        <v>18</v>
      </c>
      <c r="AI224">
        <f t="shared" si="29"/>
        <v>8</v>
      </c>
      <c r="AJ224">
        <f t="shared" si="30"/>
        <v>0</v>
      </c>
      <c r="AL224">
        <f t="shared" si="31"/>
        <v>0</v>
      </c>
      <c r="AM224">
        <f t="shared" si="32"/>
        <v>54</v>
      </c>
      <c r="AN224">
        <f t="shared" si="33"/>
        <v>16</v>
      </c>
      <c r="AO224">
        <f t="shared" si="34"/>
        <v>0</v>
      </c>
      <c r="AP224">
        <f t="shared" si="35"/>
        <v>70</v>
      </c>
    </row>
    <row r="225" spans="1:42" ht="15.75" hidden="1" customHeight="1" x14ac:dyDescent="0.3">
      <c r="A225" s="16"/>
      <c r="B225" s="55">
        <v>19</v>
      </c>
      <c r="C225" s="56" t="s">
        <v>243</v>
      </c>
      <c r="D225" s="55">
        <v>5</v>
      </c>
      <c r="E225" s="55" t="s">
        <v>21</v>
      </c>
      <c r="F225" s="18" t="s">
        <v>20</v>
      </c>
      <c r="G225" s="18" t="s">
        <v>20</v>
      </c>
      <c r="H225" s="18" t="s">
        <v>20</v>
      </c>
      <c r="I225" s="18" t="s">
        <v>20</v>
      </c>
      <c r="J225" s="18" t="s">
        <v>20</v>
      </c>
      <c r="K225" s="18" t="s">
        <v>20</v>
      </c>
      <c r="L225" s="18" t="s">
        <v>20</v>
      </c>
      <c r="M225" s="18" t="s">
        <v>20</v>
      </c>
      <c r="N225" s="18" t="s">
        <v>20</v>
      </c>
      <c r="O225" s="18" t="s">
        <v>20</v>
      </c>
      <c r="P225" s="18" t="s">
        <v>20</v>
      </c>
      <c r="Q225" s="18" t="s">
        <v>20</v>
      </c>
      <c r="R225" s="18" t="s">
        <v>20</v>
      </c>
      <c r="S225" s="18" t="s">
        <v>20</v>
      </c>
      <c r="T225" s="18" t="s">
        <v>20</v>
      </c>
      <c r="U225" s="18" t="s">
        <v>20</v>
      </c>
      <c r="V225" s="37" t="s">
        <v>20</v>
      </c>
      <c r="W225" s="37" t="s">
        <v>20</v>
      </c>
      <c r="X225" s="37" t="s">
        <v>20</v>
      </c>
      <c r="Y225" s="18" t="s">
        <v>20</v>
      </c>
      <c r="Z225" s="18" t="s">
        <v>20</v>
      </c>
      <c r="AA225" s="20" t="s">
        <v>20</v>
      </c>
      <c r="AB225" s="20" t="s">
        <v>20</v>
      </c>
      <c r="AC225" s="20" t="s">
        <v>20</v>
      </c>
      <c r="AD225" s="29" t="s">
        <v>20</v>
      </c>
      <c r="AE225" s="29" t="s">
        <v>21</v>
      </c>
      <c r="AG225">
        <f t="shared" si="27"/>
        <v>0</v>
      </c>
      <c r="AH225">
        <f t="shared" si="28"/>
        <v>25</v>
      </c>
      <c r="AI225">
        <f t="shared" si="29"/>
        <v>1</v>
      </c>
      <c r="AJ225">
        <f t="shared" si="30"/>
        <v>0</v>
      </c>
      <c r="AL225">
        <f t="shared" si="31"/>
        <v>0</v>
      </c>
      <c r="AM225">
        <f t="shared" si="32"/>
        <v>75</v>
      </c>
      <c r="AN225">
        <f t="shared" si="33"/>
        <v>2</v>
      </c>
      <c r="AO225">
        <f t="shared" si="34"/>
        <v>0</v>
      </c>
      <c r="AP225">
        <f t="shared" si="35"/>
        <v>77</v>
      </c>
    </row>
    <row r="226" spans="1:42" ht="15.75" hidden="1" customHeight="1" x14ac:dyDescent="0.3">
      <c r="A226" s="16"/>
      <c r="B226" s="55">
        <v>20</v>
      </c>
      <c r="C226" s="56" t="s">
        <v>244</v>
      </c>
      <c r="D226" s="55">
        <v>5</v>
      </c>
      <c r="E226" s="55" t="s">
        <v>21</v>
      </c>
      <c r="F226" s="18" t="s">
        <v>20</v>
      </c>
      <c r="G226" s="18" t="s">
        <v>21</v>
      </c>
      <c r="H226" s="18" t="s">
        <v>21</v>
      </c>
      <c r="I226" s="18" t="s">
        <v>21</v>
      </c>
      <c r="J226" s="18" t="s">
        <v>21</v>
      </c>
      <c r="K226" s="18" t="s">
        <v>20</v>
      </c>
      <c r="L226" s="18" t="s">
        <v>20</v>
      </c>
      <c r="M226" s="18" t="s">
        <v>20</v>
      </c>
      <c r="N226" s="18" t="s">
        <v>21</v>
      </c>
      <c r="O226" s="18" t="s">
        <v>20</v>
      </c>
      <c r="P226" s="18" t="s">
        <v>21</v>
      </c>
      <c r="Q226" s="18" t="s">
        <v>21</v>
      </c>
      <c r="R226" s="18" t="s">
        <v>21</v>
      </c>
      <c r="S226" s="18" t="s">
        <v>20</v>
      </c>
      <c r="T226" s="18" t="s">
        <v>21</v>
      </c>
      <c r="U226" s="18" t="s">
        <v>21</v>
      </c>
      <c r="V226" s="37" t="s">
        <v>20</v>
      </c>
      <c r="W226" s="37" t="s">
        <v>21</v>
      </c>
      <c r="X226" s="37" t="s">
        <v>20</v>
      </c>
      <c r="Y226" s="18" t="s">
        <v>20</v>
      </c>
      <c r="Z226" s="18" t="s">
        <v>20</v>
      </c>
      <c r="AA226" s="20" t="s">
        <v>20</v>
      </c>
      <c r="AB226" s="20" t="s">
        <v>20</v>
      </c>
      <c r="AC226" s="20" t="s">
        <v>20</v>
      </c>
      <c r="AD226" s="29" t="s">
        <v>20</v>
      </c>
      <c r="AE226" s="29" t="s">
        <v>21</v>
      </c>
      <c r="AG226">
        <f t="shared" si="27"/>
        <v>0</v>
      </c>
      <c r="AH226">
        <f t="shared" si="28"/>
        <v>14</v>
      </c>
      <c r="AI226">
        <f t="shared" si="29"/>
        <v>12</v>
      </c>
      <c r="AJ226">
        <f t="shared" si="30"/>
        <v>0</v>
      </c>
      <c r="AL226">
        <f t="shared" si="31"/>
        <v>0</v>
      </c>
      <c r="AM226">
        <f t="shared" si="32"/>
        <v>42</v>
      </c>
      <c r="AN226">
        <f t="shared" si="33"/>
        <v>24</v>
      </c>
      <c r="AO226">
        <f t="shared" si="34"/>
        <v>0</v>
      </c>
      <c r="AP226">
        <f t="shared" si="35"/>
        <v>66</v>
      </c>
    </row>
    <row r="227" spans="1:42" ht="15.75" hidden="1" customHeight="1" x14ac:dyDescent="0.3">
      <c r="A227" s="16"/>
      <c r="B227" s="55">
        <v>21</v>
      </c>
      <c r="C227" s="56" t="s">
        <v>245</v>
      </c>
      <c r="D227" s="55">
        <v>5</v>
      </c>
      <c r="E227" s="55" t="s">
        <v>21</v>
      </c>
      <c r="F227" s="18" t="s">
        <v>39</v>
      </c>
      <c r="G227" s="18" t="s">
        <v>20</v>
      </c>
      <c r="H227" s="18" t="s">
        <v>20</v>
      </c>
      <c r="I227" s="18" t="s">
        <v>20</v>
      </c>
      <c r="J227" s="18" t="s">
        <v>20</v>
      </c>
      <c r="K227" s="18" t="s">
        <v>39</v>
      </c>
      <c r="L227" s="18" t="s">
        <v>39</v>
      </c>
      <c r="M227" s="18" t="s">
        <v>20</v>
      </c>
      <c r="N227" s="18" t="s">
        <v>20</v>
      </c>
      <c r="O227" s="18" t="s">
        <v>20</v>
      </c>
      <c r="P227" s="18" t="s">
        <v>20</v>
      </c>
      <c r="Q227" s="18" t="s">
        <v>20</v>
      </c>
      <c r="R227" s="18" t="s">
        <v>20</v>
      </c>
      <c r="S227" s="18" t="s">
        <v>20</v>
      </c>
      <c r="T227" s="18" t="s">
        <v>20</v>
      </c>
      <c r="U227" s="18" t="s">
        <v>20</v>
      </c>
      <c r="V227" s="37" t="s">
        <v>20</v>
      </c>
      <c r="W227" s="37" t="s">
        <v>20</v>
      </c>
      <c r="X227" s="37" t="s">
        <v>20</v>
      </c>
      <c r="Y227" s="18" t="s">
        <v>39</v>
      </c>
      <c r="Z227" s="18" t="s">
        <v>39</v>
      </c>
      <c r="AA227" s="20" t="s">
        <v>20</v>
      </c>
      <c r="AB227" s="20" t="s">
        <v>20</v>
      </c>
      <c r="AC227" s="20" t="s">
        <v>20</v>
      </c>
      <c r="AD227" s="29" t="s">
        <v>20</v>
      </c>
      <c r="AE227" s="29" t="s">
        <v>21</v>
      </c>
      <c r="AG227">
        <f t="shared" si="27"/>
        <v>5</v>
      </c>
      <c r="AH227">
        <f t="shared" si="28"/>
        <v>20</v>
      </c>
      <c r="AI227">
        <f t="shared" si="29"/>
        <v>1</v>
      </c>
      <c r="AJ227">
        <f t="shared" si="30"/>
        <v>0</v>
      </c>
      <c r="AL227">
        <f t="shared" si="31"/>
        <v>20</v>
      </c>
      <c r="AM227">
        <f t="shared" si="32"/>
        <v>60</v>
      </c>
      <c r="AN227">
        <f t="shared" si="33"/>
        <v>2</v>
      </c>
      <c r="AO227">
        <f t="shared" si="34"/>
        <v>0</v>
      </c>
      <c r="AP227">
        <f t="shared" si="35"/>
        <v>82</v>
      </c>
    </row>
    <row r="228" spans="1:42" ht="15.75" hidden="1" customHeight="1" x14ac:dyDescent="0.3">
      <c r="A228" s="16"/>
      <c r="B228" s="55">
        <v>22</v>
      </c>
      <c r="C228" s="56" t="s">
        <v>246</v>
      </c>
      <c r="D228" s="55">
        <v>5</v>
      </c>
      <c r="E228" s="55" t="s">
        <v>21</v>
      </c>
      <c r="F228" s="18" t="s">
        <v>21</v>
      </c>
      <c r="G228" s="18" t="s">
        <v>21</v>
      </c>
      <c r="H228" s="18" t="s">
        <v>21</v>
      </c>
      <c r="I228" s="18" t="s">
        <v>21</v>
      </c>
      <c r="J228" s="18" t="s">
        <v>21</v>
      </c>
      <c r="K228" s="18" t="s">
        <v>20</v>
      </c>
      <c r="L228" s="18" t="s">
        <v>20</v>
      </c>
      <c r="M228" s="18" t="s">
        <v>20</v>
      </c>
      <c r="N228" s="18" t="s">
        <v>20</v>
      </c>
      <c r="O228" s="18" t="s">
        <v>20</v>
      </c>
      <c r="P228" s="18" t="s">
        <v>21</v>
      </c>
      <c r="Q228" s="18" t="s">
        <v>21</v>
      </c>
      <c r="R228" s="18" t="s">
        <v>23</v>
      </c>
      <c r="S228" s="18" t="s">
        <v>21</v>
      </c>
      <c r="T228" s="18" t="s">
        <v>21</v>
      </c>
      <c r="U228" s="18" t="s">
        <v>20</v>
      </c>
      <c r="V228" s="37" t="s">
        <v>20</v>
      </c>
      <c r="W228" s="37" t="s">
        <v>20</v>
      </c>
      <c r="X228" s="37" t="s">
        <v>20</v>
      </c>
      <c r="Y228" s="18" t="s">
        <v>21</v>
      </c>
      <c r="Z228" s="18" t="s">
        <v>20</v>
      </c>
      <c r="AA228" s="20" t="s">
        <v>21</v>
      </c>
      <c r="AB228" s="20" t="s">
        <v>21</v>
      </c>
      <c r="AC228" s="20" t="s">
        <v>21</v>
      </c>
      <c r="AD228" s="47" t="s">
        <v>23</v>
      </c>
      <c r="AE228" s="47" t="s">
        <v>21</v>
      </c>
      <c r="AG228">
        <f t="shared" si="27"/>
        <v>0</v>
      </c>
      <c r="AH228">
        <f t="shared" si="28"/>
        <v>10</v>
      </c>
      <c r="AI228">
        <f t="shared" si="29"/>
        <v>14</v>
      </c>
      <c r="AJ228">
        <f t="shared" si="30"/>
        <v>2</v>
      </c>
      <c r="AL228">
        <f t="shared" si="31"/>
        <v>0</v>
      </c>
      <c r="AM228">
        <f t="shared" si="32"/>
        <v>30</v>
      </c>
      <c r="AN228">
        <f t="shared" si="33"/>
        <v>28</v>
      </c>
      <c r="AO228">
        <f t="shared" si="34"/>
        <v>2</v>
      </c>
      <c r="AP228">
        <f t="shared" si="35"/>
        <v>60</v>
      </c>
    </row>
    <row r="229" spans="1:42" ht="15.75" hidden="1" customHeight="1" x14ac:dyDescent="0.3">
      <c r="A229" s="16"/>
      <c r="B229" s="55">
        <v>23</v>
      </c>
      <c r="C229" s="56" t="s">
        <v>247</v>
      </c>
      <c r="D229" s="55">
        <v>5</v>
      </c>
      <c r="E229" s="55" t="s">
        <v>21</v>
      </c>
      <c r="F229" s="18" t="s">
        <v>21</v>
      </c>
      <c r="G229" s="18" t="s">
        <v>21</v>
      </c>
      <c r="H229" s="18" t="s">
        <v>21</v>
      </c>
      <c r="I229" s="18" t="s">
        <v>20</v>
      </c>
      <c r="J229" s="18" t="s">
        <v>20</v>
      </c>
      <c r="K229" s="18" t="s">
        <v>20</v>
      </c>
      <c r="L229" s="18" t="s">
        <v>20</v>
      </c>
      <c r="M229" s="18" t="s">
        <v>20</v>
      </c>
      <c r="N229" s="18" t="s">
        <v>21</v>
      </c>
      <c r="O229" s="18" t="s">
        <v>20</v>
      </c>
      <c r="P229" s="18" t="s">
        <v>21</v>
      </c>
      <c r="Q229" s="18" t="s">
        <v>21</v>
      </c>
      <c r="R229" s="18" t="s">
        <v>20</v>
      </c>
      <c r="S229" s="18" t="s">
        <v>21</v>
      </c>
      <c r="T229" s="18" t="s">
        <v>21</v>
      </c>
      <c r="U229" s="18" t="s">
        <v>21</v>
      </c>
      <c r="V229" s="37" t="s">
        <v>20</v>
      </c>
      <c r="W229" s="37" t="s">
        <v>20</v>
      </c>
      <c r="X229" s="37" t="s">
        <v>20</v>
      </c>
      <c r="Y229" s="18" t="s">
        <v>20</v>
      </c>
      <c r="Z229" s="18" t="s">
        <v>21</v>
      </c>
      <c r="AA229" s="20" t="s">
        <v>20</v>
      </c>
      <c r="AB229" s="20" t="s">
        <v>20</v>
      </c>
      <c r="AC229" s="20" t="s">
        <v>20</v>
      </c>
      <c r="AD229" s="29" t="s">
        <v>20</v>
      </c>
      <c r="AE229" s="29" t="s">
        <v>21</v>
      </c>
      <c r="AG229">
        <f t="shared" si="27"/>
        <v>0</v>
      </c>
      <c r="AH229">
        <f t="shared" si="28"/>
        <v>15</v>
      </c>
      <c r="AI229">
        <f t="shared" si="29"/>
        <v>11</v>
      </c>
      <c r="AJ229">
        <f t="shared" si="30"/>
        <v>0</v>
      </c>
      <c r="AL229">
        <f t="shared" si="31"/>
        <v>0</v>
      </c>
      <c r="AM229">
        <f t="shared" si="32"/>
        <v>45</v>
      </c>
      <c r="AN229">
        <f t="shared" si="33"/>
        <v>22</v>
      </c>
      <c r="AO229">
        <f t="shared" si="34"/>
        <v>0</v>
      </c>
      <c r="AP229">
        <f t="shared" si="35"/>
        <v>67</v>
      </c>
    </row>
    <row r="230" spans="1:42" ht="15.75" hidden="1" customHeight="1" x14ac:dyDescent="0.3">
      <c r="A230" s="16"/>
      <c r="B230" s="55">
        <v>24</v>
      </c>
      <c r="C230" s="56" t="s">
        <v>248</v>
      </c>
      <c r="D230" s="55">
        <v>5</v>
      </c>
      <c r="E230" s="55" t="s">
        <v>21</v>
      </c>
      <c r="F230" s="18" t="s">
        <v>20</v>
      </c>
      <c r="G230" s="18" t="s">
        <v>20</v>
      </c>
      <c r="H230" s="18" t="s">
        <v>20</v>
      </c>
      <c r="I230" s="18" t="s">
        <v>20</v>
      </c>
      <c r="J230" s="18" t="s">
        <v>20</v>
      </c>
      <c r="K230" s="18" t="s">
        <v>20</v>
      </c>
      <c r="L230" s="18" t="s">
        <v>39</v>
      </c>
      <c r="M230" s="18" t="s">
        <v>20</v>
      </c>
      <c r="N230" s="18" t="s">
        <v>20</v>
      </c>
      <c r="O230" s="18" t="s">
        <v>20</v>
      </c>
      <c r="P230" s="18" t="s">
        <v>20</v>
      </c>
      <c r="Q230" s="18" t="s">
        <v>21</v>
      </c>
      <c r="R230" s="18" t="s">
        <v>21</v>
      </c>
      <c r="S230" s="18" t="s">
        <v>20</v>
      </c>
      <c r="T230" s="18" t="s">
        <v>20</v>
      </c>
      <c r="U230" s="18" t="s">
        <v>20</v>
      </c>
      <c r="V230" s="37" t="s">
        <v>20</v>
      </c>
      <c r="W230" s="37" t="s">
        <v>21</v>
      </c>
      <c r="X230" s="37" t="s">
        <v>20</v>
      </c>
      <c r="Y230" s="18" t="s">
        <v>20</v>
      </c>
      <c r="Z230" s="18" t="s">
        <v>20</v>
      </c>
      <c r="AA230" s="20" t="s">
        <v>20</v>
      </c>
      <c r="AB230" s="20" t="s">
        <v>21</v>
      </c>
      <c r="AC230" s="20" t="s">
        <v>20</v>
      </c>
      <c r="AD230" s="29" t="s">
        <v>20</v>
      </c>
      <c r="AE230" s="29" t="s">
        <v>21</v>
      </c>
      <c r="AG230">
        <f t="shared" si="27"/>
        <v>1</v>
      </c>
      <c r="AH230">
        <f t="shared" si="28"/>
        <v>20</v>
      </c>
      <c r="AI230">
        <f t="shared" si="29"/>
        <v>5</v>
      </c>
      <c r="AJ230">
        <f t="shared" si="30"/>
        <v>0</v>
      </c>
      <c r="AL230">
        <f t="shared" si="31"/>
        <v>4</v>
      </c>
      <c r="AM230">
        <f t="shared" si="32"/>
        <v>60</v>
      </c>
      <c r="AN230">
        <f t="shared" si="33"/>
        <v>10</v>
      </c>
      <c r="AO230">
        <f t="shared" si="34"/>
        <v>0</v>
      </c>
      <c r="AP230">
        <f t="shared" si="35"/>
        <v>74</v>
      </c>
    </row>
    <row r="231" spans="1:42" ht="15.75" hidden="1" customHeight="1" x14ac:dyDescent="0.3">
      <c r="A231" s="16"/>
      <c r="B231" s="55">
        <v>25</v>
      </c>
      <c r="C231" s="56" t="s">
        <v>249</v>
      </c>
      <c r="D231" s="55">
        <v>5</v>
      </c>
      <c r="E231" s="55" t="s">
        <v>21</v>
      </c>
      <c r="F231" s="18" t="s">
        <v>21</v>
      </c>
      <c r="G231" s="18" t="s">
        <v>21</v>
      </c>
      <c r="H231" s="17" t="s">
        <v>21</v>
      </c>
      <c r="I231" s="18" t="s">
        <v>21</v>
      </c>
      <c r="J231" s="18" t="s">
        <v>21</v>
      </c>
      <c r="K231" s="18" t="s">
        <v>21</v>
      </c>
      <c r="L231" s="18" t="s">
        <v>21</v>
      </c>
      <c r="M231" s="18" t="s">
        <v>20</v>
      </c>
      <c r="N231" s="18" t="s">
        <v>21</v>
      </c>
      <c r="O231" s="18" t="s">
        <v>20</v>
      </c>
      <c r="P231" s="18" t="s">
        <v>21</v>
      </c>
      <c r="Q231" s="18" t="s">
        <v>21</v>
      </c>
      <c r="R231" s="18" t="s">
        <v>21</v>
      </c>
      <c r="S231" s="18" t="s">
        <v>21</v>
      </c>
      <c r="T231" s="18" t="s">
        <v>20</v>
      </c>
      <c r="U231" s="18" t="s">
        <v>21</v>
      </c>
      <c r="V231" s="37" t="s">
        <v>21</v>
      </c>
      <c r="W231" s="37" t="s">
        <v>21</v>
      </c>
      <c r="X231" s="37" t="s">
        <v>21</v>
      </c>
      <c r="Y231" s="18" t="s">
        <v>20</v>
      </c>
      <c r="Z231" s="18" t="s">
        <v>21</v>
      </c>
      <c r="AA231" s="20" t="s">
        <v>21</v>
      </c>
      <c r="AB231" s="20" t="s">
        <v>21</v>
      </c>
      <c r="AC231" s="20" t="s">
        <v>21</v>
      </c>
      <c r="AD231" s="29" t="s">
        <v>21</v>
      </c>
      <c r="AE231" s="29" t="s">
        <v>21</v>
      </c>
      <c r="AG231">
        <f t="shared" si="27"/>
        <v>0</v>
      </c>
      <c r="AH231">
        <f t="shared" si="28"/>
        <v>4</v>
      </c>
      <c r="AI231">
        <f t="shared" si="29"/>
        <v>22</v>
      </c>
      <c r="AJ231">
        <f t="shared" si="30"/>
        <v>0</v>
      </c>
      <c r="AL231">
        <f t="shared" si="31"/>
        <v>0</v>
      </c>
      <c r="AM231">
        <f t="shared" si="32"/>
        <v>12</v>
      </c>
      <c r="AN231">
        <f t="shared" si="33"/>
        <v>44</v>
      </c>
      <c r="AO231">
        <f t="shared" si="34"/>
        <v>0</v>
      </c>
      <c r="AP231">
        <f t="shared" si="35"/>
        <v>56</v>
      </c>
    </row>
    <row r="232" spans="1:42" ht="15.75" hidden="1" customHeight="1" thickBot="1" x14ac:dyDescent="0.35">
      <c r="A232" s="16"/>
      <c r="B232" s="57">
        <v>26</v>
      </c>
      <c r="C232" s="58" t="s">
        <v>250</v>
      </c>
      <c r="D232" s="57">
        <v>5</v>
      </c>
      <c r="E232" s="57" t="s">
        <v>21</v>
      </c>
      <c r="F232" s="21" t="s">
        <v>39</v>
      </c>
      <c r="G232" s="21" t="s">
        <v>20</v>
      </c>
      <c r="H232" s="41" t="s">
        <v>20</v>
      </c>
      <c r="I232" s="21" t="s">
        <v>20</v>
      </c>
      <c r="J232" s="21" t="s">
        <v>20</v>
      </c>
      <c r="K232" s="21" t="s">
        <v>20</v>
      </c>
      <c r="L232" s="21" t="s">
        <v>20</v>
      </c>
      <c r="M232" s="21" t="s">
        <v>20</v>
      </c>
      <c r="N232" s="21" t="s">
        <v>20</v>
      </c>
      <c r="O232" s="21" t="s">
        <v>20</v>
      </c>
      <c r="P232" s="21" t="s">
        <v>21</v>
      </c>
      <c r="Q232" s="21" t="s">
        <v>20</v>
      </c>
      <c r="R232" s="21" t="s">
        <v>20</v>
      </c>
      <c r="S232" s="21" t="s">
        <v>20</v>
      </c>
      <c r="T232" s="21" t="s">
        <v>20</v>
      </c>
      <c r="U232" s="21" t="s">
        <v>20</v>
      </c>
      <c r="V232" s="38" t="s">
        <v>20</v>
      </c>
      <c r="W232" s="38" t="s">
        <v>20</v>
      </c>
      <c r="X232" s="38" t="s">
        <v>20</v>
      </c>
      <c r="Y232" s="21" t="s">
        <v>20</v>
      </c>
      <c r="Z232" s="21" t="s">
        <v>20</v>
      </c>
      <c r="AA232" s="23" t="s">
        <v>20</v>
      </c>
      <c r="AB232" s="23" t="s">
        <v>20</v>
      </c>
      <c r="AC232" s="23" t="s">
        <v>20</v>
      </c>
      <c r="AD232" s="31" t="s">
        <v>20</v>
      </c>
      <c r="AE232" s="31" t="s">
        <v>21</v>
      </c>
      <c r="AG232">
        <f t="shared" si="27"/>
        <v>1</v>
      </c>
      <c r="AH232">
        <f t="shared" si="28"/>
        <v>23</v>
      </c>
      <c r="AI232">
        <f t="shared" si="29"/>
        <v>2</v>
      </c>
      <c r="AJ232">
        <f t="shared" si="30"/>
        <v>0</v>
      </c>
      <c r="AL232">
        <f t="shared" si="31"/>
        <v>4</v>
      </c>
      <c r="AM232">
        <f t="shared" si="32"/>
        <v>69</v>
      </c>
      <c r="AN232">
        <f t="shared" si="33"/>
        <v>4</v>
      </c>
      <c r="AO232">
        <f t="shared" si="34"/>
        <v>0</v>
      </c>
      <c r="AP232">
        <f t="shared" si="35"/>
        <v>77</v>
      </c>
    </row>
    <row r="233" spans="1:42" ht="15.75" customHeight="1" x14ac:dyDescent="0.3">
      <c r="B233" s="54"/>
    </row>
    <row r="234" spans="1:42" ht="15.75" customHeight="1" x14ac:dyDescent="0.3"/>
    <row r="235" spans="1:42" ht="15.75" customHeight="1" x14ac:dyDescent="0.3"/>
    <row r="236" spans="1:42" ht="15.75" customHeight="1" x14ac:dyDescent="0.3"/>
    <row r="237" spans="1:42" ht="15.75" customHeight="1" x14ac:dyDescent="0.3"/>
    <row r="238" spans="1:42" ht="15.75" customHeight="1" x14ac:dyDescent="0.3"/>
    <row r="239" spans="1:42" ht="15.75" customHeight="1" x14ac:dyDescent="0.3"/>
    <row r="240" spans="1:42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  <row r="1041" ht="15.75" customHeight="1" x14ac:dyDescent="0.3"/>
    <row r="1042" ht="15.75" customHeight="1" x14ac:dyDescent="0.3"/>
    <row r="1043" ht="15.75" customHeight="1" x14ac:dyDescent="0.3"/>
    <row r="1044" ht="15.75" customHeight="1" x14ac:dyDescent="0.3"/>
    <row r="1045" ht="15.75" customHeight="1" x14ac:dyDescent="0.3"/>
    <row r="1046" ht="15.75" customHeight="1" x14ac:dyDescent="0.3"/>
    <row r="1047" ht="15.75" customHeight="1" x14ac:dyDescent="0.3"/>
    <row r="1048" ht="15.75" customHeight="1" x14ac:dyDescent="0.3"/>
    <row r="1049" ht="15.75" customHeight="1" x14ac:dyDescent="0.3"/>
    <row r="1050" ht="15.75" customHeight="1" x14ac:dyDescent="0.3"/>
    <row r="1051" ht="15.75" customHeight="1" x14ac:dyDescent="0.3"/>
    <row r="1052" ht="15.75" customHeight="1" x14ac:dyDescent="0.3"/>
    <row r="1053" ht="15.75" customHeight="1" x14ac:dyDescent="0.3"/>
    <row r="1054" ht="15.75" customHeight="1" x14ac:dyDescent="0.3"/>
    <row r="1055" ht="15.75" customHeight="1" x14ac:dyDescent="0.3"/>
    <row r="1056" ht="15.75" customHeight="1" x14ac:dyDescent="0.3"/>
    <row r="1057" ht="15.75" customHeight="1" x14ac:dyDescent="0.3"/>
    <row r="1058" ht="15.75" customHeight="1" x14ac:dyDescent="0.3"/>
    <row r="1059" ht="15.75" customHeight="1" x14ac:dyDescent="0.3"/>
    <row r="1060" ht="15.75" customHeight="1" x14ac:dyDescent="0.3"/>
    <row r="1061" ht="15.75" customHeight="1" x14ac:dyDescent="0.3"/>
    <row r="1062" ht="15.75" customHeight="1" x14ac:dyDescent="0.3"/>
    <row r="1063" ht="15.75" customHeight="1" x14ac:dyDescent="0.3"/>
    <row r="1064" ht="15.75" customHeight="1" x14ac:dyDescent="0.3"/>
    <row r="1065" ht="15.75" customHeight="1" x14ac:dyDescent="0.3"/>
    <row r="1066" ht="15.75" customHeight="1" x14ac:dyDescent="0.3"/>
    <row r="1067" ht="15.75" customHeight="1" x14ac:dyDescent="0.3"/>
    <row r="1068" ht="15.75" customHeight="1" x14ac:dyDescent="0.3"/>
    <row r="1069" ht="15.75" customHeight="1" x14ac:dyDescent="0.3"/>
    <row r="1070" ht="15.75" customHeight="1" x14ac:dyDescent="0.3"/>
    <row r="1071" ht="15.75" customHeight="1" x14ac:dyDescent="0.3"/>
    <row r="1072" ht="15.75" customHeight="1" x14ac:dyDescent="0.3"/>
    <row r="1073" ht="15.75" customHeight="1" x14ac:dyDescent="0.3"/>
    <row r="1074" ht="15.75" customHeight="1" x14ac:dyDescent="0.3"/>
    <row r="1075" ht="15.75" customHeight="1" x14ac:dyDescent="0.3"/>
    <row r="1076" ht="15.75" customHeight="1" x14ac:dyDescent="0.3"/>
    <row r="1077" ht="15.75" customHeight="1" x14ac:dyDescent="0.3"/>
    <row r="1078" ht="15.75" customHeight="1" x14ac:dyDescent="0.3"/>
    <row r="1079" ht="15.75" customHeight="1" x14ac:dyDescent="0.3"/>
    <row r="1080" ht="15.75" customHeight="1" x14ac:dyDescent="0.3"/>
    <row r="1081" ht="15.75" customHeight="1" x14ac:dyDescent="0.3"/>
    <row r="1082" ht="15.75" customHeight="1" x14ac:dyDescent="0.3"/>
    <row r="1083" ht="15.75" customHeight="1" x14ac:dyDescent="0.3"/>
    <row r="1084" ht="15.75" customHeight="1" x14ac:dyDescent="0.3"/>
    <row r="1085" ht="15.75" customHeight="1" x14ac:dyDescent="0.3"/>
    <row r="1086" ht="15.75" customHeight="1" x14ac:dyDescent="0.3"/>
    <row r="1087" ht="15.75" customHeight="1" x14ac:dyDescent="0.3"/>
    <row r="1088" ht="15.75" customHeight="1" x14ac:dyDescent="0.3"/>
    <row r="1089" ht="15.75" customHeight="1" x14ac:dyDescent="0.3"/>
    <row r="1090" ht="15.75" customHeight="1" x14ac:dyDescent="0.3"/>
    <row r="1091" ht="15.75" customHeight="1" x14ac:dyDescent="0.3"/>
    <row r="1092" ht="15.75" customHeight="1" x14ac:dyDescent="0.3"/>
    <row r="1093" ht="15.75" customHeight="1" x14ac:dyDescent="0.3"/>
    <row r="1094" ht="15.75" customHeight="1" x14ac:dyDescent="0.3"/>
    <row r="1095" ht="15.75" customHeight="1" x14ac:dyDescent="0.3"/>
    <row r="1096" ht="15.75" customHeight="1" x14ac:dyDescent="0.3"/>
    <row r="1097" ht="15.75" customHeight="1" x14ac:dyDescent="0.3"/>
    <row r="1098" ht="15.75" customHeight="1" x14ac:dyDescent="0.3"/>
    <row r="1099" ht="15.75" customHeight="1" x14ac:dyDescent="0.3"/>
    <row r="1100" ht="15.75" customHeight="1" x14ac:dyDescent="0.3"/>
    <row r="1101" ht="15.75" customHeight="1" x14ac:dyDescent="0.3"/>
    <row r="1102" ht="15.75" customHeight="1" x14ac:dyDescent="0.3"/>
    <row r="1103" ht="15.75" customHeight="1" x14ac:dyDescent="0.3"/>
    <row r="1104" ht="15.75" customHeight="1" x14ac:dyDescent="0.3"/>
    <row r="1105" ht="15.75" customHeight="1" x14ac:dyDescent="0.3"/>
    <row r="1106" ht="15.75" customHeight="1" x14ac:dyDescent="0.3"/>
    <row r="1107" ht="15.75" customHeight="1" x14ac:dyDescent="0.3"/>
    <row r="1108" ht="15.75" customHeight="1" x14ac:dyDescent="0.3"/>
    <row r="1109" ht="15.75" customHeight="1" x14ac:dyDescent="0.3"/>
    <row r="1110" ht="15.75" customHeight="1" x14ac:dyDescent="0.3"/>
    <row r="1111" ht="15.75" customHeight="1" x14ac:dyDescent="0.3"/>
    <row r="1112" ht="15.75" customHeight="1" x14ac:dyDescent="0.3"/>
    <row r="1113" ht="15.75" customHeight="1" x14ac:dyDescent="0.3"/>
    <row r="1114" ht="15.75" customHeight="1" x14ac:dyDescent="0.3"/>
    <row r="1115" ht="15.75" customHeight="1" x14ac:dyDescent="0.3"/>
    <row r="1116" ht="15.75" customHeight="1" x14ac:dyDescent="0.3"/>
    <row r="1117" ht="15.75" customHeight="1" x14ac:dyDescent="0.3"/>
    <row r="1118" ht="15.75" customHeight="1" x14ac:dyDescent="0.3"/>
    <row r="1119" ht="15.75" customHeight="1" x14ac:dyDescent="0.3"/>
    <row r="1120" ht="15.75" customHeight="1" x14ac:dyDescent="0.3"/>
    <row r="1121" ht="15.75" customHeight="1" x14ac:dyDescent="0.3"/>
    <row r="1122" ht="15.75" customHeight="1" x14ac:dyDescent="0.3"/>
    <row r="1123" ht="15.75" customHeight="1" x14ac:dyDescent="0.3"/>
    <row r="1124" ht="15.75" customHeight="1" x14ac:dyDescent="0.3"/>
    <row r="1125" ht="15.75" customHeight="1" x14ac:dyDescent="0.3"/>
    <row r="1126" ht="15.75" customHeight="1" x14ac:dyDescent="0.3"/>
  </sheetData>
  <autoFilter ref="A5:AP232" xr:uid="{D4C9ACFA-7634-4244-A829-726CE84E67E1}">
    <filterColumn colId="3">
      <filters>
        <filter val="1"/>
      </filters>
    </filterColumn>
    <filterColumn colId="4">
      <filters>
        <filter val="A"/>
      </filters>
    </filterColumn>
    <sortState xmlns:xlrd2="http://schemas.microsoft.com/office/spreadsheetml/2017/richdata2" ref="A6:AP23">
      <sortCondition descending="1" ref="AP5:AP232"/>
    </sortState>
  </autoFilter>
  <mergeCells count="11">
    <mergeCell ref="AD4:AE4"/>
    <mergeCell ref="C2:AE2"/>
    <mergeCell ref="C3:AE3"/>
    <mergeCell ref="F4:I4"/>
    <mergeCell ref="J4:L4"/>
    <mergeCell ref="M4:O4"/>
    <mergeCell ref="P4:R4"/>
    <mergeCell ref="S4:T4"/>
    <mergeCell ref="V4:X4"/>
    <mergeCell ref="Y4:Z4"/>
    <mergeCell ref="AA4:AC4"/>
  </mergeCells>
  <conditionalFormatting sqref="F6:AE232">
    <cfRule type="cellIs" dxfId="39" priority="1" operator="equal">
      <formula>"AD"</formula>
    </cfRule>
    <cfRule type="cellIs" dxfId="38" priority="2" operator="equal">
      <formula>"A"</formula>
    </cfRule>
    <cfRule type="cellIs" dxfId="37" priority="3" operator="equal">
      <formula>"B"</formula>
    </cfRule>
    <cfRule type="cellIs" dxfId="36" priority="4" operator="equal">
      <formula>"C"</formula>
    </cfRule>
  </conditionalFormatting>
  <dataValidations count="2">
    <dataValidation type="list" allowBlank="1" showInputMessage="1" showErrorMessage="1" sqref="Q6:R26 T6:X26 AD229:AE232 F6:L26 AD27:AE80 F27:X48 AD82:AE97 AD135:AE199 AD201:AE203 AD205:AE227 AD99:AE133 Z27:Z48 F49:I232 J131:L232 J49:L109 M49:Z232" xr:uid="{AFAB93E0-470F-473E-A6ED-7850EAB6B355}">
      <formula1>"AD,A,B,C"</formula1>
    </dataValidation>
    <dataValidation type="list" allowBlank="1" showInputMessage="1" showErrorMessage="1" sqref="AA6:AC232 J110:L130" xr:uid="{C3ADD887-35FB-48B5-965B-EFD14F39B938}">
      <formula1>"A,AD,B,C"</formula1>
    </dataValidation>
  </dataValidations>
  <pageMargins left="0.7" right="0.7" top="0.75" bottom="0.75" header="0" footer="0"/>
  <pageSetup paperSize="9" scale="72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FA5BF-6959-4F11-B8F9-DBE6D0EA2D5D}">
  <sheetPr filterMode="1">
    <pageSetUpPr fitToPage="1"/>
  </sheetPr>
  <dimension ref="A2:AP1126"/>
  <sheetViews>
    <sheetView zoomScaleNormal="100" workbookViewId="0">
      <pane xSplit="3" ySplit="5" topLeftCell="D6" activePane="bottomRight" state="frozen"/>
      <selection pane="topRight" activeCell="C1" sqref="C1"/>
      <selection pane="bottomLeft" activeCell="A6" sqref="A6"/>
      <selection pane="bottomRight" activeCell="F4" sqref="F4:AE4"/>
    </sheetView>
  </sheetViews>
  <sheetFormatPr baseColWidth="10" defaultColWidth="14.44140625" defaultRowHeight="15" customHeight="1" x14ac:dyDescent="0.3"/>
  <cols>
    <col min="1" max="1" width="4" bestFit="1" customWidth="1"/>
    <col min="2" max="2" width="4.109375" customWidth="1"/>
    <col min="3" max="3" width="38.5546875" customWidth="1"/>
    <col min="4" max="4" width="5" hidden="1" customWidth="1"/>
    <col min="5" max="5" width="6.6640625" hidden="1" customWidth="1"/>
    <col min="6" max="31" width="5" customWidth="1"/>
    <col min="32" max="32" width="2" hidden="1" customWidth="1"/>
    <col min="33" max="36" width="3.44140625" hidden="1" customWidth="1"/>
    <col min="37" max="37" width="1.44140625" style="65" hidden="1" customWidth="1"/>
    <col min="38" max="40" width="3" hidden="1" customWidth="1"/>
    <col min="41" max="41" width="2" hidden="1" customWidth="1"/>
    <col min="42" max="42" width="5.21875" bestFit="1" customWidth="1"/>
  </cols>
  <sheetData>
    <row r="2" spans="1:42" ht="36.6" customHeight="1" x14ac:dyDescent="0.3">
      <c r="C2" s="77" t="s">
        <v>253</v>
      </c>
      <c r="D2" s="2"/>
      <c r="E2" s="2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9"/>
    </row>
    <row r="3" spans="1:42" ht="26.25" customHeight="1" x14ac:dyDescent="0.3">
      <c r="C3" s="74" t="s">
        <v>252</v>
      </c>
      <c r="D3" s="5"/>
      <c r="E3" s="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6"/>
    </row>
    <row r="4" spans="1:42" ht="25.8" customHeight="1" x14ac:dyDescent="0.3">
      <c r="C4" s="7"/>
      <c r="D4" s="8"/>
      <c r="E4" s="8"/>
      <c r="F4" s="80" t="s">
        <v>2</v>
      </c>
      <c r="G4" s="81"/>
      <c r="H4" s="81"/>
      <c r="I4" s="82"/>
      <c r="J4" s="80" t="s">
        <v>3</v>
      </c>
      <c r="K4" s="81"/>
      <c r="L4" s="82"/>
      <c r="M4" s="80" t="s">
        <v>4</v>
      </c>
      <c r="N4" s="81"/>
      <c r="O4" s="82"/>
      <c r="P4" s="80" t="s">
        <v>5</v>
      </c>
      <c r="Q4" s="81"/>
      <c r="R4" s="82"/>
      <c r="S4" s="83" t="s">
        <v>6</v>
      </c>
      <c r="T4" s="84"/>
      <c r="U4" s="86" t="s">
        <v>7</v>
      </c>
      <c r="V4" s="80" t="s">
        <v>8</v>
      </c>
      <c r="W4" s="81"/>
      <c r="X4" s="82"/>
      <c r="Y4" s="80" t="s">
        <v>9</v>
      </c>
      <c r="Z4" s="82"/>
      <c r="AA4" s="83" t="s">
        <v>10</v>
      </c>
      <c r="AB4" s="85"/>
      <c r="AC4" s="84"/>
      <c r="AD4" s="80" t="s">
        <v>11</v>
      </c>
      <c r="AE4" s="82"/>
    </row>
    <row r="5" spans="1:42" ht="27" customHeight="1" x14ac:dyDescent="0.3">
      <c r="B5" s="12"/>
      <c r="C5" s="13" t="s">
        <v>12</v>
      </c>
      <c r="D5" s="14" t="s">
        <v>13</v>
      </c>
      <c r="E5" s="15" t="s">
        <v>14</v>
      </c>
      <c r="F5" s="15" t="s">
        <v>15</v>
      </c>
      <c r="G5" s="15" t="s">
        <v>16</v>
      </c>
      <c r="H5" s="15" t="s">
        <v>17</v>
      </c>
      <c r="I5" s="15" t="s">
        <v>18</v>
      </c>
      <c r="J5" s="15" t="s">
        <v>15</v>
      </c>
      <c r="K5" s="15" t="s">
        <v>16</v>
      </c>
      <c r="L5" s="15" t="s">
        <v>17</v>
      </c>
      <c r="M5" s="15" t="s">
        <v>15</v>
      </c>
      <c r="N5" s="15" t="s">
        <v>16</v>
      </c>
      <c r="O5" s="15" t="s">
        <v>17</v>
      </c>
      <c r="P5" s="15" t="s">
        <v>15</v>
      </c>
      <c r="Q5" s="15" t="s">
        <v>16</v>
      </c>
      <c r="R5" s="15" t="s">
        <v>17</v>
      </c>
      <c r="S5" s="15" t="s">
        <v>15</v>
      </c>
      <c r="T5" s="15" t="s">
        <v>16</v>
      </c>
      <c r="U5" s="15" t="s">
        <v>15</v>
      </c>
      <c r="V5" s="15" t="s">
        <v>15</v>
      </c>
      <c r="W5" s="15" t="s">
        <v>16</v>
      </c>
      <c r="X5" s="15" t="s">
        <v>17</v>
      </c>
      <c r="Y5" s="15" t="s">
        <v>15</v>
      </c>
      <c r="Z5" s="15" t="s">
        <v>16</v>
      </c>
      <c r="AA5" s="15" t="s">
        <v>15</v>
      </c>
      <c r="AB5" s="15" t="s">
        <v>16</v>
      </c>
      <c r="AC5" s="15" t="s">
        <v>17</v>
      </c>
      <c r="AD5" s="15" t="s">
        <v>15</v>
      </c>
      <c r="AE5" s="15" t="s">
        <v>16</v>
      </c>
      <c r="AG5" s="68">
        <v>4</v>
      </c>
      <c r="AH5" s="68">
        <v>3</v>
      </c>
      <c r="AI5" s="68">
        <v>2</v>
      </c>
      <c r="AJ5" s="68">
        <v>1</v>
      </c>
      <c r="AK5" s="66"/>
      <c r="AL5" s="67" t="s">
        <v>39</v>
      </c>
      <c r="AM5" s="67" t="s">
        <v>20</v>
      </c>
      <c r="AN5" s="67" t="s">
        <v>21</v>
      </c>
      <c r="AO5" s="67" t="s">
        <v>23</v>
      </c>
      <c r="AP5" s="67" t="s">
        <v>251</v>
      </c>
    </row>
    <row r="6" spans="1:42" ht="14.4" hidden="1" x14ac:dyDescent="0.3">
      <c r="A6" s="16"/>
      <c r="B6" s="55">
        <v>1</v>
      </c>
      <c r="C6" s="56" t="s">
        <v>19</v>
      </c>
      <c r="D6" s="55">
        <v>1</v>
      </c>
      <c r="E6" s="55" t="s">
        <v>20</v>
      </c>
      <c r="F6" s="17" t="s">
        <v>20</v>
      </c>
      <c r="G6" s="18" t="s">
        <v>20</v>
      </c>
      <c r="H6" s="18" t="s">
        <v>21</v>
      </c>
      <c r="I6" s="18" t="s">
        <v>20</v>
      </c>
      <c r="J6" s="18" t="s">
        <v>20</v>
      </c>
      <c r="K6" s="18" t="s">
        <v>20</v>
      </c>
      <c r="L6" s="18" t="s">
        <v>20</v>
      </c>
      <c r="M6" s="19" t="s">
        <v>20</v>
      </c>
      <c r="N6" s="19" t="s">
        <v>20</v>
      </c>
      <c r="O6" s="19" t="s">
        <v>20</v>
      </c>
      <c r="P6" s="19" t="s">
        <v>20</v>
      </c>
      <c r="Q6" s="18" t="s">
        <v>21</v>
      </c>
      <c r="R6" s="18" t="s">
        <v>21</v>
      </c>
      <c r="S6" s="19" t="s">
        <v>20</v>
      </c>
      <c r="T6" s="18" t="s">
        <v>20</v>
      </c>
      <c r="U6" s="18" t="s">
        <v>20</v>
      </c>
      <c r="V6" s="18" t="s">
        <v>20</v>
      </c>
      <c r="W6" s="18" t="s">
        <v>20</v>
      </c>
      <c r="X6" s="18" t="s">
        <v>20</v>
      </c>
      <c r="Y6" s="19" t="s">
        <v>21</v>
      </c>
      <c r="Z6" s="19" t="s">
        <v>20</v>
      </c>
      <c r="AA6" s="20" t="s">
        <v>21</v>
      </c>
      <c r="AB6" s="20" t="s">
        <v>21</v>
      </c>
      <c r="AC6" s="20" t="s">
        <v>20</v>
      </c>
      <c r="AD6" s="19" t="s">
        <v>20</v>
      </c>
      <c r="AE6" s="19" t="s">
        <v>21</v>
      </c>
      <c r="AG6">
        <f>+COUNTIF(F6:AE6,"AD")</f>
        <v>0</v>
      </c>
      <c r="AH6">
        <f>+COUNTIF(F6:AE6,"A")</f>
        <v>19</v>
      </c>
      <c r="AI6">
        <f>+COUNTIF(F6:AE6,"b")</f>
        <v>7</v>
      </c>
      <c r="AJ6">
        <f>+COUNTIF(F6:AE6,"c")</f>
        <v>0</v>
      </c>
      <c r="AL6">
        <f>+$AG$5*AG6</f>
        <v>0</v>
      </c>
      <c r="AM6">
        <f>+$AH$5*AH6</f>
        <v>57</v>
      </c>
      <c r="AN6">
        <f>+$AI$5*AI6</f>
        <v>14</v>
      </c>
      <c r="AO6">
        <f>+$AJ$5*AJ6</f>
        <v>0</v>
      </c>
      <c r="AP6">
        <f>+SUM(AL6:AO6)</f>
        <v>71</v>
      </c>
    </row>
    <row r="7" spans="1:42" ht="14.4" hidden="1" x14ac:dyDescent="0.3">
      <c r="A7" s="16"/>
      <c r="B7" s="55">
        <v>2</v>
      </c>
      <c r="C7" s="56" t="s">
        <v>22</v>
      </c>
      <c r="D7" s="55">
        <v>1</v>
      </c>
      <c r="E7" s="55" t="s">
        <v>20</v>
      </c>
      <c r="F7" s="18" t="s">
        <v>21</v>
      </c>
      <c r="G7" s="18" t="s">
        <v>23</v>
      </c>
      <c r="H7" s="18" t="s">
        <v>21</v>
      </c>
      <c r="I7" s="18" t="s">
        <v>21</v>
      </c>
      <c r="J7" s="18" t="s">
        <v>21</v>
      </c>
      <c r="K7" s="18" t="s">
        <v>21</v>
      </c>
      <c r="L7" s="18" t="s">
        <v>21</v>
      </c>
      <c r="M7" s="19" t="s">
        <v>21</v>
      </c>
      <c r="N7" s="19" t="s">
        <v>21</v>
      </c>
      <c r="O7" s="19" t="s">
        <v>23</v>
      </c>
      <c r="P7" s="19" t="s">
        <v>21</v>
      </c>
      <c r="Q7" s="18" t="s">
        <v>21</v>
      </c>
      <c r="R7" s="18" t="s">
        <v>21</v>
      </c>
      <c r="S7" s="19" t="s">
        <v>23</v>
      </c>
      <c r="T7" s="18" t="s">
        <v>23</v>
      </c>
      <c r="U7" s="18" t="s">
        <v>21</v>
      </c>
      <c r="V7" s="18" t="s">
        <v>21</v>
      </c>
      <c r="W7" s="18" t="s">
        <v>21</v>
      </c>
      <c r="X7" s="18" t="s">
        <v>20</v>
      </c>
      <c r="Y7" s="19" t="s">
        <v>21</v>
      </c>
      <c r="Z7" s="19" t="s">
        <v>20</v>
      </c>
      <c r="AA7" s="20" t="s">
        <v>23</v>
      </c>
      <c r="AB7" s="20" t="s">
        <v>23</v>
      </c>
      <c r="AC7" s="20" t="s">
        <v>23</v>
      </c>
      <c r="AD7" s="19" t="s">
        <v>23</v>
      </c>
      <c r="AE7" s="19" t="s">
        <v>21</v>
      </c>
      <c r="AG7">
        <f t="shared" ref="AG7:AG70" si="0">+COUNTIF(F7:AE7,"AD")</f>
        <v>0</v>
      </c>
      <c r="AH7">
        <f t="shared" ref="AH7:AH70" si="1">+COUNTIF(F7:AE7,"A")</f>
        <v>2</v>
      </c>
      <c r="AI7">
        <f t="shared" ref="AI7:AI70" si="2">+COUNTIF(F7:AE7,"b")</f>
        <v>16</v>
      </c>
      <c r="AJ7">
        <f t="shared" ref="AJ7:AJ70" si="3">+COUNTIF(F7:AE7,"c")</f>
        <v>8</v>
      </c>
      <c r="AL7">
        <f t="shared" ref="AL7:AL70" si="4">+$AG$5*AG7</f>
        <v>0</v>
      </c>
      <c r="AM7">
        <f t="shared" ref="AM7:AM70" si="5">+$AH$5*AH7</f>
        <v>6</v>
      </c>
      <c r="AN7">
        <f t="shared" ref="AN7:AN70" si="6">+$AI$5*AI7</f>
        <v>32</v>
      </c>
      <c r="AO7">
        <f t="shared" ref="AO7:AO70" si="7">+$AJ$5*AJ7</f>
        <v>8</v>
      </c>
      <c r="AP7">
        <f t="shared" ref="AP7:AP70" si="8">+SUM(AL7:AO7)</f>
        <v>46</v>
      </c>
    </row>
    <row r="8" spans="1:42" ht="14.4" hidden="1" x14ac:dyDescent="0.3">
      <c r="A8" s="16"/>
      <c r="B8" s="55">
        <v>3</v>
      </c>
      <c r="C8" s="56" t="s">
        <v>24</v>
      </c>
      <c r="D8" s="55">
        <v>1</v>
      </c>
      <c r="E8" s="55" t="s">
        <v>20</v>
      </c>
      <c r="F8" s="18" t="s">
        <v>20</v>
      </c>
      <c r="G8" s="18" t="s">
        <v>20</v>
      </c>
      <c r="H8" s="18" t="s">
        <v>20</v>
      </c>
      <c r="I8" s="18" t="s">
        <v>20</v>
      </c>
      <c r="J8" s="18" t="s">
        <v>20</v>
      </c>
      <c r="K8" s="18" t="s">
        <v>20</v>
      </c>
      <c r="L8" s="18" t="s">
        <v>20</v>
      </c>
      <c r="M8" s="19" t="s">
        <v>20</v>
      </c>
      <c r="N8" s="19" t="s">
        <v>20</v>
      </c>
      <c r="O8" s="19" t="s">
        <v>20</v>
      </c>
      <c r="P8" s="19" t="s">
        <v>20</v>
      </c>
      <c r="Q8" s="18" t="s">
        <v>20</v>
      </c>
      <c r="R8" s="18" t="s">
        <v>21</v>
      </c>
      <c r="S8" s="19" t="s">
        <v>20</v>
      </c>
      <c r="T8" s="18" t="s">
        <v>20</v>
      </c>
      <c r="U8" s="18" t="s">
        <v>20</v>
      </c>
      <c r="V8" s="18" t="s">
        <v>20</v>
      </c>
      <c r="W8" s="18" t="s">
        <v>20</v>
      </c>
      <c r="X8" s="18" t="s">
        <v>20</v>
      </c>
      <c r="Y8" s="19" t="s">
        <v>20</v>
      </c>
      <c r="Z8" s="19" t="s">
        <v>20</v>
      </c>
      <c r="AA8" s="20" t="s">
        <v>20</v>
      </c>
      <c r="AB8" s="20" t="s">
        <v>21</v>
      </c>
      <c r="AC8" s="20" t="s">
        <v>21</v>
      </c>
      <c r="AD8" s="19" t="s">
        <v>20</v>
      </c>
      <c r="AE8" s="19" t="s">
        <v>21</v>
      </c>
      <c r="AG8">
        <f t="shared" si="0"/>
        <v>0</v>
      </c>
      <c r="AH8">
        <f t="shared" si="1"/>
        <v>22</v>
      </c>
      <c r="AI8">
        <f t="shared" si="2"/>
        <v>4</v>
      </c>
      <c r="AJ8">
        <f t="shared" si="3"/>
        <v>0</v>
      </c>
      <c r="AL8">
        <f t="shared" si="4"/>
        <v>0</v>
      </c>
      <c r="AM8">
        <f t="shared" si="5"/>
        <v>66</v>
      </c>
      <c r="AN8">
        <f t="shared" si="6"/>
        <v>8</v>
      </c>
      <c r="AO8">
        <f t="shared" si="7"/>
        <v>0</v>
      </c>
      <c r="AP8">
        <f t="shared" si="8"/>
        <v>74</v>
      </c>
    </row>
    <row r="9" spans="1:42" ht="14.4" hidden="1" x14ac:dyDescent="0.3">
      <c r="A9" s="16"/>
      <c r="B9" s="55">
        <v>4</v>
      </c>
      <c r="C9" s="56" t="s">
        <v>25</v>
      </c>
      <c r="D9" s="55">
        <v>1</v>
      </c>
      <c r="E9" s="55" t="s">
        <v>20</v>
      </c>
      <c r="F9" s="18" t="s">
        <v>20</v>
      </c>
      <c r="G9" s="18" t="s">
        <v>21</v>
      </c>
      <c r="H9" s="18" t="s">
        <v>21</v>
      </c>
      <c r="I9" s="18" t="s">
        <v>21</v>
      </c>
      <c r="J9" s="18" t="s">
        <v>20</v>
      </c>
      <c r="K9" s="18" t="s">
        <v>20</v>
      </c>
      <c r="L9" s="18" t="s">
        <v>20</v>
      </c>
      <c r="M9" s="19" t="s">
        <v>21</v>
      </c>
      <c r="N9" s="19" t="s">
        <v>21</v>
      </c>
      <c r="O9" s="19" t="s">
        <v>20</v>
      </c>
      <c r="P9" s="19" t="s">
        <v>20</v>
      </c>
      <c r="Q9" s="18" t="s">
        <v>20</v>
      </c>
      <c r="R9" s="18" t="s">
        <v>21</v>
      </c>
      <c r="S9" s="19" t="s">
        <v>20</v>
      </c>
      <c r="T9" s="18" t="s">
        <v>21</v>
      </c>
      <c r="U9" s="18" t="s">
        <v>20</v>
      </c>
      <c r="V9" s="18" t="s">
        <v>21</v>
      </c>
      <c r="W9" s="18" t="s">
        <v>20</v>
      </c>
      <c r="X9" s="18" t="s">
        <v>20</v>
      </c>
      <c r="Y9" s="19" t="s">
        <v>21</v>
      </c>
      <c r="Z9" s="19" t="s">
        <v>20</v>
      </c>
      <c r="AA9" s="20" t="s">
        <v>21</v>
      </c>
      <c r="AB9" s="20" t="s">
        <v>21</v>
      </c>
      <c r="AC9" s="20" t="s">
        <v>21</v>
      </c>
      <c r="AD9" s="19" t="s">
        <v>20</v>
      </c>
      <c r="AE9" s="19" t="s">
        <v>21</v>
      </c>
      <c r="AG9">
        <f t="shared" si="0"/>
        <v>0</v>
      </c>
      <c r="AH9">
        <f t="shared" si="1"/>
        <v>13</v>
      </c>
      <c r="AI9">
        <f t="shared" si="2"/>
        <v>13</v>
      </c>
      <c r="AJ9">
        <f t="shared" si="3"/>
        <v>0</v>
      </c>
      <c r="AL9">
        <f t="shared" si="4"/>
        <v>0</v>
      </c>
      <c r="AM9">
        <f t="shared" si="5"/>
        <v>39</v>
      </c>
      <c r="AN9">
        <f t="shared" si="6"/>
        <v>26</v>
      </c>
      <c r="AO9">
        <f t="shared" si="7"/>
        <v>0</v>
      </c>
      <c r="AP9">
        <f t="shared" si="8"/>
        <v>65</v>
      </c>
    </row>
    <row r="10" spans="1:42" ht="14.4" hidden="1" x14ac:dyDescent="0.3">
      <c r="A10" s="16"/>
      <c r="B10" s="55">
        <v>5</v>
      </c>
      <c r="C10" s="56" t="s">
        <v>26</v>
      </c>
      <c r="D10" s="55">
        <v>1</v>
      </c>
      <c r="E10" s="55" t="s">
        <v>20</v>
      </c>
      <c r="F10" s="18" t="s">
        <v>21</v>
      </c>
      <c r="G10" s="18" t="s">
        <v>21</v>
      </c>
      <c r="H10" s="18" t="s">
        <v>21</v>
      </c>
      <c r="I10" s="18" t="s">
        <v>21</v>
      </c>
      <c r="J10" s="18" t="s">
        <v>20</v>
      </c>
      <c r="K10" s="18" t="s">
        <v>20</v>
      </c>
      <c r="L10" s="18" t="s">
        <v>20</v>
      </c>
      <c r="M10" s="19" t="s">
        <v>20</v>
      </c>
      <c r="N10" s="19" t="s">
        <v>21</v>
      </c>
      <c r="O10" s="19" t="s">
        <v>20</v>
      </c>
      <c r="P10" s="19" t="s">
        <v>21</v>
      </c>
      <c r="Q10" s="18" t="s">
        <v>21</v>
      </c>
      <c r="R10" s="18" t="s">
        <v>21</v>
      </c>
      <c r="S10" s="19" t="s">
        <v>20</v>
      </c>
      <c r="T10" s="18" t="s">
        <v>21</v>
      </c>
      <c r="U10" s="18" t="s">
        <v>21</v>
      </c>
      <c r="V10" s="18" t="s">
        <v>20</v>
      </c>
      <c r="W10" s="18" t="s">
        <v>21</v>
      </c>
      <c r="X10" s="18" t="s">
        <v>20</v>
      </c>
      <c r="Y10" s="19" t="s">
        <v>21</v>
      </c>
      <c r="Z10" s="19" t="s">
        <v>20</v>
      </c>
      <c r="AA10" s="20" t="s">
        <v>21</v>
      </c>
      <c r="AB10" s="20" t="s">
        <v>21</v>
      </c>
      <c r="AC10" s="20" t="s">
        <v>23</v>
      </c>
      <c r="AD10" s="19" t="s">
        <v>21</v>
      </c>
      <c r="AE10" s="19" t="s">
        <v>21</v>
      </c>
      <c r="AG10">
        <f t="shared" si="0"/>
        <v>0</v>
      </c>
      <c r="AH10">
        <f t="shared" si="1"/>
        <v>9</v>
      </c>
      <c r="AI10">
        <f t="shared" si="2"/>
        <v>16</v>
      </c>
      <c r="AJ10">
        <f t="shared" si="3"/>
        <v>1</v>
      </c>
      <c r="AL10">
        <f t="shared" si="4"/>
        <v>0</v>
      </c>
      <c r="AM10">
        <f t="shared" si="5"/>
        <v>27</v>
      </c>
      <c r="AN10">
        <f t="shared" si="6"/>
        <v>32</v>
      </c>
      <c r="AO10">
        <f t="shared" si="7"/>
        <v>1</v>
      </c>
      <c r="AP10">
        <f t="shared" si="8"/>
        <v>60</v>
      </c>
    </row>
    <row r="11" spans="1:42" ht="14.4" hidden="1" x14ac:dyDescent="0.3">
      <c r="A11" s="16"/>
      <c r="B11" s="55">
        <v>6</v>
      </c>
      <c r="C11" s="56" t="s">
        <v>27</v>
      </c>
      <c r="D11" s="55">
        <v>1</v>
      </c>
      <c r="E11" s="55" t="s">
        <v>20</v>
      </c>
      <c r="F11" s="18" t="s">
        <v>20</v>
      </c>
      <c r="G11" s="18" t="s">
        <v>20</v>
      </c>
      <c r="H11" s="18" t="s">
        <v>20</v>
      </c>
      <c r="I11" s="18" t="s">
        <v>20</v>
      </c>
      <c r="J11" s="18" t="s">
        <v>20</v>
      </c>
      <c r="K11" s="18" t="s">
        <v>20</v>
      </c>
      <c r="L11" s="18" t="s">
        <v>20</v>
      </c>
      <c r="M11" s="19" t="s">
        <v>20</v>
      </c>
      <c r="N11" s="19" t="s">
        <v>20</v>
      </c>
      <c r="O11" s="19" t="s">
        <v>20</v>
      </c>
      <c r="P11" s="19" t="s">
        <v>20</v>
      </c>
      <c r="Q11" s="18" t="s">
        <v>21</v>
      </c>
      <c r="R11" s="18" t="s">
        <v>21</v>
      </c>
      <c r="S11" s="19" t="s">
        <v>20</v>
      </c>
      <c r="T11" s="18" t="s">
        <v>21</v>
      </c>
      <c r="U11" s="18" t="s">
        <v>21</v>
      </c>
      <c r="V11" s="18" t="s">
        <v>21</v>
      </c>
      <c r="W11" s="18" t="s">
        <v>20</v>
      </c>
      <c r="X11" s="18" t="s">
        <v>20</v>
      </c>
      <c r="Y11" s="19" t="s">
        <v>20</v>
      </c>
      <c r="Z11" s="19" t="s">
        <v>21</v>
      </c>
      <c r="AA11" s="20" t="s">
        <v>21</v>
      </c>
      <c r="AB11" s="20" t="s">
        <v>21</v>
      </c>
      <c r="AC11" s="20" t="s">
        <v>21</v>
      </c>
      <c r="AD11" s="19" t="s">
        <v>21</v>
      </c>
      <c r="AE11" s="19" t="s">
        <v>21</v>
      </c>
      <c r="AG11">
        <f t="shared" si="0"/>
        <v>0</v>
      </c>
      <c r="AH11">
        <f t="shared" si="1"/>
        <v>15</v>
      </c>
      <c r="AI11">
        <f t="shared" si="2"/>
        <v>11</v>
      </c>
      <c r="AJ11">
        <f t="shared" si="3"/>
        <v>0</v>
      </c>
      <c r="AL11">
        <f t="shared" si="4"/>
        <v>0</v>
      </c>
      <c r="AM11">
        <f t="shared" si="5"/>
        <v>45</v>
      </c>
      <c r="AN11">
        <f t="shared" si="6"/>
        <v>22</v>
      </c>
      <c r="AO11">
        <f t="shared" si="7"/>
        <v>0</v>
      </c>
      <c r="AP11">
        <f t="shared" si="8"/>
        <v>67</v>
      </c>
    </row>
    <row r="12" spans="1:42" ht="14.4" hidden="1" x14ac:dyDescent="0.3">
      <c r="A12" s="16"/>
      <c r="B12" s="55">
        <v>7</v>
      </c>
      <c r="C12" s="56" t="s">
        <v>28</v>
      </c>
      <c r="D12" s="55">
        <v>1</v>
      </c>
      <c r="E12" s="55" t="s">
        <v>20</v>
      </c>
      <c r="F12" s="18" t="s">
        <v>20</v>
      </c>
      <c r="G12" s="18" t="s">
        <v>20</v>
      </c>
      <c r="H12" s="18" t="s">
        <v>21</v>
      </c>
      <c r="I12" s="18" t="s">
        <v>20</v>
      </c>
      <c r="J12" s="18" t="s">
        <v>20</v>
      </c>
      <c r="K12" s="18" t="s">
        <v>20</v>
      </c>
      <c r="L12" s="18" t="s">
        <v>20</v>
      </c>
      <c r="M12" s="19" t="s">
        <v>20</v>
      </c>
      <c r="N12" s="19" t="s">
        <v>20</v>
      </c>
      <c r="O12" s="19" t="s">
        <v>20</v>
      </c>
      <c r="P12" s="19" t="s">
        <v>20</v>
      </c>
      <c r="Q12" s="18" t="s">
        <v>20</v>
      </c>
      <c r="R12" s="18" t="s">
        <v>20</v>
      </c>
      <c r="S12" s="19" t="s">
        <v>20</v>
      </c>
      <c r="T12" s="18" t="s">
        <v>20</v>
      </c>
      <c r="U12" s="18" t="s">
        <v>21</v>
      </c>
      <c r="V12" s="18" t="s">
        <v>20</v>
      </c>
      <c r="W12" s="18" t="s">
        <v>20</v>
      </c>
      <c r="X12" s="18" t="s">
        <v>20</v>
      </c>
      <c r="Y12" s="19" t="s">
        <v>20</v>
      </c>
      <c r="Z12" s="19" t="s">
        <v>20</v>
      </c>
      <c r="AA12" s="20" t="s">
        <v>20</v>
      </c>
      <c r="AB12" s="20" t="s">
        <v>21</v>
      </c>
      <c r="AC12" s="20" t="s">
        <v>20</v>
      </c>
      <c r="AD12" s="19" t="s">
        <v>21</v>
      </c>
      <c r="AE12" s="19" t="s">
        <v>21</v>
      </c>
      <c r="AG12">
        <f t="shared" si="0"/>
        <v>0</v>
      </c>
      <c r="AH12">
        <f t="shared" si="1"/>
        <v>21</v>
      </c>
      <c r="AI12">
        <f t="shared" si="2"/>
        <v>5</v>
      </c>
      <c r="AJ12">
        <f t="shared" si="3"/>
        <v>0</v>
      </c>
      <c r="AL12">
        <f t="shared" si="4"/>
        <v>0</v>
      </c>
      <c r="AM12">
        <f t="shared" si="5"/>
        <v>63</v>
      </c>
      <c r="AN12">
        <f t="shared" si="6"/>
        <v>10</v>
      </c>
      <c r="AO12">
        <f t="shared" si="7"/>
        <v>0</v>
      </c>
      <c r="AP12">
        <f t="shared" si="8"/>
        <v>73</v>
      </c>
    </row>
    <row r="13" spans="1:42" ht="14.4" hidden="1" x14ac:dyDescent="0.3">
      <c r="A13" s="16"/>
      <c r="B13" s="55">
        <v>8</v>
      </c>
      <c r="C13" s="56" t="s">
        <v>29</v>
      </c>
      <c r="D13" s="55">
        <v>1</v>
      </c>
      <c r="E13" s="55" t="s">
        <v>20</v>
      </c>
      <c r="F13" s="18" t="s">
        <v>21</v>
      </c>
      <c r="G13" s="18" t="s">
        <v>23</v>
      </c>
      <c r="H13" s="18" t="s">
        <v>21</v>
      </c>
      <c r="I13" s="18" t="s">
        <v>21</v>
      </c>
      <c r="J13" s="18" t="s">
        <v>21</v>
      </c>
      <c r="K13" s="18" t="s">
        <v>21</v>
      </c>
      <c r="L13" s="18" t="s">
        <v>21</v>
      </c>
      <c r="M13" s="19" t="s">
        <v>21</v>
      </c>
      <c r="N13" s="19" t="s">
        <v>21</v>
      </c>
      <c r="O13" s="19" t="s">
        <v>21</v>
      </c>
      <c r="P13" s="19" t="s">
        <v>21</v>
      </c>
      <c r="Q13" s="18" t="s">
        <v>21</v>
      </c>
      <c r="R13" s="18" t="s">
        <v>21</v>
      </c>
      <c r="S13" s="19" t="s">
        <v>23</v>
      </c>
      <c r="T13" s="18" t="s">
        <v>21</v>
      </c>
      <c r="U13" s="18" t="s">
        <v>21</v>
      </c>
      <c r="V13" s="18" t="s">
        <v>20</v>
      </c>
      <c r="W13" s="18" t="s">
        <v>21</v>
      </c>
      <c r="X13" s="18" t="s">
        <v>20</v>
      </c>
      <c r="Y13" s="19" t="s">
        <v>21</v>
      </c>
      <c r="Z13" s="19" t="s">
        <v>21</v>
      </c>
      <c r="AA13" s="20" t="s">
        <v>21</v>
      </c>
      <c r="AB13" s="20" t="s">
        <v>23</v>
      </c>
      <c r="AC13" s="20" t="s">
        <v>23</v>
      </c>
      <c r="AD13" s="19" t="s">
        <v>23</v>
      </c>
      <c r="AE13" s="19" t="s">
        <v>21</v>
      </c>
      <c r="AG13">
        <f t="shared" si="0"/>
        <v>0</v>
      </c>
      <c r="AH13">
        <f t="shared" si="1"/>
        <v>2</v>
      </c>
      <c r="AI13">
        <f t="shared" si="2"/>
        <v>19</v>
      </c>
      <c r="AJ13">
        <f t="shared" si="3"/>
        <v>5</v>
      </c>
      <c r="AL13">
        <f t="shared" si="4"/>
        <v>0</v>
      </c>
      <c r="AM13">
        <f t="shared" si="5"/>
        <v>6</v>
      </c>
      <c r="AN13">
        <f t="shared" si="6"/>
        <v>38</v>
      </c>
      <c r="AO13">
        <f t="shared" si="7"/>
        <v>5</v>
      </c>
      <c r="AP13">
        <f t="shared" si="8"/>
        <v>49</v>
      </c>
    </row>
    <row r="14" spans="1:42" ht="14.4" hidden="1" x14ac:dyDescent="0.3">
      <c r="A14" s="16"/>
      <c r="B14" s="55">
        <v>9</v>
      </c>
      <c r="C14" s="56" t="s">
        <v>30</v>
      </c>
      <c r="D14" s="55">
        <v>1</v>
      </c>
      <c r="E14" s="55" t="s">
        <v>20</v>
      </c>
      <c r="F14" s="18" t="s">
        <v>21</v>
      </c>
      <c r="G14" s="18" t="s">
        <v>21</v>
      </c>
      <c r="H14" s="18" t="s">
        <v>23</v>
      </c>
      <c r="I14" s="18" t="s">
        <v>21</v>
      </c>
      <c r="J14" s="18" t="s">
        <v>20</v>
      </c>
      <c r="K14" s="18" t="s">
        <v>20</v>
      </c>
      <c r="L14" s="18" t="s">
        <v>20</v>
      </c>
      <c r="M14" s="19" t="s">
        <v>20</v>
      </c>
      <c r="N14" s="19" t="s">
        <v>21</v>
      </c>
      <c r="O14" s="19" t="s">
        <v>20</v>
      </c>
      <c r="P14" s="19" t="s">
        <v>21</v>
      </c>
      <c r="Q14" s="18" t="s">
        <v>21</v>
      </c>
      <c r="R14" s="18" t="s">
        <v>21</v>
      </c>
      <c r="S14" s="19" t="s">
        <v>21</v>
      </c>
      <c r="T14" s="18" t="s">
        <v>20</v>
      </c>
      <c r="U14" s="18" t="s">
        <v>21</v>
      </c>
      <c r="V14" s="18" t="s">
        <v>21</v>
      </c>
      <c r="W14" s="18" t="s">
        <v>20</v>
      </c>
      <c r="X14" s="18" t="s">
        <v>20</v>
      </c>
      <c r="Y14" s="19" t="s">
        <v>21</v>
      </c>
      <c r="Z14" s="19" t="s">
        <v>20</v>
      </c>
      <c r="AA14" s="20" t="s">
        <v>21</v>
      </c>
      <c r="AB14" s="20" t="s">
        <v>21</v>
      </c>
      <c r="AC14" s="20" t="s">
        <v>23</v>
      </c>
      <c r="AD14" s="19" t="s">
        <v>20</v>
      </c>
      <c r="AE14" s="19" t="s">
        <v>21</v>
      </c>
      <c r="AG14">
        <f t="shared" si="0"/>
        <v>0</v>
      </c>
      <c r="AH14">
        <f t="shared" si="1"/>
        <v>10</v>
      </c>
      <c r="AI14">
        <f t="shared" si="2"/>
        <v>14</v>
      </c>
      <c r="AJ14">
        <f t="shared" si="3"/>
        <v>2</v>
      </c>
      <c r="AL14">
        <f t="shared" si="4"/>
        <v>0</v>
      </c>
      <c r="AM14">
        <f t="shared" si="5"/>
        <v>30</v>
      </c>
      <c r="AN14">
        <f t="shared" si="6"/>
        <v>28</v>
      </c>
      <c r="AO14">
        <f t="shared" si="7"/>
        <v>2</v>
      </c>
      <c r="AP14">
        <f t="shared" si="8"/>
        <v>60</v>
      </c>
    </row>
    <row r="15" spans="1:42" ht="14.4" hidden="1" x14ac:dyDescent="0.3">
      <c r="A15" s="16"/>
      <c r="B15" s="55">
        <v>10</v>
      </c>
      <c r="C15" s="56" t="s">
        <v>31</v>
      </c>
      <c r="D15" s="55">
        <v>1</v>
      </c>
      <c r="E15" s="55" t="s">
        <v>20</v>
      </c>
      <c r="F15" s="18" t="s">
        <v>21</v>
      </c>
      <c r="G15" s="18" t="s">
        <v>21</v>
      </c>
      <c r="H15" s="18" t="s">
        <v>21</v>
      </c>
      <c r="I15" s="18" t="s">
        <v>21</v>
      </c>
      <c r="J15" s="18" t="s">
        <v>21</v>
      </c>
      <c r="K15" s="18" t="s">
        <v>21</v>
      </c>
      <c r="L15" s="18" t="s">
        <v>21</v>
      </c>
      <c r="M15" s="19" t="s">
        <v>21</v>
      </c>
      <c r="N15" s="19" t="s">
        <v>21</v>
      </c>
      <c r="O15" s="19" t="s">
        <v>20</v>
      </c>
      <c r="P15" s="19" t="s">
        <v>21</v>
      </c>
      <c r="Q15" s="18" t="s">
        <v>21</v>
      </c>
      <c r="R15" s="18" t="s">
        <v>21</v>
      </c>
      <c r="S15" s="19" t="s">
        <v>20</v>
      </c>
      <c r="T15" s="18" t="s">
        <v>21</v>
      </c>
      <c r="U15" s="18" t="s">
        <v>21</v>
      </c>
      <c r="V15" s="18" t="s">
        <v>20</v>
      </c>
      <c r="W15" s="18" t="s">
        <v>20</v>
      </c>
      <c r="X15" s="18" t="s">
        <v>20</v>
      </c>
      <c r="Y15" s="19" t="s">
        <v>21</v>
      </c>
      <c r="Z15" s="19" t="s">
        <v>20</v>
      </c>
      <c r="AA15" s="20" t="s">
        <v>21</v>
      </c>
      <c r="AB15" s="20" t="s">
        <v>21</v>
      </c>
      <c r="AC15" s="20" t="s">
        <v>23</v>
      </c>
      <c r="AD15" s="19" t="s">
        <v>21</v>
      </c>
      <c r="AE15" s="19" t="s">
        <v>21</v>
      </c>
      <c r="AG15">
        <f t="shared" si="0"/>
        <v>0</v>
      </c>
      <c r="AH15">
        <f t="shared" si="1"/>
        <v>6</v>
      </c>
      <c r="AI15">
        <f t="shared" si="2"/>
        <v>19</v>
      </c>
      <c r="AJ15">
        <f t="shared" si="3"/>
        <v>1</v>
      </c>
      <c r="AL15">
        <f t="shared" si="4"/>
        <v>0</v>
      </c>
      <c r="AM15">
        <f t="shared" si="5"/>
        <v>18</v>
      </c>
      <c r="AN15">
        <f t="shared" si="6"/>
        <v>38</v>
      </c>
      <c r="AO15">
        <f t="shared" si="7"/>
        <v>1</v>
      </c>
      <c r="AP15">
        <f t="shared" si="8"/>
        <v>57</v>
      </c>
    </row>
    <row r="16" spans="1:42" ht="14.4" hidden="1" x14ac:dyDescent="0.3">
      <c r="A16" s="16"/>
      <c r="B16" s="55">
        <v>11</v>
      </c>
      <c r="C16" s="56" t="s">
        <v>32</v>
      </c>
      <c r="D16" s="55">
        <v>1</v>
      </c>
      <c r="E16" s="55" t="s">
        <v>20</v>
      </c>
      <c r="F16" s="18" t="s">
        <v>21</v>
      </c>
      <c r="G16" s="18" t="s">
        <v>21</v>
      </c>
      <c r="H16" s="18" t="s">
        <v>21</v>
      </c>
      <c r="I16" s="18" t="s">
        <v>21</v>
      </c>
      <c r="J16" s="18" t="s">
        <v>20</v>
      </c>
      <c r="K16" s="18" t="s">
        <v>20</v>
      </c>
      <c r="L16" s="18" t="s">
        <v>20</v>
      </c>
      <c r="M16" s="19" t="s">
        <v>21</v>
      </c>
      <c r="N16" s="19" t="s">
        <v>21</v>
      </c>
      <c r="O16" s="19" t="s">
        <v>20</v>
      </c>
      <c r="P16" s="19" t="s">
        <v>21</v>
      </c>
      <c r="Q16" s="18" t="s">
        <v>21</v>
      </c>
      <c r="R16" s="18" t="s">
        <v>23</v>
      </c>
      <c r="S16" s="19" t="s">
        <v>21</v>
      </c>
      <c r="T16" s="18" t="s">
        <v>20</v>
      </c>
      <c r="U16" s="18" t="s">
        <v>21</v>
      </c>
      <c r="V16" s="18" t="s">
        <v>20</v>
      </c>
      <c r="W16" s="18" t="s">
        <v>21</v>
      </c>
      <c r="X16" s="18" t="s">
        <v>20</v>
      </c>
      <c r="Y16" s="19" t="s">
        <v>20</v>
      </c>
      <c r="Z16" s="19" t="s">
        <v>20</v>
      </c>
      <c r="AA16" s="20" t="s">
        <v>21</v>
      </c>
      <c r="AB16" s="20" t="s">
        <v>21</v>
      </c>
      <c r="AC16" s="20" t="s">
        <v>23</v>
      </c>
      <c r="AD16" s="19" t="s">
        <v>21</v>
      </c>
      <c r="AE16" s="19" t="s">
        <v>21</v>
      </c>
      <c r="AG16">
        <f t="shared" si="0"/>
        <v>0</v>
      </c>
      <c r="AH16">
        <f t="shared" si="1"/>
        <v>9</v>
      </c>
      <c r="AI16">
        <f t="shared" si="2"/>
        <v>15</v>
      </c>
      <c r="AJ16">
        <f t="shared" si="3"/>
        <v>2</v>
      </c>
      <c r="AL16">
        <f t="shared" si="4"/>
        <v>0</v>
      </c>
      <c r="AM16">
        <f t="shared" si="5"/>
        <v>27</v>
      </c>
      <c r="AN16">
        <f t="shared" si="6"/>
        <v>30</v>
      </c>
      <c r="AO16">
        <f t="shared" si="7"/>
        <v>2</v>
      </c>
      <c r="AP16">
        <f t="shared" si="8"/>
        <v>59</v>
      </c>
    </row>
    <row r="17" spans="1:42" ht="14.4" hidden="1" x14ac:dyDescent="0.3">
      <c r="A17" s="16"/>
      <c r="B17" s="55">
        <v>12</v>
      </c>
      <c r="C17" s="56" t="s">
        <v>33</v>
      </c>
      <c r="D17" s="55">
        <v>1</v>
      </c>
      <c r="E17" s="55" t="s">
        <v>20</v>
      </c>
      <c r="F17" s="18" t="s">
        <v>21</v>
      </c>
      <c r="G17" s="18" t="s">
        <v>21</v>
      </c>
      <c r="H17" s="18" t="s">
        <v>21</v>
      </c>
      <c r="I17" s="18" t="s">
        <v>23</v>
      </c>
      <c r="J17" s="18" t="s">
        <v>21</v>
      </c>
      <c r="K17" s="18" t="s">
        <v>21</v>
      </c>
      <c r="L17" s="18" t="s">
        <v>21</v>
      </c>
      <c r="M17" s="19" t="s">
        <v>21</v>
      </c>
      <c r="N17" s="19" t="s">
        <v>21</v>
      </c>
      <c r="O17" s="19" t="s">
        <v>21</v>
      </c>
      <c r="P17" s="19" t="s">
        <v>21</v>
      </c>
      <c r="Q17" s="18" t="s">
        <v>21</v>
      </c>
      <c r="R17" s="18" t="s">
        <v>21</v>
      </c>
      <c r="S17" s="19" t="s">
        <v>23</v>
      </c>
      <c r="T17" s="18" t="s">
        <v>23</v>
      </c>
      <c r="U17" s="18" t="s">
        <v>21</v>
      </c>
      <c r="V17" s="18" t="s">
        <v>21</v>
      </c>
      <c r="W17" s="18" t="s">
        <v>21</v>
      </c>
      <c r="X17" s="18" t="s">
        <v>20</v>
      </c>
      <c r="Y17" s="19" t="s">
        <v>20</v>
      </c>
      <c r="Z17" s="19" t="s">
        <v>20</v>
      </c>
      <c r="AA17" s="20" t="s">
        <v>23</v>
      </c>
      <c r="AB17" s="20" t="s">
        <v>23</v>
      </c>
      <c r="AC17" s="20" t="s">
        <v>23</v>
      </c>
      <c r="AD17" s="19" t="s">
        <v>23</v>
      </c>
      <c r="AE17" s="19" t="s">
        <v>21</v>
      </c>
      <c r="AG17">
        <f t="shared" si="0"/>
        <v>0</v>
      </c>
      <c r="AH17">
        <f t="shared" si="1"/>
        <v>3</v>
      </c>
      <c r="AI17">
        <f t="shared" si="2"/>
        <v>16</v>
      </c>
      <c r="AJ17">
        <f t="shared" si="3"/>
        <v>7</v>
      </c>
      <c r="AL17">
        <f t="shared" si="4"/>
        <v>0</v>
      </c>
      <c r="AM17">
        <f t="shared" si="5"/>
        <v>9</v>
      </c>
      <c r="AN17">
        <f t="shared" si="6"/>
        <v>32</v>
      </c>
      <c r="AO17">
        <f t="shared" si="7"/>
        <v>7</v>
      </c>
      <c r="AP17">
        <f t="shared" si="8"/>
        <v>48</v>
      </c>
    </row>
    <row r="18" spans="1:42" ht="14.4" hidden="1" x14ac:dyDescent="0.3">
      <c r="A18" s="16"/>
      <c r="B18" s="55">
        <v>13</v>
      </c>
      <c r="C18" s="56" t="s">
        <v>34</v>
      </c>
      <c r="D18" s="55">
        <v>1</v>
      </c>
      <c r="E18" s="55" t="s">
        <v>20</v>
      </c>
      <c r="F18" s="18" t="s">
        <v>21</v>
      </c>
      <c r="G18" s="18" t="s">
        <v>21</v>
      </c>
      <c r="H18" s="18" t="s">
        <v>23</v>
      </c>
      <c r="I18" s="18" t="s">
        <v>21</v>
      </c>
      <c r="J18" s="18" t="s">
        <v>21</v>
      </c>
      <c r="K18" s="18" t="s">
        <v>21</v>
      </c>
      <c r="L18" s="18" t="s">
        <v>21</v>
      </c>
      <c r="M18" s="19" t="s">
        <v>21</v>
      </c>
      <c r="N18" s="19" t="s">
        <v>21</v>
      </c>
      <c r="O18" s="19" t="s">
        <v>21</v>
      </c>
      <c r="P18" s="19" t="s">
        <v>21</v>
      </c>
      <c r="Q18" s="18" t="s">
        <v>21</v>
      </c>
      <c r="R18" s="18" t="s">
        <v>21</v>
      </c>
      <c r="S18" s="19" t="s">
        <v>23</v>
      </c>
      <c r="T18" s="18" t="s">
        <v>23</v>
      </c>
      <c r="U18" s="18" t="s">
        <v>21</v>
      </c>
      <c r="V18" s="18" t="s">
        <v>21</v>
      </c>
      <c r="W18" s="18" t="s">
        <v>21</v>
      </c>
      <c r="X18" s="18" t="s">
        <v>20</v>
      </c>
      <c r="Y18" s="19" t="s">
        <v>20</v>
      </c>
      <c r="Z18" s="19" t="s">
        <v>20</v>
      </c>
      <c r="AA18" s="20" t="s">
        <v>21</v>
      </c>
      <c r="AB18" s="20" t="s">
        <v>21</v>
      </c>
      <c r="AC18" s="20" t="s">
        <v>23</v>
      </c>
      <c r="AD18" s="19" t="s">
        <v>21</v>
      </c>
      <c r="AE18" s="19" t="s">
        <v>21</v>
      </c>
      <c r="AG18">
        <f t="shared" si="0"/>
        <v>0</v>
      </c>
      <c r="AH18">
        <f t="shared" si="1"/>
        <v>3</v>
      </c>
      <c r="AI18">
        <f t="shared" si="2"/>
        <v>19</v>
      </c>
      <c r="AJ18">
        <f t="shared" si="3"/>
        <v>4</v>
      </c>
      <c r="AL18">
        <f t="shared" si="4"/>
        <v>0</v>
      </c>
      <c r="AM18">
        <f t="shared" si="5"/>
        <v>9</v>
      </c>
      <c r="AN18">
        <f t="shared" si="6"/>
        <v>38</v>
      </c>
      <c r="AO18">
        <f t="shared" si="7"/>
        <v>4</v>
      </c>
      <c r="AP18">
        <f t="shared" si="8"/>
        <v>51</v>
      </c>
    </row>
    <row r="19" spans="1:42" ht="14.4" hidden="1" x14ac:dyDescent="0.3">
      <c r="A19" s="16"/>
      <c r="B19" s="55">
        <v>14</v>
      </c>
      <c r="C19" s="56" t="s">
        <v>35</v>
      </c>
      <c r="D19" s="55">
        <v>1</v>
      </c>
      <c r="E19" s="55" t="s">
        <v>20</v>
      </c>
      <c r="F19" s="18" t="s">
        <v>21</v>
      </c>
      <c r="G19" s="18" t="s">
        <v>23</v>
      </c>
      <c r="H19" s="18" t="s">
        <v>21</v>
      </c>
      <c r="I19" s="18" t="s">
        <v>21</v>
      </c>
      <c r="J19" s="18" t="s">
        <v>21</v>
      </c>
      <c r="K19" s="18" t="s">
        <v>21</v>
      </c>
      <c r="L19" s="18" t="s">
        <v>21</v>
      </c>
      <c r="M19" s="19" t="s">
        <v>21</v>
      </c>
      <c r="N19" s="19" t="s">
        <v>21</v>
      </c>
      <c r="O19" s="19" t="s">
        <v>21</v>
      </c>
      <c r="P19" s="19" t="s">
        <v>21</v>
      </c>
      <c r="Q19" s="18" t="s">
        <v>21</v>
      </c>
      <c r="R19" s="18" t="s">
        <v>21</v>
      </c>
      <c r="S19" s="19" t="s">
        <v>23</v>
      </c>
      <c r="T19" s="18" t="s">
        <v>23</v>
      </c>
      <c r="U19" s="18" t="s">
        <v>21</v>
      </c>
      <c r="V19" s="18" t="s">
        <v>20</v>
      </c>
      <c r="W19" s="18" t="s">
        <v>21</v>
      </c>
      <c r="X19" s="18" t="s">
        <v>20</v>
      </c>
      <c r="Y19" s="19" t="s">
        <v>21</v>
      </c>
      <c r="Z19" s="19" t="s">
        <v>20</v>
      </c>
      <c r="AA19" s="20" t="s">
        <v>21</v>
      </c>
      <c r="AB19" s="20" t="s">
        <v>23</v>
      </c>
      <c r="AC19" s="20" t="s">
        <v>23</v>
      </c>
      <c r="AD19" s="19" t="s">
        <v>21</v>
      </c>
      <c r="AE19" s="19" t="s">
        <v>21</v>
      </c>
      <c r="AG19">
        <f t="shared" si="0"/>
        <v>0</v>
      </c>
      <c r="AH19">
        <f t="shared" si="1"/>
        <v>3</v>
      </c>
      <c r="AI19">
        <f t="shared" si="2"/>
        <v>18</v>
      </c>
      <c r="AJ19">
        <f t="shared" si="3"/>
        <v>5</v>
      </c>
      <c r="AL19">
        <f t="shared" si="4"/>
        <v>0</v>
      </c>
      <c r="AM19">
        <f t="shared" si="5"/>
        <v>9</v>
      </c>
      <c r="AN19">
        <f t="shared" si="6"/>
        <v>36</v>
      </c>
      <c r="AO19">
        <f t="shared" si="7"/>
        <v>5</v>
      </c>
      <c r="AP19">
        <f t="shared" si="8"/>
        <v>50</v>
      </c>
    </row>
    <row r="20" spans="1:42" ht="14.4" hidden="1" x14ac:dyDescent="0.3">
      <c r="A20" s="16"/>
      <c r="B20" s="55">
        <v>15</v>
      </c>
      <c r="C20" s="56" t="s">
        <v>36</v>
      </c>
      <c r="D20" s="55">
        <v>1</v>
      </c>
      <c r="E20" s="55" t="s">
        <v>20</v>
      </c>
      <c r="F20" s="18" t="s">
        <v>21</v>
      </c>
      <c r="G20" s="18" t="s">
        <v>21</v>
      </c>
      <c r="H20" s="18" t="s">
        <v>21</v>
      </c>
      <c r="I20" s="18" t="s">
        <v>21</v>
      </c>
      <c r="J20" s="18" t="s">
        <v>21</v>
      </c>
      <c r="K20" s="18" t="s">
        <v>21</v>
      </c>
      <c r="L20" s="18" t="s">
        <v>21</v>
      </c>
      <c r="M20" s="19" t="s">
        <v>20</v>
      </c>
      <c r="N20" s="19" t="s">
        <v>21</v>
      </c>
      <c r="O20" s="19" t="s">
        <v>20</v>
      </c>
      <c r="P20" s="19" t="s">
        <v>21</v>
      </c>
      <c r="Q20" s="18" t="s">
        <v>21</v>
      </c>
      <c r="R20" s="18" t="s">
        <v>21</v>
      </c>
      <c r="S20" s="19" t="s">
        <v>20</v>
      </c>
      <c r="T20" s="18" t="s">
        <v>21</v>
      </c>
      <c r="U20" s="18" t="s">
        <v>21</v>
      </c>
      <c r="V20" s="18" t="s">
        <v>21</v>
      </c>
      <c r="W20" s="18" t="s">
        <v>20</v>
      </c>
      <c r="X20" s="18" t="s">
        <v>20</v>
      </c>
      <c r="Y20" s="19" t="s">
        <v>20</v>
      </c>
      <c r="Z20" s="19" t="s">
        <v>20</v>
      </c>
      <c r="AA20" s="20" t="s">
        <v>21</v>
      </c>
      <c r="AB20" s="20" t="s">
        <v>21</v>
      </c>
      <c r="AC20" s="20" t="s">
        <v>23</v>
      </c>
      <c r="AD20" s="19" t="s">
        <v>20</v>
      </c>
      <c r="AE20" s="19" t="s">
        <v>21</v>
      </c>
      <c r="AG20">
        <f t="shared" si="0"/>
        <v>0</v>
      </c>
      <c r="AH20">
        <f t="shared" si="1"/>
        <v>8</v>
      </c>
      <c r="AI20">
        <f t="shared" si="2"/>
        <v>17</v>
      </c>
      <c r="AJ20">
        <f t="shared" si="3"/>
        <v>1</v>
      </c>
      <c r="AL20">
        <f t="shared" si="4"/>
        <v>0</v>
      </c>
      <c r="AM20">
        <f t="shared" si="5"/>
        <v>24</v>
      </c>
      <c r="AN20">
        <f t="shared" si="6"/>
        <v>34</v>
      </c>
      <c r="AO20">
        <f t="shared" si="7"/>
        <v>1</v>
      </c>
      <c r="AP20">
        <f t="shared" si="8"/>
        <v>59</v>
      </c>
    </row>
    <row r="21" spans="1:42" ht="14.4" hidden="1" x14ac:dyDescent="0.3">
      <c r="A21" s="16"/>
      <c r="B21" s="55">
        <v>16</v>
      </c>
      <c r="C21" s="56" t="s">
        <v>37</v>
      </c>
      <c r="D21" s="55">
        <v>1</v>
      </c>
      <c r="E21" s="55" t="s">
        <v>20</v>
      </c>
      <c r="F21" s="18" t="s">
        <v>21</v>
      </c>
      <c r="G21" s="18" t="s">
        <v>21</v>
      </c>
      <c r="H21" s="18" t="s">
        <v>21</v>
      </c>
      <c r="I21" s="18" t="s">
        <v>21</v>
      </c>
      <c r="J21" s="18" t="s">
        <v>20</v>
      </c>
      <c r="K21" s="18" t="s">
        <v>20</v>
      </c>
      <c r="L21" s="18" t="s">
        <v>20</v>
      </c>
      <c r="M21" s="19" t="s">
        <v>20</v>
      </c>
      <c r="N21" s="19" t="s">
        <v>20</v>
      </c>
      <c r="O21" s="19" t="s">
        <v>20</v>
      </c>
      <c r="P21" s="19" t="s">
        <v>20</v>
      </c>
      <c r="Q21" s="18" t="s">
        <v>20</v>
      </c>
      <c r="R21" s="18" t="s">
        <v>20</v>
      </c>
      <c r="S21" s="19" t="s">
        <v>20</v>
      </c>
      <c r="T21" s="18" t="s">
        <v>20</v>
      </c>
      <c r="U21" s="18" t="s">
        <v>20</v>
      </c>
      <c r="V21" s="18" t="s">
        <v>20</v>
      </c>
      <c r="W21" s="18" t="s">
        <v>20</v>
      </c>
      <c r="X21" s="18" t="s">
        <v>20</v>
      </c>
      <c r="Y21" s="19" t="s">
        <v>20</v>
      </c>
      <c r="Z21" s="19" t="s">
        <v>20</v>
      </c>
      <c r="AA21" s="20" t="s">
        <v>20</v>
      </c>
      <c r="AB21" s="20" t="s">
        <v>21</v>
      </c>
      <c r="AC21" s="20" t="s">
        <v>20</v>
      </c>
      <c r="AD21" s="19" t="s">
        <v>20</v>
      </c>
      <c r="AE21" s="19" t="s">
        <v>21</v>
      </c>
      <c r="AG21">
        <f t="shared" si="0"/>
        <v>0</v>
      </c>
      <c r="AH21">
        <f t="shared" si="1"/>
        <v>20</v>
      </c>
      <c r="AI21">
        <f t="shared" si="2"/>
        <v>6</v>
      </c>
      <c r="AJ21">
        <f t="shared" si="3"/>
        <v>0</v>
      </c>
      <c r="AL21">
        <f t="shared" si="4"/>
        <v>0</v>
      </c>
      <c r="AM21">
        <f t="shared" si="5"/>
        <v>60</v>
      </c>
      <c r="AN21">
        <f t="shared" si="6"/>
        <v>12</v>
      </c>
      <c r="AO21">
        <f t="shared" si="7"/>
        <v>0</v>
      </c>
      <c r="AP21">
        <f t="shared" si="8"/>
        <v>72</v>
      </c>
    </row>
    <row r="22" spans="1:42" ht="15.75" hidden="1" customHeight="1" x14ac:dyDescent="0.3">
      <c r="A22" s="16"/>
      <c r="B22" s="55">
        <v>17</v>
      </c>
      <c r="C22" s="56" t="s">
        <v>38</v>
      </c>
      <c r="D22" s="55">
        <v>1</v>
      </c>
      <c r="E22" s="55" t="s">
        <v>20</v>
      </c>
      <c r="F22" s="18" t="s">
        <v>20</v>
      </c>
      <c r="G22" s="18" t="s">
        <v>20</v>
      </c>
      <c r="H22" s="18" t="s">
        <v>21</v>
      </c>
      <c r="I22" s="18" t="s">
        <v>20</v>
      </c>
      <c r="J22" s="18" t="s">
        <v>20</v>
      </c>
      <c r="K22" s="18" t="s">
        <v>20</v>
      </c>
      <c r="L22" s="18" t="s">
        <v>20</v>
      </c>
      <c r="M22" s="19" t="s">
        <v>20</v>
      </c>
      <c r="N22" s="19" t="s">
        <v>21</v>
      </c>
      <c r="O22" s="19" t="s">
        <v>20</v>
      </c>
      <c r="P22" s="19" t="s">
        <v>20</v>
      </c>
      <c r="Q22" s="18" t="s">
        <v>20</v>
      </c>
      <c r="R22" s="18" t="s">
        <v>21</v>
      </c>
      <c r="S22" s="19" t="s">
        <v>20</v>
      </c>
      <c r="T22" s="18" t="s">
        <v>20</v>
      </c>
      <c r="U22" s="18" t="s">
        <v>20</v>
      </c>
      <c r="V22" s="18" t="s">
        <v>20</v>
      </c>
      <c r="W22" s="18" t="s">
        <v>20</v>
      </c>
      <c r="X22" s="18" t="s">
        <v>20</v>
      </c>
      <c r="Y22" s="19" t="s">
        <v>20</v>
      </c>
      <c r="Z22" s="19" t="s">
        <v>20</v>
      </c>
      <c r="AA22" s="20" t="s">
        <v>20</v>
      </c>
      <c r="AB22" s="20" t="s">
        <v>39</v>
      </c>
      <c r="AC22" s="20" t="s">
        <v>20</v>
      </c>
      <c r="AD22" s="19" t="s">
        <v>20</v>
      </c>
      <c r="AE22" s="19" t="s">
        <v>21</v>
      </c>
      <c r="AG22">
        <f t="shared" si="0"/>
        <v>1</v>
      </c>
      <c r="AH22">
        <f t="shared" si="1"/>
        <v>21</v>
      </c>
      <c r="AI22">
        <f t="shared" si="2"/>
        <v>4</v>
      </c>
      <c r="AJ22">
        <f t="shared" si="3"/>
        <v>0</v>
      </c>
      <c r="AL22">
        <f t="shared" si="4"/>
        <v>4</v>
      </c>
      <c r="AM22">
        <f t="shared" si="5"/>
        <v>63</v>
      </c>
      <c r="AN22">
        <f t="shared" si="6"/>
        <v>8</v>
      </c>
      <c r="AO22">
        <f t="shared" si="7"/>
        <v>0</v>
      </c>
      <c r="AP22">
        <f t="shared" si="8"/>
        <v>75</v>
      </c>
    </row>
    <row r="23" spans="1:42" ht="15.75" hidden="1" customHeight="1" thickBot="1" x14ac:dyDescent="0.35">
      <c r="A23" s="16"/>
      <c r="B23" s="57">
        <v>18</v>
      </c>
      <c r="C23" s="58" t="s">
        <v>40</v>
      </c>
      <c r="D23" s="57">
        <v>1</v>
      </c>
      <c r="E23" s="57" t="s">
        <v>20</v>
      </c>
      <c r="F23" s="21" t="s">
        <v>21</v>
      </c>
      <c r="G23" s="21" t="s">
        <v>21</v>
      </c>
      <c r="H23" s="21" t="s">
        <v>21</v>
      </c>
      <c r="I23" s="21" t="s">
        <v>21</v>
      </c>
      <c r="J23" s="21" t="s">
        <v>21</v>
      </c>
      <c r="K23" s="21" t="s">
        <v>21</v>
      </c>
      <c r="L23" s="21" t="s">
        <v>21</v>
      </c>
      <c r="M23" s="22" t="s">
        <v>21</v>
      </c>
      <c r="N23" s="22" t="s">
        <v>21</v>
      </c>
      <c r="O23" s="22" t="s">
        <v>20</v>
      </c>
      <c r="P23" s="22" t="s">
        <v>21</v>
      </c>
      <c r="Q23" s="21" t="s">
        <v>21</v>
      </c>
      <c r="R23" s="21" t="s">
        <v>21</v>
      </c>
      <c r="S23" s="22" t="s">
        <v>23</v>
      </c>
      <c r="T23" s="21" t="s">
        <v>23</v>
      </c>
      <c r="U23" s="21" t="s">
        <v>20</v>
      </c>
      <c r="V23" s="21" t="s">
        <v>21</v>
      </c>
      <c r="W23" s="21" t="s">
        <v>20</v>
      </c>
      <c r="X23" s="21" t="s">
        <v>20</v>
      </c>
      <c r="Y23" s="22" t="s">
        <v>20</v>
      </c>
      <c r="Z23" s="22" t="s">
        <v>20</v>
      </c>
      <c r="AA23" s="23" t="s">
        <v>21</v>
      </c>
      <c r="AB23" s="23" t="s">
        <v>21</v>
      </c>
      <c r="AC23" s="23" t="s">
        <v>23</v>
      </c>
      <c r="AD23" s="22" t="s">
        <v>21</v>
      </c>
      <c r="AE23" s="22" t="s">
        <v>21</v>
      </c>
      <c r="AG23">
        <f t="shared" si="0"/>
        <v>0</v>
      </c>
      <c r="AH23">
        <f t="shared" si="1"/>
        <v>6</v>
      </c>
      <c r="AI23">
        <f t="shared" si="2"/>
        <v>17</v>
      </c>
      <c r="AJ23">
        <f t="shared" si="3"/>
        <v>3</v>
      </c>
      <c r="AL23">
        <f t="shared" si="4"/>
        <v>0</v>
      </c>
      <c r="AM23">
        <f t="shared" si="5"/>
        <v>18</v>
      </c>
      <c r="AN23">
        <f t="shared" si="6"/>
        <v>34</v>
      </c>
      <c r="AO23">
        <f t="shared" si="7"/>
        <v>3</v>
      </c>
      <c r="AP23">
        <f t="shared" si="8"/>
        <v>55</v>
      </c>
    </row>
    <row r="24" spans="1:42" ht="15.75" customHeight="1" x14ac:dyDescent="0.3">
      <c r="A24" s="16"/>
      <c r="B24" s="55">
        <v>1</v>
      </c>
      <c r="C24" s="60" t="s">
        <v>41</v>
      </c>
      <c r="D24" s="59">
        <v>1</v>
      </c>
      <c r="E24" s="59" t="s">
        <v>21</v>
      </c>
      <c r="F24" s="24" t="s">
        <v>39</v>
      </c>
      <c r="G24" s="24" t="s">
        <v>20</v>
      </c>
      <c r="H24" s="24" t="s">
        <v>20</v>
      </c>
      <c r="I24" s="24" t="s">
        <v>20</v>
      </c>
      <c r="J24" s="24" t="s">
        <v>20</v>
      </c>
      <c r="K24" s="24" t="s">
        <v>20</v>
      </c>
      <c r="L24" s="24" t="s">
        <v>20</v>
      </c>
      <c r="M24" s="25" t="s">
        <v>20</v>
      </c>
      <c r="N24" s="25" t="s">
        <v>20</v>
      </c>
      <c r="O24" s="25" t="s">
        <v>20</v>
      </c>
      <c r="P24" s="25" t="s">
        <v>20</v>
      </c>
      <c r="Q24" s="24" t="s">
        <v>20</v>
      </c>
      <c r="R24" s="24" t="s">
        <v>20</v>
      </c>
      <c r="S24" s="25" t="s">
        <v>20</v>
      </c>
      <c r="T24" s="24" t="s">
        <v>20</v>
      </c>
      <c r="U24" s="24" t="s">
        <v>20</v>
      </c>
      <c r="V24" s="24" t="s">
        <v>20</v>
      </c>
      <c r="W24" s="24" t="s">
        <v>20</v>
      </c>
      <c r="X24" s="24" t="s">
        <v>20</v>
      </c>
      <c r="Y24" s="25" t="s">
        <v>20</v>
      </c>
      <c r="Z24" s="25" t="s">
        <v>20</v>
      </c>
      <c r="AA24" s="26" t="s">
        <v>20</v>
      </c>
      <c r="AB24" s="26" t="s">
        <v>20</v>
      </c>
      <c r="AC24" s="27" t="s">
        <v>20</v>
      </c>
      <c r="AD24" s="25" t="s">
        <v>20</v>
      </c>
      <c r="AE24" s="25" t="s">
        <v>21</v>
      </c>
      <c r="AG24">
        <f>+COUNTIF(F24:AE24,"AD")</f>
        <v>1</v>
      </c>
      <c r="AH24">
        <f>+COUNTIF(F24:AE24,"A")</f>
        <v>24</v>
      </c>
      <c r="AI24">
        <f>+COUNTIF(F24:AE24,"b")</f>
        <v>1</v>
      </c>
      <c r="AJ24">
        <f>+COUNTIF(F24:AE24,"c")</f>
        <v>0</v>
      </c>
      <c r="AL24">
        <f>+$AG$5*AG24</f>
        <v>4</v>
      </c>
      <c r="AM24">
        <f>+$AH$5*AH24</f>
        <v>72</v>
      </c>
      <c r="AN24">
        <f>+$AI$5*AI24</f>
        <v>2</v>
      </c>
      <c r="AO24">
        <f>+$AJ$5*AJ24</f>
        <v>0</v>
      </c>
      <c r="AP24" s="73">
        <f>+SUM(AL24:AO24)</f>
        <v>78</v>
      </c>
    </row>
    <row r="25" spans="1:42" ht="15.75" customHeight="1" x14ac:dyDescent="0.3">
      <c r="A25" s="16"/>
      <c r="B25" s="55">
        <v>2</v>
      </c>
      <c r="C25" s="56" t="s">
        <v>51</v>
      </c>
      <c r="D25" s="55">
        <v>1</v>
      </c>
      <c r="E25" s="55" t="s">
        <v>21</v>
      </c>
      <c r="F25" s="18" t="s">
        <v>39</v>
      </c>
      <c r="G25" s="18" t="s">
        <v>20</v>
      </c>
      <c r="H25" s="18" t="s">
        <v>20</v>
      </c>
      <c r="I25" s="18" t="s">
        <v>20</v>
      </c>
      <c r="J25" s="18" t="s">
        <v>20</v>
      </c>
      <c r="K25" s="18" t="s">
        <v>20</v>
      </c>
      <c r="L25" s="18" t="s">
        <v>20</v>
      </c>
      <c r="M25" s="18" t="s">
        <v>20</v>
      </c>
      <c r="N25" s="18" t="s">
        <v>20</v>
      </c>
      <c r="O25" s="18" t="s">
        <v>20</v>
      </c>
      <c r="P25" s="18" t="s">
        <v>20</v>
      </c>
      <c r="Q25" s="18" t="s">
        <v>20</v>
      </c>
      <c r="R25" s="18" t="s">
        <v>20</v>
      </c>
      <c r="S25" s="18" t="s">
        <v>20</v>
      </c>
      <c r="T25" s="18" t="s">
        <v>20</v>
      </c>
      <c r="U25" s="18" t="s">
        <v>20</v>
      </c>
      <c r="V25" s="18" t="s">
        <v>20</v>
      </c>
      <c r="W25" s="18" t="s">
        <v>20</v>
      </c>
      <c r="X25" s="18" t="s">
        <v>21</v>
      </c>
      <c r="Y25" s="19" t="s">
        <v>20</v>
      </c>
      <c r="Z25" s="18" t="s">
        <v>20</v>
      </c>
      <c r="AA25" s="28" t="s">
        <v>20</v>
      </c>
      <c r="AB25" s="28" t="s">
        <v>20</v>
      </c>
      <c r="AC25" s="20" t="s">
        <v>20</v>
      </c>
      <c r="AD25" s="29" t="s">
        <v>20</v>
      </c>
      <c r="AE25" s="29" t="s">
        <v>21</v>
      </c>
      <c r="AG25">
        <f>+COUNTIF(F25:AE25,"AD")</f>
        <v>1</v>
      </c>
      <c r="AH25">
        <f>+COUNTIF(F25:AE25,"A")</f>
        <v>23</v>
      </c>
      <c r="AI25">
        <f>+COUNTIF(F25:AE25,"b")</f>
        <v>2</v>
      </c>
      <c r="AJ25">
        <f>+COUNTIF(F25:AE25,"c")</f>
        <v>0</v>
      </c>
      <c r="AL25">
        <f>+$AG$5*AG25</f>
        <v>4</v>
      </c>
      <c r="AM25">
        <f>+$AH$5*AH25</f>
        <v>69</v>
      </c>
      <c r="AN25">
        <f>+$AI$5*AI25</f>
        <v>4</v>
      </c>
      <c r="AO25">
        <f>+$AJ$5*AJ25</f>
        <v>0</v>
      </c>
      <c r="AP25" s="73">
        <f>+SUM(AL25:AO25)</f>
        <v>77</v>
      </c>
    </row>
    <row r="26" spans="1:42" ht="15.75" customHeight="1" x14ac:dyDescent="0.3">
      <c r="A26" s="16"/>
      <c r="B26" s="55">
        <v>3</v>
      </c>
      <c r="C26" s="56" t="s">
        <v>54</v>
      </c>
      <c r="D26" s="55">
        <v>1</v>
      </c>
      <c r="E26" s="55" t="s">
        <v>21</v>
      </c>
      <c r="F26" s="18" t="s">
        <v>20</v>
      </c>
      <c r="G26" s="18" t="s">
        <v>20</v>
      </c>
      <c r="H26" s="18" t="s">
        <v>20</v>
      </c>
      <c r="I26" s="18" t="s">
        <v>20</v>
      </c>
      <c r="J26" s="18" t="s">
        <v>20</v>
      </c>
      <c r="K26" s="18" t="s">
        <v>20</v>
      </c>
      <c r="L26" s="18" t="s">
        <v>20</v>
      </c>
      <c r="M26" s="18" t="s">
        <v>20</v>
      </c>
      <c r="N26" s="18" t="s">
        <v>20</v>
      </c>
      <c r="O26" s="18" t="s">
        <v>20</v>
      </c>
      <c r="P26" s="18" t="s">
        <v>20</v>
      </c>
      <c r="Q26" s="18" t="s">
        <v>20</v>
      </c>
      <c r="R26" s="18" t="s">
        <v>20</v>
      </c>
      <c r="S26" s="18" t="s">
        <v>20</v>
      </c>
      <c r="T26" s="18" t="s">
        <v>20</v>
      </c>
      <c r="U26" s="18" t="s">
        <v>20</v>
      </c>
      <c r="V26" s="18" t="s">
        <v>21</v>
      </c>
      <c r="W26" s="18" t="s">
        <v>21</v>
      </c>
      <c r="X26" s="18" t="s">
        <v>20</v>
      </c>
      <c r="Y26" s="19" t="s">
        <v>21</v>
      </c>
      <c r="Z26" s="18" t="s">
        <v>20</v>
      </c>
      <c r="AA26" s="28" t="s">
        <v>20</v>
      </c>
      <c r="AB26" s="28" t="s">
        <v>20</v>
      </c>
      <c r="AC26" s="20" t="s">
        <v>20</v>
      </c>
      <c r="AD26" s="29" t="s">
        <v>55</v>
      </c>
      <c r="AE26" s="29" t="s">
        <v>55</v>
      </c>
      <c r="AG26">
        <f>+COUNTIF(F26:AE26,"AD")</f>
        <v>0</v>
      </c>
      <c r="AH26">
        <f>+COUNTIF(F26:AE26,"A")</f>
        <v>21</v>
      </c>
      <c r="AI26">
        <f>+COUNTIF(F26:AE26,"b")</f>
        <v>3</v>
      </c>
      <c r="AJ26">
        <f>+COUNTIF(F26:AE26,"c")</f>
        <v>0</v>
      </c>
      <c r="AL26">
        <f>+$AG$5*AG26</f>
        <v>0</v>
      </c>
      <c r="AM26">
        <f>+$AH$5*AH26</f>
        <v>63</v>
      </c>
      <c r="AN26">
        <f>+$AI$5*AI26</f>
        <v>6</v>
      </c>
      <c r="AO26">
        <f>+$AJ$5*AJ26</f>
        <v>0</v>
      </c>
      <c r="AP26" s="73">
        <f>+SUM(AL26:AO26)</f>
        <v>69</v>
      </c>
    </row>
    <row r="27" spans="1:42" ht="15.75" customHeight="1" x14ac:dyDescent="0.3">
      <c r="A27" s="16"/>
      <c r="B27" s="55">
        <v>4</v>
      </c>
      <c r="C27" s="56" t="s">
        <v>42</v>
      </c>
      <c r="D27" s="55">
        <v>1</v>
      </c>
      <c r="E27" s="55" t="s">
        <v>21</v>
      </c>
      <c r="F27" s="18" t="s">
        <v>21</v>
      </c>
      <c r="G27" s="18" t="s">
        <v>21</v>
      </c>
      <c r="H27" s="18" t="s">
        <v>21</v>
      </c>
      <c r="I27" s="18" t="s">
        <v>21</v>
      </c>
      <c r="J27" s="18" t="s">
        <v>20</v>
      </c>
      <c r="K27" s="18" t="s">
        <v>21</v>
      </c>
      <c r="L27" s="18" t="s">
        <v>21</v>
      </c>
      <c r="M27" s="19" t="s">
        <v>20</v>
      </c>
      <c r="N27" s="19" t="s">
        <v>20</v>
      </c>
      <c r="O27" s="19" t="s">
        <v>20</v>
      </c>
      <c r="P27" s="19" t="s">
        <v>20</v>
      </c>
      <c r="Q27" s="18" t="s">
        <v>20</v>
      </c>
      <c r="R27" s="18" t="s">
        <v>21</v>
      </c>
      <c r="S27" s="19" t="s">
        <v>20</v>
      </c>
      <c r="T27" s="18" t="s">
        <v>20</v>
      </c>
      <c r="U27" s="18" t="s">
        <v>21</v>
      </c>
      <c r="V27" s="18" t="s">
        <v>20</v>
      </c>
      <c r="W27" s="18" t="s">
        <v>20</v>
      </c>
      <c r="X27" s="18" t="s">
        <v>20</v>
      </c>
      <c r="Y27" s="19" t="s">
        <v>20</v>
      </c>
      <c r="Z27" s="19" t="s">
        <v>20</v>
      </c>
      <c r="AA27" s="28" t="s">
        <v>20</v>
      </c>
      <c r="AB27" s="28" t="s">
        <v>21</v>
      </c>
      <c r="AC27" s="20" t="s">
        <v>20</v>
      </c>
      <c r="AD27" s="19" t="s">
        <v>20</v>
      </c>
      <c r="AE27" s="19" t="s">
        <v>21</v>
      </c>
      <c r="AG27">
        <f>+COUNTIF(F27:AE27,"AD")</f>
        <v>0</v>
      </c>
      <c r="AH27">
        <f>+COUNTIF(F27:AE27,"A")</f>
        <v>16</v>
      </c>
      <c r="AI27">
        <f>+COUNTIF(F27:AE27,"b")</f>
        <v>10</v>
      </c>
      <c r="AJ27">
        <f>+COUNTIF(F27:AE27,"c")</f>
        <v>0</v>
      </c>
      <c r="AL27">
        <f>+$AG$5*AG27</f>
        <v>0</v>
      </c>
      <c r="AM27">
        <f>+$AH$5*AH27</f>
        <v>48</v>
      </c>
      <c r="AN27">
        <f>+$AI$5*AI27</f>
        <v>20</v>
      </c>
      <c r="AO27">
        <f>+$AJ$5*AJ27</f>
        <v>0</v>
      </c>
      <c r="AP27" s="73">
        <f>+SUM(AL27:AO27)</f>
        <v>68</v>
      </c>
    </row>
    <row r="28" spans="1:42" ht="15.75" customHeight="1" x14ac:dyDescent="0.3">
      <c r="A28" s="16"/>
      <c r="B28" s="55">
        <v>5</v>
      </c>
      <c r="C28" s="56" t="s">
        <v>47</v>
      </c>
      <c r="D28" s="55">
        <v>1</v>
      </c>
      <c r="E28" s="55" t="s">
        <v>21</v>
      </c>
      <c r="F28" s="18" t="s">
        <v>21</v>
      </c>
      <c r="G28" s="18" t="s">
        <v>21</v>
      </c>
      <c r="H28" s="18" t="s">
        <v>20</v>
      </c>
      <c r="I28" s="18" t="s">
        <v>21</v>
      </c>
      <c r="J28" s="18" t="s">
        <v>20</v>
      </c>
      <c r="K28" s="18" t="s">
        <v>20</v>
      </c>
      <c r="L28" s="18" t="s">
        <v>21</v>
      </c>
      <c r="M28" s="18" t="s">
        <v>20</v>
      </c>
      <c r="N28" s="18" t="s">
        <v>21</v>
      </c>
      <c r="O28" s="18" t="s">
        <v>20</v>
      </c>
      <c r="P28" s="18" t="s">
        <v>20</v>
      </c>
      <c r="Q28" s="18" t="s">
        <v>21</v>
      </c>
      <c r="R28" s="18" t="s">
        <v>20</v>
      </c>
      <c r="S28" s="18" t="s">
        <v>20</v>
      </c>
      <c r="T28" s="18" t="s">
        <v>20</v>
      </c>
      <c r="U28" s="18" t="s">
        <v>21</v>
      </c>
      <c r="V28" s="18" t="s">
        <v>20</v>
      </c>
      <c r="W28" s="18" t="s">
        <v>20</v>
      </c>
      <c r="X28" s="18" t="s">
        <v>21</v>
      </c>
      <c r="Y28" s="19" t="s">
        <v>20</v>
      </c>
      <c r="Z28" s="18" t="s">
        <v>20</v>
      </c>
      <c r="AA28" s="28" t="s">
        <v>20</v>
      </c>
      <c r="AB28" s="28" t="s">
        <v>20</v>
      </c>
      <c r="AC28" s="20" t="s">
        <v>20</v>
      </c>
      <c r="AD28" s="29" t="s">
        <v>21</v>
      </c>
      <c r="AE28" s="29" t="s">
        <v>21</v>
      </c>
      <c r="AG28">
        <f>+COUNTIF(F28:AE28,"AD")</f>
        <v>0</v>
      </c>
      <c r="AH28">
        <f>+COUNTIF(F28:AE28,"A")</f>
        <v>16</v>
      </c>
      <c r="AI28">
        <f>+COUNTIF(F28:AE28,"b")</f>
        <v>10</v>
      </c>
      <c r="AJ28">
        <f>+COUNTIF(F28:AE28,"c")</f>
        <v>0</v>
      </c>
      <c r="AL28">
        <f>+$AG$5*AG28</f>
        <v>0</v>
      </c>
      <c r="AM28">
        <f>+$AH$5*AH28</f>
        <v>48</v>
      </c>
      <c r="AN28">
        <f>+$AI$5*AI28</f>
        <v>20</v>
      </c>
      <c r="AO28">
        <f>+$AJ$5*AJ28</f>
        <v>0</v>
      </c>
      <c r="AP28" s="73">
        <f>+SUM(AL28:AO28)</f>
        <v>68</v>
      </c>
    </row>
    <row r="29" spans="1:42" ht="15.75" customHeight="1" x14ac:dyDescent="0.3">
      <c r="A29" s="16"/>
      <c r="B29" s="55">
        <v>6</v>
      </c>
      <c r="C29" s="56" t="s">
        <v>50</v>
      </c>
      <c r="D29" s="55">
        <v>1</v>
      </c>
      <c r="E29" s="55" t="s">
        <v>21</v>
      </c>
      <c r="F29" s="18" t="s">
        <v>20</v>
      </c>
      <c r="G29" s="18" t="s">
        <v>21</v>
      </c>
      <c r="H29" s="18" t="s">
        <v>20</v>
      </c>
      <c r="I29" s="18" t="s">
        <v>21</v>
      </c>
      <c r="J29" s="18" t="s">
        <v>21</v>
      </c>
      <c r="K29" s="18" t="s">
        <v>21</v>
      </c>
      <c r="L29" s="18" t="s">
        <v>21</v>
      </c>
      <c r="M29" s="18" t="s">
        <v>20</v>
      </c>
      <c r="N29" s="18" t="s">
        <v>20</v>
      </c>
      <c r="O29" s="18" t="s">
        <v>20</v>
      </c>
      <c r="P29" s="18" t="s">
        <v>21</v>
      </c>
      <c r="Q29" s="18" t="s">
        <v>20</v>
      </c>
      <c r="R29" s="18" t="s">
        <v>21</v>
      </c>
      <c r="S29" s="18" t="s">
        <v>20</v>
      </c>
      <c r="T29" s="18" t="s">
        <v>20</v>
      </c>
      <c r="U29" s="18" t="s">
        <v>20</v>
      </c>
      <c r="V29" s="18" t="s">
        <v>20</v>
      </c>
      <c r="W29" s="18" t="s">
        <v>20</v>
      </c>
      <c r="X29" s="18" t="s">
        <v>20</v>
      </c>
      <c r="Y29" s="19" t="s">
        <v>20</v>
      </c>
      <c r="Z29" s="18" t="s">
        <v>20</v>
      </c>
      <c r="AA29" s="28" t="s">
        <v>21</v>
      </c>
      <c r="AB29" s="28" t="s">
        <v>21</v>
      </c>
      <c r="AC29" s="20" t="s">
        <v>20</v>
      </c>
      <c r="AD29" s="29" t="s">
        <v>20</v>
      </c>
      <c r="AE29" s="29" t="s">
        <v>21</v>
      </c>
      <c r="AG29">
        <f>+COUNTIF(F29:AE29,"AD")</f>
        <v>0</v>
      </c>
      <c r="AH29">
        <f>+COUNTIF(F29:AE29,"A")</f>
        <v>16</v>
      </c>
      <c r="AI29">
        <f>+COUNTIF(F29:AE29,"b")</f>
        <v>10</v>
      </c>
      <c r="AJ29">
        <f>+COUNTIF(F29:AE29,"c")</f>
        <v>0</v>
      </c>
      <c r="AL29">
        <f>+$AG$5*AG29</f>
        <v>0</v>
      </c>
      <c r="AM29">
        <f>+$AH$5*AH29</f>
        <v>48</v>
      </c>
      <c r="AN29">
        <f>+$AI$5*AI29</f>
        <v>20</v>
      </c>
      <c r="AO29">
        <f>+$AJ$5*AJ29</f>
        <v>0</v>
      </c>
      <c r="AP29" s="73">
        <f>+SUM(AL29:AO29)</f>
        <v>68</v>
      </c>
    </row>
    <row r="30" spans="1:42" ht="15.75" customHeight="1" x14ac:dyDescent="0.3">
      <c r="A30" s="16"/>
      <c r="B30" s="55">
        <v>7</v>
      </c>
      <c r="C30" s="56" t="s">
        <v>43</v>
      </c>
      <c r="D30" s="55">
        <v>1</v>
      </c>
      <c r="E30" s="55" t="s">
        <v>21</v>
      </c>
      <c r="F30" s="18" t="s">
        <v>21</v>
      </c>
      <c r="G30" s="18" t="s">
        <v>20</v>
      </c>
      <c r="H30" s="18" t="s">
        <v>21</v>
      </c>
      <c r="I30" s="18" t="s">
        <v>21</v>
      </c>
      <c r="J30" s="18" t="s">
        <v>21</v>
      </c>
      <c r="K30" s="18" t="s">
        <v>20</v>
      </c>
      <c r="L30" s="18" t="s">
        <v>21</v>
      </c>
      <c r="M30" s="19" t="s">
        <v>20</v>
      </c>
      <c r="N30" s="19" t="s">
        <v>20</v>
      </c>
      <c r="O30" s="19" t="s">
        <v>20</v>
      </c>
      <c r="P30" s="19" t="s">
        <v>20</v>
      </c>
      <c r="Q30" s="18" t="s">
        <v>21</v>
      </c>
      <c r="R30" s="18" t="s">
        <v>21</v>
      </c>
      <c r="S30" s="19" t="s">
        <v>20</v>
      </c>
      <c r="T30" s="18" t="s">
        <v>20</v>
      </c>
      <c r="U30" s="18" t="s">
        <v>21</v>
      </c>
      <c r="V30" s="18" t="s">
        <v>20</v>
      </c>
      <c r="W30" s="18" t="s">
        <v>20</v>
      </c>
      <c r="X30" s="18" t="s">
        <v>20</v>
      </c>
      <c r="Y30" s="19" t="s">
        <v>20</v>
      </c>
      <c r="Z30" s="19" t="s">
        <v>20</v>
      </c>
      <c r="AA30" s="28" t="s">
        <v>20</v>
      </c>
      <c r="AB30" s="28" t="s">
        <v>21</v>
      </c>
      <c r="AC30" s="20" t="s">
        <v>21</v>
      </c>
      <c r="AD30" s="19" t="s">
        <v>20</v>
      </c>
      <c r="AE30" s="19" t="s">
        <v>21</v>
      </c>
      <c r="AG30">
        <f>+COUNTIF(F30:AE30,"AD")</f>
        <v>0</v>
      </c>
      <c r="AH30">
        <f>+COUNTIF(F30:AE30,"A")</f>
        <v>15</v>
      </c>
      <c r="AI30">
        <f>+COUNTIF(F30:AE30,"b")</f>
        <v>11</v>
      </c>
      <c r="AJ30">
        <f>+COUNTIF(F30:AE30,"c")</f>
        <v>0</v>
      </c>
      <c r="AL30">
        <f>+$AG$5*AG30</f>
        <v>0</v>
      </c>
      <c r="AM30">
        <f>+$AH$5*AH30</f>
        <v>45</v>
      </c>
      <c r="AN30">
        <f>+$AI$5*AI30</f>
        <v>22</v>
      </c>
      <c r="AO30">
        <f>+$AJ$5*AJ30</f>
        <v>0</v>
      </c>
      <c r="AP30" s="73">
        <f>+SUM(AL30:AO30)</f>
        <v>67</v>
      </c>
    </row>
    <row r="31" spans="1:42" ht="15.75" customHeight="1" x14ac:dyDescent="0.3">
      <c r="A31" s="16"/>
      <c r="B31" s="55">
        <v>8</v>
      </c>
      <c r="C31" s="56" t="s">
        <v>46</v>
      </c>
      <c r="D31" s="55">
        <v>1</v>
      </c>
      <c r="E31" s="55" t="s">
        <v>21</v>
      </c>
      <c r="F31" s="18" t="s">
        <v>20</v>
      </c>
      <c r="G31" s="18" t="s">
        <v>20</v>
      </c>
      <c r="H31" s="18" t="s">
        <v>21</v>
      </c>
      <c r="I31" s="18" t="s">
        <v>20</v>
      </c>
      <c r="J31" s="18" t="s">
        <v>21</v>
      </c>
      <c r="K31" s="18" t="s">
        <v>20</v>
      </c>
      <c r="L31" s="18" t="s">
        <v>21</v>
      </c>
      <c r="M31" s="18" t="s">
        <v>20</v>
      </c>
      <c r="N31" s="18" t="s">
        <v>21</v>
      </c>
      <c r="O31" s="18" t="s">
        <v>20</v>
      </c>
      <c r="P31" s="18" t="s">
        <v>21</v>
      </c>
      <c r="Q31" s="18" t="s">
        <v>21</v>
      </c>
      <c r="R31" s="18" t="s">
        <v>21</v>
      </c>
      <c r="S31" s="18" t="s">
        <v>21</v>
      </c>
      <c r="T31" s="18" t="s">
        <v>20</v>
      </c>
      <c r="U31" s="18" t="s">
        <v>21</v>
      </c>
      <c r="V31" s="18" t="s">
        <v>20</v>
      </c>
      <c r="W31" s="18" t="s">
        <v>20</v>
      </c>
      <c r="X31" s="18" t="s">
        <v>20</v>
      </c>
      <c r="Y31" s="19" t="s">
        <v>20</v>
      </c>
      <c r="Z31" s="18" t="s">
        <v>20</v>
      </c>
      <c r="AA31" s="28" t="s">
        <v>20</v>
      </c>
      <c r="AB31" s="28" t="s">
        <v>20</v>
      </c>
      <c r="AC31" s="20" t="s">
        <v>20</v>
      </c>
      <c r="AD31" s="29" t="s">
        <v>21</v>
      </c>
      <c r="AE31" s="29" t="s">
        <v>21</v>
      </c>
      <c r="AG31">
        <f>+COUNTIF(F31:AE31,"AD")</f>
        <v>0</v>
      </c>
      <c r="AH31">
        <f>+COUNTIF(F31:AE31,"A")</f>
        <v>15</v>
      </c>
      <c r="AI31">
        <f>+COUNTIF(F31:AE31,"b")</f>
        <v>11</v>
      </c>
      <c r="AJ31">
        <f>+COUNTIF(F31:AE31,"c")</f>
        <v>0</v>
      </c>
      <c r="AL31">
        <f>+$AG$5*AG31</f>
        <v>0</v>
      </c>
      <c r="AM31">
        <f>+$AH$5*AH31</f>
        <v>45</v>
      </c>
      <c r="AN31">
        <f>+$AI$5*AI31</f>
        <v>22</v>
      </c>
      <c r="AO31">
        <f>+$AJ$5*AJ31</f>
        <v>0</v>
      </c>
      <c r="AP31" s="73">
        <f>+SUM(AL31:AO31)</f>
        <v>67</v>
      </c>
    </row>
    <row r="32" spans="1:42" ht="15.75" customHeight="1" x14ac:dyDescent="0.3">
      <c r="A32" s="16"/>
      <c r="B32" s="55">
        <v>9</v>
      </c>
      <c r="C32" s="56" t="s">
        <v>49</v>
      </c>
      <c r="D32" s="55">
        <v>1</v>
      </c>
      <c r="E32" s="55" t="s">
        <v>21</v>
      </c>
      <c r="F32" s="18" t="s">
        <v>20</v>
      </c>
      <c r="G32" s="18" t="s">
        <v>21</v>
      </c>
      <c r="H32" s="18" t="s">
        <v>21</v>
      </c>
      <c r="I32" s="18" t="s">
        <v>21</v>
      </c>
      <c r="J32" s="18" t="s">
        <v>21</v>
      </c>
      <c r="K32" s="18" t="s">
        <v>21</v>
      </c>
      <c r="L32" s="18" t="s">
        <v>20</v>
      </c>
      <c r="M32" s="18" t="s">
        <v>20</v>
      </c>
      <c r="N32" s="18" t="s">
        <v>20</v>
      </c>
      <c r="O32" s="18" t="s">
        <v>20</v>
      </c>
      <c r="P32" s="18" t="s">
        <v>20</v>
      </c>
      <c r="Q32" s="18" t="s">
        <v>20</v>
      </c>
      <c r="R32" s="18" t="s">
        <v>20</v>
      </c>
      <c r="S32" s="18" t="s">
        <v>20</v>
      </c>
      <c r="T32" s="18" t="s">
        <v>20</v>
      </c>
      <c r="U32" s="18" t="s">
        <v>21</v>
      </c>
      <c r="V32" s="18" t="s">
        <v>20</v>
      </c>
      <c r="W32" s="18" t="s">
        <v>20</v>
      </c>
      <c r="X32" s="18" t="s">
        <v>20</v>
      </c>
      <c r="Y32" s="19" t="s">
        <v>20</v>
      </c>
      <c r="Z32" s="18" t="s">
        <v>20</v>
      </c>
      <c r="AA32" s="28" t="s">
        <v>21</v>
      </c>
      <c r="AB32" s="28" t="s">
        <v>21</v>
      </c>
      <c r="AC32" s="20" t="s">
        <v>21</v>
      </c>
      <c r="AD32" s="29" t="s">
        <v>21</v>
      </c>
      <c r="AE32" s="29" t="s">
        <v>21</v>
      </c>
      <c r="AG32">
        <f>+COUNTIF(F32:AE32,"AD")</f>
        <v>0</v>
      </c>
      <c r="AH32">
        <f>+COUNTIF(F32:AE32,"A")</f>
        <v>15</v>
      </c>
      <c r="AI32">
        <f>+COUNTIF(F32:AE32,"b")</f>
        <v>11</v>
      </c>
      <c r="AJ32">
        <f>+COUNTIF(F32:AE32,"c")</f>
        <v>0</v>
      </c>
      <c r="AL32">
        <f>+$AG$5*AG32</f>
        <v>0</v>
      </c>
      <c r="AM32">
        <f>+$AH$5*AH32</f>
        <v>45</v>
      </c>
      <c r="AN32">
        <f>+$AI$5*AI32</f>
        <v>22</v>
      </c>
      <c r="AO32">
        <f>+$AJ$5*AJ32</f>
        <v>0</v>
      </c>
      <c r="AP32" s="73">
        <f>+SUM(AL32:AO32)</f>
        <v>67</v>
      </c>
    </row>
    <row r="33" spans="1:42" ht="15.75" customHeight="1" x14ac:dyDescent="0.3">
      <c r="A33" s="16"/>
      <c r="B33" s="55">
        <v>10</v>
      </c>
      <c r="C33" s="56" t="s">
        <v>52</v>
      </c>
      <c r="D33" s="55">
        <v>1</v>
      </c>
      <c r="E33" s="55" t="s">
        <v>21</v>
      </c>
      <c r="F33" s="18" t="s">
        <v>20</v>
      </c>
      <c r="G33" s="18" t="s">
        <v>21</v>
      </c>
      <c r="H33" s="18" t="s">
        <v>20</v>
      </c>
      <c r="I33" s="18" t="s">
        <v>21</v>
      </c>
      <c r="J33" s="18" t="s">
        <v>20</v>
      </c>
      <c r="K33" s="18" t="s">
        <v>21</v>
      </c>
      <c r="L33" s="18" t="s">
        <v>21</v>
      </c>
      <c r="M33" s="18" t="s">
        <v>20</v>
      </c>
      <c r="N33" s="18" t="s">
        <v>20</v>
      </c>
      <c r="O33" s="18" t="s">
        <v>20</v>
      </c>
      <c r="P33" s="18" t="s">
        <v>20</v>
      </c>
      <c r="Q33" s="18" t="s">
        <v>20</v>
      </c>
      <c r="R33" s="18" t="s">
        <v>20</v>
      </c>
      <c r="S33" s="18" t="s">
        <v>20</v>
      </c>
      <c r="T33" s="18" t="s">
        <v>20</v>
      </c>
      <c r="U33" s="18" t="s">
        <v>20</v>
      </c>
      <c r="V33" s="18" t="s">
        <v>21</v>
      </c>
      <c r="W33" s="18" t="s">
        <v>20</v>
      </c>
      <c r="X33" s="18" t="s">
        <v>21</v>
      </c>
      <c r="Y33" s="19" t="s">
        <v>21</v>
      </c>
      <c r="Z33" s="18" t="s">
        <v>20</v>
      </c>
      <c r="AA33" s="28" t="s">
        <v>21</v>
      </c>
      <c r="AB33" s="28" t="s">
        <v>21</v>
      </c>
      <c r="AC33" s="20" t="s">
        <v>21</v>
      </c>
      <c r="AD33" s="29" t="s">
        <v>21</v>
      </c>
      <c r="AE33" s="29" t="s">
        <v>21</v>
      </c>
      <c r="AG33">
        <f>+COUNTIF(F33:AE33,"AD")</f>
        <v>0</v>
      </c>
      <c r="AH33">
        <f>+COUNTIF(F33:AE33,"A")</f>
        <v>14</v>
      </c>
      <c r="AI33">
        <f>+COUNTIF(F33:AE33,"b")</f>
        <v>12</v>
      </c>
      <c r="AJ33">
        <f>+COUNTIF(F33:AE33,"c")</f>
        <v>0</v>
      </c>
      <c r="AL33">
        <f>+$AG$5*AG33</f>
        <v>0</v>
      </c>
      <c r="AM33">
        <f>+$AH$5*AH33</f>
        <v>42</v>
      </c>
      <c r="AN33">
        <f>+$AI$5*AI33</f>
        <v>24</v>
      </c>
      <c r="AO33">
        <f>+$AJ$5*AJ33</f>
        <v>0</v>
      </c>
      <c r="AP33" s="73">
        <f>+SUM(AL33:AO33)</f>
        <v>66</v>
      </c>
    </row>
    <row r="34" spans="1:42" ht="15.75" customHeight="1" x14ac:dyDescent="0.3">
      <c r="A34" s="16"/>
      <c r="B34" s="55">
        <v>11</v>
      </c>
      <c r="C34" s="56" t="s">
        <v>59</v>
      </c>
      <c r="D34" s="55">
        <v>1</v>
      </c>
      <c r="E34" s="55" t="s">
        <v>21</v>
      </c>
      <c r="F34" s="18" t="s">
        <v>20</v>
      </c>
      <c r="G34" s="18" t="s">
        <v>21</v>
      </c>
      <c r="H34" s="18" t="s">
        <v>21</v>
      </c>
      <c r="I34" s="18" t="s">
        <v>21</v>
      </c>
      <c r="J34" s="18" t="s">
        <v>21</v>
      </c>
      <c r="K34" s="18" t="s">
        <v>21</v>
      </c>
      <c r="L34" s="18" t="s">
        <v>21</v>
      </c>
      <c r="M34" s="18" t="s">
        <v>20</v>
      </c>
      <c r="N34" s="18" t="s">
        <v>20</v>
      </c>
      <c r="O34" s="18" t="s">
        <v>20</v>
      </c>
      <c r="P34" s="18" t="s">
        <v>20</v>
      </c>
      <c r="Q34" s="18" t="s">
        <v>21</v>
      </c>
      <c r="R34" s="18" t="s">
        <v>20</v>
      </c>
      <c r="S34" s="18" t="s">
        <v>20</v>
      </c>
      <c r="T34" s="18" t="s">
        <v>20</v>
      </c>
      <c r="U34" s="18" t="s">
        <v>21</v>
      </c>
      <c r="V34" s="18" t="s">
        <v>21</v>
      </c>
      <c r="W34" s="18" t="s">
        <v>20</v>
      </c>
      <c r="X34" s="18" t="s">
        <v>20</v>
      </c>
      <c r="Y34" s="19" t="s">
        <v>21</v>
      </c>
      <c r="Z34" s="18" t="s">
        <v>20</v>
      </c>
      <c r="AA34" s="28" t="s">
        <v>20</v>
      </c>
      <c r="AB34" s="28" t="s">
        <v>20</v>
      </c>
      <c r="AC34" s="20" t="s">
        <v>21</v>
      </c>
      <c r="AD34" s="29" t="s">
        <v>20</v>
      </c>
      <c r="AE34" s="29" t="s">
        <v>21</v>
      </c>
      <c r="AG34">
        <f>+COUNTIF(F34:AE34,"AD")</f>
        <v>0</v>
      </c>
      <c r="AH34">
        <f>+COUNTIF(F34:AE34,"A")</f>
        <v>14</v>
      </c>
      <c r="AI34">
        <f>+COUNTIF(F34:AE34,"b")</f>
        <v>12</v>
      </c>
      <c r="AJ34">
        <f>+COUNTIF(F34:AE34,"c")</f>
        <v>0</v>
      </c>
      <c r="AL34">
        <f>+$AG$5*AG34</f>
        <v>0</v>
      </c>
      <c r="AM34">
        <f>+$AH$5*AH34</f>
        <v>42</v>
      </c>
      <c r="AN34">
        <f>+$AI$5*AI34</f>
        <v>24</v>
      </c>
      <c r="AO34">
        <f>+$AJ$5*AJ34</f>
        <v>0</v>
      </c>
      <c r="AP34" s="73">
        <f>+SUM(AL34:AO34)</f>
        <v>66</v>
      </c>
    </row>
    <row r="35" spans="1:42" ht="15.75" customHeight="1" x14ac:dyDescent="0.3">
      <c r="A35" s="16"/>
      <c r="B35" s="55">
        <v>12</v>
      </c>
      <c r="C35" s="56" t="s">
        <v>53</v>
      </c>
      <c r="D35" s="55">
        <v>1</v>
      </c>
      <c r="E35" s="55" t="s">
        <v>21</v>
      </c>
      <c r="F35" s="18" t="s">
        <v>21</v>
      </c>
      <c r="G35" s="18" t="s">
        <v>20</v>
      </c>
      <c r="H35" s="18" t="s">
        <v>21</v>
      </c>
      <c r="I35" s="18" t="s">
        <v>21</v>
      </c>
      <c r="J35" s="18" t="s">
        <v>20</v>
      </c>
      <c r="K35" s="18" t="s">
        <v>21</v>
      </c>
      <c r="L35" s="18" t="s">
        <v>21</v>
      </c>
      <c r="M35" s="18" t="s">
        <v>21</v>
      </c>
      <c r="N35" s="18" t="s">
        <v>20</v>
      </c>
      <c r="O35" s="18" t="s">
        <v>20</v>
      </c>
      <c r="P35" s="18" t="s">
        <v>21</v>
      </c>
      <c r="Q35" s="18" t="s">
        <v>21</v>
      </c>
      <c r="R35" s="18" t="s">
        <v>21</v>
      </c>
      <c r="S35" s="18" t="s">
        <v>21</v>
      </c>
      <c r="T35" s="18" t="s">
        <v>20</v>
      </c>
      <c r="U35" s="18" t="s">
        <v>20</v>
      </c>
      <c r="V35" s="18" t="s">
        <v>20</v>
      </c>
      <c r="W35" s="18" t="s">
        <v>20</v>
      </c>
      <c r="X35" s="18" t="s">
        <v>20</v>
      </c>
      <c r="Y35" s="19" t="s">
        <v>20</v>
      </c>
      <c r="Z35" s="18" t="s">
        <v>20</v>
      </c>
      <c r="AA35" s="28" t="s">
        <v>20</v>
      </c>
      <c r="AB35" s="28" t="s">
        <v>20</v>
      </c>
      <c r="AC35" s="20" t="s">
        <v>21</v>
      </c>
      <c r="AD35" s="29" t="s">
        <v>21</v>
      </c>
      <c r="AE35" s="29" t="s">
        <v>21</v>
      </c>
      <c r="AG35">
        <f>+COUNTIF(F35:AE35,"AD")</f>
        <v>0</v>
      </c>
      <c r="AH35">
        <f>+COUNTIF(F35:AE35,"A")</f>
        <v>13</v>
      </c>
      <c r="AI35">
        <f>+COUNTIF(F35:AE35,"b")</f>
        <v>13</v>
      </c>
      <c r="AJ35">
        <f>+COUNTIF(F35:AE35,"c")</f>
        <v>0</v>
      </c>
      <c r="AL35">
        <f>+$AG$5*AG35</f>
        <v>0</v>
      </c>
      <c r="AM35">
        <f>+$AH$5*AH35</f>
        <v>39</v>
      </c>
      <c r="AN35">
        <f>+$AI$5*AI35</f>
        <v>26</v>
      </c>
      <c r="AO35">
        <f>+$AJ$5*AJ35</f>
        <v>0</v>
      </c>
      <c r="AP35" s="73">
        <f>+SUM(AL35:AO35)</f>
        <v>65</v>
      </c>
    </row>
    <row r="36" spans="1:42" ht="15.75" customHeight="1" x14ac:dyDescent="0.3">
      <c r="A36" s="16"/>
      <c r="B36" s="55">
        <v>13</v>
      </c>
      <c r="C36" s="56" t="s">
        <v>44</v>
      </c>
      <c r="D36" s="55">
        <v>1</v>
      </c>
      <c r="E36" s="55" t="s">
        <v>21</v>
      </c>
      <c r="F36" s="18" t="s">
        <v>20</v>
      </c>
      <c r="G36" s="18" t="s">
        <v>20</v>
      </c>
      <c r="H36" s="18" t="s">
        <v>20</v>
      </c>
      <c r="I36" s="18" t="s">
        <v>20</v>
      </c>
      <c r="J36" s="18" t="s">
        <v>21</v>
      </c>
      <c r="K36" s="18" t="s">
        <v>21</v>
      </c>
      <c r="L36" s="18" t="s">
        <v>21</v>
      </c>
      <c r="M36" s="18" t="s">
        <v>21</v>
      </c>
      <c r="N36" s="18" t="s">
        <v>20</v>
      </c>
      <c r="O36" s="18" t="s">
        <v>20</v>
      </c>
      <c r="P36" s="18" t="s">
        <v>21</v>
      </c>
      <c r="Q36" s="18" t="s">
        <v>21</v>
      </c>
      <c r="R36" s="18" t="s">
        <v>21</v>
      </c>
      <c r="S36" s="18" t="s">
        <v>20</v>
      </c>
      <c r="T36" s="18" t="s">
        <v>20</v>
      </c>
      <c r="U36" s="18" t="s">
        <v>21</v>
      </c>
      <c r="V36" s="18" t="s">
        <v>20</v>
      </c>
      <c r="W36" s="18" t="s">
        <v>20</v>
      </c>
      <c r="X36" s="18" t="s">
        <v>20</v>
      </c>
      <c r="Y36" s="19" t="s">
        <v>21</v>
      </c>
      <c r="Z36" s="18" t="s">
        <v>20</v>
      </c>
      <c r="AA36" s="28" t="s">
        <v>21</v>
      </c>
      <c r="AB36" s="28" t="s">
        <v>21</v>
      </c>
      <c r="AC36" s="20" t="s">
        <v>21</v>
      </c>
      <c r="AD36" s="29" t="s">
        <v>21</v>
      </c>
      <c r="AE36" s="29" t="s">
        <v>21</v>
      </c>
      <c r="AG36">
        <f>+COUNTIF(F36:AE36,"AD")</f>
        <v>0</v>
      </c>
      <c r="AH36">
        <f>+COUNTIF(F36:AE36,"A")</f>
        <v>12</v>
      </c>
      <c r="AI36">
        <f>+COUNTIF(F36:AE36,"b")</f>
        <v>14</v>
      </c>
      <c r="AJ36">
        <f>+COUNTIF(F36:AE36,"c")</f>
        <v>0</v>
      </c>
      <c r="AL36">
        <f>+$AG$5*AG36</f>
        <v>0</v>
      </c>
      <c r="AM36">
        <f>+$AH$5*AH36</f>
        <v>36</v>
      </c>
      <c r="AN36">
        <f>+$AI$5*AI36</f>
        <v>28</v>
      </c>
      <c r="AO36">
        <f>+$AJ$5*AJ36</f>
        <v>0</v>
      </c>
      <c r="AP36" s="73">
        <f>+SUM(AL36:AO36)</f>
        <v>64</v>
      </c>
    </row>
    <row r="37" spans="1:42" ht="15.75" customHeight="1" x14ac:dyDescent="0.3">
      <c r="A37" s="16"/>
      <c r="B37" s="55">
        <v>14</v>
      </c>
      <c r="C37" s="56" t="s">
        <v>48</v>
      </c>
      <c r="D37" s="55">
        <v>1</v>
      </c>
      <c r="E37" s="55" t="s">
        <v>21</v>
      </c>
      <c r="F37" s="18" t="s">
        <v>20</v>
      </c>
      <c r="G37" s="18" t="s">
        <v>21</v>
      </c>
      <c r="H37" s="18" t="s">
        <v>21</v>
      </c>
      <c r="I37" s="18" t="s">
        <v>21</v>
      </c>
      <c r="J37" s="18" t="s">
        <v>20</v>
      </c>
      <c r="K37" s="18" t="s">
        <v>21</v>
      </c>
      <c r="L37" s="18" t="s">
        <v>21</v>
      </c>
      <c r="M37" s="18" t="s">
        <v>20</v>
      </c>
      <c r="N37" s="18" t="s">
        <v>21</v>
      </c>
      <c r="O37" s="18" t="s">
        <v>21</v>
      </c>
      <c r="P37" s="18" t="s">
        <v>21</v>
      </c>
      <c r="Q37" s="18" t="s">
        <v>21</v>
      </c>
      <c r="R37" s="18" t="s">
        <v>21</v>
      </c>
      <c r="S37" s="18" t="s">
        <v>20</v>
      </c>
      <c r="T37" s="18" t="s">
        <v>20</v>
      </c>
      <c r="U37" s="18" t="s">
        <v>20</v>
      </c>
      <c r="V37" s="18" t="s">
        <v>21</v>
      </c>
      <c r="W37" s="18" t="s">
        <v>20</v>
      </c>
      <c r="X37" s="18" t="s">
        <v>21</v>
      </c>
      <c r="Y37" s="19" t="s">
        <v>21</v>
      </c>
      <c r="Z37" s="18" t="s">
        <v>20</v>
      </c>
      <c r="AA37" s="28" t="s">
        <v>20</v>
      </c>
      <c r="AB37" s="28" t="s">
        <v>20</v>
      </c>
      <c r="AC37" s="20" t="s">
        <v>20</v>
      </c>
      <c r="AD37" s="29" t="s">
        <v>20</v>
      </c>
      <c r="AE37" s="29" t="s">
        <v>21</v>
      </c>
      <c r="AG37">
        <f>+COUNTIF(F37:AE37,"AD")</f>
        <v>0</v>
      </c>
      <c r="AH37">
        <f>+COUNTIF(F37:AE37,"A")</f>
        <v>12</v>
      </c>
      <c r="AI37">
        <f>+COUNTIF(F37:AE37,"b")</f>
        <v>14</v>
      </c>
      <c r="AJ37">
        <f>+COUNTIF(F37:AE37,"c")</f>
        <v>0</v>
      </c>
      <c r="AL37">
        <f>+$AG$5*AG37</f>
        <v>0</v>
      </c>
      <c r="AM37">
        <f>+$AH$5*AH37</f>
        <v>36</v>
      </c>
      <c r="AN37">
        <f>+$AI$5*AI37</f>
        <v>28</v>
      </c>
      <c r="AO37">
        <f>+$AJ$5*AJ37</f>
        <v>0</v>
      </c>
      <c r="AP37" s="73">
        <f>+SUM(AL37:AO37)</f>
        <v>64</v>
      </c>
    </row>
    <row r="38" spans="1:42" ht="15.75" customHeight="1" x14ac:dyDescent="0.3">
      <c r="A38" s="16"/>
      <c r="B38" s="55">
        <v>15</v>
      </c>
      <c r="C38" s="56" t="s">
        <v>45</v>
      </c>
      <c r="D38" s="55">
        <v>1</v>
      </c>
      <c r="E38" s="55" t="s">
        <v>21</v>
      </c>
      <c r="F38" s="18" t="s">
        <v>21</v>
      </c>
      <c r="G38" s="18" t="s">
        <v>21</v>
      </c>
      <c r="H38" s="18" t="s">
        <v>20</v>
      </c>
      <c r="I38" s="18" t="s">
        <v>21</v>
      </c>
      <c r="J38" s="18" t="s">
        <v>21</v>
      </c>
      <c r="K38" s="18" t="s">
        <v>21</v>
      </c>
      <c r="L38" s="18" t="s">
        <v>21</v>
      </c>
      <c r="M38" s="18" t="s">
        <v>20</v>
      </c>
      <c r="N38" s="18" t="s">
        <v>21</v>
      </c>
      <c r="O38" s="18" t="s">
        <v>20</v>
      </c>
      <c r="P38" s="18" t="s">
        <v>21</v>
      </c>
      <c r="Q38" s="18" t="s">
        <v>21</v>
      </c>
      <c r="R38" s="18" t="s">
        <v>21</v>
      </c>
      <c r="S38" s="18" t="s">
        <v>20</v>
      </c>
      <c r="T38" s="18" t="s">
        <v>20</v>
      </c>
      <c r="U38" s="18" t="s">
        <v>21</v>
      </c>
      <c r="V38" s="18" t="s">
        <v>20</v>
      </c>
      <c r="W38" s="18" t="s">
        <v>20</v>
      </c>
      <c r="X38" s="18" t="s">
        <v>20</v>
      </c>
      <c r="Y38" s="19" t="s">
        <v>21</v>
      </c>
      <c r="Z38" s="18" t="s">
        <v>20</v>
      </c>
      <c r="AA38" s="28" t="s">
        <v>20</v>
      </c>
      <c r="AB38" s="28" t="s">
        <v>20</v>
      </c>
      <c r="AC38" s="20" t="s">
        <v>21</v>
      </c>
      <c r="AD38" s="29" t="s">
        <v>21</v>
      </c>
      <c r="AE38" s="29" t="s">
        <v>21</v>
      </c>
      <c r="AG38">
        <f>+COUNTIF(F38:AE38,"AD")</f>
        <v>0</v>
      </c>
      <c r="AH38">
        <f>+COUNTIF(F38:AE38,"A")</f>
        <v>11</v>
      </c>
      <c r="AI38">
        <f>+COUNTIF(F38:AE38,"b")</f>
        <v>15</v>
      </c>
      <c r="AJ38">
        <f>+COUNTIF(F38:AE38,"c")</f>
        <v>0</v>
      </c>
      <c r="AL38">
        <f>+$AG$5*AG38</f>
        <v>0</v>
      </c>
      <c r="AM38">
        <f>+$AH$5*AH38</f>
        <v>33</v>
      </c>
      <c r="AN38">
        <f>+$AI$5*AI38</f>
        <v>30</v>
      </c>
      <c r="AO38">
        <f>+$AJ$5*AJ38</f>
        <v>0</v>
      </c>
      <c r="AP38" s="73">
        <f>+SUM(AL38:AO38)</f>
        <v>63</v>
      </c>
    </row>
    <row r="39" spans="1:42" ht="15.75" customHeight="1" x14ac:dyDescent="0.3">
      <c r="A39" s="16"/>
      <c r="B39" s="55">
        <v>16</v>
      </c>
      <c r="C39" s="56" t="s">
        <v>58</v>
      </c>
      <c r="D39" s="55">
        <v>1</v>
      </c>
      <c r="E39" s="55" t="s">
        <v>21</v>
      </c>
      <c r="F39" s="18" t="s">
        <v>21</v>
      </c>
      <c r="G39" s="18" t="s">
        <v>21</v>
      </c>
      <c r="H39" s="18" t="s">
        <v>21</v>
      </c>
      <c r="I39" s="18" t="s">
        <v>21</v>
      </c>
      <c r="J39" s="18" t="s">
        <v>20</v>
      </c>
      <c r="K39" s="18" t="s">
        <v>21</v>
      </c>
      <c r="L39" s="18" t="s">
        <v>21</v>
      </c>
      <c r="M39" s="18" t="s">
        <v>21</v>
      </c>
      <c r="N39" s="18" t="s">
        <v>20</v>
      </c>
      <c r="O39" s="18" t="s">
        <v>20</v>
      </c>
      <c r="P39" s="18" t="s">
        <v>21</v>
      </c>
      <c r="Q39" s="18" t="s">
        <v>21</v>
      </c>
      <c r="R39" s="18" t="s">
        <v>21</v>
      </c>
      <c r="S39" s="18" t="s">
        <v>20</v>
      </c>
      <c r="T39" s="18" t="s">
        <v>21</v>
      </c>
      <c r="U39" s="18" t="s">
        <v>20</v>
      </c>
      <c r="V39" s="18" t="s">
        <v>20</v>
      </c>
      <c r="W39" s="18" t="s">
        <v>20</v>
      </c>
      <c r="X39" s="18" t="s">
        <v>20</v>
      </c>
      <c r="Y39" s="19" t="s">
        <v>21</v>
      </c>
      <c r="Z39" s="18" t="s">
        <v>20</v>
      </c>
      <c r="AA39" s="28" t="s">
        <v>20</v>
      </c>
      <c r="AB39" s="28" t="s">
        <v>20</v>
      </c>
      <c r="AC39" s="20" t="s">
        <v>21</v>
      </c>
      <c r="AD39" s="29" t="s">
        <v>21</v>
      </c>
      <c r="AE39" s="29" t="s">
        <v>21</v>
      </c>
      <c r="AG39">
        <f>+COUNTIF(F39:AE39,"AD")</f>
        <v>0</v>
      </c>
      <c r="AH39">
        <f>+COUNTIF(F39:AE39,"A")</f>
        <v>11</v>
      </c>
      <c r="AI39">
        <f>+COUNTIF(F39:AE39,"b")</f>
        <v>15</v>
      </c>
      <c r="AJ39">
        <f>+COUNTIF(F39:AE39,"c")</f>
        <v>0</v>
      </c>
      <c r="AL39">
        <f>+$AG$5*AG39</f>
        <v>0</v>
      </c>
      <c r="AM39">
        <f>+$AH$5*AH39</f>
        <v>33</v>
      </c>
      <c r="AN39">
        <f>+$AI$5*AI39</f>
        <v>30</v>
      </c>
      <c r="AO39">
        <f>+$AJ$5*AJ39</f>
        <v>0</v>
      </c>
      <c r="AP39" s="73">
        <f>+SUM(AL39:AO39)</f>
        <v>63</v>
      </c>
    </row>
    <row r="40" spans="1:42" ht="15.75" customHeight="1" x14ac:dyDescent="0.3">
      <c r="A40" s="16"/>
      <c r="B40" s="55">
        <v>17</v>
      </c>
      <c r="C40" s="56" t="s">
        <v>61</v>
      </c>
      <c r="D40" s="55">
        <v>1</v>
      </c>
      <c r="E40" s="55" t="s">
        <v>21</v>
      </c>
      <c r="F40" s="18" t="s">
        <v>20</v>
      </c>
      <c r="G40" s="18" t="s">
        <v>21</v>
      </c>
      <c r="H40" s="18" t="s">
        <v>20</v>
      </c>
      <c r="I40" s="18" t="s">
        <v>21</v>
      </c>
      <c r="J40" s="18" t="s">
        <v>21</v>
      </c>
      <c r="K40" s="18" t="s">
        <v>21</v>
      </c>
      <c r="L40" s="18" t="s">
        <v>21</v>
      </c>
      <c r="M40" s="18" t="s">
        <v>20</v>
      </c>
      <c r="N40" s="18" t="s">
        <v>20</v>
      </c>
      <c r="O40" s="18" t="s">
        <v>20</v>
      </c>
      <c r="P40" s="18" t="s">
        <v>21</v>
      </c>
      <c r="Q40" s="18" t="s">
        <v>21</v>
      </c>
      <c r="R40" s="18" t="s">
        <v>21</v>
      </c>
      <c r="S40" s="18" t="s">
        <v>23</v>
      </c>
      <c r="T40" s="18" t="s">
        <v>21</v>
      </c>
      <c r="U40" s="18" t="s">
        <v>21</v>
      </c>
      <c r="V40" s="18" t="s">
        <v>20</v>
      </c>
      <c r="W40" s="18" t="s">
        <v>20</v>
      </c>
      <c r="X40" s="18" t="s">
        <v>20</v>
      </c>
      <c r="Y40" s="19" t="s">
        <v>21</v>
      </c>
      <c r="Z40" s="18" t="s">
        <v>20</v>
      </c>
      <c r="AA40" s="28" t="s">
        <v>20</v>
      </c>
      <c r="AB40" s="28" t="s">
        <v>20</v>
      </c>
      <c r="AC40" s="20" t="s">
        <v>21</v>
      </c>
      <c r="AD40" s="29" t="s">
        <v>21</v>
      </c>
      <c r="AE40" s="29" t="s">
        <v>21</v>
      </c>
      <c r="AG40">
        <f>+COUNTIF(F40:AE40,"AD")</f>
        <v>0</v>
      </c>
      <c r="AH40">
        <f>+COUNTIF(F40:AE40,"A")</f>
        <v>11</v>
      </c>
      <c r="AI40">
        <f>+COUNTIF(F40:AE40,"b")</f>
        <v>14</v>
      </c>
      <c r="AJ40">
        <f>+COUNTIF(F40:AE40,"c")</f>
        <v>1</v>
      </c>
      <c r="AL40">
        <f>+$AG$5*AG40</f>
        <v>0</v>
      </c>
      <c r="AM40">
        <f>+$AH$5*AH40</f>
        <v>33</v>
      </c>
      <c r="AN40">
        <f>+$AI$5*AI40</f>
        <v>28</v>
      </c>
      <c r="AO40">
        <f>+$AJ$5*AJ40</f>
        <v>1</v>
      </c>
      <c r="AP40" s="73">
        <f>+SUM(AL40:AO40)</f>
        <v>62</v>
      </c>
    </row>
    <row r="41" spans="1:42" ht="15.75" customHeight="1" x14ac:dyDescent="0.3">
      <c r="A41" s="16"/>
      <c r="B41" s="55">
        <v>18</v>
      </c>
      <c r="C41" s="56" t="s">
        <v>56</v>
      </c>
      <c r="D41" s="55">
        <v>1</v>
      </c>
      <c r="E41" s="55" t="s">
        <v>21</v>
      </c>
      <c r="F41" s="18" t="s">
        <v>20</v>
      </c>
      <c r="G41" s="18" t="s">
        <v>21</v>
      </c>
      <c r="H41" s="18" t="s">
        <v>21</v>
      </c>
      <c r="I41" s="18" t="s">
        <v>20</v>
      </c>
      <c r="J41" s="18" t="s">
        <v>21</v>
      </c>
      <c r="K41" s="18" t="s">
        <v>21</v>
      </c>
      <c r="L41" s="18" t="s">
        <v>21</v>
      </c>
      <c r="M41" s="18" t="s">
        <v>20</v>
      </c>
      <c r="N41" s="18" t="s">
        <v>20</v>
      </c>
      <c r="O41" s="18" t="s">
        <v>20</v>
      </c>
      <c r="P41" s="18" t="s">
        <v>21</v>
      </c>
      <c r="Q41" s="18" t="s">
        <v>21</v>
      </c>
      <c r="R41" s="18" t="s">
        <v>21</v>
      </c>
      <c r="S41" s="18" t="s">
        <v>23</v>
      </c>
      <c r="T41" s="18" t="s">
        <v>21</v>
      </c>
      <c r="U41" s="18" t="s">
        <v>20</v>
      </c>
      <c r="V41" s="18" t="s">
        <v>20</v>
      </c>
      <c r="W41" s="18" t="s">
        <v>20</v>
      </c>
      <c r="X41" s="18" t="s">
        <v>20</v>
      </c>
      <c r="Y41" s="19" t="s">
        <v>23</v>
      </c>
      <c r="Z41" s="18" t="s">
        <v>21</v>
      </c>
      <c r="AA41" s="28" t="s">
        <v>20</v>
      </c>
      <c r="AB41" s="28" t="s">
        <v>20</v>
      </c>
      <c r="AC41" s="20" t="s">
        <v>21</v>
      </c>
      <c r="AD41" s="29" t="s">
        <v>21</v>
      </c>
      <c r="AE41" s="29" t="s">
        <v>21</v>
      </c>
      <c r="AG41">
        <f>+COUNTIF(F41:AE41,"AD")</f>
        <v>0</v>
      </c>
      <c r="AH41">
        <f>+COUNTIF(F41:AE41,"A")</f>
        <v>11</v>
      </c>
      <c r="AI41">
        <f>+COUNTIF(F41:AE41,"b")</f>
        <v>13</v>
      </c>
      <c r="AJ41">
        <f>+COUNTIF(F41:AE41,"c")</f>
        <v>2</v>
      </c>
      <c r="AL41">
        <f>+$AG$5*AG41</f>
        <v>0</v>
      </c>
      <c r="AM41">
        <f>+$AH$5*AH41</f>
        <v>33</v>
      </c>
      <c r="AN41">
        <f>+$AI$5*AI41</f>
        <v>26</v>
      </c>
      <c r="AO41">
        <f>+$AJ$5*AJ41</f>
        <v>2</v>
      </c>
      <c r="AP41" s="73">
        <f>+SUM(AL41:AO41)</f>
        <v>61</v>
      </c>
    </row>
    <row r="42" spans="1:42" ht="15.75" customHeight="1" x14ac:dyDescent="0.3">
      <c r="A42" s="16"/>
      <c r="B42" s="55">
        <v>19</v>
      </c>
      <c r="C42" s="56" t="s">
        <v>57</v>
      </c>
      <c r="D42" s="55">
        <v>1</v>
      </c>
      <c r="E42" s="55" t="s">
        <v>21</v>
      </c>
      <c r="F42" s="18" t="s">
        <v>20</v>
      </c>
      <c r="G42" s="18" t="s">
        <v>21</v>
      </c>
      <c r="H42" s="18" t="s">
        <v>21</v>
      </c>
      <c r="I42" s="18" t="s">
        <v>21</v>
      </c>
      <c r="J42" s="18" t="s">
        <v>20</v>
      </c>
      <c r="K42" s="18" t="s">
        <v>21</v>
      </c>
      <c r="L42" s="18" t="s">
        <v>21</v>
      </c>
      <c r="M42" s="18" t="s">
        <v>21</v>
      </c>
      <c r="N42" s="18" t="s">
        <v>21</v>
      </c>
      <c r="O42" s="18" t="s">
        <v>20</v>
      </c>
      <c r="P42" s="18" t="s">
        <v>21</v>
      </c>
      <c r="Q42" s="18" t="s">
        <v>21</v>
      </c>
      <c r="R42" s="18" t="s">
        <v>21</v>
      </c>
      <c r="S42" s="18" t="s">
        <v>21</v>
      </c>
      <c r="T42" s="18" t="s">
        <v>21</v>
      </c>
      <c r="U42" s="18" t="s">
        <v>21</v>
      </c>
      <c r="V42" s="18" t="s">
        <v>20</v>
      </c>
      <c r="W42" s="18" t="s">
        <v>20</v>
      </c>
      <c r="X42" s="18" t="s">
        <v>21</v>
      </c>
      <c r="Y42" s="19" t="s">
        <v>20</v>
      </c>
      <c r="Z42" s="18" t="s">
        <v>20</v>
      </c>
      <c r="AA42" s="28" t="s">
        <v>20</v>
      </c>
      <c r="AB42" s="28" t="s">
        <v>20</v>
      </c>
      <c r="AC42" s="20" t="s">
        <v>21</v>
      </c>
      <c r="AD42" s="29" t="s">
        <v>21</v>
      </c>
      <c r="AE42" s="29" t="s">
        <v>21</v>
      </c>
      <c r="AG42">
        <f>+COUNTIF(F42:AE42,"AD")</f>
        <v>0</v>
      </c>
      <c r="AH42">
        <f>+COUNTIF(F42:AE42,"A")</f>
        <v>9</v>
      </c>
      <c r="AI42">
        <f>+COUNTIF(F42:AE42,"b")</f>
        <v>17</v>
      </c>
      <c r="AJ42">
        <f>+COUNTIF(F42:AE42,"c")</f>
        <v>0</v>
      </c>
      <c r="AL42">
        <f>+$AG$5*AG42</f>
        <v>0</v>
      </c>
      <c r="AM42">
        <f>+$AH$5*AH42</f>
        <v>27</v>
      </c>
      <c r="AN42">
        <f>+$AI$5*AI42</f>
        <v>34</v>
      </c>
      <c r="AO42">
        <f>+$AJ$5*AJ42</f>
        <v>0</v>
      </c>
      <c r="AP42" s="73">
        <f>+SUM(AL42:AO42)</f>
        <v>61</v>
      </c>
    </row>
    <row r="43" spans="1:42" ht="15.75" customHeight="1" thickBot="1" x14ac:dyDescent="0.35">
      <c r="A43" s="16"/>
      <c r="B43" s="57">
        <v>20</v>
      </c>
      <c r="C43" s="58" t="s">
        <v>60</v>
      </c>
      <c r="D43" s="57">
        <v>1</v>
      </c>
      <c r="E43" s="57" t="s">
        <v>21</v>
      </c>
      <c r="F43" s="21" t="s">
        <v>20</v>
      </c>
      <c r="G43" s="21" t="s">
        <v>21</v>
      </c>
      <c r="H43" s="21" t="s">
        <v>21</v>
      </c>
      <c r="I43" s="21" t="s">
        <v>21</v>
      </c>
      <c r="J43" s="21" t="s">
        <v>21</v>
      </c>
      <c r="K43" s="21" t="s">
        <v>21</v>
      </c>
      <c r="L43" s="21" t="s">
        <v>21</v>
      </c>
      <c r="M43" s="21" t="s">
        <v>21</v>
      </c>
      <c r="N43" s="21" t="s">
        <v>20</v>
      </c>
      <c r="O43" s="21" t="s">
        <v>20</v>
      </c>
      <c r="P43" s="21" t="s">
        <v>21</v>
      </c>
      <c r="Q43" s="21" t="s">
        <v>21</v>
      </c>
      <c r="R43" s="21" t="s">
        <v>21</v>
      </c>
      <c r="S43" s="21" t="s">
        <v>20</v>
      </c>
      <c r="T43" s="21" t="s">
        <v>21</v>
      </c>
      <c r="U43" s="21" t="s">
        <v>20</v>
      </c>
      <c r="V43" s="21" t="s">
        <v>21</v>
      </c>
      <c r="W43" s="21" t="s">
        <v>20</v>
      </c>
      <c r="X43" s="21" t="s">
        <v>20</v>
      </c>
      <c r="Y43" s="22" t="s">
        <v>20</v>
      </c>
      <c r="Z43" s="21" t="s">
        <v>20</v>
      </c>
      <c r="AA43" s="30" t="s">
        <v>21</v>
      </c>
      <c r="AB43" s="30" t="s">
        <v>23</v>
      </c>
      <c r="AC43" s="23" t="s">
        <v>21</v>
      </c>
      <c r="AD43" s="31" t="s">
        <v>21</v>
      </c>
      <c r="AE43" s="31" t="s">
        <v>21</v>
      </c>
      <c r="AG43">
        <f>+COUNTIF(F43:AE43,"AD")</f>
        <v>0</v>
      </c>
      <c r="AH43">
        <f>+COUNTIF(F43:AE43,"A")</f>
        <v>9</v>
      </c>
      <c r="AI43">
        <f>+COUNTIF(F43:AE43,"b")</f>
        <v>16</v>
      </c>
      <c r="AJ43">
        <f>+COUNTIF(F43:AE43,"c")</f>
        <v>1</v>
      </c>
      <c r="AL43">
        <f>+$AG$5*AG43</f>
        <v>0</v>
      </c>
      <c r="AM43">
        <f>+$AH$5*AH43</f>
        <v>27</v>
      </c>
      <c r="AN43">
        <f>+$AI$5*AI43</f>
        <v>32</v>
      </c>
      <c r="AO43">
        <f>+$AJ$5*AJ43</f>
        <v>1</v>
      </c>
      <c r="AP43" s="73">
        <f>+SUM(AL43:AO43)</f>
        <v>60</v>
      </c>
    </row>
    <row r="44" spans="1:42" ht="15.75" hidden="1" customHeight="1" x14ac:dyDescent="0.3">
      <c r="A44" s="16"/>
      <c r="B44" s="59">
        <v>1</v>
      </c>
      <c r="C44" s="60" t="s">
        <v>62</v>
      </c>
      <c r="D44" s="59">
        <v>2</v>
      </c>
      <c r="E44" s="59" t="s">
        <v>20</v>
      </c>
      <c r="F44" s="24" t="s">
        <v>21</v>
      </c>
      <c r="G44" s="24" t="s">
        <v>23</v>
      </c>
      <c r="H44" s="24" t="s">
        <v>21</v>
      </c>
      <c r="I44" s="24" t="s">
        <v>21</v>
      </c>
      <c r="J44" s="24" t="s">
        <v>21</v>
      </c>
      <c r="K44" s="24" t="s">
        <v>21</v>
      </c>
      <c r="L44" s="24" t="s">
        <v>20</v>
      </c>
      <c r="M44" s="24" t="s">
        <v>20</v>
      </c>
      <c r="N44" s="24" t="s">
        <v>20</v>
      </c>
      <c r="O44" s="24" t="s">
        <v>21</v>
      </c>
      <c r="P44" s="24" t="s">
        <v>21</v>
      </c>
      <c r="Q44" s="24" t="s">
        <v>21</v>
      </c>
      <c r="R44" s="24" t="s">
        <v>21</v>
      </c>
      <c r="S44" s="24" t="s">
        <v>20</v>
      </c>
      <c r="T44" s="24" t="s">
        <v>21</v>
      </c>
      <c r="U44" s="24" t="s">
        <v>20</v>
      </c>
      <c r="V44" s="32" t="s">
        <v>20</v>
      </c>
      <c r="W44" s="32" t="s">
        <v>20</v>
      </c>
      <c r="X44" s="33" t="s">
        <v>20</v>
      </c>
      <c r="Y44" s="25" t="s">
        <v>20</v>
      </c>
      <c r="Z44" s="24" t="s">
        <v>20</v>
      </c>
      <c r="AA44" s="27" t="s">
        <v>21</v>
      </c>
      <c r="AB44" s="27" t="s">
        <v>21</v>
      </c>
      <c r="AC44" s="27" t="s">
        <v>21</v>
      </c>
      <c r="AD44" s="34" t="s">
        <v>21</v>
      </c>
      <c r="AE44" s="34" t="s">
        <v>21</v>
      </c>
      <c r="AG44">
        <f t="shared" si="0"/>
        <v>0</v>
      </c>
      <c r="AH44">
        <f t="shared" si="1"/>
        <v>10</v>
      </c>
      <c r="AI44">
        <f t="shared" si="2"/>
        <v>15</v>
      </c>
      <c r="AJ44">
        <f t="shared" si="3"/>
        <v>1</v>
      </c>
      <c r="AL44">
        <f t="shared" si="4"/>
        <v>0</v>
      </c>
      <c r="AM44">
        <f t="shared" si="5"/>
        <v>30</v>
      </c>
      <c r="AN44">
        <f t="shared" si="6"/>
        <v>30</v>
      </c>
      <c r="AO44">
        <f t="shared" si="7"/>
        <v>1</v>
      </c>
      <c r="AP44">
        <f t="shared" si="8"/>
        <v>61</v>
      </c>
    </row>
    <row r="45" spans="1:42" ht="15.75" hidden="1" customHeight="1" x14ac:dyDescent="0.3">
      <c r="A45" s="16"/>
      <c r="B45" s="55">
        <v>2</v>
      </c>
      <c r="C45" s="56" t="s">
        <v>63</v>
      </c>
      <c r="D45" s="55">
        <v>2</v>
      </c>
      <c r="E45" s="55" t="s">
        <v>20</v>
      </c>
      <c r="F45" s="18" t="s">
        <v>21</v>
      </c>
      <c r="G45" s="18" t="s">
        <v>21</v>
      </c>
      <c r="H45" s="18" t="s">
        <v>23</v>
      </c>
      <c r="I45" s="18" t="s">
        <v>21</v>
      </c>
      <c r="J45" s="18" t="s">
        <v>21</v>
      </c>
      <c r="K45" s="18" t="s">
        <v>23</v>
      </c>
      <c r="L45" s="18" t="s">
        <v>23</v>
      </c>
      <c r="M45" s="18" t="s">
        <v>20</v>
      </c>
      <c r="N45" s="18" t="s">
        <v>20</v>
      </c>
      <c r="O45" s="18" t="s">
        <v>20</v>
      </c>
      <c r="P45" s="18" t="s">
        <v>20</v>
      </c>
      <c r="Q45" s="18" t="s">
        <v>20</v>
      </c>
      <c r="R45" s="18" t="s">
        <v>20</v>
      </c>
      <c r="S45" s="18" t="s">
        <v>21</v>
      </c>
      <c r="T45" s="18" t="s">
        <v>20</v>
      </c>
      <c r="U45" s="18" t="s">
        <v>20</v>
      </c>
      <c r="V45" s="35" t="s">
        <v>20</v>
      </c>
      <c r="W45" s="35" t="s">
        <v>20</v>
      </c>
      <c r="X45" s="36" t="s">
        <v>20</v>
      </c>
      <c r="Y45" s="19" t="s">
        <v>20</v>
      </c>
      <c r="Z45" s="18" t="s">
        <v>20</v>
      </c>
      <c r="AA45" s="20" t="s">
        <v>21</v>
      </c>
      <c r="AB45" s="20" t="s">
        <v>21</v>
      </c>
      <c r="AC45" s="20" t="s">
        <v>21</v>
      </c>
      <c r="AD45" s="29" t="s">
        <v>20</v>
      </c>
      <c r="AE45" s="29" t="s">
        <v>21</v>
      </c>
      <c r="AG45">
        <f t="shared" si="0"/>
        <v>0</v>
      </c>
      <c r="AH45">
        <f t="shared" si="1"/>
        <v>14</v>
      </c>
      <c r="AI45">
        <f t="shared" si="2"/>
        <v>9</v>
      </c>
      <c r="AJ45">
        <f t="shared" si="3"/>
        <v>3</v>
      </c>
      <c r="AL45">
        <f t="shared" si="4"/>
        <v>0</v>
      </c>
      <c r="AM45">
        <f t="shared" si="5"/>
        <v>42</v>
      </c>
      <c r="AN45">
        <f t="shared" si="6"/>
        <v>18</v>
      </c>
      <c r="AO45">
        <f t="shared" si="7"/>
        <v>3</v>
      </c>
      <c r="AP45">
        <f t="shared" si="8"/>
        <v>63</v>
      </c>
    </row>
    <row r="46" spans="1:42" ht="15.75" hidden="1" customHeight="1" x14ac:dyDescent="0.3">
      <c r="A46" s="16"/>
      <c r="B46" s="55">
        <v>3</v>
      </c>
      <c r="C46" s="56" t="s">
        <v>64</v>
      </c>
      <c r="D46" s="55">
        <v>2</v>
      </c>
      <c r="E46" s="55" t="s">
        <v>20</v>
      </c>
      <c r="F46" s="18" t="s">
        <v>21</v>
      </c>
      <c r="G46" s="18" t="s">
        <v>23</v>
      </c>
      <c r="H46" s="18" t="s">
        <v>21</v>
      </c>
      <c r="I46" s="18" t="s">
        <v>21</v>
      </c>
      <c r="J46" s="18" t="s">
        <v>20</v>
      </c>
      <c r="K46" s="18" t="s">
        <v>23</v>
      </c>
      <c r="L46" s="18" t="s">
        <v>21</v>
      </c>
      <c r="M46" s="18" t="s">
        <v>21</v>
      </c>
      <c r="N46" s="18" t="s">
        <v>21</v>
      </c>
      <c r="O46" s="18" t="s">
        <v>23</v>
      </c>
      <c r="P46" s="18" t="s">
        <v>21</v>
      </c>
      <c r="Q46" s="18" t="s">
        <v>20</v>
      </c>
      <c r="R46" s="18" t="s">
        <v>21</v>
      </c>
      <c r="S46" s="18" t="s">
        <v>23</v>
      </c>
      <c r="T46" s="18" t="s">
        <v>21</v>
      </c>
      <c r="U46" s="18" t="s">
        <v>20</v>
      </c>
      <c r="V46" s="35" t="s">
        <v>21</v>
      </c>
      <c r="W46" s="35" t="s">
        <v>21</v>
      </c>
      <c r="X46" s="36" t="s">
        <v>21</v>
      </c>
      <c r="Y46" s="19" t="s">
        <v>21</v>
      </c>
      <c r="Z46" s="18" t="s">
        <v>20</v>
      </c>
      <c r="AA46" s="20" t="s">
        <v>21</v>
      </c>
      <c r="AB46" s="20" t="s">
        <v>21</v>
      </c>
      <c r="AC46" s="20" t="s">
        <v>21</v>
      </c>
      <c r="AD46" s="29" t="s">
        <v>55</v>
      </c>
      <c r="AE46" s="29" t="s">
        <v>55</v>
      </c>
      <c r="AG46">
        <f t="shared" si="0"/>
        <v>0</v>
      </c>
      <c r="AH46">
        <f t="shared" si="1"/>
        <v>4</v>
      </c>
      <c r="AI46">
        <f t="shared" si="2"/>
        <v>16</v>
      </c>
      <c r="AJ46">
        <f t="shared" si="3"/>
        <v>4</v>
      </c>
      <c r="AL46">
        <f t="shared" si="4"/>
        <v>0</v>
      </c>
      <c r="AM46">
        <f t="shared" si="5"/>
        <v>12</v>
      </c>
      <c r="AN46">
        <f t="shared" si="6"/>
        <v>32</v>
      </c>
      <c r="AO46">
        <f t="shared" si="7"/>
        <v>4</v>
      </c>
      <c r="AP46">
        <f t="shared" si="8"/>
        <v>48</v>
      </c>
    </row>
    <row r="47" spans="1:42" ht="15.75" hidden="1" customHeight="1" x14ac:dyDescent="0.3">
      <c r="A47" s="16"/>
      <c r="B47" s="55">
        <v>4</v>
      </c>
      <c r="C47" s="56" t="s">
        <v>65</v>
      </c>
      <c r="D47" s="55">
        <v>2</v>
      </c>
      <c r="E47" s="55" t="s">
        <v>20</v>
      </c>
      <c r="F47" s="18" t="s">
        <v>21</v>
      </c>
      <c r="G47" s="18" t="s">
        <v>23</v>
      </c>
      <c r="H47" s="18" t="s">
        <v>21</v>
      </c>
      <c r="I47" s="18" t="s">
        <v>21</v>
      </c>
      <c r="J47" s="18" t="s">
        <v>21</v>
      </c>
      <c r="K47" s="18" t="s">
        <v>23</v>
      </c>
      <c r="L47" s="18" t="s">
        <v>21</v>
      </c>
      <c r="M47" s="18" t="s">
        <v>21</v>
      </c>
      <c r="N47" s="18" t="s">
        <v>21</v>
      </c>
      <c r="O47" s="18" t="s">
        <v>23</v>
      </c>
      <c r="P47" s="18" t="s">
        <v>23</v>
      </c>
      <c r="Q47" s="18" t="s">
        <v>23</v>
      </c>
      <c r="R47" s="18" t="s">
        <v>21</v>
      </c>
      <c r="S47" s="18" t="s">
        <v>23</v>
      </c>
      <c r="T47" s="18" t="s">
        <v>23</v>
      </c>
      <c r="U47" s="18" t="s">
        <v>20</v>
      </c>
      <c r="V47" s="35" t="s">
        <v>20</v>
      </c>
      <c r="W47" s="35" t="s">
        <v>20</v>
      </c>
      <c r="X47" s="36" t="s">
        <v>20</v>
      </c>
      <c r="Y47" s="19" t="s">
        <v>20</v>
      </c>
      <c r="Z47" s="18" t="s">
        <v>20</v>
      </c>
      <c r="AA47" s="20" t="s">
        <v>21</v>
      </c>
      <c r="AB47" s="20" t="s">
        <v>21</v>
      </c>
      <c r="AC47" s="20" t="s">
        <v>21</v>
      </c>
      <c r="AD47" s="29" t="s">
        <v>21</v>
      </c>
      <c r="AE47" s="29" t="s">
        <v>21</v>
      </c>
      <c r="AG47">
        <f t="shared" si="0"/>
        <v>0</v>
      </c>
      <c r="AH47">
        <f t="shared" si="1"/>
        <v>6</v>
      </c>
      <c r="AI47">
        <f t="shared" si="2"/>
        <v>13</v>
      </c>
      <c r="AJ47">
        <f t="shared" si="3"/>
        <v>7</v>
      </c>
      <c r="AL47">
        <f t="shared" si="4"/>
        <v>0</v>
      </c>
      <c r="AM47">
        <f t="shared" si="5"/>
        <v>18</v>
      </c>
      <c r="AN47">
        <f t="shared" si="6"/>
        <v>26</v>
      </c>
      <c r="AO47">
        <f t="shared" si="7"/>
        <v>7</v>
      </c>
      <c r="AP47">
        <f t="shared" si="8"/>
        <v>51</v>
      </c>
    </row>
    <row r="48" spans="1:42" ht="15.75" hidden="1" customHeight="1" x14ac:dyDescent="0.3">
      <c r="A48" s="16"/>
      <c r="B48" s="55">
        <v>5</v>
      </c>
      <c r="C48" s="56" t="s">
        <v>66</v>
      </c>
      <c r="D48" s="55">
        <v>2</v>
      </c>
      <c r="E48" s="55" t="s">
        <v>20</v>
      </c>
      <c r="F48" s="18" t="s">
        <v>21</v>
      </c>
      <c r="G48" s="18" t="s">
        <v>21</v>
      </c>
      <c r="H48" s="18" t="s">
        <v>21</v>
      </c>
      <c r="I48" s="18" t="s">
        <v>21</v>
      </c>
      <c r="J48" s="18" t="s">
        <v>21</v>
      </c>
      <c r="K48" s="18" t="s">
        <v>21</v>
      </c>
      <c r="L48" s="18" t="s">
        <v>21</v>
      </c>
      <c r="M48" s="18" t="s">
        <v>21</v>
      </c>
      <c r="N48" s="18" t="s">
        <v>21</v>
      </c>
      <c r="O48" s="18" t="s">
        <v>20</v>
      </c>
      <c r="P48" s="18" t="s">
        <v>21</v>
      </c>
      <c r="Q48" s="18" t="s">
        <v>21</v>
      </c>
      <c r="R48" s="18" t="s">
        <v>21</v>
      </c>
      <c r="S48" s="18" t="s">
        <v>20</v>
      </c>
      <c r="T48" s="18" t="s">
        <v>21</v>
      </c>
      <c r="U48" s="18" t="s">
        <v>20</v>
      </c>
      <c r="V48" s="35" t="s">
        <v>20</v>
      </c>
      <c r="W48" s="35" t="s">
        <v>20</v>
      </c>
      <c r="X48" s="36" t="s">
        <v>20</v>
      </c>
      <c r="Y48" s="19" t="s">
        <v>20</v>
      </c>
      <c r="Z48" s="18" t="s">
        <v>20</v>
      </c>
      <c r="AA48" s="20" t="s">
        <v>21</v>
      </c>
      <c r="AB48" s="20" t="s">
        <v>21</v>
      </c>
      <c r="AC48" s="20" t="s">
        <v>23</v>
      </c>
      <c r="AD48" s="29" t="s">
        <v>21</v>
      </c>
      <c r="AE48" s="29" t="s">
        <v>21</v>
      </c>
      <c r="AG48">
        <f t="shared" si="0"/>
        <v>0</v>
      </c>
      <c r="AH48">
        <f t="shared" si="1"/>
        <v>8</v>
      </c>
      <c r="AI48">
        <f t="shared" si="2"/>
        <v>17</v>
      </c>
      <c r="AJ48">
        <f t="shared" si="3"/>
        <v>1</v>
      </c>
      <c r="AL48">
        <f t="shared" si="4"/>
        <v>0</v>
      </c>
      <c r="AM48">
        <f t="shared" si="5"/>
        <v>24</v>
      </c>
      <c r="AN48">
        <f t="shared" si="6"/>
        <v>34</v>
      </c>
      <c r="AO48">
        <f t="shared" si="7"/>
        <v>1</v>
      </c>
      <c r="AP48">
        <f t="shared" si="8"/>
        <v>59</v>
      </c>
    </row>
    <row r="49" spans="1:42" ht="15.75" hidden="1" customHeight="1" x14ac:dyDescent="0.3">
      <c r="A49" s="16"/>
      <c r="B49" s="55">
        <v>6</v>
      </c>
      <c r="C49" s="56" t="s">
        <v>67</v>
      </c>
      <c r="D49" s="55">
        <v>2</v>
      </c>
      <c r="E49" s="55" t="s">
        <v>20</v>
      </c>
      <c r="F49" s="18" t="s">
        <v>20</v>
      </c>
      <c r="G49" s="18" t="s">
        <v>21</v>
      </c>
      <c r="H49" s="18" t="s">
        <v>20</v>
      </c>
      <c r="I49" s="18" t="s">
        <v>20</v>
      </c>
      <c r="J49" s="18" t="s">
        <v>20</v>
      </c>
      <c r="K49" s="18" t="s">
        <v>20</v>
      </c>
      <c r="L49" s="18" t="s">
        <v>20</v>
      </c>
      <c r="M49" s="18" t="s">
        <v>20</v>
      </c>
      <c r="N49" s="18" t="s">
        <v>20</v>
      </c>
      <c r="O49" s="18" t="s">
        <v>20</v>
      </c>
      <c r="P49" s="18" t="s">
        <v>20</v>
      </c>
      <c r="Q49" s="18" t="s">
        <v>20</v>
      </c>
      <c r="R49" s="18" t="s">
        <v>20</v>
      </c>
      <c r="S49" s="18" t="s">
        <v>20</v>
      </c>
      <c r="T49" s="18" t="s">
        <v>20</v>
      </c>
      <c r="U49" s="18" t="s">
        <v>20</v>
      </c>
      <c r="V49" s="37" t="s">
        <v>20</v>
      </c>
      <c r="W49" s="37" t="s">
        <v>20</v>
      </c>
      <c r="X49" s="37" t="s">
        <v>20</v>
      </c>
      <c r="Y49" s="18" t="s">
        <v>20</v>
      </c>
      <c r="Z49" s="18" t="s">
        <v>20</v>
      </c>
      <c r="AA49" s="20" t="s">
        <v>20</v>
      </c>
      <c r="AB49" s="20" t="s">
        <v>20</v>
      </c>
      <c r="AC49" s="20" t="s">
        <v>20</v>
      </c>
      <c r="AD49" s="29" t="s">
        <v>20</v>
      </c>
      <c r="AE49" s="29" t="s">
        <v>21</v>
      </c>
      <c r="AG49">
        <f t="shared" si="0"/>
        <v>0</v>
      </c>
      <c r="AH49">
        <f t="shared" si="1"/>
        <v>24</v>
      </c>
      <c r="AI49">
        <f t="shared" si="2"/>
        <v>2</v>
      </c>
      <c r="AJ49">
        <f t="shared" si="3"/>
        <v>0</v>
      </c>
      <c r="AL49">
        <f t="shared" si="4"/>
        <v>0</v>
      </c>
      <c r="AM49">
        <f t="shared" si="5"/>
        <v>72</v>
      </c>
      <c r="AN49">
        <f t="shared" si="6"/>
        <v>4</v>
      </c>
      <c r="AO49">
        <f t="shared" si="7"/>
        <v>0</v>
      </c>
      <c r="AP49">
        <f t="shared" si="8"/>
        <v>76</v>
      </c>
    </row>
    <row r="50" spans="1:42" ht="15.75" hidden="1" customHeight="1" x14ac:dyDescent="0.3">
      <c r="A50" s="16"/>
      <c r="B50" s="55">
        <v>7</v>
      </c>
      <c r="C50" s="56" t="s">
        <v>68</v>
      </c>
      <c r="D50" s="55">
        <v>2</v>
      </c>
      <c r="E50" s="55" t="s">
        <v>20</v>
      </c>
      <c r="F50" s="18" t="s">
        <v>21</v>
      </c>
      <c r="G50" s="18" t="s">
        <v>21</v>
      </c>
      <c r="H50" s="18" t="s">
        <v>21</v>
      </c>
      <c r="I50" s="18" t="s">
        <v>21</v>
      </c>
      <c r="J50" s="18" t="s">
        <v>20</v>
      </c>
      <c r="K50" s="18" t="s">
        <v>21</v>
      </c>
      <c r="L50" s="18" t="s">
        <v>21</v>
      </c>
      <c r="M50" s="18" t="s">
        <v>21</v>
      </c>
      <c r="N50" s="18" t="s">
        <v>20</v>
      </c>
      <c r="O50" s="18" t="s">
        <v>23</v>
      </c>
      <c r="P50" s="18" t="s">
        <v>21</v>
      </c>
      <c r="Q50" s="18" t="s">
        <v>21</v>
      </c>
      <c r="R50" s="18" t="s">
        <v>21</v>
      </c>
      <c r="S50" s="18" t="s">
        <v>21</v>
      </c>
      <c r="T50" s="18" t="s">
        <v>20</v>
      </c>
      <c r="U50" s="18" t="s">
        <v>20</v>
      </c>
      <c r="V50" s="37" t="s">
        <v>20</v>
      </c>
      <c r="W50" s="37" t="s">
        <v>20</v>
      </c>
      <c r="X50" s="37" t="s">
        <v>20</v>
      </c>
      <c r="Y50" s="18" t="s">
        <v>20</v>
      </c>
      <c r="Z50" s="18" t="s">
        <v>20</v>
      </c>
      <c r="AA50" s="20" t="s">
        <v>20</v>
      </c>
      <c r="AB50" s="20" t="s">
        <v>20</v>
      </c>
      <c r="AC50" s="20" t="s">
        <v>20</v>
      </c>
      <c r="AD50" s="29" t="s">
        <v>21</v>
      </c>
      <c r="AE50" s="29" t="s">
        <v>21</v>
      </c>
      <c r="AG50">
        <f t="shared" si="0"/>
        <v>0</v>
      </c>
      <c r="AH50">
        <f t="shared" si="1"/>
        <v>12</v>
      </c>
      <c r="AI50">
        <f t="shared" si="2"/>
        <v>13</v>
      </c>
      <c r="AJ50">
        <f t="shared" si="3"/>
        <v>1</v>
      </c>
      <c r="AL50">
        <f t="shared" si="4"/>
        <v>0</v>
      </c>
      <c r="AM50">
        <f t="shared" si="5"/>
        <v>36</v>
      </c>
      <c r="AN50">
        <f t="shared" si="6"/>
        <v>26</v>
      </c>
      <c r="AO50">
        <f t="shared" si="7"/>
        <v>1</v>
      </c>
      <c r="AP50">
        <f t="shared" si="8"/>
        <v>63</v>
      </c>
    </row>
    <row r="51" spans="1:42" ht="15.75" hidden="1" customHeight="1" x14ac:dyDescent="0.3">
      <c r="A51" s="16"/>
      <c r="B51" s="55">
        <v>8</v>
      </c>
      <c r="C51" s="56" t="s">
        <v>69</v>
      </c>
      <c r="D51" s="55">
        <v>2</v>
      </c>
      <c r="E51" s="55" t="s">
        <v>20</v>
      </c>
      <c r="F51" s="18" t="s">
        <v>21</v>
      </c>
      <c r="G51" s="18" t="s">
        <v>21</v>
      </c>
      <c r="H51" s="18" t="s">
        <v>21</v>
      </c>
      <c r="I51" s="18" t="s">
        <v>21</v>
      </c>
      <c r="J51" s="18" t="s">
        <v>20</v>
      </c>
      <c r="K51" s="18" t="s">
        <v>20</v>
      </c>
      <c r="L51" s="18" t="s">
        <v>20</v>
      </c>
      <c r="M51" s="18" t="s">
        <v>21</v>
      </c>
      <c r="N51" s="18" t="s">
        <v>20</v>
      </c>
      <c r="O51" s="18" t="s">
        <v>20</v>
      </c>
      <c r="P51" s="18" t="s">
        <v>20</v>
      </c>
      <c r="Q51" s="18" t="s">
        <v>20</v>
      </c>
      <c r="R51" s="18" t="s">
        <v>20</v>
      </c>
      <c r="S51" s="18" t="s">
        <v>20</v>
      </c>
      <c r="T51" s="18" t="s">
        <v>20</v>
      </c>
      <c r="U51" s="18" t="s">
        <v>21</v>
      </c>
      <c r="V51" s="37" t="s">
        <v>20</v>
      </c>
      <c r="W51" s="37" t="s">
        <v>20</v>
      </c>
      <c r="X51" s="37" t="s">
        <v>20</v>
      </c>
      <c r="Y51" s="18" t="s">
        <v>20</v>
      </c>
      <c r="Z51" s="18" t="s">
        <v>20</v>
      </c>
      <c r="AA51" s="20" t="s">
        <v>20</v>
      </c>
      <c r="AB51" s="20" t="s">
        <v>20</v>
      </c>
      <c r="AC51" s="20" t="s">
        <v>20</v>
      </c>
      <c r="AD51" s="29" t="s">
        <v>21</v>
      </c>
      <c r="AE51" s="29" t="s">
        <v>21</v>
      </c>
      <c r="AG51">
        <f t="shared" si="0"/>
        <v>0</v>
      </c>
      <c r="AH51">
        <f t="shared" si="1"/>
        <v>18</v>
      </c>
      <c r="AI51">
        <f t="shared" si="2"/>
        <v>8</v>
      </c>
      <c r="AJ51">
        <f t="shared" si="3"/>
        <v>0</v>
      </c>
      <c r="AL51">
        <f t="shared" si="4"/>
        <v>0</v>
      </c>
      <c r="AM51">
        <f t="shared" si="5"/>
        <v>54</v>
      </c>
      <c r="AN51">
        <f t="shared" si="6"/>
        <v>16</v>
      </c>
      <c r="AO51">
        <f t="shared" si="7"/>
        <v>0</v>
      </c>
      <c r="AP51">
        <f t="shared" si="8"/>
        <v>70</v>
      </c>
    </row>
    <row r="52" spans="1:42" ht="15.75" hidden="1" customHeight="1" x14ac:dyDescent="0.3">
      <c r="A52" s="16"/>
      <c r="B52" s="55">
        <v>9</v>
      </c>
      <c r="C52" s="56" t="s">
        <v>70</v>
      </c>
      <c r="D52" s="55">
        <v>2</v>
      </c>
      <c r="E52" s="55" t="s">
        <v>20</v>
      </c>
      <c r="F52" s="18" t="s">
        <v>21</v>
      </c>
      <c r="G52" s="18" t="s">
        <v>21</v>
      </c>
      <c r="H52" s="18" t="s">
        <v>21</v>
      </c>
      <c r="I52" s="18" t="s">
        <v>21</v>
      </c>
      <c r="J52" s="18" t="s">
        <v>21</v>
      </c>
      <c r="K52" s="18" t="s">
        <v>21</v>
      </c>
      <c r="L52" s="18" t="s">
        <v>21</v>
      </c>
      <c r="M52" s="18" t="s">
        <v>21</v>
      </c>
      <c r="N52" s="18" t="s">
        <v>21</v>
      </c>
      <c r="O52" s="18" t="s">
        <v>23</v>
      </c>
      <c r="P52" s="18" t="s">
        <v>21</v>
      </c>
      <c r="Q52" s="18" t="s">
        <v>21</v>
      </c>
      <c r="R52" s="18" t="s">
        <v>21</v>
      </c>
      <c r="S52" s="18" t="s">
        <v>23</v>
      </c>
      <c r="T52" s="18" t="s">
        <v>23</v>
      </c>
      <c r="U52" s="18" t="s">
        <v>20</v>
      </c>
      <c r="V52" s="37" t="s">
        <v>20</v>
      </c>
      <c r="W52" s="37" t="s">
        <v>20</v>
      </c>
      <c r="X52" s="37" t="s">
        <v>20</v>
      </c>
      <c r="Y52" s="18" t="s">
        <v>21</v>
      </c>
      <c r="Z52" s="18" t="s">
        <v>20</v>
      </c>
      <c r="AA52" s="20" t="s">
        <v>23</v>
      </c>
      <c r="AB52" s="20" t="s">
        <v>21</v>
      </c>
      <c r="AC52" s="20" t="s">
        <v>23</v>
      </c>
      <c r="AD52" s="29" t="s">
        <v>21</v>
      </c>
      <c r="AE52" s="29" t="s">
        <v>21</v>
      </c>
      <c r="AG52">
        <f t="shared" si="0"/>
        <v>0</v>
      </c>
      <c r="AH52">
        <f t="shared" si="1"/>
        <v>5</v>
      </c>
      <c r="AI52">
        <f t="shared" si="2"/>
        <v>16</v>
      </c>
      <c r="AJ52">
        <f t="shared" si="3"/>
        <v>5</v>
      </c>
      <c r="AL52">
        <f t="shared" si="4"/>
        <v>0</v>
      </c>
      <c r="AM52">
        <f t="shared" si="5"/>
        <v>15</v>
      </c>
      <c r="AN52">
        <f t="shared" si="6"/>
        <v>32</v>
      </c>
      <c r="AO52">
        <f t="shared" si="7"/>
        <v>5</v>
      </c>
      <c r="AP52">
        <f t="shared" si="8"/>
        <v>52</v>
      </c>
    </row>
    <row r="53" spans="1:42" ht="15.75" hidden="1" customHeight="1" x14ac:dyDescent="0.3">
      <c r="A53" s="16"/>
      <c r="B53" s="55">
        <v>10</v>
      </c>
      <c r="C53" s="56" t="s">
        <v>71</v>
      </c>
      <c r="D53" s="55">
        <v>2</v>
      </c>
      <c r="E53" s="55" t="s">
        <v>20</v>
      </c>
      <c r="F53" s="18" t="s">
        <v>21</v>
      </c>
      <c r="G53" s="18" t="s">
        <v>21</v>
      </c>
      <c r="H53" s="18" t="s">
        <v>21</v>
      </c>
      <c r="I53" s="18" t="s">
        <v>21</v>
      </c>
      <c r="J53" s="18" t="s">
        <v>20</v>
      </c>
      <c r="K53" s="18" t="s">
        <v>21</v>
      </c>
      <c r="L53" s="18" t="s">
        <v>21</v>
      </c>
      <c r="M53" s="18" t="s">
        <v>21</v>
      </c>
      <c r="N53" s="18" t="s">
        <v>21</v>
      </c>
      <c r="O53" s="18" t="s">
        <v>20</v>
      </c>
      <c r="P53" s="18" t="s">
        <v>21</v>
      </c>
      <c r="Q53" s="18" t="s">
        <v>21</v>
      </c>
      <c r="R53" s="18" t="s">
        <v>21</v>
      </c>
      <c r="S53" s="18" t="s">
        <v>21</v>
      </c>
      <c r="T53" s="18" t="s">
        <v>20</v>
      </c>
      <c r="U53" s="18" t="s">
        <v>20</v>
      </c>
      <c r="V53" s="37" t="s">
        <v>20</v>
      </c>
      <c r="W53" s="37" t="s">
        <v>20</v>
      </c>
      <c r="X53" s="37" t="s">
        <v>20</v>
      </c>
      <c r="Y53" s="18" t="s">
        <v>20</v>
      </c>
      <c r="Z53" s="18" t="s">
        <v>21</v>
      </c>
      <c r="AA53" s="20" t="s">
        <v>20</v>
      </c>
      <c r="AB53" s="20" t="s">
        <v>21</v>
      </c>
      <c r="AC53" s="20" t="s">
        <v>21</v>
      </c>
      <c r="AD53" s="29" t="s">
        <v>21</v>
      </c>
      <c r="AE53" s="29" t="s">
        <v>21</v>
      </c>
      <c r="AG53">
        <f t="shared" si="0"/>
        <v>0</v>
      </c>
      <c r="AH53">
        <f t="shared" si="1"/>
        <v>9</v>
      </c>
      <c r="AI53">
        <f t="shared" si="2"/>
        <v>17</v>
      </c>
      <c r="AJ53">
        <f t="shared" si="3"/>
        <v>0</v>
      </c>
      <c r="AL53">
        <f t="shared" si="4"/>
        <v>0</v>
      </c>
      <c r="AM53">
        <f t="shared" si="5"/>
        <v>27</v>
      </c>
      <c r="AN53">
        <f t="shared" si="6"/>
        <v>34</v>
      </c>
      <c r="AO53">
        <f t="shared" si="7"/>
        <v>0</v>
      </c>
      <c r="AP53">
        <f t="shared" si="8"/>
        <v>61</v>
      </c>
    </row>
    <row r="54" spans="1:42" ht="15.75" hidden="1" customHeight="1" x14ac:dyDescent="0.3">
      <c r="A54" s="16"/>
      <c r="B54" s="55">
        <v>11</v>
      </c>
      <c r="C54" s="56" t="s">
        <v>72</v>
      </c>
      <c r="D54" s="55">
        <v>2</v>
      </c>
      <c r="E54" s="55" t="s">
        <v>20</v>
      </c>
      <c r="F54" s="18" t="s">
        <v>20</v>
      </c>
      <c r="G54" s="18" t="s">
        <v>20</v>
      </c>
      <c r="H54" s="18" t="s">
        <v>20</v>
      </c>
      <c r="I54" s="18" t="s">
        <v>20</v>
      </c>
      <c r="J54" s="18" t="s">
        <v>20</v>
      </c>
      <c r="K54" s="18" t="s">
        <v>20</v>
      </c>
      <c r="L54" s="18" t="s">
        <v>20</v>
      </c>
      <c r="M54" s="18" t="s">
        <v>20</v>
      </c>
      <c r="N54" s="18" t="s">
        <v>20</v>
      </c>
      <c r="O54" s="18" t="s">
        <v>20</v>
      </c>
      <c r="P54" s="18" t="s">
        <v>20</v>
      </c>
      <c r="Q54" s="18" t="s">
        <v>20</v>
      </c>
      <c r="R54" s="18" t="s">
        <v>20</v>
      </c>
      <c r="S54" s="18" t="s">
        <v>20</v>
      </c>
      <c r="T54" s="18" t="s">
        <v>21</v>
      </c>
      <c r="U54" s="18" t="s">
        <v>20</v>
      </c>
      <c r="V54" s="37" t="s">
        <v>21</v>
      </c>
      <c r="W54" s="37" t="s">
        <v>20</v>
      </c>
      <c r="X54" s="37" t="s">
        <v>21</v>
      </c>
      <c r="Y54" s="18" t="s">
        <v>20</v>
      </c>
      <c r="Z54" s="18" t="s">
        <v>20</v>
      </c>
      <c r="AA54" s="20" t="s">
        <v>20</v>
      </c>
      <c r="AB54" s="20" t="s">
        <v>20</v>
      </c>
      <c r="AC54" s="20" t="s">
        <v>20</v>
      </c>
      <c r="AD54" s="29" t="s">
        <v>55</v>
      </c>
      <c r="AE54" s="29" t="s">
        <v>55</v>
      </c>
      <c r="AG54">
        <f t="shared" si="0"/>
        <v>0</v>
      </c>
      <c r="AH54">
        <f t="shared" si="1"/>
        <v>21</v>
      </c>
      <c r="AI54">
        <f t="shared" si="2"/>
        <v>3</v>
      </c>
      <c r="AJ54">
        <f t="shared" si="3"/>
        <v>0</v>
      </c>
      <c r="AL54">
        <f t="shared" si="4"/>
        <v>0</v>
      </c>
      <c r="AM54">
        <f t="shared" si="5"/>
        <v>63</v>
      </c>
      <c r="AN54">
        <f t="shared" si="6"/>
        <v>6</v>
      </c>
      <c r="AO54">
        <f t="shared" si="7"/>
        <v>0</v>
      </c>
      <c r="AP54">
        <f t="shared" si="8"/>
        <v>69</v>
      </c>
    </row>
    <row r="55" spans="1:42" ht="15.75" hidden="1" customHeight="1" x14ac:dyDescent="0.3">
      <c r="A55" s="16"/>
      <c r="B55" s="55">
        <v>12</v>
      </c>
      <c r="C55" s="56" t="s">
        <v>73</v>
      </c>
      <c r="D55" s="55">
        <v>2</v>
      </c>
      <c r="E55" s="55" t="s">
        <v>20</v>
      </c>
      <c r="F55" s="18" t="s">
        <v>20</v>
      </c>
      <c r="G55" s="18" t="s">
        <v>21</v>
      </c>
      <c r="H55" s="18" t="s">
        <v>21</v>
      </c>
      <c r="I55" s="18" t="s">
        <v>21</v>
      </c>
      <c r="J55" s="18" t="s">
        <v>21</v>
      </c>
      <c r="K55" s="18" t="s">
        <v>21</v>
      </c>
      <c r="L55" s="18" t="s">
        <v>21</v>
      </c>
      <c r="M55" s="18" t="s">
        <v>21</v>
      </c>
      <c r="N55" s="18" t="s">
        <v>21</v>
      </c>
      <c r="O55" s="18" t="s">
        <v>23</v>
      </c>
      <c r="P55" s="18" t="s">
        <v>23</v>
      </c>
      <c r="Q55" s="18" t="s">
        <v>23</v>
      </c>
      <c r="R55" s="18" t="s">
        <v>21</v>
      </c>
      <c r="S55" s="18" t="s">
        <v>23</v>
      </c>
      <c r="T55" s="18" t="s">
        <v>23</v>
      </c>
      <c r="U55" s="18" t="s">
        <v>21</v>
      </c>
      <c r="V55" s="37" t="s">
        <v>21</v>
      </c>
      <c r="W55" s="37" t="s">
        <v>21</v>
      </c>
      <c r="X55" s="37" t="s">
        <v>21</v>
      </c>
      <c r="Y55" s="18" t="s">
        <v>21</v>
      </c>
      <c r="Z55" s="18" t="s">
        <v>21</v>
      </c>
      <c r="AA55" s="20" t="s">
        <v>23</v>
      </c>
      <c r="AB55" s="20" t="s">
        <v>21</v>
      </c>
      <c r="AC55" s="20" t="s">
        <v>23</v>
      </c>
      <c r="AD55" s="29" t="s">
        <v>23</v>
      </c>
      <c r="AE55" s="29" t="s">
        <v>21</v>
      </c>
      <c r="AG55">
        <f t="shared" si="0"/>
        <v>0</v>
      </c>
      <c r="AH55">
        <f t="shared" si="1"/>
        <v>1</v>
      </c>
      <c r="AI55">
        <f t="shared" si="2"/>
        <v>17</v>
      </c>
      <c r="AJ55">
        <f t="shared" si="3"/>
        <v>8</v>
      </c>
      <c r="AL55">
        <f t="shared" si="4"/>
        <v>0</v>
      </c>
      <c r="AM55">
        <f t="shared" si="5"/>
        <v>3</v>
      </c>
      <c r="AN55">
        <f t="shared" si="6"/>
        <v>34</v>
      </c>
      <c r="AO55">
        <f t="shared" si="7"/>
        <v>8</v>
      </c>
      <c r="AP55">
        <f t="shared" si="8"/>
        <v>45</v>
      </c>
    </row>
    <row r="56" spans="1:42" ht="15.75" hidden="1" customHeight="1" x14ac:dyDescent="0.3">
      <c r="A56" s="16"/>
      <c r="B56" s="55">
        <v>13</v>
      </c>
      <c r="C56" s="56" t="s">
        <v>74</v>
      </c>
      <c r="D56" s="55">
        <v>2</v>
      </c>
      <c r="E56" s="55" t="s">
        <v>20</v>
      </c>
      <c r="F56" s="18" t="s">
        <v>21</v>
      </c>
      <c r="G56" s="18" t="s">
        <v>21</v>
      </c>
      <c r="H56" s="18" t="s">
        <v>21</v>
      </c>
      <c r="I56" s="18" t="s">
        <v>21</v>
      </c>
      <c r="J56" s="18" t="s">
        <v>21</v>
      </c>
      <c r="K56" s="18" t="s">
        <v>23</v>
      </c>
      <c r="L56" s="18" t="s">
        <v>21</v>
      </c>
      <c r="M56" s="18" t="s">
        <v>21</v>
      </c>
      <c r="N56" s="18" t="s">
        <v>21</v>
      </c>
      <c r="O56" s="18" t="s">
        <v>23</v>
      </c>
      <c r="P56" s="18" t="s">
        <v>23</v>
      </c>
      <c r="Q56" s="18" t="s">
        <v>23</v>
      </c>
      <c r="R56" s="18" t="s">
        <v>23</v>
      </c>
      <c r="S56" s="18" t="s">
        <v>23</v>
      </c>
      <c r="T56" s="18" t="s">
        <v>23</v>
      </c>
      <c r="U56" s="18" t="s">
        <v>21</v>
      </c>
      <c r="V56" s="37" t="s">
        <v>20</v>
      </c>
      <c r="W56" s="37" t="s">
        <v>20</v>
      </c>
      <c r="X56" s="37" t="s">
        <v>20</v>
      </c>
      <c r="Y56" s="18" t="s">
        <v>21</v>
      </c>
      <c r="Z56" s="18" t="s">
        <v>21</v>
      </c>
      <c r="AA56" s="20" t="s">
        <v>21</v>
      </c>
      <c r="AB56" s="20" t="s">
        <v>23</v>
      </c>
      <c r="AC56" s="20" t="s">
        <v>23</v>
      </c>
      <c r="AD56" s="29" t="s">
        <v>23</v>
      </c>
      <c r="AE56" s="29" t="s">
        <v>21</v>
      </c>
      <c r="AG56">
        <f t="shared" si="0"/>
        <v>0</v>
      </c>
      <c r="AH56">
        <f t="shared" si="1"/>
        <v>3</v>
      </c>
      <c r="AI56">
        <f t="shared" si="2"/>
        <v>13</v>
      </c>
      <c r="AJ56">
        <f t="shared" si="3"/>
        <v>10</v>
      </c>
      <c r="AL56">
        <f t="shared" si="4"/>
        <v>0</v>
      </c>
      <c r="AM56">
        <f t="shared" si="5"/>
        <v>9</v>
      </c>
      <c r="AN56">
        <f t="shared" si="6"/>
        <v>26</v>
      </c>
      <c r="AO56">
        <f t="shared" si="7"/>
        <v>10</v>
      </c>
      <c r="AP56">
        <f t="shared" si="8"/>
        <v>45</v>
      </c>
    </row>
    <row r="57" spans="1:42" ht="15.75" hidden="1" customHeight="1" x14ac:dyDescent="0.3">
      <c r="A57" s="16"/>
      <c r="B57" s="55">
        <v>14</v>
      </c>
      <c r="C57" s="56" t="s">
        <v>75</v>
      </c>
      <c r="D57" s="55">
        <v>2</v>
      </c>
      <c r="E57" s="55" t="s">
        <v>20</v>
      </c>
      <c r="F57" s="18" t="s">
        <v>20</v>
      </c>
      <c r="G57" s="18" t="s">
        <v>21</v>
      </c>
      <c r="H57" s="18" t="s">
        <v>21</v>
      </c>
      <c r="I57" s="18" t="s">
        <v>21</v>
      </c>
      <c r="J57" s="18" t="s">
        <v>21</v>
      </c>
      <c r="K57" s="18" t="s">
        <v>23</v>
      </c>
      <c r="L57" s="18" t="s">
        <v>20</v>
      </c>
      <c r="M57" s="18" t="s">
        <v>21</v>
      </c>
      <c r="N57" s="18" t="s">
        <v>21</v>
      </c>
      <c r="O57" s="18" t="s">
        <v>23</v>
      </c>
      <c r="P57" s="18" t="s">
        <v>20</v>
      </c>
      <c r="Q57" s="18" t="s">
        <v>20</v>
      </c>
      <c r="R57" s="18" t="s">
        <v>21</v>
      </c>
      <c r="S57" s="18" t="s">
        <v>21</v>
      </c>
      <c r="T57" s="18" t="s">
        <v>23</v>
      </c>
      <c r="U57" s="18" t="s">
        <v>21</v>
      </c>
      <c r="V57" s="37" t="s">
        <v>21</v>
      </c>
      <c r="W57" s="37" t="s">
        <v>20</v>
      </c>
      <c r="X57" s="37" t="s">
        <v>21</v>
      </c>
      <c r="Y57" s="18" t="s">
        <v>21</v>
      </c>
      <c r="Z57" s="18" t="s">
        <v>20</v>
      </c>
      <c r="AA57" s="20" t="s">
        <v>23</v>
      </c>
      <c r="AB57" s="20" t="s">
        <v>21</v>
      </c>
      <c r="AC57" s="20" t="s">
        <v>21</v>
      </c>
      <c r="AD57" s="29" t="s">
        <v>23</v>
      </c>
      <c r="AE57" s="29" t="s">
        <v>21</v>
      </c>
      <c r="AG57">
        <f t="shared" si="0"/>
        <v>0</v>
      </c>
      <c r="AH57">
        <f t="shared" si="1"/>
        <v>6</v>
      </c>
      <c r="AI57">
        <f t="shared" si="2"/>
        <v>15</v>
      </c>
      <c r="AJ57">
        <f t="shared" si="3"/>
        <v>5</v>
      </c>
      <c r="AL57">
        <f t="shared" si="4"/>
        <v>0</v>
      </c>
      <c r="AM57">
        <f t="shared" si="5"/>
        <v>18</v>
      </c>
      <c r="AN57">
        <f t="shared" si="6"/>
        <v>30</v>
      </c>
      <c r="AO57">
        <f t="shared" si="7"/>
        <v>5</v>
      </c>
      <c r="AP57">
        <f t="shared" si="8"/>
        <v>53</v>
      </c>
    </row>
    <row r="58" spans="1:42" ht="15.75" hidden="1" customHeight="1" x14ac:dyDescent="0.3">
      <c r="A58" s="16"/>
      <c r="B58" s="55">
        <v>15</v>
      </c>
      <c r="C58" s="56" t="s">
        <v>76</v>
      </c>
      <c r="D58" s="55">
        <v>2</v>
      </c>
      <c r="E58" s="55" t="s">
        <v>20</v>
      </c>
      <c r="F58" s="18" t="s">
        <v>20</v>
      </c>
      <c r="G58" s="18" t="s">
        <v>21</v>
      </c>
      <c r="H58" s="18" t="s">
        <v>21</v>
      </c>
      <c r="I58" s="18" t="s">
        <v>21</v>
      </c>
      <c r="J58" s="18" t="s">
        <v>20</v>
      </c>
      <c r="K58" s="18" t="s">
        <v>21</v>
      </c>
      <c r="L58" s="18" t="s">
        <v>21</v>
      </c>
      <c r="M58" s="18" t="s">
        <v>21</v>
      </c>
      <c r="N58" s="18" t="s">
        <v>21</v>
      </c>
      <c r="O58" s="18" t="s">
        <v>20</v>
      </c>
      <c r="P58" s="18" t="s">
        <v>21</v>
      </c>
      <c r="Q58" s="18" t="s">
        <v>21</v>
      </c>
      <c r="R58" s="18" t="s">
        <v>21</v>
      </c>
      <c r="S58" s="18" t="s">
        <v>20</v>
      </c>
      <c r="T58" s="18" t="s">
        <v>21</v>
      </c>
      <c r="U58" s="18" t="s">
        <v>21</v>
      </c>
      <c r="V58" s="37" t="s">
        <v>21</v>
      </c>
      <c r="W58" s="37" t="s">
        <v>20</v>
      </c>
      <c r="X58" s="37" t="s">
        <v>20</v>
      </c>
      <c r="Y58" s="18" t="s">
        <v>21</v>
      </c>
      <c r="Z58" s="18" t="s">
        <v>21</v>
      </c>
      <c r="AA58" s="20" t="s">
        <v>21</v>
      </c>
      <c r="AB58" s="20" t="s">
        <v>21</v>
      </c>
      <c r="AC58" s="20" t="s">
        <v>21</v>
      </c>
      <c r="AD58" s="29" t="s">
        <v>23</v>
      </c>
      <c r="AE58" s="29" t="s">
        <v>21</v>
      </c>
      <c r="AG58">
        <f t="shared" si="0"/>
        <v>0</v>
      </c>
      <c r="AH58">
        <f t="shared" si="1"/>
        <v>6</v>
      </c>
      <c r="AI58">
        <f t="shared" si="2"/>
        <v>19</v>
      </c>
      <c r="AJ58">
        <f t="shared" si="3"/>
        <v>1</v>
      </c>
      <c r="AL58">
        <f t="shared" si="4"/>
        <v>0</v>
      </c>
      <c r="AM58">
        <f t="shared" si="5"/>
        <v>18</v>
      </c>
      <c r="AN58">
        <f t="shared" si="6"/>
        <v>38</v>
      </c>
      <c r="AO58">
        <f t="shared" si="7"/>
        <v>1</v>
      </c>
      <c r="AP58">
        <f t="shared" si="8"/>
        <v>57</v>
      </c>
    </row>
    <row r="59" spans="1:42" ht="15.75" hidden="1" customHeight="1" x14ac:dyDescent="0.3">
      <c r="A59" s="16"/>
      <c r="B59" s="55">
        <v>16</v>
      </c>
      <c r="C59" s="56" t="s">
        <v>77</v>
      </c>
      <c r="D59" s="55">
        <v>2</v>
      </c>
      <c r="E59" s="55" t="s">
        <v>20</v>
      </c>
      <c r="F59" s="18" t="s">
        <v>21</v>
      </c>
      <c r="G59" s="18" t="s">
        <v>21</v>
      </c>
      <c r="H59" s="18" t="s">
        <v>21</v>
      </c>
      <c r="I59" s="18" t="s">
        <v>21</v>
      </c>
      <c r="J59" s="18" t="s">
        <v>21</v>
      </c>
      <c r="K59" s="18" t="s">
        <v>21</v>
      </c>
      <c r="L59" s="18" t="s">
        <v>21</v>
      </c>
      <c r="M59" s="18" t="s">
        <v>20</v>
      </c>
      <c r="N59" s="18" t="s">
        <v>20</v>
      </c>
      <c r="O59" s="18" t="s">
        <v>20</v>
      </c>
      <c r="P59" s="18" t="s">
        <v>21</v>
      </c>
      <c r="Q59" s="18" t="s">
        <v>21</v>
      </c>
      <c r="R59" s="18" t="s">
        <v>21</v>
      </c>
      <c r="S59" s="18" t="s">
        <v>20</v>
      </c>
      <c r="T59" s="18" t="s">
        <v>20</v>
      </c>
      <c r="U59" s="18" t="s">
        <v>21</v>
      </c>
      <c r="V59" s="37" t="s">
        <v>20</v>
      </c>
      <c r="W59" s="37" t="s">
        <v>20</v>
      </c>
      <c r="X59" s="37" t="s">
        <v>20</v>
      </c>
      <c r="Y59" s="18" t="s">
        <v>20</v>
      </c>
      <c r="Z59" s="18" t="s">
        <v>20</v>
      </c>
      <c r="AA59" s="20" t="s">
        <v>21</v>
      </c>
      <c r="AB59" s="20" t="s">
        <v>21</v>
      </c>
      <c r="AC59" s="20" t="s">
        <v>21</v>
      </c>
      <c r="AD59" s="29" t="s">
        <v>21</v>
      </c>
      <c r="AE59" s="29" t="s">
        <v>21</v>
      </c>
      <c r="AG59">
        <f t="shared" si="0"/>
        <v>0</v>
      </c>
      <c r="AH59">
        <f t="shared" si="1"/>
        <v>10</v>
      </c>
      <c r="AI59">
        <f t="shared" si="2"/>
        <v>16</v>
      </c>
      <c r="AJ59">
        <f t="shared" si="3"/>
        <v>0</v>
      </c>
      <c r="AL59">
        <f t="shared" si="4"/>
        <v>0</v>
      </c>
      <c r="AM59">
        <f t="shared" si="5"/>
        <v>30</v>
      </c>
      <c r="AN59">
        <f t="shared" si="6"/>
        <v>32</v>
      </c>
      <c r="AO59">
        <f t="shared" si="7"/>
        <v>0</v>
      </c>
      <c r="AP59">
        <f t="shared" si="8"/>
        <v>62</v>
      </c>
    </row>
    <row r="60" spans="1:42" ht="15.75" hidden="1" customHeight="1" x14ac:dyDescent="0.3">
      <c r="A60" s="16"/>
      <c r="B60" s="55">
        <v>17</v>
      </c>
      <c r="C60" s="56" t="s">
        <v>78</v>
      </c>
      <c r="D60" s="55">
        <v>2</v>
      </c>
      <c r="E60" s="55" t="s">
        <v>20</v>
      </c>
      <c r="F60" s="18" t="s">
        <v>21</v>
      </c>
      <c r="G60" s="18" t="s">
        <v>21</v>
      </c>
      <c r="H60" s="18" t="s">
        <v>21</v>
      </c>
      <c r="I60" s="18" t="s">
        <v>21</v>
      </c>
      <c r="J60" s="18" t="s">
        <v>23</v>
      </c>
      <c r="K60" s="18" t="s">
        <v>21</v>
      </c>
      <c r="L60" s="18" t="s">
        <v>21</v>
      </c>
      <c r="M60" s="18" t="s">
        <v>21</v>
      </c>
      <c r="N60" s="18" t="s">
        <v>21</v>
      </c>
      <c r="O60" s="18" t="s">
        <v>20</v>
      </c>
      <c r="P60" s="18" t="s">
        <v>21</v>
      </c>
      <c r="Q60" s="18" t="s">
        <v>21</v>
      </c>
      <c r="R60" s="18" t="s">
        <v>21</v>
      </c>
      <c r="S60" s="18" t="s">
        <v>21</v>
      </c>
      <c r="T60" s="18" t="s">
        <v>21</v>
      </c>
      <c r="U60" s="18" t="s">
        <v>21</v>
      </c>
      <c r="V60" s="37" t="s">
        <v>20</v>
      </c>
      <c r="W60" s="37" t="s">
        <v>20</v>
      </c>
      <c r="X60" s="37" t="s">
        <v>20</v>
      </c>
      <c r="Y60" s="18" t="s">
        <v>20</v>
      </c>
      <c r="Z60" s="18" t="s">
        <v>20</v>
      </c>
      <c r="AA60" s="20" t="s">
        <v>23</v>
      </c>
      <c r="AB60" s="20" t="s">
        <v>23</v>
      </c>
      <c r="AC60" s="20" t="s">
        <v>21</v>
      </c>
      <c r="AD60" s="29" t="s">
        <v>21</v>
      </c>
      <c r="AE60" s="29" t="s">
        <v>21</v>
      </c>
      <c r="AG60">
        <f t="shared" si="0"/>
        <v>0</v>
      </c>
      <c r="AH60">
        <f t="shared" si="1"/>
        <v>6</v>
      </c>
      <c r="AI60">
        <f t="shared" si="2"/>
        <v>17</v>
      </c>
      <c r="AJ60">
        <f t="shared" si="3"/>
        <v>3</v>
      </c>
      <c r="AL60">
        <f t="shared" si="4"/>
        <v>0</v>
      </c>
      <c r="AM60">
        <f t="shared" si="5"/>
        <v>18</v>
      </c>
      <c r="AN60">
        <f t="shared" si="6"/>
        <v>34</v>
      </c>
      <c r="AO60">
        <f t="shared" si="7"/>
        <v>3</v>
      </c>
      <c r="AP60">
        <f t="shared" si="8"/>
        <v>55</v>
      </c>
    </row>
    <row r="61" spans="1:42" ht="15.75" hidden="1" customHeight="1" x14ac:dyDescent="0.3">
      <c r="A61" s="16"/>
      <c r="B61" s="55">
        <v>18</v>
      </c>
      <c r="C61" s="56" t="s">
        <v>79</v>
      </c>
      <c r="D61" s="55">
        <v>2</v>
      </c>
      <c r="E61" s="55" t="s">
        <v>20</v>
      </c>
      <c r="F61" s="18" t="s">
        <v>20</v>
      </c>
      <c r="G61" s="18" t="s">
        <v>20</v>
      </c>
      <c r="H61" s="18" t="s">
        <v>20</v>
      </c>
      <c r="I61" s="18" t="s">
        <v>20</v>
      </c>
      <c r="J61" s="18" t="s">
        <v>20</v>
      </c>
      <c r="K61" s="18" t="s">
        <v>20</v>
      </c>
      <c r="L61" s="18" t="s">
        <v>20</v>
      </c>
      <c r="M61" s="18" t="s">
        <v>20</v>
      </c>
      <c r="N61" s="18" t="s">
        <v>20</v>
      </c>
      <c r="O61" s="18" t="s">
        <v>20</v>
      </c>
      <c r="P61" s="18" t="s">
        <v>20</v>
      </c>
      <c r="Q61" s="18" t="s">
        <v>20</v>
      </c>
      <c r="R61" s="18" t="s">
        <v>20</v>
      </c>
      <c r="S61" s="18" t="s">
        <v>20</v>
      </c>
      <c r="T61" s="18" t="s">
        <v>20</v>
      </c>
      <c r="U61" s="18" t="s">
        <v>20</v>
      </c>
      <c r="V61" s="37" t="s">
        <v>20</v>
      </c>
      <c r="W61" s="37" t="s">
        <v>20</v>
      </c>
      <c r="X61" s="37" t="s">
        <v>20</v>
      </c>
      <c r="Y61" s="18" t="s">
        <v>39</v>
      </c>
      <c r="Z61" s="18" t="s">
        <v>39</v>
      </c>
      <c r="AA61" s="20" t="s">
        <v>20</v>
      </c>
      <c r="AB61" s="20" t="s">
        <v>20</v>
      </c>
      <c r="AC61" s="20" t="s">
        <v>20</v>
      </c>
      <c r="AD61" s="29" t="s">
        <v>20</v>
      </c>
      <c r="AE61" s="29" t="s">
        <v>21</v>
      </c>
      <c r="AG61">
        <f t="shared" si="0"/>
        <v>2</v>
      </c>
      <c r="AH61">
        <f t="shared" si="1"/>
        <v>23</v>
      </c>
      <c r="AI61">
        <f t="shared" si="2"/>
        <v>1</v>
      </c>
      <c r="AJ61">
        <f t="shared" si="3"/>
        <v>0</v>
      </c>
      <c r="AL61">
        <f t="shared" si="4"/>
        <v>8</v>
      </c>
      <c r="AM61">
        <f t="shared" si="5"/>
        <v>69</v>
      </c>
      <c r="AN61">
        <f t="shared" si="6"/>
        <v>2</v>
      </c>
      <c r="AO61">
        <f t="shared" si="7"/>
        <v>0</v>
      </c>
      <c r="AP61">
        <f t="shared" si="8"/>
        <v>79</v>
      </c>
    </row>
    <row r="62" spans="1:42" ht="15.75" hidden="1" customHeight="1" x14ac:dyDescent="0.3">
      <c r="A62" s="16"/>
      <c r="B62" s="55">
        <v>19</v>
      </c>
      <c r="C62" s="56" t="s">
        <v>80</v>
      </c>
      <c r="D62" s="55">
        <v>2</v>
      </c>
      <c r="E62" s="55" t="s">
        <v>20</v>
      </c>
      <c r="F62" s="18" t="s">
        <v>21</v>
      </c>
      <c r="G62" s="18" t="s">
        <v>20</v>
      </c>
      <c r="H62" s="18" t="s">
        <v>21</v>
      </c>
      <c r="I62" s="18" t="s">
        <v>21</v>
      </c>
      <c r="J62" s="18" t="s">
        <v>21</v>
      </c>
      <c r="K62" s="18" t="s">
        <v>23</v>
      </c>
      <c r="L62" s="18" t="s">
        <v>23</v>
      </c>
      <c r="M62" s="18" t="s">
        <v>21</v>
      </c>
      <c r="N62" s="18" t="s">
        <v>21</v>
      </c>
      <c r="O62" s="18" t="s">
        <v>20</v>
      </c>
      <c r="P62" s="18" t="s">
        <v>21</v>
      </c>
      <c r="Q62" s="18" t="s">
        <v>21</v>
      </c>
      <c r="R62" s="18" t="s">
        <v>23</v>
      </c>
      <c r="S62" s="18" t="s">
        <v>21</v>
      </c>
      <c r="T62" s="18" t="s">
        <v>21</v>
      </c>
      <c r="U62" s="18" t="s">
        <v>21</v>
      </c>
      <c r="V62" s="37" t="s">
        <v>21</v>
      </c>
      <c r="W62" s="37" t="s">
        <v>20</v>
      </c>
      <c r="X62" s="37" t="s">
        <v>20</v>
      </c>
      <c r="Y62" s="18" t="s">
        <v>20</v>
      </c>
      <c r="Z62" s="18" t="s">
        <v>20</v>
      </c>
      <c r="AA62" s="20" t="s">
        <v>23</v>
      </c>
      <c r="AB62" s="20" t="s">
        <v>21</v>
      </c>
      <c r="AC62" s="20" t="s">
        <v>21</v>
      </c>
      <c r="AD62" s="29" t="s">
        <v>23</v>
      </c>
      <c r="AE62" s="29" t="s">
        <v>21</v>
      </c>
      <c r="AG62">
        <f t="shared" si="0"/>
        <v>0</v>
      </c>
      <c r="AH62">
        <f t="shared" si="1"/>
        <v>6</v>
      </c>
      <c r="AI62">
        <f t="shared" si="2"/>
        <v>15</v>
      </c>
      <c r="AJ62">
        <f t="shared" si="3"/>
        <v>5</v>
      </c>
      <c r="AL62">
        <f t="shared" si="4"/>
        <v>0</v>
      </c>
      <c r="AM62">
        <f t="shared" si="5"/>
        <v>18</v>
      </c>
      <c r="AN62">
        <f t="shared" si="6"/>
        <v>30</v>
      </c>
      <c r="AO62">
        <f t="shared" si="7"/>
        <v>5</v>
      </c>
      <c r="AP62">
        <f t="shared" si="8"/>
        <v>53</v>
      </c>
    </row>
    <row r="63" spans="1:42" ht="15.75" hidden="1" customHeight="1" x14ac:dyDescent="0.3">
      <c r="A63" s="16"/>
      <c r="B63" s="55">
        <v>20</v>
      </c>
      <c r="C63" s="56" t="s">
        <v>81</v>
      </c>
      <c r="D63" s="55">
        <v>2</v>
      </c>
      <c r="E63" s="55" t="s">
        <v>20</v>
      </c>
      <c r="F63" s="18" t="s">
        <v>21</v>
      </c>
      <c r="G63" s="18" t="s">
        <v>21</v>
      </c>
      <c r="H63" s="18" t="s">
        <v>21</v>
      </c>
      <c r="I63" s="18" t="s">
        <v>21</v>
      </c>
      <c r="J63" s="18" t="s">
        <v>20</v>
      </c>
      <c r="K63" s="18" t="s">
        <v>21</v>
      </c>
      <c r="L63" s="18" t="s">
        <v>20</v>
      </c>
      <c r="M63" s="18" t="s">
        <v>20</v>
      </c>
      <c r="N63" s="18" t="s">
        <v>20</v>
      </c>
      <c r="O63" s="18" t="s">
        <v>20</v>
      </c>
      <c r="P63" s="18" t="s">
        <v>20</v>
      </c>
      <c r="Q63" s="18" t="s">
        <v>20</v>
      </c>
      <c r="R63" s="18" t="s">
        <v>20</v>
      </c>
      <c r="S63" s="18" t="s">
        <v>20</v>
      </c>
      <c r="T63" s="18" t="s">
        <v>21</v>
      </c>
      <c r="U63" s="18" t="s">
        <v>20</v>
      </c>
      <c r="V63" s="37" t="s">
        <v>20</v>
      </c>
      <c r="W63" s="37" t="s">
        <v>20</v>
      </c>
      <c r="X63" s="37" t="s">
        <v>21</v>
      </c>
      <c r="Y63" s="18" t="s">
        <v>20</v>
      </c>
      <c r="Z63" s="18" t="s">
        <v>20</v>
      </c>
      <c r="AA63" s="20" t="s">
        <v>20</v>
      </c>
      <c r="AB63" s="20" t="s">
        <v>20</v>
      </c>
      <c r="AC63" s="20" t="s">
        <v>20</v>
      </c>
      <c r="AD63" s="29" t="s">
        <v>21</v>
      </c>
      <c r="AE63" s="29" t="s">
        <v>21</v>
      </c>
      <c r="AG63">
        <f t="shared" si="0"/>
        <v>0</v>
      </c>
      <c r="AH63">
        <f t="shared" si="1"/>
        <v>17</v>
      </c>
      <c r="AI63">
        <f t="shared" si="2"/>
        <v>9</v>
      </c>
      <c r="AJ63">
        <f t="shared" si="3"/>
        <v>0</v>
      </c>
      <c r="AL63">
        <f t="shared" si="4"/>
        <v>0</v>
      </c>
      <c r="AM63">
        <f t="shared" si="5"/>
        <v>51</v>
      </c>
      <c r="AN63">
        <f t="shared" si="6"/>
        <v>18</v>
      </c>
      <c r="AO63">
        <f t="shared" si="7"/>
        <v>0</v>
      </c>
      <c r="AP63">
        <f t="shared" si="8"/>
        <v>69</v>
      </c>
    </row>
    <row r="64" spans="1:42" ht="15.75" hidden="1" customHeight="1" x14ac:dyDescent="0.3">
      <c r="A64" s="16"/>
      <c r="B64" s="55">
        <v>21</v>
      </c>
      <c r="C64" s="56" t="s">
        <v>82</v>
      </c>
      <c r="D64" s="55">
        <v>2</v>
      </c>
      <c r="E64" s="55" t="s">
        <v>20</v>
      </c>
      <c r="F64" s="18" t="s">
        <v>21</v>
      </c>
      <c r="G64" s="18" t="s">
        <v>20</v>
      </c>
      <c r="H64" s="18" t="s">
        <v>21</v>
      </c>
      <c r="I64" s="18" t="s">
        <v>21</v>
      </c>
      <c r="J64" s="18" t="s">
        <v>20</v>
      </c>
      <c r="K64" s="18" t="s">
        <v>21</v>
      </c>
      <c r="L64" s="18" t="s">
        <v>23</v>
      </c>
      <c r="M64" s="18" t="s">
        <v>21</v>
      </c>
      <c r="N64" s="18" t="s">
        <v>21</v>
      </c>
      <c r="O64" s="18" t="s">
        <v>23</v>
      </c>
      <c r="P64" s="18" t="s">
        <v>23</v>
      </c>
      <c r="Q64" s="18" t="s">
        <v>23</v>
      </c>
      <c r="R64" s="18" t="s">
        <v>21</v>
      </c>
      <c r="S64" s="18" t="s">
        <v>23</v>
      </c>
      <c r="T64" s="18" t="s">
        <v>23</v>
      </c>
      <c r="U64" s="18" t="s">
        <v>21</v>
      </c>
      <c r="V64" s="37" t="s">
        <v>20</v>
      </c>
      <c r="W64" s="37" t="s">
        <v>21</v>
      </c>
      <c r="X64" s="37" t="s">
        <v>20</v>
      </c>
      <c r="Y64" s="18" t="s">
        <v>21</v>
      </c>
      <c r="Z64" s="18" t="s">
        <v>21</v>
      </c>
      <c r="AA64" s="20" t="s">
        <v>23</v>
      </c>
      <c r="AB64" s="20" t="s">
        <v>21</v>
      </c>
      <c r="AC64" s="20" t="s">
        <v>21</v>
      </c>
      <c r="AD64" s="29" t="s">
        <v>23</v>
      </c>
      <c r="AE64" s="29" t="s">
        <v>21</v>
      </c>
      <c r="AG64">
        <f t="shared" si="0"/>
        <v>0</v>
      </c>
      <c r="AH64">
        <f t="shared" si="1"/>
        <v>4</v>
      </c>
      <c r="AI64">
        <f t="shared" si="2"/>
        <v>14</v>
      </c>
      <c r="AJ64">
        <f t="shared" si="3"/>
        <v>8</v>
      </c>
      <c r="AL64">
        <f t="shared" si="4"/>
        <v>0</v>
      </c>
      <c r="AM64">
        <f t="shared" si="5"/>
        <v>12</v>
      </c>
      <c r="AN64">
        <f t="shared" si="6"/>
        <v>28</v>
      </c>
      <c r="AO64">
        <f t="shared" si="7"/>
        <v>8</v>
      </c>
      <c r="AP64">
        <f t="shared" si="8"/>
        <v>48</v>
      </c>
    </row>
    <row r="65" spans="1:42" ht="15.75" hidden="1" customHeight="1" x14ac:dyDescent="0.3">
      <c r="A65" s="16"/>
      <c r="B65" s="55">
        <v>22</v>
      </c>
      <c r="C65" s="56" t="s">
        <v>83</v>
      </c>
      <c r="D65" s="55">
        <v>2</v>
      </c>
      <c r="E65" s="55" t="s">
        <v>20</v>
      </c>
      <c r="F65" s="18" t="s">
        <v>21</v>
      </c>
      <c r="G65" s="18" t="s">
        <v>23</v>
      </c>
      <c r="H65" s="18" t="s">
        <v>21</v>
      </c>
      <c r="I65" s="18" t="s">
        <v>21</v>
      </c>
      <c r="J65" s="18" t="s">
        <v>21</v>
      </c>
      <c r="K65" s="18" t="s">
        <v>21</v>
      </c>
      <c r="L65" s="18" t="s">
        <v>20</v>
      </c>
      <c r="M65" s="18" t="s">
        <v>21</v>
      </c>
      <c r="N65" s="18" t="s">
        <v>21</v>
      </c>
      <c r="O65" s="18" t="s">
        <v>23</v>
      </c>
      <c r="P65" s="18" t="s">
        <v>23</v>
      </c>
      <c r="Q65" s="18" t="s">
        <v>23</v>
      </c>
      <c r="R65" s="18" t="s">
        <v>21</v>
      </c>
      <c r="S65" s="18" t="s">
        <v>23</v>
      </c>
      <c r="T65" s="18" t="s">
        <v>23</v>
      </c>
      <c r="U65" s="18" t="s">
        <v>21</v>
      </c>
      <c r="V65" s="37" t="s">
        <v>20</v>
      </c>
      <c r="W65" s="37" t="s">
        <v>20</v>
      </c>
      <c r="X65" s="37" t="s">
        <v>20</v>
      </c>
      <c r="Y65" s="18" t="s">
        <v>21</v>
      </c>
      <c r="Z65" s="18" t="s">
        <v>21</v>
      </c>
      <c r="AA65" s="20" t="s">
        <v>23</v>
      </c>
      <c r="AB65" s="20" t="s">
        <v>21</v>
      </c>
      <c r="AC65" s="20" t="s">
        <v>21</v>
      </c>
      <c r="AD65" s="29" t="s">
        <v>23</v>
      </c>
      <c r="AE65" s="29" t="s">
        <v>21</v>
      </c>
      <c r="AG65">
        <f t="shared" si="0"/>
        <v>0</v>
      </c>
      <c r="AH65">
        <f t="shared" si="1"/>
        <v>4</v>
      </c>
      <c r="AI65">
        <f t="shared" si="2"/>
        <v>14</v>
      </c>
      <c r="AJ65">
        <f t="shared" si="3"/>
        <v>8</v>
      </c>
      <c r="AL65">
        <f t="shared" si="4"/>
        <v>0</v>
      </c>
      <c r="AM65">
        <f t="shared" si="5"/>
        <v>12</v>
      </c>
      <c r="AN65">
        <f t="shared" si="6"/>
        <v>28</v>
      </c>
      <c r="AO65">
        <f t="shared" si="7"/>
        <v>8</v>
      </c>
      <c r="AP65">
        <f t="shared" si="8"/>
        <v>48</v>
      </c>
    </row>
    <row r="66" spans="1:42" ht="15.75" hidden="1" customHeight="1" x14ac:dyDescent="0.3">
      <c r="A66" s="16"/>
      <c r="B66" s="55">
        <v>23</v>
      </c>
      <c r="C66" s="56" t="s">
        <v>84</v>
      </c>
      <c r="D66" s="55">
        <v>2</v>
      </c>
      <c r="E66" s="55" t="s">
        <v>20</v>
      </c>
      <c r="F66" s="18" t="s">
        <v>20</v>
      </c>
      <c r="G66" s="18" t="s">
        <v>20</v>
      </c>
      <c r="H66" s="18" t="s">
        <v>20</v>
      </c>
      <c r="I66" s="18" t="s">
        <v>20</v>
      </c>
      <c r="J66" s="18" t="s">
        <v>20</v>
      </c>
      <c r="K66" s="18" t="s">
        <v>20</v>
      </c>
      <c r="L66" s="18" t="s">
        <v>20</v>
      </c>
      <c r="M66" s="18" t="s">
        <v>20</v>
      </c>
      <c r="N66" s="18" t="s">
        <v>20</v>
      </c>
      <c r="O66" s="18" t="s">
        <v>20</v>
      </c>
      <c r="P66" s="18" t="s">
        <v>20</v>
      </c>
      <c r="Q66" s="18" t="s">
        <v>20</v>
      </c>
      <c r="R66" s="18" t="s">
        <v>20</v>
      </c>
      <c r="S66" s="18" t="s">
        <v>20</v>
      </c>
      <c r="T66" s="18" t="s">
        <v>20</v>
      </c>
      <c r="U66" s="18" t="s">
        <v>20</v>
      </c>
      <c r="V66" s="37" t="s">
        <v>20</v>
      </c>
      <c r="W66" s="37" t="s">
        <v>20</v>
      </c>
      <c r="X66" s="37" t="s">
        <v>20</v>
      </c>
      <c r="Y66" s="18" t="s">
        <v>20</v>
      </c>
      <c r="Z66" s="18" t="s">
        <v>20</v>
      </c>
      <c r="AA66" s="20" t="s">
        <v>20</v>
      </c>
      <c r="AB66" s="20" t="s">
        <v>20</v>
      </c>
      <c r="AC66" s="20" t="s">
        <v>20</v>
      </c>
      <c r="AD66" s="29" t="s">
        <v>20</v>
      </c>
      <c r="AE66" s="29" t="s">
        <v>21</v>
      </c>
      <c r="AG66">
        <f t="shared" si="0"/>
        <v>0</v>
      </c>
      <c r="AH66">
        <f t="shared" si="1"/>
        <v>25</v>
      </c>
      <c r="AI66">
        <f t="shared" si="2"/>
        <v>1</v>
      </c>
      <c r="AJ66">
        <f t="shared" si="3"/>
        <v>0</v>
      </c>
      <c r="AL66">
        <f t="shared" si="4"/>
        <v>0</v>
      </c>
      <c r="AM66">
        <f t="shared" si="5"/>
        <v>75</v>
      </c>
      <c r="AN66">
        <f t="shared" si="6"/>
        <v>2</v>
      </c>
      <c r="AO66">
        <f t="shared" si="7"/>
        <v>0</v>
      </c>
      <c r="AP66">
        <f t="shared" si="8"/>
        <v>77</v>
      </c>
    </row>
    <row r="67" spans="1:42" ht="15.75" hidden="1" customHeight="1" thickBot="1" x14ac:dyDescent="0.35">
      <c r="A67" s="16"/>
      <c r="B67" s="57">
        <v>24</v>
      </c>
      <c r="C67" s="58" t="s">
        <v>85</v>
      </c>
      <c r="D67" s="57">
        <v>2</v>
      </c>
      <c r="E67" s="57" t="s">
        <v>20</v>
      </c>
      <c r="F67" s="21" t="s">
        <v>21</v>
      </c>
      <c r="G67" s="21" t="s">
        <v>23</v>
      </c>
      <c r="H67" s="21" t="s">
        <v>21</v>
      </c>
      <c r="I67" s="21" t="s">
        <v>21</v>
      </c>
      <c r="J67" s="21" t="s">
        <v>21</v>
      </c>
      <c r="K67" s="21" t="s">
        <v>21</v>
      </c>
      <c r="L67" s="21" t="s">
        <v>23</v>
      </c>
      <c r="M67" s="21" t="s">
        <v>21</v>
      </c>
      <c r="N67" s="21" t="s">
        <v>21</v>
      </c>
      <c r="O67" s="21" t="s">
        <v>23</v>
      </c>
      <c r="P67" s="21" t="s">
        <v>21</v>
      </c>
      <c r="Q67" s="21" t="s">
        <v>21</v>
      </c>
      <c r="R67" s="21" t="s">
        <v>21</v>
      </c>
      <c r="S67" s="21" t="s">
        <v>23</v>
      </c>
      <c r="T67" s="21" t="s">
        <v>21</v>
      </c>
      <c r="U67" s="21" t="s">
        <v>21</v>
      </c>
      <c r="V67" s="38" t="s">
        <v>21</v>
      </c>
      <c r="W67" s="38" t="s">
        <v>20</v>
      </c>
      <c r="X67" s="38" t="s">
        <v>20</v>
      </c>
      <c r="Y67" s="21" t="s">
        <v>21</v>
      </c>
      <c r="Z67" s="21" t="s">
        <v>21</v>
      </c>
      <c r="AA67" s="23" t="s">
        <v>21</v>
      </c>
      <c r="AB67" s="23" t="s">
        <v>21</v>
      </c>
      <c r="AC67" s="23" t="s">
        <v>23</v>
      </c>
      <c r="AD67" s="31" t="s">
        <v>23</v>
      </c>
      <c r="AE67" s="31" t="s">
        <v>21</v>
      </c>
      <c r="AG67">
        <f t="shared" si="0"/>
        <v>0</v>
      </c>
      <c r="AH67">
        <f t="shared" si="1"/>
        <v>2</v>
      </c>
      <c r="AI67">
        <f t="shared" si="2"/>
        <v>18</v>
      </c>
      <c r="AJ67">
        <f t="shared" si="3"/>
        <v>6</v>
      </c>
      <c r="AL67">
        <f t="shared" si="4"/>
        <v>0</v>
      </c>
      <c r="AM67">
        <f t="shared" si="5"/>
        <v>6</v>
      </c>
      <c r="AN67">
        <f t="shared" si="6"/>
        <v>36</v>
      </c>
      <c r="AO67">
        <f t="shared" si="7"/>
        <v>6</v>
      </c>
      <c r="AP67">
        <f t="shared" si="8"/>
        <v>48</v>
      </c>
    </row>
    <row r="68" spans="1:42" ht="15.75" hidden="1" customHeight="1" x14ac:dyDescent="0.3">
      <c r="A68" s="16"/>
      <c r="B68" s="59">
        <v>1</v>
      </c>
      <c r="C68" s="60" t="s">
        <v>86</v>
      </c>
      <c r="D68" s="59">
        <v>2</v>
      </c>
      <c r="E68" s="59" t="s">
        <v>21</v>
      </c>
      <c r="F68" s="24" t="s">
        <v>21</v>
      </c>
      <c r="G68" s="24" t="s">
        <v>21</v>
      </c>
      <c r="H68" s="24" t="s">
        <v>21</v>
      </c>
      <c r="I68" s="24" t="s">
        <v>21</v>
      </c>
      <c r="J68" s="24" t="s">
        <v>21</v>
      </c>
      <c r="K68" s="24" t="s">
        <v>20</v>
      </c>
      <c r="L68" s="24" t="s">
        <v>20</v>
      </c>
      <c r="M68" s="24" t="s">
        <v>21</v>
      </c>
      <c r="N68" s="24" t="s">
        <v>21</v>
      </c>
      <c r="O68" s="24" t="s">
        <v>21</v>
      </c>
      <c r="P68" s="24" t="s">
        <v>21</v>
      </c>
      <c r="Q68" s="24" t="s">
        <v>21</v>
      </c>
      <c r="R68" s="24" t="s">
        <v>21</v>
      </c>
      <c r="S68" s="24" t="s">
        <v>21</v>
      </c>
      <c r="T68" s="24" t="s">
        <v>21</v>
      </c>
      <c r="U68" s="24" t="s">
        <v>21</v>
      </c>
      <c r="V68" s="39" t="s">
        <v>21</v>
      </c>
      <c r="W68" s="39" t="s">
        <v>20</v>
      </c>
      <c r="X68" s="39" t="s">
        <v>20</v>
      </c>
      <c r="Y68" s="24" t="s">
        <v>20</v>
      </c>
      <c r="Z68" s="24" t="s">
        <v>20</v>
      </c>
      <c r="AA68" s="27" t="s">
        <v>21</v>
      </c>
      <c r="AB68" s="27" t="s">
        <v>21</v>
      </c>
      <c r="AC68" s="27" t="s">
        <v>21</v>
      </c>
      <c r="AD68" s="24" t="s">
        <v>21</v>
      </c>
      <c r="AE68" s="24" t="s">
        <v>21</v>
      </c>
      <c r="AG68">
        <f t="shared" si="0"/>
        <v>0</v>
      </c>
      <c r="AH68">
        <f t="shared" si="1"/>
        <v>6</v>
      </c>
      <c r="AI68">
        <f t="shared" si="2"/>
        <v>20</v>
      </c>
      <c r="AJ68">
        <f t="shared" si="3"/>
        <v>0</v>
      </c>
      <c r="AL68">
        <f t="shared" si="4"/>
        <v>0</v>
      </c>
      <c r="AM68">
        <f t="shared" si="5"/>
        <v>18</v>
      </c>
      <c r="AN68">
        <f t="shared" si="6"/>
        <v>40</v>
      </c>
      <c r="AO68">
        <f t="shared" si="7"/>
        <v>0</v>
      </c>
      <c r="AP68">
        <f t="shared" si="8"/>
        <v>58</v>
      </c>
    </row>
    <row r="69" spans="1:42" ht="15.75" hidden="1" customHeight="1" x14ac:dyDescent="0.3">
      <c r="A69" s="16"/>
      <c r="B69" s="55">
        <v>2</v>
      </c>
      <c r="C69" s="56" t="s">
        <v>87</v>
      </c>
      <c r="D69" s="55">
        <v>2</v>
      </c>
      <c r="E69" s="55" t="s">
        <v>21</v>
      </c>
      <c r="F69" s="18" t="s">
        <v>21</v>
      </c>
      <c r="G69" s="18" t="s">
        <v>23</v>
      </c>
      <c r="H69" s="18" t="s">
        <v>21</v>
      </c>
      <c r="I69" s="18" t="s">
        <v>21</v>
      </c>
      <c r="J69" s="18" t="s">
        <v>21</v>
      </c>
      <c r="K69" s="18" t="s">
        <v>21</v>
      </c>
      <c r="L69" s="18" t="s">
        <v>21</v>
      </c>
      <c r="M69" s="18" t="s">
        <v>23</v>
      </c>
      <c r="N69" s="18" t="s">
        <v>21</v>
      </c>
      <c r="O69" s="18" t="s">
        <v>21</v>
      </c>
      <c r="P69" s="18" t="s">
        <v>23</v>
      </c>
      <c r="Q69" s="18" t="s">
        <v>21</v>
      </c>
      <c r="R69" s="18" t="s">
        <v>23</v>
      </c>
      <c r="S69" s="18" t="s">
        <v>23</v>
      </c>
      <c r="T69" s="18" t="s">
        <v>21</v>
      </c>
      <c r="U69" s="18" t="s">
        <v>21</v>
      </c>
      <c r="V69" s="37" t="s">
        <v>21</v>
      </c>
      <c r="W69" s="37" t="s">
        <v>21</v>
      </c>
      <c r="X69" s="37" t="s">
        <v>21</v>
      </c>
      <c r="Y69" s="18" t="s">
        <v>21</v>
      </c>
      <c r="Z69" s="18" t="s">
        <v>23</v>
      </c>
      <c r="AA69" s="20" t="s">
        <v>23</v>
      </c>
      <c r="AB69" s="20" t="s">
        <v>21</v>
      </c>
      <c r="AC69" s="20" t="s">
        <v>23</v>
      </c>
      <c r="AD69" s="18" t="s">
        <v>23</v>
      </c>
      <c r="AE69" s="18" t="s">
        <v>21</v>
      </c>
      <c r="AG69">
        <f t="shared" si="0"/>
        <v>0</v>
      </c>
      <c r="AH69">
        <f t="shared" si="1"/>
        <v>0</v>
      </c>
      <c r="AI69">
        <f t="shared" si="2"/>
        <v>17</v>
      </c>
      <c r="AJ69">
        <f t="shared" si="3"/>
        <v>9</v>
      </c>
      <c r="AL69">
        <f t="shared" si="4"/>
        <v>0</v>
      </c>
      <c r="AM69">
        <f t="shared" si="5"/>
        <v>0</v>
      </c>
      <c r="AN69">
        <f t="shared" si="6"/>
        <v>34</v>
      </c>
      <c r="AO69">
        <f t="shared" si="7"/>
        <v>9</v>
      </c>
      <c r="AP69">
        <f t="shared" si="8"/>
        <v>43</v>
      </c>
    </row>
    <row r="70" spans="1:42" ht="15.75" hidden="1" customHeight="1" x14ac:dyDescent="0.3">
      <c r="A70" s="16"/>
      <c r="B70" s="55">
        <v>3</v>
      </c>
      <c r="C70" s="56" t="s">
        <v>88</v>
      </c>
      <c r="D70" s="55">
        <v>2</v>
      </c>
      <c r="E70" s="55" t="s">
        <v>21</v>
      </c>
      <c r="F70" s="18" t="s">
        <v>20</v>
      </c>
      <c r="G70" s="18" t="s">
        <v>21</v>
      </c>
      <c r="H70" s="18" t="s">
        <v>20</v>
      </c>
      <c r="I70" s="18" t="s">
        <v>21</v>
      </c>
      <c r="J70" s="18" t="s">
        <v>20</v>
      </c>
      <c r="K70" s="18" t="s">
        <v>20</v>
      </c>
      <c r="L70" s="18" t="s">
        <v>20</v>
      </c>
      <c r="M70" s="18" t="s">
        <v>23</v>
      </c>
      <c r="N70" s="18" t="s">
        <v>21</v>
      </c>
      <c r="O70" s="18" t="s">
        <v>20</v>
      </c>
      <c r="P70" s="18" t="s">
        <v>21</v>
      </c>
      <c r="Q70" s="18" t="s">
        <v>21</v>
      </c>
      <c r="R70" s="18" t="s">
        <v>21</v>
      </c>
      <c r="S70" s="18" t="s">
        <v>20</v>
      </c>
      <c r="T70" s="18" t="s">
        <v>20</v>
      </c>
      <c r="U70" s="18" t="s">
        <v>20</v>
      </c>
      <c r="V70" s="37" t="s">
        <v>21</v>
      </c>
      <c r="W70" s="37" t="s">
        <v>21</v>
      </c>
      <c r="X70" s="37" t="s">
        <v>21</v>
      </c>
      <c r="Y70" s="18" t="s">
        <v>21</v>
      </c>
      <c r="Z70" s="18" t="s">
        <v>21</v>
      </c>
      <c r="AA70" s="20" t="s">
        <v>20</v>
      </c>
      <c r="AB70" s="20" t="s">
        <v>20</v>
      </c>
      <c r="AC70" s="20" t="s">
        <v>20</v>
      </c>
      <c r="AD70" s="18" t="s">
        <v>23</v>
      </c>
      <c r="AE70" s="18" t="s">
        <v>21</v>
      </c>
      <c r="AG70">
        <f t="shared" si="0"/>
        <v>0</v>
      </c>
      <c r="AH70">
        <f t="shared" si="1"/>
        <v>12</v>
      </c>
      <c r="AI70">
        <f t="shared" si="2"/>
        <v>12</v>
      </c>
      <c r="AJ70">
        <f t="shared" si="3"/>
        <v>2</v>
      </c>
      <c r="AL70">
        <f t="shared" si="4"/>
        <v>0</v>
      </c>
      <c r="AM70">
        <f t="shared" si="5"/>
        <v>36</v>
      </c>
      <c r="AN70">
        <f t="shared" si="6"/>
        <v>24</v>
      </c>
      <c r="AO70">
        <f t="shared" si="7"/>
        <v>2</v>
      </c>
      <c r="AP70">
        <f t="shared" si="8"/>
        <v>62</v>
      </c>
    </row>
    <row r="71" spans="1:42" ht="15.75" hidden="1" customHeight="1" x14ac:dyDescent="0.3">
      <c r="A71" s="16"/>
      <c r="B71" s="55">
        <v>4</v>
      </c>
      <c r="C71" s="56" t="s">
        <v>89</v>
      </c>
      <c r="D71" s="55">
        <v>2</v>
      </c>
      <c r="E71" s="55" t="s">
        <v>21</v>
      </c>
      <c r="F71" s="18" t="s">
        <v>20</v>
      </c>
      <c r="G71" s="18" t="s">
        <v>21</v>
      </c>
      <c r="H71" s="18" t="s">
        <v>21</v>
      </c>
      <c r="I71" s="18" t="s">
        <v>21</v>
      </c>
      <c r="J71" s="18" t="s">
        <v>21</v>
      </c>
      <c r="K71" s="18" t="s">
        <v>21</v>
      </c>
      <c r="L71" s="18" t="s">
        <v>21</v>
      </c>
      <c r="M71" s="18" t="s">
        <v>21</v>
      </c>
      <c r="N71" s="18" t="s">
        <v>20</v>
      </c>
      <c r="O71" s="18" t="s">
        <v>21</v>
      </c>
      <c r="P71" s="18" t="s">
        <v>20</v>
      </c>
      <c r="Q71" s="18" t="s">
        <v>20</v>
      </c>
      <c r="R71" s="18" t="s">
        <v>20</v>
      </c>
      <c r="S71" s="18" t="s">
        <v>20</v>
      </c>
      <c r="T71" s="18" t="s">
        <v>20</v>
      </c>
      <c r="U71" s="18" t="s">
        <v>21</v>
      </c>
      <c r="V71" s="37" t="s">
        <v>20</v>
      </c>
      <c r="W71" s="37" t="s">
        <v>21</v>
      </c>
      <c r="X71" s="37" t="s">
        <v>21</v>
      </c>
      <c r="Y71" s="18" t="s">
        <v>21</v>
      </c>
      <c r="Z71" s="18" t="s">
        <v>21</v>
      </c>
      <c r="AA71" s="20" t="s">
        <v>21</v>
      </c>
      <c r="AB71" s="20" t="s">
        <v>21</v>
      </c>
      <c r="AC71" s="20" t="s">
        <v>21</v>
      </c>
      <c r="AD71" s="18" t="s">
        <v>21</v>
      </c>
      <c r="AE71" s="18" t="s">
        <v>21</v>
      </c>
      <c r="AG71">
        <f t="shared" ref="AG71:AG134" si="9">+COUNTIF(F71:AE71,"AD")</f>
        <v>0</v>
      </c>
      <c r="AH71">
        <f t="shared" ref="AH71:AH134" si="10">+COUNTIF(F71:AE71,"A")</f>
        <v>8</v>
      </c>
      <c r="AI71">
        <f t="shared" ref="AI71:AI134" si="11">+COUNTIF(F71:AE71,"b")</f>
        <v>18</v>
      </c>
      <c r="AJ71">
        <f t="shared" ref="AJ71:AJ134" si="12">+COUNTIF(F71:AE71,"c")</f>
        <v>0</v>
      </c>
      <c r="AL71">
        <f t="shared" ref="AL71:AL134" si="13">+$AG$5*AG71</f>
        <v>0</v>
      </c>
      <c r="AM71">
        <f t="shared" ref="AM71:AM134" si="14">+$AH$5*AH71</f>
        <v>24</v>
      </c>
      <c r="AN71">
        <f t="shared" ref="AN71:AN134" si="15">+$AI$5*AI71</f>
        <v>36</v>
      </c>
      <c r="AO71">
        <f t="shared" ref="AO71:AO134" si="16">+$AJ$5*AJ71</f>
        <v>0</v>
      </c>
      <c r="AP71">
        <f t="shared" ref="AP71:AP134" si="17">+SUM(AL71:AO71)</f>
        <v>60</v>
      </c>
    </row>
    <row r="72" spans="1:42" ht="15.75" hidden="1" customHeight="1" x14ac:dyDescent="0.3">
      <c r="A72" s="16"/>
      <c r="B72" s="55">
        <v>5</v>
      </c>
      <c r="C72" s="56" t="s">
        <v>90</v>
      </c>
      <c r="D72" s="55">
        <v>2</v>
      </c>
      <c r="E72" s="55" t="s">
        <v>21</v>
      </c>
      <c r="F72" s="18" t="s">
        <v>20</v>
      </c>
      <c r="G72" s="18" t="s">
        <v>20</v>
      </c>
      <c r="H72" s="18" t="s">
        <v>20</v>
      </c>
      <c r="I72" s="18" t="s">
        <v>20</v>
      </c>
      <c r="J72" s="18" t="s">
        <v>21</v>
      </c>
      <c r="K72" s="18" t="s">
        <v>20</v>
      </c>
      <c r="L72" s="18" t="s">
        <v>20</v>
      </c>
      <c r="M72" s="18" t="s">
        <v>21</v>
      </c>
      <c r="N72" s="18" t="s">
        <v>20</v>
      </c>
      <c r="O72" s="18" t="s">
        <v>20</v>
      </c>
      <c r="P72" s="18" t="s">
        <v>21</v>
      </c>
      <c r="Q72" s="18" t="s">
        <v>21</v>
      </c>
      <c r="R72" s="18" t="s">
        <v>21</v>
      </c>
      <c r="S72" s="18" t="s">
        <v>21</v>
      </c>
      <c r="T72" s="18" t="s">
        <v>20</v>
      </c>
      <c r="U72" s="18" t="s">
        <v>21</v>
      </c>
      <c r="V72" s="37" t="s">
        <v>21</v>
      </c>
      <c r="W72" s="37" t="s">
        <v>21</v>
      </c>
      <c r="X72" s="37" t="s">
        <v>21</v>
      </c>
      <c r="Y72" s="18" t="s">
        <v>21</v>
      </c>
      <c r="Z72" s="18" t="s">
        <v>20</v>
      </c>
      <c r="AA72" s="20" t="s">
        <v>21</v>
      </c>
      <c r="AB72" s="20" t="s">
        <v>23</v>
      </c>
      <c r="AC72" s="20" t="s">
        <v>21</v>
      </c>
      <c r="AD72" s="18" t="s">
        <v>23</v>
      </c>
      <c r="AE72" s="18" t="s">
        <v>21</v>
      </c>
      <c r="AG72">
        <f t="shared" si="9"/>
        <v>0</v>
      </c>
      <c r="AH72">
        <f t="shared" si="10"/>
        <v>10</v>
      </c>
      <c r="AI72">
        <f t="shared" si="11"/>
        <v>14</v>
      </c>
      <c r="AJ72">
        <f t="shared" si="12"/>
        <v>2</v>
      </c>
      <c r="AL72">
        <f t="shared" si="13"/>
        <v>0</v>
      </c>
      <c r="AM72">
        <f t="shared" si="14"/>
        <v>30</v>
      </c>
      <c r="AN72">
        <f t="shared" si="15"/>
        <v>28</v>
      </c>
      <c r="AO72">
        <f t="shared" si="16"/>
        <v>2</v>
      </c>
      <c r="AP72">
        <f t="shared" si="17"/>
        <v>60</v>
      </c>
    </row>
    <row r="73" spans="1:42" ht="15.75" hidden="1" customHeight="1" x14ac:dyDescent="0.3">
      <c r="A73" s="16"/>
      <c r="B73" s="55">
        <v>6</v>
      </c>
      <c r="C73" s="56" t="s">
        <v>91</v>
      </c>
      <c r="D73" s="55">
        <v>2</v>
      </c>
      <c r="E73" s="55" t="s">
        <v>21</v>
      </c>
      <c r="F73" s="18" t="s">
        <v>21</v>
      </c>
      <c r="G73" s="18" t="s">
        <v>21</v>
      </c>
      <c r="H73" s="18" t="s">
        <v>21</v>
      </c>
      <c r="I73" s="18" t="s">
        <v>21</v>
      </c>
      <c r="J73" s="18" t="s">
        <v>21</v>
      </c>
      <c r="K73" s="18" t="s">
        <v>21</v>
      </c>
      <c r="L73" s="18" t="s">
        <v>21</v>
      </c>
      <c r="M73" s="18" t="s">
        <v>20</v>
      </c>
      <c r="N73" s="18" t="s">
        <v>20</v>
      </c>
      <c r="O73" s="18" t="s">
        <v>21</v>
      </c>
      <c r="P73" s="18" t="s">
        <v>23</v>
      </c>
      <c r="Q73" s="18" t="s">
        <v>21</v>
      </c>
      <c r="R73" s="18" t="s">
        <v>21</v>
      </c>
      <c r="S73" s="18" t="s">
        <v>21</v>
      </c>
      <c r="T73" s="18" t="s">
        <v>20</v>
      </c>
      <c r="U73" s="18" t="s">
        <v>20</v>
      </c>
      <c r="V73" s="37" t="s">
        <v>20</v>
      </c>
      <c r="W73" s="37" t="s">
        <v>20</v>
      </c>
      <c r="X73" s="37" t="s">
        <v>20</v>
      </c>
      <c r="Y73" s="18" t="s">
        <v>21</v>
      </c>
      <c r="Z73" s="18" t="s">
        <v>20</v>
      </c>
      <c r="AA73" s="20" t="s">
        <v>21</v>
      </c>
      <c r="AB73" s="20" t="s">
        <v>21</v>
      </c>
      <c r="AC73" s="20" t="s">
        <v>21</v>
      </c>
      <c r="AD73" s="18" t="s">
        <v>21</v>
      </c>
      <c r="AE73" s="18" t="s">
        <v>21</v>
      </c>
      <c r="AG73">
        <f t="shared" si="9"/>
        <v>0</v>
      </c>
      <c r="AH73">
        <f t="shared" si="10"/>
        <v>8</v>
      </c>
      <c r="AI73">
        <f t="shared" si="11"/>
        <v>17</v>
      </c>
      <c r="AJ73">
        <f t="shared" si="12"/>
        <v>1</v>
      </c>
      <c r="AL73">
        <f t="shared" si="13"/>
        <v>0</v>
      </c>
      <c r="AM73">
        <f t="shared" si="14"/>
        <v>24</v>
      </c>
      <c r="AN73">
        <f t="shared" si="15"/>
        <v>34</v>
      </c>
      <c r="AO73">
        <f t="shared" si="16"/>
        <v>1</v>
      </c>
      <c r="AP73">
        <f t="shared" si="17"/>
        <v>59</v>
      </c>
    </row>
    <row r="74" spans="1:42" ht="15.75" hidden="1" customHeight="1" x14ac:dyDescent="0.3">
      <c r="A74" s="16"/>
      <c r="B74" s="55">
        <v>7</v>
      </c>
      <c r="C74" s="56" t="s">
        <v>92</v>
      </c>
      <c r="D74" s="55">
        <v>2</v>
      </c>
      <c r="E74" s="55" t="s">
        <v>21</v>
      </c>
      <c r="F74" s="18" t="s">
        <v>21</v>
      </c>
      <c r="G74" s="18" t="s">
        <v>23</v>
      </c>
      <c r="H74" s="18" t="s">
        <v>21</v>
      </c>
      <c r="I74" s="18" t="s">
        <v>21</v>
      </c>
      <c r="J74" s="18" t="s">
        <v>21</v>
      </c>
      <c r="K74" s="18" t="s">
        <v>20</v>
      </c>
      <c r="L74" s="18" t="s">
        <v>20</v>
      </c>
      <c r="M74" s="18" t="s">
        <v>21</v>
      </c>
      <c r="N74" s="18" t="s">
        <v>21</v>
      </c>
      <c r="O74" s="18" t="s">
        <v>21</v>
      </c>
      <c r="P74" s="18" t="s">
        <v>21</v>
      </c>
      <c r="Q74" s="18" t="s">
        <v>21</v>
      </c>
      <c r="R74" s="18" t="s">
        <v>21</v>
      </c>
      <c r="S74" s="18" t="s">
        <v>21</v>
      </c>
      <c r="T74" s="18" t="s">
        <v>21</v>
      </c>
      <c r="U74" s="18" t="s">
        <v>21</v>
      </c>
      <c r="V74" s="37" t="s">
        <v>20</v>
      </c>
      <c r="W74" s="37" t="s">
        <v>21</v>
      </c>
      <c r="X74" s="37" t="s">
        <v>21</v>
      </c>
      <c r="Y74" s="18" t="s">
        <v>21</v>
      </c>
      <c r="Z74" s="18" t="s">
        <v>20</v>
      </c>
      <c r="AA74" s="20" t="s">
        <v>21</v>
      </c>
      <c r="AB74" s="20" t="s">
        <v>21</v>
      </c>
      <c r="AC74" s="20" t="s">
        <v>21</v>
      </c>
      <c r="AD74" s="18" t="s">
        <v>23</v>
      </c>
      <c r="AE74" s="18" t="s">
        <v>21</v>
      </c>
      <c r="AG74">
        <f t="shared" si="9"/>
        <v>0</v>
      </c>
      <c r="AH74">
        <f t="shared" si="10"/>
        <v>4</v>
      </c>
      <c r="AI74">
        <f t="shared" si="11"/>
        <v>20</v>
      </c>
      <c r="AJ74">
        <f t="shared" si="12"/>
        <v>2</v>
      </c>
      <c r="AL74">
        <f t="shared" si="13"/>
        <v>0</v>
      </c>
      <c r="AM74">
        <f t="shared" si="14"/>
        <v>12</v>
      </c>
      <c r="AN74">
        <f t="shared" si="15"/>
        <v>40</v>
      </c>
      <c r="AO74">
        <f t="shared" si="16"/>
        <v>2</v>
      </c>
      <c r="AP74">
        <f t="shared" si="17"/>
        <v>54</v>
      </c>
    </row>
    <row r="75" spans="1:42" ht="15.75" hidden="1" customHeight="1" x14ac:dyDescent="0.3">
      <c r="A75" s="16"/>
      <c r="B75" s="55">
        <v>8</v>
      </c>
      <c r="C75" s="56" t="s">
        <v>93</v>
      </c>
      <c r="D75" s="55">
        <v>2</v>
      </c>
      <c r="E75" s="55" t="s">
        <v>21</v>
      </c>
      <c r="F75" s="18" t="s">
        <v>20</v>
      </c>
      <c r="G75" s="18" t="s">
        <v>20</v>
      </c>
      <c r="H75" s="18" t="s">
        <v>20</v>
      </c>
      <c r="I75" s="18" t="s">
        <v>20</v>
      </c>
      <c r="J75" s="18" t="s">
        <v>20</v>
      </c>
      <c r="K75" s="18" t="s">
        <v>20</v>
      </c>
      <c r="L75" s="18" t="s">
        <v>39</v>
      </c>
      <c r="M75" s="18" t="s">
        <v>20</v>
      </c>
      <c r="N75" s="18" t="s">
        <v>20</v>
      </c>
      <c r="O75" s="18" t="s">
        <v>20</v>
      </c>
      <c r="P75" s="18" t="s">
        <v>20</v>
      </c>
      <c r="Q75" s="18" t="s">
        <v>20</v>
      </c>
      <c r="R75" s="18" t="s">
        <v>20</v>
      </c>
      <c r="S75" s="18" t="s">
        <v>20</v>
      </c>
      <c r="T75" s="18" t="s">
        <v>20</v>
      </c>
      <c r="U75" s="18" t="s">
        <v>20</v>
      </c>
      <c r="V75" s="37" t="s">
        <v>20</v>
      </c>
      <c r="W75" s="37" t="s">
        <v>20</v>
      </c>
      <c r="X75" s="37" t="s">
        <v>20</v>
      </c>
      <c r="Y75" s="18" t="s">
        <v>20</v>
      </c>
      <c r="Z75" s="18" t="s">
        <v>20</v>
      </c>
      <c r="AA75" s="20" t="s">
        <v>20</v>
      </c>
      <c r="AB75" s="20" t="s">
        <v>20</v>
      </c>
      <c r="AC75" s="20" t="s">
        <v>20</v>
      </c>
      <c r="AD75" s="18" t="s">
        <v>20</v>
      </c>
      <c r="AE75" s="18" t="s">
        <v>21</v>
      </c>
      <c r="AG75">
        <f t="shared" si="9"/>
        <v>1</v>
      </c>
      <c r="AH75">
        <f t="shared" si="10"/>
        <v>24</v>
      </c>
      <c r="AI75">
        <f t="shared" si="11"/>
        <v>1</v>
      </c>
      <c r="AJ75">
        <f t="shared" si="12"/>
        <v>0</v>
      </c>
      <c r="AL75">
        <f t="shared" si="13"/>
        <v>4</v>
      </c>
      <c r="AM75">
        <f t="shared" si="14"/>
        <v>72</v>
      </c>
      <c r="AN75">
        <f t="shared" si="15"/>
        <v>2</v>
      </c>
      <c r="AO75">
        <f t="shared" si="16"/>
        <v>0</v>
      </c>
      <c r="AP75">
        <f t="shared" si="17"/>
        <v>78</v>
      </c>
    </row>
    <row r="76" spans="1:42" ht="15.75" hidden="1" customHeight="1" x14ac:dyDescent="0.3">
      <c r="A76" s="16"/>
      <c r="B76" s="55">
        <v>9</v>
      </c>
      <c r="C76" s="56" t="s">
        <v>94</v>
      </c>
      <c r="D76" s="55">
        <v>2</v>
      </c>
      <c r="E76" s="55" t="s">
        <v>21</v>
      </c>
      <c r="F76" s="18" t="s">
        <v>20</v>
      </c>
      <c r="G76" s="18" t="s">
        <v>21</v>
      </c>
      <c r="H76" s="18" t="s">
        <v>21</v>
      </c>
      <c r="I76" s="18" t="s">
        <v>21</v>
      </c>
      <c r="J76" s="18" t="s">
        <v>21</v>
      </c>
      <c r="K76" s="18" t="s">
        <v>21</v>
      </c>
      <c r="L76" s="18" t="s">
        <v>21</v>
      </c>
      <c r="M76" s="18" t="s">
        <v>21</v>
      </c>
      <c r="N76" s="18" t="s">
        <v>21</v>
      </c>
      <c r="O76" s="18" t="s">
        <v>20</v>
      </c>
      <c r="P76" s="18" t="s">
        <v>21</v>
      </c>
      <c r="Q76" s="18" t="s">
        <v>21</v>
      </c>
      <c r="R76" s="18" t="s">
        <v>21</v>
      </c>
      <c r="S76" s="18" t="s">
        <v>21</v>
      </c>
      <c r="T76" s="18" t="s">
        <v>20</v>
      </c>
      <c r="U76" s="18" t="s">
        <v>20</v>
      </c>
      <c r="V76" s="37" t="s">
        <v>20</v>
      </c>
      <c r="W76" s="37" t="s">
        <v>20</v>
      </c>
      <c r="X76" s="37" t="s">
        <v>20</v>
      </c>
      <c r="Y76" s="18" t="s">
        <v>20</v>
      </c>
      <c r="Z76" s="18" t="s">
        <v>21</v>
      </c>
      <c r="AA76" s="20" t="s">
        <v>21</v>
      </c>
      <c r="AB76" s="20" t="s">
        <v>21</v>
      </c>
      <c r="AC76" s="20" t="s">
        <v>21</v>
      </c>
      <c r="AD76" s="18" t="s">
        <v>21</v>
      </c>
      <c r="AE76" s="18" t="s">
        <v>21</v>
      </c>
      <c r="AG76">
        <f t="shared" si="9"/>
        <v>0</v>
      </c>
      <c r="AH76">
        <f t="shared" si="10"/>
        <v>8</v>
      </c>
      <c r="AI76">
        <f t="shared" si="11"/>
        <v>18</v>
      </c>
      <c r="AJ76">
        <f t="shared" si="12"/>
        <v>0</v>
      </c>
      <c r="AL76">
        <f t="shared" si="13"/>
        <v>0</v>
      </c>
      <c r="AM76">
        <f t="shared" si="14"/>
        <v>24</v>
      </c>
      <c r="AN76">
        <f t="shared" si="15"/>
        <v>36</v>
      </c>
      <c r="AO76">
        <f t="shared" si="16"/>
        <v>0</v>
      </c>
      <c r="AP76">
        <f t="shared" si="17"/>
        <v>60</v>
      </c>
    </row>
    <row r="77" spans="1:42" ht="15.75" hidden="1" customHeight="1" x14ac:dyDescent="0.3">
      <c r="A77" s="16"/>
      <c r="B77" s="55">
        <v>10</v>
      </c>
      <c r="C77" s="56" t="s">
        <v>95</v>
      </c>
      <c r="D77" s="55">
        <v>2</v>
      </c>
      <c r="E77" s="55" t="s">
        <v>21</v>
      </c>
      <c r="F77" s="18" t="s">
        <v>21</v>
      </c>
      <c r="G77" s="18" t="s">
        <v>21</v>
      </c>
      <c r="H77" s="18" t="s">
        <v>21</v>
      </c>
      <c r="I77" s="18" t="s">
        <v>21</v>
      </c>
      <c r="J77" s="18" t="s">
        <v>21</v>
      </c>
      <c r="K77" s="18" t="s">
        <v>20</v>
      </c>
      <c r="L77" s="18" t="s">
        <v>20</v>
      </c>
      <c r="M77" s="18" t="s">
        <v>20</v>
      </c>
      <c r="N77" s="18" t="s">
        <v>21</v>
      </c>
      <c r="O77" s="18" t="s">
        <v>21</v>
      </c>
      <c r="P77" s="18" t="s">
        <v>21</v>
      </c>
      <c r="Q77" s="18" t="s">
        <v>21</v>
      </c>
      <c r="R77" s="18" t="s">
        <v>21</v>
      </c>
      <c r="S77" s="18" t="s">
        <v>21</v>
      </c>
      <c r="T77" s="18" t="s">
        <v>23</v>
      </c>
      <c r="U77" s="18" t="s">
        <v>21</v>
      </c>
      <c r="V77" s="37" t="s">
        <v>21</v>
      </c>
      <c r="W77" s="37" t="s">
        <v>20</v>
      </c>
      <c r="X77" s="37" t="s">
        <v>20</v>
      </c>
      <c r="Y77" s="18" t="s">
        <v>21</v>
      </c>
      <c r="Z77" s="18" t="s">
        <v>20</v>
      </c>
      <c r="AA77" s="20" t="s">
        <v>20</v>
      </c>
      <c r="AB77" s="20" t="s">
        <v>21</v>
      </c>
      <c r="AC77" s="20" t="s">
        <v>21</v>
      </c>
      <c r="AD77" s="18" t="s">
        <v>23</v>
      </c>
      <c r="AE77" s="18" t="s">
        <v>21</v>
      </c>
      <c r="AG77">
        <f t="shared" si="9"/>
        <v>0</v>
      </c>
      <c r="AH77">
        <f t="shared" si="10"/>
        <v>7</v>
      </c>
      <c r="AI77">
        <f t="shared" si="11"/>
        <v>17</v>
      </c>
      <c r="AJ77">
        <f t="shared" si="12"/>
        <v>2</v>
      </c>
      <c r="AL77">
        <f t="shared" si="13"/>
        <v>0</v>
      </c>
      <c r="AM77">
        <f t="shared" si="14"/>
        <v>21</v>
      </c>
      <c r="AN77">
        <f t="shared" si="15"/>
        <v>34</v>
      </c>
      <c r="AO77">
        <f t="shared" si="16"/>
        <v>2</v>
      </c>
      <c r="AP77">
        <f t="shared" si="17"/>
        <v>57</v>
      </c>
    </row>
    <row r="78" spans="1:42" ht="15.75" hidden="1" customHeight="1" x14ac:dyDescent="0.3">
      <c r="A78" s="16"/>
      <c r="B78" s="55">
        <v>11</v>
      </c>
      <c r="C78" s="56" t="s">
        <v>96</v>
      </c>
      <c r="D78" s="55">
        <v>2</v>
      </c>
      <c r="E78" s="55" t="s">
        <v>21</v>
      </c>
      <c r="F78" s="18" t="s">
        <v>21</v>
      </c>
      <c r="G78" s="18" t="s">
        <v>23</v>
      </c>
      <c r="H78" s="18" t="s">
        <v>21</v>
      </c>
      <c r="I78" s="18" t="s">
        <v>21</v>
      </c>
      <c r="J78" s="18" t="s">
        <v>21</v>
      </c>
      <c r="K78" s="18" t="s">
        <v>21</v>
      </c>
      <c r="L78" s="18" t="s">
        <v>21</v>
      </c>
      <c r="M78" s="18" t="s">
        <v>20</v>
      </c>
      <c r="N78" s="18" t="s">
        <v>20</v>
      </c>
      <c r="O78" s="18" t="s">
        <v>20</v>
      </c>
      <c r="P78" s="18" t="s">
        <v>21</v>
      </c>
      <c r="Q78" s="18" t="s">
        <v>21</v>
      </c>
      <c r="R78" s="18" t="s">
        <v>21</v>
      </c>
      <c r="S78" s="18" t="s">
        <v>21</v>
      </c>
      <c r="T78" s="18" t="s">
        <v>20</v>
      </c>
      <c r="U78" s="18" t="s">
        <v>21</v>
      </c>
      <c r="V78" s="37" t="s">
        <v>21</v>
      </c>
      <c r="W78" s="37" t="s">
        <v>20</v>
      </c>
      <c r="X78" s="37" t="s">
        <v>20</v>
      </c>
      <c r="Y78" s="18" t="s">
        <v>20</v>
      </c>
      <c r="Z78" s="18" t="s">
        <v>20</v>
      </c>
      <c r="AA78" s="20" t="s">
        <v>23</v>
      </c>
      <c r="AB78" s="20" t="s">
        <v>21</v>
      </c>
      <c r="AC78" s="20" t="s">
        <v>21</v>
      </c>
      <c r="AD78" s="18" t="s">
        <v>23</v>
      </c>
      <c r="AE78" s="18" t="s">
        <v>21</v>
      </c>
      <c r="AG78">
        <f t="shared" si="9"/>
        <v>0</v>
      </c>
      <c r="AH78">
        <f t="shared" si="10"/>
        <v>8</v>
      </c>
      <c r="AI78">
        <f t="shared" si="11"/>
        <v>15</v>
      </c>
      <c r="AJ78">
        <f t="shared" si="12"/>
        <v>3</v>
      </c>
      <c r="AL78">
        <f t="shared" si="13"/>
        <v>0</v>
      </c>
      <c r="AM78">
        <f t="shared" si="14"/>
        <v>24</v>
      </c>
      <c r="AN78">
        <f t="shared" si="15"/>
        <v>30</v>
      </c>
      <c r="AO78">
        <f t="shared" si="16"/>
        <v>3</v>
      </c>
      <c r="AP78">
        <f t="shared" si="17"/>
        <v>57</v>
      </c>
    </row>
    <row r="79" spans="1:42" ht="15.75" hidden="1" customHeight="1" x14ac:dyDescent="0.3">
      <c r="A79" s="16"/>
      <c r="B79" s="55">
        <v>12</v>
      </c>
      <c r="C79" s="56" t="s">
        <v>97</v>
      </c>
      <c r="D79" s="55">
        <v>2</v>
      </c>
      <c r="E79" s="55" t="s">
        <v>21</v>
      </c>
      <c r="F79" s="18" t="s">
        <v>20</v>
      </c>
      <c r="G79" s="18" t="s">
        <v>21</v>
      </c>
      <c r="H79" s="18" t="s">
        <v>21</v>
      </c>
      <c r="I79" s="18" t="s">
        <v>21</v>
      </c>
      <c r="J79" s="18" t="s">
        <v>21</v>
      </c>
      <c r="K79" s="18" t="s">
        <v>21</v>
      </c>
      <c r="L79" s="18" t="s">
        <v>21</v>
      </c>
      <c r="M79" s="18" t="s">
        <v>20</v>
      </c>
      <c r="N79" s="18" t="s">
        <v>20</v>
      </c>
      <c r="O79" s="18" t="s">
        <v>20</v>
      </c>
      <c r="P79" s="18" t="s">
        <v>21</v>
      </c>
      <c r="Q79" s="18" t="s">
        <v>21</v>
      </c>
      <c r="R79" s="18" t="s">
        <v>21</v>
      </c>
      <c r="S79" s="18" t="s">
        <v>20</v>
      </c>
      <c r="T79" s="18" t="s">
        <v>20</v>
      </c>
      <c r="U79" s="18" t="s">
        <v>21</v>
      </c>
      <c r="V79" s="37" t="s">
        <v>21</v>
      </c>
      <c r="W79" s="37" t="s">
        <v>20</v>
      </c>
      <c r="X79" s="37" t="s">
        <v>20</v>
      </c>
      <c r="Y79" s="18" t="s">
        <v>20</v>
      </c>
      <c r="Z79" s="18" t="s">
        <v>20</v>
      </c>
      <c r="AA79" s="20" t="s">
        <v>23</v>
      </c>
      <c r="AB79" s="20" t="s">
        <v>21</v>
      </c>
      <c r="AC79" s="20" t="s">
        <v>21</v>
      </c>
      <c r="AD79" s="18" t="s">
        <v>20</v>
      </c>
      <c r="AE79" s="18" t="s">
        <v>21</v>
      </c>
      <c r="AG79">
        <f t="shared" si="9"/>
        <v>0</v>
      </c>
      <c r="AH79">
        <f t="shared" si="10"/>
        <v>11</v>
      </c>
      <c r="AI79">
        <f t="shared" si="11"/>
        <v>14</v>
      </c>
      <c r="AJ79">
        <f t="shared" si="12"/>
        <v>1</v>
      </c>
      <c r="AL79">
        <f t="shared" si="13"/>
        <v>0</v>
      </c>
      <c r="AM79">
        <f t="shared" si="14"/>
        <v>33</v>
      </c>
      <c r="AN79">
        <f t="shared" si="15"/>
        <v>28</v>
      </c>
      <c r="AO79">
        <f t="shared" si="16"/>
        <v>1</v>
      </c>
      <c r="AP79">
        <f t="shared" si="17"/>
        <v>62</v>
      </c>
    </row>
    <row r="80" spans="1:42" ht="15.75" hidden="1" customHeight="1" x14ac:dyDescent="0.3">
      <c r="A80" s="16"/>
      <c r="B80" s="55">
        <v>13</v>
      </c>
      <c r="C80" s="56" t="s">
        <v>98</v>
      </c>
      <c r="D80" s="55">
        <v>2</v>
      </c>
      <c r="E80" s="55" t="s">
        <v>21</v>
      </c>
      <c r="F80" s="18" t="s">
        <v>20</v>
      </c>
      <c r="G80" s="18" t="s">
        <v>21</v>
      </c>
      <c r="H80" s="18" t="s">
        <v>20</v>
      </c>
      <c r="I80" s="18" t="s">
        <v>21</v>
      </c>
      <c r="J80" s="18" t="s">
        <v>20</v>
      </c>
      <c r="K80" s="18" t="s">
        <v>20</v>
      </c>
      <c r="L80" s="18" t="s">
        <v>20</v>
      </c>
      <c r="M80" s="18" t="s">
        <v>21</v>
      </c>
      <c r="N80" s="18" t="s">
        <v>20</v>
      </c>
      <c r="O80" s="18" t="s">
        <v>21</v>
      </c>
      <c r="P80" s="18" t="s">
        <v>21</v>
      </c>
      <c r="Q80" s="18" t="s">
        <v>21</v>
      </c>
      <c r="R80" s="18" t="s">
        <v>21</v>
      </c>
      <c r="S80" s="18" t="s">
        <v>20</v>
      </c>
      <c r="T80" s="18" t="s">
        <v>20</v>
      </c>
      <c r="U80" s="18" t="s">
        <v>21</v>
      </c>
      <c r="V80" s="37" t="s">
        <v>21</v>
      </c>
      <c r="W80" s="37" t="s">
        <v>20</v>
      </c>
      <c r="X80" s="37" t="s">
        <v>21</v>
      </c>
      <c r="Y80" s="18" t="s">
        <v>21</v>
      </c>
      <c r="Z80" s="18" t="s">
        <v>21</v>
      </c>
      <c r="AA80" s="20" t="s">
        <v>21</v>
      </c>
      <c r="AB80" s="20" t="s">
        <v>20</v>
      </c>
      <c r="AC80" s="20" t="s">
        <v>20</v>
      </c>
      <c r="AD80" s="18" t="s">
        <v>21</v>
      </c>
      <c r="AE80" s="18" t="s">
        <v>21</v>
      </c>
      <c r="AG80">
        <f t="shared" si="9"/>
        <v>0</v>
      </c>
      <c r="AH80">
        <f t="shared" si="10"/>
        <v>11</v>
      </c>
      <c r="AI80">
        <f t="shared" si="11"/>
        <v>15</v>
      </c>
      <c r="AJ80">
        <f t="shared" si="12"/>
        <v>0</v>
      </c>
      <c r="AL80">
        <f t="shared" si="13"/>
        <v>0</v>
      </c>
      <c r="AM80">
        <f t="shared" si="14"/>
        <v>33</v>
      </c>
      <c r="AN80">
        <f t="shared" si="15"/>
        <v>30</v>
      </c>
      <c r="AO80">
        <f t="shared" si="16"/>
        <v>0</v>
      </c>
      <c r="AP80">
        <f t="shared" si="17"/>
        <v>63</v>
      </c>
    </row>
    <row r="81" spans="1:42" ht="15.75" hidden="1" customHeight="1" x14ac:dyDescent="0.3">
      <c r="A81" s="16"/>
      <c r="B81" s="55">
        <v>14</v>
      </c>
      <c r="C81" s="56" t="s">
        <v>99</v>
      </c>
      <c r="D81" s="55">
        <v>2</v>
      </c>
      <c r="E81" s="55" t="s">
        <v>21</v>
      </c>
      <c r="F81" s="18" t="s">
        <v>20</v>
      </c>
      <c r="G81" s="18" t="s">
        <v>20</v>
      </c>
      <c r="H81" s="18" t="s">
        <v>20</v>
      </c>
      <c r="I81" s="18" t="s">
        <v>20</v>
      </c>
      <c r="J81" s="18" t="s">
        <v>20</v>
      </c>
      <c r="K81" s="18" t="s">
        <v>20</v>
      </c>
      <c r="L81" s="18" t="s">
        <v>20</v>
      </c>
      <c r="M81" s="18" t="s">
        <v>21</v>
      </c>
      <c r="N81" s="18" t="s">
        <v>20</v>
      </c>
      <c r="O81" s="18" t="s">
        <v>20</v>
      </c>
      <c r="P81" s="18" t="s">
        <v>20</v>
      </c>
      <c r="Q81" s="18" t="s">
        <v>20</v>
      </c>
      <c r="R81" s="18" t="s">
        <v>20</v>
      </c>
      <c r="S81" s="18" t="s">
        <v>20</v>
      </c>
      <c r="T81" s="18" t="s">
        <v>20</v>
      </c>
      <c r="U81" s="18" t="s">
        <v>21</v>
      </c>
      <c r="V81" s="37" t="s">
        <v>20</v>
      </c>
      <c r="W81" s="37" t="s">
        <v>20</v>
      </c>
      <c r="X81" s="37" t="s">
        <v>20</v>
      </c>
      <c r="Y81" s="18" t="s">
        <v>20</v>
      </c>
      <c r="Z81" s="18" t="s">
        <v>20</v>
      </c>
      <c r="AA81" s="20" t="s">
        <v>21</v>
      </c>
      <c r="AB81" s="20" t="s">
        <v>21</v>
      </c>
      <c r="AC81" s="20" t="s">
        <v>21</v>
      </c>
      <c r="AD81" s="40" t="s">
        <v>23</v>
      </c>
      <c r="AE81" s="40" t="s">
        <v>21</v>
      </c>
      <c r="AG81">
        <f t="shared" si="9"/>
        <v>0</v>
      </c>
      <c r="AH81">
        <f t="shared" si="10"/>
        <v>19</v>
      </c>
      <c r="AI81">
        <f t="shared" si="11"/>
        <v>6</v>
      </c>
      <c r="AJ81">
        <f t="shared" si="12"/>
        <v>1</v>
      </c>
      <c r="AL81">
        <f t="shared" si="13"/>
        <v>0</v>
      </c>
      <c r="AM81">
        <f t="shared" si="14"/>
        <v>57</v>
      </c>
      <c r="AN81">
        <f t="shared" si="15"/>
        <v>12</v>
      </c>
      <c r="AO81">
        <f t="shared" si="16"/>
        <v>1</v>
      </c>
      <c r="AP81">
        <f t="shared" si="17"/>
        <v>70</v>
      </c>
    </row>
    <row r="82" spans="1:42" ht="15.75" hidden="1" customHeight="1" x14ac:dyDescent="0.3">
      <c r="A82" s="16"/>
      <c r="B82" s="55">
        <v>15</v>
      </c>
      <c r="C82" s="56" t="s">
        <v>100</v>
      </c>
      <c r="D82" s="55">
        <v>2</v>
      </c>
      <c r="E82" s="55" t="s">
        <v>21</v>
      </c>
      <c r="F82" s="18" t="s">
        <v>21</v>
      </c>
      <c r="G82" s="18" t="s">
        <v>21</v>
      </c>
      <c r="H82" s="18" t="s">
        <v>21</v>
      </c>
      <c r="I82" s="18" t="s">
        <v>21</v>
      </c>
      <c r="J82" s="18" t="s">
        <v>21</v>
      </c>
      <c r="K82" s="18" t="s">
        <v>21</v>
      </c>
      <c r="L82" s="18" t="s">
        <v>21</v>
      </c>
      <c r="M82" s="18" t="s">
        <v>21</v>
      </c>
      <c r="N82" s="18" t="s">
        <v>23</v>
      </c>
      <c r="O82" s="18" t="s">
        <v>21</v>
      </c>
      <c r="P82" s="18" t="s">
        <v>21</v>
      </c>
      <c r="Q82" s="18" t="s">
        <v>21</v>
      </c>
      <c r="R82" s="18" t="s">
        <v>21</v>
      </c>
      <c r="S82" s="18" t="s">
        <v>21</v>
      </c>
      <c r="T82" s="18" t="s">
        <v>20</v>
      </c>
      <c r="U82" s="18" t="s">
        <v>20</v>
      </c>
      <c r="V82" s="37" t="s">
        <v>21</v>
      </c>
      <c r="W82" s="37" t="s">
        <v>20</v>
      </c>
      <c r="X82" s="37" t="s">
        <v>21</v>
      </c>
      <c r="Y82" s="18" t="s">
        <v>20</v>
      </c>
      <c r="Z82" s="18" t="s">
        <v>21</v>
      </c>
      <c r="AA82" s="20" t="s">
        <v>21</v>
      </c>
      <c r="AB82" s="20" t="s">
        <v>21</v>
      </c>
      <c r="AC82" s="20" t="s">
        <v>21</v>
      </c>
      <c r="AD82" s="18" t="s">
        <v>21</v>
      </c>
      <c r="AE82" s="18" t="s">
        <v>21</v>
      </c>
      <c r="AG82">
        <f t="shared" si="9"/>
        <v>0</v>
      </c>
      <c r="AH82">
        <f t="shared" si="10"/>
        <v>4</v>
      </c>
      <c r="AI82">
        <f t="shared" si="11"/>
        <v>21</v>
      </c>
      <c r="AJ82">
        <f t="shared" si="12"/>
        <v>1</v>
      </c>
      <c r="AL82">
        <f t="shared" si="13"/>
        <v>0</v>
      </c>
      <c r="AM82">
        <f t="shared" si="14"/>
        <v>12</v>
      </c>
      <c r="AN82">
        <f t="shared" si="15"/>
        <v>42</v>
      </c>
      <c r="AO82">
        <f t="shared" si="16"/>
        <v>1</v>
      </c>
      <c r="AP82">
        <f t="shared" si="17"/>
        <v>55</v>
      </c>
    </row>
    <row r="83" spans="1:42" ht="15.75" hidden="1" customHeight="1" x14ac:dyDescent="0.3">
      <c r="A83" s="16"/>
      <c r="B83" s="55">
        <v>16</v>
      </c>
      <c r="C83" s="56" t="s">
        <v>101</v>
      </c>
      <c r="D83" s="55">
        <v>2</v>
      </c>
      <c r="E83" s="55" t="s">
        <v>21</v>
      </c>
      <c r="F83" s="18" t="s">
        <v>21</v>
      </c>
      <c r="G83" s="18" t="s">
        <v>23</v>
      </c>
      <c r="H83" s="18" t="s">
        <v>21</v>
      </c>
      <c r="I83" s="18" t="s">
        <v>21</v>
      </c>
      <c r="J83" s="18" t="s">
        <v>21</v>
      </c>
      <c r="K83" s="18" t="s">
        <v>21</v>
      </c>
      <c r="L83" s="18" t="s">
        <v>21</v>
      </c>
      <c r="M83" s="18" t="s">
        <v>21</v>
      </c>
      <c r="N83" s="18" t="s">
        <v>23</v>
      </c>
      <c r="O83" s="18" t="s">
        <v>21</v>
      </c>
      <c r="P83" s="18" t="s">
        <v>23</v>
      </c>
      <c r="Q83" s="18" t="s">
        <v>23</v>
      </c>
      <c r="R83" s="18" t="s">
        <v>21</v>
      </c>
      <c r="S83" s="18" t="s">
        <v>21</v>
      </c>
      <c r="T83" s="18" t="s">
        <v>21</v>
      </c>
      <c r="U83" s="18" t="s">
        <v>21</v>
      </c>
      <c r="V83" s="37" t="s">
        <v>21</v>
      </c>
      <c r="W83" s="37" t="s">
        <v>21</v>
      </c>
      <c r="X83" s="37" t="s">
        <v>21</v>
      </c>
      <c r="Y83" s="18" t="s">
        <v>23</v>
      </c>
      <c r="Z83" s="18" t="s">
        <v>20</v>
      </c>
      <c r="AA83" s="20" t="s">
        <v>21</v>
      </c>
      <c r="AB83" s="20" t="s">
        <v>21</v>
      </c>
      <c r="AC83" s="20" t="s">
        <v>21</v>
      </c>
      <c r="AD83" s="18" t="s">
        <v>23</v>
      </c>
      <c r="AE83" s="18" t="s">
        <v>21</v>
      </c>
      <c r="AG83">
        <f t="shared" si="9"/>
        <v>0</v>
      </c>
      <c r="AH83">
        <f t="shared" si="10"/>
        <v>1</v>
      </c>
      <c r="AI83">
        <f t="shared" si="11"/>
        <v>19</v>
      </c>
      <c r="AJ83">
        <f t="shared" si="12"/>
        <v>6</v>
      </c>
      <c r="AL83">
        <f t="shared" si="13"/>
        <v>0</v>
      </c>
      <c r="AM83">
        <f t="shared" si="14"/>
        <v>3</v>
      </c>
      <c r="AN83">
        <f t="shared" si="15"/>
        <v>38</v>
      </c>
      <c r="AO83">
        <f t="shared" si="16"/>
        <v>6</v>
      </c>
      <c r="AP83">
        <f t="shared" si="17"/>
        <v>47</v>
      </c>
    </row>
    <row r="84" spans="1:42" ht="15.75" hidden="1" customHeight="1" x14ac:dyDescent="0.3">
      <c r="A84" s="16"/>
      <c r="B84" s="55">
        <v>17</v>
      </c>
      <c r="C84" s="56" t="s">
        <v>102</v>
      </c>
      <c r="D84" s="55">
        <v>2</v>
      </c>
      <c r="E84" s="55" t="s">
        <v>21</v>
      </c>
      <c r="F84" s="18" t="s">
        <v>20</v>
      </c>
      <c r="G84" s="18" t="s">
        <v>21</v>
      </c>
      <c r="H84" s="18" t="s">
        <v>21</v>
      </c>
      <c r="I84" s="18" t="s">
        <v>21</v>
      </c>
      <c r="J84" s="18" t="s">
        <v>21</v>
      </c>
      <c r="K84" s="18" t="s">
        <v>21</v>
      </c>
      <c r="L84" s="18" t="s">
        <v>21</v>
      </c>
      <c r="M84" s="18" t="s">
        <v>21</v>
      </c>
      <c r="N84" s="18" t="s">
        <v>20</v>
      </c>
      <c r="O84" s="18" t="s">
        <v>21</v>
      </c>
      <c r="P84" s="18" t="s">
        <v>23</v>
      </c>
      <c r="Q84" s="18" t="s">
        <v>23</v>
      </c>
      <c r="R84" s="18" t="s">
        <v>21</v>
      </c>
      <c r="S84" s="18" t="s">
        <v>21</v>
      </c>
      <c r="T84" s="18" t="s">
        <v>20</v>
      </c>
      <c r="U84" s="18" t="s">
        <v>21</v>
      </c>
      <c r="V84" s="37" t="s">
        <v>20</v>
      </c>
      <c r="W84" s="37" t="s">
        <v>20</v>
      </c>
      <c r="X84" s="37" t="s">
        <v>20</v>
      </c>
      <c r="Y84" s="18" t="s">
        <v>21</v>
      </c>
      <c r="Z84" s="18" t="s">
        <v>20</v>
      </c>
      <c r="AA84" s="20" t="s">
        <v>21</v>
      </c>
      <c r="AB84" s="20" t="s">
        <v>21</v>
      </c>
      <c r="AC84" s="20" t="s">
        <v>21</v>
      </c>
      <c r="AD84" s="18" t="s">
        <v>23</v>
      </c>
      <c r="AE84" s="18" t="s">
        <v>21</v>
      </c>
      <c r="AG84">
        <f t="shared" si="9"/>
        <v>0</v>
      </c>
      <c r="AH84">
        <f t="shared" si="10"/>
        <v>7</v>
      </c>
      <c r="AI84">
        <f t="shared" si="11"/>
        <v>16</v>
      </c>
      <c r="AJ84">
        <f t="shared" si="12"/>
        <v>3</v>
      </c>
      <c r="AL84">
        <f t="shared" si="13"/>
        <v>0</v>
      </c>
      <c r="AM84">
        <f t="shared" si="14"/>
        <v>21</v>
      </c>
      <c r="AN84">
        <f t="shared" si="15"/>
        <v>32</v>
      </c>
      <c r="AO84">
        <f t="shared" si="16"/>
        <v>3</v>
      </c>
      <c r="AP84">
        <f t="shared" si="17"/>
        <v>56</v>
      </c>
    </row>
    <row r="85" spans="1:42" ht="15.75" hidden="1" customHeight="1" x14ac:dyDescent="0.3">
      <c r="A85" s="16"/>
      <c r="B85" s="55">
        <v>18</v>
      </c>
      <c r="C85" s="56" t="s">
        <v>103</v>
      </c>
      <c r="D85" s="55">
        <v>2</v>
      </c>
      <c r="E85" s="55" t="s">
        <v>21</v>
      </c>
      <c r="F85" s="18" t="s">
        <v>20</v>
      </c>
      <c r="G85" s="18" t="s">
        <v>21</v>
      </c>
      <c r="H85" s="18" t="s">
        <v>21</v>
      </c>
      <c r="I85" s="18" t="s">
        <v>20</v>
      </c>
      <c r="J85" s="18" t="s">
        <v>21</v>
      </c>
      <c r="K85" s="18" t="s">
        <v>20</v>
      </c>
      <c r="L85" s="18" t="s">
        <v>20</v>
      </c>
      <c r="M85" s="18" t="s">
        <v>23</v>
      </c>
      <c r="N85" s="18" t="s">
        <v>20</v>
      </c>
      <c r="O85" s="18" t="s">
        <v>20</v>
      </c>
      <c r="P85" s="18" t="s">
        <v>21</v>
      </c>
      <c r="Q85" s="18" t="s">
        <v>21</v>
      </c>
      <c r="R85" s="18" t="s">
        <v>21</v>
      </c>
      <c r="S85" s="18" t="s">
        <v>20</v>
      </c>
      <c r="T85" s="18" t="s">
        <v>21</v>
      </c>
      <c r="U85" s="18" t="s">
        <v>21</v>
      </c>
      <c r="V85" s="37" t="s">
        <v>21</v>
      </c>
      <c r="W85" s="37" t="s">
        <v>21</v>
      </c>
      <c r="X85" s="37" t="s">
        <v>21</v>
      </c>
      <c r="Y85" s="18" t="s">
        <v>23</v>
      </c>
      <c r="Z85" s="18" t="s">
        <v>21</v>
      </c>
      <c r="AA85" s="20" t="s">
        <v>21</v>
      </c>
      <c r="AB85" s="20" t="s">
        <v>20</v>
      </c>
      <c r="AC85" s="20" t="s">
        <v>20</v>
      </c>
      <c r="AD85" s="18" t="s">
        <v>23</v>
      </c>
      <c r="AE85" s="18" t="s">
        <v>21</v>
      </c>
      <c r="AG85">
        <f t="shared" si="9"/>
        <v>0</v>
      </c>
      <c r="AH85">
        <f t="shared" si="10"/>
        <v>9</v>
      </c>
      <c r="AI85">
        <f t="shared" si="11"/>
        <v>14</v>
      </c>
      <c r="AJ85">
        <f t="shared" si="12"/>
        <v>3</v>
      </c>
      <c r="AL85">
        <f t="shared" si="13"/>
        <v>0</v>
      </c>
      <c r="AM85">
        <f t="shared" si="14"/>
        <v>27</v>
      </c>
      <c r="AN85">
        <f t="shared" si="15"/>
        <v>28</v>
      </c>
      <c r="AO85">
        <f t="shared" si="16"/>
        <v>3</v>
      </c>
      <c r="AP85">
        <f t="shared" si="17"/>
        <v>58</v>
      </c>
    </row>
    <row r="86" spans="1:42" ht="15.75" hidden="1" customHeight="1" x14ac:dyDescent="0.3">
      <c r="A86" s="16"/>
      <c r="B86" s="55">
        <v>19</v>
      </c>
      <c r="C86" s="56" t="s">
        <v>104</v>
      </c>
      <c r="D86" s="55">
        <v>2</v>
      </c>
      <c r="E86" s="55" t="s">
        <v>21</v>
      </c>
      <c r="F86" s="18" t="s">
        <v>21</v>
      </c>
      <c r="G86" s="18" t="s">
        <v>23</v>
      </c>
      <c r="H86" s="18" t="s">
        <v>21</v>
      </c>
      <c r="I86" s="18" t="s">
        <v>21</v>
      </c>
      <c r="J86" s="18" t="s">
        <v>21</v>
      </c>
      <c r="K86" s="18" t="s">
        <v>21</v>
      </c>
      <c r="L86" s="18" t="s">
        <v>21</v>
      </c>
      <c r="M86" s="18" t="s">
        <v>23</v>
      </c>
      <c r="N86" s="18" t="s">
        <v>23</v>
      </c>
      <c r="O86" s="18" t="s">
        <v>23</v>
      </c>
      <c r="P86" s="18" t="s">
        <v>23</v>
      </c>
      <c r="Q86" s="18" t="s">
        <v>21</v>
      </c>
      <c r="R86" s="18" t="s">
        <v>23</v>
      </c>
      <c r="S86" s="18" t="s">
        <v>21</v>
      </c>
      <c r="T86" s="18" t="s">
        <v>23</v>
      </c>
      <c r="U86" s="18" t="s">
        <v>21</v>
      </c>
      <c r="V86" s="37" t="s">
        <v>21</v>
      </c>
      <c r="W86" s="37" t="s">
        <v>21</v>
      </c>
      <c r="X86" s="37" t="s">
        <v>21</v>
      </c>
      <c r="Y86" s="18" t="s">
        <v>23</v>
      </c>
      <c r="Z86" s="18" t="s">
        <v>23</v>
      </c>
      <c r="AA86" s="20" t="s">
        <v>21</v>
      </c>
      <c r="AB86" s="20" t="s">
        <v>21</v>
      </c>
      <c r="AC86" s="20" t="s">
        <v>21</v>
      </c>
      <c r="AD86" s="18" t="s">
        <v>23</v>
      </c>
      <c r="AE86" s="18" t="s">
        <v>21</v>
      </c>
      <c r="AG86">
        <f t="shared" si="9"/>
        <v>0</v>
      </c>
      <c r="AH86">
        <f t="shared" si="10"/>
        <v>0</v>
      </c>
      <c r="AI86">
        <f t="shared" si="11"/>
        <v>16</v>
      </c>
      <c r="AJ86">
        <f t="shared" si="12"/>
        <v>10</v>
      </c>
      <c r="AL86">
        <f t="shared" si="13"/>
        <v>0</v>
      </c>
      <c r="AM86">
        <f t="shared" si="14"/>
        <v>0</v>
      </c>
      <c r="AN86">
        <f t="shared" si="15"/>
        <v>32</v>
      </c>
      <c r="AO86">
        <f t="shared" si="16"/>
        <v>10</v>
      </c>
      <c r="AP86">
        <f t="shared" si="17"/>
        <v>42</v>
      </c>
    </row>
    <row r="87" spans="1:42" ht="15.75" hidden="1" customHeight="1" x14ac:dyDescent="0.3">
      <c r="A87" s="16"/>
      <c r="B87" s="55">
        <v>20</v>
      </c>
      <c r="C87" s="56" t="s">
        <v>105</v>
      </c>
      <c r="D87" s="55">
        <v>2</v>
      </c>
      <c r="E87" s="55" t="s">
        <v>21</v>
      </c>
      <c r="F87" s="18" t="s">
        <v>20</v>
      </c>
      <c r="G87" s="18" t="s">
        <v>20</v>
      </c>
      <c r="H87" s="18" t="s">
        <v>20</v>
      </c>
      <c r="I87" s="18" t="s">
        <v>20</v>
      </c>
      <c r="J87" s="18" t="s">
        <v>20</v>
      </c>
      <c r="K87" s="18" t="s">
        <v>20</v>
      </c>
      <c r="L87" s="18" t="s">
        <v>21</v>
      </c>
      <c r="M87" s="18" t="s">
        <v>21</v>
      </c>
      <c r="N87" s="18" t="s">
        <v>20</v>
      </c>
      <c r="O87" s="18" t="s">
        <v>20</v>
      </c>
      <c r="P87" s="18" t="s">
        <v>23</v>
      </c>
      <c r="Q87" s="18" t="s">
        <v>23</v>
      </c>
      <c r="R87" s="18" t="s">
        <v>21</v>
      </c>
      <c r="S87" s="18" t="s">
        <v>21</v>
      </c>
      <c r="T87" s="18" t="s">
        <v>20</v>
      </c>
      <c r="U87" s="18" t="s">
        <v>21</v>
      </c>
      <c r="V87" s="37" t="s">
        <v>21</v>
      </c>
      <c r="W87" s="37" t="s">
        <v>20</v>
      </c>
      <c r="X87" s="37" t="s">
        <v>21</v>
      </c>
      <c r="Y87" s="18" t="s">
        <v>20</v>
      </c>
      <c r="Z87" s="18" t="s">
        <v>20</v>
      </c>
      <c r="AA87" s="20" t="s">
        <v>20</v>
      </c>
      <c r="AB87" s="20" t="s">
        <v>20</v>
      </c>
      <c r="AC87" s="20" t="s">
        <v>20</v>
      </c>
      <c r="AD87" s="18" t="s">
        <v>21</v>
      </c>
      <c r="AE87" s="18" t="s">
        <v>21</v>
      </c>
      <c r="AG87">
        <f t="shared" si="9"/>
        <v>0</v>
      </c>
      <c r="AH87">
        <f t="shared" si="10"/>
        <v>15</v>
      </c>
      <c r="AI87">
        <f t="shared" si="11"/>
        <v>9</v>
      </c>
      <c r="AJ87">
        <f t="shared" si="12"/>
        <v>2</v>
      </c>
      <c r="AL87">
        <f t="shared" si="13"/>
        <v>0</v>
      </c>
      <c r="AM87">
        <f t="shared" si="14"/>
        <v>45</v>
      </c>
      <c r="AN87">
        <f t="shared" si="15"/>
        <v>18</v>
      </c>
      <c r="AO87">
        <f t="shared" si="16"/>
        <v>2</v>
      </c>
      <c r="AP87">
        <f t="shared" si="17"/>
        <v>65</v>
      </c>
    </row>
    <row r="88" spans="1:42" ht="15.75" hidden="1" customHeight="1" x14ac:dyDescent="0.3">
      <c r="A88" s="16"/>
      <c r="B88" s="55">
        <v>21</v>
      </c>
      <c r="C88" s="56" t="s">
        <v>106</v>
      </c>
      <c r="D88" s="55">
        <v>2</v>
      </c>
      <c r="E88" s="55" t="s">
        <v>21</v>
      </c>
      <c r="F88" s="18" t="s">
        <v>21</v>
      </c>
      <c r="G88" s="18" t="s">
        <v>23</v>
      </c>
      <c r="H88" s="18" t="s">
        <v>21</v>
      </c>
      <c r="I88" s="18" t="s">
        <v>21</v>
      </c>
      <c r="J88" s="18" t="s">
        <v>20</v>
      </c>
      <c r="K88" s="18" t="s">
        <v>20</v>
      </c>
      <c r="L88" s="18" t="s">
        <v>20</v>
      </c>
      <c r="M88" s="18" t="s">
        <v>21</v>
      </c>
      <c r="N88" s="18" t="s">
        <v>21</v>
      </c>
      <c r="O88" s="18" t="s">
        <v>21</v>
      </c>
      <c r="P88" s="18" t="s">
        <v>21</v>
      </c>
      <c r="Q88" s="18" t="s">
        <v>21</v>
      </c>
      <c r="R88" s="18" t="s">
        <v>21</v>
      </c>
      <c r="S88" s="18" t="s">
        <v>23</v>
      </c>
      <c r="T88" s="18" t="s">
        <v>21</v>
      </c>
      <c r="U88" s="18" t="s">
        <v>20</v>
      </c>
      <c r="V88" s="37" t="s">
        <v>21</v>
      </c>
      <c r="W88" s="37" t="s">
        <v>21</v>
      </c>
      <c r="X88" s="37" t="s">
        <v>21</v>
      </c>
      <c r="Y88" s="18" t="s">
        <v>23</v>
      </c>
      <c r="Z88" s="18" t="s">
        <v>21</v>
      </c>
      <c r="AA88" s="20" t="s">
        <v>21</v>
      </c>
      <c r="AB88" s="20" t="s">
        <v>21</v>
      </c>
      <c r="AC88" s="20" t="s">
        <v>21</v>
      </c>
      <c r="AD88" s="18" t="s">
        <v>23</v>
      </c>
      <c r="AE88" s="18" t="s">
        <v>21</v>
      </c>
      <c r="AG88">
        <f t="shared" si="9"/>
        <v>0</v>
      </c>
      <c r="AH88">
        <f t="shared" si="10"/>
        <v>4</v>
      </c>
      <c r="AI88">
        <f t="shared" si="11"/>
        <v>18</v>
      </c>
      <c r="AJ88">
        <f t="shared" si="12"/>
        <v>4</v>
      </c>
      <c r="AL88">
        <f t="shared" si="13"/>
        <v>0</v>
      </c>
      <c r="AM88">
        <f t="shared" si="14"/>
        <v>12</v>
      </c>
      <c r="AN88">
        <f t="shared" si="15"/>
        <v>36</v>
      </c>
      <c r="AO88">
        <f t="shared" si="16"/>
        <v>4</v>
      </c>
      <c r="AP88">
        <f t="shared" si="17"/>
        <v>52</v>
      </c>
    </row>
    <row r="89" spans="1:42" ht="15.75" hidden="1" customHeight="1" x14ac:dyDescent="0.3">
      <c r="A89" s="16"/>
      <c r="B89" s="55">
        <v>22</v>
      </c>
      <c r="C89" s="56" t="s">
        <v>107</v>
      </c>
      <c r="D89" s="55">
        <v>2</v>
      </c>
      <c r="E89" s="55" t="s">
        <v>21</v>
      </c>
      <c r="F89" s="18" t="s">
        <v>21</v>
      </c>
      <c r="G89" s="18" t="s">
        <v>21</v>
      </c>
      <c r="H89" s="18" t="s">
        <v>23</v>
      </c>
      <c r="I89" s="18" t="s">
        <v>21</v>
      </c>
      <c r="J89" s="18" t="s">
        <v>20</v>
      </c>
      <c r="K89" s="18" t="s">
        <v>21</v>
      </c>
      <c r="L89" s="18" t="s">
        <v>21</v>
      </c>
      <c r="M89" s="18" t="s">
        <v>20</v>
      </c>
      <c r="N89" s="18" t="s">
        <v>21</v>
      </c>
      <c r="O89" s="18" t="s">
        <v>20</v>
      </c>
      <c r="P89" s="18" t="s">
        <v>21</v>
      </c>
      <c r="Q89" s="18" t="s">
        <v>21</v>
      </c>
      <c r="R89" s="18" t="s">
        <v>21</v>
      </c>
      <c r="S89" s="18" t="s">
        <v>20</v>
      </c>
      <c r="T89" s="18" t="s">
        <v>21</v>
      </c>
      <c r="U89" s="18" t="s">
        <v>21</v>
      </c>
      <c r="V89" s="37" t="s">
        <v>21</v>
      </c>
      <c r="W89" s="37" t="s">
        <v>21</v>
      </c>
      <c r="X89" s="37" t="s">
        <v>21</v>
      </c>
      <c r="Y89" s="18" t="s">
        <v>21</v>
      </c>
      <c r="Z89" s="18" t="s">
        <v>21</v>
      </c>
      <c r="AA89" s="20" t="s">
        <v>21</v>
      </c>
      <c r="AB89" s="20" t="s">
        <v>21</v>
      </c>
      <c r="AC89" s="20" t="s">
        <v>20</v>
      </c>
      <c r="AD89" s="18" t="s">
        <v>23</v>
      </c>
      <c r="AE89" s="18" t="s">
        <v>21</v>
      </c>
      <c r="AG89">
        <f t="shared" si="9"/>
        <v>0</v>
      </c>
      <c r="AH89">
        <f t="shared" si="10"/>
        <v>5</v>
      </c>
      <c r="AI89">
        <f t="shared" si="11"/>
        <v>19</v>
      </c>
      <c r="AJ89">
        <f t="shared" si="12"/>
        <v>2</v>
      </c>
      <c r="AL89">
        <f t="shared" si="13"/>
        <v>0</v>
      </c>
      <c r="AM89">
        <f t="shared" si="14"/>
        <v>15</v>
      </c>
      <c r="AN89">
        <f t="shared" si="15"/>
        <v>38</v>
      </c>
      <c r="AO89">
        <f t="shared" si="16"/>
        <v>2</v>
      </c>
      <c r="AP89">
        <f t="shared" si="17"/>
        <v>55</v>
      </c>
    </row>
    <row r="90" spans="1:42" ht="15.75" hidden="1" customHeight="1" thickBot="1" x14ac:dyDescent="0.35">
      <c r="A90" s="16"/>
      <c r="B90" s="57">
        <v>23</v>
      </c>
      <c r="C90" s="58" t="s">
        <v>108</v>
      </c>
      <c r="D90" s="57">
        <v>2</v>
      </c>
      <c r="E90" s="57" t="s">
        <v>21</v>
      </c>
      <c r="F90" s="21" t="s">
        <v>21</v>
      </c>
      <c r="G90" s="21" t="s">
        <v>23</v>
      </c>
      <c r="H90" s="21" t="s">
        <v>21</v>
      </c>
      <c r="I90" s="21" t="s">
        <v>21</v>
      </c>
      <c r="J90" s="21" t="s">
        <v>20</v>
      </c>
      <c r="K90" s="21" t="s">
        <v>21</v>
      </c>
      <c r="L90" s="21" t="s">
        <v>21</v>
      </c>
      <c r="M90" s="21" t="s">
        <v>23</v>
      </c>
      <c r="N90" s="21" t="s">
        <v>21</v>
      </c>
      <c r="O90" s="21" t="s">
        <v>21</v>
      </c>
      <c r="P90" s="21" t="s">
        <v>23</v>
      </c>
      <c r="Q90" s="21" t="s">
        <v>21</v>
      </c>
      <c r="R90" s="41" t="s">
        <v>23</v>
      </c>
      <c r="S90" s="21" t="s">
        <v>23</v>
      </c>
      <c r="T90" s="21" t="s">
        <v>23</v>
      </c>
      <c r="U90" s="21" t="s">
        <v>21</v>
      </c>
      <c r="V90" s="38" t="s">
        <v>20</v>
      </c>
      <c r="W90" s="38" t="s">
        <v>20</v>
      </c>
      <c r="X90" s="38" t="s">
        <v>20</v>
      </c>
      <c r="Y90" s="21" t="s">
        <v>21</v>
      </c>
      <c r="Z90" s="21" t="s">
        <v>21</v>
      </c>
      <c r="AA90" s="23" t="s">
        <v>21</v>
      </c>
      <c r="AB90" s="23" t="s">
        <v>21</v>
      </c>
      <c r="AC90" s="23" t="s">
        <v>21</v>
      </c>
      <c r="AD90" s="21" t="s">
        <v>23</v>
      </c>
      <c r="AE90" s="21" t="s">
        <v>21</v>
      </c>
      <c r="AG90">
        <f t="shared" si="9"/>
        <v>0</v>
      </c>
      <c r="AH90">
        <f t="shared" si="10"/>
        <v>4</v>
      </c>
      <c r="AI90">
        <f t="shared" si="11"/>
        <v>15</v>
      </c>
      <c r="AJ90">
        <f t="shared" si="12"/>
        <v>7</v>
      </c>
      <c r="AL90">
        <f t="shared" si="13"/>
        <v>0</v>
      </c>
      <c r="AM90">
        <f t="shared" si="14"/>
        <v>12</v>
      </c>
      <c r="AN90">
        <f t="shared" si="15"/>
        <v>30</v>
      </c>
      <c r="AO90">
        <f t="shared" si="16"/>
        <v>7</v>
      </c>
      <c r="AP90">
        <f t="shared" si="17"/>
        <v>49</v>
      </c>
    </row>
    <row r="91" spans="1:42" ht="15.75" hidden="1" customHeight="1" x14ac:dyDescent="0.3">
      <c r="A91" s="16"/>
      <c r="B91" s="59">
        <v>1</v>
      </c>
      <c r="C91" s="60" t="s">
        <v>109</v>
      </c>
      <c r="D91" s="59">
        <v>3</v>
      </c>
      <c r="E91" s="59" t="s">
        <v>20</v>
      </c>
      <c r="F91" s="24" t="s">
        <v>39</v>
      </c>
      <c r="G91" s="24" t="s">
        <v>39</v>
      </c>
      <c r="H91" s="24" t="s">
        <v>20</v>
      </c>
      <c r="I91" s="24" t="s">
        <v>39</v>
      </c>
      <c r="J91" s="42" t="s">
        <v>20</v>
      </c>
      <c r="K91" s="42" t="s">
        <v>39</v>
      </c>
      <c r="L91" s="42" t="s">
        <v>20</v>
      </c>
      <c r="M91" s="24" t="s">
        <v>20</v>
      </c>
      <c r="N91" s="24" t="s">
        <v>20</v>
      </c>
      <c r="O91" s="24" t="s">
        <v>20</v>
      </c>
      <c r="P91" s="24" t="s">
        <v>20</v>
      </c>
      <c r="Q91" s="24" t="s">
        <v>20</v>
      </c>
      <c r="R91" s="24" t="s">
        <v>20</v>
      </c>
      <c r="S91" s="24" t="s">
        <v>20</v>
      </c>
      <c r="T91" s="24" t="s">
        <v>20</v>
      </c>
      <c r="U91" s="24" t="s">
        <v>20</v>
      </c>
      <c r="V91" s="39" t="s">
        <v>21</v>
      </c>
      <c r="W91" s="39" t="s">
        <v>20</v>
      </c>
      <c r="X91" s="39" t="s">
        <v>21</v>
      </c>
      <c r="Y91" s="24" t="s">
        <v>39</v>
      </c>
      <c r="Z91" s="24" t="s">
        <v>39</v>
      </c>
      <c r="AA91" s="27" t="s">
        <v>20</v>
      </c>
      <c r="AB91" s="27" t="s">
        <v>20</v>
      </c>
      <c r="AC91" s="27" t="s">
        <v>20</v>
      </c>
      <c r="AD91" s="39" t="s">
        <v>20</v>
      </c>
      <c r="AE91" s="39" t="s">
        <v>21</v>
      </c>
      <c r="AG91">
        <f t="shared" si="9"/>
        <v>6</v>
      </c>
      <c r="AH91">
        <f t="shared" si="10"/>
        <v>17</v>
      </c>
      <c r="AI91">
        <f t="shared" si="11"/>
        <v>3</v>
      </c>
      <c r="AJ91">
        <f t="shared" si="12"/>
        <v>0</v>
      </c>
      <c r="AL91">
        <f t="shared" si="13"/>
        <v>24</v>
      </c>
      <c r="AM91">
        <f t="shared" si="14"/>
        <v>51</v>
      </c>
      <c r="AN91">
        <f t="shared" si="15"/>
        <v>6</v>
      </c>
      <c r="AO91">
        <f t="shared" si="16"/>
        <v>0</v>
      </c>
      <c r="AP91">
        <f t="shared" si="17"/>
        <v>81</v>
      </c>
    </row>
    <row r="92" spans="1:42" ht="15.75" hidden="1" customHeight="1" x14ac:dyDescent="0.3">
      <c r="A92" s="16"/>
      <c r="B92" s="55">
        <v>2</v>
      </c>
      <c r="C92" s="56" t="s">
        <v>110</v>
      </c>
      <c r="D92" s="55">
        <v>3</v>
      </c>
      <c r="E92" s="55" t="s">
        <v>20</v>
      </c>
      <c r="F92" s="18" t="s">
        <v>20</v>
      </c>
      <c r="G92" s="18" t="s">
        <v>20</v>
      </c>
      <c r="H92" s="18" t="s">
        <v>20</v>
      </c>
      <c r="I92" s="18" t="s">
        <v>39</v>
      </c>
      <c r="J92" s="43" t="s">
        <v>39</v>
      </c>
      <c r="K92" s="43" t="s">
        <v>39</v>
      </c>
      <c r="L92" s="43" t="s">
        <v>20</v>
      </c>
      <c r="M92" s="18" t="s">
        <v>20</v>
      </c>
      <c r="N92" s="18" t="s">
        <v>20</v>
      </c>
      <c r="O92" s="18" t="s">
        <v>20</v>
      </c>
      <c r="P92" s="18" t="s">
        <v>20</v>
      </c>
      <c r="Q92" s="18" t="s">
        <v>20</v>
      </c>
      <c r="R92" s="18" t="s">
        <v>20</v>
      </c>
      <c r="S92" s="18" t="s">
        <v>20</v>
      </c>
      <c r="T92" s="18" t="s">
        <v>20</v>
      </c>
      <c r="U92" s="18" t="s">
        <v>20</v>
      </c>
      <c r="V92" s="37" t="s">
        <v>20</v>
      </c>
      <c r="W92" s="37" t="s">
        <v>20</v>
      </c>
      <c r="X92" s="37" t="s">
        <v>20</v>
      </c>
      <c r="Y92" s="18" t="s">
        <v>20</v>
      </c>
      <c r="Z92" s="18" t="s">
        <v>20</v>
      </c>
      <c r="AA92" s="20" t="s">
        <v>20</v>
      </c>
      <c r="AB92" s="20" t="s">
        <v>20</v>
      </c>
      <c r="AC92" s="20" t="s">
        <v>20</v>
      </c>
      <c r="AD92" s="37" t="s">
        <v>21</v>
      </c>
      <c r="AE92" s="37" t="s">
        <v>21</v>
      </c>
      <c r="AG92">
        <f t="shared" si="9"/>
        <v>3</v>
      </c>
      <c r="AH92">
        <f t="shared" si="10"/>
        <v>21</v>
      </c>
      <c r="AI92">
        <f t="shared" si="11"/>
        <v>2</v>
      </c>
      <c r="AJ92">
        <f t="shared" si="12"/>
        <v>0</v>
      </c>
      <c r="AL92">
        <f t="shared" si="13"/>
        <v>12</v>
      </c>
      <c r="AM92">
        <f t="shared" si="14"/>
        <v>63</v>
      </c>
      <c r="AN92">
        <f t="shared" si="15"/>
        <v>4</v>
      </c>
      <c r="AO92">
        <f t="shared" si="16"/>
        <v>0</v>
      </c>
      <c r="AP92">
        <f t="shared" si="17"/>
        <v>79</v>
      </c>
    </row>
    <row r="93" spans="1:42" ht="15.75" hidden="1" customHeight="1" x14ac:dyDescent="0.3">
      <c r="A93" s="16"/>
      <c r="B93" s="55">
        <v>3</v>
      </c>
      <c r="C93" s="56" t="s">
        <v>111</v>
      </c>
      <c r="D93" s="55">
        <v>3</v>
      </c>
      <c r="E93" s="55" t="s">
        <v>20</v>
      </c>
      <c r="F93" s="18" t="s">
        <v>23</v>
      </c>
      <c r="G93" s="18" t="s">
        <v>21</v>
      </c>
      <c r="H93" s="18" t="s">
        <v>23</v>
      </c>
      <c r="I93" s="18" t="s">
        <v>23</v>
      </c>
      <c r="J93" s="43" t="s">
        <v>21</v>
      </c>
      <c r="K93" s="43" t="s">
        <v>20</v>
      </c>
      <c r="L93" s="43" t="s">
        <v>21</v>
      </c>
      <c r="M93" s="18" t="s">
        <v>21</v>
      </c>
      <c r="N93" s="18" t="s">
        <v>21</v>
      </c>
      <c r="O93" s="18" t="s">
        <v>21</v>
      </c>
      <c r="P93" s="18" t="s">
        <v>23</v>
      </c>
      <c r="Q93" s="18" t="s">
        <v>21</v>
      </c>
      <c r="R93" s="18" t="s">
        <v>21</v>
      </c>
      <c r="S93" s="18" t="s">
        <v>21</v>
      </c>
      <c r="T93" s="18" t="s">
        <v>21</v>
      </c>
      <c r="U93" s="18" t="s">
        <v>20</v>
      </c>
      <c r="V93" s="37" t="s">
        <v>20</v>
      </c>
      <c r="W93" s="37" t="s">
        <v>21</v>
      </c>
      <c r="X93" s="37" t="s">
        <v>21</v>
      </c>
      <c r="Y93" s="18" t="s">
        <v>21</v>
      </c>
      <c r="Z93" s="18" t="s">
        <v>20</v>
      </c>
      <c r="AA93" s="20" t="s">
        <v>21</v>
      </c>
      <c r="AB93" s="20" t="s">
        <v>21</v>
      </c>
      <c r="AC93" s="20" t="s">
        <v>21</v>
      </c>
      <c r="AD93" s="37" t="s">
        <v>23</v>
      </c>
      <c r="AE93" s="37" t="s">
        <v>21</v>
      </c>
      <c r="AG93">
        <f t="shared" si="9"/>
        <v>0</v>
      </c>
      <c r="AH93">
        <f t="shared" si="10"/>
        <v>4</v>
      </c>
      <c r="AI93">
        <f t="shared" si="11"/>
        <v>17</v>
      </c>
      <c r="AJ93">
        <f t="shared" si="12"/>
        <v>5</v>
      </c>
      <c r="AL93">
        <f t="shared" si="13"/>
        <v>0</v>
      </c>
      <c r="AM93">
        <f t="shared" si="14"/>
        <v>12</v>
      </c>
      <c r="AN93">
        <f t="shared" si="15"/>
        <v>34</v>
      </c>
      <c r="AO93">
        <f t="shared" si="16"/>
        <v>5</v>
      </c>
      <c r="AP93">
        <f t="shared" si="17"/>
        <v>51</v>
      </c>
    </row>
    <row r="94" spans="1:42" ht="15.75" hidden="1" customHeight="1" x14ac:dyDescent="0.3">
      <c r="A94" s="16"/>
      <c r="B94" s="55">
        <v>4</v>
      </c>
      <c r="C94" s="56" t="s">
        <v>112</v>
      </c>
      <c r="D94" s="55">
        <v>3</v>
      </c>
      <c r="E94" s="55" t="s">
        <v>20</v>
      </c>
      <c r="F94" s="18" t="s">
        <v>39</v>
      </c>
      <c r="G94" s="18" t="s">
        <v>20</v>
      </c>
      <c r="H94" s="18" t="s">
        <v>20</v>
      </c>
      <c r="I94" s="18" t="s">
        <v>20</v>
      </c>
      <c r="J94" s="43" t="s">
        <v>20</v>
      </c>
      <c r="K94" s="43" t="s">
        <v>39</v>
      </c>
      <c r="L94" s="43" t="s">
        <v>20</v>
      </c>
      <c r="M94" s="18" t="s">
        <v>20</v>
      </c>
      <c r="N94" s="18" t="s">
        <v>20</v>
      </c>
      <c r="O94" s="18" t="s">
        <v>20</v>
      </c>
      <c r="P94" s="18" t="s">
        <v>20</v>
      </c>
      <c r="Q94" s="18" t="s">
        <v>20</v>
      </c>
      <c r="R94" s="18" t="s">
        <v>20</v>
      </c>
      <c r="S94" s="18" t="s">
        <v>20</v>
      </c>
      <c r="T94" s="18" t="s">
        <v>20</v>
      </c>
      <c r="U94" s="18" t="s">
        <v>20</v>
      </c>
      <c r="V94" s="37" t="s">
        <v>20</v>
      </c>
      <c r="W94" s="37" t="s">
        <v>21</v>
      </c>
      <c r="X94" s="37" t="s">
        <v>20</v>
      </c>
      <c r="Y94" s="18" t="s">
        <v>20</v>
      </c>
      <c r="Z94" s="18" t="s">
        <v>20</v>
      </c>
      <c r="AA94" s="20" t="s">
        <v>20</v>
      </c>
      <c r="AB94" s="20" t="s">
        <v>20</v>
      </c>
      <c r="AC94" s="20" t="s">
        <v>20</v>
      </c>
      <c r="AD94" s="37" t="s">
        <v>20</v>
      </c>
      <c r="AE94" s="37" t="s">
        <v>21</v>
      </c>
      <c r="AG94">
        <f t="shared" si="9"/>
        <v>2</v>
      </c>
      <c r="AH94">
        <f t="shared" si="10"/>
        <v>22</v>
      </c>
      <c r="AI94">
        <f t="shared" si="11"/>
        <v>2</v>
      </c>
      <c r="AJ94">
        <f t="shared" si="12"/>
        <v>0</v>
      </c>
      <c r="AL94">
        <f t="shared" si="13"/>
        <v>8</v>
      </c>
      <c r="AM94">
        <f t="shared" si="14"/>
        <v>66</v>
      </c>
      <c r="AN94">
        <f t="shared" si="15"/>
        <v>4</v>
      </c>
      <c r="AO94">
        <f t="shared" si="16"/>
        <v>0</v>
      </c>
      <c r="AP94">
        <f t="shared" si="17"/>
        <v>78</v>
      </c>
    </row>
    <row r="95" spans="1:42" ht="15.75" hidden="1" customHeight="1" x14ac:dyDescent="0.3">
      <c r="A95" s="16"/>
      <c r="B95" s="55">
        <v>5</v>
      </c>
      <c r="C95" s="56" t="s">
        <v>113</v>
      </c>
      <c r="D95" s="55">
        <v>3</v>
      </c>
      <c r="E95" s="55" t="s">
        <v>20</v>
      </c>
      <c r="F95" s="18" t="s">
        <v>23</v>
      </c>
      <c r="G95" s="18" t="s">
        <v>23</v>
      </c>
      <c r="H95" s="18" t="s">
        <v>23</v>
      </c>
      <c r="I95" s="18" t="s">
        <v>23</v>
      </c>
      <c r="J95" s="43" t="s">
        <v>21</v>
      </c>
      <c r="K95" s="43" t="s">
        <v>21</v>
      </c>
      <c r="L95" s="43" t="s">
        <v>21</v>
      </c>
      <c r="M95" s="18" t="s">
        <v>21</v>
      </c>
      <c r="N95" s="18" t="s">
        <v>23</v>
      </c>
      <c r="O95" s="18" t="s">
        <v>23</v>
      </c>
      <c r="P95" s="18" t="s">
        <v>23</v>
      </c>
      <c r="Q95" s="18" t="s">
        <v>23</v>
      </c>
      <c r="R95" s="18" t="s">
        <v>21</v>
      </c>
      <c r="S95" s="18" t="s">
        <v>23</v>
      </c>
      <c r="T95" s="18" t="s">
        <v>23</v>
      </c>
      <c r="U95" s="18" t="s">
        <v>21</v>
      </c>
      <c r="V95" s="37" t="s">
        <v>21</v>
      </c>
      <c r="W95" s="37" t="s">
        <v>21</v>
      </c>
      <c r="X95" s="37" t="s">
        <v>21</v>
      </c>
      <c r="Y95" s="18" t="s">
        <v>23</v>
      </c>
      <c r="Z95" s="18" t="s">
        <v>21</v>
      </c>
      <c r="AA95" s="20" t="s">
        <v>21</v>
      </c>
      <c r="AB95" s="20" t="s">
        <v>21</v>
      </c>
      <c r="AC95" s="20" t="s">
        <v>21</v>
      </c>
      <c r="AD95" s="37" t="s">
        <v>23</v>
      </c>
      <c r="AE95" s="37" t="s">
        <v>21</v>
      </c>
      <c r="AG95">
        <f t="shared" si="9"/>
        <v>0</v>
      </c>
      <c r="AH95">
        <f t="shared" si="10"/>
        <v>0</v>
      </c>
      <c r="AI95">
        <f t="shared" si="11"/>
        <v>14</v>
      </c>
      <c r="AJ95">
        <f t="shared" si="12"/>
        <v>12</v>
      </c>
      <c r="AL95">
        <f t="shared" si="13"/>
        <v>0</v>
      </c>
      <c r="AM95">
        <f t="shared" si="14"/>
        <v>0</v>
      </c>
      <c r="AN95">
        <f t="shared" si="15"/>
        <v>28</v>
      </c>
      <c r="AO95">
        <f t="shared" si="16"/>
        <v>12</v>
      </c>
      <c r="AP95">
        <f t="shared" si="17"/>
        <v>40</v>
      </c>
    </row>
    <row r="96" spans="1:42" ht="15.75" hidden="1" customHeight="1" x14ac:dyDescent="0.3">
      <c r="A96" s="16"/>
      <c r="B96" s="55">
        <v>6</v>
      </c>
      <c r="C96" s="56" t="s">
        <v>114</v>
      </c>
      <c r="D96" s="55">
        <v>3</v>
      </c>
      <c r="E96" s="55" t="s">
        <v>20</v>
      </c>
      <c r="F96" s="18" t="s">
        <v>20</v>
      </c>
      <c r="G96" s="18" t="s">
        <v>20</v>
      </c>
      <c r="H96" s="18" t="s">
        <v>20</v>
      </c>
      <c r="I96" s="18" t="s">
        <v>20</v>
      </c>
      <c r="J96" s="43" t="s">
        <v>20</v>
      </c>
      <c r="K96" s="43" t="s">
        <v>20</v>
      </c>
      <c r="L96" s="43" t="s">
        <v>20</v>
      </c>
      <c r="M96" s="18" t="s">
        <v>21</v>
      </c>
      <c r="N96" s="18" t="s">
        <v>20</v>
      </c>
      <c r="O96" s="18" t="s">
        <v>20</v>
      </c>
      <c r="P96" s="18" t="s">
        <v>20</v>
      </c>
      <c r="Q96" s="18" t="s">
        <v>20</v>
      </c>
      <c r="R96" s="18" t="s">
        <v>21</v>
      </c>
      <c r="S96" s="18" t="s">
        <v>21</v>
      </c>
      <c r="T96" s="18" t="s">
        <v>20</v>
      </c>
      <c r="U96" s="18" t="s">
        <v>20</v>
      </c>
      <c r="V96" s="37" t="s">
        <v>21</v>
      </c>
      <c r="W96" s="37" t="s">
        <v>21</v>
      </c>
      <c r="X96" s="37" t="s">
        <v>20</v>
      </c>
      <c r="Y96" s="18" t="s">
        <v>21</v>
      </c>
      <c r="Z96" s="18" t="s">
        <v>20</v>
      </c>
      <c r="AA96" s="20" t="s">
        <v>20</v>
      </c>
      <c r="AB96" s="20" t="s">
        <v>21</v>
      </c>
      <c r="AC96" s="20" t="s">
        <v>21</v>
      </c>
      <c r="AD96" s="37" t="s">
        <v>23</v>
      </c>
      <c r="AE96" s="37" t="s">
        <v>21</v>
      </c>
      <c r="AG96">
        <f t="shared" si="9"/>
        <v>0</v>
      </c>
      <c r="AH96">
        <f t="shared" si="10"/>
        <v>16</v>
      </c>
      <c r="AI96">
        <f t="shared" si="11"/>
        <v>9</v>
      </c>
      <c r="AJ96">
        <f t="shared" si="12"/>
        <v>1</v>
      </c>
      <c r="AL96">
        <f t="shared" si="13"/>
        <v>0</v>
      </c>
      <c r="AM96">
        <f t="shared" si="14"/>
        <v>48</v>
      </c>
      <c r="AN96">
        <f t="shared" si="15"/>
        <v>18</v>
      </c>
      <c r="AO96">
        <f t="shared" si="16"/>
        <v>1</v>
      </c>
      <c r="AP96">
        <f t="shared" si="17"/>
        <v>67</v>
      </c>
    </row>
    <row r="97" spans="1:42" ht="15.75" hidden="1" customHeight="1" x14ac:dyDescent="0.3">
      <c r="A97" s="16"/>
      <c r="B97" s="55">
        <v>7</v>
      </c>
      <c r="C97" s="56" t="s">
        <v>115</v>
      </c>
      <c r="D97" s="55">
        <v>3</v>
      </c>
      <c r="E97" s="55" t="s">
        <v>20</v>
      </c>
      <c r="F97" s="18" t="s">
        <v>23</v>
      </c>
      <c r="G97" s="18" t="s">
        <v>23</v>
      </c>
      <c r="H97" s="18" t="s">
        <v>23</v>
      </c>
      <c r="I97" s="18" t="s">
        <v>23</v>
      </c>
      <c r="J97" s="43" t="s">
        <v>21</v>
      </c>
      <c r="K97" s="43" t="s">
        <v>21</v>
      </c>
      <c r="L97" s="43" t="s">
        <v>21</v>
      </c>
      <c r="M97" s="18" t="s">
        <v>20</v>
      </c>
      <c r="N97" s="18" t="s">
        <v>21</v>
      </c>
      <c r="O97" s="18" t="s">
        <v>21</v>
      </c>
      <c r="P97" s="18" t="s">
        <v>21</v>
      </c>
      <c r="Q97" s="18" t="s">
        <v>21</v>
      </c>
      <c r="R97" s="18" t="s">
        <v>21</v>
      </c>
      <c r="S97" s="18" t="s">
        <v>23</v>
      </c>
      <c r="T97" s="18" t="s">
        <v>23</v>
      </c>
      <c r="U97" s="18" t="s">
        <v>20</v>
      </c>
      <c r="V97" s="37" t="s">
        <v>20</v>
      </c>
      <c r="W97" s="37" t="s">
        <v>21</v>
      </c>
      <c r="X97" s="37" t="s">
        <v>21</v>
      </c>
      <c r="Y97" s="18" t="s">
        <v>23</v>
      </c>
      <c r="Z97" s="18" t="s">
        <v>21</v>
      </c>
      <c r="AA97" s="20" t="s">
        <v>21</v>
      </c>
      <c r="AB97" s="20" t="s">
        <v>20</v>
      </c>
      <c r="AC97" s="20" t="s">
        <v>21</v>
      </c>
      <c r="AD97" s="37" t="s">
        <v>23</v>
      </c>
      <c r="AE97" s="37" t="s">
        <v>21</v>
      </c>
      <c r="AG97">
        <f t="shared" si="9"/>
        <v>0</v>
      </c>
      <c r="AH97">
        <f t="shared" si="10"/>
        <v>4</v>
      </c>
      <c r="AI97">
        <f t="shared" si="11"/>
        <v>14</v>
      </c>
      <c r="AJ97">
        <f t="shared" si="12"/>
        <v>8</v>
      </c>
      <c r="AL97">
        <f t="shared" si="13"/>
        <v>0</v>
      </c>
      <c r="AM97">
        <f t="shared" si="14"/>
        <v>12</v>
      </c>
      <c r="AN97">
        <f t="shared" si="15"/>
        <v>28</v>
      </c>
      <c r="AO97">
        <f t="shared" si="16"/>
        <v>8</v>
      </c>
      <c r="AP97">
        <f t="shared" si="17"/>
        <v>48</v>
      </c>
    </row>
    <row r="98" spans="1:42" ht="15.75" hidden="1" customHeight="1" x14ac:dyDescent="0.3">
      <c r="A98" s="16"/>
      <c r="B98" s="55">
        <v>8</v>
      </c>
      <c r="C98" s="56" t="s">
        <v>116</v>
      </c>
      <c r="D98" s="55">
        <v>3</v>
      </c>
      <c r="E98" s="55" t="s">
        <v>20</v>
      </c>
      <c r="F98" s="18" t="s">
        <v>21</v>
      </c>
      <c r="G98" s="18" t="s">
        <v>21</v>
      </c>
      <c r="H98" s="18" t="s">
        <v>21</v>
      </c>
      <c r="I98" s="18" t="s">
        <v>21</v>
      </c>
      <c r="J98" s="43" t="s">
        <v>20</v>
      </c>
      <c r="K98" s="43" t="s">
        <v>20</v>
      </c>
      <c r="L98" s="43" t="s">
        <v>21</v>
      </c>
      <c r="M98" s="18" t="s">
        <v>20</v>
      </c>
      <c r="N98" s="18" t="s">
        <v>20</v>
      </c>
      <c r="O98" s="18" t="s">
        <v>21</v>
      </c>
      <c r="P98" s="18" t="s">
        <v>21</v>
      </c>
      <c r="Q98" s="18" t="s">
        <v>21</v>
      </c>
      <c r="R98" s="18" t="s">
        <v>21</v>
      </c>
      <c r="S98" s="18" t="s">
        <v>20</v>
      </c>
      <c r="T98" s="18" t="s">
        <v>20</v>
      </c>
      <c r="U98" s="18" t="s">
        <v>20</v>
      </c>
      <c r="V98" s="37" t="s">
        <v>20</v>
      </c>
      <c r="W98" s="37" t="s">
        <v>20</v>
      </c>
      <c r="X98" s="37" t="s">
        <v>20</v>
      </c>
      <c r="Y98" s="18" t="s">
        <v>21</v>
      </c>
      <c r="Z98" s="18" t="s">
        <v>21</v>
      </c>
      <c r="AA98" s="20" t="s">
        <v>21</v>
      </c>
      <c r="AB98" s="20" t="s">
        <v>21</v>
      </c>
      <c r="AC98" s="20" t="s">
        <v>20</v>
      </c>
      <c r="AD98" s="44" t="s">
        <v>21</v>
      </c>
      <c r="AE98" s="44" t="s">
        <v>21</v>
      </c>
      <c r="AG98">
        <f t="shared" si="9"/>
        <v>0</v>
      </c>
      <c r="AH98">
        <f t="shared" si="10"/>
        <v>11</v>
      </c>
      <c r="AI98">
        <f t="shared" si="11"/>
        <v>15</v>
      </c>
      <c r="AJ98">
        <f t="shared" si="12"/>
        <v>0</v>
      </c>
      <c r="AL98">
        <f t="shared" si="13"/>
        <v>0</v>
      </c>
      <c r="AM98">
        <f t="shared" si="14"/>
        <v>33</v>
      </c>
      <c r="AN98">
        <f t="shared" si="15"/>
        <v>30</v>
      </c>
      <c r="AO98">
        <f t="shared" si="16"/>
        <v>0</v>
      </c>
      <c r="AP98">
        <f t="shared" si="17"/>
        <v>63</v>
      </c>
    </row>
    <row r="99" spans="1:42" ht="15.75" hidden="1" customHeight="1" x14ac:dyDescent="0.3">
      <c r="A99" s="16"/>
      <c r="B99" s="55">
        <v>9</v>
      </c>
      <c r="C99" s="56" t="s">
        <v>117</v>
      </c>
      <c r="D99" s="55">
        <v>3</v>
      </c>
      <c r="E99" s="55" t="s">
        <v>20</v>
      </c>
      <c r="F99" s="18" t="s">
        <v>20</v>
      </c>
      <c r="G99" s="18" t="s">
        <v>20</v>
      </c>
      <c r="H99" s="18" t="s">
        <v>20</v>
      </c>
      <c r="I99" s="18" t="s">
        <v>20</v>
      </c>
      <c r="J99" s="43" t="s">
        <v>20</v>
      </c>
      <c r="K99" s="43" t="s">
        <v>39</v>
      </c>
      <c r="L99" s="43" t="s">
        <v>20</v>
      </c>
      <c r="M99" s="18" t="s">
        <v>20</v>
      </c>
      <c r="N99" s="18" t="s">
        <v>20</v>
      </c>
      <c r="O99" s="18" t="s">
        <v>20</v>
      </c>
      <c r="P99" s="18" t="s">
        <v>20</v>
      </c>
      <c r="Q99" s="18" t="s">
        <v>20</v>
      </c>
      <c r="R99" s="18" t="s">
        <v>20</v>
      </c>
      <c r="S99" s="18" t="s">
        <v>20</v>
      </c>
      <c r="T99" s="18" t="s">
        <v>20</v>
      </c>
      <c r="U99" s="18" t="s">
        <v>20</v>
      </c>
      <c r="V99" s="37" t="s">
        <v>20</v>
      </c>
      <c r="W99" s="37" t="s">
        <v>20</v>
      </c>
      <c r="X99" s="37" t="s">
        <v>20</v>
      </c>
      <c r="Y99" s="18" t="s">
        <v>20</v>
      </c>
      <c r="Z99" s="18" t="s">
        <v>39</v>
      </c>
      <c r="AA99" s="20" t="s">
        <v>20</v>
      </c>
      <c r="AB99" s="20" t="s">
        <v>20</v>
      </c>
      <c r="AC99" s="20" t="s">
        <v>20</v>
      </c>
      <c r="AD99" s="37" t="s">
        <v>21</v>
      </c>
      <c r="AE99" s="37" t="s">
        <v>21</v>
      </c>
      <c r="AG99">
        <f t="shared" si="9"/>
        <v>2</v>
      </c>
      <c r="AH99">
        <f t="shared" si="10"/>
        <v>22</v>
      </c>
      <c r="AI99">
        <f t="shared" si="11"/>
        <v>2</v>
      </c>
      <c r="AJ99">
        <f t="shared" si="12"/>
        <v>0</v>
      </c>
      <c r="AL99">
        <f t="shared" si="13"/>
        <v>8</v>
      </c>
      <c r="AM99">
        <f t="shared" si="14"/>
        <v>66</v>
      </c>
      <c r="AN99">
        <f t="shared" si="15"/>
        <v>4</v>
      </c>
      <c r="AO99">
        <f t="shared" si="16"/>
        <v>0</v>
      </c>
      <c r="AP99">
        <f t="shared" si="17"/>
        <v>78</v>
      </c>
    </row>
    <row r="100" spans="1:42" ht="15.75" hidden="1" customHeight="1" x14ac:dyDescent="0.3">
      <c r="A100" s="16"/>
      <c r="B100" s="55">
        <v>10</v>
      </c>
      <c r="C100" s="56" t="s">
        <v>118</v>
      </c>
      <c r="D100" s="55">
        <v>3</v>
      </c>
      <c r="E100" s="55" t="s">
        <v>20</v>
      </c>
      <c r="F100" s="18" t="s">
        <v>23</v>
      </c>
      <c r="G100" s="18" t="s">
        <v>23</v>
      </c>
      <c r="H100" s="18" t="s">
        <v>23</v>
      </c>
      <c r="I100" s="18" t="s">
        <v>23</v>
      </c>
      <c r="J100" s="43" t="s">
        <v>21</v>
      </c>
      <c r="K100" s="43" t="s">
        <v>21</v>
      </c>
      <c r="L100" s="43" t="s">
        <v>21</v>
      </c>
      <c r="M100" s="18" t="s">
        <v>21</v>
      </c>
      <c r="N100" s="18" t="s">
        <v>23</v>
      </c>
      <c r="O100" s="18" t="s">
        <v>21</v>
      </c>
      <c r="P100" s="18" t="s">
        <v>23</v>
      </c>
      <c r="Q100" s="18" t="s">
        <v>21</v>
      </c>
      <c r="R100" s="18" t="s">
        <v>21</v>
      </c>
      <c r="S100" s="18" t="s">
        <v>20</v>
      </c>
      <c r="T100" s="18" t="s">
        <v>20</v>
      </c>
      <c r="U100" s="18" t="s">
        <v>21</v>
      </c>
      <c r="V100" s="37" t="s">
        <v>20</v>
      </c>
      <c r="W100" s="37" t="s">
        <v>21</v>
      </c>
      <c r="X100" s="37" t="s">
        <v>20</v>
      </c>
      <c r="Y100" s="18" t="s">
        <v>20</v>
      </c>
      <c r="Z100" s="18" t="s">
        <v>20</v>
      </c>
      <c r="AA100" s="20" t="s">
        <v>21</v>
      </c>
      <c r="AB100" s="20" t="s">
        <v>21</v>
      </c>
      <c r="AC100" s="20" t="s">
        <v>21</v>
      </c>
      <c r="AD100" s="37" t="s">
        <v>21</v>
      </c>
      <c r="AE100" s="37" t="s">
        <v>21</v>
      </c>
      <c r="AG100">
        <f t="shared" si="9"/>
        <v>0</v>
      </c>
      <c r="AH100">
        <f t="shared" si="10"/>
        <v>6</v>
      </c>
      <c r="AI100">
        <f t="shared" si="11"/>
        <v>14</v>
      </c>
      <c r="AJ100">
        <f t="shared" si="12"/>
        <v>6</v>
      </c>
      <c r="AL100">
        <f t="shared" si="13"/>
        <v>0</v>
      </c>
      <c r="AM100">
        <f t="shared" si="14"/>
        <v>18</v>
      </c>
      <c r="AN100">
        <f t="shared" si="15"/>
        <v>28</v>
      </c>
      <c r="AO100">
        <f t="shared" si="16"/>
        <v>6</v>
      </c>
      <c r="AP100">
        <f t="shared" si="17"/>
        <v>52</v>
      </c>
    </row>
    <row r="101" spans="1:42" ht="15.75" hidden="1" customHeight="1" x14ac:dyDescent="0.3">
      <c r="A101" s="16"/>
      <c r="B101" s="55">
        <v>11</v>
      </c>
      <c r="C101" s="56" t="s">
        <v>119</v>
      </c>
      <c r="D101" s="55">
        <v>3</v>
      </c>
      <c r="E101" s="55" t="s">
        <v>20</v>
      </c>
      <c r="F101" s="18" t="s">
        <v>21</v>
      </c>
      <c r="G101" s="18" t="s">
        <v>21</v>
      </c>
      <c r="H101" s="18" t="s">
        <v>21</v>
      </c>
      <c r="I101" s="18" t="s">
        <v>21</v>
      </c>
      <c r="J101" s="43" t="s">
        <v>21</v>
      </c>
      <c r="K101" s="43" t="s">
        <v>21</v>
      </c>
      <c r="L101" s="43" t="s">
        <v>21</v>
      </c>
      <c r="M101" s="18" t="s">
        <v>21</v>
      </c>
      <c r="N101" s="18" t="s">
        <v>21</v>
      </c>
      <c r="O101" s="18" t="s">
        <v>21</v>
      </c>
      <c r="P101" s="18" t="s">
        <v>23</v>
      </c>
      <c r="Q101" s="18" t="s">
        <v>21</v>
      </c>
      <c r="R101" s="18" t="s">
        <v>21</v>
      </c>
      <c r="S101" s="18" t="s">
        <v>20</v>
      </c>
      <c r="T101" s="18" t="s">
        <v>20</v>
      </c>
      <c r="U101" s="18" t="s">
        <v>21</v>
      </c>
      <c r="V101" s="37" t="s">
        <v>20</v>
      </c>
      <c r="W101" s="37" t="s">
        <v>20</v>
      </c>
      <c r="X101" s="37" t="s">
        <v>20</v>
      </c>
      <c r="Y101" s="18" t="s">
        <v>21</v>
      </c>
      <c r="Z101" s="18" t="s">
        <v>21</v>
      </c>
      <c r="AA101" s="20" t="s">
        <v>21</v>
      </c>
      <c r="AB101" s="20" t="s">
        <v>21</v>
      </c>
      <c r="AC101" s="20" t="s">
        <v>21</v>
      </c>
      <c r="AD101" s="37" t="s">
        <v>23</v>
      </c>
      <c r="AE101" s="37" t="s">
        <v>21</v>
      </c>
      <c r="AG101">
        <f t="shared" si="9"/>
        <v>0</v>
      </c>
      <c r="AH101">
        <f t="shared" si="10"/>
        <v>5</v>
      </c>
      <c r="AI101">
        <f t="shared" si="11"/>
        <v>19</v>
      </c>
      <c r="AJ101">
        <f t="shared" si="12"/>
        <v>2</v>
      </c>
      <c r="AL101">
        <f t="shared" si="13"/>
        <v>0</v>
      </c>
      <c r="AM101">
        <f t="shared" si="14"/>
        <v>15</v>
      </c>
      <c r="AN101">
        <f t="shared" si="15"/>
        <v>38</v>
      </c>
      <c r="AO101">
        <f t="shared" si="16"/>
        <v>2</v>
      </c>
      <c r="AP101">
        <f t="shared" si="17"/>
        <v>55</v>
      </c>
    </row>
    <row r="102" spans="1:42" ht="15.75" hidden="1" customHeight="1" x14ac:dyDescent="0.3">
      <c r="A102" s="16"/>
      <c r="B102" s="55">
        <v>12</v>
      </c>
      <c r="C102" s="56" t="s">
        <v>120</v>
      </c>
      <c r="D102" s="55">
        <v>3</v>
      </c>
      <c r="E102" s="55" t="s">
        <v>20</v>
      </c>
      <c r="F102" s="18" t="s">
        <v>21</v>
      </c>
      <c r="G102" s="18" t="s">
        <v>23</v>
      </c>
      <c r="H102" s="18" t="s">
        <v>23</v>
      </c>
      <c r="I102" s="18" t="s">
        <v>21</v>
      </c>
      <c r="J102" s="43" t="s">
        <v>21</v>
      </c>
      <c r="K102" s="43" t="s">
        <v>20</v>
      </c>
      <c r="L102" s="43" t="s">
        <v>21</v>
      </c>
      <c r="M102" s="18" t="s">
        <v>21</v>
      </c>
      <c r="N102" s="18" t="s">
        <v>21</v>
      </c>
      <c r="O102" s="18" t="s">
        <v>20</v>
      </c>
      <c r="P102" s="18" t="s">
        <v>21</v>
      </c>
      <c r="Q102" s="18" t="s">
        <v>21</v>
      </c>
      <c r="R102" s="18" t="s">
        <v>21</v>
      </c>
      <c r="S102" s="18" t="s">
        <v>21</v>
      </c>
      <c r="T102" s="18" t="s">
        <v>20</v>
      </c>
      <c r="U102" s="18" t="s">
        <v>21</v>
      </c>
      <c r="V102" s="37" t="s">
        <v>20</v>
      </c>
      <c r="W102" s="37" t="s">
        <v>21</v>
      </c>
      <c r="X102" s="37" t="s">
        <v>20</v>
      </c>
      <c r="Y102" s="18" t="s">
        <v>20</v>
      </c>
      <c r="Z102" s="18" t="s">
        <v>20</v>
      </c>
      <c r="AA102" s="20" t="s">
        <v>20</v>
      </c>
      <c r="AB102" s="20" t="s">
        <v>21</v>
      </c>
      <c r="AC102" s="20" t="s">
        <v>20</v>
      </c>
      <c r="AD102" s="37" t="s">
        <v>23</v>
      </c>
      <c r="AE102" s="37" t="s">
        <v>21</v>
      </c>
      <c r="AG102">
        <f t="shared" si="9"/>
        <v>0</v>
      </c>
      <c r="AH102">
        <f t="shared" si="10"/>
        <v>9</v>
      </c>
      <c r="AI102">
        <f t="shared" si="11"/>
        <v>14</v>
      </c>
      <c r="AJ102">
        <f t="shared" si="12"/>
        <v>3</v>
      </c>
      <c r="AL102">
        <f t="shared" si="13"/>
        <v>0</v>
      </c>
      <c r="AM102">
        <f t="shared" si="14"/>
        <v>27</v>
      </c>
      <c r="AN102">
        <f t="shared" si="15"/>
        <v>28</v>
      </c>
      <c r="AO102">
        <f t="shared" si="16"/>
        <v>3</v>
      </c>
      <c r="AP102">
        <f t="shared" si="17"/>
        <v>58</v>
      </c>
    </row>
    <row r="103" spans="1:42" ht="15.75" hidden="1" customHeight="1" x14ac:dyDescent="0.3">
      <c r="A103" s="16"/>
      <c r="B103" s="55">
        <v>13</v>
      </c>
      <c r="C103" s="56" t="s">
        <v>121</v>
      </c>
      <c r="D103" s="55">
        <v>3</v>
      </c>
      <c r="E103" s="55" t="s">
        <v>20</v>
      </c>
      <c r="F103" s="18" t="s">
        <v>20</v>
      </c>
      <c r="G103" s="18" t="s">
        <v>20</v>
      </c>
      <c r="H103" s="18" t="s">
        <v>20</v>
      </c>
      <c r="I103" s="18" t="s">
        <v>20</v>
      </c>
      <c r="J103" s="43" t="s">
        <v>20</v>
      </c>
      <c r="K103" s="43" t="s">
        <v>21</v>
      </c>
      <c r="L103" s="43" t="s">
        <v>21</v>
      </c>
      <c r="M103" s="18" t="s">
        <v>21</v>
      </c>
      <c r="N103" s="18" t="s">
        <v>21</v>
      </c>
      <c r="O103" s="18" t="s">
        <v>20</v>
      </c>
      <c r="P103" s="18" t="s">
        <v>20</v>
      </c>
      <c r="Q103" s="18" t="s">
        <v>20</v>
      </c>
      <c r="R103" s="18" t="s">
        <v>20</v>
      </c>
      <c r="S103" s="18" t="s">
        <v>20</v>
      </c>
      <c r="T103" s="18" t="s">
        <v>20</v>
      </c>
      <c r="U103" s="18" t="s">
        <v>21</v>
      </c>
      <c r="V103" s="37" t="s">
        <v>20</v>
      </c>
      <c r="W103" s="37" t="s">
        <v>21</v>
      </c>
      <c r="X103" s="37" t="s">
        <v>20</v>
      </c>
      <c r="Y103" s="18" t="s">
        <v>21</v>
      </c>
      <c r="Z103" s="18" t="s">
        <v>20</v>
      </c>
      <c r="AA103" s="20" t="s">
        <v>20</v>
      </c>
      <c r="AB103" s="20" t="s">
        <v>21</v>
      </c>
      <c r="AC103" s="20" t="s">
        <v>20</v>
      </c>
      <c r="AD103" s="37" t="s">
        <v>21</v>
      </c>
      <c r="AE103" s="37" t="s">
        <v>21</v>
      </c>
      <c r="AG103">
        <f t="shared" si="9"/>
        <v>0</v>
      </c>
      <c r="AH103">
        <f t="shared" si="10"/>
        <v>16</v>
      </c>
      <c r="AI103">
        <f t="shared" si="11"/>
        <v>10</v>
      </c>
      <c r="AJ103">
        <f t="shared" si="12"/>
        <v>0</v>
      </c>
      <c r="AL103">
        <f t="shared" si="13"/>
        <v>0</v>
      </c>
      <c r="AM103">
        <f t="shared" si="14"/>
        <v>48</v>
      </c>
      <c r="AN103">
        <f t="shared" si="15"/>
        <v>20</v>
      </c>
      <c r="AO103">
        <f t="shared" si="16"/>
        <v>0</v>
      </c>
      <c r="AP103">
        <f t="shared" si="17"/>
        <v>68</v>
      </c>
    </row>
    <row r="104" spans="1:42" ht="15.75" hidden="1" customHeight="1" x14ac:dyDescent="0.3">
      <c r="A104" s="16"/>
      <c r="B104" s="55">
        <v>14</v>
      </c>
      <c r="C104" s="56" t="s">
        <v>122</v>
      </c>
      <c r="D104" s="55">
        <v>3</v>
      </c>
      <c r="E104" s="55" t="s">
        <v>20</v>
      </c>
      <c r="F104" s="18" t="s">
        <v>23</v>
      </c>
      <c r="G104" s="18" t="s">
        <v>23</v>
      </c>
      <c r="H104" s="18" t="s">
        <v>23</v>
      </c>
      <c r="I104" s="18" t="s">
        <v>23</v>
      </c>
      <c r="J104" s="43" t="s">
        <v>21</v>
      </c>
      <c r="K104" s="43" t="s">
        <v>23</v>
      </c>
      <c r="L104" s="43" t="s">
        <v>21</v>
      </c>
      <c r="M104" s="18" t="s">
        <v>21</v>
      </c>
      <c r="N104" s="18" t="s">
        <v>23</v>
      </c>
      <c r="O104" s="18" t="s">
        <v>23</v>
      </c>
      <c r="P104" s="18" t="s">
        <v>23</v>
      </c>
      <c r="Q104" s="18" t="s">
        <v>21</v>
      </c>
      <c r="R104" s="18" t="s">
        <v>23</v>
      </c>
      <c r="S104" s="18" t="s">
        <v>23</v>
      </c>
      <c r="T104" s="18" t="s">
        <v>23</v>
      </c>
      <c r="U104" s="18" t="s">
        <v>21</v>
      </c>
      <c r="V104" s="37" t="s">
        <v>20</v>
      </c>
      <c r="W104" s="37" t="s">
        <v>21</v>
      </c>
      <c r="X104" s="37" t="s">
        <v>20</v>
      </c>
      <c r="Y104" s="18" t="s">
        <v>21</v>
      </c>
      <c r="Z104" s="18" t="s">
        <v>23</v>
      </c>
      <c r="AA104" s="20" t="s">
        <v>23</v>
      </c>
      <c r="AB104" s="20" t="s">
        <v>23</v>
      </c>
      <c r="AC104" s="20" t="s">
        <v>21</v>
      </c>
      <c r="AD104" s="37" t="s">
        <v>21</v>
      </c>
      <c r="AE104" s="37" t="s">
        <v>21</v>
      </c>
      <c r="AG104">
        <f t="shared" si="9"/>
        <v>0</v>
      </c>
      <c r="AH104">
        <f t="shared" si="10"/>
        <v>2</v>
      </c>
      <c r="AI104">
        <f t="shared" si="11"/>
        <v>10</v>
      </c>
      <c r="AJ104">
        <f t="shared" si="12"/>
        <v>14</v>
      </c>
      <c r="AL104">
        <f t="shared" si="13"/>
        <v>0</v>
      </c>
      <c r="AM104">
        <f t="shared" si="14"/>
        <v>6</v>
      </c>
      <c r="AN104">
        <f t="shared" si="15"/>
        <v>20</v>
      </c>
      <c r="AO104">
        <f t="shared" si="16"/>
        <v>14</v>
      </c>
      <c r="AP104">
        <f t="shared" si="17"/>
        <v>40</v>
      </c>
    </row>
    <row r="105" spans="1:42" ht="15.75" hidden="1" customHeight="1" x14ac:dyDescent="0.3">
      <c r="A105" s="16"/>
      <c r="B105" s="55">
        <v>15</v>
      </c>
      <c r="C105" s="56" t="s">
        <v>123</v>
      </c>
      <c r="D105" s="55">
        <v>3</v>
      </c>
      <c r="E105" s="55" t="s">
        <v>20</v>
      </c>
      <c r="F105" s="18" t="s">
        <v>39</v>
      </c>
      <c r="G105" s="18" t="s">
        <v>39</v>
      </c>
      <c r="H105" s="18" t="s">
        <v>20</v>
      </c>
      <c r="I105" s="18" t="s">
        <v>39</v>
      </c>
      <c r="J105" s="43" t="s">
        <v>20</v>
      </c>
      <c r="K105" s="43" t="s">
        <v>20</v>
      </c>
      <c r="L105" s="43" t="s">
        <v>20</v>
      </c>
      <c r="M105" s="18" t="s">
        <v>20</v>
      </c>
      <c r="N105" s="18" t="s">
        <v>21</v>
      </c>
      <c r="O105" s="18" t="s">
        <v>20</v>
      </c>
      <c r="P105" s="18" t="s">
        <v>20</v>
      </c>
      <c r="Q105" s="18" t="s">
        <v>20</v>
      </c>
      <c r="R105" s="18" t="s">
        <v>20</v>
      </c>
      <c r="S105" s="18" t="s">
        <v>20</v>
      </c>
      <c r="T105" s="18" t="s">
        <v>20</v>
      </c>
      <c r="U105" s="18" t="s">
        <v>20</v>
      </c>
      <c r="V105" s="37" t="s">
        <v>20</v>
      </c>
      <c r="W105" s="37" t="s">
        <v>20</v>
      </c>
      <c r="X105" s="37" t="s">
        <v>20</v>
      </c>
      <c r="Y105" s="18" t="s">
        <v>20</v>
      </c>
      <c r="Z105" s="18" t="s">
        <v>21</v>
      </c>
      <c r="AA105" s="20" t="s">
        <v>20</v>
      </c>
      <c r="AB105" s="20" t="s">
        <v>20</v>
      </c>
      <c r="AC105" s="20" t="s">
        <v>20</v>
      </c>
      <c r="AD105" s="37" t="s">
        <v>20</v>
      </c>
      <c r="AE105" s="37" t="s">
        <v>21</v>
      </c>
      <c r="AG105">
        <f t="shared" si="9"/>
        <v>3</v>
      </c>
      <c r="AH105">
        <f t="shared" si="10"/>
        <v>20</v>
      </c>
      <c r="AI105">
        <f t="shared" si="11"/>
        <v>3</v>
      </c>
      <c r="AJ105">
        <f t="shared" si="12"/>
        <v>0</v>
      </c>
      <c r="AL105">
        <f t="shared" si="13"/>
        <v>12</v>
      </c>
      <c r="AM105">
        <f t="shared" si="14"/>
        <v>60</v>
      </c>
      <c r="AN105">
        <f t="shared" si="15"/>
        <v>6</v>
      </c>
      <c r="AO105">
        <f t="shared" si="16"/>
        <v>0</v>
      </c>
      <c r="AP105">
        <f t="shared" si="17"/>
        <v>78</v>
      </c>
    </row>
    <row r="106" spans="1:42" ht="15.75" hidden="1" customHeight="1" x14ac:dyDescent="0.3">
      <c r="A106" s="16"/>
      <c r="B106" s="55">
        <v>16</v>
      </c>
      <c r="C106" s="56" t="s">
        <v>124</v>
      </c>
      <c r="D106" s="55">
        <v>3</v>
      </c>
      <c r="E106" s="55" t="s">
        <v>20</v>
      </c>
      <c r="F106" s="18" t="s">
        <v>20</v>
      </c>
      <c r="G106" s="18" t="s">
        <v>20</v>
      </c>
      <c r="H106" s="18" t="s">
        <v>20</v>
      </c>
      <c r="I106" s="18" t="s">
        <v>20</v>
      </c>
      <c r="J106" s="43" t="s">
        <v>20</v>
      </c>
      <c r="K106" s="43" t="s">
        <v>20</v>
      </c>
      <c r="L106" s="43" t="s">
        <v>20</v>
      </c>
      <c r="M106" s="18" t="s">
        <v>20</v>
      </c>
      <c r="N106" s="18" t="s">
        <v>20</v>
      </c>
      <c r="O106" s="18" t="s">
        <v>20</v>
      </c>
      <c r="P106" s="18" t="s">
        <v>20</v>
      </c>
      <c r="Q106" s="18" t="s">
        <v>20</v>
      </c>
      <c r="R106" s="18" t="s">
        <v>20</v>
      </c>
      <c r="S106" s="18" t="s">
        <v>20</v>
      </c>
      <c r="T106" s="18" t="s">
        <v>20</v>
      </c>
      <c r="U106" s="18" t="s">
        <v>20</v>
      </c>
      <c r="V106" s="37" t="s">
        <v>20</v>
      </c>
      <c r="W106" s="37" t="s">
        <v>20</v>
      </c>
      <c r="X106" s="37" t="s">
        <v>20</v>
      </c>
      <c r="Y106" s="18" t="s">
        <v>20</v>
      </c>
      <c r="Z106" s="18" t="s">
        <v>20</v>
      </c>
      <c r="AA106" s="20" t="s">
        <v>20</v>
      </c>
      <c r="AB106" s="20" t="s">
        <v>20</v>
      </c>
      <c r="AC106" s="20" t="s">
        <v>20</v>
      </c>
      <c r="AD106" s="37" t="s">
        <v>20</v>
      </c>
      <c r="AE106" s="37" t="s">
        <v>21</v>
      </c>
      <c r="AG106">
        <f t="shared" si="9"/>
        <v>0</v>
      </c>
      <c r="AH106">
        <f t="shared" si="10"/>
        <v>25</v>
      </c>
      <c r="AI106">
        <f t="shared" si="11"/>
        <v>1</v>
      </c>
      <c r="AJ106">
        <f t="shared" si="12"/>
        <v>0</v>
      </c>
      <c r="AL106">
        <f t="shared" si="13"/>
        <v>0</v>
      </c>
      <c r="AM106">
        <f t="shared" si="14"/>
        <v>75</v>
      </c>
      <c r="AN106">
        <f t="shared" si="15"/>
        <v>2</v>
      </c>
      <c r="AO106">
        <f t="shared" si="16"/>
        <v>0</v>
      </c>
      <c r="AP106">
        <f t="shared" si="17"/>
        <v>77</v>
      </c>
    </row>
    <row r="107" spans="1:42" ht="15.75" hidden="1" customHeight="1" x14ac:dyDescent="0.3">
      <c r="A107" s="16"/>
      <c r="B107" s="55">
        <v>17</v>
      </c>
      <c r="C107" s="56" t="s">
        <v>125</v>
      </c>
      <c r="D107" s="55">
        <v>3</v>
      </c>
      <c r="E107" s="55" t="s">
        <v>20</v>
      </c>
      <c r="F107" s="18" t="s">
        <v>20</v>
      </c>
      <c r="G107" s="18" t="s">
        <v>20</v>
      </c>
      <c r="H107" s="18" t="s">
        <v>20</v>
      </c>
      <c r="I107" s="18" t="s">
        <v>20</v>
      </c>
      <c r="J107" s="43" t="s">
        <v>39</v>
      </c>
      <c r="K107" s="43" t="s">
        <v>20</v>
      </c>
      <c r="L107" s="43" t="s">
        <v>20</v>
      </c>
      <c r="M107" s="18" t="s">
        <v>20</v>
      </c>
      <c r="N107" s="18" t="s">
        <v>20</v>
      </c>
      <c r="O107" s="18" t="s">
        <v>20</v>
      </c>
      <c r="P107" s="18" t="s">
        <v>20</v>
      </c>
      <c r="Q107" s="18" t="s">
        <v>20</v>
      </c>
      <c r="R107" s="18" t="s">
        <v>20</v>
      </c>
      <c r="S107" s="18" t="s">
        <v>21</v>
      </c>
      <c r="T107" s="18" t="s">
        <v>20</v>
      </c>
      <c r="U107" s="18" t="s">
        <v>20</v>
      </c>
      <c r="V107" s="37" t="s">
        <v>21</v>
      </c>
      <c r="W107" s="37" t="s">
        <v>20</v>
      </c>
      <c r="X107" s="37" t="s">
        <v>21</v>
      </c>
      <c r="Y107" s="18" t="s">
        <v>20</v>
      </c>
      <c r="Z107" s="18" t="s">
        <v>20</v>
      </c>
      <c r="AA107" s="20" t="s">
        <v>20</v>
      </c>
      <c r="AB107" s="20" t="s">
        <v>20</v>
      </c>
      <c r="AC107" s="20" t="s">
        <v>20</v>
      </c>
      <c r="AD107" s="37" t="s">
        <v>20</v>
      </c>
      <c r="AE107" s="37" t="s">
        <v>21</v>
      </c>
      <c r="AG107">
        <f t="shared" si="9"/>
        <v>1</v>
      </c>
      <c r="AH107">
        <f t="shared" si="10"/>
        <v>21</v>
      </c>
      <c r="AI107">
        <f t="shared" si="11"/>
        <v>4</v>
      </c>
      <c r="AJ107">
        <f t="shared" si="12"/>
        <v>0</v>
      </c>
      <c r="AL107">
        <f t="shared" si="13"/>
        <v>4</v>
      </c>
      <c r="AM107">
        <f t="shared" si="14"/>
        <v>63</v>
      </c>
      <c r="AN107">
        <f t="shared" si="15"/>
        <v>8</v>
      </c>
      <c r="AO107">
        <f t="shared" si="16"/>
        <v>0</v>
      </c>
      <c r="AP107">
        <f t="shared" si="17"/>
        <v>75</v>
      </c>
    </row>
    <row r="108" spans="1:42" ht="15.75" hidden="1" customHeight="1" x14ac:dyDescent="0.3">
      <c r="A108" s="16"/>
      <c r="B108" s="55">
        <v>18</v>
      </c>
      <c r="C108" s="56" t="s">
        <v>126</v>
      </c>
      <c r="D108" s="55">
        <v>3</v>
      </c>
      <c r="E108" s="55" t="s">
        <v>20</v>
      </c>
      <c r="F108" s="18" t="s">
        <v>39</v>
      </c>
      <c r="G108" s="18" t="s">
        <v>20</v>
      </c>
      <c r="H108" s="18" t="s">
        <v>20</v>
      </c>
      <c r="I108" s="18" t="s">
        <v>20</v>
      </c>
      <c r="J108" s="43" t="s">
        <v>20</v>
      </c>
      <c r="K108" s="43" t="s">
        <v>20</v>
      </c>
      <c r="L108" s="43" t="s">
        <v>20</v>
      </c>
      <c r="M108" s="18" t="s">
        <v>20</v>
      </c>
      <c r="N108" s="18" t="s">
        <v>20</v>
      </c>
      <c r="O108" s="18" t="s">
        <v>20</v>
      </c>
      <c r="P108" s="18" t="s">
        <v>20</v>
      </c>
      <c r="Q108" s="18" t="s">
        <v>20</v>
      </c>
      <c r="R108" s="18" t="s">
        <v>20</v>
      </c>
      <c r="S108" s="18" t="s">
        <v>20</v>
      </c>
      <c r="T108" s="18" t="s">
        <v>20</v>
      </c>
      <c r="U108" s="18" t="s">
        <v>20</v>
      </c>
      <c r="V108" s="37" t="s">
        <v>20</v>
      </c>
      <c r="W108" s="37" t="s">
        <v>20</v>
      </c>
      <c r="X108" s="37" t="s">
        <v>20</v>
      </c>
      <c r="Y108" s="18" t="s">
        <v>21</v>
      </c>
      <c r="Z108" s="18" t="s">
        <v>20</v>
      </c>
      <c r="AA108" s="20" t="s">
        <v>20</v>
      </c>
      <c r="AB108" s="20" t="s">
        <v>20</v>
      </c>
      <c r="AC108" s="20" t="s">
        <v>20</v>
      </c>
      <c r="AD108" s="37" t="s">
        <v>20</v>
      </c>
      <c r="AE108" s="37" t="s">
        <v>21</v>
      </c>
      <c r="AG108">
        <f t="shared" si="9"/>
        <v>1</v>
      </c>
      <c r="AH108">
        <f t="shared" si="10"/>
        <v>23</v>
      </c>
      <c r="AI108">
        <f t="shared" si="11"/>
        <v>2</v>
      </c>
      <c r="AJ108">
        <f t="shared" si="12"/>
        <v>0</v>
      </c>
      <c r="AL108">
        <f t="shared" si="13"/>
        <v>4</v>
      </c>
      <c r="AM108">
        <f t="shared" si="14"/>
        <v>69</v>
      </c>
      <c r="AN108">
        <f t="shared" si="15"/>
        <v>4</v>
      </c>
      <c r="AO108">
        <f t="shared" si="16"/>
        <v>0</v>
      </c>
      <c r="AP108">
        <f t="shared" si="17"/>
        <v>77</v>
      </c>
    </row>
    <row r="109" spans="1:42" ht="15.75" hidden="1" customHeight="1" thickBot="1" x14ac:dyDescent="0.35">
      <c r="A109" s="16"/>
      <c r="B109" s="57">
        <v>19</v>
      </c>
      <c r="C109" s="58" t="s">
        <v>127</v>
      </c>
      <c r="D109" s="57">
        <v>3</v>
      </c>
      <c r="E109" s="57" t="s">
        <v>20</v>
      </c>
      <c r="F109" s="21" t="s">
        <v>21</v>
      </c>
      <c r="G109" s="21" t="s">
        <v>23</v>
      </c>
      <c r="H109" s="21" t="s">
        <v>23</v>
      </c>
      <c r="I109" s="21" t="s">
        <v>23</v>
      </c>
      <c r="J109" s="45" t="s">
        <v>21</v>
      </c>
      <c r="K109" s="45" t="s">
        <v>20</v>
      </c>
      <c r="L109" s="45" t="s">
        <v>21</v>
      </c>
      <c r="M109" s="21" t="s">
        <v>21</v>
      </c>
      <c r="N109" s="21" t="s">
        <v>21</v>
      </c>
      <c r="O109" s="21" t="s">
        <v>21</v>
      </c>
      <c r="P109" s="21" t="s">
        <v>21</v>
      </c>
      <c r="Q109" s="21" t="s">
        <v>21</v>
      </c>
      <c r="R109" s="21" t="s">
        <v>21</v>
      </c>
      <c r="S109" s="21" t="s">
        <v>20</v>
      </c>
      <c r="T109" s="21" t="s">
        <v>20</v>
      </c>
      <c r="U109" s="21" t="s">
        <v>20</v>
      </c>
      <c r="V109" s="38" t="s">
        <v>20</v>
      </c>
      <c r="W109" s="38" t="s">
        <v>21</v>
      </c>
      <c r="X109" s="38" t="s">
        <v>20</v>
      </c>
      <c r="Y109" s="21" t="s">
        <v>23</v>
      </c>
      <c r="Z109" s="21" t="s">
        <v>20</v>
      </c>
      <c r="AA109" s="23" t="s">
        <v>21</v>
      </c>
      <c r="AB109" s="23" t="s">
        <v>21</v>
      </c>
      <c r="AC109" s="23" t="s">
        <v>21</v>
      </c>
      <c r="AD109" s="38" t="s">
        <v>21</v>
      </c>
      <c r="AE109" s="38" t="s">
        <v>21</v>
      </c>
      <c r="AG109">
        <f t="shared" si="9"/>
        <v>0</v>
      </c>
      <c r="AH109">
        <f t="shared" si="10"/>
        <v>7</v>
      </c>
      <c r="AI109">
        <f t="shared" si="11"/>
        <v>15</v>
      </c>
      <c r="AJ109">
        <f t="shared" si="12"/>
        <v>4</v>
      </c>
      <c r="AL109">
        <f t="shared" si="13"/>
        <v>0</v>
      </c>
      <c r="AM109">
        <f t="shared" si="14"/>
        <v>21</v>
      </c>
      <c r="AN109">
        <f t="shared" si="15"/>
        <v>30</v>
      </c>
      <c r="AO109">
        <f t="shared" si="16"/>
        <v>4</v>
      </c>
      <c r="AP109">
        <f t="shared" si="17"/>
        <v>55</v>
      </c>
    </row>
    <row r="110" spans="1:42" ht="15.75" hidden="1" customHeight="1" x14ac:dyDescent="0.3">
      <c r="A110" s="16"/>
      <c r="B110" s="59">
        <v>1</v>
      </c>
      <c r="C110" s="60" t="s">
        <v>128</v>
      </c>
      <c r="D110" s="59">
        <v>3</v>
      </c>
      <c r="E110" s="59" t="s">
        <v>21</v>
      </c>
      <c r="F110" s="24" t="s">
        <v>21</v>
      </c>
      <c r="G110" s="24" t="s">
        <v>20</v>
      </c>
      <c r="H110" s="24" t="s">
        <v>20</v>
      </c>
      <c r="I110" s="24" t="s">
        <v>20</v>
      </c>
      <c r="J110" s="27" t="s">
        <v>20</v>
      </c>
      <c r="K110" s="27" t="s">
        <v>20</v>
      </c>
      <c r="L110" s="27" t="s">
        <v>21</v>
      </c>
      <c r="M110" s="24" t="s">
        <v>20</v>
      </c>
      <c r="N110" s="24" t="s">
        <v>20</v>
      </c>
      <c r="O110" s="24" t="s">
        <v>20</v>
      </c>
      <c r="P110" s="24" t="s">
        <v>21</v>
      </c>
      <c r="Q110" s="24" t="s">
        <v>21</v>
      </c>
      <c r="R110" s="24" t="s">
        <v>20</v>
      </c>
      <c r="S110" s="24" t="s">
        <v>20</v>
      </c>
      <c r="T110" s="24" t="s">
        <v>20</v>
      </c>
      <c r="U110" s="24" t="s">
        <v>20</v>
      </c>
      <c r="V110" s="39" t="s">
        <v>21</v>
      </c>
      <c r="W110" s="39" t="s">
        <v>20</v>
      </c>
      <c r="X110" s="39" t="s">
        <v>20</v>
      </c>
      <c r="Y110" s="24" t="s">
        <v>20</v>
      </c>
      <c r="Z110" s="24" t="s">
        <v>20</v>
      </c>
      <c r="AA110" s="27" t="s">
        <v>21</v>
      </c>
      <c r="AB110" s="27" t="s">
        <v>21</v>
      </c>
      <c r="AC110" s="27" t="s">
        <v>21</v>
      </c>
      <c r="AD110" s="39" t="s">
        <v>21</v>
      </c>
      <c r="AE110" s="39" t="s">
        <v>21</v>
      </c>
      <c r="AG110">
        <f t="shared" si="9"/>
        <v>0</v>
      </c>
      <c r="AH110">
        <f t="shared" si="10"/>
        <v>16</v>
      </c>
      <c r="AI110">
        <f t="shared" si="11"/>
        <v>10</v>
      </c>
      <c r="AJ110">
        <f t="shared" si="12"/>
        <v>0</v>
      </c>
      <c r="AL110">
        <f t="shared" si="13"/>
        <v>0</v>
      </c>
      <c r="AM110">
        <f t="shared" si="14"/>
        <v>48</v>
      </c>
      <c r="AN110">
        <f t="shared" si="15"/>
        <v>20</v>
      </c>
      <c r="AO110">
        <f t="shared" si="16"/>
        <v>0</v>
      </c>
      <c r="AP110">
        <f t="shared" si="17"/>
        <v>68</v>
      </c>
    </row>
    <row r="111" spans="1:42" ht="15.75" hidden="1" customHeight="1" x14ac:dyDescent="0.3">
      <c r="A111" s="16"/>
      <c r="B111" s="55">
        <v>2</v>
      </c>
      <c r="C111" s="56" t="s">
        <v>129</v>
      </c>
      <c r="D111" s="55">
        <v>3</v>
      </c>
      <c r="E111" s="55" t="s">
        <v>21</v>
      </c>
      <c r="F111" s="18" t="s">
        <v>21</v>
      </c>
      <c r="G111" s="18" t="s">
        <v>20</v>
      </c>
      <c r="H111" s="18" t="s">
        <v>20</v>
      </c>
      <c r="I111" s="18" t="s">
        <v>20</v>
      </c>
      <c r="J111" s="20" t="s">
        <v>20</v>
      </c>
      <c r="K111" s="20" t="s">
        <v>20</v>
      </c>
      <c r="L111" s="20" t="s">
        <v>21</v>
      </c>
      <c r="M111" s="18" t="s">
        <v>20</v>
      </c>
      <c r="N111" s="18" t="s">
        <v>20</v>
      </c>
      <c r="O111" s="18" t="s">
        <v>20</v>
      </c>
      <c r="P111" s="18" t="s">
        <v>21</v>
      </c>
      <c r="Q111" s="18" t="s">
        <v>20</v>
      </c>
      <c r="R111" s="18" t="s">
        <v>20</v>
      </c>
      <c r="S111" s="18" t="s">
        <v>21</v>
      </c>
      <c r="T111" s="18" t="s">
        <v>20</v>
      </c>
      <c r="U111" s="18" t="s">
        <v>20</v>
      </c>
      <c r="V111" s="37" t="s">
        <v>21</v>
      </c>
      <c r="W111" s="37" t="s">
        <v>20</v>
      </c>
      <c r="X111" s="37" t="s">
        <v>20</v>
      </c>
      <c r="Y111" s="18" t="s">
        <v>21</v>
      </c>
      <c r="Z111" s="18" t="s">
        <v>20</v>
      </c>
      <c r="AA111" s="20" t="s">
        <v>20</v>
      </c>
      <c r="AB111" s="20" t="s">
        <v>20</v>
      </c>
      <c r="AC111" s="20" t="s">
        <v>20</v>
      </c>
      <c r="AD111" s="37" t="s">
        <v>21</v>
      </c>
      <c r="AE111" s="37" t="s">
        <v>21</v>
      </c>
      <c r="AG111">
        <f t="shared" si="9"/>
        <v>0</v>
      </c>
      <c r="AH111">
        <f t="shared" si="10"/>
        <v>18</v>
      </c>
      <c r="AI111">
        <f t="shared" si="11"/>
        <v>8</v>
      </c>
      <c r="AJ111">
        <f t="shared" si="12"/>
        <v>0</v>
      </c>
      <c r="AL111">
        <f t="shared" si="13"/>
        <v>0</v>
      </c>
      <c r="AM111">
        <f t="shared" si="14"/>
        <v>54</v>
      </c>
      <c r="AN111">
        <f t="shared" si="15"/>
        <v>16</v>
      </c>
      <c r="AO111">
        <f t="shared" si="16"/>
        <v>0</v>
      </c>
      <c r="AP111">
        <f t="shared" si="17"/>
        <v>70</v>
      </c>
    </row>
    <row r="112" spans="1:42" ht="15.75" hidden="1" customHeight="1" x14ac:dyDescent="0.3">
      <c r="A112" s="16"/>
      <c r="B112" s="55">
        <v>3</v>
      </c>
      <c r="C112" s="56" t="s">
        <v>130</v>
      </c>
      <c r="D112" s="55">
        <v>3</v>
      </c>
      <c r="E112" s="55" t="s">
        <v>21</v>
      </c>
      <c r="F112" s="18" t="s">
        <v>20</v>
      </c>
      <c r="G112" s="18" t="s">
        <v>20</v>
      </c>
      <c r="H112" s="18" t="s">
        <v>20</v>
      </c>
      <c r="I112" s="18" t="s">
        <v>20</v>
      </c>
      <c r="J112" s="20" t="s">
        <v>20</v>
      </c>
      <c r="K112" s="20" t="s">
        <v>20</v>
      </c>
      <c r="L112" s="20" t="s">
        <v>21</v>
      </c>
      <c r="M112" s="18" t="s">
        <v>20</v>
      </c>
      <c r="N112" s="18" t="s">
        <v>20</v>
      </c>
      <c r="O112" s="18" t="s">
        <v>21</v>
      </c>
      <c r="P112" s="18" t="s">
        <v>20</v>
      </c>
      <c r="Q112" s="18" t="s">
        <v>20</v>
      </c>
      <c r="R112" s="18" t="s">
        <v>20</v>
      </c>
      <c r="S112" s="18" t="s">
        <v>20</v>
      </c>
      <c r="T112" s="18" t="s">
        <v>20</v>
      </c>
      <c r="U112" s="18" t="s">
        <v>20</v>
      </c>
      <c r="V112" s="37" t="s">
        <v>20</v>
      </c>
      <c r="W112" s="37" t="s">
        <v>20</v>
      </c>
      <c r="X112" s="37" t="s">
        <v>20</v>
      </c>
      <c r="Y112" s="18" t="s">
        <v>20</v>
      </c>
      <c r="Z112" s="18" t="s">
        <v>20</v>
      </c>
      <c r="AA112" s="20" t="s">
        <v>20</v>
      </c>
      <c r="AB112" s="20" t="s">
        <v>20</v>
      </c>
      <c r="AC112" s="20" t="s">
        <v>20</v>
      </c>
      <c r="AD112" s="37" t="s">
        <v>20</v>
      </c>
      <c r="AE112" s="37" t="s">
        <v>21</v>
      </c>
      <c r="AG112">
        <f t="shared" si="9"/>
        <v>0</v>
      </c>
      <c r="AH112">
        <f t="shared" si="10"/>
        <v>23</v>
      </c>
      <c r="AI112">
        <f t="shared" si="11"/>
        <v>3</v>
      </c>
      <c r="AJ112">
        <f t="shared" si="12"/>
        <v>0</v>
      </c>
      <c r="AL112">
        <f t="shared" si="13"/>
        <v>0</v>
      </c>
      <c r="AM112">
        <f t="shared" si="14"/>
        <v>69</v>
      </c>
      <c r="AN112">
        <f t="shared" si="15"/>
        <v>6</v>
      </c>
      <c r="AO112">
        <f t="shared" si="16"/>
        <v>0</v>
      </c>
      <c r="AP112">
        <f t="shared" si="17"/>
        <v>75</v>
      </c>
    </row>
    <row r="113" spans="1:42" ht="15.75" hidden="1" customHeight="1" x14ac:dyDescent="0.3">
      <c r="A113" s="16"/>
      <c r="B113" s="55">
        <v>4</v>
      </c>
      <c r="C113" s="56" t="s">
        <v>131</v>
      </c>
      <c r="D113" s="55">
        <v>3</v>
      </c>
      <c r="E113" s="55" t="s">
        <v>21</v>
      </c>
      <c r="F113" s="18" t="s">
        <v>21</v>
      </c>
      <c r="G113" s="18" t="s">
        <v>21</v>
      </c>
      <c r="H113" s="18" t="s">
        <v>21</v>
      </c>
      <c r="I113" s="18" t="s">
        <v>20</v>
      </c>
      <c r="J113" s="20" t="s">
        <v>20</v>
      </c>
      <c r="K113" s="20" t="s">
        <v>20</v>
      </c>
      <c r="L113" s="20" t="s">
        <v>20</v>
      </c>
      <c r="M113" s="18" t="s">
        <v>20</v>
      </c>
      <c r="N113" s="18" t="s">
        <v>20</v>
      </c>
      <c r="O113" s="18" t="s">
        <v>20</v>
      </c>
      <c r="P113" s="18" t="s">
        <v>20</v>
      </c>
      <c r="Q113" s="18" t="s">
        <v>21</v>
      </c>
      <c r="R113" s="18" t="s">
        <v>20</v>
      </c>
      <c r="S113" s="18" t="s">
        <v>20</v>
      </c>
      <c r="T113" s="18" t="s">
        <v>20</v>
      </c>
      <c r="U113" s="18" t="s">
        <v>20</v>
      </c>
      <c r="V113" s="37" t="s">
        <v>21</v>
      </c>
      <c r="W113" s="37" t="s">
        <v>20</v>
      </c>
      <c r="X113" s="37" t="s">
        <v>21</v>
      </c>
      <c r="Y113" s="18" t="s">
        <v>20</v>
      </c>
      <c r="Z113" s="18" t="s">
        <v>20</v>
      </c>
      <c r="AA113" s="20" t="s">
        <v>21</v>
      </c>
      <c r="AB113" s="20" t="s">
        <v>21</v>
      </c>
      <c r="AC113" s="20" t="s">
        <v>21</v>
      </c>
      <c r="AD113" s="37" t="s">
        <v>23</v>
      </c>
      <c r="AE113" s="37" t="s">
        <v>21</v>
      </c>
      <c r="AG113">
        <f t="shared" si="9"/>
        <v>0</v>
      </c>
      <c r="AH113">
        <f t="shared" si="10"/>
        <v>15</v>
      </c>
      <c r="AI113">
        <f t="shared" si="11"/>
        <v>10</v>
      </c>
      <c r="AJ113">
        <f t="shared" si="12"/>
        <v>1</v>
      </c>
      <c r="AL113">
        <f t="shared" si="13"/>
        <v>0</v>
      </c>
      <c r="AM113">
        <f t="shared" si="14"/>
        <v>45</v>
      </c>
      <c r="AN113">
        <f t="shared" si="15"/>
        <v>20</v>
      </c>
      <c r="AO113">
        <f t="shared" si="16"/>
        <v>1</v>
      </c>
      <c r="AP113">
        <f t="shared" si="17"/>
        <v>66</v>
      </c>
    </row>
    <row r="114" spans="1:42" ht="15.75" hidden="1" customHeight="1" x14ac:dyDescent="0.3">
      <c r="A114" s="16"/>
      <c r="B114" s="55">
        <v>5</v>
      </c>
      <c r="C114" s="56" t="s">
        <v>132</v>
      </c>
      <c r="D114" s="55">
        <v>3</v>
      </c>
      <c r="E114" s="55" t="s">
        <v>21</v>
      </c>
      <c r="F114" s="18" t="s">
        <v>21</v>
      </c>
      <c r="G114" s="18" t="s">
        <v>20</v>
      </c>
      <c r="H114" s="18" t="s">
        <v>21</v>
      </c>
      <c r="I114" s="18" t="s">
        <v>20</v>
      </c>
      <c r="J114" s="20" t="s">
        <v>39</v>
      </c>
      <c r="K114" s="20" t="s">
        <v>39</v>
      </c>
      <c r="L114" s="20" t="s">
        <v>20</v>
      </c>
      <c r="M114" s="18" t="s">
        <v>20</v>
      </c>
      <c r="N114" s="18" t="s">
        <v>20</v>
      </c>
      <c r="O114" s="18" t="s">
        <v>20</v>
      </c>
      <c r="P114" s="18" t="s">
        <v>21</v>
      </c>
      <c r="Q114" s="18" t="s">
        <v>20</v>
      </c>
      <c r="R114" s="18" t="s">
        <v>20</v>
      </c>
      <c r="S114" s="18" t="s">
        <v>20</v>
      </c>
      <c r="T114" s="18" t="s">
        <v>20</v>
      </c>
      <c r="U114" s="18" t="s">
        <v>20</v>
      </c>
      <c r="V114" s="37" t="s">
        <v>20</v>
      </c>
      <c r="W114" s="37" t="s">
        <v>20</v>
      </c>
      <c r="X114" s="37" t="s">
        <v>20</v>
      </c>
      <c r="Y114" s="18" t="s">
        <v>20</v>
      </c>
      <c r="Z114" s="18" t="s">
        <v>20</v>
      </c>
      <c r="AA114" s="20" t="s">
        <v>20</v>
      </c>
      <c r="AB114" s="20" t="s">
        <v>20</v>
      </c>
      <c r="AC114" s="20" t="s">
        <v>20</v>
      </c>
      <c r="AD114" s="29" t="s">
        <v>23</v>
      </c>
      <c r="AE114" s="29" t="s">
        <v>21</v>
      </c>
      <c r="AG114">
        <f t="shared" si="9"/>
        <v>2</v>
      </c>
      <c r="AH114">
        <f t="shared" si="10"/>
        <v>19</v>
      </c>
      <c r="AI114">
        <f t="shared" si="11"/>
        <v>4</v>
      </c>
      <c r="AJ114">
        <f t="shared" si="12"/>
        <v>1</v>
      </c>
      <c r="AL114">
        <f t="shared" si="13"/>
        <v>8</v>
      </c>
      <c r="AM114">
        <f t="shared" si="14"/>
        <v>57</v>
      </c>
      <c r="AN114">
        <f t="shared" si="15"/>
        <v>8</v>
      </c>
      <c r="AO114">
        <f t="shared" si="16"/>
        <v>1</v>
      </c>
      <c r="AP114">
        <f t="shared" si="17"/>
        <v>74</v>
      </c>
    </row>
    <row r="115" spans="1:42" ht="15.75" hidden="1" customHeight="1" x14ac:dyDescent="0.3">
      <c r="A115" s="16"/>
      <c r="B115" s="55">
        <v>6</v>
      </c>
      <c r="C115" s="56" t="s">
        <v>133</v>
      </c>
      <c r="D115" s="55">
        <v>3</v>
      </c>
      <c r="E115" s="55" t="s">
        <v>21</v>
      </c>
      <c r="F115" s="18" t="s">
        <v>20</v>
      </c>
      <c r="G115" s="18" t="s">
        <v>20</v>
      </c>
      <c r="H115" s="18" t="s">
        <v>20</v>
      </c>
      <c r="I115" s="18" t="s">
        <v>20</v>
      </c>
      <c r="J115" s="20" t="s">
        <v>20</v>
      </c>
      <c r="K115" s="20" t="s">
        <v>20</v>
      </c>
      <c r="L115" s="20" t="s">
        <v>20</v>
      </c>
      <c r="M115" s="18" t="s">
        <v>20</v>
      </c>
      <c r="N115" s="18" t="s">
        <v>20</v>
      </c>
      <c r="O115" s="18" t="s">
        <v>20</v>
      </c>
      <c r="P115" s="18" t="s">
        <v>21</v>
      </c>
      <c r="Q115" s="18" t="s">
        <v>20</v>
      </c>
      <c r="R115" s="18" t="s">
        <v>20</v>
      </c>
      <c r="S115" s="18" t="s">
        <v>20</v>
      </c>
      <c r="T115" s="18" t="s">
        <v>20</v>
      </c>
      <c r="U115" s="18" t="s">
        <v>20</v>
      </c>
      <c r="V115" s="37" t="s">
        <v>20</v>
      </c>
      <c r="W115" s="37" t="s">
        <v>20</v>
      </c>
      <c r="X115" s="37" t="s">
        <v>21</v>
      </c>
      <c r="Y115" s="18" t="s">
        <v>20</v>
      </c>
      <c r="Z115" s="18" t="s">
        <v>20</v>
      </c>
      <c r="AA115" s="20" t="s">
        <v>20</v>
      </c>
      <c r="AB115" s="20" t="s">
        <v>20</v>
      </c>
      <c r="AC115" s="20" t="s">
        <v>20</v>
      </c>
      <c r="AD115" s="29" t="s">
        <v>20</v>
      </c>
      <c r="AE115" s="29" t="s">
        <v>21</v>
      </c>
      <c r="AG115">
        <f t="shared" si="9"/>
        <v>0</v>
      </c>
      <c r="AH115">
        <f t="shared" si="10"/>
        <v>23</v>
      </c>
      <c r="AI115">
        <f t="shared" si="11"/>
        <v>3</v>
      </c>
      <c r="AJ115">
        <f t="shared" si="12"/>
        <v>0</v>
      </c>
      <c r="AL115">
        <f t="shared" si="13"/>
        <v>0</v>
      </c>
      <c r="AM115">
        <f t="shared" si="14"/>
        <v>69</v>
      </c>
      <c r="AN115">
        <f t="shared" si="15"/>
        <v>6</v>
      </c>
      <c r="AO115">
        <f t="shared" si="16"/>
        <v>0</v>
      </c>
      <c r="AP115">
        <f t="shared" si="17"/>
        <v>75</v>
      </c>
    </row>
    <row r="116" spans="1:42" ht="15.75" hidden="1" customHeight="1" x14ac:dyDescent="0.3">
      <c r="A116" s="16"/>
      <c r="B116" s="55">
        <v>7</v>
      </c>
      <c r="C116" s="56" t="s">
        <v>134</v>
      </c>
      <c r="D116" s="55">
        <v>3</v>
      </c>
      <c r="E116" s="55" t="s">
        <v>21</v>
      </c>
      <c r="F116" s="18" t="s">
        <v>23</v>
      </c>
      <c r="G116" s="18" t="s">
        <v>21</v>
      </c>
      <c r="H116" s="18" t="s">
        <v>23</v>
      </c>
      <c r="I116" s="18" t="s">
        <v>21</v>
      </c>
      <c r="J116" s="20" t="s">
        <v>21</v>
      </c>
      <c r="K116" s="20" t="s">
        <v>21</v>
      </c>
      <c r="L116" s="20" t="s">
        <v>21</v>
      </c>
      <c r="M116" s="18" t="s">
        <v>20</v>
      </c>
      <c r="N116" s="18" t="s">
        <v>20</v>
      </c>
      <c r="O116" s="18" t="s">
        <v>21</v>
      </c>
      <c r="P116" s="18" t="s">
        <v>21</v>
      </c>
      <c r="Q116" s="18" t="s">
        <v>23</v>
      </c>
      <c r="R116" s="18" t="s">
        <v>21</v>
      </c>
      <c r="S116" s="18" t="s">
        <v>20</v>
      </c>
      <c r="T116" s="18" t="s">
        <v>21</v>
      </c>
      <c r="U116" s="18" t="s">
        <v>20</v>
      </c>
      <c r="V116" s="37" t="s">
        <v>21</v>
      </c>
      <c r="W116" s="37" t="s">
        <v>21</v>
      </c>
      <c r="X116" s="37" t="s">
        <v>21</v>
      </c>
      <c r="Y116" s="18" t="s">
        <v>20</v>
      </c>
      <c r="Z116" s="18" t="s">
        <v>20</v>
      </c>
      <c r="AA116" s="20" t="s">
        <v>21</v>
      </c>
      <c r="AB116" s="20" t="s">
        <v>21</v>
      </c>
      <c r="AC116" s="20" t="s">
        <v>21</v>
      </c>
      <c r="AD116" s="29" t="s">
        <v>21</v>
      </c>
      <c r="AE116" s="29" t="s">
        <v>21</v>
      </c>
      <c r="AG116">
        <f t="shared" si="9"/>
        <v>0</v>
      </c>
      <c r="AH116">
        <f t="shared" si="10"/>
        <v>6</v>
      </c>
      <c r="AI116">
        <f t="shared" si="11"/>
        <v>17</v>
      </c>
      <c r="AJ116">
        <f t="shared" si="12"/>
        <v>3</v>
      </c>
      <c r="AL116">
        <f t="shared" si="13"/>
        <v>0</v>
      </c>
      <c r="AM116">
        <f t="shared" si="14"/>
        <v>18</v>
      </c>
      <c r="AN116">
        <f t="shared" si="15"/>
        <v>34</v>
      </c>
      <c r="AO116">
        <f t="shared" si="16"/>
        <v>3</v>
      </c>
      <c r="AP116">
        <f t="shared" si="17"/>
        <v>55</v>
      </c>
    </row>
    <row r="117" spans="1:42" ht="15.75" hidden="1" customHeight="1" x14ac:dyDescent="0.3">
      <c r="A117" s="16"/>
      <c r="B117" s="55">
        <v>8</v>
      </c>
      <c r="C117" s="56" t="s">
        <v>135</v>
      </c>
      <c r="D117" s="55">
        <v>3</v>
      </c>
      <c r="E117" s="55" t="s">
        <v>21</v>
      </c>
      <c r="F117" s="18" t="s">
        <v>21</v>
      </c>
      <c r="G117" s="18" t="s">
        <v>23</v>
      </c>
      <c r="H117" s="18" t="s">
        <v>21</v>
      </c>
      <c r="I117" s="18" t="s">
        <v>21</v>
      </c>
      <c r="J117" s="20" t="s">
        <v>20</v>
      </c>
      <c r="K117" s="20" t="s">
        <v>20</v>
      </c>
      <c r="L117" s="20" t="s">
        <v>21</v>
      </c>
      <c r="M117" s="18" t="s">
        <v>20</v>
      </c>
      <c r="N117" s="18" t="s">
        <v>21</v>
      </c>
      <c r="O117" s="18" t="s">
        <v>20</v>
      </c>
      <c r="P117" s="18" t="s">
        <v>21</v>
      </c>
      <c r="Q117" s="18" t="s">
        <v>21</v>
      </c>
      <c r="R117" s="18" t="s">
        <v>21</v>
      </c>
      <c r="S117" s="18" t="s">
        <v>20</v>
      </c>
      <c r="T117" s="18" t="s">
        <v>20</v>
      </c>
      <c r="U117" s="18" t="s">
        <v>20</v>
      </c>
      <c r="V117" s="37" t="s">
        <v>20</v>
      </c>
      <c r="W117" s="37" t="s">
        <v>21</v>
      </c>
      <c r="X117" s="37" t="s">
        <v>20</v>
      </c>
      <c r="Y117" s="18" t="s">
        <v>20</v>
      </c>
      <c r="Z117" s="18" t="s">
        <v>20</v>
      </c>
      <c r="AA117" s="20" t="s">
        <v>23</v>
      </c>
      <c r="AB117" s="20" t="s">
        <v>23</v>
      </c>
      <c r="AC117" s="20" t="s">
        <v>21</v>
      </c>
      <c r="AD117" s="29" t="s">
        <v>21</v>
      </c>
      <c r="AE117" s="29" t="s">
        <v>21</v>
      </c>
      <c r="AG117">
        <f t="shared" si="9"/>
        <v>0</v>
      </c>
      <c r="AH117">
        <f t="shared" si="10"/>
        <v>11</v>
      </c>
      <c r="AI117">
        <f t="shared" si="11"/>
        <v>12</v>
      </c>
      <c r="AJ117">
        <f t="shared" si="12"/>
        <v>3</v>
      </c>
      <c r="AL117">
        <f t="shared" si="13"/>
        <v>0</v>
      </c>
      <c r="AM117">
        <f t="shared" si="14"/>
        <v>33</v>
      </c>
      <c r="AN117">
        <f t="shared" si="15"/>
        <v>24</v>
      </c>
      <c r="AO117">
        <f t="shared" si="16"/>
        <v>3</v>
      </c>
      <c r="AP117">
        <f t="shared" si="17"/>
        <v>60</v>
      </c>
    </row>
    <row r="118" spans="1:42" ht="15.75" hidden="1" customHeight="1" x14ac:dyDescent="0.3">
      <c r="A118" s="16"/>
      <c r="B118" s="55">
        <v>9</v>
      </c>
      <c r="C118" s="56" t="s">
        <v>136</v>
      </c>
      <c r="D118" s="55">
        <v>3</v>
      </c>
      <c r="E118" s="55" t="s">
        <v>21</v>
      </c>
      <c r="F118" s="18" t="s">
        <v>23</v>
      </c>
      <c r="G118" s="18" t="s">
        <v>21</v>
      </c>
      <c r="H118" s="18" t="s">
        <v>23</v>
      </c>
      <c r="I118" s="18" t="s">
        <v>21</v>
      </c>
      <c r="J118" s="20" t="s">
        <v>20</v>
      </c>
      <c r="K118" s="20" t="s">
        <v>21</v>
      </c>
      <c r="L118" s="20" t="s">
        <v>21</v>
      </c>
      <c r="M118" s="18" t="s">
        <v>21</v>
      </c>
      <c r="N118" s="18" t="s">
        <v>21</v>
      </c>
      <c r="O118" s="18" t="s">
        <v>21</v>
      </c>
      <c r="P118" s="18" t="s">
        <v>23</v>
      </c>
      <c r="Q118" s="18" t="s">
        <v>20</v>
      </c>
      <c r="R118" s="18" t="s">
        <v>21</v>
      </c>
      <c r="S118" s="18" t="s">
        <v>21</v>
      </c>
      <c r="T118" s="18" t="s">
        <v>20</v>
      </c>
      <c r="U118" s="18" t="s">
        <v>20</v>
      </c>
      <c r="V118" s="37" t="s">
        <v>21</v>
      </c>
      <c r="W118" s="37" t="s">
        <v>21</v>
      </c>
      <c r="X118" s="37" t="s">
        <v>21</v>
      </c>
      <c r="Y118" s="18" t="s">
        <v>20</v>
      </c>
      <c r="Z118" s="18" t="s">
        <v>20</v>
      </c>
      <c r="AA118" s="20" t="s">
        <v>23</v>
      </c>
      <c r="AB118" s="20" t="s">
        <v>23</v>
      </c>
      <c r="AC118" s="20" t="s">
        <v>21</v>
      </c>
      <c r="AD118" s="29" t="s">
        <v>21</v>
      </c>
      <c r="AE118" s="29" t="s">
        <v>21</v>
      </c>
      <c r="AG118">
        <f t="shared" si="9"/>
        <v>0</v>
      </c>
      <c r="AH118">
        <f t="shared" si="10"/>
        <v>6</v>
      </c>
      <c r="AI118">
        <f t="shared" si="11"/>
        <v>15</v>
      </c>
      <c r="AJ118">
        <f t="shared" si="12"/>
        <v>5</v>
      </c>
      <c r="AL118">
        <f t="shared" si="13"/>
        <v>0</v>
      </c>
      <c r="AM118">
        <f t="shared" si="14"/>
        <v>18</v>
      </c>
      <c r="AN118">
        <f t="shared" si="15"/>
        <v>30</v>
      </c>
      <c r="AO118">
        <f t="shared" si="16"/>
        <v>5</v>
      </c>
      <c r="AP118">
        <f t="shared" si="17"/>
        <v>53</v>
      </c>
    </row>
    <row r="119" spans="1:42" ht="15.75" hidden="1" customHeight="1" x14ac:dyDescent="0.3">
      <c r="A119" s="16"/>
      <c r="B119" s="55">
        <v>10</v>
      </c>
      <c r="C119" s="56" t="s">
        <v>137</v>
      </c>
      <c r="D119" s="55">
        <v>3</v>
      </c>
      <c r="E119" s="55" t="s">
        <v>21</v>
      </c>
      <c r="F119" s="18" t="s">
        <v>39</v>
      </c>
      <c r="G119" s="18" t="s">
        <v>20</v>
      </c>
      <c r="H119" s="18" t="s">
        <v>20</v>
      </c>
      <c r="I119" s="18" t="s">
        <v>20</v>
      </c>
      <c r="J119" s="20" t="s">
        <v>20</v>
      </c>
      <c r="K119" s="20" t="s">
        <v>39</v>
      </c>
      <c r="L119" s="20" t="s">
        <v>20</v>
      </c>
      <c r="M119" s="18" t="s">
        <v>20</v>
      </c>
      <c r="N119" s="18" t="s">
        <v>20</v>
      </c>
      <c r="O119" s="18" t="s">
        <v>20</v>
      </c>
      <c r="P119" s="18" t="s">
        <v>21</v>
      </c>
      <c r="Q119" s="18" t="s">
        <v>20</v>
      </c>
      <c r="R119" s="18" t="s">
        <v>20</v>
      </c>
      <c r="S119" s="18" t="s">
        <v>20</v>
      </c>
      <c r="T119" s="18" t="s">
        <v>20</v>
      </c>
      <c r="U119" s="18" t="s">
        <v>20</v>
      </c>
      <c r="V119" s="37" t="s">
        <v>21</v>
      </c>
      <c r="W119" s="37" t="s">
        <v>20</v>
      </c>
      <c r="X119" s="37" t="s">
        <v>20</v>
      </c>
      <c r="Y119" s="18" t="s">
        <v>20</v>
      </c>
      <c r="Z119" s="18" t="s">
        <v>20</v>
      </c>
      <c r="AA119" s="20" t="s">
        <v>20</v>
      </c>
      <c r="AB119" s="20" t="s">
        <v>20</v>
      </c>
      <c r="AC119" s="20" t="s">
        <v>20</v>
      </c>
      <c r="AD119" s="29" t="s">
        <v>20</v>
      </c>
      <c r="AE119" s="29" t="s">
        <v>21</v>
      </c>
      <c r="AG119">
        <f t="shared" si="9"/>
        <v>2</v>
      </c>
      <c r="AH119">
        <f t="shared" si="10"/>
        <v>21</v>
      </c>
      <c r="AI119">
        <f t="shared" si="11"/>
        <v>3</v>
      </c>
      <c r="AJ119">
        <f t="shared" si="12"/>
        <v>0</v>
      </c>
      <c r="AL119">
        <f t="shared" si="13"/>
        <v>8</v>
      </c>
      <c r="AM119">
        <f t="shared" si="14"/>
        <v>63</v>
      </c>
      <c r="AN119">
        <f t="shared" si="15"/>
        <v>6</v>
      </c>
      <c r="AO119">
        <f t="shared" si="16"/>
        <v>0</v>
      </c>
      <c r="AP119">
        <f t="shared" si="17"/>
        <v>77</v>
      </c>
    </row>
    <row r="120" spans="1:42" ht="15.75" hidden="1" customHeight="1" x14ac:dyDescent="0.3">
      <c r="A120" s="16"/>
      <c r="B120" s="55">
        <v>11</v>
      </c>
      <c r="C120" s="56" t="s">
        <v>138</v>
      </c>
      <c r="D120" s="55">
        <v>3</v>
      </c>
      <c r="E120" s="55" t="s">
        <v>21</v>
      </c>
      <c r="F120" s="18" t="s">
        <v>21</v>
      </c>
      <c r="G120" s="18" t="s">
        <v>21</v>
      </c>
      <c r="H120" s="18" t="s">
        <v>21</v>
      </c>
      <c r="I120" s="18" t="s">
        <v>21</v>
      </c>
      <c r="J120" s="20" t="s">
        <v>21</v>
      </c>
      <c r="K120" s="20" t="s">
        <v>21</v>
      </c>
      <c r="L120" s="20" t="s">
        <v>21</v>
      </c>
      <c r="M120" s="18" t="s">
        <v>21</v>
      </c>
      <c r="N120" s="18" t="s">
        <v>21</v>
      </c>
      <c r="O120" s="18" t="s">
        <v>21</v>
      </c>
      <c r="P120" s="18" t="s">
        <v>21</v>
      </c>
      <c r="Q120" s="18" t="s">
        <v>21</v>
      </c>
      <c r="R120" s="18" t="s">
        <v>23</v>
      </c>
      <c r="S120" s="18" t="s">
        <v>23</v>
      </c>
      <c r="T120" s="18" t="s">
        <v>21</v>
      </c>
      <c r="U120" s="18" t="s">
        <v>20</v>
      </c>
      <c r="V120" s="37" t="s">
        <v>21</v>
      </c>
      <c r="W120" s="37" t="s">
        <v>20</v>
      </c>
      <c r="X120" s="37" t="s">
        <v>21</v>
      </c>
      <c r="Y120" s="18" t="s">
        <v>21</v>
      </c>
      <c r="Z120" s="18" t="s">
        <v>21</v>
      </c>
      <c r="AA120" s="20" t="s">
        <v>21</v>
      </c>
      <c r="AB120" s="20" t="s">
        <v>21</v>
      </c>
      <c r="AC120" s="20" t="s">
        <v>21</v>
      </c>
      <c r="AD120" s="29" t="s">
        <v>23</v>
      </c>
      <c r="AE120" s="29" t="s">
        <v>21</v>
      </c>
      <c r="AG120">
        <f t="shared" si="9"/>
        <v>0</v>
      </c>
      <c r="AH120">
        <f t="shared" si="10"/>
        <v>2</v>
      </c>
      <c r="AI120">
        <f t="shared" si="11"/>
        <v>21</v>
      </c>
      <c r="AJ120">
        <f t="shared" si="12"/>
        <v>3</v>
      </c>
      <c r="AL120">
        <f t="shared" si="13"/>
        <v>0</v>
      </c>
      <c r="AM120">
        <f t="shared" si="14"/>
        <v>6</v>
      </c>
      <c r="AN120">
        <f t="shared" si="15"/>
        <v>42</v>
      </c>
      <c r="AO120">
        <f t="shared" si="16"/>
        <v>3</v>
      </c>
      <c r="AP120">
        <f t="shared" si="17"/>
        <v>51</v>
      </c>
    </row>
    <row r="121" spans="1:42" ht="15.75" hidden="1" customHeight="1" x14ac:dyDescent="0.3">
      <c r="A121" s="16"/>
      <c r="B121" s="55">
        <v>12</v>
      </c>
      <c r="C121" s="56" t="s">
        <v>139</v>
      </c>
      <c r="D121" s="55">
        <v>3</v>
      </c>
      <c r="E121" s="55" t="s">
        <v>21</v>
      </c>
      <c r="F121" s="18" t="s">
        <v>20</v>
      </c>
      <c r="G121" s="18" t="s">
        <v>20</v>
      </c>
      <c r="H121" s="18" t="s">
        <v>20</v>
      </c>
      <c r="I121" s="18" t="s">
        <v>20</v>
      </c>
      <c r="J121" s="20" t="s">
        <v>20</v>
      </c>
      <c r="K121" s="20" t="s">
        <v>20</v>
      </c>
      <c r="L121" s="20" t="s">
        <v>20</v>
      </c>
      <c r="M121" s="18" t="s">
        <v>20</v>
      </c>
      <c r="N121" s="18" t="s">
        <v>20</v>
      </c>
      <c r="O121" s="18" t="s">
        <v>20</v>
      </c>
      <c r="P121" s="18" t="s">
        <v>21</v>
      </c>
      <c r="Q121" s="18" t="s">
        <v>20</v>
      </c>
      <c r="R121" s="18" t="s">
        <v>21</v>
      </c>
      <c r="S121" s="18" t="s">
        <v>21</v>
      </c>
      <c r="T121" s="18" t="s">
        <v>21</v>
      </c>
      <c r="U121" s="18" t="s">
        <v>20</v>
      </c>
      <c r="V121" s="37" t="s">
        <v>20</v>
      </c>
      <c r="W121" s="37" t="s">
        <v>20</v>
      </c>
      <c r="X121" s="37" t="s">
        <v>21</v>
      </c>
      <c r="Y121" s="18" t="s">
        <v>21</v>
      </c>
      <c r="Z121" s="18" t="s">
        <v>20</v>
      </c>
      <c r="AA121" s="20" t="s">
        <v>20</v>
      </c>
      <c r="AB121" s="20" t="s">
        <v>20</v>
      </c>
      <c r="AC121" s="20" t="s">
        <v>20</v>
      </c>
      <c r="AD121" s="29" t="s">
        <v>23</v>
      </c>
      <c r="AE121" s="29" t="s">
        <v>21</v>
      </c>
      <c r="AG121">
        <f t="shared" si="9"/>
        <v>0</v>
      </c>
      <c r="AH121">
        <f t="shared" si="10"/>
        <v>18</v>
      </c>
      <c r="AI121">
        <f t="shared" si="11"/>
        <v>7</v>
      </c>
      <c r="AJ121">
        <f t="shared" si="12"/>
        <v>1</v>
      </c>
      <c r="AL121">
        <f t="shared" si="13"/>
        <v>0</v>
      </c>
      <c r="AM121">
        <f t="shared" si="14"/>
        <v>54</v>
      </c>
      <c r="AN121">
        <f t="shared" si="15"/>
        <v>14</v>
      </c>
      <c r="AO121">
        <f t="shared" si="16"/>
        <v>1</v>
      </c>
      <c r="AP121">
        <f t="shared" si="17"/>
        <v>69</v>
      </c>
    </row>
    <row r="122" spans="1:42" ht="15.75" hidden="1" customHeight="1" x14ac:dyDescent="0.3">
      <c r="A122" s="16"/>
      <c r="B122" s="55">
        <v>13</v>
      </c>
      <c r="C122" s="56" t="s">
        <v>140</v>
      </c>
      <c r="D122" s="55">
        <v>3</v>
      </c>
      <c r="E122" s="55" t="s">
        <v>21</v>
      </c>
      <c r="F122" s="18" t="s">
        <v>20</v>
      </c>
      <c r="G122" s="18" t="s">
        <v>20</v>
      </c>
      <c r="H122" s="18" t="s">
        <v>20</v>
      </c>
      <c r="I122" s="18" t="s">
        <v>39</v>
      </c>
      <c r="J122" s="20" t="s">
        <v>20</v>
      </c>
      <c r="K122" s="20" t="s">
        <v>20</v>
      </c>
      <c r="L122" s="20" t="s">
        <v>20</v>
      </c>
      <c r="M122" s="18" t="s">
        <v>20</v>
      </c>
      <c r="N122" s="18" t="s">
        <v>20</v>
      </c>
      <c r="O122" s="18" t="s">
        <v>20</v>
      </c>
      <c r="P122" s="18" t="s">
        <v>21</v>
      </c>
      <c r="Q122" s="18" t="s">
        <v>21</v>
      </c>
      <c r="R122" s="18" t="s">
        <v>20</v>
      </c>
      <c r="S122" s="18" t="s">
        <v>20</v>
      </c>
      <c r="T122" s="18" t="s">
        <v>20</v>
      </c>
      <c r="U122" s="18" t="s">
        <v>20</v>
      </c>
      <c r="V122" s="37" t="s">
        <v>20</v>
      </c>
      <c r="W122" s="37" t="s">
        <v>20</v>
      </c>
      <c r="X122" s="37" t="s">
        <v>20</v>
      </c>
      <c r="Y122" s="18" t="s">
        <v>21</v>
      </c>
      <c r="Z122" s="18" t="s">
        <v>21</v>
      </c>
      <c r="AA122" s="20" t="s">
        <v>21</v>
      </c>
      <c r="AB122" s="20" t="s">
        <v>20</v>
      </c>
      <c r="AC122" s="20" t="s">
        <v>21</v>
      </c>
      <c r="AD122" s="29" t="s">
        <v>55</v>
      </c>
      <c r="AE122" s="29" t="s">
        <v>55</v>
      </c>
      <c r="AG122">
        <f t="shared" si="9"/>
        <v>1</v>
      </c>
      <c r="AH122">
        <f t="shared" si="10"/>
        <v>17</v>
      </c>
      <c r="AI122">
        <f t="shared" si="11"/>
        <v>6</v>
      </c>
      <c r="AJ122">
        <f t="shared" si="12"/>
        <v>0</v>
      </c>
      <c r="AL122">
        <f t="shared" si="13"/>
        <v>4</v>
      </c>
      <c r="AM122">
        <f t="shared" si="14"/>
        <v>51</v>
      </c>
      <c r="AN122">
        <f t="shared" si="15"/>
        <v>12</v>
      </c>
      <c r="AO122">
        <f t="shared" si="16"/>
        <v>0</v>
      </c>
      <c r="AP122">
        <f t="shared" si="17"/>
        <v>67</v>
      </c>
    </row>
    <row r="123" spans="1:42" ht="15.75" hidden="1" customHeight="1" x14ac:dyDescent="0.3">
      <c r="A123" s="16"/>
      <c r="B123" s="55">
        <v>14</v>
      </c>
      <c r="C123" s="56" t="s">
        <v>141</v>
      </c>
      <c r="D123" s="55">
        <v>3</v>
      </c>
      <c r="E123" s="55" t="s">
        <v>21</v>
      </c>
      <c r="F123" s="18" t="s">
        <v>21</v>
      </c>
      <c r="G123" s="18" t="s">
        <v>21</v>
      </c>
      <c r="H123" s="18" t="s">
        <v>20</v>
      </c>
      <c r="I123" s="18" t="s">
        <v>20</v>
      </c>
      <c r="J123" s="20" t="s">
        <v>20</v>
      </c>
      <c r="K123" s="20" t="s">
        <v>20</v>
      </c>
      <c r="L123" s="20" t="s">
        <v>21</v>
      </c>
      <c r="M123" s="18" t="s">
        <v>20</v>
      </c>
      <c r="N123" s="18" t="s">
        <v>20</v>
      </c>
      <c r="O123" s="18" t="s">
        <v>20</v>
      </c>
      <c r="P123" s="18" t="s">
        <v>23</v>
      </c>
      <c r="Q123" s="18" t="s">
        <v>21</v>
      </c>
      <c r="R123" s="18" t="s">
        <v>21</v>
      </c>
      <c r="S123" s="18" t="s">
        <v>20</v>
      </c>
      <c r="T123" s="18" t="s">
        <v>20</v>
      </c>
      <c r="U123" s="18" t="s">
        <v>21</v>
      </c>
      <c r="V123" s="37" t="s">
        <v>21</v>
      </c>
      <c r="W123" s="37" t="s">
        <v>20</v>
      </c>
      <c r="X123" s="37" t="s">
        <v>21</v>
      </c>
      <c r="Y123" s="18" t="s">
        <v>21</v>
      </c>
      <c r="Z123" s="18" t="s">
        <v>21</v>
      </c>
      <c r="AA123" s="20" t="s">
        <v>21</v>
      </c>
      <c r="AB123" s="20" t="s">
        <v>21</v>
      </c>
      <c r="AC123" s="20" t="s">
        <v>20</v>
      </c>
      <c r="AD123" s="29" t="s">
        <v>21</v>
      </c>
      <c r="AE123" s="29" t="s">
        <v>21</v>
      </c>
      <c r="AG123">
        <f t="shared" si="9"/>
        <v>0</v>
      </c>
      <c r="AH123">
        <f t="shared" si="10"/>
        <v>11</v>
      </c>
      <c r="AI123">
        <f t="shared" si="11"/>
        <v>14</v>
      </c>
      <c r="AJ123">
        <f t="shared" si="12"/>
        <v>1</v>
      </c>
      <c r="AL123">
        <f t="shared" si="13"/>
        <v>0</v>
      </c>
      <c r="AM123">
        <f t="shared" si="14"/>
        <v>33</v>
      </c>
      <c r="AN123">
        <f t="shared" si="15"/>
        <v>28</v>
      </c>
      <c r="AO123">
        <f t="shared" si="16"/>
        <v>1</v>
      </c>
      <c r="AP123">
        <f t="shared" si="17"/>
        <v>62</v>
      </c>
    </row>
    <row r="124" spans="1:42" ht="15.75" hidden="1" customHeight="1" x14ac:dyDescent="0.3">
      <c r="A124" s="16"/>
      <c r="B124" s="55">
        <v>15</v>
      </c>
      <c r="C124" s="56" t="s">
        <v>142</v>
      </c>
      <c r="D124" s="55">
        <v>3</v>
      </c>
      <c r="E124" s="55" t="s">
        <v>21</v>
      </c>
      <c r="F124" s="18" t="s">
        <v>23</v>
      </c>
      <c r="G124" s="18" t="s">
        <v>23</v>
      </c>
      <c r="H124" s="18" t="s">
        <v>23</v>
      </c>
      <c r="I124" s="18" t="s">
        <v>21</v>
      </c>
      <c r="J124" s="20" t="s">
        <v>21</v>
      </c>
      <c r="K124" s="20" t="s">
        <v>21</v>
      </c>
      <c r="L124" s="20" t="s">
        <v>21</v>
      </c>
      <c r="M124" s="18" t="s">
        <v>21</v>
      </c>
      <c r="N124" s="18" t="s">
        <v>21</v>
      </c>
      <c r="O124" s="18" t="s">
        <v>21</v>
      </c>
      <c r="P124" s="18" t="s">
        <v>23</v>
      </c>
      <c r="Q124" s="18" t="s">
        <v>21</v>
      </c>
      <c r="R124" s="18" t="s">
        <v>21</v>
      </c>
      <c r="S124" s="18" t="s">
        <v>23</v>
      </c>
      <c r="T124" s="18" t="s">
        <v>23</v>
      </c>
      <c r="U124" s="18" t="s">
        <v>20</v>
      </c>
      <c r="V124" s="37" t="s">
        <v>20</v>
      </c>
      <c r="W124" s="37" t="s">
        <v>20</v>
      </c>
      <c r="X124" s="37" t="s">
        <v>21</v>
      </c>
      <c r="Y124" s="18" t="s">
        <v>23</v>
      </c>
      <c r="Z124" s="18" t="s">
        <v>21</v>
      </c>
      <c r="AA124" s="20" t="s">
        <v>21</v>
      </c>
      <c r="AB124" s="20" t="s">
        <v>21</v>
      </c>
      <c r="AC124" s="20" t="s">
        <v>21</v>
      </c>
      <c r="AD124" s="29" t="s">
        <v>23</v>
      </c>
      <c r="AE124" s="29" t="s">
        <v>21</v>
      </c>
      <c r="AG124">
        <f t="shared" si="9"/>
        <v>0</v>
      </c>
      <c r="AH124">
        <f t="shared" si="10"/>
        <v>3</v>
      </c>
      <c r="AI124">
        <f t="shared" si="11"/>
        <v>15</v>
      </c>
      <c r="AJ124">
        <f t="shared" si="12"/>
        <v>8</v>
      </c>
      <c r="AL124">
        <f t="shared" si="13"/>
        <v>0</v>
      </c>
      <c r="AM124">
        <f t="shared" si="14"/>
        <v>9</v>
      </c>
      <c r="AN124">
        <f t="shared" si="15"/>
        <v>30</v>
      </c>
      <c r="AO124">
        <f t="shared" si="16"/>
        <v>8</v>
      </c>
      <c r="AP124">
        <f t="shared" si="17"/>
        <v>47</v>
      </c>
    </row>
    <row r="125" spans="1:42" ht="15.75" hidden="1" customHeight="1" x14ac:dyDescent="0.3">
      <c r="A125" s="16"/>
      <c r="B125" s="55">
        <v>16</v>
      </c>
      <c r="C125" s="56" t="s">
        <v>143</v>
      </c>
      <c r="D125" s="55">
        <v>3</v>
      </c>
      <c r="E125" s="55" t="s">
        <v>21</v>
      </c>
      <c r="F125" s="18" t="s">
        <v>23</v>
      </c>
      <c r="G125" s="18" t="s">
        <v>23</v>
      </c>
      <c r="H125" s="18" t="s">
        <v>21</v>
      </c>
      <c r="I125" s="18" t="s">
        <v>21</v>
      </c>
      <c r="J125" s="20" t="s">
        <v>21</v>
      </c>
      <c r="K125" s="20" t="s">
        <v>21</v>
      </c>
      <c r="L125" s="20" t="s">
        <v>21</v>
      </c>
      <c r="M125" s="18" t="s">
        <v>21</v>
      </c>
      <c r="N125" s="18" t="s">
        <v>20</v>
      </c>
      <c r="O125" s="18" t="s">
        <v>21</v>
      </c>
      <c r="P125" s="18" t="s">
        <v>21</v>
      </c>
      <c r="Q125" s="18" t="s">
        <v>20</v>
      </c>
      <c r="R125" s="18" t="s">
        <v>21</v>
      </c>
      <c r="S125" s="18" t="s">
        <v>23</v>
      </c>
      <c r="T125" s="18" t="s">
        <v>21</v>
      </c>
      <c r="U125" s="18" t="s">
        <v>20</v>
      </c>
      <c r="V125" s="37" t="s">
        <v>21</v>
      </c>
      <c r="W125" s="37" t="s">
        <v>20</v>
      </c>
      <c r="X125" s="37" t="s">
        <v>21</v>
      </c>
      <c r="Y125" s="18" t="s">
        <v>23</v>
      </c>
      <c r="Z125" s="18" t="s">
        <v>21</v>
      </c>
      <c r="AA125" s="20" t="s">
        <v>21</v>
      </c>
      <c r="AB125" s="20" t="s">
        <v>21</v>
      </c>
      <c r="AC125" s="20" t="s">
        <v>21</v>
      </c>
      <c r="AD125" s="29" t="s">
        <v>23</v>
      </c>
      <c r="AE125" s="29" t="s">
        <v>21</v>
      </c>
      <c r="AG125">
        <f t="shared" si="9"/>
        <v>0</v>
      </c>
      <c r="AH125">
        <f t="shared" si="10"/>
        <v>4</v>
      </c>
      <c r="AI125">
        <f t="shared" si="11"/>
        <v>17</v>
      </c>
      <c r="AJ125">
        <f t="shared" si="12"/>
        <v>5</v>
      </c>
      <c r="AL125">
        <f t="shared" si="13"/>
        <v>0</v>
      </c>
      <c r="AM125">
        <f t="shared" si="14"/>
        <v>12</v>
      </c>
      <c r="AN125">
        <f t="shared" si="15"/>
        <v>34</v>
      </c>
      <c r="AO125">
        <f t="shared" si="16"/>
        <v>5</v>
      </c>
      <c r="AP125">
        <f t="shared" si="17"/>
        <v>51</v>
      </c>
    </row>
    <row r="126" spans="1:42" ht="15.75" hidden="1" customHeight="1" x14ac:dyDescent="0.3">
      <c r="A126" s="16"/>
      <c r="B126" s="55">
        <v>17</v>
      </c>
      <c r="C126" s="56" t="s">
        <v>144</v>
      </c>
      <c r="D126" s="55">
        <v>3</v>
      </c>
      <c r="E126" s="55" t="s">
        <v>21</v>
      </c>
      <c r="F126" s="18" t="s">
        <v>21</v>
      </c>
      <c r="G126" s="18" t="s">
        <v>21</v>
      </c>
      <c r="H126" s="18" t="s">
        <v>21</v>
      </c>
      <c r="I126" s="18" t="s">
        <v>21</v>
      </c>
      <c r="J126" s="20" t="s">
        <v>21</v>
      </c>
      <c r="K126" s="20" t="s">
        <v>21</v>
      </c>
      <c r="L126" s="20" t="s">
        <v>21</v>
      </c>
      <c r="M126" s="18" t="s">
        <v>20</v>
      </c>
      <c r="N126" s="18" t="s">
        <v>20</v>
      </c>
      <c r="O126" s="18" t="s">
        <v>20</v>
      </c>
      <c r="P126" s="18" t="s">
        <v>21</v>
      </c>
      <c r="Q126" s="18" t="s">
        <v>21</v>
      </c>
      <c r="R126" s="18" t="s">
        <v>21</v>
      </c>
      <c r="S126" s="18" t="s">
        <v>20</v>
      </c>
      <c r="T126" s="18" t="s">
        <v>20</v>
      </c>
      <c r="U126" s="18" t="s">
        <v>20</v>
      </c>
      <c r="V126" s="37" t="s">
        <v>21</v>
      </c>
      <c r="W126" s="37" t="s">
        <v>20</v>
      </c>
      <c r="X126" s="37" t="s">
        <v>21</v>
      </c>
      <c r="Y126" s="18" t="s">
        <v>20</v>
      </c>
      <c r="Z126" s="18" t="s">
        <v>20</v>
      </c>
      <c r="AA126" s="20" t="s">
        <v>21</v>
      </c>
      <c r="AB126" s="20" t="s">
        <v>20</v>
      </c>
      <c r="AC126" s="20" t="s">
        <v>21</v>
      </c>
      <c r="AD126" s="29" t="s">
        <v>20</v>
      </c>
      <c r="AE126" s="29" t="s">
        <v>21</v>
      </c>
      <c r="AG126">
        <f t="shared" si="9"/>
        <v>0</v>
      </c>
      <c r="AH126">
        <f t="shared" si="10"/>
        <v>11</v>
      </c>
      <c r="AI126">
        <f t="shared" si="11"/>
        <v>15</v>
      </c>
      <c r="AJ126">
        <f t="shared" si="12"/>
        <v>0</v>
      </c>
      <c r="AL126">
        <f t="shared" si="13"/>
        <v>0</v>
      </c>
      <c r="AM126">
        <f t="shared" si="14"/>
        <v>33</v>
      </c>
      <c r="AN126">
        <f t="shared" si="15"/>
        <v>30</v>
      </c>
      <c r="AO126">
        <f t="shared" si="16"/>
        <v>0</v>
      </c>
      <c r="AP126">
        <f t="shared" si="17"/>
        <v>63</v>
      </c>
    </row>
    <row r="127" spans="1:42" ht="15.75" hidden="1" customHeight="1" x14ac:dyDescent="0.3">
      <c r="A127" s="16"/>
      <c r="B127" s="55">
        <v>18</v>
      </c>
      <c r="C127" s="56" t="s">
        <v>145</v>
      </c>
      <c r="D127" s="55">
        <v>3</v>
      </c>
      <c r="E127" s="55" t="s">
        <v>21</v>
      </c>
      <c r="F127" s="18" t="s">
        <v>21</v>
      </c>
      <c r="G127" s="18" t="s">
        <v>21</v>
      </c>
      <c r="H127" s="18" t="s">
        <v>20</v>
      </c>
      <c r="I127" s="18" t="s">
        <v>21</v>
      </c>
      <c r="J127" s="20" t="s">
        <v>20</v>
      </c>
      <c r="K127" s="20" t="s">
        <v>20</v>
      </c>
      <c r="L127" s="20" t="s">
        <v>20</v>
      </c>
      <c r="M127" s="18" t="s">
        <v>21</v>
      </c>
      <c r="N127" s="18" t="s">
        <v>20</v>
      </c>
      <c r="O127" s="18" t="s">
        <v>21</v>
      </c>
      <c r="P127" s="18" t="s">
        <v>21</v>
      </c>
      <c r="Q127" s="18" t="s">
        <v>21</v>
      </c>
      <c r="R127" s="18" t="s">
        <v>20</v>
      </c>
      <c r="S127" s="18" t="s">
        <v>20</v>
      </c>
      <c r="T127" s="18" t="s">
        <v>20</v>
      </c>
      <c r="U127" s="18" t="s">
        <v>20</v>
      </c>
      <c r="V127" s="37" t="s">
        <v>20</v>
      </c>
      <c r="W127" s="37" t="s">
        <v>20</v>
      </c>
      <c r="X127" s="37" t="s">
        <v>20</v>
      </c>
      <c r="Y127" s="18" t="s">
        <v>20</v>
      </c>
      <c r="Z127" s="18" t="s">
        <v>21</v>
      </c>
      <c r="AA127" s="20" t="s">
        <v>20</v>
      </c>
      <c r="AB127" s="20" t="s">
        <v>21</v>
      </c>
      <c r="AC127" s="20" t="s">
        <v>20</v>
      </c>
      <c r="AD127" s="29" t="s">
        <v>20</v>
      </c>
      <c r="AE127" s="29" t="s">
        <v>21</v>
      </c>
      <c r="AG127">
        <f t="shared" si="9"/>
        <v>0</v>
      </c>
      <c r="AH127">
        <f t="shared" si="10"/>
        <v>16</v>
      </c>
      <c r="AI127">
        <f t="shared" si="11"/>
        <v>10</v>
      </c>
      <c r="AJ127">
        <f t="shared" si="12"/>
        <v>0</v>
      </c>
      <c r="AL127">
        <f t="shared" si="13"/>
        <v>0</v>
      </c>
      <c r="AM127">
        <f t="shared" si="14"/>
        <v>48</v>
      </c>
      <c r="AN127">
        <f t="shared" si="15"/>
        <v>20</v>
      </c>
      <c r="AO127">
        <f t="shared" si="16"/>
        <v>0</v>
      </c>
      <c r="AP127">
        <f t="shared" si="17"/>
        <v>68</v>
      </c>
    </row>
    <row r="128" spans="1:42" ht="15.75" hidden="1" customHeight="1" x14ac:dyDescent="0.3">
      <c r="A128" s="16"/>
      <c r="B128" s="55">
        <v>19</v>
      </c>
      <c r="C128" s="56" t="s">
        <v>146</v>
      </c>
      <c r="D128" s="55">
        <v>3</v>
      </c>
      <c r="E128" s="55" t="s">
        <v>21</v>
      </c>
      <c r="F128" s="18" t="s">
        <v>21</v>
      </c>
      <c r="G128" s="18" t="s">
        <v>21</v>
      </c>
      <c r="H128" s="18" t="s">
        <v>21</v>
      </c>
      <c r="I128" s="18" t="s">
        <v>21</v>
      </c>
      <c r="J128" s="20" t="s">
        <v>21</v>
      </c>
      <c r="K128" s="20" t="s">
        <v>21</v>
      </c>
      <c r="L128" s="20" t="s">
        <v>21</v>
      </c>
      <c r="M128" s="18" t="s">
        <v>21</v>
      </c>
      <c r="N128" s="18" t="s">
        <v>20</v>
      </c>
      <c r="O128" s="18" t="s">
        <v>21</v>
      </c>
      <c r="P128" s="18" t="s">
        <v>21</v>
      </c>
      <c r="Q128" s="18" t="s">
        <v>21</v>
      </c>
      <c r="R128" s="18" t="s">
        <v>23</v>
      </c>
      <c r="S128" s="18" t="s">
        <v>21</v>
      </c>
      <c r="T128" s="18" t="s">
        <v>20</v>
      </c>
      <c r="U128" s="18" t="s">
        <v>21</v>
      </c>
      <c r="V128" s="37" t="s">
        <v>21</v>
      </c>
      <c r="W128" s="37" t="s">
        <v>20</v>
      </c>
      <c r="X128" s="37" t="s">
        <v>21</v>
      </c>
      <c r="Y128" s="18" t="s">
        <v>20</v>
      </c>
      <c r="Z128" s="18" t="s">
        <v>20</v>
      </c>
      <c r="AA128" s="20" t="s">
        <v>21</v>
      </c>
      <c r="AB128" s="20" t="s">
        <v>21</v>
      </c>
      <c r="AC128" s="20" t="s">
        <v>23</v>
      </c>
      <c r="AD128" s="29" t="s">
        <v>20</v>
      </c>
      <c r="AE128" s="29" t="s">
        <v>21</v>
      </c>
      <c r="AG128">
        <f t="shared" si="9"/>
        <v>0</v>
      </c>
      <c r="AH128">
        <f t="shared" si="10"/>
        <v>6</v>
      </c>
      <c r="AI128">
        <f t="shared" si="11"/>
        <v>18</v>
      </c>
      <c r="AJ128">
        <f t="shared" si="12"/>
        <v>2</v>
      </c>
      <c r="AL128">
        <f t="shared" si="13"/>
        <v>0</v>
      </c>
      <c r="AM128">
        <f t="shared" si="14"/>
        <v>18</v>
      </c>
      <c r="AN128">
        <f t="shared" si="15"/>
        <v>36</v>
      </c>
      <c r="AO128">
        <f t="shared" si="16"/>
        <v>2</v>
      </c>
      <c r="AP128">
        <f t="shared" si="17"/>
        <v>56</v>
      </c>
    </row>
    <row r="129" spans="1:42" ht="15.75" hidden="1" customHeight="1" x14ac:dyDescent="0.3">
      <c r="A129" s="16"/>
      <c r="B129" s="55">
        <v>20</v>
      </c>
      <c r="C129" s="56" t="s">
        <v>147</v>
      </c>
      <c r="D129" s="55">
        <v>3</v>
      </c>
      <c r="E129" s="55" t="s">
        <v>21</v>
      </c>
      <c r="F129" s="18" t="s">
        <v>20</v>
      </c>
      <c r="G129" s="18" t="s">
        <v>20</v>
      </c>
      <c r="H129" s="18" t="s">
        <v>20</v>
      </c>
      <c r="I129" s="18" t="s">
        <v>20</v>
      </c>
      <c r="J129" s="20" t="s">
        <v>21</v>
      </c>
      <c r="K129" s="20" t="s">
        <v>21</v>
      </c>
      <c r="L129" s="20" t="s">
        <v>21</v>
      </c>
      <c r="M129" s="18" t="s">
        <v>20</v>
      </c>
      <c r="N129" s="18" t="s">
        <v>20</v>
      </c>
      <c r="O129" s="18" t="s">
        <v>20</v>
      </c>
      <c r="P129" s="18" t="s">
        <v>21</v>
      </c>
      <c r="Q129" s="18" t="s">
        <v>20</v>
      </c>
      <c r="R129" s="18" t="s">
        <v>21</v>
      </c>
      <c r="S129" s="18" t="s">
        <v>20</v>
      </c>
      <c r="T129" s="18" t="s">
        <v>20</v>
      </c>
      <c r="U129" s="18" t="s">
        <v>20</v>
      </c>
      <c r="V129" s="37" t="s">
        <v>21</v>
      </c>
      <c r="W129" s="37" t="s">
        <v>20</v>
      </c>
      <c r="X129" s="37" t="s">
        <v>21</v>
      </c>
      <c r="Y129" s="18" t="s">
        <v>21</v>
      </c>
      <c r="Z129" s="18" t="s">
        <v>20</v>
      </c>
      <c r="AA129" s="20" t="s">
        <v>21</v>
      </c>
      <c r="AB129" s="20" t="s">
        <v>21</v>
      </c>
      <c r="AC129" s="20" t="s">
        <v>21</v>
      </c>
      <c r="AD129" s="29" t="s">
        <v>20</v>
      </c>
      <c r="AE129" s="29" t="s">
        <v>21</v>
      </c>
      <c r="AG129">
        <f t="shared" si="9"/>
        <v>0</v>
      </c>
      <c r="AH129">
        <f t="shared" si="10"/>
        <v>14</v>
      </c>
      <c r="AI129">
        <f t="shared" si="11"/>
        <v>12</v>
      </c>
      <c r="AJ129">
        <f t="shared" si="12"/>
        <v>0</v>
      </c>
      <c r="AL129">
        <f t="shared" si="13"/>
        <v>0</v>
      </c>
      <c r="AM129">
        <f t="shared" si="14"/>
        <v>42</v>
      </c>
      <c r="AN129">
        <f t="shared" si="15"/>
        <v>24</v>
      </c>
      <c r="AO129">
        <f t="shared" si="16"/>
        <v>0</v>
      </c>
      <c r="AP129">
        <f t="shared" si="17"/>
        <v>66</v>
      </c>
    </row>
    <row r="130" spans="1:42" ht="15.75" hidden="1" customHeight="1" thickBot="1" x14ac:dyDescent="0.35">
      <c r="A130" s="16"/>
      <c r="B130" s="57">
        <v>21</v>
      </c>
      <c r="C130" s="58" t="s">
        <v>148</v>
      </c>
      <c r="D130" s="57">
        <v>3</v>
      </c>
      <c r="E130" s="57" t="s">
        <v>21</v>
      </c>
      <c r="F130" s="21" t="s">
        <v>20</v>
      </c>
      <c r="G130" s="21" t="s">
        <v>20</v>
      </c>
      <c r="H130" s="21" t="s">
        <v>21</v>
      </c>
      <c r="I130" s="21" t="s">
        <v>20</v>
      </c>
      <c r="J130" s="23" t="s">
        <v>20</v>
      </c>
      <c r="K130" s="23" t="s">
        <v>20</v>
      </c>
      <c r="L130" s="23" t="s">
        <v>21</v>
      </c>
      <c r="M130" s="21" t="s">
        <v>21</v>
      </c>
      <c r="N130" s="21" t="s">
        <v>21</v>
      </c>
      <c r="O130" s="21" t="s">
        <v>21</v>
      </c>
      <c r="P130" s="21" t="s">
        <v>21</v>
      </c>
      <c r="Q130" s="21" t="s">
        <v>21</v>
      </c>
      <c r="R130" s="21" t="s">
        <v>21</v>
      </c>
      <c r="S130" s="21" t="s">
        <v>20</v>
      </c>
      <c r="T130" s="21" t="s">
        <v>20</v>
      </c>
      <c r="U130" s="21" t="s">
        <v>21</v>
      </c>
      <c r="V130" s="38" t="s">
        <v>21</v>
      </c>
      <c r="W130" s="38" t="s">
        <v>21</v>
      </c>
      <c r="X130" s="38" t="s">
        <v>21</v>
      </c>
      <c r="Y130" s="21" t="s">
        <v>20</v>
      </c>
      <c r="Z130" s="21" t="s">
        <v>20</v>
      </c>
      <c r="AA130" s="23" t="s">
        <v>21</v>
      </c>
      <c r="AB130" s="23" t="s">
        <v>21</v>
      </c>
      <c r="AC130" s="23" t="s">
        <v>21</v>
      </c>
      <c r="AD130" s="31" t="s">
        <v>20</v>
      </c>
      <c r="AE130" s="31" t="s">
        <v>21</v>
      </c>
      <c r="AG130">
        <f t="shared" si="9"/>
        <v>0</v>
      </c>
      <c r="AH130">
        <f t="shared" si="10"/>
        <v>10</v>
      </c>
      <c r="AI130">
        <f t="shared" si="11"/>
        <v>16</v>
      </c>
      <c r="AJ130">
        <f t="shared" si="12"/>
        <v>0</v>
      </c>
      <c r="AL130">
        <f t="shared" si="13"/>
        <v>0</v>
      </c>
      <c r="AM130">
        <f t="shared" si="14"/>
        <v>30</v>
      </c>
      <c r="AN130">
        <f t="shared" si="15"/>
        <v>32</v>
      </c>
      <c r="AO130">
        <f t="shared" si="16"/>
        <v>0</v>
      </c>
      <c r="AP130">
        <f t="shared" si="17"/>
        <v>62</v>
      </c>
    </row>
    <row r="131" spans="1:42" ht="15.75" hidden="1" customHeight="1" x14ac:dyDescent="0.3">
      <c r="A131" s="16"/>
      <c r="B131" s="59">
        <v>1</v>
      </c>
      <c r="C131" s="60" t="s">
        <v>149</v>
      </c>
      <c r="D131" s="59">
        <v>4</v>
      </c>
      <c r="E131" s="59" t="s">
        <v>20</v>
      </c>
      <c r="F131" s="24" t="s">
        <v>20</v>
      </c>
      <c r="G131" s="24" t="s">
        <v>20</v>
      </c>
      <c r="H131" s="24" t="s">
        <v>20</v>
      </c>
      <c r="I131" s="24" t="s">
        <v>20</v>
      </c>
      <c r="J131" s="42" t="s">
        <v>20</v>
      </c>
      <c r="K131" s="42" t="s">
        <v>20</v>
      </c>
      <c r="L131" s="42" t="s">
        <v>21</v>
      </c>
      <c r="M131" s="24" t="s">
        <v>20</v>
      </c>
      <c r="N131" s="24" t="s">
        <v>20</v>
      </c>
      <c r="O131" s="24" t="s">
        <v>20</v>
      </c>
      <c r="P131" s="24" t="s">
        <v>20</v>
      </c>
      <c r="Q131" s="24" t="s">
        <v>20</v>
      </c>
      <c r="R131" s="24" t="s">
        <v>20</v>
      </c>
      <c r="S131" s="24" t="s">
        <v>20</v>
      </c>
      <c r="T131" s="24" t="s">
        <v>21</v>
      </c>
      <c r="U131" s="24" t="s">
        <v>21</v>
      </c>
      <c r="V131" s="39" t="s">
        <v>20</v>
      </c>
      <c r="W131" s="39" t="s">
        <v>20</v>
      </c>
      <c r="X131" s="39" t="s">
        <v>20</v>
      </c>
      <c r="Y131" s="24" t="s">
        <v>20</v>
      </c>
      <c r="Z131" s="24" t="s">
        <v>20</v>
      </c>
      <c r="AA131" s="27" t="s">
        <v>21</v>
      </c>
      <c r="AB131" s="27" t="s">
        <v>20</v>
      </c>
      <c r="AC131" s="27" t="s">
        <v>21</v>
      </c>
      <c r="AD131" s="34" t="s">
        <v>21</v>
      </c>
      <c r="AE131" s="34" t="s">
        <v>21</v>
      </c>
      <c r="AG131">
        <f t="shared" si="9"/>
        <v>0</v>
      </c>
      <c r="AH131">
        <f t="shared" si="10"/>
        <v>19</v>
      </c>
      <c r="AI131">
        <f t="shared" si="11"/>
        <v>7</v>
      </c>
      <c r="AJ131">
        <f t="shared" si="12"/>
        <v>0</v>
      </c>
      <c r="AL131">
        <f t="shared" si="13"/>
        <v>0</v>
      </c>
      <c r="AM131">
        <f t="shared" si="14"/>
        <v>57</v>
      </c>
      <c r="AN131">
        <f t="shared" si="15"/>
        <v>14</v>
      </c>
      <c r="AO131">
        <f t="shared" si="16"/>
        <v>0</v>
      </c>
      <c r="AP131">
        <f t="shared" si="17"/>
        <v>71</v>
      </c>
    </row>
    <row r="132" spans="1:42" ht="15.75" hidden="1" customHeight="1" x14ac:dyDescent="0.3">
      <c r="A132" s="16"/>
      <c r="B132" s="55">
        <v>2</v>
      </c>
      <c r="C132" s="56" t="s">
        <v>150</v>
      </c>
      <c r="D132" s="55">
        <v>4</v>
      </c>
      <c r="E132" s="55" t="s">
        <v>20</v>
      </c>
      <c r="F132" s="18" t="s">
        <v>20</v>
      </c>
      <c r="G132" s="18" t="s">
        <v>20</v>
      </c>
      <c r="H132" s="18" t="s">
        <v>20</v>
      </c>
      <c r="I132" s="18" t="s">
        <v>20</v>
      </c>
      <c r="J132" s="43" t="s">
        <v>39</v>
      </c>
      <c r="K132" s="43" t="s">
        <v>20</v>
      </c>
      <c r="L132" s="43" t="s">
        <v>20</v>
      </c>
      <c r="M132" s="18" t="s">
        <v>21</v>
      </c>
      <c r="N132" s="18" t="s">
        <v>20</v>
      </c>
      <c r="O132" s="18" t="s">
        <v>20</v>
      </c>
      <c r="P132" s="18" t="s">
        <v>20</v>
      </c>
      <c r="Q132" s="18" t="s">
        <v>20</v>
      </c>
      <c r="R132" s="18" t="s">
        <v>20</v>
      </c>
      <c r="S132" s="18" t="s">
        <v>20</v>
      </c>
      <c r="T132" s="18" t="s">
        <v>20</v>
      </c>
      <c r="U132" s="18" t="s">
        <v>20</v>
      </c>
      <c r="V132" s="37" t="s">
        <v>20</v>
      </c>
      <c r="W132" s="37" t="s">
        <v>20</v>
      </c>
      <c r="X132" s="37" t="s">
        <v>20</v>
      </c>
      <c r="Y132" s="18" t="s">
        <v>20</v>
      </c>
      <c r="Z132" s="18" t="s">
        <v>21</v>
      </c>
      <c r="AA132" s="20" t="s">
        <v>20</v>
      </c>
      <c r="AB132" s="20" t="s">
        <v>20</v>
      </c>
      <c r="AC132" s="20" t="s">
        <v>21</v>
      </c>
      <c r="AD132" s="29" t="s">
        <v>20</v>
      </c>
      <c r="AE132" s="29" t="s">
        <v>21</v>
      </c>
      <c r="AG132">
        <f t="shared" si="9"/>
        <v>1</v>
      </c>
      <c r="AH132">
        <f t="shared" si="10"/>
        <v>21</v>
      </c>
      <c r="AI132">
        <f t="shared" si="11"/>
        <v>4</v>
      </c>
      <c r="AJ132">
        <f t="shared" si="12"/>
        <v>0</v>
      </c>
      <c r="AL132">
        <f t="shared" si="13"/>
        <v>4</v>
      </c>
      <c r="AM132">
        <f t="shared" si="14"/>
        <v>63</v>
      </c>
      <c r="AN132">
        <f t="shared" si="15"/>
        <v>8</v>
      </c>
      <c r="AO132">
        <f t="shared" si="16"/>
        <v>0</v>
      </c>
      <c r="AP132">
        <f t="shared" si="17"/>
        <v>75</v>
      </c>
    </row>
    <row r="133" spans="1:42" ht="15.75" hidden="1" customHeight="1" x14ac:dyDescent="0.3">
      <c r="A133" s="16"/>
      <c r="B133" s="55">
        <v>3</v>
      </c>
      <c r="C133" s="56" t="s">
        <v>151</v>
      </c>
      <c r="D133" s="55">
        <v>4</v>
      </c>
      <c r="E133" s="55" t="s">
        <v>20</v>
      </c>
      <c r="F133" s="18" t="s">
        <v>23</v>
      </c>
      <c r="G133" s="18" t="s">
        <v>21</v>
      </c>
      <c r="H133" s="18" t="s">
        <v>23</v>
      </c>
      <c r="I133" s="18" t="s">
        <v>21</v>
      </c>
      <c r="J133" s="43" t="s">
        <v>21</v>
      </c>
      <c r="K133" s="43" t="s">
        <v>21</v>
      </c>
      <c r="L133" s="43" t="s">
        <v>21</v>
      </c>
      <c r="M133" s="18" t="s">
        <v>21</v>
      </c>
      <c r="N133" s="18" t="s">
        <v>20</v>
      </c>
      <c r="O133" s="18" t="s">
        <v>20</v>
      </c>
      <c r="P133" s="18" t="s">
        <v>21</v>
      </c>
      <c r="Q133" s="18" t="s">
        <v>21</v>
      </c>
      <c r="R133" s="18" t="s">
        <v>21</v>
      </c>
      <c r="S133" s="18" t="s">
        <v>20</v>
      </c>
      <c r="T133" s="18" t="s">
        <v>20</v>
      </c>
      <c r="U133" s="18" t="s">
        <v>21</v>
      </c>
      <c r="V133" s="37" t="s">
        <v>20</v>
      </c>
      <c r="W133" s="46" t="s">
        <v>21</v>
      </c>
      <c r="X133" s="37" t="s">
        <v>20</v>
      </c>
      <c r="Y133" s="18" t="s">
        <v>21</v>
      </c>
      <c r="Z133" s="18" t="s">
        <v>23</v>
      </c>
      <c r="AA133" s="20" t="s">
        <v>21</v>
      </c>
      <c r="AB133" s="20" t="s">
        <v>21</v>
      </c>
      <c r="AC133" s="20" t="s">
        <v>21</v>
      </c>
      <c r="AD133" s="29" t="s">
        <v>21</v>
      </c>
      <c r="AE133" s="29" t="s">
        <v>21</v>
      </c>
      <c r="AG133">
        <f t="shared" si="9"/>
        <v>0</v>
      </c>
      <c r="AH133">
        <f t="shared" si="10"/>
        <v>6</v>
      </c>
      <c r="AI133">
        <f t="shared" si="11"/>
        <v>17</v>
      </c>
      <c r="AJ133">
        <f t="shared" si="12"/>
        <v>3</v>
      </c>
      <c r="AL133">
        <f t="shared" si="13"/>
        <v>0</v>
      </c>
      <c r="AM133">
        <f t="shared" si="14"/>
        <v>18</v>
      </c>
      <c r="AN133">
        <f t="shared" si="15"/>
        <v>34</v>
      </c>
      <c r="AO133">
        <f t="shared" si="16"/>
        <v>3</v>
      </c>
      <c r="AP133">
        <f t="shared" si="17"/>
        <v>55</v>
      </c>
    </row>
    <row r="134" spans="1:42" ht="15.75" hidden="1" customHeight="1" x14ac:dyDescent="0.3">
      <c r="A134" s="16"/>
      <c r="B134" s="55">
        <v>4</v>
      </c>
      <c r="C134" s="56" t="s">
        <v>152</v>
      </c>
      <c r="D134" s="55">
        <v>4</v>
      </c>
      <c r="E134" s="55" t="s">
        <v>20</v>
      </c>
      <c r="F134" s="18" t="s">
        <v>21</v>
      </c>
      <c r="G134" s="18" t="s">
        <v>20</v>
      </c>
      <c r="H134" s="18" t="s">
        <v>21</v>
      </c>
      <c r="I134" s="18" t="s">
        <v>20</v>
      </c>
      <c r="J134" s="43" t="s">
        <v>20</v>
      </c>
      <c r="K134" s="43" t="s">
        <v>20</v>
      </c>
      <c r="L134" s="43" t="s">
        <v>21</v>
      </c>
      <c r="M134" s="18" t="s">
        <v>20</v>
      </c>
      <c r="N134" s="18" t="s">
        <v>20</v>
      </c>
      <c r="O134" s="18" t="s">
        <v>20</v>
      </c>
      <c r="P134" s="18" t="s">
        <v>21</v>
      </c>
      <c r="Q134" s="18" t="s">
        <v>21</v>
      </c>
      <c r="R134" s="18" t="s">
        <v>21</v>
      </c>
      <c r="S134" s="18" t="s">
        <v>20</v>
      </c>
      <c r="T134" s="18" t="s">
        <v>20</v>
      </c>
      <c r="U134" s="18" t="s">
        <v>21</v>
      </c>
      <c r="V134" s="37" t="s">
        <v>20</v>
      </c>
      <c r="W134" s="37" t="s">
        <v>20</v>
      </c>
      <c r="X134" s="37" t="s">
        <v>20</v>
      </c>
      <c r="Y134" s="18" t="s">
        <v>20</v>
      </c>
      <c r="Z134" s="18" t="s">
        <v>20</v>
      </c>
      <c r="AA134" s="20" t="s">
        <v>21</v>
      </c>
      <c r="AB134" s="20" t="s">
        <v>21</v>
      </c>
      <c r="AC134" s="20" t="s">
        <v>20</v>
      </c>
      <c r="AD134" s="47" t="s">
        <v>20</v>
      </c>
      <c r="AE134" s="47" t="s">
        <v>21</v>
      </c>
      <c r="AG134">
        <f t="shared" si="9"/>
        <v>0</v>
      </c>
      <c r="AH134">
        <f t="shared" si="10"/>
        <v>16</v>
      </c>
      <c r="AI134">
        <f t="shared" si="11"/>
        <v>10</v>
      </c>
      <c r="AJ134">
        <f t="shared" si="12"/>
        <v>0</v>
      </c>
      <c r="AL134">
        <f t="shared" si="13"/>
        <v>0</v>
      </c>
      <c r="AM134">
        <f t="shared" si="14"/>
        <v>48</v>
      </c>
      <c r="AN134">
        <f t="shared" si="15"/>
        <v>20</v>
      </c>
      <c r="AO134">
        <f t="shared" si="16"/>
        <v>0</v>
      </c>
      <c r="AP134">
        <f t="shared" si="17"/>
        <v>68</v>
      </c>
    </row>
    <row r="135" spans="1:42" ht="15.75" hidden="1" customHeight="1" x14ac:dyDescent="0.3">
      <c r="A135" s="16"/>
      <c r="B135" s="55">
        <v>5</v>
      </c>
      <c r="C135" s="56" t="s">
        <v>153</v>
      </c>
      <c r="D135" s="55">
        <v>4</v>
      </c>
      <c r="E135" s="55" t="s">
        <v>20</v>
      </c>
      <c r="F135" s="18" t="s">
        <v>20</v>
      </c>
      <c r="G135" s="18" t="s">
        <v>21</v>
      </c>
      <c r="H135" s="18" t="s">
        <v>21</v>
      </c>
      <c r="I135" s="18" t="s">
        <v>20</v>
      </c>
      <c r="J135" s="43" t="s">
        <v>20</v>
      </c>
      <c r="K135" s="43" t="s">
        <v>20</v>
      </c>
      <c r="L135" s="43" t="s">
        <v>21</v>
      </c>
      <c r="M135" s="18" t="s">
        <v>21</v>
      </c>
      <c r="N135" s="18" t="s">
        <v>20</v>
      </c>
      <c r="O135" s="18" t="s">
        <v>20</v>
      </c>
      <c r="P135" s="18" t="s">
        <v>20</v>
      </c>
      <c r="Q135" s="18" t="s">
        <v>20</v>
      </c>
      <c r="R135" s="18" t="s">
        <v>20</v>
      </c>
      <c r="S135" s="18" t="s">
        <v>20</v>
      </c>
      <c r="T135" s="18" t="s">
        <v>20</v>
      </c>
      <c r="U135" s="18" t="s">
        <v>21</v>
      </c>
      <c r="V135" s="37" t="s">
        <v>20</v>
      </c>
      <c r="W135" s="37" t="s">
        <v>20</v>
      </c>
      <c r="X135" s="37" t="s">
        <v>20</v>
      </c>
      <c r="Y135" s="18" t="s">
        <v>20</v>
      </c>
      <c r="Z135" s="18" t="s">
        <v>21</v>
      </c>
      <c r="AA135" s="20" t="s">
        <v>21</v>
      </c>
      <c r="AB135" s="20" t="s">
        <v>20</v>
      </c>
      <c r="AC135" s="20" t="s">
        <v>20</v>
      </c>
      <c r="AD135" s="29" t="s">
        <v>23</v>
      </c>
      <c r="AE135" s="29" t="s">
        <v>21</v>
      </c>
      <c r="AG135">
        <f t="shared" ref="AG135:AG198" si="18">+COUNTIF(F135:AE135,"AD")</f>
        <v>0</v>
      </c>
      <c r="AH135">
        <f t="shared" ref="AH135:AH198" si="19">+COUNTIF(F135:AE135,"A")</f>
        <v>17</v>
      </c>
      <c r="AI135">
        <f t="shared" ref="AI135:AI198" si="20">+COUNTIF(F135:AE135,"b")</f>
        <v>8</v>
      </c>
      <c r="AJ135">
        <f t="shared" ref="AJ135:AJ198" si="21">+COUNTIF(F135:AE135,"c")</f>
        <v>1</v>
      </c>
      <c r="AL135">
        <f t="shared" ref="AL135:AL198" si="22">+$AG$5*AG135</f>
        <v>0</v>
      </c>
      <c r="AM135">
        <f t="shared" ref="AM135:AM198" si="23">+$AH$5*AH135</f>
        <v>51</v>
      </c>
      <c r="AN135">
        <f t="shared" ref="AN135:AN198" si="24">+$AI$5*AI135</f>
        <v>16</v>
      </c>
      <c r="AO135">
        <f t="shared" ref="AO135:AO198" si="25">+$AJ$5*AJ135</f>
        <v>1</v>
      </c>
      <c r="AP135">
        <f t="shared" ref="AP135:AP198" si="26">+SUM(AL135:AO135)</f>
        <v>68</v>
      </c>
    </row>
    <row r="136" spans="1:42" ht="15.75" hidden="1" customHeight="1" x14ac:dyDescent="0.3">
      <c r="A136" s="16"/>
      <c r="B136" s="55">
        <v>6</v>
      </c>
      <c r="C136" s="56" t="s">
        <v>154</v>
      </c>
      <c r="D136" s="55">
        <v>4</v>
      </c>
      <c r="E136" s="55" t="s">
        <v>20</v>
      </c>
      <c r="F136" s="18" t="s">
        <v>20</v>
      </c>
      <c r="G136" s="18" t="s">
        <v>21</v>
      </c>
      <c r="H136" s="18" t="s">
        <v>21</v>
      </c>
      <c r="I136" s="18" t="s">
        <v>20</v>
      </c>
      <c r="J136" s="43" t="s">
        <v>20</v>
      </c>
      <c r="K136" s="43" t="s">
        <v>20</v>
      </c>
      <c r="L136" s="43" t="s">
        <v>20</v>
      </c>
      <c r="M136" s="18" t="s">
        <v>20</v>
      </c>
      <c r="N136" s="18" t="s">
        <v>20</v>
      </c>
      <c r="O136" s="18" t="s">
        <v>20</v>
      </c>
      <c r="P136" s="18" t="s">
        <v>20</v>
      </c>
      <c r="Q136" s="18" t="s">
        <v>21</v>
      </c>
      <c r="R136" s="18" t="s">
        <v>20</v>
      </c>
      <c r="S136" s="18" t="s">
        <v>20</v>
      </c>
      <c r="T136" s="18" t="s">
        <v>20</v>
      </c>
      <c r="U136" s="18" t="s">
        <v>20</v>
      </c>
      <c r="V136" s="37" t="s">
        <v>20</v>
      </c>
      <c r="W136" s="37" t="s">
        <v>20</v>
      </c>
      <c r="X136" s="37" t="s">
        <v>20</v>
      </c>
      <c r="Y136" s="18" t="s">
        <v>20</v>
      </c>
      <c r="Z136" s="18" t="s">
        <v>20</v>
      </c>
      <c r="AA136" s="20" t="s">
        <v>20</v>
      </c>
      <c r="AB136" s="20" t="s">
        <v>20</v>
      </c>
      <c r="AC136" s="20" t="s">
        <v>20</v>
      </c>
      <c r="AD136" s="29" t="s">
        <v>20</v>
      </c>
      <c r="AE136" s="29" t="s">
        <v>21</v>
      </c>
      <c r="AG136">
        <f t="shared" si="18"/>
        <v>0</v>
      </c>
      <c r="AH136">
        <f t="shared" si="19"/>
        <v>22</v>
      </c>
      <c r="AI136">
        <f t="shared" si="20"/>
        <v>4</v>
      </c>
      <c r="AJ136">
        <f t="shared" si="21"/>
        <v>0</v>
      </c>
      <c r="AL136">
        <f t="shared" si="22"/>
        <v>0</v>
      </c>
      <c r="AM136">
        <f t="shared" si="23"/>
        <v>66</v>
      </c>
      <c r="AN136">
        <f t="shared" si="24"/>
        <v>8</v>
      </c>
      <c r="AO136">
        <f t="shared" si="25"/>
        <v>0</v>
      </c>
      <c r="AP136">
        <f t="shared" si="26"/>
        <v>74</v>
      </c>
    </row>
    <row r="137" spans="1:42" ht="15.75" hidden="1" customHeight="1" x14ac:dyDescent="0.3">
      <c r="A137" s="16"/>
      <c r="B137" s="55">
        <v>7</v>
      </c>
      <c r="C137" s="56" t="s">
        <v>155</v>
      </c>
      <c r="D137" s="55">
        <v>4</v>
      </c>
      <c r="E137" s="55" t="s">
        <v>20</v>
      </c>
      <c r="F137" s="18" t="s">
        <v>21</v>
      </c>
      <c r="G137" s="18" t="s">
        <v>21</v>
      </c>
      <c r="H137" s="18" t="s">
        <v>23</v>
      </c>
      <c r="I137" s="18" t="s">
        <v>23</v>
      </c>
      <c r="J137" s="43" t="s">
        <v>20</v>
      </c>
      <c r="K137" s="43" t="s">
        <v>20</v>
      </c>
      <c r="L137" s="43" t="s">
        <v>20</v>
      </c>
      <c r="M137" s="18" t="s">
        <v>20</v>
      </c>
      <c r="N137" s="18" t="s">
        <v>21</v>
      </c>
      <c r="O137" s="18" t="s">
        <v>21</v>
      </c>
      <c r="P137" s="18" t="s">
        <v>23</v>
      </c>
      <c r="Q137" s="18" t="s">
        <v>21</v>
      </c>
      <c r="R137" s="18" t="s">
        <v>23</v>
      </c>
      <c r="S137" s="18" t="s">
        <v>21</v>
      </c>
      <c r="T137" s="18" t="s">
        <v>20</v>
      </c>
      <c r="U137" s="18" t="s">
        <v>21</v>
      </c>
      <c r="V137" s="37" t="s">
        <v>20</v>
      </c>
      <c r="W137" s="37" t="s">
        <v>21</v>
      </c>
      <c r="X137" s="37" t="s">
        <v>20</v>
      </c>
      <c r="Y137" s="18" t="s">
        <v>21</v>
      </c>
      <c r="Z137" s="18" t="s">
        <v>20</v>
      </c>
      <c r="AA137" s="20" t="s">
        <v>21</v>
      </c>
      <c r="AB137" s="20" t="s">
        <v>21</v>
      </c>
      <c r="AC137" s="20" t="s">
        <v>21</v>
      </c>
      <c r="AD137" s="29" t="s">
        <v>55</v>
      </c>
      <c r="AE137" s="29" t="s">
        <v>55</v>
      </c>
      <c r="AG137">
        <f t="shared" si="18"/>
        <v>0</v>
      </c>
      <c r="AH137">
        <f t="shared" si="19"/>
        <v>8</v>
      </c>
      <c r="AI137">
        <f t="shared" si="20"/>
        <v>12</v>
      </c>
      <c r="AJ137">
        <f t="shared" si="21"/>
        <v>4</v>
      </c>
      <c r="AL137">
        <f t="shared" si="22"/>
        <v>0</v>
      </c>
      <c r="AM137">
        <f t="shared" si="23"/>
        <v>24</v>
      </c>
      <c r="AN137">
        <f t="shared" si="24"/>
        <v>24</v>
      </c>
      <c r="AO137">
        <f t="shared" si="25"/>
        <v>4</v>
      </c>
      <c r="AP137">
        <f t="shared" si="26"/>
        <v>52</v>
      </c>
    </row>
    <row r="138" spans="1:42" ht="15.75" hidden="1" customHeight="1" x14ac:dyDescent="0.3">
      <c r="A138" s="16"/>
      <c r="B138" s="55">
        <v>8</v>
      </c>
      <c r="C138" s="56" t="s">
        <v>156</v>
      </c>
      <c r="D138" s="55">
        <v>4</v>
      </c>
      <c r="E138" s="55" t="s">
        <v>20</v>
      </c>
      <c r="F138" s="18" t="s">
        <v>20</v>
      </c>
      <c r="G138" s="18" t="s">
        <v>20</v>
      </c>
      <c r="H138" s="18" t="s">
        <v>20</v>
      </c>
      <c r="I138" s="18" t="s">
        <v>20</v>
      </c>
      <c r="J138" s="43" t="s">
        <v>39</v>
      </c>
      <c r="K138" s="43" t="s">
        <v>20</v>
      </c>
      <c r="L138" s="43" t="s">
        <v>20</v>
      </c>
      <c r="M138" s="18" t="s">
        <v>20</v>
      </c>
      <c r="N138" s="18" t="s">
        <v>20</v>
      </c>
      <c r="O138" s="18" t="s">
        <v>20</v>
      </c>
      <c r="P138" s="18" t="s">
        <v>20</v>
      </c>
      <c r="Q138" s="18" t="s">
        <v>20</v>
      </c>
      <c r="R138" s="18" t="s">
        <v>20</v>
      </c>
      <c r="S138" s="18" t="s">
        <v>20</v>
      </c>
      <c r="T138" s="18" t="s">
        <v>20</v>
      </c>
      <c r="U138" s="18" t="s">
        <v>21</v>
      </c>
      <c r="V138" s="37" t="s">
        <v>20</v>
      </c>
      <c r="W138" s="37" t="s">
        <v>20</v>
      </c>
      <c r="X138" s="37" t="s">
        <v>20</v>
      </c>
      <c r="Y138" s="18" t="s">
        <v>20</v>
      </c>
      <c r="Z138" s="18" t="s">
        <v>20</v>
      </c>
      <c r="AA138" s="20" t="s">
        <v>20</v>
      </c>
      <c r="AB138" s="20" t="s">
        <v>20</v>
      </c>
      <c r="AC138" s="20" t="s">
        <v>20</v>
      </c>
      <c r="AD138" s="29" t="s">
        <v>20</v>
      </c>
      <c r="AE138" s="29" t="s">
        <v>21</v>
      </c>
      <c r="AG138">
        <f t="shared" si="18"/>
        <v>1</v>
      </c>
      <c r="AH138">
        <f t="shared" si="19"/>
        <v>23</v>
      </c>
      <c r="AI138">
        <f t="shared" si="20"/>
        <v>2</v>
      </c>
      <c r="AJ138">
        <f t="shared" si="21"/>
        <v>0</v>
      </c>
      <c r="AL138">
        <f t="shared" si="22"/>
        <v>4</v>
      </c>
      <c r="AM138">
        <f t="shared" si="23"/>
        <v>69</v>
      </c>
      <c r="AN138">
        <f t="shared" si="24"/>
        <v>4</v>
      </c>
      <c r="AO138">
        <f t="shared" si="25"/>
        <v>0</v>
      </c>
      <c r="AP138">
        <f t="shared" si="26"/>
        <v>77</v>
      </c>
    </row>
    <row r="139" spans="1:42" ht="15.75" hidden="1" customHeight="1" x14ac:dyDescent="0.3">
      <c r="A139" s="16"/>
      <c r="B139" s="55">
        <v>9</v>
      </c>
      <c r="C139" s="56" t="s">
        <v>157</v>
      </c>
      <c r="D139" s="55">
        <v>4</v>
      </c>
      <c r="E139" s="55" t="s">
        <v>20</v>
      </c>
      <c r="F139" s="18" t="s">
        <v>23</v>
      </c>
      <c r="G139" s="18" t="s">
        <v>21</v>
      </c>
      <c r="H139" s="18" t="s">
        <v>21</v>
      </c>
      <c r="I139" s="18" t="s">
        <v>21</v>
      </c>
      <c r="J139" s="43" t="s">
        <v>20</v>
      </c>
      <c r="K139" s="43" t="s">
        <v>20</v>
      </c>
      <c r="L139" s="43" t="s">
        <v>21</v>
      </c>
      <c r="M139" s="18" t="s">
        <v>20</v>
      </c>
      <c r="N139" s="18" t="s">
        <v>20</v>
      </c>
      <c r="O139" s="18" t="s">
        <v>20</v>
      </c>
      <c r="P139" s="18" t="s">
        <v>20</v>
      </c>
      <c r="Q139" s="18" t="s">
        <v>20</v>
      </c>
      <c r="R139" s="18" t="s">
        <v>20</v>
      </c>
      <c r="S139" s="18" t="s">
        <v>20</v>
      </c>
      <c r="T139" s="18" t="s">
        <v>20</v>
      </c>
      <c r="U139" s="18" t="s">
        <v>21</v>
      </c>
      <c r="V139" s="37" t="s">
        <v>20</v>
      </c>
      <c r="W139" s="37" t="s">
        <v>20</v>
      </c>
      <c r="X139" s="37" t="s">
        <v>20</v>
      </c>
      <c r="Y139" s="18" t="s">
        <v>20</v>
      </c>
      <c r="Z139" s="18" t="s">
        <v>21</v>
      </c>
      <c r="AA139" s="20" t="s">
        <v>21</v>
      </c>
      <c r="AB139" s="20" t="s">
        <v>21</v>
      </c>
      <c r="AC139" s="20" t="s">
        <v>23</v>
      </c>
      <c r="AD139" s="18" t="s">
        <v>20</v>
      </c>
      <c r="AE139" s="18" t="s">
        <v>21</v>
      </c>
      <c r="AG139">
        <f t="shared" si="18"/>
        <v>0</v>
      </c>
      <c r="AH139">
        <f t="shared" si="19"/>
        <v>15</v>
      </c>
      <c r="AI139">
        <f t="shared" si="20"/>
        <v>9</v>
      </c>
      <c r="AJ139">
        <f t="shared" si="21"/>
        <v>2</v>
      </c>
      <c r="AL139">
        <f t="shared" si="22"/>
        <v>0</v>
      </c>
      <c r="AM139">
        <f t="shared" si="23"/>
        <v>45</v>
      </c>
      <c r="AN139">
        <f t="shared" si="24"/>
        <v>18</v>
      </c>
      <c r="AO139">
        <f t="shared" si="25"/>
        <v>2</v>
      </c>
      <c r="AP139">
        <f t="shared" si="26"/>
        <v>65</v>
      </c>
    </row>
    <row r="140" spans="1:42" ht="15.75" hidden="1" customHeight="1" x14ac:dyDescent="0.3">
      <c r="A140" s="16"/>
      <c r="B140" s="55">
        <v>10</v>
      </c>
      <c r="C140" s="56" t="s">
        <v>158</v>
      </c>
      <c r="D140" s="55">
        <v>4</v>
      </c>
      <c r="E140" s="55" t="s">
        <v>20</v>
      </c>
      <c r="F140" s="18" t="s">
        <v>21</v>
      </c>
      <c r="G140" s="18" t="s">
        <v>23</v>
      </c>
      <c r="H140" s="18" t="s">
        <v>21</v>
      </c>
      <c r="I140" s="18" t="s">
        <v>23</v>
      </c>
      <c r="J140" s="43" t="s">
        <v>20</v>
      </c>
      <c r="K140" s="43" t="s">
        <v>21</v>
      </c>
      <c r="L140" s="43" t="s">
        <v>21</v>
      </c>
      <c r="M140" s="18" t="s">
        <v>21</v>
      </c>
      <c r="N140" s="18" t="s">
        <v>21</v>
      </c>
      <c r="O140" s="18" t="s">
        <v>20</v>
      </c>
      <c r="P140" s="18" t="s">
        <v>21</v>
      </c>
      <c r="Q140" s="18" t="s">
        <v>21</v>
      </c>
      <c r="R140" s="18" t="s">
        <v>21</v>
      </c>
      <c r="S140" s="18" t="s">
        <v>21</v>
      </c>
      <c r="T140" s="18" t="s">
        <v>20</v>
      </c>
      <c r="U140" s="18" t="s">
        <v>20</v>
      </c>
      <c r="V140" s="37" t="s">
        <v>20</v>
      </c>
      <c r="W140" s="37" t="s">
        <v>20</v>
      </c>
      <c r="X140" s="37" t="s">
        <v>20</v>
      </c>
      <c r="Y140" s="18" t="s">
        <v>20</v>
      </c>
      <c r="Z140" s="18" t="s">
        <v>21</v>
      </c>
      <c r="AA140" s="20" t="s">
        <v>20</v>
      </c>
      <c r="AB140" s="20" t="s">
        <v>20</v>
      </c>
      <c r="AC140" s="20" t="s">
        <v>20</v>
      </c>
      <c r="AD140" s="18" t="s">
        <v>23</v>
      </c>
      <c r="AE140" s="18" t="s">
        <v>21</v>
      </c>
      <c r="AG140">
        <f t="shared" si="18"/>
        <v>0</v>
      </c>
      <c r="AH140">
        <f t="shared" si="19"/>
        <v>11</v>
      </c>
      <c r="AI140">
        <f t="shared" si="20"/>
        <v>12</v>
      </c>
      <c r="AJ140">
        <f t="shared" si="21"/>
        <v>3</v>
      </c>
      <c r="AL140">
        <f t="shared" si="22"/>
        <v>0</v>
      </c>
      <c r="AM140">
        <f t="shared" si="23"/>
        <v>33</v>
      </c>
      <c r="AN140">
        <f t="shared" si="24"/>
        <v>24</v>
      </c>
      <c r="AO140">
        <f t="shared" si="25"/>
        <v>3</v>
      </c>
      <c r="AP140">
        <f t="shared" si="26"/>
        <v>60</v>
      </c>
    </row>
    <row r="141" spans="1:42" ht="15.75" hidden="1" customHeight="1" x14ac:dyDescent="0.3">
      <c r="A141" s="16"/>
      <c r="B141" s="55">
        <v>11</v>
      </c>
      <c r="C141" s="56" t="s">
        <v>159</v>
      </c>
      <c r="D141" s="55">
        <v>4</v>
      </c>
      <c r="E141" s="55" t="s">
        <v>20</v>
      </c>
      <c r="F141" s="18" t="s">
        <v>23</v>
      </c>
      <c r="G141" s="18" t="s">
        <v>23</v>
      </c>
      <c r="H141" s="18" t="s">
        <v>23</v>
      </c>
      <c r="I141" s="18" t="s">
        <v>21</v>
      </c>
      <c r="J141" s="43" t="s">
        <v>20</v>
      </c>
      <c r="K141" s="43" t="s">
        <v>21</v>
      </c>
      <c r="L141" s="43" t="s">
        <v>21</v>
      </c>
      <c r="M141" s="18" t="s">
        <v>21</v>
      </c>
      <c r="N141" s="18" t="s">
        <v>21</v>
      </c>
      <c r="O141" s="18" t="s">
        <v>21</v>
      </c>
      <c r="P141" s="18" t="s">
        <v>21</v>
      </c>
      <c r="Q141" s="18" t="s">
        <v>21</v>
      </c>
      <c r="R141" s="18" t="s">
        <v>21</v>
      </c>
      <c r="S141" s="18" t="s">
        <v>20</v>
      </c>
      <c r="T141" s="18" t="s">
        <v>21</v>
      </c>
      <c r="U141" s="18" t="s">
        <v>20</v>
      </c>
      <c r="V141" s="37" t="s">
        <v>20</v>
      </c>
      <c r="W141" s="37" t="s">
        <v>20</v>
      </c>
      <c r="X141" s="37" t="s">
        <v>20</v>
      </c>
      <c r="Y141" s="18" t="s">
        <v>21</v>
      </c>
      <c r="Z141" s="18" t="s">
        <v>21</v>
      </c>
      <c r="AA141" s="20" t="s">
        <v>21</v>
      </c>
      <c r="AB141" s="20" t="s">
        <v>21</v>
      </c>
      <c r="AC141" s="20" t="s">
        <v>23</v>
      </c>
      <c r="AD141" s="18" t="s">
        <v>23</v>
      </c>
      <c r="AE141" s="18" t="s">
        <v>21</v>
      </c>
      <c r="AG141">
        <f t="shared" si="18"/>
        <v>0</v>
      </c>
      <c r="AH141">
        <f t="shared" si="19"/>
        <v>6</v>
      </c>
      <c r="AI141">
        <f t="shared" si="20"/>
        <v>15</v>
      </c>
      <c r="AJ141">
        <f t="shared" si="21"/>
        <v>5</v>
      </c>
      <c r="AL141">
        <f t="shared" si="22"/>
        <v>0</v>
      </c>
      <c r="AM141">
        <f t="shared" si="23"/>
        <v>18</v>
      </c>
      <c r="AN141">
        <f t="shared" si="24"/>
        <v>30</v>
      </c>
      <c r="AO141">
        <f t="shared" si="25"/>
        <v>5</v>
      </c>
      <c r="AP141">
        <f t="shared" si="26"/>
        <v>53</v>
      </c>
    </row>
    <row r="142" spans="1:42" ht="15.75" hidden="1" customHeight="1" x14ac:dyDescent="0.3">
      <c r="A142" s="16"/>
      <c r="B142" s="55">
        <v>12</v>
      </c>
      <c r="C142" s="56" t="s">
        <v>160</v>
      </c>
      <c r="D142" s="55">
        <v>4</v>
      </c>
      <c r="E142" s="55" t="s">
        <v>20</v>
      </c>
      <c r="F142" s="18" t="s">
        <v>23</v>
      </c>
      <c r="G142" s="18" t="s">
        <v>23</v>
      </c>
      <c r="H142" s="18" t="s">
        <v>23</v>
      </c>
      <c r="I142" s="18" t="s">
        <v>21</v>
      </c>
      <c r="J142" s="43" t="s">
        <v>21</v>
      </c>
      <c r="K142" s="43" t="s">
        <v>21</v>
      </c>
      <c r="L142" s="43" t="s">
        <v>21</v>
      </c>
      <c r="M142" s="18" t="s">
        <v>21</v>
      </c>
      <c r="N142" s="18" t="s">
        <v>20</v>
      </c>
      <c r="O142" s="18" t="s">
        <v>21</v>
      </c>
      <c r="P142" s="18" t="s">
        <v>21</v>
      </c>
      <c r="Q142" s="18" t="s">
        <v>21</v>
      </c>
      <c r="R142" s="18" t="s">
        <v>21</v>
      </c>
      <c r="S142" s="18" t="s">
        <v>21</v>
      </c>
      <c r="T142" s="18" t="s">
        <v>21</v>
      </c>
      <c r="U142" s="18" t="s">
        <v>21</v>
      </c>
      <c r="V142" s="37" t="s">
        <v>20</v>
      </c>
      <c r="W142" s="37" t="s">
        <v>20</v>
      </c>
      <c r="X142" s="37" t="s">
        <v>21</v>
      </c>
      <c r="Y142" s="18" t="s">
        <v>21</v>
      </c>
      <c r="Z142" s="18" t="s">
        <v>21</v>
      </c>
      <c r="AA142" s="20" t="s">
        <v>21</v>
      </c>
      <c r="AB142" s="20" t="s">
        <v>21</v>
      </c>
      <c r="AC142" s="20" t="s">
        <v>23</v>
      </c>
      <c r="AD142" s="18" t="s">
        <v>23</v>
      </c>
      <c r="AE142" s="18" t="s">
        <v>21</v>
      </c>
      <c r="AG142">
        <f t="shared" si="18"/>
        <v>0</v>
      </c>
      <c r="AH142">
        <f t="shared" si="19"/>
        <v>3</v>
      </c>
      <c r="AI142">
        <f t="shared" si="20"/>
        <v>18</v>
      </c>
      <c r="AJ142">
        <f t="shared" si="21"/>
        <v>5</v>
      </c>
      <c r="AL142">
        <f t="shared" si="22"/>
        <v>0</v>
      </c>
      <c r="AM142">
        <f t="shared" si="23"/>
        <v>9</v>
      </c>
      <c r="AN142">
        <f t="shared" si="24"/>
        <v>36</v>
      </c>
      <c r="AO142">
        <f t="shared" si="25"/>
        <v>5</v>
      </c>
      <c r="AP142">
        <f t="shared" si="26"/>
        <v>50</v>
      </c>
    </row>
    <row r="143" spans="1:42" ht="15.75" hidden="1" customHeight="1" x14ac:dyDescent="0.3">
      <c r="A143" s="16"/>
      <c r="B143" s="55">
        <v>13</v>
      </c>
      <c r="C143" s="56" t="s">
        <v>161</v>
      </c>
      <c r="D143" s="55">
        <v>4</v>
      </c>
      <c r="E143" s="55" t="s">
        <v>20</v>
      </c>
      <c r="F143" s="18" t="s">
        <v>21</v>
      </c>
      <c r="G143" s="18" t="s">
        <v>21</v>
      </c>
      <c r="H143" s="18" t="s">
        <v>21</v>
      </c>
      <c r="I143" s="18" t="s">
        <v>21</v>
      </c>
      <c r="J143" s="43" t="s">
        <v>21</v>
      </c>
      <c r="K143" s="43" t="s">
        <v>21</v>
      </c>
      <c r="L143" s="43" t="s">
        <v>21</v>
      </c>
      <c r="M143" s="18" t="s">
        <v>23</v>
      </c>
      <c r="N143" s="18" t="s">
        <v>23</v>
      </c>
      <c r="O143" s="18" t="s">
        <v>21</v>
      </c>
      <c r="P143" s="18" t="s">
        <v>20</v>
      </c>
      <c r="Q143" s="18" t="s">
        <v>21</v>
      </c>
      <c r="R143" s="18" t="s">
        <v>21</v>
      </c>
      <c r="S143" s="18" t="s">
        <v>20</v>
      </c>
      <c r="T143" s="18" t="s">
        <v>21</v>
      </c>
      <c r="U143" s="18" t="s">
        <v>20</v>
      </c>
      <c r="V143" s="37" t="s">
        <v>21</v>
      </c>
      <c r="W143" s="37" t="s">
        <v>21</v>
      </c>
      <c r="X143" s="37" t="s">
        <v>21</v>
      </c>
      <c r="Y143" s="18" t="s">
        <v>21</v>
      </c>
      <c r="Z143" s="18" t="s">
        <v>21</v>
      </c>
      <c r="AA143" s="20" t="s">
        <v>21</v>
      </c>
      <c r="AB143" s="20" t="s">
        <v>21</v>
      </c>
      <c r="AC143" s="20" t="s">
        <v>23</v>
      </c>
      <c r="AD143" s="18" t="s">
        <v>23</v>
      </c>
      <c r="AE143" s="18" t="s">
        <v>21</v>
      </c>
      <c r="AG143">
        <f t="shared" si="18"/>
        <v>0</v>
      </c>
      <c r="AH143">
        <f t="shared" si="19"/>
        <v>3</v>
      </c>
      <c r="AI143">
        <f t="shared" si="20"/>
        <v>19</v>
      </c>
      <c r="AJ143">
        <f t="shared" si="21"/>
        <v>4</v>
      </c>
      <c r="AL143">
        <f t="shared" si="22"/>
        <v>0</v>
      </c>
      <c r="AM143">
        <f t="shared" si="23"/>
        <v>9</v>
      </c>
      <c r="AN143">
        <f t="shared" si="24"/>
        <v>38</v>
      </c>
      <c r="AO143">
        <f t="shared" si="25"/>
        <v>4</v>
      </c>
      <c r="AP143">
        <f t="shared" si="26"/>
        <v>51</v>
      </c>
    </row>
    <row r="144" spans="1:42" ht="15.75" hidden="1" customHeight="1" x14ac:dyDescent="0.3">
      <c r="A144" s="16"/>
      <c r="B144" s="55">
        <v>14</v>
      </c>
      <c r="C144" s="56" t="s">
        <v>162</v>
      </c>
      <c r="D144" s="55">
        <v>4</v>
      </c>
      <c r="E144" s="55" t="s">
        <v>20</v>
      </c>
      <c r="F144" s="18" t="s">
        <v>20</v>
      </c>
      <c r="G144" s="18" t="s">
        <v>20</v>
      </c>
      <c r="H144" s="18" t="s">
        <v>20</v>
      </c>
      <c r="I144" s="18" t="s">
        <v>20</v>
      </c>
      <c r="J144" s="43" t="s">
        <v>20</v>
      </c>
      <c r="K144" s="43" t="s">
        <v>20</v>
      </c>
      <c r="L144" s="43" t="s">
        <v>20</v>
      </c>
      <c r="M144" s="18" t="s">
        <v>20</v>
      </c>
      <c r="N144" s="18" t="s">
        <v>20</v>
      </c>
      <c r="O144" s="18" t="s">
        <v>20</v>
      </c>
      <c r="P144" s="18" t="s">
        <v>20</v>
      </c>
      <c r="Q144" s="18" t="s">
        <v>20</v>
      </c>
      <c r="R144" s="18" t="s">
        <v>21</v>
      </c>
      <c r="S144" s="18" t="s">
        <v>21</v>
      </c>
      <c r="T144" s="18" t="s">
        <v>20</v>
      </c>
      <c r="U144" s="18" t="s">
        <v>21</v>
      </c>
      <c r="V144" s="37" t="s">
        <v>20</v>
      </c>
      <c r="W144" s="37" t="s">
        <v>20</v>
      </c>
      <c r="X144" s="37" t="s">
        <v>20</v>
      </c>
      <c r="Y144" s="18" t="s">
        <v>20</v>
      </c>
      <c r="Z144" s="18" t="s">
        <v>20</v>
      </c>
      <c r="AA144" s="20" t="s">
        <v>21</v>
      </c>
      <c r="AB144" s="20" t="s">
        <v>20</v>
      </c>
      <c r="AC144" s="20" t="s">
        <v>20</v>
      </c>
      <c r="AD144" s="18" t="s">
        <v>20</v>
      </c>
      <c r="AE144" s="18" t="s">
        <v>21</v>
      </c>
      <c r="AG144">
        <f t="shared" si="18"/>
        <v>0</v>
      </c>
      <c r="AH144">
        <f t="shared" si="19"/>
        <v>21</v>
      </c>
      <c r="AI144">
        <f t="shared" si="20"/>
        <v>5</v>
      </c>
      <c r="AJ144">
        <f t="shared" si="21"/>
        <v>0</v>
      </c>
      <c r="AL144">
        <f t="shared" si="22"/>
        <v>0</v>
      </c>
      <c r="AM144">
        <f t="shared" si="23"/>
        <v>63</v>
      </c>
      <c r="AN144">
        <f t="shared" si="24"/>
        <v>10</v>
      </c>
      <c r="AO144">
        <f t="shared" si="25"/>
        <v>0</v>
      </c>
      <c r="AP144">
        <f t="shared" si="26"/>
        <v>73</v>
      </c>
    </row>
    <row r="145" spans="1:42" ht="15.75" hidden="1" customHeight="1" x14ac:dyDescent="0.3">
      <c r="A145" s="16"/>
      <c r="B145" s="55">
        <v>15</v>
      </c>
      <c r="C145" s="56" t="s">
        <v>163</v>
      </c>
      <c r="D145" s="55">
        <v>4</v>
      </c>
      <c r="E145" s="55" t="s">
        <v>20</v>
      </c>
      <c r="F145" s="18" t="s">
        <v>20</v>
      </c>
      <c r="G145" s="18" t="s">
        <v>21</v>
      </c>
      <c r="H145" s="18" t="s">
        <v>21</v>
      </c>
      <c r="I145" s="18" t="s">
        <v>20</v>
      </c>
      <c r="J145" s="43" t="s">
        <v>20</v>
      </c>
      <c r="K145" s="43" t="s">
        <v>20</v>
      </c>
      <c r="L145" s="43" t="s">
        <v>20</v>
      </c>
      <c r="M145" s="18" t="s">
        <v>21</v>
      </c>
      <c r="N145" s="18" t="s">
        <v>20</v>
      </c>
      <c r="O145" s="18" t="s">
        <v>20</v>
      </c>
      <c r="P145" s="18" t="s">
        <v>20</v>
      </c>
      <c r="Q145" s="18" t="s">
        <v>20</v>
      </c>
      <c r="R145" s="18" t="s">
        <v>20</v>
      </c>
      <c r="S145" s="18" t="s">
        <v>20</v>
      </c>
      <c r="T145" s="18" t="s">
        <v>20</v>
      </c>
      <c r="U145" s="18" t="s">
        <v>21</v>
      </c>
      <c r="V145" s="37" t="s">
        <v>20</v>
      </c>
      <c r="W145" s="37" t="s">
        <v>20</v>
      </c>
      <c r="X145" s="37" t="s">
        <v>20</v>
      </c>
      <c r="Y145" s="18" t="s">
        <v>20</v>
      </c>
      <c r="Z145" s="18" t="s">
        <v>21</v>
      </c>
      <c r="AA145" s="20" t="s">
        <v>21</v>
      </c>
      <c r="AB145" s="20" t="s">
        <v>20</v>
      </c>
      <c r="AC145" s="20" t="s">
        <v>20</v>
      </c>
      <c r="AD145" s="18" t="s">
        <v>20</v>
      </c>
      <c r="AE145" s="18" t="s">
        <v>21</v>
      </c>
      <c r="AG145">
        <f t="shared" si="18"/>
        <v>0</v>
      </c>
      <c r="AH145">
        <f t="shared" si="19"/>
        <v>19</v>
      </c>
      <c r="AI145">
        <f t="shared" si="20"/>
        <v>7</v>
      </c>
      <c r="AJ145">
        <f t="shared" si="21"/>
        <v>0</v>
      </c>
      <c r="AL145">
        <f t="shared" si="22"/>
        <v>0</v>
      </c>
      <c r="AM145">
        <f t="shared" si="23"/>
        <v>57</v>
      </c>
      <c r="AN145">
        <f t="shared" si="24"/>
        <v>14</v>
      </c>
      <c r="AO145">
        <f t="shared" si="25"/>
        <v>0</v>
      </c>
      <c r="AP145">
        <f t="shared" si="26"/>
        <v>71</v>
      </c>
    </row>
    <row r="146" spans="1:42" ht="15.75" hidden="1" customHeight="1" x14ac:dyDescent="0.3">
      <c r="A146" s="16"/>
      <c r="B146" s="55">
        <v>16</v>
      </c>
      <c r="C146" s="56" t="s">
        <v>164</v>
      </c>
      <c r="D146" s="55">
        <v>4</v>
      </c>
      <c r="E146" s="55" t="s">
        <v>20</v>
      </c>
      <c r="F146" s="18" t="s">
        <v>23</v>
      </c>
      <c r="G146" s="18" t="s">
        <v>23</v>
      </c>
      <c r="H146" s="18" t="s">
        <v>23</v>
      </c>
      <c r="I146" s="18" t="s">
        <v>21</v>
      </c>
      <c r="J146" s="43" t="s">
        <v>21</v>
      </c>
      <c r="K146" s="43" t="s">
        <v>21</v>
      </c>
      <c r="L146" s="43" t="s">
        <v>21</v>
      </c>
      <c r="M146" s="18" t="s">
        <v>21</v>
      </c>
      <c r="N146" s="18" t="s">
        <v>20</v>
      </c>
      <c r="O146" s="18" t="s">
        <v>21</v>
      </c>
      <c r="P146" s="18" t="s">
        <v>20</v>
      </c>
      <c r="Q146" s="18" t="s">
        <v>20</v>
      </c>
      <c r="R146" s="18" t="s">
        <v>20</v>
      </c>
      <c r="S146" s="18" t="s">
        <v>21</v>
      </c>
      <c r="T146" s="18" t="s">
        <v>21</v>
      </c>
      <c r="U146" s="18" t="s">
        <v>21</v>
      </c>
      <c r="V146" s="37" t="s">
        <v>20</v>
      </c>
      <c r="W146" s="37" t="s">
        <v>20</v>
      </c>
      <c r="X146" s="37" t="s">
        <v>20</v>
      </c>
      <c r="Y146" s="18" t="s">
        <v>21</v>
      </c>
      <c r="Z146" s="18" t="s">
        <v>21</v>
      </c>
      <c r="AA146" s="20" t="s">
        <v>21</v>
      </c>
      <c r="AB146" s="20" t="s">
        <v>21</v>
      </c>
      <c r="AC146" s="20" t="s">
        <v>21</v>
      </c>
      <c r="AD146" s="18" t="s">
        <v>23</v>
      </c>
      <c r="AE146" s="18" t="s">
        <v>21</v>
      </c>
      <c r="AG146">
        <f t="shared" si="18"/>
        <v>0</v>
      </c>
      <c r="AH146">
        <f t="shared" si="19"/>
        <v>7</v>
      </c>
      <c r="AI146">
        <f t="shared" si="20"/>
        <v>15</v>
      </c>
      <c r="AJ146">
        <f t="shared" si="21"/>
        <v>4</v>
      </c>
      <c r="AL146">
        <f t="shared" si="22"/>
        <v>0</v>
      </c>
      <c r="AM146">
        <f t="shared" si="23"/>
        <v>21</v>
      </c>
      <c r="AN146">
        <f t="shared" si="24"/>
        <v>30</v>
      </c>
      <c r="AO146">
        <f t="shared" si="25"/>
        <v>4</v>
      </c>
      <c r="AP146">
        <f t="shared" si="26"/>
        <v>55</v>
      </c>
    </row>
    <row r="147" spans="1:42" ht="15.75" hidden="1" customHeight="1" x14ac:dyDescent="0.3">
      <c r="A147" s="16"/>
      <c r="B147" s="55">
        <v>17</v>
      </c>
      <c r="C147" s="56" t="s">
        <v>165</v>
      </c>
      <c r="D147" s="55">
        <v>4</v>
      </c>
      <c r="E147" s="55" t="s">
        <v>20</v>
      </c>
      <c r="F147" s="18" t="s">
        <v>23</v>
      </c>
      <c r="G147" s="18" t="s">
        <v>21</v>
      </c>
      <c r="H147" s="18" t="s">
        <v>21</v>
      </c>
      <c r="I147" s="18" t="s">
        <v>21</v>
      </c>
      <c r="J147" s="43" t="s">
        <v>20</v>
      </c>
      <c r="K147" s="43" t="s">
        <v>20</v>
      </c>
      <c r="L147" s="43" t="s">
        <v>21</v>
      </c>
      <c r="M147" s="18" t="s">
        <v>21</v>
      </c>
      <c r="N147" s="18" t="s">
        <v>21</v>
      </c>
      <c r="O147" s="18" t="s">
        <v>20</v>
      </c>
      <c r="P147" s="18" t="s">
        <v>21</v>
      </c>
      <c r="Q147" s="18" t="s">
        <v>21</v>
      </c>
      <c r="R147" s="18" t="s">
        <v>21</v>
      </c>
      <c r="S147" s="18" t="s">
        <v>20</v>
      </c>
      <c r="T147" s="18" t="s">
        <v>20</v>
      </c>
      <c r="U147" s="18" t="s">
        <v>21</v>
      </c>
      <c r="V147" s="37" t="s">
        <v>21</v>
      </c>
      <c r="W147" s="37" t="s">
        <v>21</v>
      </c>
      <c r="X147" s="37" t="s">
        <v>21</v>
      </c>
      <c r="Y147" s="18" t="s">
        <v>20</v>
      </c>
      <c r="Z147" s="18" t="s">
        <v>20</v>
      </c>
      <c r="AA147" s="20" t="s">
        <v>21</v>
      </c>
      <c r="AB147" s="20" t="s">
        <v>21</v>
      </c>
      <c r="AC147" s="20" t="s">
        <v>20</v>
      </c>
      <c r="AD147" s="18" t="s">
        <v>20</v>
      </c>
      <c r="AE147" s="18" t="s">
        <v>21</v>
      </c>
      <c r="AG147">
        <f t="shared" si="18"/>
        <v>0</v>
      </c>
      <c r="AH147">
        <f t="shared" si="19"/>
        <v>9</v>
      </c>
      <c r="AI147">
        <f t="shared" si="20"/>
        <v>16</v>
      </c>
      <c r="AJ147">
        <f t="shared" si="21"/>
        <v>1</v>
      </c>
      <c r="AL147">
        <f t="shared" si="22"/>
        <v>0</v>
      </c>
      <c r="AM147">
        <f t="shared" si="23"/>
        <v>27</v>
      </c>
      <c r="AN147">
        <f t="shared" si="24"/>
        <v>32</v>
      </c>
      <c r="AO147">
        <f t="shared" si="25"/>
        <v>1</v>
      </c>
      <c r="AP147">
        <f t="shared" si="26"/>
        <v>60</v>
      </c>
    </row>
    <row r="148" spans="1:42" ht="15.75" hidden="1" customHeight="1" x14ac:dyDescent="0.3">
      <c r="A148" s="16"/>
      <c r="B148" s="55">
        <v>18</v>
      </c>
      <c r="C148" s="56" t="s">
        <v>166</v>
      </c>
      <c r="D148" s="55">
        <v>4</v>
      </c>
      <c r="E148" s="55" t="s">
        <v>20</v>
      </c>
      <c r="F148" s="18" t="s">
        <v>23</v>
      </c>
      <c r="G148" s="18" t="s">
        <v>23</v>
      </c>
      <c r="H148" s="18" t="s">
        <v>23</v>
      </c>
      <c r="I148" s="18" t="s">
        <v>23</v>
      </c>
      <c r="J148" s="43" t="s">
        <v>21</v>
      </c>
      <c r="K148" s="43" t="s">
        <v>21</v>
      </c>
      <c r="L148" s="43" t="s">
        <v>21</v>
      </c>
      <c r="M148" s="18" t="s">
        <v>21</v>
      </c>
      <c r="N148" s="18" t="s">
        <v>21</v>
      </c>
      <c r="O148" s="18" t="s">
        <v>21</v>
      </c>
      <c r="P148" s="18" t="s">
        <v>21</v>
      </c>
      <c r="Q148" s="18" t="s">
        <v>21</v>
      </c>
      <c r="R148" s="18" t="s">
        <v>21</v>
      </c>
      <c r="S148" s="18" t="s">
        <v>21</v>
      </c>
      <c r="T148" s="18" t="s">
        <v>20</v>
      </c>
      <c r="U148" s="18" t="s">
        <v>21</v>
      </c>
      <c r="V148" s="37" t="s">
        <v>20</v>
      </c>
      <c r="W148" s="37" t="s">
        <v>20</v>
      </c>
      <c r="X148" s="37" t="s">
        <v>20</v>
      </c>
      <c r="Y148" s="18" t="s">
        <v>20</v>
      </c>
      <c r="Z148" s="18" t="s">
        <v>21</v>
      </c>
      <c r="AA148" s="20" t="s">
        <v>21</v>
      </c>
      <c r="AB148" s="20" t="s">
        <v>20</v>
      </c>
      <c r="AC148" s="20" t="s">
        <v>21</v>
      </c>
      <c r="AD148" s="18" t="s">
        <v>21</v>
      </c>
      <c r="AE148" s="18" t="s">
        <v>21</v>
      </c>
      <c r="AG148">
        <f t="shared" si="18"/>
        <v>0</v>
      </c>
      <c r="AH148">
        <f t="shared" si="19"/>
        <v>6</v>
      </c>
      <c r="AI148">
        <f t="shared" si="20"/>
        <v>16</v>
      </c>
      <c r="AJ148">
        <f t="shared" si="21"/>
        <v>4</v>
      </c>
      <c r="AL148">
        <f t="shared" si="22"/>
        <v>0</v>
      </c>
      <c r="AM148">
        <f t="shared" si="23"/>
        <v>18</v>
      </c>
      <c r="AN148">
        <f t="shared" si="24"/>
        <v>32</v>
      </c>
      <c r="AO148">
        <f t="shared" si="25"/>
        <v>4</v>
      </c>
      <c r="AP148">
        <f t="shared" si="26"/>
        <v>54</v>
      </c>
    </row>
    <row r="149" spans="1:42" ht="15.75" hidden="1" customHeight="1" x14ac:dyDescent="0.3">
      <c r="A149" s="16"/>
      <c r="B149" s="55">
        <v>19</v>
      </c>
      <c r="C149" s="56" t="s">
        <v>167</v>
      </c>
      <c r="D149" s="55">
        <v>4</v>
      </c>
      <c r="E149" s="55" t="s">
        <v>20</v>
      </c>
      <c r="F149" s="18" t="s">
        <v>39</v>
      </c>
      <c r="G149" s="18" t="s">
        <v>39</v>
      </c>
      <c r="H149" s="18" t="s">
        <v>39</v>
      </c>
      <c r="I149" s="18" t="s">
        <v>39</v>
      </c>
      <c r="J149" s="43" t="s">
        <v>20</v>
      </c>
      <c r="K149" s="43" t="s">
        <v>20</v>
      </c>
      <c r="L149" s="43" t="s">
        <v>20</v>
      </c>
      <c r="M149" s="18" t="s">
        <v>20</v>
      </c>
      <c r="N149" s="18" t="s">
        <v>20</v>
      </c>
      <c r="O149" s="18" t="s">
        <v>20</v>
      </c>
      <c r="P149" s="18" t="s">
        <v>20</v>
      </c>
      <c r="Q149" s="18" t="s">
        <v>21</v>
      </c>
      <c r="R149" s="18" t="s">
        <v>20</v>
      </c>
      <c r="S149" s="18" t="s">
        <v>20</v>
      </c>
      <c r="T149" s="18" t="s">
        <v>20</v>
      </c>
      <c r="U149" s="18" t="s">
        <v>20</v>
      </c>
      <c r="V149" s="37" t="s">
        <v>20</v>
      </c>
      <c r="W149" s="37" t="s">
        <v>20</v>
      </c>
      <c r="X149" s="37" t="s">
        <v>20</v>
      </c>
      <c r="Y149" s="18" t="s">
        <v>20</v>
      </c>
      <c r="Z149" s="18" t="s">
        <v>20</v>
      </c>
      <c r="AA149" s="20" t="s">
        <v>20</v>
      </c>
      <c r="AB149" s="20" t="s">
        <v>20</v>
      </c>
      <c r="AC149" s="20" t="s">
        <v>20</v>
      </c>
      <c r="AD149" s="18" t="s">
        <v>20</v>
      </c>
      <c r="AE149" s="18" t="s">
        <v>21</v>
      </c>
      <c r="AG149">
        <f t="shared" si="18"/>
        <v>4</v>
      </c>
      <c r="AH149">
        <f t="shared" si="19"/>
        <v>20</v>
      </c>
      <c r="AI149">
        <f t="shared" si="20"/>
        <v>2</v>
      </c>
      <c r="AJ149">
        <f t="shared" si="21"/>
        <v>0</v>
      </c>
      <c r="AL149">
        <f t="shared" si="22"/>
        <v>16</v>
      </c>
      <c r="AM149">
        <f t="shared" si="23"/>
        <v>60</v>
      </c>
      <c r="AN149">
        <f t="shared" si="24"/>
        <v>4</v>
      </c>
      <c r="AO149">
        <f t="shared" si="25"/>
        <v>0</v>
      </c>
      <c r="AP149">
        <f t="shared" si="26"/>
        <v>80</v>
      </c>
    </row>
    <row r="150" spans="1:42" ht="15.75" hidden="1" customHeight="1" x14ac:dyDescent="0.3">
      <c r="A150" s="16"/>
      <c r="B150" s="55">
        <v>20</v>
      </c>
      <c r="C150" s="56" t="s">
        <v>168</v>
      </c>
      <c r="D150" s="55">
        <v>4</v>
      </c>
      <c r="E150" s="55" t="s">
        <v>20</v>
      </c>
      <c r="F150" s="18" t="s">
        <v>21</v>
      </c>
      <c r="G150" s="18" t="s">
        <v>23</v>
      </c>
      <c r="H150" s="18" t="s">
        <v>21</v>
      </c>
      <c r="I150" s="18" t="s">
        <v>21</v>
      </c>
      <c r="J150" s="43" t="s">
        <v>20</v>
      </c>
      <c r="K150" s="43" t="s">
        <v>21</v>
      </c>
      <c r="L150" s="43" t="s">
        <v>21</v>
      </c>
      <c r="M150" s="18" t="s">
        <v>21</v>
      </c>
      <c r="N150" s="18" t="s">
        <v>20</v>
      </c>
      <c r="O150" s="18" t="s">
        <v>21</v>
      </c>
      <c r="P150" s="18" t="s">
        <v>20</v>
      </c>
      <c r="Q150" s="18" t="s">
        <v>21</v>
      </c>
      <c r="R150" s="18" t="s">
        <v>20</v>
      </c>
      <c r="S150" s="18" t="s">
        <v>20</v>
      </c>
      <c r="T150" s="18" t="s">
        <v>20</v>
      </c>
      <c r="U150" s="18" t="s">
        <v>20</v>
      </c>
      <c r="V150" s="37" t="s">
        <v>20</v>
      </c>
      <c r="W150" s="37" t="s">
        <v>20</v>
      </c>
      <c r="X150" s="37" t="s">
        <v>20</v>
      </c>
      <c r="Y150" s="18" t="s">
        <v>21</v>
      </c>
      <c r="Z150" s="18" t="s">
        <v>21</v>
      </c>
      <c r="AA150" s="20" t="s">
        <v>21</v>
      </c>
      <c r="AB150" s="20" t="s">
        <v>21</v>
      </c>
      <c r="AC150" s="20" t="s">
        <v>21</v>
      </c>
      <c r="AD150" s="18" t="s">
        <v>20</v>
      </c>
      <c r="AE150" s="18" t="s">
        <v>21</v>
      </c>
      <c r="AG150">
        <f t="shared" si="18"/>
        <v>0</v>
      </c>
      <c r="AH150">
        <f t="shared" si="19"/>
        <v>11</v>
      </c>
      <c r="AI150">
        <f t="shared" si="20"/>
        <v>14</v>
      </c>
      <c r="AJ150">
        <f t="shared" si="21"/>
        <v>1</v>
      </c>
      <c r="AL150">
        <f t="shared" si="22"/>
        <v>0</v>
      </c>
      <c r="AM150">
        <f t="shared" si="23"/>
        <v>33</v>
      </c>
      <c r="AN150">
        <f t="shared" si="24"/>
        <v>28</v>
      </c>
      <c r="AO150">
        <f t="shared" si="25"/>
        <v>1</v>
      </c>
      <c r="AP150">
        <f t="shared" si="26"/>
        <v>62</v>
      </c>
    </row>
    <row r="151" spans="1:42" ht="15.75" hidden="1" customHeight="1" x14ac:dyDescent="0.3">
      <c r="A151" s="16"/>
      <c r="B151" s="55">
        <v>21</v>
      </c>
      <c r="C151" s="56" t="s">
        <v>169</v>
      </c>
      <c r="D151" s="55">
        <v>4</v>
      </c>
      <c r="E151" s="55" t="s">
        <v>20</v>
      </c>
      <c r="F151" s="18" t="s">
        <v>21</v>
      </c>
      <c r="G151" s="18" t="s">
        <v>21</v>
      </c>
      <c r="H151" s="18" t="s">
        <v>20</v>
      </c>
      <c r="I151" s="18" t="s">
        <v>20</v>
      </c>
      <c r="J151" s="43" t="s">
        <v>20</v>
      </c>
      <c r="K151" s="43" t="s">
        <v>20</v>
      </c>
      <c r="L151" s="43" t="s">
        <v>21</v>
      </c>
      <c r="M151" s="18" t="s">
        <v>21</v>
      </c>
      <c r="N151" s="18" t="s">
        <v>20</v>
      </c>
      <c r="O151" s="18" t="s">
        <v>20</v>
      </c>
      <c r="P151" s="18" t="s">
        <v>20</v>
      </c>
      <c r="Q151" s="18" t="s">
        <v>20</v>
      </c>
      <c r="R151" s="18" t="s">
        <v>20</v>
      </c>
      <c r="S151" s="18" t="s">
        <v>20</v>
      </c>
      <c r="T151" s="18" t="s">
        <v>20</v>
      </c>
      <c r="U151" s="18" t="s">
        <v>20</v>
      </c>
      <c r="V151" s="37" t="s">
        <v>20</v>
      </c>
      <c r="W151" s="37" t="s">
        <v>20</v>
      </c>
      <c r="X151" s="37" t="s">
        <v>20</v>
      </c>
      <c r="Y151" s="18" t="s">
        <v>21</v>
      </c>
      <c r="Z151" s="18" t="s">
        <v>21</v>
      </c>
      <c r="AA151" s="20" t="s">
        <v>20</v>
      </c>
      <c r="AB151" s="20" t="s">
        <v>20</v>
      </c>
      <c r="AC151" s="20" t="s">
        <v>21</v>
      </c>
      <c r="AD151" s="18" t="s">
        <v>21</v>
      </c>
      <c r="AE151" s="18" t="s">
        <v>21</v>
      </c>
      <c r="AG151">
        <f t="shared" si="18"/>
        <v>0</v>
      </c>
      <c r="AH151">
        <f t="shared" si="19"/>
        <v>17</v>
      </c>
      <c r="AI151">
        <f t="shared" si="20"/>
        <v>9</v>
      </c>
      <c r="AJ151">
        <f t="shared" si="21"/>
        <v>0</v>
      </c>
      <c r="AL151">
        <f t="shared" si="22"/>
        <v>0</v>
      </c>
      <c r="AM151">
        <f t="shared" si="23"/>
        <v>51</v>
      </c>
      <c r="AN151">
        <f t="shared" si="24"/>
        <v>18</v>
      </c>
      <c r="AO151">
        <f t="shared" si="25"/>
        <v>0</v>
      </c>
      <c r="AP151">
        <f t="shared" si="26"/>
        <v>69</v>
      </c>
    </row>
    <row r="152" spans="1:42" ht="15.75" hidden="1" customHeight="1" x14ac:dyDescent="0.3">
      <c r="A152" s="16"/>
      <c r="B152" s="55">
        <v>22</v>
      </c>
      <c r="C152" s="56" t="s">
        <v>170</v>
      </c>
      <c r="D152" s="55">
        <v>4</v>
      </c>
      <c r="E152" s="55" t="s">
        <v>20</v>
      </c>
      <c r="F152" s="18" t="s">
        <v>20</v>
      </c>
      <c r="G152" s="18" t="s">
        <v>20</v>
      </c>
      <c r="H152" s="18" t="s">
        <v>20</v>
      </c>
      <c r="I152" s="18" t="s">
        <v>20</v>
      </c>
      <c r="J152" s="43" t="s">
        <v>20</v>
      </c>
      <c r="K152" s="43" t="s">
        <v>20</v>
      </c>
      <c r="L152" s="43" t="s">
        <v>21</v>
      </c>
      <c r="M152" s="18" t="s">
        <v>21</v>
      </c>
      <c r="N152" s="18" t="s">
        <v>20</v>
      </c>
      <c r="O152" s="18" t="s">
        <v>20</v>
      </c>
      <c r="P152" s="18" t="s">
        <v>21</v>
      </c>
      <c r="Q152" s="18" t="s">
        <v>21</v>
      </c>
      <c r="R152" s="18" t="s">
        <v>21</v>
      </c>
      <c r="S152" s="18" t="s">
        <v>20</v>
      </c>
      <c r="T152" s="18" t="s">
        <v>20</v>
      </c>
      <c r="U152" s="18" t="s">
        <v>21</v>
      </c>
      <c r="V152" s="37" t="s">
        <v>20</v>
      </c>
      <c r="W152" s="37" t="s">
        <v>20</v>
      </c>
      <c r="X152" s="37" t="s">
        <v>20</v>
      </c>
      <c r="Y152" s="18" t="s">
        <v>21</v>
      </c>
      <c r="Z152" s="18" t="s">
        <v>20</v>
      </c>
      <c r="AA152" s="20" t="s">
        <v>21</v>
      </c>
      <c r="AB152" s="20" t="s">
        <v>21</v>
      </c>
      <c r="AC152" s="20" t="s">
        <v>21</v>
      </c>
      <c r="AD152" s="18" t="s">
        <v>21</v>
      </c>
      <c r="AE152" s="18" t="s">
        <v>21</v>
      </c>
      <c r="AG152">
        <f t="shared" si="18"/>
        <v>0</v>
      </c>
      <c r="AH152">
        <f t="shared" si="19"/>
        <v>14</v>
      </c>
      <c r="AI152">
        <f t="shared" si="20"/>
        <v>12</v>
      </c>
      <c r="AJ152">
        <f t="shared" si="21"/>
        <v>0</v>
      </c>
      <c r="AL152">
        <f t="shared" si="22"/>
        <v>0</v>
      </c>
      <c r="AM152">
        <f t="shared" si="23"/>
        <v>42</v>
      </c>
      <c r="AN152">
        <f t="shared" si="24"/>
        <v>24</v>
      </c>
      <c r="AO152">
        <f t="shared" si="25"/>
        <v>0</v>
      </c>
      <c r="AP152">
        <f t="shared" si="26"/>
        <v>66</v>
      </c>
    </row>
    <row r="153" spans="1:42" ht="15.75" hidden="1" customHeight="1" thickBot="1" x14ac:dyDescent="0.35">
      <c r="A153" s="16"/>
      <c r="B153" s="57">
        <v>23</v>
      </c>
      <c r="C153" s="58" t="s">
        <v>171</v>
      </c>
      <c r="D153" s="57">
        <v>4</v>
      </c>
      <c r="E153" s="57" t="s">
        <v>20</v>
      </c>
      <c r="F153" s="21" t="s">
        <v>20</v>
      </c>
      <c r="G153" s="21" t="s">
        <v>20</v>
      </c>
      <c r="H153" s="21" t="s">
        <v>20</v>
      </c>
      <c r="I153" s="21" t="s">
        <v>20</v>
      </c>
      <c r="J153" s="45" t="s">
        <v>20</v>
      </c>
      <c r="K153" s="45" t="s">
        <v>20</v>
      </c>
      <c r="L153" s="45" t="s">
        <v>20</v>
      </c>
      <c r="M153" s="21" t="s">
        <v>21</v>
      </c>
      <c r="N153" s="21" t="s">
        <v>20</v>
      </c>
      <c r="O153" s="21" t="s">
        <v>20</v>
      </c>
      <c r="P153" s="21" t="s">
        <v>21</v>
      </c>
      <c r="Q153" s="21" t="s">
        <v>21</v>
      </c>
      <c r="R153" s="21" t="s">
        <v>21</v>
      </c>
      <c r="S153" s="21" t="s">
        <v>20</v>
      </c>
      <c r="T153" s="21" t="s">
        <v>20</v>
      </c>
      <c r="U153" s="21" t="s">
        <v>20</v>
      </c>
      <c r="V153" s="48" t="s">
        <v>20</v>
      </c>
      <c r="W153" s="38" t="s">
        <v>20</v>
      </c>
      <c r="X153" s="48" t="s">
        <v>20</v>
      </c>
      <c r="Y153" s="21" t="s">
        <v>21</v>
      </c>
      <c r="Z153" s="21" t="s">
        <v>21</v>
      </c>
      <c r="AA153" s="23" t="s">
        <v>21</v>
      </c>
      <c r="AB153" s="23" t="s">
        <v>20</v>
      </c>
      <c r="AC153" s="23" t="s">
        <v>20</v>
      </c>
      <c r="AD153" s="21" t="s">
        <v>20</v>
      </c>
      <c r="AE153" s="21" t="s">
        <v>21</v>
      </c>
      <c r="AG153">
        <f t="shared" si="18"/>
        <v>0</v>
      </c>
      <c r="AH153">
        <f t="shared" si="19"/>
        <v>18</v>
      </c>
      <c r="AI153">
        <f t="shared" si="20"/>
        <v>8</v>
      </c>
      <c r="AJ153">
        <f t="shared" si="21"/>
        <v>0</v>
      </c>
      <c r="AL153">
        <f t="shared" si="22"/>
        <v>0</v>
      </c>
      <c r="AM153">
        <f t="shared" si="23"/>
        <v>54</v>
      </c>
      <c r="AN153">
        <f t="shared" si="24"/>
        <v>16</v>
      </c>
      <c r="AO153">
        <f t="shared" si="25"/>
        <v>0</v>
      </c>
      <c r="AP153">
        <f t="shared" si="26"/>
        <v>70</v>
      </c>
    </row>
    <row r="154" spans="1:42" ht="15.75" hidden="1" customHeight="1" x14ac:dyDescent="0.3">
      <c r="A154" s="16"/>
      <c r="B154" s="59">
        <v>1</v>
      </c>
      <c r="C154" s="60" t="s">
        <v>172</v>
      </c>
      <c r="D154" s="59">
        <v>4</v>
      </c>
      <c r="E154" s="59" t="s">
        <v>21</v>
      </c>
      <c r="F154" s="24" t="s">
        <v>23</v>
      </c>
      <c r="G154" s="24" t="s">
        <v>21</v>
      </c>
      <c r="H154" s="24" t="s">
        <v>23</v>
      </c>
      <c r="I154" s="24" t="s">
        <v>23</v>
      </c>
      <c r="J154" s="42" t="s">
        <v>20</v>
      </c>
      <c r="K154" s="42" t="s">
        <v>21</v>
      </c>
      <c r="L154" s="42" t="s">
        <v>21</v>
      </c>
      <c r="M154" s="24" t="s">
        <v>21</v>
      </c>
      <c r="N154" s="24" t="s">
        <v>20</v>
      </c>
      <c r="O154" s="24" t="s">
        <v>20</v>
      </c>
      <c r="P154" s="24" t="s">
        <v>20</v>
      </c>
      <c r="Q154" s="24" t="s">
        <v>21</v>
      </c>
      <c r="R154" s="24" t="s">
        <v>21</v>
      </c>
      <c r="S154" s="24" t="s">
        <v>21</v>
      </c>
      <c r="T154" s="24" t="s">
        <v>20</v>
      </c>
      <c r="U154" s="24" t="s">
        <v>20</v>
      </c>
      <c r="V154" s="39" t="s">
        <v>20</v>
      </c>
      <c r="W154" s="39" t="s">
        <v>20</v>
      </c>
      <c r="X154" s="39" t="s">
        <v>20</v>
      </c>
      <c r="Y154" s="24" t="s">
        <v>23</v>
      </c>
      <c r="Z154" s="24" t="s">
        <v>21</v>
      </c>
      <c r="AA154" s="27" t="s">
        <v>21</v>
      </c>
      <c r="AB154" s="27" t="s">
        <v>20</v>
      </c>
      <c r="AC154" s="27" t="s">
        <v>21</v>
      </c>
      <c r="AD154" s="24" t="s">
        <v>23</v>
      </c>
      <c r="AE154" s="24" t="s">
        <v>21</v>
      </c>
      <c r="AG154">
        <f t="shared" si="18"/>
        <v>0</v>
      </c>
      <c r="AH154">
        <f t="shared" si="19"/>
        <v>10</v>
      </c>
      <c r="AI154">
        <f t="shared" si="20"/>
        <v>11</v>
      </c>
      <c r="AJ154">
        <f t="shared" si="21"/>
        <v>5</v>
      </c>
      <c r="AL154">
        <f t="shared" si="22"/>
        <v>0</v>
      </c>
      <c r="AM154">
        <f t="shared" si="23"/>
        <v>30</v>
      </c>
      <c r="AN154">
        <f t="shared" si="24"/>
        <v>22</v>
      </c>
      <c r="AO154">
        <f t="shared" si="25"/>
        <v>5</v>
      </c>
      <c r="AP154">
        <f t="shared" si="26"/>
        <v>57</v>
      </c>
    </row>
    <row r="155" spans="1:42" ht="15.75" hidden="1" customHeight="1" x14ac:dyDescent="0.3">
      <c r="A155" s="16"/>
      <c r="B155" s="55">
        <v>2</v>
      </c>
      <c r="C155" s="56" t="s">
        <v>173</v>
      </c>
      <c r="D155" s="55">
        <v>4</v>
      </c>
      <c r="E155" s="55" t="s">
        <v>21</v>
      </c>
      <c r="F155" s="18" t="s">
        <v>21</v>
      </c>
      <c r="G155" s="18" t="s">
        <v>21</v>
      </c>
      <c r="H155" s="18" t="s">
        <v>21</v>
      </c>
      <c r="I155" s="18" t="s">
        <v>21</v>
      </c>
      <c r="J155" s="43" t="s">
        <v>21</v>
      </c>
      <c r="K155" s="43" t="s">
        <v>21</v>
      </c>
      <c r="L155" s="43" t="s">
        <v>21</v>
      </c>
      <c r="M155" s="18" t="s">
        <v>21</v>
      </c>
      <c r="N155" s="18" t="s">
        <v>20</v>
      </c>
      <c r="O155" s="18" t="s">
        <v>20</v>
      </c>
      <c r="P155" s="18" t="s">
        <v>21</v>
      </c>
      <c r="Q155" s="18" t="s">
        <v>21</v>
      </c>
      <c r="R155" s="18" t="s">
        <v>21</v>
      </c>
      <c r="S155" s="18" t="s">
        <v>20</v>
      </c>
      <c r="T155" s="18" t="s">
        <v>21</v>
      </c>
      <c r="U155" s="18" t="s">
        <v>21</v>
      </c>
      <c r="V155" s="37" t="s">
        <v>21</v>
      </c>
      <c r="W155" s="37" t="s">
        <v>20</v>
      </c>
      <c r="X155" s="37" t="s">
        <v>21</v>
      </c>
      <c r="Y155" s="18" t="s">
        <v>20</v>
      </c>
      <c r="Z155" s="18" t="s">
        <v>20</v>
      </c>
      <c r="AA155" s="20" t="s">
        <v>20</v>
      </c>
      <c r="AB155" s="20" t="s">
        <v>20</v>
      </c>
      <c r="AC155" s="20" t="s">
        <v>20</v>
      </c>
      <c r="AD155" s="18" t="s">
        <v>20</v>
      </c>
      <c r="AE155" s="18" t="s">
        <v>21</v>
      </c>
      <c r="AG155">
        <f t="shared" si="18"/>
        <v>0</v>
      </c>
      <c r="AH155">
        <f t="shared" si="19"/>
        <v>10</v>
      </c>
      <c r="AI155">
        <f t="shared" si="20"/>
        <v>16</v>
      </c>
      <c r="AJ155">
        <f t="shared" si="21"/>
        <v>0</v>
      </c>
      <c r="AL155">
        <f t="shared" si="22"/>
        <v>0</v>
      </c>
      <c r="AM155">
        <f t="shared" si="23"/>
        <v>30</v>
      </c>
      <c r="AN155">
        <f t="shared" si="24"/>
        <v>32</v>
      </c>
      <c r="AO155">
        <f t="shared" si="25"/>
        <v>0</v>
      </c>
      <c r="AP155">
        <f t="shared" si="26"/>
        <v>62</v>
      </c>
    </row>
    <row r="156" spans="1:42" ht="15.75" hidden="1" customHeight="1" x14ac:dyDescent="0.3">
      <c r="A156" s="16"/>
      <c r="B156" s="55">
        <v>3</v>
      </c>
      <c r="C156" s="56" t="s">
        <v>174</v>
      </c>
      <c r="D156" s="55">
        <v>4</v>
      </c>
      <c r="E156" s="55" t="s">
        <v>21</v>
      </c>
      <c r="F156" s="18" t="s">
        <v>39</v>
      </c>
      <c r="G156" s="18" t="s">
        <v>20</v>
      </c>
      <c r="H156" s="18" t="s">
        <v>39</v>
      </c>
      <c r="I156" s="18" t="s">
        <v>20</v>
      </c>
      <c r="J156" s="43" t="s">
        <v>20</v>
      </c>
      <c r="K156" s="43" t="s">
        <v>20</v>
      </c>
      <c r="L156" s="43" t="s">
        <v>20</v>
      </c>
      <c r="M156" s="18" t="s">
        <v>20</v>
      </c>
      <c r="N156" s="18" t="s">
        <v>20</v>
      </c>
      <c r="O156" s="18" t="s">
        <v>20</v>
      </c>
      <c r="P156" s="18" t="s">
        <v>20</v>
      </c>
      <c r="Q156" s="18" t="s">
        <v>20</v>
      </c>
      <c r="R156" s="18" t="s">
        <v>20</v>
      </c>
      <c r="S156" s="18" t="s">
        <v>20</v>
      </c>
      <c r="T156" s="18" t="s">
        <v>20</v>
      </c>
      <c r="U156" s="18" t="s">
        <v>20</v>
      </c>
      <c r="V156" s="37" t="s">
        <v>20</v>
      </c>
      <c r="W156" s="37" t="s">
        <v>20</v>
      </c>
      <c r="X156" s="37" t="s">
        <v>20</v>
      </c>
      <c r="Y156" s="18" t="s">
        <v>20</v>
      </c>
      <c r="Z156" s="18" t="s">
        <v>20</v>
      </c>
      <c r="AA156" s="20" t="s">
        <v>20</v>
      </c>
      <c r="AB156" s="20" t="s">
        <v>20</v>
      </c>
      <c r="AC156" s="20" t="s">
        <v>20</v>
      </c>
      <c r="AD156" s="18" t="s">
        <v>21</v>
      </c>
      <c r="AE156" s="18" t="s">
        <v>21</v>
      </c>
      <c r="AG156">
        <f t="shared" si="18"/>
        <v>2</v>
      </c>
      <c r="AH156">
        <f t="shared" si="19"/>
        <v>22</v>
      </c>
      <c r="AI156">
        <f t="shared" si="20"/>
        <v>2</v>
      </c>
      <c r="AJ156">
        <f t="shared" si="21"/>
        <v>0</v>
      </c>
      <c r="AL156">
        <f t="shared" si="22"/>
        <v>8</v>
      </c>
      <c r="AM156">
        <f t="shared" si="23"/>
        <v>66</v>
      </c>
      <c r="AN156">
        <f t="shared" si="24"/>
        <v>4</v>
      </c>
      <c r="AO156">
        <f t="shared" si="25"/>
        <v>0</v>
      </c>
      <c r="AP156">
        <f t="shared" si="26"/>
        <v>78</v>
      </c>
    </row>
    <row r="157" spans="1:42" ht="15.75" hidden="1" customHeight="1" x14ac:dyDescent="0.3">
      <c r="A157" s="16"/>
      <c r="B157" s="55">
        <v>4</v>
      </c>
      <c r="C157" s="56" t="s">
        <v>175</v>
      </c>
      <c r="D157" s="55">
        <v>4</v>
      </c>
      <c r="E157" s="55" t="s">
        <v>21</v>
      </c>
      <c r="F157" s="18" t="s">
        <v>20</v>
      </c>
      <c r="G157" s="18" t="s">
        <v>20</v>
      </c>
      <c r="H157" s="18" t="s">
        <v>20</v>
      </c>
      <c r="I157" s="18" t="s">
        <v>20</v>
      </c>
      <c r="J157" s="43" t="s">
        <v>20</v>
      </c>
      <c r="K157" s="43" t="s">
        <v>20</v>
      </c>
      <c r="L157" s="43" t="s">
        <v>21</v>
      </c>
      <c r="M157" s="18" t="s">
        <v>20</v>
      </c>
      <c r="N157" s="18" t="s">
        <v>20</v>
      </c>
      <c r="O157" s="18" t="s">
        <v>20</v>
      </c>
      <c r="P157" s="18" t="s">
        <v>21</v>
      </c>
      <c r="Q157" s="18" t="s">
        <v>21</v>
      </c>
      <c r="R157" s="18" t="s">
        <v>21</v>
      </c>
      <c r="S157" s="18" t="s">
        <v>21</v>
      </c>
      <c r="T157" s="18" t="s">
        <v>21</v>
      </c>
      <c r="U157" s="18" t="s">
        <v>21</v>
      </c>
      <c r="V157" s="37" t="s">
        <v>20</v>
      </c>
      <c r="W157" s="37" t="s">
        <v>20</v>
      </c>
      <c r="X157" s="37" t="s">
        <v>20</v>
      </c>
      <c r="Y157" s="18" t="s">
        <v>20</v>
      </c>
      <c r="Z157" s="18" t="s">
        <v>20</v>
      </c>
      <c r="AA157" s="20" t="s">
        <v>20</v>
      </c>
      <c r="AB157" s="20" t="s">
        <v>21</v>
      </c>
      <c r="AC157" s="20" t="s">
        <v>21</v>
      </c>
      <c r="AD157" s="18" t="s">
        <v>21</v>
      </c>
      <c r="AE157" s="18" t="s">
        <v>21</v>
      </c>
      <c r="AG157">
        <f t="shared" si="18"/>
        <v>0</v>
      </c>
      <c r="AH157">
        <f t="shared" si="19"/>
        <v>15</v>
      </c>
      <c r="AI157">
        <f t="shared" si="20"/>
        <v>11</v>
      </c>
      <c r="AJ157">
        <f t="shared" si="21"/>
        <v>0</v>
      </c>
      <c r="AL157">
        <f t="shared" si="22"/>
        <v>0</v>
      </c>
      <c r="AM157">
        <f t="shared" si="23"/>
        <v>45</v>
      </c>
      <c r="AN157">
        <f t="shared" si="24"/>
        <v>22</v>
      </c>
      <c r="AO157">
        <f t="shared" si="25"/>
        <v>0</v>
      </c>
      <c r="AP157">
        <f t="shared" si="26"/>
        <v>67</v>
      </c>
    </row>
    <row r="158" spans="1:42" ht="15.75" hidden="1" customHeight="1" x14ac:dyDescent="0.3">
      <c r="A158" s="16"/>
      <c r="B158" s="55">
        <v>5</v>
      </c>
      <c r="C158" s="56" t="s">
        <v>176</v>
      </c>
      <c r="D158" s="55">
        <v>4</v>
      </c>
      <c r="E158" s="55" t="s">
        <v>21</v>
      </c>
      <c r="F158" s="18" t="s">
        <v>39</v>
      </c>
      <c r="G158" s="18" t="s">
        <v>20</v>
      </c>
      <c r="H158" s="18" t="s">
        <v>20</v>
      </c>
      <c r="I158" s="18" t="s">
        <v>20</v>
      </c>
      <c r="J158" s="43" t="s">
        <v>20</v>
      </c>
      <c r="K158" s="43" t="s">
        <v>20</v>
      </c>
      <c r="L158" s="43" t="s">
        <v>20</v>
      </c>
      <c r="M158" s="18" t="s">
        <v>20</v>
      </c>
      <c r="N158" s="18" t="s">
        <v>20</v>
      </c>
      <c r="O158" s="18" t="s">
        <v>20</v>
      </c>
      <c r="P158" s="18" t="s">
        <v>20</v>
      </c>
      <c r="Q158" s="18" t="s">
        <v>20</v>
      </c>
      <c r="R158" s="18" t="s">
        <v>20</v>
      </c>
      <c r="S158" s="18" t="s">
        <v>20</v>
      </c>
      <c r="T158" s="18" t="s">
        <v>20</v>
      </c>
      <c r="U158" s="18" t="s">
        <v>20</v>
      </c>
      <c r="V158" s="37" t="s">
        <v>20</v>
      </c>
      <c r="W158" s="37" t="s">
        <v>20</v>
      </c>
      <c r="X158" s="37" t="s">
        <v>20</v>
      </c>
      <c r="Y158" s="18" t="s">
        <v>20</v>
      </c>
      <c r="Z158" s="18" t="s">
        <v>20</v>
      </c>
      <c r="AA158" s="20" t="s">
        <v>20</v>
      </c>
      <c r="AB158" s="20" t="s">
        <v>20</v>
      </c>
      <c r="AC158" s="20" t="s">
        <v>20</v>
      </c>
      <c r="AD158" s="18" t="s">
        <v>20</v>
      </c>
      <c r="AE158" s="18" t="s">
        <v>21</v>
      </c>
      <c r="AG158">
        <f t="shared" si="18"/>
        <v>1</v>
      </c>
      <c r="AH158">
        <f t="shared" si="19"/>
        <v>24</v>
      </c>
      <c r="AI158">
        <f t="shared" si="20"/>
        <v>1</v>
      </c>
      <c r="AJ158">
        <f t="shared" si="21"/>
        <v>0</v>
      </c>
      <c r="AL158">
        <f t="shared" si="22"/>
        <v>4</v>
      </c>
      <c r="AM158">
        <f t="shared" si="23"/>
        <v>72</v>
      </c>
      <c r="AN158">
        <f t="shared" si="24"/>
        <v>2</v>
      </c>
      <c r="AO158">
        <f t="shared" si="25"/>
        <v>0</v>
      </c>
      <c r="AP158">
        <f t="shared" si="26"/>
        <v>78</v>
      </c>
    </row>
    <row r="159" spans="1:42" ht="15.75" hidden="1" customHeight="1" x14ac:dyDescent="0.3">
      <c r="A159" s="16"/>
      <c r="B159" s="55">
        <v>6</v>
      </c>
      <c r="C159" s="56" t="s">
        <v>177</v>
      </c>
      <c r="D159" s="55">
        <v>4</v>
      </c>
      <c r="E159" s="55" t="s">
        <v>21</v>
      </c>
      <c r="F159" s="18" t="s">
        <v>20</v>
      </c>
      <c r="G159" s="18" t="s">
        <v>20</v>
      </c>
      <c r="H159" s="18" t="s">
        <v>20</v>
      </c>
      <c r="I159" s="18" t="s">
        <v>20</v>
      </c>
      <c r="J159" s="43" t="s">
        <v>20</v>
      </c>
      <c r="K159" s="43" t="s">
        <v>20</v>
      </c>
      <c r="L159" s="43" t="s">
        <v>20</v>
      </c>
      <c r="M159" s="18" t="s">
        <v>20</v>
      </c>
      <c r="N159" s="18" t="s">
        <v>20</v>
      </c>
      <c r="O159" s="18" t="s">
        <v>21</v>
      </c>
      <c r="P159" s="18" t="s">
        <v>21</v>
      </c>
      <c r="Q159" s="18" t="s">
        <v>21</v>
      </c>
      <c r="R159" s="18" t="s">
        <v>21</v>
      </c>
      <c r="S159" s="18" t="s">
        <v>20</v>
      </c>
      <c r="T159" s="18" t="s">
        <v>20</v>
      </c>
      <c r="U159" s="18" t="s">
        <v>21</v>
      </c>
      <c r="V159" s="37" t="s">
        <v>20</v>
      </c>
      <c r="W159" s="37" t="s">
        <v>20</v>
      </c>
      <c r="X159" s="37" t="s">
        <v>20</v>
      </c>
      <c r="Y159" s="18" t="s">
        <v>20</v>
      </c>
      <c r="Z159" s="18" t="s">
        <v>20</v>
      </c>
      <c r="AA159" s="20" t="s">
        <v>21</v>
      </c>
      <c r="AB159" s="20" t="s">
        <v>20</v>
      </c>
      <c r="AC159" s="20" t="s">
        <v>20</v>
      </c>
      <c r="AD159" s="18" t="s">
        <v>20</v>
      </c>
      <c r="AE159" s="18" t="s">
        <v>21</v>
      </c>
      <c r="AG159">
        <f t="shared" si="18"/>
        <v>0</v>
      </c>
      <c r="AH159">
        <f t="shared" si="19"/>
        <v>19</v>
      </c>
      <c r="AI159">
        <f t="shared" si="20"/>
        <v>7</v>
      </c>
      <c r="AJ159">
        <f t="shared" si="21"/>
        <v>0</v>
      </c>
      <c r="AL159">
        <f t="shared" si="22"/>
        <v>0</v>
      </c>
      <c r="AM159">
        <f t="shared" si="23"/>
        <v>57</v>
      </c>
      <c r="AN159">
        <f t="shared" si="24"/>
        <v>14</v>
      </c>
      <c r="AO159">
        <f t="shared" si="25"/>
        <v>0</v>
      </c>
      <c r="AP159">
        <f t="shared" si="26"/>
        <v>71</v>
      </c>
    </row>
    <row r="160" spans="1:42" ht="15.75" hidden="1" customHeight="1" x14ac:dyDescent="0.3">
      <c r="A160" s="16"/>
      <c r="B160" s="55">
        <v>7</v>
      </c>
      <c r="C160" s="56" t="s">
        <v>178</v>
      </c>
      <c r="D160" s="55">
        <v>4</v>
      </c>
      <c r="E160" s="55" t="s">
        <v>21</v>
      </c>
      <c r="F160" s="18" t="s">
        <v>21</v>
      </c>
      <c r="G160" s="18" t="s">
        <v>20</v>
      </c>
      <c r="H160" s="18" t="s">
        <v>20</v>
      </c>
      <c r="I160" s="18" t="s">
        <v>21</v>
      </c>
      <c r="J160" s="43" t="s">
        <v>20</v>
      </c>
      <c r="K160" s="43" t="s">
        <v>21</v>
      </c>
      <c r="L160" s="43" t="s">
        <v>21</v>
      </c>
      <c r="M160" s="18" t="s">
        <v>20</v>
      </c>
      <c r="N160" s="18" t="s">
        <v>20</v>
      </c>
      <c r="O160" s="18" t="s">
        <v>20</v>
      </c>
      <c r="P160" s="18" t="s">
        <v>21</v>
      </c>
      <c r="Q160" s="18" t="s">
        <v>21</v>
      </c>
      <c r="R160" s="18" t="s">
        <v>21</v>
      </c>
      <c r="S160" s="18" t="s">
        <v>20</v>
      </c>
      <c r="T160" s="18" t="s">
        <v>20</v>
      </c>
      <c r="U160" s="18" t="s">
        <v>21</v>
      </c>
      <c r="V160" s="37" t="s">
        <v>20</v>
      </c>
      <c r="W160" s="37" t="s">
        <v>20</v>
      </c>
      <c r="X160" s="37" t="s">
        <v>20</v>
      </c>
      <c r="Y160" s="18" t="s">
        <v>20</v>
      </c>
      <c r="Z160" s="18" t="s">
        <v>21</v>
      </c>
      <c r="AA160" s="20" t="s">
        <v>21</v>
      </c>
      <c r="AB160" s="20" t="s">
        <v>21</v>
      </c>
      <c r="AC160" s="20" t="s">
        <v>21</v>
      </c>
      <c r="AD160" s="18" t="s">
        <v>21</v>
      </c>
      <c r="AE160" s="18" t="s">
        <v>21</v>
      </c>
      <c r="AG160">
        <f t="shared" si="18"/>
        <v>0</v>
      </c>
      <c r="AH160">
        <f t="shared" si="19"/>
        <v>12</v>
      </c>
      <c r="AI160">
        <f t="shared" si="20"/>
        <v>14</v>
      </c>
      <c r="AJ160">
        <f t="shared" si="21"/>
        <v>0</v>
      </c>
      <c r="AL160">
        <f t="shared" si="22"/>
        <v>0</v>
      </c>
      <c r="AM160">
        <f t="shared" si="23"/>
        <v>36</v>
      </c>
      <c r="AN160">
        <f t="shared" si="24"/>
        <v>28</v>
      </c>
      <c r="AO160">
        <f t="shared" si="25"/>
        <v>0</v>
      </c>
      <c r="AP160">
        <f t="shared" si="26"/>
        <v>64</v>
      </c>
    </row>
    <row r="161" spans="1:42" ht="15.75" hidden="1" customHeight="1" x14ac:dyDescent="0.3">
      <c r="A161" s="16"/>
      <c r="B161" s="55">
        <v>8</v>
      </c>
      <c r="C161" s="56" t="s">
        <v>179</v>
      </c>
      <c r="D161" s="55">
        <v>4</v>
      </c>
      <c r="E161" s="55" t="s">
        <v>21</v>
      </c>
      <c r="F161" s="18" t="s">
        <v>20</v>
      </c>
      <c r="G161" s="18" t="s">
        <v>20</v>
      </c>
      <c r="H161" s="18" t="s">
        <v>20</v>
      </c>
      <c r="I161" s="18" t="s">
        <v>20</v>
      </c>
      <c r="J161" s="43" t="s">
        <v>20</v>
      </c>
      <c r="K161" s="43" t="s">
        <v>20</v>
      </c>
      <c r="L161" s="43" t="s">
        <v>20</v>
      </c>
      <c r="M161" s="18" t="s">
        <v>21</v>
      </c>
      <c r="N161" s="18" t="s">
        <v>20</v>
      </c>
      <c r="O161" s="18" t="s">
        <v>20</v>
      </c>
      <c r="P161" s="18" t="s">
        <v>21</v>
      </c>
      <c r="Q161" s="18" t="s">
        <v>21</v>
      </c>
      <c r="R161" s="18" t="s">
        <v>21</v>
      </c>
      <c r="S161" s="18" t="s">
        <v>21</v>
      </c>
      <c r="T161" s="18" t="s">
        <v>20</v>
      </c>
      <c r="U161" s="18" t="s">
        <v>20</v>
      </c>
      <c r="V161" s="37" t="s">
        <v>20</v>
      </c>
      <c r="W161" s="37" t="s">
        <v>20</v>
      </c>
      <c r="X161" s="37" t="s">
        <v>20</v>
      </c>
      <c r="Y161" s="18" t="s">
        <v>20</v>
      </c>
      <c r="Z161" s="18" t="s">
        <v>21</v>
      </c>
      <c r="AA161" s="20" t="s">
        <v>20</v>
      </c>
      <c r="AB161" s="20" t="s">
        <v>20</v>
      </c>
      <c r="AC161" s="20" t="s">
        <v>21</v>
      </c>
      <c r="AD161" s="18" t="s">
        <v>20</v>
      </c>
      <c r="AE161" s="18" t="s">
        <v>21</v>
      </c>
      <c r="AG161">
        <f t="shared" si="18"/>
        <v>0</v>
      </c>
      <c r="AH161">
        <f t="shared" si="19"/>
        <v>18</v>
      </c>
      <c r="AI161">
        <f t="shared" si="20"/>
        <v>8</v>
      </c>
      <c r="AJ161">
        <f t="shared" si="21"/>
        <v>0</v>
      </c>
      <c r="AL161">
        <f t="shared" si="22"/>
        <v>0</v>
      </c>
      <c r="AM161">
        <f t="shared" si="23"/>
        <v>54</v>
      </c>
      <c r="AN161">
        <f t="shared" si="24"/>
        <v>16</v>
      </c>
      <c r="AO161">
        <f t="shared" si="25"/>
        <v>0</v>
      </c>
      <c r="AP161">
        <f t="shared" si="26"/>
        <v>70</v>
      </c>
    </row>
    <row r="162" spans="1:42" ht="15.75" hidden="1" customHeight="1" x14ac:dyDescent="0.3">
      <c r="A162" s="16"/>
      <c r="B162" s="55">
        <v>9</v>
      </c>
      <c r="C162" s="56" t="s">
        <v>180</v>
      </c>
      <c r="D162" s="55">
        <v>4</v>
      </c>
      <c r="E162" s="55" t="s">
        <v>21</v>
      </c>
      <c r="F162" s="18" t="s">
        <v>21</v>
      </c>
      <c r="G162" s="18" t="s">
        <v>21</v>
      </c>
      <c r="H162" s="18" t="s">
        <v>21</v>
      </c>
      <c r="I162" s="18" t="s">
        <v>21</v>
      </c>
      <c r="J162" s="43" t="s">
        <v>20</v>
      </c>
      <c r="K162" s="43" t="s">
        <v>20</v>
      </c>
      <c r="L162" s="43" t="s">
        <v>20</v>
      </c>
      <c r="M162" s="18" t="s">
        <v>20</v>
      </c>
      <c r="N162" s="18" t="s">
        <v>20</v>
      </c>
      <c r="O162" s="18" t="s">
        <v>20</v>
      </c>
      <c r="P162" s="18" t="s">
        <v>21</v>
      </c>
      <c r="Q162" s="18" t="s">
        <v>21</v>
      </c>
      <c r="R162" s="18" t="s">
        <v>21</v>
      </c>
      <c r="S162" s="18" t="s">
        <v>20</v>
      </c>
      <c r="T162" s="18" t="s">
        <v>20</v>
      </c>
      <c r="U162" s="18" t="s">
        <v>21</v>
      </c>
      <c r="V162" s="37" t="s">
        <v>20</v>
      </c>
      <c r="W162" s="37" t="s">
        <v>20</v>
      </c>
      <c r="X162" s="37" t="s">
        <v>20</v>
      </c>
      <c r="Y162" s="18" t="s">
        <v>20</v>
      </c>
      <c r="Z162" s="18" t="s">
        <v>21</v>
      </c>
      <c r="AA162" s="20" t="s">
        <v>21</v>
      </c>
      <c r="AB162" s="20" t="s">
        <v>21</v>
      </c>
      <c r="AC162" s="20" t="s">
        <v>20</v>
      </c>
      <c r="AD162" s="18" t="s">
        <v>20</v>
      </c>
      <c r="AE162" s="18" t="s">
        <v>21</v>
      </c>
      <c r="AG162">
        <f t="shared" si="18"/>
        <v>0</v>
      </c>
      <c r="AH162">
        <f t="shared" si="19"/>
        <v>14</v>
      </c>
      <c r="AI162">
        <f t="shared" si="20"/>
        <v>12</v>
      </c>
      <c r="AJ162">
        <f t="shared" si="21"/>
        <v>0</v>
      </c>
      <c r="AL162">
        <f t="shared" si="22"/>
        <v>0</v>
      </c>
      <c r="AM162">
        <f t="shared" si="23"/>
        <v>42</v>
      </c>
      <c r="AN162">
        <f t="shared" si="24"/>
        <v>24</v>
      </c>
      <c r="AO162">
        <f t="shared" si="25"/>
        <v>0</v>
      </c>
      <c r="AP162">
        <f t="shared" si="26"/>
        <v>66</v>
      </c>
    </row>
    <row r="163" spans="1:42" ht="15.75" hidden="1" customHeight="1" x14ac:dyDescent="0.3">
      <c r="A163" s="16"/>
      <c r="B163" s="55">
        <v>10</v>
      </c>
      <c r="C163" s="56" t="s">
        <v>181</v>
      </c>
      <c r="D163" s="55">
        <v>4</v>
      </c>
      <c r="E163" s="55" t="s">
        <v>21</v>
      </c>
      <c r="F163" s="18" t="s">
        <v>21</v>
      </c>
      <c r="G163" s="18" t="s">
        <v>20</v>
      </c>
      <c r="H163" s="18" t="s">
        <v>21</v>
      </c>
      <c r="I163" s="18" t="s">
        <v>21</v>
      </c>
      <c r="J163" s="43" t="s">
        <v>20</v>
      </c>
      <c r="K163" s="43" t="s">
        <v>20</v>
      </c>
      <c r="L163" s="43" t="s">
        <v>21</v>
      </c>
      <c r="M163" s="18" t="s">
        <v>23</v>
      </c>
      <c r="N163" s="18" t="s">
        <v>20</v>
      </c>
      <c r="O163" s="18" t="s">
        <v>20</v>
      </c>
      <c r="P163" s="18" t="s">
        <v>21</v>
      </c>
      <c r="Q163" s="18" t="s">
        <v>21</v>
      </c>
      <c r="R163" s="18" t="s">
        <v>21</v>
      </c>
      <c r="S163" s="18" t="s">
        <v>20</v>
      </c>
      <c r="T163" s="18" t="s">
        <v>20</v>
      </c>
      <c r="U163" s="18" t="s">
        <v>21</v>
      </c>
      <c r="V163" s="37" t="s">
        <v>20</v>
      </c>
      <c r="W163" s="37" t="s">
        <v>20</v>
      </c>
      <c r="X163" s="37" t="s">
        <v>20</v>
      </c>
      <c r="Y163" s="18" t="s">
        <v>21</v>
      </c>
      <c r="Z163" s="18" t="s">
        <v>21</v>
      </c>
      <c r="AA163" s="20" t="s">
        <v>21</v>
      </c>
      <c r="AB163" s="20" t="s">
        <v>23</v>
      </c>
      <c r="AC163" s="20" t="s">
        <v>21</v>
      </c>
      <c r="AD163" s="18" t="s">
        <v>23</v>
      </c>
      <c r="AE163" s="18" t="s">
        <v>21</v>
      </c>
      <c r="AG163">
        <f t="shared" si="18"/>
        <v>0</v>
      </c>
      <c r="AH163">
        <f t="shared" si="19"/>
        <v>10</v>
      </c>
      <c r="AI163">
        <f t="shared" si="20"/>
        <v>13</v>
      </c>
      <c r="AJ163">
        <f t="shared" si="21"/>
        <v>3</v>
      </c>
      <c r="AL163">
        <f t="shared" si="22"/>
        <v>0</v>
      </c>
      <c r="AM163">
        <f t="shared" si="23"/>
        <v>30</v>
      </c>
      <c r="AN163">
        <f t="shared" si="24"/>
        <v>26</v>
      </c>
      <c r="AO163">
        <f t="shared" si="25"/>
        <v>3</v>
      </c>
      <c r="AP163">
        <f t="shared" si="26"/>
        <v>59</v>
      </c>
    </row>
    <row r="164" spans="1:42" ht="15.75" hidden="1" customHeight="1" x14ac:dyDescent="0.3">
      <c r="A164" s="16"/>
      <c r="B164" s="55">
        <v>11</v>
      </c>
      <c r="C164" s="56" t="s">
        <v>182</v>
      </c>
      <c r="D164" s="55">
        <v>4</v>
      </c>
      <c r="E164" s="55" t="s">
        <v>21</v>
      </c>
      <c r="F164" s="18" t="s">
        <v>23</v>
      </c>
      <c r="G164" s="18" t="s">
        <v>23</v>
      </c>
      <c r="H164" s="18" t="s">
        <v>23</v>
      </c>
      <c r="I164" s="18" t="s">
        <v>23</v>
      </c>
      <c r="J164" s="43" t="s">
        <v>21</v>
      </c>
      <c r="K164" s="43" t="s">
        <v>21</v>
      </c>
      <c r="L164" s="43" t="s">
        <v>21</v>
      </c>
      <c r="M164" s="18" t="s">
        <v>21</v>
      </c>
      <c r="N164" s="18" t="s">
        <v>20</v>
      </c>
      <c r="O164" s="18" t="s">
        <v>21</v>
      </c>
      <c r="P164" s="18" t="s">
        <v>23</v>
      </c>
      <c r="Q164" s="18" t="s">
        <v>21</v>
      </c>
      <c r="R164" s="18" t="s">
        <v>21</v>
      </c>
      <c r="S164" s="18" t="s">
        <v>21</v>
      </c>
      <c r="T164" s="18" t="s">
        <v>20</v>
      </c>
      <c r="U164" s="18" t="s">
        <v>20</v>
      </c>
      <c r="V164" s="37" t="s">
        <v>20</v>
      </c>
      <c r="W164" s="37" t="s">
        <v>21</v>
      </c>
      <c r="X164" s="37" t="s">
        <v>20</v>
      </c>
      <c r="Y164" s="18" t="s">
        <v>23</v>
      </c>
      <c r="Z164" s="18" t="s">
        <v>23</v>
      </c>
      <c r="AA164" s="20" t="s">
        <v>21</v>
      </c>
      <c r="AB164" s="20" t="s">
        <v>21</v>
      </c>
      <c r="AC164" s="20" t="s">
        <v>21</v>
      </c>
      <c r="AD164" s="18" t="s">
        <v>23</v>
      </c>
      <c r="AE164" s="18" t="s">
        <v>21</v>
      </c>
      <c r="AG164">
        <f t="shared" si="18"/>
        <v>0</v>
      </c>
      <c r="AH164">
        <f t="shared" si="19"/>
        <v>5</v>
      </c>
      <c r="AI164">
        <f t="shared" si="20"/>
        <v>13</v>
      </c>
      <c r="AJ164">
        <f t="shared" si="21"/>
        <v>8</v>
      </c>
      <c r="AL164">
        <f t="shared" si="22"/>
        <v>0</v>
      </c>
      <c r="AM164">
        <f t="shared" si="23"/>
        <v>15</v>
      </c>
      <c r="AN164">
        <f t="shared" si="24"/>
        <v>26</v>
      </c>
      <c r="AO164">
        <f t="shared" si="25"/>
        <v>8</v>
      </c>
      <c r="AP164">
        <f t="shared" si="26"/>
        <v>49</v>
      </c>
    </row>
    <row r="165" spans="1:42" ht="15.75" hidden="1" customHeight="1" x14ac:dyDescent="0.3">
      <c r="A165" s="16"/>
      <c r="B165" s="55">
        <v>12</v>
      </c>
      <c r="C165" s="56" t="s">
        <v>183</v>
      </c>
      <c r="D165" s="55">
        <v>4</v>
      </c>
      <c r="E165" s="55" t="s">
        <v>21</v>
      </c>
      <c r="F165" s="18" t="s">
        <v>21</v>
      </c>
      <c r="G165" s="18" t="s">
        <v>21</v>
      </c>
      <c r="H165" s="18" t="s">
        <v>21</v>
      </c>
      <c r="I165" s="18" t="s">
        <v>21</v>
      </c>
      <c r="J165" s="43" t="s">
        <v>20</v>
      </c>
      <c r="K165" s="43" t="s">
        <v>20</v>
      </c>
      <c r="L165" s="43" t="s">
        <v>21</v>
      </c>
      <c r="M165" s="18" t="s">
        <v>20</v>
      </c>
      <c r="N165" s="18" t="s">
        <v>20</v>
      </c>
      <c r="O165" s="18" t="s">
        <v>20</v>
      </c>
      <c r="P165" s="18" t="s">
        <v>21</v>
      </c>
      <c r="Q165" s="18" t="s">
        <v>21</v>
      </c>
      <c r="R165" s="18" t="s">
        <v>21</v>
      </c>
      <c r="S165" s="18" t="s">
        <v>20</v>
      </c>
      <c r="T165" s="18" t="s">
        <v>20</v>
      </c>
      <c r="U165" s="18" t="s">
        <v>20</v>
      </c>
      <c r="V165" s="49" t="s">
        <v>20</v>
      </c>
      <c r="W165" s="37" t="s">
        <v>20</v>
      </c>
      <c r="X165" s="37" t="s">
        <v>20</v>
      </c>
      <c r="Y165" s="18" t="s">
        <v>20</v>
      </c>
      <c r="Z165" s="18" t="s">
        <v>21</v>
      </c>
      <c r="AA165" s="20" t="s">
        <v>21</v>
      </c>
      <c r="AB165" s="20" t="s">
        <v>20</v>
      </c>
      <c r="AC165" s="20" t="s">
        <v>20</v>
      </c>
      <c r="AD165" s="29" t="s">
        <v>20</v>
      </c>
      <c r="AE165" s="29" t="s">
        <v>21</v>
      </c>
      <c r="AG165">
        <f t="shared" si="18"/>
        <v>0</v>
      </c>
      <c r="AH165">
        <f t="shared" si="19"/>
        <v>15</v>
      </c>
      <c r="AI165">
        <f t="shared" si="20"/>
        <v>11</v>
      </c>
      <c r="AJ165">
        <f t="shared" si="21"/>
        <v>0</v>
      </c>
      <c r="AL165">
        <f t="shared" si="22"/>
        <v>0</v>
      </c>
      <c r="AM165">
        <f t="shared" si="23"/>
        <v>45</v>
      </c>
      <c r="AN165">
        <f t="shared" si="24"/>
        <v>22</v>
      </c>
      <c r="AO165">
        <f t="shared" si="25"/>
        <v>0</v>
      </c>
      <c r="AP165">
        <f t="shared" si="26"/>
        <v>67</v>
      </c>
    </row>
    <row r="166" spans="1:42" ht="15.75" hidden="1" customHeight="1" x14ac:dyDescent="0.3">
      <c r="A166" s="16"/>
      <c r="B166" s="55">
        <v>13</v>
      </c>
      <c r="C166" s="56" t="s">
        <v>184</v>
      </c>
      <c r="D166" s="55">
        <v>4</v>
      </c>
      <c r="E166" s="55" t="s">
        <v>21</v>
      </c>
      <c r="F166" s="18" t="s">
        <v>21</v>
      </c>
      <c r="G166" s="18" t="s">
        <v>21</v>
      </c>
      <c r="H166" s="18" t="s">
        <v>23</v>
      </c>
      <c r="I166" s="18" t="s">
        <v>21</v>
      </c>
      <c r="J166" s="43" t="s">
        <v>20</v>
      </c>
      <c r="K166" s="43" t="s">
        <v>20</v>
      </c>
      <c r="L166" s="43" t="s">
        <v>21</v>
      </c>
      <c r="M166" s="18" t="s">
        <v>21</v>
      </c>
      <c r="N166" s="18" t="s">
        <v>20</v>
      </c>
      <c r="O166" s="18" t="s">
        <v>21</v>
      </c>
      <c r="P166" s="18" t="s">
        <v>21</v>
      </c>
      <c r="Q166" s="18" t="s">
        <v>21</v>
      </c>
      <c r="R166" s="18" t="s">
        <v>21</v>
      </c>
      <c r="S166" s="18" t="s">
        <v>23</v>
      </c>
      <c r="T166" s="18" t="s">
        <v>23</v>
      </c>
      <c r="U166" s="18" t="s">
        <v>20</v>
      </c>
      <c r="V166" s="49" t="s">
        <v>20</v>
      </c>
      <c r="W166" s="37" t="s">
        <v>21</v>
      </c>
      <c r="X166" s="37" t="s">
        <v>20</v>
      </c>
      <c r="Y166" s="18" t="s">
        <v>23</v>
      </c>
      <c r="Z166" s="18" t="s">
        <v>21</v>
      </c>
      <c r="AA166" s="20" t="s">
        <v>21</v>
      </c>
      <c r="AB166" s="20" t="s">
        <v>20</v>
      </c>
      <c r="AC166" s="20" t="s">
        <v>23</v>
      </c>
      <c r="AD166" s="29" t="s">
        <v>23</v>
      </c>
      <c r="AE166" s="29" t="s">
        <v>21</v>
      </c>
      <c r="AG166">
        <f t="shared" si="18"/>
        <v>0</v>
      </c>
      <c r="AH166">
        <f t="shared" si="19"/>
        <v>7</v>
      </c>
      <c r="AI166">
        <f t="shared" si="20"/>
        <v>13</v>
      </c>
      <c r="AJ166">
        <f t="shared" si="21"/>
        <v>6</v>
      </c>
      <c r="AL166">
        <f t="shared" si="22"/>
        <v>0</v>
      </c>
      <c r="AM166">
        <f t="shared" si="23"/>
        <v>21</v>
      </c>
      <c r="AN166">
        <f t="shared" si="24"/>
        <v>26</v>
      </c>
      <c r="AO166">
        <f t="shared" si="25"/>
        <v>6</v>
      </c>
      <c r="AP166">
        <f t="shared" si="26"/>
        <v>53</v>
      </c>
    </row>
    <row r="167" spans="1:42" ht="15.75" hidden="1" customHeight="1" x14ac:dyDescent="0.3">
      <c r="A167" s="16"/>
      <c r="B167" s="55">
        <v>14</v>
      </c>
      <c r="C167" s="56" t="s">
        <v>185</v>
      </c>
      <c r="D167" s="55">
        <v>4</v>
      </c>
      <c r="E167" s="55" t="s">
        <v>21</v>
      </c>
      <c r="F167" s="18" t="s">
        <v>21</v>
      </c>
      <c r="G167" s="18" t="s">
        <v>21</v>
      </c>
      <c r="H167" s="18" t="s">
        <v>21</v>
      </c>
      <c r="I167" s="18" t="s">
        <v>21</v>
      </c>
      <c r="J167" s="43" t="s">
        <v>20</v>
      </c>
      <c r="K167" s="43" t="s">
        <v>21</v>
      </c>
      <c r="L167" s="43" t="s">
        <v>21</v>
      </c>
      <c r="M167" s="18" t="s">
        <v>21</v>
      </c>
      <c r="N167" s="18" t="s">
        <v>21</v>
      </c>
      <c r="O167" s="18" t="s">
        <v>20</v>
      </c>
      <c r="P167" s="18" t="s">
        <v>21</v>
      </c>
      <c r="Q167" s="18" t="s">
        <v>21</v>
      </c>
      <c r="R167" s="18" t="s">
        <v>21</v>
      </c>
      <c r="S167" s="18" t="s">
        <v>20</v>
      </c>
      <c r="T167" s="18" t="s">
        <v>20</v>
      </c>
      <c r="U167" s="18" t="s">
        <v>21</v>
      </c>
      <c r="V167" s="49" t="s">
        <v>20</v>
      </c>
      <c r="W167" s="37" t="s">
        <v>20</v>
      </c>
      <c r="X167" s="37" t="s">
        <v>20</v>
      </c>
      <c r="Y167" s="18" t="s">
        <v>21</v>
      </c>
      <c r="Z167" s="18" t="s">
        <v>21</v>
      </c>
      <c r="AA167" s="20" t="s">
        <v>20</v>
      </c>
      <c r="AB167" s="20" t="s">
        <v>21</v>
      </c>
      <c r="AC167" s="20" t="s">
        <v>20</v>
      </c>
      <c r="AD167" s="29" t="s">
        <v>21</v>
      </c>
      <c r="AE167" s="29" t="s">
        <v>21</v>
      </c>
      <c r="AG167">
        <f t="shared" si="18"/>
        <v>0</v>
      </c>
      <c r="AH167">
        <f t="shared" si="19"/>
        <v>9</v>
      </c>
      <c r="AI167">
        <f t="shared" si="20"/>
        <v>17</v>
      </c>
      <c r="AJ167">
        <f t="shared" si="21"/>
        <v>0</v>
      </c>
      <c r="AL167">
        <f t="shared" si="22"/>
        <v>0</v>
      </c>
      <c r="AM167">
        <f t="shared" si="23"/>
        <v>27</v>
      </c>
      <c r="AN167">
        <f t="shared" si="24"/>
        <v>34</v>
      </c>
      <c r="AO167">
        <f t="shared" si="25"/>
        <v>0</v>
      </c>
      <c r="AP167">
        <f t="shared" si="26"/>
        <v>61</v>
      </c>
    </row>
    <row r="168" spans="1:42" ht="15.75" hidden="1" customHeight="1" x14ac:dyDescent="0.3">
      <c r="A168" s="16"/>
      <c r="B168" s="55">
        <v>15</v>
      </c>
      <c r="C168" s="56" t="s">
        <v>186</v>
      </c>
      <c r="D168" s="55">
        <v>4</v>
      </c>
      <c r="E168" s="55" t="s">
        <v>21</v>
      </c>
      <c r="F168" s="18" t="s">
        <v>20</v>
      </c>
      <c r="G168" s="18" t="s">
        <v>20</v>
      </c>
      <c r="H168" s="18" t="s">
        <v>20</v>
      </c>
      <c r="I168" s="18" t="s">
        <v>20</v>
      </c>
      <c r="J168" s="43" t="s">
        <v>20</v>
      </c>
      <c r="K168" s="43" t="s">
        <v>20</v>
      </c>
      <c r="L168" s="43" t="s">
        <v>20</v>
      </c>
      <c r="M168" s="18" t="s">
        <v>20</v>
      </c>
      <c r="N168" s="18" t="s">
        <v>20</v>
      </c>
      <c r="O168" s="18" t="s">
        <v>20</v>
      </c>
      <c r="P168" s="18" t="s">
        <v>20</v>
      </c>
      <c r="Q168" s="18" t="s">
        <v>20</v>
      </c>
      <c r="R168" s="18" t="s">
        <v>20</v>
      </c>
      <c r="S168" s="18" t="s">
        <v>20</v>
      </c>
      <c r="T168" s="18" t="s">
        <v>20</v>
      </c>
      <c r="U168" s="18" t="s">
        <v>20</v>
      </c>
      <c r="V168" s="49" t="s">
        <v>20</v>
      </c>
      <c r="W168" s="37" t="s">
        <v>20</v>
      </c>
      <c r="X168" s="37" t="s">
        <v>20</v>
      </c>
      <c r="Y168" s="18" t="s">
        <v>20</v>
      </c>
      <c r="Z168" s="18" t="s">
        <v>20</v>
      </c>
      <c r="AA168" s="20" t="s">
        <v>20</v>
      </c>
      <c r="AB168" s="20" t="s">
        <v>20</v>
      </c>
      <c r="AC168" s="20" t="s">
        <v>20</v>
      </c>
      <c r="AD168" s="29" t="s">
        <v>20</v>
      </c>
      <c r="AE168" s="29" t="s">
        <v>21</v>
      </c>
      <c r="AG168">
        <f t="shared" si="18"/>
        <v>0</v>
      </c>
      <c r="AH168">
        <f t="shared" si="19"/>
        <v>25</v>
      </c>
      <c r="AI168">
        <f t="shared" si="20"/>
        <v>1</v>
      </c>
      <c r="AJ168">
        <f t="shared" si="21"/>
        <v>0</v>
      </c>
      <c r="AL168">
        <f t="shared" si="22"/>
        <v>0</v>
      </c>
      <c r="AM168">
        <f t="shared" si="23"/>
        <v>75</v>
      </c>
      <c r="AN168">
        <f t="shared" si="24"/>
        <v>2</v>
      </c>
      <c r="AO168">
        <f t="shared" si="25"/>
        <v>0</v>
      </c>
      <c r="AP168">
        <f t="shared" si="26"/>
        <v>77</v>
      </c>
    </row>
    <row r="169" spans="1:42" ht="15.75" hidden="1" customHeight="1" x14ac:dyDescent="0.3">
      <c r="A169" s="16"/>
      <c r="B169" s="55">
        <v>16</v>
      </c>
      <c r="C169" s="56" t="s">
        <v>187</v>
      </c>
      <c r="D169" s="55">
        <v>4</v>
      </c>
      <c r="E169" s="55" t="s">
        <v>21</v>
      </c>
      <c r="F169" s="18" t="s">
        <v>21</v>
      </c>
      <c r="G169" s="18" t="s">
        <v>21</v>
      </c>
      <c r="H169" s="18" t="s">
        <v>21</v>
      </c>
      <c r="I169" s="18" t="s">
        <v>21</v>
      </c>
      <c r="J169" s="43" t="s">
        <v>20</v>
      </c>
      <c r="K169" s="43" t="s">
        <v>20</v>
      </c>
      <c r="L169" s="43" t="s">
        <v>21</v>
      </c>
      <c r="M169" s="18" t="s">
        <v>20</v>
      </c>
      <c r="N169" s="18" t="s">
        <v>20</v>
      </c>
      <c r="O169" s="18" t="s">
        <v>20</v>
      </c>
      <c r="P169" s="18" t="s">
        <v>21</v>
      </c>
      <c r="Q169" s="18" t="s">
        <v>21</v>
      </c>
      <c r="R169" s="18" t="s">
        <v>21</v>
      </c>
      <c r="S169" s="18" t="s">
        <v>21</v>
      </c>
      <c r="T169" s="18" t="s">
        <v>20</v>
      </c>
      <c r="U169" s="18" t="s">
        <v>21</v>
      </c>
      <c r="V169" s="49" t="s">
        <v>20</v>
      </c>
      <c r="W169" s="37" t="s">
        <v>20</v>
      </c>
      <c r="X169" s="37" t="s">
        <v>20</v>
      </c>
      <c r="Y169" s="18" t="s">
        <v>21</v>
      </c>
      <c r="Z169" s="18" t="s">
        <v>21</v>
      </c>
      <c r="AA169" s="20" t="s">
        <v>21</v>
      </c>
      <c r="AB169" s="20" t="s">
        <v>21</v>
      </c>
      <c r="AC169" s="20" t="s">
        <v>21</v>
      </c>
      <c r="AD169" s="29" t="s">
        <v>21</v>
      </c>
      <c r="AE169" s="29" t="s">
        <v>21</v>
      </c>
      <c r="AG169">
        <f t="shared" si="18"/>
        <v>0</v>
      </c>
      <c r="AH169">
        <f t="shared" si="19"/>
        <v>9</v>
      </c>
      <c r="AI169">
        <f t="shared" si="20"/>
        <v>17</v>
      </c>
      <c r="AJ169">
        <f t="shared" si="21"/>
        <v>0</v>
      </c>
      <c r="AL169">
        <f t="shared" si="22"/>
        <v>0</v>
      </c>
      <c r="AM169">
        <f t="shared" si="23"/>
        <v>27</v>
      </c>
      <c r="AN169">
        <f t="shared" si="24"/>
        <v>34</v>
      </c>
      <c r="AO169">
        <f t="shared" si="25"/>
        <v>0</v>
      </c>
      <c r="AP169">
        <f t="shared" si="26"/>
        <v>61</v>
      </c>
    </row>
    <row r="170" spans="1:42" ht="15.75" hidden="1" customHeight="1" x14ac:dyDescent="0.3">
      <c r="A170" s="16"/>
      <c r="B170" s="55">
        <v>17</v>
      </c>
      <c r="C170" s="56" t="s">
        <v>188</v>
      </c>
      <c r="D170" s="55">
        <v>4</v>
      </c>
      <c r="E170" s="55" t="s">
        <v>21</v>
      </c>
      <c r="F170" s="18" t="s">
        <v>21</v>
      </c>
      <c r="G170" s="18" t="s">
        <v>21</v>
      </c>
      <c r="H170" s="18" t="s">
        <v>21</v>
      </c>
      <c r="I170" s="18" t="s">
        <v>21</v>
      </c>
      <c r="J170" s="43" t="s">
        <v>20</v>
      </c>
      <c r="K170" s="43" t="s">
        <v>20</v>
      </c>
      <c r="L170" s="43" t="s">
        <v>21</v>
      </c>
      <c r="M170" s="18" t="s">
        <v>21</v>
      </c>
      <c r="N170" s="18" t="s">
        <v>20</v>
      </c>
      <c r="O170" s="18" t="s">
        <v>21</v>
      </c>
      <c r="P170" s="18" t="s">
        <v>21</v>
      </c>
      <c r="Q170" s="18" t="s">
        <v>21</v>
      </c>
      <c r="R170" s="18" t="s">
        <v>21</v>
      </c>
      <c r="S170" s="18" t="s">
        <v>23</v>
      </c>
      <c r="T170" s="18" t="s">
        <v>21</v>
      </c>
      <c r="U170" s="18" t="s">
        <v>20</v>
      </c>
      <c r="V170" s="49" t="s">
        <v>20</v>
      </c>
      <c r="W170" s="37" t="s">
        <v>20</v>
      </c>
      <c r="X170" s="37" t="s">
        <v>20</v>
      </c>
      <c r="Y170" s="18" t="s">
        <v>20</v>
      </c>
      <c r="Z170" s="18" t="s">
        <v>20</v>
      </c>
      <c r="AA170" s="20" t="s">
        <v>20</v>
      </c>
      <c r="AB170" s="20" t="s">
        <v>20</v>
      </c>
      <c r="AC170" s="20" t="s">
        <v>20</v>
      </c>
      <c r="AD170" s="29" t="s">
        <v>21</v>
      </c>
      <c r="AE170" s="29" t="s">
        <v>21</v>
      </c>
      <c r="AG170">
        <f t="shared" si="18"/>
        <v>0</v>
      </c>
      <c r="AH170">
        <f t="shared" si="19"/>
        <v>12</v>
      </c>
      <c r="AI170">
        <f t="shared" si="20"/>
        <v>13</v>
      </c>
      <c r="AJ170">
        <f t="shared" si="21"/>
        <v>1</v>
      </c>
      <c r="AL170">
        <f t="shared" si="22"/>
        <v>0</v>
      </c>
      <c r="AM170">
        <f t="shared" si="23"/>
        <v>36</v>
      </c>
      <c r="AN170">
        <f t="shared" si="24"/>
        <v>26</v>
      </c>
      <c r="AO170">
        <f t="shared" si="25"/>
        <v>1</v>
      </c>
      <c r="AP170">
        <f t="shared" si="26"/>
        <v>63</v>
      </c>
    </row>
    <row r="171" spans="1:42" ht="15.75" hidden="1" customHeight="1" x14ac:dyDescent="0.3">
      <c r="A171" s="16"/>
      <c r="B171" s="55">
        <v>18</v>
      </c>
      <c r="C171" s="56" t="s">
        <v>189</v>
      </c>
      <c r="D171" s="55">
        <v>4</v>
      </c>
      <c r="E171" s="55" t="s">
        <v>21</v>
      </c>
      <c r="F171" s="18" t="s">
        <v>23</v>
      </c>
      <c r="G171" s="18" t="s">
        <v>23</v>
      </c>
      <c r="H171" s="18" t="s">
        <v>23</v>
      </c>
      <c r="I171" s="18" t="s">
        <v>23</v>
      </c>
      <c r="J171" s="43" t="s">
        <v>20</v>
      </c>
      <c r="K171" s="43" t="s">
        <v>20</v>
      </c>
      <c r="L171" s="43" t="s">
        <v>21</v>
      </c>
      <c r="M171" s="18" t="s">
        <v>21</v>
      </c>
      <c r="N171" s="18" t="s">
        <v>21</v>
      </c>
      <c r="O171" s="18" t="s">
        <v>20</v>
      </c>
      <c r="P171" s="18" t="s">
        <v>21</v>
      </c>
      <c r="Q171" s="18" t="s">
        <v>21</v>
      </c>
      <c r="R171" s="18" t="s">
        <v>23</v>
      </c>
      <c r="S171" s="18" t="s">
        <v>21</v>
      </c>
      <c r="T171" s="18" t="s">
        <v>20</v>
      </c>
      <c r="U171" s="18" t="s">
        <v>21</v>
      </c>
      <c r="V171" s="49" t="s">
        <v>20</v>
      </c>
      <c r="W171" s="37" t="s">
        <v>21</v>
      </c>
      <c r="X171" s="37" t="s">
        <v>20</v>
      </c>
      <c r="Y171" s="18" t="s">
        <v>20</v>
      </c>
      <c r="Z171" s="18" t="s">
        <v>20</v>
      </c>
      <c r="AA171" s="20" t="s">
        <v>21</v>
      </c>
      <c r="AB171" s="20" t="s">
        <v>21</v>
      </c>
      <c r="AC171" s="20" t="s">
        <v>21</v>
      </c>
      <c r="AD171" s="29" t="s">
        <v>21</v>
      </c>
      <c r="AE171" s="29" t="s">
        <v>21</v>
      </c>
      <c r="AG171">
        <f t="shared" si="18"/>
        <v>0</v>
      </c>
      <c r="AH171">
        <f t="shared" si="19"/>
        <v>8</v>
      </c>
      <c r="AI171">
        <f t="shared" si="20"/>
        <v>13</v>
      </c>
      <c r="AJ171">
        <f t="shared" si="21"/>
        <v>5</v>
      </c>
      <c r="AL171">
        <f t="shared" si="22"/>
        <v>0</v>
      </c>
      <c r="AM171">
        <f t="shared" si="23"/>
        <v>24</v>
      </c>
      <c r="AN171">
        <f t="shared" si="24"/>
        <v>26</v>
      </c>
      <c r="AO171">
        <f t="shared" si="25"/>
        <v>5</v>
      </c>
      <c r="AP171">
        <f t="shared" si="26"/>
        <v>55</v>
      </c>
    </row>
    <row r="172" spans="1:42" ht="15.75" hidden="1" customHeight="1" x14ac:dyDescent="0.3">
      <c r="A172" s="16"/>
      <c r="B172" s="55">
        <v>19</v>
      </c>
      <c r="C172" s="56" t="s">
        <v>190</v>
      </c>
      <c r="D172" s="55">
        <v>4</v>
      </c>
      <c r="E172" s="55" t="s">
        <v>21</v>
      </c>
      <c r="F172" s="18" t="s">
        <v>23</v>
      </c>
      <c r="G172" s="18" t="s">
        <v>21</v>
      </c>
      <c r="H172" s="18" t="s">
        <v>21</v>
      </c>
      <c r="I172" s="18" t="s">
        <v>21</v>
      </c>
      <c r="J172" s="43" t="s">
        <v>20</v>
      </c>
      <c r="K172" s="43" t="s">
        <v>20</v>
      </c>
      <c r="L172" s="43" t="s">
        <v>21</v>
      </c>
      <c r="M172" s="18" t="s">
        <v>20</v>
      </c>
      <c r="N172" s="18" t="s">
        <v>20</v>
      </c>
      <c r="O172" s="18" t="s">
        <v>21</v>
      </c>
      <c r="P172" s="18" t="s">
        <v>21</v>
      </c>
      <c r="Q172" s="18" t="s">
        <v>21</v>
      </c>
      <c r="R172" s="18" t="s">
        <v>21</v>
      </c>
      <c r="S172" s="18" t="s">
        <v>20</v>
      </c>
      <c r="T172" s="18" t="s">
        <v>20</v>
      </c>
      <c r="U172" s="18" t="s">
        <v>21</v>
      </c>
      <c r="V172" s="49" t="s">
        <v>20</v>
      </c>
      <c r="W172" s="37" t="s">
        <v>20</v>
      </c>
      <c r="X172" s="37" t="s">
        <v>20</v>
      </c>
      <c r="Y172" s="18" t="s">
        <v>20</v>
      </c>
      <c r="Z172" s="18" t="s">
        <v>21</v>
      </c>
      <c r="AA172" s="20" t="s">
        <v>21</v>
      </c>
      <c r="AB172" s="20" t="s">
        <v>21</v>
      </c>
      <c r="AC172" s="20" t="s">
        <v>21</v>
      </c>
      <c r="AD172" s="29" t="s">
        <v>21</v>
      </c>
      <c r="AE172" s="29" t="s">
        <v>21</v>
      </c>
      <c r="AG172">
        <f t="shared" si="18"/>
        <v>0</v>
      </c>
      <c r="AH172">
        <f t="shared" si="19"/>
        <v>10</v>
      </c>
      <c r="AI172">
        <f t="shared" si="20"/>
        <v>15</v>
      </c>
      <c r="AJ172">
        <f t="shared" si="21"/>
        <v>1</v>
      </c>
      <c r="AL172">
        <f t="shared" si="22"/>
        <v>0</v>
      </c>
      <c r="AM172">
        <f t="shared" si="23"/>
        <v>30</v>
      </c>
      <c r="AN172">
        <f t="shared" si="24"/>
        <v>30</v>
      </c>
      <c r="AO172">
        <f t="shared" si="25"/>
        <v>1</v>
      </c>
      <c r="AP172">
        <f t="shared" si="26"/>
        <v>61</v>
      </c>
    </row>
    <row r="173" spans="1:42" ht="15.75" hidden="1" customHeight="1" x14ac:dyDescent="0.3">
      <c r="A173" s="16"/>
      <c r="B173" s="55">
        <v>20</v>
      </c>
      <c r="C173" s="56" t="s">
        <v>191</v>
      </c>
      <c r="D173" s="55">
        <v>4</v>
      </c>
      <c r="E173" s="55" t="s">
        <v>21</v>
      </c>
      <c r="F173" s="18" t="s">
        <v>20</v>
      </c>
      <c r="G173" s="18" t="s">
        <v>20</v>
      </c>
      <c r="H173" s="18" t="s">
        <v>20</v>
      </c>
      <c r="I173" s="18" t="s">
        <v>39</v>
      </c>
      <c r="J173" s="43" t="s">
        <v>20</v>
      </c>
      <c r="K173" s="43" t="s">
        <v>39</v>
      </c>
      <c r="L173" s="43" t="s">
        <v>20</v>
      </c>
      <c r="M173" s="18" t="s">
        <v>20</v>
      </c>
      <c r="N173" s="18" t="s">
        <v>20</v>
      </c>
      <c r="O173" s="18" t="s">
        <v>20</v>
      </c>
      <c r="P173" s="18" t="s">
        <v>20</v>
      </c>
      <c r="Q173" s="18" t="s">
        <v>20</v>
      </c>
      <c r="R173" s="18" t="s">
        <v>20</v>
      </c>
      <c r="S173" s="18" t="s">
        <v>20</v>
      </c>
      <c r="T173" s="18" t="s">
        <v>20</v>
      </c>
      <c r="U173" s="18" t="s">
        <v>20</v>
      </c>
      <c r="V173" s="50" t="s">
        <v>20</v>
      </c>
      <c r="W173" s="37" t="s">
        <v>20</v>
      </c>
      <c r="X173" s="37" t="s">
        <v>20</v>
      </c>
      <c r="Y173" s="18" t="s">
        <v>39</v>
      </c>
      <c r="Z173" s="18" t="s">
        <v>39</v>
      </c>
      <c r="AA173" s="20" t="s">
        <v>20</v>
      </c>
      <c r="AB173" s="20" t="s">
        <v>20</v>
      </c>
      <c r="AC173" s="20" t="s">
        <v>20</v>
      </c>
      <c r="AD173" s="29" t="s">
        <v>20</v>
      </c>
      <c r="AE173" s="29" t="s">
        <v>21</v>
      </c>
      <c r="AG173">
        <f t="shared" si="18"/>
        <v>4</v>
      </c>
      <c r="AH173">
        <f t="shared" si="19"/>
        <v>21</v>
      </c>
      <c r="AI173">
        <f t="shared" si="20"/>
        <v>1</v>
      </c>
      <c r="AJ173">
        <f t="shared" si="21"/>
        <v>0</v>
      </c>
      <c r="AL173">
        <f t="shared" si="22"/>
        <v>16</v>
      </c>
      <c r="AM173">
        <f t="shared" si="23"/>
        <v>63</v>
      </c>
      <c r="AN173">
        <f t="shared" si="24"/>
        <v>2</v>
      </c>
      <c r="AO173">
        <f t="shared" si="25"/>
        <v>0</v>
      </c>
      <c r="AP173">
        <f t="shared" si="26"/>
        <v>81</v>
      </c>
    </row>
    <row r="174" spans="1:42" ht="15.75" hidden="1" customHeight="1" x14ac:dyDescent="0.3">
      <c r="A174" s="16"/>
      <c r="B174" s="55">
        <v>21</v>
      </c>
      <c r="C174" s="56" t="s">
        <v>192</v>
      </c>
      <c r="D174" s="55">
        <v>4</v>
      </c>
      <c r="E174" s="55" t="s">
        <v>21</v>
      </c>
      <c r="F174" s="18" t="s">
        <v>21</v>
      </c>
      <c r="G174" s="18" t="s">
        <v>23</v>
      </c>
      <c r="H174" s="18" t="s">
        <v>23</v>
      </c>
      <c r="I174" s="18" t="s">
        <v>23</v>
      </c>
      <c r="J174" s="43" t="s">
        <v>20</v>
      </c>
      <c r="K174" s="43" t="s">
        <v>21</v>
      </c>
      <c r="L174" s="43" t="s">
        <v>21</v>
      </c>
      <c r="M174" s="18" t="s">
        <v>21</v>
      </c>
      <c r="N174" s="18" t="s">
        <v>21</v>
      </c>
      <c r="O174" s="18" t="s">
        <v>21</v>
      </c>
      <c r="P174" s="18" t="s">
        <v>21</v>
      </c>
      <c r="Q174" s="18" t="s">
        <v>21</v>
      </c>
      <c r="R174" s="18" t="s">
        <v>23</v>
      </c>
      <c r="S174" s="18" t="s">
        <v>21</v>
      </c>
      <c r="T174" s="18" t="s">
        <v>20</v>
      </c>
      <c r="U174" s="18" t="s">
        <v>20</v>
      </c>
      <c r="V174" s="49" t="s">
        <v>20</v>
      </c>
      <c r="W174" s="37" t="s">
        <v>20</v>
      </c>
      <c r="X174" s="37" t="s">
        <v>20</v>
      </c>
      <c r="Y174" s="18" t="s">
        <v>21</v>
      </c>
      <c r="Z174" s="18" t="s">
        <v>21</v>
      </c>
      <c r="AA174" s="20" t="s">
        <v>21</v>
      </c>
      <c r="AB174" s="20" t="s">
        <v>21</v>
      </c>
      <c r="AC174" s="20" t="s">
        <v>20</v>
      </c>
      <c r="AD174" s="29" t="s">
        <v>21</v>
      </c>
      <c r="AE174" s="29" t="s">
        <v>21</v>
      </c>
      <c r="AG174">
        <f t="shared" si="18"/>
        <v>0</v>
      </c>
      <c r="AH174">
        <f t="shared" si="19"/>
        <v>7</v>
      </c>
      <c r="AI174">
        <f t="shared" si="20"/>
        <v>15</v>
      </c>
      <c r="AJ174">
        <f t="shared" si="21"/>
        <v>4</v>
      </c>
      <c r="AL174">
        <f t="shared" si="22"/>
        <v>0</v>
      </c>
      <c r="AM174">
        <f t="shared" si="23"/>
        <v>21</v>
      </c>
      <c r="AN174">
        <f t="shared" si="24"/>
        <v>30</v>
      </c>
      <c r="AO174">
        <f t="shared" si="25"/>
        <v>4</v>
      </c>
      <c r="AP174">
        <f t="shared" si="26"/>
        <v>55</v>
      </c>
    </row>
    <row r="175" spans="1:42" ht="15.75" hidden="1" customHeight="1" x14ac:dyDescent="0.3">
      <c r="A175" s="16"/>
      <c r="B175" s="55">
        <v>22</v>
      </c>
      <c r="C175" s="56" t="s">
        <v>193</v>
      </c>
      <c r="D175" s="55">
        <v>4</v>
      </c>
      <c r="E175" s="55" t="s">
        <v>21</v>
      </c>
      <c r="F175" s="18" t="s">
        <v>20</v>
      </c>
      <c r="G175" s="18" t="s">
        <v>39</v>
      </c>
      <c r="H175" s="18" t="s">
        <v>39</v>
      </c>
      <c r="I175" s="18" t="s">
        <v>39</v>
      </c>
      <c r="J175" s="43" t="s">
        <v>20</v>
      </c>
      <c r="K175" s="43" t="s">
        <v>20</v>
      </c>
      <c r="L175" s="43" t="s">
        <v>20</v>
      </c>
      <c r="M175" s="18" t="s">
        <v>20</v>
      </c>
      <c r="N175" s="18" t="s">
        <v>20</v>
      </c>
      <c r="O175" s="18" t="s">
        <v>20</v>
      </c>
      <c r="P175" s="18" t="s">
        <v>20</v>
      </c>
      <c r="Q175" s="18" t="s">
        <v>21</v>
      </c>
      <c r="R175" s="18" t="s">
        <v>21</v>
      </c>
      <c r="S175" s="18" t="s">
        <v>20</v>
      </c>
      <c r="T175" s="18" t="s">
        <v>20</v>
      </c>
      <c r="U175" s="18" t="s">
        <v>20</v>
      </c>
      <c r="V175" s="49" t="s">
        <v>20</v>
      </c>
      <c r="W175" s="37" t="s">
        <v>20</v>
      </c>
      <c r="X175" s="37" t="s">
        <v>20</v>
      </c>
      <c r="Y175" s="18" t="s">
        <v>20</v>
      </c>
      <c r="Z175" s="18" t="s">
        <v>20</v>
      </c>
      <c r="AA175" s="20" t="s">
        <v>20</v>
      </c>
      <c r="AB175" s="20" t="s">
        <v>21</v>
      </c>
      <c r="AC175" s="20" t="s">
        <v>20</v>
      </c>
      <c r="AD175" s="29" t="s">
        <v>55</v>
      </c>
      <c r="AE175" s="29" t="s">
        <v>55</v>
      </c>
      <c r="AG175">
        <f t="shared" si="18"/>
        <v>3</v>
      </c>
      <c r="AH175">
        <f t="shared" si="19"/>
        <v>18</v>
      </c>
      <c r="AI175">
        <f t="shared" si="20"/>
        <v>3</v>
      </c>
      <c r="AJ175">
        <f t="shared" si="21"/>
        <v>0</v>
      </c>
      <c r="AL175">
        <f t="shared" si="22"/>
        <v>12</v>
      </c>
      <c r="AM175">
        <f t="shared" si="23"/>
        <v>54</v>
      </c>
      <c r="AN175">
        <f t="shared" si="24"/>
        <v>6</v>
      </c>
      <c r="AO175">
        <f t="shared" si="25"/>
        <v>0</v>
      </c>
      <c r="AP175">
        <f t="shared" si="26"/>
        <v>72</v>
      </c>
    </row>
    <row r="176" spans="1:42" ht="15.75" hidden="1" customHeight="1" x14ac:dyDescent="0.3">
      <c r="A176" s="16"/>
      <c r="B176" s="55">
        <v>23</v>
      </c>
      <c r="C176" s="56" t="s">
        <v>194</v>
      </c>
      <c r="D176" s="55">
        <v>4</v>
      </c>
      <c r="E176" s="55" t="s">
        <v>21</v>
      </c>
      <c r="F176" s="18" t="s">
        <v>20</v>
      </c>
      <c r="G176" s="18" t="s">
        <v>20</v>
      </c>
      <c r="H176" s="18" t="s">
        <v>20</v>
      </c>
      <c r="I176" s="18" t="s">
        <v>20</v>
      </c>
      <c r="J176" s="43" t="s">
        <v>20</v>
      </c>
      <c r="K176" s="43" t="s">
        <v>20</v>
      </c>
      <c r="L176" s="43" t="s">
        <v>21</v>
      </c>
      <c r="M176" s="18" t="s">
        <v>20</v>
      </c>
      <c r="N176" s="18" t="s">
        <v>21</v>
      </c>
      <c r="O176" s="18" t="s">
        <v>20</v>
      </c>
      <c r="P176" s="18" t="s">
        <v>20</v>
      </c>
      <c r="Q176" s="18" t="s">
        <v>20</v>
      </c>
      <c r="R176" s="18" t="s">
        <v>20</v>
      </c>
      <c r="S176" s="18" t="s">
        <v>20</v>
      </c>
      <c r="T176" s="18" t="s">
        <v>20</v>
      </c>
      <c r="U176" s="18" t="s">
        <v>20</v>
      </c>
      <c r="V176" s="49" t="s">
        <v>20</v>
      </c>
      <c r="W176" s="37" t="s">
        <v>20</v>
      </c>
      <c r="X176" s="37" t="s">
        <v>20</v>
      </c>
      <c r="Y176" s="18" t="s">
        <v>20</v>
      </c>
      <c r="Z176" s="18" t="s">
        <v>20</v>
      </c>
      <c r="AA176" s="20" t="s">
        <v>21</v>
      </c>
      <c r="AB176" s="20" t="s">
        <v>21</v>
      </c>
      <c r="AC176" s="20" t="s">
        <v>20</v>
      </c>
      <c r="AD176" s="29" t="s">
        <v>20</v>
      </c>
      <c r="AE176" s="29" t="s">
        <v>21</v>
      </c>
      <c r="AG176">
        <f t="shared" si="18"/>
        <v>0</v>
      </c>
      <c r="AH176">
        <f t="shared" si="19"/>
        <v>21</v>
      </c>
      <c r="AI176">
        <f t="shared" si="20"/>
        <v>5</v>
      </c>
      <c r="AJ176">
        <f t="shared" si="21"/>
        <v>0</v>
      </c>
      <c r="AL176">
        <f t="shared" si="22"/>
        <v>0</v>
      </c>
      <c r="AM176">
        <f t="shared" si="23"/>
        <v>63</v>
      </c>
      <c r="AN176">
        <f t="shared" si="24"/>
        <v>10</v>
      </c>
      <c r="AO176">
        <f t="shared" si="25"/>
        <v>0</v>
      </c>
      <c r="AP176">
        <f t="shared" si="26"/>
        <v>73</v>
      </c>
    </row>
    <row r="177" spans="1:42" ht="15.75" hidden="1" customHeight="1" x14ac:dyDescent="0.3">
      <c r="A177" s="16"/>
      <c r="B177" s="55">
        <v>24</v>
      </c>
      <c r="C177" s="56" t="s">
        <v>195</v>
      </c>
      <c r="D177" s="55">
        <v>4</v>
      </c>
      <c r="E177" s="55" t="s">
        <v>21</v>
      </c>
      <c r="F177" s="18" t="s">
        <v>20</v>
      </c>
      <c r="G177" s="18" t="s">
        <v>20</v>
      </c>
      <c r="H177" s="18" t="s">
        <v>20</v>
      </c>
      <c r="I177" s="18" t="s">
        <v>20</v>
      </c>
      <c r="J177" s="43" t="s">
        <v>20</v>
      </c>
      <c r="K177" s="43" t="s">
        <v>20</v>
      </c>
      <c r="L177" s="43" t="s">
        <v>20</v>
      </c>
      <c r="M177" s="18" t="s">
        <v>20</v>
      </c>
      <c r="N177" s="18" t="s">
        <v>20</v>
      </c>
      <c r="O177" s="18" t="s">
        <v>20</v>
      </c>
      <c r="P177" s="18" t="s">
        <v>21</v>
      </c>
      <c r="Q177" s="18" t="s">
        <v>21</v>
      </c>
      <c r="R177" s="18" t="s">
        <v>20</v>
      </c>
      <c r="S177" s="18" t="s">
        <v>20</v>
      </c>
      <c r="T177" s="18" t="s">
        <v>20</v>
      </c>
      <c r="U177" s="18" t="s">
        <v>20</v>
      </c>
      <c r="V177" s="49" t="s">
        <v>20</v>
      </c>
      <c r="W177" s="37" t="s">
        <v>20</v>
      </c>
      <c r="X177" s="37" t="s">
        <v>20</v>
      </c>
      <c r="Y177" s="18" t="s">
        <v>20</v>
      </c>
      <c r="Z177" s="18" t="s">
        <v>20</v>
      </c>
      <c r="AA177" s="20" t="s">
        <v>20</v>
      </c>
      <c r="AB177" s="20" t="s">
        <v>20</v>
      </c>
      <c r="AC177" s="20" t="s">
        <v>20</v>
      </c>
      <c r="AD177" s="29" t="s">
        <v>20</v>
      </c>
      <c r="AE177" s="29" t="s">
        <v>21</v>
      </c>
      <c r="AG177">
        <f t="shared" si="18"/>
        <v>0</v>
      </c>
      <c r="AH177">
        <f t="shared" si="19"/>
        <v>23</v>
      </c>
      <c r="AI177">
        <f t="shared" si="20"/>
        <v>3</v>
      </c>
      <c r="AJ177">
        <f t="shared" si="21"/>
        <v>0</v>
      </c>
      <c r="AL177">
        <f t="shared" si="22"/>
        <v>0</v>
      </c>
      <c r="AM177">
        <f t="shared" si="23"/>
        <v>69</v>
      </c>
      <c r="AN177">
        <f t="shared" si="24"/>
        <v>6</v>
      </c>
      <c r="AO177">
        <f t="shared" si="25"/>
        <v>0</v>
      </c>
      <c r="AP177">
        <f t="shared" si="26"/>
        <v>75</v>
      </c>
    </row>
    <row r="178" spans="1:42" ht="15.75" hidden="1" customHeight="1" thickBot="1" x14ac:dyDescent="0.35">
      <c r="A178" s="16"/>
      <c r="B178" s="57">
        <v>25</v>
      </c>
      <c r="C178" s="58" t="s">
        <v>196</v>
      </c>
      <c r="D178" s="57">
        <v>4</v>
      </c>
      <c r="E178" s="57" t="s">
        <v>21</v>
      </c>
      <c r="F178" s="21" t="s">
        <v>20</v>
      </c>
      <c r="G178" s="21" t="s">
        <v>20</v>
      </c>
      <c r="H178" s="21" t="s">
        <v>20</v>
      </c>
      <c r="I178" s="21" t="s">
        <v>20</v>
      </c>
      <c r="J178" s="45" t="s">
        <v>20</v>
      </c>
      <c r="K178" s="45" t="s">
        <v>39</v>
      </c>
      <c r="L178" s="45" t="s">
        <v>20</v>
      </c>
      <c r="M178" s="21" t="s">
        <v>20</v>
      </c>
      <c r="N178" s="21" t="s">
        <v>20</v>
      </c>
      <c r="O178" s="21" t="s">
        <v>20</v>
      </c>
      <c r="P178" s="21" t="s">
        <v>20</v>
      </c>
      <c r="Q178" s="21" t="s">
        <v>20</v>
      </c>
      <c r="R178" s="21" t="s">
        <v>20</v>
      </c>
      <c r="S178" s="21" t="s">
        <v>20</v>
      </c>
      <c r="T178" s="41" t="s">
        <v>20</v>
      </c>
      <c r="U178" s="21" t="s">
        <v>20</v>
      </c>
      <c r="V178" s="51" t="s">
        <v>20</v>
      </c>
      <c r="W178" s="38" t="s">
        <v>20</v>
      </c>
      <c r="X178" s="38" t="s">
        <v>20</v>
      </c>
      <c r="Y178" s="21" t="s">
        <v>20</v>
      </c>
      <c r="Z178" s="21" t="s">
        <v>21</v>
      </c>
      <c r="AA178" s="23" t="s">
        <v>20</v>
      </c>
      <c r="AB178" s="23" t="s">
        <v>21</v>
      </c>
      <c r="AC178" s="23" t="s">
        <v>20</v>
      </c>
      <c r="AD178" s="31" t="s">
        <v>20</v>
      </c>
      <c r="AE178" s="31" t="s">
        <v>21</v>
      </c>
      <c r="AG178">
        <f t="shared" si="18"/>
        <v>1</v>
      </c>
      <c r="AH178">
        <f t="shared" si="19"/>
        <v>22</v>
      </c>
      <c r="AI178">
        <f t="shared" si="20"/>
        <v>3</v>
      </c>
      <c r="AJ178">
        <f t="shared" si="21"/>
        <v>0</v>
      </c>
      <c r="AL178">
        <f t="shared" si="22"/>
        <v>4</v>
      </c>
      <c r="AM178">
        <f t="shared" si="23"/>
        <v>66</v>
      </c>
      <c r="AN178">
        <f t="shared" si="24"/>
        <v>6</v>
      </c>
      <c r="AO178">
        <f t="shared" si="25"/>
        <v>0</v>
      </c>
      <c r="AP178">
        <f t="shared" si="26"/>
        <v>76</v>
      </c>
    </row>
    <row r="179" spans="1:42" ht="15.75" hidden="1" customHeight="1" x14ac:dyDescent="0.3">
      <c r="A179" s="16"/>
      <c r="B179" s="59">
        <v>1</v>
      </c>
      <c r="C179" s="60" t="s">
        <v>197</v>
      </c>
      <c r="D179" s="59">
        <v>5</v>
      </c>
      <c r="E179" s="59" t="s">
        <v>20</v>
      </c>
      <c r="F179" s="24" t="s">
        <v>20</v>
      </c>
      <c r="G179" s="24" t="s">
        <v>20</v>
      </c>
      <c r="H179" s="24" t="s">
        <v>39</v>
      </c>
      <c r="I179" s="24" t="s">
        <v>39</v>
      </c>
      <c r="J179" s="42" t="s">
        <v>20</v>
      </c>
      <c r="K179" s="42" t="s">
        <v>20</v>
      </c>
      <c r="L179" s="42" t="s">
        <v>20</v>
      </c>
      <c r="M179" s="24" t="s">
        <v>20</v>
      </c>
      <c r="N179" s="24" t="s">
        <v>20</v>
      </c>
      <c r="O179" s="24" t="s">
        <v>20</v>
      </c>
      <c r="P179" s="24" t="s">
        <v>21</v>
      </c>
      <c r="Q179" s="24" t="s">
        <v>21</v>
      </c>
      <c r="R179" s="24" t="s">
        <v>21</v>
      </c>
      <c r="S179" s="24" t="s">
        <v>20</v>
      </c>
      <c r="T179" s="24" t="s">
        <v>21</v>
      </c>
      <c r="U179" s="24" t="s">
        <v>21</v>
      </c>
      <c r="V179" s="52" t="s">
        <v>20</v>
      </c>
      <c r="W179" s="39" t="s">
        <v>21</v>
      </c>
      <c r="X179" s="39" t="s">
        <v>21</v>
      </c>
      <c r="Y179" s="24" t="s">
        <v>20</v>
      </c>
      <c r="Z179" s="24" t="s">
        <v>20</v>
      </c>
      <c r="AA179" s="27" t="s">
        <v>20</v>
      </c>
      <c r="AB179" s="27" t="s">
        <v>20</v>
      </c>
      <c r="AC179" s="27" t="s">
        <v>21</v>
      </c>
      <c r="AD179" s="34" t="s">
        <v>20</v>
      </c>
      <c r="AE179" s="34" t="s">
        <v>21</v>
      </c>
      <c r="AG179">
        <f t="shared" si="18"/>
        <v>2</v>
      </c>
      <c r="AH179">
        <f t="shared" si="19"/>
        <v>15</v>
      </c>
      <c r="AI179">
        <f t="shared" si="20"/>
        <v>9</v>
      </c>
      <c r="AJ179">
        <f t="shared" si="21"/>
        <v>0</v>
      </c>
      <c r="AL179">
        <f t="shared" si="22"/>
        <v>8</v>
      </c>
      <c r="AM179">
        <f t="shared" si="23"/>
        <v>45</v>
      </c>
      <c r="AN179">
        <f t="shared" si="24"/>
        <v>18</v>
      </c>
      <c r="AO179">
        <f t="shared" si="25"/>
        <v>0</v>
      </c>
      <c r="AP179">
        <f t="shared" si="26"/>
        <v>71</v>
      </c>
    </row>
    <row r="180" spans="1:42" ht="15.75" hidden="1" customHeight="1" x14ac:dyDescent="0.3">
      <c r="A180" s="16"/>
      <c r="B180" s="55">
        <v>2</v>
      </c>
      <c r="C180" s="56" t="s">
        <v>198</v>
      </c>
      <c r="D180" s="55">
        <v>5</v>
      </c>
      <c r="E180" s="55" t="s">
        <v>20</v>
      </c>
      <c r="F180" s="18" t="s">
        <v>20</v>
      </c>
      <c r="G180" s="18" t="s">
        <v>20</v>
      </c>
      <c r="H180" s="18" t="s">
        <v>20</v>
      </c>
      <c r="I180" s="18" t="s">
        <v>20</v>
      </c>
      <c r="J180" s="43" t="s">
        <v>20</v>
      </c>
      <c r="K180" s="43" t="s">
        <v>20</v>
      </c>
      <c r="L180" s="43" t="s">
        <v>20</v>
      </c>
      <c r="M180" s="18" t="s">
        <v>20</v>
      </c>
      <c r="N180" s="18" t="s">
        <v>20</v>
      </c>
      <c r="O180" s="18" t="s">
        <v>20</v>
      </c>
      <c r="P180" s="18" t="s">
        <v>21</v>
      </c>
      <c r="Q180" s="18" t="s">
        <v>20</v>
      </c>
      <c r="R180" s="18" t="s">
        <v>20</v>
      </c>
      <c r="S180" s="18" t="s">
        <v>20</v>
      </c>
      <c r="T180" s="18" t="s">
        <v>21</v>
      </c>
      <c r="U180" s="18" t="s">
        <v>20</v>
      </c>
      <c r="V180" s="49" t="s">
        <v>20</v>
      </c>
      <c r="W180" s="37" t="s">
        <v>20</v>
      </c>
      <c r="X180" s="37" t="s">
        <v>20</v>
      </c>
      <c r="Y180" s="18" t="s">
        <v>21</v>
      </c>
      <c r="Z180" s="18" t="s">
        <v>20</v>
      </c>
      <c r="AA180" s="20" t="s">
        <v>21</v>
      </c>
      <c r="AB180" s="20" t="s">
        <v>20</v>
      </c>
      <c r="AC180" s="20" t="s">
        <v>20</v>
      </c>
      <c r="AD180" s="29" t="s">
        <v>20</v>
      </c>
      <c r="AE180" s="29" t="s">
        <v>21</v>
      </c>
      <c r="AG180">
        <f t="shared" si="18"/>
        <v>0</v>
      </c>
      <c r="AH180">
        <f t="shared" si="19"/>
        <v>21</v>
      </c>
      <c r="AI180">
        <f t="shared" si="20"/>
        <v>5</v>
      </c>
      <c r="AJ180">
        <f t="shared" si="21"/>
        <v>0</v>
      </c>
      <c r="AL180">
        <f t="shared" si="22"/>
        <v>0</v>
      </c>
      <c r="AM180">
        <f t="shared" si="23"/>
        <v>63</v>
      </c>
      <c r="AN180">
        <f t="shared" si="24"/>
        <v>10</v>
      </c>
      <c r="AO180">
        <f t="shared" si="25"/>
        <v>0</v>
      </c>
      <c r="AP180">
        <f t="shared" si="26"/>
        <v>73</v>
      </c>
    </row>
    <row r="181" spans="1:42" ht="15.75" hidden="1" customHeight="1" x14ac:dyDescent="0.3">
      <c r="A181" s="16"/>
      <c r="B181" s="55">
        <v>3</v>
      </c>
      <c r="C181" s="56" t="s">
        <v>199</v>
      </c>
      <c r="D181" s="55">
        <v>5</v>
      </c>
      <c r="E181" s="55" t="s">
        <v>20</v>
      </c>
      <c r="F181" s="18" t="s">
        <v>23</v>
      </c>
      <c r="G181" s="18" t="s">
        <v>23</v>
      </c>
      <c r="H181" s="18" t="s">
        <v>21</v>
      </c>
      <c r="I181" s="18" t="s">
        <v>21</v>
      </c>
      <c r="J181" s="43" t="s">
        <v>20</v>
      </c>
      <c r="K181" s="43" t="s">
        <v>20</v>
      </c>
      <c r="L181" s="43" t="s">
        <v>21</v>
      </c>
      <c r="M181" s="18" t="s">
        <v>20</v>
      </c>
      <c r="N181" s="18" t="s">
        <v>20</v>
      </c>
      <c r="O181" s="18" t="s">
        <v>20</v>
      </c>
      <c r="P181" s="18" t="s">
        <v>21</v>
      </c>
      <c r="Q181" s="18" t="s">
        <v>21</v>
      </c>
      <c r="R181" s="18" t="s">
        <v>20</v>
      </c>
      <c r="S181" s="18" t="s">
        <v>21</v>
      </c>
      <c r="T181" s="18" t="s">
        <v>20</v>
      </c>
      <c r="U181" s="18" t="s">
        <v>20</v>
      </c>
      <c r="V181" s="49" t="s">
        <v>20</v>
      </c>
      <c r="W181" s="37" t="s">
        <v>20</v>
      </c>
      <c r="X181" s="37" t="s">
        <v>20</v>
      </c>
      <c r="Y181" s="18" t="s">
        <v>20</v>
      </c>
      <c r="Z181" s="18" t="s">
        <v>20</v>
      </c>
      <c r="AA181" s="20" t="s">
        <v>21</v>
      </c>
      <c r="AB181" s="20" t="s">
        <v>21</v>
      </c>
      <c r="AC181" s="20" t="s">
        <v>21</v>
      </c>
      <c r="AD181" s="29" t="s">
        <v>20</v>
      </c>
      <c r="AE181" s="29" t="s">
        <v>21</v>
      </c>
      <c r="AG181">
        <f t="shared" si="18"/>
        <v>0</v>
      </c>
      <c r="AH181">
        <f t="shared" si="19"/>
        <v>14</v>
      </c>
      <c r="AI181">
        <f t="shared" si="20"/>
        <v>10</v>
      </c>
      <c r="AJ181">
        <f t="shared" si="21"/>
        <v>2</v>
      </c>
      <c r="AL181">
        <f t="shared" si="22"/>
        <v>0</v>
      </c>
      <c r="AM181">
        <f t="shared" si="23"/>
        <v>42</v>
      </c>
      <c r="AN181">
        <f t="shared" si="24"/>
        <v>20</v>
      </c>
      <c r="AO181">
        <f t="shared" si="25"/>
        <v>2</v>
      </c>
      <c r="AP181">
        <f t="shared" si="26"/>
        <v>64</v>
      </c>
    </row>
    <row r="182" spans="1:42" ht="15.75" hidden="1" customHeight="1" x14ac:dyDescent="0.3">
      <c r="A182" s="16"/>
      <c r="B182" s="55">
        <v>4</v>
      </c>
      <c r="C182" s="56" t="s">
        <v>200</v>
      </c>
      <c r="D182" s="55">
        <v>5</v>
      </c>
      <c r="E182" s="55" t="s">
        <v>20</v>
      </c>
      <c r="F182" s="18" t="s">
        <v>23</v>
      </c>
      <c r="G182" s="18" t="s">
        <v>23</v>
      </c>
      <c r="H182" s="18" t="s">
        <v>23</v>
      </c>
      <c r="I182" s="18" t="s">
        <v>23</v>
      </c>
      <c r="J182" s="43" t="s">
        <v>21</v>
      </c>
      <c r="K182" s="43" t="s">
        <v>21</v>
      </c>
      <c r="L182" s="43" t="s">
        <v>21</v>
      </c>
      <c r="M182" s="18" t="s">
        <v>21</v>
      </c>
      <c r="N182" s="18" t="s">
        <v>21</v>
      </c>
      <c r="O182" s="18" t="s">
        <v>20</v>
      </c>
      <c r="P182" s="18" t="s">
        <v>23</v>
      </c>
      <c r="Q182" s="18" t="s">
        <v>21</v>
      </c>
      <c r="R182" s="18" t="s">
        <v>21</v>
      </c>
      <c r="S182" s="18" t="s">
        <v>21</v>
      </c>
      <c r="T182" s="18" t="s">
        <v>21</v>
      </c>
      <c r="U182" s="18" t="s">
        <v>20</v>
      </c>
      <c r="V182" s="49" t="s">
        <v>20</v>
      </c>
      <c r="W182" s="37" t="s">
        <v>20</v>
      </c>
      <c r="X182" s="37" t="s">
        <v>20</v>
      </c>
      <c r="Y182" s="18" t="s">
        <v>20</v>
      </c>
      <c r="Z182" s="18" t="s">
        <v>20</v>
      </c>
      <c r="AA182" s="20" t="s">
        <v>21</v>
      </c>
      <c r="AB182" s="20" t="s">
        <v>21</v>
      </c>
      <c r="AC182" s="20" t="s">
        <v>21</v>
      </c>
      <c r="AD182" s="29" t="s">
        <v>21</v>
      </c>
      <c r="AE182" s="29" t="s">
        <v>21</v>
      </c>
      <c r="AG182">
        <f t="shared" si="18"/>
        <v>0</v>
      </c>
      <c r="AH182">
        <f t="shared" si="19"/>
        <v>7</v>
      </c>
      <c r="AI182">
        <f t="shared" si="20"/>
        <v>14</v>
      </c>
      <c r="AJ182">
        <f t="shared" si="21"/>
        <v>5</v>
      </c>
      <c r="AL182">
        <f t="shared" si="22"/>
        <v>0</v>
      </c>
      <c r="AM182">
        <f t="shared" si="23"/>
        <v>21</v>
      </c>
      <c r="AN182">
        <f t="shared" si="24"/>
        <v>28</v>
      </c>
      <c r="AO182">
        <f t="shared" si="25"/>
        <v>5</v>
      </c>
      <c r="AP182">
        <f t="shared" si="26"/>
        <v>54</v>
      </c>
    </row>
    <row r="183" spans="1:42" ht="15.75" hidden="1" customHeight="1" x14ac:dyDescent="0.3">
      <c r="A183" s="16"/>
      <c r="B183" s="55">
        <v>5</v>
      </c>
      <c r="C183" s="56" t="s">
        <v>201</v>
      </c>
      <c r="D183" s="55">
        <v>5</v>
      </c>
      <c r="E183" s="55" t="s">
        <v>20</v>
      </c>
      <c r="F183" s="18" t="s">
        <v>20</v>
      </c>
      <c r="G183" s="18" t="s">
        <v>20</v>
      </c>
      <c r="H183" s="18" t="s">
        <v>39</v>
      </c>
      <c r="I183" s="18" t="s">
        <v>39</v>
      </c>
      <c r="J183" s="43" t="s">
        <v>20</v>
      </c>
      <c r="K183" s="43" t="s">
        <v>20</v>
      </c>
      <c r="L183" s="43" t="s">
        <v>20</v>
      </c>
      <c r="M183" s="18" t="s">
        <v>20</v>
      </c>
      <c r="N183" s="18" t="s">
        <v>20</v>
      </c>
      <c r="O183" s="18" t="s">
        <v>20</v>
      </c>
      <c r="P183" s="18" t="s">
        <v>20</v>
      </c>
      <c r="Q183" s="18" t="s">
        <v>21</v>
      </c>
      <c r="R183" s="18" t="s">
        <v>21</v>
      </c>
      <c r="S183" s="18" t="s">
        <v>20</v>
      </c>
      <c r="T183" s="18" t="s">
        <v>21</v>
      </c>
      <c r="U183" s="18" t="s">
        <v>20</v>
      </c>
      <c r="V183" s="50" t="s">
        <v>20</v>
      </c>
      <c r="W183" s="37" t="s">
        <v>20</v>
      </c>
      <c r="X183" s="37" t="s">
        <v>20</v>
      </c>
      <c r="Y183" s="18" t="s">
        <v>20</v>
      </c>
      <c r="Z183" s="18" t="s">
        <v>20</v>
      </c>
      <c r="AA183" s="20" t="s">
        <v>21</v>
      </c>
      <c r="AB183" s="20" t="s">
        <v>21</v>
      </c>
      <c r="AC183" s="20" t="s">
        <v>21</v>
      </c>
      <c r="AD183" s="29" t="s">
        <v>20</v>
      </c>
      <c r="AE183" s="29" t="s">
        <v>21</v>
      </c>
      <c r="AG183">
        <f t="shared" si="18"/>
        <v>2</v>
      </c>
      <c r="AH183">
        <f t="shared" si="19"/>
        <v>17</v>
      </c>
      <c r="AI183">
        <f t="shared" si="20"/>
        <v>7</v>
      </c>
      <c r="AJ183">
        <f t="shared" si="21"/>
        <v>0</v>
      </c>
      <c r="AL183">
        <f t="shared" si="22"/>
        <v>8</v>
      </c>
      <c r="AM183">
        <f t="shared" si="23"/>
        <v>51</v>
      </c>
      <c r="AN183">
        <f t="shared" si="24"/>
        <v>14</v>
      </c>
      <c r="AO183">
        <f t="shared" si="25"/>
        <v>0</v>
      </c>
      <c r="AP183">
        <f t="shared" si="26"/>
        <v>73</v>
      </c>
    </row>
    <row r="184" spans="1:42" ht="15.75" hidden="1" customHeight="1" x14ac:dyDescent="0.3">
      <c r="A184" s="16"/>
      <c r="B184" s="55">
        <v>6</v>
      </c>
      <c r="C184" s="56" t="s">
        <v>202</v>
      </c>
      <c r="D184" s="55">
        <v>5</v>
      </c>
      <c r="E184" s="55" t="s">
        <v>20</v>
      </c>
      <c r="F184" s="18" t="s">
        <v>20</v>
      </c>
      <c r="G184" s="18" t="s">
        <v>20</v>
      </c>
      <c r="H184" s="18" t="s">
        <v>39</v>
      </c>
      <c r="I184" s="18" t="s">
        <v>39</v>
      </c>
      <c r="J184" s="43" t="s">
        <v>20</v>
      </c>
      <c r="K184" s="43" t="s">
        <v>20</v>
      </c>
      <c r="L184" s="43" t="s">
        <v>20</v>
      </c>
      <c r="M184" s="18" t="s">
        <v>20</v>
      </c>
      <c r="N184" s="18" t="s">
        <v>20</v>
      </c>
      <c r="O184" s="18" t="s">
        <v>20</v>
      </c>
      <c r="P184" s="18" t="s">
        <v>21</v>
      </c>
      <c r="Q184" s="18" t="s">
        <v>21</v>
      </c>
      <c r="R184" s="18" t="s">
        <v>21</v>
      </c>
      <c r="S184" s="18" t="s">
        <v>21</v>
      </c>
      <c r="T184" s="18" t="s">
        <v>20</v>
      </c>
      <c r="U184" s="18" t="s">
        <v>20</v>
      </c>
      <c r="V184" s="49" t="s">
        <v>20</v>
      </c>
      <c r="W184" s="37" t="s">
        <v>20</v>
      </c>
      <c r="X184" s="53" t="s">
        <v>20</v>
      </c>
      <c r="Y184" s="18" t="s">
        <v>20</v>
      </c>
      <c r="Z184" s="18" t="s">
        <v>20</v>
      </c>
      <c r="AA184" s="20" t="s">
        <v>20</v>
      </c>
      <c r="AB184" s="20" t="s">
        <v>20</v>
      </c>
      <c r="AC184" s="20" t="s">
        <v>20</v>
      </c>
      <c r="AD184" s="29" t="s">
        <v>20</v>
      </c>
      <c r="AE184" s="29" t="s">
        <v>21</v>
      </c>
      <c r="AG184">
        <f t="shared" si="18"/>
        <v>2</v>
      </c>
      <c r="AH184">
        <f t="shared" si="19"/>
        <v>19</v>
      </c>
      <c r="AI184">
        <f t="shared" si="20"/>
        <v>5</v>
      </c>
      <c r="AJ184">
        <f t="shared" si="21"/>
        <v>0</v>
      </c>
      <c r="AL184">
        <f t="shared" si="22"/>
        <v>8</v>
      </c>
      <c r="AM184">
        <f t="shared" si="23"/>
        <v>57</v>
      </c>
      <c r="AN184">
        <f t="shared" si="24"/>
        <v>10</v>
      </c>
      <c r="AO184">
        <f t="shared" si="25"/>
        <v>0</v>
      </c>
      <c r="AP184">
        <f t="shared" si="26"/>
        <v>75</v>
      </c>
    </row>
    <row r="185" spans="1:42" ht="15.75" hidden="1" customHeight="1" x14ac:dyDescent="0.3">
      <c r="A185" s="16"/>
      <c r="B185" s="55">
        <v>7</v>
      </c>
      <c r="C185" s="56" t="s">
        <v>203</v>
      </c>
      <c r="D185" s="55">
        <v>5</v>
      </c>
      <c r="E185" s="55" t="s">
        <v>20</v>
      </c>
      <c r="F185" s="18" t="s">
        <v>23</v>
      </c>
      <c r="G185" s="18" t="s">
        <v>21</v>
      </c>
      <c r="H185" s="18" t="s">
        <v>23</v>
      </c>
      <c r="I185" s="18" t="s">
        <v>21</v>
      </c>
      <c r="J185" s="43" t="s">
        <v>20</v>
      </c>
      <c r="K185" s="43" t="s">
        <v>20</v>
      </c>
      <c r="L185" s="43" t="s">
        <v>21</v>
      </c>
      <c r="M185" s="18" t="s">
        <v>21</v>
      </c>
      <c r="N185" s="18" t="s">
        <v>20</v>
      </c>
      <c r="O185" s="18" t="s">
        <v>20</v>
      </c>
      <c r="P185" s="18" t="s">
        <v>21</v>
      </c>
      <c r="Q185" s="18" t="s">
        <v>20</v>
      </c>
      <c r="R185" s="18" t="s">
        <v>20</v>
      </c>
      <c r="S185" s="18" t="s">
        <v>21</v>
      </c>
      <c r="T185" s="18" t="s">
        <v>21</v>
      </c>
      <c r="U185" s="18" t="s">
        <v>20</v>
      </c>
      <c r="V185" s="49" t="s">
        <v>20</v>
      </c>
      <c r="W185" s="37" t="s">
        <v>20</v>
      </c>
      <c r="X185" s="37" t="s">
        <v>20</v>
      </c>
      <c r="Y185" s="18" t="s">
        <v>20</v>
      </c>
      <c r="Z185" s="18" t="s">
        <v>21</v>
      </c>
      <c r="AA185" s="20" t="s">
        <v>21</v>
      </c>
      <c r="AB185" s="20" t="s">
        <v>20</v>
      </c>
      <c r="AC185" s="20" t="s">
        <v>21</v>
      </c>
      <c r="AD185" s="29" t="s">
        <v>20</v>
      </c>
      <c r="AE185" s="29" t="s">
        <v>21</v>
      </c>
      <c r="AG185">
        <f t="shared" si="18"/>
        <v>0</v>
      </c>
      <c r="AH185">
        <f t="shared" si="19"/>
        <v>13</v>
      </c>
      <c r="AI185">
        <f t="shared" si="20"/>
        <v>11</v>
      </c>
      <c r="AJ185">
        <f t="shared" si="21"/>
        <v>2</v>
      </c>
      <c r="AL185">
        <f t="shared" si="22"/>
        <v>0</v>
      </c>
      <c r="AM185">
        <f t="shared" si="23"/>
        <v>39</v>
      </c>
      <c r="AN185">
        <f t="shared" si="24"/>
        <v>22</v>
      </c>
      <c r="AO185">
        <f t="shared" si="25"/>
        <v>2</v>
      </c>
      <c r="AP185">
        <f t="shared" si="26"/>
        <v>63</v>
      </c>
    </row>
    <row r="186" spans="1:42" ht="15.75" hidden="1" customHeight="1" x14ac:dyDescent="0.3">
      <c r="A186" s="16"/>
      <c r="B186" s="55">
        <v>8</v>
      </c>
      <c r="C186" s="56" t="s">
        <v>204</v>
      </c>
      <c r="D186" s="55">
        <v>5</v>
      </c>
      <c r="E186" s="55" t="s">
        <v>20</v>
      </c>
      <c r="F186" s="18" t="s">
        <v>21</v>
      </c>
      <c r="G186" s="18" t="s">
        <v>21</v>
      </c>
      <c r="H186" s="18" t="s">
        <v>21</v>
      </c>
      <c r="I186" s="18" t="s">
        <v>21</v>
      </c>
      <c r="J186" s="43" t="s">
        <v>21</v>
      </c>
      <c r="K186" s="43" t="s">
        <v>21</v>
      </c>
      <c r="L186" s="43" t="s">
        <v>21</v>
      </c>
      <c r="M186" s="18" t="s">
        <v>21</v>
      </c>
      <c r="N186" s="18" t="s">
        <v>20</v>
      </c>
      <c r="O186" s="18" t="s">
        <v>20</v>
      </c>
      <c r="P186" s="18" t="s">
        <v>21</v>
      </c>
      <c r="Q186" s="18" t="s">
        <v>23</v>
      </c>
      <c r="R186" s="18" t="s">
        <v>21</v>
      </c>
      <c r="S186" s="18" t="s">
        <v>21</v>
      </c>
      <c r="T186" s="18" t="s">
        <v>21</v>
      </c>
      <c r="U186" s="18" t="s">
        <v>21</v>
      </c>
      <c r="V186" s="49" t="s">
        <v>21</v>
      </c>
      <c r="W186" s="37" t="s">
        <v>20</v>
      </c>
      <c r="X186" s="37" t="s">
        <v>20</v>
      </c>
      <c r="Y186" s="18" t="s">
        <v>21</v>
      </c>
      <c r="Z186" s="18" t="s">
        <v>21</v>
      </c>
      <c r="AA186" s="20" t="s">
        <v>21</v>
      </c>
      <c r="AB186" s="20" t="s">
        <v>21</v>
      </c>
      <c r="AC186" s="20" t="s">
        <v>21</v>
      </c>
      <c r="AD186" s="29" t="s">
        <v>21</v>
      </c>
      <c r="AE186" s="29" t="s">
        <v>21</v>
      </c>
      <c r="AG186">
        <f t="shared" si="18"/>
        <v>0</v>
      </c>
      <c r="AH186">
        <f t="shared" si="19"/>
        <v>4</v>
      </c>
      <c r="AI186">
        <f t="shared" si="20"/>
        <v>21</v>
      </c>
      <c r="AJ186">
        <f t="shared" si="21"/>
        <v>1</v>
      </c>
      <c r="AL186">
        <f t="shared" si="22"/>
        <v>0</v>
      </c>
      <c r="AM186">
        <f t="shared" si="23"/>
        <v>12</v>
      </c>
      <c r="AN186">
        <f t="shared" si="24"/>
        <v>42</v>
      </c>
      <c r="AO186">
        <f t="shared" si="25"/>
        <v>1</v>
      </c>
      <c r="AP186">
        <f t="shared" si="26"/>
        <v>55</v>
      </c>
    </row>
    <row r="187" spans="1:42" ht="15.75" hidden="1" customHeight="1" x14ac:dyDescent="0.3">
      <c r="A187" s="16"/>
      <c r="B187" s="55">
        <v>9</v>
      </c>
      <c r="C187" s="56" t="s">
        <v>205</v>
      </c>
      <c r="D187" s="55">
        <v>5</v>
      </c>
      <c r="E187" s="55" t="s">
        <v>20</v>
      </c>
      <c r="F187" s="18" t="s">
        <v>20</v>
      </c>
      <c r="G187" s="18" t="s">
        <v>20</v>
      </c>
      <c r="H187" s="18" t="s">
        <v>20</v>
      </c>
      <c r="I187" s="18" t="s">
        <v>20</v>
      </c>
      <c r="J187" s="43" t="s">
        <v>20</v>
      </c>
      <c r="K187" s="43" t="s">
        <v>20</v>
      </c>
      <c r="L187" s="43" t="s">
        <v>20</v>
      </c>
      <c r="M187" s="18" t="s">
        <v>20</v>
      </c>
      <c r="N187" s="18" t="s">
        <v>20</v>
      </c>
      <c r="O187" s="18" t="s">
        <v>20</v>
      </c>
      <c r="P187" s="18" t="s">
        <v>21</v>
      </c>
      <c r="Q187" s="18" t="s">
        <v>21</v>
      </c>
      <c r="R187" s="18" t="s">
        <v>20</v>
      </c>
      <c r="S187" s="18" t="s">
        <v>20</v>
      </c>
      <c r="T187" s="18" t="s">
        <v>21</v>
      </c>
      <c r="U187" s="18" t="s">
        <v>21</v>
      </c>
      <c r="V187" s="49" t="s">
        <v>20</v>
      </c>
      <c r="W187" s="37" t="s">
        <v>20</v>
      </c>
      <c r="X187" s="37" t="s">
        <v>20</v>
      </c>
      <c r="Y187" s="18" t="s">
        <v>20</v>
      </c>
      <c r="Z187" s="18" t="s">
        <v>20</v>
      </c>
      <c r="AA187" s="20" t="s">
        <v>20</v>
      </c>
      <c r="AB187" s="20" t="s">
        <v>20</v>
      </c>
      <c r="AC187" s="20" t="s">
        <v>20</v>
      </c>
      <c r="AD187" s="29" t="s">
        <v>20</v>
      </c>
      <c r="AE187" s="29" t="s">
        <v>21</v>
      </c>
      <c r="AG187">
        <f t="shared" si="18"/>
        <v>0</v>
      </c>
      <c r="AH187">
        <f t="shared" si="19"/>
        <v>21</v>
      </c>
      <c r="AI187">
        <f t="shared" si="20"/>
        <v>5</v>
      </c>
      <c r="AJ187">
        <f t="shared" si="21"/>
        <v>0</v>
      </c>
      <c r="AL187">
        <f t="shared" si="22"/>
        <v>0</v>
      </c>
      <c r="AM187">
        <f t="shared" si="23"/>
        <v>63</v>
      </c>
      <c r="AN187">
        <f t="shared" si="24"/>
        <v>10</v>
      </c>
      <c r="AO187">
        <f t="shared" si="25"/>
        <v>0</v>
      </c>
      <c r="AP187">
        <f t="shared" si="26"/>
        <v>73</v>
      </c>
    </row>
    <row r="188" spans="1:42" ht="15.75" hidden="1" customHeight="1" x14ac:dyDescent="0.3">
      <c r="A188" s="16"/>
      <c r="B188" s="55">
        <v>10</v>
      </c>
      <c r="C188" s="56" t="s">
        <v>206</v>
      </c>
      <c r="D188" s="55">
        <v>5</v>
      </c>
      <c r="E188" s="55" t="s">
        <v>20</v>
      </c>
      <c r="F188" s="18" t="s">
        <v>20</v>
      </c>
      <c r="G188" s="18" t="s">
        <v>20</v>
      </c>
      <c r="H188" s="18" t="s">
        <v>20</v>
      </c>
      <c r="I188" s="18" t="s">
        <v>20</v>
      </c>
      <c r="J188" s="43" t="s">
        <v>20</v>
      </c>
      <c r="K188" s="43" t="s">
        <v>20</v>
      </c>
      <c r="L188" s="43" t="s">
        <v>21</v>
      </c>
      <c r="M188" s="18" t="s">
        <v>20</v>
      </c>
      <c r="N188" s="18" t="s">
        <v>20</v>
      </c>
      <c r="O188" s="18" t="s">
        <v>20</v>
      </c>
      <c r="P188" s="18" t="s">
        <v>21</v>
      </c>
      <c r="Q188" s="18" t="s">
        <v>21</v>
      </c>
      <c r="R188" s="18" t="s">
        <v>20</v>
      </c>
      <c r="S188" s="18" t="s">
        <v>20</v>
      </c>
      <c r="T188" s="18" t="s">
        <v>21</v>
      </c>
      <c r="U188" s="18" t="s">
        <v>20</v>
      </c>
      <c r="V188" s="49" t="s">
        <v>20</v>
      </c>
      <c r="W188" s="37" t="s">
        <v>20</v>
      </c>
      <c r="X188" s="37" t="s">
        <v>21</v>
      </c>
      <c r="Y188" s="18" t="s">
        <v>20</v>
      </c>
      <c r="Z188" s="18" t="s">
        <v>20</v>
      </c>
      <c r="AA188" s="20" t="s">
        <v>39</v>
      </c>
      <c r="AB188" s="20" t="s">
        <v>20</v>
      </c>
      <c r="AC188" s="20" t="s">
        <v>20</v>
      </c>
      <c r="AD188" s="29" t="s">
        <v>20</v>
      </c>
      <c r="AE188" s="29" t="s">
        <v>21</v>
      </c>
      <c r="AG188">
        <f t="shared" si="18"/>
        <v>1</v>
      </c>
      <c r="AH188">
        <f t="shared" si="19"/>
        <v>19</v>
      </c>
      <c r="AI188">
        <f t="shared" si="20"/>
        <v>6</v>
      </c>
      <c r="AJ188">
        <f t="shared" si="21"/>
        <v>0</v>
      </c>
      <c r="AL188">
        <f t="shared" si="22"/>
        <v>4</v>
      </c>
      <c r="AM188">
        <f t="shared" si="23"/>
        <v>57</v>
      </c>
      <c r="AN188">
        <f t="shared" si="24"/>
        <v>12</v>
      </c>
      <c r="AO188">
        <f t="shared" si="25"/>
        <v>0</v>
      </c>
      <c r="AP188">
        <f t="shared" si="26"/>
        <v>73</v>
      </c>
    </row>
    <row r="189" spans="1:42" ht="15.75" hidden="1" customHeight="1" x14ac:dyDescent="0.3">
      <c r="A189" s="16"/>
      <c r="B189" s="55">
        <v>11</v>
      </c>
      <c r="C189" s="56" t="s">
        <v>207</v>
      </c>
      <c r="D189" s="55">
        <v>5</v>
      </c>
      <c r="E189" s="55" t="s">
        <v>20</v>
      </c>
      <c r="F189" s="18" t="s">
        <v>20</v>
      </c>
      <c r="G189" s="18" t="s">
        <v>20</v>
      </c>
      <c r="H189" s="18" t="s">
        <v>39</v>
      </c>
      <c r="I189" s="18" t="s">
        <v>20</v>
      </c>
      <c r="J189" s="43" t="s">
        <v>20</v>
      </c>
      <c r="K189" s="43" t="s">
        <v>20</v>
      </c>
      <c r="L189" s="43" t="s">
        <v>20</v>
      </c>
      <c r="M189" s="18" t="s">
        <v>20</v>
      </c>
      <c r="N189" s="18" t="s">
        <v>20</v>
      </c>
      <c r="O189" s="18" t="s">
        <v>20</v>
      </c>
      <c r="P189" s="18" t="s">
        <v>20</v>
      </c>
      <c r="Q189" s="18" t="s">
        <v>20</v>
      </c>
      <c r="R189" s="18" t="s">
        <v>21</v>
      </c>
      <c r="S189" s="18" t="s">
        <v>20</v>
      </c>
      <c r="T189" s="18" t="s">
        <v>21</v>
      </c>
      <c r="U189" s="18" t="s">
        <v>20</v>
      </c>
      <c r="V189" s="49" t="s">
        <v>20</v>
      </c>
      <c r="W189" s="37" t="s">
        <v>20</v>
      </c>
      <c r="X189" s="37" t="s">
        <v>20</v>
      </c>
      <c r="Y189" s="18" t="s">
        <v>20</v>
      </c>
      <c r="Z189" s="18" t="s">
        <v>20</v>
      </c>
      <c r="AA189" s="20" t="s">
        <v>20</v>
      </c>
      <c r="AB189" s="20" t="s">
        <v>20</v>
      </c>
      <c r="AC189" s="20" t="s">
        <v>21</v>
      </c>
      <c r="AD189" s="29" t="s">
        <v>20</v>
      </c>
      <c r="AE189" s="29" t="s">
        <v>21</v>
      </c>
      <c r="AG189">
        <f t="shared" si="18"/>
        <v>1</v>
      </c>
      <c r="AH189">
        <f t="shared" si="19"/>
        <v>21</v>
      </c>
      <c r="AI189">
        <f t="shared" si="20"/>
        <v>4</v>
      </c>
      <c r="AJ189">
        <f t="shared" si="21"/>
        <v>0</v>
      </c>
      <c r="AL189">
        <f t="shared" si="22"/>
        <v>4</v>
      </c>
      <c r="AM189">
        <f t="shared" si="23"/>
        <v>63</v>
      </c>
      <c r="AN189">
        <f t="shared" si="24"/>
        <v>8</v>
      </c>
      <c r="AO189">
        <f t="shared" si="25"/>
        <v>0</v>
      </c>
      <c r="AP189">
        <f t="shared" si="26"/>
        <v>75</v>
      </c>
    </row>
    <row r="190" spans="1:42" ht="15.75" hidden="1" customHeight="1" x14ac:dyDescent="0.3">
      <c r="A190" s="16"/>
      <c r="B190" s="55">
        <v>12</v>
      </c>
      <c r="C190" s="56" t="s">
        <v>208</v>
      </c>
      <c r="D190" s="55">
        <v>5</v>
      </c>
      <c r="E190" s="55" t="s">
        <v>20</v>
      </c>
      <c r="F190" s="18" t="s">
        <v>20</v>
      </c>
      <c r="G190" s="18" t="s">
        <v>39</v>
      </c>
      <c r="H190" s="18" t="s">
        <v>20</v>
      </c>
      <c r="I190" s="18" t="s">
        <v>39</v>
      </c>
      <c r="J190" s="43" t="s">
        <v>20</v>
      </c>
      <c r="K190" s="43" t="s">
        <v>39</v>
      </c>
      <c r="L190" s="43" t="s">
        <v>20</v>
      </c>
      <c r="M190" s="18" t="s">
        <v>20</v>
      </c>
      <c r="N190" s="18" t="s">
        <v>20</v>
      </c>
      <c r="O190" s="18" t="s">
        <v>20</v>
      </c>
      <c r="P190" s="18" t="s">
        <v>20</v>
      </c>
      <c r="Q190" s="18" t="s">
        <v>20</v>
      </c>
      <c r="R190" s="18" t="s">
        <v>20</v>
      </c>
      <c r="S190" s="18" t="s">
        <v>20</v>
      </c>
      <c r="T190" s="18" t="s">
        <v>20</v>
      </c>
      <c r="U190" s="18" t="s">
        <v>20</v>
      </c>
      <c r="V190" s="49" t="s">
        <v>20</v>
      </c>
      <c r="W190" s="37" t="s">
        <v>20</v>
      </c>
      <c r="X190" s="37" t="s">
        <v>20</v>
      </c>
      <c r="Y190" s="18" t="s">
        <v>39</v>
      </c>
      <c r="Z190" s="18" t="s">
        <v>39</v>
      </c>
      <c r="AA190" s="20" t="s">
        <v>20</v>
      </c>
      <c r="AB190" s="20" t="s">
        <v>20</v>
      </c>
      <c r="AC190" s="20" t="s">
        <v>20</v>
      </c>
      <c r="AD190" s="29" t="s">
        <v>20</v>
      </c>
      <c r="AE190" s="29" t="s">
        <v>21</v>
      </c>
      <c r="AG190">
        <f t="shared" si="18"/>
        <v>5</v>
      </c>
      <c r="AH190">
        <f t="shared" si="19"/>
        <v>20</v>
      </c>
      <c r="AI190">
        <f t="shared" si="20"/>
        <v>1</v>
      </c>
      <c r="AJ190">
        <f t="shared" si="21"/>
        <v>0</v>
      </c>
      <c r="AL190">
        <f t="shared" si="22"/>
        <v>20</v>
      </c>
      <c r="AM190">
        <f t="shared" si="23"/>
        <v>60</v>
      </c>
      <c r="AN190">
        <f t="shared" si="24"/>
        <v>2</v>
      </c>
      <c r="AO190">
        <f t="shared" si="25"/>
        <v>0</v>
      </c>
      <c r="AP190">
        <f t="shared" si="26"/>
        <v>82</v>
      </c>
    </row>
    <row r="191" spans="1:42" ht="15.75" hidden="1" customHeight="1" x14ac:dyDescent="0.3">
      <c r="A191" s="16"/>
      <c r="B191" s="55">
        <v>13</v>
      </c>
      <c r="C191" s="56" t="s">
        <v>209</v>
      </c>
      <c r="D191" s="55">
        <v>5</v>
      </c>
      <c r="E191" s="55" t="s">
        <v>20</v>
      </c>
      <c r="F191" s="18" t="s">
        <v>20</v>
      </c>
      <c r="G191" s="18" t="s">
        <v>20</v>
      </c>
      <c r="H191" s="18" t="s">
        <v>20</v>
      </c>
      <c r="I191" s="18" t="s">
        <v>20</v>
      </c>
      <c r="J191" s="43" t="s">
        <v>20</v>
      </c>
      <c r="K191" s="43" t="s">
        <v>20</v>
      </c>
      <c r="L191" s="43" t="s">
        <v>20</v>
      </c>
      <c r="M191" s="18" t="s">
        <v>20</v>
      </c>
      <c r="N191" s="18" t="s">
        <v>20</v>
      </c>
      <c r="O191" s="18" t="s">
        <v>20</v>
      </c>
      <c r="P191" s="18" t="s">
        <v>21</v>
      </c>
      <c r="Q191" s="18" t="s">
        <v>21</v>
      </c>
      <c r="R191" s="18" t="s">
        <v>20</v>
      </c>
      <c r="S191" s="18" t="s">
        <v>21</v>
      </c>
      <c r="T191" s="18" t="s">
        <v>21</v>
      </c>
      <c r="U191" s="18" t="s">
        <v>20</v>
      </c>
      <c r="V191" s="49" t="s">
        <v>20</v>
      </c>
      <c r="W191" s="37" t="s">
        <v>20</v>
      </c>
      <c r="X191" s="37" t="s">
        <v>20</v>
      </c>
      <c r="Y191" s="18" t="s">
        <v>20</v>
      </c>
      <c r="Z191" s="18" t="s">
        <v>39</v>
      </c>
      <c r="AA191" s="20" t="s">
        <v>39</v>
      </c>
      <c r="AB191" s="20" t="s">
        <v>20</v>
      </c>
      <c r="AC191" s="20" t="s">
        <v>39</v>
      </c>
      <c r="AD191" s="29" t="s">
        <v>20</v>
      </c>
      <c r="AE191" s="29" t="s">
        <v>21</v>
      </c>
      <c r="AG191">
        <f t="shared" si="18"/>
        <v>3</v>
      </c>
      <c r="AH191">
        <f t="shared" si="19"/>
        <v>18</v>
      </c>
      <c r="AI191">
        <f t="shared" si="20"/>
        <v>5</v>
      </c>
      <c r="AJ191">
        <f t="shared" si="21"/>
        <v>0</v>
      </c>
      <c r="AL191">
        <f t="shared" si="22"/>
        <v>12</v>
      </c>
      <c r="AM191">
        <f t="shared" si="23"/>
        <v>54</v>
      </c>
      <c r="AN191">
        <f t="shared" si="24"/>
        <v>10</v>
      </c>
      <c r="AO191">
        <f t="shared" si="25"/>
        <v>0</v>
      </c>
      <c r="AP191">
        <f t="shared" si="26"/>
        <v>76</v>
      </c>
    </row>
    <row r="192" spans="1:42" ht="15.75" hidden="1" customHeight="1" x14ac:dyDescent="0.3">
      <c r="A192" s="16"/>
      <c r="B192" s="55">
        <v>14</v>
      </c>
      <c r="C192" s="56" t="s">
        <v>210</v>
      </c>
      <c r="D192" s="55">
        <v>5</v>
      </c>
      <c r="E192" s="55" t="s">
        <v>20</v>
      </c>
      <c r="F192" s="18" t="s">
        <v>20</v>
      </c>
      <c r="G192" s="18" t="s">
        <v>20</v>
      </c>
      <c r="H192" s="18" t="s">
        <v>39</v>
      </c>
      <c r="I192" s="18" t="s">
        <v>20</v>
      </c>
      <c r="J192" s="43" t="s">
        <v>20</v>
      </c>
      <c r="K192" s="43" t="s">
        <v>39</v>
      </c>
      <c r="L192" s="43" t="s">
        <v>20</v>
      </c>
      <c r="M192" s="18" t="s">
        <v>21</v>
      </c>
      <c r="N192" s="18" t="s">
        <v>20</v>
      </c>
      <c r="O192" s="18" t="s">
        <v>20</v>
      </c>
      <c r="P192" s="18" t="s">
        <v>20</v>
      </c>
      <c r="Q192" s="18" t="s">
        <v>20</v>
      </c>
      <c r="R192" s="18" t="s">
        <v>20</v>
      </c>
      <c r="S192" s="18" t="s">
        <v>20</v>
      </c>
      <c r="T192" s="18" t="s">
        <v>21</v>
      </c>
      <c r="U192" s="18" t="s">
        <v>20</v>
      </c>
      <c r="V192" s="37" t="s">
        <v>20</v>
      </c>
      <c r="W192" s="37" t="s">
        <v>20</v>
      </c>
      <c r="X192" s="37" t="s">
        <v>20</v>
      </c>
      <c r="Y192" s="18" t="s">
        <v>20</v>
      </c>
      <c r="Z192" s="18" t="s">
        <v>39</v>
      </c>
      <c r="AA192" s="20" t="s">
        <v>21</v>
      </c>
      <c r="AB192" s="20" t="s">
        <v>20</v>
      </c>
      <c r="AC192" s="20" t="s">
        <v>20</v>
      </c>
      <c r="AD192" s="18" t="s">
        <v>20</v>
      </c>
      <c r="AE192" s="18" t="s">
        <v>21</v>
      </c>
      <c r="AG192">
        <f t="shared" si="18"/>
        <v>3</v>
      </c>
      <c r="AH192">
        <f t="shared" si="19"/>
        <v>19</v>
      </c>
      <c r="AI192">
        <f t="shared" si="20"/>
        <v>4</v>
      </c>
      <c r="AJ192">
        <f t="shared" si="21"/>
        <v>0</v>
      </c>
      <c r="AL192">
        <f t="shared" si="22"/>
        <v>12</v>
      </c>
      <c r="AM192">
        <f t="shared" si="23"/>
        <v>57</v>
      </c>
      <c r="AN192">
        <f t="shared" si="24"/>
        <v>8</v>
      </c>
      <c r="AO192">
        <f t="shared" si="25"/>
        <v>0</v>
      </c>
      <c r="AP192">
        <f t="shared" si="26"/>
        <v>77</v>
      </c>
    </row>
    <row r="193" spans="1:42" ht="15.75" hidden="1" customHeight="1" x14ac:dyDescent="0.3">
      <c r="A193" s="16"/>
      <c r="B193" s="55">
        <v>15</v>
      </c>
      <c r="C193" s="56" t="s">
        <v>211</v>
      </c>
      <c r="D193" s="55">
        <v>5</v>
      </c>
      <c r="E193" s="55" t="s">
        <v>20</v>
      </c>
      <c r="F193" s="18" t="s">
        <v>21</v>
      </c>
      <c r="G193" s="18" t="s">
        <v>21</v>
      </c>
      <c r="H193" s="18" t="s">
        <v>21</v>
      </c>
      <c r="I193" s="18" t="s">
        <v>21</v>
      </c>
      <c r="J193" s="43" t="s">
        <v>20</v>
      </c>
      <c r="K193" s="43" t="s">
        <v>20</v>
      </c>
      <c r="L193" s="43" t="s">
        <v>21</v>
      </c>
      <c r="M193" s="18" t="s">
        <v>20</v>
      </c>
      <c r="N193" s="18" t="s">
        <v>21</v>
      </c>
      <c r="O193" s="18" t="s">
        <v>20</v>
      </c>
      <c r="P193" s="18" t="s">
        <v>20</v>
      </c>
      <c r="Q193" s="18" t="s">
        <v>21</v>
      </c>
      <c r="R193" s="18" t="s">
        <v>21</v>
      </c>
      <c r="S193" s="18" t="s">
        <v>21</v>
      </c>
      <c r="T193" s="18" t="s">
        <v>21</v>
      </c>
      <c r="U193" s="18" t="s">
        <v>20</v>
      </c>
      <c r="V193" s="37" t="s">
        <v>20</v>
      </c>
      <c r="W193" s="37" t="s">
        <v>20</v>
      </c>
      <c r="X193" s="37" t="s">
        <v>20</v>
      </c>
      <c r="Y193" s="18" t="s">
        <v>21</v>
      </c>
      <c r="Z193" s="18" t="s">
        <v>21</v>
      </c>
      <c r="AA193" s="20" t="s">
        <v>21</v>
      </c>
      <c r="AB193" s="20" t="s">
        <v>21</v>
      </c>
      <c r="AC193" s="20" t="s">
        <v>20</v>
      </c>
      <c r="AD193" s="18" t="s">
        <v>20</v>
      </c>
      <c r="AE193" s="18" t="s">
        <v>21</v>
      </c>
      <c r="AG193">
        <f t="shared" si="18"/>
        <v>0</v>
      </c>
      <c r="AH193">
        <f t="shared" si="19"/>
        <v>11</v>
      </c>
      <c r="AI193">
        <f t="shared" si="20"/>
        <v>15</v>
      </c>
      <c r="AJ193">
        <f t="shared" si="21"/>
        <v>0</v>
      </c>
      <c r="AL193">
        <f t="shared" si="22"/>
        <v>0</v>
      </c>
      <c r="AM193">
        <f t="shared" si="23"/>
        <v>33</v>
      </c>
      <c r="AN193">
        <f t="shared" si="24"/>
        <v>30</v>
      </c>
      <c r="AO193">
        <f t="shared" si="25"/>
        <v>0</v>
      </c>
      <c r="AP193">
        <f t="shared" si="26"/>
        <v>63</v>
      </c>
    </row>
    <row r="194" spans="1:42" ht="15.75" hidden="1" customHeight="1" x14ac:dyDescent="0.3">
      <c r="A194" s="16"/>
      <c r="B194" s="55">
        <v>16</v>
      </c>
      <c r="C194" s="56" t="s">
        <v>212</v>
      </c>
      <c r="D194" s="55">
        <v>5</v>
      </c>
      <c r="E194" s="55" t="s">
        <v>20</v>
      </c>
      <c r="F194" s="18" t="s">
        <v>20</v>
      </c>
      <c r="G194" s="18" t="s">
        <v>20</v>
      </c>
      <c r="H194" s="18" t="s">
        <v>39</v>
      </c>
      <c r="I194" s="18" t="s">
        <v>39</v>
      </c>
      <c r="J194" s="43" t="s">
        <v>20</v>
      </c>
      <c r="K194" s="43" t="s">
        <v>20</v>
      </c>
      <c r="L194" s="43" t="s">
        <v>20</v>
      </c>
      <c r="M194" s="18" t="s">
        <v>20</v>
      </c>
      <c r="N194" s="18" t="s">
        <v>20</v>
      </c>
      <c r="O194" s="18" t="s">
        <v>20</v>
      </c>
      <c r="P194" s="18" t="s">
        <v>21</v>
      </c>
      <c r="Q194" s="18" t="s">
        <v>21</v>
      </c>
      <c r="R194" s="18" t="s">
        <v>21</v>
      </c>
      <c r="S194" s="18" t="s">
        <v>20</v>
      </c>
      <c r="T194" s="18" t="s">
        <v>21</v>
      </c>
      <c r="U194" s="18" t="s">
        <v>20</v>
      </c>
      <c r="V194" s="37" t="s">
        <v>20</v>
      </c>
      <c r="W194" s="37" t="s">
        <v>20</v>
      </c>
      <c r="X194" s="37" t="s">
        <v>20</v>
      </c>
      <c r="Y194" s="18" t="s">
        <v>20</v>
      </c>
      <c r="Z194" s="18" t="s">
        <v>20</v>
      </c>
      <c r="AA194" s="20" t="s">
        <v>20</v>
      </c>
      <c r="AB194" s="20" t="s">
        <v>20</v>
      </c>
      <c r="AC194" s="20" t="s">
        <v>20</v>
      </c>
      <c r="AD194" s="18" t="s">
        <v>20</v>
      </c>
      <c r="AE194" s="18" t="s">
        <v>21</v>
      </c>
      <c r="AG194">
        <f t="shared" si="18"/>
        <v>2</v>
      </c>
      <c r="AH194">
        <f t="shared" si="19"/>
        <v>19</v>
      </c>
      <c r="AI194">
        <f t="shared" si="20"/>
        <v>5</v>
      </c>
      <c r="AJ194">
        <f t="shared" si="21"/>
        <v>0</v>
      </c>
      <c r="AL194">
        <f t="shared" si="22"/>
        <v>8</v>
      </c>
      <c r="AM194">
        <f t="shared" si="23"/>
        <v>57</v>
      </c>
      <c r="AN194">
        <f t="shared" si="24"/>
        <v>10</v>
      </c>
      <c r="AO194">
        <f t="shared" si="25"/>
        <v>0</v>
      </c>
      <c r="AP194">
        <f t="shared" si="26"/>
        <v>75</v>
      </c>
    </row>
    <row r="195" spans="1:42" ht="15.75" hidden="1" customHeight="1" x14ac:dyDescent="0.3">
      <c r="A195" s="16"/>
      <c r="B195" s="55">
        <v>17</v>
      </c>
      <c r="C195" s="56" t="s">
        <v>213</v>
      </c>
      <c r="D195" s="55">
        <v>5</v>
      </c>
      <c r="E195" s="55" t="s">
        <v>20</v>
      </c>
      <c r="F195" s="18" t="s">
        <v>23</v>
      </c>
      <c r="G195" s="18" t="s">
        <v>23</v>
      </c>
      <c r="H195" s="18" t="s">
        <v>23</v>
      </c>
      <c r="I195" s="18" t="s">
        <v>23</v>
      </c>
      <c r="J195" s="43" t="s">
        <v>21</v>
      </c>
      <c r="K195" s="43" t="s">
        <v>21</v>
      </c>
      <c r="L195" s="43" t="s">
        <v>21</v>
      </c>
      <c r="M195" s="18" t="s">
        <v>21</v>
      </c>
      <c r="N195" s="18" t="s">
        <v>21</v>
      </c>
      <c r="O195" s="18" t="s">
        <v>20</v>
      </c>
      <c r="P195" s="18" t="s">
        <v>23</v>
      </c>
      <c r="Q195" s="18" t="s">
        <v>21</v>
      </c>
      <c r="R195" s="18" t="s">
        <v>23</v>
      </c>
      <c r="S195" s="18" t="s">
        <v>21</v>
      </c>
      <c r="T195" s="18" t="s">
        <v>23</v>
      </c>
      <c r="U195" s="18" t="s">
        <v>20</v>
      </c>
      <c r="V195" s="37" t="s">
        <v>21</v>
      </c>
      <c r="W195" s="37" t="s">
        <v>21</v>
      </c>
      <c r="X195" s="37" t="s">
        <v>21</v>
      </c>
      <c r="Y195" s="18" t="s">
        <v>21</v>
      </c>
      <c r="Z195" s="18" t="s">
        <v>21</v>
      </c>
      <c r="AA195" s="20" t="s">
        <v>23</v>
      </c>
      <c r="AB195" s="20" t="s">
        <v>21</v>
      </c>
      <c r="AC195" s="20" t="s">
        <v>23</v>
      </c>
      <c r="AD195" s="18" t="s">
        <v>23</v>
      </c>
      <c r="AE195" s="18" t="s">
        <v>21</v>
      </c>
      <c r="AG195">
        <f t="shared" si="18"/>
        <v>0</v>
      </c>
      <c r="AH195">
        <f t="shared" si="19"/>
        <v>2</v>
      </c>
      <c r="AI195">
        <f t="shared" si="20"/>
        <v>14</v>
      </c>
      <c r="AJ195">
        <f t="shared" si="21"/>
        <v>10</v>
      </c>
      <c r="AL195">
        <f t="shared" si="22"/>
        <v>0</v>
      </c>
      <c r="AM195">
        <f t="shared" si="23"/>
        <v>6</v>
      </c>
      <c r="AN195">
        <f t="shared" si="24"/>
        <v>28</v>
      </c>
      <c r="AO195">
        <f t="shared" si="25"/>
        <v>10</v>
      </c>
      <c r="AP195">
        <f t="shared" si="26"/>
        <v>44</v>
      </c>
    </row>
    <row r="196" spans="1:42" ht="15.75" hidden="1" customHeight="1" x14ac:dyDescent="0.3">
      <c r="A196" s="16"/>
      <c r="B196" s="55">
        <v>18</v>
      </c>
      <c r="C196" s="56" t="s">
        <v>214</v>
      </c>
      <c r="D196" s="55">
        <v>5</v>
      </c>
      <c r="E196" s="55" t="s">
        <v>20</v>
      </c>
      <c r="F196" s="18" t="s">
        <v>20</v>
      </c>
      <c r="G196" s="18" t="s">
        <v>20</v>
      </c>
      <c r="H196" s="18" t="s">
        <v>20</v>
      </c>
      <c r="I196" s="18" t="s">
        <v>20</v>
      </c>
      <c r="J196" s="43" t="s">
        <v>20</v>
      </c>
      <c r="K196" s="43" t="s">
        <v>20</v>
      </c>
      <c r="L196" s="43" t="s">
        <v>21</v>
      </c>
      <c r="M196" s="18" t="s">
        <v>20</v>
      </c>
      <c r="N196" s="18" t="s">
        <v>20</v>
      </c>
      <c r="O196" s="18" t="s">
        <v>20</v>
      </c>
      <c r="P196" s="18" t="s">
        <v>21</v>
      </c>
      <c r="Q196" s="18" t="s">
        <v>20</v>
      </c>
      <c r="R196" s="18" t="s">
        <v>21</v>
      </c>
      <c r="S196" s="18" t="s">
        <v>21</v>
      </c>
      <c r="T196" s="18" t="s">
        <v>21</v>
      </c>
      <c r="U196" s="18" t="s">
        <v>20</v>
      </c>
      <c r="V196" s="37" t="s">
        <v>20</v>
      </c>
      <c r="W196" s="37" t="s">
        <v>20</v>
      </c>
      <c r="X196" s="37" t="s">
        <v>20</v>
      </c>
      <c r="Y196" s="18" t="s">
        <v>20</v>
      </c>
      <c r="Z196" s="18" t="s">
        <v>20</v>
      </c>
      <c r="AA196" s="20" t="s">
        <v>20</v>
      </c>
      <c r="AB196" s="20" t="s">
        <v>20</v>
      </c>
      <c r="AC196" s="20" t="s">
        <v>20</v>
      </c>
      <c r="AD196" s="18" t="s">
        <v>20</v>
      </c>
      <c r="AE196" s="18" t="s">
        <v>21</v>
      </c>
      <c r="AG196">
        <f t="shared" si="18"/>
        <v>0</v>
      </c>
      <c r="AH196">
        <f t="shared" si="19"/>
        <v>20</v>
      </c>
      <c r="AI196">
        <f t="shared" si="20"/>
        <v>6</v>
      </c>
      <c r="AJ196">
        <f t="shared" si="21"/>
        <v>0</v>
      </c>
      <c r="AL196">
        <f t="shared" si="22"/>
        <v>0</v>
      </c>
      <c r="AM196">
        <f t="shared" si="23"/>
        <v>60</v>
      </c>
      <c r="AN196">
        <f t="shared" si="24"/>
        <v>12</v>
      </c>
      <c r="AO196">
        <f t="shared" si="25"/>
        <v>0</v>
      </c>
      <c r="AP196">
        <f t="shared" si="26"/>
        <v>72</v>
      </c>
    </row>
    <row r="197" spans="1:42" ht="15.75" hidden="1" customHeight="1" x14ac:dyDescent="0.3">
      <c r="A197" s="16"/>
      <c r="B197" s="55">
        <v>19</v>
      </c>
      <c r="C197" s="56" t="s">
        <v>215</v>
      </c>
      <c r="D197" s="55">
        <v>5</v>
      </c>
      <c r="E197" s="55" t="s">
        <v>20</v>
      </c>
      <c r="F197" s="18" t="s">
        <v>20</v>
      </c>
      <c r="G197" s="18" t="s">
        <v>20</v>
      </c>
      <c r="H197" s="18" t="s">
        <v>20</v>
      </c>
      <c r="I197" s="18" t="s">
        <v>20</v>
      </c>
      <c r="J197" s="43" t="s">
        <v>20</v>
      </c>
      <c r="K197" s="43" t="s">
        <v>20</v>
      </c>
      <c r="L197" s="43" t="s">
        <v>20</v>
      </c>
      <c r="M197" s="18" t="s">
        <v>20</v>
      </c>
      <c r="N197" s="18" t="s">
        <v>20</v>
      </c>
      <c r="O197" s="18" t="s">
        <v>20</v>
      </c>
      <c r="P197" s="18" t="s">
        <v>21</v>
      </c>
      <c r="Q197" s="18" t="s">
        <v>21</v>
      </c>
      <c r="R197" s="18" t="s">
        <v>21</v>
      </c>
      <c r="S197" s="18" t="s">
        <v>21</v>
      </c>
      <c r="T197" s="18" t="s">
        <v>21</v>
      </c>
      <c r="U197" s="18" t="s">
        <v>21</v>
      </c>
      <c r="V197" s="37" t="s">
        <v>21</v>
      </c>
      <c r="W197" s="37" t="s">
        <v>20</v>
      </c>
      <c r="X197" s="37" t="s">
        <v>20</v>
      </c>
      <c r="Y197" s="18" t="s">
        <v>21</v>
      </c>
      <c r="Z197" s="18" t="s">
        <v>20</v>
      </c>
      <c r="AA197" s="20" t="s">
        <v>20</v>
      </c>
      <c r="AB197" s="20" t="s">
        <v>20</v>
      </c>
      <c r="AC197" s="20" t="s">
        <v>20</v>
      </c>
      <c r="AD197" s="18" t="s">
        <v>55</v>
      </c>
      <c r="AE197" s="18" t="s">
        <v>55</v>
      </c>
      <c r="AG197">
        <f t="shared" si="18"/>
        <v>0</v>
      </c>
      <c r="AH197">
        <f t="shared" si="19"/>
        <v>16</v>
      </c>
      <c r="AI197">
        <f t="shared" si="20"/>
        <v>8</v>
      </c>
      <c r="AJ197">
        <f t="shared" si="21"/>
        <v>0</v>
      </c>
      <c r="AL197">
        <f t="shared" si="22"/>
        <v>0</v>
      </c>
      <c r="AM197">
        <f t="shared" si="23"/>
        <v>48</v>
      </c>
      <c r="AN197">
        <f t="shared" si="24"/>
        <v>16</v>
      </c>
      <c r="AO197">
        <f t="shared" si="25"/>
        <v>0</v>
      </c>
      <c r="AP197">
        <f t="shared" si="26"/>
        <v>64</v>
      </c>
    </row>
    <row r="198" spans="1:42" ht="15.75" hidden="1" customHeight="1" x14ac:dyDescent="0.3">
      <c r="A198" s="16"/>
      <c r="B198" s="55">
        <v>20</v>
      </c>
      <c r="C198" s="56" t="s">
        <v>216</v>
      </c>
      <c r="D198" s="55">
        <v>5</v>
      </c>
      <c r="E198" s="55" t="s">
        <v>20</v>
      </c>
      <c r="F198" s="18" t="s">
        <v>39</v>
      </c>
      <c r="G198" s="18" t="s">
        <v>20</v>
      </c>
      <c r="H198" s="18" t="s">
        <v>20</v>
      </c>
      <c r="I198" s="18" t="s">
        <v>39</v>
      </c>
      <c r="J198" s="43" t="s">
        <v>20</v>
      </c>
      <c r="K198" s="43" t="s">
        <v>20</v>
      </c>
      <c r="L198" s="43" t="s">
        <v>20</v>
      </c>
      <c r="M198" s="18" t="s">
        <v>20</v>
      </c>
      <c r="N198" s="18" t="s">
        <v>20</v>
      </c>
      <c r="O198" s="18" t="s">
        <v>20</v>
      </c>
      <c r="P198" s="18" t="s">
        <v>21</v>
      </c>
      <c r="Q198" s="18" t="s">
        <v>20</v>
      </c>
      <c r="R198" s="18" t="s">
        <v>20</v>
      </c>
      <c r="S198" s="18" t="s">
        <v>21</v>
      </c>
      <c r="T198" s="18" t="s">
        <v>21</v>
      </c>
      <c r="U198" s="18" t="s">
        <v>20</v>
      </c>
      <c r="V198" s="37" t="s">
        <v>20</v>
      </c>
      <c r="W198" s="37" t="s">
        <v>20</v>
      </c>
      <c r="X198" s="37" t="s">
        <v>20</v>
      </c>
      <c r="Y198" s="18" t="s">
        <v>20</v>
      </c>
      <c r="Z198" s="18" t="s">
        <v>20</v>
      </c>
      <c r="AA198" s="20" t="s">
        <v>20</v>
      </c>
      <c r="AB198" s="20" t="s">
        <v>20</v>
      </c>
      <c r="AC198" s="20" t="s">
        <v>20</v>
      </c>
      <c r="AD198" s="18" t="s">
        <v>20</v>
      </c>
      <c r="AE198" s="18" t="s">
        <v>21</v>
      </c>
      <c r="AG198">
        <f t="shared" si="18"/>
        <v>2</v>
      </c>
      <c r="AH198">
        <f t="shared" si="19"/>
        <v>20</v>
      </c>
      <c r="AI198">
        <f t="shared" si="20"/>
        <v>4</v>
      </c>
      <c r="AJ198">
        <f t="shared" si="21"/>
        <v>0</v>
      </c>
      <c r="AL198">
        <f t="shared" si="22"/>
        <v>8</v>
      </c>
      <c r="AM198">
        <f t="shared" si="23"/>
        <v>60</v>
      </c>
      <c r="AN198">
        <f t="shared" si="24"/>
        <v>8</v>
      </c>
      <c r="AO198">
        <f t="shared" si="25"/>
        <v>0</v>
      </c>
      <c r="AP198">
        <f t="shared" si="26"/>
        <v>76</v>
      </c>
    </row>
    <row r="199" spans="1:42" ht="15.75" hidden="1" customHeight="1" x14ac:dyDescent="0.3">
      <c r="A199" s="16"/>
      <c r="B199" s="55">
        <v>21</v>
      </c>
      <c r="C199" s="56" t="s">
        <v>217</v>
      </c>
      <c r="D199" s="55">
        <v>5</v>
      </c>
      <c r="E199" s="55" t="s">
        <v>20</v>
      </c>
      <c r="F199" s="18" t="s">
        <v>20</v>
      </c>
      <c r="G199" s="18" t="s">
        <v>20</v>
      </c>
      <c r="H199" s="18" t="s">
        <v>39</v>
      </c>
      <c r="I199" s="18" t="s">
        <v>20</v>
      </c>
      <c r="J199" s="43" t="s">
        <v>20</v>
      </c>
      <c r="K199" s="43" t="s">
        <v>20</v>
      </c>
      <c r="L199" s="43" t="s">
        <v>20</v>
      </c>
      <c r="M199" s="18" t="s">
        <v>21</v>
      </c>
      <c r="N199" s="18" t="s">
        <v>20</v>
      </c>
      <c r="O199" s="18" t="s">
        <v>20</v>
      </c>
      <c r="P199" s="18" t="s">
        <v>21</v>
      </c>
      <c r="Q199" s="18" t="s">
        <v>21</v>
      </c>
      <c r="R199" s="18" t="s">
        <v>21</v>
      </c>
      <c r="S199" s="18" t="s">
        <v>20</v>
      </c>
      <c r="T199" s="18" t="s">
        <v>21</v>
      </c>
      <c r="U199" s="18" t="s">
        <v>20</v>
      </c>
      <c r="V199" s="37" t="s">
        <v>20</v>
      </c>
      <c r="W199" s="37" t="s">
        <v>20</v>
      </c>
      <c r="X199" s="37" t="s">
        <v>20</v>
      </c>
      <c r="Y199" s="18" t="s">
        <v>20</v>
      </c>
      <c r="Z199" s="18" t="s">
        <v>20</v>
      </c>
      <c r="AA199" s="20" t="s">
        <v>20</v>
      </c>
      <c r="AB199" s="20" t="s">
        <v>20</v>
      </c>
      <c r="AC199" s="20" t="s">
        <v>20</v>
      </c>
      <c r="AD199" s="18" t="s">
        <v>20</v>
      </c>
      <c r="AE199" s="18" t="s">
        <v>21</v>
      </c>
      <c r="AG199">
        <f t="shared" ref="AG199:AG232" si="27">+COUNTIF(F199:AE199,"AD")</f>
        <v>1</v>
      </c>
      <c r="AH199">
        <f t="shared" ref="AH199:AH232" si="28">+COUNTIF(F199:AE199,"A")</f>
        <v>19</v>
      </c>
      <c r="AI199">
        <f t="shared" ref="AI199:AI232" si="29">+COUNTIF(F199:AE199,"b")</f>
        <v>6</v>
      </c>
      <c r="AJ199">
        <f t="shared" ref="AJ199:AJ232" si="30">+COUNTIF(F199:AE199,"c")</f>
        <v>0</v>
      </c>
      <c r="AL199">
        <f t="shared" ref="AL199:AL232" si="31">+$AG$5*AG199</f>
        <v>4</v>
      </c>
      <c r="AM199">
        <f t="shared" ref="AM199:AM232" si="32">+$AH$5*AH199</f>
        <v>57</v>
      </c>
      <c r="AN199">
        <f t="shared" ref="AN199:AN232" si="33">+$AI$5*AI199</f>
        <v>12</v>
      </c>
      <c r="AO199">
        <f t="shared" ref="AO199:AO232" si="34">+$AJ$5*AJ199</f>
        <v>0</v>
      </c>
      <c r="AP199">
        <f t="shared" ref="AP199:AP232" si="35">+SUM(AL199:AO199)</f>
        <v>73</v>
      </c>
    </row>
    <row r="200" spans="1:42" ht="15.75" hidden="1" customHeight="1" x14ac:dyDescent="0.3">
      <c r="A200" s="16"/>
      <c r="B200" s="55">
        <v>22</v>
      </c>
      <c r="C200" s="56" t="s">
        <v>218</v>
      </c>
      <c r="D200" s="55">
        <v>5</v>
      </c>
      <c r="E200" s="55" t="s">
        <v>20</v>
      </c>
      <c r="F200" s="18" t="s">
        <v>23</v>
      </c>
      <c r="G200" s="18" t="s">
        <v>23</v>
      </c>
      <c r="H200" s="18" t="s">
        <v>21</v>
      </c>
      <c r="I200" s="18" t="s">
        <v>21</v>
      </c>
      <c r="J200" s="43" t="s">
        <v>20</v>
      </c>
      <c r="K200" s="43" t="s">
        <v>20</v>
      </c>
      <c r="L200" s="43" t="s">
        <v>21</v>
      </c>
      <c r="M200" s="18" t="s">
        <v>20</v>
      </c>
      <c r="N200" s="18" t="s">
        <v>20</v>
      </c>
      <c r="O200" s="18" t="s">
        <v>20</v>
      </c>
      <c r="P200" s="18" t="s">
        <v>21</v>
      </c>
      <c r="Q200" s="18" t="s">
        <v>21</v>
      </c>
      <c r="R200" s="18" t="s">
        <v>21</v>
      </c>
      <c r="S200" s="18" t="s">
        <v>21</v>
      </c>
      <c r="T200" s="18" t="s">
        <v>21</v>
      </c>
      <c r="U200" s="18" t="s">
        <v>20</v>
      </c>
      <c r="V200" s="37" t="s">
        <v>21</v>
      </c>
      <c r="W200" s="37" t="s">
        <v>21</v>
      </c>
      <c r="X200" s="37" t="s">
        <v>21</v>
      </c>
      <c r="Y200" s="18" t="s">
        <v>20</v>
      </c>
      <c r="Z200" s="18" t="s">
        <v>20</v>
      </c>
      <c r="AA200" s="20" t="s">
        <v>20</v>
      </c>
      <c r="AB200" s="20" t="s">
        <v>20</v>
      </c>
      <c r="AC200" s="20" t="s">
        <v>20</v>
      </c>
      <c r="AD200" s="40" t="s">
        <v>20</v>
      </c>
      <c r="AE200" s="40" t="s">
        <v>21</v>
      </c>
      <c r="AG200">
        <f t="shared" si="27"/>
        <v>0</v>
      </c>
      <c r="AH200">
        <f t="shared" si="28"/>
        <v>12</v>
      </c>
      <c r="AI200">
        <f t="shared" si="29"/>
        <v>12</v>
      </c>
      <c r="AJ200">
        <f t="shared" si="30"/>
        <v>2</v>
      </c>
      <c r="AL200">
        <f t="shared" si="31"/>
        <v>0</v>
      </c>
      <c r="AM200">
        <f t="shared" si="32"/>
        <v>36</v>
      </c>
      <c r="AN200">
        <f t="shared" si="33"/>
        <v>24</v>
      </c>
      <c r="AO200">
        <f t="shared" si="34"/>
        <v>2</v>
      </c>
      <c r="AP200">
        <f t="shared" si="35"/>
        <v>62</v>
      </c>
    </row>
    <row r="201" spans="1:42" ht="15.75" hidden="1" customHeight="1" x14ac:dyDescent="0.3">
      <c r="A201" s="16"/>
      <c r="B201" s="55">
        <v>23</v>
      </c>
      <c r="C201" s="56" t="s">
        <v>219</v>
      </c>
      <c r="D201" s="55">
        <v>5</v>
      </c>
      <c r="E201" s="55" t="s">
        <v>20</v>
      </c>
      <c r="F201" s="18" t="s">
        <v>23</v>
      </c>
      <c r="G201" s="18" t="s">
        <v>23</v>
      </c>
      <c r="H201" s="18" t="s">
        <v>23</v>
      </c>
      <c r="I201" s="18" t="s">
        <v>21</v>
      </c>
      <c r="J201" s="43" t="s">
        <v>20</v>
      </c>
      <c r="K201" s="43" t="s">
        <v>20</v>
      </c>
      <c r="L201" s="43" t="s">
        <v>21</v>
      </c>
      <c r="M201" s="18" t="s">
        <v>20</v>
      </c>
      <c r="N201" s="18" t="s">
        <v>21</v>
      </c>
      <c r="O201" s="18" t="s">
        <v>20</v>
      </c>
      <c r="P201" s="18" t="s">
        <v>21</v>
      </c>
      <c r="Q201" s="18" t="s">
        <v>23</v>
      </c>
      <c r="R201" s="18" t="s">
        <v>21</v>
      </c>
      <c r="S201" s="18" t="s">
        <v>21</v>
      </c>
      <c r="T201" s="18" t="s">
        <v>21</v>
      </c>
      <c r="U201" s="18" t="s">
        <v>20</v>
      </c>
      <c r="V201" s="37" t="s">
        <v>20</v>
      </c>
      <c r="W201" s="37" t="s">
        <v>21</v>
      </c>
      <c r="X201" s="37" t="s">
        <v>20</v>
      </c>
      <c r="Y201" s="18" t="s">
        <v>21</v>
      </c>
      <c r="Z201" s="18" t="s">
        <v>20</v>
      </c>
      <c r="AA201" s="20" t="s">
        <v>23</v>
      </c>
      <c r="AB201" s="20" t="s">
        <v>21</v>
      </c>
      <c r="AC201" s="20" t="s">
        <v>21</v>
      </c>
      <c r="AD201" s="18" t="s">
        <v>23</v>
      </c>
      <c r="AE201" s="18" t="s">
        <v>21</v>
      </c>
      <c r="AG201">
        <f t="shared" si="27"/>
        <v>0</v>
      </c>
      <c r="AH201">
        <f t="shared" si="28"/>
        <v>8</v>
      </c>
      <c r="AI201">
        <f t="shared" si="29"/>
        <v>12</v>
      </c>
      <c r="AJ201">
        <f t="shared" si="30"/>
        <v>6</v>
      </c>
      <c r="AL201">
        <f t="shared" si="31"/>
        <v>0</v>
      </c>
      <c r="AM201">
        <f t="shared" si="32"/>
        <v>24</v>
      </c>
      <c r="AN201">
        <f t="shared" si="33"/>
        <v>24</v>
      </c>
      <c r="AO201">
        <f t="shared" si="34"/>
        <v>6</v>
      </c>
      <c r="AP201">
        <f t="shared" si="35"/>
        <v>54</v>
      </c>
    </row>
    <row r="202" spans="1:42" ht="15.75" hidden="1" customHeight="1" x14ac:dyDescent="0.3">
      <c r="A202" s="16"/>
      <c r="B202" s="55">
        <v>24</v>
      </c>
      <c r="C202" s="56" t="s">
        <v>220</v>
      </c>
      <c r="D202" s="55">
        <v>5</v>
      </c>
      <c r="E202" s="55" t="s">
        <v>20</v>
      </c>
      <c r="F202" s="18" t="s">
        <v>39</v>
      </c>
      <c r="G202" s="18" t="s">
        <v>20</v>
      </c>
      <c r="H202" s="18" t="s">
        <v>20</v>
      </c>
      <c r="I202" s="18" t="s">
        <v>39</v>
      </c>
      <c r="J202" s="43" t="s">
        <v>20</v>
      </c>
      <c r="K202" s="43" t="s">
        <v>20</v>
      </c>
      <c r="L202" s="43" t="s">
        <v>20</v>
      </c>
      <c r="M202" s="18" t="s">
        <v>20</v>
      </c>
      <c r="N202" s="18" t="s">
        <v>20</v>
      </c>
      <c r="O202" s="18" t="s">
        <v>20</v>
      </c>
      <c r="P202" s="18" t="s">
        <v>21</v>
      </c>
      <c r="Q202" s="18" t="s">
        <v>20</v>
      </c>
      <c r="R202" s="18" t="s">
        <v>20</v>
      </c>
      <c r="S202" s="18" t="s">
        <v>21</v>
      </c>
      <c r="T202" s="18" t="s">
        <v>21</v>
      </c>
      <c r="U202" s="18" t="s">
        <v>20</v>
      </c>
      <c r="V202" s="37" t="s">
        <v>20</v>
      </c>
      <c r="W202" s="37" t="s">
        <v>20</v>
      </c>
      <c r="X202" s="37" t="s">
        <v>20</v>
      </c>
      <c r="Y202" s="18" t="s">
        <v>20</v>
      </c>
      <c r="Z202" s="18" t="s">
        <v>20</v>
      </c>
      <c r="AA202" s="20" t="s">
        <v>20</v>
      </c>
      <c r="AB202" s="20" t="s">
        <v>20</v>
      </c>
      <c r="AC202" s="20" t="s">
        <v>20</v>
      </c>
      <c r="AD202" s="18" t="s">
        <v>20</v>
      </c>
      <c r="AE202" s="18" t="s">
        <v>21</v>
      </c>
      <c r="AG202">
        <f t="shared" si="27"/>
        <v>2</v>
      </c>
      <c r="AH202">
        <f t="shared" si="28"/>
        <v>20</v>
      </c>
      <c r="AI202">
        <f t="shared" si="29"/>
        <v>4</v>
      </c>
      <c r="AJ202">
        <f t="shared" si="30"/>
        <v>0</v>
      </c>
      <c r="AL202">
        <f t="shared" si="31"/>
        <v>8</v>
      </c>
      <c r="AM202">
        <f t="shared" si="32"/>
        <v>60</v>
      </c>
      <c r="AN202">
        <f t="shared" si="33"/>
        <v>8</v>
      </c>
      <c r="AO202">
        <f t="shared" si="34"/>
        <v>0</v>
      </c>
      <c r="AP202">
        <f t="shared" si="35"/>
        <v>76</v>
      </c>
    </row>
    <row r="203" spans="1:42" ht="15.75" hidden="1" customHeight="1" x14ac:dyDescent="0.3">
      <c r="A203" s="16"/>
      <c r="B203" s="55">
        <v>25</v>
      </c>
      <c r="C203" s="56" t="s">
        <v>221</v>
      </c>
      <c r="D203" s="55">
        <v>5</v>
      </c>
      <c r="E203" s="55" t="s">
        <v>20</v>
      </c>
      <c r="F203" s="18" t="s">
        <v>23</v>
      </c>
      <c r="G203" s="18" t="s">
        <v>23</v>
      </c>
      <c r="H203" s="18" t="s">
        <v>23</v>
      </c>
      <c r="I203" s="18" t="s">
        <v>23</v>
      </c>
      <c r="J203" s="43" t="s">
        <v>20</v>
      </c>
      <c r="K203" s="43" t="s">
        <v>20</v>
      </c>
      <c r="L203" s="43" t="s">
        <v>21</v>
      </c>
      <c r="M203" s="18" t="s">
        <v>20</v>
      </c>
      <c r="N203" s="18" t="s">
        <v>20</v>
      </c>
      <c r="O203" s="18" t="s">
        <v>20</v>
      </c>
      <c r="P203" s="18" t="s">
        <v>21</v>
      </c>
      <c r="Q203" s="18" t="s">
        <v>23</v>
      </c>
      <c r="R203" s="18" t="s">
        <v>23</v>
      </c>
      <c r="S203" s="18" t="s">
        <v>21</v>
      </c>
      <c r="T203" s="18" t="s">
        <v>23</v>
      </c>
      <c r="U203" s="18" t="s">
        <v>20</v>
      </c>
      <c r="V203" s="37" t="s">
        <v>20</v>
      </c>
      <c r="W203" s="37" t="s">
        <v>20</v>
      </c>
      <c r="X203" s="37" t="s">
        <v>20</v>
      </c>
      <c r="Y203" s="18" t="s">
        <v>20</v>
      </c>
      <c r="Z203" s="18" t="s">
        <v>20</v>
      </c>
      <c r="AA203" s="20" t="s">
        <v>21</v>
      </c>
      <c r="AB203" s="20" t="s">
        <v>21</v>
      </c>
      <c r="AC203" s="20" t="s">
        <v>20</v>
      </c>
      <c r="AD203" s="18" t="s">
        <v>20</v>
      </c>
      <c r="AE203" s="18" t="s">
        <v>21</v>
      </c>
      <c r="AG203">
        <f t="shared" si="27"/>
        <v>0</v>
      </c>
      <c r="AH203">
        <f t="shared" si="28"/>
        <v>13</v>
      </c>
      <c r="AI203">
        <f t="shared" si="29"/>
        <v>6</v>
      </c>
      <c r="AJ203">
        <f t="shared" si="30"/>
        <v>7</v>
      </c>
      <c r="AL203">
        <f t="shared" si="31"/>
        <v>0</v>
      </c>
      <c r="AM203">
        <f t="shared" si="32"/>
        <v>39</v>
      </c>
      <c r="AN203">
        <f t="shared" si="33"/>
        <v>12</v>
      </c>
      <c r="AO203">
        <f t="shared" si="34"/>
        <v>7</v>
      </c>
      <c r="AP203">
        <f t="shared" si="35"/>
        <v>58</v>
      </c>
    </row>
    <row r="204" spans="1:42" ht="15.75" hidden="1" customHeight="1" x14ac:dyDescent="0.3">
      <c r="A204" s="16"/>
      <c r="B204" s="55">
        <v>26</v>
      </c>
      <c r="C204" s="56" t="s">
        <v>222</v>
      </c>
      <c r="D204" s="55">
        <v>5</v>
      </c>
      <c r="E204" s="55" t="s">
        <v>20</v>
      </c>
      <c r="F204" s="18" t="s">
        <v>21</v>
      </c>
      <c r="G204" s="18" t="s">
        <v>21</v>
      </c>
      <c r="H204" s="18" t="s">
        <v>21</v>
      </c>
      <c r="I204" s="18" t="s">
        <v>21</v>
      </c>
      <c r="J204" s="43" t="s">
        <v>21</v>
      </c>
      <c r="K204" s="43" t="s">
        <v>21</v>
      </c>
      <c r="L204" s="43" t="s">
        <v>21</v>
      </c>
      <c r="M204" s="18" t="s">
        <v>20</v>
      </c>
      <c r="N204" s="18" t="s">
        <v>20</v>
      </c>
      <c r="O204" s="18" t="s">
        <v>20</v>
      </c>
      <c r="P204" s="18" t="s">
        <v>20</v>
      </c>
      <c r="Q204" s="18" t="s">
        <v>21</v>
      </c>
      <c r="R204" s="18" t="s">
        <v>23</v>
      </c>
      <c r="S204" s="18" t="s">
        <v>21</v>
      </c>
      <c r="T204" s="18" t="s">
        <v>21</v>
      </c>
      <c r="U204" s="18" t="s">
        <v>20</v>
      </c>
      <c r="V204" s="37" t="s">
        <v>20</v>
      </c>
      <c r="W204" s="37" t="s">
        <v>20</v>
      </c>
      <c r="X204" s="37" t="s">
        <v>20</v>
      </c>
      <c r="Y204" s="18" t="s">
        <v>20</v>
      </c>
      <c r="Z204" s="18" t="s">
        <v>20</v>
      </c>
      <c r="AA204" s="20" t="s">
        <v>21</v>
      </c>
      <c r="AB204" s="20" t="s">
        <v>21</v>
      </c>
      <c r="AC204" s="20" t="s">
        <v>20</v>
      </c>
      <c r="AD204" s="40" t="s">
        <v>20</v>
      </c>
      <c r="AE204" s="40" t="s">
        <v>21</v>
      </c>
      <c r="AG204">
        <f t="shared" si="27"/>
        <v>0</v>
      </c>
      <c r="AH204">
        <f t="shared" si="28"/>
        <v>12</v>
      </c>
      <c r="AI204">
        <f t="shared" si="29"/>
        <v>13</v>
      </c>
      <c r="AJ204">
        <f t="shared" si="30"/>
        <v>1</v>
      </c>
      <c r="AL204">
        <f t="shared" si="31"/>
        <v>0</v>
      </c>
      <c r="AM204">
        <f t="shared" si="32"/>
        <v>36</v>
      </c>
      <c r="AN204">
        <f t="shared" si="33"/>
        <v>26</v>
      </c>
      <c r="AO204">
        <f t="shared" si="34"/>
        <v>1</v>
      </c>
      <c r="AP204">
        <f t="shared" si="35"/>
        <v>63</v>
      </c>
    </row>
    <row r="205" spans="1:42" ht="15.75" hidden="1" customHeight="1" x14ac:dyDescent="0.3">
      <c r="A205" s="16"/>
      <c r="B205" s="55">
        <v>27</v>
      </c>
      <c r="C205" s="56" t="s">
        <v>223</v>
      </c>
      <c r="D205" s="55">
        <v>5</v>
      </c>
      <c r="E205" s="55" t="s">
        <v>20</v>
      </c>
      <c r="F205" s="18" t="s">
        <v>20</v>
      </c>
      <c r="G205" s="18" t="s">
        <v>20</v>
      </c>
      <c r="H205" s="18" t="s">
        <v>20</v>
      </c>
      <c r="I205" s="18" t="s">
        <v>20</v>
      </c>
      <c r="J205" s="43" t="s">
        <v>20</v>
      </c>
      <c r="K205" s="43" t="s">
        <v>20</v>
      </c>
      <c r="L205" s="43" t="s">
        <v>20</v>
      </c>
      <c r="M205" s="18" t="s">
        <v>20</v>
      </c>
      <c r="N205" s="18" t="s">
        <v>20</v>
      </c>
      <c r="O205" s="18" t="s">
        <v>20</v>
      </c>
      <c r="P205" s="18" t="s">
        <v>20</v>
      </c>
      <c r="Q205" s="18" t="s">
        <v>21</v>
      </c>
      <c r="R205" s="18" t="s">
        <v>21</v>
      </c>
      <c r="S205" s="18" t="s">
        <v>20</v>
      </c>
      <c r="T205" s="18" t="s">
        <v>21</v>
      </c>
      <c r="U205" s="18" t="s">
        <v>21</v>
      </c>
      <c r="V205" s="37" t="s">
        <v>20</v>
      </c>
      <c r="W205" s="37" t="s">
        <v>20</v>
      </c>
      <c r="X205" s="37" t="s">
        <v>20</v>
      </c>
      <c r="Y205" s="18" t="s">
        <v>20</v>
      </c>
      <c r="Z205" s="18" t="s">
        <v>20</v>
      </c>
      <c r="AA205" s="20" t="s">
        <v>20</v>
      </c>
      <c r="AB205" s="20" t="s">
        <v>20</v>
      </c>
      <c r="AC205" s="20" t="s">
        <v>20</v>
      </c>
      <c r="AD205" s="18" t="s">
        <v>20</v>
      </c>
      <c r="AE205" s="18" t="s">
        <v>21</v>
      </c>
      <c r="AG205">
        <f t="shared" si="27"/>
        <v>0</v>
      </c>
      <c r="AH205">
        <f t="shared" si="28"/>
        <v>21</v>
      </c>
      <c r="AI205">
        <f t="shared" si="29"/>
        <v>5</v>
      </c>
      <c r="AJ205">
        <f t="shared" si="30"/>
        <v>0</v>
      </c>
      <c r="AL205">
        <f t="shared" si="31"/>
        <v>0</v>
      </c>
      <c r="AM205">
        <f t="shared" si="32"/>
        <v>63</v>
      </c>
      <c r="AN205">
        <f t="shared" si="33"/>
        <v>10</v>
      </c>
      <c r="AO205">
        <f t="shared" si="34"/>
        <v>0</v>
      </c>
      <c r="AP205">
        <f t="shared" si="35"/>
        <v>73</v>
      </c>
    </row>
    <row r="206" spans="1:42" ht="15.75" hidden="1" customHeight="1" thickBot="1" x14ac:dyDescent="0.35">
      <c r="A206" s="16"/>
      <c r="B206" s="57">
        <v>28</v>
      </c>
      <c r="C206" s="58" t="s">
        <v>224</v>
      </c>
      <c r="D206" s="57">
        <v>5</v>
      </c>
      <c r="E206" s="57" t="s">
        <v>20</v>
      </c>
      <c r="F206" s="21" t="s">
        <v>20</v>
      </c>
      <c r="G206" s="21" t="s">
        <v>20</v>
      </c>
      <c r="H206" s="21" t="s">
        <v>20</v>
      </c>
      <c r="I206" s="21" t="s">
        <v>20</v>
      </c>
      <c r="J206" s="45" t="s">
        <v>20</v>
      </c>
      <c r="K206" s="45" t="s">
        <v>20</v>
      </c>
      <c r="L206" s="45" t="s">
        <v>21</v>
      </c>
      <c r="M206" s="21" t="s">
        <v>20</v>
      </c>
      <c r="N206" s="21" t="s">
        <v>20</v>
      </c>
      <c r="O206" s="21" t="s">
        <v>20</v>
      </c>
      <c r="P206" s="21" t="s">
        <v>21</v>
      </c>
      <c r="Q206" s="21" t="s">
        <v>21</v>
      </c>
      <c r="R206" s="21" t="s">
        <v>21</v>
      </c>
      <c r="S206" s="21" t="s">
        <v>20</v>
      </c>
      <c r="T206" s="21" t="s">
        <v>21</v>
      </c>
      <c r="U206" s="21" t="s">
        <v>20</v>
      </c>
      <c r="V206" s="38" t="s">
        <v>20</v>
      </c>
      <c r="W206" s="38" t="s">
        <v>20</v>
      </c>
      <c r="X206" s="38" t="s">
        <v>21</v>
      </c>
      <c r="Y206" s="21" t="s">
        <v>20</v>
      </c>
      <c r="Z206" s="21" t="s">
        <v>20</v>
      </c>
      <c r="AA206" s="23" t="s">
        <v>20</v>
      </c>
      <c r="AB206" s="23" t="s">
        <v>20</v>
      </c>
      <c r="AC206" s="23" t="s">
        <v>20</v>
      </c>
      <c r="AD206" s="21" t="s">
        <v>20</v>
      </c>
      <c r="AE206" s="21" t="s">
        <v>21</v>
      </c>
      <c r="AG206">
        <f t="shared" si="27"/>
        <v>0</v>
      </c>
      <c r="AH206">
        <f t="shared" si="28"/>
        <v>19</v>
      </c>
      <c r="AI206">
        <f t="shared" si="29"/>
        <v>7</v>
      </c>
      <c r="AJ206">
        <f t="shared" si="30"/>
        <v>0</v>
      </c>
      <c r="AL206">
        <f t="shared" si="31"/>
        <v>0</v>
      </c>
      <c r="AM206">
        <f t="shared" si="32"/>
        <v>57</v>
      </c>
      <c r="AN206">
        <f t="shared" si="33"/>
        <v>14</v>
      </c>
      <c r="AO206">
        <f t="shared" si="34"/>
        <v>0</v>
      </c>
      <c r="AP206">
        <f t="shared" si="35"/>
        <v>71</v>
      </c>
    </row>
    <row r="207" spans="1:42" ht="15.75" hidden="1" customHeight="1" x14ac:dyDescent="0.3">
      <c r="A207" s="16"/>
      <c r="B207" s="59">
        <v>1</v>
      </c>
      <c r="C207" s="60" t="s">
        <v>225</v>
      </c>
      <c r="D207" s="59">
        <v>5</v>
      </c>
      <c r="E207" s="59" t="s">
        <v>21</v>
      </c>
      <c r="F207" s="24" t="s">
        <v>21</v>
      </c>
      <c r="G207" s="24" t="s">
        <v>20</v>
      </c>
      <c r="H207" s="24" t="s">
        <v>21</v>
      </c>
      <c r="I207" s="24" t="s">
        <v>21</v>
      </c>
      <c r="J207" s="24" t="s">
        <v>20</v>
      </c>
      <c r="K207" s="24" t="s">
        <v>20</v>
      </c>
      <c r="L207" s="24" t="s">
        <v>20</v>
      </c>
      <c r="M207" s="24" t="s">
        <v>20</v>
      </c>
      <c r="N207" s="24" t="s">
        <v>20</v>
      </c>
      <c r="O207" s="24" t="s">
        <v>20</v>
      </c>
      <c r="P207" s="24" t="s">
        <v>21</v>
      </c>
      <c r="Q207" s="24" t="s">
        <v>21</v>
      </c>
      <c r="R207" s="24" t="s">
        <v>21</v>
      </c>
      <c r="S207" s="24" t="s">
        <v>20</v>
      </c>
      <c r="T207" s="24" t="s">
        <v>21</v>
      </c>
      <c r="U207" s="24" t="s">
        <v>20</v>
      </c>
      <c r="V207" s="39" t="s">
        <v>20</v>
      </c>
      <c r="W207" s="39" t="s">
        <v>20</v>
      </c>
      <c r="X207" s="39" t="s">
        <v>20</v>
      </c>
      <c r="Y207" s="24" t="s">
        <v>20</v>
      </c>
      <c r="Z207" s="24" t="s">
        <v>20</v>
      </c>
      <c r="AA207" s="27" t="s">
        <v>20</v>
      </c>
      <c r="AB207" s="27" t="s">
        <v>20</v>
      </c>
      <c r="AC207" s="27" t="s">
        <v>21</v>
      </c>
      <c r="AD207" s="24" t="s">
        <v>20</v>
      </c>
      <c r="AE207" s="24" t="s">
        <v>21</v>
      </c>
      <c r="AG207">
        <f t="shared" si="27"/>
        <v>0</v>
      </c>
      <c r="AH207">
        <f t="shared" si="28"/>
        <v>17</v>
      </c>
      <c r="AI207">
        <f t="shared" si="29"/>
        <v>9</v>
      </c>
      <c r="AJ207">
        <f t="shared" si="30"/>
        <v>0</v>
      </c>
      <c r="AL207">
        <f t="shared" si="31"/>
        <v>0</v>
      </c>
      <c r="AM207">
        <f t="shared" si="32"/>
        <v>51</v>
      </c>
      <c r="AN207">
        <f t="shared" si="33"/>
        <v>18</v>
      </c>
      <c r="AO207">
        <f t="shared" si="34"/>
        <v>0</v>
      </c>
      <c r="AP207">
        <f t="shared" si="35"/>
        <v>69</v>
      </c>
    </row>
    <row r="208" spans="1:42" ht="15.75" hidden="1" customHeight="1" x14ac:dyDescent="0.3">
      <c r="A208" s="16"/>
      <c r="B208" s="55">
        <v>2</v>
      </c>
      <c r="C208" s="56" t="s">
        <v>226</v>
      </c>
      <c r="D208" s="55">
        <v>5</v>
      </c>
      <c r="E208" s="55" t="s">
        <v>21</v>
      </c>
      <c r="F208" s="18" t="s">
        <v>21</v>
      </c>
      <c r="G208" s="18" t="s">
        <v>21</v>
      </c>
      <c r="H208" s="18" t="s">
        <v>21</v>
      </c>
      <c r="I208" s="18" t="s">
        <v>20</v>
      </c>
      <c r="J208" s="18" t="s">
        <v>21</v>
      </c>
      <c r="K208" s="18" t="s">
        <v>21</v>
      </c>
      <c r="L208" s="18" t="s">
        <v>21</v>
      </c>
      <c r="M208" s="18" t="s">
        <v>20</v>
      </c>
      <c r="N208" s="18" t="s">
        <v>21</v>
      </c>
      <c r="O208" s="18" t="s">
        <v>21</v>
      </c>
      <c r="P208" s="18" t="s">
        <v>21</v>
      </c>
      <c r="Q208" s="18" t="s">
        <v>23</v>
      </c>
      <c r="R208" s="18" t="s">
        <v>23</v>
      </c>
      <c r="S208" s="18" t="s">
        <v>21</v>
      </c>
      <c r="T208" s="18" t="s">
        <v>21</v>
      </c>
      <c r="U208" s="18" t="s">
        <v>21</v>
      </c>
      <c r="V208" s="37" t="s">
        <v>20</v>
      </c>
      <c r="W208" s="37" t="s">
        <v>21</v>
      </c>
      <c r="X208" s="37" t="s">
        <v>20</v>
      </c>
      <c r="Y208" s="18" t="s">
        <v>21</v>
      </c>
      <c r="Z208" s="18" t="s">
        <v>20</v>
      </c>
      <c r="AA208" s="20" t="s">
        <v>21</v>
      </c>
      <c r="AB208" s="20" t="s">
        <v>21</v>
      </c>
      <c r="AC208" s="20" t="s">
        <v>23</v>
      </c>
      <c r="AD208" s="18" t="s">
        <v>23</v>
      </c>
      <c r="AE208" s="18" t="s">
        <v>21</v>
      </c>
      <c r="AG208">
        <f t="shared" si="27"/>
        <v>0</v>
      </c>
      <c r="AH208">
        <f t="shared" si="28"/>
        <v>5</v>
      </c>
      <c r="AI208">
        <f t="shared" si="29"/>
        <v>17</v>
      </c>
      <c r="AJ208">
        <f t="shared" si="30"/>
        <v>4</v>
      </c>
      <c r="AL208">
        <f t="shared" si="31"/>
        <v>0</v>
      </c>
      <c r="AM208">
        <f t="shared" si="32"/>
        <v>15</v>
      </c>
      <c r="AN208">
        <f t="shared" si="33"/>
        <v>34</v>
      </c>
      <c r="AO208">
        <f t="shared" si="34"/>
        <v>4</v>
      </c>
      <c r="AP208">
        <f t="shared" si="35"/>
        <v>53</v>
      </c>
    </row>
    <row r="209" spans="1:42" ht="15.75" hidden="1" customHeight="1" x14ac:dyDescent="0.3">
      <c r="A209" s="16"/>
      <c r="B209" s="55">
        <v>3</v>
      </c>
      <c r="C209" s="56" t="s">
        <v>227</v>
      </c>
      <c r="D209" s="55">
        <v>5</v>
      </c>
      <c r="E209" s="55" t="s">
        <v>21</v>
      </c>
      <c r="F209" s="18" t="s">
        <v>21</v>
      </c>
      <c r="G209" s="18" t="s">
        <v>23</v>
      </c>
      <c r="H209" s="18" t="s">
        <v>21</v>
      </c>
      <c r="I209" s="18" t="s">
        <v>20</v>
      </c>
      <c r="J209" s="18" t="s">
        <v>21</v>
      </c>
      <c r="K209" s="18" t="s">
        <v>21</v>
      </c>
      <c r="L209" s="18" t="s">
        <v>20</v>
      </c>
      <c r="M209" s="18" t="s">
        <v>20</v>
      </c>
      <c r="N209" s="18" t="s">
        <v>21</v>
      </c>
      <c r="O209" s="18" t="s">
        <v>21</v>
      </c>
      <c r="P209" s="18" t="s">
        <v>21</v>
      </c>
      <c r="Q209" s="18" t="s">
        <v>23</v>
      </c>
      <c r="R209" s="18" t="s">
        <v>21</v>
      </c>
      <c r="S209" s="18" t="s">
        <v>21</v>
      </c>
      <c r="T209" s="18" t="s">
        <v>21</v>
      </c>
      <c r="U209" s="18" t="s">
        <v>20</v>
      </c>
      <c r="V209" s="37" t="s">
        <v>20</v>
      </c>
      <c r="W209" s="37" t="s">
        <v>21</v>
      </c>
      <c r="X209" s="37" t="s">
        <v>20</v>
      </c>
      <c r="Y209" s="18" t="s">
        <v>21</v>
      </c>
      <c r="Z209" s="18" t="s">
        <v>20</v>
      </c>
      <c r="AA209" s="20" t="s">
        <v>21</v>
      </c>
      <c r="AB209" s="20" t="s">
        <v>21</v>
      </c>
      <c r="AC209" s="20" t="s">
        <v>21</v>
      </c>
      <c r="AD209" s="18" t="s">
        <v>21</v>
      </c>
      <c r="AE209" s="18" t="s">
        <v>21</v>
      </c>
      <c r="AG209">
        <f t="shared" si="27"/>
        <v>0</v>
      </c>
      <c r="AH209">
        <f t="shared" si="28"/>
        <v>7</v>
      </c>
      <c r="AI209">
        <f t="shared" si="29"/>
        <v>17</v>
      </c>
      <c r="AJ209">
        <f t="shared" si="30"/>
        <v>2</v>
      </c>
      <c r="AL209">
        <f t="shared" si="31"/>
        <v>0</v>
      </c>
      <c r="AM209">
        <f t="shared" si="32"/>
        <v>21</v>
      </c>
      <c r="AN209">
        <f t="shared" si="33"/>
        <v>34</v>
      </c>
      <c r="AO209">
        <f t="shared" si="34"/>
        <v>2</v>
      </c>
      <c r="AP209">
        <f t="shared" si="35"/>
        <v>57</v>
      </c>
    </row>
    <row r="210" spans="1:42" ht="15.75" hidden="1" customHeight="1" x14ac:dyDescent="0.3">
      <c r="A210" s="16"/>
      <c r="B210" s="55">
        <v>4</v>
      </c>
      <c r="C210" s="56" t="s">
        <v>228</v>
      </c>
      <c r="D210" s="55">
        <v>5</v>
      </c>
      <c r="E210" s="55" t="s">
        <v>21</v>
      </c>
      <c r="F210" s="18" t="s">
        <v>20</v>
      </c>
      <c r="G210" s="18" t="s">
        <v>20</v>
      </c>
      <c r="H210" s="18" t="s">
        <v>20</v>
      </c>
      <c r="I210" s="18" t="s">
        <v>20</v>
      </c>
      <c r="J210" s="18" t="s">
        <v>21</v>
      </c>
      <c r="K210" s="18" t="s">
        <v>20</v>
      </c>
      <c r="L210" s="18" t="s">
        <v>20</v>
      </c>
      <c r="M210" s="18" t="s">
        <v>20</v>
      </c>
      <c r="N210" s="18" t="s">
        <v>20</v>
      </c>
      <c r="O210" s="18" t="s">
        <v>20</v>
      </c>
      <c r="P210" s="18" t="s">
        <v>21</v>
      </c>
      <c r="Q210" s="18" t="s">
        <v>21</v>
      </c>
      <c r="R210" s="18" t="s">
        <v>21</v>
      </c>
      <c r="S210" s="18" t="s">
        <v>20</v>
      </c>
      <c r="T210" s="18" t="s">
        <v>21</v>
      </c>
      <c r="U210" s="18" t="s">
        <v>20</v>
      </c>
      <c r="V210" s="37" t="s">
        <v>20</v>
      </c>
      <c r="W210" s="37" t="s">
        <v>20</v>
      </c>
      <c r="X210" s="37" t="s">
        <v>20</v>
      </c>
      <c r="Y210" s="18" t="s">
        <v>20</v>
      </c>
      <c r="Z210" s="18" t="s">
        <v>20</v>
      </c>
      <c r="AA210" s="20" t="s">
        <v>20</v>
      </c>
      <c r="AB210" s="20" t="s">
        <v>20</v>
      </c>
      <c r="AC210" s="20" t="s">
        <v>20</v>
      </c>
      <c r="AD210" s="18" t="s">
        <v>20</v>
      </c>
      <c r="AE210" s="18" t="s">
        <v>21</v>
      </c>
      <c r="AG210">
        <f t="shared" si="27"/>
        <v>0</v>
      </c>
      <c r="AH210">
        <f t="shared" si="28"/>
        <v>20</v>
      </c>
      <c r="AI210">
        <f t="shared" si="29"/>
        <v>6</v>
      </c>
      <c r="AJ210">
        <f t="shared" si="30"/>
        <v>0</v>
      </c>
      <c r="AL210">
        <f t="shared" si="31"/>
        <v>0</v>
      </c>
      <c r="AM210">
        <f t="shared" si="32"/>
        <v>60</v>
      </c>
      <c r="AN210">
        <f t="shared" si="33"/>
        <v>12</v>
      </c>
      <c r="AO210">
        <f t="shared" si="34"/>
        <v>0</v>
      </c>
      <c r="AP210">
        <f t="shared" si="35"/>
        <v>72</v>
      </c>
    </row>
    <row r="211" spans="1:42" ht="15.75" hidden="1" customHeight="1" x14ac:dyDescent="0.3">
      <c r="A211" s="16"/>
      <c r="B211" s="55">
        <v>5</v>
      </c>
      <c r="C211" s="56" t="s">
        <v>229</v>
      </c>
      <c r="D211" s="55">
        <v>5</v>
      </c>
      <c r="E211" s="55" t="s">
        <v>21</v>
      </c>
      <c r="F211" s="18" t="s">
        <v>20</v>
      </c>
      <c r="G211" s="18" t="s">
        <v>21</v>
      </c>
      <c r="H211" s="18" t="s">
        <v>20</v>
      </c>
      <c r="I211" s="18" t="s">
        <v>20</v>
      </c>
      <c r="J211" s="18" t="s">
        <v>21</v>
      </c>
      <c r="K211" s="18" t="s">
        <v>21</v>
      </c>
      <c r="L211" s="18" t="s">
        <v>20</v>
      </c>
      <c r="M211" s="18" t="s">
        <v>20</v>
      </c>
      <c r="N211" s="18" t="s">
        <v>20</v>
      </c>
      <c r="O211" s="18" t="s">
        <v>20</v>
      </c>
      <c r="P211" s="18" t="s">
        <v>21</v>
      </c>
      <c r="Q211" s="18" t="s">
        <v>20</v>
      </c>
      <c r="R211" s="18" t="s">
        <v>21</v>
      </c>
      <c r="S211" s="18" t="s">
        <v>20</v>
      </c>
      <c r="T211" s="18" t="s">
        <v>21</v>
      </c>
      <c r="U211" s="18" t="s">
        <v>20</v>
      </c>
      <c r="V211" s="37" t="s">
        <v>20</v>
      </c>
      <c r="W211" s="37" t="s">
        <v>21</v>
      </c>
      <c r="X211" s="37" t="s">
        <v>20</v>
      </c>
      <c r="Y211" s="18" t="s">
        <v>21</v>
      </c>
      <c r="Z211" s="18" t="s">
        <v>20</v>
      </c>
      <c r="AA211" s="20" t="s">
        <v>20</v>
      </c>
      <c r="AB211" s="20" t="s">
        <v>20</v>
      </c>
      <c r="AC211" s="20" t="s">
        <v>20</v>
      </c>
      <c r="AD211" s="18" t="s">
        <v>20</v>
      </c>
      <c r="AE211" s="18" t="s">
        <v>21</v>
      </c>
      <c r="AG211">
        <f t="shared" si="27"/>
        <v>0</v>
      </c>
      <c r="AH211">
        <f t="shared" si="28"/>
        <v>17</v>
      </c>
      <c r="AI211">
        <f t="shared" si="29"/>
        <v>9</v>
      </c>
      <c r="AJ211">
        <f t="shared" si="30"/>
        <v>0</v>
      </c>
      <c r="AL211">
        <f t="shared" si="31"/>
        <v>0</v>
      </c>
      <c r="AM211">
        <f t="shared" si="32"/>
        <v>51</v>
      </c>
      <c r="AN211">
        <f t="shared" si="33"/>
        <v>18</v>
      </c>
      <c r="AO211">
        <f t="shared" si="34"/>
        <v>0</v>
      </c>
      <c r="AP211">
        <f t="shared" si="35"/>
        <v>69</v>
      </c>
    </row>
    <row r="212" spans="1:42" ht="15.75" hidden="1" customHeight="1" x14ac:dyDescent="0.3">
      <c r="A212" s="16"/>
      <c r="B212" s="55">
        <v>6</v>
      </c>
      <c r="C212" s="56" t="s">
        <v>230</v>
      </c>
      <c r="D212" s="55">
        <v>5</v>
      </c>
      <c r="E212" s="55" t="s">
        <v>21</v>
      </c>
      <c r="F212" s="18" t="s">
        <v>21</v>
      </c>
      <c r="G212" s="18" t="s">
        <v>21</v>
      </c>
      <c r="H212" s="18" t="s">
        <v>21</v>
      </c>
      <c r="I212" s="18" t="s">
        <v>20</v>
      </c>
      <c r="J212" s="18" t="s">
        <v>21</v>
      </c>
      <c r="K212" s="18" t="s">
        <v>21</v>
      </c>
      <c r="L212" s="18" t="s">
        <v>21</v>
      </c>
      <c r="M212" s="18" t="s">
        <v>20</v>
      </c>
      <c r="N212" s="18" t="s">
        <v>20</v>
      </c>
      <c r="O212" s="18" t="s">
        <v>20</v>
      </c>
      <c r="P212" s="18" t="s">
        <v>21</v>
      </c>
      <c r="Q212" s="18" t="s">
        <v>23</v>
      </c>
      <c r="R212" s="18" t="s">
        <v>23</v>
      </c>
      <c r="S212" s="18" t="s">
        <v>21</v>
      </c>
      <c r="T212" s="18" t="s">
        <v>21</v>
      </c>
      <c r="U212" s="18" t="s">
        <v>20</v>
      </c>
      <c r="V212" s="37" t="s">
        <v>20</v>
      </c>
      <c r="W212" s="37" t="s">
        <v>20</v>
      </c>
      <c r="X212" s="37" t="s">
        <v>20</v>
      </c>
      <c r="Y212" s="18" t="s">
        <v>21</v>
      </c>
      <c r="Z212" s="18" t="s">
        <v>20</v>
      </c>
      <c r="AA212" s="20" t="s">
        <v>20</v>
      </c>
      <c r="AB212" s="20" t="s">
        <v>20</v>
      </c>
      <c r="AC212" s="20" t="s">
        <v>20</v>
      </c>
      <c r="AD212" s="29" t="s">
        <v>23</v>
      </c>
      <c r="AE212" s="29" t="s">
        <v>21</v>
      </c>
      <c r="AG212">
        <f t="shared" si="27"/>
        <v>0</v>
      </c>
      <c r="AH212">
        <f t="shared" si="28"/>
        <v>12</v>
      </c>
      <c r="AI212">
        <f t="shared" si="29"/>
        <v>11</v>
      </c>
      <c r="AJ212">
        <f t="shared" si="30"/>
        <v>3</v>
      </c>
      <c r="AL212">
        <f t="shared" si="31"/>
        <v>0</v>
      </c>
      <c r="AM212">
        <f t="shared" si="32"/>
        <v>36</v>
      </c>
      <c r="AN212">
        <f t="shared" si="33"/>
        <v>22</v>
      </c>
      <c r="AO212">
        <f t="shared" si="34"/>
        <v>3</v>
      </c>
      <c r="AP212">
        <f t="shared" si="35"/>
        <v>61</v>
      </c>
    </row>
    <row r="213" spans="1:42" ht="15.75" hidden="1" customHeight="1" x14ac:dyDescent="0.3">
      <c r="A213" s="16"/>
      <c r="B213" s="55">
        <v>7</v>
      </c>
      <c r="C213" s="56" t="s">
        <v>231</v>
      </c>
      <c r="D213" s="55">
        <v>5</v>
      </c>
      <c r="E213" s="55" t="s">
        <v>21</v>
      </c>
      <c r="F213" s="18" t="s">
        <v>21</v>
      </c>
      <c r="G213" s="18" t="s">
        <v>21</v>
      </c>
      <c r="H213" s="18" t="s">
        <v>21</v>
      </c>
      <c r="I213" s="18" t="s">
        <v>21</v>
      </c>
      <c r="J213" s="18" t="s">
        <v>21</v>
      </c>
      <c r="K213" s="18" t="s">
        <v>21</v>
      </c>
      <c r="L213" s="18" t="s">
        <v>21</v>
      </c>
      <c r="M213" s="18" t="s">
        <v>20</v>
      </c>
      <c r="N213" s="18" t="s">
        <v>21</v>
      </c>
      <c r="O213" s="18" t="s">
        <v>20</v>
      </c>
      <c r="P213" s="18" t="s">
        <v>21</v>
      </c>
      <c r="Q213" s="18" t="s">
        <v>23</v>
      </c>
      <c r="R213" s="18" t="s">
        <v>21</v>
      </c>
      <c r="S213" s="18" t="s">
        <v>21</v>
      </c>
      <c r="T213" s="18" t="s">
        <v>21</v>
      </c>
      <c r="U213" s="18" t="s">
        <v>21</v>
      </c>
      <c r="V213" s="37" t="s">
        <v>21</v>
      </c>
      <c r="W213" s="37" t="s">
        <v>21</v>
      </c>
      <c r="X213" s="37" t="s">
        <v>21</v>
      </c>
      <c r="Y213" s="18" t="s">
        <v>20</v>
      </c>
      <c r="Z213" s="18" t="s">
        <v>20</v>
      </c>
      <c r="AA213" s="20" t="s">
        <v>21</v>
      </c>
      <c r="AB213" s="20" t="s">
        <v>21</v>
      </c>
      <c r="AC213" s="20" t="s">
        <v>21</v>
      </c>
      <c r="AD213" s="29" t="s">
        <v>23</v>
      </c>
      <c r="AE213" s="29" t="s">
        <v>21</v>
      </c>
      <c r="AG213">
        <f t="shared" si="27"/>
        <v>0</v>
      </c>
      <c r="AH213">
        <f t="shared" si="28"/>
        <v>4</v>
      </c>
      <c r="AI213">
        <f t="shared" si="29"/>
        <v>20</v>
      </c>
      <c r="AJ213">
        <f t="shared" si="30"/>
        <v>2</v>
      </c>
      <c r="AL213">
        <f t="shared" si="31"/>
        <v>0</v>
      </c>
      <c r="AM213">
        <f t="shared" si="32"/>
        <v>12</v>
      </c>
      <c r="AN213">
        <f t="shared" si="33"/>
        <v>40</v>
      </c>
      <c r="AO213">
        <f t="shared" si="34"/>
        <v>2</v>
      </c>
      <c r="AP213">
        <f t="shared" si="35"/>
        <v>54</v>
      </c>
    </row>
    <row r="214" spans="1:42" ht="15.75" hidden="1" customHeight="1" x14ac:dyDescent="0.3">
      <c r="A214" s="16"/>
      <c r="B214" s="55">
        <v>8</v>
      </c>
      <c r="C214" s="56" t="s">
        <v>232</v>
      </c>
      <c r="D214" s="55">
        <v>5</v>
      </c>
      <c r="E214" s="55" t="s">
        <v>21</v>
      </c>
      <c r="F214" s="18" t="s">
        <v>21</v>
      </c>
      <c r="G214" s="18" t="s">
        <v>23</v>
      </c>
      <c r="H214" s="18" t="s">
        <v>21</v>
      </c>
      <c r="I214" s="18" t="s">
        <v>20</v>
      </c>
      <c r="J214" s="18" t="s">
        <v>23</v>
      </c>
      <c r="K214" s="18" t="s">
        <v>20</v>
      </c>
      <c r="L214" s="18" t="s">
        <v>20</v>
      </c>
      <c r="M214" s="18" t="s">
        <v>20</v>
      </c>
      <c r="N214" s="18" t="s">
        <v>20</v>
      </c>
      <c r="O214" s="18" t="s">
        <v>20</v>
      </c>
      <c r="P214" s="18" t="s">
        <v>23</v>
      </c>
      <c r="Q214" s="18" t="s">
        <v>21</v>
      </c>
      <c r="R214" s="18" t="s">
        <v>21</v>
      </c>
      <c r="S214" s="18" t="s">
        <v>23</v>
      </c>
      <c r="T214" s="18" t="s">
        <v>21</v>
      </c>
      <c r="U214" s="18" t="s">
        <v>20</v>
      </c>
      <c r="V214" s="37" t="s">
        <v>20</v>
      </c>
      <c r="W214" s="37" t="s">
        <v>21</v>
      </c>
      <c r="X214" s="37" t="s">
        <v>20</v>
      </c>
      <c r="Y214" s="18" t="s">
        <v>20</v>
      </c>
      <c r="Z214" s="18" t="s">
        <v>20</v>
      </c>
      <c r="AA214" s="20" t="s">
        <v>20</v>
      </c>
      <c r="AB214" s="20" t="s">
        <v>20</v>
      </c>
      <c r="AC214" s="20" t="s">
        <v>20</v>
      </c>
      <c r="AD214" s="29" t="s">
        <v>23</v>
      </c>
      <c r="AE214" s="29" t="s">
        <v>21</v>
      </c>
      <c r="AG214">
        <f t="shared" si="27"/>
        <v>0</v>
      </c>
      <c r="AH214">
        <f t="shared" si="28"/>
        <v>14</v>
      </c>
      <c r="AI214">
        <f t="shared" si="29"/>
        <v>7</v>
      </c>
      <c r="AJ214">
        <f t="shared" si="30"/>
        <v>5</v>
      </c>
      <c r="AL214">
        <f t="shared" si="31"/>
        <v>0</v>
      </c>
      <c r="AM214">
        <f t="shared" si="32"/>
        <v>42</v>
      </c>
      <c r="AN214">
        <f t="shared" si="33"/>
        <v>14</v>
      </c>
      <c r="AO214">
        <f t="shared" si="34"/>
        <v>5</v>
      </c>
      <c r="AP214">
        <f t="shared" si="35"/>
        <v>61</v>
      </c>
    </row>
    <row r="215" spans="1:42" ht="15.75" hidden="1" customHeight="1" x14ac:dyDescent="0.3">
      <c r="A215" s="16"/>
      <c r="B215" s="55">
        <v>9</v>
      </c>
      <c r="C215" s="56" t="s">
        <v>233</v>
      </c>
      <c r="D215" s="55">
        <v>5</v>
      </c>
      <c r="E215" s="55" t="s">
        <v>21</v>
      </c>
      <c r="F215" s="18" t="s">
        <v>20</v>
      </c>
      <c r="G215" s="18" t="s">
        <v>20</v>
      </c>
      <c r="H215" s="18" t="s">
        <v>20</v>
      </c>
      <c r="I215" s="18" t="s">
        <v>20</v>
      </c>
      <c r="J215" s="18" t="s">
        <v>21</v>
      </c>
      <c r="K215" s="18" t="s">
        <v>21</v>
      </c>
      <c r="L215" s="18" t="s">
        <v>21</v>
      </c>
      <c r="M215" s="18" t="s">
        <v>20</v>
      </c>
      <c r="N215" s="18" t="s">
        <v>20</v>
      </c>
      <c r="O215" s="18" t="s">
        <v>20</v>
      </c>
      <c r="P215" s="18" t="s">
        <v>21</v>
      </c>
      <c r="Q215" s="18" t="s">
        <v>21</v>
      </c>
      <c r="R215" s="18" t="s">
        <v>20</v>
      </c>
      <c r="S215" s="18" t="s">
        <v>20</v>
      </c>
      <c r="T215" s="18" t="s">
        <v>21</v>
      </c>
      <c r="U215" s="18" t="s">
        <v>20</v>
      </c>
      <c r="V215" s="37" t="s">
        <v>20</v>
      </c>
      <c r="W215" s="37" t="s">
        <v>20</v>
      </c>
      <c r="X215" s="37" t="s">
        <v>20</v>
      </c>
      <c r="Y215" s="18" t="s">
        <v>20</v>
      </c>
      <c r="Z215" s="18" t="s">
        <v>20</v>
      </c>
      <c r="AA215" s="20" t="s">
        <v>20</v>
      </c>
      <c r="AB215" s="20" t="s">
        <v>20</v>
      </c>
      <c r="AC215" s="20" t="s">
        <v>20</v>
      </c>
      <c r="AD215" s="29" t="s">
        <v>20</v>
      </c>
      <c r="AE215" s="29" t="s">
        <v>21</v>
      </c>
      <c r="AG215">
        <f t="shared" si="27"/>
        <v>0</v>
      </c>
      <c r="AH215">
        <f t="shared" si="28"/>
        <v>19</v>
      </c>
      <c r="AI215">
        <f t="shared" si="29"/>
        <v>7</v>
      </c>
      <c r="AJ215">
        <f t="shared" si="30"/>
        <v>0</v>
      </c>
      <c r="AL215">
        <f t="shared" si="31"/>
        <v>0</v>
      </c>
      <c r="AM215">
        <f t="shared" si="32"/>
        <v>57</v>
      </c>
      <c r="AN215">
        <f t="shared" si="33"/>
        <v>14</v>
      </c>
      <c r="AO215">
        <f t="shared" si="34"/>
        <v>0</v>
      </c>
      <c r="AP215">
        <f t="shared" si="35"/>
        <v>71</v>
      </c>
    </row>
    <row r="216" spans="1:42" ht="15.75" hidden="1" customHeight="1" x14ac:dyDescent="0.3">
      <c r="A216" s="16"/>
      <c r="B216" s="55">
        <v>10</v>
      </c>
      <c r="C216" s="56" t="s">
        <v>234</v>
      </c>
      <c r="D216" s="55">
        <v>5</v>
      </c>
      <c r="E216" s="55" t="s">
        <v>21</v>
      </c>
      <c r="F216" s="18" t="s">
        <v>20</v>
      </c>
      <c r="G216" s="18" t="s">
        <v>20</v>
      </c>
      <c r="H216" s="18" t="s">
        <v>21</v>
      </c>
      <c r="I216" s="18" t="s">
        <v>20</v>
      </c>
      <c r="J216" s="18" t="s">
        <v>20</v>
      </c>
      <c r="K216" s="18" t="s">
        <v>21</v>
      </c>
      <c r="L216" s="18" t="s">
        <v>20</v>
      </c>
      <c r="M216" s="18" t="s">
        <v>20</v>
      </c>
      <c r="N216" s="18" t="s">
        <v>20</v>
      </c>
      <c r="O216" s="18" t="s">
        <v>20</v>
      </c>
      <c r="P216" s="18" t="s">
        <v>21</v>
      </c>
      <c r="Q216" s="18" t="s">
        <v>21</v>
      </c>
      <c r="R216" s="18" t="s">
        <v>21</v>
      </c>
      <c r="S216" s="18" t="s">
        <v>20</v>
      </c>
      <c r="T216" s="18" t="s">
        <v>21</v>
      </c>
      <c r="U216" s="18" t="s">
        <v>20</v>
      </c>
      <c r="V216" s="37" t="s">
        <v>20</v>
      </c>
      <c r="W216" s="37" t="s">
        <v>20</v>
      </c>
      <c r="X216" s="37" t="s">
        <v>20</v>
      </c>
      <c r="Y216" s="18" t="s">
        <v>20</v>
      </c>
      <c r="Z216" s="18" t="s">
        <v>20</v>
      </c>
      <c r="AA216" s="20" t="s">
        <v>20</v>
      </c>
      <c r="AB216" s="20" t="s">
        <v>20</v>
      </c>
      <c r="AC216" s="20" t="s">
        <v>20</v>
      </c>
      <c r="AD216" s="29" t="s">
        <v>20</v>
      </c>
      <c r="AE216" s="29" t="s">
        <v>21</v>
      </c>
      <c r="AG216">
        <f t="shared" si="27"/>
        <v>0</v>
      </c>
      <c r="AH216">
        <f t="shared" si="28"/>
        <v>19</v>
      </c>
      <c r="AI216">
        <f t="shared" si="29"/>
        <v>7</v>
      </c>
      <c r="AJ216">
        <f t="shared" si="30"/>
        <v>0</v>
      </c>
      <c r="AL216">
        <f t="shared" si="31"/>
        <v>0</v>
      </c>
      <c r="AM216">
        <f t="shared" si="32"/>
        <v>57</v>
      </c>
      <c r="AN216">
        <f t="shared" si="33"/>
        <v>14</v>
      </c>
      <c r="AO216">
        <f t="shared" si="34"/>
        <v>0</v>
      </c>
      <c r="AP216">
        <f t="shared" si="35"/>
        <v>71</v>
      </c>
    </row>
    <row r="217" spans="1:42" ht="15.75" hidden="1" customHeight="1" x14ac:dyDescent="0.3">
      <c r="A217" s="16"/>
      <c r="B217" s="55">
        <v>11</v>
      </c>
      <c r="C217" s="56" t="s">
        <v>235</v>
      </c>
      <c r="D217" s="55">
        <v>5</v>
      </c>
      <c r="E217" s="55" t="s">
        <v>21</v>
      </c>
      <c r="F217" s="18" t="s">
        <v>21</v>
      </c>
      <c r="G217" s="18" t="s">
        <v>21</v>
      </c>
      <c r="H217" s="18" t="s">
        <v>21</v>
      </c>
      <c r="I217" s="18" t="s">
        <v>21</v>
      </c>
      <c r="J217" s="18" t="s">
        <v>21</v>
      </c>
      <c r="K217" s="18" t="s">
        <v>21</v>
      </c>
      <c r="L217" s="18" t="s">
        <v>20</v>
      </c>
      <c r="M217" s="18" t="s">
        <v>20</v>
      </c>
      <c r="N217" s="18" t="s">
        <v>20</v>
      </c>
      <c r="O217" s="18" t="s">
        <v>20</v>
      </c>
      <c r="P217" s="18" t="s">
        <v>21</v>
      </c>
      <c r="Q217" s="18" t="s">
        <v>21</v>
      </c>
      <c r="R217" s="18" t="s">
        <v>21</v>
      </c>
      <c r="S217" s="18" t="s">
        <v>20</v>
      </c>
      <c r="T217" s="18" t="s">
        <v>20</v>
      </c>
      <c r="U217" s="18" t="s">
        <v>21</v>
      </c>
      <c r="V217" s="37" t="s">
        <v>20</v>
      </c>
      <c r="W217" s="37" t="s">
        <v>21</v>
      </c>
      <c r="X217" s="37" t="s">
        <v>20</v>
      </c>
      <c r="Y217" s="18" t="s">
        <v>20</v>
      </c>
      <c r="Z217" s="18" t="s">
        <v>21</v>
      </c>
      <c r="AA217" s="20" t="s">
        <v>20</v>
      </c>
      <c r="AB217" s="20" t="s">
        <v>20</v>
      </c>
      <c r="AC217" s="20" t="s">
        <v>20</v>
      </c>
      <c r="AD217" s="29" t="s">
        <v>20</v>
      </c>
      <c r="AE217" s="29" t="s">
        <v>21</v>
      </c>
      <c r="AG217">
        <f t="shared" si="27"/>
        <v>0</v>
      </c>
      <c r="AH217">
        <f t="shared" si="28"/>
        <v>13</v>
      </c>
      <c r="AI217">
        <f t="shared" si="29"/>
        <v>13</v>
      </c>
      <c r="AJ217">
        <f t="shared" si="30"/>
        <v>0</v>
      </c>
      <c r="AL217">
        <f t="shared" si="31"/>
        <v>0</v>
      </c>
      <c r="AM217">
        <f t="shared" si="32"/>
        <v>39</v>
      </c>
      <c r="AN217">
        <f t="shared" si="33"/>
        <v>26</v>
      </c>
      <c r="AO217">
        <f t="shared" si="34"/>
        <v>0</v>
      </c>
      <c r="AP217">
        <f t="shared" si="35"/>
        <v>65</v>
      </c>
    </row>
    <row r="218" spans="1:42" ht="15.75" hidden="1" customHeight="1" x14ac:dyDescent="0.3">
      <c r="A218" s="16"/>
      <c r="B218" s="55">
        <v>12</v>
      </c>
      <c r="C218" s="56" t="s">
        <v>236</v>
      </c>
      <c r="D218" s="55">
        <v>5</v>
      </c>
      <c r="E218" s="55" t="s">
        <v>21</v>
      </c>
      <c r="F218" s="18" t="s">
        <v>21</v>
      </c>
      <c r="G218" s="18" t="s">
        <v>21</v>
      </c>
      <c r="H218" s="18" t="s">
        <v>21</v>
      </c>
      <c r="I218" s="18" t="s">
        <v>20</v>
      </c>
      <c r="J218" s="18" t="s">
        <v>21</v>
      </c>
      <c r="K218" s="18" t="s">
        <v>21</v>
      </c>
      <c r="L218" s="18" t="s">
        <v>20</v>
      </c>
      <c r="M218" s="18" t="s">
        <v>20</v>
      </c>
      <c r="N218" s="18" t="s">
        <v>20</v>
      </c>
      <c r="O218" s="18" t="s">
        <v>20</v>
      </c>
      <c r="P218" s="18" t="s">
        <v>23</v>
      </c>
      <c r="Q218" s="18" t="s">
        <v>23</v>
      </c>
      <c r="R218" s="18" t="s">
        <v>23</v>
      </c>
      <c r="S218" s="18" t="s">
        <v>21</v>
      </c>
      <c r="T218" s="18" t="s">
        <v>21</v>
      </c>
      <c r="U218" s="18" t="s">
        <v>20</v>
      </c>
      <c r="V218" s="37" t="s">
        <v>20</v>
      </c>
      <c r="W218" s="37" t="s">
        <v>20</v>
      </c>
      <c r="X218" s="37" t="s">
        <v>20</v>
      </c>
      <c r="Y218" s="18" t="s">
        <v>20</v>
      </c>
      <c r="Z218" s="18" t="s">
        <v>20</v>
      </c>
      <c r="AA218" s="20" t="s">
        <v>20</v>
      </c>
      <c r="AB218" s="20" t="s">
        <v>20</v>
      </c>
      <c r="AC218" s="20" t="s">
        <v>20</v>
      </c>
      <c r="AD218" s="29" t="s">
        <v>23</v>
      </c>
      <c r="AE218" s="29" t="s">
        <v>21</v>
      </c>
      <c r="AG218">
        <f t="shared" si="27"/>
        <v>0</v>
      </c>
      <c r="AH218">
        <f t="shared" si="28"/>
        <v>14</v>
      </c>
      <c r="AI218">
        <f t="shared" si="29"/>
        <v>8</v>
      </c>
      <c r="AJ218">
        <f t="shared" si="30"/>
        <v>4</v>
      </c>
      <c r="AL218">
        <f t="shared" si="31"/>
        <v>0</v>
      </c>
      <c r="AM218">
        <f t="shared" si="32"/>
        <v>42</v>
      </c>
      <c r="AN218">
        <f t="shared" si="33"/>
        <v>16</v>
      </c>
      <c r="AO218">
        <f t="shared" si="34"/>
        <v>4</v>
      </c>
      <c r="AP218">
        <f t="shared" si="35"/>
        <v>62</v>
      </c>
    </row>
    <row r="219" spans="1:42" ht="15.75" hidden="1" customHeight="1" x14ac:dyDescent="0.3">
      <c r="A219" s="16"/>
      <c r="B219" s="55">
        <v>13</v>
      </c>
      <c r="C219" s="56" t="s">
        <v>237</v>
      </c>
      <c r="D219" s="55">
        <v>5</v>
      </c>
      <c r="E219" s="55" t="s">
        <v>21</v>
      </c>
      <c r="F219" s="18" t="s">
        <v>21</v>
      </c>
      <c r="G219" s="18" t="s">
        <v>21</v>
      </c>
      <c r="H219" s="18" t="s">
        <v>21</v>
      </c>
      <c r="I219" s="18" t="s">
        <v>21</v>
      </c>
      <c r="J219" s="18" t="s">
        <v>20</v>
      </c>
      <c r="K219" s="18" t="s">
        <v>20</v>
      </c>
      <c r="L219" s="18" t="s">
        <v>20</v>
      </c>
      <c r="M219" s="18" t="s">
        <v>20</v>
      </c>
      <c r="N219" s="18" t="s">
        <v>21</v>
      </c>
      <c r="O219" s="18" t="s">
        <v>20</v>
      </c>
      <c r="P219" s="18" t="s">
        <v>23</v>
      </c>
      <c r="Q219" s="18" t="s">
        <v>21</v>
      </c>
      <c r="R219" s="18" t="s">
        <v>21</v>
      </c>
      <c r="S219" s="18" t="s">
        <v>20</v>
      </c>
      <c r="T219" s="18" t="s">
        <v>21</v>
      </c>
      <c r="U219" s="18" t="s">
        <v>21</v>
      </c>
      <c r="V219" s="37" t="s">
        <v>20</v>
      </c>
      <c r="W219" s="37" t="s">
        <v>20</v>
      </c>
      <c r="X219" s="37" t="s">
        <v>20</v>
      </c>
      <c r="Y219" s="18" t="s">
        <v>20</v>
      </c>
      <c r="Z219" s="18" t="s">
        <v>20</v>
      </c>
      <c r="AA219" s="20" t="s">
        <v>21</v>
      </c>
      <c r="AB219" s="20" t="s">
        <v>20</v>
      </c>
      <c r="AC219" s="20" t="s">
        <v>21</v>
      </c>
      <c r="AD219" s="29" t="s">
        <v>21</v>
      </c>
      <c r="AE219" s="29" t="s">
        <v>21</v>
      </c>
      <c r="AG219">
        <f t="shared" si="27"/>
        <v>0</v>
      </c>
      <c r="AH219">
        <f t="shared" si="28"/>
        <v>12</v>
      </c>
      <c r="AI219">
        <f t="shared" si="29"/>
        <v>13</v>
      </c>
      <c r="AJ219">
        <f t="shared" si="30"/>
        <v>1</v>
      </c>
      <c r="AL219">
        <f t="shared" si="31"/>
        <v>0</v>
      </c>
      <c r="AM219">
        <f t="shared" si="32"/>
        <v>36</v>
      </c>
      <c r="AN219">
        <f t="shared" si="33"/>
        <v>26</v>
      </c>
      <c r="AO219">
        <f t="shared" si="34"/>
        <v>1</v>
      </c>
      <c r="AP219">
        <f t="shared" si="35"/>
        <v>63</v>
      </c>
    </row>
    <row r="220" spans="1:42" ht="15.75" hidden="1" customHeight="1" x14ac:dyDescent="0.3">
      <c r="A220" s="16"/>
      <c r="B220" s="55">
        <v>14</v>
      </c>
      <c r="C220" s="56" t="s">
        <v>238</v>
      </c>
      <c r="D220" s="55">
        <v>5</v>
      </c>
      <c r="E220" s="55" t="s">
        <v>21</v>
      </c>
      <c r="F220" s="18" t="s">
        <v>21</v>
      </c>
      <c r="G220" s="18" t="s">
        <v>21</v>
      </c>
      <c r="H220" s="18" t="s">
        <v>23</v>
      </c>
      <c r="I220" s="18" t="s">
        <v>21</v>
      </c>
      <c r="J220" s="18" t="s">
        <v>23</v>
      </c>
      <c r="K220" s="18" t="s">
        <v>21</v>
      </c>
      <c r="L220" s="18" t="s">
        <v>21</v>
      </c>
      <c r="M220" s="18" t="s">
        <v>21</v>
      </c>
      <c r="N220" s="18" t="s">
        <v>21</v>
      </c>
      <c r="O220" s="18" t="s">
        <v>20</v>
      </c>
      <c r="P220" s="18" t="s">
        <v>21</v>
      </c>
      <c r="Q220" s="18" t="s">
        <v>23</v>
      </c>
      <c r="R220" s="18" t="s">
        <v>21</v>
      </c>
      <c r="S220" s="18" t="s">
        <v>21</v>
      </c>
      <c r="T220" s="18" t="s">
        <v>21</v>
      </c>
      <c r="U220" s="18" t="s">
        <v>20</v>
      </c>
      <c r="V220" s="37" t="s">
        <v>21</v>
      </c>
      <c r="W220" s="37" t="s">
        <v>20</v>
      </c>
      <c r="X220" s="37" t="s">
        <v>20</v>
      </c>
      <c r="Y220" s="18" t="s">
        <v>20</v>
      </c>
      <c r="Z220" s="18" t="s">
        <v>21</v>
      </c>
      <c r="AA220" s="20" t="s">
        <v>23</v>
      </c>
      <c r="AB220" s="20" t="s">
        <v>23</v>
      </c>
      <c r="AC220" s="20" t="s">
        <v>21</v>
      </c>
      <c r="AD220" s="29" t="s">
        <v>20</v>
      </c>
      <c r="AE220" s="29" t="s">
        <v>21</v>
      </c>
      <c r="AG220">
        <f t="shared" si="27"/>
        <v>0</v>
      </c>
      <c r="AH220">
        <f t="shared" si="28"/>
        <v>6</v>
      </c>
      <c r="AI220">
        <f t="shared" si="29"/>
        <v>15</v>
      </c>
      <c r="AJ220">
        <f t="shared" si="30"/>
        <v>5</v>
      </c>
      <c r="AL220">
        <f t="shared" si="31"/>
        <v>0</v>
      </c>
      <c r="AM220">
        <f t="shared" si="32"/>
        <v>18</v>
      </c>
      <c r="AN220">
        <f t="shared" si="33"/>
        <v>30</v>
      </c>
      <c r="AO220">
        <f t="shared" si="34"/>
        <v>5</v>
      </c>
      <c r="AP220">
        <f t="shared" si="35"/>
        <v>53</v>
      </c>
    </row>
    <row r="221" spans="1:42" ht="15.75" hidden="1" customHeight="1" x14ac:dyDescent="0.3">
      <c r="A221" s="16"/>
      <c r="B221" s="55">
        <v>15</v>
      </c>
      <c r="C221" s="56" t="s">
        <v>239</v>
      </c>
      <c r="D221" s="55">
        <v>5</v>
      </c>
      <c r="E221" s="55" t="s">
        <v>21</v>
      </c>
      <c r="F221" s="18" t="s">
        <v>21</v>
      </c>
      <c r="G221" s="18" t="s">
        <v>23</v>
      </c>
      <c r="H221" s="18" t="s">
        <v>21</v>
      </c>
      <c r="I221" s="18" t="s">
        <v>21</v>
      </c>
      <c r="J221" s="18" t="s">
        <v>21</v>
      </c>
      <c r="K221" s="18" t="s">
        <v>20</v>
      </c>
      <c r="L221" s="18" t="s">
        <v>20</v>
      </c>
      <c r="M221" s="18" t="s">
        <v>20</v>
      </c>
      <c r="N221" s="18" t="s">
        <v>21</v>
      </c>
      <c r="O221" s="18" t="s">
        <v>20</v>
      </c>
      <c r="P221" s="18" t="s">
        <v>21</v>
      </c>
      <c r="Q221" s="18" t="s">
        <v>21</v>
      </c>
      <c r="R221" s="18" t="s">
        <v>21</v>
      </c>
      <c r="S221" s="18" t="s">
        <v>20</v>
      </c>
      <c r="T221" s="18" t="s">
        <v>20</v>
      </c>
      <c r="U221" s="18" t="s">
        <v>21</v>
      </c>
      <c r="V221" s="37" t="s">
        <v>20</v>
      </c>
      <c r="W221" s="37" t="s">
        <v>20</v>
      </c>
      <c r="X221" s="37" t="s">
        <v>20</v>
      </c>
      <c r="Y221" s="18" t="s">
        <v>21</v>
      </c>
      <c r="Z221" s="18" t="s">
        <v>21</v>
      </c>
      <c r="AA221" s="20" t="s">
        <v>21</v>
      </c>
      <c r="AB221" s="20" t="s">
        <v>21</v>
      </c>
      <c r="AC221" s="20" t="s">
        <v>21</v>
      </c>
      <c r="AD221" s="29" t="s">
        <v>20</v>
      </c>
      <c r="AE221" s="29" t="s">
        <v>21</v>
      </c>
      <c r="AG221">
        <f t="shared" si="27"/>
        <v>0</v>
      </c>
      <c r="AH221">
        <f t="shared" si="28"/>
        <v>10</v>
      </c>
      <c r="AI221">
        <f t="shared" si="29"/>
        <v>15</v>
      </c>
      <c r="AJ221">
        <f t="shared" si="30"/>
        <v>1</v>
      </c>
      <c r="AL221">
        <f t="shared" si="31"/>
        <v>0</v>
      </c>
      <c r="AM221">
        <f t="shared" si="32"/>
        <v>30</v>
      </c>
      <c r="AN221">
        <f t="shared" si="33"/>
        <v>30</v>
      </c>
      <c r="AO221">
        <f t="shared" si="34"/>
        <v>1</v>
      </c>
      <c r="AP221">
        <f t="shared" si="35"/>
        <v>61</v>
      </c>
    </row>
    <row r="222" spans="1:42" ht="15.75" hidden="1" customHeight="1" x14ac:dyDescent="0.3">
      <c r="A222" s="16"/>
      <c r="B222" s="55">
        <v>16</v>
      </c>
      <c r="C222" s="56" t="s">
        <v>240</v>
      </c>
      <c r="D222" s="55">
        <v>5</v>
      </c>
      <c r="E222" s="55" t="s">
        <v>21</v>
      </c>
      <c r="F222" s="18" t="s">
        <v>20</v>
      </c>
      <c r="G222" s="18" t="s">
        <v>20</v>
      </c>
      <c r="H222" s="18" t="s">
        <v>21</v>
      </c>
      <c r="I222" s="18" t="s">
        <v>20</v>
      </c>
      <c r="J222" s="18" t="s">
        <v>21</v>
      </c>
      <c r="K222" s="18" t="s">
        <v>21</v>
      </c>
      <c r="L222" s="18" t="s">
        <v>20</v>
      </c>
      <c r="M222" s="18" t="s">
        <v>20</v>
      </c>
      <c r="N222" s="18" t="s">
        <v>20</v>
      </c>
      <c r="O222" s="18" t="s">
        <v>20</v>
      </c>
      <c r="P222" s="18" t="s">
        <v>21</v>
      </c>
      <c r="Q222" s="18" t="s">
        <v>20</v>
      </c>
      <c r="R222" s="18" t="s">
        <v>21</v>
      </c>
      <c r="S222" s="18" t="s">
        <v>21</v>
      </c>
      <c r="T222" s="18" t="s">
        <v>21</v>
      </c>
      <c r="U222" s="18" t="s">
        <v>20</v>
      </c>
      <c r="V222" s="37" t="s">
        <v>20</v>
      </c>
      <c r="W222" s="37" t="s">
        <v>20</v>
      </c>
      <c r="X222" s="37" t="s">
        <v>20</v>
      </c>
      <c r="Y222" s="18" t="s">
        <v>20</v>
      </c>
      <c r="Z222" s="18" t="s">
        <v>21</v>
      </c>
      <c r="AA222" s="20" t="s">
        <v>21</v>
      </c>
      <c r="AB222" s="20" t="s">
        <v>20</v>
      </c>
      <c r="AC222" s="20" t="s">
        <v>20</v>
      </c>
      <c r="AD222" s="29" t="s">
        <v>20</v>
      </c>
      <c r="AE222" s="29" t="s">
        <v>21</v>
      </c>
      <c r="AG222">
        <f t="shared" si="27"/>
        <v>0</v>
      </c>
      <c r="AH222">
        <f t="shared" si="28"/>
        <v>16</v>
      </c>
      <c r="AI222">
        <f t="shared" si="29"/>
        <v>10</v>
      </c>
      <c r="AJ222">
        <f t="shared" si="30"/>
        <v>0</v>
      </c>
      <c r="AL222">
        <f t="shared" si="31"/>
        <v>0</v>
      </c>
      <c r="AM222">
        <f t="shared" si="32"/>
        <v>48</v>
      </c>
      <c r="AN222">
        <f t="shared" si="33"/>
        <v>20</v>
      </c>
      <c r="AO222">
        <f t="shared" si="34"/>
        <v>0</v>
      </c>
      <c r="AP222">
        <f t="shared" si="35"/>
        <v>68</v>
      </c>
    </row>
    <row r="223" spans="1:42" ht="15.75" hidden="1" customHeight="1" x14ac:dyDescent="0.3">
      <c r="A223" s="16"/>
      <c r="B223" s="55">
        <v>17</v>
      </c>
      <c r="C223" s="56" t="s">
        <v>241</v>
      </c>
      <c r="D223" s="55">
        <v>5</v>
      </c>
      <c r="E223" s="55" t="s">
        <v>21</v>
      </c>
      <c r="F223" s="18" t="s">
        <v>21</v>
      </c>
      <c r="G223" s="18" t="s">
        <v>23</v>
      </c>
      <c r="H223" s="18" t="s">
        <v>21</v>
      </c>
      <c r="I223" s="18" t="s">
        <v>21</v>
      </c>
      <c r="J223" s="18" t="s">
        <v>21</v>
      </c>
      <c r="K223" s="18" t="s">
        <v>21</v>
      </c>
      <c r="L223" s="18" t="s">
        <v>21</v>
      </c>
      <c r="M223" s="18" t="s">
        <v>21</v>
      </c>
      <c r="N223" s="18" t="s">
        <v>21</v>
      </c>
      <c r="O223" s="18" t="s">
        <v>21</v>
      </c>
      <c r="P223" s="18" t="s">
        <v>21</v>
      </c>
      <c r="Q223" s="18" t="s">
        <v>23</v>
      </c>
      <c r="R223" s="18" t="s">
        <v>21</v>
      </c>
      <c r="S223" s="18" t="s">
        <v>21</v>
      </c>
      <c r="T223" s="18" t="s">
        <v>21</v>
      </c>
      <c r="U223" s="18" t="s">
        <v>21</v>
      </c>
      <c r="V223" s="37" t="s">
        <v>20</v>
      </c>
      <c r="W223" s="37" t="s">
        <v>21</v>
      </c>
      <c r="X223" s="37" t="s">
        <v>20</v>
      </c>
      <c r="Y223" s="18" t="s">
        <v>20</v>
      </c>
      <c r="Z223" s="18" t="s">
        <v>21</v>
      </c>
      <c r="AA223" s="20" t="s">
        <v>20</v>
      </c>
      <c r="AB223" s="20" t="s">
        <v>21</v>
      </c>
      <c r="AC223" s="20" t="s">
        <v>21</v>
      </c>
      <c r="AD223" s="29" t="s">
        <v>23</v>
      </c>
      <c r="AE223" s="29" t="s">
        <v>21</v>
      </c>
      <c r="AG223">
        <f t="shared" si="27"/>
        <v>0</v>
      </c>
      <c r="AH223">
        <f t="shared" si="28"/>
        <v>4</v>
      </c>
      <c r="AI223">
        <f t="shared" si="29"/>
        <v>19</v>
      </c>
      <c r="AJ223">
        <f t="shared" si="30"/>
        <v>3</v>
      </c>
      <c r="AL223">
        <f t="shared" si="31"/>
        <v>0</v>
      </c>
      <c r="AM223">
        <f t="shared" si="32"/>
        <v>12</v>
      </c>
      <c r="AN223">
        <f t="shared" si="33"/>
        <v>38</v>
      </c>
      <c r="AO223">
        <f t="shared" si="34"/>
        <v>3</v>
      </c>
      <c r="AP223">
        <f t="shared" si="35"/>
        <v>53</v>
      </c>
    </row>
    <row r="224" spans="1:42" ht="15.75" hidden="1" customHeight="1" x14ac:dyDescent="0.3">
      <c r="A224" s="16"/>
      <c r="B224" s="55">
        <v>18</v>
      </c>
      <c r="C224" s="56" t="s">
        <v>242</v>
      </c>
      <c r="D224" s="55">
        <v>5</v>
      </c>
      <c r="E224" s="55" t="s">
        <v>21</v>
      </c>
      <c r="F224" s="18" t="s">
        <v>20</v>
      </c>
      <c r="G224" s="18" t="s">
        <v>20</v>
      </c>
      <c r="H224" s="18" t="s">
        <v>21</v>
      </c>
      <c r="I224" s="18" t="s">
        <v>21</v>
      </c>
      <c r="J224" s="18" t="s">
        <v>20</v>
      </c>
      <c r="K224" s="18" t="s">
        <v>20</v>
      </c>
      <c r="L224" s="18" t="s">
        <v>21</v>
      </c>
      <c r="M224" s="18" t="s">
        <v>20</v>
      </c>
      <c r="N224" s="18" t="s">
        <v>20</v>
      </c>
      <c r="O224" s="18" t="s">
        <v>20</v>
      </c>
      <c r="P224" s="18" t="s">
        <v>21</v>
      </c>
      <c r="Q224" s="18" t="s">
        <v>21</v>
      </c>
      <c r="R224" s="18" t="s">
        <v>21</v>
      </c>
      <c r="S224" s="18" t="s">
        <v>20</v>
      </c>
      <c r="T224" s="18" t="s">
        <v>20</v>
      </c>
      <c r="U224" s="18" t="s">
        <v>20</v>
      </c>
      <c r="V224" s="37" t="s">
        <v>20</v>
      </c>
      <c r="W224" s="37" t="s">
        <v>20</v>
      </c>
      <c r="X224" s="37" t="s">
        <v>20</v>
      </c>
      <c r="Y224" s="18" t="s">
        <v>20</v>
      </c>
      <c r="Z224" s="18" t="s">
        <v>20</v>
      </c>
      <c r="AA224" s="20" t="s">
        <v>21</v>
      </c>
      <c r="AB224" s="20" t="s">
        <v>20</v>
      </c>
      <c r="AC224" s="20" t="s">
        <v>20</v>
      </c>
      <c r="AD224" s="29" t="s">
        <v>20</v>
      </c>
      <c r="AE224" s="29" t="s">
        <v>21</v>
      </c>
      <c r="AG224">
        <f t="shared" si="27"/>
        <v>0</v>
      </c>
      <c r="AH224">
        <f t="shared" si="28"/>
        <v>18</v>
      </c>
      <c r="AI224">
        <f t="shared" si="29"/>
        <v>8</v>
      </c>
      <c r="AJ224">
        <f t="shared" si="30"/>
        <v>0</v>
      </c>
      <c r="AL224">
        <f t="shared" si="31"/>
        <v>0</v>
      </c>
      <c r="AM224">
        <f t="shared" si="32"/>
        <v>54</v>
      </c>
      <c r="AN224">
        <f t="shared" si="33"/>
        <v>16</v>
      </c>
      <c r="AO224">
        <f t="shared" si="34"/>
        <v>0</v>
      </c>
      <c r="AP224">
        <f t="shared" si="35"/>
        <v>70</v>
      </c>
    </row>
    <row r="225" spans="1:42" ht="15.75" hidden="1" customHeight="1" x14ac:dyDescent="0.3">
      <c r="A225" s="16"/>
      <c r="B225" s="55">
        <v>19</v>
      </c>
      <c r="C225" s="56" t="s">
        <v>243</v>
      </c>
      <c r="D225" s="55">
        <v>5</v>
      </c>
      <c r="E225" s="55" t="s">
        <v>21</v>
      </c>
      <c r="F225" s="18" t="s">
        <v>20</v>
      </c>
      <c r="G225" s="18" t="s">
        <v>20</v>
      </c>
      <c r="H225" s="18" t="s">
        <v>20</v>
      </c>
      <c r="I225" s="18" t="s">
        <v>20</v>
      </c>
      <c r="J225" s="18" t="s">
        <v>20</v>
      </c>
      <c r="K225" s="18" t="s">
        <v>20</v>
      </c>
      <c r="L225" s="18" t="s">
        <v>20</v>
      </c>
      <c r="M225" s="18" t="s">
        <v>20</v>
      </c>
      <c r="N225" s="18" t="s">
        <v>20</v>
      </c>
      <c r="O225" s="18" t="s">
        <v>20</v>
      </c>
      <c r="P225" s="18" t="s">
        <v>20</v>
      </c>
      <c r="Q225" s="18" t="s">
        <v>20</v>
      </c>
      <c r="R225" s="18" t="s">
        <v>20</v>
      </c>
      <c r="S225" s="18" t="s">
        <v>20</v>
      </c>
      <c r="T225" s="18" t="s">
        <v>20</v>
      </c>
      <c r="U225" s="18" t="s">
        <v>20</v>
      </c>
      <c r="V225" s="37" t="s">
        <v>20</v>
      </c>
      <c r="W225" s="37" t="s">
        <v>20</v>
      </c>
      <c r="X225" s="37" t="s">
        <v>20</v>
      </c>
      <c r="Y225" s="18" t="s">
        <v>20</v>
      </c>
      <c r="Z225" s="18" t="s">
        <v>20</v>
      </c>
      <c r="AA225" s="20" t="s">
        <v>20</v>
      </c>
      <c r="AB225" s="20" t="s">
        <v>20</v>
      </c>
      <c r="AC225" s="20" t="s">
        <v>20</v>
      </c>
      <c r="AD225" s="29" t="s">
        <v>20</v>
      </c>
      <c r="AE225" s="29" t="s">
        <v>21</v>
      </c>
      <c r="AG225">
        <f t="shared" si="27"/>
        <v>0</v>
      </c>
      <c r="AH225">
        <f t="shared" si="28"/>
        <v>25</v>
      </c>
      <c r="AI225">
        <f t="shared" si="29"/>
        <v>1</v>
      </c>
      <c r="AJ225">
        <f t="shared" si="30"/>
        <v>0</v>
      </c>
      <c r="AL225">
        <f t="shared" si="31"/>
        <v>0</v>
      </c>
      <c r="AM225">
        <f t="shared" si="32"/>
        <v>75</v>
      </c>
      <c r="AN225">
        <f t="shared" si="33"/>
        <v>2</v>
      </c>
      <c r="AO225">
        <f t="shared" si="34"/>
        <v>0</v>
      </c>
      <c r="AP225">
        <f t="shared" si="35"/>
        <v>77</v>
      </c>
    </row>
    <row r="226" spans="1:42" ht="15.75" hidden="1" customHeight="1" x14ac:dyDescent="0.3">
      <c r="A226" s="16"/>
      <c r="B226" s="55">
        <v>20</v>
      </c>
      <c r="C226" s="56" t="s">
        <v>244</v>
      </c>
      <c r="D226" s="55">
        <v>5</v>
      </c>
      <c r="E226" s="55" t="s">
        <v>21</v>
      </c>
      <c r="F226" s="18" t="s">
        <v>20</v>
      </c>
      <c r="G226" s="18" t="s">
        <v>21</v>
      </c>
      <c r="H226" s="18" t="s">
        <v>21</v>
      </c>
      <c r="I226" s="18" t="s">
        <v>21</v>
      </c>
      <c r="J226" s="18" t="s">
        <v>21</v>
      </c>
      <c r="K226" s="18" t="s">
        <v>20</v>
      </c>
      <c r="L226" s="18" t="s">
        <v>20</v>
      </c>
      <c r="M226" s="18" t="s">
        <v>20</v>
      </c>
      <c r="N226" s="18" t="s">
        <v>21</v>
      </c>
      <c r="O226" s="18" t="s">
        <v>20</v>
      </c>
      <c r="P226" s="18" t="s">
        <v>21</v>
      </c>
      <c r="Q226" s="18" t="s">
        <v>21</v>
      </c>
      <c r="R226" s="18" t="s">
        <v>21</v>
      </c>
      <c r="S226" s="18" t="s">
        <v>20</v>
      </c>
      <c r="T226" s="18" t="s">
        <v>21</v>
      </c>
      <c r="U226" s="18" t="s">
        <v>21</v>
      </c>
      <c r="V226" s="37" t="s">
        <v>20</v>
      </c>
      <c r="W226" s="37" t="s">
        <v>21</v>
      </c>
      <c r="X226" s="37" t="s">
        <v>20</v>
      </c>
      <c r="Y226" s="18" t="s">
        <v>20</v>
      </c>
      <c r="Z226" s="18" t="s">
        <v>20</v>
      </c>
      <c r="AA226" s="20" t="s">
        <v>20</v>
      </c>
      <c r="AB226" s="20" t="s">
        <v>20</v>
      </c>
      <c r="AC226" s="20" t="s">
        <v>20</v>
      </c>
      <c r="AD226" s="29" t="s">
        <v>20</v>
      </c>
      <c r="AE226" s="29" t="s">
        <v>21</v>
      </c>
      <c r="AG226">
        <f t="shared" si="27"/>
        <v>0</v>
      </c>
      <c r="AH226">
        <f t="shared" si="28"/>
        <v>14</v>
      </c>
      <c r="AI226">
        <f t="shared" si="29"/>
        <v>12</v>
      </c>
      <c r="AJ226">
        <f t="shared" si="30"/>
        <v>0</v>
      </c>
      <c r="AL226">
        <f t="shared" si="31"/>
        <v>0</v>
      </c>
      <c r="AM226">
        <f t="shared" si="32"/>
        <v>42</v>
      </c>
      <c r="AN226">
        <f t="shared" si="33"/>
        <v>24</v>
      </c>
      <c r="AO226">
        <f t="shared" si="34"/>
        <v>0</v>
      </c>
      <c r="AP226">
        <f t="shared" si="35"/>
        <v>66</v>
      </c>
    </row>
    <row r="227" spans="1:42" ht="15.75" hidden="1" customHeight="1" x14ac:dyDescent="0.3">
      <c r="A227" s="16"/>
      <c r="B227" s="55">
        <v>21</v>
      </c>
      <c r="C227" s="56" t="s">
        <v>245</v>
      </c>
      <c r="D227" s="55">
        <v>5</v>
      </c>
      <c r="E227" s="55" t="s">
        <v>21</v>
      </c>
      <c r="F227" s="18" t="s">
        <v>39</v>
      </c>
      <c r="G227" s="18" t="s">
        <v>20</v>
      </c>
      <c r="H227" s="18" t="s">
        <v>20</v>
      </c>
      <c r="I227" s="18" t="s">
        <v>20</v>
      </c>
      <c r="J227" s="18" t="s">
        <v>20</v>
      </c>
      <c r="K227" s="18" t="s">
        <v>39</v>
      </c>
      <c r="L227" s="18" t="s">
        <v>39</v>
      </c>
      <c r="M227" s="18" t="s">
        <v>20</v>
      </c>
      <c r="N227" s="18" t="s">
        <v>20</v>
      </c>
      <c r="O227" s="18" t="s">
        <v>20</v>
      </c>
      <c r="P227" s="18" t="s">
        <v>20</v>
      </c>
      <c r="Q227" s="18" t="s">
        <v>20</v>
      </c>
      <c r="R227" s="18" t="s">
        <v>20</v>
      </c>
      <c r="S227" s="18" t="s">
        <v>20</v>
      </c>
      <c r="T227" s="18" t="s">
        <v>20</v>
      </c>
      <c r="U227" s="18" t="s">
        <v>20</v>
      </c>
      <c r="V227" s="37" t="s">
        <v>20</v>
      </c>
      <c r="W227" s="37" t="s">
        <v>20</v>
      </c>
      <c r="X227" s="37" t="s">
        <v>20</v>
      </c>
      <c r="Y227" s="18" t="s">
        <v>39</v>
      </c>
      <c r="Z227" s="18" t="s">
        <v>39</v>
      </c>
      <c r="AA227" s="20" t="s">
        <v>20</v>
      </c>
      <c r="AB227" s="20" t="s">
        <v>20</v>
      </c>
      <c r="AC227" s="20" t="s">
        <v>20</v>
      </c>
      <c r="AD227" s="29" t="s">
        <v>20</v>
      </c>
      <c r="AE227" s="29" t="s">
        <v>21</v>
      </c>
      <c r="AG227">
        <f t="shared" si="27"/>
        <v>5</v>
      </c>
      <c r="AH227">
        <f t="shared" si="28"/>
        <v>20</v>
      </c>
      <c r="AI227">
        <f t="shared" si="29"/>
        <v>1</v>
      </c>
      <c r="AJ227">
        <f t="shared" si="30"/>
        <v>0</v>
      </c>
      <c r="AL227">
        <f t="shared" si="31"/>
        <v>20</v>
      </c>
      <c r="AM227">
        <f t="shared" si="32"/>
        <v>60</v>
      </c>
      <c r="AN227">
        <f t="shared" si="33"/>
        <v>2</v>
      </c>
      <c r="AO227">
        <f t="shared" si="34"/>
        <v>0</v>
      </c>
      <c r="AP227">
        <f t="shared" si="35"/>
        <v>82</v>
      </c>
    </row>
    <row r="228" spans="1:42" ht="15.75" hidden="1" customHeight="1" x14ac:dyDescent="0.3">
      <c r="A228" s="16"/>
      <c r="B228" s="55">
        <v>22</v>
      </c>
      <c r="C228" s="56" t="s">
        <v>246</v>
      </c>
      <c r="D228" s="55">
        <v>5</v>
      </c>
      <c r="E228" s="55" t="s">
        <v>21</v>
      </c>
      <c r="F228" s="18" t="s">
        <v>21</v>
      </c>
      <c r="G228" s="18" t="s">
        <v>21</v>
      </c>
      <c r="H228" s="18" t="s">
        <v>21</v>
      </c>
      <c r="I228" s="18" t="s">
        <v>21</v>
      </c>
      <c r="J228" s="18" t="s">
        <v>21</v>
      </c>
      <c r="K228" s="18" t="s">
        <v>20</v>
      </c>
      <c r="L228" s="18" t="s">
        <v>20</v>
      </c>
      <c r="M228" s="18" t="s">
        <v>20</v>
      </c>
      <c r="N228" s="18" t="s">
        <v>20</v>
      </c>
      <c r="O228" s="18" t="s">
        <v>20</v>
      </c>
      <c r="P228" s="18" t="s">
        <v>21</v>
      </c>
      <c r="Q228" s="18" t="s">
        <v>21</v>
      </c>
      <c r="R228" s="18" t="s">
        <v>23</v>
      </c>
      <c r="S228" s="18" t="s">
        <v>21</v>
      </c>
      <c r="T228" s="18" t="s">
        <v>21</v>
      </c>
      <c r="U228" s="18" t="s">
        <v>20</v>
      </c>
      <c r="V228" s="37" t="s">
        <v>20</v>
      </c>
      <c r="W228" s="37" t="s">
        <v>20</v>
      </c>
      <c r="X228" s="37" t="s">
        <v>20</v>
      </c>
      <c r="Y228" s="18" t="s">
        <v>21</v>
      </c>
      <c r="Z228" s="18" t="s">
        <v>20</v>
      </c>
      <c r="AA228" s="20" t="s">
        <v>21</v>
      </c>
      <c r="AB228" s="20" t="s">
        <v>21</v>
      </c>
      <c r="AC228" s="20" t="s">
        <v>21</v>
      </c>
      <c r="AD228" s="47" t="s">
        <v>23</v>
      </c>
      <c r="AE228" s="47" t="s">
        <v>21</v>
      </c>
      <c r="AG228">
        <f t="shared" si="27"/>
        <v>0</v>
      </c>
      <c r="AH228">
        <f t="shared" si="28"/>
        <v>10</v>
      </c>
      <c r="AI228">
        <f t="shared" si="29"/>
        <v>14</v>
      </c>
      <c r="AJ228">
        <f t="shared" si="30"/>
        <v>2</v>
      </c>
      <c r="AL228">
        <f t="shared" si="31"/>
        <v>0</v>
      </c>
      <c r="AM228">
        <f t="shared" si="32"/>
        <v>30</v>
      </c>
      <c r="AN228">
        <f t="shared" si="33"/>
        <v>28</v>
      </c>
      <c r="AO228">
        <f t="shared" si="34"/>
        <v>2</v>
      </c>
      <c r="AP228">
        <f t="shared" si="35"/>
        <v>60</v>
      </c>
    </row>
    <row r="229" spans="1:42" ht="15.75" hidden="1" customHeight="1" x14ac:dyDescent="0.3">
      <c r="A229" s="16"/>
      <c r="B229" s="55">
        <v>23</v>
      </c>
      <c r="C229" s="56" t="s">
        <v>247</v>
      </c>
      <c r="D229" s="55">
        <v>5</v>
      </c>
      <c r="E229" s="55" t="s">
        <v>21</v>
      </c>
      <c r="F229" s="18" t="s">
        <v>21</v>
      </c>
      <c r="G229" s="18" t="s">
        <v>21</v>
      </c>
      <c r="H229" s="18" t="s">
        <v>21</v>
      </c>
      <c r="I229" s="18" t="s">
        <v>20</v>
      </c>
      <c r="J229" s="18" t="s">
        <v>20</v>
      </c>
      <c r="K229" s="18" t="s">
        <v>20</v>
      </c>
      <c r="L229" s="18" t="s">
        <v>20</v>
      </c>
      <c r="M229" s="18" t="s">
        <v>20</v>
      </c>
      <c r="N229" s="18" t="s">
        <v>21</v>
      </c>
      <c r="O229" s="18" t="s">
        <v>20</v>
      </c>
      <c r="P229" s="18" t="s">
        <v>21</v>
      </c>
      <c r="Q229" s="18" t="s">
        <v>21</v>
      </c>
      <c r="R229" s="18" t="s">
        <v>20</v>
      </c>
      <c r="S229" s="18" t="s">
        <v>21</v>
      </c>
      <c r="T229" s="18" t="s">
        <v>21</v>
      </c>
      <c r="U229" s="18" t="s">
        <v>21</v>
      </c>
      <c r="V229" s="37" t="s">
        <v>20</v>
      </c>
      <c r="W229" s="37" t="s">
        <v>20</v>
      </c>
      <c r="X229" s="37" t="s">
        <v>20</v>
      </c>
      <c r="Y229" s="18" t="s">
        <v>20</v>
      </c>
      <c r="Z229" s="18" t="s">
        <v>21</v>
      </c>
      <c r="AA229" s="20" t="s">
        <v>20</v>
      </c>
      <c r="AB229" s="20" t="s">
        <v>20</v>
      </c>
      <c r="AC229" s="20" t="s">
        <v>20</v>
      </c>
      <c r="AD229" s="29" t="s">
        <v>20</v>
      </c>
      <c r="AE229" s="29" t="s">
        <v>21</v>
      </c>
      <c r="AG229">
        <f t="shared" si="27"/>
        <v>0</v>
      </c>
      <c r="AH229">
        <f t="shared" si="28"/>
        <v>15</v>
      </c>
      <c r="AI229">
        <f t="shared" si="29"/>
        <v>11</v>
      </c>
      <c r="AJ229">
        <f t="shared" si="30"/>
        <v>0</v>
      </c>
      <c r="AL229">
        <f t="shared" si="31"/>
        <v>0</v>
      </c>
      <c r="AM229">
        <f t="shared" si="32"/>
        <v>45</v>
      </c>
      <c r="AN229">
        <f t="shared" si="33"/>
        <v>22</v>
      </c>
      <c r="AO229">
        <f t="shared" si="34"/>
        <v>0</v>
      </c>
      <c r="AP229">
        <f t="shared" si="35"/>
        <v>67</v>
      </c>
    </row>
    <row r="230" spans="1:42" ht="15.75" hidden="1" customHeight="1" x14ac:dyDescent="0.3">
      <c r="A230" s="16"/>
      <c r="B230" s="55">
        <v>24</v>
      </c>
      <c r="C230" s="56" t="s">
        <v>248</v>
      </c>
      <c r="D230" s="55">
        <v>5</v>
      </c>
      <c r="E230" s="55" t="s">
        <v>21</v>
      </c>
      <c r="F230" s="18" t="s">
        <v>20</v>
      </c>
      <c r="G230" s="18" t="s">
        <v>20</v>
      </c>
      <c r="H230" s="18" t="s">
        <v>20</v>
      </c>
      <c r="I230" s="18" t="s">
        <v>20</v>
      </c>
      <c r="J230" s="18" t="s">
        <v>20</v>
      </c>
      <c r="K230" s="18" t="s">
        <v>20</v>
      </c>
      <c r="L230" s="18" t="s">
        <v>39</v>
      </c>
      <c r="M230" s="18" t="s">
        <v>20</v>
      </c>
      <c r="N230" s="18" t="s">
        <v>20</v>
      </c>
      <c r="O230" s="18" t="s">
        <v>20</v>
      </c>
      <c r="P230" s="18" t="s">
        <v>20</v>
      </c>
      <c r="Q230" s="18" t="s">
        <v>21</v>
      </c>
      <c r="R230" s="18" t="s">
        <v>21</v>
      </c>
      <c r="S230" s="18" t="s">
        <v>20</v>
      </c>
      <c r="T230" s="18" t="s">
        <v>20</v>
      </c>
      <c r="U230" s="18" t="s">
        <v>20</v>
      </c>
      <c r="V230" s="37" t="s">
        <v>20</v>
      </c>
      <c r="W230" s="37" t="s">
        <v>21</v>
      </c>
      <c r="X230" s="37" t="s">
        <v>20</v>
      </c>
      <c r="Y230" s="18" t="s">
        <v>20</v>
      </c>
      <c r="Z230" s="18" t="s">
        <v>20</v>
      </c>
      <c r="AA230" s="20" t="s">
        <v>20</v>
      </c>
      <c r="AB230" s="20" t="s">
        <v>21</v>
      </c>
      <c r="AC230" s="20" t="s">
        <v>20</v>
      </c>
      <c r="AD230" s="29" t="s">
        <v>20</v>
      </c>
      <c r="AE230" s="29" t="s">
        <v>21</v>
      </c>
      <c r="AG230">
        <f t="shared" si="27"/>
        <v>1</v>
      </c>
      <c r="AH230">
        <f t="shared" si="28"/>
        <v>20</v>
      </c>
      <c r="AI230">
        <f t="shared" si="29"/>
        <v>5</v>
      </c>
      <c r="AJ230">
        <f t="shared" si="30"/>
        <v>0</v>
      </c>
      <c r="AL230">
        <f t="shared" si="31"/>
        <v>4</v>
      </c>
      <c r="AM230">
        <f t="shared" si="32"/>
        <v>60</v>
      </c>
      <c r="AN230">
        <f t="shared" si="33"/>
        <v>10</v>
      </c>
      <c r="AO230">
        <f t="shared" si="34"/>
        <v>0</v>
      </c>
      <c r="AP230">
        <f t="shared" si="35"/>
        <v>74</v>
      </c>
    </row>
    <row r="231" spans="1:42" ht="15.75" hidden="1" customHeight="1" x14ac:dyDescent="0.3">
      <c r="A231" s="16"/>
      <c r="B231" s="55">
        <v>25</v>
      </c>
      <c r="C231" s="56" t="s">
        <v>249</v>
      </c>
      <c r="D231" s="55">
        <v>5</v>
      </c>
      <c r="E231" s="55" t="s">
        <v>21</v>
      </c>
      <c r="F231" s="18" t="s">
        <v>21</v>
      </c>
      <c r="G231" s="18" t="s">
        <v>21</v>
      </c>
      <c r="H231" s="17" t="s">
        <v>21</v>
      </c>
      <c r="I231" s="18" t="s">
        <v>21</v>
      </c>
      <c r="J231" s="18" t="s">
        <v>21</v>
      </c>
      <c r="K231" s="18" t="s">
        <v>21</v>
      </c>
      <c r="L231" s="18" t="s">
        <v>21</v>
      </c>
      <c r="M231" s="18" t="s">
        <v>20</v>
      </c>
      <c r="N231" s="18" t="s">
        <v>21</v>
      </c>
      <c r="O231" s="18" t="s">
        <v>20</v>
      </c>
      <c r="P231" s="18" t="s">
        <v>21</v>
      </c>
      <c r="Q231" s="18" t="s">
        <v>21</v>
      </c>
      <c r="R231" s="18" t="s">
        <v>21</v>
      </c>
      <c r="S231" s="18" t="s">
        <v>21</v>
      </c>
      <c r="T231" s="18" t="s">
        <v>20</v>
      </c>
      <c r="U231" s="18" t="s">
        <v>21</v>
      </c>
      <c r="V231" s="37" t="s">
        <v>21</v>
      </c>
      <c r="W231" s="37" t="s">
        <v>21</v>
      </c>
      <c r="X231" s="37" t="s">
        <v>21</v>
      </c>
      <c r="Y231" s="18" t="s">
        <v>20</v>
      </c>
      <c r="Z231" s="18" t="s">
        <v>21</v>
      </c>
      <c r="AA231" s="20" t="s">
        <v>21</v>
      </c>
      <c r="AB231" s="20" t="s">
        <v>21</v>
      </c>
      <c r="AC231" s="20" t="s">
        <v>21</v>
      </c>
      <c r="AD231" s="29" t="s">
        <v>21</v>
      </c>
      <c r="AE231" s="29" t="s">
        <v>21</v>
      </c>
      <c r="AG231">
        <f t="shared" si="27"/>
        <v>0</v>
      </c>
      <c r="AH231">
        <f t="shared" si="28"/>
        <v>4</v>
      </c>
      <c r="AI231">
        <f t="shared" si="29"/>
        <v>22</v>
      </c>
      <c r="AJ231">
        <f t="shared" si="30"/>
        <v>0</v>
      </c>
      <c r="AL231">
        <f t="shared" si="31"/>
        <v>0</v>
      </c>
      <c r="AM231">
        <f t="shared" si="32"/>
        <v>12</v>
      </c>
      <c r="AN231">
        <f t="shared" si="33"/>
        <v>44</v>
      </c>
      <c r="AO231">
        <f t="shared" si="34"/>
        <v>0</v>
      </c>
      <c r="AP231">
        <f t="shared" si="35"/>
        <v>56</v>
      </c>
    </row>
    <row r="232" spans="1:42" ht="15.75" hidden="1" customHeight="1" thickBot="1" x14ac:dyDescent="0.35">
      <c r="A232" s="16"/>
      <c r="B232" s="57">
        <v>26</v>
      </c>
      <c r="C232" s="58" t="s">
        <v>250</v>
      </c>
      <c r="D232" s="57">
        <v>5</v>
      </c>
      <c r="E232" s="57" t="s">
        <v>21</v>
      </c>
      <c r="F232" s="21" t="s">
        <v>39</v>
      </c>
      <c r="G232" s="21" t="s">
        <v>20</v>
      </c>
      <c r="H232" s="41" t="s">
        <v>20</v>
      </c>
      <c r="I232" s="21" t="s">
        <v>20</v>
      </c>
      <c r="J232" s="21" t="s">
        <v>20</v>
      </c>
      <c r="K232" s="21" t="s">
        <v>20</v>
      </c>
      <c r="L232" s="21" t="s">
        <v>20</v>
      </c>
      <c r="M232" s="21" t="s">
        <v>20</v>
      </c>
      <c r="N232" s="21" t="s">
        <v>20</v>
      </c>
      <c r="O232" s="21" t="s">
        <v>20</v>
      </c>
      <c r="P232" s="21" t="s">
        <v>21</v>
      </c>
      <c r="Q232" s="21" t="s">
        <v>20</v>
      </c>
      <c r="R232" s="21" t="s">
        <v>20</v>
      </c>
      <c r="S232" s="21" t="s">
        <v>20</v>
      </c>
      <c r="T232" s="21" t="s">
        <v>20</v>
      </c>
      <c r="U232" s="21" t="s">
        <v>20</v>
      </c>
      <c r="V232" s="38" t="s">
        <v>20</v>
      </c>
      <c r="W232" s="38" t="s">
        <v>20</v>
      </c>
      <c r="X232" s="38" t="s">
        <v>20</v>
      </c>
      <c r="Y232" s="21" t="s">
        <v>20</v>
      </c>
      <c r="Z232" s="21" t="s">
        <v>20</v>
      </c>
      <c r="AA232" s="23" t="s">
        <v>20</v>
      </c>
      <c r="AB232" s="23" t="s">
        <v>20</v>
      </c>
      <c r="AC232" s="23" t="s">
        <v>20</v>
      </c>
      <c r="AD232" s="31" t="s">
        <v>20</v>
      </c>
      <c r="AE232" s="31" t="s">
        <v>21</v>
      </c>
      <c r="AG232">
        <f t="shared" si="27"/>
        <v>1</v>
      </c>
      <c r="AH232">
        <f t="shared" si="28"/>
        <v>23</v>
      </c>
      <c r="AI232">
        <f t="shared" si="29"/>
        <v>2</v>
      </c>
      <c r="AJ232">
        <f t="shared" si="30"/>
        <v>0</v>
      </c>
      <c r="AL232">
        <f t="shared" si="31"/>
        <v>4</v>
      </c>
      <c r="AM232">
        <f t="shared" si="32"/>
        <v>69</v>
      </c>
      <c r="AN232">
        <f t="shared" si="33"/>
        <v>4</v>
      </c>
      <c r="AO232">
        <f t="shared" si="34"/>
        <v>0</v>
      </c>
      <c r="AP232">
        <f t="shared" si="35"/>
        <v>77</v>
      </c>
    </row>
    <row r="233" spans="1:42" ht="15.75" customHeight="1" x14ac:dyDescent="0.3">
      <c r="B233" s="54"/>
    </row>
    <row r="234" spans="1:42" ht="15.75" customHeight="1" x14ac:dyDescent="0.3"/>
    <row r="235" spans="1:42" ht="15.75" customHeight="1" x14ac:dyDescent="0.3"/>
    <row r="236" spans="1:42" ht="15.75" customHeight="1" x14ac:dyDescent="0.3"/>
    <row r="237" spans="1:42" ht="15.75" customHeight="1" x14ac:dyDescent="0.3"/>
    <row r="238" spans="1:42" ht="15.75" customHeight="1" x14ac:dyDescent="0.3"/>
    <row r="239" spans="1:42" ht="15.75" customHeight="1" x14ac:dyDescent="0.3"/>
    <row r="240" spans="1:42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  <row r="1041" ht="15.75" customHeight="1" x14ac:dyDescent="0.3"/>
    <row r="1042" ht="15.75" customHeight="1" x14ac:dyDescent="0.3"/>
    <row r="1043" ht="15.75" customHeight="1" x14ac:dyDescent="0.3"/>
    <row r="1044" ht="15.75" customHeight="1" x14ac:dyDescent="0.3"/>
    <row r="1045" ht="15.75" customHeight="1" x14ac:dyDescent="0.3"/>
    <row r="1046" ht="15.75" customHeight="1" x14ac:dyDescent="0.3"/>
    <row r="1047" ht="15.75" customHeight="1" x14ac:dyDescent="0.3"/>
    <row r="1048" ht="15.75" customHeight="1" x14ac:dyDescent="0.3"/>
    <row r="1049" ht="15.75" customHeight="1" x14ac:dyDescent="0.3"/>
    <row r="1050" ht="15.75" customHeight="1" x14ac:dyDescent="0.3"/>
    <row r="1051" ht="15.75" customHeight="1" x14ac:dyDescent="0.3"/>
    <row r="1052" ht="15.75" customHeight="1" x14ac:dyDescent="0.3"/>
    <row r="1053" ht="15.75" customHeight="1" x14ac:dyDescent="0.3"/>
    <row r="1054" ht="15.75" customHeight="1" x14ac:dyDescent="0.3"/>
    <row r="1055" ht="15.75" customHeight="1" x14ac:dyDescent="0.3"/>
    <row r="1056" ht="15.75" customHeight="1" x14ac:dyDescent="0.3"/>
    <row r="1057" ht="15.75" customHeight="1" x14ac:dyDescent="0.3"/>
    <row r="1058" ht="15.75" customHeight="1" x14ac:dyDescent="0.3"/>
    <row r="1059" ht="15.75" customHeight="1" x14ac:dyDescent="0.3"/>
    <row r="1060" ht="15.75" customHeight="1" x14ac:dyDescent="0.3"/>
    <row r="1061" ht="15.75" customHeight="1" x14ac:dyDescent="0.3"/>
    <row r="1062" ht="15.75" customHeight="1" x14ac:dyDescent="0.3"/>
    <row r="1063" ht="15.75" customHeight="1" x14ac:dyDescent="0.3"/>
    <row r="1064" ht="15.75" customHeight="1" x14ac:dyDescent="0.3"/>
    <row r="1065" ht="15.75" customHeight="1" x14ac:dyDescent="0.3"/>
    <row r="1066" ht="15.75" customHeight="1" x14ac:dyDescent="0.3"/>
    <row r="1067" ht="15.75" customHeight="1" x14ac:dyDescent="0.3"/>
    <row r="1068" ht="15.75" customHeight="1" x14ac:dyDescent="0.3"/>
    <row r="1069" ht="15.75" customHeight="1" x14ac:dyDescent="0.3"/>
    <row r="1070" ht="15.75" customHeight="1" x14ac:dyDescent="0.3"/>
    <row r="1071" ht="15.75" customHeight="1" x14ac:dyDescent="0.3"/>
    <row r="1072" ht="15.75" customHeight="1" x14ac:dyDescent="0.3"/>
    <row r="1073" ht="15.75" customHeight="1" x14ac:dyDescent="0.3"/>
    <row r="1074" ht="15.75" customHeight="1" x14ac:dyDescent="0.3"/>
    <row r="1075" ht="15.75" customHeight="1" x14ac:dyDescent="0.3"/>
    <row r="1076" ht="15.75" customHeight="1" x14ac:dyDescent="0.3"/>
    <row r="1077" ht="15.75" customHeight="1" x14ac:dyDescent="0.3"/>
    <row r="1078" ht="15.75" customHeight="1" x14ac:dyDescent="0.3"/>
    <row r="1079" ht="15.75" customHeight="1" x14ac:dyDescent="0.3"/>
    <row r="1080" ht="15.75" customHeight="1" x14ac:dyDescent="0.3"/>
    <row r="1081" ht="15.75" customHeight="1" x14ac:dyDescent="0.3"/>
    <row r="1082" ht="15.75" customHeight="1" x14ac:dyDescent="0.3"/>
    <row r="1083" ht="15.75" customHeight="1" x14ac:dyDescent="0.3"/>
    <row r="1084" ht="15.75" customHeight="1" x14ac:dyDescent="0.3"/>
    <row r="1085" ht="15.75" customHeight="1" x14ac:dyDescent="0.3"/>
    <row r="1086" ht="15.75" customHeight="1" x14ac:dyDescent="0.3"/>
    <row r="1087" ht="15.75" customHeight="1" x14ac:dyDescent="0.3"/>
    <row r="1088" ht="15.75" customHeight="1" x14ac:dyDescent="0.3"/>
    <row r="1089" ht="15.75" customHeight="1" x14ac:dyDescent="0.3"/>
    <row r="1090" ht="15.75" customHeight="1" x14ac:dyDescent="0.3"/>
    <row r="1091" ht="15.75" customHeight="1" x14ac:dyDescent="0.3"/>
    <row r="1092" ht="15.75" customHeight="1" x14ac:dyDescent="0.3"/>
    <row r="1093" ht="15.75" customHeight="1" x14ac:dyDescent="0.3"/>
    <row r="1094" ht="15.75" customHeight="1" x14ac:dyDescent="0.3"/>
    <row r="1095" ht="15.75" customHeight="1" x14ac:dyDescent="0.3"/>
    <row r="1096" ht="15.75" customHeight="1" x14ac:dyDescent="0.3"/>
    <row r="1097" ht="15.75" customHeight="1" x14ac:dyDescent="0.3"/>
    <row r="1098" ht="15.75" customHeight="1" x14ac:dyDescent="0.3"/>
    <row r="1099" ht="15.75" customHeight="1" x14ac:dyDescent="0.3"/>
    <row r="1100" ht="15.75" customHeight="1" x14ac:dyDescent="0.3"/>
    <row r="1101" ht="15.75" customHeight="1" x14ac:dyDescent="0.3"/>
    <row r="1102" ht="15.75" customHeight="1" x14ac:dyDescent="0.3"/>
    <row r="1103" ht="15.75" customHeight="1" x14ac:dyDescent="0.3"/>
    <row r="1104" ht="15.75" customHeight="1" x14ac:dyDescent="0.3"/>
    <row r="1105" ht="15.75" customHeight="1" x14ac:dyDescent="0.3"/>
    <row r="1106" ht="15.75" customHeight="1" x14ac:dyDescent="0.3"/>
    <row r="1107" ht="15.75" customHeight="1" x14ac:dyDescent="0.3"/>
    <row r="1108" ht="15.75" customHeight="1" x14ac:dyDescent="0.3"/>
    <row r="1109" ht="15.75" customHeight="1" x14ac:dyDescent="0.3"/>
    <row r="1110" ht="15.75" customHeight="1" x14ac:dyDescent="0.3"/>
    <row r="1111" ht="15.75" customHeight="1" x14ac:dyDescent="0.3"/>
    <row r="1112" ht="15.75" customHeight="1" x14ac:dyDescent="0.3"/>
    <row r="1113" ht="15.75" customHeight="1" x14ac:dyDescent="0.3"/>
    <row r="1114" ht="15.75" customHeight="1" x14ac:dyDescent="0.3"/>
    <row r="1115" ht="15.75" customHeight="1" x14ac:dyDescent="0.3"/>
    <row r="1116" ht="15.75" customHeight="1" x14ac:dyDescent="0.3"/>
    <row r="1117" ht="15.75" customHeight="1" x14ac:dyDescent="0.3"/>
    <row r="1118" ht="15.75" customHeight="1" x14ac:dyDescent="0.3"/>
    <row r="1119" ht="15.75" customHeight="1" x14ac:dyDescent="0.3"/>
    <row r="1120" ht="15.75" customHeight="1" x14ac:dyDescent="0.3"/>
    <row r="1121" ht="15.75" customHeight="1" x14ac:dyDescent="0.3"/>
    <row r="1122" ht="15.75" customHeight="1" x14ac:dyDescent="0.3"/>
    <row r="1123" ht="15.75" customHeight="1" x14ac:dyDescent="0.3"/>
    <row r="1124" ht="15.75" customHeight="1" x14ac:dyDescent="0.3"/>
    <row r="1125" ht="15.75" customHeight="1" x14ac:dyDescent="0.3"/>
    <row r="1126" ht="15.75" customHeight="1" x14ac:dyDescent="0.3"/>
  </sheetData>
  <autoFilter ref="A5:AP232" xr:uid="{155FA5BF-6959-4F11-B8F9-DBE6D0EA2D5D}">
    <filterColumn colId="3">
      <filters>
        <filter val="1"/>
      </filters>
    </filterColumn>
    <filterColumn colId="4">
      <filters>
        <filter val="B"/>
      </filters>
    </filterColumn>
    <sortState xmlns:xlrd2="http://schemas.microsoft.com/office/spreadsheetml/2017/richdata2" ref="A24:AP43">
      <sortCondition descending="1" ref="AP5:AP232"/>
    </sortState>
  </autoFilter>
  <mergeCells count="11">
    <mergeCell ref="AD4:AE4"/>
    <mergeCell ref="C2:AE2"/>
    <mergeCell ref="C3:AE3"/>
    <mergeCell ref="F4:I4"/>
    <mergeCell ref="J4:L4"/>
    <mergeCell ref="M4:O4"/>
    <mergeCell ref="P4:R4"/>
    <mergeCell ref="S4:T4"/>
    <mergeCell ref="V4:X4"/>
    <mergeCell ref="Y4:Z4"/>
    <mergeCell ref="AA4:AC4"/>
  </mergeCells>
  <conditionalFormatting sqref="F6:AE232">
    <cfRule type="cellIs" dxfId="35" priority="1" operator="equal">
      <formula>"AD"</formula>
    </cfRule>
    <cfRule type="cellIs" dxfId="34" priority="2" operator="equal">
      <formula>"A"</formula>
    </cfRule>
    <cfRule type="cellIs" dxfId="33" priority="3" operator="equal">
      <formula>"B"</formula>
    </cfRule>
    <cfRule type="cellIs" dxfId="32" priority="4" operator="equal">
      <formula>"C"</formula>
    </cfRule>
  </conditionalFormatting>
  <dataValidations count="2">
    <dataValidation type="list" allowBlank="1" showInputMessage="1" showErrorMessage="1" sqref="Q6:R26 T6:X26 AD229:AE232 F6:L26 AD27:AE80 F27:X48 AD82:AE97 AD135:AE199 AD201:AE203 AD205:AE227 AD99:AE133 Z27:Z48 F49:I232 J131:L232 J49:L109 M49:Z232" xr:uid="{A7D20B0A-DEFC-467E-A253-2563B66551A2}">
      <formula1>"AD,A,B,C"</formula1>
    </dataValidation>
    <dataValidation type="list" allowBlank="1" showInputMessage="1" showErrorMessage="1" sqref="AA6:AC232 J110:L130" xr:uid="{174B9D2C-E284-4F39-982C-9CB15C5ED1D4}">
      <formula1>"A,AD,B,C"</formula1>
    </dataValidation>
  </dataValidations>
  <pageMargins left="0.7" right="0.7" top="0.75" bottom="0.75" header="0" footer="0"/>
  <pageSetup paperSize="9" scale="72" orientation="landscape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1B6DA-D1DD-4C6D-9079-B93AECF30C9F}">
  <sheetPr filterMode="1">
    <pageSetUpPr fitToPage="1"/>
  </sheetPr>
  <dimension ref="A2:AP1126"/>
  <sheetViews>
    <sheetView zoomScaleNormal="100" workbookViewId="0">
      <pane xSplit="3" ySplit="5" topLeftCell="D6" activePane="bottomRight" state="frozen"/>
      <selection pane="topRight" activeCell="C1" sqref="C1"/>
      <selection pane="bottomLeft" activeCell="A6" sqref="A6"/>
      <selection pane="bottomRight" activeCell="L46" sqref="L46"/>
    </sheetView>
  </sheetViews>
  <sheetFormatPr baseColWidth="10" defaultColWidth="14.44140625" defaultRowHeight="15" customHeight="1" x14ac:dyDescent="0.3"/>
  <cols>
    <col min="1" max="1" width="4" bestFit="1" customWidth="1"/>
    <col min="2" max="2" width="4.109375" customWidth="1"/>
    <col min="3" max="3" width="38.5546875" customWidth="1"/>
    <col min="4" max="4" width="5" hidden="1" customWidth="1"/>
    <col min="5" max="5" width="6.6640625" hidden="1" customWidth="1"/>
    <col min="6" max="31" width="5" customWidth="1"/>
    <col min="32" max="32" width="2" hidden="1" customWidth="1"/>
    <col min="33" max="36" width="3.44140625" hidden="1" customWidth="1"/>
    <col min="37" max="37" width="1.44140625" style="65" hidden="1" customWidth="1"/>
    <col min="38" max="40" width="3" hidden="1" customWidth="1"/>
    <col min="41" max="41" width="2" hidden="1" customWidth="1"/>
    <col min="42" max="42" width="5.21875" bestFit="1" customWidth="1"/>
  </cols>
  <sheetData>
    <row r="2" spans="1:42" ht="37.200000000000003" customHeight="1" x14ac:dyDescent="0.3">
      <c r="C2" s="77" t="s">
        <v>253</v>
      </c>
      <c r="D2" s="2"/>
      <c r="E2" s="2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9"/>
    </row>
    <row r="3" spans="1:42" ht="21.6" customHeight="1" x14ac:dyDescent="0.3">
      <c r="C3" s="74" t="s">
        <v>252</v>
      </c>
      <c r="D3" s="5"/>
      <c r="E3" s="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6"/>
    </row>
    <row r="4" spans="1:42" ht="25.2" customHeight="1" x14ac:dyDescent="0.3">
      <c r="C4" s="7"/>
      <c r="D4" s="8"/>
      <c r="E4" s="8"/>
      <c r="F4" s="80" t="s">
        <v>2</v>
      </c>
      <c r="G4" s="81"/>
      <c r="H4" s="81"/>
      <c r="I4" s="82"/>
      <c r="J4" s="80" t="s">
        <v>3</v>
      </c>
      <c r="K4" s="81"/>
      <c r="L4" s="82"/>
      <c r="M4" s="80" t="s">
        <v>4</v>
      </c>
      <c r="N4" s="81"/>
      <c r="O4" s="82"/>
      <c r="P4" s="80" t="s">
        <v>5</v>
      </c>
      <c r="Q4" s="81"/>
      <c r="R4" s="82"/>
      <c r="S4" s="83" t="s">
        <v>6</v>
      </c>
      <c r="T4" s="84"/>
      <c r="U4" s="86" t="s">
        <v>7</v>
      </c>
      <c r="V4" s="80" t="s">
        <v>8</v>
      </c>
      <c r="W4" s="81"/>
      <c r="X4" s="82"/>
      <c r="Y4" s="80" t="s">
        <v>9</v>
      </c>
      <c r="Z4" s="82"/>
      <c r="AA4" s="83" t="s">
        <v>10</v>
      </c>
      <c r="AB4" s="85"/>
      <c r="AC4" s="84"/>
      <c r="AD4" s="80" t="s">
        <v>11</v>
      </c>
      <c r="AE4" s="82"/>
    </row>
    <row r="5" spans="1:42" ht="27" customHeight="1" x14ac:dyDescent="0.3">
      <c r="B5" s="12"/>
      <c r="C5" s="13" t="s">
        <v>12</v>
      </c>
      <c r="D5" s="14" t="s">
        <v>13</v>
      </c>
      <c r="E5" s="15" t="s">
        <v>14</v>
      </c>
      <c r="F5" s="15" t="s">
        <v>15</v>
      </c>
      <c r="G5" s="15" t="s">
        <v>16</v>
      </c>
      <c r="H5" s="15" t="s">
        <v>17</v>
      </c>
      <c r="I5" s="15" t="s">
        <v>18</v>
      </c>
      <c r="J5" s="15" t="s">
        <v>15</v>
      </c>
      <c r="K5" s="15" t="s">
        <v>16</v>
      </c>
      <c r="L5" s="15" t="s">
        <v>17</v>
      </c>
      <c r="M5" s="15" t="s">
        <v>15</v>
      </c>
      <c r="N5" s="15" t="s">
        <v>16</v>
      </c>
      <c r="O5" s="15" t="s">
        <v>17</v>
      </c>
      <c r="P5" s="15" t="s">
        <v>15</v>
      </c>
      <c r="Q5" s="15" t="s">
        <v>16</v>
      </c>
      <c r="R5" s="15" t="s">
        <v>17</v>
      </c>
      <c r="S5" s="15" t="s">
        <v>15</v>
      </c>
      <c r="T5" s="15" t="s">
        <v>16</v>
      </c>
      <c r="U5" s="15" t="s">
        <v>15</v>
      </c>
      <c r="V5" s="15" t="s">
        <v>15</v>
      </c>
      <c r="W5" s="15" t="s">
        <v>16</v>
      </c>
      <c r="X5" s="15" t="s">
        <v>17</v>
      </c>
      <c r="Y5" s="15" t="s">
        <v>15</v>
      </c>
      <c r="Z5" s="15" t="s">
        <v>16</v>
      </c>
      <c r="AA5" s="15" t="s">
        <v>15</v>
      </c>
      <c r="AB5" s="15" t="s">
        <v>16</v>
      </c>
      <c r="AC5" s="15" t="s">
        <v>17</v>
      </c>
      <c r="AD5" s="15" t="s">
        <v>15</v>
      </c>
      <c r="AE5" s="15" t="s">
        <v>16</v>
      </c>
      <c r="AG5" s="68">
        <v>4</v>
      </c>
      <c r="AH5" s="68">
        <v>3</v>
      </c>
      <c r="AI5" s="68">
        <v>2</v>
      </c>
      <c r="AJ5" s="68">
        <v>1</v>
      </c>
      <c r="AK5" s="66"/>
      <c r="AL5" s="67" t="s">
        <v>39</v>
      </c>
      <c r="AM5" s="67" t="s">
        <v>20</v>
      </c>
      <c r="AN5" s="67" t="s">
        <v>21</v>
      </c>
      <c r="AO5" s="67" t="s">
        <v>23</v>
      </c>
      <c r="AP5" s="67" t="s">
        <v>251</v>
      </c>
    </row>
    <row r="6" spans="1:42" ht="14.4" hidden="1" x14ac:dyDescent="0.3">
      <c r="A6" s="16"/>
      <c r="B6" s="55">
        <v>17</v>
      </c>
      <c r="C6" s="56" t="s">
        <v>38</v>
      </c>
      <c r="D6" s="55">
        <v>1</v>
      </c>
      <c r="E6" s="55" t="s">
        <v>20</v>
      </c>
      <c r="F6" s="18" t="s">
        <v>20</v>
      </c>
      <c r="G6" s="18" t="s">
        <v>20</v>
      </c>
      <c r="H6" s="18" t="s">
        <v>21</v>
      </c>
      <c r="I6" s="18" t="s">
        <v>20</v>
      </c>
      <c r="J6" s="18" t="s">
        <v>20</v>
      </c>
      <c r="K6" s="18" t="s">
        <v>20</v>
      </c>
      <c r="L6" s="18" t="s">
        <v>20</v>
      </c>
      <c r="M6" s="19" t="s">
        <v>20</v>
      </c>
      <c r="N6" s="19" t="s">
        <v>21</v>
      </c>
      <c r="O6" s="19" t="s">
        <v>20</v>
      </c>
      <c r="P6" s="19" t="s">
        <v>20</v>
      </c>
      <c r="Q6" s="18" t="s">
        <v>20</v>
      </c>
      <c r="R6" s="18" t="s">
        <v>21</v>
      </c>
      <c r="S6" s="19" t="s">
        <v>20</v>
      </c>
      <c r="T6" s="18" t="s">
        <v>20</v>
      </c>
      <c r="U6" s="18" t="s">
        <v>20</v>
      </c>
      <c r="V6" s="18" t="s">
        <v>20</v>
      </c>
      <c r="W6" s="18" t="s">
        <v>20</v>
      </c>
      <c r="X6" s="18" t="s">
        <v>20</v>
      </c>
      <c r="Y6" s="19" t="s">
        <v>20</v>
      </c>
      <c r="Z6" s="19" t="s">
        <v>20</v>
      </c>
      <c r="AA6" s="20" t="s">
        <v>20</v>
      </c>
      <c r="AB6" s="20" t="s">
        <v>39</v>
      </c>
      <c r="AC6" s="20" t="s">
        <v>20</v>
      </c>
      <c r="AD6" s="19" t="s">
        <v>20</v>
      </c>
      <c r="AE6" s="19" t="s">
        <v>21</v>
      </c>
      <c r="AG6">
        <f>+COUNTIF(F6:AE6,"AD")</f>
        <v>1</v>
      </c>
      <c r="AH6">
        <f>+COUNTIF(F6:AE6,"A")</f>
        <v>21</v>
      </c>
      <c r="AI6">
        <f>+COUNTIF(F6:AE6,"b")</f>
        <v>4</v>
      </c>
      <c r="AJ6">
        <f>+COUNTIF(F6:AE6,"c")</f>
        <v>0</v>
      </c>
      <c r="AL6">
        <f>+$AG$5*AG6</f>
        <v>4</v>
      </c>
      <c r="AM6">
        <f>+$AH$5*AH6</f>
        <v>63</v>
      </c>
      <c r="AN6">
        <f>+$AI$5*AI6</f>
        <v>8</v>
      </c>
      <c r="AO6">
        <f>+$AJ$5*AJ6</f>
        <v>0</v>
      </c>
      <c r="AP6">
        <f>+SUM(AL6:AO6)</f>
        <v>75</v>
      </c>
    </row>
    <row r="7" spans="1:42" ht="14.4" hidden="1" x14ac:dyDescent="0.3">
      <c r="A7" s="16"/>
      <c r="B7" s="55">
        <v>3</v>
      </c>
      <c r="C7" s="56" t="s">
        <v>24</v>
      </c>
      <c r="D7" s="55">
        <v>1</v>
      </c>
      <c r="E7" s="55" t="s">
        <v>20</v>
      </c>
      <c r="F7" s="18" t="s">
        <v>20</v>
      </c>
      <c r="G7" s="18" t="s">
        <v>20</v>
      </c>
      <c r="H7" s="18" t="s">
        <v>20</v>
      </c>
      <c r="I7" s="18" t="s">
        <v>20</v>
      </c>
      <c r="J7" s="18" t="s">
        <v>20</v>
      </c>
      <c r="K7" s="18" t="s">
        <v>20</v>
      </c>
      <c r="L7" s="18" t="s">
        <v>20</v>
      </c>
      <c r="M7" s="19" t="s">
        <v>20</v>
      </c>
      <c r="N7" s="19" t="s">
        <v>20</v>
      </c>
      <c r="O7" s="19" t="s">
        <v>20</v>
      </c>
      <c r="P7" s="19" t="s">
        <v>20</v>
      </c>
      <c r="Q7" s="18" t="s">
        <v>20</v>
      </c>
      <c r="R7" s="18" t="s">
        <v>21</v>
      </c>
      <c r="S7" s="19" t="s">
        <v>20</v>
      </c>
      <c r="T7" s="18" t="s">
        <v>20</v>
      </c>
      <c r="U7" s="18" t="s">
        <v>20</v>
      </c>
      <c r="V7" s="18" t="s">
        <v>20</v>
      </c>
      <c r="W7" s="18" t="s">
        <v>20</v>
      </c>
      <c r="X7" s="18" t="s">
        <v>20</v>
      </c>
      <c r="Y7" s="19" t="s">
        <v>20</v>
      </c>
      <c r="Z7" s="19" t="s">
        <v>20</v>
      </c>
      <c r="AA7" s="20" t="s">
        <v>20</v>
      </c>
      <c r="AB7" s="20" t="s">
        <v>21</v>
      </c>
      <c r="AC7" s="20" t="s">
        <v>21</v>
      </c>
      <c r="AD7" s="19" t="s">
        <v>20</v>
      </c>
      <c r="AE7" s="19" t="s">
        <v>21</v>
      </c>
      <c r="AG7">
        <f>+COUNTIF(F7:AE7,"AD")</f>
        <v>0</v>
      </c>
      <c r="AH7">
        <f>+COUNTIF(F7:AE7,"A")</f>
        <v>22</v>
      </c>
      <c r="AI7">
        <f>+COUNTIF(F7:AE7,"b")</f>
        <v>4</v>
      </c>
      <c r="AJ7">
        <f>+COUNTIF(F7:AE7,"c")</f>
        <v>0</v>
      </c>
      <c r="AL7">
        <f>+$AG$5*AG7</f>
        <v>0</v>
      </c>
      <c r="AM7">
        <f>+$AH$5*AH7</f>
        <v>66</v>
      </c>
      <c r="AN7">
        <f>+$AI$5*AI7</f>
        <v>8</v>
      </c>
      <c r="AO7">
        <f>+$AJ$5*AJ7</f>
        <v>0</v>
      </c>
      <c r="AP7">
        <f>+SUM(AL7:AO7)</f>
        <v>74</v>
      </c>
    </row>
    <row r="8" spans="1:42" ht="14.4" hidden="1" x14ac:dyDescent="0.3">
      <c r="A8" s="16"/>
      <c r="B8" s="55">
        <v>7</v>
      </c>
      <c r="C8" s="56" t="s">
        <v>28</v>
      </c>
      <c r="D8" s="55">
        <v>1</v>
      </c>
      <c r="E8" s="55" t="s">
        <v>20</v>
      </c>
      <c r="F8" s="18" t="s">
        <v>20</v>
      </c>
      <c r="G8" s="18" t="s">
        <v>20</v>
      </c>
      <c r="H8" s="18" t="s">
        <v>21</v>
      </c>
      <c r="I8" s="18" t="s">
        <v>20</v>
      </c>
      <c r="J8" s="18" t="s">
        <v>20</v>
      </c>
      <c r="K8" s="18" t="s">
        <v>20</v>
      </c>
      <c r="L8" s="18" t="s">
        <v>20</v>
      </c>
      <c r="M8" s="19" t="s">
        <v>20</v>
      </c>
      <c r="N8" s="19" t="s">
        <v>20</v>
      </c>
      <c r="O8" s="19" t="s">
        <v>20</v>
      </c>
      <c r="P8" s="19" t="s">
        <v>20</v>
      </c>
      <c r="Q8" s="18" t="s">
        <v>20</v>
      </c>
      <c r="R8" s="18" t="s">
        <v>20</v>
      </c>
      <c r="S8" s="19" t="s">
        <v>20</v>
      </c>
      <c r="T8" s="18" t="s">
        <v>20</v>
      </c>
      <c r="U8" s="18" t="s">
        <v>21</v>
      </c>
      <c r="V8" s="18" t="s">
        <v>20</v>
      </c>
      <c r="W8" s="18" t="s">
        <v>20</v>
      </c>
      <c r="X8" s="18" t="s">
        <v>20</v>
      </c>
      <c r="Y8" s="19" t="s">
        <v>20</v>
      </c>
      <c r="Z8" s="19" t="s">
        <v>20</v>
      </c>
      <c r="AA8" s="20" t="s">
        <v>20</v>
      </c>
      <c r="AB8" s="20" t="s">
        <v>21</v>
      </c>
      <c r="AC8" s="20" t="s">
        <v>20</v>
      </c>
      <c r="AD8" s="19" t="s">
        <v>21</v>
      </c>
      <c r="AE8" s="19" t="s">
        <v>21</v>
      </c>
      <c r="AG8">
        <f>+COUNTIF(F8:AE8,"AD")</f>
        <v>0</v>
      </c>
      <c r="AH8">
        <f>+COUNTIF(F8:AE8,"A")</f>
        <v>21</v>
      </c>
      <c r="AI8">
        <f>+COUNTIF(F8:AE8,"b")</f>
        <v>5</v>
      </c>
      <c r="AJ8">
        <f>+COUNTIF(F8:AE8,"c")</f>
        <v>0</v>
      </c>
      <c r="AL8">
        <f>+$AG$5*AG8</f>
        <v>0</v>
      </c>
      <c r="AM8">
        <f>+$AH$5*AH8</f>
        <v>63</v>
      </c>
      <c r="AN8">
        <f>+$AI$5*AI8</f>
        <v>10</v>
      </c>
      <c r="AO8">
        <f>+$AJ$5*AJ8</f>
        <v>0</v>
      </c>
      <c r="AP8">
        <f>+SUM(AL8:AO8)</f>
        <v>73</v>
      </c>
    </row>
    <row r="9" spans="1:42" ht="14.4" hidden="1" x14ac:dyDescent="0.3">
      <c r="A9" s="16"/>
      <c r="B9" s="55">
        <v>16</v>
      </c>
      <c r="C9" s="56" t="s">
        <v>37</v>
      </c>
      <c r="D9" s="55">
        <v>1</v>
      </c>
      <c r="E9" s="55" t="s">
        <v>20</v>
      </c>
      <c r="F9" s="18" t="s">
        <v>21</v>
      </c>
      <c r="G9" s="18" t="s">
        <v>21</v>
      </c>
      <c r="H9" s="18" t="s">
        <v>21</v>
      </c>
      <c r="I9" s="18" t="s">
        <v>21</v>
      </c>
      <c r="J9" s="18" t="s">
        <v>20</v>
      </c>
      <c r="K9" s="18" t="s">
        <v>20</v>
      </c>
      <c r="L9" s="18" t="s">
        <v>20</v>
      </c>
      <c r="M9" s="19" t="s">
        <v>20</v>
      </c>
      <c r="N9" s="19" t="s">
        <v>20</v>
      </c>
      <c r="O9" s="19" t="s">
        <v>20</v>
      </c>
      <c r="P9" s="19" t="s">
        <v>20</v>
      </c>
      <c r="Q9" s="18" t="s">
        <v>20</v>
      </c>
      <c r="R9" s="18" t="s">
        <v>20</v>
      </c>
      <c r="S9" s="19" t="s">
        <v>20</v>
      </c>
      <c r="T9" s="18" t="s">
        <v>20</v>
      </c>
      <c r="U9" s="18" t="s">
        <v>20</v>
      </c>
      <c r="V9" s="18" t="s">
        <v>20</v>
      </c>
      <c r="W9" s="18" t="s">
        <v>20</v>
      </c>
      <c r="X9" s="18" t="s">
        <v>20</v>
      </c>
      <c r="Y9" s="19" t="s">
        <v>20</v>
      </c>
      <c r="Z9" s="19" t="s">
        <v>20</v>
      </c>
      <c r="AA9" s="20" t="s">
        <v>20</v>
      </c>
      <c r="AB9" s="20" t="s">
        <v>21</v>
      </c>
      <c r="AC9" s="20" t="s">
        <v>20</v>
      </c>
      <c r="AD9" s="19" t="s">
        <v>20</v>
      </c>
      <c r="AE9" s="19" t="s">
        <v>21</v>
      </c>
      <c r="AG9">
        <f>+COUNTIF(F9:AE9,"AD")</f>
        <v>0</v>
      </c>
      <c r="AH9">
        <f>+COUNTIF(F9:AE9,"A")</f>
        <v>20</v>
      </c>
      <c r="AI9">
        <f>+COUNTIF(F9:AE9,"b")</f>
        <v>6</v>
      </c>
      <c r="AJ9">
        <f>+COUNTIF(F9:AE9,"c")</f>
        <v>0</v>
      </c>
      <c r="AL9">
        <f>+$AG$5*AG9</f>
        <v>0</v>
      </c>
      <c r="AM9">
        <f>+$AH$5*AH9</f>
        <v>60</v>
      </c>
      <c r="AN9">
        <f>+$AI$5*AI9</f>
        <v>12</v>
      </c>
      <c r="AO9">
        <f>+$AJ$5*AJ9</f>
        <v>0</v>
      </c>
      <c r="AP9">
        <f>+SUM(AL9:AO9)</f>
        <v>72</v>
      </c>
    </row>
    <row r="10" spans="1:42" ht="14.4" hidden="1" x14ac:dyDescent="0.3">
      <c r="A10" s="16"/>
      <c r="B10" s="55">
        <v>1</v>
      </c>
      <c r="C10" s="56" t="s">
        <v>19</v>
      </c>
      <c r="D10" s="55">
        <v>1</v>
      </c>
      <c r="E10" s="55" t="s">
        <v>20</v>
      </c>
      <c r="F10" s="17" t="s">
        <v>20</v>
      </c>
      <c r="G10" s="18" t="s">
        <v>20</v>
      </c>
      <c r="H10" s="18" t="s">
        <v>21</v>
      </c>
      <c r="I10" s="18" t="s">
        <v>20</v>
      </c>
      <c r="J10" s="18" t="s">
        <v>20</v>
      </c>
      <c r="K10" s="18" t="s">
        <v>20</v>
      </c>
      <c r="L10" s="18" t="s">
        <v>20</v>
      </c>
      <c r="M10" s="19" t="s">
        <v>20</v>
      </c>
      <c r="N10" s="19" t="s">
        <v>20</v>
      </c>
      <c r="O10" s="19" t="s">
        <v>20</v>
      </c>
      <c r="P10" s="19" t="s">
        <v>20</v>
      </c>
      <c r="Q10" s="18" t="s">
        <v>21</v>
      </c>
      <c r="R10" s="18" t="s">
        <v>21</v>
      </c>
      <c r="S10" s="19" t="s">
        <v>20</v>
      </c>
      <c r="T10" s="18" t="s">
        <v>20</v>
      </c>
      <c r="U10" s="18" t="s">
        <v>20</v>
      </c>
      <c r="V10" s="18" t="s">
        <v>20</v>
      </c>
      <c r="W10" s="18" t="s">
        <v>20</v>
      </c>
      <c r="X10" s="18" t="s">
        <v>20</v>
      </c>
      <c r="Y10" s="19" t="s">
        <v>21</v>
      </c>
      <c r="Z10" s="19" t="s">
        <v>20</v>
      </c>
      <c r="AA10" s="20" t="s">
        <v>21</v>
      </c>
      <c r="AB10" s="20" t="s">
        <v>21</v>
      </c>
      <c r="AC10" s="20" t="s">
        <v>20</v>
      </c>
      <c r="AD10" s="19" t="s">
        <v>20</v>
      </c>
      <c r="AE10" s="19" t="s">
        <v>21</v>
      </c>
      <c r="AG10">
        <f>+COUNTIF(F10:AE10,"AD")</f>
        <v>0</v>
      </c>
      <c r="AH10">
        <f>+COUNTIF(F10:AE10,"A")</f>
        <v>19</v>
      </c>
      <c r="AI10">
        <f>+COUNTIF(F10:AE10,"b")</f>
        <v>7</v>
      </c>
      <c r="AJ10">
        <f>+COUNTIF(F10:AE10,"c")</f>
        <v>0</v>
      </c>
      <c r="AL10">
        <f>+$AG$5*AG10</f>
        <v>0</v>
      </c>
      <c r="AM10">
        <f>+$AH$5*AH10</f>
        <v>57</v>
      </c>
      <c r="AN10">
        <f>+$AI$5*AI10</f>
        <v>14</v>
      </c>
      <c r="AO10">
        <f>+$AJ$5*AJ10</f>
        <v>0</v>
      </c>
      <c r="AP10">
        <f>+SUM(AL10:AO10)</f>
        <v>71</v>
      </c>
    </row>
    <row r="11" spans="1:42" ht="14.4" hidden="1" x14ac:dyDescent="0.3">
      <c r="A11" s="16"/>
      <c r="B11" s="55">
        <v>6</v>
      </c>
      <c r="C11" s="56" t="s">
        <v>27</v>
      </c>
      <c r="D11" s="55">
        <v>1</v>
      </c>
      <c r="E11" s="55" t="s">
        <v>20</v>
      </c>
      <c r="F11" s="18" t="s">
        <v>20</v>
      </c>
      <c r="G11" s="18" t="s">
        <v>20</v>
      </c>
      <c r="H11" s="18" t="s">
        <v>20</v>
      </c>
      <c r="I11" s="18" t="s">
        <v>20</v>
      </c>
      <c r="J11" s="18" t="s">
        <v>20</v>
      </c>
      <c r="K11" s="18" t="s">
        <v>20</v>
      </c>
      <c r="L11" s="18" t="s">
        <v>20</v>
      </c>
      <c r="M11" s="19" t="s">
        <v>20</v>
      </c>
      <c r="N11" s="19" t="s">
        <v>20</v>
      </c>
      <c r="O11" s="19" t="s">
        <v>20</v>
      </c>
      <c r="P11" s="19" t="s">
        <v>20</v>
      </c>
      <c r="Q11" s="18" t="s">
        <v>21</v>
      </c>
      <c r="R11" s="18" t="s">
        <v>21</v>
      </c>
      <c r="S11" s="19" t="s">
        <v>20</v>
      </c>
      <c r="T11" s="18" t="s">
        <v>21</v>
      </c>
      <c r="U11" s="18" t="s">
        <v>21</v>
      </c>
      <c r="V11" s="18" t="s">
        <v>21</v>
      </c>
      <c r="W11" s="18" t="s">
        <v>20</v>
      </c>
      <c r="X11" s="18" t="s">
        <v>20</v>
      </c>
      <c r="Y11" s="19" t="s">
        <v>20</v>
      </c>
      <c r="Z11" s="19" t="s">
        <v>21</v>
      </c>
      <c r="AA11" s="20" t="s">
        <v>21</v>
      </c>
      <c r="AB11" s="20" t="s">
        <v>21</v>
      </c>
      <c r="AC11" s="20" t="s">
        <v>21</v>
      </c>
      <c r="AD11" s="19" t="s">
        <v>21</v>
      </c>
      <c r="AE11" s="19" t="s">
        <v>21</v>
      </c>
      <c r="AG11">
        <f>+COUNTIF(F11:AE11,"AD")</f>
        <v>0</v>
      </c>
      <c r="AH11">
        <f>+COUNTIF(F11:AE11,"A")</f>
        <v>15</v>
      </c>
      <c r="AI11">
        <f>+COUNTIF(F11:AE11,"b")</f>
        <v>11</v>
      </c>
      <c r="AJ11">
        <f>+COUNTIF(F11:AE11,"c")</f>
        <v>0</v>
      </c>
      <c r="AL11">
        <f>+$AG$5*AG11</f>
        <v>0</v>
      </c>
      <c r="AM11">
        <f>+$AH$5*AH11</f>
        <v>45</v>
      </c>
      <c r="AN11">
        <f>+$AI$5*AI11</f>
        <v>22</v>
      </c>
      <c r="AO11">
        <f>+$AJ$5*AJ11</f>
        <v>0</v>
      </c>
      <c r="AP11">
        <f>+SUM(AL11:AO11)</f>
        <v>67</v>
      </c>
    </row>
    <row r="12" spans="1:42" ht="14.4" hidden="1" x14ac:dyDescent="0.3">
      <c r="A12" s="16"/>
      <c r="B12" s="55">
        <v>4</v>
      </c>
      <c r="C12" s="56" t="s">
        <v>25</v>
      </c>
      <c r="D12" s="55">
        <v>1</v>
      </c>
      <c r="E12" s="55" t="s">
        <v>20</v>
      </c>
      <c r="F12" s="18" t="s">
        <v>20</v>
      </c>
      <c r="G12" s="18" t="s">
        <v>21</v>
      </c>
      <c r="H12" s="18" t="s">
        <v>21</v>
      </c>
      <c r="I12" s="18" t="s">
        <v>21</v>
      </c>
      <c r="J12" s="18" t="s">
        <v>20</v>
      </c>
      <c r="K12" s="18" t="s">
        <v>20</v>
      </c>
      <c r="L12" s="18" t="s">
        <v>20</v>
      </c>
      <c r="M12" s="19" t="s">
        <v>21</v>
      </c>
      <c r="N12" s="19" t="s">
        <v>21</v>
      </c>
      <c r="O12" s="19" t="s">
        <v>20</v>
      </c>
      <c r="P12" s="19" t="s">
        <v>20</v>
      </c>
      <c r="Q12" s="18" t="s">
        <v>20</v>
      </c>
      <c r="R12" s="18" t="s">
        <v>21</v>
      </c>
      <c r="S12" s="19" t="s">
        <v>20</v>
      </c>
      <c r="T12" s="18" t="s">
        <v>21</v>
      </c>
      <c r="U12" s="18" t="s">
        <v>20</v>
      </c>
      <c r="V12" s="18" t="s">
        <v>21</v>
      </c>
      <c r="W12" s="18" t="s">
        <v>20</v>
      </c>
      <c r="X12" s="18" t="s">
        <v>20</v>
      </c>
      <c r="Y12" s="19" t="s">
        <v>21</v>
      </c>
      <c r="Z12" s="19" t="s">
        <v>20</v>
      </c>
      <c r="AA12" s="20" t="s">
        <v>21</v>
      </c>
      <c r="AB12" s="20" t="s">
        <v>21</v>
      </c>
      <c r="AC12" s="20" t="s">
        <v>21</v>
      </c>
      <c r="AD12" s="19" t="s">
        <v>20</v>
      </c>
      <c r="AE12" s="19" t="s">
        <v>21</v>
      </c>
      <c r="AG12">
        <f>+COUNTIF(F12:AE12,"AD")</f>
        <v>0</v>
      </c>
      <c r="AH12">
        <f>+COUNTIF(F12:AE12,"A")</f>
        <v>13</v>
      </c>
      <c r="AI12">
        <f>+COUNTIF(F12:AE12,"b")</f>
        <v>13</v>
      </c>
      <c r="AJ12">
        <f>+COUNTIF(F12:AE12,"c")</f>
        <v>0</v>
      </c>
      <c r="AL12">
        <f>+$AG$5*AG12</f>
        <v>0</v>
      </c>
      <c r="AM12">
        <f>+$AH$5*AH12</f>
        <v>39</v>
      </c>
      <c r="AN12">
        <f>+$AI$5*AI12</f>
        <v>26</v>
      </c>
      <c r="AO12">
        <f>+$AJ$5*AJ12</f>
        <v>0</v>
      </c>
      <c r="AP12">
        <f>+SUM(AL12:AO12)</f>
        <v>65</v>
      </c>
    </row>
    <row r="13" spans="1:42" ht="14.4" hidden="1" x14ac:dyDescent="0.3">
      <c r="A13" s="16"/>
      <c r="B13" s="55">
        <v>5</v>
      </c>
      <c r="C13" s="56" t="s">
        <v>26</v>
      </c>
      <c r="D13" s="55">
        <v>1</v>
      </c>
      <c r="E13" s="55" t="s">
        <v>20</v>
      </c>
      <c r="F13" s="18" t="s">
        <v>21</v>
      </c>
      <c r="G13" s="18" t="s">
        <v>21</v>
      </c>
      <c r="H13" s="18" t="s">
        <v>21</v>
      </c>
      <c r="I13" s="18" t="s">
        <v>21</v>
      </c>
      <c r="J13" s="18" t="s">
        <v>20</v>
      </c>
      <c r="K13" s="18" t="s">
        <v>20</v>
      </c>
      <c r="L13" s="18" t="s">
        <v>20</v>
      </c>
      <c r="M13" s="19" t="s">
        <v>20</v>
      </c>
      <c r="N13" s="19" t="s">
        <v>21</v>
      </c>
      <c r="O13" s="19" t="s">
        <v>20</v>
      </c>
      <c r="P13" s="19" t="s">
        <v>21</v>
      </c>
      <c r="Q13" s="18" t="s">
        <v>21</v>
      </c>
      <c r="R13" s="18" t="s">
        <v>21</v>
      </c>
      <c r="S13" s="19" t="s">
        <v>20</v>
      </c>
      <c r="T13" s="18" t="s">
        <v>21</v>
      </c>
      <c r="U13" s="18" t="s">
        <v>21</v>
      </c>
      <c r="V13" s="18" t="s">
        <v>20</v>
      </c>
      <c r="W13" s="18" t="s">
        <v>21</v>
      </c>
      <c r="X13" s="18" t="s">
        <v>20</v>
      </c>
      <c r="Y13" s="19" t="s">
        <v>21</v>
      </c>
      <c r="Z13" s="19" t="s">
        <v>20</v>
      </c>
      <c r="AA13" s="20" t="s">
        <v>21</v>
      </c>
      <c r="AB13" s="20" t="s">
        <v>21</v>
      </c>
      <c r="AC13" s="20" t="s">
        <v>23</v>
      </c>
      <c r="AD13" s="19" t="s">
        <v>21</v>
      </c>
      <c r="AE13" s="19" t="s">
        <v>21</v>
      </c>
      <c r="AG13">
        <f>+COUNTIF(F13:AE13,"AD")</f>
        <v>0</v>
      </c>
      <c r="AH13">
        <f>+COUNTIF(F13:AE13,"A")</f>
        <v>9</v>
      </c>
      <c r="AI13">
        <f>+COUNTIF(F13:AE13,"b")</f>
        <v>16</v>
      </c>
      <c r="AJ13">
        <f>+COUNTIF(F13:AE13,"c")</f>
        <v>1</v>
      </c>
      <c r="AL13">
        <f>+$AG$5*AG13</f>
        <v>0</v>
      </c>
      <c r="AM13">
        <f>+$AH$5*AH13</f>
        <v>27</v>
      </c>
      <c r="AN13">
        <f>+$AI$5*AI13</f>
        <v>32</v>
      </c>
      <c r="AO13">
        <f>+$AJ$5*AJ13</f>
        <v>1</v>
      </c>
      <c r="AP13">
        <f>+SUM(AL13:AO13)</f>
        <v>60</v>
      </c>
    </row>
    <row r="14" spans="1:42" ht="14.4" hidden="1" x14ac:dyDescent="0.3">
      <c r="A14" s="16"/>
      <c r="B14" s="55">
        <v>9</v>
      </c>
      <c r="C14" s="56" t="s">
        <v>30</v>
      </c>
      <c r="D14" s="55">
        <v>1</v>
      </c>
      <c r="E14" s="55" t="s">
        <v>20</v>
      </c>
      <c r="F14" s="18" t="s">
        <v>21</v>
      </c>
      <c r="G14" s="18" t="s">
        <v>21</v>
      </c>
      <c r="H14" s="18" t="s">
        <v>23</v>
      </c>
      <c r="I14" s="18" t="s">
        <v>21</v>
      </c>
      <c r="J14" s="18" t="s">
        <v>20</v>
      </c>
      <c r="K14" s="18" t="s">
        <v>20</v>
      </c>
      <c r="L14" s="18" t="s">
        <v>20</v>
      </c>
      <c r="M14" s="19" t="s">
        <v>20</v>
      </c>
      <c r="N14" s="19" t="s">
        <v>21</v>
      </c>
      <c r="O14" s="19" t="s">
        <v>20</v>
      </c>
      <c r="P14" s="19" t="s">
        <v>21</v>
      </c>
      <c r="Q14" s="18" t="s">
        <v>21</v>
      </c>
      <c r="R14" s="18" t="s">
        <v>21</v>
      </c>
      <c r="S14" s="19" t="s">
        <v>21</v>
      </c>
      <c r="T14" s="18" t="s">
        <v>20</v>
      </c>
      <c r="U14" s="18" t="s">
        <v>21</v>
      </c>
      <c r="V14" s="18" t="s">
        <v>21</v>
      </c>
      <c r="W14" s="18" t="s">
        <v>20</v>
      </c>
      <c r="X14" s="18" t="s">
        <v>20</v>
      </c>
      <c r="Y14" s="19" t="s">
        <v>21</v>
      </c>
      <c r="Z14" s="19" t="s">
        <v>20</v>
      </c>
      <c r="AA14" s="20" t="s">
        <v>21</v>
      </c>
      <c r="AB14" s="20" t="s">
        <v>21</v>
      </c>
      <c r="AC14" s="20" t="s">
        <v>23</v>
      </c>
      <c r="AD14" s="19" t="s">
        <v>20</v>
      </c>
      <c r="AE14" s="19" t="s">
        <v>21</v>
      </c>
      <c r="AG14">
        <f>+COUNTIF(F14:AE14,"AD")</f>
        <v>0</v>
      </c>
      <c r="AH14">
        <f>+COUNTIF(F14:AE14,"A")</f>
        <v>10</v>
      </c>
      <c r="AI14">
        <f>+COUNTIF(F14:AE14,"b")</f>
        <v>14</v>
      </c>
      <c r="AJ14">
        <f>+COUNTIF(F14:AE14,"c")</f>
        <v>2</v>
      </c>
      <c r="AL14">
        <f>+$AG$5*AG14</f>
        <v>0</v>
      </c>
      <c r="AM14">
        <f>+$AH$5*AH14</f>
        <v>30</v>
      </c>
      <c r="AN14">
        <f>+$AI$5*AI14</f>
        <v>28</v>
      </c>
      <c r="AO14">
        <f>+$AJ$5*AJ14</f>
        <v>2</v>
      </c>
      <c r="AP14">
        <f>+SUM(AL14:AO14)</f>
        <v>60</v>
      </c>
    </row>
    <row r="15" spans="1:42" ht="14.4" hidden="1" x14ac:dyDescent="0.3">
      <c r="A15" s="16"/>
      <c r="B15" s="55">
        <v>11</v>
      </c>
      <c r="C15" s="56" t="s">
        <v>32</v>
      </c>
      <c r="D15" s="55">
        <v>1</v>
      </c>
      <c r="E15" s="55" t="s">
        <v>20</v>
      </c>
      <c r="F15" s="18" t="s">
        <v>21</v>
      </c>
      <c r="G15" s="18" t="s">
        <v>21</v>
      </c>
      <c r="H15" s="18" t="s">
        <v>21</v>
      </c>
      <c r="I15" s="18" t="s">
        <v>21</v>
      </c>
      <c r="J15" s="18" t="s">
        <v>20</v>
      </c>
      <c r="K15" s="18" t="s">
        <v>20</v>
      </c>
      <c r="L15" s="18" t="s">
        <v>20</v>
      </c>
      <c r="M15" s="19" t="s">
        <v>21</v>
      </c>
      <c r="N15" s="19" t="s">
        <v>21</v>
      </c>
      <c r="O15" s="19" t="s">
        <v>20</v>
      </c>
      <c r="P15" s="19" t="s">
        <v>21</v>
      </c>
      <c r="Q15" s="18" t="s">
        <v>21</v>
      </c>
      <c r="R15" s="18" t="s">
        <v>23</v>
      </c>
      <c r="S15" s="19" t="s">
        <v>21</v>
      </c>
      <c r="T15" s="18" t="s">
        <v>20</v>
      </c>
      <c r="U15" s="18" t="s">
        <v>21</v>
      </c>
      <c r="V15" s="18" t="s">
        <v>20</v>
      </c>
      <c r="W15" s="18" t="s">
        <v>21</v>
      </c>
      <c r="X15" s="18" t="s">
        <v>20</v>
      </c>
      <c r="Y15" s="19" t="s">
        <v>20</v>
      </c>
      <c r="Z15" s="19" t="s">
        <v>20</v>
      </c>
      <c r="AA15" s="20" t="s">
        <v>21</v>
      </c>
      <c r="AB15" s="20" t="s">
        <v>21</v>
      </c>
      <c r="AC15" s="20" t="s">
        <v>23</v>
      </c>
      <c r="AD15" s="19" t="s">
        <v>21</v>
      </c>
      <c r="AE15" s="19" t="s">
        <v>21</v>
      </c>
      <c r="AG15">
        <f>+COUNTIF(F15:AE15,"AD")</f>
        <v>0</v>
      </c>
      <c r="AH15">
        <f>+COUNTIF(F15:AE15,"A")</f>
        <v>9</v>
      </c>
      <c r="AI15">
        <f>+COUNTIF(F15:AE15,"b")</f>
        <v>15</v>
      </c>
      <c r="AJ15">
        <f>+COUNTIF(F15:AE15,"c")</f>
        <v>2</v>
      </c>
      <c r="AL15">
        <f>+$AG$5*AG15</f>
        <v>0</v>
      </c>
      <c r="AM15">
        <f>+$AH$5*AH15</f>
        <v>27</v>
      </c>
      <c r="AN15">
        <f>+$AI$5*AI15</f>
        <v>30</v>
      </c>
      <c r="AO15">
        <f>+$AJ$5*AJ15</f>
        <v>2</v>
      </c>
      <c r="AP15">
        <f>+SUM(AL15:AO15)</f>
        <v>59</v>
      </c>
    </row>
    <row r="16" spans="1:42" ht="14.4" hidden="1" x14ac:dyDescent="0.3">
      <c r="A16" s="16"/>
      <c r="B16" s="55">
        <v>15</v>
      </c>
      <c r="C16" s="56" t="s">
        <v>36</v>
      </c>
      <c r="D16" s="55">
        <v>1</v>
      </c>
      <c r="E16" s="55" t="s">
        <v>20</v>
      </c>
      <c r="F16" s="18" t="s">
        <v>21</v>
      </c>
      <c r="G16" s="18" t="s">
        <v>21</v>
      </c>
      <c r="H16" s="18" t="s">
        <v>21</v>
      </c>
      <c r="I16" s="18" t="s">
        <v>21</v>
      </c>
      <c r="J16" s="18" t="s">
        <v>21</v>
      </c>
      <c r="K16" s="18" t="s">
        <v>21</v>
      </c>
      <c r="L16" s="18" t="s">
        <v>21</v>
      </c>
      <c r="M16" s="19" t="s">
        <v>20</v>
      </c>
      <c r="N16" s="19" t="s">
        <v>21</v>
      </c>
      <c r="O16" s="19" t="s">
        <v>20</v>
      </c>
      <c r="P16" s="19" t="s">
        <v>21</v>
      </c>
      <c r="Q16" s="18" t="s">
        <v>21</v>
      </c>
      <c r="R16" s="18" t="s">
        <v>21</v>
      </c>
      <c r="S16" s="19" t="s">
        <v>20</v>
      </c>
      <c r="T16" s="18" t="s">
        <v>21</v>
      </c>
      <c r="U16" s="18" t="s">
        <v>21</v>
      </c>
      <c r="V16" s="18" t="s">
        <v>21</v>
      </c>
      <c r="W16" s="18" t="s">
        <v>20</v>
      </c>
      <c r="X16" s="18" t="s">
        <v>20</v>
      </c>
      <c r="Y16" s="19" t="s">
        <v>20</v>
      </c>
      <c r="Z16" s="19" t="s">
        <v>20</v>
      </c>
      <c r="AA16" s="20" t="s">
        <v>21</v>
      </c>
      <c r="AB16" s="20" t="s">
        <v>21</v>
      </c>
      <c r="AC16" s="20" t="s">
        <v>23</v>
      </c>
      <c r="AD16" s="19" t="s">
        <v>20</v>
      </c>
      <c r="AE16" s="19" t="s">
        <v>21</v>
      </c>
      <c r="AG16">
        <f>+COUNTIF(F16:AE16,"AD")</f>
        <v>0</v>
      </c>
      <c r="AH16">
        <f>+COUNTIF(F16:AE16,"A")</f>
        <v>8</v>
      </c>
      <c r="AI16">
        <f>+COUNTIF(F16:AE16,"b")</f>
        <v>17</v>
      </c>
      <c r="AJ16">
        <f>+COUNTIF(F16:AE16,"c")</f>
        <v>1</v>
      </c>
      <c r="AL16">
        <f>+$AG$5*AG16</f>
        <v>0</v>
      </c>
      <c r="AM16">
        <f>+$AH$5*AH16</f>
        <v>24</v>
      </c>
      <c r="AN16">
        <f>+$AI$5*AI16</f>
        <v>34</v>
      </c>
      <c r="AO16">
        <f>+$AJ$5*AJ16</f>
        <v>1</v>
      </c>
      <c r="AP16">
        <f>+SUM(AL16:AO16)</f>
        <v>59</v>
      </c>
    </row>
    <row r="17" spans="1:42" ht="14.4" hidden="1" x14ac:dyDescent="0.3">
      <c r="A17" s="16"/>
      <c r="B17" s="55">
        <v>10</v>
      </c>
      <c r="C17" s="56" t="s">
        <v>31</v>
      </c>
      <c r="D17" s="55">
        <v>1</v>
      </c>
      <c r="E17" s="55" t="s">
        <v>20</v>
      </c>
      <c r="F17" s="18" t="s">
        <v>21</v>
      </c>
      <c r="G17" s="18" t="s">
        <v>21</v>
      </c>
      <c r="H17" s="18" t="s">
        <v>21</v>
      </c>
      <c r="I17" s="18" t="s">
        <v>21</v>
      </c>
      <c r="J17" s="18" t="s">
        <v>21</v>
      </c>
      <c r="K17" s="18" t="s">
        <v>21</v>
      </c>
      <c r="L17" s="18" t="s">
        <v>21</v>
      </c>
      <c r="M17" s="19" t="s">
        <v>21</v>
      </c>
      <c r="N17" s="19" t="s">
        <v>21</v>
      </c>
      <c r="O17" s="19" t="s">
        <v>20</v>
      </c>
      <c r="P17" s="19" t="s">
        <v>21</v>
      </c>
      <c r="Q17" s="18" t="s">
        <v>21</v>
      </c>
      <c r="R17" s="18" t="s">
        <v>21</v>
      </c>
      <c r="S17" s="19" t="s">
        <v>20</v>
      </c>
      <c r="T17" s="18" t="s">
        <v>21</v>
      </c>
      <c r="U17" s="18" t="s">
        <v>21</v>
      </c>
      <c r="V17" s="18" t="s">
        <v>20</v>
      </c>
      <c r="W17" s="18" t="s">
        <v>20</v>
      </c>
      <c r="X17" s="18" t="s">
        <v>20</v>
      </c>
      <c r="Y17" s="19" t="s">
        <v>21</v>
      </c>
      <c r="Z17" s="19" t="s">
        <v>20</v>
      </c>
      <c r="AA17" s="20" t="s">
        <v>21</v>
      </c>
      <c r="AB17" s="20" t="s">
        <v>21</v>
      </c>
      <c r="AC17" s="20" t="s">
        <v>23</v>
      </c>
      <c r="AD17" s="19" t="s">
        <v>21</v>
      </c>
      <c r="AE17" s="19" t="s">
        <v>21</v>
      </c>
      <c r="AG17">
        <f>+COUNTIF(F17:AE17,"AD")</f>
        <v>0</v>
      </c>
      <c r="AH17">
        <f>+COUNTIF(F17:AE17,"A")</f>
        <v>6</v>
      </c>
      <c r="AI17">
        <f>+COUNTIF(F17:AE17,"b")</f>
        <v>19</v>
      </c>
      <c r="AJ17">
        <f>+COUNTIF(F17:AE17,"c")</f>
        <v>1</v>
      </c>
      <c r="AL17">
        <f>+$AG$5*AG17</f>
        <v>0</v>
      </c>
      <c r="AM17">
        <f>+$AH$5*AH17</f>
        <v>18</v>
      </c>
      <c r="AN17">
        <f>+$AI$5*AI17</f>
        <v>38</v>
      </c>
      <c r="AO17">
        <f>+$AJ$5*AJ17</f>
        <v>1</v>
      </c>
      <c r="AP17">
        <f>+SUM(AL17:AO17)</f>
        <v>57</v>
      </c>
    </row>
    <row r="18" spans="1:42" ht="14.4" hidden="1" x14ac:dyDescent="0.3">
      <c r="A18" s="16"/>
      <c r="B18" s="55">
        <v>18</v>
      </c>
      <c r="C18" s="56" t="s">
        <v>40</v>
      </c>
      <c r="D18" s="55">
        <v>1</v>
      </c>
      <c r="E18" s="55" t="s">
        <v>20</v>
      </c>
      <c r="F18" s="18" t="s">
        <v>21</v>
      </c>
      <c r="G18" s="18" t="s">
        <v>21</v>
      </c>
      <c r="H18" s="18" t="s">
        <v>21</v>
      </c>
      <c r="I18" s="18" t="s">
        <v>21</v>
      </c>
      <c r="J18" s="18" t="s">
        <v>21</v>
      </c>
      <c r="K18" s="18" t="s">
        <v>21</v>
      </c>
      <c r="L18" s="18" t="s">
        <v>21</v>
      </c>
      <c r="M18" s="19" t="s">
        <v>21</v>
      </c>
      <c r="N18" s="19" t="s">
        <v>21</v>
      </c>
      <c r="O18" s="19" t="s">
        <v>20</v>
      </c>
      <c r="P18" s="19" t="s">
        <v>21</v>
      </c>
      <c r="Q18" s="18" t="s">
        <v>21</v>
      </c>
      <c r="R18" s="18" t="s">
        <v>21</v>
      </c>
      <c r="S18" s="19" t="s">
        <v>23</v>
      </c>
      <c r="T18" s="18" t="s">
        <v>23</v>
      </c>
      <c r="U18" s="18" t="s">
        <v>20</v>
      </c>
      <c r="V18" s="18" t="s">
        <v>21</v>
      </c>
      <c r="W18" s="18" t="s">
        <v>20</v>
      </c>
      <c r="X18" s="18" t="s">
        <v>20</v>
      </c>
      <c r="Y18" s="19" t="s">
        <v>20</v>
      </c>
      <c r="Z18" s="19" t="s">
        <v>20</v>
      </c>
      <c r="AA18" s="20" t="s">
        <v>21</v>
      </c>
      <c r="AB18" s="20" t="s">
        <v>21</v>
      </c>
      <c r="AC18" s="20" t="s">
        <v>23</v>
      </c>
      <c r="AD18" s="19" t="s">
        <v>21</v>
      </c>
      <c r="AE18" s="19" t="s">
        <v>21</v>
      </c>
      <c r="AG18">
        <f>+COUNTIF(F18:AE18,"AD")</f>
        <v>0</v>
      </c>
      <c r="AH18">
        <f>+COUNTIF(F18:AE18,"A")</f>
        <v>6</v>
      </c>
      <c r="AI18">
        <f>+COUNTIF(F18:AE18,"b")</f>
        <v>17</v>
      </c>
      <c r="AJ18">
        <f>+COUNTIF(F18:AE18,"c")</f>
        <v>3</v>
      </c>
      <c r="AL18">
        <f>+$AG$5*AG18</f>
        <v>0</v>
      </c>
      <c r="AM18">
        <f>+$AH$5*AH18</f>
        <v>18</v>
      </c>
      <c r="AN18">
        <f>+$AI$5*AI18</f>
        <v>34</v>
      </c>
      <c r="AO18">
        <f>+$AJ$5*AJ18</f>
        <v>3</v>
      </c>
      <c r="AP18">
        <f>+SUM(AL18:AO18)</f>
        <v>55</v>
      </c>
    </row>
    <row r="19" spans="1:42" ht="14.4" hidden="1" x14ac:dyDescent="0.3">
      <c r="A19" s="16"/>
      <c r="B19" s="55">
        <v>13</v>
      </c>
      <c r="C19" s="56" t="s">
        <v>34</v>
      </c>
      <c r="D19" s="55">
        <v>1</v>
      </c>
      <c r="E19" s="55" t="s">
        <v>20</v>
      </c>
      <c r="F19" s="18" t="s">
        <v>21</v>
      </c>
      <c r="G19" s="18" t="s">
        <v>21</v>
      </c>
      <c r="H19" s="18" t="s">
        <v>23</v>
      </c>
      <c r="I19" s="18" t="s">
        <v>21</v>
      </c>
      <c r="J19" s="18" t="s">
        <v>21</v>
      </c>
      <c r="K19" s="18" t="s">
        <v>21</v>
      </c>
      <c r="L19" s="18" t="s">
        <v>21</v>
      </c>
      <c r="M19" s="19" t="s">
        <v>21</v>
      </c>
      <c r="N19" s="19" t="s">
        <v>21</v>
      </c>
      <c r="O19" s="19" t="s">
        <v>21</v>
      </c>
      <c r="P19" s="19" t="s">
        <v>21</v>
      </c>
      <c r="Q19" s="18" t="s">
        <v>21</v>
      </c>
      <c r="R19" s="18" t="s">
        <v>21</v>
      </c>
      <c r="S19" s="19" t="s">
        <v>23</v>
      </c>
      <c r="T19" s="18" t="s">
        <v>23</v>
      </c>
      <c r="U19" s="18" t="s">
        <v>21</v>
      </c>
      <c r="V19" s="18" t="s">
        <v>21</v>
      </c>
      <c r="W19" s="18" t="s">
        <v>21</v>
      </c>
      <c r="X19" s="18" t="s">
        <v>20</v>
      </c>
      <c r="Y19" s="19" t="s">
        <v>20</v>
      </c>
      <c r="Z19" s="19" t="s">
        <v>20</v>
      </c>
      <c r="AA19" s="20" t="s">
        <v>21</v>
      </c>
      <c r="AB19" s="20" t="s">
        <v>21</v>
      </c>
      <c r="AC19" s="20" t="s">
        <v>23</v>
      </c>
      <c r="AD19" s="19" t="s">
        <v>21</v>
      </c>
      <c r="AE19" s="19" t="s">
        <v>21</v>
      </c>
      <c r="AG19">
        <f>+COUNTIF(F19:AE19,"AD")</f>
        <v>0</v>
      </c>
      <c r="AH19">
        <f>+COUNTIF(F19:AE19,"A")</f>
        <v>3</v>
      </c>
      <c r="AI19">
        <f>+COUNTIF(F19:AE19,"b")</f>
        <v>19</v>
      </c>
      <c r="AJ19">
        <f>+COUNTIF(F19:AE19,"c")</f>
        <v>4</v>
      </c>
      <c r="AL19">
        <f>+$AG$5*AG19</f>
        <v>0</v>
      </c>
      <c r="AM19">
        <f>+$AH$5*AH19</f>
        <v>9</v>
      </c>
      <c r="AN19">
        <f>+$AI$5*AI19</f>
        <v>38</v>
      </c>
      <c r="AO19">
        <f>+$AJ$5*AJ19</f>
        <v>4</v>
      </c>
      <c r="AP19">
        <f>+SUM(AL19:AO19)</f>
        <v>51</v>
      </c>
    </row>
    <row r="20" spans="1:42" ht="14.4" hidden="1" x14ac:dyDescent="0.3">
      <c r="A20" s="16"/>
      <c r="B20" s="55">
        <v>14</v>
      </c>
      <c r="C20" s="56" t="s">
        <v>35</v>
      </c>
      <c r="D20" s="55">
        <v>1</v>
      </c>
      <c r="E20" s="55" t="s">
        <v>20</v>
      </c>
      <c r="F20" s="18" t="s">
        <v>21</v>
      </c>
      <c r="G20" s="18" t="s">
        <v>23</v>
      </c>
      <c r="H20" s="18" t="s">
        <v>21</v>
      </c>
      <c r="I20" s="18" t="s">
        <v>21</v>
      </c>
      <c r="J20" s="18" t="s">
        <v>21</v>
      </c>
      <c r="K20" s="18" t="s">
        <v>21</v>
      </c>
      <c r="L20" s="18" t="s">
        <v>21</v>
      </c>
      <c r="M20" s="19" t="s">
        <v>21</v>
      </c>
      <c r="N20" s="19" t="s">
        <v>21</v>
      </c>
      <c r="O20" s="19" t="s">
        <v>21</v>
      </c>
      <c r="P20" s="19" t="s">
        <v>21</v>
      </c>
      <c r="Q20" s="18" t="s">
        <v>21</v>
      </c>
      <c r="R20" s="18" t="s">
        <v>21</v>
      </c>
      <c r="S20" s="19" t="s">
        <v>23</v>
      </c>
      <c r="T20" s="18" t="s">
        <v>23</v>
      </c>
      <c r="U20" s="18" t="s">
        <v>21</v>
      </c>
      <c r="V20" s="18" t="s">
        <v>20</v>
      </c>
      <c r="W20" s="18" t="s">
        <v>21</v>
      </c>
      <c r="X20" s="18" t="s">
        <v>20</v>
      </c>
      <c r="Y20" s="19" t="s">
        <v>21</v>
      </c>
      <c r="Z20" s="19" t="s">
        <v>20</v>
      </c>
      <c r="AA20" s="20" t="s">
        <v>21</v>
      </c>
      <c r="AB20" s="20" t="s">
        <v>23</v>
      </c>
      <c r="AC20" s="20" t="s">
        <v>23</v>
      </c>
      <c r="AD20" s="19" t="s">
        <v>21</v>
      </c>
      <c r="AE20" s="19" t="s">
        <v>21</v>
      </c>
      <c r="AG20">
        <f>+COUNTIF(F20:AE20,"AD")</f>
        <v>0</v>
      </c>
      <c r="AH20">
        <f>+COUNTIF(F20:AE20,"A")</f>
        <v>3</v>
      </c>
      <c r="AI20">
        <f>+COUNTIF(F20:AE20,"b")</f>
        <v>18</v>
      </c>
      <c r="AJ20">
        <f>+COUNTIF(F20:AE20,"c")</f>
        <v>5</v>
      </c>
      <c r="AL20">
        <f>+$AG$5*AG20</f>
        <v>0</v>
      </c>
      <c r="AM20">
        <f>+$AH$5*AH20</f>
        <v>9</v>
      </c>
      <c r="AN20">
        <f>+$AI$5*AI20</f>
        <v>36</v>
      </c>
      <c r="AO20">
        <f>+$AJ$5*AJ20</f>
        <v>5</v>
      </c>
      <c r="AP20">
        <f>+SUM(AL20:AO20)</f>
        <v>50</v>
      </c>
    </row>
    <row r="21" spans="1:42" ht="14.4" hidden="1" x14ac:dyDescent="0.3">
      <c r="A21" s="16"/>
      <c r="B21" s="55">
        <v>8</v>
      </c>
      <c r="C21" s="56" t="s">
        <v>29</v>
      </c>
      <c r="D21" s="55">
        <v>1</v>
      </c>
      <c r="E21" s="55" t="s">
        <v>20</v>
      </c>
      <c r="F21" s="18" t="s">
        <v>21</v>
      </c>
      <c r="G21" s="18" t="s">
        <v>23</v>
      </c>
      <c r="H21" s="18" t="s">
        <v>21</v>
      </c>
      <c r="I21" s="18" t="s">
        <v>21</v>
      </c>
      <c r="J21" s="18" t="s">
        <v>21</v>
      </c>
      <c r="K21" s="18" t="s">
        <v>21</v>
      </c>
      <c r="L21" s="18" t="s">
        <v>21</v>
      </c>
      <c r="M21" s="19" t="s">
        <v>21</v>
      </c>
      <c r="N21" s="19" t="s">
        <v>21</v>
      </c>
      <c r="O21" s="19" t="s">
        <v>21</v>
      </c>
      <c r="P21" s="19" t="s">
        <v>21</v>
      </c>
      <c r="Q21" s="18" t="s">
        <v>21</v>
      </c>
      <c r="R21" s="18" t="s">
        <v>21</v>
      </c>
      <c r="S21" s="19" t="s">
        <v>23</v>
      </c>
      <c r="T21" s="18" t="s">
        <v>21</v>
      </c>
      <c r="U21" s="18" t="s">
        <v>21</v>
      </c>
      <c r="V21" s="18" t="s">
        <v>20</v>
      </c>
      <c r="W21" s="18" t="s">
        <v>21</v>
      </c>
      <c r="X21" s="18" t="s">
        <v>20</v>
      </c>
      <c r="Y21" s="19" t="s">
        <v>21</v>
      </c>
      <c r="Z21" s="19" t="s">
        <v>21</v>
      </c>
      <c r="AA21" s="20" t="s">
        <v>21</v>
      </c>
      <c r="AB21" s="20" t="s">
        <v>23</v>
      </c>
      <c r="AC21" s="20" t="s">
        <v>23</v>
      </c>
      <c r="AD21" s="19" t="s">
        <v>23</v>
      </c>
      <c r="AE21" s="19" t="s">
        <v>21</v>
      </c>
      <c r="AG21">
        <f>+COUNTIF(F21:AE21,"AD")</f>
        <v>0</v>
      </c>
      <c r="AH21">
        <f>+COUNTIF(F21:AE21,"A")</f>
        <v>2</v>
      </c>
      <c r="AI21">
        <f>+COUNTIF(F21:AE21,"b")</f>
        <v>19</v>
      </c>
      <c r="AJ21">
        <f>+COUNTIF(F21:AE21,"c")</f>
        <v>5</v>
      </c>
      <c r="AL21">
        <f>+$AG$5*AG21</f>
        <v>0</v>
      </c>
      <c r="AM21">
        <f>+$AH$5*AH21</f>
        <v>6</v>
      </c>
      <c r="AN21">
        <f>+$AI$5*AI21</f>
        <v>38</v>
      </c>
      <c r="AO21">
        <f>+$AJ$5*AJ21</f>
        <v>5</v>
      </c>
      <c r="AP21">
        <f>+SUM(AL21:AO21)</f>
        <v>49</v>
      </c>
    </row>
    <row r="22" spans="1:42" ht="15.75" hidden="1" customHeight="1" x14ac:dyDescent="0.3">
      <c r="A22" s="16"/>
      <c r="B22" s="55">
        <v>12</v>
      </c>
      <c r="C22" s="56" t="s">
        <v>33</v>
      </c>
      <c r="D22" s="55">
        <v>1</v>
      </c>
      <c r="E22" s="55" t="s">
        <v>20</v>
      </c>
      <c r="F22" s="18" t="s">
        <v>21</v>
      </c>
      <c r="G22" s="18" t="s">
        <v>21</v>
      </c>
      <c r="H22" s="18" t="s">
        <v>21</v>
      </c>
      <c r="I22" s="18" t="s">
        <v>23</v>
      </c>
      <c r="J22" s="18" t="s">
        <v>21</v>
      </c>
      <c r="K22" s="18" t="s">
        <v>21</v>
      </c>
      <c r="L22" s="18" t="s">
        <v>21</v>
      </c>
      <c r="M22" s="19" t="s">
        <v>21</v>
      </c>
      <c r="N22" s="19" t="s">
        <v>21</v>
      </c>
      <c r="O22" s="19" t="s">
        <v>21</v>
      </c>
      <c r="P22" s="19" t="s">
        <v>21</v>
      </c>
      <c r="Q22" s="18" t="s">
        <v>21</v>
      </c>
      <c r="R22" s="18" t="s">
        <v>21</v>
      </c>
      <c r="S22" s="19" t="s">
        <v>23</v>
      </c>
      <c r="T22" s="18" t="s">
        <v>23</v>
      </c>
      <c r="U22" s="18" t="s">
        <v>21</v>
      </c>
      <c r="V22" s="18" t="s">
        <v>21</v>
      </c>
      <c r="W22" s="18" t="s">
        <v>21</v>
      </c>
      <c r="X22" s="18" t="s">
        <v>20</v>
      </c>
      <c r="Y22" s="19" t="s">
        <v>20</v>
      </c>
      <c r="Z22" s="19" t="s">
        <v>20</v>
      </c>
      <c r="AA22" s="20" t="s">
        <v>23</v>
      </c>
      <c r="AB22" s="20" t="s">
        <v>23</v>
      </c>
      <c r="AC22" s="20" t="s">
        <v>23</v>
      </c>
      <c r="AD22" s="19" t="s">
        <v>23</v>
      </c>
      <c r="AE22" s="19" t="s">
        <v>21</v>
      </c>
      <c r="AG22">
        <f>+COUNTIF(F22:AE22,"AD")</f>
        <v>0</v>
      </c>
      <c r="AH22">
        <f>+COUNTIF(F22:AE22,"A")</f>
        <v>3</v>
      </c>
      <c r="AI22">
        <f>+COUNTIF(F22:AE22,"b")</f>
        <v>16</v>
      </c>
      <c r="AJ22">
        <f>+COUNTIF(F22:AE22,"c")</f>
        <v>7</v>
      </c>
      <c r="AL22">
        <f>+$AG$5*AG22</f>
        <v>0</v>
      </c>
      <c r="AM22">
        <f>+$AH$5*AH22</f>
        <v>9</v>
      </c>
      <c r="AN22">
        <f>+$AI$5*AI22</f>
        <v>32</v>
      </c>
      <c r="AO22">
        <f>+$AJ$5*AJ22</f>
        <v>7</v>
      </c>
      <c r="AP22">
        <f>+SUM(AL22:AO22)</f>
        <v>48</v>
      </c>
    </row>
    <row r="23" spans="1:42" ht="15.75" hidden="1" customHeight="1" thickBot="1" x14ac:dyDescent="0.35">
      <c r="A23" s="16"/>
      <c r="B23" s="57">
        <v>2</v>
      </c>
      <c r="C23" s="58" t="s">
        <v>22</v>
      </c>
      <c r="D23" s="57">
        <v>1</v>
      </c>
      <c r="E23" s="57" t="s">
        <v>20</v>
      </c>
      <c r="F23" s="21" t="s">
        <v>21</v>
      </c>
      <c r="G23" s="21" t="s">
        <v>23</v>
      </c>
      <c r="H23" s="21" t="s">
        <v>21</v>
      </c>
      <c r="I23" s="21" t="s">
        <v>21</v>
      </c>
      <c r="J23" s="21" t="s">
        <v>21</v>
      </c>
      <c r="K23" s="21" t="s">
        <v>21</v>
      </c>
      <c r="L23" s="21" t="s">
        <v>21</v>
      </c>
      <c r="M23" s="22" t="s">
        <v>21</v>
      </c>
      <c r="N23" s="22" t="s">
        <v>21</v>
      </c>
      <c r="O23" s="22" t="s">
        <v>23</v>
      </c>
      <c r="P23" s="22" t="s">
        <v>21</v>
      </c>
      <c r="Q23" s="21" t="s">
        <v>21</v>
      </c>
      <c r="R23" s="21" t="s">
        <v>21</v>
      </c>
      <c r="S23" s="22" t="s">
        <v>23</v>
      </c>
      <c r="T23" s="21" t="s">
        <v>23</v>
      </c>
      <c r="U23" s="21" t="s">
        <v>21</v>
      </c>
      <c r="V23" s="21" t="s">
        <v>21</v>
      </c>
      <c r="W23" s="21" t="s">
        <v>21</v>
      </c>
      <c r="X23" s="21" t="s">
        <v>20</v>
      </c>
      <c r="Y23" s="22" t="s">
        <v>21</v>
      </c>
      <c r="Z23" s="22" t="s">
        <v>20</v>
      </c>
      <c r="AA23" s="23" t="s">
        <v>23</v>
      </c>
      <c r="AB23" s="23" t="s">
        <v>23</v>
      </c>
      <c r="AC23" s="23" t="s">
        <v>23</v>
      </c>
      <c r="AD23" s="22" t="s">
        <v>23</v>
      </c>
      <c r="AE23" s="22" t="s">
        <v>21</v>
      </c>
      <c r="AG23">
        <f>+COUNTIF(F23:AE23,"AD")</f>
        <v>0</v>
      </c>
      <c r="AH23">
        <f>+COUNTIF(F23:AE23,"A")</f>
        <v>2</v>
      </c>
      <c r="AI23">
        <f>+COUNTIF(F23:AE23,"b")</f>
        <v>16</v>
      </c>
      <c r="AJ23">
        <f>+COUNTIF(F23:AE23,"c")</f>
        <v>8</v>
      </c>
      <c r="AL23">
        <f>+$AG$5*AG23</f>
        <v>0</v>
      </c>
      <c r="AM23">
        <f>+$AH$5*AH23</f>
        <v>6</v>
      </c>
      <c r="AN23">
        <f>+$AI$5*AI23</f>
        <v>32</v>
      </c>
      <c r="AO23">
        <f>+$AJ$5*AJ23</f>
        <v>8</v>
      </c>
      <c r="AP23">
        <f>+SUM(AL23:AO23)</f>
        <v>46</v>
      </c>
    </row>
    <row r="24" spans="1:42" ht="15.75" hidden="1" customHeight="1" x14ac:dyDescent="0.3">
      <c r="A24" s="16"/>
      <c r="B24" s="59">
        <v>1</v>
      </c>
      <c r="C24" s="60" t="s">
        <v>41</v>
      </c>
      <c r="D24" s="59">
        <v>1</v>
      </c>
      <c r="E24" s="59" t="s">
        <v>21</v>
      </c>
      <c r="F24" s="24" t="s">
        <v>39</v>
      </c>
      <c r="G24" s="24" t="s">
        <v>20</v>
      </c>
      <c r="H24" s="24" t="s">
        <v>20</v>
      </c>
      <c r="I24" s="24" t="s">
        <v>20</v>
      </c>
      <c r="J24" s="24" t="s">
        <v>20</v>
      </c>
      <c r="K24" s="24" t="s">
        <v>20</v>
      </c>
      <c r="L24" s="24" t="s">
        <v>20</v>
      </c>
      <c r="M24" s="25" t="s">
        <v>20</v>
      </c>
      <c r="N24" s="25" t="s">
        <v>20</v>
      </c>
      <c r="O24" s="25" t="s">
        <v>20</v>
      </c>
      <c r="P24" s="25" t="s">
        <v>20</v>
      </c>
      <c r="Q24" s="24" t="s">
        <v>20</v>
      </c>
      <c r="R24" s="24" t="s">
        <v>20</v>
      </c>
      <c r="S24" s="25" t="s">
        <v>20</v>
      </c>
      <c r="T24" s="24" t="s">
        <v>20</v>
      </c>
      <c r="U24" s="24" t="s">
        <v>20</v>
      </c>
      <c r="V24" s="24" t="s">
        <v>20</v>
      </c>
      <c r="W24" s="24" t="s">
        <v>20</v>
      </c>
      <c r="X24" s="24" t="s">
        <v>20</v>
      </c>
      <c r="Y24" s="25" t="s">
        <v>20</v>
      </c>
      <c r="Z24" s="25" t="s">
        <v>20</v>
      </c>
      <c r="AA24" s="26" t="s">
        <v>20</v>
      </c>
      <c r="AB24" s="26" t="s">
        <v>20</v>
      </c>
      <c r="AC24" s="27" t="s">
        <v>20</v>
      </c>
      <c r="AD24" s="25" t="s">
        <v>20</v>
      </c>
      <c r="AE24" s="25" t="s">
        <v>21</v>
      </c>
      <c r="AG24">
        <f t="shared" ref="AG24:AG87" si="0">+COUNTIF(F24:AE24,"AD")</f>
        <v>1</v>
      </c>
      <c r="AH24">
        <f t="shared" ref="AH24:AH87" si="1">+COUNTIF(F24:AE24,"A")</f>
        <v>24</v>
      </c>
      <c r="AI24">
        <f t="shared" ref="AI24:AI87" si="2">+COUNTIF(F24:AE24,"b")</f>
        <v>1</v>
      </c>
      <c r="AJ24">
        <f t="shared" ref="AJ24:AJ87" si="3">+COUNTIF(F24:AE24,"c")</f>
        <v>0</v>
      </c>
      <c r="AL24">
        <f t="shared" ref="AL24:AL87" si="4">+$AG$5*AG24</f>
        <v>4</v>
      </c>
      <c r="AM24">
        <f t="shared" ref="AM24:AM87" si="5">+$AH$5*AH24</f>
        <v>72</v>
      </c>
      <c r="AN24">
        <f t="shared" ref="AN24:AN87" si="6">+$AI$5*AI24</f>
        <v>2</v>
      </c>
      <c r="AO24">
        <f t="shared" ref="AO24:AO87" si="7">+$AJ$5*AJ24</f>
        <v>0</v>
      </c>
      <c r="AP24">
        <f t="shared" ref="AP24:AP87" si="8">+SUM(AL24:AO24)</f>
        <v>78</v>
      </c>
    </row>
    <row r="25" spans="1:42" ht="15.75" hidden="1" customHeight="1" x14ac:dyDescent="0.3">
      <c r="A25" s="16"/>
      <c r="B25" s="55">
        <v>2</v>
      </c>
      <c r="C25" s="56" t="s">
        <v>42</v>
      </c>
      <c r="D25" s="55">
        <v>1</v>
      </c>
      <c r="E25" s="55" t="s">
        <v>21</v>
      </c>
      <c r="F25" s="18" t="s">
        <v>21</v>
      </c>
      <c r="G25" s="18" t="s">
        <v>21</v>
      </c>
      <c r="H25" s="18" t="s">
        <v>21</v>
      </c>
      <c r="I25" s="18" t="s">
        <v>21</v>
      </c>
      <c r="J25" s="18" t="s">
        <v>20</v>
      </c>
      <c r="K25" s="18" t="s">
        <v>21</v>
      </c>
      <c r="L25" s="18" t="s">
        <v>21</v>
      </c>
      <c r="M25" s="19" t="s">
        <v>20</v>
      </c>
      <c r="N25" s="19" t="s">
        <v>20</v>
      </c>
      <c r="O25" s="19" t="s">
        <v>20</v>
      </c>
      <c r="P25" s="19" t="s">
        <v>20</v>
      </c>
      <c r="Q25" s="18" t="s">
        <v>20</v>
      </c>
      <c r="R25" s="18" t="s">
        <v>21</v>
      </c>
      <c r="S25" s="19" t="s">
        <v>20</v>
      </c>
      <c r="T25" s="18" t="s">
        <v>20</v>
      </c>
      <c r="U25" s="18" t="s">
        <v>21</v>
      </c>
      <c r="V25" s="18" t="s">
        <v>20</v>
      </c>
      <c r="W25" s="18" t="s">
        <v>20</v>
      </c>
      <c r="X25" s="18" t="s">
        <v>20</v>
      </c>
      <c r="Y25" s="19" t="s">
        <v>20</v>
      </c>
      <c r="Z25" s="19" t="s">
        <v>20</v>
      </c>
      <c r="AA25" s="28" t="s">
        <v>20</v>
      </c>
      <c r="AB25" s="28" t="s">
        <v>21</v>
      </c>
      <c r="AC25" s="20" t="s">
        <v>20</v>
      </c>
      <c r="AD25" s="19" t="s">
        <v>20</v>
      </c>
      <c r="AE25" s="19" t="s">
        <v>21</v>
      </c>
      <c r="AG25">
        <f t="shared" si="0"/>
        <v>0</v>
      </c>
      <c r="AH25">
        <f t="shared" si="1"/>
        <v>16</v>
      </c>
      <c r="AI25">
        <f t="shared" si="2"/>
        <v>10</v>
      </c>
      <c r="AJ25">
        <f t="shared" si="3"/>
        <v>0</v>
      </c>
      <c r="AL25">
        <f t="shared" si="4"/>
        <v>0</v>
      </c>
      <c r="AM25">
        <f t="shared" si="5"/>
        <v>48</v>
      </c>
      <c r="AN25">
        <f t="shared" si="6"/>
        <v>20</v>
      </c>
      <c r="AO25">
        <f t="shared" si="7"/>
        <v>0</v>
      </c>
      <c r="AP25">
        <f t="shared" si="8"/>
        <v>68</v>
      </c>
    </row>
    <row r="26" spans="1:42" ht="15.75" hidden="1" customHeight="1" x14ac:dyDescent="0.3">
      <c r="A26" s="16"/>
      <c r="B26" s="55">
        <v>3</v>
      </c>
      <c r="C26" s="56" t="s">
        <v>43</v>
      </c>
      <c r="D26" s="55">
        <v>1</v>
      </c>
      <c r="E26" s="55" t="s">
        <v>21</v>
      </c>
      <c r="F26" s="18" t="s">
        <v>21</v>
      </c>
      <c r="G26" s="18" t="s">
        <v>20</v>
      </c>
      <c r="H26" s="18" t="s">
        <v>21</v>
      </c>
      <c r="I26" s="18" t="s">
        <v>21</v>
      </c>
      <c r="J26" s="18" t="s">
        <v>21</v>
      </c>
      <c r="K26" s="18" t="s">
        <v>20</v>
      </c>
      <c r="L26" s="18" t="s">
        <v>21</v>
      </c>
      <c r="M26" s="19" t="s">
        <v>20</v>
      </c>
      <c r="N26" s="19" t="s">
        <v>20</v>
      </c>
      <c r="O26" s="19" t="s">
        <v>20</v>
      </c>
      <c r="P26" s="19" t="s">
        <v>20</v>
      </c>
      <c r="Q26" s="18" t="s">
        <v>21</v>
      </c>
      <c r="R26" s="18" t="s">
        <v>21</v>
      </c>
      <c r="S26" s="19" t="s">
        <v>20</v>
      </c>
      <c r="T26" s="18" t="s">
        <v>20</v>
      </c>
      <c r="U26" s="18" t="s">
        <v>21</v>
      </c>
      <c r="V26" s="18" t="s">
        <v>20</v>
      </c>
      <c r="W26" s="18" t="s">
        <v>20</v>
      </c>
      <c r="X26" s="18" t="s">
        <v>20</v>
      </c>
      <c r="Y26" s="19" t="s">
        <v>20</v>
      </c>
      <c r="Z26" s="19" t="s">
        <v>20</v>
      </c>
      <c r="AA26" s="28" t="s">
        <v>20</v>
      </c>
      <c r="AB26" s="28" t="s">
        <v>21</v>
      </c>
      <c r="AC26" s="20" t="s">
        <v>21</v>
      </c>
      <c r="AD26" s="19" t="s">
        <v>20</v>
      </c>
      <c r="AE26" s="19" t="s">
        <v>21</v>
      </c>
      <c r="AG26">
        <f t="shared" si="0"/>
        <v>0</v>
      </c>
      <c r="AH26">
        <f t="shared" si="1"/>
        <v>15</v>
      </c>
      <c r="AI26">
        <f t="shared" si="2"/>
        <v>11</v>
      </c>
      <c r="AJ26">
        <f t="shared" si="3"/>
        <v>0</v>
      </c>
      <c r="AL26">
        <f t="shared" si="4"/>
        <v>0</v>
      </c>
      <c r="AM26">
        <f t="shared" si="5"/>
        <v>45</v>
      </c>
      <c r="AN26">
        <f t="shared" si="6"/>
        <v>22</v>
      </c>
      <c r="AO26">
        <f t="shared" si="7"/>
        <v>0</v>
      </c>
      <c r="AP26">
        <f t="shared" si="8"/>
        <v>67</v>
      </c>
    </row>
    <row r="27" spans="1:42" ht="15.75" hidden="1" customHeight="1" x14ac:dyDescent="0.3">
      <c r="A27" s="16"/>
      <c r="B27" s="55">
        <v>4</v>
      </c>
      <c r="C27" s="56" t="s">
        <v>44</v>
      </c>
      <c r="D27" s="55">
        <v>1</v>
      </c>
      <c r="E27" s="55" t="s">
        <v>21</v>
      </c>
      <c r="F27" s="18" t="s">
        <v>20</v>
      </c>
      <c r="G27" s="18" t="s">
        <v>20</v>
      </c>
      <c r="H27" s="18" t="s">
        <v>20</v>
      </c>
      <c r="I27" s="18" t="s">
        <v>20</v>
      </c>
      <c r="J27" s="18" t="s">
        <v>21</v>
      </c>
      <c r="K27" s="18" t="s">
        <v>21</v>
      </c>
      <c r="L27" s="18" t="s">
        <v>21</v>
      </c>
      <c r="M27" s="18" t="s">
        <v>21</v>
      </c>
      <c r="N27" s="18" t="s">
        <v>20</v>
      </c>
      <c r="O27" s="18" t="s">
        <v>20</v>
      </c>
      <c r="P27" s="18" t="s">
        <v>21</v>
      </c>
      <c r="Q27" s="18" t="s">
        <v>21</v>
      </c>
      <c r="R27" s="18" t="s">
        <v>21</v>
      </c>
      <c r="S27" s="18" t="s">
        <v>20</v>
      </c>
      <c r="T27" s="18" t="s">
        <v>20</v>
      </c>
      <c r="U27" s="18" t="s">
        <v>21</v>
      </c>
      <c r="V27" s="18" t="s">
        <v>20</v>
      </c>
      <c r="W27" s="18" t="s">
        <v>20</v>
      </c>
      <c r="X27" s="18" t="s">
        <v>20</v>
      </c>
      <c r="Y27" s="19" t="s">
        <v>21</v>
      </c>
      <c r="Z27" s="18" t="s">
        <v>20</v>
      </c>
      <c r="AA27" s="28" t="s">
        <v>21</v>
      </c>
      <c r="AB27" s="28" t="s">
        <v>21</v>
      </c>
      <c r="AC27" s="20" t="s">
        <v>21</v>
      </c>
      <c r="AD27" s="29" t="s">
        <v>21</v>
      </c>
      <c r="AE27" s="29" t="s">
        <v>21</v>
      </c>
      <c r="AG27">
        <f t="shared" si="0"/>
        <v>0</v>
      </c>
      <c r="AH27">
        <f t="shared" si="1"/>
        <v>12</v>
      </c>
      <c r="AI27">
        <f t="shared" si="2"/>
        <v>14</v>
      </c>
      <c r="AJ27">
        <f t="shared" si="3"/>
        <v>0</v>
      </c>
      <c r="AL27">
        <f t="shared" si="4"/>
        <v>0</v>
      </c>
      <c r="AM27">
        <f t="shared" si="5"/>
        <v>36</v>
      </c>
      <c r="AN27">
        <f t="shared" si="6"/>
        <v>28</v>
      </c>
      <c r="AO27">
        <f t="shared" si="7"/>
        <v>0</v>
      </c>
      <c r="AP27">
        <f t="shared" si="8"/>
        <v>64</v>
      </c>
    </row>
    <row r="28" spans="1:42" ht="15.75" hidden="1" customHeight="1" x14ac:dyDescent="0.3">
      <c r="A28" s="16"/>
      <c r="B28" s="55">
        <v>5</v>
      </c>
      <c r="C28" s="56" t="s">
        <v>45</v>
      </c>
      <c r="D28" s="55">
        <v>1</v>
      </c>
      <c r="E28" s="55" t="s">
        <v>21</v>
      </c>
      <c r="F28" s="18" t="s">
        <v>21</v>
      </c>
      <c r="G28" s="18" t="s">
        <v>21</v>
      </c>
      <c r="H28" s="18" t="s">
        <v>20</v>
      </c>
      <c r="I28" s="18" t="s">
        <v>21</v>
      </c>
      <c r="J28" s="18" t="s">
        <v>21</v>
      </c>
      <c r="K28" s="18" t="s">
        <v>21</v>
      </c>
      <c r="L28" s="18" t="s">
        <v>21</v>
      </c>
      <c r="M28" s="18" t="s">
        <v>20</v>
      </c>
      <c r="N28" s="18" t="s">
        <v>21</v>
      </c>
      <c r="O28" s="18" t="s">
        <v>20</v>
      </c>
      <c r="P28" s="18" t="s">
        <v>21</v>
      </c>
      <c r="Q28" s="18" t="s">
        <v>21</v>
      </c>
      <c r="R28" s="18" t="s">
        <v>21</v>
      </c>
      <c r="S28" s="18" t="s">
        <v>20</v>
      </c>
      <c r="T28" s="18" t="s">
        <v>20</v>
      </c>
      <c r="U28" s="18" t="s">
        <v>21</v>
      </c>
      <c r="V28" s="18" t="s">
        <v>20</v>
      </c>
      <c r="W28" s="18" t="s">
        <v>20</v>
      </c>
      <c r="X28" s="18" t="s">
        <v>20</v>
      </c>
      <c r="Y28" s="19" t="s">
        <v>21</v>
      </c>
      <c r="Z28" s="18" t="s">
        <v>20</v>
      </c>
      <c r="AA28" s="28" t="s">
        <v>20</v>
      </c>
      <c r="AB28" s="28" t="s">
        <v>20</v>
      </c>
      <c r="AC28" s="20" t="s">
        <v>21</v>
      </c>
      <c r="AD28" s="29" t="s">
        <v>21</v>
      </c>
      <c r="AE28" s="29" t="s">
        <v>21</v>
      </c>
      <c r="AG28">
        <f t="shared" si="0"/>
        <v>0</v>
      </c>
      <c r="AH28">
        <f t="shared" si="1"/>
        <v>11</v>
      </c>
      <c r="AI28">
        <f t="shared" si="2"/>
        <v>15</v>
      </c>
      <c r="AJ28">
        <f t="shared" si="3"/>
        <v>0</v>
      </c>
      <c r="AL28">
        <f t="shared" si="4"/>
        <v>0</v>
      </c>
      <c r="AM28">
        <f t="shared" si="5"/>
        <v>33</v>
      </c>
      <c r="AN28">
        <f t="shared" si="6"/>
        <v>30</v>
      </c>
      <c r="AO28">
        <f t="shared" si="7"/>
        <v>0</v>
      </c>
      <c r="AP28">
        <f t="shared" si="8"/>
        <v>63</v>
      </c>
    </row>
    <row r="29" spans="1:42" ht="15.75" hidden="1" customHeight="1" x14ac:dyDescent="0.3">
      <c r="A29" s="16"/>
      <c r="B29" s="55">
        <v>6</v>
      </c>
      <c r="C29" s="56" t="s">
        <v>46</v>
      </c>
      <c r="D29" s="55">
        <v>1</v>
      </c>
      <c r="E29" s="55" t="s">
        <v>21</v>
      </c>
      <c r="F29" s="18" t="s">
        <v>20</v>
      </c>
      <c r="G29" s="18" t="s">
        <v>20</v>
      </c>
      <c r="H29" s="18" t="s">
        <v>21</v>
      </c>
      <c r="I29" s="18" t="s">
        <v>20</v>
      </c>
      <c r="J29" s="18" t="s">
        <v>21</v>
      </c>
      <c r="K29" s="18" t="s">
        <v>20</v>
      </c>
      <c r="L29" s="18" t="s">
        <v>21</v>
      </c>
      <c r="M29" s="18" t="s">
        <v>20</v>
      </c>
      <c r="N29" s="18" t="s">
        <v>21</v>
      </c>
      <c r="O29" s="18" t="s">
        <v>20</v>
      </c>
      <c r="P29" s="18" t="s">
        <v>21</v>
      </c>
      <c r="Q29" s="18" t="s">
        <v>21</v>
      </c>
      <c r="R29" s="18" t="s">
        <v>21</v>
      </c>
      <c r="S29" s="18" t="s">
        <v>21</v>
      </c>
      <c r="T29" s="18" t="s">
        <v>20</v>
      </c>
      <c r="U29" s="18" t="s">
        <v>21</v>
      </c>
      <c r="V29" s="18" t="s">
        <v>20</v>
      </c>
      <c r="W29" s="18" t="s">
        <v>20</v>
      </c>
      <c r="X29" s="18" t="s">
        <v>20</v>
      </c>
      <c r="Y29" s="19" t="s">
        <v>20</v>
      </c>
      <c r="Z29" s="18" t="s">
        <v>20</v>
      </c>
      <c r="AA29" s="28" t="s">
        <v>20</v>
      </c>
      <c r="AB29" s="28" t="s">
        <v>20</v>
      </c>
      <c r="AC29" s="20" t="s">
        <v>20</v>
      </c>
      <c r="AD29" s="29" t="s">
        <v>21</v>
      </c>
      <c r="AE29" s="29" t="s">
        <v>21</v>
      </c>
      <c r="AG29">
        <f t="shared" si="0"/>
        <v>0</v>
      </c>
      <c r="AH29">
        <f t="shared" si="1"/>
        <v>15</v>
      </c>
      <c r="AI29">
        <f t="shared" si="2"/>
        <v>11</v>
      </c>
      <c r="AJ29">
        <f t="shared" si="3"/>
        <v>0</v>
      </c>
      <c r="AL29">
        <f t="shared" si="4"/>
        <v>0</v>
      </c>
      <c r="AM29">
        <f t="shared" si="5"/>
        <v>45</v>
      </c>
      <c r="AN29">
        <f t="shared" si="6"/>
        <v>22</v>
      </c>
      <c r="AO29">
        <f t="shared" si="7"/>
        <v>0</v>
      </c>
      <c r="AP29">
        <f t="shared" si="8"/>
        <v>67</v>
      </c>
    </row>
    <row r="30" spans="1:42" ht="15.75" hidden="1" customHeight="1" x14ac:dyDescent="0.3">
      <c r="A30" s="16"/>
      <c r="B30" s="55">
        <v>7</v>
      </c>
      <c r="C30" s="56" t="s">
        <v>47</v>
      </c>
      <c r="D30" s="55">
        <v>1</v>
      </c>
      <c r="E30" s="55" t="s">
        <v>21</v>
      </c>
      <c r="F30" s="18" t="s">
        <v>21</v>
      </c>
      <c r="G30" s="18" t="s">
        <v>21</v>
      </c>
      <c r="H30" s="18" t="s">
        <v>20</v>
      </c>
      <c r="I30" s="18" t="s">
        <v>21</v>
      </c>
      <c r="J30" s="18" t="s">
        <v>20</v>
      </c>
      <c r="K30" s="18" t="s">
        <v>20</v>
      </c>
      <c r="L30" s="18" t="s">
        <v>21</v>
      </c>
      <c r="M30" s="18" t="s">
        <v>20</v>
      </c>
      <c r="N30" s="18" t="s">
        <v>21</v>
      </c>
      <c r="O30" s="18" t="s">
        <v>20</v>
      </c>
      <c r="P30" s="18" t="s">
        <v>20</v>
      </c>
      <c r="Q30" s="18" t="s">
        <v>21</v>
      </c>
      <c r="R30" s="18" t="s">
        <v>20</v>
      </c>
      <c r="S30" s="18" t="s">
        <v>20</v>
      </c>
      <c r="T30" s="18" t="s">
        <v>20</v>
      </c>
      <c r="U30" s="18" t="s">
        <v>21</v>
      </c>
      <c r="V30" s="18" t="s">
        <v>20</v>
      </c>
      <c r="W30" s="18" t="s">
        <v>20</v>
      </c>
      <c r="X30" s="18" t="s">
        <v>21</v>
      </c>
      <c r="Y30" s="19" t="s">
        <v>20</v>
      </c>
      <c r="Z30" s="18" t="s">
        <v>20</v>
      </c>
      <c r="AA30" s="28" t="s">
        <v>20</v>
      </c>
      <c r="AB30" s="28" t="s">
        <v>20</v>
      </c>
      <c r="AC30" s="20" t="s">
        <v>20</v>
      </c>
      <c r="AD30" s="29" t="s">
        <v>21</v>
      </c>
      <c r="AE30" s="29" t="s">
        <v>21</v>
      </c>
      <c r="AG30">
        <f t="shared" si="0"/>
        <v>0</v>
      </c>
      <c r="AH30">
        <f t="shared" si="1"/>
        <v>16</v>
      </c>
      <c r="AI30">
        <f t="shared" si="2"/>
        <v>10</v>
      </c>
      <c r="AJ30">
        <f t="shared" si="3"/>
        <v>0</v>
      </c>
      <c r="AL30">
        <f t="shared" si="4"/>
        <v>0</v>
      </c>
      <c r="AM30">
        <f t="shared" si="5"/>
        <v>48</v>
      </c>
      <c r="AN30">
        <f t="shared" si="6"/>
        <v>20</v>
      </c>
      <c r="AO30">
        <f t="shared" si="7"/>
        <v>0</v>
      </c>
      <c r="AP30">
        <f t="shared" si="8"/>
        <v>68</v>
      </c>
    </row>
    <row r="31" spans="1:42" ht="15.75" hidden="1" customHeight="1" x14ac:dyDescent="0.3">
      <c r="A31" s="16"/>
      <c r="B31" s="55">
        <v>8</v>
      </c>
      <c r="C31" s="56" t="s">
        <v>48</v>
      </c>
      <c r="D31" s="55">
        <v>1</v>
      </c>
      <c r="E31" s="55" t="s">
        <v>21</v>
      </c>
      <c r="F31" s="18" t="s">
        <v>20</v>
      </c>
      <c r="G31" s="18" t="s">
        <v>21</v>
      </c>
      <c r="H31" s="18" t="s">
        <v>21</v>
      </c>
      <c r="I31" s="18" t="s">
        <v>21</v>
      </c>
      <c r="J31" s="18" t="s">
        <v>20</v>
      </c>
      <c r="K31" s="18" t="s">
        <v>21</v>
      </c>
      <c r="L31" s="18" t="s">
        <v>21</v>
      </c>
      <c r="M31" s="18" t="s">
        <v>20</v>
      </c>
      <c r="N31" s="18" t="s">
        <v>21</v>
      </c>
      <c r="O31" s="18" t="s">
        <v>21</v>
      </c>
      <c r="P31" s="18" t="s">
        <v>21</v>
      </c>
      <c r="Q31" s="18" t="s">
        <v>21</v>
      </c>
      <c r="R31" s="18" t="s">
        <v>21</v>
      </c>
      <c r="S31" s="18" t="s">
        <v>20</v>
      </c>
      <c r="T31" s="18" t="s">
        <v>20</v>
      </c>
      <c r="U31" s="18" t="s">
        <v>20</v>
      </c>
      <c r="V31" s="18" t="s">
        <v>21</v>
      </c>
      <c r="W31" s="18" t="s">
        <v>20</v>
      </c>
      <c r="X31" s="18" t="s">
        <v>21</v>
      </c>
      <c r="Y31" s="19" t="s">
        <v>21</v>
      </c>
      <c r="Z31" s="18" t="s">
        <v>20</v>
      </c>
      <c r="AA31" s="28" t="s">
        <v>20</v>
      </c>
      <c r="AB31" s="28" t="s">
        <v>20</v>
      </c>
      <c r="AC31" s="20" t="s">
        <v>20</v>
      </c>
      <c r="AD31" s="29" t="s">
        <v>20</v>
      </c>
      <c r="AE31" s="29" t="s">
        <v>21</v>
      </c>
      <c r="AG31">
        <f t="shared" si="0"/>
        <v>0</v>
      </c>
      <c r="AH31">
        <f t="shared" si="1"/>
        <v>12</v>
      </c>
      <c r="AI31">
        <f t="shared" si="2"/>
        <v>14</v>
      </c>
      <c r="AJ31">
        <f t="shared" si="3"/>
        <v>0</v>
      </c>
      <c r="AL31">
        <f t="shared" si="4"/>
        <v>0</v>
      </c>
      <c r="AM31">
        <f t="shared" si="5"/>
        <v>36</v>
      </c>
      <c r="AN31">
        <f t="shared" si="6"/>
        <v>28</v>
      </c>
      <c r="AO31">
        <f t="shared" si="7"/>
        <v>0</v>
      </c>
      <c r="AP31">
        <f t="shared" si="8"/>
        <v>64</v>
      </c>
    </row>
    <row r="32" spans="1:42" ht="15.75" hidden="1" customHeight="1" x14ac:dyDescent="0.3">
      <c r="A32" s="16"/>
      <c r="B32" s="55">
        <v>9</v>
      </c>
      <c r="C32" s="56" t="s">
        <v>49</v>
      </c>
      <c r="D32" s="55">
        <v>1</v>
      </c>
      <c r="E32" s="55" t="s">
        <v>21</v>
      </c>
      <c r="F32" s="18" t="s">
        <v>20</v>
      </c>
      <c r="G32" s="18" t="s">
        <v>21</v>
      </c>
      <c r="H32" s="18" t="s">
        <v>21</v>
      </c>
      <c r="I32" s="18" t="s">
        <v>21</v>
      </c>
      <c r="J32" s="18" t="s">
        <v>21</v>
      </c>
      <c r="K32" s="18" t="s">
        <v>21</v>
      </c>
      <c r="L32" s="18" t="s">
        <v>20</v>
      </c>
      <c r="M32" s="18" t="s">
        <v>20</v>
      </c>
      <c r="N32" s="18" t="s">
        <v>20</v>
      </c>
      <c r="O32" s="18" t="s">
        <v>20</v>
      </c>
      <c r="P32" s="18" t="s">
        <v>20</v>
      </c>
      <c r="Q32" s="18" t="s">
        <v>20</v>
      </c>
      <c r="R32" s="18" t="s">
        <v>20</v>
      </c>
      <c r="S32" s="18" t="s">
        <v>20</v>
      </c>
      <c r="T32" s="18" t="s">
        <v>20</v>
      </c>
      <c r="U32" s="18" t="s">
        <v>21</v>
      </c>
      <c r="V32" s="18" t="s">
        <v>20</v>
      </c>
      <c r="W32" s="18" t="s">
        <v>20</v>
      </c>
      <c r="X32" s="18" t="s">
        <v>20</v>
      </c>
      <c r="Y32" s="19" t="s">
        <v>20</v>
      </c>
      <c r="Z32" s="18" t="s">
        <v>20</v>
      </c>
      <c r="AA32" s="28" t="s">
        <v>21</v>
      </c>
      <c r="AB32" s="28" t="s">
        <v>21</v>
      </c>
      <c r="AC32" s="20" t="s">
        <v>21</v>
      </c>
      <c r="AD32" s="29" t="s">
        <v>21</v>
      </c>
      <c r="AE32" s="29" t="s">
        <v>21</v>
      </c>
      <c r="AG32">
        <f t="shared" si="0"/>
        <v>0</v>
      </c>
      <c r="AH32">
        <f t="shared" si="1"/>
        <v>15</v>
      </c>
      <c r="AI32">
        <f t="shared" si="2"/>
        <v>11</v>
      </c>
      <c r="AJ32">
        <f t="shared" si="3"/>
        <v>0</v>
      </c>
      <c r="AL32">
        <f t="shared" si="4"/>
        <v>0</v>
      </c>
      <c r="AM32">
        <f t="shared" si="5"/>
        <v>45</v>
      </c>
      <c r="AN32">
        <f t="shared" si="6"/>
        <v>22</v>
      </c>
      <c r="AO32">
        <f t="shared" si="7"/>
        <v>0</v>
      </c>
      <c r="AP32">
        <f t="shared" si="8"/>
        <v>67</v>
      </c>
    </row>
    <row r="33" spans="1:42" ht="15.75" hidden="1" customHeight="1" x14ac:dyDescent="0.3">
      <c r="A33" s="16"/>
      <c r="B33" s="55">
        <v>10</v>
      </c>
      <c r="C33" s="56" t="s">
        <v>50</v>
      </c>
      <c r="D33" s="55">
        <v>1</v>
      </c>
      <c r="E33" s="55" t="s">
        <v>21</v>
      </c>
      <c r="F33" s="18" t="s">
        <v>20</v>
      </c>
      <c r="G33" s="18" t="s">
        <v>21</v>
      </c>
      <c r="H33" s="18" t="s">
        <v>20</v>
      </c>
      <c r="I33" s="18" t="s">
        <v>21</v>
      </c>
      <c r="J33" s="18" t="s">
        <v>21</v>
      </c>
      <c r="K33" s="18" t="s">
        <v>21</v>
      </c>
      <c r="L33" s="18" t="s">
        <v>21</v>
      </c>
      <c r="M33" s="18" t="s">
        <v>20</v>
      </c>
      <c r="N33" s="18" t="s">
        <v>20</v>
      </c>
      <c r="O33" s="18" t="s">
        <v>20</v>
      </c>
      <c r="P33" s="18" t="s">
        <v>21</v>
      </c>
      <c r="Q33" s="18" t="s">
        <v>20</v>
      </c>
      <c r="R33" s="18" t="s">
        <v>21</v>
      </c>
      <c r="S33" s="18" t="s">
        <v>20</v>
      </c>
      <c r="T33" s="18" t="s">
        <v>20</v>
      </c>
      <c r="U33" s="18" t="s">
        <v>20</v>
      </c>
      <c r="V33" s="18" t="s">
        <v>20</v>
      </c>
      <c r="W33" s="18" t="s">
        <v>20</v>
      </c>
      <c r="X33" s="18" t="s">
        <v>20</v>
      </c>
      <c r="Y33" s="19" t="s">
        <v>20</v>
      </c>
      <c r="Z33" s="18" t="s">
        <v>20</v>
      </c>
      <c r="AA33" s="28" t="s">
        <v>21</v>
      </c>
      <c r="AB33" s="28" t="s">
        <v>21</v>
      </c>
      <c r="AC33" s="20" t="s">
        <v>20</v>
      </c>
      <c r="AD33" s="29" t="s">
        <v>20</v>
      </c>
      <c r="AE33" s="29" t="s">
        <v>21</v>
      </c>
      <c r="AG33">
        <f t="shared" si="0"/>
        <v>0</v>
      </c>
      <c r="AH33">
        <f t="shared" si="1"/>
        <v>16</v>
      </c>
      <c r="AI33">
        <f t="shared" si="2"/>
        <v>10</v>
      </c>
      <c r="AJ33">
        <f t="shared" si="3"/>
        <v>0</v>
      </c>
      <c r="AL33">
        <f t="shared" si="4"/>
        <v>0</v>
      </c>
      <c r="AM33">
        <f t="shared" si="5"/>
        <v>48</v>
      </c>
      <c r="AN33">
        <f t="shared" si="6"/>
        <v>20</v>
      </c>
      <c r="AO33">
        <f t="shared" si="7"/>
        <v>0</v>
      </c>
      <c r="AP33">
        <f t="shared" si="8"/>
        <v>68</v>
      </c>
    </row>
    <row r="34" spans="1:42" ht="15.75" hidden="1" customHeight="1" x14ac:dyDescent="0.3">
      <c r="A34" s="16"/>
      <c r="B34" s="55">
        <v>11</v>
      </c>
      <c r="C34" s="56" t="s">
        <v>51</v>
      </c>
      <c r="D34" s="55">
        <v>1</v>
      </c>
      <c r="E34" s="55" t="s">
        <v>21</v>
      </c>
      <c r="F34" s="18" t="s">
        <v>39</v>
      </c>
      <c r="G34" s="18" t="s">
        <v>20</v>
      </c>
      <c r="H34" s="18" t="s">
        <v>20</v>
      </c>
      <c r="I34" s="18" t="s">
        <v>20</v>
      </c>
      <c r="J34" s="18" t="s">
        <v>20</v>
      </c>
      <c r="K34" s="18" t="s">
        <v>20</v>
      </c>
      <c r="L34" s="18" t="s">
        <v>20</v>
      </c>
      <c r="M34" s="18" t="s">
        <v>20</v>
      </c>
      <c r="N34" s="18" t="s">
        <v>20</v>
      </c>
      <c r="O34" s="18" t="s">
        <v>20</v>
      </c>
      <c r="P34" s="18" t="s">
        <v>20</v>
      </c>
      <c r="Q34" s="18" t="s">
        <v>20</v>
      </c>
      <c r="R34" s="18" t="s">
        <v>20</v>
      </c>
      <c r="S34" s="18" t="s">
        <v>20</v>
      </c>
      <c r="T34" s="18" t="s">
        <v>20</v>
      </c>
      <c r="U34" s="18" t="s">
        <v>20</v>
      </c>
      <c r="V34" s="18" t="s">
        <v>20</v>
      </c>
      <c r="W34" s="18" t="s">
        <v>20</v>
      </c>
      <c r="X34" s="18" t="s">
        <v>21</v>
      </c>
      <c r="Y34" s="19" t="s">
        <v>20</v>
      </c>
      <c r="Z34" s="18" t="s">
        <v>20</v>
      </c>
      <c r="AA34" s="28" t="s">
        <v>20</v>
      </c>
      <c r="AB34" s="28" t="s">
        <v>20</v>
      </c>
      <c r="AC34" s="20" t="s">
        <v>20</v>
      </c>
      <c r="AD34" s="29" t="s">
        <v>20</v>
      </c>
      <c r="AE34" s="29" t="s">
        <v>21</v>
      </c>
      <c r="AG34">
        <f t="shared" si="0"/>
        <v>1</v>
      </c>
      <c r="AH34">
        <f t="shared" si="1"/>
        <v>23</v>
      </c>
      <c r="AI34">
        <f t="shared" si="2"/>
        <v>2</v>
      </c>
      <c r="AJ34">
        <f t="shared" si="3"/>
        <v>0</v>
      </c>
      <c r="AL34">
        <f t="shared" si="4"/>
        <v>4</v>
      </c>
      <c r="AM34">
        <f t="shared" si="5"/>
        <v>69</v>
      </c>
      <c r="AN34">
        <f t="shared" si="6"/>
        <v>4</v>
      </c>
      <c r="AO34">
        <f t="shared" si="7"/>
        <v>0</v>
      </c>
      <c r="AP34">
        <f t="shared" si="8"/>
        <v>77</v>
      </c>
    </row>
    <row r="35" spans="1:42" ht="15.75" hidden="1" customHeight="1" x14ac:dyDescent="0.3">
      <c r="A35" s="16"/>
      <c r="B35" s="55">
        <v>12</v>
      </c>
      <c r="C35" s="56" t="s">
        <v>52</v>
      </c>
      <c r="D35" s="55">
        <v>1</v>
      </c>
      <c r="E35" s="55" t="s">
        <v>21</v>
      </c>
      <c r="F35" s="18" t="s">
        <v>20</v>
      </c>
      <c r="G35" s="18" t="s">
        <v>21</v>
      </c>
      <c r="H35" s="18" t="s">
        <v>20</v>
      </c>
      <c r="I35" s="18" t="s">
        <v>21</v>
      </c>
      <c r="J35" s="18" t="s">
        <v>20</v>
      </c>
      <c r="K35" s="18" t="s">
        <v>21</v>
      </c>
      <c r="L35" s="18" t="s">
        <v>21</v>
      </c>
      <c r="M35" s="18" t="s">
        <v>20</v>
      </c>
      <c r="N35" s="18" t="s">
        <v>20</v>
      </c>
      <c r="O35" s="18" t="s">
        <v>20</v>
      </c>
      <c r="P35" s="18" t="s">
        <v>20</v>
      </c>
      <c r="Q35" s="18" t="s">
        <v>20</v>
      </c>
      <c r="R35" s="18" t="s">
        <v>20</v>
      </c>
      <c r="S35" s="18" t="s">
        <v>20</v>
      </c>
      <c r="T35" s="18" t="s">
        <v>20</v>
      </c>
      <c r="U35" s="18" t="s">
        <v>20</v>
      </c>
      <c r="V35" s="18" t="s">
        <v>21</v>
      </c>
      <c r="W35" s="18" t="s">
        <v>20</v>
      </c>
      <c r="X35" s="18" t="s">
        <v>21</v>
      </c>
      <c r="Y35" s="19" t="s">
        <v>21</v>
      </c>
      <c r="Z35" s="18" t="s">
        <v>20</v>
      </c>
      <c r="AA35" s="28" t="s">
        <v>21</v>
      </c>
      <c r="AB35" s="28" t="s">
        <v>21</v>
      </c>
      <c r="AC35" s="20" t="s">
        <v>21</v>
      </c>
      <c r="AD35" s="29" t="s">
        <v>21</v>
      </c>
      <c r="AE35" s="29" t="s">
        <v>21</v>
      </c>
      <c r="AG35">
        <f t="shared" si="0"/>
        <v>0</v>
      </c>
      <c r="AH35">
        <f t="shared" si="1"/>
        <v>14</v>
      </c>
      <c r="AI35">
        <f t="shared" si="2"/>
        <v>12</v>
      </c>
      <c r="AJ35">
        <f t="shared" si="3"/>
        <v>0</v>
      </c>
      <c r="AL35">
        <f t="shared" si="4"/>
        <v>0</v>
      </c>
      <c r="AM35">
        <f t="shared" si="5"/>
        <v>42</v>
      </c>
      <c r="AN35">
        <f t="shared" si="6"/>
        <v>24</v>
      </c>
      <c r="AO35">
        <f t="shared" si="7"/>
        <v>0</v>
      </c>
      <c r="AP35">
        <f t="shared" si="8"/>
        <v>66</v>
      </c>
    </row>
    <row r="36" spans="1:42" ht="15.75" hidden="1" customHeight="1" x14ac:dyDescent="0.3">
      <c r="A36" s="16"/>
      <c r="B36" s="55">
        <v>13</v>
      </c>
      <c r="C36" s="56" t="s">
        <v>53</v>
      </c>
      <c r="D36" s="55">
        <v>1</v>
      </c>
      <c r="E36" s="55" t="s">
        <v>21</v>
      </c>
      <c r="F36" s="18" t="s">
        <v>21</v>
      </c>
      <c r="G36" s="18" t="s">
        <v>20</v>
      </c>
      <c r="H36" s="18" t="s">
        <v>21</v>
      </c>
      <c r="I36" s="18" t="s">
        <v>21</v>
      </c>
      <c r="J36" s="18" t="s">
        <v>20</v>
      </c>
      <c r="K36" s="18" t="s">
        <v>21</v>
      </c>
      <c r="L36" s="18" t="s">
        <v>21</v>
      </c>
      <c r="M36" s="18" t="s">
        <v>21</v>
      </c>
      <c r="N36" s="18" t="s">
        <v>20</v>
      </c>
      <c r="O36" s="18" t="s">
        <v>20</v>
      </c>
      <c r="P36" s="18" t="s">
        <v>21</v>
      </c>
      <c r="Q36" s="18" t="s">
        <v>21</v>
      </c>
      <c r="R36" s="18" t="s">
        <v>21</v>
      </c>
      <c r="S36" s="18" t="s">
        <v>21</v>
      </c>
      <c r="T36" s="18" t="s">
        <v>20</v>
      </c>
      <c r="U36" s="18" t="s">
        <v>20</v>
      </c>
      <c r="V36" s="18" t="s">
        <v>20</v>
      </c>
      <c r="W36" s="18" t="s">
        <v>20</v>
      </c>
      <c r="X36" s="18" t="s">
        <v>20</v>
      </c>
      <c r="Y36" s="19" t="s">
        <v>20</v>
      </c>
      <c r="Z36" s="18" t="s">
        <v>20</v>
      </c>
      <c r="AA36" s="28" t="s">
        <v>20</v>
      </c>
      <c r="AB36" s="28" t="s">
        <v>20</v>
      </c>
      <c r="AC36" s="20" t="s">
        <v>21</v>
      </c>
      <c r="AD36" s="29" t="s">
        <v>21</v>
      </c>
      <c r="AE36" s="29" t="s">
        <v>21</v>
      </c>
      <c r="AG36">
        <f t="shared" si="0"/>
        <v>0</v>
      </c>
      <c r="AH36">
        <f t="shared" si="1"/>
        <v>13</v>
      </c>
      <c r="AI36">
        <f t="shared" si="2"/>
        <v>13</v>
      </c>
      <c r="AJ36">
        <f t="shared" si="3"/>
        <v>0</v>
      </c>
      <c r="AL36">
        <f t="shared" si="4"/>
        <v>0</v>
      </c>
      <c r="AM36">
        <f t="shared" si="5"/>
        <v>39</v>
      </c>
      <c r="AN36">
        <f t="shared" si="6"/>
        <v>26</v>
      </c>
      <c r="AO36">
        <f t="shared" si="7"/>
        <v>0</v>
      </c>
      <c r="AP36">
        <f t="shared" si="8"/>
        <v>65</v>
      </c>
    </row>
    <row r="37" spans="1:42" ht="15.75" hidden="1" customHeight="1" x14ac:dyDescent="0.3">
      <c r="A37" s="16"/>
      <c r="B37" s="55">
        <v>14</v>
      </c>
      <c r="C37" s="56" t="s">
        <v>54</v>
      </c>
      <c r="D37" s="55">
        <v>1</v>
      </c>
      <c r="E37" s="55" t="s">
        <v>21</v>
      </c>
      <c r="F37" s="18" t="s">
        <v>20</v>
      </c>
      <c r="G37" s="18" t="s">
        <v>20</v>
      </c>
      <c r="H37" s="18" t="s">
        <v>20</v>
      </c>
      <c r="I37" s="18" t="s">
        <v>20</v>
      </c>
      <c r="J37" s="18" t="s">
        <v>20</v>
      </c>
      <c r="K37" s="18" t="s">
        <v>20</v>
      </c>
      <c r="L37" s="18" t="s">
        <v>20</v>
      </c>
      <c r="M37" s="18" t="s">
        <v>20</v>
      </c>
      <c r="N37" s="18" t="s">
        <v>20</v>
      </c>
      <c r="O37" s="18" t="s">
        <v>20</v>
      </c>
      <c r="P37" s="18" t="s">
        <v>20</v>
      </c>
      <c r="Q37" s="18" t="s">
        <v>20</v>
      </c>
      <c r="R37" s="18" t="s">
        <v>20</v>
      </c>
      <c r="S37" s="18" t="s">
        <v>20</v>
      </c>
      <c r="T37" s="18" t="s">
        <v>20</v>
      </c>
      <c r="U37" s="18" t="s">
        <v>20</v>
      </c>
      <c r="V37" s="18" t="s">
        <v>21</v>
      </c>
      <c r="W37" s="18" t="s">
        <v>21</v>
      </c>
      <c r="X37" s="18" t="s">
        <v>20</v>
      </c>
      <c r="Y37" s="19" t="s">
        <v>21</v>
      </c>
      <c r="Z37" s="18" t="s">
        <v>20</v>
      </c>
      <c r="AA37" s="28" t="s">
        <v>20</v>
      </c>
      <c r="AB37" s="28" t="s">
        <v>20</v>
      </c>
      <c r="AC37" s="20" t="s">
        <v>20</v>
      </c>
      <c r="AD37" s="29" t="s">
        <v>55</v>
      </c>
      <c r="AE37" s="29" t="s">
        <v>55</v>
      </c>
      <c r="AG37">
        <f t="shared" si="0"/>
        <v>0</v>
      </c>
      <c r="AH37">
        <f t="shared" si="1"/>
        <v>21</v>
      </c>
      <c r="AI37">
        <f t="shared" si="2"/>
        <v>3</v>
      </c>
      <c r="AJ37">
        <f t="shared" si="3"/>
        <v>0</v>
      </c>
      <c r="AL37">
        <f t="shared" si="4"/>
        <v>0</v>
      </c>
      <c r="AM37">
        <f t="shared" si="5"/>
        <v>63</v>
      </c>
      <c r="AN37">
        <f t="shared" si="6"/>
        <v>6</v>
      </c>
      <c r="AO37">
        <f t="shared" si="7"/>
        <v>0</v>
      </c>
      <c r="AP37">
        <f t="shared" si="8"/>
        <v>69</v>
      </c>
    </row>
    <row r="38" spans="1:42" ht="15.75" hidden="1" customHeight="1" x14ac:dyDescent="0.3">
      <c r="A38" s="16"/>
      <c r="B38" s="55">
        <v>15</v>
      </c>
      <c r="C38" s="56" t="s">
        <v>56</v>
      </c>
      <c r="D38" s="55">
        <v>1</v>
      </c>
      <c r="E38" s="55" t="s">
        <v>21</v>
      </c>
      <c r="F38" s="18" t="s">
        <v>20</v>
      </c>
      <c r="G38" s="18" t="s">
        <v>21</v>
      </c>
      <c r="H38" s="18" t="s">
        <v>21</v>
      </c>
      <c r="I38" s="18" t="s">
        <v>20</v>
      </c>
      <c r="J38" s="18" t="s">
        <v>21</v>
      </c>
      <c r="K38" s="18" t="s">
        <v>21</v>
      </c>
      <c r="L38" s="18" t="s">
        <v>21</v>
      </c>
      <c r="M38" s="18" t="s">
        <v>20</v>
      </c>
      <c r="N38" s="18" t="s">
        <v>20</v>
      </c>
      <c r="O38" s="18" t="s">
        <v>20</v>
      </c>
      <c r="P38" s="18" t="s">
        <v>21</v>
      </c>
      <c r="Q38" s="18" t="s">
        <v>21</v>
      </c>
      <c r="R38" s="18" t="s">
        <v>21</v>
      </c>
      <c r="S38" s="18" t="s">
        <v>23</v>
      </c>
      <c r="T38" s="18" t="s">
        <v>21</v>
      </c>
      <c r="U38" s="18" t="s">
        <v>20</v>
      </c>
      <c r="V38" s="18" t="s">
        <v>20</v>
      </c>
      <c r="W38" s="18" t="s">
        <v>20</v>
      </c>
      <c r="X38" s="18" t="s">
        <v>20</v>
      </c>
      <c r="Y38" s="19" t="s">
        <v>23</v>
      </c>
      <c r="Z38" s="18" t="s">
        <v>21</v>
      </c>
      <c r="AA38" s="28" t="s">
        <v>20</v>
      </c>
      <c r="AB38" s="28" t="s">
        <v>20</v>
      </c>
      <c r="AC38" s="20" t="s">
        <v>21</v>
      </c>
      <c r="AD38" s="29" t="s">
        <v>21</v>
      </c>
      <c r="AE38" s="29" t="s">
        <v>21</v>
      </c>
      <c r="AG38">
        <f t="shared" si="0"/>
        <v>0</v>
      </c>
      <c r="AH38">
        <f t="shared" si="1"/>
        <v>11</v>
      </c>
      <c r="AI38">
        <f t="shared" si="2"/>
        <v>13</v>
      </c>
      <c r="AJ38">
        <f t="shared" si="3"/>
        <v>2</v>
      </c>
      <c r="AL38">
        <f t="shared" si="4"/>
        <v>0</v>
      </c>
      <c r="AM38">
        <f t="shared" si="5"/>
        <v>33</v>
      </c>
      <c r="AN38">
        <f t="shared" si="6"/>
        <v>26</v>
      </c>
      <c r="AO38">
        <f t="shared" si="7"/>
        <v>2</v>
      </c>
      <c r="AP38">
        <f t="shared" si="8"/>
        <v>61</v>
      </c>
    </row>
    <row r="39" spans="1:42" ht="15.75" hidden="1" customHeight="1" x14ac:dyDescent="0.3">
      <c r="A39" s="16"/>
      <c r="B39" s="55">
        <v>16</v>
      </c>
      <c r="C39" s="56" t="s">
        <v>57</v>
      </c>
      <c r="D39" s="55">
        <v>1</v>
      </c>
      <c r="E39" s="55" t="s">
        <v>21</v>
      </c>
      <c r="F39" s="18" t="s">
        <v>20</v>
      </c>
      <c r="G39" s="18" t="s">
        <v>21</v>
      </c>
      <c r="H39" s="18" t="s">
        <v>21</v>
      </c>
      <c r="I39" s="18" t="s">
        <v>21</v>
      </c>
      <c r="J39" s="18" t="s">
        <v>20</v>
      </c>
      <c r="K39" s="18" t="s">
        <v>21</v>
      </c>
      <c r="L39" s="18" t="s">
        <v>21</v>
      </c>
      <c r="M39" s="18" t="s">
        <v>21</v>
      </c>
      <c r="N39" s="18" t="s">
        <v>21</v>
      </c>
      <c r="O39" s="18" t="s">
        <v>20</v>
      </c>
      <c r="P39" s="18" t="s">
        <v>21</v>
      </c>
      <c r="Q39" s="18" t="s">
        <v>21</v>
      </c>
      <c r="R39" s="18" t="s">
        <v>21</v>
      </c>
      <c r="S39" s="18" t="s">
        <v>21</v>
      </c>
      <c r="T39" s="18" t="s">
        <v>21</v>
      </c>
      <c r="U39" s="18" t="s">
        <v>21</v>
      </c>
      <c r="V39" s="18" t="s">
        <v>20</v>
      </c>
      <c r="W39" s="18" t="s">
        <v>20</v>
      </c>
      <c r="X39" s="18" t="s">
        <v>21</v>
      </c>
      <c r="Y39" s="19" t="s">
        <v>20</v>
      </c>
      <c r="Z39" s="18" t="s">
        <v>20</v>
      </c>
      <c r="AA39" s="28" t="s">
        <v>20</v>
      </c>
      <c r="AB39" s="28" t="s">
        <v>20</v>
      </c>
      <c r="AC39" s="20" t="s">
        <v>21</v>
      </c>
      <c r="AD39" s="29" t="s">
        <v>21</v>
      </c>
      <c r="AE39" s="29" t="s">
        <v>21</v>
      </c>
      <c r="AG39">
        <f t="shared" si="0"/>
        <v>0</v>
      </c>
      <c r="AH39">
        <f t="shared" si="1"/>
        <v>9</v>
      </c>
      <c r="AI39">
        <f t="shared" si="2"/>
        <v>17</v>
      </c>
      <c r="AJ39">
        <f t="shared" si="3"/>
        <v>0</v>
      </c>
      <c r="AL39">
        <f t="shared" si="4"/>
        <v>0</v>
      </c>
      <c r="AM39">
        <f t="shared" si="5"/>
        <v>27</v>
      </c>
      <c r="AN39">
        <f t="shared" si="6"/>
        <v>34</v>
      </c>
      <c r="AO39">
        <f t="shared" si="7"/>
        <v>0</v>
      </c>
      <c r="AP39">
        <f t="shared" si="8"/>
        <v>61</v>
      </c>
    </row>
    <row r="40" spans="1:42" ht="15.75" hidden="1" customHeight="1" x14ac:dyDescent="0.3">
      <c r="A40" s="16"/>
      <c r="B40" s="55">
        <v>17</v>
      </c>
      <c r="C40" s="56" t="s">
        <v>58</v>
      </c>
      <c r="D40" s="55">
        <v>1</v>
      </c>
      <c r="E40" s="55" t="s">
        <v>21</v>
      </c>
      <c r="F40" s="18" t="s">
        <v>21</v>
      </c>
      <c r="G40" s="18" t="s">
        <v>21</v>
      </c>
      <c r="H40" s="18" t="s">
        <v>21</v>
      </c>
      <c r="I40" s="18" t="s">
        <v>21</v>
      </c>
      <c r="J40" s="18" t="s">
        <v>20</v>
      </c>
      <c r="K40" s="18" t="s">
        <v>21</v>
      </c>
      <c r="L40" s="18" t="s">
        <v>21</v>
      </c>
      <c r="M40" s="18" t="s">
        <v>21</v>
      </c>
      <c r="N40" s="18" t="s">
        <v>20</v>
      </c>
      <c r="O40" s="18" t="s">
        <v>20</v>
      </c>
      <c r="P40" s="18" t="s">
        <v>21</v>
      </c>
      <c r="Q40" s="18" t="s">
        <v>21</v>
      </c>
      <c r="R40" s="18" t="s">
        <v>21</v>
      </c>
      <c r="S40" s="18" t="s">
        <v>20</v>
      </c>
      <c r="T40" s="18" t="s">
        <v>21</v>
      </c>
      <c r="U40" s="18" t="s">
        <v>20</v>
      </c>
      <c r="V40" s="18" t="s">
        <v>20</v>
      </c>
      <c r="W40" s="18" t="s">
        <v>20</v>
      </c>
      <c r="X40" s="18" t="s">
        <v>20</v>
      </c>
      <c r="Y40" s="19" t="s">
        <v>21</v>
      </c>
      <c r="Z40" s="18" t="s">
        <v>20</v>
      </c>
      <c r="AA40" s="28" t="s">
        <v>20</v>
      </c>
      <c r="AB40" s="28" t="s">
        <v>20</v>
      </c>
      <c r="AC40" s="20" t="s">
        <v>21</v>
      </c>
      <c r="AD40" s="29" t="s">
        <v>21</v>
      </c>
      <c r="AE40" s="29" t="s">
        <v>21</v>
      </c>
      <c r="AG40">
        <f t="shared" si="0"/>
        <v>0</v>
      </c>
      <c r="AH40">
        <f t="shared" si="1"/>
        <v>11</v>
      </c>
      <c r="AI40">
        <f t="shared" si="2"/>
        <v>15</v>
      </c>
      <c r="AJ40">
        <f t="shared" si="3"/>
        <v>0</v>
      </c>
      <c r="AL40">
        <f t="shared" si="4"/>
        <v>0</v>
      </c>
      <c r="AM40">
        <f t="shared" si="5"/>
        <v>33</v>
      </c>
      <c r="AN40">
        <f t="shared" si="6"/>
        <v>30</v>
      </c>
      <c r="AO40">
        <f t="shared" si="7"/>
        <v>0</v>
      </c>
      <c r="AP40">
        <f t="shared" si="8"/>
        <v>63</v>
      </c>
    </row>
    <row r="41" spans="1:42" ht="15.75" hidden="1" customHeight="1" x14ac:dyDescent="0.3">
      <c r="A41" s="16"/>
      <c r="B41" s="55">
        <v>18</v>
      </c>
      <c r="C41" s="56" t="s">
        <v>59</v>
      </c>
      <c r="D41" s="55">
        <v>1</v>
      </c>
      <c r="E41" s="55" t="s">
        <v>21</v>
      </c>
      <c r="F41" s="18" t="s">
        <v>20</v>
      </c>
      <c r="G41" s="18" t="s">
        <v>21</v>
      </c>
      <c r="H41" s="18" t="s">
        <v>21</v>
      </c>
      <c r="I41" s="18" t="s">
        <v>21</v>
      </c>
      <c r="J41" s="18" t="s">
        <v>21</v>
      </c>
      <c r="K41" s="18" t="s">
        <v>21</v>
      </c>
      <c r="L41" s="18" t="s">
        <v>21</v>
      </c>
      <c r="M41" s="18" t="s">
        <v>20</v>
      </c>
      <c r="N41" s="18" t="s">
        <v>20</v>
      </c>
      <c r="O41" s="18" t="s">
        <v>20</v>
      </c>
      <c r="P41" s="18" t="s">
        <v>20</v>
      </c>
      <c r="Q41" s="18" t="s">
        <v>21</v>
      </c>
      <c r="R41" s="18" t="s">
        <v>20</v>
      </c>
      <c r="S41" s="18" t="s">
        <v>20</v>
      </c>
      <c r="T41" s="18" t="s">
        <v>20</v>
      </c>
      <c r="U41" s="18" t="s">
        <v>21</v>
      </c>
      <c r="V41" s="18" t="s">
        <v>21</v>
      </c>
      <c r="W41" s="18" t="s">
        <v>20</v>
      </c>
      <c r="X41" s="18" t="s">
        <v>20</v>
      </c>
      <c r="Y41" s="19" t="s">
        <v>21</v>
      </c>
      <c r="Z41" s="18" t="s">
        <v>20</v>
      </c>
      <c r="AA41" s="28" t="s">
        <v>20</v>
      </c>
      <c r="AB41" s="28" t="s">
        <v>20</v>
      </c>
      <c r="AC41" s="20" t="s">
        <v>21</v>
      </c>
      <c r="AD41" s="29" t="s">
        <v>20</v>
      </c>
      <c r="AE41" s="29" t="s">
        <v>21</v>
      </c>
      <c r="AG41">
        <f t="shared" si="0"/>
        <v>0</v>
      </c>
      <c r="AH41">
        <f t="shared" si="1"/>
        <v>14</v>
      </c>
      <c r="AI41">
        <f t="shared" si="2"/>
        <v>12</v>
      </c>
      <c r="AJ41">
        <f t="shared" si="3"/>
        <v>0</v>
      </c>
      <c r="AL41">
        <f t="shared" si="4"/>
        <v>0</v>
      </c>
      <c r="AM41">
        <f t="shared" si="5"/>
        <v>42</v>
      </c>
      <c r="AN41">
        <f t="shared" si="6"/>
        <v>24</v>
      </c>
      <c r="AO41">
        <f t="shared" si="7"/>
        <v>0</v>
      </c>
      <c r="AP41">
        <f t="shared" si="8"/>
        <v>66</v>
      </c>
    </row>
    <row r="42" spans="1:42" ht="15.75" hidden="1" customHeight="1" x14ac:dyDescent="0.3">
      <c r="A42" s="16"/>
      <c r="B42" s="55">
        <v>19</v>
      </c>
      <c r="C42" s="56" t="s">
        <v>60</v>
      </c>
      <c r="D42" s="55">
        <v>1</v>
      </c>
      <c r="E42" s="55" t="s">
        <v>21</v>
      </c>
      <c r="F42" s="18" t="s">
        <v>20</v>
      </c>
      <c r="G42" s="18" t="s">
        <v>21</v>
      </c>
      <c r="H42" s="18" t="s">
        <v>21</v>
      </c>
      <c r="I42" s="18" t="s">
        <v>21</v>
      </c>
      <c r="J42" s="18" t="s">
        <v>21</v>
      </c>
      <c r="K42" s="18" t="s">
        <v>21</v>
      </c>
      <c r="L42" s="18" t="s">
        <v>21</v>
      </c>
      <c r="M42" s="18" t="s">
        <v>21</v>
      </c>
      <c r="N42" s="18" t="s">
        <v>20</v>
      </c>
      <c r="O42" s="18" t="s">
        <v>20</v>
      </c>
      <c r="P42" s="18" t="s">
        <v>21</v>
      </c>
      <c r="Q42" s="18" t="s">
        <v>21</v>
      </c>
      <c r="R42" s="18" t="s">
        <v>21</v>
      </c>
      <c r="S42" s="18" t="s">
        <v>20</v>
      </c>
      <c r="T42" s="18" t="s">
        <v>21</v>
      </c>
      <c r="U42" s="18" t="s">
        <v>20</v>
      </c>
      <c r="V42" s="18" t="s">
        <v>21</v>
      </c>
      <c r="W42" s="18" t="s">
        <v>20</v>
      </c>
      <c r="X42" s="18" t="s">
        <v>20</v>
      </c>
      <c r="Y42" s="19" t="s">
        <v>20</v>
      </c>
      <c r="Z42" s="18" t="s">
        <v>20</v>
      </c>
      <c r="AA42" s="28" t="s">
        <v>21</v>
      </c>
      <c r="AB42" s="28" t="s">
        <v>23</v>
      </c>
      <c r="AC42" s="20" t="s">
        <v>21</v>
      </c>
      <c r="AD42" s="29" t="s">
        <v>21</v>
      </c>
      <c r="AE42" s="29" t="s">
        <v>21</v>
      </c>
      <c r="AG42">
        <f t="shared" si="0"/>
        <v>0</v>
      </c>
      <c r="AH42">
        <f t="shared" si="1"/>
        <v>9</v>
      </c>
      <c r="AI42">
        <f t="shared" si="2"/>
        <v>16</v>
      </c>
      <c r="AJ42">
        <f t="shared" si="3"/>
        <v>1</v>
      </c>
      <c r="AL42">
        <f t="shared" si="4"/>
        <v>0</v>
      </c>
      <c r="AM42">
        <f t="shared" si="5"/>
        <v>27</v>
      </c>
      <c r="AN42">
        <f t="shared" si="6"/>
        <v>32</v>
      </c>
      <c r="AO42">
        <f t="shared" si="7"/>
        <v>1</v>
      </c>
      <c r="AP42">
        <f t="shared" si="8"/>
        <v>60</v>
      </c>
    </row>
    <row r="43" spans="1:42" ht="15.75" hidden="1" customHeight="1" thickBot="1" x14ac:dyDescent="0.35">
      <c r="A43" s="16"/>
      <c r="B43" s="57">
        <v>20</v>
      </c>
      <c r="C43" s="58" t="s">
        <v>61</v>
      </c>
      <c r="D43" s="57">
        <v>1</v>
      </c>
      <c r="E43" s="57" t="s">
        <v>21</v>
      </c>
      <c r="F43" s="21" t="s">
        <v>20</v>
      </c>
      <c r="G43" s="21" t="s">
        <v>21</v>
      </c>
      <c r="H43" s="21" t="s">
        <v>20</v>
      </c>
      <c r="I43" s="21" t="s">
        <v>21</v>
      </c>
      <c r="J43" s="21" t="s">
        <v>21</v>
      </c>
      <c r="K43" s="21" t="s">
        <v>21</v>
      </c>
      <c r="L43" s="21" t="s">
        <v>21</v>
      </c>
      <c r="M43" s="21" t="s">
        <v>20</v>
      </c>
      <c r="N43" s="21" t="s">
        <v>20</v>
      </c>
      <c r="O43" s="21" t="s">
        <v>20</v>
      </c>
      <c r="P43" s="21" t="s">
        <v>21</v>
      </c>
      <c r="Q43" s="21" t="s">
        <v>21</v>
      </c>
      <c r="R43" s="21" t="s">
        <v>21</v>
      </c>
      <c r="S43" s="21" t="s">
        <v>23</v>
      </c>
      <c r="T43" s="21" t="s">
        <v>21</v>
      </c>
      <c r="U43" s="21" t="s">
        <v>21</v>
      </c>
      <c r="V43" s="21" t="s">
        <v>20</v>
      </c>
      <c r="W43" s="21" t="s">
        <v>20</v>
      </c>
      <c r="X43" s="21" t="s">
        <v>20</v>
      </c>
      <c r="Y43" s="22" t="s">
        <v>21</v>
      </c>
      <c r="Z43" s="21" t="s">
        <v>20</v>
      </c>
      <c r="AA43" s="30" t="s">
        <v>20</v>
      </c>
      <c r="AB43" s="30" t="s">
        <v>20</v>
      </c>
      <c r="AC43" s="23" t="s">
        <v>21</v>
      </c>
      <c r="AD43" s="31" t="s">
        <v>21</v>
      </c>
      <c r="AE43" s="31" t="s">
        <v>21</v>
      </c>
      <c r="AG43">
        <f t="shared" si="0"/>
        <v>0</v>
      </c>
      <c r="AH43">
        <f t="shared" si="1"/>
        <v>11</v>
      </c>
      <c r="AI43">
        <f t="shared" si="2"/>
        <v>14</v>
      </c>
      <c r="AJ43">
        <f t="shared" si="3"/>
        <v>1</v>
      </c>
      <c r="AL43">
        <f t="shared" si="4"/>
        <v>0</v>
      </c>
      <c r="AM43">
        <f t="shared" si="5"/>
        <v>33</v>
      </c>
      <c r="AN43">
        <f t="shared" si="6"/>
        <v>28</v>
      </c>
      <c r="AO43">
        <f t="shared" si="7"/>
        <v>1</v>
      </c>
      <c r="AP43">
        <f t="shared" si="8"/>
        <v>62</v>
      </c>
    </row>
    <row r="44" spans="1:42" ht="15.75" customHeight="1" x14ac:dyDescent="0.3">
      <c r="A44" s="16"/>
      <c r="B44" s="55">
        <v>1</v>
      </c>
      <c r="C44" s="60" t="s">
        <v>79</v>
      </c>
      <c r="D44" s="59">
        <v>2</v>
      </c>
      <c r="E44" s="59" t="s">
        <v>20</v>
      </c>
      <c r="F44" s="24" t="s">
        <v>20</v>
      </c>
      <c r="G44" s="24" t="s">
        <v>20</v>
      </c>
      <c r="H44" s="24" t="s">
        <v>20</v>
      </c>
      <c r="I44" s="24" t="s">
        <v>20</v>
      </c>
      <c r="J44" s="24" t="s">
        <v>20</v>
      </c>
      <c r="K44" s="24" t="s">
        <v>20</v>
      </c>
      <c r="L44" s="24" t="s">
        <v>20</v>
      </c>
      <c r="M44" s="24" t="s">
        <v>20</v>
      </c>
      <c r="N44" s="24" t="s">
        <v>20</v>
      </c>
      <c r="O44" s="24" t="s">
        <v>20</v>
      </c>
      <c r="P44" s="24" t="s">
        <v>20</v>
      </c>
      <c r="Q44" s="24" t="s">
        <v>20</v>
      </c>
      <c r="R44" s="24" t="s">
        <v>20</v>
      </c>
      <c r="S44" s="24" t="s">
        <v>20</v>
      </c>
      <c r="T44" s="24" t="s">
        <v>20</v>
      </c>
      <c r="U44" s="24" t="s">
        <v>20</v>
      </c>
      <c r="V44" s="39" t="s">
        <v>20</v>
      </c>
      <c r="W44" s="39" t="s">
        <v>20</v>
      </c>
      <c r="X44" s="39" t="s">
        <v>20</v>
      </c>
      <c r="Y44" s="24" t="s">
        <v>39</v>
      </c>
      <c r="Z44" s="24" t="s">
        <v>39</v>
      </c>
      <c r="AA44" s="27" t="s">
        <v>20</v>
      </c>
      <c r="AB44" s="27" t="s">
        <v>20</v>
      </c>
      <c r="AC44" s="27" t="s">
        <v>20</v>
      </c>
      <c r="AD44" s="34" t="s">
        <v>20</v>
      </c>
      <c r="AE44" s="34" t="s">
        <v>21</v>
      </c>
      <c r="AG44">
        <f>+COUNTIF(F44:AE44,"AD")</f>
        <v>2</v>
      </c>
      <c r="AH44">
        <f>+COUNTIF(F44:AE44,"A")</f>
        <v>23</v>
      </c>
      <c r="AI44">
        <f>+COUNTIF(F44:AE44,"b")</f>
        <v>1</v>
      </c>
      <c r="AJ44">
        <f>+COUNTIF(F44:AE44,"c")</f>
        <v>0</v>
      </c>
      <c r="AL44">
        <f>+$AG$5*AG44</f>
        <v>8</v>
      </c>
      <c r="AM44">
        <f>+$AH$5*AH44</f>
        <v>69</v>
      </c>
      <c r="AN44">
        <f>+$AI$5*AI44</f>
        <v>2</v>
      </c>
      <c r="AO44">
        <f>+$AJ$5*AJ44</f>
        <v>0</v>
      </c>
      <c r="AP44" s="73">
        <f>+SUM(AL44:AO44)</f>
        <v>79</v>
      </c>
    </row>
    <row r="45" spans="1:42" ht="15.75" customHeight="1" x14ac:dyDescent="0.3">
      <c r="A45" s="16"/>
      <c r="B45" s="55">
        <v>2</v>
      </c>
      <c r="C45" s="56" t="s">
        <v>84</v>
      </c>
      <c r="D45" s="55">
        <v>2</v>
      </c>
      <c r="E45" s="55" t="s">
        <v>20</v>
      </c>
      <c r="F45" s="18" t="s">
        <v>20</v>
      </c>
      <c r="G45" s="18" t="s">
        <v>20</v>
      </c>
      <c r="H45" s="18" t="s">
        <v>20</v>
      </c>
      <c r="I45" s="18" t="s">
        <v>20</v>
      </c>
      <c r="J45" s="18" t="s">
        <v>20</v>
      </c>
      <c r="K45" s="18" t="s">
        <v>20</v>
      </c>
      <c r="L45" s="18" t="s">
        <v>20</v>
      </c>
      <c r="M45" s="18" t="s">
        <v>20</v>
      </c>
      <c r="N45" s="18" t="s">
        <v>20</v>
      </c>
      <c r="O45" s="18" t="s">
        <v>20</v>
      </c>
      <c r="P45" s="18" t="s">
        <v>20</v>
      </c>
      <c r="Q45" s="18" t="s">
        <v>20</v>
      </c>
      <c r="R45" s="18" t="s">
        <v>20</v>
      </c>
      <c r="S45" s="18" t="s">
        <v>20</v>
      </c>
      <c r="T45" s="18" t="s">
        <v>20</v>
      </c>
      <c r="U45" s="18" t="s">
        <v>20</v>
      </c>
      <c r="V45" s="37" t="s">
        <v>20</v>
      </c>
      <c r="W45" s="37" t="s">
        <v>20</v>
      </c>
      <c r="X45" s="37" t="s">
        <v>20</v>
      </c>
      <c r="Y45" s="18" t="s">
        <v>20</v>
      </c>
      <c r="Z45" s="18" t="s">
        <v>20</v>
      </c>
      <c r="AA45" s="20" t="s">
        <v>20</v>
      </c>
      <c r="AB45" s="20" t="s">
        <v>20</v>
      </c>
      <c r="AC45" s="20" t="s">
        <v>20</v>
      </c>
      <c r="AD45" s="29" t="s">
        <v>20</v>
      </c>
      <c r="AE45" s="29" t="s">
        <v>21</v>
      </c>
      <c r="AG45">
        <f>+COUNTIF(F45:AE45,"AD")</f>
        <v>0</v>
      </c>
      <c r="AH45">
        <f>+COUNTIF(F45:AE45,"A")</f>
        <v>25</v>
      </c>
      <c r="AI45">
        <f>+COUNTIF(F45:AE45,"b")</f>
        <v>1</v>
      </c>
      <c r="AJ45">
        <f>+COUNTIF(F45:AE45,"c")</f>
        <v>0</v>
      </c>
      <c r="AL45">
        <f>+$AG$5*AG45</f>
        <v>0</v>
      </c>
      <c r="AM45">
        <f>+$AH$5*AH45</f>
        <v>75</v>
      </c>
      <c r="AN45">
        <f>+$AI$5*AI45</f>
        <v>2</v>
      </c>
      <c r="AO45">
        <f>+$AJ$5*AJ45</f>
        <v>0</v>
      </c>
      <c r="AP45" s="73">
        <f>+SUM(AL45:AO45)</f>
        <v>77</v>
      </c>
    </row>
    <row r="46" spans="1:42" ht="15.75" customHeight="1" x14ac:dyDescent="0.3">
      <c r="A46" s="16"/>
      <c r="B46" s="55">
        <v>3</v>
      </c>
      <c r="C46" s="56" t="s">
        <v>67</v>
      </c>
      <c r="D46" s="55">
        <v>2</v>
      </c>
      <c r="E46" s="55" t="s">
        <v>20</v>
      </c>
      <c r="F46" s="18" t="s">
        <v>20</v>
      </c>
      <c r="G46" s="18" t="s">
        <v>21</v>
      </c>
      <c r="H46" s="18" t="s">
        <v>20</v>
      </c>
      <c r="I46" s="18" t="s">
        <v>20</v>
      </c>
      <c r="J46" s="18" t="s">
        <v>20</v>
      </c>
      <c r="K46" s="18" t="s">
        <v>20</v>
      </c>
      <c r="L46" s="18" t="s">
        <v>20</v>
      </c>
      <c r="M46" s="18" t="s">
        <v>20</v>
      </c>
      <c r="N46" s="18" t="s">
        <v>20</v>
      </c>
      <c r="O46" s="18" t="s">
        <v>20</v>
      </c>
      <c r="P46" s="18" t="s">
        <v>20</v>
      </c>
      <c r="Q46" s="18" t="s">
        <v>20</v>
      </c>
      <c r="R46" s="18" t="s">
        <v>20</v>
      </c>
      <c r="S46" s="18" t="s">
        <v>20</v>
      </c>
      <c r="T46" s="18" t="s">
        <v>20</v>
      </c>
      <c r="U46" s="18" t="s">
        <v>20</v>
      </c>
      <c r="V46" s="37" t="s">
        <v>20</v>
      </c>
      <c r="W46" s="37" t="s">
        <v>20</v>
      </c>
      <c r="X46" s="37" t="s">
        <v>20</v>
      </c>
      <c r="Y46" s="18" t="s">
        <v>20</v>
      </c>
      <c r="Z46" s="18" t="s">
        <v>20</v>
      </c>
      <c r="AA46" s="20" t="s">
        <v>20</v>
      </c>
      <c r="AB46" s="20" t="s">
        <v>20</v>
      </c>
      <c r="AC46" s="20" t="s">
        <v>20</v>
      </c>
      <c r="AD46" s="29" t="s">
        <v>20</v>
      </c>
      <c r="AE46" s="29" t="s">
        <v>21</v>
      </c>
      <c r="AG46">
        <f>+COUNTIF(F46:AE46,"AD")</f>
        <v>0</v>
      </c>
      <c r="AH46">
        <f>+COUNTIF(F46:AE46,"A")</f>
        <v>24</v>
      </c>
      <c r="AI46">
        <f>+COUNTIF(F46:AE46,"b")</f>
        <v>2</v>
      </c>
      <c r="AJ46">
        <f>+COUNTIF(F46:AE46,"c")</f>
        <v>0</v>
      </c>
      <c r="AL46">
        <f>+$AG$5*AG46</f>
        <v>0</v>
      </c>
      <c r="AM46">
        <f>+$AH$5*AH46</f>
        <v>72</v>
      </c>
      <c r="AN46">
        <f>+$AI$5*AI46</f>
        <v>4</v>
      </c>
      <c r="AO46">
        <f>+$AJ$5*AJ46</f>
        <v>0</v>
      </c>
      <c r="AP46" s="73">
        <f>+SUM(AL46:AO46)</f>
        <v>76</v>
      </c>
    </row>
    <row r="47" spans="1:42" ht="15.75" customHeight="1" x14ac:dyDescent="0.3">
      <c r="A47" s="16"/>
      <c r="B47" s="55">
        <v>4</v>
      </c>
      <c r="C47" s="56" t="s">
        <v>69</v>
      </c>
      <c r="D47" s="55">
        <v>2</v>
      </c>
      <c r="E47" s="55" t="s">
        <v>20</v>
      </c>
      <c r="F47" s="18" t="s">
        <v>21</v>
      </c>
      <c r="G47" s="18" t="s">
        <v>21</v>
      </c>
      <c r="H47" s="18" t="s">
        <v>21</v>
      </c>
      <c r="I47" s="18" t="s">
        <v>21</v>
      </c>
      <c r="J47" s="18" t="s">
        <v>20</v>
      </c>
      <c r="K47" s="18" t="s">
        <v>20</v>
      </c>
      <c r="L47" s="18" t="s">
        <v>20</v>
      </c>
      <c r="M47" s="18" t="s">
        <v>21</v>
      </c>
      <c r="N47" s="18" t="s">
        <v>20</v>
      </c>
      <c r="O47" s="18" t="s">
        <v>20</v>
      </c>
      <c r="P47" s="18" t="s">
        <v>20</v>
      </c>
      <c r="Q47" s="18" t="s">
        <v>20</v>
      </c>
      <c r="R47" s="18" t="s">
        <v>20</v>
      </c>
      <c r="S47" s="18" t="s">
        <v>20</v>
      </c>
      <c r="T47" s="18" t="s">
        <v>20</v>
      </c>
      <c r="U47" s="18" t="s">
        <v>21</v>
      </c>
      <c r="V47" s="37" t="s">
        <v>20</v>
      </c>
      <c r="W47" s="37" t="s">
        <v>20</v>
      </c>
      <c r="X47" s="37" t="s">
        <v>20</v>
      </c>
      <c r="Y47" s="18" t="s">
        <v>20</v>
      </c>
      <c r="Z47" s="18" t="s">
        <v>20</v>
      </c>
      <c r="AA47" s="20" t="s">
        <v>20</v>
      </c>
      <c r="AB47" s="20" t="s">
        <v>20</v>
      </c>
      <c r="AC47" s="20" t="s">
        <v>20</v>
      </c>
      <c r="AD47" s="29" t="s">
        <v>21</v>
      </c>
      <c r="AE47" s="29" t="s">
        <v>21</v>
      </c>
      <c r="AG47">
        <f>+COUNTIF(F47:AE47,"AD")</f>
        <v>0</v>
      </c>
      <c r="AH47">
        <f>+COUNTIF(F47:AE47,"A")</f>
        <v>18</v>
      </c>
      <c r="AI47">
        <f>+COUNTIF(F47:AE47,"b")</f>
        <v>8</v>
      </c>
      <c r="AJ47">
        <f>+COUNTIF(F47:AE47,"c")</f>
        <v>0</v>
      </c>
      <c r="AL47">
        <f>+$AG$5*AG47</f>
        <v>0</v>
      </c>
      <c r="AM47">
        <f>+$AH$5*AH47</f>
        <v>54</v>
      </c>
      <c r="AN47">
        <f>+$AI$5*AI47</f>
        <v>16</v>
      </c>
      <c r="AO47">
        <f>+$AJ$5*AJ47</f>
        <v>0</v>
      </c>
      <c r="AP47" s="73">
        <f>+SUM(AL47:AO47)</f>
        <v>70</v>
      </c>
    </row>
    <row r="48" spans="1:42" ht="15.75" customHeight="1" x14ac:dyDescent="0.3">
      <c r="A48" s="16"/>
      <c r="B48" s="55">
        <v>5</v>
      </c>
      <c r="C48" s="56" t="s">
        <v>72</v>
      </c>
      <c r="D48" s="55">
        <v>2</v>
      </c>
      <c r="E48" s="55" t="s">
        <v>20</v>
      </c>
      <c r="F48" s="18" t="s">
        <v>20</v>
      </c>
      <c r="G48" s="18" t="s">
        <v>20</v>
      </c>
      <c r="H48" s="18" t="s">
        <v>20</v>
      </c>
      <c r="I48" s="18" t="s">
        <v>20</v>
      </c>
      <c r="J48" s="18" t="s">
        <v>20</v>
      </c>
      <c r="K48" s="18" t="s">
        <v>20</v>
      </c>
      <c r="L48" s="18" t="s">
        <v>20</v>
      </c>
      <c r="M48" s="18" t="s">
        <v>20</v>
      </c>
      <c r="N48" s="18" t="s">
        <v>20</v>
      </c>
      <c r="O48" s="18" t="s">
        <v>20</v>
      </c>
      <c r="P48" s="18" t="s">
        <v>20</v>
      </c>
      <c r="Q48" s="18" t="s">
        <v>20</v>
      </c>
      <c r="R48" s="18" t="s">
        <v>20</v>
      </c>
      <c r="S48" s="18" t="s">
        <v>20</v>
      </c>
      <c r="T48" s="18" t="s">
        <v>21</v>
      </c>
      <c r="U48" s="18" t="s">
        <v>20</v>
      </c>
      <c r="V48" s="37" t="s">
        <v>21</v>
      </c>
      <c r="W48" s="37" t="s">
        <v>20</v>
      </c>
      <c r="X48" s="37" t="s">
        <v>21</v>
      </c>
      <c r="Y48" s="18" t="s">
        <v>20</v>
      </c>
      <c r="Z48" s="18" t="s">
        <v>20</v>
      </c>
      <c r="AA48" s="20" t="s">
        <v>20</v>
      </c>
      <c r="AB48" s="20" t="s">
        <v>20</v>
      </c>
      <c r="AC48" s="20" t="s">
        <v>20</v>
      </c>
      <c r="AD48" s="29" t="s">
        <v>55</v>
      </c>
      <c r="AE48" s="29" t="s">
        <v>55</v>
      </c>
      <c r="AG48">
        <f>+COUNTIF(F48:AE48,"AD")</f>
        <v>0</v>
      </c>
      <c r="AH48">
        <f>+COUNTIF(F48:AE48,"A")</f>
        <v>21</v>
      </c>
      <c r="AI48">
        <f>+COUNTIF(F48:AE48,"b")</f>
        <v>3</v>
      </c>
      <c r="AJ48">
        <f>+COUNTIF(F48:AE48,"c")</f>
        <v>0</v>
      </c>
      <c r="AL48">
        <f>+$AG$5*AG48</f>
        <v>0</v>
      </c>
      <c r="AM48">
        <f>+$AH$5*AH48</f>
        <v>63</v>
      </c>
      <c r="AN48">
        <f>+$AI$5*AI48</f>
        <v>6</v>
      </c>
      <c r="AO48">
        <f>+$AJ$5*AJ48</f>
        <v>0</v>
      </c>
      <c r="AP48" s="73">
        <f>+SUM(AL48:AO48)</f>
        <v>69</v>
      </c>
    </row>
    <row r="49" spans="1:42" ht="15.75" customHeight="1" x14ac:dyDescent="0.3">
      <c r="A49" s="16"/>
      <c r="B49" s="55">
        <v>6</v>
      </c>
      <c r="C49" s="56" t="s">
        <v>81</v>
      </c>
      <c r="D49" s="55">
        <v>2</v>
      </c>
      <c r="E49" s="55" t="s">
        <v>20</v>
      </c>
      <c r="F49" s="18" t="s">
        <v>21</v>
      </c>
      <c r="G49" s="18" t="s">
        <v>21</v>
      </c>
      <c r="H49" s="18" t="s">
        <v>21</v>
      </c>
      <c r="I49" s="18" t="s">
        <v>21</v>
      </c>
      <c r="J49" s="18" t="s">
        <v>20</v>
      </c>
      <c r="K49" s="18" t="s">
        <v>21</v>
      </c>
      <c r="L49" s="18" t="s">
        <v>20</v>
      </c>
      <c r="M49" s="18" t="s">
        <v>20</v>
      </c>
      <c r="N49" s="18" t="s">
        <v>20</v>
      </c>
      <c r="O49" s="18" t="s">
        <v>20</v>
      </c>
      <c r="P49" s="18" t="s">
        <v>20</v>
      </c>
      <c r="Q49" s="18" t="s">
        <v>20</v>
      </c>
      <c r="R49" s="18" t="s">
        <v>20</v>
      </c>
      <c r="S49" s="18" t="s">
        <v>20</v>
      </c>
      <c r="T49" s="18" t="s">
        <v>21</v>
      </c>
      <c r="U49" s="18" t="s">
        <v>20</v>
      </c>
      <c r="V49" s="37" t="s">
        <v>20</v>
      </c>
      <c r="W49" s="37" t="s">
        <v>20</v>
      </c>
      <c r="X49" s="37" t="s">
        <v>21</v>
      </c>
      <c r="Y49" s="18" t="s">
        <v>20</v>
      </c>
      <c r="Z49" s="18" t="s">
        <v>20</v>
      </c>
      <c r="AA49" s="20" t="s">
        <v>20</v>
      </c>
      <c r="AB49" s="20" t="s">
        <v>20</v>
      </c>
      <c r="AC49" s="20" t="s">
        <v>20</v>
      </c>
      <c r="AD49" s="29" t="s">
        <v>21</v>
      </c>
      <c r="AE49" s="29" t="s">
        <v>21</v>
      </c>
      <c r="AG49">
        <f>+COUNTIF(F49:AE49,"AD")</f>
        <v>0</v>
      </c>
      <c r="AH49">
        <f>+COUNTIF(F49:AE49,"A")</f>
        <v>17</v>
      </c>
      <c r="AI49">
        <f>+COUNTIF(F49:AE49,"b")</f>
        <v>9</v>
      </c>
      <c r="AJ49">
        <f>+COUNTIF(F49:AE49,"c")</f>
        <v>0</v>
      </c>
      <c r="AL49">
        <f>+$AG$5*AG49</f>
        <v>0</v>
      </c>
      <c r="AM49">
        <f>+$AH$5*AH49</f>
        <v>51</v>
      </c>
      <c r="AN49">
        <f>+$AI$5*AI49</f>
        <v>18</v>
      </c>
      <c r="AO49">
        <f>+$AJ$5*AJ49</f>
        <v>0</v>
      </c>
      <c r="AP49" s="73">
        <f>+SUM(AL49:AO49)</f>
        <v>69</v>
      </c>
    </row>
    <row r="50" spans="1:42" ht="15.75" customHeight="1" x14ac:dyDescent="0.3">
      <c r="A50" s="16"/>
      <c r="B50" s="55">
        <v>7</v>
      </c>
      <c r="C50" s="56" t="s">
        <v>63</v>
      </c>
      <c r="D50" s="55">
        <v>2</v>
      </c>
      <c r="E50" s="55" t="s">
        <v>20</v>
      </c>
      <c r="F50" s="18" t="s">
        <v>21</v>
      </c>
      <c r="G50" s="18" t="s">
        <v>21</v>
      </c>
      <c r="H50" s="18" t="s">
        <v>23</v>
      </c>
      <c r="I50" s="18" t="s">
        <v>21</v>
      </c>
      <c r="J50" s="18" t="s">
        <v>21</v>
      </c>
      <c r="K50" s="18" t="s">
        <v>23</v>
      </c>
      <c r="L50" s="18" t="s">
        <v>23</v>
      </c>
      <c r="M50" s="18" t="s">
        <v>20</v>
      </c>
      <c r="N50" s="18" t="s">
        <v>20</v>
      </c>
      <c r="O50" s="18" t="s">
        <v>20</v>
      </c>
      <c r="P50" s="18" t="s">
        <v>20</v>
      </c>
      <c r="Q50" s="18" t="s">
        <v>20</v>
      </c>
      <c r="R50" s="18" t="s">
        <v>20</v>
      </c>
      <c r="S50" s="18" t="s">
        <v>21</v>
      </c>
      <c r="T50" s="18" t="s">
        <v>20</v>
      </c>
      <c r="U50" s="18" t="s">
        <v>20</v>
      </c>
      <c r="V50" s="35" t="s">
        <v>20</v>
      </c>
      <c r="W50" s="35" t="s">
        <v>20</v>
      </c>
      <c r="X50" s="36" t="s">
        <v>20</v>
      </c>
      <c r="Y50" s="19" t="s">
        <v>20</v>
      </c>
      <c r="Z50" s="18" t="s">
        <v>20</v>
      </c>
      <c r="AA50" s="20" t="s">
        <v>21</v>
      </c>
      <c r="AB50" s="20" t="s">
        <v>21</v>
      </c>
      <c r="AC50" s="20" t="s">
        <v>21</v>
      </c>
      <c r="AD50" s="29" t="s">
        <v>20</v>
      </c>
      <c r="AE50" s="29" t="s">
        <v>21</v>
      </c>
      <c r="AG50">
        <f>+COUNTIF(F50:AE50,"AD")</f>
        <v>0</v>
      </c>
      <c r="AH50">
        <f>+COUNTIF(F50:AE50,"A")</f>
        <v>14</v>
      </c>
      <c r="AI50">
        <f>+COUNTIF(F50:AE50,"b")</f>
        <v>9</v>
      </c>
      <c r="AJ50">
        <f>+COUNTIF(F50:AE50,"c")</f>
        <v>3</v>
      </c>
      <c r="AL50">
        <f>+$AG$5*AG50</f>
        <v>0</v>
      </c>
      <c r="AM50">
        <f>+$AH$5*AH50</f>
        <v>42</v>
      </c>
      <c r="AN50">
        <f>+$AI$5*AI50</f>
        <v>18</v>
      </c>
      <c r="AO50">
        <f>+$AJ$5*AJ50</f>
        <v>3</v>
      </c>
      <c r="AP50" s="73">
        <f>+SUM(AL50:AO50)</f>
        <v>63</v>
      </c>
    </row>
    <row r="51" spans="1:42" ht="15.75" customHeight="1" x14ac:dyDescent="0.3">
      <c r="A51" s="16"/>
      <c r="B51" s="55">
        <v>8</v>
      </c>
      <c r="C51" s="56" t="s">
        <v>68</v>
      </c>
      <c r="D51" s="55">
        <v>2</v>
      </c>
      <c r="E51" s="55" t="s">
        <v>20</v>
      </c>
      <c r="F51" s="18" t="s">
        <v>21</v>
      </c>
      <c r="G51" s="18" t="s">
        <v>21</v>
      </c>
      <c r="H51" s="18" t="s">
        <v>21</v>
      </c>
      <c r="I51" s="18" t="s">
        <v>21</v>
      </c>
      <c r="J51" s="18" t="s">
        <v>20</v>
      </c>
      <c r="K51" s="18" t="s">
        <v>21</v>
      </c>
      <c r="L51" s="18" t="s">
        <v>21</v>
      </c>
      <c r="M51" s="18" t="s">
        <v>21</v>
      </c>
      <c r="N51" s="18" t="s">
        <v>20</v>
      </c>
      <c r="O51" s="18" t="s">
        <v>23</v>
      </c>
      <c r="P51" s="18" t="s">
        <v>21</v>
      </c>
      <c r="Q51" s="18" t="s">
        <v>21</v>
      </c>
      <c r="R51" s="18" t="s">
        <v>21</v>
      </c>
      <c r="S51" s="18" t="s">
        <v>21</v>
      </c>
      <c r="T51" s="18" t="s">
        <v>20</v>
      </c>
      <c r="U51" s="18" t="s">
        <v>20</v>
      </c>
      <c r="V51" s="37" t="s">
        <v>20</v>
      </c>
      <c r="W51" s="37" t="s">
        <v>20</v>
      </c>
      <c r="X51" s="37" t="s">
        <v>20</v>
      </c>
      <c r="Y51" s="18" t="s">
        <v>20</v>
      </c>
      <c r="Z51" s="18" t="s">
        <v>20</v>
      </c>
      <c r="AA51" s="20" t="s">
        <v>20</v>
      </c>
      <c r="AB51" s="20" t="s">
        <v>20</v>
      </c>
      <c r="AC51" s="20" t="s">
        <v>20</v>
      </c>
      <c r="AD51" s="29" t="s">
        <v>21</v>
      </c>
      <c r="AE51" s="29" t="s">
        <v>21</v>
      </c>
      <c r="AG51">
        <f>+COUNTIF(F51:AE51,"AD")</f>
        <v>0</v>
      </c>
      <c r="AH51">
        <f>+COUNTIF(F51:AE51,"A")</f>
        <v>12</v>
      </c>
      <c r="AI51">
        <f>+COUNTIF(F51:AE51,"b")</f>
        <v>13</v>
      </c>
      <c r="AJ51">
        <f>+COUNTIF(F51:AE51,"c")</f>
        <v>1</v>
      </c>
      <c r="AL51">
        <f>+$AG$5*AG51</f>
        <v>0</v>
      </c>
      <c r="AM51">
        <f>+$AH$5*AH51</f>
        <v>36</v>
      </c>
      <c r="AN51">
        <f>+$AI$5*AI51</f>
        <v>26</v>
      </c>
      <c r="AO51">
        <f>+$AJ$5*AJ51</f>
        <v>1</v>
      </c>
      <c r="AP51" s="73">
        <f>+SUM(AL51:AO51)</f>
        <v>63</v>
      </c>
    </row>
    <row r="52" spans="1:42" ht="15.75" customHeight="1" x14ac:dyDescent="0.3">
      <c r="A52" s="16"/>
      <c r="B52" s="55">
        <v>9</v>
      </c>
      <c r="C52" s="56" t="s">
        <v>77</v>
      </c>
      <c r="D52" s="55">
        <v>2</v>
      </c>
      <c r="E52" s="55" t="s">
        <v>20</v>
      </c>
      <c r="F52" s="18" t="s">
        <v>21</v>
      </c>
      <c r="G52" s="18" t="s">
        <v>21</v>
      </c>
      <c r="H52" s="18" t="s">
        <v>21</v>
      </c>
      <c r="I52" s="18" t="s">
        <v>21</v>
      </c>
      <c r="J52" s="18" t="s">
        <v>21</v>
      </c>
      <c r="K52" s="18" t="s">
        <v>21</v>
      </c>
      <c r="L52" s="18" t="s">
        <v>21</v>
      </c>
      <c r="M52" s="18" t="s">
        <v>20</v>
      </c>
      <c r="N52" s="18" t="s">
        <v>20</v>
      </c>
      <c r="O52" s="18" t="s">
        <v>20</v>
      </c>
      <c r="P52" s="18" t="s">
        <v>21</v>
      </c>
      <c r="Q52" s="18" t="s">
        <v>21</v>
      </c>
      <c r="R52" s="18" t="s">
        <v>21</v>
      </c>
      <c r="S52" s="18" t="s">
        <v>20</v>
      </c>
      <c r="T52" s="18" t="s">
        <v>20</v>
      </c>
      <c r="U52" s="18" t="s">
        <v>21</v>
      </c>
      <c r="V52" s="37" t="s">
        <v>20</v>
      </c>
      <c r="W52" s="37" t="s">
        <v>20</v>
      </c>
      <c r="X52" s="37" t="s">
        <v>20</v>
      </c>
      <c r="Y52" s="18" t="s">
        <v>20</v>
      </c>
      <c r="Z52" s="18" t="s">
        <v>20</v>
      </c>
      <c r="AA52" s="20" t="s">
        <v>21</v>
      </c>
      <c r="AB52" s="20" t="s">
        <v>21</v>
      </c>
      <c r="AC52" s="20" t="s">
        <v>21</v>
      </c>
      <c r="AD52" s="29" t="s">
        <v>21</v>
      </c>
      <c r="AE52" s="29" t="s">
        <v>21</v>
      </c>
      <c r="AG52">
        <f>+COUNTIF(F52:AE52,"AD")</f>
        <v>0</v>
      </c>
      <c r="AH52">
        <f>+COUNTIF(F52:AE52,"A")</f>
        <v>10</v>
      </c>
      <c r="AI52">
        <f>+COUNTIF(F52:AE52,"b")</f>
        <v>16</v>
      </c>
      <c r="AJ52">
        <f>+COUNTIF(F52:AE52,"c")</f>
        <v>0</v>
      </c>
      <c r="AL52">
        <f>+$AG$5*AG52</f>
        <v>0</v>
      </c>
      <c r="AM52">
        <f>+$AH$5*AH52</f>
        <v>30</v>
      </c>
      <c r="AN52">
        <f>+$AI$5*AI52</f>
        <v>32</v>
      </c>
      <c r="AO52">
        <f>+$AJ$5*AJ52</f>
        <v>0</v>
      </c>
      <c r="AP52" s="73">
        <f>+SUM(AL52:AO52)</f>
        <v>62</v>
      </c>
    </row>
    <row r="53" spans="1:42" ht="15.75" customHeight="1" x14ac:dyDescent="0.3">
      <c r="A53" s="16"/>
      <c r="B53" s="55">
        <v>10</v>
      </c>
      <c r="C53" s="56" t="s">
        <v>62</v>
      </c>
      <c r="D53" s="55">
        <v>2</v>
      </c>
      <c r="E53" s="55" t="s">
        <v>20</v>
      </c>
      <c r="F53" s="18" t="s">
        <v>21</v>
      </c>
      <c r="G53" s="18" t="s">
        <v>23</v>
      </c>
      <c r="H53" s="18" t="s">
        <v>21</v>
      </c>
      <c r="I53" s="18" t="s">
        <v>21</v>
      </c>
      <c r="J53" s="18" t="s">
        <v>21</v>
      </c>
      <c r="K53" s="18" t="s">
        <v>21</v>
      </c>
      <c r="L53" s="18" t="s">
        <v>20</v>
      </c>
      <c r="M53" s="18" t="s">
        <v>20</v>
      </c>
      <c r="N53" s="18" t="s">
        <v>20</v>
      </c>
      <c r="O53" s="18" t="s">
        <v>21</v>
      </c>
      <c r="P53" s="18" t="s">
        <v>21</v>
      </c>
      <c r="Q53" s="18" t="s">
        <v>21</v>
      </c>
      <c r="R53" s="18" t="s">
        <v>21</v>
      </c>
      <c r="S53" s="18" t="s">
        <v>20</v>
      </c>
      <c r="T53" s="18" t="s">
        <v>21</v>
      </c>
      <c r="U53" s="18" t="s">
        <v>20</v>
      </c>
      <c r="V53" s="35" t="s">
        <v>20</v>
      </c>
      <c r="W53" s="35" t="s">
        <v>20</v>
      </c>
      <c r="X53" s="36" t="s">
        <v>20</v>
      </c>
      <c r="Y53" s="19" t="s">
        <v>20</v>
      </c>
      <c r="Z53" s="18" t="s">
        <v>20</v>
      </c>
      <c r="AA53" s="20" t="s">
        <v>21</v>
      </c>
      <c r="AB53" s="20" t="s">
        <v>21</v>
      </c>
      <c r="AC53" s="20" t="s">
        <v>21</v>
      </c>
      <c r="AD53" s="29" t="s">
        <v>21</v>
      </c>
      <c r="AE53" s="29" t="s">
        <v>21</v>
      </c>
      <c r="AG53">
        <f>+COUNTIF(F53:AE53,"AD")</f>
        <v>0</v>
      </c>
      <c r="AH53">
        <f>+COUNTIF(F53:AE53,"A")</f>
        <v>10</v>
      </c>
      <c r="AI53">
        <f>+COUNTIF(F53:AE53,"b")</f>
        <v>15</v>
      </c>
      <c r="AJ53">
        <f>+COUNTIF(F53:AE53,"c")</f>
        <v>1</v>
      </c>
      <c r="AL53">
        <f>+$AG$5*AG53</f>
        <v>0</v>
      </c>
      <c r="AM53">
        <f>+$AH$5*AH53</f>
        <v>30</v>
      </c>
      <c r="AN53">
        <f>+$AI$5*AI53</f>
        <v>30</v>
      </c>
      <c r="AO53">
        <f>+$AJ$5*AJ53</f>
        <v>1</v>
      </c>
      <c r="AP53" s="73">
        <f>+SUM(AL53:AO53)</f>
        <v>61</v>
      </c>
    </row>
    <row r="54" spans="1:42" ht="15.75" customHeight="1" x14ac:dyDescent="0.3">
      <c r="A54" s="16"/>
      <c r="B54" s="55">
        <v>11</v>
      </c>
      <c r="C54" s="56" t="s">
        <v>71</v>
      </c>
      <c r="D54" s="55">
        <v>2</v>
      </c>
      <c r="E54" s="55" t="s">
        <v>20</v>
      </c>
      <c r="F54" s="18" t="s">
        <v>21</v>
      </c>
      <c r="G54" s="18" t="s">
        <v>21</v>
      </c>
      <c r="H54" s="18" t="s">
        <v>21</v>
      </c>
      <c r="I54" s="18" t="s">
        <v>21</v>
      </c>
      <c r="J54" s="18" t="s">
        <v>20</v>
      </c>
      <c r="K54" s="18" t="s">
        <v>21</v>
      </c>
      <c r="L54" s="18" t="s">
        <v>21</v>
      </c>
      <c r="M54" s="18" t="s">
        <v>21</v>
      </c>
      <c r="N54" s="18" t="s">
        <v>21</v>
      </c>
      <c r="O54" s="18" t="s">
        <v>20</v>
      </c>
      <c r="P54" s="18" t="s">
        <v>21</v>
      </c>
      <c r="Q54" s="18" t="s">
        <v>21</v>
      </c>
      <c r="R54" s="18" t="s">
        <v>21</v>
      </c>
      <c r="S54" s="18" t="s">
        <v>21</v>
      </c>
      <c r="T54" s="18" t="s">
        <v>20</v>
      </c>
      <c r="U54" s="18" t="s">
        <v>20</v>
      </c>
      <c r="V54" s="37" t="s">
        <v>20</v>
      </c>
      <c r="W54" s="37" t="s">
        <v>20</v>
      </c>
      <c r="X54" s="37" t="s">
        <v>20</v>
      </c>
      <c r="Y54" s="18" t="s">
        <v>20</v>
      </c>
      <c r="Z54" s="18" t="s">
        <v>21</v>
      </c>
      <c r="AA54" s="20" t="s">
        <v>20</v>
      </c>
      <c r="AB54" s="20" t="s">
        <v>21</v>
      </c>
      <c r="AC54" s="20" t="s">
        <v>21</v>
      </c>
      <c r="AD54" s="29" t="s">
        <v>21</v>
      </c>
      <c r="AE54" s="29" t="s">
        <v>21</v>
      </c>
      <c r="AG54">
        <f>+COUNTIF(F54:AE54,"AD")</f>
        <v>0</v>
      </c>
      <c r="AH54">
        <f>+COUNTIF(F54:AE54,"A")</f>
        <v>9</v>
      </c>
      <c r="AI54">
        <f>+COUNTIF(F54:AE54,"b")</f>
        <v>17</v>
      </c>
      <c r="AJ54">
        <f>+COUNTIF(F54:AE54,"c")</f>
        <v>0</v>
      </c>
      <c r="AL54">
        <f>+$AG$5*AG54</f>
        <v>0</v>
      </c>
      <c r="AM54">
        <f>+$AH$5*AH54</f>
        <v>27</v>
      </c>
      <c r="AN54">
        <f>+$AI$5*AI54</f>
        <v>34</v>
      </c>
      <c r="AO54">
        <f>+$AJ$5*AJ54</f>
        <v>0</v>
      </c>
      <c r="AP54" s="73">
        <f>+SUM(AL54:AO54)</f>
        <v>61</v>
      </c>
    </row>
    <row r="55" spans="1:42" ht="15.75" customHeight="1" x14ac:dyDescent="0.3">
      <c r="A55" s="16"/>
      <c r="B55" s="55">
        <v>12</v>
      </c>
      <c r="C55" s="56" t="s">
        <v>66</v>
      </c>
      <c r="D55" s="55">
        <v>2</v>
      </c>
      <c r="E55" s="55" t="s">
        <v>20</v>
      </c>
      <c r="F55" s="18" t="s">
        <v>21</v>
      </c>
      <c r="G55" s="18" t="s">
        <v>21</v>
      </c>
      <c r="H55" s="18" t="s">
        <v>21</v>
      </c>
      <c r="I55" s="18" t="s">
        <v>21</v>
      </c>
      <c r="J55" s="18" t="s">
        <v>21</v>
      </c>
      <c r="K55" s="18" t="s">
        <v>21</v>
      </c>
      <c r="L55" s="18" t="s">
        <v>21</v>
      </c>
      <c r="M55" s="18" t="s">
        <v>21</v>
      </c>
      <c r="N55" s="18" t="s">
        <v>21</v>
      </c>
      <c r="O55" s="18" t="s">
        <v>20</v>
      </c>
      <c r="P55" s="18" t="s">
        <v>21</v>
      </c>
      <c r="Q55" s="18" t="s">
        <v>21</v>
      </c>
      <c r="R55" s="18" t="s">
        <v>21</v>
      </c>
      <c r="S55" s="18" t="s">
        <v>20</v>
      </c>
      <c r="T55" s="18" t="s">
        <v>21</v>
      </c>
      <c r="U55" s="18" t="s">
        <v>20</v>
      </c>
      <c r="V55" s="35" t="s">
        <v>20</v>
      </c>
      <c r="W55" s="35" t="s">
        <v>20</v>
      </c>
      <c r="X55" s="36" t="s">
        <v>20</v>
      </c>
      <c r="Y55" s="19" t="s">
        <v>20</v>
      </c>
      <c r="Z55" s="18" t="s">
        <v>20</v>
      </c>
      <c r="AA55" s="20" t="s">
        <v>21</v>
      </c>
      <c r="AB55" s="20" t="s">
        <v>21</v>
      </c>
      <c r="AC55" s="20" t="s">
        <v>23</v>
      </c>
      <c r="AD55" s="29" t="s">
        <v>21</v>
      </c>
      <c r="AE55" s="29" t="s">
        <v>21</v>
      </c>
      <c r="AG55">
        <f>+COUNTIF(F55:AE55,"AD")</f>
        <v>0</v>
      </c>
      <c r="AH55">
        <f>+COUNTIF(F55:AE55,"A")</f>
        <v>8</v>
      </c>
      <c r="AI55">
        <f>+COUNTIF(F55:AE55,"b")</f>
        <v>17</v>
      </c>
      <c r="AJ55">
        <f>+COUNTIF(F55:AE55,"c")</f>
        <v>1</v>
      </c>
      <c r="AL55">
        <f>+$AG$5*AG55</f>
        <v>0</v>
      </c>
      <c r="AM55">
        <f>+$AH$5*AH55</f>
        <v>24</v>
      </c>
      <c r="AN55">
        <f>+$AI$5*AI55</f>
        <v>34</v>
      </c>
      <c r="AO55">
        <f>+$AJ$5*AJ55</f>
        <v>1</v>
      </c>
      <c r="AP55" s="73">
        <f>+SUM(AL55:AO55)</f>
        <v>59</v>
      </c>
    </row>
    <row r="56" spans="1:42" ht="15.75" customHeight="1" x14ac:dyDescent="0.3">
      <c r="A56" s="16"/>
      <c r="B56" s="55">
        <v>13</v>
      </c>
      <c r="C56" s="56" t="s">
        <v>76</v>
      </c>
      <c r="D56" s="55">
        <v>2</v>
      </c>
      <c r="E56" s="55" t="s">
        <v>20</v>
      </c>
      <c r="F56" s="18" t="s">
        <v>20</v>
      </c>
      <c r="G56" s="18" t="s">
        <v>21</v>
      </c>
      <c r="H56" s="18" t="s">
        <v>21</v>
      </c>
      <c r="I56" s="18" t="s">
        <v>21</v>
      </c>
      <c r="J56" s="18" t="s">
        <v>20</v>
      </c>
      <c r="K56" s="18" t="s">
        <v>21</v>
      </c>
      <c r="L56" s="18" t="s">
        <v>21</v>
      </c>
      <c r="M56" s="18" t="s">
        <v>21</v>
      </c>
      <c r="N56" s="18" t="s">
        <v>21</v>
      </c>
      <c r="O56" s="18" t="s">
        <v>20</v>
      </c>
      <c r="P56" s="18" t="s">
        <v>21</v>
      </c>
      <c r="Q56" s="18" t="s">
        <v>21</v>
      </c>
      <c r="R56" s="18" t="s">
        <v>21</v>
      </c>
      <c r="S56" s="18" t="s">
        <v>20</v>
      </c>
      <c r="T56" s="18" t="s">
        <v>21</v>
      </c>
      <c r="U56" s="18" t="s">
        <v>21</v>
      </c>
      <c r="V56" s="37" t="s">
        <v>21</v>
      </c>
      <c r="W56" s="37" t="s">
        <v>20</v>
      </c>
      <c r="X56" s="37" t="s">
        <v>20</v>
      </c>
      <c r="Y56" s="18" t="s">
        <v>21</v>
      </c>
      <c r="Z56" s="18" t="s">
        <v>21</v>
      </c>
      <c r="AA56" s="20" t="s">
        <v>21</v>
      </c>
      <c r="AB56" s="20" t="s">
        <v>21</v>
      </c>
      <c r="AC56" s="20" t="s">
        <v>21</v>
      </c>
      <c r="AD56" s="29" t="s">
        <v>23</v>
      </c>
      <c r="AE56" s="29" t="s">
        <v>21</v>
      </c>
      <c r="AG56">
        <f>+COUNTIF(F56:AE56,"AD")</f>
        <v>0</v>
      </c>
      <c r="AH56">
        <f>+COUNTIF(F56:AE56,"A")</f>
        <v>6</v>
      </c>
      <c r="AI56">
        <f>+COUNTIF(F56:AE56,"b")</f>
        <v>19</v>
      </c>
      <c r="AJ56">
        <f>+COUNTIF(F56:AE56,"c")</f>
        <v>1</v>
      </c>
      <c r="AL56">
        <f>+$AG$5*AG56</f>
        <v>0</v>
      </c>
      <c r="AM56">
        <f>+$AH$5*AH56</f>
        <v>18</v>
      </c>
      <c r="AN56">
        <f>+$AI$5*AI56</f>
        <v>38</v>
      </c>
      <c r="AO56">
        <f>+$AJ$5*AJ56</f>
        <v>1</v>
      </c>
      <c r="AP56" s="73">
        <f>+SUM(AL56:AO56)</f>
        <v>57</v>
      </c>
    </row>
    <row r="57" spans="1:42" ht="15.75" customHeight="1" x14ac:dyDescent="0.3">
      <c r="A57" s="16"/>
      <c r="B57" s="55">
        <v>14</v>
      </c>
      <c r="C57" s="56" t="s">
        <v>78</v>
      </c>
      <c r="D57" s="55">
        <v>2</v>
      </c>
      <c r="E57" s="55" t="s">
        <v>20</v>
      </c>
      <c r="F57" s="18" t="s">
        <v>21</v>
      </c>
      <c r="G57" s="18" t="s">
        <v>21</v>
      </c>
      <c r="H57" s="18" t="s">
        <v>21</v>
      </c>
      <c r="I57" s="18" t="s">
        <v>21</v>
      </c>
      <c r="J57" s="18" t="s">
        <v>23</v>
      </c>
      <c r="K57" s="18" t="s">
        <v>21</v>
      </c>
      <c r="L57" s="18" t="s">
        <v>21</v>
      </c>
      <c r="M57" s="18" t="s">
        <v>21</v>
      </c>
      <c r="N57" s="18" t="s">
        <v>21</v>
      </c>
      <c r="O57" s="18" t="s">
        <v>20</v>
      </c>
      <c r="P57" s="18" t="s">
        <v>21</v>
      </c>
      <c r="Q57" s="18" t="s">
        <v>21</v>
      </c>
      <c r="R57" s="18" t="s">
        <v>21</v>
      </c>
      <c r="S57" s="18" t="s">
        <v>21</v>
      </c>
      <c r="T57" s="18" t="s">
        <v>21</v>
      </c>
      <c r="U57" s="18" t="s">
        <v>21</v>
      </c>
      <c r="V57" s="37" t="s">
        <v>20</v>
      </c>
      <c r="W57" s="37" t="s">
        <v>20</v>
      </c>
      <c r="X57" s="37" t="s">
        <v>20</v>
      </c>
      <c r="Y57" s="18" t="s">
        <v>20</v>
      </c>
      <c r="Z57" s="18" t="s">
        <v>20</v>
      </c>
      <c r="AA57" s="20" t="s">
        <v>23</v>
      </c>
      <c r="AB57" s="20" t="s">
        <v>23</v>
      </c>
      <c r="AC57" s="20" t="s">
        <v>21</v>
      </c>
      <c r="AD57" s="29" t="s">
        <v>21</v>
      </c>
      <c r="AE57" s="29" t="s">
        <v>21</v>
      </c>
      <c r="AG57">
        <f>+COUNTIF(F57:AE57,"AD")</f>
        <v>0</v>
      </c>
      <c r="AH57">
        <f>+COUNTIF(F57:AE57,"A")</f>
        <v>6</v>
      </c>
      <c r="AI57">
        <f>+COUNTIF(F57:AE57,"b")</f>
        <v>17</v>
      </c>
      <c r="AJ57">
        <f>+COUNTIF(F57:AE57,"c")</f>
        <v>3</v>
      </c>
      <c r="AL57">
        <f>+$AG$5*AG57</f>
        <v>0</v>
      </c>
      <c r="AM57">
        <f>+$AH$5*AH57</f>
        <v>18</v>
      </c>
      <c r="AN57">
        <f>+$AI$5*AI57</f>
        <v>34</v>
      </c>
      <c r="AO57">
        <f>+$AJ$5*AJ57</f>
        <v>3</v>
      </c>
      <c r="AP57" s="73">
        <f>+SUM(AL57:AO57)</f>
        <v>55</v>
      </c>
    </row>
    <row r="58" spans="1:42" ht="15.75" customHeight="1" x14ac:dyDescent="0.3">
      <c r="A58" s="16"/>
      <c r="B58" s="55">
        <v>15</v>
      </c>
      <c r="C58" s="56" t="s">
        <v>75</v>
      </c>
      <c r="D58" s="55">
        <v>2</v>
      </c>
      <c r="E58" s="55" t="s">
        <v>20</v>
      </c>
      <c r="F58" s="18" t="s">
        <v>20</v>
      </c>
      <c r="G58" s="18" t="s">
        <v>21</v>
      </c>
      <c r="H58" s="18" t="s">
        <v>21</v>
      </c>
      <c r="I58" s="18" t="s">
        <v>21</v>
      </c>
      <c r="J58" s="18" t="s">
        <v>21</v>
      </c>
      <c r="K58" s="18" t="s">
        <v>23</v>
      </c>
      <c r="L58" s="18" t="s">
        <v>20</v>
      </c>
      <c r="M58" s="18" t="s">
        <v>21</v>
      </c>
      <c r="N58" s="18" t="s">
        <v>21</v>
      </c>
      <c r="O58" s="18" t="s">
        <v>23</v>
      </c>
      <c r="P58" s="18" t="s">
        <v>20</v>
      </c>
      <c r="Q58" s="18" t="s">
        <v>20</v>
      </c>
      <c r="R58" s="18" t="s">
        <v>21</v>
      </c>
      <c r="S58" s="18" t="s">
        <v>21</v>
      </c>
      <c r="T58" s="18" t="s">
        <v>23</v>
      </c>
      <c r="U58" s="18" t="s">
        <v>21</v>
      </c>
      <c r="V58" s="37" t="s">
        <v>21</v>
      </c>
      <c r="W58" s="37" t="s">
        <v>20</v>
      </c>
      <c r="X58" s="37" t="s">
        <v>21</v>
      </c>
      <c r="Y58" s="18" t="s">
        <v>21</v>
      </c>
      <c r="Z58" s="18" t="s">
        <v>20</v>
      </c>
      <c r="AA58" s="20" t="s">
        <v>23</v>
      </c>
      <c r="AB58" s="20" t="s">
        <v>21</v>
      </c>
      <c r="AC58" s="20" t="s">
        <v>21</v>
      </c>
      <c r="AD58" s="29" t="s">
        <v>23</v>
      </c>
      <c r="AE58" s="29" t="s">
        <v>21</v>
      </c>
      <c r="AG58">
        <f>+COUNTIF(F58:AE58,"AD")</f>
        <v>0</v>
      </c>
      <c r="AH58">
        <f>+COUNTIF(F58:AE58,"A")</f>
        <v>6</v>
      </c>
      <c r="AI58">
        <f>+COUNTIF(F58:AE58,"b")</f>
        <v>15</v>
      </c>
      <c r="AJ58">
        <f>+COUNTIF(F58:AE58,"c")</f>
        <v>5</v>
      </c>
      <c r="AL58">
        <f>+$AG$5*AG58</f>
        <v>0</v>
      </c>
      <c r="AM58">
        <f>+$AH$5*AH58</f>
        <v>18</v>
      </c>
      <c r="AN58">
        <f>+$AI$5*AI58</f>
        <v>30</v>
      </c>
      <c r="AO58">
        <f>+$AJ$5*AJ58</f>
        <v>5</v>
      </c>
      <c r="AP58" s="73">
        <f>+SUM(AL58:AO58)</f>
        <v>53</v>
      </c>
    </row>
    <row r="59" spans="1:42" ht="15.75" customHeight="1" x14ac:dyDescent="0.3">
      <c r="A59" s="16"/>
      <c r="B59" s="55">
        <v>16</v>
      </c>
      <c r="C59" s="56" t="s">
        <v>80</v>
      </c>
      <c r="D59" s="55">
        <v>2</v>
      </c>
      <c r="E59" s="55" t="s">
        <v>20</v>
      </c>
      <c r="F59" s="18" t="s">
        <v>21</v>
      </c>
      <c r="G59" s="18" t="s">
        <v>20</v>
      </c>
      <c r="H59" s="18" t="s">
        <v>21</v>
      </c>
      <c r="I59" s="18" t="s">
        <v>21</v>
      </c>
      <c r="J59" s="18" t="s">
        <v>21</v>
      </c>
      <c r="K59" s="18" t="s">
        <v>23</v>
      </c>
      <c r="L59" s="18" t="s">
        <v>23</v>
      </c>
      <c r="M59" s="18" t="s">
        <v>21</v>
      </c>
      <c r="N59" s="18" t="s">
        <v>21</v>
      </c>
      <c r="O59" s="18" t="s">
        <v>20</v>
      </c>
      <c r="P59" s="18" t="s">
        <v>21</v>
      </c>
      <c r="Q59" s="18" t="s">
        <v>21</v>
      </c>
      <c r="R59" s="18" t="s">
        <v>23</v>
      </c>
      <c r="S59" s="18" t="s">
        <v>21</v>
      </c>
      <c r="T59" s="18" t="s">
        <v>21</v>
      </c>
      <c r="U59" s="18" t="s">
        <v>21</v>
      </c>
      <c r="V59" s="37" t="s">
        <v>21</v>
      </c>
      <c r="W59" s="37" t="s">
        <v>20</v>
      </c>
      <c r="X59" s="37" t="s">
        <v>20</v>
      </c>
      <c r="Y59" s="18" t="s">
        <v>20</v>
      </c>
      <c r="Z59" s="18" t="s">
        <v>20</v>
      </c>
      <c r="AA59" s="20" t="s">
        <v>23</v>
      </c>
      <c r="AB59" s="20" t="s">
        <v>21</v>
      </c>
      <c r="AC59" s="20" t="s">
        <v>21</v>
      </c>
      <c r="AD59" s="29" t="s">
        <v>23</v>
      </c>
      <c r="AE59" s="29" t="s">
        <v>21</v>
      </c>
      <c r="AG59">
        <f>+COUNTIF(F59:AE59,"AD")</f>
        <v>0</v>
      </c>
      <c r="AH59">
        <f>+COUNTIF(F59:AE59,"A")</f>
        <v>6</v>
      </c>
      <c r="AI59">
        <f>+COUNTIF(F59:AE59,"b")</f>
        <v>15</v>
      </c>
      <c r="AJ59">
        <f>+COUNTIF(F59:AE59,"c")</f>
        <v>5</v>
      </c>
      <c r="AL59">
        <f>+$AG$5*AG59</f>
        <v>0</v>
      </c>
      <c r="AM59">
        <f>+$AH$5*AH59</f>
        <v>18</v>
      </c>
      <c r="AN59">
        <f>+$AI$5*AI59</f>
        <v>30</v>
      </c>
      <c r="AO59">
        <f>+$AJ$5*AJ59</f>
        <v>5</v>
      </c>
      <c r="AP59" s="73">
        <f>+SUM(AL59:AO59)</f>
        <v>53</v>
      </c>
    </row>
    <row r="60" spans="1:42" ht="15.75" customHeight="1" x14ac:dyDescent="0.3">
      <c r="A60" s="16"/>
      <c r="B60" s="55">
        <v>17</v>
      </c>
      <c r="C60" s="56" t="s">
        <v>70</v>
      </c>
      <c r="D60" s="55">
        <v>2</v>
      </c>
      <c r="E60" s="55" t="s">
        <v>20</v>
      </c>
      <c r="F60" s="18" t="s">
        <v>21</v>
      </c>
      <c r="G60" s="18" t="s">
        <v>21</v>
      </c>
      <c r="H60" s="18" t="s">
        <v>21</v>
      </c>
      <c r="I60" s="18" t="s">
        <v>21</v>
      </c>
      <c r="J60" s="18" t="s">
        <v>21</v>
      </c>
      <c r="K60" s="18" t="s">
        <v>21</v>
      </c>
      <c r="L60" s="18" t="s">
        <v>21</v>
      </c>
      <c r="M60" s="18" t="s">
        <v>21</v>
      </c>
      <c r="N60" s="18" t="s">
        <v>21</v>
      </c>
      <c r="O60" s="18" t="s">
        <v>23</v>
      </c>
      <c r="P60" s="18" t="s">
        <v>21</v>
      </c>
      <c r="Q60" s="18" t="s">
        <v>21</v>
      </c>
      <c r="R60" s="18" t="s">
        <v>21</v>
      </c>
      <c r="S60" s="18" t="s">
        <v>23</v>
      </c>
      <c r="T60" s="18" t="s">
        <v>23</v>
      </c>
      <c r="U60" s="18" t="s">
        <v>20</v>
      </c>
      <c r="V60" s="37" t="s">
        <v>20</v>
      </c>
      <c r="W60" s="37" t="s">
        <v>20</v>
      </c>
      <c r="X60" s="37" t="s">
        <v>20</v>
      </c>
      <c r="Y60" s="18" t="s">
        <v>21</v>
      </c>
      <c r="Z60" s="18" t="s">
        <v>20</v>
      </c>
      <c r="AA60" s="20" t="s">
        <v>23</v>
      </c>
      <c r="AB60" s="20" t="s">
        <v>21</v>
      </c>
      <c r="AC60" s="20" t="s">
        <v>23</v>
      </c>
      <c r="AD60" s="29" t="s">
        <v>21</v>
      </c>
      <c r="AE60" s="29" t="s">
        <v>21</v>
      </c>
      <c r="AG60">
        <f>+COUNTIF(F60:AE60,"AD")</f>
        <v>0</v>
      </c>
      <c r="AH60">
        <f>+COUNTIF(F60:AE60,"A")</f>
        <v>5</v>
      </c>
      <c r="AI60">
        <f>+COUNTIF(F60:AE60,"b")</f>
        <v>16</v>
      </c>
      <c r="AJ60">
        <f>+COUNTIF(F60:AE60,"c")</f>
        <v>5</v>
      </c>
      <c r="AL60">
        <f>+$AG$5*AG60</f>
        <v>0</v>
      </c>
      <c r="AM60">
        <f>+$AH$5*AH60</f>
        <v>15</v>
      </c>
      <c r="AN60">
        <f>+$AI$5*AI60</f>
        <v>32</v>
      </c>
      <c r="AO60">
        <f>+$AJ$5*AJ60</f>
        <v>5</v>
      </c>
      <c r="AP60" s="73">
        <f>+SUM(AL60:AO60)</f>
        <v>52</v>
      </c>
    </row>
    <row r="61" spans="1:42" ht="15.75" customHeight="1" x14ac:dyDescent="0.3">
      <c r="A61" s="16"/>
      <c r="B61" s="55">
        <v>18</v>
      </c>
      <c r="C61" s="56" t="s">
        <v>65</v>
      </c>
      <c r="D61" s="55">
        <v>2</v>
      </c>
      <c r="E61" s="55" t="s">
        <v>20</v>
      </c>
      <c r="F61" s="18" t="s">
        <v>21</v>
      </c>
      <c r="G61" s="18" t="s">
        <v>23</v>
      </c>
      <c r="H61" s="18" t="s">
        <v>21</v>
      </c>
      <c r="I61" s="18" t="s">
        <v>21</v>
      </c>
      <c r="J61" s="18" t="s">
        <v>21</v>
      </c>
      <c r="K61" s="18" t="s">
        <v>23</v>
      </c>
      <c r="L61" s="18" t="s">
        <v>21</v>
      </c>
      <c r="M61" s="18" t="s">
        <v>21</v>
      </c>
      <c r="N61" s="18" t="s">
        <v>21</v>
      </c>
      <c r="O61" s="18" t="s">
        <v>23</v>
      </c>
      <c r="P61" s="18" t="s">
        <v>23</v>
      </c>
      <c r="Q61" s="18" t="s">
        <v>23</v>
      </c>
      <c r="R61" s="18" t="s">
        <v>21</v>
      </c>
      <c r="S61" s="18" t="s">
        <v>23</v>
      </c>
      <c r="T61" s="18" t="s">
        <v>23</v>
      </c>
      <c r="U61" s="18" t="s">
        <v>20</v>
      </c>
      <c r="V61" s="35" t="s">
        <v>20</v>
      </c>
      <c r="W61" s="35" t="s">
        <v>20</v>
      </c>
      <c r="X61" s="36" t="s">
        <v>20</v>
      </c>
      <c r="Y61" s="19" t="s">
        <v>20</v>
      </c>
      <c r="Z61" s="18" t="s">
        <v>20</v>
      </c>
      <c r="AA61" s="20" t="s">
        <v>21</v>
      </c>
      <c r="AB61" s="20" t="s">
        <v>21</v>
      </c>
      <c r="AC61" s="20" t="s">
        <v>21</v>
      </c>
      <c r="AD61" s="29" t="s">
        <v>21</v>
      </c>
      <c r="AE61" s="29" t="s">
        <v>21</v>
      </c>
      <c r="AG61">
        <f>+COUNTIF(F61:AE61,"AD")</f>
        <v>0</v>
      </c>
      <c r="AH61">
        <f>+COUNTIF(F61:AE61,"A")</f>
        <v>6</v>
      </c>
      <c r="AI61">
        <f>+COUNTIF(F61:AE61,"b")</f>
        <v>13</v>
      </c>
      <c r="AJ61">
        <f>+COUNTIF(F61:AE61,"c")</f>
        <v>7</v>
      </c>
      <c r="AL61">
        <f>+$AG$5*AG61</f>
        <v>0</v>
      </c>
      <c r="AM61">
        <f>+$AH$5*AH61</f>
        <v>18</v>
      </c>
      <c r="AN61">
        <f>+$AI$5*AI61</f>
        <v>26</v>
      </c>
      <c r="AO61">
        <f>+$AJ$5*AJ61</f>
        <v>7</v>
      </c>
      <c r="AP61" s="73">
        <f>+SUM(AL61:AO61)</f>
        <v>51</v>
      </c>
    </row>
    <row r="62" spans="1:42" ht="15.75" customHeight="1" x14ac:dyDescent="0.3">
      <c r="A62" s="16"/>
      <c r="B62" s="55">
        <v>19</v>
      </c>
      <c r="C62" s="56" t="s">
        <v>64</v>
      </c>
      <c r="D62" s="55">
        <v>2</v>
      </c>
      <c r="E62" s="55" t="s">
        <v>20</v>
      </c>
      <c r="F62" s="18" t="s">
        <v>21</v>
      </c>
      <c r="G62" s="18" t="s">
        <v>23</v>
      </c>
      <c r="H62" s="18" t="s">
        <v>21</v>
      </c>
      <c r="I62" s="18" t="s">
        <v>21</v>
      </c>
      <c r="J62" s="18" t="s">
        <v>20</v>
      </c>
      <c r="K62" s="18" t="s">
        <v>23</v>
      </c>
      <c r="L62" s="18" t="s">
        <v>21</v>
      </c>
      <c r="M62" s="18" t="s">
        <v>21</v>
      </c>
      <c r="N62" s="18" t="s">
        <v>21</v>
      </c>
      <c r="O62" s="18" t="s">
        <v>23</v>
      </c>
      <c r="P62" s="18" t="s">
        <v>21</v>
      </c>
      <c r="Q62" s="18" t="s">
        <v>20</v>
      </c>
      <c r="R62" s="18" t="s">
        <v>21</v>
      </c>
      <c r="S62" s="18" t="s">
        <v>23</v>
      </c>
      <c r="T62" s="18" t="s">
        <v>21</v>
      </c>
      <c r="U62" s="18" t="s">
        <v>20</v>
      </c>
      <c r="V62" s="35" t="s">
        <v>21</v>
      </c>
      <c r="W62" s="35" t="s">
        <v>21</v>
      </c>
      <c r="X62" s="36" t="s">
        <v>21</v>
      </c>
      <c r="Y62" s="19" t="s">
        <v>21</v>
      </c>
      <c r="Z62" s="18" t="s">
        <v>20</v>
      </c>
      <c r="AA62" s="20" t="s">
        <v>21</v>
      </c>
      <c r="AB62" s="20" t="s">
        <v>21</v>
      </c>
      <c r="AC62" s="20" t="s">
        <v>21</v>
      </c>
      <c r="AD62" s="29" t="s">
        <v>55</v>
      </c>
      <c r="AE62" s="29" t="s">
        <v>55</v>
      </c>
      <c r="AG62">
        <f>+COUNTIF(F62:AE62,"AD")</f>
        <v>0</v>
      </c>
      <c r="AH62">
        <f>+COUNTIF(F62:AE62,"A")</f>
        <v>4</v>
      </c>
      <c r="AI62">
        <f>+COUNTIF(F62:AE62,"b")</f>
        <v>16</v>
      </c>
      <c r="AJ62">
        <f>+COUNTIF(F62:AE62,"c")</f>
        <v>4</v>
      </c>
      <c r="AL62">
        <f>+$AG$5*AG62</f>
        <v>0</v>
      </c>
      <c r="AM62">
        <f>+$AH$5*AH62</f>
        <v>12</v>
      </c>
      <c r="AN62">
        <f>+$AI$5*AI62</f>
        <v>32</v>
      </c>
      <c r="AO62">
        <f>+$AJ$5*AJ62</f>
        <v>4</v>
      </c>
      <c r="AP62" s="73">
        <f>+SUM(AL62:AO62)</f>
        <v>48</v>
      </c>
    </row>
    <row r="63" spans="1:42" ht="15.75" customHeight="1" thickBot="1" x14ac:dyDescent="0.35">
      <c r="A63" s="16"/>
      <c r="B63" s="57">
        <v>20</v>
      </c>
      <c r="C63" s="56" t="s">
        <v>82</v>
      </c>
      <c r="D63" s="55">
        <v>2</v>
      </c>
      <c r="E63" s="55" t="s">
        <v>20</v>
      </c>
      <c r="F63" s="18" t="s">
        <v>21</v>
      </c>
      <c r="G63" s="18" t="s">
        <v>20</v>
      </c>
      <c r="H63" s="18" t="s">
        <v>21</v>
      </c>
      <c r="I63" s="18" t="s">
        <v>21</v>
      </c>
      <c r="J63" s="18" t="s">
        <v>20</v>
      </c>
      <c r="K63" s="18" t="s">
        <v>21</v>
      </c>
      <c r="L63" s="18" t="s">
        <v>23</v>
      </c>
      <c r="M63" s="18" t="s">
        <v>21</v>
      </c>
      <c r="N63" s="18" t="s">
        <v>21</v>
      </c>
      <c r="O63" s="18" t="s">
        <v>23</v>
      </c>
      <c r="P63" s="18" t="s">
        <v>23</v>
      </c>
      <c r="Q63" s="18" t="s">
        <v>23</v>
      </c>
      <c r="R63" s="18" t="s">
        <v>21</v>
      </c>
      <c r="S63" s="18" t="s">
        <v>23</v>
      </c>
      <c r="T63" s="18" t="s">
        <v>23</v>
      </c>
      <c r="U63" s="18" t="s">
        <v>21</v>
      </c>
      <c r="V63" s="37" t="s">
        <v>20</v>
      </c>
      <c r="W63" s="37" t="s">
        <v>21</v>
      </c>
      <c r="X63" s="37" t="s">
        <v>20</v>
      </c>
      <c r="Y63" s="18" t="s">
        <v>21</v>
      </c>
      <c r="Z63" s="18" t="s">
        <v>21</v>
      </c>
      <c r="AA63" s="20" t="s">
        <v>23</v>
      </c>
      <c r="AB63" s="20" t="s">
        <v>21</v>
      </c>
      <c r="AC63" s="20" t="s">
        <v>21</v>
      </c>
      <c r="AD63" s="29" t="s">
        <v>23</v>
      </c>
      <c r="AE63" s="29" t="s">
        <v>21</v>
      </c>
      <c r="AG63">
        <f>+COUNTIF(F63:AE63,"AD")</f>
        <v>0</v>
      </c>
      <c r="AH63">
        <f>+COUNTIF(F63:AE63,"A")</f>
        <v>4</v>
      </c>
      <c r="AI63">
        <f>+COUNTIF(F63:AE63,"b")</f>
        <v>14</v>
      </c>
      <c r="AJ63">
        <f>+COUNTIF(F63:AE63,"c")</f>
        <v>8</v>
      </c>
      <c r="AL63">
        <f>+$AG$5*AG63</f>
        <v>0</v>
      </c>
      <c r="AM63">
        <f>+$AH$5*AH63</f>
        <v>12</v>
      </c>
      <c r="AN63">
        <f>+$AI$5*AI63</f>
        <v>28</v>
      </c>
      <c r="AO63">
        <f>+$AJ$5*AJ63</f>
        <v>8</v>
      </c>
      <c r="AP63" s="73">
        <f>+SUM(AL63:AO63)</f>
        <v>48</v>
      </c>
    </row>
    <row r="64" spans="1:42" ht="15.75" customHeight="1" x14ac:dyDescent="0.3">
      <c r="A64" s="16"/>
      <c r="B64" s="55">
        <v>21</v>
      </c>
      <c r="C64" s="56" t="s">
        <v>83</v>
      </c>
      <c r="D64" s="55">
        <v>2</v>
      </c>
      <c r="E64" s="55" t="s">
        <v>20</v>
      </c>
      <c r="F64" s="18" t="s">
        <v>21</v>
      </c>
      <c r="G64" s="18" t="s">
        <v>23</v>
      </c>
      <c r="H64" s="18" t="s">
        <v>21</v>
      </c>
      <c r="I64" s="18" t="s">
        <v>21</v>
      </c>
      <c r="J64" s="18" t="s">
        <v>21</v>
      </c>
      <c r="K64" s="18" t="s">
        <v>21</v>
      </c>
      <c r="L64" s="18" t="s">
        <v>20</v>
      </c>
      <c r="M64" s="18" t="s">
        <v>21</v>
      </c>
      <c r="N64" s="18" t="s">
        <v>21</v>
      </c>
      <c r="O64" s="18" t="s">
        <v>23</v>
      </c>
      <c r="P64" s="18" t="s">
        <v>23</v>
      </c>
      <c r="Q64" s="18" t="s">
        <v>23</v>
      </c>
      <c r="R64" s="18" t="s">
        <v>21</v>
      </c>
      <c r="S64" s="18" t="s">
        <v>23</v>
      </c>
      <c r="T64" s="18" t="s">
        <v>23</v>
      </c>
      <c r="U64" s="18" t="s">
        <v>21</v>
      </c>
      <c r="V64" s="37" t="s">
        <v>20</v>
      </c>
      <c r="W64" s="37" t="s">
        <v>20</v>
      </c>
      <c r="X64" s="37" t="s">
        <v>20</v>
      </c>
      <c r="Y64" s="18" t="s">
        <v>21</v>
      </c>
      <c r="Z64" s="18" t="s">
        <v>21</v>
      </c>
      <c r="AA64" s="20" t="s">
        <v>23</v>
      </c>
      <c r="AB64" s="20" t="s">
        <v>21</v>
      </c>
      <c r="AC64" s="20" t="s">
        <v>21</v>
      </c>
      <c r="AD64" s="29" t="s">
        <v>23</v>
      </c>
      <c r="AE64" s="29" t="s">
        <v>21</v>
      </c>
      <c r="AG64">
        <f>+COUNTIF(F64:AE64,"AD")</f>
        <v>0</v>
      </c>
      <c r="AH64">
        <f>+COUNTIF(F64:AE64,"A")</f>
        <v>4</v>
      </c>
      <c r="AI64">
        <f>+COUNTIF(F64:AE64,"b")</f>
        <v>14</v>
      </c>
      <c r="AJ64">
        <f>+COUNTIF(F64:AE64,"c")</f>
        <v>8</v>
      </c>
      <c r="AL64">
        <f>+$AG$5*AG64</f>
        <v>0</v>
      </c>
      <c r="AM64">
        <f>+$AH$5*AH64</f>
        <v>12</v>
      </c>
      <c r="AN64">
        <f>+$AI$5*AI64</f>
        <v>28</v>
      </c>
      <c r="AO64">
        <f>+$AJ$5*AJ64</f>
        <v>8</v>
      </c>
      <c r="AP64" s="73">
        <f>+SUM(AL64:AO64)</f>
        <v>48</v>
      </c>
    </row>
    <row r="65" spans="1:42" ht="15.75" customHeight="1" x14ac:dyDescent="0.3">
      <c r="A65" s="16"/>
      <c r="B65" s="55">
        <v>22</v>
      </c>
      <c r="C65" s="56" t="s">
        <v>85</v>
      </c>
      <c r="D65" s="55">
        <v>2</v>
      </c>
      <c r="E65" s="55" t="s">
        <v>20</v>
      </c>
      <c r="F65" s="18" t="s">
        <v>21</v>
      </c>
      <c r="G65" s="18" t="s">
        <v>23</v>
      </c>
      <c r="H65" s="18" t="s">
        <v>21</v>
      </c>
      <c r="I65" s="18" t="s">
        <v>21</v>
      </c>
      <c r="J65" s="18" t="s">
        <v>21</v>
      </c>
      <c r="K65" s="18" t="s">
        <v>21</v>
      </c>
      <c r="L65" s="18" t="s">
        <v>23</v>
      </c>
      <c r="M65" s="18" t="s">
        <v>21</v>
      </c>
      <c r="N65" s="18" t="s">
        <v>21</v>
      </c>
      <c r="O65" s="18" t="s">
        <v>23</v>
      </c>
      <c r="P65" s="18" t="s">
        <v>21</v>
      </c>
      <c r="Q65" s="18" t="s">
        <v>21</v>
      </c>
      <c r="R65" s="18" t="s">
        <v>21</v>
      </c>
      <c r="S65" s="18" t="s">
        <v>23</v>
      </c>
      <c r="T65" s="18" t="s">
        <v>21</v>
      </c>
      <c r="U65" s="18" t="s">
        <v>21</v>
      </c>
      <c r="V65" s="37" t="s">
        <v>21</v>
      </c>
      <c r="W65" s="37" t="s">
        <v>20</v>
      </c>
      <c r="X65" s="37" t="s">
        <v>20</v>
      </c>
      <c r="Y65" s="18" t="s">
        <v>21</v>
      </c>
      <c r="Z65" s="18" t="s">
        <v>21</v>
      </c>
      <c r="AA65" s="20" t="s">
        <v>21</v>
      </c>
      <c r="AB65" s="20" t="s">
        <v>21</v>
      </c>
      <c r="AC65" s="20" t="s">
        <v>23</v>
      </c>
      <c r="AD65" s="29" t="s">
        <v>23</v>
      </c>
      <c r="AE65" s="29" t="s">
        <v>21</v>
      </c>
      <c r="AG65">
        <f>+COUNTIF(F65:AE65,"AD")</f>
        <v>0</v>
      </c>
      <c r="AH65">
        <f>+COUNTIF(F65:AE65,"A")</f>
        <v>2</v>
      </c>
      <c r="AI65">
        <f>+COUNTIF(F65:AE65,"b")</f>
        <v>18</v>
      </c>
      <c r="AJ65">
        <f>+COUNTIF(F65:AE65,"c")</f>
        <v>6</v>
      </c>
      <c r="AL65">
        <f>+$AG$5*AG65</f>
        <v>0</v>
      </c>
      <c r="AM65">
        <f>+$AH$5*AH65</f>
        <v>6</v>
      </c>
      <c r="AN65">
        <f>+$AI$5*AI65</f>
        <v>36</v>
      </c>
      <c r="AO65">
        <f>+$AJ$5*AJ65</f>
        <v>6</v>
      </c>
      <c r="AP65" s="73">
        <f>+SUM(AL65:AO65)</f>
        <v>48</v>
      </c>
    </row>
    <row r="66" spans="1:42" ht="15.75" customHeight="1" x14ac:dyDescent="0.3">
      <c r="A66" s="16"/>
      <c r="B66" s="55">
        <v>23</v>
      </c>
      <c r="C66" s="56" t="s">
        <v>73</v>
      </c>
      <c r="D66" s="55">
        <v>2</v>
      </c>
      <c r="E66" s="55" t="s">
        <v>20</v>
      </c>
      <c r="F66" s="18" t="s">
        <v>20</v>
      </c>
      <c r="G66" s="18" t="s">
        <v>21</v>
      </c>
      <c r="H66" s="18" t="s">
        <v>21</v>
      </c>
      <c r="I66" s="18" t="s">
        <v>21</v>
      </c>
      <c r="J66" s="18" t="s">
        <v>21</v>
      </c>
      <c r="K66" s="18" t="s">
        <v>21</v>
      </c>
      <c r="L66" s="18" t="s">
        <v>21</v>
      </c>
      <c r="M66" s="18" t="s">
        <v>21</v>
      </c>
      <c r="N66" s="18" t="s">
        <v>21</v>
      </c>
      <c r="O66" s="18" t="s">
        <v>23</v>
      </c>
      <c r="P66" s="18" t="s">
        <v>23</v>
      </c>
      <c r="Q66" s="18" t="s">
        <v>23</v>
      </c>
      <c r="R66" s="18" t="s">
        <v>21</v>
      </c>
      <c r="S66" s="18" t="s">
        <v>23</v>
      </c>
      <c r="T66" s="18" t="s">
        <v>23</v>
      </c>
      <c r="U66" s="18" t="s">
        <v>21</v>
      </c>
      <c r="V66" s="37" t="s">
        <v>21</v>
      </c>
      <c r="W66" s="37" t="s">
        <v>21</v>
      </c>
      <c r="X66" s="37" t="s">
        <v>21</v>
      </c>
      <c r="Y66" s="18" t="s">
        <v>21</v>
      </c>
      <c r="Z66" s="18" t="s">
        <v>21</v>
      </c>
      <c r="AA66" s="20" t="s">
        <v>23</v>
      </c>
      <c r="AB66" s="20" t="s">
        <v>21</v>
      </c>
      <c r="AC66" s="20" t="s">
        <v>23</v>
      </c>
      <c r="AD66" s="29" t="s">
        <v>23</v>
      </c>
      <c r="AE66" s="29" t="s">
        <v>21</v>
      </c>
      <c r="AG66">
        <f>+COUNTIF(F66:AE66,"AD")</f>
        <v>0</v>
      </c>
      <c r="AH66">
        <f>+COUNTIF(F66:AE66,"A")</f>
        <v>1</v>
      </c>
      <c r="AI66">
        <f>+COUNTIF(F66:AE66,"b")</f>
        <v>17</v>
      </c>
      <c r="AJ66">
        <f>+COUNTIF(F66:AE66,"c")</f>
        <v>8</v>
      </c>
      <c r="AL66">
        <f>+$AG$5*AG66</f>
        <v>0</v>
      </c>
      <c r="AM66">
        <f>+$AH$5*AH66</f>
        <v>3</v>
      </c>
      <c r="AN66">
        <f>+$AI$5*AI66</f>
        <v>34</v>
      </c>
      <c r="AO66">
        <f>+$AJ$5*AJ66</f>
        <v>8</v>
      </c>
      <c r="AP66" s="73">
        <f>+SUM(AL66:AO66)</f>
        <v>45</v>
      </c>
    </row>
    <row r="67" spans="1:42" ht="15.75" customHeight="1" thickBot="1" x14ac:dyDescent="0.35">
      <c r="A67" s="16"/>
      <c r="B67" s="57">
        <v>24</v>
      </c>
      <c r="C67" s="58" t="s">
        <v>74</v>
      </c>
      <c r="D67" s="57">
        <v>2</v>
      </c>
      <c r="E67" s="57" t="s">
        <v>20</v>
      </c>
      <c r="F67" s="21" t="s">
        <v>21</v>
      </c>
      <c r="G67" s="21" t="s">
        <v>21</v>
      </c>
      <c r="H67" s="21" t="s">
        <v>21</v>
      </c>
      <c r="I67" s="21" t="s">
        <v>21</v>
      </c>
      <c r="J67" s="21" t="s">
        <v>21</v>
      </c>
      <c r="K67" s="21" t="s">
        <v>23</v>
      </c>
      <c r="L67" s="21" t="s">
        <v>21</v>
      </c>
      <c r="M67" s="21" t="s">
        <v>21</v>
      </c>
      <c r="N67" s="21" t="s">
        <v>21</v>
      </c>
      <c r="O67" s="21" t="s">
        <v>23</v>
      </c>
      <c r="P67" s="21" t="s">
        <v>23</v>
      </c>
      <c r="Q67" s="21" t="s">
        <v>23</v>
      </c>
      <c r="R67" s="21" t="s">
        <v>23</v>
      </c>
      <c r="S67" s="21" t="s">
        <v>23</v>
      </c>
      <c r="T67" s="21" t="s">
        <v>23</v>
      </c>
      <c r="U67" s="21" t="s">
        <v>21</v>
      </c>
      <c r="V67" s="38" t="s">
        <v>20</v>
      </c>
      <c r="W67" s="38" t="s">
        <v>20</v>
      </c>
      <c r="X67" s="38" t="s">
        <v>20</v>
      </c>
      <c r="Y67" s="21" t="s">
        <v>21</v>
      </c>
      <c r="Z67" s="21" t="s">
        <v>21</v>
      </c>
      <c r="AA67" s="23" t="s">
        <v>21</v>
      </c>
      <c r="AB67" s="23" t="s">
        <v>23</v>
      </c>
      <c r="AC67" s="23" t="s">
        <v>23</v>
      </c>
      <c r="AD67" s="31" t="s">
        <v>23</v>
      </c>
      <c r="AE67" s="31" t="s">
        <v>21</v>
      </c>
      <c r="AG67">
        <f>+COUNTIF(F67:AE67,"AD")</f>
        <v>0</v>
      </c>
      <c r="AH67">
        <f>+COUNTIF(F67:AE67,"A")</f>
        <v>3</v>
      </c>
      <c r="AI67">
        <f>+COUNTIF(F67:AE67,"b")</f>
        <v>13</v>
      </c>
      <c r="AJ67">
        <f>+COUNTIF(F67:AE67,"c")</f>
        <v>10</v>
      </c>
      <c r="AL67">
        <f>+$AG$5*AG67</f>
        <v>0</v>
      </c>
      <c r="AM67">
        <f>+$AH$5*AH67</f>
        <v>9</v>
      </c>
      <c r="AN67">
        <f>+$AI$5*AI67</f>
        <v>26</v>
      </c>
      <c r="AO67">
        <f>+$AJ$5*AJ67</f>
        <v>10</v>
      </c>
      <c r="AP67" s="73">
        <f>+SUM(AL67:AO67)</f>
        <v>45</v>
      </c>
    </row>
    <row r="68" spans="1:42" ht="15.75" hidden="1" customHeight="1" x14ac:dyDescent="0.3">
      <c r="A68" s="16"/>
      <c r="B68" s="59">
        <v>1</v>
      </c>
      <c r="C68" s="60" t="s">
        <v>86</v>
      </c>
      <c r="D68" s="59">
        <v>2</v>
      </c>
      <c r="E68" s="59" t="s">
        <v>21</v>
      </c>
      <c r="F68" s="24" t="s">
        <v>21</v>
      </c>
      <c r="G68" s="24" t="s">
        <v>21</v>
      </c>
      <c r="H68" s="24" t="s">
        <v>21</v>
      </c>
      <c r="I68" s="24" t="s">
        <v>21</v>
      </c>
      <c r="J68" s="24" t="s">
        <v>21</v>
      </c>
      <c r="K68" s="24" t="s">
        <v>20</v>
      </c>
      <c r="L68" s="24" t="s">
        <v>20</v>
      </c>
      <c r="M68" s="24" t="s">
        <v>21</v>
      </c>
      <c r="N68" s="24" t="s">
        <v>21</v>
      </c>
      <c r="O68" s="24" t="s">
        <v>21</v>
      </c>
      <c r="P68" s="24" t="s">
        <v>21</v>
      </c>
      <c r="Q68" s="24" t="s">
        <v>21</v>
      </c>
      <c r="R68" s="24" t="s">
        <v>21</v>
      </c>
      <c r="S68" s="24" t="s">
        <v>21</v>
      </c>
      <c r="T68" s="24" t="s">
        <v>21</v>
      </c>
      <c r="U68" s="24" t="s">
        <v>21</v>
      </c>
      <c r="V68" s="39" t="s">
        <v>21</v>
      </c>
      <c r="W68" s="39" t="s">
        <v>20</v>
      </c>
      <c r="X68" s="39" t="s">
        <v>20</v>
      </c>
      <c r="Y68" s="24" t="s">
        <v>20</v>
      </c>
      <c r="Z68" s="24" t="s">
        <v>20</v>
      </c>
      <c r="AA68" s="27" t="s">
        <v>21</v>
      </c>
      <c r="AB68" s="27" t="s">
        <v>21</v>
      </c>
      <c r="AC68" s="27" t="s">
        <v>21</v>
      </c>
      <c r="AD68" s="24" t="s">
        <v>21</v>
      </c>
      <c r="AE68" s="24" t="s">
        <v>21</v>
      </c>
      <c r="AG68">
        <f t="shared" si="0"/>
        <v>0</v>
      </c>
      <c r="AH68">
        <f t="shared" si="1"/>
        <v>6</v>
      </c>
      <c r="AI68">
        <f t="shared" si="2"/>
        <v>20</v>
      </c>
      <c r="AJ68">
        <f t="shared" si="3"/>
        <v>0</v>
      </c>
      <c r="AL68">
        <f t="shared" si="4"/>
        <v>0</v>
      </c>
      <c r="AM68">
        <f t="shared" si="5"/>
        <v>18</v>
      </c>
      <c r="AN68">
        <f t="shared" si="6"/>
        <v>40</v>
      </c>
      <c r="AO68">
        <f t="shared" si="7"/>
        <v>0</v>
      </c>
      <c r="AP68">
        <f t="shared" si="8"/>
        <v>58</v>
      </c>
    </row>
    <row r="69" spans="1:42" ht="15.75" hidden="1" customHeight="1" x14ac:dyDescent="0.3">
      <c r="A69" s="16"/>
      <c r="B69" s="55">
        <v>2</v>
      </c>
      <c r="C69" s="56" t="s">
        <v>87</v>
      </c>
      <c r="D69" s="55">
        <v>2</v>
      </c>
      <c r="E69" s="55" t="s">
        <v>21</v>
      </c>
      <c r="F69" s="18" t="s">
        <v>21</v>
      </c>
      <c r="G69" s="18" t="s">
        <v>23</v>
      </c>
      <c r="H69" s="18" t="s">
        <v>21</v>
      </c>
      <c r="I69" s="18" t="s">
        <v>21</v>
      </c>
      <c r="J69" s="18" t="s">
        <v>21</v>
      </c>
      <c r="K69" s="18" t="s">
        <v>21</v>
      </c>
      <c r="L69" s="18" t="s">
        <v>21</v>
      </c>
      <c r="M69" s="18" t="s">
        <v>23</v>
      </c>
      <c r="N69" s="18" t="s">
        <v>21</v>
      </c>
      <c r="O69" s="18" t="s">
        <v>21</v>
      </c>
      <c r="P69" s="18" t="s">
        <v>23</v>
      </c>
      <c r="Q69" s="18" t="s">
        <v>21</v>
      </c>
      <c r="R69" s="18" t="s">
        <v>23</v>
      </c>
      <c r="S69" s="18" t="s">
        <v>23</v>
      </c>
      <c r="T69" s="18" t="s">
        <v>21</v>
      </c>
      <c r="U69" s="18" t="s">
        <v>21</v>
      </c>
      <c r="V69" s="37" t="s">
        <v>21</v>
      </c>
      <c r="W69" s="37" t="s">
        <v>21</v>
      </c>
      <c r="X69" s="37" t="s">
        <v>21</v>
      </c>
      <c r="Y69" s="18" t="s">
        <v>21</v>
      </c>
      <c r="Z69" s="18" t="s">
        <v>23</v>
      </c>
      <c r="AA69" s="20" t="s">
        <v>23</v>
      </c>
      <c r="AB69" s="20" t="s">
        <v>21</v>
      </c>
      <c r="AC69" s="20" t="s">
        <v>23</v>
      </c>
      <c r="AD69" s="18" t="s">
        <v>23</v>
      </c>
      <c r="AE69" s="18" t="s">
        <v>21</v>
      </c>
      <c r="AG69">
        <f t="shared" si="0"/>
        <v>0</v>
      </c>
      <c r="AH69">
        <f t="shared" si="1"/>
        <v>0</v>
      </c>
      <c r="AI69">
        <f t="shared" si="2"/>
        <v>17</v>
      </c>
      <c r="AJ69">
        <f t="shared" si="3"/>
        <v>9</v>
      </c>
      <c r="AL69">
        <f t="shared" si="4"/>
        <v>0</v>
      </c>
      <c r="AM69">
        <f t="shared" si="5"/>
        <v>0</v>
      </c>
      <c r="AN69">
        <f t="shared" si="6"/>
        <v>34</v>
      </c>
      <c r="AO69">
        <f t="shared" si="7"/>
        <v>9</v>
      </c>
      <c r="AP69">
        <f t="shared" si="8"/>
        <v>43</v>
      </c>
    </row>
    <row r="70" spans="1:42" ht="15.75" hidden="1" customHeight="1" x14ac:dyDescent="0.3">
      <c r="A70" s="16"/>
      <c r="B70" s="55">
        <v>3</v>
      </c>
      <c r="C70" s="56" t="s">
        <v>88</v>
      </c>
      <c r="D70" s="55">
        <v>2</v>
      </c>
      <c r="E70" s="55" t="s">
        <v>21</v>
      </c>
      <c r="F70" s="18" t="s">
        <v>20</v>
      </c>
      <c r="G70" s="18" t="s">
        <v>21</v>
      </c>
      <c r="H70" s="18" t="s">
        <v>20</v>
      </c>
      <c r="I70" s="18" t="s">
        <v>21</v>
      </c>
      <c r="J70" s="18" t="s">
        <v>20</v>
      </c>
      <c r="K70" s="18" t="s">
        <v>20</v>
      </c>
      <c r="L70" s="18" t="s">
        <v>20</v>
      </c>
      <c r="M70" s="18" t="s">
        <v>23</v>
      </c>
      <c r="N70" s="18" t="s">
        <v>21</v>
      </c>
      <c r="O70" s="18" t="s">
        <v>20</v>
      </c>
      <c r="P70" s="18" t="s">
        <v>21</v>
      </c>
      <c r="Q70" s="18" t="s">
        <v>21</v>
      </c>
      <c r="R70" s="18" t="s">
        <v>21</v>
      </c>
      <c r="S70" s="18" t="s">
        <v>20</v>
      </c>
      <c r="T70" s="18" t="s">
        <v>20</v>
      </c>
      <c r="U70" s="18" t="s">
        <v>20</v>
      </c>
      <c r="V70" s="37" t="s">
        <v>21</v>
      </c>
      <c r="W70" s="37" t="s">
        <v>21</v>
      </c>
      <c r="X70" s="37" t="s">
        <v>21</v>
      </c>
      <c r="Y70" s="18" t="s">
        <v>21</v>
      </c>
      <c r="Z70" s="18" t="s">
        <v>21</v>
      </c>
      <c r="AA70" s="20" t="s">
        <v>20</v>
      </c>
      <c r="AB70" s="20" t="s">
        <v>20</v>
      </c>
      <c r="AC70" s="20" t="s">
        <v>20</v>
      </c>
      <c r="AD70" s="18" t="s">
        <v>23</v>
      </c>
      <c r="AE70" s="18" t="s">
        <v>21</v>
      </c>
      <c r="AG70">
        <f t="shared" si="0"/>
        <v>0</v>
      </c>
      <c r="AH70">
        <f t="shared" si="1"/>
        <v>12</v>
      </c>
      <c r="AI70">
        <f t="shared" si="2"/>
        <v>12</v>
      </c>
      <c r="AJ70">
        <f t="shared" si="3"/>
        <v>2</v>
      </c>
      <c r="AL70">
        <f t="shared" si="4"/>
        <v>0</v>
      </c>
      <c r="AM70">
        <f t="shared" si="5"/>
        <v>36</v>
      </c>
      <c r="AN70">
        <f t="shared" si="6"/>
        <v>24</v>
      </c>
      <c r="AO70">
        <f t="shared" si="7"/>
        <v>2</v>
      </c>
      <c r="AP70">
        <f t="shared" si="8"/>
        <v>62</v>
      </c>
    </row>
    <row r="71" spans="1:42" ht="15.75" hidden="1" customHeight="1" x14ac:dyDescent="0.3">
      <c r="A71" s="16"/>
      <c r="B71" s="55">
        <v>4</v>
      </c>
      <c r="C71" s="56" t="s">
        <v>89</v>
      </c>
      <c r="D71" s="55">
        <v>2</v>
      </c>
      <c r="E71" s="55" t="s">
        <v>21</v>
      </c>
      <c r="F71" s="18" t="s">
        <v>20</v>
      </c>
      <c r="G71" s="18" t="s">
        <v>21</v>
      </c>
      <c r="H71" s="18" t="s">
        <v>21</v>
      </c>
      <c r="I71" s="18" t="s">
        <v>21</v>
      </c>
      <c r="J71" s="18" t="s">
        <v>21</v>
      </c>
      <c r="K71" s="18" t="s">
        <v>21</v>
      </c>
      <c r="L71" s="18" t="s">
        <v>21</v>
      </c>
      <c r="M71" s="18" t="s">
        <v>21</v>
      </c>
      <c r="N71" s="18" t="s">
        <v>20</v>
      </c>
      <c r="O71" s="18" t="s">
        <v>21</v>
      </c>
      <c r="P71" s="18" t="s">
        <v>20</v>
      </c>
      <c r="Q71" s="18" t="s">
        <v>20</v>
      </c>
      <c r="R71" s="18" t="s">
        <v>20</v>
      </c>
      <c r="S71" s="18" t="s">
        <v>20</v>
      </c>
      <c r="T71" s="18" t="s">
        <v>20</v>
      </c>
      <c r="U71" s="18" t="s">
        <v>21</v>
      </c>
      <c r="V71" s="37" t="s">
        <v>20</v>
      </c>
      <c r="W71" s="37" t="s">
        <v>21</v>
      </c>
      <c r="X71" s="37" t="s">
        <v>21</v>
      </c>
      <c r="Y71" s="18" t="s">
        <v>21</v>
      </c>
      <c r="Z71" s="18" t="s">
        <v>21</v>
      </c>
      <c r="AA71" s="20" t="s">
        <v>21</v>
      </c>
      <c r="AB71" s="20" t="s">
        <v>21</v>
      </c>
      <c r="AC71" s="20" t="s">
        <v>21</v>
      </c>
      <c r="AD71" s="18" t="s">
        <v>21</v>
      </c>
      <c r="AE71" s="18" t="s">
        <v>21</v>
      </c>
      <c r="AG71">
        <f t="shared" si="0"/>
        <v>0</v>
      </c>
      <c r="AH71">
        <f t="shared" si="1"/>
        <v>8</v>
      </c>
      <c r="AI71">
        <f t="shared" si="2"/>
        <v>18</v>
      </c>
      <c r="AJ71">
        <f t="shared" si="3"/>
        <v>0</v>
      </c>
      <c r="AL71">
        <f t="shared" si="4"/>
        <v>0</v>
      </c>
      <c r="AM71">
        <f t="shared" si="5"/>
        <v>24</v>
      </c>
      <c r="AN71">
        <f t="shared" si="6"/>
        <v>36</v>
      </c>
      <c r="AO71">
        <f t="shared" si="7"/>
        <v>0</v>
      </c>
      <c r="AP71">
        <f t="shared" si="8"/>
        <v>60</v>
      </c>
    </row>
    <row r="72" spans="1:42" ht="15.75" hidden="1" customHeight="1" x14ac:dyDescent="0.3">
      <c r="A72" s="16"/>
      <c r="B72" s="55">
        <v>5</v>
      </c>
      <c r="C72" s="56" t="s">
        <v>90</v>
      </c>
      <c r="D72" s="55">
        <v>2</v>
      </c>
      <c r="E72" s="55" t="s">
        <v>21</v>
      </c>
      <c r="F72" s="18" t="s">
        <v>20</v>
      </c>
      <c r="G72" s="18" t="s">
        <v>20</v>
      </c>
      <c r="H72" s="18" t="s">
        <v>20</v>
      </c>
      <c r="I72" s="18" t="s">
        <v>20</v>
      </c>
      <c r="J72" s="18" t="s">
        <v>21</v>
      </c>
      <c r="K72" s="18" t="s">
        <v>20</v>
      </c>
      <c r="L72" s="18" t="s">
        <v>20</v>
      </c>
      <c r="M72" s="18" t="s">
        <v>21</v>
      </c>
      <c r="N72" s="18" t="s">
        <v>20</v>
      </c>
      <c r="O72" s="18" t="s">
        <v>20</v>
      </c>
      <c r="P72" s="18" t="s">
        <v>21</v>
      </c>
      <c r="Q72" s="18" t="s">
        <v>21</v>
      </c>
      <c r="R72" s="18" t="s">
        <v>21</v>
      </c>
      <c r="S72" s="18" t="s">
        <v>21</v>
      </c>
      <c r="T72" s="18" t="s">
        <v>20</v>
      </c>
      <c r="U72" s="18" t="s">
        <v>21</v>
      </c>
      <c r="V72" s="37" t="s">
        <v>21</v>
      </c>
      <c r="W72" s="37" t="s">
        <v>21</v>
      </c>
      <c r="X72" s="37" t="s">
        <v>21</v>
      </c>
      <c r="Y72" s="18" t="s">
        <v>21</v>
      </c>
      <c r="Z72" s="18" t="s">
        <v>20</v>
      </c>
      <c r="AA72" s="20" t="s">
        <v>21</v>
      </c>
      <c r="AB72" s="20" t="s">
        <v>23</v>
      </c>
      <c r="AC72" s="20" t="s">
        <v>21</v>
      </c>
      <c r="AD72" s="18" t="s">
        <v>23</v>
      </c>
      <c r="AE72" s="18" t="s">
        <v>21</v>
      </c>
      <c r="AG72">
        <f t="shared" si="0"/>
        <v>0</v>
      </c>
      <c r="AH72">
        <f t="shared" si="1"/>
        <v>10</v>
      </c>
      <c r="AI72">
        <f t="shared" si="2"/>
        <v>14</v>
      </c>
      <c r="AJ72">
        <f t="shared" si="3"/>
        <v>2</v>
      </c>
      <c r="AL72">
        <f t="shared" si="4"/>
        <v>0</v>
      </c>
      <c r="AM72">
        <f t="shared" si="5"/>
        <v>30</v>
      </c>
      <c r="AN72">
        <f t="shared" si="6"/>
        <v>28</v>
      </c>
      <c r="AO72">
        <f t="shared" si="7"/>
        <v>2</v>
      </c>
      <c r="AP72">
        <f t="shared" si="8"/>
        <v>60</v>
      </c>
    </row>
    <row r="73" spans="1:42" ht="15.75" hidden="1" customHeight="1" x14ac:dyDescent="0.3">
      <c r="A73" s="16"/>
      <c r="B73" s="55">
        <v>6</v>
      </c>
      <c r="C73" s="56" t="s">
        <v>91</v>
      </c>
      <c r="D73" s="55">
        <v>2</v>
      </c>
      <c r="E73" s="55" t="s">
        <v>21</v>
      </c>
      <c r="F73" s="18" t="s">
        <v>21</v>
      </c>
      <c r="G73" s="18" t="s">
        <v>21</v>
      </c>
      <c r="H73" s="18" t="s">
        <v>21</v>
      </c>
      <c r="I73" s="18" t="s">
        <v>21</v>
      </c>
      <c r="J73" s="18" t="s">
        <v>21</v>
      </c>
      <c r="K73" s="18" t="s">
        <v>21</v>
      </c>
      <c r="L73" s="18" t="s">
        <v>21</v>
      </c>
      <c r="M73" s="18" t="s">
        <v>20</v>
      </c>
      <c r="N73" s="18" t="s">
        <v>20</v>
      </c>
      <c r="O73" s="18" t="s">
        <v>21</v>
      </c>
      <c r="P73" s="18" t="s">
        <v>23</v>
      </c>
      <c r="Q73" s="18" t="s">
        <v>21</v>
      </c>
      <c r="R73" s="18" t="s">
        <v>21</v>
      </c>
      <c r="S73" s="18" t="s">
        <v>21</v>
      </c>
      <c r="T73" s="18" t="s">
        <v>20</v>
      </c>
      <c r="U73" s="18" t="s">
        <v>20</v>
      </c>
      <c r="V73" s="37" t="s">
        <v>20</v>
      </c>
      <c r="W73" s="37" t="s">
        <v>20</v>
      </c>
      <c r="X73" s="37" t="s">
        <v>20</v>
      </c>
      <c r="Y73" s="18" t="s">
        <v>21</v>
      </c>
      <c r="Z73" s="18" t="s">
        <v>20</v>
      </c>
      <c r="AA73" s="20" t="s">
        <v>21</v>
      </c>
      <c r="AB73" s="20" t="s">
        <v>21</v>
      </c>
      <c r="AC73" s="20" t="s">
        <v>21</v>
      </c>
      <c r="AD73" s="18" t="s">
        <v>21</v>
      </c>
      <c r="AE73" s="18" t="s">
        <v>21</v>
      </c>
      <c r="AG73">
        <f t="shared" si="0"/>
        <v>0</v>
      </c>
      <c r="AH73">
        <f t="shared" si="1"/>
        <v>8</v>
      </c>
      <c r="AI73">
        <f t="shared" si="2"/>
        <v>17</v>
      </c>
      <c r="AJ73">
        <f t="shared" si="3"/>
        <v>1</v>
      </c>
      <c r="AL73">
        <f t="shared" si="4"/>
        <v>0</v>
      </c>
      <c r="AM73">
        <f t="shared" si="5"/>
        <v>24</v>
      </c>
      <c r="AN73">
        <f t="shared" si="6"/>
        <v>34</v>
      </c>
      <c r="AO73">
        <f t="shared" si="7"/>
        <v>1</v>
      </c>
      <c r="AP73">
        <f t="shared" si="8"/>
        <v>59</v>
      </c>
    </row>
    <row r="74" spans="1:42" ht="15.75" hidden="1" customHeight="1" x14ac:dyDescent="0.3">
      <c r="A74" s="16"/>
      <c r="B74" s="55">
        <v>7</v>
      </c>
      <c r="C74" s="56" t="s">
        <v>92</v>
      </c>
      <c r="D74" s="55">
        <v>2</v>
      </c>
      <c r="E74" s="55" t="s">
        <v>21</v>
      </c>
      <c r="F74" s="18" t="s">
        <v>21</v>
      </c>
      <c r="G74" s="18" t="s">
        <v>23</v>
      </c>
      <c r="H74" s="18" t="s">
        <v>21</v>
      </c>
      <c r="I74" s="18" t="s">
        <v>21</v>
      </c>
      <c r="J74" s="18" t="s">
        <v>21</v>
      </c>
      <c r="K74" s="18" t="s">
        <v>20</v>
      </c>
      <c r="L74" s="18" t="s">
        <v>20</v>
      </c>
      <c r="M74" s="18" t="s">
        <v>21</v>
      </c>
      <c r="N74" s="18" t="s">
        <v>21</v>
      </c>
      <c r="O74" s="18" t="s">
        <v>21</v>
      </c>
      <c r="P74" s="18" t="s">
        <v>21</v>
      </c>
      <c r="Q74" s="18" t="s">
        <v>21</v>
      </c>
      <c r="R74" s="18" t="s">
        <v>21</v>
      </c>
      <c r="S74" s="18" t="s">
        <v>21</v>
      </c>
      <c r="T74" s="18" t="s">
        <v>21</v>
      </c>
      <c r="U74" s="18" t="s">
        <v>21</v>
      </c>
      <c r="V74" s="37" t="s">
        <v>20</v>
      </c>
      <c r="W74" s="37" t="s">
        <v>21</v>
      </c>
      <c r="X74" s="37" t="s">
        <v>21</v>
      </c>
      <c r="Y74" s="18" t="s">
        <v>21</v>
      </c>
      <c r="Z74" s="18" t="s">
        <v>20</v>
      </c>
      <c r="AA74" s="20" t="s">
        <v>21</v>
      </c>
      <c r="AB74" s="20" t="s">
        <v>21</v>
      </c>
      <c r="AC74" s="20" t="s">
        <v>21</v>
      </c>
      <c r="AD74" s="18" t="s">
        <v>23</v>
      </c>
      <c r="AE74" s="18" t="s">
        <v>21</v>
      </c>
      <c r="AG74">
        <f t="shared" si="0"/>
        <v>0</v>
      </c>
      <c r="AH74">
        <f t="shared" si="1"/>
        <v>4</v>
      </c>
      <c r="AI74">
        <f t="shared" si="2"/>
        <v>20</v>
      </c>
      <c r="AJ74">
        <f t="shared" si="3"/>
        <v>2</v>
      </c>
      <c r="AL74">
        <f t="shared" si="4"/>
        <v>0</v>
      </c>
      <c r="AM74">
        <f t="shared" si="5"/>
        <v>12</v>
      </c>
      <c r="AN74">
        <f t="shared" si="6"/>
        <v>40</v>
      </c>
      <c r="AO74">
        <f t="shared" si="7"/>
        <v>2</v>
      </c>
      <c r="AP74">
        <f t="shared" si="8"/>
        <v>54</v>
      </c>
    </row>
    <row r="75" spans="1:42" ht="15.75" hidden="1" customHeight="1" x14ac:dyDescent="0.3">
      <c r="A75" s="16"/>
      <c r="B75" s="55">
        <v>8</v>
      </c>
      <c r="C75" s="56" t="s">
        <v>93</v>
      </c>
      <c r="D75" s="55">
        <v>2</v>
      </c>
      <c r="E75" s="55" t="s">
        <v>21</v>
      </c>
      <c r="F75" s="18" t="s">
        <v>20</v>
      </c>
      <c r="G75" s="18" t="s">
        <v>20</v>
      </c>
      <c r="H75" s="18" t="s">
        <v>20</v>
      </c>
      <c r="I75" s="18" t="s">
        <v>20</v>
      </c>
      <c r="J75" s="18" t="s">
        <v>20</v>
      </c>
      <c r="K75" s="18" t="s">
        <v>20</v>
      </c>
      <c r="L75" s="18" t="s">
        <v>39</v>
      </c>
      <c r="M75" s="18" t="s">
        <v>20</v>
      </c>
      <c r="N75" s="18" t="s">
        <v>20</v>
      </c>
      <c r="O75" s="18" t="s">
        <v>20</v>
      </c>
      <c r="P75" s="18" t="s">
        <v>20</v>
      </c>
      <c r="Q75" s="18" t="s">
        <v>20</v>
      </c>
      <c r="R75" s="18" t="s">
        <v>20</v>
      </c>
      <c r="S75" s="18" t="s">
        <v>20</v>
      </c>
      <c r="T75" s="18" t="s">
        <v>20</v>
      </c>
      <c r="U75" s="18" t="s">
        <v>20</v>
      </c>
      <c r="V75" s="37" t="s">
        <v>20</v>
      </c>
      <c r="W75" s="37" t="s">
        <v>20</v>
      </c>
      <c r="X75" s="37" t="s">
        <v>20</v>
      </c>
      <c r="Y75" s="18" t="s">
        <v>20</v>
      </c>
      <c r="Z75" s="18" t="s">
        <v>20</v>
      </c>
      <c r="AA75" s="20" t="s">
        <v>20</v>
      </c>
      <c r="AB75" s="20" t="s">
        <v>20</v>
      </c>
      <c r="AC75" s="20" t="s">
        <v>20</v>
      </c>
      <c r="AD75" s="18" t="s">
        <v>20</v>
      </c>
      <c r="AE75" s="18" t="s">
        <v>21</v>
      </c>
      <c r="AG75">
        <f t="shared" si="0"/>
        <v>1</v>
      </c>
      <c r="AH75">
        <f t="shared" si="1"/>
        <v>24</v>
      </c>
      <c r="AI75">
        <f t="shared" si="2"/>
        <v>1</v>
      </c>
      <c r="AJ75">
        <f t="shared" si="3"/>
        <v>0</v>
      </c>
      <c r="AL75">
        <f t="shared" si="4"/>
        <v>4</v>
      </c>
      <c r="AM75">
        <f t="shared" si="5"/>
        <v>72</v>
      </c>
      <c r="AN75">
        <f t="shared" si="6"/>
        <v>2</v>
      </c>
      <c r="AO75">
        <f t="shared" si="7"/>
        <v>0</v>
      </c>
      <c r="AP75">
        <f t="shared" si="8"/>
        <v>78</v>
      </c>
    </row>
    <row r="76" spans="1:42" ht="15.75" hidden="1" customHeight="1" x14ac:dyDescent="0.3">
      <c r="A76" s="16"/>
      <c r="B76" s="55">
        <v>9</v>
      </c>
      <c r="C76" s="56" t="s">
        <v>94</v>
      </c>
      <c r="D76" s="55">
        <v>2</v>
      </c>
      <c r="E76" s="55" t="s">
        <v>21</v>
      </c>
      <c r="F76" s="18" t="s">
        <v>20</v>
      </c>
      <c r="G76" s="18" t="s">
        <v>21</v>
      </c>
      <c r="H76" s="18" t="s">
        <v>21</v>
      </c>
      <c r="I76" s="18" t="s">
        <v>21</v>
      </c>
      <c r="J76" s="18" t="s">
        <v>21</v>
      </c>
      <c r="K76" s="18" t="s">
        <v>21</v>
      </c>
      <c r="L76" s="18" t="s">
        <v>21</v>
      </c>
      <c r="M76" s="18" t="s">
        <v>21</v>
      </c>
      <c r="N76" s="18" t="s">
        <v>21</v>
      </c>
      <c r="O76" s="18" t="s">
        <v>20</v>
      </c>
      <c r="P76" s="18" t="s">
        <v>21</v>
      </c>
      <c r="Q76" s="18" t="s">
        <v>21</v>
      </c>
      <c r="R76" s="18" t="s">
        <v>21</v>
      </c>
      <c r="S76" s="18" t="s">
        <v>21</v>
      </c>
      <c r="T76" s="18" t="s">
        <v>20</v>
      </c>
      <c r="U76" s="18" t="s">
        <v>20</v>
      </c>
      <c r="V76" s="37" t="s">
        <v>20</v>
      </c>
      <c r="W76" s="37" t="s">
        <v>20</v>
      </c>
      <c r="X76" s="37" t="s">
        <v>20</v>
      </c>
      <c r="Y76" s="18" t="s">
        <v>20</v>
      </c>
      <c r="Z76" s="18" t="s">
        <v>21</v>
      </c>
      <c r="AA76" s="20" t="s">
        <v>21</v>
      </c>
      <c r="AB76" s="20" t="s">
        <v>21</v>
      </c>
      <c r="AC76" s="20" t="s">
        <v>21</v>
      </c>
      <c r="AD76" s="18" t="s">
        <v>21</v>
      </c>
      <c r="AE76" s="18" t="s">
        <v>21</v>
      </c>
      <c r="AG76">
        <f t="shared" si="0"/>
        <v>0</v>
      </c>
      <c r="AH76">
        <f t="shared" si="1"/>
        <v>8</v>
      </c>
      <c r="AI76">
        <f t="shared" si="2"/>
        <v>18</v>
      </c>
      <c r="AJ76">
        <f t="shared" si="3"/>
        <v>0</v>
      </c>
      <c r="AL76">
        <f t="shared" si="4"/>
        <v>0</v>
      </c>
      <c r="AM76">
        <f t="shared" si="5"/>
        <v>24</v>
      </c>
      <c r="AN76">
        <f t="shared" si="6"/>
        <v>36</v>
      </c>
      <c r="AO76">
        <f t="shared" si="7"/>
        <v>0</v>
      </c>
      <c r="AP76">
        <f t="shared" si="8"/>
        <v>60</v>
      </c>
    </row>
    <row r="77" spans="1:42" ht="15.75" hidden="1" customHeight="1" x14ac:dyDescent="0.3">
      <c r="A77" s="16"/>
      <c r="B77" s="55">
        <v>10</v>
      </c>
      <c r="C77" s="56" t="s">
        <v>95</v>
      </c>
      <c r="D77" s="55">
        <v>2</v>
      </c>
      <c r="E77" s="55" t="s">
        <v>21</v>
      </c>
      <c r="F77" s="18" t="s">
        <v>21</v>
      </c>
      <c r="G77" s="18" t="s">
        <v>21</v>
      </c>
      <c r="H77" s="18" t="s">
        <v>21</v>
      </c>
      <c r="I77" s="18" t="s">
        <v>21</v>
      </c>
      <c r="J77" s="18" t="s">
        <v>21</v>
      </c>
      <c r="K77" s="18" t="s">
        <v>20</v>
      </c>
      <c r="L77" s="18" t="s">
        <v>20</v>
      </c>
      <c r="M77" s="18" t="s">
        <v>20</v>
      </c>
      <c r="N77" s="18" t="s">
        <v>21</v>
      </c>
      <c r="O77" s="18" t="s">
        <v>21</v>
      </c>
      <c r="P77" s="18" t="s">
        <v>21</v>
      </c>
      <c r="Q77" s="18" t="s">
        <v>21</v>
      </c>
      <c r="R77" s="18" t="s">
        <v>21</v>
      </c>
      <c r="S77" s="18" t="s">
        <v>21</v>
      </c>
      <c r="T77" s="18" t="s">
        <v>23</v>
      </c>
      <c r="U77" s="18" t="s">
        <v>21</v>
      </c>
      <c r="V77" s="37" t="s">
        <v>21</v>
      </c>
      <c r="W77" s="37" t="s">
        <v>20</v>
      </c>
      <c r="X77" s="37" t="s">
        <v>20</v>
      </c>
      <c r="Y77" s="18" t="s">
        <v>21</v>
      </c>
      <c r="Z77" s="18" t="s">
        <v>20</v>
      </c>
      <c r="AA77" s="20" t="s">
        <v>20</v>
      </c>
      <c r="AB77" s="20" t="s">
        <v>21</v>
      </c>
      <c r="AC77" s="20" t="s">
        <v>21</v>
      </c>
      <c r="AD77" s="18" t="s">
        <v>23</v>
      </c>
      <c r="AE77" s="18" t="s">
        <v>21</v>
      </c>
      <c r="AG77">
        <f t="shared" si="0"/>
        <v>0</v>
      </c>
      <c r="AH77">
        <f t="shared" si="1"/>
        <v>7</v>
      </c>
      <c r="AI77">
        <f t="shared" si="2"/>
        <v>17</v>
      </c>
      <c r="AJ77">
        <f t="shared" si="3"/>
        <v>2</v>
      </c>
      <c r="AL77">
        <f t="shared" si="4"/>
        <v>0</v>
      </c>
      <c r="AM77">
        <f t="shared" si="5"/>
        <v>21</v>
      </c>
      <c r="AN77">
        <f t="shared" si="6"/>
        <v>34</v>
      </c>
      <c r="AO77">
        <f t="shared" si="7"/>
        <v>2</v>
      </c>
      <c r="AP77">
        <f t="shared" si="8"/>
        <v>57</v>
      </c>
    </row>
    <row r="78" spans="1:42" ht="15.75" hidden="1" customHeight="1" x14ac:dyDescent="0.3">
      <c r="A78" s="16"/>
      <c r="B78" s="55">
        <v>11</v>
      </c>
      <c r="C78" s="56" t="s">
        <v>96</v>
      </c>
      <c r="D78" s="55">
        <v>2</v>
      </c>
      <c r="E78" s="55" t="s">
        <v>21</v>
      </c>
      <c r="F78" s="18" t="s">
        <v>21</v>
      </c>
      <c r="G78" s="18" t="s">
        <v>23</v>
      </c>
      <c r="H78" s="18" t="s">
        <v>21</v>
      </c>
      <c r="I78" s="18" t="s">
        <v>21</v>
      </c>
      <c r="J78" s="18" t="s">
        <v>21</v>
      </c>
      <c r="K78" s="18" t="s">
        <v>21</v>
      </c>
      <c r="L78" s="18" t="s">
        <v>21</v>
      </c>
      <c r="M78" s="18" t="s">
        <v>20</v>
      </c>
      <c r="N78" s="18" t="s">
        <v>20</v>
      </c>
      <c r="O78" s="18" t="s">
        <v>20</v>
      </c>
      <c r="P78" s="18" t="s">
        <v>21</v>
      </c>
      <c r="Q78" s="18" t="s">
        <v>21</v>
      </c>
      <c r="R78" s="18" t="s">
        <v>21</v>
      </c>
      <c r="S78" s="18" t="s">
        <v>21</v>
      </c>
      <c r="T78" s="18" t="s">
        <v>20</v>
      </c>
      <c r="U78" s="18" t="s">
        <v>21</v>
      </c>
      <c r="V78" s="37" t="s">
        <v>21</v>
      </c>
      <c r="W78" s="37" t="s">
        <v>20</v>
      </c>
      <c r="X78" s="37" t="s">
        <v>20</v>
      </c>
      <c r="Y78" s="18" t="s">
        <v>20</v>
      </c>
      <c r="Z78" s="18" t="s">
        <v>20</v>
      </c>
      <c r="AA78" s="20" t="s">
        <v>23</v>
      </c>
      <c r="AB78" s="20" t="s">
        <v>21</v>
      </c>
      <c r="AC78" s="20" t="s">
        <v>21</v>
      </c>
      <c r="AD78" s="18" t="s">
        <v>23</v>
      </c>
      <c r="AE78" s="18" t="s">
        <v>21</v>
      </c>
      <c r="AG78">
        <f t="shared" si="0"/>
        <v>0</v>
      </c>
      <c r="AH78">
        <f t="shared" si="1"/>
        <v>8</v>
      </c>
      <c r="AI78">
        <f t="shared" si="2"/>
        <v>15</v>
      </c>
      <c r="AJ78">
        <f t="shared" si="3"/>
        <v>3</v>
      </c>
      <c r="AL78">
        <f t="shared" si="4"/>
        <v>0</v>
      </c>
      <c r="AM78">
        <f t="shared" si="5"/>
        <v>24</v>
      </c>
      <c r="AN78">
        <f t="shared" si="6"/>
        <v>30</v>
      </c>
      <c r="AO78">
        <f t="shared" si="7"/>
        <v>3</v>
      </c>
      <c r="AP78">
        <f t="shared" si="8"/>
        <v>57</v>
      </c>
    </row>
    <row r="79" spans="1:42" ht="15.75" hidden="1" customHeight="1" x14ac:dyDescent="0.3">
      <c r="A79" s="16"/>
      <c r="B79" s="55">
        <v>12</v>
      </c>
      <c r="C79" s="56" t="s">
        <v>97</v>
      </c>
      <c r="D79" s="55">
        <v>2</v>
      </c>
      <c r="E79" s="55" t="s">
        <v>21</v>
      </c>
      <c r="F79" s="18" t="s">
        <v>20</v>
      </c>
      <c r="G79" s="18" t="s">
        <v>21</v>
      </c>
      <c r="H79" s="18" t="s">
        <v>21</v>
      </c>
      <c r="I79" s="18" t="s">
        <v>21</v>
      </c>
      <c r="J79" s="18" t="s">
        <v>21</v>
      </c>
      <c r="K79" s="18" t="s">
        <v>21</v>
      </c>
      <c r="L79" s="18" t="s">
        <v>21</v>
      </c>
      <c r="M79" s="18" t="s">
        <v>20</v>
      </c>
      <c r="N79" s="18" t="s">
        <v>20</v>
      </c>
      <c r="O79" s="18" t="s">
        <v>20</v>
      </c>
      <c r="P79" s="18" t="s">
        <v>21</v>
      </c>
      <c r="Q79" s="18" t="s">
        <v>21</v>
      </c>
      <c r="R79" s="18" t="s">
        <v>21</v>
      </c>
      <c r="S79" s="18" t="s">
        <v>20</v>
      </c>
      <c r="T79" s="18" t="s">
        <v>20</v>
      </c>
      <c r="U79" s="18" t="s">
        <v>21</v>
      </c>
      <c r="V79" s="37" t="s">
        <v>21</v>
      </c>
      <c r="W79" s="37" t="s">
        <v>20</v>
      </c>
      <c r="X79" s="37" t="s">
        <v>20</v>
      </c>
      <c r="Y79" s="18" t="s">
        <v>20</v>
      </c>
      <c r="Z79" s="18" t="s">
        <v>20</v>
      </c>
      <c r="AA79" s="20" t="s">
        <v>23</v>
      </c>
      <c r="AB79" s="20" t="s">
        <v>21</v>
      </c>
      <c r="AC79" s="20" t="s">
        <v>21</v>
      </c>
      <c r="AD79" s="18" t="s">
        <v>20</v>
      </c>
      <c r="AE79" s="18" t="s">
        <v>21</v>
      </c>
      <c r="AG79">
        <f t="shared" si="0"/>
        <v>0</v>
      </c>
      <c r="AH79">
        <f t="shared" si="1"/>
        <v>11</v>
      </c>
      <c r="AI79">
        <f t="shared" si="2"/>
        <v>14</v>
      </c>
      <c r="AJ79">
        <f t="shared" si="3"/>
        <v>1</v>
      </c>
      <c r="AL79">
        <f t="shared" si="4"/>
        <v>0</v>
      </c>
      <c r="AM79">
        <f t="shared" si="5"/>
        <v>33</v>
      </c>
      <c r="AN79">
        <f t="shared" si="6"/>
        <v>28</v>
      </c>
      <c r="AO79">
        <f t="shared" si="7"/>
        <v>1</v>
      </c>
      <c r="AP79">
        <f t="shared" si="8"/>
        <v>62</v>
      </c>
    </row>
    <row r="80" spans="1:42" ht="15.75" hidden="1" customHeight="1" x14ac:dyDescent="0.3">
      <c r="A80" s="16"/>
      <c r="B80" s="55">
        <v>13</v>
      </c>
      <c r="C80" s="56" t="s">
        <v>98</v>
      </c>
      <c r="D80" s="55">
        <v>2</v>
      </c>
      <c r="E80" s="55" t="s">
        <v>21</v>
      </c>
      <c r="F80" s="18" t="s">
        <v>20</v>
      </c>
      <c r="G80" s="18" t="s">
        <v>21</v>
      </c>
      <c r="H80" s="18" t="s">
        <v>20</v>
      </c>
      <c r="I80" s="18" t="s">
        <v>21</v>
      </c>
      <c r="J80" s="18" t="s">
        <v>20</v>
      </c>
      <c r="K80" s="18" t="s">
        <v>20</v>
      </c>
      <c r="L80" s="18" t="s">
        <v>20</v>
      </c>
      <c r="M80" s="18" t="s">
        <v>21</v>
      </c>
      <c r="N80" s="18" t="s">
        <v>20</v>
      </c>
      <c r="O80" s="18" t="s">
        <v>21</v>
      </c>
      <c r="P80" s="18" t="s">
        <v>21</v>
      </c>
      <c r="Q80" s="18" t="s">
        <v>21</v>
      </c>
      <c r="R80" s="18" t="s">
        <v>21</v>
      </c>
      <c r="S80" s="18" t="s">
        <v>20</v>
      </c>
      <c r="T80" s="18" t="s">
        <v>20</v>
      </c>
      <c r="U80" s="18" t="s">
        <v>21</v>
      </c>
      <c r="V80" s="37" t="s">
        <v>21</v>
      </c>
      <c r="W80" s="37" t="s">
        <v>20</v>
      </c>
      <c r="X80" s="37" t="s">
        <v>21</v>
      </c>
      <c r="Y80" s="18" t="s">
        <v>21</v>
      </c>
      <c r="Z80" s="18" t="s">
        <v>21</v>
      </c>
      <c r="AA80" s="20" t="s">
        <v>21</v>
      </c>
      <c r="AB80" s="20" t="s">
        <v>20</v>
      </c>
      <c r="AC80" s="20" t="s">
        <v>20</v>
      </c>
      <c r="AD80" s="18" t="s">
        <v>21</v>
      </c>
      <c r="AE80" s="18" t="s">
        <v>21</v>
      </c>
      <c r="AG80">
        <f t="shared" si="0"/>
        <v>0</v>
      </c>
      <c r="AH80">
        <f t="shared" si="1"/>
        <v>11</v>
      </c>
      <c r="AI80">
        <f t="shared" si="2"/>
        <v>15</v>
      </c>
      <c r="AJ80">
        <f t="shared" si="3"/>
        <v>0</v>
      </c>
      <c r="AL80">
        <f t="shared" si="4"/>
        <v>0</v>
      </c>
      <c r="AM80">
        <f t="shared" si="5"/>
        <v>33</v>
      </c>
      <c r="AN80">
        <f t="shared" si="6"/>
        <v>30</v>
      </c>
      <c r="AO80">
        <f t="shared" si="7"/>
        <v>0</v>
      </c>
      <c r="AP80">
        <f t="shared" si="8"/>
        <v>63</v>
      </c>
    </row>
    <row r="81" spans="1:42" ht="15.75" hidden="1" customHeight="1" x14ac:dyDescent="0.3">
      <c r="A81" s="16"/>
      <c r="B81" s="55">
        <v>14</v>
      </c>
      <c r="C81" s="56" t="s">
        <v>99</v>
      </c>
      <c r="D81" s="55">
        <v>2</v>
      </c>
      <c r="E81" s="55" t="s">
        <v>21</v>
      </c>
      <c r="F81" s="18" t="s">
        <v>20</v>
      </c>
      <c r="G81" s="18" t="s">
        <v>20</v>
      </c>
      <c r="H81" s="18" t="s">
        <v>20</v>
      </c>
      <c r="I81" s="18" t="s">
        <v>20</v>
      </c>
      <c r="J81" s="18" t="s">
        <v>20</v>
      </c>
      <c r="K81" s="18" t="s">
        <v>20</v>
      </c>
      <c r="L81" s="18" t="s">
        <v>20</v>
      </c>
      <c r="M81" s="18" t="s">
        <v>21</v>
      </c>
      <c r="N81" s="18" t="s">
        <v>20</v>
      </c>
      <c r="O81" s="18" t="s">
        <v>20</v>
      </c>
      <c r="P81" s="18" t="s">
        <v>20</v>
      </c>
      <c r="Q81" s="18" t="s">
        <v>20</v>
      </c>
      <c r="R81" s="18" t="s">
        <v>20</v>
      </c>
      <c r="S81" s="18" t="s">
        <v>20</v>
      </c>
      <c r="T81" s="18" t="s">
        <v>20</v>
      </c>
      <c r="U81" s="18" t="s">
        <v>21</v>
      </c>
      <c r="V81" s="37" t="s">
        <v>20</v>
      </c>
      <c r="W81" s="37" t="s">
        <v>20</v>
      </c>
      <c r="X81" s="37" t="s">
        <v>20</v>
      </c>
      <c r="Y81" s="18" t="s">
        <v>20</v>
      </c>
      <c r="Z81" s="18" t="s">
        <v>20</v>
      </c>
      <c r="AA81" s="20" t="s">
        <v>21</v>
      </c>
      <c r="AB81" s="20" t="s">
        <v>21</v>
      </c>
      <c r="AC81" s="20" t="s">
        <v>21</v>
      </c>
      <c r="AD81" s="40" t="s">
        <v>23</v>
      </c>
      <c r="AE81" s="40" t="s">
        <v>21</v>
      </c>
      <c r="AG81">
        <f t="shared" si="0"/>
        <v>0</v>
      </c>
      <c r="AH81">
        <f t="shared" si="1"/>
        <v>19</v>
      </c>
      <c r="AI81">
        <f t="shared" si="2"/>
        <v>6</v>
      </c>
      <c r="AJ81">
        <f t="shared" si="3"/>
        <v>1</v>
      </c>
      <c r="AL81">
        <f t="shared" si="4"/>
        <v>0</v>
      </c>
      <c r="AM81">
        <f t="shared" si="5"/>
        <v>57</v>
      </c>
      <c r="AN81">
        <f t="shared" si="6"/>
        <v>12</v>
      </c>
      <c r="AO81">
        <f t="shared" si="7"/>
        <v>1</v>
      </c>
      <c r="AP81">
        <f t="shared" si="8"/>
        <v>70</v>
      </c>
    </row>
    <row r="82" spans="1:42" ht="15.75" hidden="1" customHeight="1" x14ac:dyDescent="0.3">
      <c r="A82" s="16"/>
      <c r="B82" s="55">
        <v>15</v>
      </c>
      <c r="C82" s="56" t="s">
        <v>100</v>
      </c>
      <c r="D82" s="55">
        <v>2</v>
      </c>
      <c r="E82" s="55" t="s">
        <v>21</v>
      </c>
      <c r="F82" s="18" t="s">
        <v>21</v>
      </c>
      <c r="G82" s="18" t="s">
        <v>21</v>
      </c>
      <c r="H82" s="18" t="s">
        <v>21</v>
      </c>
      <c r="I82" s="18" t="s">
        <v>21</v>
      </c>
      <c r="J82" s="18" t="s">
        <v>21</v>
      </c>
      <c r="K82" s="18" t="s">
        <v>21</v>
      </c>
      <c r="L82" s="18" t="s">
        <v>21</v>
      </c>
      <c r="M82" s="18" t="s">
        <v>21</v>
      </c>
      <c r="N82" s="18" t="s">
        <v>23</v>
      </c>
      <c r="O82" s="18" t="s">
        <v>21</v>
      </c>
      <c r="P82" s="18" t="s">
        <v>21</v>
      </c>
      <c r="Q82" s="18" t="s">
        <v>21</v>
      </c>
      <c r="R82" s="18" t="s">
        <v>21</v>
      </c>
      <c r="S82" s="18" t="s">
        <v>21</v>
      </c>
      <c r="T82" s="18" t="s">
        <v>20</v>
      </c>
      <c r="U82" s="18" t="s">
        <v>20</v>
      </c>
      <c r="V82" s="37" t="s">
        <v>21</v>
      </c>
      <c r="W82" s="37" t="s">
        <v>20</v>
      </c>
      <c r="X82" s="37" t="s">
        <v>21</v>
      </c>
      <c r="Y82" s="18" t="s">
        <v>20</v>
      </c>
      <c r="Z82" s="18" t="s">
        <v>21</v>
      </c>
      <c r="AA82" s="20" t="s">
        <v>21</v>
      </c>
      <c r="AB82" s="20" t="s">
        <v>21</v>
      </c>
      <c r="AC82" s="20" t="s">
        <v>21</v>
      </c>
      <c r="AD82" s="18" t="s">
        <v>21</v>
      </c>
      <c r="AE82" s="18" t="s">
        <v>21</v>
      </c>
      <c r="AG82">
        <f t="shared" si="0"/>
        <v>0</v>
      </c>
      <c r="AH82">
        <f t="shared" si="1"/>
        <v>4</v>
      </c>
      <c r="AI82">
        <f t="shared" si="2"/>
        <v>21</v>
      </c>
      <c r="AJ82">
        <f t="shared" si="3"/>
        <v>1</v>
      </c>
      <c r="AL82">
        <f t="shared" si="4"/>
        <v>0</v>
      </c>
      <c r="AM82">
        <f t="shared" si="5"/>
        <v>12</v>
      </c>
      <c r="AN82">
        <f t="shared" si="6"/>
        <v>42</v>
      </c>
      <c r="AO82">
        <f t="shared" si="7"/>
        <v>1</v>
      </c>
      <c r="AP82">
        <f t="shared" si="8"/>
        <v>55</v>
      </c>
    </row>
    <row r="83" spans="1:42" ht="15.75" hidden="1" customHeight="1" x14ac:dyDescent="0.3">
      <c r="A83" s="16"/>
      <c r="B83" s="55">
        <v>16</v>
      </c>
      <c r="C83" s="56" t="s">
        <v>101</v>
      </c>
      <c r="D83" s="55">
        <v>2</v>
      </c>
      <c r="E83" s="55" t="s">
        <v>21</v>
      </c>
      <c r="F83" s="18" t="s">
        <v>21</v>
      </c>
      <c r="G83" s="18" t="s">
        <v>23</v>
      </c>
      <c r="H83" s="18" t="s">
        <v>21</v>
      </c>
      <c r="I83" s="18" t="s">
        <v>21</v>
      </c>
      <c r="J83" s="18" t="s">
        <v>21</v>
      </c>
      <c r="K83" s="18" t="s">
        <v>21</v>
      </c>
      <c r="L83" s="18" t="s">
        <v>21</v>
      </c>
      <c r="M83" s="18" t="s">
        <v>21</v>
      </c>
      <c r="N83" s="18" t="s">
        <v>23</v>
      </c>
      <c r="O83" s="18" t="s">
        <v>21</v>
      </c>
      <c r="P83" s="18" t="s">
        <v>23</v>
      </c>
      <c r="Q83" s="18" t="s">
        <v>23</v>
      </c>
      <c r="R83" s="18" t="s">
        <v>21</v>
      </c>
      <c r="S83" s="18" t="s">
        <v>21</v>
      </c>
      <c r="T83" s="18" t="s">
        <v>21</v>
      </c>
      <c r="U83" s="18" t="s">
        <v>21</v>
      </c>
      <c r="V83" s="37" t="s">
        <v>21</v>
      </c>
      <c r="W83" s="37" t="s">
        <v>21</v>
      </c>
      <c r="X83" s="37" t="s">
        <v>21</v>
      </c>
      <c r="Y83" s="18" t="s">
        <v>23</v>
      </c>
      <c r="Z83" s="18" t="s">
        <v>20</v>
      </c>
      <c r="AA83" s="20" t="s">
        <v>21</v>
      </c>
      <c r="AB83" s="20" t="s">
        <v>21</v>
      </c>
      <c r="AC83" s="20" t="s">
        <v>21</v>
      </c>
      <c r="AD83" s="18" t="s">
        <v>23</v>
      </c>
      <c r="AE83" s="18" t="s">
        <v>21</v>
      </c>
      <c r="AG83">
        <f t="shared" si="0"/>
        <v>0</v>
      </c>
      <c r="AH83">
        <f t="shared" si="1"/>
        <v>1</v>
      </c>
      <c r="AI83">
        <f t="shared" si="2"/>
        <v>19</v>
      </c>
      <c r="AJ83">
        <f t="shared" si="3"/>
        <v>6</v>
      </c>
      <c r="AL83">
        <f t="shared" si="4"/>
        <v>0</v>
      </c>
      <c r="AM83">
        <f t="shared" si="5"/>
        <v>3</v>
      </c>
      <c r="AN83">
        <f t="shared" si="6"/>
        <v>38</v>
      </c>
      <c r="AO83">
        <f t="shared" si="7"/>
        <v>6</v>
      </c>
      <c r="AP83">
        <f t="shared" si="8"/>
        <v>47</v>
      </c>
    </row>
    <row r="84" spans="1:42" ht="15.75" hidden="1" customHeight="1" x14ac:dyDescent="0.3">
      <c r="A84" s="16"/>
      <c r="B84" s="55">
        <v>17</v>
      </c>
      <c r="C84" s="56" t="s">
        <v>102</v>
      </c>
      <c r="D84" s="55">
        <v>2</v>
      </c>
      <c r="E84" s="55" t="s">
        <v>21</v>
      </c>
      <c r="F84" s="18" t="s">
        <v>20</v>
      </c>
      <c r="G84" s="18" t="s">
        <v>21</v>
      </c>
      <c r="H84" s="18" t="s">
        <v>21</v>
      </c>
      <c r="I84" s="18" t="s">
        <v>21</v>
      </c>
      <c r="J84" s="18" t="s">
        <v>21</v>
      </c>
      <c r="K84" s="18" t="s">
        <v>21</v>
      </c>
      <c r="L84" s="18" t="s">
        <v>21</v>
      </c>
      <c r="M84" s="18" t="s">
        <v>21</v>
      </c>
      <c r="N84" s="18" t="s">
        <v>20</v>
      </c>
      <c r="O84" s="18" t="s">
        <v>21</v>
      </c>
      <c r="P84" s="18" t="s">
        <v>23</v>
      </c>
      <c r="Q84" s="18" t="s">
        <v>23</v>
      </c>
      <c r="R84" s="18" t="s">
        <v>21</v>
      </c>
      <c r="S84" s="18" t="s">
        <v>21</v>
      </c>
      <c r="T84" s="18" t="s">
        <v>20</v>
      </c>
      <c r="U84" s="18" t="s">
        <v>21</v>
      </c>
      <c r="V84" s="37" t="s">
        <v>20</v>
      </c>
      <c r="W84" s="37" t="s">
        <v>20</v>
      </c>
      <c r="X84" s="37" t="s">
        <v>20</v>
      </c>
      <c r="Y84" s="18" t="s">
        <v>21</v>
      </c>
      <c r="Z84" s="18" t="s">
        <v>20</v>
      </c>
      <c r="AA84" s="20" t="s">
        <v>21</v>
      </c>
      <c r="AB84" s="20" t="s">
        <v>21</v>
      </c>
      <c r="AC84" s="20" t="s">
        <v>21</v>
      </c>
      <c r="AD84" s="18" t="s">
        <v>23</v>
      </c>
      <c r="AE84" s="18" t="s">
        <v>21</v>
      </c>
      <c r="AG84">
        <f t="shared" si="0"/>
        <v>0</v>
      </c>
      <c r="AH84">
        <f t="shared" si="1"/>
        <v>7</v>
      </c>
      <c r="AI84">
        <f t="shared" si="2"/>
        <v>16</v>
      </c>
      <c r="AJ84">
        <f t="shared" si="3"/>
        <v>3</v>
      </c>
      <c r="AL84">
        <f t="shared" si="4"/>
        <v>0</v>
      </c>
      <c r="AM84">
        <f t="shared" si="5"/>
        <v>21</v>
      </c>
      <c r="AN84">
        <f t="shared" si="6"/>
        <v>32</v>
      </c>
      <c r="AO84">
        <f t="shared" si="7"/>
        <v>3</v>
      </c>
      <c r="AP84">
        <f t="shared" si="8"/>
        <v>56</v>
      </c>
    </row>
    <row r="85" spans="1:42" ht="15.75" hidden="1" customHeight="1" x14ac:dyDescent="0.3">
      <c r="A85" s="16"/>
      <c r="B85" s="55">
        <v>18</v>
      </c>
      <c r="C85" s="56" t="s">
        <v>103</v>
      </c>
      <c r="D85" s="55">
        <v>2</v>
      </c>
      <c r="E85" s="55" t="s">
        <v>21</v>
      </c>
      <c r="F85" s="18" t="s">
        <v>20</v>
      </c>
      <c r="G85" s="18" t="s">
        <v>21</v>
      </c>
      <c r="H85" s="18" t="s">
        <v>21</v>
      </c>
      <c r="I85" s="18" t="s">
        <v>20</v>
      </c>
      <c r="J85" s="18" t="s">
        <v>21</v>
      </c>
      <c r="K85" s="18" t="s">
        <v>20</v>
      </c>
      <c r="L85" s="18" t="s">
        <v>20</v>
      </c>
      <c r="M85" s="18" t="s">
        <v>23</v>
      </c>
      <c r="N85" s="18" t="s">
        <v>20</v>
      </c>
      <c r="O85" s="18" t="s">
        <v>20</v>
      </c>
      <c r="P85" s="18" t="s">
        <v>21</v>
      </c>
      <c r="Q85" s="18" t="s">
        <v>21</v>
      </c>
      <c r="R85" s="18" t="s">
        <v>21</v>
      </c>
      <c r="S85" s="18" t="s">
        <v>20</v>
      </c>
      <c r="T85" s="18" t="s">
        <v>21</v>
      </c>
      <c r="U85" s="18" t="s">
        <v>21</v>
      </c>
      <c r="V85" s="37" t="s">
        <v>21</v>
      </c>
      <c r="W85" s="37" t="s">
        <v>21</v>
      </c>
      <c r="X85" s="37" t="s">
        <v>21</v>
      </c>
      <c r="Y85" s="18" t="s">
        <v>23</v>
      </c>
      <c r="Z85" s="18" t="s">
        <v>21</v>
      </c>
      <c r="AA85" s="20" t="s">
        <v>21</v>
      </c>
      <c r="AB85" s="20" t="s">
        <v>20</v>
      </c>
      <c r="AC85" s="20" t="s">
        <v>20</v>
      </c>
      <c r="AD85" s="18" t="s">
        <v>23</v>
      </c>
      <c r="AE85" s="18" t="s">
        <v>21</v>
      </c>
      <c r="AG85">
        <f t="shared" si="0"/>
        <v>0</v>
      </c>
      <c r="AH85">
        <f t="shared" si="1"/>
        <v>9</v>
      </c>
      <c r="AI85">
        <f t="shared" si="2"/>
        <v>14</v>
      </c>
      <c r="AJ85">
        <f t="shared" si="3"/>
        <v>3</v>
      </c>
      <c r="AL85">
        <f t="shared" si="4"/>
        <v>0</v>
      </c>
      <c r="AM85">
        <f t="shared" si="5"/>
        <v>27</v>
      </c>
      <c r="AN85">
        <f t="shared" si="6"/>
        <v>28</v>
      </c>
      <c r="AO85">
        <f t="shared" si="7"/>
        <v>3</v>
      </c>
      <c r="AP85">
        <f t="shared" si="8"/>
        <v>58</v>
      </c>
    </row>
    <row r="86" spans="1:42" ht="15.75" hidden="1" customHeight="1" x14ac:dyDescent="0.3">
      <c r="A86" s="16"/>
      <c r="B86" s="55">
        <v>19</v>
      </c>
      <c r="C86" s="56" t="s">
        <v>104</v>
      </c>
      <c r="D86" s="55">
        <v>2</v>
      </c>
      <c r="E86" s="55" t="s">
        <v>21</v>
      </c>
      <c r="F86" s="18" t="s">
        <v>21</v>
      </c>
      <c r="G86" s="18" t="s">
        <v>23</v>
      </c>
      <c r="H86" s="18" t="s">
        <v>21</v>
      </c>
      <c r="I86" s="18" t="s">
        <v>21</v>
      </c>
      <c r="J86" s="18" t="s">
        <v>21</v>
      </c>
      <c r="K86" s="18" t="s">
        <v>21</v>
      </c>
      <c r="L86" s="18" t="s">
        <v>21</v>
      </c>
      <c r="M86" s="18" t="s">
        <v>23</v>
      </c>
      <c r="N86" s="18" t="s">
        <v>23</v>
      </c>
      <c r="O86" s="18" t="s">
        <v>23</v>
      </c>
      <c r="P86" s="18" t="s">
        <v>23</v>
      </c>
      <c r="Q86" s="18" t="s">
        <v>21</v>
      </c>
      <c r="R86" s="18" t="s">
        <v>23</v>
      </c>
      <c r="S86" s="18" t="s">
        <v>21</v>
      </c>
      <c r="T86" s="18" t="s">
        <v>23</v>
      </c>
      <c r="U86" s="18" t="s">
        <v>21</v>
      </c>
      <c r="V86" s="37" t="s">
        <v>21</v>
      </c>
      <c r="W86" s="37" t="s">
        <v>21</v>
      </c>
      <c r="X86" s="37" t="s">
        <v>21</v>
      </c>
      <c r="Y86" s="18" t="s">
        <v>23</v>
      </c>
      <c r="Z86" s="18" t="s">
        <v>23</v>
      </c>
      <c r="AA86" s="20" t="s">
        <v>21</v>
      </c>
      <c r="AB86" s="20" t="s">
        <v>21</v>
      </c>
      <c r="AC86" s="20" t="s">
        <v>21</v>
      </c>
      <c r="AD86" s="18" t="s">
        <v>23</v>
      </c>
      <c r="AE86" s="18" t="s">
        <v>21</v>
      </c>
      <c r="AG86">
        <f t="shared" si="0"/>
        <v>0</v>
      </c>
      <c r="AH86">
        <f t="shared" si="1"/>
        <v>0</v>
      </c>
      <c r="AI86">
        <f t="shared" si="2"/>
        <v>16</v>
      </c>
      <c r="AJ86">
        <f t="shared" si="3"/>
        <v>10</v>
      </c>
      <c r="AL86">
        <f t="shared" si="4"/>
        <v>0</v>
      </c>
      <c r="AM86">
        <f t="shared" si="5"/>
        <v>0</v>
      </c>
      <c r="AN86">
        <f t="shared" si="6"/>
        <v>32</v>
      </c>
      <c r="AO86">
        <f t="shared" si="7"/>
        <v>10</v>
      </c>
      <c r="AP86">
        <f t="shared" si="8"/>
        <v>42</v>
      </c>
    </row>
    <row r="87" spans="1:42" ht="15.75" hidden="1" customHeight="1" x14ac:dyDescent="0.3">
      <c r="A87" s="16"/>
      <c r="B87" s="55">
        <v>20</v>
      </c>
      <c r="C87" s="56" t="s">
        <v>105</v>
      </c>
      <c r="D87" s="55">
        <v>2</v>
      </c>
      <c r="E87" s="55" t="s">
        <v>21</v>
      </c>
      <c r="F87" s="18" t="s">
        <v>20</v>
      </c>
      <c r="G87" s="18" t="s">
        <v>20</v>
      </c>
      <c r="H87" s="18" t="s">
        <v>20</v>
      </c>
      <c r="I87" s="18" t="s">
        <v>20</v>
      </c>
      <c r="J87" s="18" t="s">
        <v>20</v>
      </c>
      <c r="K87" s="18" t="s">
        <v>20</v>
      </c>
      <c r="L87" s="18" t="s">
        <v>21</v>
      </c>
      <c r="M87" s="18" t="s">
        <v>21</v>
      </c>
      <c r="N87" s="18" t="s">
        <v>20</v>
      </c>
      <c r="O87" s="18" t="s">
        <v>20</v>
      </c>
      <c r="P87" s="18" t="s">
        <v>23</v>
      </c>
      <c r="Q87" s="18" t="s">
        <v>23</v>
      </c>
      <c r="R87" s="18" t="s">
        <v>21</v>
      </c>
      <c r="S87" s="18" t="s">
        <v>21</v>
      </c>
      <c r="T87" s="18" t="s">
        <v>20</v>
      </c>
      <c r="U87" s="18" t="s">
        <v>21</v>
      </c>
      <c r="V87" s="37" t="s">
        <v>21</v>
      </c>
      <c r="W87" s="37" t="s">
        <v>20</v>
      </c>
      <c r="X87" s="37" t="s">
        <v>21</v>
      </c>
      <c r="Y87" s="18" t="s">
        <v>20</v>
      </c>
      <c r="Z87" s="18" t="s">
        <v>20</v>
      </c>
      <c r="AA87" s="20" t="s">
        <v>20</v>
      </c>
      <c r="AB87" s="20" t="s">
        <v>20</v>
      </c>
      <c r="AC87" s="20" t="s">
        <v>20</v>
      </c>
      <c r="AD87" s="18" t="s">
        <v>21</v>
      </c>
      <c r="AE87" s="18" t="s">
        <v>21</v>
      </c>
      <c r="AG87">
        <f t="shared" si="0"/>
        <v>0</v>
      </c>
      <c r="AH87">
        <f t="shared" si="1"/>
        <v>15</v>
      </c>
      <c r="AI87">
        <f t="shared" si="2"/>
        <v>9</v>
      </c>
      <c r="AJ87">
        <f t="shared" si="3"/>
        <v>2</v>
      </c>
      <c r="AL87">
        <f t="shared" si="4"/>
        <v>0</v>
      </c>
      <c r="AM87">
        <f t="shared" si="5"/>
        <v>45</v>
      </c>
      <c r="AN87">
        <f t="shared" si="6"/>
        <v>18</v>
      </c>
      <c r="AO87">
        <f t="shared" si="7"/>
        <v>2</v>
      </c>
      <c r="AP87">
        <f t="shared" si="8"/>
        <v>65</v>
      </c>
    </row>
    <row r="88" spans="1:42" ht="15.75" hidden="1" customHeight="1" x14ac:dyDescent="0.3">
      <c r="A88" s="16"/>
      <c r="B88" s="55">
        <v>21</v>
      </c>
      <c r="C88" s="56" t="s">
        <v>106</v>
      </c>
      <c r="D88" s="55">
        <v>2</v>
      </c>
      <c r="E88" s="55" t="s">
        <v>21</v>
      </c>
      <c r="F88" s="18" t="s">
        <v>21</v>
      </c>
      <c r="G88" s="18" t="s">
        <v>23</v>
      </c>
      <c r="H88" s="18" t="s">
        <v>21</v>
      </c>
      <c r="I88" s="18" t="s">
        <v>21</v>
      </c>
      <c r="J88" s="18" t="s">
        <v>20</v>
      </c>
      <c r="K88" s="18" t="s">
        <v>20</v>
      </c>
      <c r="L88" s="18" t="s">
        <v>20</v>
      </c>
      <c r="M88" s="18" t="s">
        <v>21</v>
      </c>
      <c r="N88" s="18" t="s">
        <v>21</v>
      </c>
      <c r="O88" s="18" t="s">
        <v>21</v>
      </c>
      <c r="P88" s="18" t="s">
        <v>21</v>
      </c>
      <c r="Q88" s="18" t="s">
        <v>21</v>
      </c>
      <c r="R88" s="18" t="s">
        <v>21</v>
      </c>
      <c r="S88" s="18" t="s">
        <v>23</v>
      </c>
      <c r="T88" s="18" t="s">
        <v>21</v>
      </c>
      <c r="U88" s="18" t="s">
        <v>20</v>
      </c>
      <c r="V88" s="37" t="s">
        <v>21</v>
      </c>
      <c r="W88" s="37" t="s">
        <v>21</v>
      </c>
      <c r="X88" s="37" t="s">
        <v>21</v>
      </c>
      <c r="Y88" s="18" t="s">
        <v>23</v>
      </c>
      <c r="Z88" s="18" t="s">
        <v>21</v>
      </c>
      <c r="AA88" s="20" t="s">
        <v>21</v>
      </c>
      <c r="AB88" s="20" t="s">
        <v>21</v>
      </c>
      <c r="AC88" s="20" t="s">
        <v>21</v>
      </c>
      <c r="AD88" s="18" t="s">
        <v>23</v>
      </c>
      <c r="AE88" s="18" t="s">
        <v>21</v>
      </c>
      <c r="AG88">
        <f t="shared" ref="AG88:AG151" si="9">+COUNTIF(F88:AE88,"AD")</f>
        <v>0</v>
      </c>
      <c r="AH88">
        <f t="shared" ref="AH88:AH151" si="10">+COUNTIF(F88:AE88,"A")</f>
        <v>4</v>
      </c>
      <c r="AI88">
        <f t="shared" ref="AI88:AI151" si="11">+COUNTIF(F88:AE88,"b")</f>
        <v>18</v>
      </c>
      <c r="AJ88">
        <f t="shared" ref="AJ88:AJ151" si="12">+COUNTIF(F88:AE88,"c")</f>
        <v>4</v>
      </c>
      <c r="AL88">
        <f t="shared" ref="AL88:AL151" si="13">+$AG$5*AG88</f>
        <v>0</v>
      </c>
      <c r="AM88">
        <f t="shared" ref="AM88:AM151" si="14">+$AH$5*AH88</f>
        <v>12</v>
      </c>
      <c r="AN88">
        <f t="shared" ref="AN88:AN151" si="15">+$AI$5*AI88</f>
        <v>36</v>
      </c>
      <c r="AO88">
        <f t="shared" ref="AO88:AO151" si="16">+$AJ$5*AJ88</f>
        <v>4</v>
      </c>
      <c r="AP88">
        <f t="shared" ref="AP88:AP151" si="17">+SUM(AL88:AO88)</f>
        <v>52</v>
      </c>
    </row>
    <row r="89" spans="1:42" ht="15.75" hidden="1" customHeight="1" x14ac:dyDescent="0.3">
      <c r="A89" s="16"/>
      <c r="B89" s="55">
        <v>22</v>
      </c>
      <c r="C89" s="56" t="s">
        <v>107</v>
      </c>
      <c r="D89" s="55">
        <v>2</v>
      </c>
      <c r="E89" s="55" t="s">
        <v>21</v>
      </c>
      <c r="F89" s="18" t="s">
        <v>21</v>
      </c>
      <c r="G89" s="18" t="s">
        <v>21</v>
      </c>
      <c r="H89" s="18" t="s">
        <v>23</v>
      </c>
      <c r="I89" s="18" t="s">
        <v>21</v>
      </c>
      <c r="J89" s="18" t="s">
        <v>20</v>
      </c>
      <c r="K89" s="18" t="s">
        <v>21</v>
      </c>
      <c r="L89" s="18" t="s">
        <v>21</v>
      </c>
      <c r="M89" s="18" t="s">
        <v>20</v>
      </c>
      <c r="N89" s="18" t="s">
        <v>21</v>
      </c>
      <c r="O89" s="18" t="s">
        <v>20</v>
      </c>
      <c r="P89" s="18" t="s">
        <v>21</v>
      </c>
      <c r="Q89" s="18" t="s">
        <v>21</v>
      </c>
      <c r="R89" s="18" t="s">
        <v>21</v>
      </c>
      <c r="S89" s="18" t="s">
        <v>20</v>
      </c>
      <c r="T89" s="18" t="s">
        <v>21</v>
      </c>
      <c r="U89" s="18" t="s">
        <v>21</v>
      </c>
      <c r="V89" s="37" t="s">
        <v>21</v>
      </c>
      <c r="W89" s="37" t="s">
        <v>21</v>
      </c>
      <c r="X89" s="37" t="s">
        <v>21</v>
      </c>
      <c r="Y89" s="18" t="s">
        <v>21</v>
      </c>
      <c r="Z89" s="18" t="s">
        <v>21</v>
      </c>
      <c r="AA89" s="20" t="s">
        <v>21</v>
      </c>
      <c r="AB89" s="20" t="s">
        <v>21</v>
      </c>
      <c r="AC89" s="20" t="s">
        <v>20</v>
      </c>
      <c r="AD89" s="18" t="s">
        <v>23</v>
      </c>
      <c r="AE89" s="18" t="s">
        <v>21</v>
      </c>
      <c r="AG89">
        <f t="shared" si="9"/>
        <v>0</v>
      </c>
      <c r="AH89">
        <f t="shared" si="10"/>
        <v>5</v>
      </c>
      <c r="AI89">
        <f t="shared" si="11"/>
        <v>19</v>
      </c>
      <c r="AJ89">
        <f t="shared" si="12"/>
        <v>2</v>
      </c>
      <c r="AL89">
        <f t="shared" si="13"/>
        <v>0</v>
      </c>
      <c r="AM89">
        <f t="shared" si="14"/>
        <v>15</v>
      </c>
      <c r="AN89">
        <f t="shared" si="15"/>
        <v>38</v>
      </c>
      <c r="AO89">
        <f t="shared" si="16"/>
        <v>2</v>
      </c>
      <c r="AP89">
        <f t="shared" si="17"/>
        <v>55</v>
      </c>
    </row>
    <row r="90" spans="1:42" ht="15.75" hidden="1" customHeight="1" thickBot="1" x14ac:dyDescent="0.35">
      <c r="A90" s="16"/>
      <c r="B90" s="57">
        <v>23</v>
      </c>
      <c r="C90" s="58" t="s">
        <v>108</v>
      </c>
      <c r="D90" s="57">
        <v>2</v>
      </c>
      <c r="E90" s="57" t="s">
        <v>21</v>
      </c>
      <c r="F90" s="21" t="s">
        <v>21</v>
      </c>
      <c r="G90" s="21" t="s">
        <v>23</v>
      </c>
      <c r="H90" s="21" t="s">
        <v>21</v>
      </c>
      <c r="I90" s="21" t="s">
        <v>21</v>
      </c>
      <c r="J90" s="21" t="s">
        <v>20</v>
      </c>
      <c r="K90" s="21" t="s">
        <v>21</v>
      </c>
      <c r="L90" s="21" t="s">
        <v>21</v>
      </c>
      <c r="M90" s="21" t="s">
        <v>23</v>
      </c>
      <c r="N90" s="21" t="s">
        <v>21</v>
      </c>
      <c r="O90" s="21" t="s">
        <v>21</v>
      </c>
      <c r="P90" s="21" t="s">
        <v>23</v>
      </c>
      <c r="Q90" s="21" t="s">
        <v>21</v>
      </c>
      <c r="R90" s="41" t="s">
        <v>23</v>
      </c>
      <c r="S90" s="21" t="s">
        <v>23</v>
      </c>
      <c r="T90" s="21" t="s">
        <v>23</v>
      </c>
      <c r="U90" s="21" t="s">
        <v>21</v>
      </c>
      <c r="V90" s="38" t="s">
        <v>20</v>
      </c>
      <c r="W90" s="38" t="s">
        <v>20</v>
      </c>
      <c r="X90" s="38" t="s">
        <v>20</v>
      </c>
      <c r="Y90" s="21" t="s">
        <v>21</v>
      </c>
      <c r="Z90" s="21" t="s">
        <v>21</v>
      </c>
      <c r="AA90" s="23" t="s">
        <v>21</v>
      </c>
      <c r="AB90" s="23" t="s">
        <v>21</v>
      </c>
      <c r="AC90" s="23" t="s">
        <v>21</v>
      </c>
      <c r="AD90" s="21" t="s">
        <v>23</v>
      </c>
      <c r="AE90" s="21" t="s">
        <v>21</v>
      </c>
      <c r="AG90">
        <f t="shared" si="9"/>
        <v>0</v>
      </c>
      <c r="AH90">
        <f t="shared" si="10"/>
        <v>4</v>
      </c>
      <c r="AI90">
        <f t="shared" si="11"/>
        <v>15</v>
      </c>
      <c r="AJ90">
        <f t="shared" si="12"/>
        <v>7</v>
      </c>
      <c r="AL90">
        <f t="shared" si="13"/>
        <v>0</v>
      </c>
      <c r="AM90">
        <f t="shared" si="14"/>
        <v>12</v>
      </c>
      <c r="AN90">
        <f t="shared" si="15"/>
        <v>30</v>
      </c>
      <c r="AO90">
        <f t="shared" si="16"/>
        <v>7</v>
      </c>
      <c r="AP90">
        <f t="shared" si="17"/>
        <v>49</v>
      </c>
    </row>
    <row r="91" spans="1:42" ht="15.75" hidden="1" customHeight="1" x14ac:dyDescent="0.3">
      <c r="A91" s="16"/>
      <c r="B91" s="59">
        <v>1</v>
      </c>
      <c r="C91" s="60" t="s">
        <v>109</v>
      </c>
      <c r="D91" s="59">
        <v>3</v>
      </c>
      <c r="E91" s="59" t="s">
        <v>20</v>
      </c>
      <c r="F91" s="24" t="s">
        <v>39</v>
      </c>
      <c r="G91" s="24" t="s">
        <v>39</v>
      </c>
      <c r="H91" s="24" t="s">
        <v>20</v>
      </c>
      <c r="I91" s="24" t="s">
        <v>39</v>
      </c>
      <c r="J91" s="42" t="s">
        <v>20</v>
      </c>
      <c r="K91" s="42" t="s">
        <v>39</v>
      </c>
      <c r="L91" s="42" t="s">
        <v>20</v>
      </c>
      <c r="M91" s="24" t="s">
        <v>20</v>
      </c>
      <c r="N91" s="24" t="s">
        <v>20</v>
      </c>
      <c r="O91" s="24" t="s">
        <v>20</v>
      </c>
      <c r="P91" s="24" t="s">
        <v>20</v>
      </c>
      <c r="Q91" s="24" t="s">
        <v>20</v>
      </c>
      <c r="R91" s="24" t="s">
        <v>20</v>
      </c>
      <c r="S91" s="24" t="s">
        <v>20</v>
      </c>
      <c r="T91" s="24" t="s">
        <v>20</v>
      </c>
      <c r="U91" s="24" t="s">
        <v>20</v>
      </c>
      <c r="V91" s="39" t="s">
        <v>21</v>
      </c>
      <c r="W91" s="39" t="s">
        <v>20</v>
      </c>
      <c r="X91" s="39" t="s">
        <v>21</v>
      </c>
      <c r="Y91" s="24" t="s">
        <v>39</v>
      </c>
      <c r="Z91" s="24" t="s">
        <v>39</v>
      </c>
      <c r="AA91" s="27" t="s">
        <v>20</v>
      </c>
      <c r="AB91" s="27" t="s">
        <v>20</v>
      </c>
      <c r="AC91" s="27" t="s">
        <v>20</v>
      </c>
      <c r="AD91" s="39" t="s">
        <v>20</v>
      </c>
      <c r="AE91" s="39" t="s">
        <v>21</v>
      </c>
      <c r="AG91">
        <f t="shared" si="9"/>
        <v>6</v>
      </c>
      <c r="AH91">
        <f t="shared" si="10"/>
        <v>17</v>
      </c>
      <c r="AI91">
        <f t="shared" si="11"/>
        <v>3</v>
      </c>
      <c r="AJ91">
        <f t="shared" si="12"/>
        <v>0</v>
      </c>
      <c r="AL91">
        <f t="shared" si="13"/>
        <v>24</v>
      </c>
      <c r="AM91">
        <f t="shared" si="14"/>
        <v>51</v>
      </c>
      <c r="AN91">
        <f t="shared" si="15"/>
        <v>6</v>
      </c>
      <c r="AO91">
        <f t="shared" si="16"/>
        <v>0</v>
      </c>
      <c r="AP91">
        <f t="shared" si="17"/>
        <v>81</v>
      </c>
    </row>
    <row r="92" spans="1:42" ht="15.75" hidden="1" customHeight="1" x14ac:dyDescent="0.3">
      <c r="A92" s="16"/>
      <c r="B92" s="55">
        <v>2</v>
      </c>
      <c r="C92" s="56" t="s">
        <v>110</v>
      </c>
      <c r="D92" s="55">
        <v>3</v>
      </c>
      <c r="E92" s="55" t="s">
        <v>20</v>
      </c>
      <c r="F92" s="18" t="s">
        <v>20</v>
      </c>
      <c r="G92" s="18" t="s">
        <v>20</v>
      </c>
      <c r="H92" s="18" t="s">
        <v>20</v>
      </c>
      <c r="I92" s="18" t="s">
        <v>39</v>
      </c>
      <c r="J92" s="43" t="s">
        <v>39</v>
      </c>
      <c r="K92" s="43" t="s">
        <v>39</v>
      </c>
      <c r="L92" s="43" t="s">
        <v>20</v>
      </c>
      <c r="M92" s="18" t="s">
        <v>20</v>
      </c>
      <c r="N92" s="18" t="s">
        <v>20</v>
      </c>
      <c r="O92" s="18" t="s">
        <v>20</v>
      </c>
      <c r="P92" s="18" t="s">
        <v>20</v>
      </c>
      <c r="Q92" s="18" t="s">
        <v>20</v>
      </c>
      <c r="R92" s="18" t="s">
        <v>20</v>
      </c>
      <c r="S92" s="18" t="s">
        <v>20</v>
      </c>
      <c r="T92" s="18" t="s">
        <v>20</v>
      </c>
      <c r="U92" s="18" t="s">
        <v>20</v>
      </c>
      <c r="V92" s="37" t="s">
        <v>20</v>
      </c>
      <c r="W92" s="37" t="s">
        <v>20</v>
      </c>
      <c r="X92" s="37" t="s">
        <v>20</v>
      </c>
      <c r="Y92" s="18" t="s">
        <v>20</v>
      </c>
      <c r="Z92" s="18" t="s">
        <v>20</v>
      </c>
      <c r="AA92" s="20" t="s">
        <v>20</v>
      </c>
      <c r="AB92" s="20" t="s">
        <v>20</v>
      </c>
      <c r="AC92" s="20" t="s">
        <v>20</v>
      </c>
      <c r="AD92" s="37" t="s">
        <v>21</v>
      </c>
      <c r="AE92" s="37" t="s">
        <v>21</v>
      </c>
      <c r="AG92">
        <f t="shared" si="9"/>
        <v>3</v>
      </c>
      <c r="AH92">
        <f t="shared" si="10"/>
        <v>21</v>
      </c>
      <c r="AI92">
        <f t="shared" si="11"/>
        <v>2</v>
      </c>
      <c r="AJ92">
        <f t="shared" si="12"/>
        <v>0</v>
      </c>
      <c r="AL92">
        <f t="shared" si="13"/>
        <v>12</v>
      </c>
      <c r="AM92">
        <f t="shared" si="14"/>
        <v>63</v>
      </c>
      <c r="AN92">
        <f t="shared" si="15"/>
        <v>4</v>
      </c>
      <c r="AO92">
        <f t="shared" si="16"/>
        <v>0</v>
      </c>
      <c r="AP92">
        <f t="shared" si="17"/>
        <v>79</v>
      </c>
    </row>
    <row r="93" spans="1:42" ht="15.75" hidden="1" customHeight="1" x14ac:dyDescent="0.3">
      <c r="A93" s="16"/>
      <c r="B93" s="55">
        <v>3</v>
      </c>
      <c r="C93" s="56" t="s">
        <v>111</v>
      </c>
      <c r="D93" s="55">
        <v>3</v>
      </c>
      <c r="E93" s="55" t="s">
        <v>20</v>
      </c>
      <c r="F93" s="18" t="s">
        <v>23</v>
      </c>
      <c r="G93" s="18" t="s">
        <v>21</v>
      </c>
      <c r="H93" s="18" t="s">
        <v>23</v>
      </c>
      <c r="I93" s="18" t="s">
        <v>23</v>
      </c>
      <c r="J93" s="43" t="s">
        <v>21</v>
      </c>
      <c r="K93" s="43" t="s">
        <v>20</v>
      </c>
      <c r="L93" s="43" t="s">
        <v>21</v>
      </c>
      <c r="M93" s="18" t="s">
        <v>21</v>
      </c>
      <c r="N93" s="18" t="s">
        <v>21</v>
      </c>
      <c r="O93" s="18" t="s">
        <v>21</v>
      </c>
      <c r="P93" s="18" t="s">
        <v>23</v>
      </c>
      <c r="Q93" s="18" t="s">
        <v>21</v>
      </c>
      <c r="R93" s="18" t="s">
        <v>21</v>
      </c>
      <c r="S93" s="18" t="s">
        <v>21</v>
      </c>
      <c r="T93" s="18" t="s">
        <v>21</v>
      </c>
      <c r="U93" s="18" t="s">
        <v>20</v>
      </c>
      <c r="V93" s="37" t="s">
        <v>20</v>
      </c>
      <c r="W93" s="37" t="s">
        <v>21</v>
      </c>
      <c r="X93" s="37" t="s">
        <v>21</v>
      </c>
      <c r="Y93" s="18" t="s">
        <v>21</v>
      </c>
      <c r="Z93" s="18" t="s">
        <v>20</v>
      </c>
      <c r="AA93" s="20" t="s">
        <v>21</v>
      </c>
      <c r="AB93" s="20" t="s">
        <v>21</v>
      </c>
      <c r="AC93" s="20" t="s">
        <v>21</v>
      </c>
      <c r="AD93" s="37" t="s">
        <v>23</v>
      </c>
      <c r="AE93" s="37" t="s">
        <v>21</v>
      </c>
      <c r="AG93">
        <f t="shared" si="9"/>
        <v>0</v>
      </c>
      <c r="AH93">
        <f t="shared" si="10"/>
        <v>4</v>
      </c>
      <c r="AI93">
        <f t="shared" si="11"/>
        <v>17</v>
      </c>
      <c r="AJ93">
        <f t="shared" si="12"/>
        <v>5</v>
      </c>
      <c r="AL93">
        <f t="shared" si="13"/>
        <v>0</v>
      </c>
      <c r="AM93">
        <f t="shared" si="14"/>
        <v>12</v>
      </c>
      <c r="AN93">
        <f t="shared" si="15"/>
        <v>34</v>
      </c>
      <c r="AO93">
        <f t="shared" si="16"/>
        <v>5</v>
      </c>
      <c r="AP93">
        <f t="shared" si="17"/>
        <v>51</v>
      </c>
    </row>
    <row r="94" spans="1:42" ht="15.75" hidden="1" customHeight="1" x14ac:dyDescent="0.3">
      <c r="A94" s="16"/>
      <c r="B94" s="55">
        <v>4</v>
      </c>
      <c r="C94" s="56" t="s">
        <v>112</v>
      </c>
      <c r="D94" s="55">
        <v>3</v>
      </c>
      <c r="E94" s="55" t="s">
        <v>20</v>
      </c>
      <c r="F94" s="18" t="s">
        <v>39</v>
      </c>
      <c r="G94" s="18" t="s">
        <v>20</v>
      </c>
      <c r="H94" s="18" t="s">
        <v>20</v>
      </c>
      <c r="I94" s="18" t="s">
        <v>20</v>
      </c>
      <c r="J94" s="43" t="s">
        <v>20</v>
      </c>
      <c r="K94" s="43" t="s">
        <v>39</v>
      </c>
      <c r="L94" s="43" t="s">
        <v>20</v>
      </c>
      <c r="M94" s="18" t="s">
        <v>20</v>
      </c>
      <c r="N94" s="18" t="s">
        <v>20</v>
      </c>
      <c r="O94" s="18" t="s">
        <v>20</v>
      </c>
      <c r="P94" s="18" t="s">
        <v>20</v>
      </c>
      <c r="Q94" s="18" t="s">
        <v>20</v>
      </c>
      <c r="R94" s="18" t="s">
        <v>20</v>
      </c>
      <c r="S94" s="18" t="s">
        <v>20</v>
      </c>
      <c r="T94" s="18" t="s">
        <v>20</v>
      </c>
      <c r="U94" s="18" t="s">
        <v>20</v>
      </c>
      <c r="V94" s="37" t="s">
        <v>20</v>
      </c>
      <c r="W94" s="37" t="s">
        <v>21</v>
      </c>
      <c r="X94" s="37" t="s">
        <v>20</v>
      </c>
      <c r="Y94" s="18" t="s">
        <v>20</v>
      </c>
      <c r="Z94" s="18" t="s">
        <v>20</v>
      </c>
      <c r="AA94" s="20" t="s">
        <v>20</v>
      </c>
      <c r="AB94" s="20" t="s">
        <v>20</v>
      </c>
      <c r="AC94" s="20" t="s">
        <v>20</v>
      </c>
      <c r="AD94" s="37" t="s">
        <v>20</v>
      </c>
      <c r="AE94" s="37" t="s">
        <v>21</v>
      </c>
      <c r="AG94">
        <f t="shared" si="9"/>
        <v>2</v>
      </c>
      <c r="AH94">
        <f t="shared" si="10"/>
        <v>22</v>
      </c>
      <c r="AI94">
        <f t="shared" si="11"/>
        <v>2</v>
      </c>
      <c r="AJ94">
        <f t="shared" si="12"/>
        <v>0</v>
      </c>
      <c r="AL94">
        <f t="shared" si="13"/>
        <v>8</v>
      </c>
      <c r="AM94">
        <f t="shared" si="14"/>
        <v>66</v>
      </c>
      <c r="AN94">
        <f t="shared" si="15"/>
        <v>4</v>
      </c>
      <c r="AO94">
        <f t="shared" si="16"/>
        <v>0</v>
      </c>
      <c r="AP94">
        <f t="shared" si="17"/>
        <v>78</v>
      </c>
    </row>
    <row r="95" spans="1:42" ht="15.75" hidden="1" customHeight="1" x14ac:dyDescent="0.3">
      <c r="A95" s="16"/>
      <c r="B95" s="55">
        <v>5</v>
      </c>
      <c r="C95" s="56" t="s">
        <v>113</v>
      </c>
      <c r="D95" s="55">
        <v>3</v>
      </c>
      <c r="E95" s="55" t="s">
        <v>20</v>
      </c>
      <c r="F95" s="18" t="s">
        <v>23</v>
      </c>
      <c r="G95" s="18" t="s">
        <v>23</v>
      </c>
      <c r="H95" s="18" t="s">
        <v>23</v>
      </c>
      <c r="I95" s="18" t="s">
        <v>23</v>
      </c>
      <c r="J95" s="43" t="s">
        <v>21</v>
      </c>
      <c r="K95" s="43" t="s">
        <v>21</v>
      </c>
      <c r="L95" s="43" t="s">
        <v>21</v>
      </c>
      <c r="M95" s="18" t="s">
        <v>21</v>
      </c>
      <c r="N95" s="18" t="s">
        <v>23</v>
      </c>
      <c r="O95" s="18" t="s">
        <v>23</v>
      </c>
      <c r="P95" s="18" t="s">
        <v>23</v>
      </c>
      <c r="Q95" s="18" t="s">
        <v>23</v>
      </c>
      <c r="R95" s="18" t="s">
        <v>21</v>
      </c>
      <c r="S95" s="18" t="s">
        <v>23</v>
      </c>
      <c r="T95" s="18" t="s">
        <v>23</v>
      </c>
      <c r="U95" s="18" t="s">
        <v>21</v>
      </c>
      <c r="V95" s="37" t="s">
        <v>21</v>
      </c>
      <c r="W95" s="37" t="s">
        <v>21</v>
      </c>
      <c r="X95" s="37" t="s">
        <v>21</v>
      </c>
      <c r="Y95" s="18" t="s">
        <v>23</v>
      </c>
      <c r="Z95" s="18" t="s">
        <v>21</v>
      </c>
      <c r="AA95" s="20" t="s">
        <v>21</v>
      </c>
      <c r="AB95" s="20" t="s">
        <v>21</v>
      </c>
      <c r="AC95" s="20" t="s">
        <v>21</v>
      </c>
      <c r="AD95" s="37" t="s">
        <v>23</v>
      </c>
      <c r="AE95" s="37" t="s">
        <v>21</v>
      </c>
      <c r="AG95">
        <f t="shared" si="9"/>
        <v>0</v>
      </c>
      <c r="AH95">
        <f t="shared" si="10"/>
        <v>0</v>
      </c>
      <c r="AI95">
        <f t="shared" si="11"/>
        <v>14</v>
      </c>
      <c r="AJ95">
        <f t="shared" si="12"/>
        <v>12</v>
      </c>
      <c r="AL95">
        <f t="shared" si="13"/>
        <v>0</v>
      </c>
      <c r="AM95">
        <f t="shared" si="14"/>
        <v>0</v>
      </c>
      <c r="AN95">
        <f t="shared" si="15"/>
        <v>28</v>
      </c>
      <c r="AO95">
        <f t="shared" si="16"/>
        <v>12</v>
      </c>
      <c r="AP95">
        <f t="shared" si="17"/>
        <v>40</v>
      </c>
    </row>
    <row r="96" spans="1:42" ht="15.75" hidden="1" customHeight="1" x14ac:dyDescent="0.3">
      <c r="A96" s="16"/>
      <c r="B96" s="55">
        <v>6</v>
      </c>
      <c r="C96" s="56" t="s">
        <v>114</v>
      </c>
      <c r="D96" s="55">
        <v>3</v>
      </c>
      <c r="E96" s="55" t="s">
        <v>20</v>
      </c>
      <c r="F96" s="18" t="s">
        <v>20</v>
      </c>
      <c r="G96" s="18" t="s">
        <v>20</v>
      </c>
      <c r="H96" s="18" t="s">
        <v>20</v>
      </c>
      <c r="I96" s="18" t="s">
        <v>20</v>
      </c>
      <c r="J96" s="43" t="s">
        <v>20</v>
      </c>
      <c r="K96" s="43" t="s">
        <v>20</v>
      </c>
      <c r="L96" s="43" t="s">
        <v>20</v>
      </c>
      <c r="M96" s="18" t="s">
        <v>21</v>
      </c>
      <c r="N96" s="18" t="s">
        <v>20</v>
      </c>
      <c r="O96" s="18" t="s">
        <v>20</v>
      </c>
      <c r="P96" s="18" t="s">
        <v>20</v>
      </c>
      <c r="Q96" s="18" t="s">
        <v>20</v>
      </c>
      <c r="R96" s="18" t="s">
        <v>21</v>
      </c>
      <c r="S96" s="18" t="s">
        <v>21</v>
      </c>
      <c r="T96" s="18" t="s">
        <v>20</v>
      </c>
      <c r="U96" s="18" t="s">
        <v>20</v>
      </c>
      <c r="V96" s="37" t="s">
        <v>21</v>
      </c>
      <c r="W96" s="37" t="s">
        <v>21</v>
      </c>
      <c r="X96" s="37" t="s">
        <v>20</v>
      </c>
      <c r="Y96" s="18" t="s">
        <v>21</v>
      </c>
      <c r="Z96" s="18" t="s">
        <v>20</v>
      </c>
      <c r="AA96" s="20" t="s">
        <v>20</v>
      </c>
      <c r="AB96" s="20" t="s">
        <v>21</v>
      </c>
      <c r="AC96" s="20" t="s">
        <v>21</v>
      </c>
      <c r="AD96" s="37" t="s">
        <v>23</v>
      </c>
      <c r="AE96" s="37" t="s">
        <v>21</v>
      </c>
      <c r="AG96">
        <f t="shared" si="9"/>
        <v>0</v>
      </c>
      <c r="AH96">
        <f t="shared" si="10"/>
        <v>16</v>
      </c>
      <c r="AI96">
        <f t="shared" si="11"/>
        <v>9</v>
      </c>
      <c r="AJ96">
        <f t="shared" si="12"/>
        <v>1</v>
      </c>
      <c r="AL96">
        <f t="shared" si="13"/>
        <v>0</v>
      </c>
      <c r="AM96">
        <f t="shared" si="14"/>
        <v>48</v>
      </c>
      <c r="AN96">
        <f t="shared" si="15"/>
        <v>18</v>
      </c>
      <c r="AO96">
        <f t="shared" si="16"/>
        <v>1</v>
      </c>
      <c r="AP96">
        <f t="shared" si="17"/>
        <v>67</v>
      </c>
    </row>
    <row r="97" spans="1:42" ht="15.75" hidden="1" customHeight="1" x14ac:dyDescent="0.3">
      <c r="A97" s="16"/>
      <c r="B97" s="55">
        <v>7</v>
      </c>
      <c r="C97" s="56" t="s">
        <v>115</v>
      </c>
      <c r="D97" s="55">
        <v>3</v>
      </c>
      <c r="E97" s="55" t="s">
        <v>20</v>
      </c>
      <c r="F97" s="18" t="s">
        <v>23</v>
      </c>
      <c r="G97" s="18" t="s">
        <v>23</v>
      </c>
      <c r="H97" s="18" t="s">
        <v>23</v>
      </c>
      <c r="I97" s="18" t="s">
        <v>23</v>
      </c>
      <c r="J97" s="43" t="s">
        <v>21</v>
      </c>
      <c r="K97" s="43" t="s">
        <v>21</v>
      </c>
      <c r="L97" s="43" t="s">
        <v>21</v>
      </c>
      <c r="M97" s="18" t="s">
        <v>20</v>
      </c>
      <c r="N97" s="18" t="s">
        <v>21</v>
      </c>
      <c r="O97" s="18" t="s">
        <v>21</v>
      </c>
      <c r="P97" s="18" t="s">
        <v>21</v>
      </c>
      <c r="Q97" s="18" t="s">
        <v>21</v>
      </c>
      <c r="R97" s="18" t="s">
        <v>21</v>
      </c>
      <c r="S97" s="18" t="s">
        <v>23</v>
      </c>
      <c r="T97" s="18" t="s">
        <v>23</v>
      </c>
      <c r="U97" s="18" t="s">
        <v>20</v>
      </c>
      <c r="V97" s="37" t="s">
        <v>20</v>
      </c>
      <c r="W97" s="37" t="s">
        <v>21</v>
      </c>
      <c r="X97" s="37" t="s">
        <v>21</v>
      </c>
      <c r="Y97" s="18" t="s">
        <v>23</v>
      </c>
      <c r="Z97" s="18" t="s">
        <v>21</v>
      </c>
      <c r="AA97" s="20" t="s">
        <v>21</v>
      </c>
      <c r="AB97" s="20" t="s">
        <v>20</v>
      </c>
      <c r="AC97" s="20" t="s">
        <v>21</v>
      </c>
      <c r="AD97" s="37" t="s">
        <v>23</v>
      </c>
      <c r="AE97" s="37" t="s">
        <v>21</v>
      </c>
      <c r="AG97">
        <f t="shared" si="9"/>
        <v>0</v>
      </c>
      <c r="AH97">
        <f t="shared" si="10"/>
        <v>4</v>
      </c>
      <c r="AI97">
        <f t="shared" si="11"/>
        <v>14</v>
      </c>
      <c r="AJ97">
        <f t="shared" si="12"/>
        <v>8</v>
      </c>
      <c r="AL97">
        <f t="shared" si="13"/>
        <v>0</v>
      </c>
      <c r="AM97">
        <f t="shared" si="14"/>
        <v>12</v>
      </c>
      <c r="AN97">
        <f t="shared" si="15"/>
        <v>28</v>
      </c>
      <c r="AO97">
        <f t="shared" si="16"/>
        <v>8</v>
      </c>
      <c r="AP97">
        <f t="shared" si="17"/>
        <v>48</v>
      </c>
    </row>
    <row r="98" spans="1:42" ht="15.75" hidden="1" customHeight="1" x14ac:dyDescent="0.3">
      <c r="A98" s="16"/>
      <c r="B98" s="55">
        <v>8</v>
      </c>
      <c r="C98" s="56" t="s">
        <v>116</v>
      </c>
      <c r="D98" s="55">
        <v>3</v>
      </c>
      <c r="E98" s="55" t="s">
        <v>20</v>
      </c>
      <c r="F98" s="18" t="s">
        <v>21</v>
      </c>
      <c r="G98" s="18" t="s">
        <v>21</v>
      </c>
      <c r="H98" s="18" t="s">
        <v>21</v>
      </c>
      <c r="I98" s="18" t="s">
        <v>21</v>
      </c>
      <c r="J98" s="43" t="s">
        <v>20</v>
      </c>
      <c r="K98" s="43" t="s">
        <v>20</v>
      </c>
      <c r="L98" s="43" t="s">
        <v>21</v>
      </c>
      <c r="M98" s="18" t="s">
        <v>20</v>
      </c>
      <c r="N98" s="18" t="s">
        <v>20</v>
      </c>
      <c r="O98" s="18" t="s">
        <v>21</v>
      </c>
      <c r="P98" s="18" t="s">
        <v>21</v>
      </c>
      <c r="Q98" s="18" t="s">
        <v>21</v>
      </c>
      <c r="R98" s="18" t="s">
        <v>21</v>
      </c>
      <c r="S98" s="18" t="s">
        <v>20</v>
      </c>
      <c r="T98" s="18" t="s">
        <v>20</v>
      </c>
      <c r="U98" s="18" t="s">
        <v>20</v>
      </c>
      <c r="V98" s="37" t="s">
        <v>20</v>
      </c>
      <c r="W98" s="37" t="s">
        <v>20</v>
      </c>
      <c r="X98" s="37" t="s">
        <v>20</v>
      </c>
      <c r="Y98" s="18" t="s">
        <v>21</v>
      </c>
      <c r="Z98" s="18" t="s">
        <v>21</v>
      </c>
      <c r="AA98" s="20" t="s">
        <v>21</v>
      </c>
      <c r="AB98" s="20" t="s">
        <v>21</v>
      </c>
      <c r="AC98" s="20" t="s">
        <v>20</v>
      </c>
      <c r="AD98" s="44" t="s">
        <v>21</v>
      </c>
      <c r="AE98" s="44" t="s">
        <v>21</v>
      </c>
      <c r="AG98">
        <f t="shared" si="9"/>
        <v>0</v>
      </c>
      <c r="AH98">
        <f t="shared" si="10"/>
        <v>11</v>
      </c>
      <c r="AI98">
        <f t="shared" si="11"/>
        <v>15</v>
      </c>
      <c r="AJ98">
        <f t="shared" si="12"/>
        <v>0</v>
      </c>
      <c r="AL98">
        <f t="shared" si="13"/>
        <v>0</v>
      </c>
      <c r="AM98">
        <f t="shared" si="14"/>
        <v>33</v>
      </c>
      <c r="AN98">
        <f t="shared" si="15"/>
        <v>30</v>
      </c>
      <c r="AO98">
        <f t="shared" si="16"/>
        <v>0</v>
      </c>
      <c r="AP98">
        <f t="shared" si="17"/>
        <v>63</v>
      </c>
    </row>
    <row r="99" spans="1:42" ht="15.75" hidden="1" customHeight="1" x14ac:dyDescent="0.3">
      <c r="A99" s="16"/>
      <c r="B99" s="55">
        <v>9</v>
      </c>
      <c r="C99" s="56" t="s">
        <v>117</v>
      </c>
      <c r="D99" s="55">
        <v>3</v>
      </c>
      <c r="E99" s="55" t="s">
        <v>20</v>
      </c>
      <c r="F99" s="18" t="s">
        <v>20</v>
      </c>
      <c r="G99" s="18" t="s">
        <v>20</v>
      </c>
      <c r="H99" s="18" t="s">
        <v>20</v>
      </c>
      <c r="I99" s="18" t="s">
        <v>20</v>
      </c>
      <c r="J99" s="43" t="s">
        <v>20</v>
      </c>
      <c r="K99" s="43" t="s">
        <v>39</v>
      </c>
      <c r="L99" s="43" t="s">
        <v>20</v>
      </c>
      <c r="M99" s="18" t="s">
        <v>20</v>
      </c>
      <c r="N99" s="18" t="s">
        <v>20</v>
      </c>
      <c r="O99" s="18" t="s">
        <v>20</v>
      </c>
      <c r="P99" s="18" t="s">
        <v>20</v>
      </c>
      <c r="Q99" s="18" t="s">
        <v>20</v>
      </c>
      <c r="R99" s="18" t="s">
        <v>20</v>
      </c>
      <c r="S99" s="18" t="s">
        <v>20</v>
      </c>
      <c r="T99" s="18" t="s">
        <v>20</v>
      </c>
      <c r="U99" s="18" t="s">
        <v>20</v>
      </c>
      <c r="V99" s="37" t="s">
        <v>20</v>
      </c>
      <c r="W99" s="37" t="s">
        <v>20</v>
      </c>
      <c r="X99" s="37" t="s">
        <v>20</v>
      </c>
      <c r="Y99" s="18" t="s">
        <v>20</v>
      </c>
      <c r="Z99" s="18" t="s">
        <v>39</v>
      </c>
      <c r="AA99" s="20" t="s">
        <v>20</v>
      </c>
      <c r="AB99" s="20" t="s">
        <v>20</v>
      </c>
      <c r="AC99" s="20" t="s">
        <v>20</v>
      </c>
      <c r="AD99" s="37" t="s">
        <v>21</v>
      </c>
      <c r="AE99" s="37" t="s">
        <v>21</v>
      </c>
      <c r="AG99">
        <f t="shared" si="9"/>
        <v>2</v>
      </c>
      <c r="AH99">
        <f t="shared" si="10"/>
        <v>22</v>
      </c>
      <c r="AI99">
        <f t="shared" si="11"/>
        <v>2</v>
      </c>
      <c r="AJ99">
        <f t="shared" si="12"/>
        <v>0</v>
      </c>
      <c r="AL99">
        <f t="shared" si="13"/>
        <v>8</v>
      </c>
      <c r="AM99">
        <f t="shared" si="14"/>
        <v>66</v>
      </c>
      <c r="AN99">
        <f t="shared" si="15"/>
        <v>4</v>
      </c>
      <c r="AO99">
        <f t="shared" si="16"/>
        <v>0</v>
      </c>
      <c r="AP99">
        <f t="shared" si="17"/>
        <v>78</v>
      </c>
    </row>
    <row r="100" spans="1:42" ht="15.75" hidden="1" customHeight="1" x14ac:dyDescent="0.3">
      <c r="A100" s="16"/>
      <c r="B100" s="55">
        <v>10</v>
      </c>
      <c r="C100" s="56" t="s">
        <v>118</v>
      </c>
      <c r="D100" s="55">
        <v>3</v>
      </c>
      <c r="E100" s="55" t="s">
        <v>20</v>
      </c>
      <c r="F100" s="18" t="s">
        <v>23</v>
      </c>
      <c r="G100" s="18" t="s">
        <v>23</v>
      </c>
      <c r="H100" s="18" t="s">
        <v>23</v>
      </c>
      <c r="I100" s="18" t="s">
        <v>23</v>
      </c>
      <c r="J100" s="43" t="s">
        <v>21</v>
      </c>
      <c r="K100" s="43" t="s">
        <v>21</v>
      </c>
      <c r="L100" s="43" t="s">
        <v>21</v>
      </c>
      <c r="M100" s="18" t="s">
        <v>21</v>
      </c>
      <c r="N100" s="18" t="s">
        <v>23</v>
      </c>
      <c r="O100" s="18" t="s">
        <v>21</v>
      </c>
      <c r="P100" s="18" t="s">
        <v>23</v>
      </c>
      <c r="Q100" s="18" t="s">
        <v>21</v>
      </c>
      <c r="R100" s="18" t="s">
        <v>21</v>
      </c>
      <c r="S100" s="18" t="s">
        <v>20</v>
      </c>
      <c r="T100" s="18" t="s">
        <v>20</v>
      </c>
      <c r="U100" s="18" t="s">
        <v>21</v>
      </c>
      <c r="V100" s="37" t="s">
        <v>20</v>
      </c>
      <c r="W100" s="37" t="s">
        <v>21</v>
      </c>
      <c r="X100" s="37" t="s">
        <v>20</v>
      </c>
      <c r="Y100" s="18" t="s">
        <v>20</v>
      </c>
      <c r="Z100" s="18" t="s">
        <v>20</v>
      </c>
      <c r="AA100" s="20" t="s">
        <v>21</v>
      </c>
      <c r="AB100" s="20" t="s">
        <v>21</v>
      </c>
      <c r="AC100" s="20" t="s">
        <v>21</v>
      </c>
      <c r="AD100" s="37" t="s">
        <v>21</v>
      </c>
      <c r="AE100" s="37" t="s">
        <v>21</v>
      </c>
      <c r="AG100">
        <f t="shared" si="9"/>
        <v>0</v>
      </c>
      <c r="AH100">
        <f t="shared" si="10"/>
        <v>6</v>
      </c>
      <c r="AI100">
        <f t="shared" si="11"/>
        <v>14</v>
      </c>
      <c r="AJ100">
        <f t="shared" si="12"/>
        <v>6</v>
      </c>
      <c r="AL100">
        <f t="shared" si="13"/>
        <v>0</v>
      </c>
      <c r="AM100">
        <f t="shared" si="14"/>
        <v>18</v>
      </c>
      <c r="AN100">
        <f t="shared" si="15"/>
        <v>28</v>
      </c>
      <c r="AO100">
        <f t="shared" si="16"/>
        <v>6</v>
      </c>
      <c r="AP100">
        <f t="shared" si="17"/>
        <v>52</v>
      </c>
    </row>
    <row r="101" spans="1:42" ht="15.75" hidden="1" customHeight="1" x14ac:dyDescent="0.3">
      <c r="A101" s="16"/>
      <c r="B101" s="55">
        <v>11</v>
      </c>
      <c r="C101" s="56" t="s">
        <v>119</v>
      </c>
      <c r="D101" s="55">
        <v>3</v>
      </c>
      <c r="E101" s="55" t="s">
        <v>20</v>
      </c>
      <c r="F101" s="18" t="s">
        <v>21</v>
      </c>
      <c r="G101" s="18" t="s">
        <v>21</v>
      </c>
      <c r="H101" s="18" t="s">
        <v>21</v>
      </c>
      <c r="I101" s="18" t="s">
        <v>21</v>
      </c>
      <c r="J101" s="43" t="s">
        <v>21</v>
      </c>
      <c r="K101" s="43" t="s">
        <v>21</v>
      </c>
      <c r="L101" s="43" t="s">
        <v>21</v>
      </c>
      <c r="M101" s="18" t="s">
        <v>21</v>
      </c>
      <c r="N101" s="18" t="s">
        <v>21</v>
      </c>
      <c r="O101" s="18" t="s">
        <v>21</v>
      </c>
      <c r="P101" s="18" t="s">
        <v>23</v>
      </c>
      <c r="Q101" s="18" t="s">
        <v>21</v>
      </c>
      <c r="R101" s="18" t="s">
        <v>21</v>
      </c>
      <c r="S101" s="18" t="s">
        <v>20</v>
      </c>
      <c r="T101" s="18" t="s">
        <v>20</v>
      </c>
      <c r="U101" s="18" t="s">
        <v>21</v>
      </c>
      <c r="V101" s="37" t="s">
        <v>20</v>
      </c>
      <c r="W101" s="37" t="s">
        <v>20</v>
      </c>
      <c r="X101" s="37" t="s">
        <v>20</v>
      </c>
      <c r="Y101" s="18" t="s">
        <v>21</v>
      </c>
      <c r="Z101" s="18" t="s">
        <v>21</v>
      </c>
      <c r="AA101" s="20" t="s">
        <v>21</v>
      </c>
      <c r="AB101" s="20" t="s">
        <v>21</v>
      </c>
      <c r="AC101" s="20" t="s">
        <v>21</v>
      </c>
      <c r="AD101" s="37" t="s">
        <v>23</v>
      </c>
      <c r="AE101" s="37" t="s">
        <v>21</v>
      </c>
      <c r="AG101">
        <f t="shared" si="9"/>
        <v>0</v>
      </c>
      <c r="AH101">
        <f t="shared" si="10"/>
        <v>5</v>
      </c>
      <c r="AI101">
        <f t="shared" si="11"/>
        <v>19</v>
      </c>
      <c r="AJ101">
        <f t="shared" si="12"/>
        <v>2</v>
      </c>
      <c r="AL101">
        <f t="shared" si="13"/>
        <v>0</v>
      </c>
      <c r="AM101">
        <f t="shared" si="14"/>
        <v>15</v>
      </c>
      <c r="AN101">
        <f t="shared" si="15"/>
        <v>38</v>
      </c>
      <c r="AO101">
        <f t="shared" si="16"/>
        <v>2</v>
      </c>
      <c r="AP101">
        <f t="shared" si="17"/>
        <v>55</v>
      </c>
    </row>
    <row r="102" spans="1:42" ht="15.75" hidden="1" customHeight="1" x14ac:dyDescent="0.3">
      <c r="A102" s="16"/>
      <c r="B102" s="55">
        <v>12</v>
      </c>
      <c r="C102" s="56" t="s">
        <v>120</v>
      </c>
      <c r="D102" s="55">
        <v>3</v>
      </c>
      <c r="E102" s="55" t="s">
        <v>20</v>
      </c>
      <c r="F102" s="18" t="s">
        <v>21</v>
      </c>
      <c r="G102" s="18" t="s">
        <v>23</v>
      </c>
      <c r="H102" s="18" t="s">
        <v>23</v>
      </c>
      <c r="I102" s="18" t="s">
        <v>21</v>
      </c>
      <c r="J102" s="43" t="s">
        <v>21</v>
      </c>
      <c r="K102" s="43" t="s">
        <v>20</v>
      </c>
      <c r="L102" s="43" t="s">
        <v>21</v>
      </c>
      <c r="M102" s="18" t="s">
        <v>21</v>
      </c>
      <c r="N102" s="18" t="s">
        <v>21</v>
      </c>
      <c r="O102" s="18" t="s">
        <v>20</v>
      </c>
      <c r="P102" s="18" t="s">
        <v>21</v>
      </c>
      <c r="Q102" s="18" t="s">
        <v>21</v>
      </c>
      <c r="R102" s="18" t="s">
        <v>21</v>
      </c>
      <c r="S102" s="18" t="s">
        <v>21</v>
      </c>
      <c r="T102" s="18" t="s">
        <v>20</v>
      </c>
      <c r="U102" s="18" t="s">
        <v>21</v>
      </c>
      <c r="V102" s="37" t="s">
        <v>20</v>
      </c>
      <c r="W102" s="37" t="s">
        <v>21</v>
      </c>
      <c r="X102" s="37" t="s">
        <v>20</v>
      </c>
      <c r="Y102" s="18" t="s">
        <v>20</v>
      </c>
      <c r="Z102" s="18" t="s">
        <v>20</v>
      </c>
      <c r="AA102" s="20" t="s">
        <v>20</v>
      </c>
      <c r="AB102" s="20" t="s">
        <v>21</v>
      </c>
      <c r="AC102" s="20" t="s">
        <v>20</v>
      </c>
      <c r="AD102" s="37" t="s">
        <v>23</v>
      </c>
      <c r="AE102" s="37" t="s">
        <v>21</v>
      </c>
      <c r="AG102">
        <f t="shared" si="9"/>
        <v>0</v>
      </c>
      <c r="AH102">
        <f t="shared" si="10"/>
        <v>9</v>
      </c>
      <c r="AI102">
        <f t="shared" si="11"/>
        <v>14</v>
      </c>
      <c r="AJ102">
        <f t="shared" si="12"/>
        <v>3</v>
      </c>
      <c r="AL102">
        <f t="shared" si="13"/>
        <v>0</v>
      </c>
      <c r="AM102">
        <f t="shared" si="14"/>
        <v>27</v>
      </c>
      <c r="AN102">
        <f t="shared" si="15"/>
        <v>28</v>
      </c>
      <c r="AO102">
        <f t="shared" si="16"/>
        <v>3</v>
      </c>
      <c r="AP102">
        <f t="shared" si="17"/>
        <v>58</v>
      </c>
    </row>
    <row r="103" spans="1:42" ht="15.75" hidden="1" customHeight="1" x14ac:dyDescent="0.3">
      <c r="A103" s="16"/>
      <c r="B103" s="55">
        <v>13</v>
      </c>
      <c r="C103" s="56" t="s">
        <v>121</v>
      </c>
      <c r="D103" s="55">
        <v>3</v>
      </c>
      <c r="E103" s="55" t="s">
        <v>20</v>
      </c>
      <c r="F103" s="18" t="s">
        <v>20</v>
      </c>
      <c r="G103" s="18" t="s">
        <v>20</v>
      </c>
      <c r="H103" s="18" t="s">
        <v>20</v>
      </c>
      <c r="I103" s="18" t="s">
        <v>20</v>
      </c>
      <c r="J103" s="43" t="s">
        <v>20</v>
      </c>
      <c r="K103" s="43" t="s">
        <v>21</v>
      </c>
      <c r="L103" s="43" t="s">
        <v>21</v>
      </c>
      <c r="M103" s="18" t="s">
        <v>21</v>
      </c>
      <c r="N103" s="18" t="s">
        <v>21</v>
      </c>
      <c r="O103" s="18" t="s">
        <v>20</v>
      </c>
      <c r="P103" s="18" t="s">
        <v>20</v>
      </c>
      <c r="Q103" s="18" t="s">
        <v>20</v>
      </c>
      <c r="R103" s="18" t="s">
        <v>20</v>
      </c>
      <c r="S103" s="18" t="s">
        <v>20</v>
      </c>
      <c r="T103" s="18" t="s">
        <v>20</v>
      </c>
      <c r="U103" s="18" t="s">
        <v>21</v>
      </c>
      <c r="V103" s="37" t="s">
        <v>20</v>
      </c>
      <c r="W103" s="37" t="s">
        <v>21</v>
      </c>
      <c r="X103" s="37" t="s">
        <v>20</v>
      </c>
      <c r="Y103" s="18" t="s">
        <v>21</v>
      </c>
      <c r="Z103" s="18" t="s">
        <v>20</v>
      </c>
      <c r="AA103" s="20" t="s">
        <v>20</v>
      </c>
      <c r="AB103" s="20" t="s">
        <v>21</v>
      </c>
      <c r="AC103" s="20" t="s">
        <v>20</v>
      </c>
      <c r="AD103" s="37" t="s">
        <v>21</v>
      </c>
      <c r="AE103" s="37" t="s">
        <v>21</v>
      </c>
      <c r="AG103">
        <f t="shared" si="9"/>
        <v>0</v>
      </c>
      <c r="AH103">
        <f t="shared" si="10"/>
        <v>16</v>
      </c>
      <c r="AI103">
        <f t="shared" si="11"/>
        <v>10</v>
      </c>
      <c r="AJ103">
        <f t="shared" si="12"/>
        <v>0</v>
      </c>
      <c r="AL103">
        <f t="shared" si="13"/>
        <v>0</v>
      </c>
      <c r="AM103">
        <f t="shared" si="14"/>
        <v>48</v>
      </c>
      <c r="AN103">
        <f t="shared" si="15"/>
        <v>20</v>
      </c>
      <c r="AO103">
        <f t="shared" si="16"/>
        <v>0</v>
      </c>
      <c r="AP103">
        <f t="shared" si="17"/>
        <v>68</v>
      </c>
    </row>
    <row r="104" spans="1:42" ht="15.75" hidden="1" customHeight="1" x14ac:dyDescent="0.3">
      <c r="A104" s="16"/>
      <c r="B104" s="55">
        <v>14</v>
      </c>
      <c r="C104" s="56" t="s">
        <v>122</v>
      </c>
      <c r="D104" s="55">
        <v>3</v>
      </c>
      <c r="E104" s="55" t="s">
        <v>20</v>
      </c>
      <c r="F104" s="18" t="s">
        <v>23</v>
      </c>
      <c r="G104" s="18" t="s">
        <v>23</v>
      </c>
      <c r="H104" s="18" t="s">
        <v>23</v>
      </c>
      <c r="I104" s="18" t="s">
        <v>23</v>
      </c>
      <c r="J104" s="43" t="s">
        <v>21</v>
      </c>
      <c r="K104" s="43" t="s">
        <v>23</v>
      </c>
      <c r="L104" s="43" t="s">
        <v>21</v>
      </c>
      <c r="M104" s="18" t="s">
        <v>21</v>
      </c>
      <c r="N104" s="18" t="s">
        <v>23</v>
      </c>
      <c r="O104" s="18" t="s">
        <v>23</v>
      </c>
      <c r="P104" s="18" t="s">
        <v>23</v>
      </c>
      <c r="Q104" s="18" t="s">
        <v>21</v>
      </c>
      <c r="R104" s="18" t="s">
        <v>23</v>
      </c>
      <c r="S104" s="18" t="s">
        <v>23</v>
      </c>
      <c r="T104" s="18" t="s">
        <v>23</v>
      </c>
      <c r="U104" s="18" t="s">
        <v>21</v>
      </c>
      <c r="V104" s="37" t="s">
        <v>20</v>
      </c>
      <c r="W104" s="37" t="s">
        <v>21</v>
      </c>
      <c r="X104" s="37" t="s">
        <v>20</v>
      </c>
      <c r="Y104" s="18" t="s">
        <v>21</v>
      </c>
      <c r="Z104" s="18" t="s">
        <v>23</v>
      </c>
      <c r="AA104" s="20" t="s">
        <v>23</v>
      </c>
      <c r="AB104" s="20" t="s">
        <v>23</v>
      </c>
      <c r="AC104" s="20" t="s">
        <v>21</v>
      </c>
      <c r="AD104" s="37" t="s">
        <v>21</v>
      </c>
      <c r="AE104" s="37" t="s">
        <v>21</v>
      </c>
      <c r="AG104">
        <f t="shared" si="9"/>
        <v>0</v>
      </c>
      <c r="AH104">
        <f t="shared" si="10"/>
        <v>2</v>
      </c>
      <c r="AI104">
        <f t="shared" si="11"/>
        <v>10</v>
      </c>
      <c r="AJ104">
        <f t="shared" si="12"/>
        <v>14</v>
      </c>
      <c r="AL104">
        <f t="shared" si="13"/>
        <v>0</v>
      </c>
      <c r="AM104">
        <f t="shared" si="14"/>
        <v>6</v>
      </c>
      <c r="AN104">
        <f t="shared" si="15"/>
        <v>20</v>
      </c>
      <c r="AO104">
        <f t="shared" si="16"/>
        <v>14</v>
      </c>
      <c r="AP104">
        <f t="shared" si="17"/>
        <v>40</v>
      </c>
    </row>
    <row r="105" spans="1:42" ht="15.75" hidden="1" customHeight="1" x14ac:dyDescent="0.3">
      <c r="A105" s="16"/>
      <c r="B105" s="55">
        <v>15</v>
      </c>
      <c r="C105" s="56" t="s">
        <v>123</v>
      </c>
      <c r="D105" s="55">
        <v>3</v>
      </c>
      <c r="E105" s="55" t="s">
        <v>20</v>
      </c>
      <c r="F105" s="18" t="s">
        <v>39</v>
      </c>
      <c r="G105" s="18" t="s">
        <v>39</v>
      </c>
      <c r="H105" s="18" t="s">
        <v>20</v>
      </c>
      <c r="I105" s="18" t="s">
        <v>39</v>
      </c>
      <c r="J105" s="43" t="s">
        <v>20</v>
      </c>
      <c r="K105" s="43" t="s">
        <v>20</v>
      </c>
      <c r="L105" s="43" t="s">
        <v>20</v>
      </c>
      <c r="M105" s="18" t="s">
        <v>20</v>
      </c>
      <c r="N105" s="18" t="s">
        <v>21</v>
      </c>
      <c r="O105" s="18" t="s">
        <v>20</v>
      </c>
      <c r="P105" s="18" t="s">
        <v>20</v>
      </c>
      <c r="Q105" s="18" t="s">
        <v>20</v>
      </c>
      <c r="R105" s="18" t="s">
        <v>20</v>
      </c>
      <c r="S105" s="18" t="s">
        <v>20</v>
      </c>
      <c r="T105" s="18" t="s">
        <v>20</v>
      </c>
      <c r="U105" s="18" t="s">
        <v>20</v>
      </c>
      <c r="V105" s="37" t="s">
        <v>20</v>
      </c>
      <c r="W105" s="37" t="s">
        <v>20</v>
      </c>
      <c r="X105" s="37" t="s">
        <v>20</v>
      </c>
      <c r="Y105" s="18" t="s">
        <v>20</v>
      </c>
      <c r="Z105" s="18" t="s">
        <v>21</v>
      </c>
      <c r="AA105" s="20" t="s">
        <v>20</v>
      </c>
      <c r="AB105" s="20" t="s">
        <v>20</v>
      </c>
      <c r="AC105" s="20" t="s">
        <v>20</v>
      </c>
      <c r="AD105" s="37" t="s">
        <v>20</v>
      </c>
      <c r="AE105" s="37" t="s">
        <v>21</v>
      </c>
      <c r="AG105">
        <f t="shared" si="9"/>
        <v>3</v>
      </c>
      <c r="AH105">
        <f t="shared" si="10"/>
        <v>20</v>
      </c>
      <c r="AI105">
        <f t="shared" si="11"/>
        <v>3</v>
      </c>
      <c r="AJ105">
        <f t="shared" si="12"/>
        <v>0</v>
      </c>
      <c r="AL105">
        <f t="shared" si="13"/>
        <v>12</v>
      </c>
      <c r="AM105">
        <f t="shared" si="14"/>
        <v>60</v>
      </c>
      <c r="AN105">
        <f t="shared" si="15"/>
        <v>6</v>
      </c>
      <c r="AO105">
        <f t="shared" si="16"/>
        <v>0</v>
      </c>
      <c r="AP105">
        <f t="shared" si="17"/>
        <v>78</v>
      </c>
    </row>
    <row r="106" spans="1:42" ht="15.75" hidden="1" customHeight="1" x14ac:dyDescent="0.3">
      <c r="A106" s="16"/>
      <c r="B106" s="55">
        <v>16</v>
      </c>
      <c r="C106" s="56" t="s">
        <v>124</v>
      </c>
      <c r="D106" s="55">
        <v>3</v>
      </c>
      <c r="E106" s="55" t="s">
        <v>20</v>
      </c>
      <c r="F106" s="18" t="s">
        <v>20</v>
      </c>
      <c r="G106" s="18" t="s">
        <v>20</v>
      </c>
      <c r="H106" s="18" t="s">
        <v>20</v>
      </c>
      <c r="I106" s="18" t="s">
        <v>20</v>
      </c>
      <c r="J106" s="43" t="s">
        <v>20</v>
      </c>
      <c r="K106" s="43" t="s">
        <v>20</v>
      </c>
      <c r="L106" s="43" t="s">
        <v>20</v>
      </c>
      <c r="M106" s="18" t="s">
        <v>20</v>
      </c>
      <c r="N106" s="18" t="s">
        <v>20</v>
      </c>
      <c r="O106" s="18" t="s">
        <v>20</v>
      </c>
      <c r="P106" s="18" t="s">
        <v>20</v>
      </c>
      <c r="Q106" s="18" t="s">
        <v>20</v>
      </c>
      <c r="R106" s="18" t="s">
        <v>20</v>
      </c>
      <c r="S106" s="18" t="s">
        <v>20</v>
      </c>
      <c r="T106" s="18" t="s">
        <v>20</v>
      </c>
      <c r="U106" s="18" t="s">
        <v>20</v>
      </c>
      <c r="V106" s="37" t="s">
        <v>20</v>
      </c>
      <c r="W106" s="37" t="s">
        <v>20</v>
      </c>
      <c r="X106" s="37" t="s">
        <v>20</v>
      </c>
      <c r="Y106" s="18" t="s">
        <v>20</v>
      </c>
      <c r="Z106" s="18" t="s">
        <v>20</v>
      </c>
      <c r="AA106" s="20" t="s">
        <v>20</v>
      </c>
      <c r="AB106" s="20" t="s">
        <v>20</v>
      </c>
      <c r="AC106" s="20" t="s">
        <v>20</v>
      </c>
      <c r="AD106" s="37" t="s">
        <v>20</v>
      </c>
      <c r="AE106" s="37" t="s">
        <v>21</v>
      </c>
      <c r="AG106">
        <f t="shared" si="9"/>
        <v>0</v>
      </c>
      <c r="AH106">
        <f t="shared" si="10"/>
        <v>25</v>
      </c>
      <c r="AI106">
        <f t="shared" si="11"/>
        <v>1</v>
      </c>
      <c r="AJ106">
        <f t="shared" si="12"/>
        <v>0</v>
      </c>
      <c r="AL106">
        <f t="shared" si="13"/>
        <v>0</v>
      </c>
      <c r="AM106">
        <f t="shared" si="14"/>
        <v>75</v>
      </c>
      <c r="AN106">
        <f t="shared" si="15"/>
        <v>2</v>
      </c>
      <c r="AO106">
        <f t="shared" si="16"/>
        <v>0</v>
      </c>
      <c r="AP106">
        <f t="shared" si="17"/>
        <v>77</v>
      </c>
    </row>
    <row r="107" spans="1:42" ht="15.75" hidden="1" customHeight="1" x14ac:dyDescent="0.3">
      <c r="A107" s="16"/>
      <c r="B107" s="55">
        <v>17</v>
      </c>
      <c r="C107" s="56" t="s">
        <v>125</v>
      </c>
      <c r="D107" s="55">
        <v>3</v>
      </c>
      <c r="E107" s="55" t="s">
        <v>20</v>
      </c>
      <c r="F107" s="18" t="s">
        <v>20</v>
      </c>
      <c r="G107" s="18" t="s">
        <v>20</v>
      </c>
      <c r="H107" s="18" t="s">
        <v>20</v>
      </c>
      <c r="I107" s="18" t="s">
        <v>20</v>
      </c>
      <c r="J107" s="43" t="s">
        <v>39</v>
      </c>
      <c r="K107" s="43" t="s">
        <v>20</v>
      </c>
      <c r="L107" s="43" t="s">
        <v>20</v>
      </c>
      <c r="M107" s="18" t="s">
        <v>20</v>
      </c>
      <c r="N107" s="18" t="s">
        <v>20</v>
      </c>
      <c r="O107" s="18" t="s">
        <v>20</v>
      </c>
      <c r="P107" s="18" t="s">
        <v>20</v>
      </c>
      <c r="Q107" s="18" t="s">
        <v>20</v>
      </c>
      <c r="R107" s="18" t="s">
        <v>20</v>
      </c>
      <c r="S107" s="18" t="s">
        <v>21</v>
      </c>
      <c r="T107" s="18" t="s">
        <v>20</v>
      </c>
      <c r="U107" s="18" t="s">
        <v>20</v>
      </c>
      <c r="V107" s="37" t="s">
        <v>21</v>
      </c>
      <c r="W107" s="37" t="s">
        <v>20</v>
      </c>
      <c r="X107" s="37" t="s">
        <v>21</v>
      </c>
      <c r="Y107" s="18" t="s">
        <v>20</v>
      </c>
      <c r="Z107" s="18" t="s">
        <v>20</v>
      </c>
      <c r="AA107" s="20" t="s">
        <v>20</v>
      </c>
      <c r="AB107" s="20" t="s">
        <v>20</v>
      </c>
      <c r="AC107" s="20" t="s">
        <v>20</v>
      </c>
      <c r="AD107" s="37" t="s">
        <v>20</v>
      </c>
      <c r="AE107" s="37" t="s">
        <v>21</v>
      </c>
      <c r="AG107">
        <f t="shared" si="9"/>
        <v>1</v>
      </c>
      <c r="AH107">
        <f t="shared" si="10"/>
        <v>21</v>
      </c>
      <c r="AI107">
        <f t="shared" si="11"/>
        <v>4</v>
      </c>
      <c r="AJ107">
        <f t="shared" si="12"/>
        <v>0</v>
      </c>
      <c r="AL107">
        <f t="shared" si="13"/>
        <v>4</v>
      </c>
      <c r="AM107">
        <f t="shared" si="14"/>
        <v>63</v>
      </c>
      <c r="AN107">
        <f t="shared" si="15"/>
        <v>8</v>
      </c>
      <c r="AO107">
        <f t="shared" si="16"/>
        <v>0</v>
      </c>
      <c r="AP107">
        <f t="shared" si="17"/>
        <v>75</v>
      </c>
    </row>
    <row r="108" spans="1:42" ht="15.75" hidden="1" customHeight="1" x14ac:dyDescent="0.3">
      <c r="A108" s="16"/>
      <c r="B108" s="55">
        <v>18</v>
      </c>
      <c r="C108" s="56" t="s">
        <v>126</v>
      </c>
      <c r="D108" s="55">
        <v>3</v>
      </c>
      <c r="E108" s="55" t="s">
        <v>20</v>
      </c>
      <c r="F108" s="18" t="s">
        <v>39</v>
      </c>
      <c r="G108" s="18" t="s">
        <v>20</v>
      </c>
      <c r="H108" s="18" t="s">
        <v>20</v>
      </c>
      <c r="I108" s="18" t="s">
        <v>20</v>
      </c>
      <c r="J108" s="43" t="s">
        <v>20</v>
      </c>
      <c r="K108" s="43" t="s">
        <v>20</v>
      </c>
      <c r="L108" s="43" t="s">
        <v>20</v>
      </c>
      <c r="M108" s="18" t="s">
        <v>20</v>
      </c>
      <c r="N108" s="18" t="s">
        <v>20</v>
      </c>
      <c r="O108" s="18" t="s">
        <v>20</v>
      </c>
      <c r="P108" s="18" t="s">
        <v>20</v>
      </c>
      <c r="Q108" s="18" t="s">
        <v>20</v>
      </c>
      <c r="R108" s="18" t="s">
        <v>20</v>
      </c>
      <c r="S108" s="18" t="s">
        <v>20</v>
      </c>
      <c r="T108" s="18" t="s">
        <v>20</v>
      </c>
      <c r="U108" s="18" t="s">
        <v>20</v>
      </c>
      <c r="V108" s="37" t="s">
        <v>20</v>
      </c>
      <c r="W108" s="37" t="s">
        <v>20</v>
      </c>
      <c r="X108" s="37" t="s">
        <v>20</v>
      </c>
      <c r="Y108" s="18" t="s">
        <v>21</v>
      </c>
      <c r="Z108" s="18" t="s">
        <v>20</v>
      </c>
      <c r="AA108" s="20" t="s">
        <v>20</v>
      </c>
      <c r="AB108" s="20" t="s">
        <v>20</v>
      </c>
      <c r="AC108" s="20" t="s">
        <v>20</v>
      </c>
      <c r="AD108" s="37" t="s">
        <v>20</v>
      </c>
      <c r="AE108" s="37" t="s">
        <v>21</v>
      </c>
      <c r="AG108">
        <f t="shared" si="9"/>
        <v>1</v>
      </c>
      <c r="AH108">
        <f t="shared" si="10"/>
        <v>23</v>
      </c>
      <c r="AI108">
        <f t="shared" si="11"/>
        <v>2</v>
      </c>
      <c r="AJ108">
        <f t="shared" si="12"/>
        <v>0</v>
      </c>
      <c r="AL108">
        <f t="shared" si="13"/>
        <v>4</v>
      </c>
      <c r="AM108">
        <f t="shared" si="14"/>
        <v>69</v>
      </c>
      <c r="AN108">
        <f t="shared" si="15"/>
        <v>4</v>
      </c>
      <c r="AO108">
        <f t="shared" si="16"/>
        <v>0</v>
      </c>
      <c r="AP108">
        <f t="shared" si="17"/>
        <v>77</v>
      </c>
    </row>
    <row r="109" spans="1:42" ht="15.75" hidden="1" customHeight="1" thickBot="1" x14ac:dyDescent="0.35">
      <c r="A109" s="16"/>
      <c r="B109" s="57">
        <v>19</v>
      </c>
      <c r="C109" s="58" t="s">
        <v>127</v>
      </c>
      <c r="D109" s="57">
        <v>3</v>
      </c>
      <c r="E109" s="57" t="s">
        <v>20</v>
      </c>
      <c r="F109" s="21" t="s">
        <v>21</v>
      </c>
      <c r="G109" s="21" t="s">
        <v>23</v>
      </c>
      <c r="H109" s="21" t="s">
        <v>23</v>
      </c>
      <c r="I109" s="21" t="s">
        <v>23</v>
      </c>
      <c r="J109" s="45" t="s">
        <v>21</v>
      </c>
      <c r="K109" s="45" t="s">
        <v>20</v>
      </c>
      <c r="L109" s="45" t="s">
        <v>21</v>
      </c>
      <c r="M109" s="21" t="s">
        <v>21</v>
      </c>
      <c r="N109" s="21" t="s">
        <v>21</v>
      </c>
      <c r="O109" s="21" t="s">
        <v>21</v>
      </c>
      <c r="P109" s="21" t="s">
        <v>21</v>
      </c>
      <c r="Q109" s="21" t="s">
        <v>21</v>
      </c>
      <c r="R109" s="21" t="s">
        <v>21</v>
      </c>
      <c r="S109" s="21" t="s">
        <v>20</v>
      </c>
      <c r="T109" s="21" t="s">
        <v>20</v>
      </c>
      <c r="U109" s="21" t="s">
        <v>20</v>
      </c>
      <c r="V109" s="38" t="s">
        <v>20</v>
      </c>
      <c r="W109" s="38" t="s">
        <v>21</v>
      </c>
      <c r="X109" s="38" t="s">
        <v>20</v>
      </c>
      <c r="Y109" s="21" t="s">
        <v>23</v>
      </c>
      <c r="Z109" s="21" t="s">
        <v>20</v>
      </c>
      <c r="AA109" s="23" t="s">
        <v>21</v>
      </c>
      <c r="AB109" s="23" t="s">
        <v>21</v>
      </c>
      <c r="AC109" s="23" t="s">
        <v>21</v>
      </c>
      <c r="AD109" s="38" t="s">
        <v>21</v>
      </c>
      <c r="AE109" s="38" t="s">
        <v>21</v>
      </c>
      <c r="AG109">
        <f t="shared" si="9"/>
        <v>0</v>
      </c>
      <c r="AH109">
        <f t="shared" si="10"/>
        <v>7</v>
      </c>
      <c r="AI109">
        <f t="shared" si="11"/>
        <v>15</v>
      </c>
      <c r="AJ109">
        <f t="shared" si="12"/>
        <v>4</v>
      </c>
      <c r="AL109">
        <f t="shared" si="13"/>
        <v>0</v>
      </c>
      <c r="AM109">
        <f t="shared" si="14"/>
        <v>21</v>
      </c>
      <c r="AN109">
        <f t="shared" si="15"/>
        <v>30</v>
      </c>
      <c r="AO109">
        <f t="shared" si="16"/>
        <v>4</v>
      </c>
      <c r="AP109">
        <f t="shared" si="17"/>
        <v>55</v>
      </c>
    </row>
    <row r="110" spans="1:42" ht="15.75" hidden="1" customHeight="1" x14ac:dyDescent="0.3">
      <c r="A110" s="16"/>
      <c r="B110" s="59">
        <v>1</v>
      </c>
      <c r="C110" s="60" t="s">
        <v>128</v>
      </c>
      <c r="D110" s="59">
        <v>3</v>
      </c>
      <c r="E110" s="59" t="s">
        <v>21</v>
      </c>
      <c r="F110" s="24" t="s">
        <v>21</v>
      </c>
      <c r="G110" s="24" t="s">
        <v>20</v>
      </c>
      <c r="H110" s="24" t="s">
        <v>20</v>
      </c>
      <c r="I110" s="24" t="s">
        <v>20</v>
      </c>
      <c r="J110" s="27" t="s">
        <v>20</v>
      </c>
      <c r="K110" s="27" t="s">
        <v>20</v>
      </c>
      <c r="L110" s="27" t="s">
        <v>21</v>
      </c>
      <c r="M110" s="24" t="s">
        <v>20</v>
      </c>
      <c r="N110" s="24" t="s">
        <v>20</v>
      </c>
      <c r="O110" s="24" t="s">
        <v>20</v>
      </c>
      <c r="P110" s="24" t="s">
        <v>21</v>
      </c>
      <c r="Q110" s="24" t="s">
        <v>21</v>
      </c>
      <c r="R110" s="24" t="s">
        <v>20</v>
      </c>
      <c r="S110" s="24" t="s">
        <v>20</v>
      </c>
      <c r="T110" s="24" t="s">
        <v>20</v>
      </c>
      <c r="U110" s="24" t="s">
        <v>20</v>
      </c>
      <c r="V110" s="39" t="s">
        <v>21</v>
      </c>
      <c r="W110" s="39" t="s">
        <v>20</v>
      </c>
      <c r="X110" s="39" t="s">
        <v>20</v>
      </c>
      <c r="Y110" s="24" t="s">
        <v>20</v>
      </c>
      <c r="Z110" s="24" t="s">
        <v>20</v>
      </c>
      <c r="AA110" s="27" t="s">
        <v>21</v>
      </c>
      <c r="AB110" s="27" t="s">
        <v>21</v>
      </c>
      <c r="AC110" s="27" t="s">
        <v>21</v>
      </c>
      <c r="AD110" s="39" t="s">
        <v>21</v>
      </c>
      <c r="AE110" s="39" t="s">
        <v>21</v>
      </c>
      <c r="AG110">
        <f t="shared" si="9"/>
        <v>0</v>
      </c>
      <c r="AH110">
        <f t="shared" si="10"/>
        <v>16</v>
      </c>
      <c r="AI110">
        <f t="shared" si="11"/>
        <v>10</v>
      </c>
      <c r="AJ110">
        <f t="shared" si="12"/>
        <v>0</v>
      </c>
      <c r="AL110">
        <f t="shared" si="13"/>
        <v>0</v>
      </c>
      <c r="AM110">
        <f t="shared" si="14"/>
        <v>48</v>
      </c>
      <c r="AN110">
        <f t="shared" si="15"/>
        <v>20</v>
      </c>
      <c r="AO110">
        <f t="shared" si="16"/>
        <v>0</v>
      </c>
      <c r="AP110">
        <f t="shared" si="17"/>
        <v>68</v>
      </c>
    </row>
    <row r="111" spans="1:42" ht="15.75" hidden="1" customHeight="1" x14ac:dyDescent="0.3">
      <c r="A111" s="16"/>
      <c r="B111" s="55">
        <v>2</v>
      </c>
      <c r="C111" s="56" t="s">
        <v>129</v>
      </c>
      <c r="D111" s="55">
        <v>3</v>
      </c>
      <c r="E111" s="55" t="s">
        <v>21</v>
      </c>
      <c r="F111" s="18" t="s">
        <v>21</v>
      </c>
      <c r="G111" s="18" t="s">
        <v>20</v>
      </c>
      <c r="H111" s="18" t="s">
        <v>20</v>
      </c>
      <c r="I111" s="18" t="s">
        <v>20</v>
      </c>
      <c r="J111" s="20" t="s">
        <v>20</v>
      </c>
      <c r="K111" s="20" t="s">
        <v>20</v>
      </c>
      <c r="L111" s="20" t="s">
        <v>21</v>
      </c>
      <c r="M111" s="18" t="s">
        <v>20</v>
      </c>
      <c r="N111" s="18" t="s">
        <v>20</v>
      </c>
      <c r="O111" s="18" t="s">
        <v>20</v>
      </c>
      <c r="P111" s="18" t="s">
        <v>21</v>
      </c>
      <c r="Q111" s="18" t="s">
        <v>20</v>
      </c>
      <c r="R111" s="18" t="s">
        <v>20</v>
      </c>
      <c r="S111" s="18" t="s">
        <v>21</v>
      </c>
      <c r="T111" s="18" t="s">
        <v>20</v>
      </c>
      <c r="U111" s="18" t="s">
        <v>20</v>
      </c>
      <c r="V111" s="37" t="s">
        <v>21</v>
      </c>
      <c r="W111" s="37" t="s">
        <v>20</v>
      </c>
      <c r="X111" s="37" t="s">
        <v>20</v>
      </c>
      <c r="Y111" s="18" t="s">
        <v>21</v>
      </c>
      <c r="Z111" s="18" t="s">
        <v>20</v>
      </c>
      <c r="AA111" s="20" t="s">
        <v>20</v>
      </c>
      <c r="AB111" s="20" t="s">
        <v>20</v>
      </c>
      <c r="AC111" s="20" t="s">
        <v>20</v>
      </c>
      <c r="AD111" s="37" t="s">
        <v>21</v>
      </c>
      <c r="AE111" s="37" t="s">
        <v>21</v>
      </c>
      <c r="AG111">
        <f t="shared" si="9"/>
        <v>0</v>
      </c>
      <c r="AH111">
        <f t="shared" si="10"/>
        <v>18</v>
      </c>
      <c r="AI111">
        <f t="shared" si="11"/>
        <v>8</v>
      </c>
      <c r="AJ111">
        <f t="shared" si="12"/>
        <v>0</v>
      </c>
      <c r="AL111">
        <f t="shared" si="13"/>
        <v>0</v>
      </c>
      <c r="AM111">
        <f t="shared" si="14"/>
        <v>54</v>
      </c>
      <c r="AN111">
        <f t="shared" si="15"/>
        <v>16</v>
      </c>
      <c r="AO111">
        <f t="shared" si="16"/>
        <v>0</v>
      </c>
      <c r="AP111">
        <f t="shared" si="17"/>
        <v>70</v>
      </c>
    </row>
    <row r="112" spans="1:42" ht="15.75" hidden="1" customHeight="1" x14ac:dyDescent="0.3">
      <c r="A112" s="16"/>
      <c r="B112" s="55">
        <v>3</v>
      </c>
      <c r="C112" s="56" t="s">
        <v>130</v>
      </c>
      <c r="D112" s="55">
        <v>3</v>
      </c>
      <c r="E112" s="55" t="s">
        <v>21</v>
      </c>
      <c r="F112" s="18" t="s">
        <v>20</v>
      </c>
      <c r="G112" s="18" t="s">
        <v>20</v>
      </c>
      <c r="H112" s="18" t="s">
        <v>20</v>
      </c>
      <c r="I112" s="18" t="s">
        <v>20</v>
      </c>
      <c r="J112" s="20" t="s">
        <v>20</v>
      </c>
      <c r="K112" s="20" t="s">
        <v>20</v>
      </c>
      <c r="L112" s="20" t="s">
        <v>21</v>
      </c>
      <c r="M112" s="18" t="s">
        <v>20</v>
      </c>
      <c r="N112" s="18" t="s">
        <v>20</v>
      </c>
      <c r="O112" s="18" t="s">
        <v>21</v>
      </c>
      <c r="P112" s="18" t="s">
        <v>20</v>
      </c>
      <c r="Q112" s="18" t="s">
        <v>20</v>
      </c>
      <c r="R112" s="18" t="s">
        <v>20</v>
      </c>
      <c r="S112" s="18" t="s">
        <v>20</v>
      </c>
      <c r="T112" s="18" t="s">
        <v>20</v>
      </c>
      <c r="U112" s="18" t="s">
        <v>20</v>
      </c>
      <c r="V112" s="37" t="s">
        <v>20</v>
      </c>
      <c r="W112" s="37" t="s">
        <v>20</v>
      </c>
      <c r="X112" s="37" t="s">
        <v>20</v>
      </c>
      <c r="Y112" s="18" t="s">
        <v>20</v>
      </c>
      <c r="Z112" s="18" t="s">
        <v>20</v>
      </c>
      <c r="AA112" s="20" t="s">
        <v>20</v>
      </c>
      <c r="AB112" s="20" t="s">
        <v>20</v>
      </c>
      <c r="AC112" s="20" t="s">
        <v>20</v>
      </c>
      <c r="AD112" s="37" t="s">
        <v>20</v>
      </c>
      <c r="AE112" s="37" t="s">
        <v>21</v>
      </c>
      <c r="AG112">
        <f t="shared" si="9"/>
        <v>0</v>
      </c>
      <c r="AH112">
        <f t="shared" si="10"/>
        <v>23</v>
      </c>
      <c r="AI112">
        <f t="shared" si="11"/>
        <v>3</v>
      </c>
      <c r="AJ112">
        <f t="shared" si="12"/>
        <v>0</v>
      </c>
      <c r="AL112">
        <f t="shared" si="13"/>
        <v>0</v>
      </c>
      <c r="AM112">
        <f t="shared" si="14"/>
        <v>69</v>
      </c>
      <c r="AN112">
        <f t="shared" si="15"/>
        <v>6</v>
      </c>
      <c r="AO112">
        <f t="shared" si="16"/>
        <v>0</v>
      </c>
      <c r="AP112">
        <f t="shared" si="17"/>
        <v>75</v>
      </c>
    </row>
    <row r="113" spans="1:42" ht="15.75" hidden="1" customHeight="1" x14ac:dyDescent="0.3">
      <c r="A113" s="16"/>
      <c r="B113" s="55">
        <v>4</v>
      </c>
      <c r="C113" s="56" t="s">
        <v>131</v>
      </c>
      <c r="D113" s="55">
        <v>3</v>
      </c>
      <c r="E113" s="55" t="s">
        <v>21</v>
      </c>
      <c r="F113" s="18" t="s">
        <v>21</v>
      </c>
      <c r="G113" s="18" t="s">
        <v>21</v>
      </c>
      <c r="H113" s="18" t="s">
        <v>21</v>
      </c>
      <c r="I113" s="18" t="s">
        <v>20</v>
      </c>
      <c r="J113" s="20" t="s">
        <v>20</v>
      </c>
      <c r="K113" s="20" t="s">
        <v>20</v>
      </c>
      <c r="L113" s="20" t="s">
        <v>20</v>
      </c>
      <c r="M113" s="18" t="s">
        <v>20</v>
      </c>
      <c r="N113" s="18" t="s">
        <v>20</v>
      </c>
      <c r="O113" s="18" t="s">
        <v>20</v>
      </c>
      <c r="P113" s="18" t="s">
        <v>20</v>
      </c>
      <c r="Q113" s="18" t="s">
        <v>21</v>
      </c>
      <c r="R113" s="18" t="s">
        <v>20</v>
      </c>
      <c r="S113" s="18" t="s">
        <v>20</v>
      </c>
      <c r="T113" s="18" t="s">
        <v>20</v>
      </c>
      <c r="U113" s="18" t="s">
        <v>20</v>
      </c>
      <c r="V113" s="37" t="s">
        <v>21</v>
      </c>
      <c r="W113" s="37" t="s">
        <v>20</v>
      </c>
      <c r="X113" s="37" t="s">
        <v>21</v>
      </c>
      <c r="Y113" s="18" t="s">
        <v>20</v>
      </c>
      <c r="Z113" s="18" t="s">
        <v>20</v>
      </c>
      <c r="AA113" s="20" t="s">
        <v>21</v>
      </c>
      <c r="AB113" s="20" t="s">
        <v>21</v>
      </c>
      <c r="AC113" s="20" t="s">
        <v>21</v>
      </c>
      <c r="AD113" s="37" t="s">
        <v>23</v>
      </c>
      <c r="AE113" s="37" t="s">
        <v>21</v>
      </c>
      <c r="AG113">
        <f t="shared" si="9"/>
        <v>0</v>
      </c>
      <c r="AH113">
        <f t="shared" si="10"/>
        <v>15</v>
      </c>
      <c r="AI113">
        <f t="shared" si="11"/>
        <v>10</v>
      </c>
      <c r="AJ113">
        <f t="shared" si="12"/>
        <v>1</v>
      </c>
      <c r="AL113">
        <f t="shared" si="13"/>
        <v>0</v>
      </c>
      <c r="AM113">
        <f t="shared" si="14"/>
        <v>45</v>
      </c>
      <c r="AN113">
        <f t="shared" si="15"/>
        <v>20</v>
      </c>
      <c r="AO113">
        <f t="shared" si="16"/>
        <v>1</v>
      </c>
      <c r="AP113">
        <f t="shared" si="17"/>
        <v>66</v>
      </c>
    </row>
    <row r="114" spans="1:42" ht="15.75" hidden="1" customHeight="1" x14ac:dyDescent="0.3">
      <c r="A114" s="16"/>
      <c r="B114" s="55">
        <v>5</v>
      </c>
      <c r="C114" s="56" t="s">
        <v>132</v>
      </c>
      <c r="D114" s="55">
        <v>3</v>
      </c>
      <c r="E114" s="55" t="s">
        <v>21</v>
      </c>
      <c r="F114" s="18" t="s">
        <v>21</v>
      </c>
      <c r="G114" s="18" t="s">
        <v>20</v>
      </c>
      <c r="H114" s="18" t="s">
        <v>21</v>
      </c>
      <c r="I114" s="18" t="s">
        <v>20</v>
      </c>
      <c r="J114" s="20" t="s">
        <v>39</v>
      </c>
      <c r="K114" s="20" t="s">
        <v>39</v>
      </c>
      <c r="L114" s="20" t="s">
        <v>20</v>
      </c>
      <c r="M114" s="18" t="s">
        <v>20</v>
      </c>
      <c r="N114" s="18" t="s">
        <v>20</v>
      </c>
      <c r="O114" s="18" t="s">
        <v>20</v>
      </c>
      <c r="P114" s="18" t="s">
        <v>21</v>
      </c>
      <c r="Q114" s="18" t="s">
        <v>20</v>
      </c>
      <c r="R114" s="18" t="s">
        <v>20</v>
      </c>
      <c r="S114" s="18" t="s">
        <v>20</v>
      </c>
      <c r="T114" s="18" t="s">
        <v>20</v>
      </c>
      <c r="U114" s="18" t="s">
        <v>20</v>
      </c>
      <c r="V114" s="37" t="s">
        <v>20</v>
      </c>
      <c r="W114" s="37" t="s">
        <v>20</v>
      </c>
      <c r="X114" s="37" t="s">
        <v>20</v>
      </c>
      <c r="Y114" s="18" t="s">
        <v>20</v>
      </c>
      <c r="Z114" s="18" t="s">
        <v>20</v>
      </c>
      <c r="AA114" s="20" t="s">
        <v>20</v>
      </c>
      <c r="AB114" s="20" t="s">
        <v>20</v>
      </c>
      <c r="AC114" s="20" t="s">
        <v>20</v>
      </c>
      <c r="AD114" s="29" t="s">
        <v>23</v>
      </c>
      <c r="AE114" s="29" t="s">
        <v>21</v>
      </c>
      <c r="AG114">
        <f t="shared" si="9"/>
        <v>2</v>
      </c>
      <c r="AH114">
        <f t="shared" si="10"/>
        <v>19</v>
      </c>
      <c r="AI114">
        <f t="shared" si="11"/>
        <v>4</v>
      </c>
      <c r="AJ114">
        <f t="shared" si="12"/>
        <v>1</v>
      </c>
      <c r="AL114">
        <f t="shared" si="13"/>
        <v>8</v>
      </c>
      <c r="AM114">
        <f t="shared" si="14"/>
        <v>57</v>
      </c>
      <c r="AN114">
        <f t="shared" si="15"/>
        <v>8</v>
      </c>
      <c r="AO114">
        <f t="shared" si="16"/>
        <v>1</v>
      </c>
      <c r="AP114">
        <f t="shared" si="17"/>
        <v>74</v>
      </c>
    </row>
    <row r="115" spans="1:42" ht="15.75" hidden="1" customHeight="1" x14ac:dyDescent="0.3">
      <c r="A115" s="16"/>
      <c r="B115" s="55">
        <v>6</v>
      </c>
      <c r="C115" s="56" t="s">
        <v>133</v>
      </c>
      <c r="D115" s="55">
        <v>3</v>
      </c>
      <c r="E115" s="55" t="s">
        <v>21</v>
      </c>
      <c r="F115" s="18" t="s">
        <v>20</v>
      </c>
      <c r="G115" s="18" t="s">
        <v>20</v>
      </c>
      <c r="H115" s="18" t="s">
        <v>20</v>
      </c>
      <c r="I115" s="18" t="s">
        <v>20</v>
      </c>
      <c r="J115" s="20" t="s">
        <v>20</v>
      </c>
      <c r="K115" s="20" t="s">
        <v>20</v>
      </c>
      <c r="L115" s="20" t="s">
        <v>20</v>
      </c>
      <c r="M115" s="18" t="s">
        <v>20</v>
      </c>
      <c r="N115" s="18" t="s">
        <v>20</v>
      </c>
      <c r="O115" s="18" t="s">
        <v>20</v>
      </c>
      <c r="P115" s="18" t="s">
        <v>21</v>
      </c>
      <c r="Q115" s="18" t="s">
        <v>20</v>
      </c>
      <c r="R115" s="18" t="s">
        <v>20</v>
      </c>
      <c r="S115" s="18" t="s">
        <v>20</v>
      </c>
      <c r="T115" s="18" t="s">
        <v>20</v>
      </c>
      <c r="U115" s="18" t="s">
        <v>20</v>
      </c>
      <c r="V115" s="37" t="s">
        <v>20</v>
      </c>
      <c r="W115" s="37" t="s">
        <v>20</v>
      </c>
      <c r="X115" s="37" t="s">
        <v>21</v>
      </c>
      <c r="Y115" s="18" t="s">
        <v>20</v>
      </c>
      <c r="Z115" s="18" t="s">
        <v>20</v>
      </c>
      <c r="AA115" s="20" t="s">
        <v>20</v>
      </c>
      <c r="AB115" s="20" t="s">
        <v>20</v>
      </c>
      <c r="AC115" s="20" t="s">
        <v>20</v>
      </c>
      <c r="AD115" s="29" t="s">
        <v>20</v>
      </c>
      <c r="AE115" s="29" t="s">
        <v>21</v>
      </c>
      <c r="AG115">
        <f t="shared" si="9"/>
        <v>0</v>
      </c>
      <c r="AH115">
        <f t="shared" si="10"/>
        <v>23</v>
      </c>
      <c r="AI115">
        <f t="shared" si="11"/>
        <v>3</v>
      </c>
      <c r="AJ115">
        <f t="shared" si="12"/>
        <v>0</v>
      </c>
      <c r="AL115">
        <f t="shared" si="13"/>
        <v>0</v>
      </c>
      <c r="AM115">
        <f t="shared" si="14"/>
        <v>69</v>
      </c>
      <c r="AN115">
        <f t="shared" si="15"/>
        <v>6</v>
      </c>
      <c r="AO115">
        <f t="shared" si="16"/>
        <v>0</v>
      </c>
      <c r="AP115">
        <f t="shared" si="17"/>
        <v>75</v>
      </c>
    </row>
    <row r="116" spans="1:42" ht="15.75" hidden="1" customHeight="1" x14ac:dyDescent="0.3">
      <c r="A116" s="16"/>
      <c r="B116" s="55">
        <v>7</v>
      </c>
      <c r="C116" s="56" t="s">
        <v>134</v>
      </c>
      <c r="D116" s="55">
        <v>3</v>
      </c>
      <c r="E116" s="55" t="s">
        <v>21</v>
      </c>
      <c r="F116" s="18" t="s">
        <v>23</v>
      </c>
      <c r="G116" s="18" t="s">
        <v>21</v>
      </c>
      <c r="H116" s="18" t="s">
        <v>23</v>
      </c>
      <c r="I116" s="18" t="s">
        <v>21</v>
      </c>
      <c r="J116" s="20" t="s">
        <v>21</v>
      </c>
      <c r="K116" s="20" t="s">
        <v>21</v>
      </c>
      <c r="L116" s="20" t="s">
        <v>21</v>
      </c>
      <c r="M116" s="18" t="s">
        <v>20</v>
      </c>
      <c r="N116" s="18" t="s">
        <v>20</v>
      </c>
      <c r="O116" s="18" t="s">
        <v>21</v>
      </c>
      <c r="P116" s="18" t="s">
        <v>21</v>
      </c>
      <c r="Q116" s="18" t="s">
        <v>23</v>
      </c>
      <c r="R116" s="18" t="s">
        <v>21</v>
      </c>
      <c r="S116" s="18" t="s">
        <v>20</v>
      </c>
      <c r="T116" s="18" t="s">
        <v>21</v>
      </c>
      <c r="U116" s="18" t="s">
        <v>20</v>
      </c>
      <c r="V116" s="37" t="s">
        <v>21</v>
      </c>
      <c r="W116" s="37" t="s">
        <v>21</v>
      </c>
      <c r="X116" s="37" t="s">
        <v>21</v>
      </c>
      <c r="Y116" s="18" t="s">
        <v>20</v>
      </c>
      <c r="Z116" s="18" t="s">
        <v>20</v>
      </c>
      <c r="AA116" s="20" t="s">
        <v>21</v>
      </c>
      <c r="AB116" s="20" t="s">
        <v>21</v>
      </c>
      <c r="AC116" s="20" t="s">
        <v>21</v>
      </c>
      <c r="AD116" s="29" t="s">
        <v>21</v>
      </c>
      <c r="AE116" s="29" t="s">
        <v>21</v>
      </c>
      <c r="AG116">
        <f t="shared" si="9"/>
        <v>0</v>
      </c>
      <c r="AH116">
        <f t="shared" si="10"/>
        <v>6</v>
      </c>
      <c r="AI116">
        <f t="shared" si="11"/>
        <v>17</v>
      </c>
      <c r="AJ116">
        <f t="shared" si="12"/>
        <v>3</v>
      </c>
      <c r="AL116">
        <f t="shared" si="13"/>
        <v>0</v>
      </c>
      <c r="AM116">
        <f t="shared" si="14"/>
        <v>18</v>
      </c>
      <c r="AN116">
        <f t="shared" si="15"/>
        <v>34</v>
      </c>
      <c r="AO116">
        <f t="shared" si="16"/>
        <v>3</v>
      </c>
      <c r="AP116">
        <f t="shared" si="17"/>
        <v>55</v>
      </c>
    </row>
    <row r="117" spans="1:42" ht="15.75" hidden="1" customHeight="1" x14ac:dyDescent="0.3">
      <c r="A117" s="16"/>
      <c r="B117" s="55">
        <v>8</v>
      </c>
      <c r="C117" s="56" t="s">
        <v>135</v>
      </c>
      <c r="D117" s="55">
        <v>3</v>
      </c>
      <c r="E117" s="55" t="s">
        <v>21</v>
      </c>
      <c r="F117" s="18" t="s">
        <v>21</v>
      </c>
      <c r="G117" s="18" t="s">
        <v>23</v>
      </c>
      <c r="H117" s="18" t="s">
        <v>21</v>
      </c>
      <c r="I117" s="18" t="s">
        <v>21</v>
      </c>
      <c r="J117" s="20" t="s">
        <v>20</v>
      </c>
      <c r="K117" s="20" t="s">
        <v>20</v>
      </c>
      <c r="L117" s="20" t="s">
        <v>21</v>
      </c>
      <c r="M117" s="18" t="s">
        <v>20</v>
      </c>
      <c r="N117" s="18" t="s">
        <v>21</v>
      </c>
      <c r="O117" s="18" t="s">
        <v>20</v>
      </c>
      <c r="P117" s="18" t="s">
        <v>21</v>
      </c>
      <c r="Q117" s="18" t="s">
        <v>21</v>
      </c>
      <c r="R117" s="18" t="s">
        <v>21</v>
      </c>
      <c r="S117" s="18" t="s">
        <v>20</v>
      </c>
      <c r="T117" s="18" t="s">
        <v>20</v>
      </c>
      <c r="U117" s="18" t="s">
        <v>20</v>
      </c>
      <c r="V117" s="37" t="s">
        <v>20</v>
      </c>
      <c r="W117" s="37" t="s">
        <v>21</v>
      </c>
      <c r="X117" s="37" t="s">
        <v>20</v>
      </c>
      <c r="Y117" s="18" t="s">
        <v>20</v>
      </c>
      <c r="Z117" s="18" t="s">
        <v>20</v>
      </c>
      <c r="AA117" s="20" t="s">
        <v>23</v>
      </c>
      <c r="AB117" s="20" t="s">
        <v>23</v>
      </c>
      <c r="AC117" s="20" t="s">
        <v>21</v>
      </c>
      <c r="AD117" s="29" t="s">
        <v>21</v>
      </c>
      <c r="AE117" s="29" t="s">
        <v>21</v>
      </c>
      <c r="AG117">
        <f t="shared" si="9"/>
        <v>0</v>
      </c>
      <c r="AH117">
        <f t="shared" si="10"/>
        <v>11</v>
      </c>
      <c r="AI117">
        <f t="shared" si="11"/>
        <v>12</v>
      </c>
      <c r="AJ117">
        <f t="shared" si="12"/>
        <v>3</v>
      </c>
      <c r="AL117">
        <f t="shared" si="13"/>
        <v>0</v>
      </c>
      <c r="AM117">
        <f t="shared" si="14"/>
        <v>33</v>
      </c>
      <c r="AN117">
        <f t="shared" si="15"/>
        <v>24</v>
      </c>
      <c r="AO117">
        <f t="shared" si="16"/>
        <v>3</v>
      </c>
      <c r="AP117">
        <f t="shared" si="17"/>
        <v>60</v>
      </c>
    </row>
    <row r="118" spans="1:42" ht="15.75" hidden="1" customHeight="1" x14ac:dyDescent="0.3">
      <c r="A118" s="16"/>
      <c r="B118" s="55">
        <v>9</v>
      </c>
      <c r="C118" s="56" t="s">
        <v>136</v>
      </c>
      <c r="D118" s="55">
        <v>3</v>
      </c>
      <c r="E118" s="55" t="s">
        <v>21</v>
      </c>
      <c r="F118" s="18" t="s">
        <v>23</v>
      </c>
      <c r="G118" s="18" t="s">
        <v>21</v>
      </c>
      <c r="H118" s="18" t="s">
        <v>23</v>
      </c>
      <c r="I118" s="18" t="s">
        <v>21</v>
      </c>
      <c r="J118" s="20" t="s">
        <v>20</v>
      </c>
      <c r="K118" s="20" t="s">
        <v>21</v>
      </c>
      <c r="L118" s="20" t="s">
        <v>21</v>
      </c>
      <c r="M118" s="18" t="s">
        <v>21</v>
      </c>
      <c r="N118" s="18" t="s">
        <v>21</v>
      </c>
      <c r="O118" s="18" t="s">
        <v>21</v>
      </c>
      <c r="P118" s="18" t="s">
        <v>23</v>
      </c>
      <c r="Q118" s="18" t="s">
        <v>20</v>
      </c>
      <c r="R118" s="18" t="s">
        <v>21</v>
      </c>
      <c r="S118" s="18" t="s">
        <v>21</v>
      </c>
      <c r="T118" s="18" t="s">
        <v>20</v>
      </c>
      <c r="U118" s="18" t="s">
        <v>20</v>
      </c>
      <c r="V118" s="37" t="s">
        <v>21</v>
      </c>
      <c r="W118" s="37" t="s">
        <v>21</v>
      </c>
      <c r="X118" s="37" t="s">
        <v>21</v>
      </c>
      <c r="Y118" s="18" t="s">
        <v>20</v>
      </c>
      <c r="Z118" s="18" t="s">
        <v>20</v>
      </c>
      <c r="AA118" s="20" t="s">
        <v>23</v>
      </c>
      <c r="AB118" s="20" t="s">
        <v>23</v>
      </c>
      <c r="AC118" s="20" t="s">
        <v>21</v>
      </c>
      <c r="AD118" s="29" t="s">
        <v>21</v>
      </c>
      <c r="AE118" s="29" t="s">
        <v>21</v>
      </c>
      <c r="AG118">
        <f t="shared" si="9"/>
        <v>0</v>
      </c>
      <c r="AH118">
        <f t="shared" si="10"/>
        <v>6</v>
      </c>
      <c r="AI118">
        <f t="shared" si="11"/>
        <v>15</v>
      </c>
      <c r="AJ118">
        <f t="shared" si="12"/>
        <v>5</v>
      </c>
      <c r="AL118">
        <f t="shared" si="13"/>
        <v>0</v>
      </c>
      <c r="AM118">
        <f t="shared" si="14"/>
        <v>18</v>
      </c>
      <c r="AN118">
        <f t="shared" si="15"/>
        <v>30</v>
      </c>
      <c r="AO118">
        <f t="shared" si="16"/>
        <v>5</v>
      </c>
      <c r="AP118">
        <f t="shared" si="17"/>
        <v>53</v>
      </c>
    </row>
    <row r="119" spans="1:42" ht="15.75" hidden="1" customHeight="1" x14ac:dyDescent="0.3">
      <c r="A119" s="16"/>
      <c r="B119" s="55">
        <v>10</v>
      </c>
      <c r="C119" s="56" t="s">
        <v>137</v>
      </c>
      <c r="D119" s="55">
        <v>3</v>
      </c>
      <c r="E119" s="55" t="s">
        <v>21</v>
      </c>
      <c r="F119" s="18" t="s">
        <v>39</v>
      </c>
      <c r="G119" s="18" t="s">
        <v>20</v>
      </c>
      <c r="H119" s="18" t="s">
        <v>20</v>
      </c>
      <c r="I119" s="18" t="s">
        <v>20</v>
      </c>
      <c r="J119" s="20" t="s">
        <v>20</v>
      </c>
      <c r="K119" s="20" t="s">
        <v>39</v>
      </c>
      <c r="L119" s="20" t="s">
        <v>20</v>
      </c>
      <c r="M119" s="18" t="s">
        <v>20</v>
      </c>
      <c r="N119" s="18" t="s">
        <v>20</v>
      </c>
      <c r="O119" s="18" t="s">
        <v>20</v>
      </c>
      <c r="P119" s="18" t="s">
        <v>21</v>
      </c>
      <c r="Q119" s="18" t="s">
        <v>20</v>
      </c>
      <c r="R119" s="18" t="s">
        <v>20</v>
      </c>
      <c r="S119" s="18" t="s">
        <v>20</v>
      </c>
      <c r="T119" s="18" t="s">
        <v>20</v>
      </c>
      <c r="U119" s="18" t="s">
        <v>20</v>
      </c>
      <c r="V119" s="37" t="s">
        <v>21</v>
      </c>
      <c r="W119" s="37" t="s">
        <v>20</v>
      </c>
      <c r="X119" s="37" t="s">
        <v>20</v>
      </c>
      <c r="Y119" s="18" t="s">
        <v>20</v>
      </c>
      <c r="Z119" s="18" t="s">
        <v>20</v>
      </c>
      <c r="AA119" s="20" t="s">
        <v>20</v>
      </c>
      <c r="AB119" s="20" t="s">
        <v>20</v>
      </c>
      <c r="AC119" s="20" t="s">
        <v>20</v>
      </c>
      <c r="AD119" s="29" t="s">
        <v>20</v>
      </c>
      <c r="AE119" s="29" t="s">
        <v>21</v>
      </c>
      <c r="AG119">
        <f t="shared" si="9"/>
        <v>2</v>
      </c>
      <c r="AH119">
        <f t="shared" si="10"/>
        <v>21</v>
      </c>
      <c r="AI119">
        <f t="shared" si="11"/>
        <v>3</v>
      </c>
      <c r="AJ119">
        <f t="shared" si="12"/>
        <v>0</v>
      </c>
      <c r="AL119">
        <f t="shared" si="13"/>
        <v>8</v>
      </c>
      <c r="AM119">
        <f t="shared" si="14"/>
        <v>63</v>
      </c>
      <c r="AN119">
        <f t="shared" si="15"/>
        <v>6</v>
      </c>
      <c r="AO119">
        <f t="shared" si="16"/>
        <v>0</v>
      </c>
      <c r="AP119">
        <f t="shared" si="17"/>
        <v>77</v>
      </c>
    </row>
    <row r="120" spans="1:42" ht="15.75" hidden="1" customHeight="1" x14ac:dyDescent="0.3">
      <c r="A120" s="16"/>
      <c r="B120" s="55">
        <v>11</v>
      </c>
      <c r="C120" s="56" t="s">
        <v>138</v>
      </c>
      <c r="D120" s="55">
        <v>3</v>
      </c>
      <c r="E120" s="55" t="s">
        <v>21</v>
      </c>
      <c r="F120" s="18" t="s">
        <v>21</v>
      </c>
      <c r="G120" s="18" t="s">
        <v>21</v>
      </c>
      <c r="H120" s="18" t="s">
        <v>21</v>
      </c>
      <c r="I120" s="18" t="s">
        <v>21</v>
      </c>
      <c r="J120" s="20" t="s">
        <v>21</v>
      </c>
      <c r="K120" s="20" t="s">
        <v>21</v>
      </c>
      <c r="L120" s="20" t="s">
        <v>21</v>
      </c>
      <c r="M120" s="18" t="s">
        <v>21</v>
      </c>
      <c r="N120" s="18" t="s">
        <v>21</v>
      </c>
      <c r="O120" s="18" t="s">
        <v>21</v>
      </c>
      <c r="P120" s="18" t="s">
        <v>21</v>
      </c>
      <c r="Q120" s="18" t="s">
        <v>21</v>
      </c>
      <c r="R120" s="18" t="s">
        <v>23</v>
      </c>
      <c r="S120" s="18" t="s">
        <v>23</v>
      </c>
      <c r="T120" s="18" t="s">
        <v>21</v>
      </c>
      <c r="U120" s="18" t="s">
        <v>20</v>
      </c>
      <c r="V120" s="37" t="s">
        <v>21</v>
      </c>
      <c r="W120" s="37" t="s">
        <v>20</v>
      </c>
      <c r="X120" s="37" t="s">
        <v>21</v>
      </c>
      <c r="Y120" s="18" t="s">
        <v>21</v>
      </c>
      <c r="Z120" s="18" t="s">
        <v>21</v>
      </c>
      <c r="AA120" s="20" t="s">
        <v>21</v>
      </c>
      <c r="AB120" s="20" t="s">
        <v>21</v>
      </c>
      <c r="AC120" s="20" t="s">
        <v>21</v>
      </c>
      <c r="AD120" s="29" t="s">
        <v>23</v>
      </c>
      <c r="AE120" s="29" t="s">
        <v>21</v>
      </c>
      <c r="AG120">
        <f t="shared" si="9"/>
        <v>0</v>
      </c>
      <c r="AH120">
        <f t="shared" si="10"/>
        <v>2</v>
      </c>
      <c r="AI120">
        <f t="shared" si="11"/>
        <v>21</v>
      </c>
      <c r="AJ120">
        <f t="shared" si="12"/>
        <v>3</v>
      </c>
      <c r="AL120">
        <f t="shared" si="13"/>
        <v>0</v>
      </c>
      <c r="AM120">
        <f t="shared" si="14"/>
        <v>6</v>
      </c>
      <c r="AN120">
        <f t="shared" si="15"/>
        <v>42</v>
      </c>
      <c r="AO120">
        <f t="shared" si="16"/>
        <v>3</v>
      </c>
      <c r="AP120">
        <f t="shared" si="17"/>
        <v>51</v>
      </c>
    </row>
    <row r="121" spans="1:42" ht="15.75" hidden="1" customHeight="1" x14ac:dyDescent="0.3">
      <c r="A121" s="16"/>
      <c r="B121" s="55">
        <v>12</v>
      </c>
      <c r="C121" s="56" t="s">
        <v>139</v>
      </c>
      <c r="D121" s="55">
        <v>3</v>
      </c>
      <c r="E121" s="55" t="s">
        <v>21</v>
      </c>
      <c r="F121" s="18" t="s">
        <v>20</v>
      </c>
      <c r="G121" s="18" t="s">
        <v>20</v>
      </c>
      <c r="H121" s="18" t="s">
        <v>20</v>
      </c>
      <c r="I121" s="18" t="s">
        <v>20</v>
      </c>
      <c r="J121" s="20" t="s">
        <v>20</v>
      </c>
      <c r="K121" s="20" t="s">
        <v>20</v>
      </c>
      <c r="L121" s="20" t="s">
        <v>20</v>
      </c>
      <c r="M121" s="18" t="s">
        <v>20</v>
      </c>
      <c r="N121" s="18" t="s">
        <v>20</v>
      </c>
      <c r="O121" s="18" t="s">
        <v>20</v>
      </c>
      <c r="P121" s="18" t="s">
        <v>21</v>
      </c>
      <c r="Q121" s="18" t="s">
        <v>20</v>
      </c>
      <c r="R121" s="18" t="s">
        <v>21</v>
      </c>
      <c r="S121" s="18" t="s">
        <v>21</v>
      </c>
      <c r="T121" s="18" t="s">
        <v>21</v>
      </c>
      <c r="U121" s="18" t="s">
        <v>20</v>
      </c>
      <c r="V121" s="37" t="s">
        <v>20</v>
      </c>
      <c r="W121" s="37" t="s">
        <v>20</v>
      </c>
      <c r="X121" s="37" t="s">
        <v>21</v>
      </c>
      <c r="Y121" s="18" t="s">
        <v>21</v>
      </c>
      <c r="Z121" s="18" t="s">
        <v>20</v>
      </c>
      <c r="AA121" s="20" t="s">
        <v>20</v>
      </c>
      <c r="AB121" s="20" t="s">
        <v>20</v>
      </c>
      <c r="AC121" s="20" t="s">
        <v>20</v>
      </c>
      <c r="AD121" s="29" t="s">
        <v>23</v>
      </c>
      <c r="AE121" s="29" t="s">
        <v>21</v>
      </c>
      <c r="AG121">
        <f t="shared" si="9"/>
        <v>0</v>
      </c>
      <c r="AH121">
        <f t="shared" si="10"/>
        <v>18</v>
      </c>
      <c r="AI121">
        <f t="shared" si="11"/>
        <v>7</v>
      </c>
      <c r="AJ121">
        <f t="shared" si="12"/>
        <v>1</v>
      </c>
      <c r="AL121">
        <f t="shared" si="13"/>
        <v>0</v>
      </c>
      <c r="AM121">
        <f t="shared" si="14"/>
        <v>54</v>
      </c>
      <c r="AN121">
        <f t="shared" si="15"/>
        <v>14</v>
      </c>
      <c r="AO121">
        <f t="shared" si="16"/>
        <v>1</v>
      </c>
      <c r="AP121">
        <f t="shared" si="17"/>
        <v>69</v>
      </c>
    </row>
    <row r="122" spans="1:42" ht="15.75" hidden="1" customHeight="1" x14ac:dyDescent="0.3">
      <c r="A122" s="16"/>
      <c r="B122" s="55">
        <v>13</v>
      </c>
      <c r="C122" s="56" t="s">
        <v>140</v>
      </c>
      <c r="D122" s="55">
        <v>3</v>
      </c>
      <c r="E122" s="55" t="s">
        <v>21</v>
      </c>
      <c r="F122" s="18" t="s">
        <v>20</v>
      </c>
      <c r="G122" s="18" t="s">
        <v>20</v>
      </c>
      <c r="H122" s="18" t="s">
        <v>20</v>
      </c>
      <c r="I122" s="18" t="s">
        <v>39</v>
      </c>
      <c r="J122" s="20" t="s">
        <v>20</v>
      </c>
      <c r="K122" s="20" t="s">
        <v>20</v>
      </c>
      <c r="L122" s="20" t="s">
        <v>20</v>
      </c>
      <c r="M122" s="18" t="s">
        <v>20</v>
      </c>
      <c r="N122" s="18" t="s">
        <v>20</v>
      </c>
      <c r="O122" s="18" t="s">
        <v>20</v>
      </c>
      <c r="P122" s="18" t="s">
        <v>21</v>
      </c>
      <c r="Q122" s="18" t="s">
        <v>21</v>
      </c>
      <c r="R122" s="18" t="s">
        <v>20</v>
      </c>
      <c r="S122" s="18" t="s">
        <v>20</v>
      </c>
      <c r="T122" s="18" t="s">
        <v>20</v>
      </c>
      <c r="U122" s="18" t="s">
        <v>20</v>
      </c>
      <c r="V122" s="37" t="s">
        <v>20</v>
      </c>
      <c r="W122" s="37" t="s">
        <v>20</v>
      </c>
      <c r="X122" s="37" t="s">
        <v>20</v>
      </c>
      <c r="Y122" s="18" t="s">
        <v>21</v>
      </c>
      <c r="Z122" s="18" t="s">
        <v>21</v>
      </c>
      <c r="AA122" s="20" t="s">
        <v>21</v>
      </c>
      <c r="AB122" s="20" t="s">
        <v>20</v>
      </c>
      <c r="AC122" s="20" t="s">
        <v>21</v>
      </c>
      <c r="AD122" s="29" t="s">
        <v>55</v>
      </c>
      <c r="AE122" s="29" t="s">
        <v>55</v>
      </c>
      <c r="AG122">
        <f t="shared" si="9"/>
        <v>1</v>
      </c>
      <c r="AH122">
        <f t="shared" si="10"/>
        <v>17</v>
      </c>
      <c r="AI122">
        <f t="shared" si="11"/>
        <v>6</v>
      </c>
      <c r="AJ122">
        <f t="shared" si="12"/>
        <v>0</v>
      </c>
      <c r="AL122">
        <f t="shared" si="13"/>
        <v>4</v>
      </c>
      <c r="AM122">
        <f t="shared" si="14"/>
        <v>51</v>
      </c>
      <c r="AN122">
        <f t="shared" si="15"/>
        <v>12</v>
      </c>
      <c r="AO122">
        <f t="shared" si="16"/>
        <v>0</v>
      </c>
      <c r="AP122">
        <f t="shared" si="17"/>
        <v>67</v>
      </c>
    </row>
    <row r="123" spans="1:42" ht="15.75" hidden="1" customHeight="1" x14ac:dyDescent="0.3">
      <c r="A123" s="16"/>
      <c r="B123" s="55">
        <v>14</v>
      </c>
      <c r="C123" s="56" t="s">
        <v>141</v>
      </c>
      <c r="D123" s="55">
        <v>3</v>
      </c>
      <c r="E123" s="55" t="s">
        <v>21</v>
      </c>
      <c r="F123" s="18" t="s">
        <v>21</v>
      </c>
      <c r="G123" s="18" t="s">
        <v>21</v>
      </c>
      <c r="H123" s="18" t="s">
        <v>20</v>
      </c>
      <c r="I123" s="18" t="s">
        <v>20</v>
      </c>
      <c r="J123" s="20" t="s">
        <v>20</v>
      </c>
      <c r="K123" s="20" t="s">
        <v>20</v>
      </c>
      <c r="L123" s="20" t="s">
        <v>21</v>
      </c>
      <c r="M123" s="18" t="s">
        <v>20</v>
      </c>
      <c r="N123" s="18" t="s">
        <v>20</v>
      </c>
      <c r="O123" s="18" t="s">
        <v>20</v>
      </c>
      <c r="P123" s="18" t="s">
        <v>23</v>
      </c>
      <c r="Q123" s="18" t="s">
        <v>21</v>
      </c>
      <c r="R123" s="18" t="s">
        <v>21</v>
      </c>
      <c r="S123" s="18" t="s">
        <v>20</v>
      </c>
      <c r="T123" s="18" t="s">
        <v>20</v>
      </c>
      <c r="U123" s="18" t="s">
        <v>21</v>
      </c>
      <c r="V123" s="37" t="s">
        <v>21</v>
      </c>
      <c r="W123" s="37" t="s">
        <v>20</v>
      </c>
      <c r="X123" s="37" t="s">
        <v>21</v>
      </c>
      <c r="Y123" s="18" t="s">
        <v>21</v>
      </c>
      <c r="Z123" s="18" t="s">
        <v>21</v>
      </c>
      <c r="AA123" s="20" t="s">
        <v>21</v>
      </c>
      <c r="AB123" s="20" t="s">
        <v>21</v>
      </c>
      <c r="AC123" s="20" t="s">
        <v>20</v>
      </c>
      <c r="AD123" s="29" t="s">
        <v>21</v>
      </c>
      <c r="AE123" s="29" t="s">
        <v>21</v>
      </c>
      <c r="AG123">
        <f t="shared" si="9"/>
        <v>0</v>
      </c>
      <c r="AH123">
        <f t="shared" si="10"/>
        <v>11</v>
      </c>
      <c r="AI123">
        <f t="shared" si="11"/>
        <v>14</v>
      </c>
      <c r="AJ123">
        <f t="shared" si="12"/>
        <v>1</v>
      </c>
      <c r="AL123">
        <f t="shared" si="13"/>
        <v>0</v>
      </c>
      <c r="AM123">
        <f t="shared" si="14"/>
        <v>33</v>
      </c>
      <c r="AN123">
        <f t="shared" si="15"/>
        <v>28</v>
      </c>
      <c r="AO123">
        <f t="shared" si="16"/>
        <v>1</v>
      </c>
      <c r="AP123">
        <f t="shared" si="17"/>
        <v>62</v>
      </c>
    </row>
    <row r="124" spans="1:42" ht="15.75" hidden="1" customHeight="1" x14ac:dyDescent="0.3">
      <c r="A124" s="16"/>
      <c r="B124" s="55">
        <v>15</v>
      </c>
      <c r="C124" s="56" t="s">
        <v>142</v>
      </c>
      <c r="D124" s="55">
        <v>3</v>
      </c>
      <c r="E124" s="55" t="s">
        <v>21</v>
      </c>
      <c r="F124" s="18" t="s">
        <v>23</v>
      </c>
      <c r="G124" s="18" t="s">
        <v>23</v>
      </c>
      <c r="H124" s="18" t="s">
        <v>23</v>
      </c>
      <c r="I124" s="18" t="s">
        <v>21</v>
      </c>
      <c r="J124" s="20" t="s">
        <v>21</v>
      </c>
      <c r="K124" s="20" t="s">
        <v>21</v>
      </c>
      <c r="L124" s="20" t="s">
        <v>21</v>
      </c>
      <c r="M124" s="18" t="s">
        <v>21</v>
      </c>
      <c r="N124" s="18" t="s">
        <v>21</v>
      </c>
      <c r="O124" s="18" t="s">
        <v>21</v>
      </c>
      <c r="P124" s="18" t="s">
        <v>23</v>
      </c>
      <c r="Q124" s="18" t="s">
        <v>21</v>
      </c>
      <c r="R124" s="18" t="s">
        <v>21</v>
      </c>
      <c r="S124" s="18" t="s">
        <v>23</v>
      </c>
      <c r="T124" s="18" t="s">
        <v>23</v>
      </c>
      <c r="U124" s="18" t="s">
        <v>20</v>
      </c>
      <c r="V124" s="37" t="s">
        <v>20</v>
      </c>
      <c r="W124" s="37" t="s">
        <v>20</v>
      </c>
      <c r="X124" s="37" t="s">
        <v>21</v>
      </c>
      <c r="Y124" s="18" t="s">
        <v>23</v>
      </c>
      <c r="Z124" s="18" t="s">
        <v>21</v>
      </c>
      <c r="AA124" s="20" t="s">
        <v>21</v>
      </c>
      <c r="AB124" s="20" t="s">
        <v>21</v>
      </c>
      <c r="AC124" s="20" t="s">
        <v>21</v>
      </c>
      <c r="AD124" s="29" t="s">
        <v>23</v>
      </c>
      <c r="AE124" s="29" t="s">
        <v>21</v>
      </c>
      <c r="AG124">
        <f t="shared" si="9"/>
        <v>0</v>
      </c>
      <c r="AH124">
        <f t="shared" si="10"/>
        <v>3</v>
      </c>
      <c r="AI124">
        <f t="shared" si="11"/>
        <v>15</v>
      </c>
      <c r="AJ124">
        <f t="shared" si="12"/>
        <v>8</v>
      </c>
      <c r="AL124">
        <f t="shared" si="13"/>
        <v>0</v>
      </c>
      <c r="AM124">
        <f t="shared" si="14"/>
        <v>9</v>
      </c>
      <c r="AN124">
        <f t="shared" si="15"/>
        <v>30</v>
      </c>
      <c r="AO124">
        <f t="shared" si="16"/>
        <v>8</v>
      </c>
      <c r="AP124">
        <f t="shared" si="17"/>
        <v>47</v>
      </c>
    </row>
    <row r="125" spans="1:42" ht="15.75" hidden="1" customHeight="1" x14ac:dyDescent="0.3">
      <c r="A125" s="16"/>
      <c r="B125" s="55">
        <v>16</v>
      </c>
      <c r="C125" s="56" t="s">
        <v>143</v>
      </c>
      <c r="D125" s="55">
        <v>3</v>
      </c>
      <c r="E125" s="55" t="s">
        <v>21</v>
      </c>
      <c r="F125" s="18" t="s">
        <v>23</v>
      </c>
      <c r="G125" s="18" t="s">
        <v>23</v>
      </c>
      <c r="H125" s="18" t="s">
        <v>21</v>
      </c>
      <c r="I125" s="18" t="s">
        <v>21</v>
      </c>
      <c r="J125" s="20" t="s">
        <v>21</v>
      </c>
      <c r="K125" s="20" t="s">
        <v>21</v>
      </c>
      <c r="L125" s="20" t="s">
        <v>21</v>
      </c>
      <c r="M125" s="18" t="s">
        <v>21</v>
      </c>
      <c r="N125" s="18" t="s">
        <v>20</v>
      </c>
      <c r="O125" s="18" t="s">
        <v>21</v>
      </c>
      <c r="P125" s="18" t="s">
        <v>21</v>
      </c>
      <c r="Q125" s="18" t="s">
        <v>20</v>
      </c>
      <c r="R125" s="18" t="s">
        <v>21</v>
      </c>
      <c r="S125" s="18" t="s">
        <v>23</v>
      </c>
      <c r="T125" s="18" t="s">
        <v>21</v>
      </c>
      <c r="U125" s="18" t="s">
        <v>20</v>
      </c>
      <c r="V125" s="37" t="s">
        <v>21</v>
      </c>
      <c r="W125" s="37" t="s">
        <v>20</v>
      </c>
      <c r="X125" s="37" t="s">
        <v>21</v>
      </c>
      <c r="Y125" s="18" t="s">
        <v>23</v>
      </c>
      <c r="Z125" s="18" t="s">
        <v>21</v>
      </c>
      <c r="AA125" s="20" t="s">
        <v>21</v>
      </c>
      <c r="AB125" s="20" t="s">
        <v>21</v>
      </c>
      <c r="AC125" s="20" t="s">
        <v>21</v>
      </c>
      <c r="AD125" s="29" t="s">
        <v>23</v>
      </c>
      <c r="AE125" s="29" t="s">
        <v>21</v>
      </c>
      <c r="AG125">
        <f t="shared" si="9"/>
        <v>0</v>
      </c>
      <c r="AH125">
        <f t="shared" si="10"/>
        <v>4</v>
      </c>
      <c r="AI125">
        <f t="shared" si="11"/>
        <v>17</v>
      </c>
      <c r="AJ125">
        <f t="shared" si="12"/>
        <v>5</v>
      </c>
      <c r="AL125">
        <f t="shared" si="13"/>
        <v>0</v>
      </c>
      <c r="AM125">
        <f t="shared" si="14"/>
        <v>12</v>
      </c>
      <c r="AN125">
        <f t="shared" si="15"/>
        <v>34</v>
      </c>
      <c r="AO125">
        <f t="shared" si="16"/>
        <v>5</v>
      </c>
      <c r="AP125">
        <f t="shared" si="17"/>
        <v>51</v>
      </c>
    </row>
    <row r="126" spans="1:42" ht="15.75" hidden="1" customHeight="1" x14ac:dyDescent="0.3">
      <c r="A126" s="16"/>
      <c r="B126" s="55">
        <v>17</v>
      </c>
      <c r="C126" s="56" t="s">
        <v>144</v>
      </c>
      <c r="D126" s="55">
        <v>3</v>
      </c>
      <c r="E126" s="55" t="s">
        <v>21</v>
      </c>
      <c r="F126" s="18" t="s">
        <v>21</v>
      </c>
      <c r="G126" s="18" t="s">
        <v>21</v>
      </c>
      <c r="H126" s="18" t="s">
        <v>21</v>
      </c>
      <c r="I126" s="18" t="s">
        <v>21</v>
      </c>
      <c r="J126" s="20" t="s">
        <v>21</v>
      </c>
      <c r="K126" s="20" t="s">
        <v>21</v>
      </c>
      <c r="L126" s="20" t="s">
        <v>21</v>
      </c>
      <c r="M126" s="18" t="s">
        <v>20</v>
      </c>
      <c r="N126" s="18" t="s">
        <v>20</v>
      </c>
      <c r="O126" s="18" t="s">
        <v>20</v>
      </c>
      <c r="P126" s="18" t="s">
        <v>21</v>
      </c>
      <c r="Q126" s="18" t="s">
        <v>21</v>
      </c>
      <c r="R126" s="18" t="s">
        <v>21</v>
      </c>
      <c r="S126" s="18" t="s">
        <v>20</v>
      </c>
      <c r="T126" s="18" t="s">
        <v>20</v>
      </c>
      <c r="U126" s="18" t="s">
        <v>20</v>
      </c>
      <c r="V126" s="37" t="s">
        <v>21</v>
      </c>
      <c r="W126" s="37" t="s">
        <v>20</v>
      </c>
      <c r="X126" s="37" t="s">
        <v>21</v>
      </c>
      <c r="Y126" s="18" t="s">
        <v>20</v>
      </c>
      <c r="Z126" s="18" t="s">
        <v>20</v>
      </c>
      <c r="AA126" s="20" t="s">
        <v>21</v>
      </c>
      <c r="AB126" s="20" t="s">
        <v>20</v>
      </c>
      <c r="AC126" s="20" t="s">
        <v>21</v>
      </c>
      <c r="AD126" s="29" t="s">
        <v>20</v>
      </c>
      <c r="AE126" s="29" t="s">
        <v>21</v>
      </c>
      <c r="AG126">
        <f t="shared" si="9"/>
        <v>0</v>
      </c>
      <c r="AH126">
        <f t="shared" si="10"/>
        <v>11</v>
      </c>
      <c r="AI126">
        <f t="shared" si="11"/>
        <v>15</v>
      </c>
      <c r="AJ126">
        <f t="shared" si="12"/>
        <v>0</v>
      </c>
      <c r="AL126">
        <f t="shared" si="13"/>
        <v>0</v>
      </c>
      <c r="AM126">
        <f t="shared" si="14"/>
        <v>33</v>
      </c>
      <c r="AN126">
        <f t="shared" si="15"/>
        <v>30</v>
      </c>
      <c r="AO126">
        <f t="shared" si="16"/>
        <v>0</v>
      </c>
      <c r="AP126">
        <f t="shared" si="17"/>
        <v>63</v>
      </c>
    </row>
    <row r="127" spans="1:42" ht="15.75" hidden="1" customHeight="1" x14ac:dyDescent="0.3">
      <c r="A127" s="16"/>
      <c r="B127" s="55">
        <v>18</v>
      </c>
      <c r="C127" s="56" t="s">
        <v>145</v>
      </c>
      <c r="D127" s="55">
        <v>3</v>
      </c>
      <c r="E127" s="55" t="s">
        <v>21</v>
      </c>
      <c r="F127" s="18" t="s">
        <v>21</v>
      </c>
      <c r="G127" s="18" t="s">
        <v>21</v>
      </c>
      <c r="H127" s="18" t="s">
        <v>20</v>
      </c>
      <c r="I127" s="18" t="s">
        <v>21</v>
      </c>
      <c r="J127" s="20" t="s">
        <v>20</v>
      </c>
      <c r="K127" s="20" t="s">
        <v>20</v>
      </c>
      <c r="L127" s="20" t="s">
        <v>20</v>
      </c>
      <c r="M127" s="18" t="s">
        <v>21</v>
      </c>
      <c r="N127" s="18" t="s">
        <v>20</v>
      </c>
      <c r="O127" s="18" t="s">
        <v>21</v>
      </c>
      <c r="P127" s="18" t="s">
        <v>21</v>
      </c>
      <c r="Q127" s="18" t="s">
        <v>21</v>
      </c>
      <c r="R127" s="18" t="s">
        <v>20</v>
      </c>
      <c r="S127" s="18" t="s">
        <v>20</v>
      </c>
      <c r="T127" s="18" t="s">
        <v>20</v>
      </c>
      <c r="U127" s="18" t="s">
        <v>20</v>
      </c>
      <c r="V127" s="37" t="s">
        <v>20</v>
      </c>
      <c r="W127" s="37" t="s">
        <v>20</v>
      </c>
      <c r="X127" s="37" t="s">
        <v>20</v>
      </c>
      <c r="Y127" s="18" t="s">
        <v>20</v>
      </c>
      <c r="Z127" s="18" t="s">
        <v>21</v>
      </c>
      <c r="AA127" s="20" t="s">
        <v>20</v>
      </c>
      <c r="AB127" s="20" t="s">
        <v>21</v>
      </c>
      <c r="AC127" s="20" t="s">
        <v>20</v>
      </c>
      <c r="AD127" s="29" t="s">
        <v>20</v>
      </c>
      <c r="AE127" s="29" t="s">
        <v>21</v>
      </c>
      <c r="AG127">
        <f t="shared" si="9"/>
        <v>0</v>
      </c>
      <c r="AH127">
        <f t="shared" si="10"/>
        <v>16</v>
      </c>
      <c r="AI127">
        <f t="shared" si="11"/>
        <v>10</v>
      </c>
      <c r="AJ127">
        <f t="shared" si="12"/>
        <v>0</v>
      </c>
      <c r="AL127">
        <f t="shared" si="13"/>
        <v>0</v>
      </c>
      <c r="AM127">
        <f t="shared" si="14"/>
        <v>48</v>
      </c>
      <c r="AN127">
        <f t="shared" si="15"/>
        <v>20</v>
      </c>
      <c r="AO127">
        <f t="shared" si="16"/>
        <v>0</v>
      </c>
      <c r="AP127">
        <f t="shared" si="17"/>
        <v>68</v>
      </c>
    </row>
    <row r="128" spans="1:42" ht="15.75" hidden="1" customHeight="1" x14ac:dyDescent="0.3">
      <c r="A128" s="16"/>
      <c r="B128" s="55">
        <v>19</v>
      </c>
      <c r="C128" s="56" t="s">
        <v>146</v>
      </c>
      <c r="D128" s="55">
        <v>3</v>
      </c>
      <c r="E128" s="55" t="s">
        <v>21</v>
      </c>
      <c r="F128" s="18" t="s">
        <v>21</v>
      </c>
      <c r="G128" s="18" t="s">
        <v>21</v>
      </c>
      <c r="H128" s="18" t="s">
        <v>21</v>
      </c>
      <c r="I128" s="18" t="s">
        <v>21</v>
      </c>
      <c r="J128" s="20" t="s">
        <v>21</v>
      </c>
      <c r="K128" s="20" t="s">
        <v>21</v>
      </c>
      <c r="L128" s="20" t="s">
        <v>21</v>
      </c>
      <c r="M128" s="18" t="s">
        <v>21</v>
      </c>
      <c r="N128" s="18" t="s">
        <v>20</v>
      </c>
      <c r="O128" s="18" t="s">
        <v>21</v>
      </c>
      <c r="P128" s="18" t="s">
        <v>21</v>
      </c>
      <c r="Q128" s="18" t="s">
        <v>21</v>
      </c>
      <c r="R128" s="18" t="s">
        <v>23</v>
      </c>
      <c r="S128" s="18" t="s">
        <v>21</v>
      </c>
      <c r="T128" s="18" t="s">
        <v>20</v>
      </c>
      <c r="U128" s="18" t="s">
        <v>21</v>
      </c>
      <c r="V128" s="37" t="s">
        <v>21</v>
      </c>
      <c r="W128" s="37" t="s">
        <v>20</v>
      </c>
      <c r="X128" s="37" t="s">
        <v>21</v>
      </c>
      <c r="Y128" s="18" t="s">
        <v>20</v>
      </c>
      <c r="Z128" s="18" t="s">
        <v>20</v>
      </c>
      <c r="AA128" s="20" t="s">
        <v>21</v>
      </c>
      <c r="AB128" s="20" t="s">
        <v>21</v>
      </c>
      <c r="AC128" s="20" t="s">
        <v>23</v>
      </c>
      <c r="AD128" s="29" t="s">
        <v>20</v>
      </c>
      <c r="AE128" s="29" t="s">
        <v>21</v>
      </c>
      <c r="AG128">
        <f t="shared" si="9"/>
        <v>0</v>
      </c>
      <c r="AH128">
        <f t="shared" si="10"/>
        <v>6</v>
      </c>
      <c r="AI128">
        <f t="shared" si="11"/>
        <v>18</v>
      </c>
      <c r="AJ128">
        <f t="shared" si="12"/>
        <v>2</v>
      </c>
      <c r="AL128">
        <f t="shared" si="13"/>
        <v>0</v>
      </c>
      <c r="AM128">
        <f t="shared" si="14"/>
        <v>18</v>
      </c>
      <c r="AN128">
        <f t="shared" si="15"/>
        <v>36</v>
      </c>
      <c r="AO128">
        <f t="shared" si="16"/>
        <v>2</v>
      </c>
      <c r="AP128">
        <f t="shared" si="17"/>
        <v>56</v>
      </c>
    </row>
    <row r="129" spans="1:42" ht="15.75" hidden="1" customHeight="1" x14ac:dyDescent="0.3">
      <c r="A129" s="16"/>
      <c r="B129" s="55">
        <v>20</v>
      </c>
      <c r="C129" s="56" t="s">
        <v>147</v>
      </c>
      <c r="D129" s="55">
        <v>3</v>
      </c>
      <c r="E129" s="55" t="s">
        <v>21</v>
      </c>
      <c r="F129" s="18" t="s">
        <v>20</v>
      </c>
      <c r="G129" s="18" t="s">
        <v>20</v>
      </c>
      <c r="H129" s="18" t="s">
        <v>20</v>
      </c>
      <c r="I129" s="18" t="s">
        <v>20</v>
      </c>
      <c r="J129" s="20" t="s">
        <v>21</v>
      </c>
      <c r="K129" s="20" t="s">
        <v>21</v>
      </c>
      <c r="L129" s="20" t="s">
        <v>21</v>
      </c>
      <c r="M129" s="18" t="s">
        <v>20</v>
      </c>
      <c r="N129" s="18" t="s">
        <v>20</v>
      </c>
      <c r="O129" s="18" t="s">
        <v>20</v>
      </c>
      <c r="P129" s="18" t="s">
        <v>21</v>
      </c>
      <c r="Q129" s="18" t="s">
        <v>20</v>
      </c>
      <c r="R129" s="18" t="s">
        <v>21</v>
      </c>
      <c r="S129" s="18" t="s">
        <v>20</v>
      </c>
      <c r="T129" s="18" t="s">
        <v>20</v>
      </c>
      <c r="U129" s="18" t="s">
        <v>20</v>
      </c>
      <c r="V129" s="37" t="s">
        <v>21</v>
      </c>
      <c r="W129" s="37" t="s">
        <v>20</v>
      </c>
      <c r="X129" s="37" t="s">
        <v>21</v>
      </c>
      <c r="Y129" s="18" t="s">
        <v>21</v>
      </c>
      <c r="Z129" s="18" t="s">
        <v>20</v>
      </c>
      <c r="AA129" s="20" t="s">
        <v>21</v>
      </c>
      <c r="AB129" s="20" t="s">
        <v>21</v>
      </c>
      <c r="AC129" s="20" t="s">
        <v>21</v>
      </c>
      <c r="AD129" s="29" t="s">
        <v>20</v>
      </c>
      <c r="AE129" s="29" t="s">
        <v>21</v>
      </c>
      <c r="AG129">
        <f t="shared" si="9"/>
        <v>0</v>
      </c>
      <c r="AH129">
        <f t="shared" si="10"/>
        <v>14</v>
      </c>
      <c r="AI129">
        <f t="shared" si="11"/>
        <v>12</v>
      </c>
      <c r="AJ129">
        <f t="shared" si="12"/>
        <v>0</v>
      </c>
      <c r="AL129">
        <f t="shared" si="13"/>
        <v>0</v>
      </c>
      <c r="AM129">
        <f t="shared" si="14"/>
        <v>42</v>
      </c>
      <c r="AN129">
        <f t="shared" si="15"/>
        <v>24</v>
      </c>
      <c r="AO129">
        <f t="shared" si="16"/>
        <v>0</v>
      </c>
      <c r="AP129">
        <f t="shared" si="17"/>
        <v>66</v>
      </c>
    </row>
    <row r="130" spans="1:42" ht="15.75" hidden="1" customHeight="1" thickBot="1" x14ac:dyDescent="0.35">
      <c r="A130" s="16"/>
      <c r="B130" s="57">
        <v>21</v>
      </c>
      <c r="C130" s="58" t="s">
        <v>148</v>
      </c>
      <c r="D130" s="57">
        <v>3</v>
      </c>
      <c r="E130" s="57" t="s">
        <v>21</v>
      </c>
      <c r="F130" s="21" t="s">
        <v>20</v>
      </c>
      <c r="G130" s="21" t="s">
        <v>20</v>
      </c>
      <c r="H130" s="21" t="s">
        <v>21</v>
      </c>
      <c r="I130" s="21" t="s">
        <v>20</v>
      </c>
      <c r="J130" s="23" t="s">
        <v>20</v>
      </c>
      <c r="K130" s="23" t="s">
        <v>20</v>
      </c>
      <c r="L130" s="23" t="s">
        <v>21</v>
      </c>
      <c r="M130" s="21" t="s">
        <v>21</v>
      </c>
      <c r="N130" s="21" t="s">
        <v>21</v>
      </c>
      <c r="O130" s="21" t="s">
        <v>21</v>
      </c>
      <c r="P130" s="21" t="s">
        <v>21</v>
      </c>
      <c r="Q130" s="21" t="s">
        <v>21</v>
      </c>
      <c r="R130" s="21" t="s">
        <v>21</v>
      </c>
      <c r="S130" s="21" t="s">
        <v>20</v>
      </c>
      <c r="T130" s="21" t="s">
        <v>20</v>
      </c>
      <c r="U130" s="21" t="s">
        <v>21</v>
      </c>
      <c r="V130" s="38" t="s">
        <v>21</v>
      </c>
      <c r="W130" s="38" t="s">
        <v>21</v>
      </c>
      <c r="X130" s="38" t="s">
        <v>21</v>
      </c>
      <c r="Y130" s="21" t="s">
        <v>20</v>
      </c>
      <c r="Z130" s="21" t="s">
        <v>20</v>
      </c>
      <c r="AA130" s="23" t="s">
        <v>21</v>
      </c>
      <c r="AB130" s="23" t="s">
        <v>21</v>
      </c>
      <c r="AC130" s="23" t="s">
        <v>21</v>
      </c>
      <c r="AD130" s="31" t="s">
        <v>20</v>
      </c>
      <c r="AE130" s="31" t="s">
        <v>21</v>
      </c>
      <c r="AG130">
        <f t="shared" si="9"/>
        <v>0</v>
      </c>
      <c r="AH130">
        <f t="shared" si="10"/>
        <v>10</v>
      </c>
      <c r="AI130">
        <f t="shared" si="11"/>
        <v>16</v>
      </c>
      <c r="AJ130">
        <f t="shared" si="12"/>
        <v>0</v>
      </c>
      <c r="AL130">
        <f t="shared" si="13"/>
        <v>0</v>
      </c>
      <c r="AM130">
        <f t="shared" si="14"/>
        <v>30</v>
      </c>
      <c r="AN130">
        <f t="shared" si="15"/>
        <v>32</v>
      </c>
      <c r="AO130">
        <f t="shared" si="16"/>
        <v>0</v>
      </c>
      <c r="AP130">
        <f t="shared" si="17"/>
        <v>62</v>
      </c>
    </row>
    <row r="131" spans="1:42" ht="15.75" hidden="1" customHeight="1" x14ac:dyDescent="0.3">
      <c r="A131" s="16"/>
      <c r="B131" s="59">
        <v>1</v>
      </c>
      <c r="C131" s="60" t="s">
        <v>149</v>
      </c>
      <c r="D131" s="59">
        <v>4</v>
      </c>
      <c r="E131" s="59" t="s">
        <v>20</v>
      </c>
      <c r="F131" s="24" t="s">
        <v>20</v>
      </c>
      <c r="G131" s="24" t="s">
        <v>20</v>
      </c>
      <c r="H131" s="24" t="s">
        <v>20</v>
      </c>
      <c r="I131" s="24" t="s">
        <v>20</v>
      </c>
      <c r="J131" s="42" t="s">
        <v>20</v>
      </c>
      <c r="K131" s="42" t="s">
        <v>20</v>
      </c>
      <c r="L131" s="42" t="s">
        <v>21</v>
      </c>
      <c r="M131" s="24" t="s">
        <v>20</v>
      </c>
      <c r="N131" s="24" t="s">
        <v>20</v>
      </c>
      <c r="O131" s="24" t="s">
        <v>20</v>
      </c>
      <c r="P131" s="24" t="s">
        <v>20</v>
      </c>
      <c r="Q131" s="24" t="s">
        <v>20</v>
      </c>
      <c r="R131" s="24" t="s">
        <v>20</v>
      </c>
      <c r="S131" s="24" t="s">
        <v>20</v>
      </c>
      <c r="T131" s="24" t="s">
        <v>21</v>
      </c>
      <c r="U131" s="24" t="s">
        <v>21</v>
      </c>
      <c r="V131" s="39" t="s">
        <v>20</v>
      </c>
      <c r="W131" s="39" t="s">
        <v>20</v>
      </c>
      <c r="X131" s="39" t="s">
        <v>20</v>
      </c>
      <c r="Y131" s="24" t="s">
        <v>20</v>
      </c>
      <c r="Z131" s="24" t="s">
        <v>20</v>
      </c>
      <c r="AA131" s="27" t="s">
        <v>21</v>
      </c>
      <c r="AB131" s="27" t="s">
        <v>20</v>
      </c>
      <c r="AC131" s="27" t="s">
        <v>21</v>
      </c>
      <c r="AD131" s="34" t="s">
        <v>21</v>
      </c>
      <c r="AE131" s="34" t="s">
        <v>21</v>
      </c>
      <c r="AG131">
        <f t="shared" si="9"/>
        <v>0</v>
      </c>
      <c r="AH131">
        <f t="shared" si="10"/>
        <v>19</v>
      </c>
      <c r="AI131">
        <f t="shared" si="11"/>
        <v>7</v>
      </c>
      <c r="AJ131">
        <f t="shared" si="12"/>
        <v>0</v>
      </c>
      <c r="AL131">
        <f t="shared" si="13"/>
        <v>0</v>
      </c>
      <c r="AM131">
        <f t="shared" si="14"/>
        <v>57</v>
      </c>
      <c r="AN131">
        <f t="shared" si="15"/>
        <v>14</v>
      </c>
      <c r="AO131">
        <f t="shared" si="16"/>
        <v>0</v>
      </c>
      <c r="AP131">
        <f t="shared" si="17"/>
        <v>71</v>
      </c>
    </row>
    <row r="132" spans="1:42" ht="15.75" hidden="1" customHeight="1" x14ac:dyDescent="0.3">
      <c r="A132" s="16"/>
      <c r="B132" s="55">
        <v>2</v>
      </c>
      <c r="C132" s="56" t="s">
        <v>150</v>
      </c>
      <c r="D132" s="55">
        <v>4</v>
      </c>
      <c r="E132" s="55" t="s">
        <v>20</v>
      </c>
      <c r="F132" s="18" t="s">
        <v>20</v>
      </c>
      <c r="G132" s="18" t="s">
        <v>20</v>
      </c>
      <c r="H132" s="18" t="s">
        <v>20</v>
      </c>
      <c r="I132" s="18" t="s">
        <v>20</v>
      </c>
      <c r="J132" s="43" t="s">
        <v>39</v>
      </c>
      <c r="K132" s="43" t="s">
        <v>20</v>
      </c>
      <c r="L132" s="43" t="s">
        <v>20</v>
      </c>
      <c r="M132" s="18" t="s">
        <v>21</v>
      </c>
      <c r="N132" s="18" t="s">
        <v>20</v>
      </c>
      <c r="O132" s="18" t="s">
        <v>20</v>
      </c>
      <c r="P132" s="18" t="s">
        <v>20</v>
      </c>
      <c r="Q132" s="18" t="s">
        <v>20</v>
      </c>
      <c r="R132" s="18" t="s">
        <v>20</v>
      </c>
      <c r="S132" s="18" t="s">
        <v>20</v>
      </c>
      <c r="T132" s="18" t="s">
        <v>20</v>
      </c>
      <c r="U132" s="18" t="s">
        <v>20</v>
      </c>
      <c r="V132" s="37" t="s">
        <v>20</v>
      </c>
      <c r="W132" s="37" t="s">
        <v>20</v>
      </c>
      <c r="X132" s="37" t="s">
        <v>20</v>
      </c>
      <c r="Y132" s="18" t="s">
        <v>20</v>
      </c>
      <c r="Z132" s="18" t="s">
        <v>21</v>
      </c>
      <c r="AA132" s="20" t="s">
        <v>20</v>
      </c>
      <c r="AB132" s="20" t="s">
        <v>20</v>
      </c>
      <c r="AC132" s="20" t="s">
        <v>21</v>
      </c>
      <c r="AD132" s="29" t="s">
        <v>20</v>
      </c>
      <c r="AE132" s="29" t="s">
        <v>21</v>
      </c>
      <c r="AG132">
        <f t="shared" si="9"/>
        <v>1</v>
      </c>
      <c r="AH132">
        <f t="shared" si="10"/>
        <v>21</v>
      </c>
      <c r="AI132">
        <f t="shared" si="11"/>
        <v>4</v>
      </c>
      <c r="AJ132">
        <f t="shared" si="12"/>
        <v>0</v>
      </c>
      <c r="AL132">
        <f t="shared" si="13"/>
        <v>4</v>
      </c>
      <c r="AM132">
        <f t="shared" si="14"/>
        <v>63</v>
      </c>
      <c r="AN132">
        <f t="shared" si="15"/>
        <v>8</v>
      </c>
      <c r="AO132">
        <f t="shared" si="16"/>
        <v>0</v>
      </c>
      <c r="AP132">
        <f t="shared" si="17"/>
        <v>75</v>
      </c>
    </row>
    <row r="133" spans="1:42" ht="15.75" hidden="1" customHeight="1" x14ac:dyDescent="0.3">
      <c r="A133" s="16"/>
      <c r="B133" s="55">
        <v>3</v>
      </c>
      <c r="C133" s="56" t="s">
        <v>151</v>
      </c>
      <c r="D133" s="55">
        <v>4</v>
      </c>
      <c r="E133" s="55" t="s">
        <v>20</v>
      </c>
      <c r="F133" s="18" t="s">
        <v>23</v>
      </c>
      <c r="G133" s="18" t="s">
        <v>21</v>
      </c>
      <c r="H133" s="18" t="s">
        <v>23</v>
      </c>
      <c r="I133" s="18" t="s">
        <v>21</v>
      </c>
      <c r="J133" s="43" t="s">
        <v>21</v>
      </c>
      <c r="K133" s="43" t="s">
        <v>21</v>
      </c>
      <c r="L133" s="43" t="s">
        <v>21</v>
      </c>
      <c r="M133" s="18" t="s">
        <v>21</v>
      </c>
      <c r="N133" s="18" t="s">
        <v>20</v>
      </c>
      <c r="O133" s="18" t="s">
        <v>20</v>
      </c>
      <c r="P133" s="18" t="s">
        <v>21</v>
      </c>
      <c r="Q133" s="18" t="s">
        <v>21</v>
      </c>
      <c r="R133" s="18" t="s">
        <v>21</v>
      </c>
      <c r="S133" s="18" t="s">
        <v>20</v>
      </c>
      <c r="T133" s="18" t="s">
        <v>20</v>
      </c>
      <c r="U133" s="18" t="s">
        <v>21</v>
      </c>
      <c r="V133" s="37" t="s">
        <v>20</v>
      </c>
      <c r="W133" s="46" t="s">
        <v>21</v>
      </c>
      <c r="X133" s="37" t="s">
        <v>20</v>
      </c>
      <c r="Y133" s="18" t="s">
        <v>21</v>
      </c>
      <c r="Z133" s="18" t="s">
        <v>23</v>
      </c>
      <c r="AA133" s="20" t="s">
        <v>21</v>
      </c>
      <c r="AB133" s="20" t="s">
        <v>21</v>
      </c>
      <c r="AC133" s="20" t="s">
        <v>21</v>
      </c>
      <c r="AD133" s="29" t="s">
        <v>21</v>
      </c>
      <c r="AE133" s="29" t="s">
        <v>21</v>
      </c>
      <c r="AG133">
        <f t="shared" si="9"/>
        <v>0</v>
      </c>
      <c r="AH133">
        <f t="shared" si="10"/>
        <v>6</v>
      </c>
      <c r="AI133">
        <f t="shared" si="11"/>
        <v>17</v>
      </c>
      <c r="AJ133">
        <f t="shared" si="12"/>
        <v>3</v>
      </c>
      <c r="AL133">
        <f t="shared" si="13"/>
        <v>0</v>
      </c>
      <c r="AM133">
        <f t="shared" si="14"/>
        <v>18</v>
      </c>
      <c r="AN133">
        <f t="shared" si="15"/>
        <v>34</v>
      </c>
      <c r="AO133">
        <f t="shared" si="16"/>
        <v>3</v>
      </c>
      <c r="AP133">
        <f t="shared" si="17"/>
        <v>55</v>
      </c>
    </row>
    <row r="134" spans="1:42" ht="15.75" hidden="1" customHeight="1" x14ac:dyDescent="0.3">
      <c r="A134" s="16"/>
      <c r="B134" s="55">
        <v>4</v>
      </c>
      <c r="C134" s="56" t="s">
        <v>152</v>
      </c>
      <c r="D134" s="55">
        <v>4</v>
      </c>
      <c r="E134" s="55" t="s">
        <v>20</v>
      </c>
      <c r="F134" s="18" t="s">
        <v>21</v>
      </c>
      <c r="G134" s="18" t="s">
        <v>20</v>
      </c>
      <c r="H134" s="18" t="s">
        <v>21</v>
      </c>
      <c r="I134" s="18" t="s">
        <v>20</v>
      </c>
      <c r="J134" s="43" t="s">
        <v>20</v>
      </c>
      <c r="K134" s="43" t="s">
        <v>20</v>
      </c>
      <c r="L134" s="43" t="s">
        <v>21</v>
      </c>
      <c r="M134" s="18" t="s">
        <v>20</v>
      </c>
      <c r="N134" s="18" t="s">
        <v>20</v>
      </c>
      <c r="O134" s="18" t="s">
        <v>20</v>
      </c>
      <c r="P134" s="18" t="s">
        <v>21</v>
      </c>
      <c r="Q134" s="18" t="s">
        <v>21</v>
      </c>
      <c r="R134" s="18" t="s">
        <v>21</v>
      </c>
      <c r="S134" s="18" t="s">
        <v>20</v>
      </c>
      <c r="T134" s="18" t="s">
        <v>20</v>
      </c>
      <c r="U134" s="18" t="s">
        <v>21</v>
      </c>
      <c r="V134" s="37" t="s">
        <v>20</v>
      </c>
      <c r="W134" s="37" t="s">
        <v>20</v>
      </c>
      <c r="X134" s="37" t="s">
        <v>20</v>
      </c>
      <c r="Y134" s="18" t="s">
        <v>20</v>
      </c>
      <c r="Z134" s="18" t="s">
        <v>20</v>
      </c>
      <c r="AA134" s="20" t="s">
        <v>21</v>
      </c>
      <c r="AB134" s="20" t="s">
        <v>21</v>
      </c>
      <c r="AC134" s="20" t="s">
        <v>20</v>
      </c>
      <c r="AD134" s="47" t="s">
        <v>20</v>
      </c>
      <c r="AE134" s="47" t="s">
        <v>21</v>
      </c>
      <c r="AG134">
        <f t="shared" si="9"/>
        <v>0</v>
      </c>
      <c r="AH134">
        <f t="shared" si="10"/>
        <v>16</v>
      </c>
      <c r="AI134">
        <f t="shared" si="11"/>
        <v>10</v>
      </c>
      <c r="AJ134">
        <f t="shared" si="12"/>
        <v>0</v>
      </c>
      <c r="AL134">
        <f t="shared" si="13"/>
        <v>0</v>
      </c>
      <c r="AM134">
        <f t="shared" si="14"/>
        <v>48</v>
      </c>
      <c r="AN134">
        <f t="shared" si="15"/>
        <v>20</v>
      </c>
      <c r="AO134">
        <f t="shared" si="16"/>
        <v>0</v>
      </c>
      <c r="AP134">
        <f t="shared" si="17"/>
        <v>68</v>
      </c>
    </row>
    <row r="135" spans="1:42" ht="15.75" hidden="1" customHeight="1" x14ac:dyDescent="0.3">
      <c r="A135" s="16"/>
      <c r="B135" s="55">
        <v>5</v>
      </c>
      <c r="C135" s="56" t="s">
        <v>153</v>
      </c>
      <c r="D135" s="55">
        <v>4</v>
      </c>
      <c r="E135" s="55" t="s">
        <v>20</v>
      </c>
      <c r="F135" s="18" t="s">
        <v>20</v>
      </c>
      <c r="G135" s="18" t="s">
        <v>21</v>
      </c>
      <c r="H135" s="18" t="s">
        <v>21</v>
      </c>
      <c r="I135" s="18" t="s">
        <v>20</v>
      </c>
      <c r="J135" s="43" t="s">
        <v>20</v>
      </c>
      <c r="K135" s="43" t="s">
        <v>20</v>
      </c>
      <c r="L135" s="43" t="s">
        <v>21</v>
      </c>
      <c r="M135" s="18" t="s">
        <v>21</v>
      </c>
      <c r="N135" s="18" t="s">
        <v>20</v>
      </c>
      <c r="O135" s="18" t="s">
        <v>20</v>
      </c>
      <c r="P135" s="18" t="s">
        <v>20</v>
      </c>
      <c r="Q135" s="18" t="s">
        <v>20</v>
      </c>
      <c r="R135" s="18" t="s">
        <v>20</v>
      </c>
      <c r="S135" s="18" t="s">
        <v>20</v>
      </c>
      <c r="T135" s="18" t="s">
        <v>20</v>
      </c>
      <c r="U135" s="18" t="s">
        <v>21</v>
      </c>
      <c r="V135" s="37" t="s">
        <v>20</v>
      </c>
      <c r="W135" s="37" t="s">
        <v>20</v>
      </c>
      <c r="X135" s="37" t="s">
        <v>20</v>
      </c>
      <c r="Y135" s="18" t="s">
        <v>20</v>
      </c>
      <c r="Z135" s="18" t="s">
        <v>21</v>
      </c>
      <c r="AA135" s="20" t="s">
        <v>21</v>
      </c>
      <c r="AB135" s="20" t="s">
        <v>20</v>
      </c>
      <c r="AC135" s="20" t="s">
        <v>20</v>
      </c>
      <c r="AD135" s="29" t="s">
        <v>23</v>
      </c>
      <c r="AE135" s="29" t="s">
        <v>21</v>
      </c>
      <c r="AG135">
        <f t="shared" si="9"/>
        <v>0</v>
      </c>
      <c r="AH135">
        <f t="shared" si="10"/>
        <v>17</v>
      </c>
      <c r="AI135">
        <f t="shared" si="11"/>
        <v>8</v>
      </c>
      <c r="AJ135">
        <f t="shared" si="12"/>
        <v>1</v>
      </c>
      <c r="AL135">
        <f t="shared" si="13"/>
        <v>0</v>
      </c>
      <c r="AM135">
        <f t="shared" si="14"/>
        <v>51</v>
      </c>
      <c r="AN135">
        <f t="shared" si="15"/>
        <v>16</v>
      </c>
      <c r="AO135">
        <f t="shared" si="16"/>
        <v>1</v>
      </c>
      <c r="AP135">
        <f t="shared" si="17"/>
        <v>68</v>
      </c>
    </row>
    <row r="136" spans="1:42" ht="15.75" hidden="1" customHeight="1" x14ac:dyDescent="0.3">
      <c r="A136" s="16"/>
      <c r="B136" s="55">
        <v>6</v>
      </c>
      <c r="C136" s="56" t="s">
        <v>154</v>
      </c>
      <c r="D136" s="55">
        <v>4</v>
      </c>
      <c r="E136" s="55" t="s">
        <v>20</v>
      </c>
      <c r="F136" s="18" t="s">
        <v>20</v>
      </c>
      <c r="G136" s="18" t="s">
        <v>21</v>
      </c>
      <c r="H136" s="18" t="s">
        <v>21</v>
      </c>
      <c r="I136" s="18" t="s">
        <v>20</v>
      </c>
      <c r="J136" s="43" t="s">
        <v>20</v>
      </c>
      <c r="K136" s="43" t="s">
        <v>20</v>
      </c>
      <c r="L136" s="43" t="s">
        <v>20</v>
      </c>
      <c r="M136" s="18" t="s">
        <v>20</v>
      </c>
      <c r="N136" s="18" t="s">
        <v>20</v>
      </c>
      <c r="O136" s="18" t="s">
        <v>20</v>
      </c>
      <c r="P136" s="18" t="s">
        <v>20</v>
      </c>
      <c r="Q136" s="18" t="s">
        <v>21</v>
      </c>
      <c r="R136" s="18" t="s">
        <v>20</v>
      </c>
      <c r="S136" s="18" t="s">
        <v>20</v>
      </c>
      <c r="T136" s="18" t="s">
        <v>20</v>
      </c>
      <c r="U136" s="18" t="s">
        <v>20</v>
      </c>
      <c r="V136" s="37" t="s">
        <v>20</v>
      </c>
      <c r="W136" s="37" t="s">
        <v>20</v>
      </c>
      <c r="X136" s="37" t="s">
        <v>20</v>
      </c>
      <c r="Y136" s="18" t="s">
        <v>20</v>
      </c>
      <c r="Z136" s="18" t="s">
        <v>20</v>
      </c>
      <c r="AA136" s="20" t="s">
        <v>20</v>
      </c>
      <c r="AB136" s="20" t="s">
        <v>20</v>
      </c>
      <c r="AC136" s="20" t="s">
        <v>20</v>
      </c>
      <c r="AD136" s="29" t="s">
        <v>20</v>
      </c>
      <c r="AE136" s="29" t="s">
        <v>21</v>
      </c>
      <c r="AG136">
        <f t="shared" si="9"/>
        <v>0</v>
      </c>
      <c r="AH136">
        <f t="shared" si="10"/>
        <v>22</v>
      </c>
      <c r="AI136">
        <f t="shared" si="11"/>
        <v>4</v>
      </c>
      <c r="AJ136">
        <f t="shared" si="12"/>
        <v>0</v>
      </c>
      <c r="AL136">
        <f t="shared" si="13"/>
        <v>0</v>
      </c>
      <c r="AM136">
        <f t="shared" si="14"/>
        <v>66</v>
      </c>
      <c r="AN136">
        <f t="shared" si="15"/>
        <v>8</v>
      </c>
      <c r="AO136">
        <f t="shared" si="16"/>
        <v>0</v>
      </c>
      <c r="AP136">
        <f t="shared" si="17"/>
        <v>74</v>
      </c>
    </row>
    <row r="137" spans="1:42" ht="15.75" hidden="1" customHeight="1" x14ac:dyDescent="0.3">
      <c r="A137" s="16"/>
      <c r="B137" s="55">
        <v>7</v>
      </c>
      <c r="C137" s="56" t="s">
        <v>155</v>
      </c>
      <c r="D137" s="55">
        <v>4</v>
      </c>
      <c r="E137" s="55" t="s">
        <v>20</v>
      </c>
      <c r="F137" s="18" t="s">
        <v>21</v>
      </c>
      <c r="G137" s="18" t="s">
        <v>21</v>
      </c>
      <c r="H137" s="18" t="s">
        <v>23</v>
      </c>
      <c r="I137" s="18" t="s">
        <v>23</v>
      </c>
      <c r="J137" s="43" t="s">
        <v>20</v>
      </c>
      <c r="K137" s="43" t="s">
        <v>20</v>
      </c>
      <c r="L137" s="43" t="s">
        <v>20</v>
      </c>
      <c r="M137" s="18" t="s">
        <v>20</v>
      </c>
      <c r="N137" s="18" t="s">
        <v>21</v>
      </c>
      <c r="O137" s="18" t="s">
        <v>21</v>
      </c>
      <c r="P137" s="18" t="s">
        <v>23</v>
      </c>
      <c r="Q137" s="18" t="s">
        <v>21</v>
      </c>
      <c r="R137" s="18" t="s">
        <v>23</v>
      </c>
      <c r="S137" s="18" t="s">
        <v>21</v>
      </c>
      <c r="T137" s="18" t="s">
        <v>20</v>
      </c>
      <c r="U137" s="18" t="s">
        <v>21</v>
      </c>
      <c r="V137" s="37" t="s">
        <v>20</v>
      </c>
      <c r="W137" s="37" t="s">
        <v>21</v>
      </c>
      <c r="X137" s="37" t="s">
        <v>20</v>
      </c>
      <c r="Y137" s="18" t="s">
        <v>21</v>
      </c>
      <c r="Z137" s="18" t="s">
        <v>20</v>
      </c>
      <c r="AA137" s="20" t="s">
        <v>21</v>
      </c>
      <c r="AB137" s="20" t="s">
        <v>21</v>
      </c>
      <c r="AC137" s="20" t="s">
        <v>21</v>
      </c>
      <c r="AD137" s="29" t="s">
        <v>55</v>
      </c>
      <c r="AE137" s="29" t="s">
        <v>55</v>
      </c>
      <c r="AG137">
        <f t="shared" si="9"/>
        <v>0</v>
      </c>
      <c r="AH137">
        <f t="shared" si="10"/>
        <v>8</v>
      </c>
      <c r="AI137">
        <f t="shared" si="11"/>
        <v>12</v>
      </c>
      <c r="AJ137">
        <f t="shared" si="12"/>
        <v>4</v>
      </c>
      <c r="AL137">
        <f t="shared" si="13"/>
        <v>0</v>
      </c>
      <c r="AM137">
        <f t="shared" si="14"/>
        <v>24</v>
      </c>
      <c r="AN137">
        <f t="shared" si="15"/>
        <v>24</v>
      </c>
      <c r="AO137">
        <f t="shared" si="16"/>
        <v>4</v>
      </c>
      <c r="AP137">
        <f t="shared" si="17"/>
        <v>52</v>
      </c>
    </row>
    <row r="138" spans="1:42" ht="15.75" hidden="1" customHeight="1" x14ac:dyDescent="0.3">
      <c r="A138" s="16"/>
      <c r="B138" s="55">
        <v>8</v>
      </c>
      <c r="C138" s="56" t="s">
        <v>156</v>
      </c>
      <c r="D138" s="55">
        <v>4</v>
      </c>
      <c r="E138" s="55" t="s">
        <v>20</v>
      </c>
      <c r="F138" s="18" t="s">
        <v>20</v>
      </c>
      <c r="G138" s="18" t="s">
        <v>20</v>
      </c>
      <c r="H138" s="18" t="s">
        <v>20</v>
      </c>
      <c r="I138" s="18" t="s">
        <v>20</v>
      </c>
      <c r="J138" s="43" t="s">
        <v>39</v>
      </c>
      <c r="K138" s="43" t="s">
        <v>20</v>
      </c>
      <c r="L138" s="43" t="s">
        <v>20</v>
      </c>
      <c r="M138" s="18" t="s">
        <v>20</v>
      </c>
      <c r="N138" s="18" t="s">
        <v>20</v>
      </c>
      <c r="O138" s="18" t="s">
        <v>20</v>
      </c>
      <c r="P138" s="18" t="s">
        <v>20</v>
      </c>
      <c r="Q138" s="18" t="s">
        <v>20</v>
      </c>
      <c r="R138" s="18" t="s">
        <v>20</v>
      </c>
      <c r="S138" s="18" t="s">
        <v>20</v>
      </c>
      <c r="T138" s="18" t="s">
        <v>20</v>
      </c>
      <c r="U138" s="18" t="s">
        <v>21</v>
      </c>
      <c r="V138" s="37" t="s">
        <v>20</v>
      </c>
      <c r="W138" s="37" t="s">
        <v>20</v>
      </c>
      <c r="X138" s="37" t="s">
        <v>20</v>
      </c>
      <c r="Y138" s="18" t="s">
        <v>20</v>
      </c>
      <c r="Z138" s="18" t="s">
        <v>20</v>
      </c>
      <c r="AA138" s="20" t="s">
        <v>20</v>
      </c>
      <c r="AB138" s="20" t="s">
        <v>20</v>
      </c>
      <c r="AC138" s="20" t="s">
        <v>20</v>
      </c>
      <c r="AD138" s="29" t="s">
        <v>20</v>
      </c>
      <c r="AE138" s="29" t="s">
        <v>21</v>
      </c>
      <c r="AG138">
        <f t="shared" si="9"/>
        <v>1</v>
      </c>
      <c r="AH138">
        <f t="shared" si="10"/>
        <v>23</v>
      </c>
      <c r="AI138">
        <f t="shared" si="11"/>
        <v>2</v>
      </c>
      <c r="AJ138">
        <f t="shared" si="12"/>
        <v>0</v>
      </c>
      <c r="AL138">
        <f t="shared" si="13"/>
        <v>4</v>
      </c>
      <c r="AM138">
        <f t="shared" si="14"/>
        <v>69</v>
      </c>
      <c r="AN138">
        <f t="shared" si="15"/>
        <v>4</v>
      </c>
      <c r="AO138">
        <f t="shared" si="16"/>
        <v>0</v>
      </c>
      <c r="AP138">
        <f t="shared" si="17"/>
        <v>77</v>
      </c>
    </row>
    <row r="139" spans="1:42" ht="15.75" hidden="1" customHeight="1" x14ac:dyDescent="0.3">
      <c r="A139" s="16"/>
      <c r="B139" s="55">
        <v>9</v>
      </c>
      <c r="C139" s="56" t="s">
        <v>157</v>
      </c>
      <c r="D139" s="55">
        <v>4</v>
      </c>
      <c r="E139" s="55" t="s">
        <v>20</v>
      </c>
      <c r="F139" s="18" t="s">
        <v>23</v>
      </c>
      <c r="G139" s="18" t="s">
        <v>21</v>
      </c>
      <c r="H139" s="18" t="s">
        <v>21</v>
      </c>
      <c r="I139" s="18" t="s">
        <v>21</v>
      </c>
      <c r="J139" s="43" t="s">
        <v>20</v>
      </c>
      <c r="K139" s="43" t="s">
        <v>20</v>
      </c>
      <c r="L139" s="43" t="s">
        <v>21</v>
      </c>
      <c r="M139" s="18" t="s">
        <v>20</v>
      </c>
      <c r="N139" s="18" t="s">
        <v>20</v>
      </c>
      <c r="O139" s="18" t="s">
        <v>20</v>
      </c>
      <c r="P139" s="18" t="s">
        <v>20</v>
      </c>
      <c r="Q139" s="18" t="s">
        <v>20</v>
      </c>
      <c r="R139" s="18" t="s">
        <v>20</v>
      </c>
      <c r="S139" s="18" t="s">
        <v>20</v>
      </c>
      <c r="T139" s="18" t="s">
        <v>20</v>
      </c>
      <c r="U139" s="18" t="s">
        <v>21</v>
      </c>
      <c r="V139" s="37" t="s">
        <v>20</v>
      </c>
      <c r="W139" s="37" t="s">
        <v>20</v>
      </c>
      <c r="X139" s="37" t="s">
        <v>20</v>
      </c>
      <c r="Y139" s="18" t="s">
        <v>20</v>
      </c>
      <c r="Z139" s="18" t="s">
        <v>21</v>
      </c>
      <c r="AA139" s="20" t="s">
        <v>21</v>
      </c>
      <c r="AB139" s="20" t="s">
        <v>21</v>
      </c>
      <c r="AC139" s="20" t="s">
        <v>23</v>
      </c>
      <c r="AD139" s="18" t="s">
        <v>20</v>
      </c>
      <c r="AE139" s="18" t="s">
        <v>21</v>
      </c>
      <c r="AG139">
        <f t="shared" si="9"/>
        <v>0</v>
      </c>
      <c r="AH139">
        <f t="shared" si="10"/>
        <v>15</v>
      </c>
      <c r="AI139">
        <f t="shared" si="11"/>
        <v>9</v>
      </c>
      <c r="AJ139">
        <f t="shared" si="12"/>
        <v>2</v>
      </c>
      <c r="AL139">
        <f t="shared" si="13"/>
        <v>0</v>
      </c>
      <c r="AM139">
        <f t="shared" si="14"/>
        <v>45</v>
      </c>
      <c r="AN139">
        <f t="shared" si="15"/>
        <v>18</v>
      </c>
      <c r="AO139">
        <f t="shared" si="16"/>
        <v>2</v>
      </c>
      <c r="AP139">
        <f t="shared" si="17"/>
        <v>65</v>
      </c>
    </row>
    <row r="140" spans="1:42" ht="15.75" hidden="1" customHeight="1" x14ac:dyDescent="0.3">
      <c r="A140" s="16"/>
      <c r="B140" s="55">
        <v>10</v>
      </c>
      <c r="C140" s="56" t="s">
        <v>158</v>
      </c>
      <c r="D140" s="55">
        <v>4</v>
      </c>
      <c r="E140" s="55" t="s">
        <v>20</v>
      </c>
      <c r="F140" s="18" t="s">
        <v>21</v>
      </c>
      <c r="G140" s="18" t="s">
        <v>23</v>
      </c>
      <c r="H140" s="18" t="s">
        <v>21</v>
      </c>
      <c r="I140" s="18" t="s">
        <v>23</v>
      </c>
      <c r="J140" s="43" t="s">
        <v>20</v>
      </c>
      <c r="K140" s="43" t="s">
        <v>21</v>
      </c>
      <c r="L140" s="43" t="s">
        <v>21</v>
      </c>
      <c r="M140" s="18" t="s">
        <v>21</v>
      </c>
      <c r="N140" s="18" t="s">
        <v>21</v>
      </c>
      <c r="O140" s="18" t="s">
        <v>20</v>
      </c>
      <c r="P140" s="18" t="s">
        <v>21</v>
      </c>
      <c r="Q140" s="18" t="s">
        <v>21</v>
      </c>
      <c r="R140" s="18" t="s">
        <v>21</v>
      </c>
      <c r="S140" s="18" t="s">
        <v>21</v>
      </c>
      <c r="T140" s="18" t="s">
        <v>20</v>
      </c>
      <c r="U140" s="18" t="s">
        <v>20</v>
      </c>
      <c r="V140" s="37" t="s">
        <v>20</v>
      </c>
      <c r="W140" s="37" t="s">
        <v>20</v>
      </c>
      <c r="X140" s="37" t="s">
        <v>20</v>
      </c>
      <c r="Y140" s="18" t="s">
        <v>20</v>
      </c>
      <c r="Z140" s="18" t="s">
        <v>21</v>
      </c>
      <c r="AA140" s="20" t="s">
        <v>20</v>
      </c>
      <c r="AB140" s="20" t="s">
        <v>20</v>
      </c>
      <c r="AC140" s="20" t="s">
        <v>20</v>
      </c>
      <c r="AD140" s="18" t="s">
        <v>23</v>
      </c>
      <c r="AE140" s="18" t="s">
        <v>21</v>
      </c>
      <c r="AG140">
        <f t="shared" si="9"/>
        <v>0</v>
      </c>
      <c r="AH140">
        <f t="shared" si="10"/>
        <v>11</v>
      </c>
      <c r="AI140">
        <f t="shared" si="11"/>
        <v>12</v>
      </c>
      <c r="AJ140">
        <f t="shared" si="12"/>
        <v>3</v>
      </c>
      <c r="AL140">
        <f t="shared" si="13"/>
        <v>0</v>
      </c>
      <c r="AM140">
        <f t="shared" si="14"/>
        <v>33</v>
      </c>
      <c r="AN140">
        <f t="shared" si="15"/>
        <v>24</v>
      </c>
      <c r="AO140">
        <f t="shared" si="16"/>
        <v>3</v>
      </c>
      <c r="AP140">
        <f t="shared" si="17"/>
        <v>60</v>
      </c>
    </row>
    <row r="141" spans="1:42" ht="15.75" hidden="1" customHeight="1" x14ac:dyDescent="0.3">
      <c r="A141" s="16"/>
      <c r="B141" s="55">
        <v>11</v>
      </c>
      <c r="C141" s="56" t="s">
        <v>159</v>
      </c>
      <c r="D141" s="55">
        <v>4</v>
      </c>
      <c r="E141" s="55" t="s">
        <v>20</v>
      </c>
      <c r="F141" s="18" t="s">
        <v>23</v>
      </c>
      <c r="G141" s="18" t="s">
        <v>23</v>
      </c>
      <c r="H141" s="18" t="s">
        <v>23</v>
      </c>
      <c r="I141" s="18" t="s">
        <v>21</v>
      </c>
      <c r="J141" s="43" t="s">
        <v>20</v>
      </c>
      <c r="K141" s="43" t="s">
        <v>21</v>
      </c>
      <c r="L141" s="43" t="s">
        <v>21</v>
      </c>
      <c r="M141" s="18" t="s">
        <v>21</v>
      </c>
      <c r="N141" s="18" t="s">
        <v>21</v>
      </c>
      <c r="O141" s="18" t="s">
        <v>21</v>
      </c>
      <c r="P141" s="18" t="s">
        <v>21</v>
      </c>
      <c r="Q141" s="18" t="s">
        <v>21</v>
      </c>
      <c r="R141" s="18" t="s">
        <v>21</v>
      </c>
      <c r="S141" s="18" t="s">
        <v>20</v>
      </c>
      <c r="T141" s="18" t="s">
        <v>21</v>
      </c>
      <c r="U141" s="18" t="s">
        <v>20</v>
      </c>
      <c r="V141" s="37" t="s">
        <v>20</v>
      </c>
      <c r="W141" s="37" t="s">
        <v>20</v>
      </c>
      <c r="X141" s="37" t="s">
        <v>20</v>
      </c>
      <c r="Y141" s="18" t="s">
        <v>21</v>
      </c>
      <c r="Z141" s="18" t="s">
        <v>21</v>
      </c>
      <c r="AA141" s="20" t="s">
        <v>21</v>
      </c>
      <c r="AB141" s="20" t="s">
        <v>21</v>
      </c>
      <c r="AC141" s="20" t="s">
        <v>23</v>
      </c>
      <c r="AD141" s="18" t="s">
        <v>23</v>
      </c>
      <c r="AE141" s="18" t="s">
        <v>21</v>
      </c>
      <c r="AG141">
        <f t="shared" si="9"/>
        <v>0</v>
      </c>
      <c r="AH141">
        <f t="shared" si="10"/>
        <v>6</v>
      </c>
      <c r="AI141">
        <f t="shared" si="11"/>
        <v>15</v>
      </c>
      <c r="AJ141">
        <f t="shared" si="12"/>
        <v>5</v>
      </c>
      <c r="AL141">
        <f t="shared" si="13"/>
        <v>0</v>
      </c>
      <c r="AM141">
        <f t="shared" si="14"/>
        <v>18</v>
      </c>
      <c r="AN141">
        <f t="shared" si="15"/>
        <v>30</v>
      </c>
      <c r="AO141">
        <f t="shared" si="16"/>
        <v>5</v>
      </c>
      <c r="AP141">
        <f t="shared" si="17"/>
        <v>53</v>
      </c>
    </row>
    <row r="142" spans="1:42" ht="15.75" hidden="1" customHeight="1" x14ac:dyDescent="0.3">
      <c r="A142" s="16"/>
      <c r="B142" s="55">
        <v>12</v>
      </c>
      <c r="C142" s="56" t="s">
        <v>160</v>
      </c>
      <c r="D142" s="55">
        <v>4</v>
      </c>
      <c r="E142" s="55" t="s">
        <v>20</v>
      </c>
      <c r="F142" s="18" t="s">
        <v>23</v>
      </c>
      <c r="G142" s="18" t="s">
        <v>23</v>
      </c>
      <c r="H142" s="18" t="s">
        <v>23</v>
      </c>
      <c r="I142" s="18" t="s">
        <v>21</v>
      </c>
      <c r="J142" s="43" t="s">
        <v>21</v>
      </c>
      <c r="K142" s="43" t="s">
        <v>21</v>
      </c>
      <c r="L142" s="43" t="s">
        <v>21</v>
      </c>
      <c r="M142" s="18" t="s">
        <v>21</v>
      </c>
      <c r="N142" s="18" t="s">
        <v>20</v>
      </c>
      <c r="O142" s="18" t="s">
        <v>21</v>
      </c>
      <c r="P142" s="18" t="s">
        <v>21</v>
      </c>
      <c r="Q142" s="18" t="s">
        <v>21</v>
      </c>
      <c r="R142" s="18" t="s">
        <v>21</v>
      </c>
      <c r="S142" s="18" t="s">
        <v>21</v>
      </c>
      <c r="T142" s="18" t="s">
        <v>21</v>
      </c>
      <c r="U142" s="18" t="s">
        <v>21</v>
      </c>
      <c r="V142" s="37" t="s">
        <v>20</v>
      </c>
      <c r="W142" s="37" t="s">
        <v>20</v>
      </c>
      <c r="X142" s="37" t="s">
        <v>21</v>
      </c>
      <c r="Y142" s="18" t="s">
        <v>21</v>
      </c>
      <c r="Z142" s="18" t="s">
        <v>21</v>
      </c>
      <c r="AA142" s="20" t="s">
        <v>21</v>
      </c>
      <c r="AB142" s="20" t="s">
        <v>21</v>
      </c>
      <c r="AC142" s="20" t="s">
        <v>23</v>
      </c>
      <c r="AD142" s="18" t="s">
        <v>23</v>
      </c>
      <c r="AE142" s="18" t="s">
        <v>21</v>
      </c>
      <c r="AG142">
        <f t="shared" si="9"/>
        <v>0</v>
      </c>
      <c r="AH142">
        <f t="shared" si="10"/>
        <v>3</v>
      </c>
      <c r="AI142">
        <f t="shared" si="11"/>
        <v>18</v>
      </c>
      <c r="AJ142">
        <f t="shared" si="12"/>
        <v>5</v>
      </c>
      <c r="AL142">
        <f t="shared" si="13"/>
        <v>0</v>
      </c>
      <c r="AM142">
        <f t="shared" si="14"/>
        <v>9</v>
      </c>
      <c r="AN142">
        <f t="shared" si="15"/>
        <v>36</v>
      </c>
      <c r="AO142">
        <f t="shared" si="16"/>
        <v>5</v>
      </c>
      <c r="AP142">
        <f t="shared" si="17"/>
        <v>50</v>
      </c>
    </row>
    <row r="143" spans="1:42" ht="15.75" hidden="1" customHeight="1" x14ac:dyDescent="0.3">
      <c r="A143" s="16"/>
      <c r="B143" s="55">
        <v>13</v>
      </c>
      <c r="C143" s="56" t="s">
        <v>161</v>
      </c>
      <c r="D143" s="55">
        <v>4</v>
      </c>
      <c r="E143" s="55" t="s">
        <v>20</v>
      </c>
      <c r="F143" s="18" t="s">
        <v>21</v>
      </c>
      <c r="G143" s="18" t="s">
        <v>21</v>
      </c>
      <c r="H143" s="18" t="s">
        <v>21</v>
      </c>
      <c r="I143" s="18" t="s">
        <v>21</v>
      </c>
      <c r="J143" s="43" t="s">
        <v>21</v>
      </c>
      <c r="K143" s="43" t="s">
        <v>21</v>
      </c>
      <c r="L143" s="43" t="s">
        <v>21</v>
      </c>
      <c r="M143" s="18" t="s">
        <v>23</v>
      </c>
      <c r="N143" s="18" t="s">
        <v>23</v>
      </c>
      <c r="O143" s="18" t="s">
        <v>21</v>
      </c>
      <c r="P143" s="18" t="s">
        <v>20</v>
      </c>
      <c r="Q143" s="18" t="s">
        <v>21</v>
      </c>
      <c r="R143" s="18" t="s">
        <v>21</v>
      </c>
      <c r="S143" s="18" t="s">
        <v>20</v>
      </c>
      <c r="T143" s="18" t="s">
        <v>21</v>
      </c>
      <c r="U143" s="18" t="s">
        <v>20</v>
      </c>
      <c r="V143" s="37" t="s">
        <v>21</v>
      </c>
      <c r="W143" s="37" t="s">
        <v>21</v>
      </c>
      <c r="X143" s="37" t="s">
        <v>21</v>
      </c>
      <c r="Y143" s="18" t="s">
        <v>21</v>
      </c>
      <c r="Z143" s="18" t="s">
        <v>21</v>
      </c>
      <c r="AA143" s="20" t="s">
        <v>21</v>
      </c>
      <c r="AB143" s="20" t="s">
        <v>21</v>
      </c>
      <c r="AC143" s="20" t="s">
        <v>23</v>
      </c>
      <c r="AD143" s="18" t="s">
        <v>23</v>
      </c>
      <c r="AE143" s="18" t="s">
        <v>21</v>
      </c>
      <c r="AG143">
        <f t="shared" si="9"/>
        <v>0</v>
      </c>
      <c r="AH143">
        <f t="shared" si="10"/>
        <v>3</v>
      </c>
      <c r="AI143">
        <f t="shared" si="11"/>
        <v>19</v>
      </c>
      <c r="AJ143">
        <f t="shared" si="12"/>
        <v>4</v>
      </c>
      <c r="AL143">
        <f t="shared" si="13"/>
        <v>0</v>
      </c>
      <c r="AM143">
        <f t="shared" si="14"/>
        <v>9</v>
      </c>
      <c r="AN143">
        <f t="shared" si="15"/>
        <v>38</v>
      </c>
      <c r="AO143">
        <f t="shared" si="16"/>
        <v>4</v>
      </c>
      <c r="AP143">
        <f t="shared" si="17"/>
        <v>51</v>
      </c>
    </row>
    <row r="144" spans="1:42" ht="15.75" hidden="1" customHeight="1" x14ac:dyDescent="0.3">
      <c r="A144" s="16"/>
      <c r="B144" s="55">
        <v>14</v>
      </c>
      <c r="C144" s="56" t="s">
        <v>162</v>
      </c>
      <c r="D144" s="55">
        <v>4</v>
      </c>
      <c r="E144" s="55" t="s">
        <v>20</v>
      </c>
      <c r="F144" s="18" t="s">
        <v>20</v>
      </c>
      <c r="G144" s="18" t="s">
        <v>20</v>
      </c>
      <c r="H144" s="18" t="s">
        <v>20</v>
      </c>
      <c r="I144" s="18" t="s">
        <v>20</v>
      </c>
      <c r="J144" s="43" t="s">
        <v>20</v>
      </c>
      <c r="K144" s="43" t="s">
        <v>20</v>
      </c>
      <c r="L144" s="43" t="s">
        <v>20</v>
      </c>
      <c r="M144" s="18" t="s">
        <v>20</v>
      </c>
      <c r="N144" s="18" t="s">
        <v>20</v>
      </c>
      <c r="O144" s="18" t="s">
        <v>20</v>
      </c>
      <c r="P144" s="18" t="s">
        <v>20</v>
      </c>
      <c r="Q144" s="18" t="s">
        <v>20</v>
      </c>
      <c r="R144" s="18" t="s">
        <v>21</v>
      </c>
      <c r="S144" s="18" t="s">
        <v>21</v>
      </c>
      <c r="T144" s="18" t="s">
        <v>20</v>
      </c>
      <c r="U144" s="18" t="s">
        <v>21</v>
      </c>
      <c r="V144" s="37" t="s">
        <v>20</v>
      </c>
      <c r="W144" s="37" t="s">
        <v>20</v>
      </c>
      <c r="X144" s="37" t="s">
        <v>20</v>
      </c>
      <c r="Y144" s="18" t="s">
        <v>20</v>
      </c>
      <c r="Z144" s="18" t="s">
        <v>20</v>
      </c>
      <c r="AA144" s="20" t="s">
        <v>21</v>
      </c>
      <c r="AB144" s="20" t="s">
        <v>20</v>
      </c>
      <c r="AC144" s="20" t="s">
        <v>20</v>
      </c>
      <c r="AD144" s="18" t="s">
        <v>20</v>
      </c>
      <c r="AE144" s="18" t="s">
        <v>21</v>
      </c>
      <c r="AG144">
        <f t="shared" si="9"/>
        <v>0</v>
      </c>
      <c r="AH144">
        <f t="shared" si="10"/>
        <v>21</v>
      </c>
      <c r="AI144">
        <f t="shared" si="11"/>
        <v>5</v>
      </c>
      <c r="AJ144">
        <f t="shared" si="12"/>
        <v>0</v>
      </c>
      <c r="AL144">
        <f t="shared" si="13"/>
        <v>0</v>
      </c>
      <c r="AM144">
        <f t="shared" si="14"/>
        <v>63</v>
      </c>
      <c r="AN144">
        <f t="shared" si="15"/>
        <v>10</v>
      </c>
      <c r="AO144">
        <f t="shared" si="16"/>
        <v>0</v>
      </c>
      <c r="AP144">
        <f t="shared" si="17"/>
        <v>73</v>
      </c>
    </row>
    <row r="145" spans="1:42" ht="15.75" hidden="1" customHeight="1" x14ac:dyDescent="0.3">
      <c r="A145" s="16"/>
      <c r="B145" s="55">
        <v>15</v>
      </c>
      <c r="C145" s="56" t="s">
        <v>163</v>
      </c>
      <c r="D145" s="55">
        <v>4</v>
      </c>
      <c r="E145" s="55" t="s">
        <v>20</v>
      </c>
      <c r="F145" s="18" t="s">
        <v>20</v>
      </c>
      <c r="G145" s="18" t="s">
        <v>21</v>
      </c>
      <c r="H145" s="18" t="s">
        <v>21</v>
      </c>
      <c r="I145" s="18" t="s">
        <v>20</v>
      </c>
      <c r="J145" s="43" t="s">
        <v>20</v>
      </c>
      <c r="K145" s="43" t="s">
        <v>20</v>
      </c>
      <c r="L145" s="43" t="s">
        <v>20</v>
      </c>
      <c r="M145" s="18" t="s">
        <v>21</v>
      </c>
      <c r="N145" s="18" t="s">
        <v>20</v>
      </c>
      <c r="O145" s="18" t="s">
        <v>20</v>
      </c>
      <c r="P145" s="18" t="s">
        <v>20</v>
      </c>
      <c r="Q145" s="18" t="s">
        <v>20</v>
      </c>
      <c r="R145" s="18" t="s">
        <v>20</v>
      </c>
      <c r="S145" s="18" t="s">
        <v>20</v>
      </c>
      <c r="T145" s="18" t="s">
        <v>20</v>
      </c>
      <c r="U145" s="18" t="s">
        <v>21</v>
      </c>
      <c r="V145" s="37" t="s">
        <v>20</v>
      </c>
      <c r="W145" s="37" t="s">
        <v>20</v>
      </c>
      <c r="X145" s="37" t="s">
        <v>20</v>
      </c>
      <c r="Y145" s="18" t="s">
        <v>20</v>
      </c>
      <c r="Z145" s="18" t="s">
        <v>21</v>
      </c>
      <c r="AA145" s="20" t="s">
        <v>21</v>
      </c>
      <c r="AB145" s="20" t="s">
        <v>20</v>
      </c>
      <c r="AC145" s="20" t="s">
        <v>20</v>
      </c>
      <c r="AD145" s="18" t="s">
        <v>20</v>
      </c>
      <c r="AE145" s="18" t="s">
        <v>21</v>
      </c>
      <c r="AG145">
        <f t="shared" si="9"/>
        <v>0</v>
      </c>
      <c r="AH145">
        <f t="shared" si="10"/>
        <v>19</v>
      </c>
      <c r="AI145">
        <f t="shared" si="11"/>
        <v>7</v>
      </c>
      <c r="AJ145">
        <f t="shared" si="12"/>
        <v>0</v>
      </c>
      <c r="AL145">
        <f t="shared" si="13"/>
        <v>0</v>
      </c>
      <c r="AM145">
        <f t="shared" si="14"/>
        <v>57</v>
      </c>
      <c r="AN145">
        <f t="shared" si="15"/>
        <v>14</v>
      </c>
      <c r="AO145">
        <f t="shared" si="16"/>
        <v>0</v>
      </c>
      <c r="AP145">
        <f t="shared" si="17"/>
        <v>71</v>
      </c>
    </row>
    <row r="146" spans="1:42" ht="15.75" hidden="1" customHeight="1" x14ac:dyDescent="0.3">
      <c r="A146" s="16"/>
      <c r="B146" s="55">
        <v>16</v>
      </c>
      <c r="C146" s="56" t="s">
        <v>164</v>
      </c>
      <c r="D146" s="55">
        <v>4</v>
      </c>
      <c r="E146" s="55" t="s">
        <v>20</v>
      </c>
      <c r="F146" s="18" t="s">
        <v>23</v>
      </c>
      <c r="G146" s="18" t="s">
        <v>23</v>
      </c>
      <c r="H146" s="18" t="s">
        <v>23</v>
      </c>
      <c r="I146" s="18" t="s">
        <v>21</v>
      </c>
      <c r="J146" s="43" t="s">
        <v>21</v>
      </c>
      <c r="K146" s="43" t="s">
        <v>21</v>
      </c>
      <c r="L146" s="43" t="s">
        <v>21</v>
      </c>
      <c r="M146" s="18" t="s">
        <v>21</v>
      </c>
      <c r="N146" s="18" t="s">
        <v>20</v>
      </c>
      <c r="O146" s="18" t="s">
        <v>21</v>
      </c>
      <c r="P146" s="18" t="s">
        <v>20</v>
      </c>
      <c r="Q146" s="18" t="s">
        <v>20</v>
      </c>
      <c r="R146" s="18" t="s">
        <v>20</v>
      </c>
      <c r="S146" s="18" t="s">
        <v>21</v>
      </c>
      <c r="T146" s="18" t="s">
        <v>21</v>
      </c>
      <c r="U146" s="18" t="s">
        <v>21</v>
      </c>
      <c r="V146" s="37" t="s">
        <v>20</v>
      </c>
      <c r="W146" s="37" t="s">
        <v>20</v>
      </c>
      <c r="X146" s="37" t="s">
        <v>20</v>
      </c>
      <c r="Y146" s="18" t="s">
        <v>21</v>
      </c>
      <c r="Z146" s="18" t="s">
        <v>21</v>
      </c>
      <c r="AA146" s="20" t="s">
        <v>21</v>
      </c>
      <c r="AB146" s="20" t="s">
        <v>21</v>
      </c>
      <c r="AC146" s="20" t="s">
        <v>21</v>
      </c>
      <c r="AD146" s="18" t="s">
        <v>23</v>
      </c>
      <c r="AE146" s="18" t="s">
        <v>21</v>
      </c>
      <c r="AG146">
        <f t="shared" si="9"/>
        <v>0</v>
      </c>
      <c r="AH146">
        <f t="shared" si="10"/>
        <v>7</v>
      </c>
      <c r="AI146">
        <f t="shared" si="11"/>
        <v>15</v>
      </c>
      <c r="AJ146">
        <f t="shared" si="12"/>
        <v>4</v>
      </c>
      <c r="AL146">
        <f t="shared" si="13"/>
        <v>0</v>
      </c>
      <c r="AM146">
        <f t="shared" si="14"/>
        <v>21</v>
      </c>
      <c r="AN146">
        <f t="shared" si="15"/>
        <v>30</v>
      </c>
      <c r="AO146">
        <f t="shared" si="16"/>
        <v>4</v>
      </c>
      <c r="AP146">
        <f t="shared" si="17"/>
        <v>55</v>
      </c>
    </row>
    <row r="147" spans="1:42" ht="15.75" hidden="1" customHeight="1" x14ac:dyDescent="0.3">
      <c r="A147" s="16"/>
      <c r="B147" s="55">
        <v>17</v>
      </c>
      <c r="C147" s="56" t="s">
        <v>165</v>
      </c>
      <c r="D147" s="55">
        <v>4</v>
      </c>
      <c r="E147" s="55" t="s">
        <v>20</v>
      </c>
      <c r="F147" s="18" t="s">
        <v>23</v>
      </c>
      <c r="G147" s="18" t="s">
        <v>21</v>
      </c>
      <c r="H147" s="18" t="s">
        <v>21</v>
      </c>
      <c r="I147" s="18" t="s">
        <v>21</v>
      </c>
      <c r="J147" s="43" t="s">
        <v>20</v>
      </c>
      <c r="K147" s="43" t="s">
        <v>20</v>
      </c>
      <c r="L147" s="43" t="s">
        <v>21</v>
      </c>
      <c r="M147" s="18" t="s">
        <v>21</v>
      </c>
      <c r="N147" s="18" t="s">
        <v>21</v>
      </c>
      <c r="O147" s="18" t="s">
        <v>20</v>
      </c>
      <c r="P147" s="18" t="s">
        <v>21</v>
      </c>
      <c r="Q147" s="18" t="s">
        <v>21</v>
      </c>
      <c r="R147" s="18" t="s">
        <v>21</v>
      </c>
      <c r="S147" s="18" t="s">
        <v>20</v>
      </c>
      <c r="T147" s="18" t="s">
        <v>20</v>
      </c>
      <c r="U147" s="18" t="s">
        <v>21</v>
      </c>
      <c r="V147" s="37" t="s">
        <v>21</v>
      </c>
      <c r="W147" s="37" t="s">
        <v>21</v>
      </c>
      <c r="X147" s="37" t="s">
        <v>21</v>
      </c>
      <c r="Y147" s="18" t="s">
        <v>20</v>
      </c>
      <c r="Z147" s="18" t="s">
        <v>20</v>
      </c>
      <c r="AA147" s="20" t="s">
        <v>21</v>
      </c>
      <c r="AB147" s="20" t="s">
        <v>21</v>
      </c>
      <c r="AC147" s="20" t="s">
        <v>20</v>
      </c>
      <c r="AD147" s="18" t="s">
        <v>20</v>
      </c>
      <c r="AE147" s="18" t="s">
        <v>21</v>
      </c>
      <c r="AG147">
        <f t="shared" si="9"/>
        <v>0</v>
      </c>
      <c r="AH147">
        <f t="shared" si="10"/>
        <v>9</v>
      </c>
      <c r="AI147">
        <f t="shared" si="11"/>
        <v>16</v>
      </c>
      <c r="AJ147">
        <f t="shared" si="12"/>
        <v>1</v>
      </c>
      <c r="AL147">
        <f t="shared" si="13"/>
        <v>0</v>
      </c>
      <c r="AM147">
        <f t="shared" si="14"/>
        <v>27</v>
      </c>
      <c r="AN147">
        <f t="shared" si="15"/>
        <v>32</v>
      </c>
      <c r="AO147">
        <f t="shared" si="16"/>
        <v>1</v>
      </c>
      <c r="AP147">
        <f t="shared" si="17"/>
        <v>60</v>
      </c>
    </row>
    <row r="148" spans="1:42" ht="15.75" hidden="1" customHeight="1" x14ac:dyDescent="0.3">
      <c r="A148" s="16"/>
      <c r="B148" s="55">
        <v>18</v>
      </c>
      <c r="C148" s="56" t="s">
        <v>166</v>
      </c>
      <c r="D148" s="55">
        <v>4</v>
      </c>
      <c r="E148" s="55" t="s">
        <v>20</v>
      </c>
      <c r="F148" s="18" t="s">
        <v>23</v>
      </c>
      <c r="G148" s="18" t="s">
        <v>23</v>
      </c>
      <c r="H148" s="18" t="s">
        <v>23</v>
      </c>
      <c r="I148" s="18" t="s">
        <v>23</v>
      </c>
      <c r="J148" s="43" t="s">
        <v>21</v>
      </c>
      <c r="K148" s="43" t="s">
        <v>21</v>
      </c>
      <c r="L148" s="43" t="s">
        <v>21</v>
      </c>
      <c r="M148" s="18" t="s">
        <v>21</v>
      </c>
      <c r="N148" s="18" t="s">
        <v>21</v>
      </c>
      <c r="O148" s="18" t="s">
        <v>21</v>
      </c>
      <c r="P148" s="18" t="s">
        <v>21</v>
      </c>
      <c r="Q148" s="18" t="s">
        <v>21</v>
      </c>
      <c r="R148" s="18" t="s">
        <v>21</v>
      </c>
      <c r="S148" s="18" t="s">
        <v>21</v>
      </c>
      <c r="T148" s="18" t="s">
        <v>20</v>
      </c>
      <c r="U148" s="18" t="s">
        <v>21</v>
      </c>
      <c r="V148" s="37" t="s">
        <v>20</v>
      </c>
      <c r="W148" s="37" t="s">
        <v>20</v>
      </c>
      <c r="X148" s="37" t="s">
        <v>20</v>
      </c>
      <c r="Y148" s="18" t="s">
        <v>20</v>
      </c>
      <c r="Z148" s="18" t="s">
        <v>21</v>
      </c>
      <c r="AA148" s="20" t="s">
        <v>21</v>
      </c>
      <c r="AB148" s="20" t="s">
        <v>20</v>
      </c>
      <c r="AC148" s="20" t="s">
        <v>21</v>
      </c>
      <c r="AD148" s="18" t="s">
        <v>21</v>
      </c>
      <c r="AE148" s="18" t="s">
        <v>21</v>
      </c>
      <c r="AG148">
        <f t="shared" si="9"/>
        <v>0</v>
      </c>
      <c r="AH148">
        <f t="shared" si="10"/>
        <v>6</v>
      </c>
      <c r="AI148">
        <f t="shared" si="11"/>
        <v>16</v>
      </c>
      <c r="AJ148">
        <f t="shared" si="12"/>
        <v>4</v>
      </c>
      <c r="AL148">
        <f t="shared" si="13"/>
        <v>0</v>
      </c>
      <c r="AM148">
        <f t="shared" si="14"/>
        <v>18</v>
      </c>
      <c r="AN148">
        <f t="shared" si="15"/>
        <v>32</v>
      </c>
      <c r="AO148">
        <f t="shared" si="16"/>
        <v>4</v>
      </c>
      <c r="AP148">
        <f t="shared" si="17"/>
        <v>54</v>
      </c>
    </row>
    <row r="149" spans="1:42" ht="15.75" hidden="1" customHeight="1" x14ac:dyDescent="0.3">
      <c r="A149" s="16"/>
      <c r="B149" s="55">
        <v>19</v>
      </c>
      <c r="C149" s="56" t="s">
        <v>167</v>
      </c>
      <c r="D149" s="55">
        <v>4</v>
      </c>
      <c r="E149" s="55" t="s">
        <v>20</v>
      </c>
      <c r="F149" s="18" t="s">
        <v>39</v>
      </c>
      <c r="G149" s="18" t="s">
        <v>39</v>
      </c>
      <c r="H149" s="18" t="s">
        <v>39</v>
      </c>
      <c r="I149" s="18" t="s">
        <v>39</v>
      </c>
      <c r="J149" s="43" t="s">
        <v>20</v>
      </c>
      <c r="K149" s="43" t="s">
        <v>20</v>
      </c>
      <c r="L149" s="43" t="s">
        <v>20</v>
      </c>
      <c r="M149" s="18" t="s">
        <v>20</v>
      </c>
      <c r="N149" s="18" t="s">
        <v>20</v>
      </c>
      <c r="O149" s="18" t="s">
        <v>20</v>
      </c>
      <c r="P149" s="18" t="s">
        <v>20</v>
      </c>
      <c r="Q149" s="18" t="s">
        <v>21</v>
      </c>
      <c r="R149" s="18" t="s">
        <v>20</v>
      </c>
      <c r="S149" s="18" t="s">
        <v>20</v>
      </c>
      <c r="T149" s="18" t="s">
        <v>20</v>
      </c>
      <c r="U149" s="18" t="s">
        <v>20</v>
      </c>
      <c r="V149" s="37" t="s">
        <v>20</v>
      </c>
      <c r="W149" s="37" t="s">
        <v>20</v>
      </c>
      <c r="X149" s="37" t="s">
        <v>20</v>
      </c>
      <c r="Y149" s="18" t="s">
        <v>20</v>
      </c>
      <c r="Z149" s="18" t="s">
        <v>20</v>
      </c>
      <c r="AA149" s="20" t="s">
        <v>20</v>
      </c>
      <c r="AB149" s="20" t="s">
        <v>20</v>
      </c>
      <c r="AC149" s="20" t="s">
        <v>20</v>
      </c>
      <c r="AD149" s="18" t="s">
        <v>20</v>
      </c>
      <c r="AE149" s="18" t="s">
        <v>21</v>
      </c>
      <c r="AG149">
        <f t="shared" si="9"/>
        <v>4</v>
      </c>
      <c r="AH149">
        <f t="shared" si="10"/>
        <v>20</v>
      </c>
      <c r="AI149">
        <f t="shared" si="11"/>
        <v>2</v>
      </c>
      <c r="AJ149">
        <f t="shared" si="12"/>
        <v>0</v>
      </c>
      <c r="AL149">
        <f t="shared" si="13"/>
        <v>16</v>
      </c>
      <c r="AM149">
        <f t="shared" si="14"/>
        <v>60</v>
      </c>
      <c r="AN149">
        <f t="shared" si="15"/>
        <v>4</v>
      </c>
      <c r="AO149">
        <f t="shared" si="16"/>
        <v>0</v>
      </c>
      <c r="AP149">
        <f t="shared" si="17"/>
        <v>80</v>
      </c>
    </row>
    <row r="150" spans="1:42" ht="15.75" hidden="1" customHeight="1" x14ac:dyDescent="0.3">
      <c r="A150" s="16"/>
      <c r="B150" s="55">
        <v>20</v>
      </c>
      <c r="C150" s="56" t="s">
        <v>168</v>
      </c>
      <c r="D150" s="55">
        <v>4</v>
      </c>
      <c r="E150" s="55" t="s">
        <v>20</v>
      </c>
      <c r="F150" s="18" t="s">
        <v>21</v>
      </c>
      <c r="G150" s="18" t="s">
        <v>23</v>
      </c>
      <c r="H150" s="18" t="s">
        <v>21</v>
      </c>
      <c r="I150" s="18" t="s">
        <v>21</v>
      </c>
      <c r="J150" s="43" t="s">
        <v>20</v>
      </c>
      <c r="K150" s="43" t="s">
        <v>21</v>
      </c>
      <c r="L150" s="43" t="s">
        <v>21</v>
      </c>
      <c r="M150" s="18" t="s">
        <v>21</v>
      </c>
      <c r="N150" s="18" t="s">
        <v>20</v>
      </c>
      <c r="O150" s="18" t="s">
        <v>21</v>
      </c>
      <c r="P150" s="18" t="s">
        <v>20</v>
      </c>
      <c r="Q150" s="18" t="s">
        <v>21</v>
      </c>
      <c r="R150" s="18" t="s">
        <v>20</v>
      </c>
      <c r="S150" s="18" t="s">
        <v>20</v>
      </c>
      <c r="T150" s="18" t="s">
        <v>20</v>
      </c>
      <c r="U150" s="18" t="s">
        <v>20</v>
      </c>
      <c r="V150" s="37" t="s">
        <v>20</v>
      </c>
      <c r="W150" s="37" t="s">
        <v>20</v>
      </c>
      <c r="X150" s="37" t="s">
        <v>20</v>
      </c>
      <c r="Y150" s="18" t="s">
        <v>21</v>
      </c>
      <c r="Z150" s="18" t="s">
        <v>21</v>
      </c>
      <c r="AA150" s="20" t="s">
        <v>21</v>
      </c>
      <c r="AB150" s="20" t="s">
        <v>21</v>
      </c>
      <c r="AC150" s="20" t="s">
        <v>21</v>
      </c>
      <c r="AD150" s="18" t="s">
        <v>20</v>
      </c>
      <c r="AE150" s="18" t="s">
        <v>21</v>
      </c>
      <c r="AG150">
        <f t="shared" si="9"/>
        <v>0</v>
      </c>
      <c r="AH150">
        <f t="shared" si="10"/>
        <v>11</v>
      </c>
      <c r="AI150">
        <f t="shared" si="11"/>
        <v>14</v>
      </c>
      <c r="AJ150">
        <f t="shared" si="12"/>
        <v>1</v>
      </c>
      <c r="AL150">
        <f t="shared" si="13"/>
        <v>0</v>
      </c>
      <c r="AM150">
        <f t="shared" si="14"/>
        <v>33</v>
      </c>
      <c r="AN150">
        <f t="shared" si="15"/>
        <v>28</v>
      </c>
      <c r="AO150">
        <f t="shared" si="16"/>
        <v>1</v>
      </c>
      <c r="AP150">
        <f t="shared" si="17"/>
        <v>62</v>
      </c>
    </row>
    <row r="151" spans="1:42" ht="15.75" hidden="1" customHeight="1" x14ac:dyDescent="0.3">
      <c r="A151" s="16"/>
      <c r="B151" s="55">
        <v>21</v>
      </c>
      <c r="C151" s="56" t="s">
        <v>169</v>
      </c>
      <c r="D151" s="55">
        <v>4</v>
      </c>
      <c r="E151" s="55" t="s">
        <v>20</v>
      </c>
      <c r="F151" s="18" t="s">
        <v>21</v>
      </c>
      <c r="G151" s="18" t="s">
        <v>21</v>
      </c>
      <c r="H151" s="18" t="s">
        <v>20</v>
      </c>
      <c r="I151" s="18" t="s">
        <v>20</v>
      </c>
      <c r="J151" s="43" t="s">
        <v>20</v>
      </c>
      <c r="K151" s="43" t="s">
        <v>20</v>
      </c>
      <c r="L151" s="43" t="s">
        <v>21</v>
      </c>
      <c r="M151" s="18" t="s">
        <v>21</v>
      </c>
      <c r="N151" s="18" t="s">
        <v>20</v>
      </c>
      <c r="O151" s="18" t="s">
        <v>20</v>
      </c>
      <c r="P151" s="18" t="s">
        <v>20</v>
      </c>
      <c r="Q151" s="18" t="s">
        <v>20</v>
      </c>
      <c r="R151" s="18" t="s">
        <v>20</v>
      </c>
      <c r="S151" s="18" t="s">
        <v>20</v>
      </c>
      <c r="T151" s="18" t="s">
        <v>20</v>
      </c>
      <c r="U151" s="18" t="s">
        <v>20</v>
      </c>
      <c r="V151" s="37" t="s">
        <v>20</v>
      </c>
      <c r="W151" s="37" t="s">
        <v>20</v>
      </c>
      <c r="X151" s="37" t="s">
        <v>20</v>
      </c>
      <c r="Y151" s="18" t="s">
        <v>21</v>
      </c>
      <c r="Z151" s="18" t="s">
        <v>21</v>
      </c>
      <c r="AA151" s="20" t="s">
        <v>20</v>
      </c>
      <c r="AB151" s="20" t="s">
        <v>20</v>
      </c>
      <c r="AC151" s="20" t="s">
        <v>21</v>
      </c>
      <c r="AD151" s="18" t="s">
        <v>21</v>
      </c>
      <c r="AE151" s="18" t="s">
        <v>21</v>
      </c>
      <c r="AG151">
        <f t="shared" si="9"/>
        <v>0</v>
      </c>
      <c r="AH151">
        <f t="shared" si="10"/>
        <v>17</v>
      </c>
      <c r="AI151">
        <f t="shared" si="11"/>
        <v>9</v>
      </c>
      <c r="AJ151">
        <f t="shared" si="12"/>
        <v>0</v>
      </c>
      <c r="AL151">
        <f t="shared" si="13"/>
        <v>0</v>
      </c>
      <c r="AM151">
        <f t="shared" si="14"/>
        <v>51</v>
      </c>
      <c r="AN151">
        <f t="shared" si="15"/>
        <v>18</v>
      </c>
      <c r="AO151">
        <f t="shared" si="16"/>
        <v>0</v>
      </c>
      <c r="AP151">
        <f t="shared" si="17"/>
        <v>69</v>
      </c>
    </row>
    <row r="152" spans="1:42" ht="15.75" hidden="1" customHeight="1" x14ac:dyDescent="0.3">
      <c r="A152" s="16"/>
      <c r="B152" s="55">
        <v>22</v>
      </c>
      <c r="C152" s="56" t="s">
        <v>170</v>
      </c>
      <c r="D152" s="55">
        <v>4</v>
      </c>
      <c r="E152" s="55" t="s">
        <v>20</v>
      </c>
      <c r="F152" s="18" t="s">
        <v>20</v>
      </c>
      <c r="G152" s="18" t="s">
        <v>20</v>
      </c>
      <c r="H152" s="18" t="s">
        <v>20</v>
      </c>
      <c r="I152" s="18" t="s">
        <v>20</v>
      </c>
      <c r="J152" s="43" t="s">
        <v>20</v>
      </c>
      <c r="K152" s="43" t="s">
        <v>20</v>
      </c>
      <c r="L152" s="43" t="s">
        <v>21</v>
      </c>
      <c r="M152" s="18" t="s">
        <v>21</v>
      </c>
      <c r="N152" s="18" t="s">
        <v>20</v>
      </c>
      <c r="O152" s="18" t="s">
        <v>20</v>
      </c>
      <c r="P152" s="18" t="s">
        <v>21</v>
      </c>
      <c r="Q152" s="18" t="s">
        <v>21</v>
      </c>
      <c r="R152" s="18" t="s">
        <v>21</v>
      </c>
      <c r="S152" s="18" t="s">
        <v>20</v>
      </c>
      <c r="T152" s="18" t="s">
        <v>20</v>
      </c>
      <c r="U152" s="18" t="s">
        <v>21</v>
      </c>
      <c r="V152" s="37" t="s">
        <v>20</v>
      </c>
      <c r="W152" s="37" t="s">
        <v>20</v>
      </c>
      <c r="X152" s="37" t="s">
        <v>20</v>
      </c>
      <c r="Y152" s="18" t="s">
        <v>21</v>
      </c>
      <c r="Z152" s="18" t="s">
        <v>20</v>
      </c>
      <c r="AA152" s="20" t="s">
        <v>21</v>
      </c>
      <c r="AB152" s="20" t="s">
        <v>21</v>
      </c>
      <c r="AC152" s="20" t="s">
        <v>21</v>
      </c>
      <c r="AD152" s="18" t="s">
        <v>21</v>
      </c>
      <c r="AE152" s="18" t="s">
        <v>21</v>
      </c>
      <c r="AG152">
        <f t="shared" ref="AG152:AG215" si="18">+COUNTIF(F152:AE152,"AD")</f>
        <v>0</v>
      </c>
      <c r="AH152">
        <f t="shared" ref="AH152:AH215" si="19">+COUNTIF(F152:AE152,"A")</f>
        <v>14</v>
      </c>
      <c r="AI152">
        <f t="shared" ref="AI152:AI215" si="20">+COUNTIF(F152:AE152,"b")</f>
        <v>12</v>
      </c>
      <c r="AJ152">
        <f t="shared" ref="AJ152:AJ215" si="21">+COUNTIF(F152:AE152,"c")</f>
        <v>0</v>
      </c>
      <c r="AL152">
        <f t="shared" ref="AL152:AL215" si="22">+$AG$5*AG152</f>
        <v>0</v>
      </c>
      <c r="AM152">
        <f t="shared" ref="AM152:AM215" si="23">+$AH$5*AH152</f>
        <v>42</v>
      </c>
      <c r="AN152">
        <f t="shared" ref="AN152:AN215" si="24">+$AI$5*AI152</f>
        <v>24</v>
      </c>
      <c r="AO152">
        <f t="shared" ref="AO152:AO215" si="25">+$AJ$5*AJ152</f>
        <v>0</v>
      </c>
      <c r="AP152">
        <f t="shared" ref="AP152:AP215" si="26">+SUM(AL152:AO152)</f>
        <v>66</v>
      </c>
    </row>
    <row r="153" spans="1:42" ht="15.75" hidden="1" customHeight="1" thickBot="1" x14ac:dyDescent="0.35">
      <c r="A153" s="16"/>
      <c r="B153" s="57">
        <v>23</v>
      </c>
      <c r="C153" s="58" t="s">
        <v>171</v>
      </c>
      <c r="D153" s="57">
        <v>4</v>
      </c>
      <c r="E153" s="57" t="s">
        <v>20</v>
      </c>
      <c r="F153" s="21" t="s">
        <v>20</v>
      </c>
      <c r="G153" s="21" t="s">
        <v>20</v>
      </c>
      <c r="H153" s="21" t="s">
        <v>20</v>
      </c>
      <c r="I153" s="21" t="s">
        <v>20</v>
      </c>
      <c r="J153" s="45" t="s">
        <v>20</v>
      </c>
      <c r="K153" s="45" t="s">
        <v>20</v>
      </c>
      <c r="L153" s="45" t="s">
        <v>20</v>
      </c>
      <c r="M153" s="21" t="s">
        <v>21</v>
      </c>
      <c r="N153" s="21" t="s">
        <v>20</v>
      </c>
      <c r="O153" s="21" t="s">
        <v>20</v>
      </c>
      <c r="P153" s="21" t="s">
        <v>21</v>
      </c>
      <c r="Q153" s="21" t="s">
        <v>21</v>
      </c>
      <c r="R153" s="21" t="s">
        <v>21</v>
      </c>
      <c r="S153" s="21" t="s">
        <v>20</v>
      </c>
      <c r="T153" s="21" t="s">
        <v>20</v>
      </c>
      <c r="U153" s="21" t="s">
        <v>20</v>
      </c>
      <c r="V153" s="48" t="s">
        <v>20</v>
      </c>
      <c r="W153" s="38" t="s">
        <v>20</v>
      </c>
      <c r="X153" s="48" t="s">
        <v>20</v>
      </c>
      <c r="Y153" s="21" t="s">
        <v>21</v>
      </c>
      <c r="Z153" s="21" t="s">
        <v>21</v>
      </c>
      <c r="AA153" s="23" t="s">
        <v>21</v>
      </c>
      <c r="AB153" s="23" t="s">
        <v>20</v>
      </c>
      <c r="AC153" s="23" t="s">
        <v>20</v>
      </c>
      <c r="AD153" s="21" t="s">
        <v>20</v>
      </c>
      <c r="AE153" s="21" t="s">
        <v>21</v>
      </c>
      <c r="AG153">
        <f t="shared" si="18"/>
        <v>0</v>
      </c>
      <c r="AH153">
        <f t="shared" si="19"/>
        <v>18</v>
      </c>
      <c r="AI153">
        <f t="shared" si="20"/>
        <v>8</v>
      </c>
      <c r="AJ153">
        <f t="shared" si="21"/>
        <v>0</v>
      </c>
      <c r="AL153">
        <f t="shared" si="22"/>
        <v>0</v>
      </c>
      <c r="AM153">
        <f t="shared" si="23"/>
        <v>54</v>
      </c>
      <c r="AN153">
        <f t="shared" si="24"/>
        <v>16</v>
      </c>
      <c r="AO153">
        <f t="shared" si="25"/>
        <v>0</v>
      </c>
      <c r="AP153">
        <f t="shared" si="26"/>
        <v>70</v>
      </c>
    </row>
    <row r="154" spans="1:42" ht="15.75" hidden="1" customHeight="1" x14ac:dyDescent="0.3">
      <c r="A154" s="16"/>
      <c r="B154" s="59">
        <v>1</v>
      </c>
      <c r="C154" s="60" t="s">
        <v>172</v>
      </c>
      <c r="D154" s="59">
        <v>4</v>
      </c>
      <c r="E154" s="59" t="s">
        <v>21</v>
      </c>
      <c r="F154" s="24" t="s">
        <v>23</v>
      </c>
      <c r="G154" s="24" t="s">
        <v>21</v>
      </c>
      <c r="H154" s="24" t="s">
        <v>23</v>
      </c>
      <c r="I154" s="24" t="s">
        <v>23</v>
      </c>
      <c r="J154" s="42" t="s">
        <v>20</v>
      </c>
      <c r="K154" s="42" t="s">
        <v>21</v>
      </c>
      <c r="L154" s="42" t="s">
        <v>21</v>
      </c>
      <c r="M154" s="24" t="s">
        <v>21</v>
      </c>
      <c r="N154" s="24" t="s">
        <v>20</v>
      </c>
      <c r="O154" s="24" t="s">
        <v>20</v>
      </c>
      <c r="P154" s="24" t="s">
        <v>20</v>
      </c>
      <c r="Q154" s="24" t="s">
        <v>21</v>
      </c>
      <c r="R154" s="24" t="s">
        <v>21</v>
      </c>
      <c r="S154" s="24" t="s">
        <v>21</v>
      </c>
      <c r="T154" s="24" t="s">
        <v>20</v>
      </c>
      <c r="U154" s="24" t="s">
        <v>20</v>
      </c>
      <c r="V154" s="39" t="s">
        <v>20</v>
      </c>
      <c r="W154" s="39" t="s">
        <v>20</v>
      </c>
      <c r="X154" s="39" t="s">
        <v>20</v>
      </c>
      <c r="Y154" s="24" t="s">
        <v>23</v>
      </c>
      <c r="Z154" s="24" t="s">
        <v>21</v>
      </c>
      <c r="AA154" s="27" t="s">
        <v>21</v>
      </c>
      <c r="AB154" s="27" t="s">
        <v>20</v>
      </c>
      <c r="AC154" s="27" t="s">
        <v>21</v>
      </c>
      <c r="AD154" s="24" t="s">
        <v>23</v>
      </c>
      <c r="AE154" s="24" t="s">
        <v>21</v>
      </c>
      <c r="AG154">
        <f t="shared" si="18"/>
        <v>0</v>
      </c>
      <c r="AH154">
        <f t="shared" si="19"/>
        <v>10</v>
      </c>
      <c r="AI154">
        <f t="shared" si="20"/>
        <v>11</v>
      </c>
      <c r="AJ154">
        <f t="shared" si="21"/>
        <v>5</v>
      </c>
      <c r="AL154">
        <f t="shared" si="22"/>
        <v>0</v>
      </c>
      <c r="AM154">
        <f t="shared" si="23"/>
        <v>30</v>
      </c>
      <c r="AN154">
        <f t="shared" si="24"/>
        <v>22</v>
      </c>
      <c r="AO154">
        <f t="shared" si="25"/>
        <v>5</v>
      </c>
      <c r="AP154">
        <f t="shared" si="26"/>
        <v>57</v>
      </c>
    </row>
    <row r="155" spans="1:42" ht="15.75" hidden="1" customHeight="1" x14ac:dyDescent="0.3">
      <c r="A155" s="16"/>
      <c r="B155" s="55">
        <v>2</v>
      </c>
      <c r="C155" s="56" t="s">
        <v>173</v>
      </c>
      <c r="D155" s="55">
        <v>4</v>
      </c>
      <c r="E155" s="55" t="s">
        <v>21</v>
      </c>
      <c r="F155" s="18" t="s">
        <v>21</v>
      </c>
      <c r="G155" s="18" t="s">
        <v>21</v>
      </c>
      <c r="H155" s="18" t="s">
        <v>21</v>
      </c>
      <c r="I155" s="18" t="s">
        <v>21</v>
      </c>
      <c r="J155" s="43" t="s">
        <v>21</v>
      </c>
      <c r="K155" s="43" t="s">
        <v>21</v>
      </c>
      <c r="L155" s="43" t="s">
        <v>21</v>
      </c>
      <c r="M155" s="18" t="s">
        <v>21</v>
      </c>
      <c r="N155" s="18" t="s">
        <v>20</v>
      </c>
      <c r="O155" s="18" t="s">
        <v>20</v>
      </c>
      <c r="P155" s="18" t="s">
        <v>21</v>
      </c>
      <c r="Q155" s="18" t="s">
        <v>21</v>
      </c>
      <c r="R155" s="18" t="s">
        <v>21</v>
      </c>
      <c r="S155" s="18" t="s">
        <v>20</v>
      </c>
      <c r="T155" s="18" t="s">
        <v>21</v>
      </c>
      <c r="U155" s="18" t="s">
        <v>21</v>
      </c>
      <c r="V155" s="37" t="s">
        <v>21</v>
      </c>
      <c r="W155" s="37" t="s">
        <v>20</v>
      </c>
      <c r="X155" s="37" t="s">
        <v>21</v>
      </c>
      <c r="Y155" s="18" t="s">
        <v>20</v>
      </c>
      <c r="Z155" s="18" t="s">
        <v>20</v>
      </c>
      <c r="AA155" s="20" t="s">
        <v>20</v>
      </c>
      <c r="AB155" s="20" t="s">
        <v>20</v>
      </c>
      <c r="AC155" s="20" t="s">
        <v>20</v>
      </c>
      <c r="AD155" s="18" t="s">
        <v>20</v>
      </c>
      <c r="AE155" s="18" t="s">
        <v>21</v>
      </c>
      <c r="AG155">
        <f t="shared" si="18"/>
        <v>0</v>
      </c>
      <c r="AH155">
        <f t="shared" si="19"/>
        <v>10</v>
      </c>
      <c r="AI155">
        <f t="shared" si="20"/>
        <v>16</v>
      </c>
      <c r="AJ155">
        <f t="shared" si="21"/>
        <v>0</v>
      </c>
      <c r="AL155">
        <f t="shared" si="22"/>
        <v>0</v>
      </c>
      <c r="AM155">
        <f t="shared" si="23"/>
        <v>30</v>
      </c>
      <c r="AN155">
        <f t="shared" si="24"/>
        <v>32</v>
      </c>
      <c r="AO155">
        <f t="shared" si="25"/>
        <v>0</v>
      </c>
      <c r="AP155">
        <f t="shared" si="26"/>
        <v>62</v>
      </c>
    </row>
    <row r="156" spans="1:42" ht="15.75" hidden="1" customHeight="1" x14ac:dyDescent="0.3">
      <c r="A156" s="16"/>
      <c r="B156" s="55">
        <v>3</v>
      </c>
      <c r="C156" s="56" t="s">
        <v>174</v>
      </c>
      <c r="D156" s="55">
        <v>4</v>
      </c>
      <c r="E156" s="55" t="s">
        <v>21</v>
      </c>
      <c r="F156" s="18" t="s">
        <v>39</v>
      </c>
      <c r="G156" s="18" t="s">
        <v>20</v>
      </c>
      <c r="H156" s="18" t="s">
        <v>39</v>
      </c>
      <c r="I156" s="18" t="s">
        <v>20</v>
      </c>
      <c r="J156" s="43" t="s">
        <v>20</v>
      </c>
      <c r="K156" s="43" t="s">
        <v>20</v>
      </c>
      <c r="L156" s="43" t="s">
        <v>20</v>
      </c>
      <c r="M156" s="18" t="s">
        <v>20</v>
      </c>
      <c r="N156" s="18" t="s">
        <v>20</v>
      </c>
      <c r="O156" s="18" t="s">
        <v>20</v>
      </c>
      <c r="P156" s="18" t="s">
        <v>20</v>
      </c>
      <c r="Q156" s="18" t="s">
        <v>20</v>
      </c>
      <c r="R156" s="18" t="s">
        <v>20</v>
      </c>
      <c r="S156" s="18" t="s">
        <v>20</v>
      </c>
      <c r="T156" s="18" t="s">
        <v>20</v>
      </c>
      <c r="U156" s="18" t="s">
        <v>20</v>
      </c>
      <c r="V156" s="37" t="s">
        <v>20</v>
      </c>
      <c r="W156" s="37" t="s">
        <v>20</v>
      </c>
      <c r="X156" s="37" t="s">
        <v>20</v>
      </c>
      <c r="Y156" s="18" t="s">
        <v>20</v>
      </c>
      <c r="Z156" s="18" t="s">
        <v>20</v>
      </c>
      <c r="AA156" s="20" t="s">
        <v>20</v>
      </c>
      <c r="AB156" s="20" t="s">
        <v>20</v>
      </c>
      <c r="AC156" s="20" t="s">
        <v>20</v>
      </c>
      <c r="AD156" s="18" t="s">
        <v>21</v>
      </c>
      <c r="AE156" s="18" t="s">
        <v>21</v>
      </c>
      <c r="AG156">
        <f t="shared" si="18"/>
        <v>2</v>
      </c>
      <c r="AH156">
        <f t="shared" si="19"/>
        <v>22</v>
      </c>
      <c r="AI156">
        <f t="shared" si="20"/>
        <v>2</v>
      </c>
      <c r="AJ156">
        <f t="shared" si="21"/>
        <v>0</v>
      </c>
      <c r="AL156">
        <f t="shared" si="22"/>
        <v>8</v>
      </c>
      <c r="AM156">
        <f t="shared" si="23"/>
        <v>66</v>
      </c>
      <c r="AN156">
        <f t="shared" si="24"/>
        <v>4</v>
      </c>
      <c r="AO156">
        <f t="shared" si="25"/>
        <v>0</v>
      </c>
      <c r="AP156">
        <f t="shared" si="26"/>
        <v>78</v>
      </c>
    </row>
    <row r="157" spans="1:42" ht="15.75" hidden="1" customHeight="1" x14ac:dyDescent="0.3">
      <c r="A157" s="16"/>
      <c r="B157" s="55">
        <v>4</v>
      </c>
      <c r="C157" s="56" t="s">
        <v>175</v>
      </c>
      <c r="D157" s="55">
        <v>4</v>
      </c>
      <c r="E157" s="55" t="s">
        <v>21</v>
      </c>
      <c r="F157" s="18" t="s">
        <v>20</v>
      </c>
      <c r="G157" s="18" t="s">
        <v>20</v>
      </c>
      <c r="H157" s="18" t="s">
        <v>20</v>
      </c>
      <c r="I157" s="18" t="s">
        <v>20</v>
      </c>
      <c r="J157" s="43" t="s">
        <v>20</v>
      </c>
      <c r="K157" s="43" t="s">
        <v>20</v>
      </c>
      <c r="L157" s="43" t="s">
        <v>21</v>
      </c>
      <c r="M157" s="18" t="s">
        <v>20</v>
      </c>
      <c r="N157" s="18" t="s">
        <v>20</v>
      </c>
      <c r="O157" s="18" t="s">
        <v>20</v>
      </c>
      <c r="P157" s="18" t="s">
        <v>21</v>
      </c>
      <c r="Q157" s="18" t="s">
        <v>21</v>
      </c>
      <c r="R157" s="18" t="s">
        <v>21</v>
      </c>
      <c r="S157" s="18" t="s">
        <v>21</v>
      </c>
      <c r="T157" s="18" t="s">
        <v>21</v>
      </c>
      <c r="U157" s="18" t="s">
        <v>21</v>
      </c>
      <c r="V157" s="37" t="s">
        <v>20</v>
      </c>
      <c r="W157" s="37" t="s">
        <v>20</v>
      </c>
      <c r="X157" s="37" t="s">
        <v>20</v>
      </c>
      <c r="Y157" s="18" t="s">
        <v>20</v>
      </c>
      <c r="Z157" s="18" t="s">
        <v>20</v>
      </c>
      <c r="AA157" s="20" t="s">
        <v>20</v>
      </c>
      <c r="AB157" s="20" t="s">
        <v>21</v>
      </c>
      <c r="AC157" s="20" t="s">
        <v>21</v>
      </c>
      <c r="AD157" s="18" t="s">
        <v>21</v>
      </c>
      <c r="AE157" s="18" t="s">
        <v>21</v>
      </c>
      <c r="AG157">
        <f t="shared" si="18"/>
        <v>0</v>
      </c>
      <c r="AH157">
        <f t="shared" si="19"/>
        <v>15</v>
      </c>
      <c r="AI157">
        <f t="shared" si="20"/>
        <v>11</v>
      </c>
      <c r="AJ157">
        <f t="shared" si="21"/>
        <v>0</v>
      </c>
      <c r="AL157">
        <f t="shared" si="22"/>
        <v>0</v>
      </c>
      <c r="AM157">
        <f t="shared" si="23"/>
        <v>45</v>
      </c>
      <c r="AN157">
        <f t="shared" si="24"/>
        <v>22</v>
      </c>
      <c r="AO157">
        <f t="shared" si="25"/>
        <v>0</v>
      </c>
      <c r="AP157">
        <f t="shared" si="26"/>
        <v>67</v>
      </c>
    </row>
    <row r="158" spans="1:42" ht="15.75" hidden="1" customHeight="1" x14ac:dyDescent="0.3">
      <c r="A158" s="16"/>
      <c r="B158" s="55">
        <v>5</v>
      </c>
      <c r="C158" s="56" t="s">
        <v>176</v>
      </c>
      <c r="D158" s="55">
        <v>4</v>
      </c>
      <c r="E158" s="55" t="s">
        <v>21</v>
      </c>
      <c r="F158" s="18" t="s">
        <v>39</v>
      </c>
      <c r="G158" s="18" t="s">
        <v>20</v>
      </c>
      <c r="H158" s="18" t="s">
        <v>20</v>
      </c>
      <c r="I158" s="18" t="s">
        <v>20</v>
      </c>
      <c r="J158" s="43" t="s">
        <v>20</v>
      </c>
      <c r="K158" s="43" t="s">
        <v>20</v>
      </c>
      <c r="L158" s="43" t="s">
        <v>20</v>
      </c>
      <c r="M158" s="18" t="s">
        <v>20</v>
      </c>
      <c r="N158" s="18" t="s">
        <v>20</v>
      </c>
      <c r="O158" s="18" t="s">
        <v>20</v>
      </c>
      <c r="P158" s="18" t="s">
        <v>20</v>
      </c>
      <c r="Q158" s="18" t="s">
        <v>20</v>
      </c>
      <c r="R158" s="18" t="s">
        <v>20</v>
      </c>
      <c r="S158" s="18" t="s">
        <v>20</v>
      </c>
      <c r="T158" s="18" t="s">
        <v>20</v>
      </c>
      <c r="U158" s="18" t="s">
        <v>20</v>
      </c>
      <c r="V158" s="37" t="s">
        <v>20</v>
      </c>
      <c r="W158" s="37" t="s">
        <v>20</v>
      </c>
      <c r="X158" s="37" t="s">
        <v>20</v>
      </c>
      <c r="Y158" s="18" t="s">
        <v>20</v>
      </c>
      <c r="Z158" s="18" t="s">
        <v>20</v>
      </c>
      <c r="AA158" s="20" t="s">
        <v>20</v>
      </c>
      <c r="AB158" s="20" t="s">
        <v>20</v>
      </c>
      <c r="AC158" s="20" t="s">
        <v>20</v>
      </c>
      <c r="AD158" s="18" t="s">
        <v>20</v>
      </c>
      <c r="AE158" s="18" t="s">
        <v>21</v>
      </c>
      <c r="AG158">
        <f t="shared" si="18"/>
        <v>1</v>
      </c>
      <c r="AH158">
        <f t="shared" si="19"/>
        <v>24</v>
      </c>
      <c r="AI158">
        <f t="shared" si="20"/>
        <v>1</v>
      </c>
      <c r="AJ158">
        <f t="shared" si="21"/>
        <v>0</v>
      </c>
      <c r="AL158">
        <f t="shared" si="22"/>
        <v>4</v>
      </c>
      <c r="AM158">
        <f t="shared" si="23"/>
        <v>72</v>
      </c>
      <c r="AN158">
        <f t="shared" si="24"/>
        <v>2</v>
      </c>
      <c r="AO158">
        <f t="shared" si="25"/>
        <v>0</v>
      </c>
      <c r="AP158">
        <f t="shared" si="26"/>
        <v>78</v>
      </c>
    </row>
    <row r="159" spans="1:42" ht="15.75" hidden="1" customHeight="1" x14ac:dyDescent="0.3">
      <c r="A159" s="16"/>
      <c r="B159" s="55">
        <v>6</v>
      </c>
      <c r="C159" s="56" t="s">
        <v>177</v>
      </c>
      <c r="D159" s="55">
        <v>4</v>
      </c>
      <c r="E159" s="55" t="s">
        <v>21</v>
      </c>
      <c r="F159" s="18" t="s">
        <v>20</v>
      </c>
      <c r="G159" s="18" t="s">
        <v>20</v>
      </c>
      <c r="H159" s="18" t="s">
        <v>20</v>
      </c>
      <c r="I159" s="18" t="s">
        <v>20</v>
      </c>
      <c r="J159" s="43" t="s">
        <v>20</v>
      </c>
      <c r="K159" s="43" t="s">
        <v>20</v>
      </c>
      <c r="L159" s="43" t="s">
        <v>20</v>
      </c>
      <c r="M159" s="18" t="s">
        <v>20</v>
      </c>
      <c r="N159" s="18" t="s">
        <v>20</v>
      </c>
      <c r="O159" s="18" t="s">
        <v>21</v>
      </c>
      <c r="P159" s="18" t="s">
        <v>21</v>
      </c>
      <c r="Q159" s="18" t="s">
        <v>21</v>
      </c>
      <c r="R159" s="18" t="s">
        <v>21</v>
      </c>
      <c r="S159" s="18" t="s">
        <v>20</v>
      </c>
      <c r="T159" s="18" t="s">
        <v>20</v>
      </c>
      <c r="U159" s="18" t="s">
        <v>21</v>
      </c>
      <c r="V159" s="37" t="s">
        <v>20</v>
      </c>
      <c r="W159" s="37" t="s">
        <v>20</v>
      </c>
      <c r="X159" s="37" t="s">
        <v>20</v>
      </c>
      <c r="Y159" s="18" t="s">
        <v>20</v>
      </c>
      <c r="Z159" s="18" t="s">
        <v>20</v>
      </c>
      <c r="AA159" s="20" t="s">
        <v>21</v>
      </c>
      <c r="AB159" s="20" t="s">
        <v>20</v>
      </c>
      <c r="AC159" s="20" t="s">
        <v>20</v>
      </c>
      <c r="AD159" s="18" t="s">
        <v>20</v>
      </c>
      <c r="AE159" s="18" t="s">
        <v>21</v>
      </c>
      <c r="AG159">
        <f t="shared" si="18"/>
        <v>0</v>
      </c>
      <c r="AH159">
        <f t="shared" si="19"/>
        <v>19</v>
      </c>
      <c r="AI159">
        <f t="shared" si="20"/>
        <v>7</v>
      </c>
      <c r="AJ159">
        <f t="shared" si="21"/>
        <v>0</v>
      </c>
      <c r="AL159">
        <f t="shared" si="22"/>
        <v>0</v>
      </c>
      <c r="AM159">
        <f t="shared" si="23"/>
        <v>57</v>
      </c>
      <c r="AN159">
        <f t="shared" si="24"/>
        <v>14</v>
      </c>
      <c r="AO159">
        <f t="shared" si="25"/>
        <v>0</v>
      </c>
      <c r="AP159">
        <f t="shared" si="26"/>
        <v>71</v>
      </c>
    </row>
    <row r="160" spans="1:42" ht="15.75" hidden="1" customHeight="1" x14ac:dyDescent="0.3">
      <c r="A160" s="16"/>
      <c r="B160" s="55">
        <v>7</v>
      </c>
      <c r="C160" s="56" t="s">
        <v>178</v>
      </c>
      <c r="D160" s="55">
        <v>4</v>
      </c>
      <c r="E160" s="55" t="s">
        <v>21</v>
      </c>
      <c r="F160" s="18" t="s">
        <v>21</v>
      </c>
      <c r="G160" s="18" t="s">
        <v>20</v>
      </c>
      <c r="H160" s="18" t="s">
        <v>20</v>
      </c>
      <c r="I160" s="18" t="s">
        <v>21</v>
      </c>
      <c r="J160" s="43" t="s">
        <v>20</v>
      </c>
      <c r="K160" s="43" t="s">
        <v>21</v>
      </c>
      <c r="L160" s="43" t="s">
        <v>21</v>
      </c>
      <c r="M160" s="18" t="s">
        <v>20</v>
      </c>
      <c r="N160" s="18" t="s">
        <v>20</v>
      </c>
      <c r="O160" s="18" t="s">
        <v>20</v>
      </c>
      <c r="P160" s="18" t="s">
        <v>21</v>
      </c>
      <c r="Q160" s="18" t="s">
        <v>21</v>
      </c>
      <c r="R160" s="18" t="s">
        <v>21</v>
      </c>
      <c r="S160" s="18" t="s">
        <v>20</v>
      </c>
      <c r="T160" s="18" t="s">
        <v>20</v>
      </c>
      <c r="U160" s="18" t="s">
        <v>21</v>
      </c>
      <c r="V160" s="37" t="s">
        <v>20</v>
      </c>
      <c r="W160" s="37" t="s">
        <v>20</v>
      </c>
      <c r="X160" s="37" t="s">
        <v>20</v>
      </c>
      <c r="Y160" s="18" t="s">
        <v>20</v>
      </c>
      <c r="Z160" s="18" t="s">
        <v>21</v>
      </c>
      <c r="AA160" s="20" t="s">
        <v>21</v>
      </c>
      <c r="AB160" s="20" t="s">
        <v>21</v>
      </c>
      <c r="AC160" s="20" t="s">
        <v>21</v>
      </c>
      <c r="AD160" s="18" t="s">
        <v>21</v>
      </c>
      <c r="AE160" s="18" t="s">
        <v>21</v>
      </c>
      <c r="AG160">
        <f t="shared" si="18"/>
        <v>0</v>
      </c>
      <c r="AH160">
        <f t="shared" si="19"/>
        <v>12</v>
      </c>
      <c r="AI160">
        <f t="shared" si="20"/>
        <v>14</v>
      </c>
      <c r="AJ160">
        <f t="shared" si="21"/>
        <v>0</v>
      </c>
      <c r="AL160">
        <f t="shared" si="22"/>
        <v>0</v>
      </c>
      <c r="AM160">
        <f t="shared" si="23"/>
        <v>36</v>
      </c>
      <c r="AN160">
        <f t="shared" si="24"/>
        <v>28</v>
      </c>
      <c r="AO160">
        <f t="shared" si="25"/>
        <v>0</v>
      </c>
      <c r="AP160">
        <f t="shared" si="26"/>
        <v>64</v>
      </c>
    </row>
    <row r="161" spans="1:42" ht="15.75" hidden="1" customHeight="1" x14ac:dyDescent="0.3">
      <c r="A161" s="16"/>
      <c r="B161" s="55">
        <v>8</v>
      </c>
      <c r="C161" s="56" t="s">
        <v>179</v>
      </c>
      <c r="D161" s="55">
        <v>4</v>
      </c>
      <c r="E161" s="55" t="s">
        <v>21</v>
      </c>
      <c r="F161" s="18" t="s">
        <v>20</v>
      </c>
      <c r="G161" s="18" t="s">
        <v>20</v>
      </c>
      <c r="H161" s="18" t="s">
        <v>20</v>
      </c>
      <c r="I161" s="18" t="s">
        <v>20</v>
      </c>
      <c r="J161" s="43" t="s">
        <v>20</v>
      </c>
      <c r="K161" s="43" t="s">
        <v>20</v>
      </c>
      <c r="L161" s="43" t="s">
        <v>20</v>
      </c>
      <c r="M161" s="18" t="s">
        <v>21</v>
      </c>
      <c r="N161" s="18" t="s">
        <v>20</v>
      </c>
      <c r="O161" s="18" t="s">
        <v>20</v>
      </c>
      <c r="P161" s="18" t="s">
        <v>21</v>
      </c>
      <c r="Q161" s="18" t="s">
        <v>21</v>
      </c>
      <c r="R161" s="18" t="s">
        <v>21</v>
      </c>
      <c r="S161" s="18" t="s">
        <v>21</v>
      </c>
      <c r="T161" s="18" t="s">
        <v>20</v>
      </c>
      <c r="U161" s="18" t="s">
        <v>20</v>
      </c>
      <c r="V161" s="37" t="s">
        <v>20</v>
      </c>
      <c r="W161" s="37" t="s">
        <v>20</v>
      </c>
      <c r="X161" s="37" t="s">
        <v>20</v>
      </c>
      <c r="Y161" s="18" t="s">
        <v>20</v>
      </c>
      <c r="Z161" s="18" t="s">
        <v>21</v>
      </c>
      <c r="AA161" s="20" t="s">
        <v>20</v>
      </c>
      <c r="AB161" s="20" t="s">
        <v>20</v>
      </c>
      <c r="AC161" s="20" t="s">
        <v>21</v>
      </c>
      <c r="AD161" s="18" t="s">
        <v>20</v>
      </c>
      <c r="AE161" s="18" t="s">
        <v>21</v>
      </c>
      <c r="AG161">
        <f t="shared" si="18"/>
        <v>0</v>
      </c>
      <c r="AH161">
        <f t="shared" si="19"/>
        <v>18</v>
      </c>
      <c r="AI161">
        <f t="shared" si="20"/>
        <v>8</v>
      </c>
      <c r="AJ161">
        <f t="shared" si="21"/>
        <v>0</v>
      </c>
      <c r="AL161">
        <f t="shared" si="22"/>
        <v>0</v>
      </c>
      <c r="AM161">
        <f t="shared" si="23"/>
        <v>54</v>
      </c>
      <c r="AN161">
        <f t="shared" si="24"/>
        <v>16</v>
      </c>
      <c r="AO161">
        <f t="shared" si="25"/>
        <v>0</v>
      </c>
      <c r="AP161">
        <f t="shared" si="26"/>
        <v>70</v>
      </c>
    </row>
    <row r="162" spans="1:42" ht="15.75" hidden="1" customHeight="1" x14ac:dyDescent="0.3">
      <c r="A162" s="16"/>
      <c r="B162" s="55">
        <v>9</v>
      </c>
      <c r="C162" s="56" t="s">
        <v>180</v>
      </c>
      <c r="D162" s="55">
        <v>4</v>
      </c>
      <c r="E162" s="55" t="s">
        <v>21</v>
      </c>
      <c r="F162" s="18" t="s">
        <v>21</v>
      </c>
      <c r="G162" s="18" t="s">
        <v>21</v>
      </c>
      <c r="H162" s="18" t="s">
        <v>21</v>
      </c>
      <c r="I162" s="18" t="s">
        <v>21</v>
      </c>
      <c r="J162" s="43" t="s">
        <v>20</v>
      </c>
      <c r="K162" s="43" t="s">
        <v>20</v>
      </c>
      <c r="L162" s="43" t="s">
        <v>20</v>
      </c>
      <c r="M162" s="18" t="s">
        <v>20</v>
      </c>
      <c r="N162" s="18" t="s">
        <v>20</v>
      </c>
      <c r="O162" s="18" t="s">
        <v>20</v>
      </c>
      <c r="P162" s="18" t="s">
        <v>21</v>
      </c>
      <c r="Q162" s="18" t="s">
        <v>21</v>
      </c>
      <c r="R162" s="18" t="s">
        <v>21</v>
      </c>
      <c r="S162" s="18" t="s">
        <v>20</v>
      </c>
      <c r="T162" s="18" t="s">
        <v>20</v>
      </c>
      <c r="U162" s="18" t="s">
        <v>21</v>
      </c>
      <c r="V162" s="37" t="s">
        <v>20</v>
      </c>
      <c r="W162" s="37" t="s">
        <v>20</v>
      </c>
      <c r="X162" s="37" t="s">
        <v>20</v>
      </c>
      <c r="Y162" s="18" t="s">
        <v>20</v>
      </c>
      <c r="Z162" s="18" t="s">
        <v>21</v>
      </c>
      <c r="AA162" s="20" t="s">
        <v>21</v>
      </c>
      <c r="AB162" s="20" t="s">
        <v>21</v>
      </c>
      <c r="AC162" s="20" t="s">
        <v>20</v>
      </c>
      <c r="AD162" s="18" t="s">
        <v>20</v>
      </c>
      <c r="AE162" s="18" t="s">
        <v>21</v>
      </c>
      <c r="AG162">
        <f t="shared" si="18"/>
        <v>0</v>
      </c>
      <c r="AH162">
        <f t="shared" si="19"/>
        <v>14</v>
      </c>
      <c r="AI162">
        <f t="shared" si="20"/>
        <v>12</v>
      </c>
      <c r="AJ162">
        <f t="shared" si="21"/>
        <v>0</v>
      </c>
      <c r="AL162">
        <f t="shared" si="22"/>
        <v>0</v>
      </c>
      <c r="AM162">
        <f t="shared" si="23"/>
        <v>42</v>
      </c>
      <c r="AN162">
        <f t="shared" si="24"/>
        <v>24</v>
      </c>
      <c r="AO162">
        <f t="shared" si="25"/>
        <v>0</v>
      </c>
      <c r="AP162">
        <f t="shared" si="26"/>
        <v>66</v>
      </c>
    </row>
    <row r="163" spans="1:42" ht="15.75" hidden="1" customHeight="1" x14ac:dyDescent="0.3">
      <c r="A163" s="16"/>
      <c r="B163" s="55">
        <v>10</v>
      </c>
      <c r="C163" s="56" t="s">
        <v>181</v>
      </c>
      <c r="D163" s="55">
        <v>4</v>
      </c>
      <c r="E163" s="55" t="s">
        <v>21</v>
      </c>
      <c r="F163" s="18" t="s">
        <v>21</v>
      </c>
      <c r="G163" s="18" t="s">
        <v>20</v>
      </c>
      <c r="H163" s="18" t="s">
        <v>21</v>
      </c>
      <c r="I163" s="18" t="s">
        <v>21</v>
      </c>
      <c r="J163" s="43" t="s">
        <v>20</v>
      </c>
      <c r="K163" s="43" t="s">
        <v>20</v>
      </c>
      <c r="L163" s="43" t="s">
        <v>21</v>
      </c>
      <c r="M163" s="18" t="s">
        <v>23</v>
      </c>
      <c r="N163" s="18" t="s">
        <v>20</v>
      </c>
      <c r="O163" s="18" t="s">
        <v>20</v>
      </c>
      <c r="P163" s="18" t="s">
        <v>21</v>
      </c>
      <c r="Q163" s="18" t="s">
        <v>21</v>
      </c>
      <c r="R163" s="18" t="s">
        <v>21</v>
      </c>
      <c r="S163" s="18" t="s">
        <v>20</v>
      </c>
      <c r="T163" s="18" t="s">
        <v>20</v>
      </c>
      <c r="U163" s="18" t="s">
        <v>21</v>
      </c>
      <c r="V163" s="37" t="s">
        <v>20</v>
      </c>
      <c r="W163" s="37" t="s">
        <v>20</v>
      </c>
      <c r="X163" s="37" t="s">
        <v>20</v>
      </c>
      <c r="Y163" s="18" t="s">
        <v>21</v>
      </c>
      <c r="Z163" s="18" t="s">
        <v>21</v>
      </c>
      <c r="AA163" s="20" t="s">
        <v>21</v>
      </c>
      <c r="AB163" s="20" t="s">
        <v>23</v>
      </c>
      <c r="AC163" s="20" t="s">
        <v>21</v>
      </c>
      <c r="AD163" s="18" t="s">
        <v>23</v>
      </c>
      <c r="AE163" s="18" t="s">
        <v>21</v>
      </c>
      <c r="AG163">
        <f t="shared" si="18"/>
        <v>0</v>
      </c>
      <c r="AH163">
        <f t="shared" si="19"/>
        <v>10</v>
      </c>
      <c r="AI163">
        <f t="shared" si="20"/>
        <v>13</v>
      </c>
      <c r="AJ163">
        <f t="shared" si="21"/>
        <v>3</v>
      </c>
      <c r="AL163">
        <f t="shared" si="22"/>
        <v>0</v>
      </c>
      <c r="AM163">
        <f t="shared" si="23"/>
        <v>30</v>
      </c>
      <c r="AN163">
        <f t="shared" si="24"/>
        <v>26</v>
      </c>
      <c r="AO163">
        <f t="shared" si="25"/>
        <v>3</v>
      </c>
      <c r="AP163">
        <f t="shared" si="26"/>
        <v>59</v>
      </c>
    </row>
    <row r="164" spans="1:42" ht="15.75" hidden="1" customHeight="1" x14ac:dyDescent="0.3">
      <c r="A164" s="16"/>
      <c r="B164" s="55">
        <v>11</v>
      </c>
      <c r="C164" s="56" t="s">
        <v>182</v>
      </c>
      <c r="D164" s="55">
        <v>4</v>
      </c>
      <c r="E164" s="55" t="s">
        <v>21</v>
      </c>
      <c r="F164" s="18" t="s">
        <v>23</v>
      </c>
      <c r="G164" s="18" t="s">
        <v>23</v>
      </c>
      <c r="H164" s="18" t="s">
        <v>23</v>
      </c>
      <c r="I164" s="18" t="s">
        <v>23</v>
      </c>
      <c r="J164" s="43" t="s">
        <v>21</v>
      </c>
      <c r="K164" s="43" t="s">
        <v>21</v>
      </c>
      <c r="L164" s="43" t="s">
        <v>21</v>
      </c>
      <c r="M164" s="18" t="s">
        <v>21</v>
      </c>
      <c r="N164" s="18" t="s">
        <v>20</v>
      </c>
      <c r="O164" s="18" t="s">
        <v>21</v>
      </c>
      <c r="P164" s="18" t="s">
        <v>23</v>
      </c>
      <c r="Q164" s="18" t="s">
        <v>21</v>
      </c>
      <c r="R164" s="18" t="s">
        <v>21</v>
      </c>
      <c r="S164" s="18" t="s">
        <v>21</v>
      </c>
      <c r="T164" s="18" t="s">
        <v>20</v>
      </c>
      <c r="U164" s="18" t="s">
        <v>20</v>
      </c>
      <c r="V164" s="37" t="s">
        <v>20</v>
      </c>
      <c r="W164" s="37" t="s">
        <v>21</v>
      </c>
      <c r="X164" s="37" t="s">
        <v>20</v>
      </c>
      <c r="Y164" s="18" t="s">
        <v>23</v>
      </c>
      <c r="Z164" s="18" t="s">
        <v>23</v>
      </c>
      <c r="AA164" s="20" t="s">
        <v>21</v>
      </c>
      <c r="AB164" s="20" t="s">
        <v>21</v>
      </c>
      <c r="AC164" s="20" t="s">
        <v>21</v>
      </c>
      <c r="AD164" s="18" t="s">
        <v>23</v>
      </c>
      <c r="AE164" s="18" t="s">
        <v>21</v>
      </c>
      <c r="AG164">
        <f t="shared" si="18"/>
        <v>0</v>
      </c>
      <c r="AH164">
        <f t="shared" si="19"/>
        <v>5</v>
      </c>
      <c r="AI164">
        <f t="shared" si="20"/>
        <v>13</v>
      </c>
      <c r="AJ164">
        <f t="shared" si="21"/>
        <v>8</v>
      </c>
      <c r="AL164">
        <f t="shared" si="22"/>
        <v>0</v>
      </c>
      <c r="AM164">
        <f t="shared" si="23"/>
        <v>15</v>
      </c>
      <c r="AN164">
        <f t="shared" si="24"/>
        <v>26</v>
      </c>
      <c r="AO164">
        <f t="shared" si="25"/>
        <v>8</v>
      </c>
      <c r="AP164">
        <f t="shared" si="26"/>
        <v>49</v>
      </c>
    </row>
    <row r="165" spans="1:42" ht="15.75" hidden="1" customHeight="1" x14ac:dyDescent="0.3">
      <c r="A165" s="16"/>
      <c r="B165" s="55">
        <v>12</v>
      </c>
      <c r="C165" s="56" t="s">
        <v>183</v>
      </c>
      <c r="D165" s="55">
        <v>4</v>
      </c>
      <c r="E165" s="55" t="s">
        <v>21</v>
      </c>
      <c r="F165" s="18" t="s">
        <v>21</v>
      </c>
      <c r="G165" s="18" t="s">
        <v>21</v>
      </c>
      <c r="H165" s="18" t="s">
        <v>21</v>
      </c>
      <c r="I165" s="18" t="s">
        <v>21</v>
      </c>
      <c r="J165" s="43" t="s">
        <v>20</v>
      </c>
      <c r="K165" s="43" t="s">
        <v>20</v>
      </c>
      <c r="L165" s="43" t="s">
        <v>21</v>
      </c>
      <c r="M165" s="18" t="s">
        <v>20</v>
      </c>
      <c r="N165" s="18" t="s">
        <v>20</v>
      </c>
      <c r="O165" s="18" t="s">
        <v>20</v>
      </c>
      <c r="P165" s="18" t="s">
        <v>21</v>
      </c>
      <c r="Q165" s="18" t="s">
        <v>21</v>
      </c>
      <c r="R165" s="18" t="s">
        <v>21</v>
      </c>
      <c r="S165" s="18" t="s">
        <v>20</v>
      </c>
      <c r="T165" s="18" t="s">
        <v>20</v>
      </c>
      <c r="U165" s="18" t="s">
        <v>20</v>
      </c>
      <c r="V165" s="49" t="s">
        <v>20</v>
      </c>
      <c r="W165" s="37" t="s">
        <v>20</v>
      </c>
      <c r="X165" s="37" t="s">
        <v>20</v>
      </c>
      <c r="Y165" s="18" t="s">
        <v>20</v>
      </c>
      <c r="Z165" s="18" t="s">
        <v>21</v>
      </c>
      <c r="AA165" s="20" t="s">
        <v>21</v>
      </c>
      <c r="AB165" s="20" t="s">
        <v>20</v>
      </c>
      <c r="AC165" s="20" t="s">
        <v>20</v>
      </c>
      <c r="AD165" s="29" t="s">
        <v>20</v>
      </c>
      <c r="AE165" s="29" t="s">
        <v>21</v>
      </c>
      <c r="AG165">
        <f t="shared" si="18"/>
        <v>0</v>
      </c>
      <c r="AH165">
        <f t="shared" si="19"/>
        <v>15</v>
      </c>
      <c r="AI165">
        <f t="shared" si="20"/>
        <v>11</v>
      </c>
      <c r="AJ165">
        <f t="shared" si="21"/>
        <v>0</v>
      </c>
      <c r="AL165">
        <f t="shared" si="22"/>
        <v>0</v>
      </c>
      <c r="AM165">
        <f t="shared" si="23"/>
        <v>45</v>
      </c>
      <c r="AN165">
        <f t="shared" si="24"/>
        <v>22</v>
      </c>
      <c r="AO165">
        <f t="shared" si="25"/>
        <v>0</v>
      </c>
      <c r="AP165">
        <f t="shared" si="26"/>
        <v>67</v>
      </c>
    </row>
    <row r="166" spans="1:42" ht="15.75" hidden="1" customHeight="1" x14ac:dyDescent="0.3">
      <c r="A166" s="16"/>
      <c r="B166" s="55">
        <v>13</v>
      </c>
      <c r="C166" s="56" t="s">
        <v>184</v>
      </c>
      <c r="D166" s="55">
        <v>4</v>
      </c>
      <c r="E166" s="55" t="s">
        <v>21</v>
      </c>
      <c r="F166" s="18" t="s">
        <v>21</v>
      </c>
      <c r="G166" s="18" t="s">
        <v>21</v>
      </c>
      <c r="H166" s="18" t="s">
        <v>23</v>
      </c>
      <c r="I166" s="18" t="s">
        <v>21</v>
      </c>
      <c r="J166" s="43" t="s">
        <v>20</v>
      </c>
      <c r="K166" s="43" t="s">
        <v>20</v>
      </c>
      <c r="L166" s="43" t="s">
        <v>21</v>
      </c>
      <c r="M166" s="18" t="s">
        <v>21</v>
      </c>
      <c r="N166" s="18" t="s">
        <v>20</v>
      </c>
      <c r="O166" s="18" t="s">
        <v>21</v>
      </c>
      <c r="P166" s="18" t="s">
        <v>21</v>
      </c>
      <c r="Q166" s="18" t="s">
        <v>21</v>
      </c>
      <c r="R166" s="18" t="s">
        <v>21</v>
      </c>
      <c r="S166" s="18" t="s">
        <v>23</v>
      </c>
      <c r="T166" s="18" t="s">
        <v>23</v>
      </c>
      <c r="U166" s="18" t="s">
        <v>20</v>
      </c>
      <c r="V166" s="49" t="s">
        <v>20</v>
      </c>
      <c r="W166" s="37" t="s">
        <v>21</v>
      </c>
      <c r="X166" s="37" t="s">
        <v>20</v>
      </c>
      <c r="Y166" s="18" t="s">
        <v>23</v>
      </c>
      <c r="Z166" s="18" t="s">
        <v>21</v>
      </c>
      <c r="AA166" s="20" t="s">
        <v>21</v>
      </c>
      <c r="AB166" s="20" t="s">
        <v>20</v>
      </c>
      <c r="AC166" s="20" t="s">
        <v>23</v>
      </c>
      <c r="AD166" s="29" t="s">
        <v>23</v>
      </c>
      <c r="AE166" s="29" t="s">
        <v>21</v>
      </c>
      <c r="AG166">
        <f t="shared" si="18"/>
        <v>0</v>
      </c>
      <c r="AH166">
        <f t="shared" si="19"/>
        <v>7</v>
      </c>
      <c r="AI166">
        <f t="shared" si="20"/>
        <v>13</v>
      </c>
      <c r="AJ166">
        <f t="shared" si="21"/>
        <v>6</v>
      </c>
      <c r="AL166">
        <f t="shared" si="22"/>
        <v>0</v>
      </c>
      <c r="AM166">
        <f t="shared" si="23"/>
        <v>21</v>
      </c>
      <c r="AN166">
        <f t="shared" si="24"/>
        <v>26</v>
      </c>
      <c r="AO166">
        <f t="shared" si="25"/>
        <v>6</v>
      </c>
      <c r="AP166">
        <f t="shared" si="26"/>
        <v>53</v>
      </c>
    </row>
    <row r="167" spans="1:42" ht="15.75" hidden="1" customHeight="1" x14ac:dyDescent="0.3">
      <c r="A167" s="16"/>
      <c r="B167" s="55">
        <v>14</v>
      </c>
      <c r="C167" s="56" t="s">
        <v>185</v>
      </c>
      <c r="D167" s="55">
        <v>4</v>
      </c>
      <c r="E167" s="55" t="s">
        <v>21</v>
      </c>
      <c r="F167" s="18" t="s">
        <v>21</v>
      </c>
      <c r="G167" s="18" t="s">
        <v>21</v>
      </c>
      <c r="H167" s="18" t="s">
        <v>21</v>
      </c>
      <c r="I167" s="18" t="s">
        <v>21</v>
      </c>
      <c r="J167" s="43" t="s">
        <v>20</v>
      </c>
      <c r="K167" s="43" t="s">
        <v>21</v>
      </c>
      <c r="L167" s="43" t="s">
        <v>21</v>
      </c>
      <c r="M167" s="18" t="s">
        <v>21</v>
      </c>
      <c r="N167" s="18" t="s">
        <v>21</v>
      </c>
      <c r="O167" s="18" t="s">
        <v>20</v>
      </c>
      <c r="P167" s="18" t="s">
        <v>21</v>
      </c>
      <c r="Q167" s="18" t="s">
        <v>21</v>
      </c>
      <c r="R167" s="18" t="s">
        <v>21</v>
      </c>
      <c r="S167" s="18" t="s">
        <v>20</v>
      </c>
      <c r="T167" s="18" t="s">
        <v>20</v>
      </c>
      <c r="U167" s="18" t="s">
        <v>21</v>
      </c>
      <c r="V167" s="49" t="s">
        <v>20</v>
      </c>
      <c r="W167" s="37" t="s">
        <v>20</v>
      </c>
      <c r="X167" s="37" t="s">
        <v>20</v>
      </c>
      <c r="Y167" s="18" t="s">
        <v>21</v>
      </c>
      <c r="Z167" s="18" t="s">
        <v>21</v>
      </c>
      <c r="AA167" s="20" t="s">
        <v>20</v>
      </c>
      <c r="AB167" s="20" t="s">
        <v>21</v>
      </c>
      <c r="AC167" s="20" t="s">
        <v>20</v>
      </c>
      <c r="AD167" s="29" t="s">
        <v>21</v>
      </c>
      <c r="AE167" s="29" t="s">
        <v>21</v>
      </c>
      <c r="AG167">
        <f t="shared" si="18"/>
        <v>0</v>
      </c>
      <c r="AH167">
        <f t="shared" si="19"/>
        <v>9</v>
      </c>
      <c r="AI167">
        <f t="shared" si="20"/>
        <v>17</v>
      </c>
      <c r="AJ167">
        <f t="shared" si="21"/>
        <v>0</v>
      </c>
      <c r="AL167">
        <f t="shared" si="22"/>
        <v>0</v>
      </c>
      <c r="AM167">
        <f t="shared" si="23"/>
        <v>27</v>
      </c>
      <c r="AN167">
        <f t="shared" si="24"/>
        <v>34</v>
      </c>
      <c r="AO167">
        <f t="shared" si="25"/>
        <v>0</v>
      </c>
      <c r="AP167">
        <f t="shared" si="26"/>
        <v>61</v>
      </c>
    </row>
    <row r="168" spans="1:42" ht="15.75" hidden="1" customHeight="1" x14ac:dyDescent="0.3">
      <c r="A168" s="16"/>
      <c r="B168" s="55">
        <v>15</v>
      </c>
      <c r="C168" s="56" t="s">
        <v>186</v>
      </c>
      <c r="D168" s="55">
        <v>4</v>
      </c>
      <c r="E168" s="55" t="s">
        <v>21</v>
      </c>
      <c r="F168" s="18" t="s">
        <v>20</v>
      </c>
      <c r="G168" s="18" t="s">
        <v>20</v>
      </c>
      <c r="H168" s="18" t="s">
        <v>20</v>
      </c>
      <c r="I168" s="18" t="s">
        <v>20</v>
      </c>
      <c r="J168" s="43" t="s">
        <v>20</v>
      </c>
      <c r="K168" s="43" t="s">
        <v>20</v>
      </c>
      <c r="L168" s="43" t="s">
        <v>20</v>
      </c>
      <c r="M168" s="18" t="s">
        <v>20</v>
      </c>
      <c r="N168" s="18" t="s">
        <v>20</v>
      </c>
      <c r="O168" s="18" t="s">
        <v>20</v>
      </c>
      <c r="P168" s="18" t="s">
        <v>20</v>
      </c>
      <c r="Q168" s="18" t="s">
        <v>20</v>
      </c>
      <c r="R168" s="18" t="s">
        <v>20</v>
      </c>
      <c r="S168" s="18" t="s">
        <v>20</v>
      </c>
      <c r="T168" s="18" t="s">
        <v>20</v>
      </c>
      <c r="U168" s="18" t="s">
        <v>20</v>
      </c>
      <c r="V168" s="49" t="s">
        <v>20</v>
      </c>
      <c r="W168" s="37" t="s">
        <v>20</v>
      </c>
      <c r="X168" s="37" t="s">
        <v>20</v>
      </c>
      <c r="Y168" s="18" t="s">
        <v>20</v>
      </c>
      <c r="Z168" s="18" t="s">
        <v>20</v>
      </c>
      <c r="AA168" s="20" t="s">
        <v>20</v>
      </c>
      <c r="AB168" s="20" t="s">
        <v>20</v>
      </c>
      <c r="AC168" s="20" t="s">
        <v>20</v>
      </c>
      <c r="AD168" s="29" t="s">
        <v>20</v>
      </c>
      <c r="AE168" s="29" t="s">
        <v>21</v>
      </c>
      <c r="AG168">
        <f t="shared" si="18"/>
        <v>0</v>
      </c>
      <c r="AH168">
        <f t="shared" si="19"/>
        <v>25</v>
      </c>
      <c r="AI168">
        <f t="shared" si="20"/>
        <v>1</v>
      </c>
      <c r="AJ168">
        <f t="shared" si="21"/>
        <v>0</v>
      </c>
      <c r="AL168">
        <f t="shared" si="22"/>
        <v>0</v>
      </c>
      <c r="AM168">
        <f t="shared" si="23"/>
        <v>75</v>
      </c>
      <c r="AN168">
        <f t="shared" si="24"/>
        <v>2</v>
      </c>
      <c r="AO168">
        <f t="shared" si="25"/>
        <v>0</v>
      </c>
      <c r="AP168">
        <f t="shared" si="26"/>
        <v>77</v>
      </c>
    </row>
    <row r="169" spans="1:42" ht="15.75" hidden="1" customHeight="1" x14ac:dyDescent="0.3">
      <c r="A169" s="16"/>
      <c r="B169" s="55">
        <v>16</v>
      </c>
      <c r="C169" s="56" t="s">
        <v>187</v>
      </c>
      <c r="D169" s="55">
        <v>4</v>
      </c>
      <c r="E169" s="55" t="s">
        <v>21</v>
      </c>
      <c r="F169" s="18" t="s">
        <v>21</v>
      </c>
      <c r="G169" s="18" t="s">
        <v>21</v>
      </c>
      <c r="H169" s="18" t="s">
        <v>21</v>
      </c>
      <c r="I169" s="18" t="s">
        <v>21</v>
      </c>
      <c r="J169" s="43" t="s">
        <v>20</v>
      </c>
      <c r="K169" s="43" t="s">
        <v>20</v>
      </c>
      <c r="L169" s="43" t="s">
        <v>21</v>
      </c>
      <c r="M169" s="18" t="s">
        <v>20</v>
      </c>
      <c r="N169" s="18" t="s">
        <v>20</v>
      </c>
      <c r="O169" s="18" t="s">
        <v>20</v>
      </c>
      <c r="P169" s="18" t="s">
        <v>21</v>
      </c>
      <c r="Q169" s="18" t="s">
        <v>21</v>
      </c>
      <c r="R169" s="18" t="s">
        <v>21</v>
      </c>
      <c r="S169" s="18" t="s">
        <v>21</v>
      </c>
      <c r="T169" s="18" t="s">
        <v>20</v>
      </c>
      <c r="U169" s="18" t="s">
        <v>21</v>
      </c>
      <c r="V169" s="49" t="s">
        <v>20</v>
      </c>
      <c r="W169" s="37" t="s">
        <v>20</v>
      </c>
      <c r="X169" s="37" t="s">
        <v>20</v>
      </c>
      <c r="Y169" s="18" t="s">
        <v>21</v>
      </c>
      <c r="Z169" s="18" t="s">
        <v>21</v>
      </c>
      <c r="AA169" s="20" t="s">
        <v>21</v>
      </c>
      <c r="AB169" s="20" t="s">
        <v>21</v>
      </c>
      <c r="AC169" s="20" t="s">
        <v>21</v>
      </c>
      <c r="AD169" s="29" t="s">
        <v>21</v>
      </c>
      <c r="AE169" s="29" t="s">
        <v>21</v>
      </c>
      <c r="AG169">
        <f t="shared" si="18"/>
        <v>0</v>
      </c>
      <c r="AH169">
        <f t="shared" si="19"/>
        <v>9</v>
      </c>
      <c r="AI169">
        <f t="shared" si="20"/>
        <v>17</v>
      </c>
      <c r="AJ169">
        <f t="shared" si="21"/>
        <v>0</v>
      </c>
      <c r="AL169">
        <f t="shared" si="22"/>
        <v>0</v>
      </c>
      <c r="AM169">
        <f t="shared" si="23"/>
        <v>27</v>
      </c>
      <c r="AN169">
        <f t="shared" si="24"/>
        <v>34</v>
      </c>
      <c r="AO169">
        <f t="shared" si="25"/>
        <v>0</v>
      </c>
      <c r="AP169">
        <f t="shared" si="26"/>
        <v>61</v>
      </c>
    </row>
    <row r="170" spans="1:42" ht="15.75" hidden="1" customHeight="1" x14ac:dyDescent="0.3">
      <c r="A170" s="16"/>
      <c r="B170" s="55">
        <v>17</v>
      </c>
      <c r="C170" s="56" t="s">
        <v>188</v>
      </c>
      <c r="D170" s="55">
        <v>4</v>
      </c>
      <c r="E170" s="55" t="s">
        <v>21</v>
      </c>
      <c r="F170" s="18" t="s">
        <v>21</v>
      </c>
      <c r="G170" s="18" t="s">
        <v>21</v>
      </c>
      <c r="H170" s="18" t="s">
        <v>21</v>
      </c>
      <c r="I170" s="18" t="s">
        <v>21</v>
      </c>
      <c r="J170" s="43" t="s">
        <v>20</v>
      </c>
      <c r="K170" s="43" t="s">
        <v>20</v>
      </c>
      <c r="L170" s="43" t="s">
        <v>21</v>
      </c>
      <c r="M170" s="18" t="s">
        <v>21</v>
      </c>
      <c r="N170" s="18" t="s">
        <v>20</v>
      </c>
      <c r="O170" s="18" t="s">
        <v>21</v>
      </c>
      <c r="P170" s="18" t="s">
        <v>21</v>
      </c>
      <c r="Q170" s="18" t="s">
        <v>21</v>
      </c>
      <c r="R170" s="18" t="s">
        <v>21</v>
      </c>
      <c r="S170" s="18" t="s">
        <v>23</v>
      </c>
      <c r="T170" s="18" t="s">
        <v>21</v>
      </c>
      <c r="U170" s="18" t="s">
        <v>20</v>
      </c>
      <c r="V170" s="49" t="s">
        <v>20</v>
      </c>
      <c r="W170" s="37" t="s">
        <v>20</v>
      </c>
      <c r="X170" s="37" t="s">
        <v>20</v>
      </c>
      <c r="Y170" s="18" t="s">
        <v>20</v>
      </c>
      <c r="Z170" s="18" t="s">
        <v>20</v>
      </c>
      <c r="AA170" s="20" t="s">
        <v>20</v>
      </c>
      <c r="AB170" s="20" t="s">
        <v>20</v>
      </c>
      <c r="AC170" s="20" t="s">
        <v>20</v>
      </c>
      <c r="AD170" s="29" t="s">
        <v>21</v>
      </c>
      <c r="AE170" s="29" t="s">
        <v>21</v>
      </c>
      <c r="AG170">
        <f t="shared" si="18"/>
        <v>0</v>
      </c>
      <c r="AH170">
        <f t="shared" si="19"/>
        <v>12</v>
      </c>
      <c r="AI170">
        <f t="shared" si="20"/>
        <v>13</v>
      </c>
      <c r="AJ170">
        <f t="shared" si="21"/>
        <v>1</v>
      </c>
      <c r="AL170">
        <f t="shared" si="22"/>
        <v>0</v>
      </c>
      <c r="AM170">
        <f t="shared" si="23"/>
        <v>36</v>
      </c>
      <c r="AN170">
        <f t="shared" si="24"/>
        <v>26</v>
      </c>
      <c r="AO170">
        <f t="shared" si="25"/>
        <v>1</v>
      </c>
      <c r="AP170">
        <f t="shared" si="26"/>
        <v>63</v>
      </c>
    </row>
    <row r="171" spans="1:42" ht="15.75" hidden="1" customHeight="1" x14ac:dyDescent="0.3">
      <c r="A171" s="16"/>
      <c r="B171" s="55">
        <v>18</v>
      </c>
      <c r="C171" s="56" t="s">
        <v>189</v>
      </c>
      <c r="D171" s="55">
        <v>4</v>
      </c>
      <c r="E171" s="55" t="s">
        <v>21</v>
      </c>
      <c r="F171" s="18" t="s">
        <v>23</v>
      </c>
      <c r="G171" s="18" t="s">
        <v>23</v>
      </c>
      <c r="H171" s="18" t="s">
        <v>23</v>
      </c>
      <c r="I171" s="18" t="s">
        <v>23</v>
      </c>
      <c r="J171" s="43" t="s">
        <v>20</v>
      </c>
      <c r="K171" s="43" t="s">
        <v>20</v>
      </c>
      <c r="L171" s="43" t="s">
        <v>21</v>
      </c>
      <c r="M171" s="18" t="s">
        <v>21</v>
      </c>
      <c r="N171" s="18" t="s">
        <v>21</v>
      </c>
      <c r="O171" s="18" t="s">
        <v>20</v>
      </c>
      <c r="P171" s="18" t="s">
        <v>21</v>
      </c>
      <c r="Q171" s="18" t="s">
        <v>21</v>
      </c>
      <c r="R171" s="18" t="s">
        <v>23</v>
      </c>
      <c r="S171" s="18" t="s">
        <v>21</v>
      </c>
      <c r="T171" s="18" t="s">
        <v>20</v>
      </c>
      <c r="U171" s="18" t="s">
        <v>21</v>
      </c>
      <c r="V171" s="49" t="s">
        <v>20</v>
      </c>
      <c r="W171" s="37" t="s">
        <v>21</v>
      </c>
      <c r="X171" s="37" t="s">
        <v>20</v>
      </c>
      <c r="Y171" s="18" t="s">
        <v>20</v>
      </c>
      <c r="Z171" s="18" t="s">
        <v>20</v>
      </c>
      <c r="AA171" s="20" t="s">
        <v>21</v>
      </c>
      <c r="AB171" s="20" t="s">
        <v>21</v>
      </c>
      <c r="AC171" s="20" t="s">
        <v>21</v>
      </c>
      <c r="AD171" s="29" t="s">
        <v>21</v>
      </c>
      <c r="AE171" s="29" t="s">
        <v>21</v>
      </c>
      <c r="AG171">
        <f t="shared" si="18"/>
        <v>0</v>
      </c>
      <c r="AH171">
        <f t="shared" si="19"/>
        <v>8</v>
      </c>
      <c r="AI171">
        <f t="shared" si="20"/>
        <v>13</v>
      </c>
      <c r="AJ171">
        <f t="shared" si="21"/>
        <v>5</v>
      </c>
      <c r="AL171">
        <f t="shared" si="22"/>
        <v>0</v>
      </c>
      <c r="AM171">
        <f t="shared" si="23"/>
        <v>24</v>
      </c>
      <c r="AN171">
        <f t="shared" si="24"/>
        <v>26</v>
      </c>
      <c r="AO171">
        <f t="shared" si="25"/>
        <v>5</v>
      </c>
      <c r="AP171">
        <f t="shared" si="26"/>
        <v>55</v>
      </c>
    </row>
    <row r="172" spans="1:42" ht="15.75" hidden="1" customHeight="1" x14ac:dyDescent="0.3">
      <c r="A172" s="16"/>
      <c r="B172" s="55">
        <v>19</v>
      </c>
      <c r="C172" s="56" t="s">
        <v>190</v>
      </c>
      <c r="D172" s="55">
        <v>4</v>
      </c>
      <c r="E172" s="55" t="s">
        <v>21</v>
      </c>
      <c r="F172" s="18" t="s">
        <v>23</v>
      </c>
      <c r="G172" s="18" t="s">
        <v>21</v>
      </c>
      <c r="H172" s="18" t="s">
        <v>21</v>
      </c>
      <c r="I172" s="18" t="s">
        <v>21</v>
      </c>
      <c r="J172" s="43" t="s">
        <v>20</v>
      </c>
      <c r="K172" s="43" t="s">
        <v>20</v>
      </c>
      <c r="L172" s="43" t="s">
        <v>21</v>
      </c>
      <c r="M172" s="18" t="s">
        <v>20</v>
      </c>
      <c r="N172" s="18" t="s">
        <v>20</v>
      </c>
      <c r="O172" s="18" t="s">
        <v>21</v>
      </c>
      <c r="P172" s="18" t="s">
        <v>21</v>
      </c>
      <c r="Q172" s="18" t="s">
        <v>21</v>
      </c>
      <c r="R172" s="18" t="s">
        <v>21</v>
      </c>
      <c r="S172" s="18" t="s">
        <v>20</v>
      </c>
      <c r="T172" s="18" t="s">
        <v>20</v>
      </c>
      <c r="U172" s="18" t="s">
        <v>21</v>
      </c>
      <c r="V172" s="49" t="s">
        <v>20</v>
      </c>
      <c r="W172" s="37" t="s">
        <v>20</v>
      </c>
      <c r="X172" s="37" t="s">
        <v>20</v>
      </c>
      <c r="Y172" s="18" t="s">
        <v>20</v>
      </c>
      <c r="Z172" s="18" t="s">
        <v>21</v>
      </c>
      <c r="AA172" s="20" t="s">
        <v>21</v>
      </c>
      <c r="AB172" s="20" t="s">
        <v>21</v>
      </c>
      <c r="AC172" s="20" t="s">
        <v>21</v>
      </c>
      <c r="AD172" s="29" t="s">
        <v>21</v>
      </c>
      <c r="AE172" s="29" t="s">
        <v>21</v>
      </c>
      <c r="AG172">
        <f t="shared" si="18"/>
        <v>0</v>
      </c>
      <c r="AH172">
        <f t="shared" si="19"/>
        <v>10</v>
      </c>
      <c r="AI172">
        <f t="shared" si="20"/>
        <v>15</v>
      </c>
      <c r="AJ172">
        <f t="shared" si="21"/>
        <v>1</v>
      </c>
      <c r="AL172">
        <f t="shared" si="22"/>
        <v>0</v>
      </c>
      <c r="AM172">
        <f t="shared" si="23"/>
        <v>30</v>
      </c>
      <c r="AN172">
        <f t="shared" si="24"/>
        <v>30</v>
      </c>
      <c r="AO172">
        <f t="shared" si="25"/>
        <v>1</v>
      </c>
      <c r="AP172">
        <f t="shared" si="26"/>
        <v>61</v>
      </c>
    </row>
    <row r="173" spans="1:42" ht="15.75" hidden="1" customHeight="1" x14ac:dyDescent="0.3">
      <c r="A173" s="16"/>
      <c r="B173" s="55">
        <v>20</v>
      </c>
      <c r="C173" s="56" t="s">
        <v>191</v>
      </c>
      <c r="D173" s="55">
        <v>4</v>
      </c>
      <c r="E173" s="55" t="s">
        <v>21</v>
      </c>
      <c r="F173" s="18" t="s">
        <v>20</v>
      </c>
      <c r="G173" s="18" t="s">
        <v>20</v>
      </c>
      <c r="H173" s="18" t="s">
        <v>20</v>
      </c>
      <c r="I173" s="18" t="s">
        <v>39</v>
      </c>
      <c r="J173" s="43" t="s">
        <v>20</v>
      </c>
      <c r="K173" s="43" t="s">
        <v>39</v>
      </c>
      <c r="L173" s="43" t="s">
        <v>20</v>
      </c>
      <c r="M173" s="18" t="s">
        <v>20</v>
      </c>
      <c r="N173" s="18" t="s">
        <v>20</v>
      </c>
      <c r="O173" s="18" t="s">
        <v>20</v>
      </c>
      <c r="P173" s="18" t="s">
        <v>20</v>
      </c>
      <c r="Q173" s="18" t="s">
        <v>20</v>
      </c>
      <c r="R173" s="18" t="s">
        <v>20</v>
      </c>
      <c r="S173" s="18" t="s">
        <v>20</v>
      </c>
      <c r="T173" s="18" t="s">
        <v>20</v>
      </c>
      <c r="U173" s="18" t="s">
        <v>20</v>
      </c>
      <c r="V173" s="50" t="s">
        <v>20</v>
      </c>
      <c r="W173" s="37" t="s">
        <v>20</v>
      </c>
      <c r="X173" s="37" t="s">
        <v>20</v>
      </c>
      <c r="Y173" s="18" t="s">
        <v>39</v>
      </c>
      <c r="Z173" s="18" t="s">
        <v>39</v>
      </c>
      <c r="AA173" s="20" t="s">
        <v>20</v>
      </c>
      <c r="AB173" s="20" t="s">
        <v>20</v>
      </c>
      <c r="AC173" s="20" t="s">
        <v>20</v>
      </c>
      <c r="AD173" s="29" t="s">
        <v>20</v>
      </c>
      <c r="AE173" s="29" t="s">
        <v>21</v>
      </c>
      <c r="AG173">
        <f t="shared" si="18"/>
        <v>4</v>
      </c>
      <c r="AH173">
        <f t="shared" si="19"/>
        <v>21</v>
      </c>
      <c r="AI173">
        <f t="shared" si="20"/>
        <v>1</v>
      </c>
      <c r="AJ173">
        <f t="shared" si="21"/>
        <v>0</v>
      </c>
      <c r="AL173">
        <f t="shared" si="22"/>
        <v>16</v>
      </c>
      <c r="AM173">
        <f t="shared" si="23"/>
        <v>63</v>
      </c>
      <c r="AN173">
        <f t="shared" si="24"/>
        <v>2</v>
      </c>
      <c r="AO173">
        <f t="shared" si="25"/>
        <v>0</v>
      </c>
      <c r="AP173">
        <f t="shared" si="26"/>
        <v>81</v>
      </c>
    </row>
    <row r="174" spans="1:42" ht="15.75" hidden="1" customHeight="1" x14ac:dyDescent="0.3">
      <c r="A174" s="16"/>
      <c r="B174" s="55">
        <v>21</v>
      </c>
      <c r="C174" s="56" t="s">
        <v>192</v>
      </c>
      <c r="D174" s="55">
        <v>4</v>
      </c>
      <c r="E174" s="55" t="s">
        <v>21</v>
      </c>
      <c r="F174" s="18" t="s">
        <v>21</v>
      </c>
      <c r="G174" s="18" t="s">
        <v>23</v>
      </c>
      <c r="H174" s="18" t="s">
        <v>23</v>
      </c>
      <c r="I174" s="18" t="s">
        <v>23</v>
      </c>
      <c r="J174" s="43" t="s">
        <v>20</v>
      </c>
      <c r="K174" s="43" t="s">
        <v>21</v>
      </c>
      <c r="L174" s="43" t="s">
        <v>21</v>
      </c>
      <c r="M174" s="18" t="s">
        <v>21</v>
      </c>
      <c r="N174" s="18" t="s">
        <v>21</v>
      </c>
      <c r="O174" s="18" t="s">
        <v>21</v>
      </c>
      <c r="P174" s="18" t="s">
        <v>21</v>
      </c>
      <c r="Q174" s="18" t="s">
        <v>21</v>
      </c>
      <c r="R174" s="18" t="s">
        <v>23</v>
      </c>
      <c r="S174" s="18" t="s">
        <v>21</v>
      </c>
      <c r="T174" s="18" t="s">
        <v>20</v>
      </c>
      <c r="U174" s="18" t="s">
        <v>20</v>
      </c>
      <c r="V174" s="49" t="s">
        <v>20</v>
      </c>
      <c r="W174" s="37" t="s">
        <v>20</v>
      </c>
      <c r="X174" s="37" t="s">
        <v>20</v>
      </c>
      <c r="Y174" s="18" t="s">
        <v>21</v>
      </c>
      <c r="Z174" s="18" t="s">
        <v>21</v>
      </c>
      <c r="AA174" s="20" t="s">
        <v>21</v>
      </c>
      <c r="AB174" s="20" t="s">
        <v>21</v>
      </c>
      <c r="AC174" s="20" t="s">
        <v>20</v>
      </c>
      <c r="AD174" s="29" t="s">
        <v>21</v>
      </c>
      <c r="AE174" s="29" t="s">
        <v>21</v>
      </c>
      <c r="AG174">
        <f t="shared" si="18"/>
        <v>0</v>
      </c>
      <c r="AH174">
        <f t="shared" si="19"/>
        <v>7</v>
      </c>
      <c r="AI174">
        <f t="shared" si="20"/>
        <v>15</v>
      </c>
      <c r="AJ174">
        <f t="shared" si="21"/>
        <v>4</v>
      </c>
      <c r="AL174">
        <f t="shared" si="22"/>
        <v>0</v>
      </c>
      <c r="AM174">
        <f t="shared" si="23"/>
        <v>21</v>
      </c>
      <c r="AN174">
        <f t="shared" si="24"/>
        <v>30</v>
      </c>
      <c r="AO174">
        <f t="shared" si="25"/>
        <v>4</v>
      </c>
      <c r="AP174">
        <f t="shared" si="26"/>
        <v>55</v>
      </c>
    </row>
    <row r="175" spans="1:42" ht="15.75" hidden="1" customHeight="1" x14ac:dyDescent="0.3">
      <c r="A175" s="16"/>
      <c r="B175" s="55">
        <v>22</v>
      </c>
      <c r="C175" s="56" t="s">
        <v>193</v>
      </c>
      <c r="D175" s="55">
        <v>4</v>
      </c>
      <c r="E175" s="55" t="s">
        <v>21</v>
      </c>
      <c r="F175" s="18" t="s">
        <v>20</v>
      </c>
      <c r="G175" s="18" t="s">
        <v>39</v>
      </c>
      <c r="H175" s="18" t="s">
        <v>39</v>
      </c>
      <c r="I175" s="18" t="s">
        <v>39</v>
      </c>
      <c r="J175" s="43" t="s">
        <v>20</v>
      </c>
      <c r="K175" s="43" t="s">
        <v>20</v>
      </c>
      <c r="L175" s="43" t="s">
        <v>20</v>
      </c>
      <c r="M175" s="18" t="s">
        <v>20</v>
      </c>
      <c r="N175" s="18" t="s">
        <v>20</v>
      </c>
      <c r="O175" s="18" t="s">
        <v>20</v>
      </c>
      <c r="P175" s="18" t="s">
        <v>20</v>
      </c>
      <c r="Q175" s="18" t="s">
        <v>21</v>
      </c>
      <c r="R175" s="18" t="s">
        <v>21</v>
      </c>
      <c r="S175" s="18" t="s">
        <v>20</v>
      </c>
      <c r="T175" s="18" t="s">
        <v>20</v>
      </c>
      <c r="U175" s="18" t="s">
        <v>20</v>
      </c>
      <c r="V175" s="49" t="s">
        <v>20</v>
      </c>
      <c r="W175" s="37" t="s">
        <v>20</v>
      </c>
      <c r="X175" s="37" t="s">
        <v>20</v>
      </c>
      <c r="Y175" s="18" t="s">
        <v>20</v>
      </c>
      <c r="Z175" s="18" t="s">
        <v>20</v>
      </c>
      <c r="AA175" s="20" t="s">
        <v>20</v>
      </c>
      <c r="AB175" s="20" t="s">
        <v>21</v>
      </c>
      <c r="AC175" s="20" t="s">
        <v>20</v>
      </c>
      <c r="AD175" s="29" t="s">
        <v>55</v>
      </c>
      <c r="AE175" s="29" t="s">
        <v>55</v>
      </c>
      <c r="AG175">
        <f t="shared" si="18"/>
        <v>3</v>
      </c>
      <c r="AH175">
        <f t="shared" si="19"/>
        <v>18</v>
      </c>
      <c r="AI175">
        <f t="shared" si="20"/>
        <v>3</v>
      </c>
      <c r="AJ175">
        <f t="shared" si="21"/>
        <v>0</v>
      </c>
      <c r="AL175">
        <f t="shared" si="22"/>
        <v>12</v>
      </c>
      <c r="AM175">
        <f t="shared" si="23"/>
        <v>54</v>
      </c>
      <c r="AN175">
        <f t="shared" si="24"/>
        <v>6</v>
      </c>
      <c r="AO175">
        <f t="shared" si="25"/>
        <v>0</v>
      </c>
      <c r="AP175">
        <f t="shared" si="26"/>
        <v>72</v>
      </c>
    </row>
    <row r="176" spans="1:42" ht="15.75" hidden="1" customHeight="1" x14ac:dyDescent="0.3">
      <c r="A176" s="16"/>
      <c r="B176" s="55">
        <v>23</v>
      </c>
      <c r="C176" s="56" t="s">
        <v>194</v>
      </c>
      <c r="D176" s="55">
        <v>4</v>
      </c>
      <c r="E176" s="55" t="s">
        <v>21</v>
      </c>
      <c r="F176" s="18" t="s">
        <v>20</v>
      </c>
      <c r="G176" s="18" t="s">
        <v>20</v>
      </c>
      <c r="H176" s="18" t="s">
        <v>20</v>
      </c>
      <c r="I176" s="18" t="s">
        <v>20</v>
      </c>
      <c r="J176" s="43" t="s">
        <v>20</v>
      </c>
      <c r="K176" s="43" t="s">
        <v>20</v>
      </c>
      <c r="L176" s="43" t="s">
        <v>21</v>
      </c>
      <c r="M176" s="18" t="s">
        <v>20</v>
      </c>
      <c r="N176" s="18" t="s">
        <v>21</v>
      </c>
      <c r="O176" s="18" t="s">
        <v>20</v>
      </c>
      <c r="P176" s="18" t="s">
        <v>20</v>
      </c>
      <c r="Q176" s="18" t="s">
        <v>20</v>
      </c>
      <c r="R176" s="18" t="s">
        <v>20</v>
      </c>
      <c r="S176" s="18" t="s">
        <v>20</v>
      </c>
      <c r="T176" s="18" t="s">
        <v>20</v>
      </c>
      <c r="U176" s="18" t="s">
        <v>20</v>
      </c>
      <c r="V176" s="49" t="s">
        <v>20</v>
      </c>
      <c r="W176" s="37" t="s">
        <v>20</v>
      </c>
      <c r="X176" s="37" t="s">
        <v>20</v>
      </c>
      <c r="Y176" s="18" t="s">
        <v>20</v>
      </c>
      <c r="Z176" s="18" t="s">
        <v>20</v>
      </c>
      <c r="AA176" s="20" t="s">
        <v>21</v>
      </c>
      <c r="AB176" s="20" t="s">
        <v>21</v>
      </c>
      <c r="AC176" s="20" t="s">
        <v>20</v>
      </c>
      <c r="AD176" s="29" t="s">
        <v>20</v>
      </c>
      <c r="AE176" s="29" t="s">
        <v>21</v>
      </c>
      <c r="AG176">
        <f t="shared" si="18"/>
        <v>0</v>
      </c>
      <c r="AH176">
        <f t="shared" si="19"/>
        <v>21</v>
      </c>
      <c r="AI176">
        <f t="shared" si="20"/>
        <v>5</v>
      </c>
      <c r="AJ176">
        <f t="shared" si="21"/>
        <v>0</v>
      </c>
      <c r="AL176">
        <f t="shared" si="22"/>
        <v>0</v>
      </c>
      <c r="AM176">
        <f t="shared" si="23"/>
        <v>63</v>
      </c>
      <c r="AN176">
        <f t="shared" si="24"/>
        <v>10</v>
      </c>
      <c r="AO176">
        <f t="shared" si="25"/>
        <v>0</v>
      </c>
      <c r="AP176">
        <f t="shared" si="26"/>
        <v>73</v>
      </c>
    </row>
    <row r="177" spans="1:42" ht="15.75" hidden="1" customHeight="1" x14ac:dyDescent="0.3">
      <c r="A177" s="16"/>
      <c r="B177" s="55">
        <v>24</v>
      </c>
      <c r="C177" s="56" t="s">
        <v>195</v>
      </c>
      <c r="D177" s="55">
        <v>4</v>
      </c>
      <c r="E177" s="55" t="s">
        <v>21</v>
      </c>
      <c r="F177" s="18" t="s">
        <v>20</v>
      </c>
      <c r="G177" s="18" t="s">
        <v>20</v>
      </c>
      <c r="H177" s="18" t="s">
        <v>20</v>
      </c>
      <c r="I177" s="18" t="s">
        <v>20</v>
      </c>
      <c r="J177" s="43" t="s">
        <v>20</v>
      </c>
      <c r="K177" s="43" t="s">
        <v>20</v>
      </c>
      <c r="L177" s="43" t="s">
        <v>20</v>
      </c>
      <c r="M177" s="18" t="s">
        <v>20</v>
      </c>
      <c r="N177" s="18" t="s">
        <v>20</v>
      </c>
      <c r="O177" s="18" t="s">
        <v>20</v>
      </c>
      <c r="P177" s="18" t="s">
        <v>21</v>
      </c>
      <c r="Q177" s="18" t="s">
        <v>21</v>
      </c>
      <c r="R177" s="18" t="s">
        <v>20</v>
      </c>
      <c r="S177" s="18" t="s">
        <v>20</v>
      </c>
      <c r="T177" s="18" t="s">
        <v>20</v>
      </c>
      <c r="U177" s="18" t="s">
        <v>20</v>
      </c>
      <c r="V177" s="49" t="s">
        <v>20</v>
      </c>
      <c r="W177" s="37" t="s">
        <v>20</v>
      </c>
      <c r="X177" s="37" t="s">
        <v>20</v>
      </c>
      <c r="Y177" s="18" t="s">
        <v>20</v>
      </c>
      <c r="Z177" s="18" t="s">
        <v>20</v>
      </c>
      <c r="AA177" s="20" t="s">
        <v>20</v>
      </c>
      <c r="AB177" s="20" t="s">
        <v>20</v>
      </c>
      <c r="AC177" s="20" t="s">
        <v>20</v>
      </c>
      <c r="AD177" s="29" t="s">
        <v>20</v>
      </c>
      <c r="AE177" s="29" t="s">
        <v>21</v>
      </c>
      <c r="AG177">
        <f t="shared" si="18"/>
        <v>0</v>
      </c>
      <c r="AH177">
        <f t="shared" si="19"/>
        <v>23</v>
      </c>
      <c r="AI177">
        <f t="shared" si="20"/>
        <v>3</v>
      </c>
      <c r="AJ177">
        <f t="shared" si="21"/>
        <v>0</v>
      </c>
      <c r="AL177">
        <f t="shared" si="22"/>
        <v>0</v>
      </c>
      <c r="AM177">
        <f t="shared" si="23"/>
        <v>69</v>
      </c>
      <c r="AN177">
        <f t="shared" si="24"/>
        <v>6</v>
      </c>
      <c r="AO177">
        <f t="shared" si="25"/>
        <v>0</v>
      </c>
      <c r="AP177">
        <f t="shared" si="26"/>
        <v>75</v>
      </c>
    </row>
    <row r="178" spans="1:42" ht="15.75" hidden="1" customHeight="1" thickBot="1" x14ac:dyDescent="0.35">
      <c r="A178" s="16"/>
      <c r="B178" s="57">
        <v>25</v>
      </c>
      <c r="C178" s="58" t="s">
        <v>196</v>
      </c>
      <c r="D178" s="57">
        <v>4</v>
      </c>
      <c r="E178" s="57" t="s">
        <v>21</v>
      </c>
      <c r="F178" s="21" t="s">
        <v>20</v>
      </c>
      <c r="G178" s="21" t="s">
        <v>20</v>
      </c>
      <c r="H178" s="21" t="s">
        <v>20</v>
      </c>
      <c r="I178" s="21" t="s">
        <v>20</v>
      </c>
      <c r="J178" s="45" t="s">
        <v>20</v>
      </c>
      <c r="K178" s="45" t="s">
        <v>39</v>
      </c>
      <c r="L178" s="45" t="s">
        <v>20</v>
      </c>
      <c r="M178" s="21" t="s">
        <v>20</v>
      </c>
      <c r="N178" s="21" t="s">
        <v>20</v>
      </c>
      <c r="O178" s="21" t="s">
        <v>20</v>
      </c>
      <c r="P178" s="21" t="s">
        <v>20</v>
      </c>
      <c r="Q178" s="21" t="s">
        <v>20</v>
      </c>
      <c r="R178" s="21" t="s">
        <v>20</v>
      </c>
      <c r="S178" s="21" t="s">
        <v>20</v>
      </c>
      <c r="T178" s="41" t="s">
        <v>20</v>
      </c>
      <c r="U178" s="21" t="s">
        <v>20</v>
      </c>
      <c r="V178" s="51" t="s">
        <v>20</v>
      </c>
      <c r="W178" s="38" t="s">
        <v>20</v>
      </c>
      <c r="X178" s="38" t="s">
        <v>20</v>
      </c>
      <c r="Y178" s="21" t="s">
        <v>20</v>
      </c>
      <c r="Z178" s="21" t="s">
        <v>21</v>
      </c>
      <c r="AA178" s="23" t="s">
        <v>20</v>
      </c>
      <c r="AB178" s="23" t="s">
        <v>21</v>
      </c>
      <c r="AC178" s="23" t="s">
        <v>20</v>
      </c>
      <c r="AD178" s="31" t="s">
        <v>20</v>
      </c>
      <c r="AE178" s="31" t="s">
        <v>21</v>
      </c>
      <c r="AG178">
        <f t="shared" si="18"/>
        <v>1</v>
      </c>
      <c r="AH178">
        <f t="shared" si="19"/>
        <v>22</v>
      </c>
      <c r="AI178">
        <f t="shared" si="20"/>
        <v>3</v>
      </c>
      <c r="AJ178">
        <f t="shared" si="21"/>
        <v>0</v>
      </c>
      <c r="AL178">
        <f t="shared" si="22"/>
        <v>4</v>
      </c>
      <c r="AM178">
        <f t="shared" si="23"/>
        <v>66</v>
      </c>
      <c r="AN178">
        <f t="shared" si="24"/>
        <v>6</v>
      </c>
      <c r="AO178">
        <f t="shared" si="25"/>
        <v>0</v>
      </c>
      <c r="AP178">
        <f t="shared" si="26"/>
        <v>76</v>
      </c>
    </row>
    <row r="179" spans="1:42" ht="15.75" hidden="1" customHeight="1" x14ac:dyDescent="0.3">
      <c r="A179" s="16"/>
      <c r="B179" s="59">
        <v>1</v>
      </c>
      <c r="C179" s="60" t="s">
        <v>197</v>
      </c>
      <c r="D179" s="59">
        <v>5</v>
      </c>
      <c r="E179" s="59" t="s">
        <v>20</v>
      </c>
      <c r="F179" s="24" t="s">
        <v>20</v>
      </c>
      <c r="G179" s="24" t="s">
        <v>20</v>
      </c>
      <c r="H179" s="24" t="s">
        <v>39</v>
      </c>
      <c r="I179" s="24" t="s">
        <v>39</v>
      </c>
      <c r="J179" s="42" t="s">
        <v>20</v>
      </c>
      <c r="K179" s="42" t="s">
        <v>20</v>
      </c>
      <c r="L179" s="42" t="s">
        <v>20</v>
      </c>
      <c r="M179" s="24" t="s">
        <v>20</v>
      </c>
      <c r="N179" s="24" t="s">
        <v>20</v>
      </c>
      <c r="O179" s="24" t="s">
        <v>20</v>
      </c>
      <c r="P179" s="24" t="s">
        <v>21</v>
      </c>
      <c r="Q179" s="24" t="s">
        <v>21</v>
      </c>
      <c r="R179" s="24" t="s">
        <v>21</v>
      </c>
      <c r="S179" s="24" t="s">
        <v>20</v>
      </c>
      <c r="T179" s="24" t="s">
        <v>21</v>
      </c>
      <c r="U179" s="24" t="s">
        <v>21</v>
      </c>
      <c r="V179" s="52" t="s">
        <v>20</v>
      </c>
      <c r="W179" s="39" t="s">
        <v>21</v>
      </c>
      <c r="X179" s="39" t="s">
        <v>21</v>
      </c>
      <c r="Y179" s="24" t="s">
        <v>20</v>
      </c>
      <c r="Z179" s="24" t="s">
        <v>20</v>
      </c>
      <c r="AA179" s="27" t="s">
        <v>20</v>
      </c>
      <c r="AB179" s="27" t="s">
        <v>20</v>
      </c>
      <c r="AC179" s="27" t="s">
        <v>21</v>
      </c>
      <c r="AD179" s="34" t="s">
        <v>20</v>
      </c>
      <c r="AE179" s="34" t="s">
        <v>21</v>
      </c>
      <c r="AG179">
        <f t="shared" si="18"/>
        <v>2</v>
      </c>
      <c r="AH179">
        <f t="shared" si="19"/>
        <v>15</v>
      </c>
      <c r="AI179">
        <f t="shared" si="20"/>
        <v>9</v>
      </c>
      <c r="AJ179">
        <f t="shared" si="21"/>
        <v>0</v>
      </c>
      <c r="AL179">
        <f t="shared" si="22"/>
        <v>8</v>
      </c>
      <c r="AM179">
        <f t="shared" si="23"/>
        <v>45</v>
      </c>
      <c r="AN179">
        <f t="shared" si="24"/>
        <v>18</v>
      </c>
      <c r="AO179">
        <f t="shared" si="25"/>
        <v>0</v>
      </c>
      <c r="AP179">
        <f t="shared" si="26"/>
        <v>71</v>
      </c>
    </row>
    <row r="180" spans="1:42" ht="15.75" hidden="1" customHeight="1" x14ac:dyDescent="0.3">
      <c r="A180" s="16"/>
      <c r="B180" s="55">
        <v>2</v>
      </c>
      <c r="C180" s="56" t="s">
        <v>198</v>
      </c>
      <c r="D180" s="55">
        <v>5</v>
      </c>
      <c r="E180" s="55" t="s">
        <v>20</v>
      </c>
      <c r="F180" s="18" t="s">
        <v>20</v>
      </c>
      <c r="G180" s="18" t="s">
        <v>20</v>
      </c>
      <c r="H180" s="18" t="s">
        <v>20</v>
      </c>
      <c r="I180" s="18" t="s">
        <v>20</v>
      </c>
      <c r="J180" s="43" t="s">
        <v>20</v>
      </c>
      <c r="K180" s="43" t="s">
        <v>20</v>
      </c>
      <c r="L180" s="43" t="s">
        <v>20</v>
      </c>
      <c r="M180" s="18" t="s">
        <v>20</v>
      </c>
      <c r="N180" s="18" t="s">
        <v>20</v>
      </c>
      <c r="O180" s="18" t="s">
        <v>20</v>
      </c>
      <c r="P180" s="18" t="s">
        <v>21</v>
      </c>
      <c r="Q180" s="18" t="s">
        <v>20</v>
      </c>
      <c r="R180" s="18" t="s">
        <v>20</v>
      </c>
      <c r="S180" s="18" t="s">
        <v>20</v>
      </c>
      <c r="T180" s="18" t="s">
        <v>21</v>
      </c>
      <c r="U180" s="18" t="s">
        <v>20</v>
      </c>
      <c r="V180" s="49" t="s">
        <v>20</v>
      </c>
      <c r="W180" s="37" t="s">
        <v>20</v>
      </c>
      <c r="X180" s="37" t="s">
        <v>20</v>
      </c>
      <c r="Y180" s="18" t="s">
        <v>21</v>
      </c>
      <c r="Z180" s="18" t="s">
        <v>20</v>
      </c>
      <c r="AA180" s="20" t="s">
        <v>21</v>
      </c>
      <c r="AB180" s="20" t="s">
        <v>20</v>
      </c>
      <c r="AC180" s="20" t="s">
        <v>20</v>
      </c>
      <c r="AD180" s="29" t="s">
        <v>20</v>
      </c>
      <c r="AE180" s="29" t="s">
        <v>21</v>
      </c>
      <c r="AG180">
        <f t="shared" si="18"/>
        <v>0</v>
      </c>
      <c r="AH180">
        <f t="shared" si="19"/>
        <v>21</v>
      </c>
      <c r="AI180">
        <f t="shared" si="20"/>
        <v>5</v>
      </c>
      <c r="AJ180">
        <f t="shared" si="21"/>
        <v>0</v>
      </c>
      <c r="AL180">
        <f t="shared" si="22"/>
        <v>0</v>
      </c>
      <c r="AM180">
        <f t="shared" si="23"/>
        <v>63</v>
      </c>
      <c r="AN180">
        <f t="shared" si="24"/>
        <v>10</v>
      </c>
      <c r="AO180">
        <f t="shared" si="25"/>
        <v>0</v>
      </c>
      <c r="AP180">
        <f t="shared" si="26"/>
        <v>73</v>
      </c>
    </row>
    <row r="181" spans="1:42" ht="15.75" hidden="1" customHeight="1" x14ac:dyDescent="0.3">
      <c r="A181" s="16"/>
      <c r="B181" s="55">
        <v>3</v>
      </c>
      <c r="C181" s="56" t="s">
        <v>199</v>
      </c>
      <c r="D181" s="55">
        <v>5</v>
      </c>
      <c r="E181" s="55" t="s">
        <v>20</v>
      </c>
      <c r="F181" s="18" t="s">
        <v>23</v>
      </c>
      <c r="G181" s="18" t="s">
        <v>23</v>
      </c>
      <c r="H181" s="18" t="s">
        <v>21</v>
      </c>
      <c r="I181" s="18" t="s">
        <v>21</v>
      </c>
      <c r="J181" s="43" t="s">
        <v>20</v>
      </c>
      <c r="K181" s="43" t="s">
        <v>20</v>
      </c>
      <c r="L181" s="43" t="s">
        <v>21</v>
      </c>
      <c r="M181" s="18" t="s">
        <v>20</v>
      </c>
      <c r="N181" s="18" t="s">
        <v>20</v>
      </c>
      <c r="O181" s="18" t="s">
        <v>20</v>
      </c>
      <c r="P181" s="18" t="s">
        <v>21</v>
      </c>
      <c r="Q181" s="18" t="s">
        <v>21</v>
      </c>
      <c r="R181" s="18" t="s">
        <v>20</v>
      </c>
      <c r="S181" s="18" t="s">
        <v>21</v>
      </c>
      <c r="T181" s="18" t="s">
        <v>20</v>
      </c>
      <c r="U181" s="18" t="s">
        <v>20</v>
      </c>
      <c r="V181" s="49" t="s">
        <v>20</v>
      </c>
      <c r="W181" s="37" t="s">
        <v>20</v>
      </c>
      <c r="X181" s="37" t="s">
        <v>20</v>
      </c>
      <c r="Y181" s="18" t="s">
        <v>20</v>
      </c>
      <c r="Z181" s="18" t="s">
        <v>20</v>
      </c>
      <c r="AA181" s="20" t="s">
        <v>21</v>
      </c>
      <c r="AB181" s="20" t="s">
        <v>21</v>
      </c>
      <c r="AC181" s="20" t="s">
        <v>21</v>
      </c>
      <c r="AD181" s="29" t="s">
        <v>20</v>
      </c>
      <c r="AE181" s="29" t="s">
        <v>21</v>
      </c>
      <c r="AG181">
        <f t="shared" si="18"/>
        <v>0</v>
      </c>
      <c r="AH181">
        <f t="shared" si="19"/>
        <v>14</v>
      </c>
      <c r="AI181">
        <f t="shared" si="20"/>
        <v>10</v>
      </c>
      <c r="AJ181">
        <f t="shared" si="21"/>
        <v>2</v>
      </c>
      <c r="AL181">
        <f t="shared" si="22"/>
        <v>0</v>
      </c>
      <c r="AM181">
        <f t="shared" si="23"/>
        <v>42</v>
      </c>
      <c r="AN181">
        <f t="shared" si="24"/>
        <v>20</v>
      </c>
      <c r="AO181">
        <f t="shared" si="25"/>
        <v>2</v>
      </c>
      <c r="AP181">
        <f t="shared" si="26"/>
        <v>64</v>
      </c>
    </row>
    <row r="182" spans="1:42" ht="15.75" hidden="1" customHeight="1" x14ac:dyDescent="0.3">
      <c r="A182" s="16"/>
      <c r="B182" s="55">
        <v>4</v>
      </c>
      <c r="C182" s="56" t="s">
        <v>200</v>
      </c>
      <c r="D182" s="55">
        <v>5</v>
      </c>
      <c r="E182" s="55" t="s">
        <v>20</v>
      </c>
      <c r="F182" s="18" t="s">
        <v>23</v>
      </c>
      <c r="G182" s="18" t="s">
        <v>23</v>
      </c>
      <c r="H182" s="18" t="s">
        <v>23</v>
      </c>
      <c r="I182" s="18" t="s">
        <v>23</v>
      </c>
      <c r="J182" s="43" t="s">
        <v>21</v>
      </c>
      <c r="K182" s="43" t="s">
        <v>21</v>
      </c>
      <c r="L182" s="43" t="s">
        <v>21</v>
      </c>
      <c r="M182" s="18" t="s">
        <v>21</v>
      </c>
      <c r="N182" s="18" t="s">
        <v>21</v>
      </c>
      <c r="O182" s="18" t="s">
        <v>20</v>
      </c>
      <c r="P182" s="18" t="s">
        <v>23</v>
      </c>
      <c r="Q182" s="18" t="s">
        <v>21</v>
      </c>
      <c r="R182" s="18" t="s">
        <v>21</v>
      </c>
      <c r="S182" s="18" t="s">
        <v>21</v>
      </c>
      <c r="T182" s="18" t="s">
        <v>21</v>
      </c>
      <c r="U182" s="18" t="s">
        <v>20</v>
      </c>
      <c r="V182" s="49" t="s">
        <v>20</v>
      </c>
      <c r="W182" s="37" t="s">
        <v>20</v>
      </c>
      <c r="X182" s="37" t="s">
        <v>20</v>
      </c>
      <c r="Y182" s="18" t="s">
        <v>20</v>
      </c>
      <c r="Z182" s="18" t="s">
        <v>20</v>
      </c>
      <c r="AA182" s="20" t="s">
        <v>21</v>
      </c>
      <c r="AB182" s="20" t="s">
        <v>21</v>
      </c>
      <c r="AC182" s="20" t="s">
        <v>21</v>
      </c>
      <c r="AD182" s="29" t="s">
        <v>21</v>
      </c>
      <c r="AE182" s="29" t="s">
        <v>21</v>
      </c>
      <c r="AG182">
        <f t="shared" si="18"/>
        <v>0</v>
      </c>
      <c r="AH182">
        <f t="shared" si="19"/>
        <v>7</v>
      </c>
      <c r="AI182">
        <f t="shared" si="20"/>
        <v>14</v>
      </c>
      <c r="AJ182">
        <f t="shared" si="21"/>
        <v>5</v>
      </c>
      <c r="AL182">
        <f t="shared" si="22"/>
        <v>0</v>
      </c>
      <c r="AM182">
        <f t="shared" si="23"/>
        <v>21</v>
      </c>
      <c r="AN182">
        <f t="shared" si="24"/>
        <v>28</v>
      </c>
      <c r="AO182">
        <f t="shared" si="25"/>
        <v>5</v>
      </c>
      <c r="AP182">
        <f t="shared" si="26"/>
        <v>54</v>
      </c>
    </row>
    <row r="183" spans="1:42" ht="15.75" hidden="1" customHeight="1" x14ac:dyDescent="0.3">
      <c r="A183" s="16"/>
      <c r="B183" s="55">
        <v>5</v>
      </c>
      <c r="C183" s="56" t="s">
        <v>201</v>
      </c>
      <c r="D183" s="55">
        <v>5</v>
      </c>
      <c r="E183" s="55" t="s">
        <v>20</v>
      </c>
      <c r="F183" s="18" t="s">
        <v>20</v>
      </c>
      <c r="G183" s="18" t="s">
        <v>20</v>
      </c>
      <c r="H183" s="18" t="s">
        <v>39</v>
      </c>
      <c r="I183" s="18" t="s">
        <v>39</v>
      </c>
      <c r="J183" s="43" t="s">
        <v>20</v>
      </c>
      <c r="K183" s="43" t="s">
        <v>20</v>
      </c>
      <c r="L183" s="43" t="s">
        <v>20</v>
      </c>
      <c r="M183" s="18" t="s">
        <v>20</v>
      </c>
      <c r="N183" s="18" t="s">
        <v>20</v>
      </c>
      <c r="O183" s="18" t="s">
        <v>20</v>
      </c>
      <c r="P183" s="18" t="s">
        <v>20</v>
      </c>
      <c r="Q183" s="18" t="s">
        <v>21</v>
      </c>
      <c r="R183" s="18" t="s">
        <v>21</v>
      </c>
      <c r="S183" s="18" t="s">
        <v>20</v>
      </c>
      <c r="T183" s="18" t="s">
        <v>21</v>
      </c>
      <c r="U183" s="18" t="s">
        <v>20</v>
      </c>
      <c r="V183" s="50" t="s">
        <v>20</v>
      </c>
      <c r="W183" s="37" t="s">
        <v>20</v>
      </c>
      <c r="X183" s="37" t="s">
        <v>20</v>
      </c>
      <c r="Y183" s="18" t="s">
        <v>20</v>
      </c>
      <c r="Z183" s="18" t="s">
        <v>20</v>
      </c>
      <c r="AA183" s="20" t="s">
        <v>21</v>
      </c>
      <c r="AB183" s="20" t="s">
        <v>21</v>
      </c>
      <c r="AC183" s="20" t="s">
        <v>21</v>
      </c>
      <c r="AD183" s="29" t="s">
        <v>20</v>
      </c>
      <c r="AE183" s="29" t="s">
        <v>21</v>
      </c>
      <c r="AG183">
        <f t="shared" si="18"/>
        <v>2</v>
      </c>
      <c r="AH183">
        <f t="shared" si="19"/>
        <v>17</v>
      </c>
      <c r="AI183">
        <f t="shared" si="20"/>
        <v>7</v>
      </c>
      <c r="AJ183">
        <f t="shared" si="21"/>
        <v>0</v>
      </c>
      <c r="AL183">
        <f t="shared" si="22"/>
        <v>8</v>
      </c>
      <c r="AM183">
        <f t="shared" si="23"/>
        <v>51</v>
      </c>
      <c r="AN183">
        <f t="shared" si="24"/>
        <v>14</v>
      </c>
      <c r="AO183">
        <f t="shared" si="25"/>
        <v>0</v>
      </c>
      <c r="AP183">
        <f t="shared" si="26"/>
        <v>73</v>
      </c>
    </row>
    <row r="184" spans="1:42" ht="15.75" hidden="1" customHeight="1" x14ac:dyDescent="0.3">
      <c r="A184" s="16"/>
      <c r="B184" s="55">
        <v>6</v>
      </c>
      <c r="C184" s="56" t="s">
        <v>202</v>
      </c>
      <c r="D184" s="55">
        <v>5</v>
      </c>
      <c r="E184" s="55" t="s">
        <v>20</v>
      </c>
      <c r="F184" s="18" t="s">
        <v>20</v>
      </c>
      <c r="G184" s="18" t="s">
        <v>20</v>
      </c>
      <c r="H184" s="18" t="s">
        <v>39</v>
      </c>
      <c r="I184" s="18" t="s">
        <v>39</v>
      </c>
      <c r="J184" s="43" t="s">
        <v>20</v>
      </c>
      <c r="K184" s="43" t="s">
        <v>20</v>
      </c>
      <c r="L184" s="43" t="s">
        <v>20</v>
      </c>
      <c r="M184" s="18" t="s">
        <v>20</v>
      </c>
      <c r="N184" s="18" t="s">
        <v>20</v>
      </c>
      <c r="O184" s="18" t="s">
        <v>20</v>
      </c>
      <c r="P184" s="18" t="s">
        <v>21</v>
      </c>
      <c r="Q184" s="18" t="s">
        <v>21</v>
      </c>
      <c r="R184" s="18" t="s">
        <v>21</v>
      </c>
      <c r="S184" s="18" t="s">
        <v>21</v>
      </c>
      <c r="T184" s="18" t="s">
        <v>20</v>
      </c>
      <c r="U184" s="18" t="s">
        <v>20</v>
      </c>
      <c r="V184" s="49" t="s">
        <v>20</v>
      </c>
      <c r="W184" s="37" t="s">
        <v>20</v>
      </c>
      <c r="X184" s="53" t="s">
        <v>20</v>
      </c>
      <c r="Y184" s="18" t="s">
        <v>20</v>
      </c>
      <c r="Z184" s="18" t="s">
        <v>20</v>
      </c>
      <c r="AA184" s="20" t="s">
        <v>20</v>
      </c>
      <c r="AB184" s="20" t="s">
        <v>20</v>
      </c>
      <c r="AC184" s="20" t="s">
        <v>20</v>
      </c>
      <c r="AD184" s="29" t="s">
        <v>20</v>
      </c>
      <c r="AE184" s="29" t="s">
        <v>21</v>
      </c>
      <c r="AG184">
        <f t="shared" si="18"/>
        <v>2</v>
      </c>
      <c r="AH184">
        <f t="shared" si="19"/>
        <v>19</v>
      </c>
      <c r="AI184">
        <f t="shared" si="20"/>
        <v>5</v>
      </c>
      <c r="AJ184">
        <f t="shared" si="21"/>
        <v>0</v>
      </c>
      <c r="AL184">
        <f t="shared" si="22"/>
        <v>8</v>
      </c>
      <c r="AM184">
        <f t="shared" si="23"/>
        <v>57</v>
      </c>
      <c r="AN184">
        <f t="shared" si="24"/>
        <v>10</v>
      </c>
      <c r="AO184">
        <f t="shared" si="25"/>
        <v>0</v>
      </c>
      <c r="AP184">
        <f t="shared" si="26"/>
        <v>75</v>
      </c>
    </row>
    <row r="185" spans="1:42" ht="15.75" hidden="1" customHeight="1" x14ac:dyDescent="0.3">
      <c r="A185" s="16"/>
      <c r="B185" s="55">
        <v>7</v>
      </c>
      <c r="C185" s="56" t="s">
        <v>203</v>
      </c>
      <c r="D185" s="55">
        <v>5</v>
      </c>
      <c r="E185" s="55" t="s">
        <v>20</v>
      </c>
      <c r="F185" s="18" t="s">
        <v>23</v>
      </c>
      <c r="G185" s="18" t="s">
        <v>21</v>
      </c>
      <c r="H185" s="18" t="s">
        <v>23</v>
      </c>
      <c r="I185" s="18" t="s">
        <v>21</v>
      </c>
      <c r="J185" s="43" t="s">
        <v>20</v>
      </c>
      <c r="K185" s="43" t="s">
        <v>20</v>
      </c>
      <c r="L185" s="43" t="s">
        <v>21</v>
      </c>
      <c r="M185" s="18" t="s">
        <v>21</v>
      </c>
      <c r="N185" s="18" t="s">
        <v>20</v>
      </c>
      <c r="O185" s="18" t="s">
        <v>20</v>
      </c>
      <c r="P185" s="18" t="s">
        <v>21</v>
      </c>
      <c r="Q185" s="18" t="s">
        <v>20</v>
      </c>
      <c r="R185" s="18" t="s">
        <v>20</v>
      </c>
      <c r="S185" s="18" t="s">
        <v>21</v>
      </c>
      <c r="T185" s="18" t="s">
        <v>21</v>
      </c>
      <c r="U185" s="18" t="s">
        <v>20</v>
      </c>
      <c r="V185" s="49" t="s">
        <v>20</v>
      </c>
      <c r="W185" s="37" t="s">
        <v>20</v>
      </c>
      <c r="X185" s="37" t="s">
        <v>20</v>
      </c>
      <c r="Y185" s="18" t="s">
        <v>20</v>
      </c>
      <c r="Z185" s="18" t="s">
        <v>21</v>
      </c>
      <c r="AA185" s="20" t="s">
        <v>21</v>
      </c>
      <c r="AB185" s="20" t="s">
        <v>20</v>
      </c>
      <c r="AC185" s="20" t="s">
        <v>21</v>
      </c>
      <c r="AD185" s="29" t="s">
        <v>20</v>
      </c>
      <c r="AE185" s="29" t="s">
        <v>21</v>
      </c>
      <c r="AG185">
        <f t="shared" si="18"/>
        <v>0</v>
      </c>
      <c r="AH185">
        <f t="shared" si="19"/>
        <v>13</v>
      </c>
      <c r="AI185">
        <f t="shared" si="20"/>
        <v>11</v>
      </c>
      <c r="AJ185">
        <f t="shared" si="21"/>
        <v>2</v>
      </c>
      <c r="AL185">
        <f t="shared" si="22"/>
        <v>0</v>
      </c>
      <c r="AM185">
        <f t="shared" si="23"/>
        <v>39</v>
      </c>
      <c r="AN185">
        <f t="shared" si="24"/>
        <v>22</v>
      </c>
      <c r="AO185">
        <f t="shared" si="25"/>
        <v>2</v>
      </c>
      <c r="AP185">
        <f t="shared" si="26"/>
        <v>63</v>
      </c>
    </row>
    <row r="186" spans="1:42" ht="15.75" hidden="1" customHeight="1" x14ac:dyDescent="0.3">
      <c r="A186" s="16"/>
      <c r="B186" s="55">
        <v>8</v>
      </c>
      <c r="C186" s="56" t="s">
        <v>204</v>
      </c>
      <c r="D186" s="55">
        <v>5</v>
      </c>
      <c r="E186" s="55" t="s">
        <v>20</v>
      </c>
      <c r="F186" s="18" t="s">
        <v>21</v>
      </c>
      <c r="G186" s="18" t="s">
        <v>21</v>
      </c>
      <c r="H186" s="18" t="s">
        <v>21</v>
      </c>
      <c r="I186" s="18" t="s">
        <v>21</v>
      </c>
      <c r="J186" s="43" t="s">
        <v>21</v>
      </c>
      <c r="K186" s="43" t="s">
        <v>21</v>
      </c>
      <c r="L186" s="43" t="s">
        <v>21</v>
      </c>
      <c r="M186" s="18" t="s">
        <v>21</v>
      </c>
      <c r="N186" s="18" t="s">
        <v>20</v>
      </c>
      <c r="O186" s="18" t="s">
        <v>20</v>
      </c>
      <c r="P186" s="18" t="s">
        <v>21</v>
      </c>
      <c r="Q186" s="18" t="s">
        <v>23</v>
      </c>
      <c r="R186" s="18" t="s">
        <v>21</v>
      </c>
      <c r="S186" s="18" t="s">
        <v>21</v>
      </c>
      <c r="T186" s="18" t="s">
        <v>21</v>
      </c>
      <c r="U186" s="18" t="s">
        <v>21</v>
      </c>
      <c r="V186" s="49" t="s">
        <v>21</v>
      </c>
      <c r="W186" s="37" t="s">
        <v>20</v>
      </c>
      <c r="X186" s="37" t="s">
        <v>20</v>
      </c>
      <c r="Y186" s="18" t="s">
        <v>21</v>
      </c>
      <c r="Z186" s="18" t="s">
        <v>21</v>
      </c>
      <c r="AA186" s="20" t="s">
        <v>21</v>
      </c>
      <c r="AB186" s="20" t="s">
        <v>21</v>
      </c>
      <c r="AC186" s="20" t="s">
        <v>21</v>
      </c>
      <c r="AD186" s="29" t="s">
        <v>21</v>
      </c>
      <c r="AE186" s="29" t="s">
        <v>21</v>
      </c>
      <c r="AG186">
        <f t="shared" si="18"/>
        <v>0</v>
      </c>
      <c r="AH186">
        <f t="shared" si="19"/>
        <v>4</v>
      </c>
      <c r="AI186">
        <f t="shared" si="20"/>
        <v>21</v>
      </c>
      <c r="AJ186">
        <f t="shared" si="21"/>
        <v>1</v>
      </c>
      <c r="AL186">
        <f t="shared" si="22"/>
        <v>0</v>
      </c>
      <c r="AM186">
        <f t="shared" si="23"/>
        <v>12</v>
      </c>
      <c r="AN186">
        <f t="shared" si="24"/>
        <v>42</v>
      </c>
      <c r="AO186">
        <f t="shared" si="25"/>
        <v>1</v>
      </c>
      <c r="AP186">
        <f t="shared" si="26"/>
        <v>55</v>
      </c>
    </row>
    <row r="187" spans="1:42" ht="15.75" hidden="1" customHeight="1" x14ac:dyDescent="0.3">
      <c r="A187" s="16"/>
      <c r="B187" s="55">
        <v>9</v>
      </c>
      <c r="C187" s="56" t="s">
        <v>205</v>
      </c>
      <c r="D187" s="55">
        <v>5</v>
      </c>
      <c r="E187" s="55" t="s">
        <v>20</v>
      </c>
      <c r="F187" s="18" t="s">
        <v>20</v>
      </c>
      <c r="G187" s="18" t="s">
        <v>20</v>
      </c>
      <c r="H187" s="18" t="s">
        <v>20</v>
      </c>
      <c r="I187" s="18" t="s">
        <v>20</v>
      </c>
      <c r="J187" s="43" t="s">
        <v>20</v>
      </c>
      <c r="K187" s="43" t="s">
        <v>20</v>
      </c>
      <c r="L187" s="43" t="s">
        <v>20</v>
      </c>
      <c r="M187" s="18" t="s">
        <v>20</v>
      </c>
      <c r="N187" s="18" t="s">
        <v>20</v>
      </c>
      <c r="O187" s="18" t="s">
        <v>20</v>
      </c>
      <c r="P187" s="18" t="s">
        <v>21</v>
      </c>
      <c r="Q187" s="18" t="s">
        <v>21</v>
      </c>
      <c r="R187" s="18" t="s">
        <v>20</v>
      </c>
      <c r="S187" s="18" t="s">
        <v>20</v>
      </c>
      <c r="T187" s="18" t="s">
        <v>21</v>
      </c>
      <c r="U187" s="18" t="s">
        <v>21</v>
      </c>
      <c r="V187" s="49" t="s">
        <v>20</v>
      </c>
      <c r="W187" s="37" t="s">
        <v>20</v>
      </c>
      <c r="X187" s="37" t="s">
        <v>20</v>
      </c>
      <c r="Y187" s="18" t="s">
        <v>20</v>
      </c>
      <c r="Z187" s="18" t="s">
        <v>20</v>
      </c>
      <c r="AA187" s="20" t="s">
        <v>20</v>
      </c>
      <c r="AB187" s="20" t="s">
        <v>20</v>
      </c>
      <c r="AC187" s="20" t="s">
        <v>20</v>
      </c>
      <c r="AD187" s="29" t="s">
        <v>20</v>
      </c>
      <c r="AE187" s="29" t="s">
        <v>21</v>
      </c>
      <c r="AG187">
        <f t="shared" si="18"/>
        <v>0</v>
      </c>
      <c r="AH187">
        <f t="shared" si="19"/>
        <v>21</v>
      </c>
      <c r="AI187">
        <f t="shared" si="20"/>
        <v>5</v>
      </c>
      <c r="AJ187">
        <f t="shared" si="21"/>
        <v>0</v>
      </c>
      <c r="AL187">
        <f t="shared" si="22"/>
        <v>0</v>
      </c>
      <c r="AM187">
        <f t="shared" si="23"/>
        <v>63</v>
      </c>
      <c r="AN187">
        <f t="shared" si="24"/>
        <v>10</v>
      </c>
      <c r="AO187">
        <f t="shared" si="25"/>
        <v>0</v>
      </c>
      <c r="AP187">
        <f t="shared" si="26"/>
        <v>73</v>
      </c>
    </row>
    <row r="188" spans="1:42" ht="15.75" hidden="1" customHeight="1" x14ac:dyDescent="0.3">
      <c r="A188" s="16"/>
      <c r="B188" s="55">
        <v>10</v>
      </c>
      <c r="C188" s="56" t="s">
        <v>206</v>
      </c>
      <c r="D188" s="55">
        <v>5</v>
      </c>
      <c r="E188" s="55" t="s">
        <v>20</v>
      </c>
      <c r="F188" s="18" t="s">
        <v>20</v>
      </c>
      <c r="G188" s="18" t="s">
        <v>20</v>
      </c>
      <c r="H188" s="18" t="s">
        <v>20</v>
      </c>
      <c r="I188" s="18" t="s">
        <v>20</v>
      </c>
      <c r="J188" s="43" t="s">
        <v>20</v>
      </c>
      <c r="K188" s="43" t="s">
        <v>20</v>
      </c>
      <c r="L188" s="43" t="s">
        <v>21</v>
      </c>
      <c r="M188" s="18" t="s">
        <v>20</v>
      </c>
      <c r="N188" s="18" t="s">
        <v>20</v>
      </c>
      <c r="O188" s="18" t="s">
        <v>20</v>
      </c>
      <c r="P188" s="18" t="s">
        <v>21</v>
      </c>
      <c r="Q188" s="18" t="s">
        <v>21</v>
      </c>
      <c r="R188" s="18" t="s">
        <v>20</v>
      </c>
      <c r="S188" s="18" t="s">
        <v>20</v>
      </c>
      <c r="T188" s="18" t="s">
        <v>21</v>
      </c>
      <c r="U188" s="18" t="s">
        <v>20</v>
      </c>
      <c r="V188" s="49" t="s">
        <v>20</v>
      </c>
      <c r="W188" s="37" t="s">
        <v>20</v>
      </c>
      <c r="X188" s="37" t="s">
        <v>21</v>
      </c>
      <c r="Y188" s="18" t="s">
        <v>20</v>
      </c>
      <c r="Z188" s="18" t="s">
        <v>20</v>
      </c>
      <c r="AA188" s="20" t="s">
        <v>39</v>
      </c>
      <c r="AB188" s="20" t="s">
        <v>20</v>
      </c>
      <c r="AC188" s="20" t="s">
        <v>20</v>
      </c>
      <c r="AD188" s="29" t="s">
        <v>20</v>
      </c>
      <c r="AE188" s="29" t="s">
        <v>21</v>
      </c>
      <c r="AG188">
        <f t="shared" si="18"/>
        <v>1</v>
      </c>
      <c r="AH188">
        <f t="shared" si="19"/>
        <v>19</v>
      </c>
      <c r="AI188">
        <f t="shared" si="20"/>
        <v>6</v>
      </c>
      <c r="AJ188">
        <f t="shared" si="21"/>
        <v>0</v>
      </c>
      <c r="AL188">
        <f t="shared" si="22"/>
        <v>4</v>
      </c>
      <c r="AM188">
        <f t="shared" si="23"/>
        <v>57</v>
      </c>
      <c r="AN188">
        <f t="shared" si="24"/>
        <v>12</v>
      </c>
      <c r="AO188">
        <f t="shared" si="25"/>
        <v>0</v>
      </c>
      <c r="AP188">
        <f t="shared" si="26"/>
        <v>73</v>
      </c>
    </row>
    <row r="189" spans="1:42" ht="15.75" hidden="1" customHeight="1" x14ac:dyDescent="0.3">
      <c r="A189" s="16"/>
      <c r="B189" s="55">
        <v>11</v>
      </c>
      <c r="C189" s="56" t="s">
        <v>207</v>
      </c>
      <c r="D189" s="55">
        <v>5</v>
      </c>
      <c r="E189" s="55" t="s">
        <v>20</v>
      </c>
      <c r="F189" s="18" t="s">
        <v>20</v>
      </c>
      <c r="G189" s="18" t="s">
        <v>20</v>
      </c>
      <c r="H189" s="18" t="s">
        <v>39</v>
      </c>
      <c r="I189" s="18" t="s">
        <v>20</v>
      </c>
      <c r="J189" s="43" t="s">
        <v>20</v>
      </c>
      <c r="K189" s="43" t="s">
        <v>20</v>
      </c>
      <c r="L189" s="43" t="s">
        <v>20</v>
      </c>
      <c r="M189" s="18" t="s">
        <v>20</v>
      </c>
      <c r="N189" s="18" t="s">
        <v>20</v>
      </c>
      <c r="O189" s="18" t="s">
        <v>20</v>
      </c>
      <c r="P189" s="18" t="s">
        <v>20</v>
      </c>
      <c r="Q189" s="18" t="s">
        <v>20</v>
      </c>
      <c r="R189" s="18" t="s">
        <v>21</v>
      </c>
      <c r="S189" s="18" t="s">
        <v>20</v>
      </c>
      <c r="T189" s="18" t="s">
        <v>21</v>
      </c>
      <c r="U189" s="18" t="s">
        <v>20</v>
      </c>
      <c r="V189" s="49" t="s">
        <v>20</v>
      </c>
      <c r="W189" s="37" t="s">
        <v>20</v>
      </c>
      <c r="X189" s="37" t="s">
        <v>20</v>
      </c>
      <c r="Y189" s="18" t="s">
        <v>20</v>
      </c>
      <c r="Z189" s="18" t="s">
        <v>20</v>
      </c>
      <c r="AA189" s="20" t="s">
        <v>20</v>
      </c>
      <c r="AB189" s="20" t="s">
        <v>20</v>
      </c>
      <c r="AC189" s="20" t="s">
        <v>21</v>
      </c>
      <c r="AD189" s="29" t="s">
        <v>20</v>
      </c>
      <c r="AE189" s="29" t="s">
        <v>21</v>
      </c>
      <c r="AG189">
        <f t="shared" si="18"/>
        <v>1</v>
      </c>
      <c r="AH189">
        <f t="shared" si="19"/>
        <v>21</v>
      </c>
      <c r="AI189">
        <f t="shared" si="20"/>
        <v>4</v>
      </c>
      <c r="AJ189">
        <f t="shared" si="21"/>
        <v>0</v>
      </c>
      <c r="AL189">
        <f t="shared" si="22"/>
        <v>4</v>
      </c>
      <c r="AM189">
        <f t="shared" si="23"/>
        <v>63</v>
      </c>
      <c r="AN189">
        <f t="shared" si="24"/>
        <v>8</v>
      </c>
      <c r="AO189">
        <f t="shared" si="25"/>
        <v>0</v>
      </c>
      <c r="AP189">
        <f t="shared" si="26"/>
        <v>75</v>
      </c>
    </row>
    <row r="190" spans="1:42" ht="15.75" hidden="1" customHeight="1" x14ac:dyDescent="0.3">
      <c r="A190" s="16"/>
      <c r="B190" s="55">
        <v>12</v>
      </c>
      <c r="C190" s="56" t="s">
        <v>208</v>
      </c>
      <c r="D190" s="55">
        <v>5</v>
      </c>
      <c r="E190" s="55" t="s">
        <v>20</v>
      </c>
      <c r="F190" s="18" t="s">
        <v>20</v>
      </c>
      <c r="G190" s="18" t="s">
        <v>39</v>
      </c>
      <c r="H190" s="18" t="s">
        <v>20</v>
      </c>
      <c r="I190" s="18" t="s">
        <v>39</v>
      </c>
      <c r="J190" s="43" t="s">
        <v>20</v>
      </c>
      <c r="K190" s="43" t="s">
        <v>39</v>
      </c>
      <c r="L190" s="43" t="s">
        <v>20</v>
      </c>
      <c r="M190" s="18" t="s">
        <v>20</v>
      </c>
      <c r="N190" s="18" t="s">
        <v>20</v>
      </c>
      <c r="O190" s="18" t="s">
        <v>20</v>
      </c>
      <c r="P190" s="18" t="s">
        <v>20</v>
      </c>
      <c r="Q190" s="18" t="s">
        <v>20</v>
      </c>
      <c r="R190" s="18" t="s">
        <v>20</v>
      </c>
      <c r="S190" s="18" t="s">
        <v>20</v>
      </c>
      <c r="T190" s="18" t="s">
        <v>20</v>
      </c>
      <c r="U190" s="18" t="s">
        <v>20</v>
      </c>
      <c r="V190" s="49" t="s">
        <v>20</v>
      </c>
      <c r="W190" s="37" t="s">
        <v>20</v>
      </c>
      <c r="X190" s="37" t="s">
        <v>20</v>
      </c>
      <c r="Y190" s="18" t="s">
        <v>39</v>
      </c>
      <c r="Z190" s="18" t="s">
        <v>39</v>
      </c>
      <c r="AA190" s="20" t="s">
        <v>20</v>
      </c>
      <c r="AB190" s="20" t="s">
        <v>20</v>
      </c>
      <c r="AC190" s="20" t="s">
        <v>20</v>
      </c>
      <c r="AD190" s="29" t="s">
        <v>20</v>
      </c>
      <c r="AE190" s="29" t="s">
        <v>21</v>
      </c>
      <c r="AG190">
        <f t="shared" si="18"/>
        <v>5</v>
      </c>
      <c r="AH190">
        <f t="shared" si="19"/>
        <v>20</v>
      </c>
      <c r="AI190">
        <f t="shared" si="20"/>
        <v>1</v>
      </c>
      <c r="AJ190">
        <f t="shared" si="21"/>
        <v>0</v>
      </c>
      <c r="AL190">
        <f t="shared" si="22"/>
        <v>20</v>
      </c>
      <c r="AM190">
        <f t="shared" si="23"/>
        <v>60</v>
      </c>
      <c r="AN190">
        <f t="shared" si="24"/>
        <v>2</v>
      </c>
      <c r="AO190">
        <f t="shared" si="25"/>
        <v>0</v>
      </c>
      <c r="AP190">
        <f t="shared" si="26"/>
        <v>82</v>
      </c>
    </row>
    <row r="191" spans="1:42" ht="15.75" hidden="1" customHeight="1" x14ac:dyDescent="0.3">
      <c r="A191" s="16"/>
      <c r="B191" s="55">
        <v>13</v>
      </c>
      <c r="C191" s="56" t="s">
        <v>209</v>
      </c>
      <c r="D191" s="55">
        <v>5</v>
      </c>
      <c r="E191" s="55" t="s">
        <v>20</v>
      </c>
      <c r="F191" s="18" t="s">
        <v>20</v>
      </c>
      <c r="G191" s="18" t="s">
        <v>20</v>
      </c>
      <c r="H191" s="18" t="s">
        <v>20</v>
      </c>
      <c r="I191" s="18" t="s">
        <v>20</v>
      </c>
      <c r="J191" s="43" t="s">
        <v>20</v>
      </c>
      <c r="K191" s="43" t="s">
        <v>20</v>
      </c>
      <c r="L191" s="43" t="s">
        <v>20</v>
      </c>
      <c r="M191" s="18" t="s">
        <v>20</v>
      </c>
      <c r="N191" s="18" t="s">
        <v>20</v>
      </c>
      <c r="O191" s="18" t="s">
        <v>20</v>
      </c>
      <c r="P191" s="18" t="s">
        <v>21</v>
      </c>
      <c r="Q191" s="18" t="s">
        <v>21</v>
      </c>
      <c r="R191" s="18" t="s">
        <v>20</v>
      </c>
      <c r="S191" s="18" t="s">
        <v>21</v>
      </c>
      <c r="T191" s="18" t="s">
        <v>21</v>
      </c>
      <c r="U191" s="18" t="s">
        <v>20</v>
      </c>
      <c r="V191" s="49" t="s">
        <v>20</v>
      </c>
      <c r="W191" s="37" t="s">
        <v>20</v>
      </c>
      <c r="X191" s="37" t="s">
        <v>20</v>
      </c>
      <c r="Y191" s="18" t="s">
        <v>20</v>
      </c>
      <c r="Z191" s="18" t="s">
        <v>39</v>
      </c>
      <c r="AA191" s="20" t="s">
        <v>39</v>
      </c>
      <c r="AB191" s="20" t="s">
        <v>20</v>
      </c>
      <c r="AC191" s="20" t="s">
        <v>39</v>
      </c>
      <c r="AD191" s="29" t="s">
        <v>20</v>
      </c>
      <c r="AE191" s="29" t="s">
        <v>21</v>
      </c>
      <c r="AG191">
        <f t="shared" si="18"/>
        <v>3</v>
      </c>
      <c r="AH191">
        <f t="shared" si="19"/>
        <v>18</v>
      </c>
      <c r="AI191">
        <f t="shared" si="20"/>
        <v>5</v>
      </c>
      <c r="AJ191">
        <f t="shared" si="21"/>
        <v>0</v>
      </c>
      <c r="AL191">
        <f t="shared" si="22"/>
        <v>12</v>
      </c>
      <c r="AM191">
        <f t="shared" si="23"/>
        <v>54</v>
      </c>
      <c r="AN191">
        <f t="shared" si="24"/>
        <v>10</v>
      </c>
      <c r="AO191">
        <f t="shared" si="25"/>
        <v>0</v>
      </c>
      <c r="AP191">
        <f t="shared" si="26"/>
        <v>76</v>
      </c>
    </row>
    <row r="192" spans="1:42" ht="15.75" hidden="1" customHeight="1" x14ac:dyDescent="0.3">
      <c r="A192" s="16"/>
      <c r="B192" s="55">
        <v>14</v>
      </c>
      <c r="C192" s="56" t="s">
        <v>210</v>
      </c>
      <c r="D192" s="55">
        <v>5</v>
      </c>
      <c r="E192" s="55" t="s">
        <v>20</v>
      </c>
      <c r="F192" s="18" t="s">
        <v>20</v>
      </c>
      <c r="G192" s="18" t="s">
        <v>20</v>
      </c>
      <c r="H192" s="18" t="s">
        <v>39</v>
      </c>
      <c r="I192" s="18" t="s">
        <v>20</v>
      </c>
      <c r="J192" s="43" t="s">
        <v>20</v>
      </c>
      <c r="K192" s="43" t="s">
        <v>39</v>
      </c>
      <c r="L192" s="43" t="s">
        <v>20</v>
      </c>
      <c r="M192" s="18" t="s">
        <v>21</v>
      </c>
      <c r="N192" s="18" t="s">
        <v>20</v>
      </c>
      <c r="O192" s="18" t="s">
        <v>20</v>
      </c>
      <c r="P192" s="18" t="s">
        <v>20</v>
      </c>
      <c r="Q192" s="18" t="s">
        <v>20</v>
      </c>
      <c r="R192" s="18" t="s">
        <v>20</v>
      </c>
      <c r="S192" s="18" t="s">
        <v>20</v>
      </c>
      <c r="T192" s="18" t="s">
        <v>21</v>
      </c>
      <c r="U192" s="18" t="s">
        <v>20</v>
      </c>
      <c r="V192" s="37" t="s">
        <v>20</v>
      </c>
      <c r="W192" s="37" t="s">
        <v>20</v>
      </c>
      <c r="X192" s="37" t="s">
        <v>20</v>
      </c>
      <c r="Y192" s="18" t="s">
        <v>20</v>
      </c>
      <c r="Z192" s="18" t="s">
        <v>39</v>
      </c>
      <c r="AA192" s="20" t="s">
        <v>21</v>
      </c>
      <c r="AB192" s="20" t="s">
        <v>20</v>
      </c>
      <c r="AC192" s="20" t="s">
        <v>20</v>
      </c>
      <c r="AD192" s="18" t="s">
        <v>20</v>
      </c>
      <c r="AE192" s="18" t="s">
        <v>21</v>
      </c>
      <c r="AG192">
        <f t="shared" si="18"/>
        <v>3</v>
      </c>
      <c r="AH192">
        <f t="shared" si="19"/>
        <v>19</v>
      </c>
      <c r="AI192">
        <f t="shared" si="20"/>
        <v>4</v>
      </c>
      <c r="AJ192">
        <f t="shared" si="21"/>
        <v>0</v>
      </c>
      <c r="AL192">
        <f t="shared" si="22"/>
        <v>12</v>
      </c>
      <c r="AM192">
        <f t="shared" si="23"/>
        <v>57</v>
      </c>
      <c r="AN192">
        <f t="shared" si="24"/>
        <v>8</v>
      </c>
      <c r="AO192">
        <f t="shared" si="25"/>
        <v>0</v>
      </c>
      <c r="AP192">
        <f t="shared" si="26"/>
        <v>77</v>
      </c>
    </row>
    <row r="193" spans="1:42" ht="15.75" hidden="1" customHeight="1" x14ac:dyDescent="0.3">
      <c r="A193" s="16"/>
      <c r="B193" s="55">
        <v>15</v>
      </c>
      <c r="C193" s="56" t="s">
        <v>211</v>
      </c>
      <c r="D193" s="55">
        <v>5</v>
      </c>
      <c r="E193" s="55" t="s">
        <v>20</v>
      </c>
      <c r="F193" s="18" t="s">
        <v>21</v>
      </c>
      <c r="G193" s="18" t="s">
        <v>21</v>
      </c>
      <c r="H193" s="18" t="s">
        <v>21</v>
      </c>
      <c r="I193" s="18" t="s">
        <v>21</v>
      </c>
      <c r="J193" s="43" t="s">
        <v>20</v>
      </c>
      <c r="K193" s="43" t="s">
        <v>20</v>
      </c>
      <c r="L193" s="43" t="s">
        <v>21</v>
      </c>
      <c r="M193" s="18" t="s">
        <v>20</v>
      </c>
      <c r="N193" s="18" t="s">
        <v>21</v>
      </c>
      <c r="O193" s="18" t="s">
        <v>20</v>
      </c>
      <c r="P193" s="18" t="s">
        <v>20</v>
      </c>
      <c r="Q193" s="18" t="s">
        <v>21</v>
      </c>
      <c r="R193" s="18" t="s">
        <v>21</v>
      </c>
      <c r="S193" s="18" t="s">
        <v>21</v>
      </c>
      <c r="T193" s="18" t="s">
        <v>21</v>
      </c>
      <c r="U193" s="18" t="s">
        <v>20</v>
      </c>
      <c r="V193" s="37" t="s">
        <v>20</v>
      </c>
      <c r="W193" s="37" t="s">
        <v>20</v>
      </c>
      <c r="X193" s="37" t="s">
        <v>20</v>
      </c>
      <c r="Y193" s="18" t="s">
        <v>21</v>
      </c>
      <c r="Z193" s="18" t="s">
        <v>21</v>
      </c>
      <c r="AA193" s="20" t="s">
        <v>21</v>
      </c>
      <c r="AB193" s="20" t="s">
        <v>21</v>
      </c>
      <c r="AC193" s="20" t="s">
        <v>20</v>
      </c>
      <c r="AD193" s="18" t="s">
        <v>20</v>
      </c>
      <c r="AE193" s="18" t="s">
        <v>21</v>
      </c>
      <c r="AG193">
        <f t="shared" si="18"/>
        <v>0</v>
      </c>
      <c r="AH193">
        <f t="shared" si="19"/>
        <v>11</v>
      </c>
      <c r="AI193">
        <f t="shared" si="20"/>
        <v>15</v>
      </c>
      <c r="AJ193">
        <f t="shared" si="21"/>
        <v>0</v>
      </c>
      <c r="AL193">
        <f t="shared" si="22"/>
        <v>0</v>
      </c>
      <c r="AM193">
        <f t="shared" si="23"/>
        <v>33</v>
      </c>
      <c r="AN193">
        <f t="shared" si="24"/>
        <v>30</v>
      </c>
      <c r="AO193">
        <f t="shared" si="25"/>
        <v>0</v>
      </c>
      <c r="AP193">
        <f t="shared" si="26"/>
        <v>63</v>
      </c>
    </row>
    <row r="194" spans="1:42" ht="15.75" hidden="1" customHeight="1" x14ac:dyDescent="0.3">
      <c r="A194" s="16"/>
      <c r="B194" s="55">
        <v>16</v>
      </c>
      <c r="C194" s="56" t="s">
        <v>212</v>
      </c>
      <c r="D194" s="55">
        <v>5</v>
      </c>
      <c r="E194" s="55" t="s">
        <v>20</v>
      </c>
      <c r="F194" s="18" t="s">
        <v>20</v>
      </c>
      <c r="G194" s="18" t="s">
        <v>20</v>
      </c>
      <c r="H194" s="18" t="s">
        <v>39</v>
      </c>
      <c r="I194" s="18" t="s">
        <v>39</v>
      </c>
      <c r="J194" s="43" t="s">
        <v>20</v>
      </c>
      <c r="K194" s="43" t="s">
        <v>20</v>
      </c>
      <c r="L194" s="43" t="s">
        <v>20</v>
      </c>
      <c r="M194" s="18" t="s">
        <v>20</v>
      </c>
      <c r="N194" s="18" t="s">
        <v>20</v>
      </c>
      <c r="O194" s="18" t="s">
        <v>20</v>
      </c>
      <c r="P194" s="18" t="s">
        <v>21</v>
      </c>
      <c r="Q194" s="18" t="s">
        <v>21</v>
      </c>
      <c r="R194" s="18" t="s">
        <v>21</v>
      </c>
      <c r="S194" s="18" t="s">
        <v>20</v>
      </c>
      <c r="T194" s="18" t="s">
        <v>21</v>
      </c>
      <c r="U194" s="18" t="s">
        <v>20</v>
      </c>
      <c r="V194" s="37" t="s">
        <v>20</v>
      </c>
      <c r="W194" s="37" t="s">
        <v>20</v>
      </c>
      <c r="X194" s="37" t="s">
        <v>20</v>
      </c>
      <c r="Y194" s="18" t="s">
        <v>20</v>
      </c>
      <c r="Z194" s="18" t="s">
        <v>20</v>
      </c>
      <c r="AA194" s="20" t="s">
        <v>20</v>
      </c>
      <c r="AB194" s="20" t="s">
        <v>20</v>
      </c>
      <c r="AC194" s="20" t="s">
        <v>20</v>
      </c>
      <c r="AD194" s="18" t="s">
        <v>20</v>
      </c>
      <c r="AE194" s="18" t="s">
        <v>21</v>
      </c>
      <c r="AG194">
        <f t="shared" si="18"/>
        <v>2</v>
      </c>
      <c r="AH194">
        <f t="shared" si="19"/>
        <v>19</v>
      </c>
      <c r="AI194">
        <f t="shared" si="20"/>
        <v>5</v>
      </c>
      <c r="AJ194">
        <f t="shared" si="21"/>
        <v>0</v>
      </c>
      <c r="AL194">
        <f t="shared" si="22"/>
        <v>8</v>
      </c>
      <c r="AM194">
        <f t="shared" si="23"/>
        <v>57</v>
      </c>
      <c r="AN194">
        <f t="shared" si="24"/>
        <v>10</v>
      </c>
      <c r="AO194">
        <f t="shared" si="25"/>
        <v>0</v>
      </c>
      <c r="AP194">
        <f t="shared" si="26"/>
        <v>75</v>
      </c>
    </row>
    <row r="195" spans="1:42" ht="15.75" hidden="1" customHeight="1" x14ac:dyDescent="0.3">
      <c r="A195" s="16"/>
      <c r="B195" s="55">
        <v>17</v>
      </c>
      <c r="C195" s="56" t="s">
        <v>213</v>
      </c>
      <c r="D195" s="55">
        <v>5</v>
      </c>
      <c r="E195" s="55" t="s">
        <v>20</v>
      </c>
      <c r="F195" s="18" t="s">
        <v>23</v>
      </c>
      <c r="G195" s="18" t="s">
        <v>23</v>
      </c>
      <c r="H195" s="18" t="s">
        <v>23</v>
      </c>
      <c r="I195" s="18" t="s">
        <v>23</v>
      </c>
      <c r="J195" s="43" t="s">
        <v>21</v>
      </c>
      <c r="K195" s="43" t="s">
        <v>21</v>
      </c>
      <c r="L195" s="43" t="s">
        <v>21</v>
      </c>
      <c r="M195" s="18" t="s">
        <v>21</v>
      </c>
      <c r="N195" s="18" t="s">
        <v>21</v>
      </c>
      <c r="O195" s="18" t="s">
        <v>20</v>
      </c>
      <c r="P195" s="18" t="s">
        <v>23</v>
      </c>
      <c r="Q195" s="18" t="s">
        <v>21</v>
      </c>
      <c r="R195" s="18" t="s">
        <v>23</v>
      </c>
      <c r="S195" s="18" t="s">
        <v>21</v>
      </c>
      <c r="T195" s="18" t="s">
        <v>23</v>
      </c>
      <c r="U195" s="18" t="s">
        <v>20</v>
      </c>
      <c r="V195" s="37" t="s">
        <v>21</v>
      </c>
      <c r="W195" s="37" t="s">
        <v>21</v>
      </c>
      <c r="X195" s="37" t="s">
        <v>21</v>
      </c>
      <c r="Y195" s="18" t="s">
        <v>21</v>
      </c>
      <c r="Z195" s="18" t="s">
        <v>21</v>
      </c>
      <c r="AA195" s="20" t="s">
        <v>23</v>
      </c>
      <c r="AB195" s="20" t="s">
        <v>21</v>
      </c>
      <c r="AC195" s="20" t="s">
        <v>23</v>
      </c>
      <c r="AD195" s="18" t="s">
        <v>23</v>
      </c>
      <c r="AE195" s="18" t="s">
        <v>21</v>
      </c>
      <c r="AG195">
        <f t="shared" si="18"/>
        <v>0</v>
      </c>
      <c r="AH195">
        <f t="shared" si="19"/>
        <v>2</v>
      </c>
      <c r="AI195">
        <f t="shared" si="20"/>
        <v>14</v>
      </c>
      <c r="AJ195">
        <f t="shared" si="21"/>
        <v>10</v>
      </c>
      <c r="AL195">
        <f t="shared" si="22"/>
        <v>0</v>
      </c>
      <c r="AM195">
        <f t="shared" si="23"/>
        <v>6</v>
      </c>
      <c r="AN195">
        <f t="shared" si="24"/>
        <v>28</v>
      </c>
      <c r="AO195">
        <f t="shared" si="25"/>
        <v>10</v>
      </c>
      <c r="AP195">
        <f t="shared" si="26"/>
        <v>44</v>
      </c>
    </row>
    <row r="196" spans="1:42" ht="15.75" hidden="1" customHeight="1" x14ac:dyDescent="0.3">
      <c r="A196" s="16"/>
      <c r="B196" s="55">
        <v>18</v>
      </c>
      <c r="C196" s="56" t="s">
        <v>214</v>
      </c>
      <c r="D196" s="55">
        <v>5</v>
      </c>
      <c r="E196" s="55" t="s">
        <v>20</v>
      </c>
      <c r="F196" s="18" t="s">
        <v>20</v>
      </c>
      <c r="G196" s="18" t="s">
        <v>20</v>
      </c>
      <c r="H196" s="18" t="s">
        <v>20</v>
      </c>
      <c r="I196" s="18" t="s">
        <v>20</v>
      </c>
      <c r="J196" s="43" t="s">
        <v>20</v>
      </c>
      <c r="K196" s="43" t="s">
        <v>20</v>
      </c>
      <c r="L196" s="43" t="s">
        <v>21</v>
      </c>
      <c r="M196" s="18" t="s">
        <v>20</v>
      </c>
      <c r="N196" s="18" t="s">
        <v>20</v>
      </c>
      <c r="O196" s="18" t="s">
        <v>20</v>
      </c>
      <c r="P196" s="18" t="s">
        <v>21</v>
      </c>
      <c r="Q196" s="18" t="s">
        <v>20</v>
      </c>
      <c r="R196" s="18" t="s">
        <v>21</v>
      </c>
      <c r="S196" s="18" t="s">
        <v>21</v>
      </c>
      <c r="T196" s="18" t="s">
        <v>21</v>
      </c>
      <c r="U196" s="18" t="s">
        <v>20</v>
      </c>
      <c r="V196" s="37" t="s">
        <v>20</v>
      </c>
      <c r="W196" s="37" t="s">
        <v>20</v>
      </c>
      <c r="X196" s="37" t="s">
        <v>20</v>
      </c>
      <c r="Y196" s="18" t="s">
        <v>20</v>
      </c>
      <c r="Z196" s="18" t="s">
        <v>20</v>
      </c>
      <c r="AA196" s="20" t="s">
        <v>20</v>
      </c>
      <c r="AB196" s="20" t="s">
        <v>20</v>
      </c>
      <c r="AC196" s="20" t="s">
        <v>20</v>
      </c>
      <c r="AD196" s="18" t="s">
        <v>20</v>
      </c>
      <c r="AE196" s="18" t="s">
        <v>21</v>
      </c>
      <c r="AG196">
        <f t="shared" si="18"/>
        <v>0</v>
      </c>
      <c r="AH196">
        <f t="shared" si="19"/>
        <v>20</v>
      </c>
      <c r="AI196">
        <f t="shared" si="20"/>
        <v>6</v>
      </c>
      <c r="AJ196">
        <f t="shared" si="21"/>
        <v>0</v>
      </c>
      <c r="AL196">
        <f t="shared" si="22"/>
        <v>0</v>
      </c>
      <c r="AM196">
        <f t="shared" si="23"/>
        <v>60</v>
      </c>
      <c r="AN196">
        <f t="shared" si="24"/>
        <v>12</v>
      </c>
      <c r="AO196">
        <f t="shared" si="25"/>
        <v>0</v>
      </c>
      <c r="AP196">
        <f t="shared" si="26"/>
        <v>72</v>
      </c>
    </row>
    <row r="197" spans="1:42" ht="15.75" hidden="1" customHeight="1" x14ac:dyDescent="0.3">
      <c r="A197" s="16"/>
      <c r="B197" s="55">
        <v>19</v>
      </c>
      <c r="C197" s="56" t="s">
        <v>215</v>
      </c>
      <c r="D197" s="55">
        <v>5</v>
      </c>
      <c r="E197" s="55" t="s">
        <v>20</v>
      </c>
      <c r="F197" s="18" t="s">
        <v>20</v>
      </c>
      <c r="G197" s="18" t="s">
        <v>20</v>
      </c>
      <c r="H197" s="18" t="s">
        <v>20</v>
      </c>
      <c r="I197" s="18" t="s">
        <v>20</v>
      </c>
      <c r="J197" s="43" t="s">
        <v>20</v>
      </c>
      <c r="K197" s="43" t="s">
        <v>20</v>
      </c>
      <c r="L197" s="43" t="s">
        <v>20</v>
      </c>
      <c r="M197" s="18" t="s">
        <v>20</v>
      </c>
      <c r="N197" s="18" t="s">
        <v>20</v>
      </c>
      <c r="O197" s="18" t="s">
        <v>20</v>
      </c>
      <c r="P197" s="18" t="s">
        <v>21</v>
      </c>
      <c r="Q197" s="18" t="s">
        <v>21</v>
      </c>
      <c r="R197" s="18" t="s">
        <v>21</v>
      </c>
      <c r="S197" s="18" t="s">
        <v>21</v>
      </c>
      <c r="T197" s="18" t="s">
        <v>21</v>
      </c>
      <c r="U197" s="18" t="s">
        <v>21</v>
      </c>
      <c r="V197" s="37" t="s">
        <v>21</v>
      </c>
      <c r="W197" s="37" t="s">
        <v>20</v>
      </c>
      <c r="X197" s="37" t="s">
        <v>20</v>
      </c>
      <c r="Y197" s="18" t="s">
        <v>21</v>
      </c>
      <c r="Z197" s="18" t="s">
        <v>20</v>
      </c>
      <c r="AA197" s="20" t="s">
        <v>20</v>
      </c>
      <c r="AB197" s="20" t="s">
        <v>20</v>
      </c>
      <c r="AC197" s="20" t="s">
        <v>20</v>
      </c>
      <c r="AD197" s="18" t="s">
        <v>55</v>
      </c>
      <c r="AE197" s="18" t="s">
        <v>55</v>
      </c>
      <c r="AG197">
        <f t="shared" si="18"/>
        <v>0</v>
      </c>
      <c r="AH197">
        <f t="shared" si="19"/>
        <v>16</v>
      </c>
      <c r="AI197">
        <f t="shared" si="20"/>
        <v>8</v>
      </c>
      <c r="AJ197">
        <f t="shared" si="21"/>
        <v>0</v>
      </c>
      <c r="AL197">
        <f t="shared" si="22"/>
        <v>0</v>
      </c>
      <c r="AM197">
        <f t="shared" si="23"/>
        <v>48</v>
      </c>
      <c r="AN197">
        <f t="shared" si="24"/>
        <v>16</v>
      </c>
      <c r="AO197">
        <f t="shared" si="25"/>
        <v>0</v>
      </c>
      <c r="AP197">
        <f t="shared" si="26"/>
        <v>64</v>
      </c>
    </row>
    <row r="198" spans="1:42" ht="15.75" hidden="1" customHeight="1" x14ac:dyDescent="0.3">
      <c r="A198" s="16"/>
      <c r="B198" s="55">
        <v>20</v>
      </c>
      <c r="C198" s="56" t="s">
        <v>216</v>
      </c>
      <c r="D198" s="55">
        <v>5</v>
      </c>
      <c r="E198" s="55" t="s">
        <v>20</v>
      </c>
      <c r="F198" s="18" t="s">
        <v>39</v>
      </c>
      <c r="G198" s="18" t="s">
        <v>20</v>
      </c>
      <c r="H198" s="18" t="s">
        <v>20</v>
      </c>
      <c r="I198" s="18" t="s">
        <v>39</v>
      </c>
      <c r="J198" s="43" t="s">
        <v>20</v>
      </c>
      <c r="K198" s="43" t="s">
        <v>20</v>
      </c>
      <c r="L198" s="43" t="s">
        <v>20</v>
      </c>
      <c r="M198" s="18" t="s">
        <v>20</v>
      </c>
      <c r="N198" s="18" t="s">
        <v>20</v>
      </c>
      <c r="O198" s="18" t="s">
        <v>20</v>
      </c>
      <c r="P198" s="18" t="s">
        <v>21</v>
      </c>
      <c r="Q198" s="18" t="s">
        <v>20</v>
      </c>
      <c r="R198" s="18" t="s">
        <v>20</v>
      </c>
      <c r="S198" s="18" t="s">
        <v>21</v>
      </c>
      <c r="T198" s="18" t="s">
        <v>21</v>
      </c>
      <c r="U198" s="18" t="s">
        <v>20</v>
      </c>
      <c r="V198" s="37" t="s">
        <v>20</v>
      </c>
      <c r="W198" s="37" t="s">
        <v>20</v>
      </c>
      <c r="X198" s="37" t="s">
        <v>20</v>
      </c>
      <c r="Y198" s="18" t="s">
        <v>20</v>
      </c>
      <c r="Z198" s="18" t="s">
        <v>20</v>
      </c>
      <c r="AA198" s="20" t="s">
        <v>20</v>
      </c>
      <c r="AB198" s="20" t="s">
        <v>20</v>
      </c>
      <c r="AC198" s="20" t="s">
        <v>20</v>
      </c>
      <c r="AD198" s="18" t="s">
        <v>20</v>
      </c>
      <c r="AE198" s="18" t="s">
        <v>21</v>
      </c>
      <c r="AG198">
        <f t="shared" si="18"/>
        <v>2</v>
      </c>
      <c r="AH198">
        <f t="shared" si="19"/>
        <v>20</v>
      </c>
      <c r="AI198">
        <f t="shared" si="20"/>
        <v>4</v>
      </c>
      <c r="AJ198">
        <f t="shared" si="21"/>
        <v>0</v>
      </c>
      <c r="AL198">
        <f t="shared" si="22"/>
        <v>8</v>
      </c>
      <c r="AM198">
        <f t="shared" si="23"/>
        <v>60</v>
      </c>
      <c r="AN198">
        <f t="shared" si="24"/>
        <v>8</v>
      </c>
      <c r="AO198">
        <f t="shared" si="25"/>
        <v>0</v>
      </c>
      <c r="AP198">
        <f t="shared" si="26"/>
        <v>76</v>
      </c>
    </row>
    <row r="199" spans="1:42" ht="15.75" hidden="1" customHeight="1" x14ac:dyDescent="0.3">
      <c r="A199" s="16"/>
      <c r="B199" s="55">
        <v>21</v>
      </c>
      <c r="C199" s="56" t="s">
        <v>217</v>
      </c>
      <c r="D199" s="55">
        <v>5</v>
      </c>
      <c r="E199" s="55" t="s">
        <v>20</v>
      </c>
      <c r="F199" s="18" t="s">
        <v>20</v>
      </c>
      <c r="G199" s="18" t="s">
        <v>20</v>
      </c>
      <c r="H199" s="18" t="s">
        <v>39</v>
      </c>
      <c r="I199" s="18" t="s">
        <v>20</v>
      </c>
      <c r="J199" s="43" t="s">
        <v>20</v>
      </c>
      <c r="K199" s="43" t="s">
        <v>20</v>
      </c>
      <c r="L199" s="43" t="s">
        <v>20</v>
      </c>
      <c r="M199" s="18" t="s">
        <v>21</v>
      </c>
      <c r="N199" s="18" t="s">
        <v>20</v>
      </c>
      <c r="O199" s="18" t="s">
        <v>20</v>
      </c>
      <c r="P199" s="18" t="s">
        <v>21</v>
      </c>
      <c r="Q199" s="18" t="s">
        <v>21</v>
      </c>
      <c r="R199" s="18" t="s">
        <v>21</v>
      </c>
      <c r="S199" s="18" t="s">
        <v>20</v>
      </c>
      <c r="T199" s="18" t="s">
        <v>21</v>
      </c>
      <c r="U199" s="18" t="s">
        <v>20</v>
      </c>
      <c r="V199" s="37" t="s">
        <v>20</v>
      </c>
      <c r="W199" s="37" t="s">
        <v>20</v>
      </c>
      <c r="X199" s="37" t="s">
        <v>20</v>
      </c>
      <c r="Y199" s="18" t="s">
        <v>20</v>
      </c>
      <c r="Z199" s="18" t="s">
        <v>20</v>
      </c>
      <c r="AA199" s="20" t="s">
        <v>20</v>
      </c>
      <c r="AB199" s="20" t="s">
        <v>20</v>
      </c>
      <c r="AC199" s="20" t="s">
        <v>20</v>
      </c>
      <c r="AD199" s="18" t="s">
        <v>20</v>
      </c>
      <c r="AE199" s="18" t="s">
        <v>21</v>
      </c>
      <c r="AG199">
        <f t="shared" si="18"/>
        <v>1</v>
      </c>
      <c r="AH199">
        <f t="shared" si="19"/>
        <v>19</v>
      </c>
      <c r="AI199">
        <f t="shared" si="20"/>
        <v>6</v>
      </c>
      <c r="AJ199">
        <f t="shared" si="21"/>
        <v>0</v>
      </c>
      <c r="AL199">
        <f t="shared" si="22"/>
        <v>4</v>
      </c>
      <c r="AM199">
        <f t="shared" si="23"/>
        <v>57</v>
      </c>
      <c r="AN199">
        <f t="shared" si="24"/>
        <v>12</v>
      </c>
      <c r="AO199">
        <f t="shared" si="25"/>
        <v>0</v>
      </c>
      <c r="AP199">
        <f t="shared" si="26"/>
        <v>73</v>
      </c>
    </row>
    <row r="200" spans="1:42" ht="15.75" hidden="1" customHeight="1" x14ac:dyDescent="0.3">
      <c r="A200" s="16"/>
      <c r="B200" s="55">
        <v>22</v>
      </c>
      <c r="C200" s="56" t="s">
        <v>218</v>
      </c>
      <c r="D200" s="55">
        <v>5</v>
      </c>
      <c r="E200" s="55" t="s">
        <v>20</v>
      </c>
      <c r="F200" s="18" t="s">
        <v>23</v>
      </c>
      <c r="G200" s="18" t="s">
        <v>23</v>
      </c>
      <c r="H200" s="18" t="s">
        <v>21</v>
      </c>
      <c r="I200" s="18" t="s">
        <v>21</v>
      </c>
      <c r="J200" s="43" t="s">
        <v>20</v>
      </c>
      <c r="K200" s="43" t="s">
        <v>20</v>
      </c>
      <c r="L200" s="43" t="s">
        <v>21</v>
      </c>
      <c r="M200" s="18" t="s">
        <v>20</v>
      </c>
      <c r="N200" s="18" t="s">
        <v>20</v>
      </c>
      <c r="O200" s="18" t="s">
        <v>20</v>
      </c>
      <c r="P200" s="18" t="s">
        <v>21</v>
      </c>
      <c r="Q200" s="18" t="s">
        <v>21</v>
      </c>
      <c r="R200" s="18" t="s">
        <v>21</v>
      </c>
      <c r="S200" s="18" t="s">
        <v>21</v>
      </c>
      <c r="T200" s="18" t="s">
        <v>21</v>
      </c>
      <c r="U200" s="18" t="s">
        <v>20</v>
      </c>
      <c r="V200" s="37" t="s">
        <v>21</v>
      </c>
      <c r="W200" s="37" t="s">
        <v>21</v>
      </c>
      <c r="X200" s="37" t="s">
        <v>21</v>
      </c>
      <c r="Y200" s="18" t="s">
        <v>20</v>
      </c>
      <c r="Z200" s="18" t="s">
        <v>20</v>
      </c>
      <c r="AA200" s="20" t="s">
        <v>20</v>
      </c>
      <c r="AB200" s="20" t="s">
        <v>20</v>
      </c>
      <c r="AC200" s="20" t="s">
        <v>20</v>
      </c>
      <c r="AD200" s="40" t="s">
        <v>20</v>
      </c>
      <c r="AE200" s="40" t="s">
        <v>21</v>
      </c>
      <c r="AG200">
        <f t="shared" si="18"/>
        <v>0</v>
      </c>
      <c r="AH200">
        <f t="shared" si="19"/>
        <v>12</v>
      </c>
      <c r="AI200">
        <f t="shared" si="20"/>
        <v>12</v>
      </c>
      <c r="AJ200">
        <f t="shared" si="21"/>
        <v>2</v>
      </c>
      <c r="AL200">
        <f t="shared" si="22"/>
        <v>0</v>
      </c>
      <c r="AM200">
        <f t="shared" si="23"/>
        <v>36</v>
      </c>
      <c r="AN200">
        <f t="shared" si="24"/>
        <v>24</v>
      </c>
      <c r="AO200">
        <f t="shared" si="25"/>
        <v>2</v>
      </c>
      <c r="AP200">
        <f t="shared" si="26"/>
        <v>62</v>
      </c>
    </row>
    <row r="201" spans="1:42" ht="15.75" hidden="1" customHeight="1" x14ac:dyDescent="0.3">
      <c r="A201" s="16"/>
      <c r="B201" s="55">
        <v>23</v>
      </c>
      <c r="C201" s="56" t="s">
        <v>219</v>
      </c>
      <c r="D201" s="55">
        <v>5</v>
      </c>
      <c r="E201" s="55" t="s">
        <v>20</v>
      </c>
      <c r="F201" s="18" t="s">
        <v>23</v>
      </c>
      <c r="G201" s="18" t="s">
        <v>23</v>
      </c>
      <c r="H201" s="18" t="s">
        <v>23</v>
      </c>
      <c r="I201" s="18" t="s">
        <v>21</v>
      </c>
      <c r="J201" s="43" t="s">
        <v>20</v>
      </c>
      <c r="K201" s="43" t="s">
        <v>20</v>
      </c>
      <c r="L201" s="43" t="s">
        <v>21</v>
      </c>
      <c r="M201" s="18" t="s">
        <v>20</v>
      </c>
      <c r="N201" s="18" t="s">
        <v>21</v>
      </c>
      <c r="O201" s="18" t="s">
        <v>20</v>
      </c>
      <c r="P201" s="18" t="s">
        <v>21</v>
      </c>
      <c r="Q201" s="18" t="s">
        <v>23</v>
      </c>
      <c r="R201" s="18" t="s">
        <v>21</v>
      </c>
      <c r="S201" s="18" t="s">
        <v>21</v>
      </c>
      <c r="T201" s="18" t="s">
        <v>21</v>
      </c>
      <c r="U201" s="18" t="s">
        <v>20</v>
      </c>
      <c r="V201" s="37" t="s">
        <v>20</v>
      </c>
      <c r="W201" s="37" t="s">
        <v>21</v>
      </c>
      <c r="X201" s="37" t="s">
        <v>20</v>
      </c>
      <c r="Y201" s="18" t="s">
        <v>21</v>
      </c>
      <c r="Z201" s="18" t="s">
        <v>20</v>
      </c>
      <c r="AA201" s="20" t="s">
        <v>23</v>
      </c>
      <c r="AB201" s="20" t="s">
        <v>21</v>
      </c>
      <c r="AC201" s="20" t="s">
        <v>21</v>
      </c>
      <c r="AD201" s="18" t="s">
        <v>23</v>
      </c>
      <c r="AE201" s="18" t="s">
        <v>21</v>
      </c>
      <c r="AG201">
        <f t="shared" si="18"/>
        <v>0</v>
      </c>
      <c r="AH201">
        <f t="shared" si="19"/>
        <v>8</v>
      </c>
      <c r="AI201">
        <f t="shared" si="20"/>
        <v>12</v>
      </c>
      <c r="AJ201">
        <f t="shared" si="21"/>
        <v>6</v>
      </c>
      <c r="AL201">
        <f t="shared" si="22"/>
        <v>0</v>
      </c>
      <c r="AM201">
        <f t="shared" si="23"/>
        <v>24</v>
      </c>
      <c r="AN201">
        <f t="shared" si="24"/>
        <v>24</v>
      </c>
      <c r="AO201">
        <f t="shared" si="25"/>
        <v>6</v>
      </c>
      <c r="AP201">
        <f t="shared" si="26"/>
        <v>54</v>
      </c>
    </row>
    <row r="202" spans="1:42" ht="15.75" hidden="1" customHeight="1" x14ac:dyDescent="0.3">
      <c r="A202" s="16"/>
      <c r="B202" s="55">
        <v>24</v>
      </c>
      <c r="C202" s="56" t="s">
        <v>220</v>
      </c>
      <c r="D202" s="55">
        <v>5</v>
      </c>
      <c r="E202" s="55" t="s">
        <v>20</v>
      </c>
      <c r="F202" s="18" t="s">
        <v>39</v>
      </c>
      <c r="G202" s="18" t="s">
        <v>20</v>
      </c>
      <c r="H202" s="18" t="s">
        <v>20</v>
      </c>
      <c r="I202" s="18" t="s">
        <v>39</v>
      </c>
      <c r="J202" s="43" t="s">
        <v>20</v>
      </c>
      <c r="K202" s="43" t="s">
        <v>20</v>
      </c>
      <c r="L202" s="43" t="s">
        <v>20</v>
      </c>
      <c r="M202" s="18" t="s">
        <v>20</v>
      </c>
      <c r="N202" s="18" t="s">
        <v>20</v>
      </c>
      <c r="O202" s="18" t="s">
        <v>20</v>
      </c>
      <c r="P202" s="18" t="s">
        <v>21</v>
      </c>
      <c r="Q202" s="18" t="s">
        <v>20</v>
      </c>
      <c r="R202" s="18" t="s">
        <v>20</v>
      </c>
      <c r="S202" s="18" t="s">
        <v>21</v>
      </c>
      <c r="T202" s="18" t="s">
        <v>21</v>
      </c>
      <c r="U202" s="18" t="s">
        <v>20</v>
      </c>
      <c r="V202" s="37" t="s">
        <v>20</v>
      </c>
      <c r="W202" s="37" t="s">
        <v>20</v>
      </c>
      <c r="X202" s="37" t="s">
        <v>20</v>
      </c>
      <c r="Y202" s="18" t="s">
        <v>20</v>
      </c>
      <c r="Z202" s="18" t="s">
        <v>20</v>
      </c>
      <c r="AA202" s="20" t="s">
        <v>20</v>
      </c>
      <c r="AB202" s="20" t="s">
        <v>20</v>
      </c>
      <c r="AC202" s="20" t="s">
        <v>20</v>
      </c>
      <c r="AD202" s="18" t="s">
        <v>20</v>
      </c>
      <c r="AE202" s="18" t="s">
        <v>21</v>
      </c>
      <c r="AG202">
        <f t="shared" si="18"/>
        <v>2</v>
      </c>
      <c r="AH202">
        <f t="shared" si="19"/>
        <v>20</v>
      </c>
      <c r="AI202">
        <f t="shared" si="20"/>
        <v>4</v>
      </c>
      <c r="AJ202">
        <f t="shared" si="21"/>
        <v>0</v>
      </c>
      <c r="AL202">
        <f t="shared" si="22"/>
        <v>8</v>
      </c>
      <c r="AM202">
        <f t="shared" si="23"/>
        <v>60</v>
      </c>
      <c r="AN202">
        <f t="shared" si="24"/>
        <v>8</v>
      </c>
      <c r="AO202">
        <f t="shared" si="25"/>
        <v>0</v>
      </c>
      <c r="AP202">
        <f t="shared" si="26"/>
        <v>76</v>
      </c>
    </row>
    <row r="203" spans="1:42" ht="15.75" hidden="1" customHeight="1" x14ac:dyDescent="0.3">
      <c r="A203" s="16"/>
      <c r="B203" s="55">
        <v>25</v>
      </c>
      <c r="C203" s="56" t="s">
        <v>221</v>
      </c>
      <c r="D203" s="55">
        <v>5</v>
      </c>
      <c r="E203" s="55" t="s">
        <v>20</v>
      </c>
      <c r="F203" s="18" t="s">
        <v>23</v>
      </c>
      <c r="G203" s="18" t="s">
        <v>23</v>
      </c>
      <c r="H203" s="18" t="s">
        <v>23</v>
      </c>
      <c r="I203" s="18" t="s">
        <v>23</v>
      </c>
      <c r="J203" s="43" t="s">
        <v>20</v>
      </c>
      <c r="K203" s="43" t="s">
        <v>20</v>
      </c>
      <c r="L203" s="43" t="s">
        <v>21</v>
      </c>
      <c r="M203" s="18" t="s">
        <v>20</v>
      </c>
      <c r="N203" s="18" t="s">
        <v>20</v>
      </c>
      <c r="O203" s="18" t="s">
        <v>20</v>
      </c>
      <c r="P203" s="18" t="s">
        <v>21</v>
      </c>
      <c r="Q203" s="18" t="s">
        <v>23</v>
      </c>
      <c r="R203" s="18" t="s">
        <v>23</v>
      </c>
      <c r="S203" s="18" t="s">
        <v>21</v>
      </c>
      <c r="T203" s="18" t="s">
        <v>23</v>
      </c>
      <c r="U203" s="18" t="s">
        <v>20</v>
      </c>
      <c r="V203" s="37" t="s">
        <v>20</v>
      </c>
      <c r="W203" s="37" t="s">
        <v>20</v>
      </c>
      <c r="X203" s="37" t="s">
        <v>20</v>
      </c>
      <c r="Y203" s="18" t="s">
        <v>20</v>
      </c>
      <c r="Z203" s="18" t="s">
        <v>20</v>
      </c>
      <c r="AA203" s="20" t="s">
        <v>21</v>
      </c>
      <c r="AB203" s="20" t="s">
        <v>21</v>
      </c>
      <c r="AC203" s="20" t="s">
        <v>20</v>
      </c>
      <c r="AD203" s="18" t="s">
        <v>20</v>
      </c>
      <c r="AE203" s="18" t="s">
        <v>21</v>
      </c>
      <c r="AG203">
        <f t="shared" si="18"/>
        <v>0</v>
      </c>
      <c r="AH203">
        <f t="shared" si="19"/>
        <v>13</v>
      </c>
      <c r="AI203">
        <f t="shared" si="20"/>
        <v>6</v>
      </c>
      <c r="AJ203">
        <f t="shared" si="21"/>
        <v>7</v>
      </c>
      <c r="AL203">
        <f t="shared" si="22"/>
        <v>0</v>
      </c>
      <c r="AM203">
        <f t="shared" si="23"/>
        <v>39</v>
      </c>
      <c r="AN203">
        <f t="shared" si="24"/>
        <v>12</v>
      </c>
      <c r="AO203">
        <f t="shared" si="25"/>
        <v>7</v>
      </c>
      <c r="AP203">
        <f t="shared" si="26"/>
        <v>58</v>
      </c>
    </row>
    <row r="204" spans="1:42" ht="15.75" hidden="1" customHeight="1" x14ac:dyDescent="0.3">
      <c r="A204" s="16"/>
      <c r="B204" s="55">
        <v>26</v>
      </c>
      <c r="C204" s="56" t="s">
        <v>222</v>
      </c>
      <c r="D204" s="55">
        <v>5</v>
      </c>
      <c r="E204" s="55" t="s">
        <v>20</v>
      </c>
      <c r="F204" s="18" t="s">
        <v>21</v>
      </c>
      <c r="G204" s="18" t="s">
        <v>21</v>
      </c>
      <c r="H204" s="18" t="s">
        <v>21</v>
      </c>
      <c r="I204" s="18" t="s">
        <v>21</v>
      </c>
      <c r="J204" s="43" t="s">
        <v>21</v>
      </c>
      <c r="K204" s="43" t="s">
        <v>21</v>
      </c>
      <c r="L204" s="43" t="s">
        <v>21</v>
      </c>
      <c r="M204" s="18" t="s">
        <v>20</v>
      </c>
      <c r="N204" s="18" t="s">
        <v>20</v>
      </c>
      <c r="O204" s="18" t="s">
        <v>20</v>
      </c>
      <c r="P204" s="18" t="s">
        <v>20</v>
      </c>
      <c r="Q204" s="18" t="s">
        <v>21</v>
      </c>
      <c r="R204" s="18" t="s">
        <v>23</v>
      </c>
      <c r="S204" s="18" t="s">
        <v>21</v>
      </c>
      <c r="T204" s="18" t="s">
        <v>21</v>
      </c>
      <c r="U204" s="18" t="s">
        <v>20</v>
      </c>
      <c r="V204" s="37" t="s">
        <v>20</v>
      </c>
      <c r="W204" s="37" t="s">
        <v>20</v>
      </c>
      <c r="X204" s="37" t="s">
        <v>20</v>
      </c>
      <c r="Y204" s="18" t="s">
        <v>20</v>
      </c>
      <c r="Z204" s="18" t="s">
        <v>20</v>
      </c>
      <c r="AA204" s="20" t="s">
        <v>21</v>
      </c>
      <c r="AB204" s="20" t="s">
        <v>21</v>
      </c>
      <c r="AC204" s="20" t="s">
        <v>20</v>
      </c>
      <c r="AD204" s="40" t="s">
        <v>20</v>
      </c>
      <c r="AE204" s="40" t="s">
        <v>21</v>
      </c>
      <c r="AG204">
        <f t="shared" si="18"/>
        <v>0</v>
      </c>
      <c r="AH204">
        <f t="shared" si="19"/>
        <v>12</v>
      </c>
      <c r="AI204">
        <f t="shared" si="20"/>
        <v>13</v>
      </c>
      <c r="AJ204">
        <f t="shared" si="21"/>
        <v>1</v>
      </c>
      <c r="AL204">
        <f t="shared" si="22"/>
        <v>0</v>
      </c>
      <c r="AM204">
        <f t="shared" si="23"/>
        <v>36</v>
      </c>
      <c r="AN204">
        <f t="shared" si="24"/>
        <v>26</v>
      </c>
      <c r="AO204">
        <f t="shared" si="25"/>
        <v>1</v>
      </c>
      <c r="AP204">
        <f t="shared" si="26"/>
        <v>63</v>
      </c>
    </row>
    <row r="205" spans="1:42" ht="15.75" hidden="1" customHeight="1" x14ac:dyDescent="0.3">
      <c r="A205" s="16"/>
      <c r="B205" s="55">
        <v>27</v>
      </c>
      <c r="C205" s="56" t="s">
        <v>223</v>
      </c>
      <c r="D205" s="55">
        <v>5</v>
      </c>
      <c r="E205" s="55" t="s">
        <v>20</v>
      </c>
      <c r="F205" s="18" t="s">
        <v>20</v>
      </c>
      <c r="G205" s="18" t="s">
        <v>20</v>
      </c>
      <c r="H205" s="18" t="s">
        <v>20</v>
      </c>
      <c r="I205" s="18" t="s">
        <v>20</v>
      </c>
      <c r="J205" s="43" t="s">
        <v>20</v>
      </c>
      <c r="K205" s="43" t="s">
        <v>20</v>
      </c>
      <c r="L205" s="43" t="s">
        <v>20</v>
      </c>
      <c r="M205" s="18" t="s">
        <v>20</v>
      </c>
      <c r="N205" s="18" t="s">
        <v>20</v>
      </c>
      <c r="O205" s="18" t="s">
        <v>20</v>
      </c>
      <c r="P205" s="18" t="s">
        <v>20</v>
      </c>
      <c r="Q205" s="18" t="s">
        <v>21</v>
      </c>
      <c r="R205" s="18" t="s">
        <v>21</v>
      </c>
      <c r="S205" s="18" t="s">
        <v>20</v>
      </c>
      <c r="T205" s="18" t="s">
        <v>21</v>
      </c>
      <c r="U205" s="18" t="s">
        <v>21</v>
      </c>
      <c r="V205" s="37" t="s">
        <v>20</v>
      </c>
      <c r="W205" s="37" t="s">
        <v>20</v>
      </c>
      <c r="X205" s="37" t="s">
        <v>20</v>
      </c>
      <c r="Y205" s="18" t="s">
        <v>20</v>
      </c>
      <c r="Z205" s="18" t="s">
        <v>20</v>
      </c>
      <c r="AA205" s="20" t="s">
        <v>20</v>
      </c>
      <c r="AB205" s="20" t="s">
        <v>20</v>
      </c>
      <c r="AC205" s="20" t="s">
        <v>20</v>
      </c>
      <c r="AD205" s="18" t="s">
        <v>20</v>
      </c>
      <c r="AE205" s="18" t="s">
        <v>21</v>
      </c>
      <c r="AG205">
        <f t="shared" si="18"/>
        <v>0</v>
      </c>
      <c r="AH205">
        <f t="shared" si="19"/>
        <v>21</v>
      </c>
      <c r="AI205">
        <f t="shared" si="20"/>
        <v>5</v>
      </c>
      <c r="AJ205">
        <f t="shared" si="21"/>
        <v>0</v>
      </c>
      <c r="AL205">
        <f t="shared" si="22"/>
        <v>0</v>
      </c>
      <c r="AM205">
        <f t="shared" si="23"/>
        <v>63</v>
      </c>
      <c r="AN205">
        <f t="shared" si="24"/>
        <v>10</v>
      </c>
      <c r="AO205">
        <f t="shared" si="25"/>
        <v>0</v>
      </c>
      <c r="AP205">
        <f t="shared" si="26"/>
        <v>73</v>
      </c>
    </row>
    <row r="206" spans="1:42" ht="15.75" hidden="1" customHeight="1" thickBot="1" x14ac:dyDescent="0.35">
      <c r="A206" s="16"/>
      <c r="B206" s="57">
        <v>28</v>
      </c>
      <c r="C206" s="58" t="s">
        <v>224</v>
      </c>
      <c r="D206" s="57">
        <v>5</v>
      </c>
      <c r="E206" s="57" t="s">
        <v>20</v>
      </c>
      <c r="F206" s="21" t="s">
        <v>20</v>
      </c>
      <c r="G206" s="21" t="s">
        <v>20</v>
      </c>
      <c r="H206" s="21" t="s">
        <v>20</v>
      </c>
      <c r="I206" s="21" t="s">
        <v>20</v>
      </c>
      <c r="J206" s="45" t="s">
        <v>20</v>
      </c>
      <c r="K206" s="45" t="s">
        <v>20</v>
      </c>
      <c r="L206" s="45" t="s">
        <v>21</v>
      </c>
      <c r="M206" s="21" t="s">
        <v>20</v>
      </c>
      <c r="N206" s="21" t="s">
        <v>20</v>
      </c>
      <c r="O206" s="21" t="s">
        <v>20</v>
      </c>
      <c r="P206" s="21" t="s">
        <v>21</v>
      </c>
      <c r="Q206" s="21" t="s">
        <v>21</v>
      </c>
      <c r="R206" s="21" t="s">
        <v>21</v>
      </c>
      <c r="S206" s="21" t="s">
        <v>20</v>
      </c>
      <c r="T206" s="21" t="s">
        <v>21</v>
      </c>
      <c r="U206" s="21" t="s">
        <v>20</v>
      </c>
      <c r="V206" s="38" t="s">
        <v>20</v>
      </c>
      <c r="W206" s="38" t="s">
        <v>20</v>
      </c>
      <c r="X206" s="38" t="s">
        <v>21</v>
      </c>
      <c r="Y206" s="21" t="s">
        <v>20</v>
      </c>
      <c r="Z206" s="21" t="s">
        <v>20</v>
      </c>
      <c r="AA206" s="23" t="s">
        <v>20</v>
      </c>
      <c r="AB206" s="23" t="s">
        <v>20</v>
      </c>
      <c r="AC206" s="23" t="s">
        <v>20</v>
      </c>
      <c r="AD206" s="21" t="s">
        <v>20</v>
      </c>
      <c r="AE206" s="21" t="s">
        <v>21</v>
      </c>
      <c r="AG206">
        <f t="shared" si="18"/>
        <v>0</v>
      </c>
      <c r="AH206">
        <f t="shared" si="19"/>
        <v>19</v>
      </c>
      <c r="AI206">
        <f t="shared" si="20"/>
        <v>7</v>
      </c>
      <c r="AJ206">
        <f t="shared" si="21"/>
        <v>0</v>
      </c>
      <c r="AL206">
        <f t="shared" si="22"/>
        <v>0</v>
      </c>
      <c r="AM206">
        <f t="shared" si="23"/>
        <v>57</v>
      </c>
      <c r="AN206">
        <f t="shared" si="24"/>
        <v>14</v>
      </c>
      <c r="AO206">
        <f t="shared" si="25"/>
        <v>0</v>
      </c>
      <c r="AP206">
        <f t="shared" si="26"/>
        <v>71</v>
      </c>
    </row>
    <row r="207" spans="1:42" ht="15.75" hidden="1" customHeight="1" x14ac:dyDescent="0.3">
      <c r="A207" s="16"/>
      <c r="B207" s="59">
        <v>1</v>
      </c>
      <c r="C207" s="60" t="s">
        <v>225</v>
      </c>
      <c r="D207" s="59">
        <v>5</v>
      </c>
      <c r="E207" s="59" t="s">
        <v>21</v>
      </c>
      <c r="F207" s="24" t="s">
        <v>21</v>
      </c>
      <c r="G207" s="24" t="s">
        <v>20</v>
      </c>
      <c r="H207" s="24" t="s">
        <v>21</v>
      </c>
      <c r="I207" s="24" t="s">
        <v>21</v>
      </c>
      <c r="J207" s="24" t="s">
        <v>20</v>
      </c>
      <c r="K207" s="24" t="s">
        <v>20</v>
      </c>
      <c r="L207" s="24" t="s">
        <v>20</v>
      </c>
      <c r="M207" s="24" t="s">
        <v>20</v>
      </c>
      <c r="N207" s="24" t="s">
        <v>20</v>
      </c>
      <c r="O207" s="24" t="s">
        <v>20</v>
      </c>
      <c r="P207" s="24" t="s">
        <v>21</v>
      </c>
      <c r="Q207" s="24" t="s">
        <v>21</v>
      </c>
      <c r="R207" s="24" t="s">
        <v>21</v>
      </c>
      <c r="S207" s="24" t="s">
        <v>20</v>
      </c>
      <c r="T207" s="24" t="s">
        <v>21</v>
      </c>
      <c r="U207" s="24" t="s">
        <v>20</v>
      </c>
      <c r="V207" s="39" t="s">
        <v>20</v>
      </c>
      <c r="W207" s="39" t="s">
        <v>20</v>
      </c>
      <c r="X207" s="39" t="s">
        <v>20</v>
      </c>
      <c r="Y207" s="24" t="s">
        <v>20</v>
      </c>
      <c r="Z207" s="24" t="s">
        <v>20</v>
      </c>
      <c r="AA207" s="27" t="s">
        <v>20</v>
      </c>
      <c r="AB207" s="27" t="s">
        <v>20</v>
      </c>
      <c r="AC207" s="27" t="s">
        <v>21</v>
      </c>
      <c r="AD207" s="24" t="s">
        <v>20</v>
      </c>
      <c r="AE207" s="24" t="s">
        <v>21</v>
      </c>
      <c r="AG207">
        <f t="shared" si="18"/>
        <v>0</v>
      </c>
      <c r="AH207">
        <f t="shared" si="19"/>
        <v>17</v>
      </c>
      <c r="AI207">
        <f t="shared" si="20"/>
        <v>9</v>
      </c>
      <c r="AJ207">
        <f t="shared" si="21"/>
        <v>0</v>
      </c>
      <c r="AL207">
        <f t="shared" si="22"/>
        <v>0</v>
      </c>
      <c r="AM207">
        <f t="shared" si="23"/>
        <v>51</v>
      </c>
      <c r="AN207">
        <f t="shared" si="24"/>
        <v>18</v>
      </c>
      <c r="AO207">
        <f t="shared" si="25"/>
        <v>0</v>
      </c>
      <c r="AP207">
        <f t="shared" si="26"/>
        <v>69</v>
      </c>
    </row>
    <row r="208" spans="1:42" ht="15.75" hidden="1" customHeight="1" x14ac:dyDescent="0.3">
      <c r="A208" s="16"/>
      <c r="B208" s="55">
        <v>2</v>
      </c>
      <c r="C208" s="56" t="s">
        <v>226</v>
      </c>
      <c r="D208" s="55">
        <v>5</v>
      </c>
      <c r="E208" s="55" t="s">
        <v>21</v>
      </c>
      <c r="F208" s="18" t="s">
        <v>21</v>
      </c>
      <c r="G208" s="18" t="s">
        <v>21</v>
      </c>
      <c r="H208" s="18" t="s">
        <v>21</v>
      </c>
      <c r="I208" s="18" t="s">
        <v>20</v>
      </c>
      <c r="J208" s="18" t="s">
        <v>21</v>
      </c>
      <c r="K208" s="18" t="s">
        <v>21</v>
      </c>
      <c r="L208" s="18" t="s">
        <v>21</v>
      </c>
      <c r="M208" s="18" t="s">
        <v>20</v>
      </c>
      <c r="N208" s="18" t="s">
        <v>21</v>
      </c>
      <c r="O208" s="18" t="s">
        <v>21</v>
      </c>
      <c r="P208" s="18" t="s">
        <v>21</v>
      </c>
      <c r="Q208" s="18" t="s">
        <v>23</v>
      </c>
      <c r="R208" s="18" t="s">
        <v>23</v>
      </c>
      <c r="S208" s="18" t="s">
        <v>21</v>
      </c>
      <c r="T208" s="18" t="s">
        <v>21</v>
      </c>
      <c r="U208" s="18" t="s">
        <v>21</v>
      </c>
      <c r="V208" s="37" t="s">
        <v>20</v>
      </c>
      <c r="W208" s="37" t="s">
        <v>21</v>
      </c>
      <c r="X208" s="37" t="s">
        <v>20</v>
      </c>
      <c r="Y208" s="18" t="s">
        <v>21</v>
      </c>
      <c r="Z208" s="18" t="s">
        <v>20</v>
      </c>
      <c r="AA208" s="20" t="s">
        <v>21</v>
      </c>
      <c r="AB208" s="20" t="s">
        <v>21</v>
      </c>
      <c r="AC208" s="20" t="s">
        <v>23</v>
      </c>
      <c r="AD208" s="18" t="s">
        <v>23</v>
      </c>
      <c r="AE208" s="18" t="s">
        <v>21</v>
      </c>
      <c r="AG208">
        <f t="shared" si="18"/>
        <v>0</v>
      </c>
      <c r="AH208">
        <f t="shared" si="19"/>
        <v>5</v>
      </c>
      <c r="AI208">
        <f t="shared" si="20"/>
        <v>17</v>
      </c>
      <c r="AJ208">
        <f t="shared" si="21"/>
        <v>4</v>
      </c>
      <c r="AL208">
        <f t="shared" si="22"/>
        <v>0</v>
      </c>
      <c r="AM208">
        <f t="shared" si="23"/>
        <v>15</v>
      </c>
      <c r="AN208">
        <f t="shared" si="24"/>
        <v>34</v>
      </c>
      <c r="AO208">
        <f t="shared" si="25"/>
        <v>4</v>
      </c>
      <c r="AP208">
        <f t="shared" si="26"/>
        <v>53</v>
      </c>
    </row>
    <row r="209" spans="1:42" ht="15.75" hidden="1" customHeight="1" x14ac:dyDescent="0.3">
      <c r="A209" s="16"/>
      <c r="B209" s="55">
        <v>3</v>
      </c>
      <c r="C209" s="56" t="s">
        <v>227</v>
      </c>
      <c r="D209" s="55">
        <v>5</v>
      </c>
      <c r="E209" s="55" t="s">
        <v>21</v>
      </c>
      <c r="F209" s="18" t="s">
        <v>21</v>
      </c>
      <c r="G209" s="18" t="s">
        <v>23</v>
      </c>
      <c r="H209" s="18" t="s">
        <v>21</v>
      </c>
      <c r="I209" s="18" t="s">
        <v>20</v>
      </c>
      <c r="J209" s="18" t="s">
        <v>21</v>
      </c>
      <c r="K209" s="18" t="s">
        <v>21</v>
      </c>
      <c r="L209" s="18" t="s">
        <v>20</v>
      </c>
      <c r="M209" s="18" t="s">
        <v>20</v>
      </c>
      <c r="N209" s="18" t="s">
        <v>21</v>
      </c>
      <c r="O209" s="18" t="s">
        <v>21</v>
      </c>
      <c r="P209" s="18" t="s">
        <v>21</v>
      </c>
      <c r="Q209" s="18" t="s">
        <v>23</v>
      </c>
      <c r="R209" s="18" t="s">
        <v>21</v>
      </c>
      <c r="S209" s="18" t="s">
        <v>21</v>
      </c>
      <c r="T209" s="18" t="s">
        <v>21</v>
      </c>
      <c r="U209" s="18" t="s">
        <v>20</v>
      </c>
      <c r="V209" s="37" t="s">
        <v>20</v>
      </c>
      <c r="W209" s="37" t="s">
        <v>21</v>
      </c>
      <c r="X209" s="37" t="s">
        <v>20</v>
      </c>
      <c r="Y209" s="18" t="s">
        <v>21</v>
      </c>
      <c r="Z209" s="18" t="s">
        <v>20</v>
      </c>
      <c r="AA209" s="20" t="s">
        <v>21</v>
      </c>
      <c r="AB209" s="20" t="s">
        <v>21</v>
      </c>
      <c r="AC209" s="20" t="s">
        <v>21</v>
      </c>
      <c r="AD209" s="18" t="s">
        <v>21</v>
      </c>
      <c r="AE209" s="18" t="s">
        <v>21</v>
      </c>
      <c r="AG209">
        <f t="shared" si="18"/>
        <v>0</v>
      </c>
      <c r="AH209">
        <f t="shared" si="19"/>
        <v>7</v>
      </c>
      <c r="AI209">
        <f t="shared" si="20"/>
        <v>17</v>
      </c>
      <c r="AJ209">
        <f t="shared" si="21"/>
        <v>2</v>
      </c>
      <c r="AL209">
        <f t="shared" si="22"/>
        <v>0</v>
      </c>
      <c r="AM209">
        <f t="shared" si="23"/>
        <v>21</v>
      </c>
      <c r="AN209">
        <f t="shared" si="24"/>
        <v>34</v>
      </c>
      <c r="AO209">
        <f t="shared" si="25"/>
        <v>2</v>
      </c>
      <c r="AP209">
        <f t="shared" si="26"/>
        <v>57</v>
      </c>
    </row>
    <row r="210" spans="1:42" ht="15.75" hidden="1" customHeight="1" x14ac:dyDescent="0.3">
      <c r="A210" s="16"/>
      <c r="B210" s="55">
        <v>4</v>
      </c>
      <c r="C210" s="56" t="s">
        <v>228</v>
      </c>
      <c r="D210" s="55">
        <v>5</v>
      </c>
      <c r="E210" s="55" t="s">
        <v>21</v>
      </c>
      <c r="F210" s="18" t="s">
        <v>20</v>
      </c>
      <c r="G210" s="18" t="s">
        <v>20</v>
      </c>
      <c r="H210" s="18" t="s">
        <v>20</v>
      </c>
      <c r="I210" s="18" t="s">
        <v>20</v>
      </c>
      <c r="J210" s="18" t="s">
        <v>21</v>
      </c>
      <c r="K210" s="18" t="s">
        <v>20</v>
      </c>
      <c r="L210" s="18" t="s">
        <v>20</v>
      </c>
      <c r="M210" s="18" t="s">
        <v>20</v>
      </c>
      <c r="N210" s="18" t="s">
        <v>20</v>
      </c>
      <c r="O210" s="18" t="s">
        <v>20</v>
      </c>
      <c r="P210" s="18" t="s">
        <v>21</v>
      </c>
      <c r="Q210" s="18" t="s">
        <v>21</v>
      </c>
      <c r="R210" s="18" t="s">
        <v>21</v>
      </c>
      <c r="S210" s="18" t="s">
        <v>20</v>
      </c>
      <c r="T210" s="18" t="s">
        <v>21</v>
      </c>
      <c r="U210" s="18" t="s">
        <v>20</v>
      </c>
      <c r="V210" s="37" t="s">
        <v>20</v>
      </c>
      <c r="W210" s="37" t="s">
        <v>20</v>
      </c>
      <c r="X210" s="37" t="s">
        <v>20</v>
      </c>
      <c r="Y210" s="18" t="s">
        <v>20</v>
      </c>
      <c r="Z210" s="18" t="s">
        <v>20</v>
      </c>
      <c r="AA210" s="20" t="s">
        <v>20</v>
      </c>
      <c r="AB210" s="20" t="s">
        <v>20</v>
      </c>
      <c r="AC210" s="20" t="s">
        <v>20</v>
      </c>
      <c r="AD210" s="18" t="s">
        <v>20</v>
      </c>
      <c r="AE210" s="18" t="s">
        <v>21</v>
      </c>
      <c r="AG210">
        <f t="shared" si="18"/>
        <v>0</v>
      </c>
      <c r="AH210">
        <f t="shared" si="19"/>
        <v>20</v>
      </c>
      <c r="AI210">
        <f t="shared" si="20"/>
        <v>6</v>
      </c>
      <c r="AJ210">
        <f t="shared" si="21"/>
        <v>0</v>
      </c>
      <c r="AL210">
        <f t="shared" si="22"/>
        <v>0</v>
      </c>
      <c r="AM210">
        <f t="shared" si="23"/>
        <v>60</v>
      </c>
      <c r="AN210">
        <f t="shared" si="24"/>
        <v>12</v>
      </c>
      <c r="AO210">
        <f t="shared" si="25"/>
        <v>0</v>
      </c>
      <c r="AP210">
        <f t="shared" si="26"/>
        <v>72</v>
      </c>
    </row>
    <row r="211" spans="1:42" ht="15.75" hidden="1" customHeight="1" x14ac:dyDescent="0.3">
      <c r="A211" s="16"/>
      <c r="B211" s="55">
        <v>5</v>
      </c>
      <c r="C211" s="56" t="s">
        <v>229</v>
      </c>
      <c r="D211" s="55">
        <v>5</v>
      </c>
      <c r="E211" s="55" t="s">
        <v>21</v>
      </c>
      <c r="F211" s="18" t="s">
        <v>20</v>
      </c>
      <c r="G211" s="18" t="s">
        <v>21</v>
      </c>
      <c r="H211" s="18" t="s">
        <v>20</v>
      </c>
      <c r="I211" s="18" t="s">
        <v>20</v>
      </c>
      <c r="J211" s="18" t="s">
        <v>21</v>
      </c>
      <c r="K211" s="18" t="s">
        <v>21</v>
      </c>
      <c r="L211" s="18" t="s">
        <v>20</v>
      </c>
      <c r="M211" s="18" t="s">
        <v>20</v>
      </c>
      <c r="N211" s="18" t="s">
        <v>20</v>
      </c>
      <c r="O211" s="18" t="s">
        <v>20</v>
      </c>
      <c r="P211" s="18" t="s">
        <v>21</v>
      </c>
      <c r="Q211" s="18" t="s">
        <v>20</v>
      </c>
      <c r="R211" s="18" t="s">
        <v>21</v>
      </c>
      <c r="S211" s="18" t="s">
        <v>20</v>
      </c>
      <c r="T211" s="18" t="s">
        <v>21</v>
      </c>
      <c r="U211" s="18" t="s">
        <v>20</v>
      </c>
      <c r="V211" s="37" t="s">
        <v>20</v>
      </c>
      <c r="W211" s="37" t="s">
        <v>21</v>
      </c>
      <c r="X211" s="37" t="s">
        <v>20</v>
      </c>
      <c r="Y211" s="18" t="s">
        <v>21</v>
      </c>
      <c r="Z211" s="18" t="s">
        <v>20</v>
      </c>
      <c r="AA211" s="20" t="s">
        <v>20</v>
      </c>
      <c r="AB211" s="20" t="s">
        <v>20</v>
      </c>
      <c r="AC211" s="20" t="s">
        <v>20</v>
      </c>
      <c r="AD211" s="18" t="s">
        <v>20</v>
      </c>
      <c r="AE211" s="18" t="s">
        <v>21</v>
      </c>
      <c r="AG211">
        <f t="shared" si="18"/>
        <v>0</v>
      </c>
      <c r="AH211">
        <f t="shared" si="19"/>
        <v>17</v>
      </c>
      <c r="AI211">
        <f t="shared" si="20"/>
        <v>9</v>
      </c>
      <c r="AJ211">
        <f t="shared" si="21"/>
        <v>0</v>
      </c>
      <c r="AL211">
        <f t="shared" si="22"/>
        <v>0</v>
      </c>
      <c r="AM211">
        <f t="shared" si="23"/>
        <v>51</v>
      </c>
      <c r="AN211">
        <f t="shared" si="24"/>
        <v>18</v>
      </c>
      <c r="AO211">
        <f t="shared" si="25"/>
        <v>0</v>
      </c>
      <c r="AP211">
        <f t="shared" si="26"/>
        <v>69</v>
      </c>
    </row>
    <row r="212" spans="1:42" ht="15.75" hidden="1" customHeight="1" x14ac:dyDescent="0.3">
      <c r="A212" s="16"/>
      <c r="B212" s="55">
        <v>6</v>
      </c>
      <c r="C212" s="56" t="s">
        <v>230</v>
      </c>
      <c r="D212" s="55">
        <v>5</v>
      </c>
      <c r="E212" s="55" t="s">
        <v>21</v>
      </c>
      <c r="F212" s="18" t="s">
        <v>21</v>
      </c>
      <c r="G212" s="18" t="s">
        <v>21</v>
      </c>
      <c r="H212" s="18" t="s">
        <v>21</v>
      </c>
      <c r="I212" s="18" t="s">
        <v>20</v>
      </c>
      <c r="J212" s="18" t="s">
        <v>21</v>
      </c>
      <c r="K212" s="18" t="s">
        <v>21</v>
      </c>
      <c r="L212" s="18" t="s">
        <v>21</v>
      </c>
      <c r="M212" s="18" t="s">
        <v>20</v>
      </c>
      <c r="N212" s="18" t="s">
        <v>20</v>
      </c>
      <c r="O212" s="18" t="s">
        <v>20</v>
      </c>
      <c r="P212" s="18" t="s">
        <v>21</v>
      </c>
      <c r="Q212" s="18" t="s">
        <v>23</v>
      </c>
      <c r="R212" s="18" t="s">
        <v>23</v>
      </c>
      <c r="S212" s="18" t="s">
        <v>21</v>
      </c>
      <c r="T212" s="18" t="s">
        <v>21</v>
      </c>
      <c r="U212" s="18" t="s">
        <v>20</v>
      </c>
      <c r="V212" s="37" t="s">
        <v>20</v>
      </c>
      <c r="W212" s="37" t="s">
        <v>20</v>
      </c>
      <c r="X212" s="37" t="s">
        <v>20</v>
      </c>
      <c r="Y212" s="18" t="s">
        <v>21</v>
      </c>
      <c r="Z212" s="18" t="s">
        <v>20</v>
      </c>
      <c r="AA212" s="20" t="s">
        <v>20</v>
      </c>
      <c r="AB212" s="20" t="s">
        <v>20</v>
      </c>
      <c r="AC212" s="20" t="s">
        <v>20</v>
      </c>
      <c r="AD212" s="29" t="s">
        <v>23</v>
      </c>
      <c r="AE212" s="29" t="s">
        <v>21</v>
      </c>
      <c r="AG212">
        <f t="shared" si="18"/>
        <v>0</v>
      </c>
      <c r="AH212">
        <f t="shared" si="19"/>
        <v>12</v>
      </c>
      <c r="AI212">
        <f t="shared" si="20"/>
        <v>11</v>
      </c>
      <c r="AJ212">
        <f t="shared" si="21"/>
        <v>3</v>
      </c>
      <c r="AL212">
        <f t="shared" si="22"/>
        <v>0</v>
      </c>
      <c r="AM212">
        <f t="shared" si="23"/>
        <v>36</v>
      </c>
      <c r="AN212">
        <f t="shared" si="24"/>
        <v>22</v>
      </c>
      <c r="AO212">
        <f t="shared" si="25"/>
        <v>3</v>
      </c>
      <c r="AP212">
        <f t="shared" si="26"/>
        <v>61</v>
      </c>
    </row>
    <row r="213" spans="1:42" ht="15.75" hidden="1" customHeight="1" x14ac:dyDescent="0.3">
      <c r="A213" s="16"/>
      <c r="B213" s="55">
        <v>7</v>
      </c>
      <c r="C213" s="56" t="s">
        <v>231</v>
      </c>
      <c r="D213" s="55">
        <v>5</v>
      </c>
      <c r="E213" s="55" t="s">
        <v>21</v>
      </c>
      <c r="F213" s="18" t="s">
        <v>21</v>
      </c>
      <c r="G213" s="18" t="s">
        <v>21</v>
      </c>
      <c r="H213" s="18" t="s">
        <v>21</v>
      </c>
      <c r="I213" s="18" t="s">
        <v>21</v>
      </c>
      <c r="J213" s="18" t="s">
        <v>21</v>
      </c>
      <c r="K213" s="18" t="s">
        <v>21</v>
      </c>
      <c r="L213" s="18" t="s">
        <v>21</v>
      </c>
      <c r="M213" s="18" t="s">
        <v>20</v>
      </c>
      <c r="N213" s="18" t="s">
        <v>21</v>
      </c>
      <c r="O213" s="18" t="s">
        <v>20</v>
      </c>
      <c r="P213" s="18" t="s">
        <v>21</v>
      </c>
      <c r="Q213" s="18" t="s">
        <v>23</v>
      </c>
      <c r="R213" s="18" t="s">
        <v>21</v>
      </c>
      <c r="S213" s="18" t="s">
        <v>21</v>
      </c>
      <c r="T213" s="18" t="s">
        <v>21</v>
      </c>
      <c r="U213" s="18" t="s">
        <v>21</v>
      </c>
      <c r="V213" s="37" t="s">
        <v>21</v>
      </c>
      <c r="W213" s="37" t="s">
        <v>21</v>
      </c>
      <c r="X213" s="37" t="s">
        <v>21</v>
      </c>
      <c r="Y213" s="18" t="s">
        <v>20</v>
      </c>
      <c r="Z213" s="18" t="s">
        <v>20</v>
      </c>
      <c r="AA213" s="20" t="s">
        <v>21</v>
      </c>
      <c r="AB213" s="20" t="s">
        <v>21</v>
      </c>
      <c r="AC213" s="20" t="s">
        <v>21</v>
      </c>
      <c r="AD213" s="29" t="s">
        <v>23</v>
      </c>
      <c r="AE213" s="29" t="s">
        <v>21</v>
      </c>
      <c r="AG213">
        <f t="shared" si="18"/>
        <v>0</v>
      </c>
      <c r="AH213">
        <f t="shared" si="19"/>
        <v>4</v>
      </c>
      <c r="AI213">
        <f t="shared" si="20"/>
        <v>20</v>
      </c>
      <c r="AJ213">
        <f t="shared" si="21"/>
        <v>2</v>
      </c>
      <c r="AL213">
        <f t="shared" si="22"/>
        <v>0</v>
      </c>
      <c r="AM213">
        <f t="shared" si="23"/>
        <v>12</v>
      </c>
      <c r="AN213">
        <f t="shared" si="24"/>
        <v>40</v>
      </c>
      <c r="AO213">
        <f t="shared" si="25"/>
        <v>2</v>
      </c>
      <c r="AP213">
        <f t="shared" si="26"/>
        <v>54</v>
      </c>
    </row>
    <row r="214" spans="1:42" ht="15.75" hidden="1" customHeight="1" x14ac:dyDescent="0.3">
      <c r="A214" s="16"/>
      <c r="B214" s="55">
        <v>8</v>
      </c>
      <c r="C214" s="56" t="s">
        <v>232</v>
      </c>
      <c r="D214" s="55">
        <v>5</v>
      </c>
      <c r="E214" s="55" t="s">
        <v>21</v>
      </c>
      <c r="F214" s="18" t="s">
        <v>21</v>
      </c>
      <c r="G214" s="18" t="s">
        <v>23</v>
      </c>
      <c r="H214" s="18" t="s">
        <v>21</v>
      </c>
      <c r="I214" s="18" t="s">
        <v>20</v>
      </c>
      <c r="J214" s="18" t="s">
        <v>23</v>
      </c>
      <c r="K214" s="18" t="s">
        <v>20</v>
      </c>
      <c r="L214" s="18" t="s">
        <v>20</v>
      </c>
      <c r="M214" s="18" t="s">
        <v>20</v>
      </c>
      <c r="N214" s="18" t="s">
        <v>20</v>
      </c>
      <c r="O214" s="18" t="s">
        <v>20</v>
      </c>
      <c r="P214" s="18" t="s">
        <v>23</v>
      </c>
      <c r="Q214" s="18" t="s">
        <v>21</v>
      </c>
      <c r="R214" s="18" t="s">
        <v>21</v>
      </c>
      <c r="S214" s="18" t="s">
        <v>23</v>
      </c>
      <c r="T214" s="18" t="s">
        <v>21</v>
      </c>
      <c r="U214" s="18" t="s">
        <v>20</v>
      </c>
      <c r="V214" s="37" t="s">
        <v>20</v>
      </c>
      <c r="W214" s="37" t="s">
        <v>21</v>
      </c>
      <c r="X214" s="37" t="s">
        <v>20</v>
      </c>
      <c r="Y214" s="18" t="s">
        <v>20</v>
      </c>
      <c r="Z214" s="18" t="s">
        <v>20</v>
      </c>
      <c r="AA214" s="20" t="s">
        <v>20</v>
      </c>
      <c r="AB214" s="20" t="s">
        <v>20</v>
      </c>
      <c r="AC214" s="20" t="s">
        <v>20</v>
      </c>
      <c r="AD214" s="29" t="s">
        <v>23</v>
      </c>
      <c r="AE214" s="29" t="s">
        <v>21</v>
      </c>
      <c r="AG214">
        <f t="shared" si="18"/>
        <v>0</v>
      </c>
      <c r="AH214">
        <f t="shared" si="19"/>
        <v>14</v>
      </c>
      <c r="AI214">
        <f t="shared" si="20"/>
        <v>7</v>
      </c>
      <c r="AJ214">
        <f t="shared" si="21"/>
        <v>5</v>
      </c>
      <c r="AL214">
        <f t="shared" si="22"/>
        <v>0</v>
      </c>
      <c r="AM214">
        <f t="shared" si="23"/>
        <v>42</v>
      </c>
      <c r="AN214">
        <f t="shared" si="24"/>
        <v>14</v>
      </c>
      <c r="AO214">
        <f t="shared" si="25"/>
        <v>5</v>
      </c>
      <c r="AP214">
        <f t="shared" si="26"/>
        <v>61</v>
      </c>
    </row>
    <row r="215" spans="1:42" ht="15.75" hidden="1" customHeight="1" x14ac:dyDescent="0.3">
      <c r="A215" s="16"/>
      <c r="B215" s="55">
        <v>9</v>
      </c>
      <c r="C215" s="56" t="s">
        <v>233</v>
      </c>
      <c r="D215" s="55">
        <v>5</v>
      </c>
      <c r="E215" s="55" t="s">
        <v>21</v>
      </c>
      <c r="F215" s="18" t="s">
        <v>20</v>
      </c>
      <c r="G215" s="18" t="s">
        <v>20</v>
      </c>
      <c r="H215" s="18" t="s">
        <v>20</v>
      </c>
      <c r="I215" s="18" t="s">
        <v>20</v>
      </c>
      <c r="J215" s="18" t="s">
        <v>21</v>
      </c>
      <c r="K215" s="18" t="s">
        <v>21</v>
      </c>
      <c r="L215" s="18" t="s">
        <v>21</v>
      </c>
      <c r="M215" s="18" t="s">
        <v>20</v>
      </c>
      <c r="N215" s="18" t="s">
        <v>20</v>
      </c>
      <c r="O215" s="18" t="s">
        <v>20</v>
      </c>
      <c r="P215" s="18" t="s">
        <v>21</v>
      </c>
      <c r="Q215" s="18" t="s">
        <v>21</v>
      </c>
      <c r="R215" s="18" t="s">
        <v>20</v>
      </c>
      <c r="S215" s="18" t="s">
        <v>20</v>
      </c>
      <c r="T215" s="18" t="s">
        <v>21</v>
      </c>
      <c r="U215" s="18" t="s">
        <v>20</v>
      </c>
      <c r="V215" s="37" t="s">
        <v>20</v>
      </c>
      <c r="W215" s="37" t="s">
        <v>20</v>
      </c>
      <c r="X215" s="37" t="s">
        <v>20</v>
      </c>
      <c r="Y215" s="18" t="s">
        <v>20</v>
      </c>
      <c r="Z215" s="18" t="s">
        <v>20</v>
      </c>
      <c r="AA215" s="20" t="s">
        <v>20</v>
      </c>
      <c r="AB215" s="20" t="s">
        <v>20</v>
      </c>
      <c r="AC215" s="20" t="s">
        <v>20</v>
      </c>
      <c r="AD215" s="29" t="s">
        <v>20</v>
      </c>
      <c r="AE215" s="29" t="s">
        <v>21</v>
      </c>
      <c r="AG215">
        <f t="shared" si="18"/>
        <v>0</v>
      </c>
      <c r="AH215">
        <f t="shared" si="19"/>
        <v>19</v>
      </c>
      <c r="AI215">
        <f t="shared" si="20"/>
        <v>7</v>
      </c>
      <c r="AJ215">
        <f t="shared" si="21"/>
        <v>0</v>
      </c>
      <c r="AL215">
        <f t="shared" si="22"/>
        <v>0</v>
      </c>
      <c r="AM215">
        <f t="shared" si="23"/>
        <v>57</v>
      </c>
      <c r="AN215">
        <f t="shared" si="24"/>
        <v>14</v>
      </c>
      <c r="AO215">
        <f t="shared" si="25"/>
        <v>0</v>
      </c>
      <c r="AP215">
        <f t="shared" si="26"/>
        <v>71</v>
      </c>
    </row>
    <row r="216" spans="1:42" ht="15.75" hidden="1" customHeight="1" x14ac:dyDescent="0.3">
      <c r="A216" s="16"/>
      <c r="B216" s="55">
        <v>10</v>
      </c>
      <c r="C216" s="56" t="s">
        <v>234</v>
      </c>
      <c r="D216" s="55">
        <v>5</v>
      </c>
      <c r="E216" s="55" t="s">
        <v>21</v>
      </c>
      <c r="F216" s="18" t="s">
        <v>20</v>
      </c>
      <c r="G216" s="18" t="s">
        <v>20</v>
      </c>
      <c r="H216" s="18" t="s">
        <v>21</v>
      </c>
      <c r="I216" s="18" t="s">
        <v>20</v>
      </c>
      <c r="J216" s="18" t="s">
        <v>20</v>
      </c>
      <c r="K216" s="18" t="s">
        <v>21</v>
      </c>
      <c r="L216" s="18" t="s">
        <v>20</v>
      </c>
      <c r="M216" s="18" t="s">
        <v>20</v>
      </c>
      <c r="N216" s="18" t="s">
        <v>20</v>
      </c>
      <c r="O216" s="18" t="s">
        <v>20</v>
      </c>
      <c r="P216" s="18" t="s">
        <v>21</v>
      </c>
      <c r="Q216" s="18" t="s">
        <v>21</v>
      </c>
      <c r="R216" s="18" t="s">
        <v>21</v>
      </c>
      <c r="S216" s="18" t="s">
        <v>20</v>
      </c>
      <c r="T216" s="18" t="s">
        <v>21</v>
      </c>
      <c r="U216" s="18" t="s">
        <v>20</v>
      </c>
      <c r="V216" s="37" t="s">
        <v>20</v>
      </c>
      <c r="W216" s="37" t="s">
        <v>20</v>
      </c>
      <c r="X216" s="37" t="s">
        <v>20</v>
      </c>
      <c r="Y216" s="18" t="s">
        <v>20</v>
      </c>
      <c r="Z216" s="18" t="s">
        <v>20</v>
      </c>
      <c r="AA216" s="20" t="s">
        <v>20</v>
      </c>
      <c r="AB216" s="20" t="s">
        <v>20</v>
      </c>
      <c r="AC216" s="20" t="s">
        <v>20</v>
      </c>
      <c r="AD216" s="29" t="s">
        <v>20</v>
      </c>
      <c r="AE216" s="29" t="s">
        <v>21</v>
      </c>
      <c r="AG216">
        <f t="shared" ref="AG216:AG249" si="27">+COUNTIF(F216:AE216,"AD")</f>
        <v>0</v>
      </c>
      <c r="AH216">
        <f t="shared" ref="AH216:AH249" si="28">+COUNTIF(F216:AE216,"A")</f>
        <v>19</v>
      </c>
      <c r="AI216">
        <f t="shared" ref="AI216:AI249" si="29">+COUNTIF(F216:AE216,"b")</f>
        <v>7</v>
      </c>
      <c r="AJ216">
        <f t="shared" ref="AJ216:AJ249" si="30">+COUNTIF(F216:AE216,"c")</f>
        <v>0</v>
      </c>
      <c r="AL216">
        <f t="shared" ref="AL216:AL249" si="31">+$AG$5*AG216</f>
        <v>0</v>
      </c>
      <c r="AM216">
        <f t="shared" ref="AM216:AM249" si="32">+$AH$5*AH216</f>
        <v>57</v>
      </c>
      <c r="AN216">
        <f t="shared" ref="AN216:AN249" si="33">+$AI$5*AI216</f>
        <v>14</v>
      </c>
      <c r="AO216">
        <f t="shared" ref="AO216:AO249" si="34">+$AJ$5*AJ216</f>
        <v>0</v>
      </c>
      <c r="AP216">
        <f t="shared" ref="AP216:AP232" si="35">+SUM(AL216:AO216)</f>
        <v>71</v>
      </c>
    </row>
    <row r="217" spans="1:42" ht="15.75" hidden="1" customHeight="1" x14ac:dyDescent="0.3">
      <c r="A217" s="16"/>
      <c r="B217" s="55">
        <v>11</v>
      </c>
      <c r="C217" s="56" t="s">
        <v>235</v>
      </c>
      <c r="D217" s="55">
        <v>5</v>
      </c>
      <c r="E217" s="55" t="s">
        <v>21</v>
      </c>
      <c r="F217" s="18" t="s">
        <v>21</v>
      </c>
      <c r="G217" s="18" t="s">
        <v>21</v>
      </c>
      <c r="H217" s="18" t="s">
        <v>21</v>
      </c>
      <c r="I217" s="18" t="s">
        <v>21</v>
      </c>
      <c r="J217" s="18" t="s">
        <v>21</v>
      </c>
      <c r="K217" s="18" t="s">
        <v>21</v>
      </c>
      <c r="L217" s="18" t="s">
        <v>20</v>
      </c>
      <c r="M217" s="18" t="s">
        <v>20</v>
      </c>
      <c r="N217" s="18" t="s">
        <v>20</v>
      </c>
      <c r="O217" s="18" t="s">
        <v>20</v>
      </c>
      <c r="P217" s="18" t="s">
        <v>21</v>
      </c>
      <c r="Q217" s="18" t="s">
        <v>21</v>
      </c>
      <c r="R217" s="18" t="s">
        <v>21</v>
      </c>
      <c r="S217" s="18" t="s">
        <v>20</v>
      </c>
      <c r="T217" s="18" t="s">
        <v>20</v>
      </c>
      <c r="U217" s="18" t="s">
        <v>21</v>
      </c>
      <c r="V217" s="37" t="s">
        <v>20</v>
      </c>
      <c r="W217" s="37" t="s">
        <v>21</v>
      </c>
      <c r="X217" s="37" t="s">
        <v>20</v>
      </c>
      <c r="Y217" s="18" t="s">
        <v>20</v>
      </c>
      <c r="Z217" s="18" t="s">
        <v>21</v>
      </c>
      <c r="AA217" s="20" t="s">
        <v>20</v>
      </c>
      <c r="AB217" s="20" t="s">
        <v>20</v>
      </c>
      <c r="AC217" s="20" t="s">
        <v>20</v>
      </c>
      <c r="AD217" s="29" t="s">
        <v>20</v>
      </c>
      <c r="AE217" s="29" t="s">
        <v>21</v>
      </c>
      <c r="AG217">
        <f t="shared" si="27"/>
        <v>0</v>
      </c>
      <c r="AH217">
        <f t="shared" si="28"/>
        <v>13</v>
      </c>
      <c r="AI217">
        <f t="shared" si="29"/>
        <v>13</v>
      </c>
      <c r="AJ217">
        <f t="shared" si="30"/>
        <v>0</v>
      </c>
      <c r="AL217">
        <f t="shared" si="31"/>
        <v>0</v>
      </c>
      <c r="AM217">
        <f t="shared" si="32"/>
        <v>39</v>
      </c>
      <c r="AN217">
        <f t="shared" si="33"/>
        <v>26</v>
      </c>
      <c r="AO217">
        <f t="shared" si="34"/>
        <v>0</v>
      </c>
      <c r="AP217">
        <f t="shared" si="35"/>
        <v>65</v>
      </c>
    </row>
    <row r="218" spans="1:42" ht="15.75" hidden="1" customHeight="1" x14ac:dyDescent="0.3">
      <c r="A218" s="16"/>
      <c r="B218" s="55">
        <v>12</v>
      </c>
      <c r="C218" s="56" t="s">
        <v>236</v>
      </c>
      <c r="D218" s="55">
        <v>5</v>
      </c>
      <c r="E218" s="55" t="s">
        <v>21</v>
      </c>
      <c r="F218" s="18" t="s">
        <v>21</v>
      </c>
      <c r="G218" s="18" t="s">
        <v>21</v>
      </c>
      <c r="H218" s="18" t="s">
        <v>21</v>
      </c>
      <c r="I218" s="18" t="s">
        <v>20</v>
      </c>
      <c r="J218" s="18" t="s">
        <v>21</v>
      </c>
      <c r="K218" s="18" t="s">
        <v>21</v>
      </c>
      <c r="L218" s="18" t="s">
        <v>20</v>
      </c>
      <c r="M218" s="18" t="s">
        <v>20</v>
      </c>
      <c r="N218" s="18" t="s">
        <v>20</v>
      </c>
      <c r="O218" s="18" t="s">
        <v>20</v>
      </c>
      <c r="P218" s="18" t="s">
        <v>23</v>
      </c>
      <c r="Q218" s="18" t="s">
        <v>23</v>
      </c>
      <c r="R218" s="18" t="s">
        <v>23</v>
      </c>
      <c r="S218" s="18" t="s">
        <v>21</v>
      </c>
      <c r="T218" s="18" t="s">
        <v>21</v>
      </c>
      <c r="U218" s="18" t="s">
        <v>20</v>
      </c>
      <c r="V218" s="37" t="s">
        <v>20</v>
      </c>
      <c r="W218" s="37" t="s">
        <v>20</v>
      </c>
      <c r="X218" s="37" t="s">
        <v>20</v>
      </c>
      <c r="Y218" s="18" t="s">
        <v>20</v>
      </c>
      <c r="Z218" s="18" t="s">
        <v>20</v>
      </c>
      <c r="AA218" s="20" t="s">
        <v>20</v>
      </c>
      <c r="AB218" s="20" t="s">
        <v>20</v>
      </c>
      <c r="AC218" s="20" t="s">
        <v>20</v>
      </c>
      <c r="AD218" s="29" t="s">
        <v>23</v>
      </c>
      <c r="AE218" s="29" t="s">
        <v>21</v>
      </c>
      <c r="AG218">
        <f t="shared" si="27"/>
        <v>0</v>
      </c>
      <c r="AH218">
        <f t="shared" si="28"/>
        <v>14</v>
      </c>
      <c r="AI218">
        <f t="shared" si="29"/>
        <v>8</v>
      </c>
      <c r="AJ218">
        <f t="shared" si="30"/>
        <v>4</v>
      </c>
      <c r="AL218">
        <f t="shared" si="31"/>
        <v>0</v>
      </c>
      <c r="AM218">
        <f t="shared" si="32"/>
        <v>42</v>
      </c>
      <c r="AN218">
        <f t="shared" si="33"/>
        <v>16</v>
      </c>
      <c r="AO218">
        <f t="shared" si="34"/>
        <v>4</v>
      </c>
      <c r="AP218">
        <f t="shared" si="35"/>
        <v>62</v>
      </c>
    </row>
    <row r="219" spans="1:42" ht="15.75" hidden="1" customHeight="1" x14ac:dyDescent="0.3">
      <c r="A219" s="16"/>
      <c r="B219" s="55">
        <v>13</v>
      </c>
      <c r="C219" s="56" t="s">
        <v>237</v>
      </c>
      <c r="D219" s="55">
        <v>5</v>
      </c>
      <c r="E219" s="55" t="s">
        <v>21</v>
      </c>
      <c r="F219" s="18" t="s">
        <v>21</v>
      </c>
      <c r="G219" s="18" t="s">
        <v>21</v>
      </c>
      <c r="H219" s="18" t="s">
        <v>21</v>
      </c>
      <c r="I219" s="18" t="s">
        <v>21</v>
      </c>
      <c r="J219" s="18" t="s">
        <v>20</v>
      </c>
      <c r="K219" s="18" t="s">
        <v>20</v>
      </c>
      <c r="L219" s="18" t="s">
        <v>20</v>
      </c>
      <c r="M219" s="18" t="s">
        <v>20</v>
      </c>
      <c r="N219" s="18" t="s">
        <v>21</v>
      </c>
      <c r="O219" s="18" t="s">
        <v>20</v>
      </c>
      <c r="P219" s="18" t="s">
        <v>23</v>
      </c>
      <c r="Q219" s="18" t="s">
        <v>21</v>
      </c>
      <c r="R219" s="18" t="s">
        <v>21</v>
      </c>
      <c r="S219" s="18" t="s">
        <v>20</v>
      </c>
      <c r="T219" s="18" t="s">
        <v>21</v>
      </c>
      <c r="U219" s="18" t="s">
        <v>21</v>
      </c>
      <c r="V219" s="37" t="s">
        <v>20</v>
      </c>
      <c r="W219" s="37" t="s">
        <v>20</v>
      </c>
      <c r="X219" s="37" t="s">
        <v>20</v>
      </c>
      <c r="Y219" s="18" t="s">
        <v>20</v>
      </c>
      <c r="Z219" s="18" t="s">
        <v>20</v>
      </c>
      <c r="AA219" s="20" t="s">
        <v>21</v>
      </c>
      <c r="AB219" s="20" t="s">
        <v>20</v>
      </c>
      <c r="AC219" s="20" t="s">
        <v>21</v>
      </c>
      <c r="AD219" s="29" t="s">
        <v>21</v>
      </c>
      <c r="AE219" s="29" t="s">
        <v>21</v>
      </c>
      <c r="AG219">
        <f t="shared" si="27"/>
        <v>0</v>
      </c>
      <c r="AH219">
        <f t="shared" si="28"/>
        <v>12</v>
      </c>
      <c r="AI219">
        <f t="shared" si="29"/>
        <v>13</v>
      </c>
      <c r="AJ219">
        <f t="shared" si="30"/>
        <v>1</v>
      </c>
      <c r="AL219">
        <f t="shared" si="31"/>
        <v>0</v>
      </c>
      <c r="AM219">
        <f t="shared" si="32"/>
        <v>36</v>
      </c>
      <c r="AN219">
        <f t="shared" si="33"/>
        <v>26</v>
      </c>
      <c r="AO219">
        <f t="shared" si="34"/>
        <v>1</v>
      </c>
      <c r="AP219">
        <f t="shared" si="35"/>
        <v>63</v>
      </c>
    </row>
    <row r="220" spans="1:42" ht="15.75" hidden="1" customHeight="1" x14ac:dyDescent="0.3">
      <c r="A220" s="16"/>
      <c r="B220" s="55">
        <v>14</v>
      </c>
      <c r="C220" s="56" t="s">
        <v>238</v>
      </c>
      <c r="D220" s="55">
        <v>5</v>
      </c>
      <c r="E220" s="55" t="s">
        <v>21</v>
      </c>
      <c r="F220" s="18" t="s">
        <v>21</v>
      </c>
      <c r="G220" s="18" t="s">
        <v>21</v>
      </c>
      <c r="H220" s="18" t="s">
        <v>23</v>
      </c>
      <c r="I220" s="18" t="s">
        <v>21</v>
      </c>
      <c r="J220" s="18" t="s">
        <v>23</v>
      </c>
      <c r="K220" s="18" t="s">
        <v>21</v>
      </c>
      <c r="L220" s="18" t="s">
        <v>21</v>
      </c>
      <c r="M220" s="18" t="s">
        <v>21</v>
      </c>
      <c r="N220" s="18" t="s">
        <v>21</v>
      </c>
      <c r="O220" s="18" t="s">
        <v>20</v>
      </c>
      <c r="P220" s="18" t="s">
        <v>21</v>
      </c>
      <c r="Q220" s="18" t="s">
        <v>23</v>
      </c>
      <c r="R220" s="18" t="s">
        <v>21</v>
      </c>
      <c r="S220" s="18" t="s">
        <v>21</v>
      </c>
      <c r="T220" s="18" t="s">
        <v>21</v>
      </c>
      <c r="U220" s="18" t="s">
        <v>20</v>
      </c>
      <c r="V220" s="37" t="s">
        <v>21</v>
      </c>
      <c r="W220" s="37" t="s">
        <v>20</v>
      </c>
      <c r="X220" s="37" t="s">
        <v>20</v>
      </c>
      <c r="Y220" s="18" t="s">
        <v>20</v>
      </c>
      <c r="Z220" s="18" t="s">
        <v>21</v>
      </c>
      <c r="AA220" s="20" t="s">
        <v>23</v>
      </c>
      <c r="AB220" s="20" t="s">
        <v>23</v>
      </c>
      <c r="AC220" s="20" t="s">
        <v>21</v>
      </c>
      <c r="AD220" s="29" t="s">
        <v>20</v>
      </c>
      <c r="AE220" s="29" t="s">
        <v>21</v>
      </c>
      <c r="AG220">
        <f t="shared" si="27"/>
        <v>0</v>
      </c>
      <c r="AH220">
        <f t="shared" si="28"/>
        <v>6</v>
      </c>
      <c r="AI220">
        <f t="shared" si="29"/>
        <v>15</v>
      </c>
      <c r="AJ220">
        <f t="shared" si="30"/>
        <v>5</v>
      </c>
      <c r="AL220">
        <f t="shared" si="31"/>
        <v>0</v>
      </c>
      <c r="AM220">
        <f t="shared" si="32"/>
        <v>18</v>
      </c>
      <c r="AN220">
        <f t="shared" si="33"/>
        <v>30</v>
      </c>
      <c r="AO220">
        <f t="shared" si="34"/>
        <v>5</v>
      </c>
      <c r="AP220">
        <f t="shared" si="35"/>
        <v>53</v>
      </c>
    </row>
    <row r="221" spans="1:42" ht="15.75" hidden="1" customHeight="1" x14ac:dyDescent="0.3">
      <c r="A221" s="16"/>
      <c r="B221" s="55">
        <v>15</v>
      </c>
      <c r="C221" s="56" t="s">
        <v>239</v>
      </c>
      <c r="D221" s="55">
        <v>5</v>
      </c>
      <c r="E221" s="55" t="s">
        <v>21</v>
      </c>
      <c r="F221" s="18" t="s">
        <v>21</v>
      </c>
      <c r="G221" s="18" t="s">
        <v>23</v>
      </c>
      <c r="H221" s="18" t="s">
        <v>21</v>
      </c>
      <c r="I221" s="18" t="s">
        <v>21</v>
      </c>
      <c r="J221" s="18" t="s">
        <v>21</v>
      </c>
      <c r="K221" s="18" t="s">
        <v>20</v>
      </c>
      <c r="L221" s="18" t="s">
        <v>20</v>
      </c>
      <c r="M221" s="18" t="s">
        <v>20</v>
      </c>
      <c r="N221" s="18" t="s">
        <v>21</v>
      </c>
      <c r="O221" s="18" t="s">
        <v>20</v>
      </c>
      <c r="P221" s="18" t="s">
        <v>21</v>
      </c>
      <c r="Q221" s="18" t="s">
        <v>21</v>
      </c>
      <c r="R221" s="18" t="s">
        <v>21</v>
      </c>
      <c r="S221" s="18" t="s">
        <v>20</v>
      </c>
      <c r="T221" s="18" t="s">
        <v>20</v>
      </c>
      <c r="U221" s="18" t="s">
        <v>21</v>
      </c>
      <c r="V221" s="37" t="s">
        <v>20</v>
      </c>
      <c r="W221" s="37" t="s">
        <v>20</v>
      </c>
      <c r="X221" s="37" t="s">
        <v>20</v>
      </c>
      <c r="Y221" s="18" t="s">
        <v>21</v>
      </c>
      <c r="Z221" s="18" t="s">
        <v>21</v>
      </c>
      <c r="AA221" s="20" t="s">
        <v>21</v>
      </c>
      <c r="AB221" s="20" t="s">
        <v>21</v>
      </c>
      <c r="AC221" s="20" t="s">
        <v>21</v>
      </c>
      <c r="AD221" s="29" t="s">
        <v>20</v>
      </c>
      <c r="AE221" s="29" t="s">
        <v>21</v>
      </c>
      <c r="AG221">
        <f t="shared" si="27"/>
        <v>0</v>
      </c>
      <c r="AH221">
        <f t="shared" si="28"/>
        <v>10</v>
      </c>
      <c r="AI221">
        <f t="shared" si="29"/>
        <v>15</v>
      </c>
      <c r="AJ221">
        <f t="shared" si="30"/>
        <v>1</v>
      </c>
      <c r="AL221">
        <f t="shared" si="31"/>
        <v>0</v>
      </c>
      <c r="AM221">
        <f t="shared" si="32"/>
        <v>30</v>
      </c>
      <c r="AN221">
        <f t="shared" si="33"/>
        <v>30</v>
      </c>
      <c r="AO221">
        <f t="shared" si="34"/>
        <v>1</v>
      </c>
      <c r="AP221">
        <f t="shared" si="35"/>
        <v>61</v>
      </c>
    </row>
    <row r="222" spans="1:42" ht="15.75" hidden="1" customHeight="1" x14ac:dyDescent="0.3">
      <c r="A222" s="16"/>
      <c r="B222" s="55">
        <v>16</v>
      </c>
      <c r="C222" s="56" t="s">
        <v>240</v>
      </c>
      <c r="D222" s="55">
        <v>5</v>
      </c>
      <c r="E222" s="55" t="s">
        <v>21</v>
      </c>
      <c r="F222" s="18" t="s">
        <v>20</v>
      </c>
      <c r="G222" s="18" t="s">
        <v>20</v>
      </c>
      <c r="H222" s="18" t="s">
        <v>21</v>
      </c>
      <c r="I222" s="18" t="s">
        <v>20</v>
      </c>
      <c r="J222" s="18" t="s">
        <v>21</v>
      </c>
      <c r="K222" s="18" t="s">
        <v>21</v>
      </c>
      <c r="L222" s="18" t="s">
        <v>20</v>
      </c>
      <c r="M222" s="18" t="s">
        <v>20</v>
      </c>
      <c r="N222" s="18" t="s">
        <v>20</v>
      </c>
      <c r="O222" s="18" t="s">
        <v>20</v>
      </c>
      <c r="P222" s="18" t="s">
        <v>21</v>
      </c>
      <c r="Q222" s="18" t="s">
        <v>20</v>
      </c>
      <c r="R222" s="18" t="s">
        <v>21</v>
      </c>
      <c r="S222" s="18" t="s">
        <v>21</v>
      </c>
      <c r="T222" s="18" t="s">
        <v>21</v>
      </c>
      <c r="U222" s="18" t="s">
        <v>20</v>
      </c>
      <c r="V222" s="37" t="s">
        <v>20</v>
      </c>
      <c r="W222" s="37" t="s">
        <v>20</v>
      </c>
      <c r="X222" s="37" t="s">
        <v>20</v>
      </c>
      <c r="Y222" s="18" t="s">
        <v>20</v>
      </c>
      <c r="Z222" s="18" t="s">
        <v>21</v>
      </c>
      <c r="AA222" s="20" t="s">
        <v>21</v>
      </c>
      <c r="AB222" s="20" t="s">
        <v>20</v>
      </c>
      <c r="AC222" s="20" t="s">
        <v>20</v>
      </c>
      <c r="AD222" s="29" t="s">
        <v>20</v>
      </c>
      <c r="AE222" s="29" t="s">
        <v>21</v>
      </c>
      <c r="AG222">
        <f t="shared" si="27"/>
        <v>0</v>
      </c>
      <c r="AH222">
        <f t="shared" si="28"/>
        <v>16</v>
      </c>
      <c r="AI222">
        <f t="shared" si="29"/>
        <v>10</v>
      </c>
      <c r="AJ222">
        <f t="shared" si="30"/>
        <v>0</v>
      </c>
      <c r="AL222">
        <f t="shared" si="31"/>
        <v>0</v>
      </c>
      <c r="AM222">
        <f t="shared" si="32"/>
        <v>48</v>
      </c>
      <c r="AN222">
        <f t="shared" si="33"/>
        <v>20</v>
      </c>
      <c r="AO222">
        <f t="shared" si="34"/>
        <v>0</v>
      </c>
      <c r="AP222">
        <f t="shared" si="35"/>
        <v>68</v>
      </c>
    </row>
    <row r="223" spans="1:42" ht="15.75" hidden="1" customHeight="1" x14ac:dyDescent="0.3">
      <c r="A223" s="16"/>
      <c r="B223" s="55">
        <v>17</v>
      </c>
      <c r="C223" s="56" t="s">
        <v>241</v>
      </c>
      <c r="D223" s="55">
        <v>5</v>
      </c>
      <c r="E223" s="55" t="s">
        <v>21</v>
      </c>
      <c r="F223" s="18" t="s">
        <v>21</v>
      </c>
      <c r="G223" s="18" t="s">
        <v>23</v>
      </c>
      <c r="H223" s="18" t="s">
        <v>21</v>
      </c>
      <c r="I223" s="18" t="s">
        <v>21</v>
      </c>
      <c r="J223" s="18" t="s">
        <v>21</v>
      </c>
      <c r="K223" s="18" t="s">
        <v>21</v>
      </c>
      <c r="L223" s="18" t="s">
        <v>21</v>
      </c>
      <c r="M223" s="18" t="s">
        <v>21</v>
      </c>
      <c r="N223" s="18" t="s">
        <v>21</v>
      </c>
      <c r="O223" s="18" t="s">
        <v>21</v>
      </c>
      <c r="P223" s="18" t="s">
        <v>21</v>
      </c>
      <c r="Q223" s="18" t="s">
        <v>23</v>
      </c>
      <c r="R223" s="18" t="s">
        <v>21</v>
      </c>
      <c r="S223" s="18" t="s">
        <v>21</v>
      </c>
      <c r="T223" s="18" t="s">
        <v>21</v>
      </c>
      <c r="U223" s="18" t="s">
        <v>21</v>
      </c>
      <c r="V223" s="37" t="s">
        <v>20</v>
      </c>
      <c r="W223" s="37" t="s">
        <v>21</v>
      </c>
      <c r="X223" s="37" t="s">
        <v>20</v>
      </c>
      <c r="Y223" s="18" t="s">
        <v>20</v>
      </c>
      <c r="Z223" s="18" t="s">
        <v>21</v>
      </c>
      <c r="AA223" s="20" t="s">
        <v>20</v>
      </c>
      <c r="AB223" s="20" t="s">
        <v>21</v>
      </c>
      <c r="AC223" s="20" t="s">
        <v>21</v>
      </c>
      <c r="AD223" s="29" t="s">
        <v>23</v>
      </c>
      <c r="AE223" s="29" t="s">
        <v>21</v>
      </c>
      <c r="AG223">
        <f t="shared" si="27"/>
        <v>0</v>
      </c>
      <c r="AH223">
        <f t="shared" si="28"/>
        <v>4</v>
      </c>
      <c r="AI223">
        <f t="shared" si="29"/>
        <v>19</v>
      </c>
      <c r="AJ223">
        <f t="shared" si="30"/>
        <v>3</v>
      </c>
      <c r="AL223">
        <f t="shared" si="31"/>
        <v>0</v>
      </c>
      <c r="AM223">
        <f t="shared" si="32"/>
        <v>12</v>
      </c>
      <c r="AN223">
        <f t="shared" si="33"/>
        <v>38</v>
      </c>
      <c r="AO223">
        <f t="shared" si="34"/>
        <v>3</v>
      </c>
      <c r="AP223">
        <f t="shared" si="35"/>
        <v>53</v>
      </c>
    </row>
    <row r="224" spans="1:42" ht="15.75" hidden="1" customHeight="1" x14ac:dyDescent="0.3">
      <c r="A224" s="16"/>
      <c r="B224" s="55">
        <v>18</v>
      </c>
      <c r="C224" s="56" t="s">
        <v>242</v>
      </c>
      <c r="D224" s="55">
        <v>5</v>
      </c>
      <c r="E224" s="55" t="s">
        <v>21</v>
      </c>
      <c r="F224" s="18" t="s">
        <v>20</v>
      </c>
      <c r="G224" s="18" t="s">
        <v>20</v>
      </c>
      <c r="H224" s="18" t="s">
        <v>21</v>
      </c>
      <c r="I224" s="18" t="s">
        <v>21</v>
      </c>
      <c r="J224" s="18" t="s">
        <v>20</v>
      </c>
      <c r="K224" s="18" t="s">
        <v>20</v>
      </c>
      <c r="L224" s="18" t="s">
        <v>21</v>
      </c>
      <c r="M224" s="18" t="s">
        <v>20</v>
      </c>
      <c r="N224" s="18" t="s">
        <v>20</v>
      </c>
      <c r="O224" s="18" t="s">
        <v>20</v>
      </c>
      <c r="P224" s="18" t="s">
        <v>21</v>
      </c>
      <c r="Q224" s="18" t="s">
        <v>21</v>
      </c>
      <c r="R224" s="18" t="s">
        <v>21</v>
      </c>
      <c r="S224" s="18" t="s">
        <v>20</v>
      </c>
      <c r="T224" s="18" t="s">
        <v>20</v>
      </c>
      <c r="U224" s="18" t="s">
        <v>20</v>
      </c>
      <c r="V224" s="37" t="s">
        <v>20</v>
      </c>
      <c r="W224" s="37" t="s">
        <v>20</v>
      </c>
      <c r="X224" s="37" t="s">
        <v>20</v>
      </c>
      <c r="Y224" s="18" t="s">
        <v>20</v>
      </c>
      <c r="Z224" s="18" t="s">
        <v>20</v>
      </c>
      <c r="AA224" s="20" t="s">
        <v>21</v>
      </c>
      <c r="AB224" s="20" t="s">
        <v>20</v>
      </c>
      <c r="AC224" s="20" t="s">
        <v>20</v>
      </c>
      <c r="AD224" s="29" t="s">
        <v>20</v>
      </c>
      <c r="AE224" s="29" t="s">
        <v>21</v>
      </c>
      <c r="AG224">
        <f t="shared" si="27"/>
        <v>0</v>
      </c>
      <c r="AH224">
        <f t="shared" si="28"/>
        <v>18</v>
      </c>
      <c r="AI224">
        <f t="shared" si="29"/>
        <v>8</v>
      </c>
      <c r="AJ224">
        <f t="shared" si="30"/>
        <v>0</v>
      </c>
      <c r="AL224">
        <f t="shared" si="31"/>
        <v>0</v>
      </c>
      <c r="AM224">
        <f t="shared" si="32"/>
        <v>54</v>
      </c>
      <c r="AN224">
        <f t="shared" si="33"/>
        <v>16</v>
      </c>
      <c r="AO224">
        <f t="shared" si="34"/>
        <v>0</v>
      </c>
      <c r="AP224">
        <f t="shared" si="35"/>
        <v>70</v>
      </c>
    </row>
    <row r="225" spans="1:42" ht="15.75" hidden="1" customHeight="1" x14ac:dyDescent="0.3">
      <c r="A225" s="16"/>
      <c r="B225" s="55">
        <v>19</v>
      </c>
      <c r="C225" s="56" t="s">
        <v>243</v>
      </c>
      <c r="D225" s="55">
        <v>5</v>
      </c>
      <c r="E225" s="55" t="s">
        <v>21</v>
      </c>
      <c r="F225" s="18" t="s">
        <v>20</v>
      </c>
      <c r="G225" s="18" t="s">
        <v>20</v>
      </c>
      <c r="H225" s="18" t="s">
        <v>20</v>
      </c>
      <c r="I225" s="18" t="s">
        <v>20</v>
      </c>
      <c r="J225" s="18" t="s">
        <v>20</v>
      </c>
      <c r="K225" s="18" t="s">
        <v>20</v>
      </c>
      <c r="L225" s="18" t="s">
        <v>20</v>
      </c>
      <c r="M225" s="18" t="s">
        <v>20</v>
      </c>
      <c r="N225" s="18" t="s">
        <v>20</v>
      </c>
      <c r="O225" s="18" t="s">
        <v>20</v>
      </c>
      <c r="P225" s="18" t="s">
        <v>20</v>
      </c>
      <c r="Q225" s="18" t="s">
        <v>20</v>
      </c>
      <c r="R225" s="18" t="s">
        <v>20</v>
      </c>
      <c r="S225" s="18" t="s">
        <v>20</v>
      </c>
      <c r="T225" s="18" t="s">
        <v>20</v>
      </c>
      <c r="U225" s="18" t="s">
        <v>20</v>
      </c>
      <c r="V225" s="37" t="s">
        <v>20</v>
      </c>
      <c r="W225" s="37" t="s">
        <v>20</v>
      </c>
      <c r="X225" s="37" t="s">
        <v>20</v>
      </c>
      <c r="Y225" s="18" t="s">
        <v>20</v>
      </c>
      <c r="Z225" s="18" t="s">
        <v>20</v>
      </c>
      <c r="AA225" s="20" t="s">
        <v>20</v>
      </c>
      <c r="AB225" s="20" t="s">
        <v>20</v>
      </c>
      <c r="AC225" s="20" t="s">
        <v>20</v>
      </c>
      <c r="AD225" s="29" t="s">
        <v>20</v>
      </c>
      <c r="AE225" s="29" t="s">
        <v>21</v>
      </c>
      <c r="AG225">
        <f t="shared" si="27"/>
        <v>0</v>
      </c>
      <c r="AH225">
        <f t="shared" si="28"/>
        <v>25</v>
      </c>
      <c r="AI225">
        <f t="shared" si="29"/>
        <v>1</v>
      </c>
      <c r="AJ225">
        <f t="shared" si="30"/>
        <v>0</v>
      </c>
      <c r="AL225">
        <f t="shared" si="31"/>
        <v>0</v>
      </c>
      <c r="AM225">
        <f t="shared" si="32"/>
        <v>75</v>
      </c>
      <c r="AN225">
        <f t="shared" si="33"/>
        <v>2</v>
      </c>
      <c r="AO225">
        <f t="shared" si="34"/>
        <v>0</v>
      </c>
      <c r="AP225">
        <f t="shared" si="35"/>
        <v>77</v>
      </c>
    </row>
    <row r="226" spans="1:42" ht="15.75" hidden="1" customHeight="1" x14ac:dyDescent="0.3">
      <c r="A226" s="16"/>
      <c r="B226" s="55">
        <v>20</v>
      </c>
      <c r="C226" s="56" t="s">
        <v>244</v>
      </c>
      <c r="D226" s="55">
        <v>5</v>
      </c>
      <c r="E226" s="55" t="s">
        <v>21</v>
      </c>
      <c r="F226" s="18" t="s">
        <v>20</v>
      </c>
      <c r="G226" s="18" t="s">
        <v>21</v>
      </c>
      <c r="H226" s="18" t="s">
        <v>21</v>
      </c>
      <c r="I226" s="18" t="s">
        <v>21</v>
      </c>
      <c r="J226" s="18" t="s">
        <v>21</v>
      </c>
      <c r="K226" s="18" t="s">
        <v>20</v>
      </c>
      <c r="L226" s="18" t="s">
        <v>20</v>
      </c>
      <c r="M226" s="18" t="s">
        <v>20</v>
      </c>
      <c r="N226" s="18" t="s">
        <v>21</v>
      </c>
      <c r="O226" s="18" t="s">
        <v>20</v>
      </c>
      <c r="P226" s="18" t="s">
        <v>21</v>
      </c>
      <c r="Q226" s="18" t="s">
        <v>21</v>
      </c>
      <c r="R226" s="18" t="s">
        <v>21</v>
      </c>
      <c r="S226" s="18" t="s">
        <v>20</v>
      </c>
      <c r="T226" s="18" t="s">
        <v>21</v>
      </c>
      <c r="U226" s="18" t="s">
        <v>21</v>
      </c>
      <c r="V226" s="37" t="s">
        <v>20</v>
      </c>
      <c r="W226" s="37" t="s">
        <v>21</v>
      </c>
      <c r="X226" s="37" t="s">
        <v>20</v>
      </c>
      <c r="Y226" s="18" t="s">
        <v>20</v>
      </c>
      <c r="Z226" s="18" t="s">
        <v>20</v>
      </c>
      <c r="AA226" s="20" t="s">
        <v>20</v>
      </c>
      <c r="AB226" s="20" t="s">
        <v>20</v>
      </c>
      <c r="AC226" s="20" t="s">
        <v>20</v>
      </c>
      <c r="AD226" s="29" t="s">
        <v>20</v>
      </c>
      <c r="AE226" s="29" t="s">
        <v>21</v>
      </c>
      <c r="AG226">
        <f t="shared" si="27"/>
        <v>0</v>
      </c>
      <c r="AH226">
        <f t="shared" si="28"/>
        <v>14</v>
      </c>
      <c r="AI226">
        <f t="shared" si="29"/>
        <v>12</v>
      </c>
      <c r="AJ226">
        <f t="shared" si="30"/>
        <v>0</v>
      </c>
      <c r="AL226">
        <f t="shared" si="31"/>
        <v>0</v>
      </c>
      <c r="AM226">
        <f t="shared" si="32"/>
        <v>42</v>
      </c>
      <c r="AN226">
        <f t="shared" si="33"/>
        <v>24</v>
      </c>
      <c r="AO226">
        <f t="shared" si="34"/>
        <v>0</v>
      </c>
      <c r="AP226">
        <f t="shared" si="35"/>
        <v>66</v>
      </c>
    </row>
    <row r="227" spans="1:42" ht="15.75" hidden="1" customHeight="1" x14ac:dyDescent="0.3">
      <c r="A227" s="16"/>
      <c r="B227" s="55">
        <v>21</v>
      </c>
      <c r="C227" s="56" t="s">
        <v>245</v>
      </c>
      <c r="D227" s="55">
        <v>5</v>
      </c>
      <c r="E227" s="55" t="s">
        <v>21</v>
      </c>
      <c r="F227" s="18" t="s">
        <v>39</v>
      </c>
      <c r="G227" s="18" t="s">
        <v>20</v>
      </c>
      <c r="H227" s="18" t="s">
        <v>20</v>
      </c>
      <c r="I227" s="18" t="s">
        <v>20</v>
      </c>
      <c r="J227" s="18" t="s">
        <v>20</v>
      </c>
      <c r="K227" s="18" t="s">
        <v>39</v>
      </c>
      <c r="L227" s="18" t="s">
        <v>39</v>
      </c>
      <c r="M227" s="18" t="s">
        <v>20</v>
      </c>
      <c r="N227" s="18" t="s">
        <v>20</v>
      </c>
      <c r="O227" s="18" t="s">
        <v>20</v>
      </c>
      <c r="P227" s="18" t="s">
        <v>20</v>
      </c>
      <c r="Q227" s="18" t="s">
        <v>20</v>
      </c>
      <c r="R227" s="18" t="s">
        <v>20</v>
      </c>
      <c r="S227" s="18" t="s">
        <v>20</v>
      </c>
      <c r="T227" s="18" t="s">
        <v>20</v>
      </c>
      <c r="U227" s="18" t="s">
        <v>20</v>
      </c>
      <c r="V227" s="37" t="s">
        <v>20</v>
      </c>
      <c r="W227" s="37" t="s">
        <v>20</v>
      </c>
      <c r="X227" s="37" t="s">
        <v>20</v>
      </c>
      <c r="Y227" s="18" t="s">
        <v>39</v>
      </c>
      <c r="Z227" s="18" t="s">
        <v>39</v>
      </c>
      <c r="AA227" s="20" t="s">
        <v>20</v>
      </c>
      <c r="AB227" s="20" t="s">
        <v>20</v>
      </c>
      <c r="AC227" s="20" t="s">
        <v>20</v>
      </c>
      <c r="AD227" s="29" t="s">
        <v>20</v>
      </c>
      <c r="AE227" s="29" t="s">
        <v>21</v>
      </c>
      <c r="AG227">
        <f t="shared" si="27"/>
        <v>5</v>
      </c>
      <c r="AH227">
        <f t="shared" si="28"/>
        <v>20</v>
      </c>
      <c r="AI227">
        <f t="shared" si="29"/>
        <v>1</v>
      </c>
      <c r="AJ227">
        <f t="shared" si="30"/>
        <v>0</v>
      </c>
      <c r="AL227">
        <f t="shared" si="31"/>
        <v>20</v>
      </c>
      <c r="AM227">
        <f t="shared" si="32"/>
        <v>60</v>
      </c>
      <c r="AN227">
        <f t="shared" si="33"/>
        <v>2</v>
      </c>
      <c r="AO227">
        <f t="shared" si="34"/>
        <v>0</v>
      </c>
      <c r="AP227">
        <f t="shared" si="35"/>
        <v>82</v>
      </c>
    </row>
    <row r="228" spans="1:42" ht="15.75" hidden="1" customHeight="1" x14ac:dyDescent="0.3">
      <c r="A228" s="16"/>
      <c r="B228" s="55">
        <v>22</v>
      </c>
      <c r="C228" s="56" t="s">
        <v>246</v>
      </c>
      <c r="D228" s="55">
        <v>5</v>
      </c>
      <c r="E228" s="55" t="s">
        <v>21</v>
      </c>
      <c r="F228" s="18" t="s">
        <v>21</v>
      </c>
      <c r="G228" s="18" t="s">
        <v>21</v>
      </c>
      <c r="H228" s="18" t="s">
        <v>21</v>
      </c>
      <c r="I228" s="18" t="s">
        <v>21</v>
      </c>
      <c r="J228" s="18" t="s">
        <v>21</v>
      </c>
      <c r="K228" s="18" t="s">
        <v>20</v>
      </c>
      <c r="L228" s="18" t="s">
        <v>20</v>
      </c>
      <c r="M228" s="18" t="s">
        <v>20</v>
      </c>
      <c r="N228" s="18" t="s">
        <v>20</v>
      </c>
      <c r="O228" s="18" t="s">
        <v>20</v>
      </c>
      <c r="P228" s="18" t="s">
        <v>21</v>
      </c>
      <c r="Q228" s="18" t="s">
        <v>21</v>
      </c>
      <c r="R228" s="18" t="s">
        <v>23</v>
      </c>
      <c r="S228" s="18" t="s">
        <v>21</v>
      </c>
      <c r="T228" s="18" t="s">
        <v>21</v>
      </c>
      <c r="U228" s="18" t="s">
        <v>20</v>
      </c>
      <c r="V228" s="37" t="s">
        <v>20</v>
      </c>
      <c r="W228" s="37" t="s">
        <v>20</v>
      </c>
      <c r="X228" s="37" t="s">
        <v>20</v>
      </c>
      <c r="Y228" s="18" t="s">
        <v>21</v>
      </c>
      <c r="Z228" s="18" t="s">
        <v>20</v>
      </c>
      <c r="AA228" s="20" t="s">
        <v>21</v>
      </c>
      <c r="AB228" s="20" t="s">
        <v>21</v>
      </c>
      <c r="AC228" s="20" t="s">
        <v>21</v>
      </c>
      <c r="AD228" s="47" t="s">
        <v>23</v>
      </c>
      <c r="AE228" s="47" t="s">
        <v>21</v>
      </c>
      <c r="AG228">
        <f t="shared" si="27"/>
        <v>0</v>
      </c>
      <c r="AH228">
        <f t="shared" si="28"/>
        <v>10</v>
      </c>
      <c r="AI228">
        <f t="shared" si="29"/>
        <v>14</v>
      </c>
      <c r="AJ228">
        <f t="shared" si="30"/>
        <v>2</v>
      </c>
      <c r="AL228">
        <f t="shared" si="31"/>
        <v>0</v>
      </c>
      <c r="AM228">
        <f t="shared" si="32"/>
        <v>30</v>
      </c>
      <c r="AN228">
        <f t="shared" si="33"/>
        <v>28</v>
      </c>
      <c r="AO228">
        <f t="shared" si="34"/>
        <v>2</v>
      </c>
      <c r="AP228">
        <f t="shared" si="35"/>
        <v>60</v>
      </c>
    </row>
    <row r="229" spans="1:42" ht="15.75" hidden="1" customHeight="1" x14ac:dyDescent="0.3">
      <c r="A229" s="16"/>
      <c r="B229" s="55">
        <v>23</v>
      </c>
      <c r="C229" s="56" t="s">
        <v>247</v>
      </c>
      <c r="D229" s="55">
        <v>5</v>
      </c>
      <c r="E229" s="55" t="s">
        <v>21</v>
      </c>
      <c r="F229" s="18" t="s">
        <v>21</v>
      </c>
      <c r="G229" s="18" t="s">
        <v>21</v>
      </c>
      <c r="H229" s="18" t="s">
        <v>21</v>
      </c>
      <c r="I229" s="18" t="s">
        <v>20</v>
      </c>
      <c r="J229" s="18" t="s">
        <v>20</v>
      </c>
      <c r="K229" s="18" t="s">
        <v>20</v>
      </c>
      <c r="L229" s="18" t="s">
        <v>20</v>
      </c>
      <c r="M229" s="18" t="s">
        <v>20</v>
      </c>
      <c r="N229" s="18" t="s">
        <v>21</v>
      </c>
      <c r="O229" s="18" t="s">
        <v>20</v>
      </c>
      <c r="P229" s="18" t="s">
        <v>21</v>
      </c>
      <c r="Q229" s="18" t="s">
        <v>21</v>
      </c>
      <c r="R229" s="18" t="s">
        <v>20</v>
      </c>
      <c r="S229" s="18" t="s">
        <v>21</v>
      </c>
      <c r="T229" s="18" t="s">
        <v>21</v>
      </c>
      <c r="U229" s="18" t="s">
        <v>21</v>
      </c>
      <c r="V229" s="37" t="s">
        <v>20</v>
      </c>
      <c r="W229" s="37" t="s">
        <v>20</v>
      </c>
      <c r="X229" s="37" t="s">
        <v>20</v>
      </c>
      <c r="Y229" s="18" t="s">
        <v>20</v>
      </c>
      <c r="Z229" s="18" t="s">
        <v>21</v>
      </c>
      <c r="AA229" s="20" t="s">
        <v>20</v>
      </c>
      <c r="AB229" s="20" t="s">
        <v>20</v>
      </c>
      <c r="AC229" s="20" t="s">
        <v>20</v>
      </c>
      <c r="AD229" s="29" t="s">
        <v>20</v>
      </c>
      <c r="AE229" s="29" t="s">
        <v>21</v>
      </c>
      <c r="AG229">
        <f t="shared" si="27"/>
        <v>0</v>
      </c>
      <c r="AH229">
        <f t="shared" si="28"/>
        <v>15</v>
      </c>
      <c r="AI229">
        <f t="shared" si="29"/>
        <v>11</v>
      </c>
      <c r="AJ229">
        <f t="shared" si="30"/>
        <v>0</v>
      </c>
      <c r="AL229">
        <f t="shared" si="31"/>
        <v>0</v>
      </c>
      <c r="AM229">
        <f t="shared" si="32"/>
        <v>45</v>
      </c>
      <c r="AN229">
        <f t="shared" si="33"/>
        <v>22</v>
      </c>
      <c r="AO229">
        <f t="shared" si="34"/>
        <v>0</v>
      </c>
      <c r="AP229">
        <f t="shared" si="35"/>
        <v>67</v>
      </c>
    </row>
    <row r="230" spans="1:42" ht="15.75" hidden="1" customHeight="1" x14ac:dyDescent="0.3">
      <c r="A230" s="16"/>
      <c r="B230" s="55">
        <v>24</v>
      </c>
      <c r="C230" s="56" t="s">
        <v>248</v>
      </c>
      <c r="D230" s="55">
        <v>5</v>
      </c>
      <c r="E230" s="55" t="s">
        <v>21</v>
      </c>
      <c r="F230" s="18" t="s">
        <v>20</v>
      </c>
      <c r="G230" s="18" t="s">
        <v>20</v>
      </c>
      <c r="H230" s="18" t="s">
        <v>20</v>
      </c>
      <c r="I230" s="18" t="s">
        <v>20</v>
      </c>
      <c r="J230" s="18" t="s">
        <v>20</v>
      </c>
      <c r="K230" s="18" t="s">
        <v>20</v>
      </c>
      <c r="L230" s="18" t="s">
        <v>39</v>
      </c>
      <c r="M230" s="18" t="s">
        <v>20</v>
      </c>
      <c r="N230" s="18" t="s">
        <v>20</v>
      </c>
      <c r="O230" s="18" t="s">
        <v>20</v>
      </c>
      <c r="P230" s="18" t="s">
        <v>20</v>
      </c>
      <c r="Q230" s="18" t="s">
        <v>21</v>
      </c>
      <c r="R230" s="18" t="s">
        <v>21</v>
      </c>
      <c r="S230" s="18" t="s">
        <v>20</v>
      </c>
      <c r="T230" s="18" t="s">
        <v>20</v>
      </c>
      <c r="U230" s="18" t="s">
        <v>20</v>
      </c>
      <c r="V230" s="37" t="s">
        <v>20</v>
      </c>
      <c r="W230" s="37" t="s">
        <v>21</v>
      </c>
      <c r="X230" s="37" t="s">
        <v>20</v>
      </c>
      <c r="Y230" s="18" t="s">
        <v>20</v>
      </c>
      <c r="Z230" s="18" t="s">
        <v>20</v>
      </c>
      <c r="AA230" s="20" t="s">
        <v>20</v>
      </c>
      <c r="AB230" s="20" t="s">
        <v>21</v>
      </c>
      <c r="AC230" s="20" t="s">
        <v>20</v>
      </c>
      <c r="AD230" s="29" t="s">
        <v>20</v>
      </c>
      <c r="AE230" s="29" t="s">
        <v>21</v>
      </c>
      <c r="AG230">
        <f t="shared" si="27"/>
        <v>1</v>
      </c>
      <c r="AH230">
        <f t="shared" si="28"/>
        <v>20</v>
      </c>
      <c r="AI230">
        <f t="shared" si="29"/>
        <v>5</v>
      </c>
      <c r="AJ230">
        <f t="shared" si="30"/>
        <v>0</v>
      </c>
      <c r="AL230">
        <f t="shared" si="31"/>
        <v>4</v>
      </c>
      <c r="AM230">
        <f t="shared" si="32"/>
        <v>60</v>
      </c>
      <c r="AN230">
        <f t="shared" si="33"/>
        <v>10</v>
      </c>
      <c r="AO230">
        <f t="shared" si="34"/>
        <v>0</v>
      </c>
      <c r="AP230">
        <f t="shared" si="35"/>
        <v>74</v>
      </c>
    </row>
    <row r="231" spans="1:42" ht="15.75" hidden="1" customHeight="1" x14ac:dyDescent="0.3">
      <c r="A231" s="16"/>
      <c r="B231" s="55">
        <v>25</v>
      </c>
      <c r="C231" s="56" t="s">
        <v>249</v>
      </c>
      <c r="D231" s="55">
        <v>5</v>
      </c>
      <c r="E231" s="55" t="s">
        <v>21</v>
      </c>
      <c r="F231" s="18" t="s">
        <v>21</v>
      </c>
      <c r="G231" s="18" t="s">
        <v>21</v>
      </c>
      <c r="H231" s="17" t="s">
        <v>21</v>
      </c>
      <c r="I231" s="18" t="s">
        <v>21</v>
      </c>
      <c r="J231" s="18" t="s">
        <v>21</v>
      </c>
      <c r="K231" s="18" t="s">
        <v>21</v>
      </c>
      <c r="L231" s="18" t="s">
        <v>21</v>
      </c>
      <c r="M231" s="18" t="s">
        <v>20</v>
      </c>
      <c r="N231" s="18" t="s">
        <v>21</v>
      </c>
      <c r="O231" s="18" t="s">
        <v>20</v>
      </c>
      <c r="P231" s="18" t="s">
        <v>21</v>
      </c>
      <c r="Q231" s="18" t="s">
        <v>21</v>
      </c>
      <c r="R231" s="18" t="s">
        <v>21</v>
      </c>
      <c r="S231" s="18" t="s">
        <v>21</v>
      </c>
      <c r="T231" s="18" t="s">
        <v>20</v>
      </c>
      <c r="U231" s="18" t="s">
        <v>21</v>
      </c>
      <c r="V231" s="37" t="s">
        <v>21</v>
      </c>
      <c r="W231" s="37" t="s">
        <v>21</v>
      </c>
      <c r="X231" s="37" t="s">
        <v>21</v>
      </c>
      <c r="Y231" s="18" t="s">
        <v>20</v>
      </c>
      <c r="Z231" s="18" t="s">
        <v>21</v>
      </c>
      <c r="AA231" s="20" t="s">
        <v>21</v>
      </c>
      <c r="AB231" s="20" t="s">
        <v>21</v>
      </c>
      <c r="AC231" s="20" t="s">
        <v>21</v>
      </c>
      <c r="AD231" s="29" t="s">
        <v>21</v>
      </c>
      <c r="AE231" s="29" t="s">
        <v>21</v>
      </c>
      <c r="AG231">
        <f t="shared" si="27"/>
        <v>0</v>
      </c>
      <c r="AH231">
        <f t="shared" si="28"/>
        <v>4</v>
      </c>
      <c r="AI231">
        <f t="shared" si="29"/>
        <v>22</v>
      </c>
      <c r="AJ231">
        <f t="shared" si="30"/>
        <v>0</v>
      </c>
      <c r="AL231">
        <f t="shared" si="31"/>
        <v>0</v>
      </c>
      <c r="AM231">
        <f t="shared" si="32"/>
        <v>12</v>
      </c>
      <c r="AN231">
        <f t="shared" si="33"/>
        <v>44</v>
      </c>
      <c r="AO231">
        <f t="shared" si="34"/>
        <v>0</v>
      </c>
      <c r="AP231">
        <f t="shared" si="35"/>
        <v>56</v>
      </c>
    </row>
    <row r="232" spans="1:42" ht="15.75" hidden="1" customHeight="1" thickBot="1" x14ac:dyDescent="0.35">
      <c r="A232" s="16"/>
      <c r="B232" s="57">
        <v>26</v>
      </c>
      <c r="C232" s="58" t="s">
        <v>250</v>
      </c>
      <c r="D232" s="57">
        <v>5</v>
      </c>
      <c r="E232" s="57" t="s">
        <v>21</v>
      </c>
      <c r="F232" s="21" t="s">
        <v>39</v>
      </c>
      <c r="G232" s="21" t="s">
        <v>20</v>
      </c>
      <c r="H232" s="41" t="s">
        <v>20</v>
      </c>
      <c r="I232" s="21" t="s">
        <v>20</v>
      </c>
      <c r="J232" s="21" t="s">
        <v>20</v>
      </c>
      <c r="K232" s="21" t="s">
        <v>20</v>
      </c>
      <c r="L232" s="21" t="s">
        <v>20</v>
      </c>
      <c r="M232" s="21" t="s">
        <v>20</v>
      </c>
      <c r="N232" s="21" t="s">
        <v>20</v>
      </c>
      <c r="O232" s="21" t="s">
        <v>20</v>
      </c>
      <c r="P232" s="21" t="s">
        <v>21</v>
      </c>
      <c r="Q232" s="21" t="s">
        <v>20</v>
      </c>
      <c r="R232" s="21" t="s">
        <v>20</v>
      </c>
      <c r="S232" s="21" t="s">
        <v>20</v>
      </c>
      <c r="T232" s="21" t="s">
        <v>20</v>
      </c>
      <c r="U232" s="21" t="s">
        <v>20</v>
      </c>
      <c r="V232" s="38" t="s">
        <v>20</v>
      </c>
      <c r="W232" s="38" t="s">
        <v>20</v>
      </c>
      <c r="X232" s="38" t="s">
        <v>20</v>
      </c>
      <c r="Y232" s="21" t="s">
        <v>20</v>
      </c>
      <c r="Z232" s="21" t="s">
        <v>20</v>
      </c>
      <c r="AA232" s="23" t="s">
        <v>20</v>
      </c>
      <c r="AB232" s="23" t="s">
        <v>20</v>
      </c>
      <c r="AC232" s="23" t="s">
        <v>20</v>
      </c>
      <c r="AD232" s="31" t="s">
        <v>20</v>
      </c>
      <c r="AE232" s="31" t="s">
        <v>21</v>
      </c>
      <c r="AG232">
        <f t="shared" si="27"/>
        <v>1</v>
      </c>
      <c r="AH232">
        <f t="shared" si="28"/>
        <v>23</v>
      </c>
      <c r="AI232">
        <f t="shared" si="29"/>
        <v>2</v>
      </c>
      <c r="AJ232">
        <f t="shared" si="30"/>
        <v>0</v>
      </c>
      <c r="AL232">
        <f t="shared" si="31"/>
        <v>4</v>
      </c>
      <c r="AM232">
        <f t="shared" si="32"/>
        <v>69</v>
      </c>
      <c r="AN232">
        <f t="shared" si="33"/>
        <v>4</v>
      </c>
      <c r="AO232">
        <f t="shared" si="34"/>
        <v>0</v>
      </c>
      <c r="AP232">
        <f t="shared" si="35"/>
        <v>77</v>
      </c>
    </row>
    <row r="233" spans="1:42" ht="15.75" customHeight="1" x14ac:dyDescent="0.3">
      <c r="B233" s="54"/>
    </row>
    <row r="234" spans="1:42" ht="15.75" customHeight="1" x14ac:dyDescent="0.3"/>
    <row r="235" spans="1:42" ht="15.75" customHeight="1" x14ac:dyDescent="0.3"/>
    <row r="236" spans="1:42" ht="15.75" customHeight="1" x14ac:dyDescent="0.3"/>
    <row r="237" spans="1:42" ht="15.75" customHeight="1" x14ac:dyDescent="0.3"/>
    <row r="238" spans="1:42" ht="15.75" customHeight="1" x14ac:dyDescent="0.3"/>
    <row r="239" spans="1:42" ht="15.75" customHeight="1" x14ac:dyDescent="0.3"/>
    <row r="240" spans="1:42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  <row r="1041" ht="15.75" customHeight="1" x14ac:dyDescent="0.3"/>
    <row r="1042" ht="15.75" customHeight="1" x14ac:dyDescent="0.3"/>
    <row r="1043" ht="15.75" customHeight="1" x14ac:dyDescent="0.3"/>
    <row r="1044" ht="15.75" customHeight="1" x14ac:dyDescent="0.3"/>
    <row r="1045" ht="15.75" customHeight="1" x14ac:dyDescent="0.3"/>
    <row r="1046" ht="15.75" customHeight="1" x14ac:dyDescent="0.3"/>
    <row r="1047" ht="15.75" customHeight="1" x14ac:dyDescent="0.3"/>
    <row r="1048" ht="15.75" customHeight="1" x14ac:dyDescent="0.3"/>
    <row r="1049" ht="15.75" customHeight="1" x14ac:dyDescent="0.3"/>
    <row r="1050" ht="15.75" customHeight="1" x14ac:dyDescent="0.3"/>
    <row r="1051" ht="15.75" customHeight="1" x14ac:dyDescent="0.3"/>
    <row r="1052" ht="15.75" customHeight="1" x14ac:dyDescent="0.3"/>
    <row r="1053" ht="15.75" customHeight="1" x14ac:dyDescent="0.3"/>
    <row r="1054" ht="15.75" customHeight="1" x14ac:dyDescent="0.3"/>
    <row r="1055" ht="15.75" customHeight="1" x14ac:dyDescent="0.3"/>
    <row r="1056" ht="15.75" customHeight="1" x14ac:dyDescent="0.3"/>
    <row r="1057" ht="15.75" customHeight="1" x14ac:dyDescent="0.3"/>
    <row r="1058" ht="15.75" customHeight="1" x14ac:dyDescent="0.3"/>
    <row r="1059" ht="15.75" customHeight="1" x14ac:dyDescent="0.3"/>
    <row r="1060" ht="15.75" customHeight="1" x14ac:dyDescent="0.3"/>
    <row r="1061" ht="15.75" customHeight="1" x14ac:dyDescent="0.3"/>
    <row r="1062" ht="15.75" customHeight="1" x14ac:dyDescent="0.3"/>
    <row r="1063" ht="15.75" customHeight="1" x14ac:dyDescent="0.3"/>
    <row r="1064" ht="15.75" customHeight="1" x14ac:dyDescent="0.3"/>
    <row r="1065" ht="15.75" customHeight="1" x14ac:dyDescent="0.3"/>
    <row r="1066" ht="15.75" customHeight="1" x14ac:dyDescent="0.3"/>
    <row r="1067" ht="15.75" customHeight="1" x14ac:dyDescent="0.3"/>
    <row r="1068" ht="15.75" customHeight="1" x14ac:dyDescent="0.3"/>
    <row r="1069" ht="15.75" customHeight="1" x14ac:dyDescent="0.3"/>
    <row r="1070" ht="15.75" customHeight="1" x14ac:dyDescent="0.3"/>
    <row r="1071" ht="15.75" customHeight="1" x14ac:dyDescent="0.3"/>
    <row r="1072" ht="15.75" customHeight="1" x14ac:dyDescent="0.3"/>
    <row r="1073" ht="15.75" customHeight="1" x14ac:dyDescent="0.3"/>
    <row r="1074" ht="15.75" customHeight="1" x14ac:dyDescent="0.3"/>
    <row r="1075" ht="15.75" customHeight="1" x14ac:dyDescent="0.3"/>
    <row r="1076" ht="15.75" customHeight="1" x14ac:dyDescent="0.3"/>
    <row r="1077" ht="15.75" customHeight="1" x14ac:dyDescent="0.3"/>
    <row r="1078" ht="15.75" customHeight="1" x14ac:dyDescent="0.3"/>
    <row r="1079" ht="15.75" customHeight="1" x14ac:dyDescent="0.3"/>
    <row r="1080" ht="15.75" customHeight="1" x14ac:dyDescent="0.3"/>
    <row r="1081" ht="15.75" customHeight="1" x14ac:dyDescent="0.3"/>
    <row r="1082" ht="15.75" customHeight="1" x14ac:dyDescent="0.3"/>
    <row r="1083" ht="15.75" customHeight="1" x14ac:dyDescent="0.3"/>
    <row r="1084" ht="15.75" customHeight="1" x14ac:dyDescent="0.3"/>
    <row r="1085" ht="15.75" customHeight="1" x14ac:dyDescent="0.3"/>
    <row r="1086" ht="15.75" customHeight="1" x14ac:dyDescent="0.3"/>
    <row r="1087" ht="15.75" customHeight="1" x14ac:dyDescent="0.3"/>
    <row r="1088" ht="15.75" customHeight="1" x14ac:dyDescent="0.3"/>
    <row r="1089" ht="15.75" customHeight="1" x14ac:dyDescent="0.3"/>
    <row r="1090" ht="15.75" customHeight="1" x14ac:dyDescent="0.3"/>
    <row r="1091" ht="15.75" customHeight="1" x14ac:dyDescent="0.3"/>
    <row r="1092" ht="15.75" customHeight="1" x14ac:dyDescent="0.3"/>
    <row r="1093" ht="15.75" customHeight="1" x14ac:dyDescent="0.3"/>
    <row r="1094" ht="15.75" customHeight="1" x14ac:dyDescent="0.3"/>
    <row r="1095" ht="15.75" customHeight="1" x14ac:dyDescent="0.3"/>
    <row r="1096" ht="15.75" customHeight="1" x14ac:dyDescent="0.3"/>
    <row r="1097" ht="15.75" customHeight="1" x14ac:dyDescent="0.3"/>
    <row r="1098" ht="15.75" customHeight="1" x14ac:dyDescent="0.3"/>
    <row r="1099" ht="15.75" customHeight="1" x14ac:dyDescent="0.3"/>
    <row r="1100" ht="15.75" customHeight="1" x14ac:dyDescent="0.3"/>
    <row r="1101" ht="15.75" customHeight="1" x14ac:dyDescent="0.3"/>
    <row r="1102" ht="15.75" customHeight="1" x14ac:dyDescent="0.3"/>
    <row r="1103" ht="15.75" customHeight="1" x14ac:dyDescent="0.3"/>
    <row r="1104" ht="15.75" customHeight="1" x14ac:dyDescent="0.3"/>
    <row r="1105" ht="15.75" customHeight="1" x14ac:dyDescent="0.3"/>
    <row r="1106" ht="15.75" customHeight="1" x14ac:dyDescent="0.3"/>
    <row r="1107" ht="15.75" customHeight="1" x14ac:dyDescent="0.3"/>
    <row r="1108" ht="15.75" customHeight="1" x14ac:dyDescent="0.3"/>
    <row r="1109" ht="15.75" customHeight="1" x14ac:dyDescent="0.3"/>
    <row r="1110" ht="15.75" customHeight="1" x14ac:dyDescent="0.3"/>
    <row r="1111" ht="15.75" customHeight="1" x14ac:dyDescent="0.3"/>
    <row r="1112" ht="15.75" customHeight="1" x14ac:dyDescent="0.3"/>
    <row r="1113" ht="15.75" customHeight="1" x14ac:dyDescent="0.3"/>
    <row r="1114" ht="15.75" customHeight="1" x14ac:dyDescent="0.3"/>
    <row r="1115" ht="15.75" customHeight="1" x14ac:dyDescent="0.3"/>
    <row r="1116" ht="15.75" customHeight="1" x14ac:dyDescent="0.3"/>
    <row r="1117" ht="15.75" customHeight="1" x14ac:dyDescent="0.3"/>
    <row r="1118" ht="15.75" customHeight="1" x14ac:dyDescent="0.3"/>
    <row r="1119" ht="15.75" customHeight="1" x14ac:dyDescent="0.3"/>
    <row r="1120" ht="15.75" customHeight="1" x14ac:dyDescent="0.3"/>
    <row r="1121" ht="15.75" customHeight="1" x14ac:dyDescent="0.3"/>
    <row r="1122" ht="15.75" customHeight="1" x14ac:dyDescent="0.3"/>
    <row r="1123" ht="15.75" customHeight="1" x14ac:dyDescent="0.3"/>
    <row r="1124" ht="15.75" customHeight="1" x14ac:dyDescent="0.3"/>
    <row r="1125" ht="15.75" customHeight="1" x14ac:dyDescent="0.3"/>
    <row r="1126" ht="15.75" customHeight="1" x14ac:dyDescent="0.3"/>
  </sheetData>
  <autoFilter ref="A5:AP232" xr:uid="{D4C9ACFA-7634-4244-A829-726CE84E67E1}">
    <filterColumn colId="3">
      <filters>
        <filter val="2"/>
      </filters>
    </filterColumn>
    <filterColumn colId="4">
      <filters>
        <filter val="A"/>
      </filters>
    </filterColumn>
    <sortState xmlns:xlrd2="http://schemas.microsoft.com/office/spreadsheetml/2017/richdata2" ref="A44:AP67">
      <sortCondition descending="1" ref="AP5:AP232"/>
    </sortState>
  </autoFilter>
  <mergeCells count="11">
    <mergeCell ref="AD4:AE4"/>
    <mergeCell ref="C2:AE2"/>
    <mergeCell ref="C3:AE3"/>
    <mergeCell ref="F4:I4"/>
    <mergeCell ref="J4:L4"/>
    <mergeCell ref="M4:O4"/>
    <mergeCell ref="P4:R4"/>
    <mergeCell ref="S4:T4"/>
    <mergeCell ref="V4:X4"/>
    <mergeCell ref="Y4:Z4"/>
    <mergeCell ref="AA4:AC4"/>
  </mergeCells>
  <conditionalFormatting sqref="F6:AE232">
    <cfRule type="cellIs" dxfId="31" priority="1" operator="equal">
      <formula>"AD"</formula>
    </cfRule>
    <cfRule type="cellIs" dxfId="30" priority="2" operator="equal">
      <formula>"A"</formula>
    </cfRule>
    <cfRule type="cellIs" dxfId="29" priority="3" operator="equal">
      <formula>"B"</formula>
    </cfRule>
    <cfRule type="cellIs" dxfId="28" priority="4" operator="equal">
      <formula>"C"</formula>
    </cfRule>
  </conditionalFormatting>
  <dataValidations count="2">
    <dataValidation type="list" allowBlank="1" showInputMessage="1" showErrorMessage="1" sqref="AA6:AC232 J110:L130" xr:uid="{CD04F4DE-4E13-4E0F-B9FF-3B3355C944C3}">
      <formula1>"A,AD,B,C"</formula1>
    </dataValidation>
    <dataValidation type="list" allowBlank="1" showInputMessage="1" showErrorMessage="1" sqref="Q6:R26 T6:X26 AD229:AE232 F6:L26 AD27:AE80 F27:X48 AD82:AE97 AD135:AE199 AD201:AE203 AD205:AE227 AD99:AE133 Z27:Z48 F49:I232 J131:L232 J49:L109 M49:Z232" xr:uid="{8CBA6608-17E9-4656-AC0D-6072C1D943A6}">
      <formula1>"AD,A,B,C"</formula1>
    </dataValidation>
  </dataValidations>
  <pageMargins left="0.7" right="0.7" top="0.75" bottom="0.75" header="0" footer="0"/>
  <pageSetup paperSize="9" scale="72" orientation="landscape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18B70-CB9F-4607-B5AA-6A656C749E67}">
  <sheetPr filterMode="1">
    <pageSetUpPr fitToPage="1"/>
  </sheetPr>
  <dimension ref="A2:AP1126"/>
  <sheetViews>
    <sheetView zoomScaleNormal="100" workbookViewId="0">
      <pane xSplit="3" ySplit="5" topLeftCell="D6" activePane="bottomRight" state="frozen"/>
      <selection pane="topRight" activeCell="C1" sqref="C1"/>
      <selection pane="bottomLeft" activeCell="A6" sqref="A6"/>
      <selection pane="bottomRight" activeCell="O72" sqref="O72"/>
    </sheetView>
  </sheetViews>
  <sheetFormatPr baseColWidth="10" defaultColWidth="14.44140625" defaultRowHeight="15" customHeight="1" x14ac:dyDescent="0.3"/>
  <cols>
    <col min="1" max="1" width="4" bestFit="1" customWidth="1"/>
    <col min="2" max="2" width="4.109375" customWidth="1"/>
    <col min="3" max="3" width="38.5546875" customWidth="1"/>
    <col min="4" max="4" width="5" hidden="1" customWidth="1"/>
    <col min="5" max="5" width="6.6640625" hidden="1" customWidth="1"/>
    <col min="6" max="31" width="5" customWidth="1"/>
    <col min="32" max="32" width="2" hidden="1" customWidth="1"/>
    <col min="33" max="36" width="3.44140625" hidden="1" customWidth="1"/>
    <col min="37" max="37" width="1.44140625" style="65" hidden="1" customWidth="1"/>
    <col min="38" max="40" width="3" hidden="1" customWidth="1"/>
    <col min="41" max="41" width="2" hidden="1" customWidth="1"/>
    <col min="42" max="42" width="5.21875" bestFit="1" customWidth="1"/>
  </cols>
  <sheetData>
    <row r="2" spans="1:42" ht="33.6" customHeight="1" x14ac:dyDescent="0.3">
      <c r="C2" s="77" t="s">
        <v>253</v>
      </c>
      <c r="D2" s="2"/>
      <c r="E2" s="2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9"/>
    </row>
    <row r="3" spans="1:42" ht="26.25" customHeight="1" x14ac:dyDescent="0.3">
      <c r="C3" s="74" t="s">
        <v>252</v>
      </c>
      <c r="D3" s="5"/>
      <c r="E3" s="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6"/>
    </row>
    <row r="4" spans="1:42" ht="26.4" customHeight="1" x14ac:dyDescent="0.3">
      <c r="C4" s="7"/>
      <c r="D4" s="8"/>
      <c r="E4" s="8"/>
      <c r="F4" s="80" t="s">
        <v>2</v>
      </c>
      <c r="G4" s="81"/>
      <c r="H4" s="81"/>
      <c r="I4" s="82"/>
      <c r="J4" s="80" t="s">
        <v>3</v>
      </c>
      <c r="K4" s="81"/>
      <c r="L4" s="82"/>
      <c r="M4" s="80" t="s">
        <v>4</v>
      </c>
      <c r="N4" s="81"/>
      <c r="O4" s="82"/>
      <c r="P4" s="80" t="s">
        <v>5</v>
      </c>
      <c r="Q4" s="81"/>
      <c r="R4" s="82"/>
      <c r="S4" s="83" t="s">
        <v>6</v>
      </c>
      <c r="T4" s="84"/>
      <c r="U4" s="86" t="s">
        <v>7</v>
      </c>
      <c r="V4" s="80" t="s">
        <v>8</v>
      </c>
      <c r="W4" s="81"/>
      <c r="X4" s="82"/>
      <c r="Y4" s="80" t="s">
        <v>9</v>
      </c>
      <c r="Z4" s="82"/>
      <c r="AA4" s="83" t="s">
        <v>10</v>
      </c>
      <c r="AB4" s="85"/>
      <c r="AC4" s="84"/>
      <c r="AD4" s="80" t="s">
        <v>11</v>
      </c>
      <c r="AE4" s="82"/>
    </row>
    <row r="5" spans="1:42" ht="22.8" customHeight="1" x14ac:dyDescent="0.3">
      <c r="B5" s="12"/>
      <c r="C5" s="13" t="s">
        <v>12</v>
      </c>
      <c r="D5" s="14" t="s">
        <v>13</v>
      </c>
      <c r="E5" s="15" t="s">
        <v>14</v>
      </c>
      <c r="F5" s="15" t="s">
        <v>15</v>
      </c>
      <c r="G5" s="15" t="s">
        <v>16</v>
      </c>
      <c r="H5" s="15" t="s">
        <v>17</v>
      </c>
      <c r="I5" s="15" t="s">
        <v>18</v>
      </c>
      <c r="J5" s="15" t="s">
        <v>15</v>
      </c>
      <c r="K5" s="15" t="s">
        <v>16</v>
      </c>
      <c r="L5" s="15" t="s">
        <v>17</v>
      </c>
      <c r="M5" s="15" t="s">
        <v>15</v>
      </c>
      <c r="N5" s="15" t="s">
        <v>16</v>
      </c>
      <c r="O5" s="15" t="s">
        <v>17</v>
      </c>
      <c r="P5" s="15" t="s">
        <v>15</v>
      </c>
      <c r="Q5" s="15" t="s">
        <v>16</v>
      </c>
      <c r="R5" s="15" t="s">
        <v>17</v>
      </c>
      <c r="S5" s="15" t="s">
        <v>15</v>
      </c>
      <c r="T5" s="15" t="s">
        <v>16</v>
      </c>
      <c r="U5" s="15" t="s">
        <v>15</v>
      </c>
      <c r="V5" s="15" t="s">
        <v>15</v>
      </c>
      <c r="W5" s="15" t="s">
        <v>16</v>
      </c>
      <c r="X5" s="15" t="s">
        <v>17</v>
      </c>
      <c r="Y5" s="15" t="s">
        <v>15</v>
      </c>
      <c r="Z5" s="15" t="s">
        <v>16</v>
      </c>
      <c r="AA5" s="15" t="s">
        <v>15</v>
      </c>
      <c r="AB5" s="15" t="s">
        <v>16</v>
      </c>
      <c r="AC5" s="15" t="s">
        <v>17</v>
      </c>
      <c r="AD5" s="15" t="s">
        <v>15</v>
      </c>
      <c r="AE5" s="15" t="s">
        <v>16</v>
      </c>
      <c r="AG5" s="68">
        <v>4</v>
      </c>
      <c r="AH5" s="68">
        <v>3</v>
      </c>
      <c r="AI5" s="68">
        <v>2</v>
      </c>
      <c r="AJ5" s="68">
        <v>1</v>
      </c>
      <c r="AK5" s="66"/>
      <c r="AL5" s="67" t="s">
        <v>39</v>
      </c>
      <c r="AM5" s="67" t="s">
        <v>20</v>
      </c>
      <c r="AN5" s="67" t="s">
        <v>21</v>
      </c>
      <c r="AO5" s="67" t="s">
        <v>23</v>
      </c>
      <c r="AP5" s="67" t="s">
        <v>251</v>
      </c>
    </row>
    <row r="6" spans="1:42" ht="14.4" hidden="1" x14ac:dyDescent="0.3">
      <c r="A6" s="16"/>
      <c r="B6" s="55">
        <v>17</v>
      </c>
      <c r="C6" s="56" t="s">
        <v>38</v>
      </c>
      <c r="D6" s="55">
        <v>1</v>
      </c>
      <c r="E6" s="55" t="s">
        <v>20</v>
      </c>
      <c r="F6" s="18" t="s">
        <v>20</v>
      </c>
      <c r="G6" s="18" t="s">
        <v>20</v>
      </c>
      <c r="H6" s="18" t="s">
        <v>21</v>
      </c>
      <c r="I6" s="18" t="s">
        <v>20</v>
      </c>
      <c r="J6" s="18" t="s">
        <v>20</v>
      </c>
      <c r="K6" s="18" t="s">
        <v>20</v>
      </c>
      <c r="L6" s="18" t="s">
        <v>20</v>
      </c>
      <c r="M6" s="19" t="s">
        <v>20</v>
      </c>
      <c r="N6" s="19" t="s">
        <v>21</v>
      </c>
      <c r="O6" s="19" t="s">
        <v>20</v>
      </c>
      <c r="P6" s="19" t="s">
        <v>20</v>
      </c>
      <c r="Q6" s="18" t="s">
        <v>20</v>
      </c>
      <c r="R6" s="18" t="s">
        <v>21</v>
      </c>
      <c r="S6" s="19" t="s">
        <v>20</v>
      </c>
      <c r="T6" s="18" t="s">
        <v>20</v>
      </c>
      <c r="U6" s="18" t="s">
        <v>20</v>
      </c>
      <c r="V6" s="18" t="s">
        <v>20</v>
      </c>
      <c r="W6" s="18" t="s">
        <v>20</v>
      </c>
      <c r="X6" s="18" t="s">
        <v>20</v>
      </c>
      <c r="Y6" s="19" t="s">
        <v>20</v>
      </c>
      <c r="Z6" s="19" t="s">
        <v>20</v>
      </c>
      <c r="AA6" s="20" t="s">
        <v>20</v>
      </c>
      <c r="AB6" s="20" t="s">
        <v>39</v>
      </c>
      <c r="AC6" s="20" t="s">
        <v>20</v>
      </c>
      <c r="AD6" s="19" t="s">
        <v>20</v>
      </c>
      <c r="AE6" s="19" t="s">
        <v>21</v>
      </c>
      <c r="AG6">
        <f>+COUNTIF(F6:AE6,"AD")</f>
        <v>1</v>
      </c>
      <c r="AH6">
        <f>+COUNTIF(F6:AE6,"A")</f>
        <v>21</v>
      </c>
      <c r="AI6">
        <f>+COUNTIF(F6:AE6,"b")</f>
        <v>4</v>
      </c>
      <c r="AJ6">
        <f>+COUNTIF(F6:AE6,"c")</f>
        <v>0</v>
      </c>
      <c r="AL6">
        <f>+$AG$5*AG6</f>
        <v>4</v>
      </c>
      <c r="AM6">
        <f>+$AH$5*AH6</f>
        <v>63</v>
      </c>
      <c r="AN6">
        <f>+$AI$5*AI6</f>
        <v>8</v>
      </c>
      <c r="AO6">
        <f>+$AJ$5*AJ6</f>
        <v>0</v>
      </c>
      <c r="AP6">
        <f>+SUM(AL6:AO6)</f>
        <v>75</v>
      </c>
    </row>
    <row r="7" spans="1:42" ht="14.4" hidden="1" x14ac:dyDescent="0.3">
      <c r="A7" s="16"/>
      <c r="B7" s="55">
        <v>3</v>
      </c>
      <c r="C7" s="56" t="s">
        <v>24</v>
      </c>
      <c r="D7" s="55">
        <v>1</v>
      </c>
      <c r="E7" s="55" t="s">
        <v>20</v>
      </c>
      <c r="F7" s="18" t="s">
        <v>20</v>
      </c>
      <c r="G7" s="18" t="s">
        <v>20</v>
      </c>
      <c r="H7" s="18" t="s">
        <v>20</v>
      </c>
      <c r="I7" s="18" t="s">
        <v>20</v>
      </c>
      <c r="J7" s="18" t="s">
        <v>20</v>
      </c>
      <c r="K7" s="18" t="s">
        <v>20</v>
      </c>
      <c r="L7" s="18" t="s">
        <v>20</v>
      </c>
      <c r="M7" s="19" t="s">
        <v>20</v>
      </c>
      <c r="N7" s="19" t="s">
        <v>20</v>
      </c>
      <c r="O7" s="19" t="s">
        <v>20</v>
      </c>
      <c r="P7" s="19" t="s">
        <v>20</v>
      </c>
      <c r="Q7" s="18" t="s">
        <v>20</v>
      </c>
      <c r="R7" s="18" t="s">
        <v>21</v>
      </c>
      <c r="S7" s="19" t="s">
        <v>20</v>
      </c>
      <c r="T7" s="18" t="s">
        <v>20</v>
      </c>
      <c r="U7" s="18" t="s">
        <v>20</v>
      </c>
      <c r="V7" s="18" t="s">
        <v>20</v>
      </c>
      <c r="W7" s="18" t="s">
        <v>20</v>
      </c>
      <c r="X7" s="18" t="s">
        <v>20</v>
      </c>
      <c r="Y7" s="19" t="s">
        <v>20</v>
      </c>
      <c r="Z7" s="19" t="s">
        <v>20</v>
      </c>
      <c r="AA7" s="20" t="s">
        <v>20</v>
      </c>
      <c r="AB7" s="20" t="s">
        <v>21</v>
      </c>
      <c r="AC7" s="20" t="s">
        <v>21</v>
      </c>
      <c r="AD7" s="19" t="s">
        <v>20</v>
      </c>
      <c r="AE7" s="19" t="s">
        <v>21</v>
      </c>
      <c r="AG7">
        <f>+COUNTIF(F7:AE7,"AD")</f>
        <v>0</v>
      </c>
      <c r="AH7">
        <f>+COUNTIF(F7:AE7,"A")</f>
        <v>22</v>
      </c>
      <c r="AI7">
        <f>+COUNTIF(F7:AE7,"b")</f>
        <v>4</v>
      </c>
      <c r="AJ7">
        <f>+COUNTIF(F7:AE7,"c")</f>
        <v>0</v>
      </c>
      <c r="AL7">
        <f>+$AG$5*AG7</f>
        <v>0</v>
      </c>
      <c r="AM7">
        <f>+$AH$5*AH7</f>
        <v>66</v>
      </c>
      <c r="AN7">
        <f>+$AI$5*AI7</f>
        <v>8</v>
      </c>
      <c r="AO7">
        <f>+$AJ$5*AJ7</f>
        <v>0</v>
      </c>
      <c r="AP7">
        <f>+SUM(AL7:AO7)</f>
        <v>74</v>
      </c>
    </row>
    <row r="8" spans="1:42" ht="14.4" hidden="1" x14ac:dyDescent="0.3">
      <c r="A8" s="16"/>
      <c r="B8" s="55">
        <v>7</v>
      </c>
      <c r="C8" s="56" t="s">
        <v>28</v>
      </c>
      <c r="D8" s="55">
        <v>1</v>
      </c>
      <c r="E8" s="55" t="s">
        <v>20</v>
      </c>
      <c r="F8" s="18" t="s">
        <v>20</v>
      </c>
      <c r="G8" s="18" t="s">
        <v>20</v>
      </c>
      <c r="H8" s="18" t="s">
        <v>21</v>
      </c>
      <c r="I8" s="18" t="s">
        <v>20</v>
      </c>
      <c r="J8" s="18" t="s">
        <v>20</v>
      </c>
      <c r="K8" s="18" t="s">
        <v>20</v>
      </c>
      <c r="L8" s="18" t="s">
        <v>20</v>
      </c>
      <c r="M8" s="19" t="s">
        <v>20</v>
      </c>
      <c r="N8" s="19" t="s">
        <v>20</v>
      </c>
      <c r="O8" s="19" t="s">
        <v>20</v>
      </c>
      <c r="P8" s="19" t="s">
        <v>20</v>
      </c>
      <c r="Q8" s="18" t="s">
        <v>20</v>
      </c>
      <c r="R8" s="18" t="s">
        <v>20</v>
      </c>
      <c r="S8" s="19" t="s">
        <v>20</v>
      </c>
      <c r="T8" s="18" t="s">
        <v>20</v>
      </c>
      <c r="U8" s="18" t="s">
        <v>21</v>
      </c>
      <c r="V8" s="18" t="s">
        <v>20</v>
      </c>
      <c r="W8" s="18" t="s">
        <v>20</v>
      </c>
      <c r="X8" s="18" t="s">
        <v>20</v>
      </c>
      <c r="Y8" s="19" t="s">
        <v>20</v>
      </c>
      <c r="Z8" s="19" t="s">
        <v>20</v>
      </c>
      <c r="AA8" s="20" t="s">
        <v>20</v>
      </c>
      <c r="AB8" s="20" t="s">
        <v>21</v>
      </c>
      <c r="AC8" s="20" t="s">
        <v>20</v>
      </c>
      <c r="AD8" s="19" t="s">
        <v>21</v>
      </c>
      <c r="AE8" s="19" t="s">
        <v>21</v>
      </c>
      <c r="AG8">
        <f>+COUNTIF(F8:AE8,"AD")</f>
        <v>0</v>
      </c>
      <c r="AH8">
        <f>+COUNTIF(F8:AE8,"A")</f>
        <v>21</v>
      </c>
      <c r="AI8">
        <f>+COUNTIF(F8:AE8,"b")</f>
        <v>5</v>
      </c>
      <c r="AJ8">
        <f>+COUNTIF(F8:AE8,"c")</f>
        <v>0</v>
      </c>
      <c r="AL8">
        <f>+$AG$5*AG8</f>
        <v>0</v>
      </c>
      <c r="AM8">
        <f>+$AH$5*AH8</f>
        <v>63</v>
      </c>
      <c r="AN8">
        <f>+$AI$5*AI8</f>
        <v>10</v>
      </c>
      <c r="AO8">
        <f>+$AJ$5*AJ8</f>
        <v>0</v>
      </c>
      <c r="AP8">
        <f>+SUM(AL8:AO8)</f>
        <v>73</v>
      </c>
    </row>
    <row r="9" spans="1:42" ht="14.4" hidden="1" x14ac:dyDescent="0.3">
      <c r="A9" s="16"/>
      <c r="B9" s="55">
        <v>16</v>
      </c>
      <c r="C9" s="56" t="s">
        <v>37</v>
      </c>
      <c r="D9" s="55">
        <v>1</v>
      </c>
      <c r="E9" s="55" t="s">
        <v>20</v>
      </c>
      <c r="F9" s="18" t="s">
        <v>21</v>
      </c>
      <c r="G9" s="18" t="s">
        <v>21</v>
      </c>
      <c r="H9" s="18" t="s">
        <v>21</v>
      </c>
      <c r="I9" s="18" t="s">
        <v>21</v>
      </c>
      <c r="J9" s="18" t="s">
        <v>20</v>
      </c>
      <c r="K9" s="18" t="s">
        <v>20</v>
      </c>
      <c r="L9" s="18" t="s">
        <v>20</v>
      </c>
      <c r="M9" s="19" t="s">
        <v>20</v>
      </c>
      <c r="N9" s="19" t="s">
        <v>20</v>
      </c>
      <c r="O9" s="19" t="s">
        <v>20</v>
      </c>
      <c r="P9" s="19" t="s">
        <v>20</v>
      </c>
      <c r="Q9" s="18" t="s">
        <v>20</v>
      </c>
      <c r="R9" s="18" t="s">
        <v>20</v>
      </c>
      <c r="S9" s="19" t="s">
        <v>20</v>
      </c>
      <c r="T9" s="18" t="s">
        <v>20</v>
      </c>
      <c r="U9" s="18" t="s">
        <v>20</v>
      </c>
      <c r="V9" s="18" t="s">
        <v>20</v>
      </c>
      <c r="W9" s="18" t="s">
        <v>20</v>
      </c>
      <c r="X9" s="18" t="s">
        <v>20</v>
      </c>
      <c r="Y9" s="19" t="s">
        <v>20</v>
      </c>
      <c r="Z9" s="19" t="s">
        <v>20</v>
      </c>
      <c r="AA9" s="20" t="s">
        <v>20</v>
      </c>
      <c r="AB9" s="20" t="s">
        <v>21</v>
      </c>
      <c r="AC9" s="20" t="s">
        <v>20</v>
      </c>
      <c r="AD9" s="19" t="s">
        <v>20</v>
      </c>
      <c r="AE9" s="19" t="s">
        <v>21</v>
      </c>
      <c r="AG9">
        <f>+COUNTIF(F9:AE9,"AD")</f>
        <v>0</v>
      </c>
      <c r="AH9">
        <f>+COUNTIF(F9:AE9,"A")</f>
        <v>20</v>
      </c>
      <c r="AI9">
        <f>+COUNTIF(F9:AE9,"b")</f>
        <v>6</v>
      </c>
      <c r="AJ9">
        <f>+COUNTIF(F9:AE9,"c")</f>
        <v>0</v>
      </c>
      <c r="AL9">
        <f>+$AG$5*AG9</f>
        <v>0</v>
      </c>
      <c r="AM9">
        <f>+$AH$5*AH9</f>
        <v>60</v>
      </c>
      <c r="AN9">
        <f>+$AI$5*AI9</f>
        <v>12</v>
      </c>
      <c r="AO9">
        <f>+$AJ$5*AJ9</f>
        <v>0</v>
      </c>
      <c r="AP9">
        <f>+SUM(AL9:AO9)</f>
        <v>72</v>
      </c>
    </row>
    <row r="10" spans="1:42" ht="14.4" hidden="1" x14ac:dyDescent="0.3">
      <c r="A10" s="16"/>
      <c r="B10" s="55">
        <v>1</v>
      </c>
      <c r="C10" s="56" t="s">
        <v>19</v>
      </c>
      <c r="D10" s="55">
        <v>1</v>
      </c>
      <c r="E10" s="55" t="s">
        <v>20</v>
      </c>
      <c r="F10" s="17" t="s">
        <v>20</v>
      </c>
      <c r="G10" s="18" t="s">
        <v>20</v>
      </c>
      <c r="H10" s="18" t="s">
        <v>21</v>
      </c>
      <c r="I10" s="18" t="s">
        <v>20</v>
      </c>
      <c r="J10" s="18" t="s">
        <v>20</v>
      </c>
      <c r="K10" s="18" t="s">
        <v>20</v>
      </c>
      <c r="L10" s="18" t="s">
        <v>20</v>
      </c>
      <c r="M10" s="19" t="s">
        <v>20</v>
      </c>
      <c r="N10" s="19" t="s">
        <v>20</v>
      </c>
      <c r="O10" s="19" t="s">
        <v>20</v>
      </c>
      <c r="P10" s="19" t="s">
        <v>20</v>
      </c>
      <c r="Q10" s="18" t="s">
        <v>21</v>
      </c>
      <c r="R10" s="18" t="s">
        <v>21</v>
      </c>
      <c r="S10" s="19" t="s">
        <v>20</v>
      </c>
      <c r="T10" s="18" t="s">
        <v>20</v>
      </c>
      <c r="U10" s="18" t="s">
        <v>20</v>
      </c>
      <c r="V10" s="18" t="s">
        <v>20</v>
      </c>
      <c r="W10" s="18" t="s">
        <v>20</v>
      </c>
      <c r="X10" s="18" t="s">
        <v>20</v>
      </c>
      <c r="Y10" s="19" t="s">
        <v>21</v>
      </c>
      <c r="Z10" s="19" t="s">
        <v>20</v>
      </c>
      <c r="AA10" s="20" t="s">
        <v>21</v>
      </c>
      <c r="AB10" s="20" t="s">
        <v>21</v>
      </c>
      <c r="AC10" s="20" t="s">
        <v>20</v>
      </c>
      <c r="AD10" s="19" t="s">
        <v>20</v>
      </c>
      <c r="AE10" s="19" t="s">
        <v>21</v>
      </c>
      <c r="AG10">
        <f>+COUNTIF(F10:AE10,"AD")</f>
        <v>0</v>
      </c>
      <c r="AH10">
        <f>+COUNTIF(F10:AE10,"A")</f>
        <v>19</v>
      </c>
      <c r="AI10">
        <f>+COUNTIF(F10:AE10,"b")</f>
        <v>7</v>
      </c>
      <c r="AJ10">
        <f>+COUNTIF(F10:AE10,"c")</f>
        <v>0</v>
      </c>
      <c r="AL10">
        <f>+$AG$5*AG10</f>
        <v>0</v>
      </c>
      <c r="AM10">
        <f>+$AH$5*AH10</f>
        <v>57</v>
      </c>
      <c r="AN10">
        <f>+$AI$5*AI10</f>
        <v>14</v>
      </c>
      <c r="AO10">
        <f>+$AJ$5*AJ10</f>
        <v>0</v>
      </c>
      <c r="AP10">
        <f>+SUM(AL10:AO10)</f>
        <v>71</v>
      </c>
    </row>
    <row r="11" spans="1:42" ht="14.4" hidden="1" x14ac:dyDescent="0.3">
      <c r="A11" s="16"/>
      <c r="B11" s="55">
        <v>6</v>
      </c>
      <c r="C11" s="56" t="s">
        <v>27</v>
      </c>
      <c r="D11" s="55">
        <v>1</v>
      </c>
      <c r="E11" s="55" t="s">
        <v>20</v>
      </c>
      <c r="F11" s="18" t="s">
        <v>20</v>
      </c>
      <c r="G11" s="18" t="s">
        <v>20</v>
      </c>
      <c r="H11" s="18" t="s">
        <v>20</v>
      </c>
      <c r="I11" s="18" t="s">
        <v>20</v>
      </c>
      <c r="J11" s="18" t="s">
        <v>20</v>
      </c>
      <c r="K11" s="18" t="s">
        <v>20</v>
      </c>
      <c r="L11" s="18" t="s">
        <v>20</v>
      </c>
      <c r="M11" s="19" t="s">
        <v>20</v>
      </c>
      <c r="N11" s="19" t="s">
        <v>20</v>
      </c>
      <c r="O11" s="19" t="s">
        <v>20</v>
      </c>
      <c r="P11" s="19" t="s">
        <v>20</v>
      </c>
      <c r="Q11" s="18" t="s">
        <v>21</v>
      </c>
      <c r="R11" s="18" t="s">
        <v>21</v>
      </c>
      <c r="S11" s="19" t="s">
        <v>20</v>
      </c>
      <c r="T11" s="18" t="s">
        <v>21</v>
      </c>
      <c r="U11" s="18" t="s">
        <v>21</v>
      </c>
      <c r="V11" s="18" t="s">
        <v>21</v>
      </c>
      <c r="W11" s="18" t="s">
        <v>20</v>
      </c>
      <c r="X11" s="18" t="s">
        <v>20</v>
      </c>
      <c r="Y11" s="19" t="s">
        <v>20</v>
      </c>
      <c r="Z11" s="19" t="s">
        <v>21</v>
      </c>
      <c r="AA11" s="20" t="s">
        <v>21</v>
      </c>
      <c r="AB11" s="20" t="s">
        <v>21</v>
      </c>
      <c r="AC11" s="20" t="s">
        <v>21</v>
      </c>
      <c r="AD11" s="19" t="s">
        <v>21</v>
      </c>
      <c r="AE11" s="19" t="s">
        <v>21</v>
      </c>
      <c r="AG11">
        <f>+COUNTIF(F11:AE11,"AD")</f>
        <v>0</v>
      </c>
      <c r="AH11">
        <f>+COUNTIF(F11:AE11,"A")</f>
        <v>15</v>
      </c>
      <c r="AI11">
        <f>+COUNTIF(F11:AE11,"b")</f>
        <v>11</v>
      </c>
      <c r="AJ11">
        <f>+COUNTIF(F11:AE11,"c")</f>
        <v>0</v>
      </c>
      <c r="AL11">
        <f>+$AG$5*AG11</f>
        <v>0</v>
      </c>
      <c r="AM11">
        <f>+$AH$5*AH11</f>
        <v>45</v>
      </c>
      <c r="AN11">
        <f>+$AI$5*AI11</f>
        <v>22</v>
      </c>
      <c r="AO11">
        <f>+$AJ$5*AJ11</f>
        <v>0</v>
      </c>
      <c r="AP11">
        <f>+SUM(AL11:AO11)</f>
        <v>67</v>
      </c>
    </row>
    <row r="12" spans="1:42" ht="14.4" hidden="1" x14ac:dyDescent="0.3">
      <c r="A12" s="16"/>
      <c r="B12" s="55">
        <v>4</v>
      </c>
      <c r="C12" s="56" t="s">
        <v>25</v>
      </c>
      <c r="D12" s="55">
        <v>1</v>
      </c>
      <c r="E12" s="55" t="s">
        <v>20</v>
      </c>
      <c r="F12" s="18" t="s">
        <v>20</v>
      </c>
      <c r="G12" s="18" t="s">
        <v>21</v>
      </c>
      <c r="H12" s="18" t="s">
        <v>21</v>
      </c>
      <c r="I12" s="18" t="s">
        <v>21</v>
      </c>
      <c r="J12" s="18" t="s">
        <v>20</v>
      </c>
      <c r="K12" s="18" t="s">
        <v>20</v>
      </c>
      <c r="L12" s="18" t="s">
        <v>20</v>
      </c>
      <c r="M12" s="19" t="s">
        <v>21</v>
      </c>
      <c r="N12" s="19" t="s">
        <v>21</v>
      </c>
      <c r="O12" s="19" t="s">
        <v>20</v>
      </c>
      <c r="P12" s="19" t="s">
        <v>20</v>
      </c>
      <c r="Q12" s="18" t="s">
        <v>20</v>
      </c>
      <c r="R12" s="18" t="s">
        <v>21</v>
      </c>
      <c r="S12" s="19" t="s">
        <v>20</v>
      </c>
      <c r="T12" s="18" t="s">
        <v>21</v>
      </c>
      <c r="U12" s="18" t="s">
        <v>20</v>
      </c>
      <c r="V12" s="18" t="s">
        <v>21</v>
      </c>
      <c r="W12" s="18" t="s">
        <v>20</v>
      </c>
      <c r="X12" s="18" t="s">
        <v>20</v>
      </c>
      <c r="Y12" s="19" t="s">
        <v>21</v>
      </c>
      <c r="Z12" s="19" t="s">
        <v>20</v>
      </c>
      <c r="AA12" s="20" t="s">
        <v>21</v>
      </c>
      <c r="AB12" s="20" t="s">
        <v>21</v>
      </c>
      <c r="AC12" s="20" t="s">
        <v>21</v>
      </c>
      <c r="AD12" s="19" t="s">
        <v>20</v>
      </c>
      <c r="AE12" s="19" t="s">
        <v>21</v>
      </c>
      <c r="AG12">
        <f>+COUNTIF(F12:AE12,"AD")</f>
        <v>0</v>
      </c>
      <c r="AH12">
        <f>+COUNTIF(F12:AE12,"A")</f>
        <v>13</v>
      </c>
      <c r="AI12">
        <f>+COUNTIF(F12:AE12,"b")</f>
        <v>13</v>
      </c>
      <c r="AJ12">
        <f>+COUNTIF(F12:AE12,"c")</f>
        <v>0</v>
      </c>
      <c r="AL12">
        <f>+$AG$5*AG12</f>
        <v>0</v>
      </c>
      <c r="AM12">
        <f>+$AH$5*AH12</f>
        <v>39</v>
      </c>
      <c r="AN12">
        <f>+$AI$5*AI12</f>
        <v>26</v>
      </c>
      <c r="AO12">
        <f>+$AJ$5*AJ12</f>
        <v>0</v>
      </c>
      <c r="AP12">
        <f>+SUM(AL12:AO12)</f>
        <v>65</v>
      </c>
    </row>
    <row r="13" spans="1:42" ht="14.4" hidden="1" x14ac:dyDescent="0.3">
      <c r="A13" s="16"/>
      <c r="B13" s="55">
        <v>5</v>
      </c>
      <c r="C13" s="56" t="s">
        <v>26</v>
      </c>
      <c r="D13" s="55">
        <v>1</v>
      </c>
      <c r="E13" s="55" t="s">
        <v>20</v>
      </c>
      <c r="F13" s="18" t="s">
        <v>21</v>
      </c>
      <c r="G13" s="18" t="s">
        <v>21</v>
      </c>
      <c r="H13" s="18" t="s">
        <v>21</v>
      </c>
      <c r="I13" s="18" t="s">
        <v>21</v>
      </c>
      <c r="J13" s="18" t="s">
        <v>20</v>
      </c>
      <c r="K13" s="18" t="s">
        <v>20</v>
      </c>
      <c r="L13" s="18" t="s">
        <v>20</v>
      </c>
      <c r="M13" s="19" t="s">
        <v>20</v>
      </c>
      <c r="N13" s="19" t="s">
        <v>21</v>
      </c>
      <c r="O13" s="19" t="s">
        <v>20</v>
      </c>
      <c r="P13" s="19" t="s">
        <v>21</v>
      </c>
      <c r="Q13" s="18" t="s">
        <v>21</v>
      </c>
      <c r="R13" s="18" t="s">
        <v>21</v>
      </c>
      <c r="S13" s="19" t="s">
        <v>20</v>
      </c>
      <c r="T13" s="18" t="s">
        <v>21</v>
      </c>
      <c r="U13" s="18" t="s">
        <v>21</v>
      </c>
      <c r="V13" s="18" t="s">
        <v>20</v>
      </c>
      <c r="W13" s="18" t="s">
        <v>21</v>
      </c>
      <c r="X13" s="18" t="s">
        <v>20</v>
      </c>
      <c r="Y13" s="19" t="s">
        <v>21</v>
      </c>
      <c r="Z13" s="19" t="s">
        <v>20</v>
      </c>
      <c r="AA13" s="20" t="s">
        <v>21</v>
      </c>
      <c r="AB13" s="20" t="s">
        <v>21</v>
      </c>
      <c r="AC13" s="20" t="s">
        <v>23</v>
      </c>
      <c r="AD13" s="19" t="s">
        <v>21</v>
      </c>
      <c r="AE13" s="19" t="s">
        <v>21</v>
      </c>
      <c r="AG13">
        <f>+COUNTIF(F13:AE13,"AD")</f>
        <v>0</v>
      </c>
      <c r="AH13">
        <f>+COUNTIF(F13:AE13,"A")</f>
        <v>9</v>
      </c>
      <c r="AI13">
        <f>+COUNTIF(F13:AE13,"b")</f>
        <v>16</v>
      </c>
      <c r="AJ13">
        <f>+COUNTIF(F13:AE13,"c")</f>
        <v>1</v>
      </c>
      <c r="AL13">
        <f>+$AG$5*AG13</f>
        <v>0</v>
      </c>
      <c r="AM13">
        <f>+$AH$5*AH13</f>
        <v>27</v>
      </c>
      <c r="AN13">
        <f>+$AI$5*AI13</f>
        <v>32</v>
      </c>
      <c r="AO13">
        <f>+$AJ$5*AJ13</f>
        <v>1</v>
      </c>
      <c r="AP13">
        <f>+SUM(AL13:AO13)</f>
        <v>60</v>
      </c>
    </row>
    <row r="14" spans="1:42" ht="14.4" hidden="1" x14ac:dyDescent="0.3">
      <c r="A14" s="16"/>
      <c r="B14" s="55">
        <v>9</v>
      </c>
      <c r="C14" s="56" t="s">
        <v>30</v>
      </c>
      <c r="D14" s="55">
        <v>1</v>
      </c>
      <c r="E14" s="55" t="s">
        <v>20</v>
      </c>
      <c r="F14" s="18" t="s">
        <v>21</v>
      </c>
      <c r="G14" s="18" t="s">
        <v>21</v>
      </c>
      <c r="H14" s="18" t="s">
        <v>23</v>
      </c>
      <c r="I14" s="18" t="s">
        <v>21</v>
      </c>
      <c r="J14" s="18" t="s">
        <v>20</v>
      </c>
      <c r="K14" s="18" t="s">
        <v>20</v>
      </c>
      <c r="L14" s="18" t="s">
        <v>20</v>
      </c>
      <c r="M14" s="19" t="s">
        <v>20</v>
      </c>
      <c r="N14" s="19" t="s">
        <v>21</v>
      </c>
      <c r="O14" s="19" t="s">
        <v>20</v>
      </c>
      <c r="P14" s="19" t="s">
        <v>21</v>
      </c>
      <c r="Q14" s="18" t="s">
        <v>21</v>
      </c>
      <c r="R14" s="18" t="s">
        <v>21</v>
      </c>
      <c r="S14" s="19" t="s">
        <v>21</v>
      </c>
      <c r="T14" s="18" t="s">
        <v>20</v>
      </c>
      <c r="U14" s="18" t="s">
        <v>21</v>
      </c>
      <c r="V14" s="18" t="s">
        <v>21</v>
      </c>
      <c r="W14" s="18" t="s">
        <v>20</v>
      </c>
      <c r="X14" s="18" t="s">
        <v>20</v>
      </c>
      <c r="Y14" s="19" t="s">
        <v>21</v>
      </c>
      <c r="Z14" s="19" t="s">
        <v>20</v>
      </c>
      <c r="AA14" s="20" t="s">
        <v>21</v>
      </c>
      <c r="AB14" s="20" t="s">
        <v>21</v>
      </c>
      <c r="AC14" s="20" t="s">
        <v>23</v>
      </c>
      <c r="AD14" s="19" t="s">
        <v>20</v>
      </c>
      <c r="AE14" s="19" t="s">
        <v>21</v>
      </c>
      <c r="AG14">
        <f>+COUNTIF(F14:AE14,"AD")</f>
        <v>0</v>
      </c>
      <c r="AH14">
        <f>+COUNTIF(F14:AE14,"A")</f>
        <v>10</v>
      </c>
      <c r="AI14">
        <f>+COUNTIF(F14:AE14,"b")</f>
        <v>14</v>
      </c>
      <c r="AJ14">
        <f>+COUNTIF(F14:AE14,"c")</f>
        <v>2</v>
      </c>
      <c r="AL14">
        <f>+$AG$5*AG14</f>
        <v>0</v>
      </c>
      <c r="AM14">
        <f>+$AH$5*AH14</f>
        <v>30</v>
      </c>
      <c r="AN14">
        <f>+$AI$5*AI14</f>
        <v>28</v>
      </c>
      <c r="AO14">
        <f>+$AJ$5*AJ14</f>
        <v>2</v>
      </c>
      <c r="AP14">
        <f>+SUM(AL14:AO14)</f>
        <v>60</v>
      </c>
    </row>
    <row r="15" spans="1:42" ht="14.4" hidden="1" x14ac:dyDescent="0.3">
      <c r="A15" s="16"/>
      <c r="B15" s="55">
        <v>11</v>
      </c>
      <c r="C15" s="56" t="s">
        <v>32</v>
      </c>
      <c r="D15" s="55">
        <v>1</v>
      </c>
      <c r="E15" s="55" t="s">
        <v>20</v>
      </c>
      <c r="F15" s="18" t="s">
        <v>21</v>
      </c>
      <c r="G15" s="18" t="s">
        <v>21</v>
      </c>
      <c r="H15" s="18" t="s">
        <v>21</v>
      </c>
      <c r="I15" s="18" t="s">
        <v>21</v>
      </c>
      <c r="J15" s="18" t="s">
        <v>20</v>
      </c>
      <c r="K15" s="18" t="s">
        <v>20</v>
      </c>
      <c r="L15" s="18" t="s">
        <v>20</v>
      </c>
      <c r="M15" s="19" t="s">
        <v>21</v>
      </c>
      <c r="N15" s="19" t="s">
        <v>21</v>
      </c>
      <c r="O15" s="19" t="s">
        <v>20</v>
      </c>
      <c r="P15" s="19" t="s">
        <v>21</v>
      </c>
      <c r="Q15" s="18" t="s">
        <v>21</v>
      </c>
      <c r="R15" s="18" t="s">
        <v>23</v>
      </c>
      <c r="S15" s="19" t="s">
        <v>21</v>
      </c>
      <c r="T15" s="18" t="s">
        <v>20</v>
      </c>
      <c r="U15" s="18" t="s">
        <v>21</v>
      </c>
      <c r="V15" s="18" t="s">
        <v>20</v>
      </c>
      <c r="W15" s="18" t="s">
        <v>21</v>
      </c>
      <c r="X15" s="18" t="s">
        <v>20</v>
      </c>
      <c r="Y15" s="19" t="s">
        <v>20</v>
      </c>
      <c r="Z15" s="19" t="s">
        <v>20</v>
      </c>
      <c r="AA15" s="20" t="s">
        <v>21</v>
      </c>
      <c r="AB15" s="20" t="s">
        <v>21</v>
      </c>
      <c r="AC15" s="20" t="s">
        <v>23</v>
      </c>
      <c r="AD15" s="19" t="s">
        <v>21</v>
      </c>
      <c r="AE15" s="19" t="s">
        <v>21</v>
      </c>
      <c r="AG15">
        <f>+COUNTIF(F15:AE15,"AD")</f>
        <v>0</v>
      </c>
      <c r="AH15">
        <f>+COUNTIF(F15:AE15,"A")</f>
        <v>9</v>
      </c>
      <c r="AI15">
        <f>+COUNTIF(F15:AE15,"b")</f>
        <v>15</v>
      </c>
      <c r="AJ15">
        <f>+COUNTIF(F15:AE15,"c")</f>
        <v>2</v>
      </c>
      <c r="AL15">
        <f>+$AG$5*AG15</f>
        <v>0</v>
      </c>
      <c r="AM15">
        <f>+$AH$5*AH15</f>
        <v>27</v>
      </c>
      <c r="AN15">
        <f>+$AI$5*AI15</f>
        <v>30</v>
      </c>
      <c r="AO15">
        <f>+$AJ$5*AJ15</f>
        <v>2</v>
      </c>
      <c r="AP15">
        <f>+SUM(AL15:AO15)</f>
        <v>59</v>
      </c>
    </row>
    <row r="16" spans="1:42" ht="14.4" hidden="1" x14ac:dyDescent="0.3">
      <c r="A16" s="16"/>
      <c r="B16" s="55">
        <v>15</v>
      </c>
      <c r="C16" s="56" t="s">
        <v>36</v>
      </c>
      <c r="D16" s="55">
        <v>1</v>
      </c>
      <c r="E16" s="55" t="s">
        <v>20</v>
      </c>
      <c r="F16" s="18" t="s">
        <v>21</v>
      </c>
      <c r="G16" s="18" t="s">
        <v>21</v>
      </c>
      <c r="H16" s="18" t="s">
        <v>21</v>
      </c>
      <c r="I16" s="18" t="s">
        <v>21</v>
      </c>
      <c r="J16" s="18" t="s">
        <v>21</v>
      </c>
      <c r="K16" s="18" t="s">
        <v>21</v>
      </c>
      <c r="L16" s="18" t="s">
        <v>21</v>
      </c>
      <c r="M16" s="19" t="s">
        <v>20</v>
      </c>
      <c r="N16" s="19" t="s">
        <v>21</v>
      </c>
      <c r="O16" s="19" t="s">
        <v>20</v>
      </c>
      <c r="P16" s="19" t="s">
        <v>21</v>
      </c>
      <c r="Q16" s="18" t="s">
        <v>21</v>
      </c>
      <c r="R16" s="18" t="s">
        <v>21</v>
      </c>
      <c r="S16" s="19" t="s">
        <v>20</v>
      </c>
      <c r="T16" s="18" t="s">
        <v>21</v>
      </c>
      <c r="U16" s="18" t="s">
        <v>21</v>
      </c>
      <c r="V16" s="18" t="s">
        <v>21</v>
      </c>
      <c r="W16" s="18" t="s">
        <v>20</v>
      </c>
      <c r="X16" s="18" t="s">
        <v>20</v>
      </c>
      <c r="Y16" s="19" t="s">
        <v>20</v>
      </c>
      <c r="Z16" s="19" t="s">
        <v>20</v>
      </c>
      <c r="AA16" s="20" t="s">
        <v>21</v>
      </c>
      <c r="AB16" s="20" t="s">
        <v>21</v>
      </c>
      <c r="AC16" s="20" t="s">
        <v>23</v>
      </c>
      <c r="AD16" s="19" t="s">
        <v>20</v>
      </c>
      <c r="AE16" s="19" t="s">
        <v>21</v>
      </c>
      <c r="AG16">
        <f>+COUNTIF(F16:AE16,"AD")</f>
        <v>0</v>
      </c>
      <c r="AH16">
        <f>+COUNTIF(F16:AE16,"A")</f>
        <v>8</v>
      </c>
      <c r="AI16">
        <f>+COUNTIF(F16:AE16,"b")</f>
        <v>17</v>
      </c>
      <c r="AJ16">
        <f>+COUNTIF(F16:AE16,"c")</f>
        <v>1</v>
      </c>
      <c r="AL16">
        <f>+$AG$5*AG16</f>
        <v>0</v>
      </c>
      <c r="AM16">
        <f>+$AH$5*AH16</f>
        <v>24</v>
      </c>
      <c r="AN16">
        <f>+$AI$5*AI16</f>
        <v>34</v>
      </c>
      <c r="AO16">
        <f>+$AJ$5*AJ16</f>
        <v>1</v>
      </c>
      <c r="AP16">
        <f>+SUM(AL16:AO16)</f>
        <v>59</v>
      </c>
    </row>
    <row r="17" spans="1:42" ht="14.4" hidden="1" x14ac:dyDescent="0.3">
      <c r="A17" s="16"/>
      <c r="B17" s="55">
        <v>10</v>
      </c>
      <c r="C17" s="56" t="s">
        <v>31</v>
      </c>
      <c r="D17" s="55">
        <v>1</v>
      </c>
      <c r="E17" s="55" t="s">
        <v>20</v>
      </c>
      <c r="F17" s="18" t="s">
        <v>21</v>
      </c>
      <c r="G17" s="18" t="s">
        <v>21</v>
      </c>
      <c r="H17" s="18" t="s">
        <v>21</v>
      </c>
      <c r="I17" s="18" t="s">
        <v>21</v>
      </c>
      <c r="J17" s="18" t="s">
        <v>21</v>
      </c>
      <c r="K17" s="18" t="s">
        <v>21</v>
      </c>
      <c r="L17" s="18" t="s">
        <v>21</v>
      </c>
      <c r="M17" s="19" t="s">
        <v>21</v>
      </c>
      <c r="N17" s="19" t="s">
        <v>21</v>
      </c>
      <c r="O17" s="19" t="s">
        <v>20</v>
      </c>
      <c r="P17" s="19" t="s">
        <v>21</v>
      </c>
      <c r="Q17" s="18" t="s">
        <v>21</v>
      </c>
      <c r="R17" s="18" t="s">
        <v>21</v>
      </c>
      <c r="S17" s="19" t="s">
        <v>20</v>
      </c>
      <c r="T17" s="18" t="s">
        <v>21</v>
      </c>
      <c r="U17" s="18" t="s">
        <v>21</v>
      </c>
      <c r="V17" s="18" t="s">
        <v>20</v>
      </c>
      <c r="W17" s="18" t="s">
        <v>20</v>
      </c>
      <c r="X17" s="18" t="s">
        <v>20</v>
      </c>
      <c r="Y17" s="19" t="s">
        <v>21</v>
      </c>
      <c r="Z17" s="19" t="s">
        <v>20</v>
      </c>
      <c r="AA17" s="20" t="s">
        <v>21</v>
      </c>
      <c r="AB17" s="20" t="s">
        <v>21</v>
      </c>
      <c r="AC17" s="20" t="s">
        <v>23</v>
      </c>
      <c r="AD17" s="19" t="s">
        <v>21</v>
      </c>
      <c r="AE17" s="19" t="s">
        <v>21</v>
      </c>
      <c r="AG17">
        <f>+COUNTIF(F17:AE17,"AD")</f>
        <v>0</v>
      </c>
      <c r="AH17">
        <f>+COUNTIF(F17:AE17,"A")</f>
        <v>6</v>
      </c>
      <c r="AI17">
        <f>+COUNTIF(F17:AE17,"b")</f>
        <v>19</v>
      </c>
      <c r="AJ17">
        <f>+COUNTIF(F17:AE17,"c")</f>
        <v>1</v>
      </c>
      <c r="AL17">
        <f>+$AG$5*AG17</f>
        <v>0</v>
      </c>
      <c r="AM17">
        <f>+$AH$5*AH17</f>
        <v>18</v>
      </c>
      <c r="AN17">
        <f>+$AI$5*AI17</f>
        <v>38</v>
      </c>
      <c r="AO17">
        <f>+$AJ$5*AJ17</f>
        <v>1</v>
      </c>
      <c r="AP17">
        <f>+SUM(AL17:AO17)</f>
        <v>57</v>
      </c>
    </row>
    <row r="18" spans="1:42" ht="14.4" hidden="1" x14ac:dyDescent="0.3">
      <c r="A18" s="16"/>
      <c r="B18" s="55">
        <v>18</v>
      </c>
      <c r="C18" s="56" t="s">
        <v>40</v>
      </c>
      <c r="D18" s="55">
        <v>1</v>
      </c>
      <c r="E18" s="55" t="s">
        <v>20</v>
      </c>
      <c r="F18" s="18" t="s">
        <v>21</v>
      </c>
      <c r="G18" s="18" t="s">
        <v>21</v>
      </c>
      <c r="H18" s="18" t="s">
        <v>21</v>
      </c>
      <c r="I18" s="18" t="s">
        <v>21</v>
      </c>
      <c r="J18" s="18" t="s">
        <v>21</v>
      </c>
      <c r="K18" s="18" t="s">
        <v>21</v>
      </c>
      <c r="L18" s="18" t="s">
        <v>21</v>
      </c>
      <c r="M18" s="19" t="s">
        <v>21</v>
      </c>
      <c r="N18" s="19" t="s">
        <v>21</v>
      </c>
      <c r="O18" s="19" t="s">
        <v>20</v>
      </c>
      <c r="P18" s="19" t="s">
        <v>21</v>
      </c>
      <c r="Q18" s="18" t="s">
        <v>21</v>
      </c>
      <c r="R18" s="18" t="s">
        <v>21</v>
      </c>
      <c r="S18" s="19" t="s">
        <v>23</v>
      </c>
      <c r="T18" s="18" t="s">
        <v>23</v>
      </c>
      <c r="U18" s="18" t="s">
        <v>20</v>
      </c>
      <c r="V18" s="18" t="s">
        <v>21</v>
      </c>
      <c r="W18" s="18" t="s">
        <v>20</v>
      </c>
      <c r="X18" s="18" t="s">
        <v>20</v>
      </c>
      <c r="Y18" s="19" t="s">
        <v>20</v>
      </c>
      <c r="Z18" s="19" t="s">
        <v>20</v>
      </c>
      <c r="AA18" s="20" t="s">
        <v>21</v>
      </c>
      <c r="AB18" s="20" t="s">
        <v>21</v>
      </c>
      <c r="AC18" s="20" t="s">
        <v>23</v>
      </c>
      <c r="AD18" s="19" t="s">
        <v>21</v>
      </c>
      <c r="AE18" s="19" t="s">
        <v>21</v>
      </c>
      <c r="AG18">
        <f>+COUNTIF(F18:AE18,"AD")</f>
        <v>0</v>
      </c>
      <c r="AH18">
        <f>+COUNTIF(F18:AE18,"A")</f>
        <v>6</v>
      </c>
      <c r="AI18">
        <f>+COUNTIF(F18:AE18,"b")</f>
        <v>17</v>
      </c>
      <c r="AJ18">
        <f>+COUNTIF(F18:AE18,"c")</f>
        <v>3</v>
      </c>
      <c r="AL18">
        <f>+$AG$5*AG18</f>
        <v>0</v>
      </c>
      <c r="AM18">
        <f>+$AH$5*AH18</f>
        <v>18</v>
      </c>
      <c r="AN18">
        <f>+$AI$5*AI18</f>
        <v>34</v>
      </c>
      <c r="AO18">
        <f>+$AJ$5*AJ18</f>
        <v>3</v>
      </c>
      <c r="AP18">
        <f>+SUM(AL18:AO18)</f>
        <v>55</v>
      </c>
    </row>
    <row r="19" spans="1:42" ht="14.4" hidden="1" x14ac:dyDescent="0.3">
      <c r="A19" s="16"/>
      <c r="B19" s="55">
        <v>13</v>
      </c>
      <c r="C19" s="56" t="s">
        <v>34</v>
      </c>
      <c r="D19" s="55">
        <v>1</v>
      </c>
      <c r="E19" s="55" t="s">
        <v>20</v>
      </c>
      <c r="F19" s="18" t="s">
        <v>21</v>
      </c>
      <c r="G19" s="18" t="s">
        <v>21</v>
      </c>
      <c r="H19" s="18" t="s">
        <v>23</v>
      </c>
      <c r="I19" s="18" t="s">
        <v>21</v>
      </c>
      <c r="J19" s="18" t="s">
        <v>21</v>
      </c>
      <c r="K19" s="18" t="s">
        <v>21</v>
      </c>
      <c r="L19" s="18" t="s">
        <v>21</v>
      </c>
      <c r="M19" s="19" t="s">
        <v>21</v>
      </c>
      <c r="N19" s="19" t="s">
        <v>21</v>
      </c>
      <c r="O19" s="19" t="s">
        <v>21</v>
      </c>
      <c r="P19" s="19" t="s">
        <v>21</v>
      </c>
      <c r="Q19" s="18" t="s">
        <v>21</v>
      </c>
      <c r="R19" s="18" t="s">
        <v>21</v>
      </c>
      <c r="S19" s="19" t="s">
        <v>23</v>
      </c>
      <c r="T19" s="18" t="s">
        <v>23</v>
      </c>
      <c r="U19" s="18" t="s">
        <v>21</v>
      </c>
      <c r="V19" s="18" t="s">
        <v>21</v>
      </c>
      <c r="W19" s="18" t="s">
        <v>21</v>
      </c>
      <c r="X19" s="18" t="s">
        <v>20</v>
      </c>
      <c r="Y19" s="19" t="s">
        <v>20</v>
      </c>
      <c r="Z19" s="19" t="s">
        <v>20</v>
      </c>
      <c r="AA19" s="20" t="s">
        <v>21</v>
      </c>
      <c r="AB19" s="20" t="s">
        <v>21</v>
      </c>
      <c r="AC19" s="20" t="s">
        <v>23</v>
      </c>
      <c r="AD19" s="19" t="s">
        <v>21</v>
      </c>
      <c r="AE19" s="19" t="s">
        <v>21</v>
      </c>
      <c r="AG19">
        <f>+COUNTIF(F19:AE19,"AD")</f>
        <v>0</v>
      </c>
      <c r="AH19">
        <f>+COUNTIF(F19:AE19,"A")</f>
        <v>3</v>
      </c>
      <c r="AI19">
        <f>+COUNTIF(F19:AE19,"b")</f>
        <v>19</v>
      </c>
      <c r="AJ19">
        <f>+COUNTIF(F19:AE19,"c")</f>
        <v>4</v>
      </c>
      <c r="AL19">
        <f>+$AG$5*AG19</f>
        <v>0</v>
      </c>
      <c r="AM19">
        <f>+$AH$5*AH19</f>
        <v>9</v>
      </c>
      <c r="AN19">
        <f>+$AI$5*AI19</f>
        <v>38</v>
      </c>
      <c r="AO19">
        <f>+$AJ$5*AJ19</f>
        <v>4</v>
      </c>
      <c r="AP19">
        <f>+SUM(AL19:AO19)</f>
        <v>51</v>
      </c>
    </row>
    <row r="20" spans="1:42" ht="14.4" hidden="1" x14ac:dyDescent="0.3">
      <c r="A20" s="16"/>
      <c r="B20" s="55">
        <v>14</v>
      </c>
      <c r="C20" s="56" t="s">
        <v>35</v>
      </c>
      <c r="D20" s="55">
        <v>1</v>
      </c>
      <c r="E20" s="55" t="s">
        <v>20</v>
      </c>
      <c r="F20" s="18" t="s">
        <v>21</v>
      </c>
      <c r="G20" s="18" t="s">
        <v>23</v>
      </c>
      <c r="H20" s="18" t="s">
        <v>21</v>
      </c>
      <c r="I20" s="18" t="s">
        <v>21</v>
      </c>
      <c r="J20" s="18" t="s">
        <v>21</v>
      </c>
      <c r="K20" s="18" t="s">
        <v>21</v>
      </c>
      <c r="L20" s="18" t="s">
        <v>21</v>
      </c>
      <c r="M20" s="19" t="s">
        <v>21</v>
      </c>
      <c r="N20" s="19" t="s">
        <v>21</v>
      </c>
      <c r="O20" s="19" t="s">
        <v>21</v>
      </c>
      <c r="P20" s="19" t="s">
        <v>21</v>
      </c>
      <c r="Q20" s="18" t="s">
        <v>21</v>
      </c>
      <c r="R20" s="18" t="s">
        <v>21</v>
      </c>
      <c r="S20" s="19" t="s">
        <v>23</v>
      </c>
      <c r="T20" s="18" t="s">
        <v>23</v>
      </c>
      <c r="U20" s="18" t="s">
        <v>21</v>
      </c>
      <c r="V20" s="18" t="s">
        <v>20</v>
      </c>
      <c r="W20" s="18" t="s">
        <v>21</v>
      </c>
      <c r="X20" s="18" t="s">
        <v>20</v>
      </c>
      <c r="Y20" s="19" t="s">
        <v>21</v>
      </c>
      <c r="Z20" s="19" t="s">
        <v>20</v>
      </c>
      <c r="AA20" s="20" t="s">
        <v>21</v>
      </c>
      <c r="AB20" s="20" t="s">
        <v>23</v>
      </c>
      <c r="AC20" s="20" t="s">
        <v>23</v>
      </c>
      <c r="AD20" s="19" t="s">
        <v>21</v>
      </c>
      <c r="AE20" s="19" t="s">
        <v>21</v>
      </c>
      <c r="AG20">
        <f>+COUNTIF(F20:AE20,"AD")</f>
        <v>0</v>
      </c>
      <c r="AH20">
        <f>+COUNTIF(F20:AE20,"A")</f>
        <v>3</v>
      </c>
      <c r="AI20">
        <f>+COUNTIF(F20:AE20,"b")</f>
        <v>18</v>
      </c>
      <c r="AJ20">
        <f>+COUNTIF(F20:AE20,"c")</f>
        <v>5</v>
      </c>
      <c r="AL20">
        <f>+$AG$5*AG20</f>
        <v>0</v>
      </c>
      <c r="AM20">
        <f>+$AH$5*AH20</f>
        <v>9</v>
      </c>
      <c r="AN20">
        <f>+$AI$5*AI20</f>
        <v>36</v>
      </c>
      <c r="AO20">
        <f>+$AJ$5*AJ20</f>
        <v>5</v>
      </c>
      <c r="AP20">
        <f>+SUM(AL20:AO20)</f>
        <v>50</v>
      </c>
    </row>
    <row r="21" spans="1:42" ht="14.4" hidden="1" x14ac:dyDescent="0.3">
      <c r="A21" s="16"/>
      <c r="B21" s="55">
        <v>8</v>
      </c>
      <c r="C21" s="56" t="s">
        <v>29</v>
      </c>
      <c r="D21" s="55">
        <v>1</v>
      </c>
      <c r="E21" s="55" t="s">
        <v>20</v>
      </c>
      <c r="F21" s="18" t="s">
        <v>21</v>
      </c>
      <c r="G21" s="18" t="s">
        <v>23</v>
      </c>
      <c r="H21" s="18" t="s">
        <v>21</v>
      </c>
      <c r="I21" s="18" t="s">
        <v>21</v>
      </c>
      <c r="J21" s="18" t="s">
        <v>21</v>
      </c>
      <c r="K21" s="18" t="s">
        <v>21</v>
      </c>
      <c r="L21" s="18" t="s">
        <v>21</v>
      </c>
      <c r="M21" s="19" t="s">
        <v>21</v>
      </c>
      <c r="N21" s="19" t="s">
        <v>21</v>
      </c>
      <c r="O21" s="19" t="s">
        <v>21</v>
      </c>
      <c r="P21" s="19" t="s">
        <v>21</v>
      </c>
      <c r="Q21" s="18" t="s">
        <v>21</v>
      </c>
      <c r="R21" s="18" t="s">
        <v>21</v>
      </c>
      <c r="S21" s="19" t="s">
        <v>23</v>
      </c>
      <c r="T21" s="18" t="s">
        <v>21</v>
      </c>
      <c r="U21" s="18" t="s">
        <v>21</v>
      </c>
      <c r="V21" s="18" t="s">
        <v>20</v>
      </c>
      <c r="W21" s="18" t="s">
        <v>21</v>
      </c>
      <c r="X21" s="18" t="s">
        <v>20</v>
      </c>
      <c r="Y21" s="19" t="s">
        <v>21</v>
      </c>
      <c r="Z21" s="19" t="s">
        <v>21</v>
      </c>
      <c r="AA21" s="20" t="s">
        <v>21</v>
      </c>
      <c r="AB21" s="20" t="s">
        <v>23</v>
      </c>
      <c r="AC21" s="20" t="s">
        <v>23</v>
      </c>
      <c r="AD21" s="19" t="s">
        <v>23</v>
      </c>
      <c r="AE21" s="19" t="s">
        <v>21</v>
      </c>
      <c r="AG21">
        <f>+COUNTIF(F21:AE21,"AD")</f>
        <v>0</v>
      </c>
      <c r="AH21">
        <f>+COUNTIF(F21:AE21,"A")</f>
        <v>2</v>
      </c>
      <c r="AI21">
        <f>+COUNTIF(F21:AE21,"b")</f>
        <v>19</v>
      </c>
      <c r="AJ21">
        <f>+COUNTIF(F21:AE21,"c")</f>
        <v>5</v>
      </c>
      <c r="AL21">
        <f>+$AG$5*AG21</f>
        <v>0</v>
      </c>
      <c r="AM21">
        <f>+$AH$5*AH21</f>
        <v>6</v>
      </c>
      <c r="AN21">
        <f>+$AI$5*AI21</f>
        <v>38</v>
      </c>
      <c r="AO21">
        <f>+$AJ$5*AJ21</f>
        <v>5</v>
      </c>
      <c r="AP21">
        <f>+SUM(AL21:AO21)</f>
        <v>49</v>
      </c>
    </row>
    <row r="22" spans="1:42" ht="15.75" hidden="1" customHeight="1" x14ac:dyDescent="0.3">
      <c r="A22" s="16"/>
      <c r="B22" s="55">
        <v>12</v>
      </c>
      <c r="C22" s="56" t="s">
        <v>33</v>
      </c>
      <c r="D22" s="55">
        <v>1</v>
      </c>
      <c r="E22" s="55" t="s">
        <v>20</v>
      </c>
      <c r="F22" s="18" t="s">
        <v>21</v>
      </c>
      <c r="G22" s="18" t="s">
        <v>21</v>
      </c>
      <c r="H22" s="18" t="s">
        <v>21</v>
      </c>
      <c r="I22" s="18" t="s">
        <v>23</v>
      </c>
      <c r="J22" s="18" t="s">
        <v>21</v>
      </c>
      <c r="K22" s="18" t="s">
        <v>21</v>
      </c>
      <c r="L22" s="18" t="s">
        <v>21</v>
      </c>
      <c r="M22" s="19" t="s">
        <v>21</v>
      </c>
      <c r="N22" s="19" t="s">
        <v>21</v>
      </c>
      <c r="O22" s="19" t="s">
        <v>21</v>
      </c>
      <c r="P22" s="19" t="s">
        <v>21</v>
      </c>
      <c r="Q22" s="18" t="s">
        <v>21</v>
      </c>
      <c r="R22" s="18" t="s">
        <v>21</v>
      </c>
      <c r="S22" s="19" t="s">
        <v>23</v>
      </c>
      <c r="T22" s="18" t="s">
        <v>23</v>
      </c>
      <c r="U22" s="18" t="s">
        <v>21</v>
      </c>
      <c r="V22" s="18" t="s">
        <v>21</v>
      </c>
      <c r="W22" s="18" t="s">
        <v>21</v>
      </c>
      <c r="X22" s="18" t="s">
        <v>20</v>
      </c>
      <c r="Y22" s="19" t="s">
        <v>20</v>
      </c>
      <c r="Z22" s="19" t="s">
        <v>20</v>
      </c>
      <c r="AA22" s="20" t="s">
        <v>23</v>
      </c>
      <c r="AB22" s="20" t="s">
        <v>23</v>
      </c>
      <c r="AC22" s="20" t="s">
        <v>23</v>
      </c>
      <c r="AD22" s="19" t="s">
        <v>23</v>
      </c>
      <c r="AE22" s="19" t="s">
        <v>21</v>
      </c>
      <c r="AG22">
        <f>+COUNTIF(F22:AE22,"AD")</f>
        <v>0</v>
      </c>
      <c r="AH22">
        <f>+COUNTIF(F22:AE22,"A")</f>
        <v>3</v>
      </c>
      <c r="AI22">
        <f>+COUNTIF(F22:AE22,"b")</f>
        <v>16</v>
      </c>
      <c r="AJ22">
        <f>+COUNTIF(F22:AE22,"c")</f>
        <v>7</v>
      </c>
      <c r="AL22">
        <f>+$AG$5*AG22</f>
        <v>0</v>
      </c>
      <c r="AM22">
        <f>+$AH$5*AH22</f>
        <v>9</v>
      </c>
      <c r="AN22">
        <f>+$AI$5*AI22</f>
        <v>32</v>
      </c>
      <c r="AO22">
        <f>+$AJ$5*AJ22</f>
        <v>7</v>
      </c>
      <c r="AP22">
        <f>+SUM(AL22:AO22)</f>
        <v>48</v>
      </c>
    </row>
    <row r="23" spans="1:42" ht="15.75" hidden="1" customHeight="1" thickBot="1" x14ac:dyDescent="0.35">
      <c r="A23" s="16"/>
      <c r="B23" s="57">
        <v>2</v>
      </c>
      <c r="C23" s="58" t="s">
        <v>22</v>
      </c>
      <c r="D23" s="57">
        <v>1</v>
      </c>
      <c r="E23" s="57" t="s">
        <v>20</v>
      </c>
      <c r="F23" s="21" t="s">
        <v>21</v>
      </c>
      <c r="G23" s="21" t="s">
        <v>23</v>
      </c>
      <c r="H23" s="21" t="s">
        <v>21</v>
      </c>
      <c r="I23" s="21" t="s">
        <v>21</v>
      </c>
      <c r="J23" s="21" t="s">
        <v>21</v>
      </c>
      <c r="K23" s="21" t="s">
        <v>21</v>
      </c>
      <c r="L23" s="21" t="s">
        <v>21</v>
      </c>
      <c r="M23" s="22" t="s">
        <v>21</v>
      </c>
      <c r="N23" s="22" t="s">
        <v>21</v>
      </c>
      <c r="O23" s="22" t="s">
        <v>23</v>
      </c>
      <c r="P23" s="22" t="s">
        <v>21</v>
      </c>
      <c r="Q23" s="21" t="s">
        <v>21</v>
      </c>
      <c r="R23" s="21" t="s">
        <v>21</v>
      </c>
      <c r="S23" s="22" t="s">
        <v>23</v>
      </c>
      <c r="T23" s="21" t="s">
        <v>23</v>
      </c>
      <c r="U23" s="21" t="s">
        <v>21</v>
      </c>
      <c r="V23" s="21" t="s">
        <v>21</v>
      </c>
      <c r="W23" s="21" t="s">
        <v>21</v>
      </c>
      <c r="X23" s="21" t="s">
        <v>20</v>
      </c>
      <c r="Y23" s="22" t="s">
        <v>21</v>
      </c>
      <c r="Z23" s="22" t="s">
        <v>20</v>
      </c>
      <c r="AA23" s="23" t="s">
        <v>23</v>
      </c>
      <c r="AB23" s="23" t="s">
        <v>23</v>
      </c>
      <c r="AC23" s="23" t="s">
        <v>23</v>
      </c>
      <c r="AD23" s="22" t="s">
        <v>23</v>
      </c>
      <c r="AE23" s="22" t="s">
        <v>21</v>
      </c>
      <c r="AG23">
        <f>+COUNTIF(F23:AE23,"AD")</f>
        <v>0</v>
      </c>
      <c r="AH23">
        <f>+COUNTIF(F23:AE23,"A")</f>
        <v>2</v>
      </c>
      <c r="AI23">
        <f>+COUNTIF(F23:AE23,"b")</f>
        <v>16</v>
      </c>
      <c r="AJ23">
        <f>+COUNTIF(F23:AE23,"c")</f>
        <v>8</v>
      </c>
      <c r="AL23">
        <f>+$AG$5*AG23</f>
        <v>0</v>
      </c>
      <c r="AM23">
        <f>+$AH$5*AH23</f>
        <v>6</v>
      </c>
      <c r="AN23">
        <f>+$AI$5*AI23</f>
        <v>32</v>
      </c>
      <c r="AO23">
        <f>+$AJ$5*AJ23</f>
        <v>8</v>
      </c>
      <c r="AP23">
        <f>+SUM(AL23:AO23)</f>
        <v>46</v>
      </c>
    </row>
    <row r="24" spans="1:42" ht="15.75" hidden="1" customHeight="1" x14ac:dyDescent="0.3">
      <c r="A24" s="16"/>
      <c r="B24" s="59">
        <v>1</v>
      </c>
      <c r="C24" s="60" t="s">
        <v>41</v>
      </c>
      <c r="D24" s="59">
        <v>1</v>
      </c>
      <c r="E24" s="59" t="s">
        <v>21</v>
      </c>
      <c r="F24" s="24" t="s">
        <v>39</v>
      </c>
      <c r="G24" s="24" t="s">
        <v>20</v>
      </c>
      <c r="H24" s="24" t="s">
        <v>20</v>
      </c>
      <c r="I24" s="24" t="s">
        <v>20</v>
      </c>
      <c r="J24" s="24" t="s">
        <v>20</v>
      </c>
      <c r="K24" s="24" t="s">
        <v>20</v>
      </c>
      <c r="L24" s="24" t="s">
        <v>20</v>
      </c>
      <c r="M24" s="25" t="s">
        <v>20</v>
      </c>
      <c r="N24" s="25" t="s">
        <v>20</v>
      </c>
      <c r="O24" s="25" t="s">
        <v>20</v>
      </c>
      <c r="P24" s="25" t="s">
        <v>20</v>
      </c>
      <c r="Q24" s="24" t="s">
        <v>20</v>
      </c>
      <c r="R24" s="24" t="s">
        <v>20</v>
      </c>
      <c r="S24" s="25" t="s">
        <v>20</v>
      </c>
      <c r="T24" s="24" t="s">
        <v>20</v>
      </c>
      <c r="U24" s="24" t="s">
        <v>20</v>
      </c>
      <c r="V24" s="24" t="s">
        <v>20</v>
      </c>
      <c r="W24" s="24" t="s">
        <v>20</v>
      </c>
      <c r="X24" s="24" t="s">
        <v>20</v>
      </c>
      <c r="Y24" s="25" t="s">
        <v>20</v>
      </c>
      <c r="Z24" s="25" t="s">
        <v>20</v>
      </c>
      <c r="AA24" s="26" t="s">
        <v>20</v>
      </c>
      <c r="AB24" s="26" t="s">
        <v>20</v>
      </c>
      <c r="AC24" s="27" t="s">
        <v>20</v>
      </c>
      <c r="AD24" s="25" t="s">
        <v>20</v>
      </c>
      <c r="AE24" s="25" t="s">
        <v>21</v>
      </c>
      <c r="AG24">
        <f t="shared" ref="AG24:AG87" si="0">+COUNTIF(F24:AE24,"AD")</f>
        <v>1</v>
      </c>
      <c r="AH24">
        <f t="shared" ref="AH24:AH87" si="1">+COUNTIF(F24:AE24,"A")</f>
        <v>24</v>
      </c>
      <c r="AI24">
        <f t="shared" ref="AI24:AI87" si="2">+COUNTIF(F24:AE24,"b")</f>
        <v>1</v>
      </c>
      <c r="AJ24">
        <f t="shared" ref="AJ24:AJ87" si="3">+COUNTIF(F24:AE24,"c")</f>
        <v>0</v>
      </c>
      <c r="AL24">
        <f t="shared" ref="AL24:AL87" si="4">+$AG$5*AG24</f>
        <v>4</v>
      </c>
      <c r="AM24">
        <f t="shared" ref="AM24:AM87" si="5">+$AH$5*AH24</f>
        <v>72</v>
      </c>
      <c r="AN24">
        <f t="shared" ref="AN24:AN87" si="6">+$AI$5*AI24</f>
        <v>2</v>
      </c>
      <c r="AO24">
        <f t="shared" ref="AO24:AO87" si="7">+$AJ$5*AJ24</f>
        <v>0</v>
      </c>
      <c r="AP24">
        <f t="shared" ref="AP24:AP87" si="8">+SUM(AL24:AO24)</f>
        <v>78</v>
      </c>
    </row>
    <row r="25" spans="1:42" ht="15.75" hidden="1" customHeight="1" x14ac:dyDescent="0.3">
      <c r="A25" s="16"/>
      <c r="B25" s="55">
        <v>2</v>
      </c>
      <c r="C25" s="56" t="s">
        <v>42</v>
      </c>
      <c r="D25" s="55">
        <v>1</v>
      </c>
      <c r="E25" s="55" t="s">
        <v>21</v>
      </c>
      <c r="F25" s="18" t="s">
        <v>21</v>
      </c>
      <c r="G25" s="18" t="s">
        <v>21</v>
      </c>
      <c r="H25" s="18" t="s">
        <v>21</v>
      </c>
      <c r="I25" s="18" t="s">
        <v>21</v>
      </c>
      <c r="J25" s="18" t="s">
        <v>20</v>
      </c>
      <c r="K25" s="18" t="s">
        <v>21</v>
      </c>
      <c r="L25" s="18" t="s">
        <v>21</v>
      </c>
      <c r="M25" s="19" t="s">
        <v>20</v>
      </c>
      <c r="N25" s="19" t="s">
        <v>20</v>
      </c>
      <c r="O25" s="19" t="s">
        <v>20</v>
      </c>
      <c r="P25" s="19" t="s">
        <v>20</v>
      </c>
      <c r="Q25" s="18" t="s">
        <v>20</v>
      </c>
      <c r="R25" s="18" t="s">
        <v>21</v>
      </c>
      <c r="S25" s="19" t="s">
        <v>20</v>
      </c>
      <c r="T25" s="18" t="s">
        <v>20</v>
      </c>
      <c r="U25" s="18" t="s">
        <v>21</v>
      </c>
      <c r="V25" s="18" t="s">
        <v>20</v>
      </c>
      <c r="W25" s="18" t="s">
        <v>20</v>
      </c>
      <c r="X25" s="18" t="s">
        <v>20</v>
      </c>
      <c r="Y25" s="19" t="s">
        <v>20</v>
      </c>
      <c r="Z25" s="19" t="s">
        <v>20</v>
      </c>
      <c r="AA25" s="28" t="s">
        <v>20</v>
      </c>
      <c r="AB25" s="28" t="s">
        <v>21</v>
      </c>
      <c r="AC25" s="20" t="s">
        <v>20</v>
      </c>
      <c r="AD25" s="19" t="s">
        <v>20</v>
      </c>
      <c r="AE25" s="19" t="s">
        <v>21</v>
      </c>
      <c r="AG25">
        <f t="shared" si="0"/>
        <v>0</v>
      </c>
      <c r="AH25">
        <f t="shared" si="1"/>
        <v>16</v>
      </c>
      <c r="AI25">
        <f t="shared" si="2"/>
        <v>10</v>
      </c>
      <c r="AJ25">
        <f t="shared" si="3"/>
        <v>0</v>
      </c>
      <c r="AL25">
        <f t="shared" si="4"/>
        <v>0</v>
      </c>
      <c r="AM25">
        <f t="shared" si="5"/>
        <v>48</v>
      </c>
      <c r="AN25">
        <f t="shared" si="6"/>
        <v>20</v>
      </c>
      <c r="AO25">
        <f t="shared" si="7"/>
        <v>0</v>
      </c>
      <c r="AP25">
        <f t="shared" si="8"/>
        <v>68</v>
      </c>
    </row>
    <row r="26" spans="1:42" ht="15.75" hidden="1" customHeight="1" x14ac:dyDescent="0.3">
      <c r="A26" s="16"/>
      <c r="B26" s="55">
        <v>3</v>
      </c>
      <c r="C26" s="56" t="s">
        <v>43</v>
      </c>
      <c r="D26" s="55">
        <v>1</v>
      </c>
      <c r="E26" s="55" t="s">
        <v>21</v>
      </c>
      <c r="F26" s="18" t="s">
        <v>21</v>
      </c>
      <c r="G26" s="18" t="s">
        <v>20</v>
      </c>
      <c r="H26" s="18" t="s">
        <v>21</v>
      </c>
      <c r="I26" s="18" t="s">
        <v>21</v>
      </c>
      <c r="J26" s="18" t="s">
        <v>21</v>
      </c>
      <c r="K26" s="18" t="s">
        <v>20</v>
      </c>
      <c r="L26" s="18" t="s">
        <v>21</v>
      </c>
      <c r="M26" s="19" t="s">
        <v>20</v>
      </c>
      <c r="N26" s="19" t="s">
        <v>20</v>
      </c>
      <c r="O26" s="19" t="s">
        <v>20</v>
      </c>
      <c r="P26" s="19" t="s">
        <v>20</v>
      </c>
      <c r="Q26" s="18" t="s">
        <v>21</v>
      </c>
      <c r="R26" s="18" t="s">
        <v>21</v>
      </c>
      <c r="S26" s="19" t="s">
        <v>20</v>
      </c>
      <c r="T26" s="18" t="s">
        <v>20</v>
      </c>
      <c r="U26" s="18" t="s">
        <v>21</v>
      </c>
      <c r="V26" s="18" t="s">
        <v>20</v>
      </c>
      <c r="W26" s="18" t="s">
        <v>20</v>
      </c>
      <c r="X26" s="18" t="s">
        <v>20</v>
      </c>
      <c r="Y26" s="19" t="s">
        <v>20</v>
      </c>
      <c r="Z26" s="19" t="s">
        <v>20</v>
      </c>
      <c r="AA26" s="28" t="s">
        <v>20</v>
      </c>
      <c r="AB26" s="28" t="s">
        <v>21</v>
      </c>
      <c r="AC26" s="20" t="s">
        <v>21</v>
      </c>
      <c r="AD26" s="19" t="s">
        <v>20</v>
      </c>
      <c r="AE26" s="19" t="s">
        <v>21</v>
      </c>
      <c r="AG26">
        <f t="shared" si="0"/>
        <v>0</v>
      </c>
      <c r="AH26">
        <f t="shared" si="1"/>
        <v>15</v>
      </c>
      <c r="AI26">
        <f t="shared" si="2"/>
        <v>11</v>
      </c>
      <c r="AJ26">
        <f t="shared" si="3"/>
        <v>0</v>
      </c>
      <c r="AL26">
        <f t="shared" si="4"/>
        <v>0</v>
      </c>
      <c r="AM26">
        <f t="shared" si="5"/>
        <v>45</v>
      </c>
      <c r="AN26">
        <f t="shared" si="6"/>
        <v>22</v>
      </c>
      <c r="AO26">
        <f t="shared" si="7"/>
        <v>0</v>
      </c>
      <c r="AP26">
        <f t="shared" si="8"/>
        <v>67</v>
      </c>
    </row>
    <row r="27" spans="1:42" ht="15.75" hidden="1" customHeight="1" x14ac:dyDescent="0.3">
      <c r="A27" s="16"/>
      <c r="B27" s="55">
        <v>4</v>
      </c>
      <c r="C27" s="56" t="s">
        <v>44</v>
      </c>
      <c r="D27" s="55">
        <v>1</v>
      </c>
      <c r="E27" s="55" t="s">
        <v>21</v>
      </c>
      <c r="F27" s="18" t="s">
        <v>20</v>
      </c>
      <c r="G27" s="18" t="s">
        <v>20</v>
      </c>
      <c r="H27" s="18" t="s">
        <v>20</v>
      </c>
      <c r="I27" s="18" t="s">
        <v>20</v>
      </c>
      <c r="J27" s="18" t="s">
        <v>21</v>
      </c>
      <c r="K27" s="18" t="s">
        <v>21</v>
      </c>
      <c r="L27" s="18" t="s">
        <v>21</v>
      </c>
      <c r="M27" s="18" t="s">
        <v>21</v>
      </c>
      <c r="N27" s="18" t="s">
        <v>20</v>
      </c>
      <c r="O27" s="18" t="s">
        <v>20</v>
      </c>
      <c r="P27" s="18" t="s">
        <v>21</v>
      </c>
      <c r="Q27" s="18" t="s">
        <v>21</v>
      </c>
      <c r="R27" s="18" t="s">
        <v>21</v>
      </c>
      <c r="S27" s="18" t="s">
        <v>20</v>
      </c>
      <c r="T27" s="18" t="s">
        <v>20</v>
      </c>
      <c r="U27" s="18" t="s">
        <v>21</v>
      </c>
      <c r="V27" s="18" t="s">
        <v>20</v>
      </c>
      <c r="W27" s="18" t="s">
        <v>20</v>
      </c>
      <c r="X27" s="18" t="s">
        <v>20</v>
      </c>
      <c r="Y27" s="19" t="s">
        <v>21</v>
      </c>
      <c r="Z27" s="18" t="s">
        <v>20</v>
      </c>
      <c r="AA27" s="28" t="s">
        <v>21</v>
      </c>
      <c r="AB27" s="28" t="s">
        <v>21</v>
      </c>
      <c r="AC27" s="20" t="s">
        <v>21</v>
      </c>
      <c r="AD27" s="29" t="s">
        <v>21</v>
      </c>
      <c r="AE27" s="29" t="s">
        <v>21</v>
      </c>
      <c r="AG27">
        <f t="shared" si="0"/>
        <v>0</v>
      </c>
      <c r="AH27">
        <f t="shared" si="1"/>
        <v>12</v>
      </c>
      <c r="AI27">
        <f t="shared" si="2"/>
        <v>14</v>
      </c>
      <c r="AJ27">
        <f t="shared" si="3"/>
        <v>0</v>
      </c>
      <c r="AL27">
        <f t="shared" si="4"/>
        <v>0</v>
      </c>
      <c r="AM27">
        <f t="shared" si="5"/>
        <v>36</v>
      </c>
      <c r="AN27">
        <f t="shared" si="6"/>
        <v>28</v>
      </c>
      <c r="AO27">
        <f t="shared" si="7"/>
        <v>0</v>
      </c>
      <c r="AP27">
        <f t="shared" si="8"/>
        <v>64</v>
      </c>
    </row>
    <row r="28" spans="1:42" ht="15.75" hidden="1" customHeight="1" x14ac:dyDescent="0.3">
      <c r="A28" s="16"/>
      <c r="B28" s="55">
        <v>5</v>
      </c>
      <c r="C28" s="56" t="s">
        <v>45</v>
      </c>
      <c r="D28" s="55">
        <v>1</v>
      </c>
      <c r="E28" s="55" t="s">
        <v>21</v>
      </c>
      <c r="F28" s="18" t="s">
        <v>21</v>
      </c>
      <c r="G28" s="18" t="s">
        <v>21</v>
      </c>
      <c r="H28" s="18" t="s">
        <v>20</v>
      </c>
      <c r="I28" s="18" t="s">
        <v>21</v>
      </c>
      <c r="J28" s="18" t="s">
        <v>21</v>
      </c>
      <c r="K28" s="18" t="s">
        <v>21</v>
      </c>
      <c r="L28" s="18" t="s">
        <v>21</v>
      </c>
      <c r="M28" s="18" t="s">
        <v>20</v>
      </c>
      <c r="N28" s="18" t="s">
        <v>21</v>
      </c>
      <c r="O28" s="18" t="s">
        <v>20</v>
      </c>
      <c r="P28" s="18" t="s">
        <v>21</v>
      </c>
      <c r="Q28" s="18" t="s">
        <v>21</v>
      </c>
      <c r="R28" s="18" t="s">
        <v>21</v>
      </c>
      <c r="S28" s="18" t="s">
        <v>20</v>
      </c>
      <c r="T28" s="18" t="s">
        <v>20</v>
      </c>
      <c r="U28" s="18" t="s">
        <v>21</v>
      </c>
      <c r="V28" s="18" t="s">
        <v>20</v>
      </c>
      <c r="W28" s="18" t="s">
        <v>20</v>
      </c>
      <c r="X28" s="18" t="s">
        <v>20</v>
      </c>
      <c r="Y28" s="19" t="s">
        <v>21</v>
      </c>
      <c r="Z28" s="18" t="s">
        <v>20</v>
      </c>
      <c r="AA28" s="28" t="s">
        <v>20</v>
      </c>
      <c r="AB28" s="28" t="s">
        <v>20</v>
      </c>
      <c r="AC28" s="20" t="s">
        <v>21</v>
      </c>
      <c r="AD28" s="29" t="s">
        <v>21</v>
      </c>
      <c r="AE28" s="29" t="s">
        <v>21</v>
      </c>
      <c r="AG28">
        <f t="shared" si="0"/>
        <v>0</v>
      </c>
      <c r="AH28">
        <f t="shared" si="1"/>
        <v>11</v>
      </c>
      <c r="AI28">
        <f t="shared" si="2"/>
        <v>15</v>
      </c>
      <c r="AJ28">
        <f t="shared" si="3"/>
        <v>0</v>
      </c>
      <c r="AL28">
        <f t="shared" si="4"/>
        <v>0</v>
      </c>
      <c r="AM28">
        <f t="shared" si="5"/>
        <v>33</v>
      </c>
      <c r="AN28">
        <f t="shared" si="6"/>
        <v>30</v>
      </c>
      <c r="AO28">
        <f t="shared" si="7"/>
        <v>0</v>
      </c>
      <c r="AP28">
        <f t="shared" si="8"/>
        <v>63</v>
      </c>
    </row>
    <row r="29" spans="1:42" ht="15.75" hidden="1" customHeight="1" x14ac:dyDescent="0.3">
      <c r="A29" s="16"/>
      <c r="B29" s="55">
        <v>6</v>
      </c>
      <c r="C29" s="56" t="s">
        <v>46</v>
      </c>
      <c r="D29" s="55">
        <v>1</v>
      </c>
      <c r="E29" s="55" t="s">
        <v>21</v>
      </c>
      <c r="F29" s="18" t="s">
        <v>20</v>
      </c>
      <c r="G29" s="18" t="s">
        <v>20</v>
      </c>
      <c r="H29" s="18" t="s">
        <v>21</v>
      </c>
      <c r="I29" s="18" t="s">
        <v>20</v>
      </c>
      <c r="J29" s="18" t="s">
        <v>21</v>
      </c>
      <c r="K29" s="18" t="s">
        <v>20</v>
      </c>
      <c r="L29" s="18" t="s">
        <v>21</v>
      </c>
      <c r="M29" s="18" t="s">
        <v>20</v>
      </c>
      <c r="N29" s="18" t="s">
        <v>21</v>
      </c>
      <c r="O29" s="18" t="s">
        <v>20</v>
      </c>
      <c r="P29" s="18" t="s">
        <v>21</v>
      </c>
      <c r="Q29" s="18" t="s">
        <v>21</v>
      </c>
      <c r="R29" s="18" t="s">
        <v>21</v>
      </c>
      <c r="S29" s="18" t="s">
        <v>21</v>
      </c>
      <c r="T29" s="18" t="s">
        <v>20</v>
      </c>
      <c r="U29" s="18" t="s">
        <v>21</v>
      </c>
      <c r="V29" s="18" t="s">
        <v>20</v>
      </c>
      <c r="W29" s="18" t="s">
        <v>20</v>
      </c>
      <c r="X29" s="18" t="s">
        <v>20</v>
      </c>
      <c r="Y29" s="19" t="s">
        <v>20</v>
      </c>
      <c r="Z29" s="18" t="s">
        <v>20</v>
      </c>
      <c r="AA29" s="28" t="s">
        <v>20</v>
      </c>
      <c r="AB29" s="28" t="s">
        <v>20</v>
      </c>
      <c r="AC29" s="20" t="s">
        <v>20</v>
      </c>
      <c r="AD29" s="29" t="s">
        <v>21</v>
      </c>
      <c r="AE29" s="29" t="s">
        <v>21</v>
      </c>
      <c r="AG29">
        <f t="shared" si="0"/>
        <v>0</v>
      </c>
      <c r="AH29">
        <f t="shared" si="1"/>
        <v>15</v>
      </c>
      <c r="AI29">
        <f t="shared" si="2"/>
        <v>11</v>
      </c>
      <c r="AJ29">
        <f t="shared" si="3"/>
        <v>0</v>
      </c>
      <c r="AL29">
        <f t="shared" si="4"/>
        <v>0</v>
      </c>
      <c r="AM29">
        <f t="shared" si="5"/>
        <v>45</v>
      </c>
      <c r="AN29">
        <f t="shared" si="6"/>
        <v>22</v>
      </c>
      <c r="AO29">
        <f t="shared" si="7"/>
        <v>0</v>
      </c>
      <c r="AP29">
        <f t="shared" si="8"/>
        <v>67</v>
      </c>
    </row>
    <row r="30" spans="1:42" ht="15.75" hidden="1" customHeight="1" x14ac:dyDescent="0.3">
      <c r="A30" s="16"/>
      <c r="B30" s="55">
        <v>7</v>
      </c>
      <c r="C30" s="56" t="s">
        <v>47</v>
      </c>
      <c r="D30" s="55">
        <v>1</v>
      </c>
      <c r="E30" s="55" t="s">
        <v>21</v>
      </c>
      <c r="F30" s="18" t="s">
        <v>21</v>
      </c>
      <c r="G30" s="18" t="s">
        <v>21</v>
      </c>
      <c r="H30" s="18" t="s">
        <v>20</v>
      </c>
      <c r="I30" s="18" t="s">
        <v>21</v>
      </c>
      <c r="J30" s="18" t="s">
        <v>20</v>
      </c>
      <c r="K30" s="18" t="s">
        <v>20</v>
      </c>
      <c r="L30" s="18" t="s">
        <v>21</v>
      </c>
      <c r="M30" s="18" t="s">
        <v>20</v>
      </c>
      <c r="N30" s="18" t="s">
        <v>21</v>
      </c>
      <c r="O30" s="18" t="s">
        <v>20</v>
      </c>
      <c r="P30" s="18" t="s">
        <v>20</v>
      </c>
      <c r="Q30" s="18" t="s">
        <v>21</v>
      </c>
      <c r="R30" s="18" t="s">
        <v>20</v>
      </c>
      <c r="S30" s="18" t="s">
        <v>20</v>
      </c>
      <c r="T30" s="18" t="s">
        <v>20</v>
      </c>
      <c r="U30" s="18" t="s">
        <v>21</v>
      </c>
      <c r="V30" s="18" t="s">
        <v>20</v>
      </c>
      <c r="W30" s="18" t="s">
        <v>20</v>
      </c>
      <c r="X30" s="18" t="s">
        <v>21</v>
      </c>
      <c r="Y30" s="19" t="s">
        <v>20</v>
      </c>
      <c r="Z30" s="18" t="s">
        <v>20</v>
      </c>
      <c r="AA30" s="28" t="s">
        <v>20</v>
      </c>
      <c r="AB30" s="28" t="s">
        <v>20</v>
      </c>
      <c r="AC30" s="20" t="s">
        <v>20</v>
      </c>
      <c r="AD30" s="29" t="s">
        <v>21</v>
      </c>
      <c r="AE30" s="29" t="s">
        <v>21</v>
      </c>
      <c r="AG30">
        <f t="shared" si="0"/>
        <v>0</v>
      </c>
      <c r="AH30">
        <f t="shared" si="1"/>
        <v>16</v>
      </c>
      <c r="AI30">
        <f t="shared" si="2"/>
        <v>10</v>
      </c>
      <c r="AJ30">
        <f t="shared" si="3"/>
        <v>0</v>
      </c>
      <c r="AL30">
        <f t="shared" si="4"/>
        <v>0</v>
      </c>
      <c r="AM30">
        <f t="shared" si="5"/>
        <v>48</v>
      </c>
      <c r="AN30">
        <f t="shared" si="6"/>
        <v>20</v>
      </c>
      <c r="AO30">
        <f t="shared" si="7"/>
        <v>0</v>
      </c>
      <c r="AP30">
        <f t="shared" si="8"/>
        <v>68</v>
      </c>
    </row>
    <row r="31" spans="1:42" ht="15.75" hidden="1" customHeight="1" x14ac:dyDescent="0.3">
      <c r="A31" s="16"/>
      <c r="B31" s="55">
        <v>8</v>
      </c>
      <c r="C31" s="56" t="s">
        <v>48</v>
      </c>
      <c r="D31" s="55">
        <v>1</v>
      </c>
      <c r="E31" s="55" t="s">
        <v>21</v>
      </c>
      <c r="F31" s="18" t="s">
        <v>20</v>
      </c>
      <c r="G31" s="18" t="s">
        <v>21</v>
      </c>
      <c r="H31" s="18" t="s">
        <v>21</v>
      </c>
      <c r="I31" s="18" t="s">
        <v>21</v>
      </c>
      <c r="J31" s="18" t="s">
        <v>20</v>
      </c>
      <c r="K31" s="18" t="s">
        <v>21</v>
      </c>
      <c r="L31" s="18" t="s">
        <v>21</v>
      </c>
      <c r="M31" s="18" t="s">
        <v>20</v>
      </c>
      <c r="N31" s="18" t="s">
        <v>21</v>
      </c>
      <c r="O31" s="18" t="s">
        <v>21</v>
      </c>
      <c r="P31" s="18" t="s">
        <v>21</v>
      </c>
      <c r="Q31" s="18" t="s">
        <v>21</v>
      </c>
      <c r="R31" s="18" t="s">
        <v>21</v>
      </c>
      <c r="S31" s="18" t="s">
        <v>20</v>
      </c>
      <c r="T31" s="18" t="s">
        <v>20</v>
      </c>
      <c r="U31" s="18" t="s">
        <v>20</v>
      </c>
      <c r="V31" s="18" t="s">
        <v>21</v>
      </c>
      <c r="W31" s="18" t="s">
        <v>20</v>
      </c>
      <c r="X31" s="18" t="s">
        <v>21</v>
      </c>
      <c r="Y31" s="19" t="s">
        <v>21</v>
      </c>
      <c r="Z31" s="18" t="s">
        <v>20</v>
      </c>
      <c r="AA31" s="28" t="s">
        <v>20</v>
      </c>
      <c r="AB31" s="28" t="s">
        <v>20</v>
      </c>
      <c r="AC31" s="20" t="s">
        <v>20</v>
      </c>
      <c r="AD31" s="29" t="s">
        <v>20</v>
      </c>
      <c r="AE31" s="29" t="s">
        <v>21</v>
      </c>
      <c r="AG31">
        <f t="shared" si="0"/>
        <v>0</v>
      </c>
      <c r="AH31">
        <f t="shared" si="1"/>
        <v>12</v>
      </c>
      <c r="AI31">
        <f t="shared" si="2"/>
        <v>14</v>
      </c>
      <c r="AJ31">
        <f t="shared" si="3"/>
        <v>0</v>
      </c>
      <c r="AL31">
        <f t="shared" si="4"/>
        <v>0</v>
      </c>
      <c r="AM31">
        <f t="shared" si="5"/>
        <v>36</v>
      </c>
      <c r="AN31">
        <f t="shared" si="6"/>
        <v>28</v>
      </c>
      <c r="AO31">
        <f t="shared" si="7"/>
        <v>0</v>
      </c>
      <c r="AP31">
        <f t="shared" si="8"/>
        <v>64</v>
      </c>
    </row>
    <row r="32" spans="1:42" ht="15.75" hidden="1" customHeight="1" x14ac:dyDescent="0.3">
      <c r="A32" s="16"/>
      <c r="B32" s="55">
        <v>9</v>
      </c>
      <c r="C32" s="56" t="s">
        <v>49</v>
      </c>
      <c r="D32" s="55">
        <v>1</v>
      </c>
      <c r="E32" s="55" t="s">
        <v>21</v>
      </c>
      <c r="F32" s="18" t="s">
        <v>20</v>
      </c>
      <c r="G32" s="18" t="s">
        <v>21</v>
      </c>
      <c r="H32" s="18" t="s">
        <v>21</v>
      </c>
      <c r="I32" s="18" t="s">
        <v>21</v>
      </c>
      <c r="J32" s="18" t="s">
        <v>21</v>
      </c>
      <c r="K32" s="18" t="s">
        <v>21</v>
      </c>
      <c r="L32" s="18" t="s">
        <v>20</v>
      </c>
      <c r="M32" s="18" t="s">
        <v>20</v>
      </c>
      <c r="N32" s="18" t="s">
        <v>20</v>
      </c>
      <c r="O32" s="18" t="s">
        <v>20</v>
      </c>
      <c r="P32" s="18" t="s">
        <v>20</v>
      </c>
      <c r="Q32" s="18" t="s">
        <v>20</v>
      </c>
      <c r="R32" s="18" t="s">
        <v>20</v>
      </c>
      <c r="S32" s="18" t="s">
        <v>20</v>
      </c>
      <c r="T32" s="18" t="s">
        <v>20</v>
      </c>
      <c r="U32" s="18" t="s">
        <v>21</v>
      </c>
      <c r="V32" s="18" t="s">
        <v>20</v>
      </c>
      <c r="W32" s="18" t="s">
        <v>20</v>
      </c>
      <c r="X32" s="18" t="s">
        <v>20</v>
      </c>
      <c r="Y32" s="19" t="s">
        <v>20</v>
      </c>
      <c r="Z32" s="18" t="s">
        <v>20</v>
      </c>
      <c r="AA32" s="28" t="s">
        <v>21</v>
      </c>
      <c r="AB32" s="28" t="s">
        <v>21</v>
      </c>
      <c r="AC32" s="20" t="s">
        <v>21</v>
      </c>
      <c r="AD32" s="29" t="s">
        <v>21</v>
      </c>
      <c r="AE32" s="29" t="s">
        <v>21</v>
      </c>
      <c r="AG32">
        <f t="shared" si="0"/>
        <v>0</v>
      </c>
      <c r="AH32">
        <f t="shared" si="1"/>
        <v>15</v>
      </c>
      <c r="AI32">
        <f t="shared" si="2"/>
        <v>11</v>
      </c>
      <c r="AJ32">
        <f t="shared" si="3"/>
        <v>0</v>
      </c>
      <c r="AL32">
        <f t="shared" si="4"/>
        <v>0</v>
      </c>
      <c r="AM32">
        <f t="shared" si="5"/>
        <v>45</v>
      </c>
      <c r="AN32">
        <f t="shared" si="6"/>
        <v>22</v>
      </c>
      <c r="AO32">
        <f t="shared" si="7"/>
        <v>0</v>
      </c>
      <c r="AP32">
        <f t="shared" si="8"/>
        <v>67</v>
      </c>
    </row>
    <row r="33" spans="1:42" ht="15.75" hidden="1" customHeight="1" x14ac:dyDescent="0.3">
      <c r="A33" s="16"/>
      <c r="B33" s="55">
        <v>10</v>
      </c>
      <c r="C33" s="56" t="s">
        <v>50</v>
      </c>
      <c r="D33" s="55">
        <v>1</v>
      </c>
      <c r="E33" s="55" t="s">
        <v>21</v>
      </c>
      <c r="F33" s="18" t="s">
        <v>20</v>
      </c>
      <c r="G33" s="18" t="s">
        <v>21</v>
      </c>
      <c r="H33" s="18" t="s">
        <v>20</v>
      </c>
      <c r="I33" s="18" t="s">
        <v>21</v>
      </c>
      <c r="J33" s="18" t="s">
        <v>21</v>
      </c>
      <c r="K33" s="18" t="s">
        <v>21</v>
      </c>
      <c r="L33" s="18" t="s">
        <v>21</v>
      </c>
      <c r="M33" s="18" t="s">
        <v>20</v>
      </c>
      <c r="N33" s="18" t="s">
        <v>20</v>
      </c>
      <c r="O33" s="18" t="s">
        <v>20</v>
      </c>
      <c r="P33" s="18" t="s">
        <v>21</v>
      </c>
      <c r="Q33" s="18" t="s">
        <v>20</v>
      </c>
      <c r="R33" s="18" t="s">
        <v>21</v>
      </c>
      <c r="S33" s="18" t="s">
        <v>20</v>
      </c>
      <c r="T33" s="18" t="s">
        <v>20</v>
      </c>
      <c r="U33" s="18" t="s">
        <v>20</v>
      </c>
      <c r="V33" s="18" t="s">
        <v>20</v>
      </c>
      <c r="W33" s="18" t="s">
        <v>20</v>
      </c>
      <c r="X33" s="18" t="s">
        <v>20</v>
      </c>
      <c r="Y33" s="19" t="s">
        <v>20</v>
      </c>
      <c r="Z33" s="18" t="s">
        <v>20</v>
      </c>
      <c r="AA33" s="28" t="s">
        <v>21</v>
      </c>
      <c r="AB33" s="28" t="s">
        <v>21</v>
      </c>
      <c r="AC33" s="20" t="s">
        <v>20</v>
      </c>
      <c r="AD33" s="29" t="s">
        <v>20</v>
      </c>
      <c r="AE33" s="29" t="s">
        <v>21</v>
      </c>
      <c r="AG33">
        <f t="shared" si="0"/>
        <v>0</v>
      </c>
      <c r="AH33">
        <f t="shared" si="1"/>
        <v>16</v>
      </c>
      <c r="AI33">
        <f t="shared" si="2"/>
        <v>10</v>
      </c>
      <c r="AJ33">
        <f t="shared" si="3"/>
        <v>0</v>
      </c>
      <c r="AL33">
        <f t="shared" si="4"/>
        <v>0</v>
      </c>
      <c r="AM33">
        <f t="shared" si="5"/>
        <v>48</v>
      </c>
      <c r="AN33">
        <f t="shared" si="6"/>
        <v>20</v>
      </c>
      <c r="AO33">
        <f t="shared" si="7"/>
        <v>0</v>
      </c>
      <c r="AP33">
        <f t="shared" si="8"/>
        <v>68</v>
      </c>
    </row>
    <row r="34" spans="1:42" ht="15.75" hidden="1" customHeight="1" x14ac:dyDescent="0.3">
      <c r="A34" s="16"/>
      <c r="B34" s="55">
        <v>11</v>
      </c>
      <c r="C34" s="56" t="s">
        <v>51</v>
      </c>
      <c r="D34" s="55">
        <v>1</v>
      </c>
      <c r="E34" s="55" t="s">
        <v>21</v>
      </c>
      <c r="F34" s="18" t="s">
        <v>39</v>
      </c>
      <c r="G34" s="18" t="s">
        <v>20</v>
      </c>
      <c r="H34" s="18" t="s">
        <v>20</v>
      </c>
      <c r="I34" s="18" t="s">
        <v>20</v>
      </c>
      <c r="J34" s="18" t="s">
        <v>20</v>
      </c>
      <c r="K34" s="18" t="s">
        <v>20</v>
      </c>
      <c r="L34" s="18" t="s">
        <v>20</v>
      </c>
      <c r="M34" s="18" t="s">
        <v>20</v>
      </c>
      <c r="N34" s="18" t="s">
        <v>20</v>
      </c>
      <c r="O34" s="18" t="s">
        <v>20</v>
      </c>
      <c r="P34" s="18" t="s">
        <v>20</v>
      </c>
      <c r="Q34" s="18" t="s">
        <v>20</v>
      </c>
      <c r="R34" s="18" t="s">
        <v>20</v>
      </c>
      <c r="S34" s="18" t="s">
        <v>20</v>
      </c>
      <c r="T34" s="18" t="s">
        <v>20</v>
      </c>
      <c r="U34" s="18" t="s">
        <v>20</v>
      </c>
      <c r="V34" s="18" t="s">
        <v>20</v>
      </c>
      <c r="W34" s="18" t="s">
        <v>20</v>
      </c>
      <c r="X34" s="18" t="s">
        <v>21</v>
      </c>
      <c r="Y34" s="19" t="s">
        <v>20</v>
      </c>
      <c r="Z34" s="18" t="s">
        <v>20</v>
      </c>
      <c r="AA34" s="28" t="s">
        <v>20</v>
      </c>
      <c r="AB34" s="28" t="s">
        <v>20</v>
      </c>
      <c r="AC34" s="20" t="s">
        <v>20</v>
      </c>
      <c r="AD34" s="29" t="s">
        <v>20</v>
      </c>
      <c r="AE34" s="29" t="s">
        <v>21</v>
      </c>
      <c r="AG34">
        <f t="shared" si="0"/>
        <v>1</v>
      </c>
      <c r="AH34">
        <f t="shared" si="1"/>
        <v>23</v>
      </c>
      <c r="AI34">
        <f t="shared" si="2"/>
        <v>2</v>
      </c>
      <c r="AJ34">
        <f t="shared" si="3"/>
        <v>0</v>
      </c>
      <c r="AL34">
        <f t="shared" si="4"/>
        <v>4</v>
      </c>
      <c r="AM34">
        <f t="shared" si="5"/>
        <v>69</v>
      </c>
      <c r="AN34">
        <f t="shared" si="6"/>
        <v>4</v>
      </c>
      <c r="AO34">
        <f t="shared" si="7"/>
        <v>0</v>
      </c>
      <c r="AP34">
        <f t="shared" si="8"/>
        <v>77</v>
      </c>
    </row>
    <row r="35" spans="1:42" ht="15.75" hidden="1" customHeight="1" x14ac:dyDescent="0.3">
      <c r="A35" s="16"/>
      <c r="B35" s="55">
        <v>12</v>
      </c>
      <c r="C35" s="56" t="s">
        <v>52</v>
      </c>
      <c r="D35" s="55">
        <v>1</v>
      </c>
      <c r="E35" s="55" t="s">
        <v>21</v>
      </c>
      <c r="F35" s="18" t="s">
        <v>20</v>
      </c>
      <c r="G35" s="18" t="s">
        <v>21</v>
      </c>
      <c r="H35" s="18" t="s">
        <v>20</v>
      </c>
      <c r="I35" s="18" t="s">
        <v>21</v>
      </c>
      <c r="J35" s="18" t="s">
        <v>20</v>
      </c>
      <c r="K35" s="18" t="s">
        <v>21</v>
      </c>
      <c r="L35" s="18" t="s">
        <v>21</v>
      </c>
      <c r="M35" s="18" t="s">
        <v>20</v>
      </c>
      <c r="N35" s="18" t="s">
        <v>20</v>
      </c>
      <c r="O35" s="18" t="s">
        <v>20</v>
      </c>
      <c r="P35" s="18" t="s">
        <v>20</v>
      </c>
      <c r="Q35" s="18" t="s">
        <v>20</v>
      </c>
      <c r="R35" s="18" t="s">
        <v>20</v>
      </c>
      <c r="S35" s="18" t="s">
        <v>20</v>
      </c>
      <c r="T35" s="18" t="s">
        <v>20</v>
      </c>
      <c r="U35" s="18" t="s">
        <v>20</v>
      </c>
      <c r="V35" s="18" t="s">
        <v>21</v>
      </c>
      <c r="W35" s="18" t="s">
        <v>20</v>
      </c>
      <c r="X35" s="18" t="s">
        <v>21</v>
      </c>
      <c r="Y35" s="19" t="s">
        <v>21</v>
      </c>
      <c r="Z35" s="18" t="s">
        <v>20</v>
      </c>
      <c r="AA35" s="28" t="s">
        <v>21</v>
      </c>
      <c r="AB35" s="28" t="s">
        <v>21</v>
      </c>
      <c r="AC35" s="20" t="s">
        <v>21</v>
      </c>
      <c r="AD35" s="29" t="s">
        <v>21</v>
      </c>
      <c r="AE35" s="29" t="s">
        <v>21</v>
      </c>
      <c r="AG35">
        <f t="shared" si="0"/>
        <v>0</v>
      </c>
      <c r="AH35">
        <f t="shared" si="1"/>
        <v>14</v>
      </c>
      <c r="AI35">
        <f t="shared" si="2"/>
        <v>12</v>
      </c>
      <c r="AJ35">
        <f t="shared" si="3"/>
        <v>0</v>
      </c>
      <c r="AL35">
        <f t="shared" si="4"/>
        <v>0</v>
      </c>
      <c r="AM35">
        <f t="shared" si="5"/>
        <v>42</v>
      </c>
      <c r="AN35">
        <f t="shared" si="6"/>
        <v>24</v>
      </c>
      <c r="AO35">
        <f t="shared" si="7"/>
        <v>0</v>
      </c>
      <c r="AP35">
        <f t="shared" si="8"/>
        <v>66</v>
      </c>
    </row>
    <row r="36" spans="1:42" ht="15.75" hidden="1" customHeight="1" x14ac:dyDescent="0.3">
      <c r="A36" s="16"/>
      <c r="B36" s="55">
        <v>13</v>
      </c>
      <c r="C36" s="56" t="s">
        <v>53</v>
      </c>
      <c r="D36" s="55">
        <v>1</v>
      </c>
      <c r="E36" s="55" t="s">
        <v>21</v>
      </c>
      <c r="F36" s="18" t="s">
        <v>21</v>
      </c>
      <c r="G36" s="18" t="s">
        <v>20</v>
      </c>
      <c r="H36" s="18" t="s">
        <v>21</v>
      </c>
      <c r="I36" s="18" t="s">
        <v>21</v>
      </c>
      <c r="J36" s="18" t="s">
        <v>20</v>
      </c>
      <c r="K36" s="18" t="s">
        <v>21</v>
      </c>
      <c r="L36" s="18" t="s">
        <v>21</v>
      </c>
      <c r="M36" s="18" t="s">
        <v>21</v>
      </c>
      <c r="N36" s="18" t="s">
        <v>20</v>
      </c>
      <c r="O36" s="18" t="s">
        <v>20</v>
      </c>
      <c r="P36" s="18" t="s">
        <v>21</v>
      </c>
      <c r="Q36" s="18" t="s">
        <v>21</v>
      </c>
      <c r="R36" s="18" t="s">
        <v>21</v>
      </c>
      <c r="S36" s="18" t="s">
        <v>21</v>
      </c>
      <c r="T36" s="18" t="s">
        <v>20</v>
      </c>
      <c r="U36" s="18" t="s">
        <v>20</v>
      </c>
      <c r="V36" s="18" t="s">
        <v>20</v>
      </c>
      <c r="W36" s="18" t="s">
        <v>20</v>
      </c>
      <c r="X36" s="18" t="s">
        <v>20</v>
      </c>
      <c r="Y36" s="19" t="s">
        <v>20</v>
      </c>
      <c r="Z36" s="18" t="s">
        <v>20</v>
      </c>
      <c r="AA36" s="28" t="s">
        <v>20</v>
      </c>
      <c r="AB36" s="28" t="s">
        <v>20</v>
      </c>
      <c r="AC36" s="20" t="s">
        <v>21</v>
      </c>
      <c r="AD36" s="29" t="s">
        <v>21</v>
      </c>
      <c r="AE36" s="29" t="s">
        <v>21</v>
      </c>
      <c r="AG36">
        <f t="shared" si="0"/>
        <v>0</v>
      </c>
      <c r="AH36">
        <f t="shared" si="1"/>
        <v>13</v>
      </c>
      <c r="AI36">
        <f t="shared" si="2"/>
        <v>13</v>
      </c>
      <c r="AJ36">
        <f t="shared" si="3"/>
        <v>0</v>
      </c>
      <c r="AL36">
        <f t="shared" si="4"/>
        <v>0</v>
      </c>
      <c r="AM36">
        <f t="shared" si="5"/>
        <v>39</v>
      </c>
      <c r="AN36">
        <f t="shared" si="6"/>
        <v>26</v>
      </c>
      <c r="AO36">
        <f t="shared" si="7"/>
        <v>0</v>
      </c>
      <c r="AP36">
        <f t="shared" si="8"/>
        <v>65</v>
      </c>
    </row>
    <row r="37" spans="1:42" ht="15.75" hidden="1" customHeight="1" x14ac:dyDescent="0.3">
      <c r="A37" s="16"/>
      <c r="B37" s="55">
        <v>14</v>
      </c>
      <c r="C37" s="56" t="s">
        <v>54</v>
      </c>
      <c r="D37" s="55">
        <v>1</v>
      </c>
      <c r="E37" s="55" t="s">
        <v>21</v>
      </c>
      <c r="F37" s="18" t="s">
        <v>20</v>
      </c>
      <c r="G37" s="18" t="s">
        <v>20</v>
      </c>
      <c r="H37" s="18" t="s">
        <v>20</v>
      </c>
      <c r="I37" s="18" t="s">
        <v>20</v>
      </c>
      <c r="J37" s="18" t="s">
        <v>20</v>
      </c>
      <c r="K37" s="18" t="s">
        <v>20</v>
      </c>
      <c r="L37" s="18" t="s">
        <v>20</v>
      </c>
      <c r="M37" s="18" t="s">
        <v>20</v>
      </c>
      <c r="N37" s="18" t="s">
        <v>20</v>
      </c>
      <c r="O37" s="18" t="s">
        <v>20</v>
      </c>
      <c r="P37" s="18" t="s">
        <v>20</v>
      </c>
      <c r="Q37" s="18" t="s">
        <v>20</v>
      </c>
      <c r="R37" s="18" t="s">
        <v>20</v>
      </c>
      <c r="S37" s="18" t="s">
        <v>20</v>
      </c>
      <c r="T37" s="18" t="s">
        <v>20</v>
      </c>
      <c r="U37" s="18" t="s">
        <v>20</v>
      </c>
      <c r="V37" s="18" t="s">
        <v>21</v>
      </c>
      <c r="W37" s="18" t="s">
        <v>21</v>
      </c>
      <c r="X37" s="18" t="s">
        <v>20</v>
      </c>
      <c r="Y37" s="19" t="s">
        <v>21</v>
      </c>
      <c r="Z37" s="18" t="s">
        <v>20</v>
      </c>
      <c r="AA37" s="28" t="s">
        <v>20</v>
      </c>
      <c r="AB37" s="28" t="s">
        <v>20</v>
      </c>
      <c r="AC37" s="20" t="s">
        <v>20</v>
      </c>
      <c r="AD37" s="29" t="s">
        <v>55</v>
      </c>
      <c r="AE37" s="29" t="s">
        <v>55</v>
      </c>
      <c r="AG37">
        <f t="shared" si="0"/>
        <v>0</v>
      </c>
      <c r="AH37">
        <f t="shared" si="1"/>
        <v>21</v>
      </c>
      <c r="AI37">
        <f t="shared" si="2"/>
        <v>3</v>
      </c>
      <c r="AJ37">
        <f t="shared" si="3"/>
        <v>0</v>
      </c>
      <c r="AL37">
        <f t="shared" si="4"/>
        <v>0</v>
      </c>
      <c r="AM37">
        <f t="shared" si="5"/>
        <v>63</v>
      </c>
      <c r="AN37">
        <f t="shared" si="6"/>
        <v>6</v>
      </c>
      <c r="AO37">
        <f t="shared" si="7"/>
        <v>0</v>
      </c>
      <c r="AP37">
        <f t="shared" si="8"/>
        <v>69</v>
      </c>
    </row>
    <row r="38" spans="1:42" ht="15.75" hidden="1" customHeight="1" x14ac:dyDescent="0.3">
      <c r="A38" s="16"/>
      <c r="B38" s="55">
        <v>15</v>
      </c>
      <c r="C38" s="56" t="s">
        <v>56</v>
      </c>
      <c r="D38" s="55">
        <v>1</v>
      </c>
      <c r="E38" s="55" t="s">
        <v>21</v>
      </c>
      <c r="F38" s="18" t="s">
        <v>20</v>
      </c>
      <c r="G38" s="18" t="s">
        <v>21</v>
      </c>
      <c r="H38" s="18" t="s">
        <v>21</v>
      </c>
      <c r="I38" s="18" t="s">
        <v>20</v>
      </c>
      <c r="J38" s="18" t="s">
        <v>21</v>
      </c>
      <c r="K38" s="18" t="s">
        <v>21</v>
      </c>
      <c r="L38" s="18" t="s">
        <v>21</v>
      </c>
      <c r="M38" s="18" t="s">
        <v>20</v>
      </c>
      <c r="N38" s="18" t="s">
        <v>20</v>
      </c>
      <c r="O38" s="18" t="s">
        <v>20</v>
      </c>
      <c r="P38" s="18" t="s">
        <v>21</v>
      </c>
      <c r="Q38" s="18" t="s">
        <v>21</v>
      </c>
      <c r="R38" s="18" t="s">
        <v>21</v>
      </c>
      <c r="S38" s="18" t="s">
        <v>23</v>
      </c>
      <c r="T38" s="18" t="s">
        <v>21</v>
      </c>
      <c r="U38" s="18" t="s">
        <v>20</v>
      </c>
      <c r="V38" s="18" t="s">
        <v>20</v>
      </c>
      <c r="W38" s="18" t="s">
        <v>20</v>
      </c>
      <c r="X38" s="18" t="s">
        <v>20</v>
      </c>
      <c r="Y38" s="19" t="s">
        <v>23</v>
      </c>
      <c r="Z38" s="18" t="s">
        <v>21</v>
      </c>
      <c r="AA38" s="28" t="s">
        <v>20</v>
      </c>
      <c r="AB38" s="28" t="s">
        <v>20</v>
      </c>
      <c r="AC38" s="20" t="s">
        <v>21</v>
      </c>
      <c r="AD38" s="29" t="s">
        <v>21</v>
      </c>
      <c r="AE38" s="29" t="s">
        <v>21</v>
      </c>
      <c r="AG38">
        <f t="shared" si="0"/>
        <v>0</v>
      </c>
      <c r="AH38">
        <f t="shared" si="1"/>
        <v>11</v>
      </c>
      <c r="AI38">
        <f t="shared" si="2"/>
        <v>13</v>
      </c>
      <c r="AJ38">
        <f t="shared" si="3"/>
        <v>2</v>
      </c>
      <c r="AL38">
        <f t="shared" si="4"/>
        <v>0</v>
      </c>
      <c r="AM38">
        <f t="shared" si="5"/>
        <v>33</v>
      </c>
      <c r="AN38">
        <f t="shared" si="6"/>
        <v>26</v>
      </c>
      <c r="AO38">
        <f t="shared" si="7"/>
        <v>2</v>
      </c>
      <c r="AP38">
        <f t="shared" si="8"/>
        <v>61</v>
      </c>
    </row>
    <row r="39" spans="1:42" ht="15.75" hidden="1" customHeight="1" x14ac:dyDescent="0.3">
      <c r="A39" s="16"/>
      <c r="B39" s="55">
        <v>16</v>
      </c>
      <c r="C39" s="56" t="s">
        <v>57</v>
      </c>
      <c r="D39" s="55">
        <v>1</v>
      </c>
      <c r="E39" s="55" t="s">
        <v>21</v>
      </c>
      <c r="F39" s="18" t="s">
        <v>20</v>
      </c>
      <c r="G39" s="18" t="s">
        <v>21</v>
      </c>
      <c r="H39" s="18" t="s">
        <v>21</v>
      </c>
      <c r="I39" s="18" t="s">
        <v>21</v>
      </c>
      <c r="J39" s="18" t="s">
        <v>20</v>
      </c>
      <c r="K39" s="18" t="s">
        <v>21</v>
      </c>
      <c r="L39" s="18" t="s">
        <v>21</v>
      </c>
      <c r="M39" s="18" t="s">
        <v>21</v>
      </c>
      <c r="N39" s="18" t="s">
        <v>21</v>
      </c>
      <c r="O39" s="18" t="s">
        <v>20</v>
      </c>
      <c r="P39" s="18" t="s">
        <v>21</v>
      </c>
      <c r="Q39" s="18" t="s">
        <v>21</v>
      </c>
      <c r="R39" s="18" t="s">
        <v>21</v>
      </c>
      <c r="S39" s="18" t="s">
        <v>21</v>
      </c>
      <c r="T39" s="18" t="s">
        <v>21</v>
      </c>
      <c r="U39" s="18" t="s">
        <v>21</v>
      </c>
      <c r="V39" s="18" t="s">
        <v>20</v>
      </c>
      <c r="W39" s="18" t="s">
        <v>20</v>
      </c>
      <c r="X39" s="18" t="s">
        <v>21</v>
      </c>
      <c r="Y39" s="19" t="s">
        <v>20</v>
      </c>
      <c r="Z39" s="18" t="s">
        <v>20</v>
      </c>
      <c r="AA39" s="28" t="s">
        <v>20</v>
      </c>
      <c r="AB39" s="28" t="s">
        <v>20</v>
      </c>
      <c r="AC39" s="20" t="s">
        <v>21</v>
      </c>
      <c r="AD39" s="29" t="s">
        <v>21</v>
      </c>
      <c r="AE39" s="29" t="s">
        <v>21</v>
      </c>
      <c r="AG39">
        <f t="shared" si="0"/>
        <v>0</v>
      </c>
      <c r="AH39">
        <f t="shared" si="1"/>
        <v>9</v>
      </c>
      <c r="AI39">
        <f t="shared" si="2"/>
        <v>17</v>
      </c>
      <c r="AJ39">
        <f t="shared" si="3"/>
        <v>0</v>
      </c>
      <c r="AL39">
        <f t="shared" si="4"/>
        <v>0</v>
      </c>
      <c r="AM39">
        <f t="shared" si="5"/>
        <v>27</v>
      </c>
      <c r="AN39">
        <f t="shared" si="6"/>
        <v>34</v>
      </c>
      <c r="AO39">
        <f t="shared" si="7"/>
        <v>0</v>
      </c>
      <c r="AP39">
        <f t="shared" si="8"/>
        <v>61</v>
      </c>
    </row>
    <row r="40" spans="1:42" ht="15.75" hidden="1" customHeight="1" x14ac:dyDescent="0.3">
      <c r="A40" s="16"/>
      <c r="B40" s="55">
        <v>17</v>
      </c>
      <c r="C40" s="56" t="s">
        <v>58</v>
      </c>
      <c r="D40" s="55">
        <v>1</v>
      </c>
      <c r="E40" s="55" t="s">
        <v>21</v>
      </c>
      <c r="F40" s="18" t="s">
        <v>21</v>
      </c>
      <c r="G40" s="18" t="s">
        <v>21</v>
      </c>
      <c r="H40" s="18" t="s">
        <v>21</v>
      </c>
      <c r="I40" s="18" t="s">
        <v>21</v>
      </c>
      <c r="J40" s="18" t="s">
        <v>20</v>
      </c>
      <c r="K40" s="18" t="s">
        <v>21</v>
      </c>
      <c r="L40" s="18" t="s">
        <v>21</v>
      </c>
      <c r="M40" s="18" t="s">
        <v>21</v>
      </c>
      <c r="N40" s="18" t="s">
        <v>20</v>
      </c>
      <c r="O40" s="18" t="s">
        <v>20</v>
      </c>
      <c r="P40" s="18" t="s">
        <v>21</v>
      </c>
      <c r="Q40" s="18" t="s">
        <v>21</v>
      </c>
      <c r="R40" s="18" t="s">
        <v>21</v>
      </c>
      <c r="S40" s="18" t="s">
        <v>20</v>
      </c>
      <c r="T40" s="18" t="s">
        <v>21</v>
      </c>
      <c r="U40" s="18" t="s">
        <v>20</v>
      </c>
      <c r="V40" s="18" t="s">
        <v>20</v>
      </c>
      <c r="W40" s="18" t="s">
        <v>20</v>
      </c>
      <c r="X40" s="18" t="s">
        <v>20</v>
      </c>
      <c r="Y40" s="19" t="s">
        <v>21</v>
      </c>
      <c r="Z40" s="18" t="s">
        <v>20</v>
      </c>
      <c r="AA40" s="28" t="s">
        <v>20</v>
      </c>
      <c r="AB40" s="28" t="s">
        <v>20</v>
      </c>
      <c r="AC40" s="20" t="s">
        <v>21</v>
      </c>
      <c r="AD40" s="29" t="s">
        <v>21</v>
      </c>
      <c r="AE40" s="29" t="s">
        <v>21</v>
      </c>
      <c r="AG40">
        <f t="shared" si="0"/>
        <v>0</v>
      </c>
      <c r="AH40">
        <f t="shared" si="1"/>
        <v>11</v>
      </c>
      <c r="AI40">
        <f t="shared" si="2"/>
        <v>15</v>
      </c>
      <c r="AJ40">
        <f t="shared" si="3"/>
        <v>0</v>
      </c>
      <c r="AL40">
        <f t="shared" si="4"/>
        <v>0</v>
      </c>
      <c r="AM40">
        <f t="shared" si="5"/>
        <v>33</v>
      </c>
      <c r="AN40">
        <f t="shared" si="6"/>
        <v>30</v>
      </c>
      <c r="AO40">
        <f t="shared" si="7"/>
        <v>0</v>
      </c>
      <c r="AP40">
        <f t="shared" si="8"/>
        <v>63</v>
      </c>
    </row>
    <row r="41" spans="1:42" ht="15.75" hidden="1" customHeight="1" x14ac:dyDescent="0.3">
      <c r="A41" s="16"/>
      <c r="B41" s="55">
        <v>18</v>
      </c>
      <c r="C41" s="56" t="s">
        <v>59</v>
      </c>
      <c r="D41" s="55">
        <v>1</v>
      </c>
      <c r="E41" s="55" t="s">
        <v>21</v>
      </c>
      <c r="F41" s="18" t="s">
        <v>20</v>
      </c>
      <c r="G41" s="18" t="s">
        <v>21</v>
      </c>
      <c r="H41" s="18" t="s">
        <v>21</v>
      </c>
      <c r="I41" s="18" t="s">
        <v>21</v>
      </c>
      <c r="J41" s="18" t="s">
        <v>21</v>
      </c>
      <c r="K41" s="18" t="s">
        <v>21</v>
      </c>
      <c r="L41" s="18" t="s">
        <v>21</v>
      </c>
      <c r="M41" s="18" t="s">
        <v>20</v>
      </c>
      <c r="N41" s="18" t="s">
        <v>20</v>
      </c>
      <c r="O41" s="18" t="s">
        <v>20</v>
      </c>
      <c r="P41" s="18" t="s">
        <v>20</v>
      </c>
      <c r="Q41" s="18" t="s">
        <v>21</v>
      </c>
      <c r="R41" s="18" t="s">
        <v>20</v>
      </c>
      <c r="S41" s="18" t="s">
        <v>20</v>
      </c>
      <c r="T41" s="18" t="s">
        <v>20</v>
      </c>
      <c r="U41" s="18" t="s">
        <v>21</v>
      </c>
      <c r="V41" s="18" t="s">
        <v>21</v>
      </c>
      <c r="W41" s="18" t="s">
        <v>20</v>
      </c>
      <c r="X41" s="18" t="s">
        <v>20</v>
      </c>
      <c r="Y41" s="19" t="s">
        <v>21</v>
      </c>
      <c r="Z41" s="18" t="s">
        <v>20</v>
      </c>
      <c r="AA41" s="28" t="s">
        <v>20</v>
      </c>
      <c r="AB41" s="28" t="s">
        <v>20</v>
      </c>
      <c r="AC41" s="20" t="s">
        <v>21</v>
      </c>
      <c r="AD41" s="29" t="s">
        <v>20</v>
      </c>
      <c r="AE41" s="29" t="s">
        <v>21</v>
      </c>
      <c r="AG41">
        <f t="shared" si="0"/>
        <v>0</v>
      </c>
      <c r="AH41">
        <f t="shared" si="1"/>
        <v>14</v>
      </c>
      <c r="AI41">
        <f t="shared" si="2"/>
        <v>12</v>
      </c>
      <c r="AJ41">
        <f t="shared" si="3"/>
        <v>0</v>
      </c>
      <c r="AL41">
        <f t="shared" si="4"/>
        <v>0</v>
      </c>
      <c r="AM41">
        <f t="shared" si="5"/>
        <v>42</v>
      </c>
      <c r="AN41">
        <f t="shared" si="6"/>
        <v>24</v>
      </c>
      <c r="AO41">
        <f t="shared" si="7"/>
        <v>0</v>
      </c>
      <c r="AP41">
        <f t="shared" si="8"/>
        <v>66</v>
      </c>
    </row>
    <row r="42" spans="1:42" ht="15.75" hidden="1" customHeight="1" x14ac:dyDescent="0.3">
      <c r="A42" s="16"/>
      <c r="B42" s="55">
        <v>19</v>
      </c>
      <c r="C42" s="56" t="s">
        <v>60</v>
      </c>
      <c r="D42" s="55">
        <v>1</v>
      </c>
      <c r="E42" s="55" t="s">
        <v>21</v>
      </c>
      <c r="F42" s="18" t="s">
        <v>20</v>
      </c>
      <c r="G42" s="18" t="s">
        <v>21</v>
      </c>
      <c r="H42" s="18" t="s">
        <v>21</v>
      </c>
      <c r="I42" s="18" t="s">
        <v>21</v>
      </c>
      <c r="J42" s="18" t="s">
        <v>21</v>
      </c>
      <c r="K42" s="18" t="s">
        <v>21</v>
      </c>
      <c r="L42" s="18" t="s">
        <v>21</v>
      </c>
      <c r="M42" s="18" t="s">
        <v>21</v>
      </c>
      <c r="N42" s="18" t="s">
        <v>20</v>
      </c>
      <c r="O42" s="18" t="s">
        <v>20</v>
      </c>
      <c r="P42" s="18" t="s">
        <v>21</v>
      </c>
      <c r="Q42" s="18" t="s">
        <v>21</v>
      </c>
      <c r="R42" s="18" t="s">
        <v>21</v>
      </c>
      <c r="S42" s="18" t="s">
        <v>20</v>
      </c>
      <c r="T42" s="18" t="s">
        <v>21</v>
      </c>
      <c r="U42" s="18" t="s">
        <v>20</v>
      </c>
      <c r="V42" s="18" t="s">
        <v>21</v>
      </c>
      <c r="W42" s="18" t="s">
        <v>20</v>
      </c>
      <c r="X42" s="18" t="s">
        <v>20</v>
      </c>
      <c r="Y42" s="19" t="s">
        <v>20</v>
      </c>
      <c r="Z42" s="18" t="s">
        <v>20</v>
      </c>
      <c r="AA42" s="28" t="s">
        <v>21</v>
      </c>
      <c r="AB42" s="28" t="s">
        <v>23</v>
      </c>
      <c r="AC42" s="20" t="s">
        <v>21</v>
      </c>
      <c r="AD42" s="29" t="s">
        <v>21</v>
      </c>
      <c r="AE42" s="29" t="s">
        <v>21</v>
      </c>
      <c r="AG42">
        <f t="shared" si="0"/>
        <v>0</v>
      </c>
      <c r="AH42">
        <f t="shared" si="1"/>
        <v>9</v>
      </c>
      <c r="AI42">
        <f t="shared" si="2"/>
        <v>16</v>
      </c>
      <c r="AJ42">
        <f t="shared" si="3"/>
        <v>1</v>
      </c>
      <c r="AL42">
        <f t="shared" si="4"/>
        <v>0</v>
      </c>
      <c r="AM42">
        <f t="shared" si="5"/>
        <v>27</v>
      </c>
      <c r="AN42">
        <f t="shared" si="6"/>
        <v>32</v>
      </c>
      <c r="AO42">
        <f t="shared" si="7"/>
        <v>1</v>
      </c>
      <c r="AP42">
        <f t="shared" si="8"/>
        <v>60</v>
      </c>
    </row>
    <row r="43" spans="1:42" ht="15.75" hidden="1" customHeight="1" thickBot="1" x14ac:dyDescent="0.35">
      <c r="A43" s="16"/>
      <c r="B43" s="57">
        <v>20</v>
      </c>
      <c r="C43" s="58" t="s">
        <v>61</v>
      </c>
      <c r="D43" s="57">
        <v>1</v>
      </c>
      <c r="E43" s="57" t="s">
        <v>21</v>
      </c>
      <c r="F43" s="21" t="s">
        <v>20</v>
      </c>
      <c r="G43" s="21" t="s">
        <v>21</v>
      </c>
      <c r="H43" s="21" t="s">
        <v>20</v>
      </c>
      <c r="I43" s="21" t="s">
        <v>21</v>
      </c>
      <c r="J43" s="21" t="s">
        <v>21</v>
      </c>
      <c r="K43" s="21" t="s">
        <v>21</v>
      </c>
      <c r="L43" s="21" t="s">
        <v>21</v>
      </c>
      <c r="M43" s="21" t="s">
        <v>20</v>
      </c>
      <c r="N43" s="21" t="s">
        <v>20</v>
      </c>
      <c r="O43" s="21" t="s">
        <v>20</v>
      </c>
      <c r="P43" s="21" t="s">
        <v>21</v>
      </c>
      <c r="Q43" s="21" t="s">
        <v>21</v>
      </c>
      <c r="R43" s="21" t="s">
        <v>21</v>
      </c>
      <c r="S43" s="21" t="s">
        <v>23</v>
      </c>
      <c r="T43" s="21" t="s">
        <v>21</v>
      </c>
      <c r="U43" s="21" t="s">
        <v>21</v>
      </c>
      <c r="V43" s="21" t="s">
        <v>20</v>
      </c>
      <c r="W43" s="21" t="s">
        <v>20</v>
      </c>
      <c r="X43" s="21" t="s">
        <v>20</v>
      </c>
      <c r="Y43" s="22" t="s">
        <v>21</v>
      </c>
      <c r="Z43" s="21" t="s">
        <v>20</v>
      </c>
      <c r="AA43" s="30" t="s">
        <v>20</v>
      </c>
      <c r="AB43" s="30" t="s">
        <v>20</v>
      </c>
      <c r="AC43" s="23" t="s">
        <v>21</v>
      </c>
      <c r="AD43" s="31" t="s">
        <v>21</v>
      </c>
      <c r="AE43" s="31" t="s">
        <v>21</v>
      </c>
      <c r="AG43">
        <f t="shared" si="0"/>
        <v>0</v>
      </c>
      <c r="AH43">
        <f t="shared" si="1"/>
        <v>11</v>
      </c>
      <c r="AI43">
        <f t="shared" si="2"/>
        <v>14</v>
      </c>
      <c r="AJ43">
        <f t="shared" si="3"/>
        <v>1</v>
      </c>
      <c r="AL43">
        <f t="shared" si="4"/>
        <v>0</v>
      </c>
      <c r="AM43">
        <f t="shared" si="5"/>
        <v>33</v>
      </c>
      <c r="AN43">
        <f t="shared" si="6"/>
        <v>28</v>
      </c>
      <c r="AO43">
        <f t="shared" si="7"/>
        <v>1</v>
      </c>
      <c r="AP43">
        <f t="shared" si="8"/>
        <v>62</v>
      </c>
    </row>
    <row r="44" spans="1:42" ht="15.75" hidden="1" customHeight="1" x14ac:dyDescent="0.3">
      <c r="A44" s="16"/>
      <c r="B44" s="59">
        <v>18</v>
      </c>
      <c r="C44" s="60" t="s">
        <v>79</v>
      </c>
      <c r="D44" s="59">
        <v>2</v>
      </c>
      <c r="E44" s="59" t="s">
        <v>20</v>
      </c>
      <c r="F44" s="24" t="s">
        <v>20</v>
      </c>
      <c r="G44" s="24" t="s">
        <v>20</v>
      </c>
      <c r="H44" s="24" t="s">
        <v>20</v>
      </c>
      <c r="I44" s="24" t="s">
        <v>20</v>
      </c>
      <c r="J44" s="24" t="s">
        <v>20</v>
      </c>
      <c r="K44" s="24" t="s">
        <v>20</v>
      </c>
      <c r="L44" s="24" t="s">
        <v>20</v>
      </c>
      <c r="M44" s="24" t="s">
        <v>20</v>
      </c>
      <c r="N44" s="24" t="s">
        <v>20</v>
      </c>
      <c r="O44" s="24" t="s">
        <v>20</v>
      </c>
      <c r="P44" s="24" t="s">
        <v>20</v>
      </c>
      <c r="Q44" s="24" t="s">
        <v>20</v>
      </c>
      <c r="R44" s="24" t="s">
        <v>20</v>
      </c>
      <c r="S44" s="24" t="s">
        <v>20</v>
      </c>
      <c r="T44" s="24" t="s">
        <v>20</v>
      </c>
      <c r="U44" s="24" t="s">
        <v>20</v>
      </c>
      <c r="V44" s="39" t="s">
        <v>20</v>
      </c>
      <c r="W44" s="39" t="s">
        <v>20</v>
      </c>
      <c r="X44" s="39" t="s">
        <v>20</v>
      </c>
      <c r="Y44" s="24" t="s">
        <v>39</v>
      </c>
      <c r="Z44" s="24" t="s">
        <v>39</v>
      </c>
      <c r="AA44" s="27" t="s">
        <v>20</v>
      </c>
      <c r="AB44" s="27" t="s">
        <v>20</v>
      </c>
      <c r="AC44" s="27" t="s">
        <v>20</v>
      </c>
      <c r="AD44" s="34" t="s">
        <v>20</v>
      </c>
      <c r="AE44" s="34" t="s">
        <v>21</v>
      </c>
      <c r="AG44">
        <f>+COUNTIF(F44:AE44,"AD")</f>
        <v>2</v>
      </c>
      <c r="AH44">
        <f>+COUNTIF(F44:AE44,"A")</f>
        <v>23</v>
      </c>
      <c r="AI44">
        <f>+COUNTIF(F44:AE44,"b")</f>
        <v>1</v>
      </c>
      <c r="AJ44">
        <f>+COUNTIF(F44:AE44,"c")</f>
        <v>0</v>
      </c>
      <c r="AL44">
        <f>+$AG$5*AG44</f>
        <v>8</v>
      </c>
      <c r="AM44">
        <f>+$AH$5*AH44</f>
        <v>69</v>
      </c>
      <c r="AN44">
        <f>+$AI$5*AI44</f>
        <v>2</v>
      </c>
      <c r="AO44">
        <f>+$AJ$5*AJ44</f>
        <v>0</v>
      </c>
      <c r="AP44">
        <f>+SUM(AL44:AO44)</f>
        <v>79</v>
      </c>
    </row>
    <row r="45" spans="1:42" ht="15.75" hidden="1" customHeight="1" x14ac:dyDescent="0.3">
      <c r="A45" s="16"/>
      <c r="B45" s="55">
        <v>23</v>
      </c>
      <c r="C45" s="56" t="s">
        <v>84</v>
      </c>
      <c r="D45" s="55">
        <v>2</v>
      </c>
      <c r="E45" s="55" t="s">
        <v>20</v>
      </c>
      <c r="F45" s="18" t="s">
        <v>20</v>
      </c>
      <c r="G45" s="18" t="s">
        <v>20</v>
      </c>
      <c r="H45" s="18" t="s">
        <v>20</v>
      </c>
      <c r="I45" s="18" t="s">
        <v>20</v>
      </c>
      <c r="J45" s="18" t="s">
        <v>20</v>
      </c>
      <c r="K45" s="18" t="s">
        <v>20</v>
      </c>
      <c r="L45" s="18" t="s">
        <v>20</v>
      </c>
      <c r="M45" s="18" t="s">
        <v>20</v>
      </c>
      <c r="N45" s="18" t="s">
        <v>20</v>
      </c>
      <c r="O45" s="18" t="s">
        <v>20</v>
      </c>
      <c r="P45" s="18" t="s">
        <v>20</v>
      </c>
      <c r="Q45" s="18" t="s">
        <v>20</v>
      </c>
      <c r="R45" s="18" t="s">
        <v>20</v>
      </c>
      <c r="S45" s="18" t="s">
        <v>20</v>
      </c>
      <c r="T45" s="18" t="s">
        <v>20</v>
      </c>
      <c r="U45" s="18" t="s">
        <v>20</v>
      </c>
      <c r="V45" s="37" t="s">
        <v>20</v>
      </c>
      <c r="W45" s="37" t="s">
        <v>20</v>
      </c>
      <c r="X45" s="37" t="s">
        <v>20</v>
      </c>
      <c r="Y45" s="18" t="s">
        <v>20</v>
      </c>
      <c r="Z45" s="18" t="s">
        <v>20</v>
      </c>
      <c r="AA45" s="20" t="s">
        <v>20</v>
      </c>
      <c r="AB45" s="20" t="s">
        <v>20</v>
      </c>
      <c r="AC45" s="20" t="s">
        <v>20</v>
      </c>
      <c r="AD45" s="29" t="s">
        <v>20</v>
      </c>
      <c r="AE45" s="29" t="s">
        <v>21</v>
      </c>
      <c r="AG45">
        <f>+COUNTIF(F45:AE45,"AD")</f>
        <v>0</v>
      </c>
      <c r="AH45">
        <f>+COUNTIF(F45:AE45,"A")</f>
        <v>25</v>
      </c>
      <c r="AI45">
        <f>+COUNTIF(F45:AE45,"b")</f>
        <v>1</v>
      </c>
      <c r="AJ45">
        <f>+COUNTIF(F45:AE45,"c")</f>
        <v>0</v>
      </c>
      <c r="AL45">
        <f>+$AG$5*AG45</f>
        <v>0</v>
      </c>
      <c r="AM45">
        <f>+$AH$5*AH45</f>
        <v>75</v>
      </c>
      <c r="AN45">
        <f>+$AI$5*AI45</f>
        <v>2</v>
      </c>
      <c r="AO45">
        <f>+$AJ$5*AJ45</f>
        <v>0</v>
      </c>
      <c r="AP45">
        <f>+SUM(AL45:AO45)</f>
        <v>77</v>
      </c>
    </row>
    <row r="46" spans="1:42" ht="15.75" hidden="1" customHeight="1" x14ac:dyDescent="0.3">
      <c r="A46" s="16"/>
      <c r="B46" s="55">
        <v>6</v>
      </c>
      <c r="C46" s="56" t="s">
        <v>67</v>
      </c>
      <c r="D46" s="55">
        <v>2</v>
      </c>
      <c r="E46" s="55" t="s">
        <v>20</v>
      </c>
      <c r="F46" s="18" t="s">
        <v>20</v>
      </c>
      <c r="G46" s="18" t="s">
        <v>21</v>
      </c>
      <c r="H46" s="18" t="s">
        <v>20</v>
      </c>
      <c r="I46" s="18" t="s">
        <v>20</v>
      </c>
      <c r="J46" s="18" t="s">
        <v>20</v>
      </c>
      <c r="K46" s="18" t="s">
        <v>20</v>
      </c>
      <c r="L46" s="18" t="s">
        <v>20</v>
      </c>
      <c r="M46" s="18" t="s">
        <v>20</v>
      </c>
      <c r="N46" s="18" t="s">
        <v>20</v>
      </c>
      <c r="O46" s="18" t="s">
        <v>20</v>
      </c>
      <c r="P46" s="18" t="s">
        <v>20</v>
      </c>
      <c r="Q46" s="18" t="s">
        <v>20</v>
      </c>
      <c r="R46" s="18" t="s">
        <v>20</v>
      </c>
      <c r="S46" s="18" t="s">
        <v>20</v>
      </c>
      <c r="T46" s="18" t="s">
        <v>20</v>
      </c>
      <c r="U46" s="18" t="s">
        <v>20</v>
      </c>
      <c r="V46" s="37" t="s">
        <v>20</v>
      </c>
      <c r="W46" s="37" t="s">
        <v>20</v>
      </c>
      <c r="X46" s="37" t="s">
        <v>20</v>
      </c>
      <c r="Y46" s="18" t="s">
        <v>20</v>
      </c>
      <c r="Z46" s="18" t="s">
        <v>20</v>
      </c>
      <c r="AA46" s="20" t="s">
        <v>20</v>
      </c>
      <c r="AB46" s="20" t="s">
        <v>20</v>
      </c>
      <c r="AC46" s="20" t="s">
        <v>20</v>
      </c>
      <c r="AD46" s="29" t="s">
        <v>20</v>
      </c>
      <c r="AE46" s="29" t="s">
        <v>21</v>
      </c>
      <c r="AG46">
        <f>+COUNTIF(F46:AE46,"AD")</f>
        <v>0</v>
      </c>
      <c r="AH46">
        <f>+COUNTIF(F46:AE46,"A")</f>
        <v>24</v>
      </c>
      <c r="AI46">
        <f>+COUNTIF(F46:AE46,"b")</f>
        <v>2</v>
      </c>
      <c r="AJ46">
        <f>+COUNTIF(F46:AE46,"c")</f>
        <v>0</v>
      </c>
      <c r="AL46">
        <f>+$AG$5*AG46</f>
        <v>0</v>
      </c>
      <c r="AM46">
        <f>+$AH$5*AH46</f>
        <v>72</v>
      </c>
      <c r="AN46">
        <f>+$AI$5*AI46</f>
        <v>4</v>
      </c>
      <c r="AO46">
        <f>+$AJ$5*AJ46</f>
        <v>0</v>
      </c>
      <c r="AP46">
        <f>+SUM(AL46:AO46)</f>
        <v>76</v>
      </c>
    </row>
    <row r="47" spans="1:42" ht="15.75" hidden="1" customHeight="1" x14ac:dyDescent="0.3">
      <c r="A47" s="16"/>
      <c r="B47" s="55">
        <v>8</v>
      </c>
      <c r="C47" s="56" t="s">
        <v>69</v>
      </c>
      <c r="D47" s="55">
        <v>2</v>
      </c>
      <c r="E47" s="55" t="s">
        <v>20</v>
      </c>
      <c r="F47" s="18" t="s">
        <v>21</v>
      </c>
      <c r="G47" s="18" t="s">
        <v>21</v>
      </c>
      <c r="H47" s="18" t="s">
        <v>21</v>
      </c>
      <c r="I47" s="18" t="s">
        <v>21</v>
      </c>
      <c r="J47" s="18" t="s">
        <v>20</v>
      </c>
      <c r="K47" s="18" t="s">
        <v>20</v>
      </c>
      <c r="L47" s="18" t="s">
        <v>20</v>
      </c>
      <c r="M47" s="18" t="s">
        <v>21</v>
      </c>
      <c r="N47" s="18" t="s">
        <v>20</v>
      </c>
      <c r="O47" s="18" t="s">
        <v>20</v>
      </c>
      <c r="P47" s="18" t="s">
        <v>20</v>
      </c>
      <c r="Q47" s="18" t="s">
        <v>20</v>
      </c>
      <c r="R47" s="18" t="s">
        <v>20</v>
      </c>
      <c r="S47" s="18" t="s">
        <v>20</v>
      </c>
      <c r="T47" s="18" t="s">
        <v>20</v>
      </c>
      <c r="U47" s="18" t="s">
        <v>21</v>
      </c>
      <c r="V47" s="37" t="s">
        <v>20</v>
      </c>
      <c r="W47" s="37" t="s">
        <v>20</v>
      </c>
      <c r="X47" s="37" t="s">
        <v>20</v>
      </c>
      <c r="Y47" s="18" t="s">
        <v>20</v>
      </c>
      <c r="Z47" s="18" t="s">
        <v>20</v>
      </c>
      <c r="AA47" s="20" t="s">
        <v>20</v>
      </c>
      <c r="AB47" s="20" t="s">
        <v>20</v>
      </c>
      <c r="AC47" s="20" t="s">
        <v>20</v>
      </c>
      <c r="AD47" s="29" t="s">
        <v>21</v>
      </c>
      <c r="AE47" s="29" t="s">
        <v>21</v>
      </c>
      <c r="AG47">
        <f>+COUNTIF(F47:AE47,"AD")</f>
        <v>0</v>
      </c>
      <c r="AH47">
        <f>+COUNTIF(F47:AE47,"A")</f>
        <v>18</v>
      </c>
      <c r="AI47">
        <f>+COUNTIF(F47:AE47,"b")</f>
        <v>8</v>
      </c>
      <c r="AJ47">
        <f>+COUNTIF(F47:AE47,"c")</f>
        <v>0</v>
      </c>
      <c r="AL47">
        <f>+$AG$5*AG47</f>
        <v>0</v>
      </c>
      <c r="AM47">
        <f>+$AH$5*AH47</f>
        <v>54</v>
      </c>
      <c r="AN47">
        <f>+$AI$5*AI47</f>
        <v>16</v>
      </c>
      <c r="AO47">
        <f>+$AJ$5*AJ47</f>
        <v>0</v>
      </c>
      <c r="AP47">
        <f>+SUM(AL47:AO47)</f>
        <v>70</v>
      </c>
    </row>
    <row r="48" spans="1:42" ht="15.75" hidden="1" customHeight="1" x14ac:dyDescent="0.3">
      <c r="A48" s="16"/>
      <c r="B48" s="55">
        <v>11</v>
      </c>
      <c r="C48" s="56" t="s">
        <v>72</v>
      </c>
      <c r="D48" s="55">
        <v>2</v>
      </c>
      <c r="E48" s="55" t="s">
        <v>20</v>
      </c>
      <c r="F48" s="18" t="s">
        <v>20</v>
      </c>
      <c r="G48" s="18" t="s">
        <v>20</v>
      </c>
      <c r="H48" s="18" t="s">
        <v>20</v>
      </c>
      <c r="I48" s="18" t="s">
        <v>20</v>
      </c>
      <c r="J48" s="18" t="s">
        <v>20</v>
      </c>
      <c r="K48" s="18" t="s">
        <v>20</v>
      </c>
      <c r="L48" s="18" t="s">
        <v>20</v>
      </c>
      <c r="M48" s="18" t="s">
        <v>20</v>
      </c>
      <c r="N48" s="18" t="s">
        <v>20</v>
      </c>
      <c r="O48" s="18" t="s">
        <v>20</v>
      </c>
      <c r="P48" s="18" t="s">
        <v>20</v>
      </c>
      <c r="Q48" s="18" t="s">
        <v>20</v>
      </c>
      <c r="R48" s="18" t="s">
        <v>20</v>
      </c>
      <c r="S48" s="18" t="s">
        <v>20</v>
      </c>
      <c r="T48" s="18" t="s">
        <v>21</v>
      </c>
      <c r="U48" s="18" t="s">
        <v>20</v>
      </c>
      <c r="V48" s="37" t="s">
        <v>21</v>
      </c>
      <c r="W48" s="37" t="s">
        <v>20</v>
      </c>
      <c r="X48" s="37" t="s">
        <v>21</v>
      </c>
      <c r="Y48" s="18" t="s">
        <v>20</v>
      </c>
      <c r="Z48" s="18" t="s">
        <v>20</v>
      </c>
      <c r="AA48" s="20" t="s">
        <v>20</v>
      </c>
      <c r="AB48" s="20" t="s">
        <v>20</v>
      </c>
      <c r="AC48" s="20" t="s">
        <v>20</v>
      </c>
      <c r="AD48" s="29" t="s">
        <v>55</v>
      </c>
      <c r="AE48" s="29" t="s">
        <v>55</v>
      </c>
      <c r="AG48">
        <f>+COUNTIF(F48:AE48,"AD")</f>
        <v>0</v>
      </c>
      <c r="AH48">
        <f>+COUNTIF(F48:AE48,"A")</f>
        <v>21</v>
      </c>
      <c r="AI48">
        <f>+COUNTIF(F48:AE48,"b")</f>
        <v>3</v>
      </c>
      <c r="AJ48">
        <f>+COUNTIF(F48:AE48,"c")</f>
        <v>0</v>
      </c>
      <c r="AL48">
        <f>+$AG$5*AG48</f>
        <v>0</v>
      </c>
      <c r="AM48">
        <f>+$AH$5*AH48</f>
        <v>63</v>
      </c>
      <c r="AN48">
        <f>+$AI$5*AI48</f>
        <v>6</v>
      </c>
      <c r="AO48">
        <f>+$AJ$5*AJ48</f>
        <v>0</v>
      </c>
      <c r="AP48">
        <f>+SUM(AL48:AO48)</f>
        <v>69</v>
      </c>
    </row>
    <row r="49" spans="1:42" ht="15.75" hidden="1" customHeight="1" x14ac:dyDescent="0.3">
      <c r="A49" s="16"/>
      <c r="B49" s="55">
        <v>20</v>
      </c>
      <c r="C49" s="56" t="s">
        <v>81</v>
      </c>
      <c r="D49" s="55">
        <v>2</v>
      </c>
      <c r="E49" s="55" t="s">
        <v>20</v>
      </c>
      <c r="F49" s="18" t="s">
        <v>21</v>
      </c>
      <c r="G49" s="18" t="s">
        <v>21</v>
      </c>
      <c r="H49" s="18" t="s">
        <v>21</v>
      </c>
      <c r="I49" s="18" t="s">
        <v>21</v>
      </c>
      <c r="J49" s="18" t="s">
        <v>20</v>
      </c>
      <c r="K49" s="18" t="s">
        <v>21</v>
      </c>
      <c r="L49" s="18" t="s">
        <v>20</v>
      </c>
      <c r="M49" s="18" t="s">
        <v>20</v>
      </c>
      <c r="N49" s="18" t="s">
        <v>20</v>
      </c>
      <c r="O49" s="18" t="s">
        <v>20</v>
      </c>
      <c r="P49" s="18" t="s">
        <v>20</v>
      </c>
      <c r="Q49" s="18" t="s">
        <v>20</v>
      </c>
      <c r="R49" s="18" t="s">
        <v>20</v>
      </c>
      <c r="S49" s="18" t="s">
        <v>20</v>
      </c>
      <c r="T49" s="18" t="s">
        <v>21</v>
      </c>
      <c r="U49" s="18" t="s">
        <v>20</v>
      </c>
      <c r="V49" s="37" t="s">
        <v>20</v>
      </c>
      <c r="W49" s="37" t="s">
        <v>20</v>
      </c>
      <c r="X49" s="37" t="s">
        <v>21</v>
      </c>
      <c r="Y49" s="18" t="s">
        <v>20</v>
      </c>
      <c r="Z49" s="18" t="s">
        <v>20</v>
      </c>
      <c r="AA49" s="20" t="s">
        <v>20</v>
      </c>
      <c r="AB49" s="20" t="s">
        <v>20</v>
      </c>
      <c r="AC49" s="20" t="s">
        <v>20</v>
      </c>
      <c r="AD49" s="29" t="s">
        <v>21</v>
      </c>
      <c r="AE49" s="29" t="s">
        <v>21</v>
      </c>
      <c r="AG49">
        <f>+COUNTIF(F49:AE49,"AD")</f>
        <v>0</v>
      </c>
      <c r="AH49">
        <f>+COUNTIF(F49:AE49,"A")</f>
        <v>17</v>
      </c>
      <c r="AI49">
        <f>+COUNTIF(F49:AE49,"b")</f>
        <v>9</v>
      </c>
      <c r="AJ49">
        <f>+COUNTIF(F49:AE49,"c")</f>
        <v>0</v>
      </c>
      <c r="AL49">
        <f>+$AG$5*AG49</f>
        <v>0</v>
      </c>
      <c r="AM49">
        <f>+$AH$5*AH49</f>
        <v>51</v>
      </c>
      <c r="AN49">
        <f>+$AI$5*AI49</f>
        <v>18</v>
      </c>
      <c r="AO49">
        <f>+$AJ$5*AJ49</f>
        <v>0</v>
      </c>
      <c r="AP49">
        <f>+SUM(AL49:AO49)</f>
        <v>69</v>
      </c>
    </row>
    <row r="50" spans="1:42" ht="15.75" hidden="1" customHeight="1" x14ac:dyDescent="0.3">
      <c r="A50" s="16"/>
      <c r="B50" s="55">
        <v>2</v>
      </c>
      <c r="C50" s="56" t="s">
        <v>63</v>
      </c>
      <c r="D50" s="55">
        <v>2</v>
      </c>
      <c r="E50" s="55" t="s">
        <v>20</v>
      </c>
      <c r="F50" s="18" t="s">
        <v>21</v>
      </c>
      <c r="G50" s="18" t="s">
        <v>21</v>
      </c>
      <c r="H50" s="18" t="s">
        <v>23</v>
      </c>
      <c r="I50" s="18" t="s">
        <v>21</v>
      </c>
      <c r="J50" s="18" t="s">
        <v>21</v>
      </c>
      <c r="K50" s="18" t="s">
        <v>23</v>
      </c>
      <c r="L50" s="18" t="s">
        <v>23</v>
      </c>
      <c r="M50" s="18" t="s">
        <v>20</v>
      </c>
      <c r="N50" s="18" t="s">
        <v>20</v>
      </c>
      <c r="O50" s="18" t="s">
        <v>20</v>
      </c>
      <c r="P50" s="18" t="s">
        <v>20</v>
      </c>
      <c r="Q50" s="18" t="s">
        <v>20</v>
      </c>
      <c r="R50" s="18" t="s">
        <v>20</v>
      </c>
      <c r="S50" s="18" t="s">
        <v>21</v>
      </c>
      <c r="T50" s="18" t="s">
        <v>20</v>
      </c>
      <c r="U50" s="18" t="s">
        <v>20</v>
      </c>
      <c r="V50" s="35" t="s">
        <v>20</v>
      </c>
      <c r="W50" s="35" t="s">
        <v>20</v>
      </c>
      <c r="X50" s="36" t="s">
        <v>20</v>
      </c>
      <c r="Y50" s="19" t="s">
        <v>20</v>
      </c>
      <c r="Z50" s="18" t="s">
        <v>20</v>
      </c>
      <c r="AA50" s="20" t="s">
        <v>21</v>
      </c>
      <c r="AB50" s="20" t="s">
        <v>21</v>
      </c>
      <c r="AC50" s="20" t="s">
        <v>21</v>
      </c>
      <c r="AD50" s="29" t="s">
        <v>20</v>
      </c>
      <c r="AE50" s="29" t="s">
        <v>21</v>
      </c>
      <c r="AG50">
        <f>+COUNTIF(F50:AE50,"AD")</f>
        <v>0</v>
      </c>
      <c r="AH50">
        <f>+COUNTIF(F50:AE50,"A")</f>
        <v>14</v>
      </c>
      <c r="AI50">
        <f>+COUNTIF(F50:AE50,"b")</f>
        <v>9</v>
      </c>
      <c r="AJ50">
        <f>+COUNTIF(F50:AE50,"c")</f>
        <v>3</v>
      </c>
      <c r="AL50">
        <f>+$AG$5*AG50</f>
        <v>0</v>
      </c>
      <c r="AM50">
        <f>+$AH$5*AH50</f>
        <v>42</v>
      </c>
      <c r="AN50">
        <f>+$AI$5*AI50</f>
        <v>18</v>
      </c>
      <c r="AO50">
        <f>+$AJ$5*AJ50</f>
        <v>3</v>
      </c>
      <c r="AP50">
        <f>+SUM(AL50:AO50)</f>
        <v>63</v>
      </c>
    </row>
    <row r="51" spans="1:42" ht="15.75" hidden="1" customHeight="1" x14ac:dyDescent="0.3">
      <c r="A51" s="16"/>
      <c r="B51" s="55">
        <v>7</v>
      </c>
      <c r="C51" s="56" t="s">
        <v>68</v>
      </c>
      <c r="D51" s="55">
        <v>2</v>
      </c>
      <c r="E51" s="55" t="s">
        <v>20</v>
      </c>
      <c r="F51" s="18" t="s">
        <v>21</v>
      </c>
      <c r="G51" s="18" t="s">
        <v>21</v>
      </c>
      <c r="H51" s="18" t="s">
        <v>21</v>
      </c>
      <c r="I51" s="18" t="s">
        <v>21</v>
      </c>
      <c r="J51" s="18" t="s">
        <v>20</v>
      </c>
      <c r="K51" s="18" t="s">
        <v>21</v>
      </c>
      <c r="L51" s="18" t="s">
        <v>21</v>
      </c>
      <c r="M51" s="18" t="s">
        <v>21</v>
      </c>
      <c r="N51" s="18" t="s">
        <v>20</v>
      </c>
      <c r="O51" s="18" t="s">
        <v>23</v>
      </c>
      <c r="P51" s="18" t="s">
        <v>21</v>
      </c>
      <c r="Q51" s="18" t="s">
        <v>21</v>
      </c>
      <c r="R51" s="18" t="s">
        <v>21</v>
      </c>
      <c r="S51" s="18" t="s">
        <v>21</v>
      </c>
      <c r="T51" s="18" t="s">
        <v>20</v>
      </c>
      <c r="U51" s="18" t="s">
        <v>20</v>
      </c>
      <c r="V51" s="37" t="s">
        <v>20</v>
      </c>
      <c r="W51" s="37" t="s">
        <v>20</v>
      </c>
      <c r="X51" s="37" t="s">
        <v>20</v>
      </c>
      <c r="Y51" s="18" t="s">
        <v>20</v>
      </c>
      <c r="Z51" s="18" t="s">
        <v>20</v>
      </c>
      <c r="AA51" s="20" t="s">
        <v>20</v>
      </c>
      <c r="AB51" s="20" t="s">
        <v>20</v>
      </c>
      <c r="AC51" s="20" t="s">
        <v>20</v>
      </c>
      <c r="AD51" s="29" t="s">
        <v>21</v>
      </c>
      <c r="AE51" s="29" t="s">
        <v>21</v>
      </c>
      <c r="AG51">
        <f>+COUNTIF(F51:AE51,"AD")</f>
        <v>0</v>
      </c>
      <c r="AH51">
        <f>+COUNTIF(F51:AE51,"A")</f>
        <v>12</v>
      </c>
      <c r="AI51">
        <f>+COUNTIF(F51:AE51,"b")</f>
        <v>13</v>
      </c>
      <c r="AJ51">
        <f>+COUNTIF(F51:AE51,"c")</f>
        <v>1</v>
      </c>
      <c r="AL51">
        <f>+$AG$5*AG51</f>
        <v>0</v>
      </c>
      <c r="AM51">
        <f>+$AH$5*AH51</f>
        <v>36</v>
      </c>
      <c r="AN51">
        <f>+$AI$5*AI51</f>
        <v>26</v>
      </c>
      <c r="AO51">
        <f>+$AJ$5*AJ51</f>
        <v>1</v>
      </c>
      <c r="AP51">
        <f>+SUM(AL51:AO51)</f>
        <v>63</v>
      </c>
    </row>
    <row r="52" spans="1:42" ht="15.75" hidden="1" customHeight="1" x14ac:dyDescent="0.3">
      <c r="A52" s="16"/>
      <c r="B52" s="55">
        <v>16</v>
      </c>
      <c r="C52" s="56" t="s">
        <v>77</v>
      </c>
      <c r="D52" s="55">
        <v>2</v>
      </c>
      <c r="E52" s="55" t="s">
        <v>20</v>
      </c>
      <c r="F52" s="18" t="s">
        <v>21</v>
      </c>
      <c r="G52" s="18" t="s">
        <v>21</v>
      </c>
      <c r="H52" s="18" t="s">
        <v>21</v>
      </c>
      <c r="I52" s="18" t="s">
        <v>21</v>
      </c>
      <c r="J52" s="18" t="s">
        <v>21</v>
      </c>
      <c r="K52" s="18" t="s">
        <v>21</v>
      </c>
      <c r="L52" s="18" t="s">
        <v>21</v>
      </c>
      <c r="M52" s="18" t="s">
        <v>20</v>
      </c>
      <c r="N52" s="18" t="s">
        <v>20</v>
      </c>
      <c r="O52" s="18" t="s">
        <v>20</v>
      </c>
      <c r="P52" s="18" t="s">
        <v>21</v>
      </c>
      <c r="Q52" s="18" t="s">
        <v>21</v>
      </c>
      <c r="R52" s="18" t="s">
        <v>21</v>
      </c>
      <c r="S52" s="18" t="s">
        <v>20</v>
      </c>
      <c r="T52" s="18" t="s">
        <v>20</v>
      </c>
      <c r="U52" s="18" t="s">
        <v>21</v>
      </c>
      <c r="V52" s="37" t="s">
        <v>20</v>
      </c>
      <c r="W52" s="37" t="s">
        <v>20</v>
      </c>
      <c r="X52" s="37" t="s">
        <v>20</v>
      </c>
      <c r="Y52" s="18" t="s">
        <v>20</v>
      </c>
      <c r="Z52" s="18" t="s">
        <v>20</v>
      </c>
      <c r="AA52" s="20" t="s">
        <v>21</v>
      </c>
      <c r="AB52" s="20" t="s">
        <v>21</v>
      </c>
      <c r="AC52" s="20" t="s">
        <v>21</v>
      </c>
      <c r="AD52" s="29" t="s">
        <v>21</v>
      </c>
      <c r="AE52" s="29" t="s">
        <v>21</v>
      </c>
      <c r="AG52">
        <f>+COUNTIF(F52:AE52,"AD")</f>
        <v>0</v>
      </c>
      <c r="AH52">
        <f>+COUNTIF(F52:AE52,"A")</f>
        <v>10</v>
      </c>
      <c r="AI52">
        <f>+COUNTIF(F52:AE52,"b")</f>
        <v>16</v>
      </c>
      <c r="AJ52">
        <f>+COUNTIF(F52:AE52,"c")</f>
        <v>0</v>
      </c>
      <c r="AL52">
        <f>+$AG$5*AG52</f>
        <v>0</v>
      </c>
      <c r="AM52">
        <f>+$AH$5*AH52</f>
        <v>30</v>
      </c>
      <c r="AN52">
        <f>+$AI$5*AI52</f>
        <v>32</v>
      </c>
      <c r="AO52">
        <f>+$AJ$5*AJ52</f>
        <v>0</v>
      </c>
      <c r="AP52">
        <f>+SUM(AL52:AO52)</f>
        <v>62</v>
      </c>
    </row>
    <row r="53" spans="1:42" ht="15.75" hidden="1" customHeight="1" x14ac:dyDescent="0.3">
      <c r="A53" s="16"/>
      <c r="B53" s="55">
        <v>1</v>
      </c>
      <c r="C53" s="56" t="s">
        <v>62</v>
      </c>
      <c r="D53" s="55">
        <v>2</v>
      </c>
      <c r="E53" s="55" t="s">
        <v>20</v>
      </c>
      <c r="F53" s="18" t="s">
        <v>21</v>
      </c>
      <c r="G53" s="18" t="s">
        <v>23</v>
      </c>
      <c r="H53" s="18" t="s">
        <v>21</v>
      </c>
      <c r="I53" s="18" t="s">
        <v>21</v>
      </c>
      <c r="J53" s="18" t="s">
        <v>21</v>
      </c>
      <c r="K53" s="18" t="s">
        <v>21</v>
      </c>
      <c r="L53" s="18" t="s">
        <v>20</v>
      </c>
      <c r="M53" s="18" t="s">
        <v>20</v>
      </c>
      <c r="N53" s="18" t="s">
        <v>20</v>
      </c>
      <c r="O53" s="18" t="s">
        <v>21</v>
      </c>
      <c r="P53" s="18" t="s">
        <v>21</v>
      </c>
      <c r="Q53" s="18" t="s">
        <v>21</v>
      </c>
      <c r="R53" s="18" t="s">
        <v>21</v>
      </c>
      <c r="S53" s="18" t="s">
        <v>20</v>
      </c>
      <c r="T53" s="18" t="s">
        <v>21</v>
      </c>
      <c r="U53" s="18" t="s">
        <v>20</v>
      </c>
      <c r="V53" s="35" t="s">
        <v>20</v>
      </c>
      <c r="W53" s="35" t="s">
        <v>20</v>
      </c>
      <c r="X53" s="36" t="s">
        <v>20</v>
      </c>
      <c r="Y53" s="19" t="s">
        <v>20</v>
      </c>
      <c r="Z53" s="18" t="s">
        <v>20</v>
      </c>
      <c r="AA53" s="20" t="s">
        <v>21</v>
      </c>
      <c r="AB53" s="20" t="s">
        <v>21</v>
      </c>
      <c r="AC53" s="20" t="s">
        <v>21</v>
      </c>
      <c r="AD53" s="29" t="s">
        <v>21</v>
      </c>
      <c r="AE53" s="29" t="s">
        <v>21</v>
      </c>
      <c r="AG53">
        <f>+COUNTIF(F53:AE53,"AD")</f>
        <v>0</v>
      </c>
      <c r="AH53">
        <f>+COUNTIF(F53:AE53,"A")</f>
        <v>10</v>
      </c>
      <c r="AI53">
        <f>+COUNTIF(F53:AE53,"b")</f>
        <v>15</v>
      </c>
      <c r="AJ53">
        <f>+COUNTIF(F53:AE53,"c")</f>
        <v>1</v>
      </c>
      <c r="AL53">
        <f>+$AG$5*AG53</f>
        <v>0</v>
      </c>
      <c r="AM53">
        <f>+$AH$5*AH53</f>
        <v>30</v>
      </c>
      <c r="AN53">
        <f>+$AI$5*AI53</f>
        <v>30</v>
      </c>
      <c r="AO53">
        <f>+$AJ$5*AJ53</f>
        <v>1</v>
      </c>
      <c r="AP53">
        <f>+SUM(AL53:AO53)</f>
        <v>61</v>
      </c>
    </row>
    <row r="54" spans="1:42" ht="15.75" hidden="1" customHeight="1" x14ac:dyDescent="0.3">
      <c r="A54" s="16"/>
      <c r="B54" s="55">
        <v>10</v>
      </c>
      <c r="C54" s="56" t="s">
        <v>71</v>
      </c>
      <c r="D54" s="55">
        <v>2</v>
      </c>
      <c r="E54" s="55" t="s">
        <v>20</v>
      </c>
      <c r="F54" s="18" t="s">
        <v>21</v>
      </c>
      <c r="G54" s="18" t="s">
        <v>21</v>
      </c>
      <c r="H54" s="18" t="s">
        <v>21</v>
      </c>
      <c r="I54" s="18" t="s">
        <v>21</v>
      </c>
      <c r="J54" s="18" t="s">
        <v>20</v>
      </c>
      <c r="K54" s="18" t="s">
        <v>21</v>
      </c>
      <c r="L54" s="18" t="s">
        <v>21</v>
      </c>
      <c r="M54" s="18" t="s">
        <v>21</v>
      </c>
      <c r="N54" s="18" t="s">
        <v>21</v>
      </c>
      <c r="O54" s="18" t="s">
        <v>20</v>
      </c>
      <c r="P54" s="18" t="s">
        <v>21</v>
      </c>
      <c r="Q54" s="18" t="s">
        <v>21</v>
      </c>
      <c r="R54" s="18" t="s">
        <v>21</v>
      </c>
      <c r="S54" s="18" t="s">
        <v>21</v>
      </c>
      <c r="T54" s="18" t="s">
        <v>20</v>
      </c>
      <c r="U54" s="18" t="s">
        <v>20</v>
      </c>
      <c r="V54" s="37" t="s">
        <v>20</v>
      </c>
      <c r="W54" s="37" t="s">
        <v>20</v>
      </c>
      <c r="X54" s="37" t="s">
        <v>20</v>
      </c>
      <c r="Y54" s="18" t="s">
        <v>20</v>
      </c>
      <c r="Z54" s="18" t="s">
        <v>21</v>
      </c>
      <c r="AA54" s="20" t="s">
        <v>20</v>
      </c>
      <c r="AB54" s="20" t="s">
        <v>21</v>
      </c>
      <c r="AC54" s="20" t="s">
        <v>21</v>
      </c>
      <c r="AD54" s="29" t="s">
        <v>21</v>
      </c>
      <c r="AE54" s="29" t="s">
        <v>21</v>
      </c>
      <c r="AG54">
        <f>+COUNTIF(F54:AE54,"AD")</f>
        <v>0</v>
      </c>
      <c r="AH54">
        <f>+COUNTIF(F54:AE54,"A")</f>
        <v>9</v>
      </c>
      <c r="AI54">
        <f>+COUNTIF(F54:AE54,"b")</f>
        <v>17</v>
      </c>
      <c r="AJ54">
        <f>+COUNTIF(F54:AE54,"c")</f>
        <v>0</v>
      </c>
      <c r="AL54">
        <f>+$AG$5*AG54</f>
        <v>0</v>
      </c>
      <c r="AM54">
        <f>+$AH$5*AH54</f>
        <v>27</v>
      </c>
      <c r="AN54">
        <f>+$AI$5*AI54</f>
        <v>34</v>
      </c>
      <c r="AO54">
        <f>+$AJ$5*AJ54</f>
        <v>0</v>
      </c>
      <c r="AP54">
        <f>+SUM(AL54:AO54)</f>
        <v>61</v>
      </c>
    </row>
    <row r="55" spans="1:42" ht="15.75" hidden="1" customHeight="1" x14ac:dyDescent="0.3">
      <c r="A55" s="16"/>
      <c r="B55" s="55">
        <v>5</v>
      </c>
      <c r="C55" s="56" t="s">
        <v>66</v>
      </c>
      <c r="D55" s="55">
        <v>2</v>
      </c>
      <c r="E55" s="55" t="s">
        <v>20</v>
      </c>
      <c r="F55" s="18" t="s">
        <v>21</v>
      </c>
      <c r="G55" s="18" t="s">
        <v>21</v>
      </c>
      <c r="H55" s="18" t="s">
        <v>21</v>
      </c>
      <c r="I55" s="18" t="s">
        <v>21</v>
      </c>
      <c r="J55" s="18" t="s">
        <v>21</v>
      </c>
      <c r="K55" s="18" t="s">
        <v>21</v>
      </c>
      <c r="L55" s="18" t="s">
        <v>21</v>
      </c>
      <c r="M55" s="18" t="s">
        <v>21</v>
      </c>
      <c r="N55" s="18" t="s">
        <v>21</v>
      </c>
      <c r="O55" s="18" t="s">
        <v>20</v>
      </c>
      <c r="P55" s="18" t="s">
        <v>21</v>
      </c>
      <c r="Q55" s="18" t="s">
        <v>21</v>
      </c>
      <c r="R55" s="18" t="s">
        <v>21</v>
      </c>
      <c r="S55" s="18" t="s">
        <v>20</v>
      </c>
      <c r="T55" s="18" t="s">
        <v>21</v>
      </c>
      <c r="U55" s="18" t="s">
        <v>20</v>
      </c>
      <c r="V55" s="35" t="s">
        <v>20</v>
      </c>
      <c r="W55" s="35" t="s">
        <v>20</v>
      </c>
      <c r="X55" s="36" t="s">
        <v>20</v>
      </c>
      <c r="Y55" s="19" t="s">
        <v>20</v>
      </c>
      <c r="Z55" s="18" t="s">
        <v>20</v>
      </c>
      <c r="AA55" s="20" t="s">
        <v>21</v>
      </c>
      <c r="AB55" s="20" t="s">
        <v>21</v>
      </c>
      <c r="AC55" s="20" t="s">
        <v>23</v>
      </c>
      <c r="AD55" s="29" t="s">
        <v>21</v>
      </c>
      <c r="AE55" s="29" t="s">
        <v>21</v>
      </c>
      <c r="AG55">
        <f>+COUNTIF(F55:AE55,"AD")</f>
        <v>0</v>
      </c>
      <c r="AH55">
        <f>+COUNTIF(F55:AE55,"A")</f>
        <v>8</v>
      </c>
      <c r="AI55">
        <f>+COUNTIF(F55:AE55,"b")</f>
        <v>17</v>
      </c>
      <c r="AJ55">
        <f>+COUNTIF(F55:AE55,"c")</f>
        <v>1</v>
      </c>
      <c r="AL55">
        <f>+$AG$5*AG55</f>
        <v>0</v>
      </c>
      <c r="AM55">
        <f>+$AH$5*AH55</f>
        <v>24</v>
      </c>
      <c r="AN55">
        <f>+$AI$5*AI55</f>
        <v>34</v>
      </c>
      <c r="AO55">
        <f>+$AJ$5*AJ55</f>
        <v>1</v>
      </c>
      <c r="AP55">
        <f>+SUM(AL55:AO55)</f>
        <v>59</v>
      </c>
    </row>
    <row r="56" spans="1:42" ht="15.75" hidden="1" customHeight="1" x14ac:dyDescent="0.3">
      <c r="A56" s="16"/>
      <c r="B56" s="55">
        <v>15</v>
      </c>
      <c r="C56" s="56" t="s">
        <v>76</v>
      </c>
      <c r="D56" s="55">
        <v>2</v>
      </c>
      <c r="E56" s="55" t="s">
        <v>20</v>
      </c>
      <c r="F56" s="18" t="s">
        <v>20</v>
      </c>
      <c r="G56" s="18" t="s">
        <v>21</v>
      </c>
      <c r="H56" s="18" t="s">
        <v>21</v>
      </c>
      <c r="I56" s="18" t="s">
        <v>21</v>
      </c>
      <c r="J56" s="18" t="s">
        <v>20</v>
      </c>
      <c r="K56" s="18" t="s">
        <v>21</v>
      </c>
      <c r="L56" s="18" t="s">
        <v>21</v>
      </c>
      <c r="M56" s="18" t="s">
        <v>21</v>
      </c>
      <c r="N56" s="18" t="s">
        <v>21</v>
      </c>
      <c r="O56" s="18" t="s">
        <v>20</v>
      </c>
      <c r="P56" s="18" t="s">
        <v>21</v>
      </c>
      <c r="Q56" s="18" t="s">
        <v>21</v>
      </c>
      <c r="R56" s="18" t="s">
        <v>21</v>
      </c>
      <c r="S56" s="18" t="s">
        <v>20</v>
      </c>
      <c r="T56" s="18" t="s">
        <v>21</v>
      </c>
      <c r="U56" s="18" t="s">
        <v>21</v>
      </c>
      <c r="V56" s="37" t="s">
        <v>21</v>
      </c>
      <c r="W56" s="37" t="s">
        <v>20</v>
      </c>
      <c r="X56" s="37" t="s">
        <v>20</v>
      </c>
      <c r="Y56" s="18" t="s">
        <v>21</v>
      </c>
      <c r="Z56" s="18" t="s">
        <v>21</v>
      </c>
      <c r="AA56" s="20" t="s">
        <v>21</v>
      </c>
      <c r="AB56" s="20" t="s">
        <v>21</v>
      </c>
      <c r="AC56" s="20" t="s">
        <v>21</v>
      </c>
      <c r="AD56" s="29" t="s">
        <v>23</v>
      </c>
      <c r="AE56" s="29" t="s">
        <v>21</v>
      </c>
      <c r="AG56">
        <f>+COUNTIF(F56:AE56,"AD")</f>
        <v>0</v>
      </c>
      <c r="AH56">
        <f>+COUNTIF(F56:AE56,"A")</f>
        <v>6</v>
      </c>
      <c r="AI56">
        <f>+COUNTIF(F56:AE56,"b")</f>
        <v>19</v>
      </c>
      <c r="AJ56">
        <f>+COUNTIF(F56:AE56,"c")</f>
        <v>1</v>
      </c>
      <c r="AL56">
        <f>+$AG$5*AG56</f>
        <v>0</v>
      </c>
      <c r="AM56">
        <f>+$AH$5*AH56</f>
        <v>18</v>
      </c>
      <c r="AN56">
        <f>+$AI$5*AI56</f>
        <v>38</v>
      </c>
      <c r="AO56">
        <f>+$AJ$5*AJ56</f>
        <v>1</v>
      </c>
      <c r="AP56">
        <f>+SUM(AL56:AO56)</f>
        <v>57</v>
      </c>
    </row>
    <row r="57" spans="1:42" ht="15.75" hidden="1" customHeight="1" x14ac:dyDescent="0.3">
      <c r="A57" s="16"/>
      <c r="B57" s="55">
        <v>17</v>
      </c>
      <c r="C57" s="56" t="s">
        <v>78</v>
      </c>
      <c r="D57" s="55">
        <v>2</v>
      </c>
      <c r="E57" s="55" t="s">
        <v>20</v>
      </c>
      <c r="F57" s="18" t="s">
        <v>21</v>
      </c>
      <c r="G57" s="18" t="s">
        <v>21</v>
      </c>
      <c r="H57" s="18" t="s">
        <v>21</v>
      </c>
      <c r="I57" s="18" t="s">
        <v>21</v>
      </c>
      <c r="J57" s="18" t="s">
        <v>23</v>
      </c>
      <c r="K57" s="18" t="s">
        <v>21</v>
      </c>
      <c r="L57" s="18" t="s">
        <v>21</v>
      </c>
      <c r="M57" s="18" t="s">
        <v>21</v>
      </c>
      <c r="N57" s="18" t="s">
        <v>21</v>
      </c>
      <c r="O57" s="18" t="s">
        <v>20</v>
      </c>
      <c r="P57" s="18" t="s">
        <v>21</v>
      </c>
      <c r="Q57" s="18" t="s">
        <v>21</v>
      </c>
      <c r="R57" s="18" t="s">
        <v>21</v>
      </c>
      <c r="S57" s="18" t="s">
        <v>21</v>
      </c>
      <c r="T57" s="18" t="s">
        <v>21</v>
      </c>
      <c r="U57" s="18" t="s">
        <v>21</v>
      </c>
      <c r="V57" s="37" t="s">
        <v>20</v>
      </c>
      <c r="W57" s="37" t="s">
        <v>20</v>
      </c>
      <c r="X57" s="37" t="s">
        <v>20</v>
      </c>
      <c r="Y57" s="18" t="s">
        <v>20</v>
      </c>
      <c r="Z57" s="18" t="s">
        <v>20</v>
      </c>
      <c r="AA57" s="20" t="s">
        <v>23</v>
      </c>
      <c r="AB57" s="20" t="s">
        <v>23</v>
      </c>
      <c r="AC57" s="20" t="s">
        <v>21</v>
      </c>
      <c r="AD57" s="29" t="s">
        <v>21</v>
      </c>
      <c r="AE57" s="29" t="s">
        <v>21</v>
      </c>
      <c r="AG57">
        <f>+COUNTIF(F57:AE57,"AD")</f>
        <v>0</v>
      </c>
      <c r="AH57">
        <f>+COUNTIF(F57:AE57,"A")</f>
        <v>6</v>
      </c>
      <c r="AI57">
        <f>+COUNTIF(F57:AE57,"b")</f>
        <v>17</v>
      </c>
      <c r="AJ57">
        <f>+COUNTIF(F57:AE57,"c")</f>
        <v>3</v>
      </c>
      <c r="AL57">
        <f>+$AG$5*AG57</f>
        <v>0</v>
      </c>
      <c r="AM57">
        <f>+$AH$5*AH57</f>
        <v>18</v>
      </c>
      <c r="AN57">
        <f>+$AI$5*AI57</f>
        <v>34</v>
      </c>
      <c r="AO57">
        <f>+$AJ$5*AJ57</f>
        <v>3</v>
      </c>
      <c r="AP57">
        <f>+SUM(AL57:AO57)</f>
        <v>55</v>
      </c>
    </row>
    <row r="58" spans="1:42" ht="15.75" hidden="1" customHeight="1" x14ac:dyDescent="0.3">
      <c r="A58" s="16"/>
      <c r="B58" s="55">
        <v>14</v>
      </c>
      <c r="C58" s="56" t="s">
        <v>75</v>
      </c>
      <c r="D58" s="55">
        <v>2</v>
      </c>
      <c r="E58" s="55" t="s">
        <v>20</v>
      </c>
      <c r="F58" s="18" t="s">
        <v>20</v>
      </c>
      <c r="G58" s="18" t="s">
        <v>21</v>
      </c>
      <c r="H58" s="18" t="s">
        <v>21</v>
      </c>
      <c r="I58" s="18" t="s">
        <v>21</v>
      </c>
      <c r="J58" s="18" t="s">
        <v>21</v>
      </c>
      <c r="K58" s="18" t="s">
        <v>23</v>
      </c>
      <c r="L58" s="18" t="s">
        <v>20</v>
      </c>
      <c r="M58" s="18" t="s">
        <v>21</v>
      </c>
      <c r="N58" s="18" t="s">
        <v>21</v>
      </c>
      <c r="O58" s="18" t="s">
        <v>23</v>
      </c>
      <c r="P58" s="18" t="s">
        <v>20</v>
      </c>
      <c r="Q58" s="18" t="s">
        <v>20</v>
      </c>
      <c r="R58" s="18" t="s">
        <v>21</v>
      </c>
      <c r="S58" s="18" t="s">
        <v>21</v>
      </c>
      <c r="T58" s="18" t="s">
        <v>23</v>
      </c>
      <c r="U58" s="18" t="s">
        <v>21</v>
      </c>
      <c r="V58" s="37" t="s">
        <v>21</v>
      </c>
      <c r="W58" s="37" t="s">
        <v>20</v>
      </c>
      <c r="X58" s="37" t="s">
        <v>21</v>
      </c>
      <c r="Y58" s="18" t="s">
        <v>21</v>
      </c>
      <c r="Z58" s="18" t="s">
        <v>20</v>
      </c>
      <c r="AA58" s="20" t="s">
        <v>23</v>
      </c>
      <c r="AB58" s="20" t="s">
        <v>21</v>
      </c>
      <c r="AC58" s="20" t="s">
        <v>21</v>
      </c>
      <c r="AD58" s="29" t="s">
        <v>23</v>
      </c>
      <c r="AE58" s="29" t="s">
        <v>21</v>
      </c>
      <c r="AG58">
        <f>+COUNTIF(F58:AE58,"AD")</f>
        <v>0</v>
      </c>
      <c r="AH58">
        <f>+COUNTIF(F58:AE58,"A")</f>
        <v>6</v>
      </c>
      <c r="AI58">
        <f>+COUNTIF(F58:AE58,"b")</f>
        <v>15</v>
      </c>
      <c r="AJ58">
        <f>+COUNTIF(F58:AE58,"c")</f>
        <v>5</v>
      </c>
      <c r="AL58">
        <f>+$AG$5*AG58</f>
        <v>0</v>
      </c>
      <c r="AM58">
        <f>+$AH$5*AH58</f>
        <v>18</v>
      </c>
      <c r="AN58">
        <f>+$AI$5*AI58</f>
        <v>30</v>
      </c>
      <c r="AO58">
        <f>+$AJ$5*AJ58</f>
        <v>5</v>
      </c>
      <c r="AP58">
        <f>+SUM(AL58:AO58)</f>
        <v>53</v>
      </c>
    </row>
    <row r="59" spans="1:42" ht="15.75" hidden="1" customHeight="1" x14ac:dyDescent="0.3">
      <c r="A59" s="16"/>
      <c r="B59" s="55">
        <v>19</v>
      </c>
      <c r="C59" s="56" t="s">
        <v>80</v>
      </c>
      <c r="D59" s="55">
        <v>2</v>
      </c>
      <c r="E59" s="55" t="s">
        <v>20</v>
      </c>
      <c r="F59" s="18" t="s">
        <v>21</v>
      </c>
      <c r="G59" s="18" t="s">
        <v>20</v>
      </c>
      <c r="H59" s="18" t="s">
        <v>21</v>
      </c>
      <c r="I59" s="18" t="s">
        <v>21</v>
      </c>
      <c r="J59" s="18" t="s">
        <v>21</v>
      </c>
      <c r="K59" s="18" t="s">
        <v>23</v>
      </c>
      <c r="L59" s="18" t="s">
        <v>23</v>
      </c>
      <c r="M59" s="18" t="s">
        <v>21</v>
      </c>
      <c r="N59" s="18" t="s">
        <v>21</v>
      </c>
      <c r="O59" s="18" t="s">
        <v>20</v>
      </c>
      <c r="P59" s="18" t="s">
        <v>21</v>
      </c>
      <c r="Q59" s="18" t="s">
        <v>21</v>
      </c>
      <c r="R59" s="18" t="s">
        <v>23</v>
      </c>
      <c r="S59" s="18" t="s">
        <v>21</v>
      </c>
      <c r="T59" s="18" t="s">
        <v>21</v>
      </c>
      <c r="U59" s="18" t="s">
        <v>21</v>
      </c>
      <c r="V59" s="37" t="s">
        <v>21</v>
      </c>
      <c r="W59" s="37" t="s">
        <v>20</v>
      </c>
      <c r="X59" s="37" t="s">
        <v>20</v>
      </c>
      <c r="Y59" s="18" t="s">
        <v>20</v>
      </c>
      <c r="Z59" s="18" t="s">
        <v>20</v>
      </c>
      <c r="AA59" s="20" t="s">
        <v>23</v>
      </c>
      <c r="AB59" s="20" t="s">
        <v>21</v>
      </c>
      <c r="AC59" s="20" t="s">
        <v>21</v>
      </c>
      <c r="AD59" s="29" t="s">
        <v>23</v>
      </c>
      <c r="AE59" s="29" t="s">
        <v>21</v>
      </c>
      <c r="AG59">
        <f>+COUNTIF(F59:AE59,"AD")</f>
        <v>0</v>
      </c>
      <c r="AH59">
        <f>+COUNTIF(F59:AE59,"A")</f>
        <v>6</v>
      </c>
      <c r="AI59">
        <f>+COUNTIF(F59:AE59,"b")</f>
        <v>15</v>
      </c>
      <c r="AJ59">
        <f>+COUNTIF(F59:AE59,"c")</f>
        <v>5</v>
      </c>
      <c r="AL59">
        <f>+$AG$5*AG59</f>
        <v>0</v>
      </c>
      <c r="AM59">
        <f>+$AH$5*AH59</f>
        <v>18</v>
      </c>
      <c r="AN59">
        <f>+$AI$5*AI59</f>
        <v>30</v>
      </c>
      <c r="AO59">
        <f>+$AJ$5*AJ59</f>
        <v>5</v>
      </c>
      <c r="AP59">
        <f>+SUM(AL59:AO59)</f>
        <v>53</v>
      </c>
    </row>
    <row r="60" spans="1:42" ht="15.75" hidden="1" customHeight="1" x14ac:dyDescent="0.3">
      <c r="A60" s="16"/>
      <c r="B60" s="55">
        <v>9</v>
      </c>
      <c r="C60" s="56" t="s">
        <v>70</v>
      </c>
      <c r="D60" s="55">
        <v>2</v>
      </c>
      <c r="E60" s="55" t="s">
        <v>20</v>
      </c>
      <c r="F60" s="18" t="s">
        <v>21</v>
      </c>
      <c r="G60" s="18" t="s">
        <v>21</v>
      </c>
      <c r="H60" s="18" t="s">
        <v>21</v>
      </c>
      <c r="I60" s="18" t="s">
        <v>21</v>
      </c>
      <c r="J60" s="18" t="s">
        <v>21</v>
      </c>
      <c r="K60" s="18" t="s">
        <v>21</v>
      </c>
      <c r="L60" s="18" t="s">
        <v>21</v>
      </c>
      <c r="M60" s="18" t="s">
        <v>21</v>
      </c>
      <c r="N60" s="18" t="s">
        <v>21</v>
      </c>
      <c r="O60" s="18" t="s">
        <v>23</v>
      </c>
      <c r="P60" s="18" t="s">
        <v>21</v>
      </c>
      <c r="Q60" s="18" t="s">
        <v>21</v>
      </c>
      <c r="R60" s="18" t="s">
        <v>21</v>
      </c>
      <c r="S60" s="18" t="s">
        <v>23</v>
      </c>
      <c r="T60" s="18" t="s">
        <v>23</v>
      </c>
      <c r="U60" s="18" t="s">
        <v>20</v>
      </c>
      <c r="V60" s="37" t="s">
        <v>20</v>
      </c>
      <c r="W60" s="37" t="s">
        <v>20</v>
      </c>
      <c r="X60" s="37" t="s">
        <v>20</v>
      </c>
      <c r="Y60" s="18" t="s">
        <v>21</v>
      </c>
      <c r="Z60" s="18" t="s">
        <v>20</v>
      </c>
      <c r="AA60" s="20" t="s">
        <v>23</v>
      </c>
      <c r="AB60" s="20" t="s">
        <v>21</v>
      </c>
      <c r="AC60" s="20" t="s">
        <v>23</v>
      </c>
      <c r="AD60" s="29" t="s">
        <v>21</v>
      </c>
      <c r="AE60" s="29" t="s">
        <v>21</v>
      </c>
      <c r="AG60">
        <f>+COUNTIF(F60:AE60,"AD")</f>
        <v>0</v>
      </c>
      <c r="AH60">
        <f>+COUNTIF(F60:AE60,"A")</f>
        <v>5</v>
      </c>
      <c r="AI60">
        <f>+COUNTIF(F60:AE60,"b")</f>
        <v>16</v>
      </c>
      <c r="AJ60">
        <f>+COUNTIF(F60:AE60,"c")</f>
        <v>5</v>
      </c>
      <c r="AL60">
        <f>+$AG$5*AG60</f>
        <v>0</v>
      </c>
      <c r="AM60">
        <f>+$AH$5*AH60</f>
        <v>15</v>
      </c>
      <c r="AN60">
        <f>+$AI$5*AI60</f>
        <v>32</v>
      </c>
      <c r="AO60">
        <f>+$AJ$5*AJ60</f>
        <v>5</v>
      </c>
      <c r="AP60">
        <f>+SUM(AL60:AO60)</f>
        <v>52</v>
      </c>
    </row>
    <row r="61" spans="1:42" ht="15.75" hidden="1" customHeight="1" x14ac:dyDescent="0.3">
      <c r="A61" s="16"/>
      <c r="B61" s="55">
        <v>4</v>
      </c>
      <c r="C61" s="56" t="s">
        <v>65</v>
      </c>
      <c r="D61" s="55">
        <v>2</v>
      </c>
      <c r="E61" s="55" t="s">
        <v>20</v>
      </c>
      <c r="F61" s="18" t="s">
        <v>21</v>
      </c>
      <c r="G61" s="18" t="s">
        <v>23</v>
      </c>
      <c r="H61" s="18" t="s">
        <v>21</v>
      </c>
      <c r="I61" s="18" t="s">
        <v>21</v>
      </c>
      <c r="J61" s="18" t="s">
        <v>21</v>
      </c>
      <c r="K61" s="18" t="s">
        <v>23</v>
      </c>
      <c r="L61" s="18" t="s">
        <v>21</v>
      </c>
      <c r="M61" s="18" t="s">
        <v>21</v>
      </c>
      <c r="N61" s="18" t="s">
        <v>21</v>
      </c>
      <c r="O61" s="18" t="s">
        <v>23</v>
      </c>
      <c r="P61" s="18" t="s">
        <v>23</v>
      </c>
      <c r="Q61" s="18" t="s">
        <v>23</v>
      </c>
      <c r="R61" s="18" t="s">
        <v>21</v>
      </c>
      <c r="S61" s="18" t="s">
        <v>23</v>
      </c>
      <c r="T61" s="18" t="s">
        <v>23</v>
      </c>
      <c r="U61" s="18" t="s">
        <v>20</v>
      </c>
      <c r="V61" s="35" t="s">
        <v>20</v>
      </c>
      <c r="W61" s="35" t="s">
        <v>20</v>
      </c>
      <c r="X61" s="36" t="s">
        <v>20</v>
      </c>
      <c r="Y61" s="19" t="s">
        <v>20</v>
      </c>
      <c r="Z61" s="18" t="s">
        <v>20</v>
      </c>
      <c r="AA61" s="20" t="s">
        <v>21</v>
      </c>
      <c r="AB61" s="20" t="s">
        <v>21</v>
      </c>
      <c r="AC61" s="20" t="s">
        <v>21</v>
      </c>
      <c r="AD61" s="29" t="s">
        <v>21</v>
      </c>
      <c r="AE61" s="29" t="s">
        <v>21</v>
      </c>
      <c r="AG61">
        <f>+COUNTIF(F61:AE61,"AD")</f>
        <v>0</v>
      </c>
      <c r="AH61">
        <f>+COUNTIF(F61:AE61,"A")</f>
        <v>6</v>
      </c>
      <c r="AI61">
        <f>+COUNTIF(F61:AE61,"b")</f>
        <v>13</v>
      </c>
      <c r="AJ61">
        <f>+COUNTIF(F61:AE61,"c")</f>
        <v>7</v>
      </c>
      <c r="AL61">
        <f>+$AG$5*AG61</f>
        <v>0</v>
      </c>
      <c r="AM61">
        <f>+$AH$5*AH61</f>
        <v>18</v>
      </c>
      <c r="AN61">
        <f>+$AI$5*AI61</f>
        <v>26</v>
      </c>
      <c r="AO61">
        <f>+$AJ$5*AJ61</f>
        <v>7</v>
      </c>
      <c r="AP61">
        <f>+SUM(AL61:AO61)</f>
        <v>51</v>
      </c>
    </row>
    <row r="62" spans="1:42" ht="15.75" hidden="1" customHeight="1" x14ac:dyDescent="0.3">
      <c r="A62" s="16"/>
      <c r="B62" s="55">
        <v>3</v>
      </c>
      <c r="C62" s="56" t="s">
        <v>64</v>
      </c>
      <c r="D62" s="55">
        <v>2</v>
      </c>
      <c r="E62" s="55" t="s">
        <v>20</v>
      </c>
      <c r="F62" s="18" t="s">
        <v>21</v>
      </c>
      <c r="G62" s="18" t="s">
        <v>23</v>
      </c>
      <c r="H62" s="18" t="s">
        <v>21</v>
      </c>
      <c r="I62" s="18" t="s">
        <v>21</v>
      </c>
      <c r="J62" s="18" t="s">
        <v>20</v>
      </c>
      <c r="K62" s="18" t="s">
        <v>23</v>
      </c>
      <c r="L62" s="18" t="s">
        <v>21</v>
      </c>
      <c r="M62" s="18" t="s">
        <v>21</v>
      </c>
      <c r="N62" s="18" t="s">
        <v>21</v>
      </c>
      <c r="O62" s="18" t="s">
        <v>23</v>
      </c>
      <c r="P62" s="18" t="s">
        <v>21</v>
      </c>
      <c r="Q62" s="18" t="s">
        <v>20</v>
      </c>
      <c r="R62" s="18" t="s">
        <v>21</v>
      </c>
      <c r="S62" s="18" t="s">
        <v>23</v>
      </c>
      <c r="T62" s="18" t="s">
        <v>21</v>
      </c>
      <c r="U62" s="18" t="s">
        <v>20</v>
      </c>
      <c r="V62" s="35" t="s">
        <v>21</v>
      </c>
      <c r="W62" s="35" t="s">
        <v>21</v>
      </c>
      <c r="X62" s="36" t="s">
        <v>21</v>
      </c>
      <c r="Y62" s="19" t="s">
        <v>21</v>
      </c>
      <c r="Z62" s="18" t="s">
        <v>20</v>
      </c>
      <c r="AA62" s="20" t="s">
        <v>21</v>
      </c>
      <c r="AB62" s="20" t="s">
        <v>21</v>
      </c>
      <c r="AC62" s="20" t="s">
        <v>21</v>
      </c>
      <c r="AD62" s="29" t="s">
        <v>55</v>
      </c>
      <c r="AE62" s="29" t="s">
        <v>55</v>
      </c>
      <c r="AG62">
        <f>+COUNTIF(F62:AE62,"AD")</f>
        <v>0</v>
      </c>
      <c r="AH62">
        <f>+COUNTIF(F62:AE62,"A")</f>
        <v>4</v>
      </c>
      <c r="AI62">
        <f>+COUNTIF(F62:AE62,"b")</f>
        <v>16</v>
      </c>
      <c r="AJ62">
        <f>+COUNTIF(F62:AE62,"c")</f>
        <v>4</v>
      </c>
      <c r="AL62">
        <f>+$AG$5*AG62</f>
        <v>0</v>
      </c>
      <c r="AM62">
        <f>+$AH$5*AH62</f>
        <v>12</v>
      </c>
      <c r="AN62">
        <f>+$AI$5*AI62</f>
        <v>32</v>
      </c>
      <c r="AO62">
        <f>+$AJ$5*AJ62</f>
        <v>4</v>
      </c>
      <c r="AP62">
        <f>+SUM(AL62:AO62)</f>
        <v>48</v>
      </c>
    </row>
    <row r="63" spans="1:42" ht="15.75" hidden="1" customHeight="1" x14ac:dyDescent="0.3">
      <c r="A63" s="16"/>
      <c r="B63" s="55">
        <v>21</v>
      </c>
      <c r="C63" s="56" t="s">
        <v>82</v>
      </c>
      <c r="D63" s="55">
        <v>2</v>
      </c>
      <c r="E63" s="55" t="s">
        <v>20</v>
      </c>
      <c r="F63" s="18" t="s">
        <v>21</v>
      </c>
      <c r="G63" s="18" t="s">
        <v>20</v>
      </c>
      <c r="H63" s="18" t="s">
        <v>21</v>
      </c>
      <c r="I63" s="18" t="s">
        <v>21</v>
      </c>
      <c r="J63" s="18" t="s">
        <v>20</v>
      </c>
      <c r="K63" s="18" t="s">
        <v>21</v>
      </c>
      <c r="L63" s="18" t="s">
        <v>23</v>
      </c>
      <c r="M63" s="18" t="s">
        <v>21</v>
      </c>
      <c r="N63" s="18" t="s">
        <v>21</v>
      </c>
      <c r="O63" s="18" t="s">
        <v>23</v>
      </c>
      <c r="P63" s="18" t="s">
        <v>23</v>
      </c>
      <c r="Q63" s="18" t="s">
        <v>23</v>
      </c>
      <c r="R63" s="18" t="s">
        <v>21</v>
      </c>
      <c r="S63" s="18" t="s">
        <v>23</v>
      </c>
      <c r="T63" s="18" t="s">
        <v>23</v>
      </c>
      <c r="U63" s="18" t="s">
        <v>21</v>
      </c>
      <c r="V63" s="37" t="s">
        <v>20</v>
      </c>
      <c r="W63" s="37" t="s">
        <v>21</v>
      </c>
      <c r="X63" s="37" t="s">
        <v>20</v>
      </c>
      <c r="Y63" s="18" t="s">
        <v>21</v>
      </c>
      <c r="Z63" s="18" t="s">
        <v>21</v>
      </c>
      <c r="AA63" s="20" t="s">
        <v>23</v>
      </c>
      <c r="AB63" s="20" t="s">
        <v>21</v>
      </c>
      <c r="AC63" s="20" t="s">
        <v>21</v>
      </c>
      <c r="AD63" s="29" t="s">
        <v>23</v>
      </c>
      <c r="AE63" s="29" t="s">
        <v>21</v>
      </c>
      <c r="AG63">
        <f>+COUNTIF(F63:AE63,"AD")</f>
        <v>0</v>
      </c>
      <c r="AH63">
        <f>+COUNTIF(F63:AE63,"A")</f>
        <v>4</v>
      </c>
      <c r="AI63">
        <f>+COUNTIF(F63:AE63,"b")</f>
        <v>14</v>
      </c>
      <c r="AJ63">
        <f>+COUNTIF(F63:AE63,"c")</f>
        <v>8</v>
      </c>
      <c r="AL63">
        <f>+$AG$5*AG63</f>
        <v>0</v>
      </c>
      <c r="AM63">
        <f>+$AH$5*AH63</f>
        <v>12</v>
      </c>
      <c r="AN63">
        <f>+$AI$5*AI63</f>
        <v>28</v>
      </c>
      <c r="AO63">
        <f>+$AJ$5*AJ63</f>
        <v>8</v>
      </c>
      <c r="AP63">
        <f>+SUM(AL63:AO63)</f>
        <v>48</v>
      </c>
    </row>
    <row r="64" spans="1:42" ht="15.75" hidden="1" customHeight="1" x14ac:dyDescent="0.3">
      <c r="A64" s="16"/>
      <c r="B64" s="55">
        <v>22</v>
      </c>
      <c r="C64" s="56" t="s">
        <v>83</v>
      </c>
      <c r="D64" s="55">
        <v>2</v>
      </c>
      <c r="E64" s="55" t="s">
        <v>20</v>
      </c>
      <c r="F64" s="18" t="s">
        <v>21</v>
      </c>
      <c r="G64" s="18" t="s">
        <v>23</v>
      </c>
      <c r="H64" s="18" t="s">
        <v>21</v>
      </c>
      <c r="I64" s="18" t="s">
        <v>21</v>
      </c>
      <c r="J64" s="18" t="s">
        <v>21</v>
      </c>
      <c r="K64" s="18" t="s">
        <v>21</v>
      </c>
      <c r="L64" s="18" t="s">
        <v>20</v>
      </c>
      <c r="M64" s="18" t="s">
        <v>21</v>
      </c>
      <c r="N64" s="18" t="s">
        <v>21</v>
      </c>
      <c r="O64" s="18" t="s">
        <v>23</v>
      </c>
      <c r="P64" s="18" t="s">
        <v>23</v>
      </c>
      <c r="Q64" s="18" t="s">
        <v>23</v>
      </c>
      <c r="R64" s="18" t="s">
        <v>21</v>
      </c>
      <c r="S64" s="18" t="s">
        <v>23</v>
      </c>
      <c r="T64" s="18" t="s">
        <v>23</v>
      </c>
      <c r="U64" s="18" t="s">
        <v>21</v>
      </c>
      <c r="V64" s="37" t="s">
        <v>20</v>
      </c>
      <c r="W64" s="37" t="s">
        <v>20</v>
      </c>
      <c r="X64" s="37" t="s">
        <v>20</v>
      </c>
      <c r="Y64" s="18" t="s">
        <v>21</v>
      </c>
      <c r="Z64" s="18" t="s">
        <v>21</v>
      </c>
      <c r="AA64" s="20" t="s">
        <v>23</v>
      </c>
      <c r="AB64" s="20" t="s">
        <v>21</v>
      </c>
      <c r="AC64" s="20" t="s">
        <v>21</v>
      </c>
      <c r="AD64" s="29" t="s">
        <v>23</v>
      </c>
      <c r="AE64" s="29" t="s">
        <v>21</v>
      </c>
      <c r="AG64">
        <f>+COUNTIF(F64:AE64,"AD")</f>
        <v>0</v>
      </c>
      <c r="AH64">
        <f>+COUNTIF(F64:AE64,"A")</f>
        <v>4</v>
      </c>
      <c r="AI64">
        <f>+COUNTIF(F64:AE64,"b")</f>
        <v>14</v>
      </c>
      <c r="AJ64">
        <f>+COUNTIF(F64:AE64,"c")</f>
        <v>8</v>
      </c>
      <c r="AL64">
        <f>+$AG$5*AG64</f>
        <v>0</v>
      </c>
      <c r="AM64">
        <f>+$AH$5*AH64</f>
        <v>12</v>
      </c>
      <c r="AN64">
        <f>+$AI$5*AI64</f>
        <v>28</v>
      </c>
      <c r="AO64">
        <f>+$AJ$5*AJ64</f>
        <v>8</v>
      </c>
      <c r="AP64">
        <f>+SUM(AL64:AO64)</f>
        <v>48</v>
      </c>
    </row>
    <row r="65" spans="1:42" ht="15.75" hidden="1" customHeight="1" x14ac:dyDescent="0.3">
      <c r="A65" s="16"/>
      <c r="B65" s="55">
        <v>24</v>
      </c>
      <c r="C65" s="56" t="s">
        <v>85</v>
      </c>
      <c r="D65" s="55">
        <v>2</v>
      </c>
      <c r="E65" s="55" t="s">
        <v>20</v>
      </c>
      <c r="F65" s="18" t="s">
        <v>21</v>
      </c>
      <c r="G65" s="18" t="s">
        <v>23</v>
      </c>
      <c r="H65" s="18" t="s">
        <v>21</v>
      </c>
      <c r="I65" s="18" t="s">
        <v>21</v>
      </c>
      <c r="J65" s="18" t="s">
        <v>21</v>
      </c>
      <c r="K65" s="18" t="s">
        <v>21</v>
      </c>
      <c r="L65" s="18" t="s">
        <v>23</v>
      </c>
      <c r="M65" s="18" t="s">
        <v>21</v>
      </c>
      <c r="N65" s="18" t="s">
        <v>21</v>
      </c>
      <c r="O65" s="18" t="s">
        <v>23</v>
      </c>
      <c r="P65" s="18" t="s">
        <v>21</v>
      </c>
      <c r="Q65" s="18" t="s">
        <v>21</v>
      </c>
      <c r="R65" s="18" t="s">
        <v>21</v>
      </c>
      <c r="S65" s="18" t="s">
        <v>23</v>
      </c>
      <c r="T65" s="18" t="s">
        <v>21</v>
      </c>
      <c r="U65" s="18" t="s">
        <v>21</v>
      </c>
      <c r="V65" s="37" t="s">
        <v>21</v>
      </c>
      <c r="W65" s="37" t="s">
        <v>20</v>
      </c>
      <c r="X65" s="37" t="s">
        <v>20</v>
      </c>
      <c r="Y65" s="18" t="s">
        <v>21</v>
      </c>
      <c r="Z65" s="18" t="s">
        <v>21</v>
      </c>
      <c r="AA65" s="20" t="s">
        <v>21</v>
      </c>
      <c r="AB65" s="20" t="s">
        <v>21</v>
      </c>
      <c r="AC65" s="20" t="s">
        <v>23</v>
      </c>
      <c r="AD65" s="29" t="s">
        <v>23</v>
      </c>
      <c r="AE65" s="29" t="s">
        <v>21</v>
      </c>
      <c r="AG65">
        <f>+COUNTIF(F65:AE65,"AD")</f>
        <v>0</v>
      </c>
      <c r="AH65">
        <f>+COUNTIF(F65:AE65,"A")</f>
        <v>2</v>
      </c>
      <c r="AI65">
        <f>+COUNTIF(F65:AE65,"b")</f>
        <v>18</v>
      </c>
      <c r="AJ65">
        <f>+COUNTIF(F65:AE65,"c")</f>
        <v>6</v>
      </c>
      <c r="AL65">
        <f>+$AG$5*AG65</f>
        <v>0</v>
      </c>
      <c r="AM65">
        <f>+$AH$5*AH65</f>
        <v>6</v>
      </c>
      <c r="AN65">
        <f>+$AI$5*AI65</f>
        <v>36</v>
      </c>
      <c r="AO65">
        <f>+$AJ$5*AJ65</f>
        <v>6</v>
      </c>
      <c r="AP65">
        <f>+SUM(AL65:AO65)</f>
        <v>48</v>
      </c>
    </row>
    <row r="66" spans="1:42" ht="15.75" hidden="1" customHeight="1" x14ac:dyDescent="0.3">
      <c r="A66" s="16"/>
      <c r="B66" s="55">
        <v>12</v>
      </c>
      <c r="C66" s="56" t="s">
        <v>73</v>
      </c>
      <c r="D66" s="55">
        <v>2</v>
      </c>
      <c r="E66" s="55" t="s">
        <v>20</v>
      </c>
      <c r="F66" s="18" t="s">
        <v>20</v>
      </c>
      <c r="G66" s="18" t="s">
        <v>21</v>
      </c>
      <c r="H66" s="18" t="s">
        <v>21</v>
      </c>
      <c r="I66" s="18" t="s">
        <v>21</v>
      </c>
      <c r="J66" s="18" t="s">
        <v>21</v>
      </c>
      <c r="K66" s="18" t="s">
        <v>21</v>
      </c>
      <c r="L66" s="18" t="s">
        <v>21</v>
      </c>
      <c r="M66" s="18" t="s">
        <v>21</v>
      </c>
      <c r="N66" s="18" t="s">
        <v>21</v>
      </c>
      <c r="O66" s="18" t="s">
        <v>23</v>
      </c>
      <c r="P66" s="18" t="s">
        <v>23</v>
      </c>
      <c r="Q66" s="18" t="s">
        <v>23</v>
      </c>
      <c r="R66" s="18" t="s">
        <v>21</v>
      </c>
      <c r="S66" s="18" t="s">
        <v>23</v>
      </c>
      <c r="T66" s="18" t="s">
        <v>23</v>
      </c>
      <c r="U66" s="18" t="s">
        <v>21</v>
      </c>
      <c r="V66" s="37" t="s">
        <v>21</v>
      </c>
      <c r="W66" s="37" t="s">
        <v>21</v>
      </c>
      <c r="X66" s="37" t="s">
        <v>21</v>
      </c>
      <c r="Y66" s="18" t="s">
        <v>21</v>
      </c>
      <c r="Z66" s="18" t="s">
        <v>21</v>
      </c>
      <c r="AA66" s="20" t="s">
        <v>23</v>
      </c>
      <c r="AB66" s="20" t="s">
        <v>21</v>
      </c>
      <c r="AC66" s="20" t="s">
        <v>23</v>
      </c>
      <c r="AD66" s="29" t="s">
        <v>23</v>
      </c>
      <c r="AE66" s="29" t="s">
        <v>21</v>
      </c>
      <c r="AG66">
        <f>+COUNTIF(F66:AE66,"AD")</f>
        <v>0</v>
      </c>
      <c r="AH66">
        <f>+COUNTIF(F66:AE66,"A")</f>
        <v>1</v>
      </c>
      <c r="AI66">
        <f>+COUNTIF(F66:AE66,"b")</f>
        <v>17</v>
      </c>
      <c r="AJ66">
        <f>+COUNTIF(F66:AE66,"c")</f>
        <v>8</v>
      </c>
      <c r="AL66">
        <f>+$AG$5*AG66</f>
        <v>0</v>
      </c>
      <c r="AM66">
        <f>+$AH$5*AH66</f>
        <v>3</v>
      </c>
      <c r="AN66">
        <f>+$AI$5*AI66</f>
        <v>34</v>
      </c>
      <c r="AO66">
        <f>+$AJ$5*AJ66</f>
        <v>8</v>
      </c>
      <c r="AP66">
        <f>+SUM(AL66:AO66)</f>
        <v>45</v>
      </c>
    </row>
    <row r="67" spans="1:42" ht="15.75" hidden="1" customHeight="1" thickBot="1" x14ac:dyDescent="0.35">
      <c r="A67" s="16"/>
      <c r="B67" s="57">
        <v>13</v>
      </c>
      <c r="C67" s="58" t="s">
        <v>74</v>
      </c>
      <c r="D67" s="57">
        <v>2</v>
      </c>
      <c r="E67" s="57" t="s">
        <v>20</v>
      </c>
      <c r="F67" s="21" t="s">
        <v>21</v>
      </c>
      <c r="G67" s="21" t="s">
        <v>21</v>
      </c>
      <c r="H67" s="21" t="s">
        <v>21</v>
      </c>
      <c r="I67" s="21" t="s">
        <v>21</v>
      </c>
      <c r="J67" s="21" t="s">
        <v>21</v>
      </c>
      <c r="K67" s="21" t="s">
        <v>23</v>
      </c>
      <c r="L67" s="21" t="s">
        <v>21</v>
      </c>
      <c r="M67" s="21" t="s">
        <v>21</v>
      </c>
      <c r="N67" s="21" t="s">
        <v>21</v>
      </c>
      <c r="O67" s="21" t="s">
        <v>23</v>
      </c>
      <c r="P67" s="21" t="s">
        <v>23</v>
      </c>
      <c r="Q67" s="21" t="s">
        <v>23</v>
      </c>
      <c r="R67" s="21" t="s">
        <v>23</v>
      </c>
      <c r="S67" s="21" t="s">
        <v>23</v>
      </c>
      <c r="T67" s="21" t="s">
        <v>23</v>
      </c>
      <c r="U67" s="21" t="s">
        <v>21</v>
      </c>
      <c r="V67" s="38" t="s">
        <v>20</v>
      </c>
      <c r="W67" s="38" t="s">
        <v>20</v>
      </c>
      <c r="X67" s="38" t="s">
        <v>20</v>
      </c>
      <c r="Y67" s="21" t="s">
        <v>21</v>
      </c>
      <c r="Z67" s="21" t="s">
        <v>21</v>
      </c>
      <c r="AA67" s="23" t="s">
        <v>21</v>
      </c>
      <c r="AB67" s="23" t="s">
        <v>23</v>
      </c>
      <c r="AC67" s="23" t="s">
        <v>23</v>
      </c>
      <c r="AD67" s="31" t="s">
        <v>23</v>
      </c>
      <c r="AE67" s="31" t="s">
        <v>21</v>
      </c>
      <c r="AG67">
        <f>+COUNTIF(F67:AE67,"AD")</f>
        <v>0</v>
      </c>
      <c r="AH67">
        <f>+COUNTIF(F67:AE67,"A")</f>
        <v>3</v>
      </c>
      <c r="AI67">
        <f>+COUNTIF(F67:AE67,"b")</f>
        <v>13</v>
      </c>
      <c r="AJ67">
        <f>+COUNTIF(F67:AE67,"c")</f>
        <v>10</v>
      </c>
      <c r="AL67">
        <f>+$AG$5*AG67</f>
        <v>0</v>
      </c>
      <c r="AM67">
        <f>+$AH$5*AH67</f>
        <v>9</v>
      </c>
      <c r="AN67">
        <f>+$AI$5*AI67</f>
        <v>26</v>
      </c>
      <c r="AO67">
        <f>+$AJ$5*AJ67</f>
        <v>10</v>
      </c>
      <c r="AP67">
        <f>+SUM(AL67:AO67)</f>
        <v>45</v>
      </c>
    </row>
    <row r="68" spans="1:42" ht="15.75" customHeight="1" x14ac:dyDescent="0.3">
      <c r="A68" s="16"/>
      <c r="B68" s="55">
        <v>1</v>
      </c>
      <c r="C68" s="60" t="s">
        <v>93</v>
      </c>
      <c r="D68" s="59">
        <v>2</v>
      </c>
      <c r="E68" s="59" t="s">
        <v>21</v>
      </c>
      <c r="F68" s="24" t="s">
        <v>20</v>
      </c>
      <c r="G68" s="24" t="s">
        <v>20</v>
      </c>
      <c r="H68" s="24" t="s">
        <v>20</v>
      </c>
      <c r="I68" s="24" t="s">
        <v>20</v>
      </c>
      <c r="J68" s="24" t="s">
        <v>20</v>
      </c>
      <c r="K68" s="24" t="s">
        <v>20</v>
      </c>
      <c r="L68" s="24" t="s">
        <v>39</v>
      </c>
      <c r="M68" s="24" t="s">
        <v>20</v>
      </c>
      <c r="N68" s="24" t="s">
        <v>20</v>
      </c>
      <c r="O68" s="24" t="s">
        <v>20</v>
      </c>
      <c r="P68" s="24" t="s">
        <v>20</v>
      </c>
      <c r="Q68" s="24" t="s">
        <v>20</v>
      </c>
      <c r="R68" s="24" t="s">
        <v>20</v>
      </c>
      <c r="S68" s="24" t="s">
        <v>20</v>
      </c>
      <c r="T68" s="24" t="s">
        <v>20</v>
      </c>
      <c r="U68" s="24" t="s">
        <v>20</v>
      </c>
      <c r="V68" s="39" t="s">
        <v>20</v>
      </c>
      <c r="W68" s="39" t="s">
        <v>20</v>
      </c>
      <c r="X68" s="39" t="s">
        <v>20</v>
      </c>
      <c r="Y68" s="24" t="s">
        <v>20</v>
      </c>
      <c r="Z68" s="24" t="s">
        <v>20</v>
      </c>
      <c r="AA68" s="27" t="s">
        <v>20</v>
      </c>
      <c r="AB68" s="27" t="s">
        <v>20</v>
      </c>
      <c r="AC68" s="27" t="s">
        <v>20</v>
      </c>
      <c r="AD68" s="24" t="s">
        <v>20</v>
      </c>
      <c r="AE68" s="24" t="s">
        <v>21</v>
      </c>
      <c r="AG68">
        <f>+COUNTIF(F68:AE68,"AD")</f>
        <v>1</v>
      </c>
      <c r="AH68">
        <f>+COUNTIF(F68:AE68,"A")</f>
        <v>24</v>
      </c>
      <c r="AI68">
        <f>+COUNTIF(F68:AE68,"b")</f>
        <v>1</v>
      </c>
      <c r="AJ68">
        <f>+COUNTIF(F68:AE68,"c")</f>
        <v>0</v>
      </c>
      <c r="AL68">
        <f>+$AG$5*AG68</f>
        <v>4</v>
      </c>
      <c r="AM68">
        <f>+$AH$5*AH68</f>
        <v>72</v>
      </c>
      <c r="AN68">
        <f>+$AI$5*AI68</f>
        <v>2</v>
      </c>
      <c r="AO68">
        <f>+$AJ$5*AJ68</f>
        <v>0</v>
      </c>
      <c r="AP68" s="73">
        <f>+SUM(AL68:AO68)</f>
        <v>78</v>
      </c>
    </row>
    <row r="69" spans="1:42" ht="15.75" customHeight="1" x14ac:dyDescent="0.3">
      <c r="A69" s="16"/>
      <c r="B69" s="55">
        <v>2</v>
      </c>
      <c r="C69" s="56" t="s">
        <v>99</v>
      </c>
      <c r="D69" s="55">
        <v>2</v>
      </c>
      <c r="E69" s="55" t="s">
        <v>21</v>
      </c>
      <c r="F69" s="18" t="s">
        <v>20</v>
      </c>
      <c r="G69" s="18" t="s">
        <v>20</v>
      </c>
      <c r="H69" s="18" t="s">
        <v>20</v>
      </c>
      <c r="I69" s="18" t="s">
        <v>20</v>
      </c>
      <c r="J69" s="18" t="s">
        <v>20</v>
      </c>
      <c r="K69" s="18" t="s">
        <v>20</v>
      </c>
      <c r="L69" s="18" t="s">
        <v>20</v>
      </c>
      <c r="M69" s="18" t="s">
        <v>21</v>
      </c>
      <c r="N69" s="18" t="s">
        <v>20</v>
      </c>
      <c r="O69" s="18" t="s">
        <v>20</v>
      </c>
      <c r="P69" s="18" t="s">
        <v>20</v>
      </c>
      <c r="Q69" s="18" t="s">
        <v>20</v>
      </c>
      <c r="R69" s="18" t="s">
        <v>20</v>
      </c>
      <c r="S69" s="18" t="s">
        <v>20</v>
      </c>
      <c r="T69" s="18" t="s">
        <v>20</v>
      </c>
      <c r="U69" s="18" t="s">
        <v>21</v>
      </c>
      <c r="V69" s="37" t="s">
        <v>20</v>
      </c>
      <c r="W69" s="37" t="s">
        <v>20</v>
      </c>
      <c r="X69" s="37" t="s">
        <v>20</v>
      </c>
      <c r="Y69" s="18" t="s">
        <v>20</v>
      </c>
      <c r="Z69" s="18" t="s">
        <v>20</v>
      </c>
      <c r="AA69" s="20" t="s">
        <v>21</v>
      </c>
      <c r="AB69" s="20" t="s">
        <v>21</v>
      </c>
      <c r="AC69" s="20" t="s">
        <v>21</v>
      </c>
      <c r="AD69" s="40" t="s">
        <v>23</v>
      </c>
      <c r="AE69" s="40" t="s">
        <v>21</v>
      </c>
      <c r="AG69">
        <f>+COUNTIF(F69:AE69,"AD")</f>
        <v>0</v>
      </c>
      <c r="AH69">
        <f>+COUNTIF(F69:AE69,"A")</f>
        <v>19</v>
      </c>
      <c r="AI69">
        <f>+COUNTIF(F69:AE69,"b")</f>
        <v>6</v>
      </c>
      <c r="AJ69">
        <f>+COUNTIF(F69:AE69,"c")</f>
        <v>1</v>
      </c>
      <c r="AL69">
        <f>+$AG$5*AG69</f>
        <v>0</v>
      </c>
      <c r="AM69">
        <f>+$AH$5*AH69</f>
        <v>57</v>
      </c>
      <c r="AN69">
        <f>+$AI$5*AI69</f>
        <v>12</v>
      </c>
      <c r="AO69">
        <f>+$AJ$5*AJ69</f>
        <v>1</v>
      </c>
      <c r="AP69" s="73">
        <f>+SUM(AL69:AO69)</f>
        <v>70</v>
      </c>
    </row>
    <row r="70" spans="1:42" ht="15.75" customHeight="1" x14ac:dyDescent="0.3">
      <c r="A70" s="16"/>
      <c r="B70" s="55">
        <v>3</v>
      </c>
      <c r="C70" s="56" t="s">
        <v>105</v>
      </c>
      <c r="D70" s="55">
        <v>2</v>
      </c>
      <c r="E70" s="55" t="s">
        <v>21</v>
      </c>
      <c r="F70" s="18" t="s">
        <v>20</v>
      </c>
      <c r="G70" s="18" t="s">
        <v>20</v>
      </c>
      <c r="H70" s="18" t="s">
        <v>20</v>
      </c>
      <c r="I70" s="18" t="s">
        <v>20</v>
      </c>
      <c r="J70" s="18" t="s">
        <v>20</v>
      </c>
      <c r="K70" s="18" t="s">
        <v>20</v>
      </c>
      <c r="L70" s="18" t="s">
        <v>21</v>
      </c>
      <c r="M70" s="18" t="s">
        <v>21</v>
      </c>
      <c r="N70" s="18" t="s">
        <v>20</v>
      </c>
      <c r="O70" s="18" t="s">
        <v>20</v>
      </c>
      <c r="P70" s="18" t="s">
        <v>23</v>
      </c>
      <c r="Q70" s="18" t="s">
        <v>23</v>
      </c>
      <c r="R70" s="18" t="s">
        <v>21</v>
      </c>
      <c r="S70" s="18" t="s">
        <v>21</v>
      </c>
      <c r="T70" s="18" t="s">
        <v>20</v>
      </c>
      <c r="U70" s="18" t="s">
        <v>21</v>
      </c>
      <c r="V70" s="37" t="s">
        <v>21</v>
      </c>
      <c r="W70" s="37" t="s">
        <v>20</v>
      </c>
      <c r="X70" s="37" t="s">
        <v>21</v>
      </c>
      <c r="Y70" s="18" t="s">
        <v>20</v>
      </c>
      <c r="Z70" s="18" t="s">
        <v>20</v>
      </c>
      <c r="AA70" s="20" t="s">
        <v>20</v>
      </c>
      <c r="AB70" s="20" t="s">
        <v>20</v>
      </c>
      <c r="AC70" s="20" t="s">
        <v>20</v>
      </c>
      <c r="AD70" s="18" t="s">
        <v>21</v>
      </c>
      <c r="AE70" s="18" t="s">
        <v>21</v>
      </c>
      <c r="AG70">
        <f>+COUNTIF(F70:AE70,"AD")</f>
        <v>0</v>
      </c>
      <c r="AH70">
        <f>+COUNTIF(F70:AE70,"A")</f>
        <v>15</v>
      </c>
      <c r="AI70">
        <f>+COUNTIF(F70:AE70,"b")</f>
        <v>9</v>
      </c>
      <c r="AJ70">
        <f>+COUNTIF(F70:AE70,"c")</f>
        <v>2</v>
      </c>
      <c r="AL70">
        <f>+$AG$5*AG70</f>
        <v>0</v>
      </c>
      <c r="AM70">
        <f>+$AH$5*AH70</f>
        <v>45</v>
      </c>
      <c r="AN70">
        <f>+$AI$5*AI70</f>
        <v>18</v>
      </c>
      <c r="AO70">
        <f>+$AJ$5*AJ70</f>
        <v>2</v>
      </c>
      <c r="AP70" s="73">
        <f>+SUM(AL70:AO70)</f>
        <v>65</v>
      </c>
    </row>
    <row r="71" spans="1:42" ht="15.75" customHeight="1" x14ac:dyDescent="0.3">
      <c r="A71" s="16"/>
      <c r="B71" s="55">
        <v>4</v>
      </c>
      <c r="C71" s="56" t="s">
        <v>98</v>
      </c>
      <c r="D71" s="55">
        <v>2</v>
      </c>
      <c r="E71" s="55" t="s">
        <v>21</v>
      </c>
      <c r="F71" s="18" t="s">
        <v>20</v>
      </c>
      <c r="G71" s="18" t="s">
        <v>21</v>
      </c>
      <c r="H71" s="18" t="s">
        <v>20</v>
      </c>
      <c r="I71" s="18" t="s">
        <v>21</v>
      </c>
      <c r="J71" s="18" t="s">
        <v>20</v>
      </c>
      <c r="K71" s="18" t="s">
        <v>20</v>
      </c>
      <c r="L71" s="18" t="s">
        <v>20</v>
      </c>
      <c r="M71" s="18" t="s">
        <v>21</v>
      </c>
      <c r="N71" s="18" t="s">
        <v>20</v>
      </c>
      <c r="O71" s="18" t="s">
        <v>21</v>
      </c>
      <c r="P71" s="18" t="s">
        <v>21</v>
      </c>
      <c r="Q71" s="18" t="s">
        <v>21</v>
      </c>
      <c r="R71" s="18" t="s">
        <v>21</v>
      </c>
      <c r="S71" s="18" t="s">
        <v>20</v>
      </c>
      <c r="T71" s="18" t="s">
        <v>20</v>
      </c>
      <c r="U71" s="18" t="s">
        <v>21</v>
      </c>
      <c r="V71" s="37" t="s">
        <v>21</v>
      </c>
      <c r="W71" s="37" t="s">
        <v>20</v>
      </c>
      <c r="X71" s="37" t="s">
        <v>21</v>
      </c>
      <c r="Y71" s="18" t="s">
        <v>21</v>
      </c>
      <c r="Z71" s="18" t="s">
        <v>21</v>
      </c>
      <c r="AA71" s="20" t="s">
        <v>21</v>
      </c>
      <c r="AB71" s="20" t="s">
        <v>20</v>
      </c>
      <c r="AC71" s="20" t="s">
        <v>20</v>
      </c>
      <c r="AD71" s="18" t="s">
        <v>21</v>
      </c>
      <c r="AE71" s="18" t="s">
        <v>21</v>
      </c>
      <c r="AG71">
        <f>+COUNTIF(F71:AE71,"AD")</f>
        <v>0</v>
      </c>
      <c r="AH71">
        <f>+COUNTIF(F71:AE71,"A")</f>
        <v>11</v>
      </c>
      <c r="AI71">
        <f>+COUNTIF(F71:AE71,"b")</f>
        <v>15</v>
      </c>
      <c r="AJ71">
        <f>+COUNTIF(F71:AE71,"c")</f>
        <v>0</v>
      </c>
      <c r="AL71">
        <f>+$AG$5*AG71</f>
        <v>0</v>
      </c>
      <c r="AM71">
        <f>+$AH$5*AH71</f>
        <v>33</v>
      </c>
      <c r="AN71">
        <f>+$AI$5*AI71</f>
        <v>30</v>
      </c>
      <c r="AO71">
        <f>+$AJ$5*AJ71</f>
        <v>0</v>
      </c>
      <c r="AP71" s="73">
        <f>+SUM(AL71:AO71)</f>
        <v>63</v>
      </c>
    </row>
    <row r="72" spans="1:42" ht="15.75" customHeight="1" x14ac:dyDescent="0.3">
      <c r="A72" s="16"/>
      <c r="B72" s="55">
        <v>5</v>
      </c>
      <c r="C72" s="56" t="s">
        <v>88</v>
      </c>
      <c r="D72" s="55">
        <v>2</v>
      </c>
      <c r="E72" s="55" t="s">
        <v>21</v>
      </c>
      <c r="F72" s="18" t="s">
        <v>20</v>
      </c>
      <c r="G72" s="18" t="s">
        <v>21</v>
      </c>
      <c r="H72" s="18" t="s">
        <v>20</v>
      </c>
      <c r="I72" s="18" t="s">
        <v>21</v>
      </c>
      <c r="J72" s="18" t="s">
        <v>20</v>
      </c>
      <c r="K72" s="18" t="s">
        <v>20</v>
      </c>
      <c r="L72" s="18" t="s">
        <v>20</v>
      </c>
      <c r="M72" s="18" t="s">
        <v>23</v>
      </c>
      <c r="N72" s="18" t="s">
        <v>21</v>
      </c>
      <c r="O72" s="18" t="s">
        <v>20</v>
      </c>
      <c r="P72" s="18" t="s">
        <v>21</v>
      </c>
      <c r="Q72" s="18" t="s">
        <v>21</v>
      </c>
      <c r="R72" s="18" t="s">
        <v>21</v>
      </c>
      <c r="S72" s="18" t="s">
        <v>20</v>
      </c>
      <c r="T72" s="18" t="s">
        <v>20</v>
      </c>
      <c r="U72" s="18" t="s">
        <v>20</v>
      </c>
      <c r="V72" s="37" t="s">
        <v>21</v>
      </c>
      <c r="W72" s="37" t="s">
        <v>21</v>
      </c>
      <c r="X72" s="37" t="s">
        <v>21</v>
      </c>
      <c r="Y72" s="18" t="s">
        <v>21</v>
      </c>
      <c r="Z72" s="18" t="s">
        <v>21</v>
      </c>
      <c r="AA72" s="20" t="s">
        <v>20</v>
      </c>
      <c r="AB72" s="20" t="s">
        <v>20</v>
      </c>
      <c r="AC72" s="20" t="s">
        <v>20</v>
      </c>
      <c r="AD72" s="18" t="s">
        <v>23</v>
      </c>
      <c r="AE72" s="18" t="s">
        <v>21</v>
      </c>
      <c r="AG72">
        <f>+COUNTIF(F72:AE72,"AD")</f>
        <v>0</v>
      </c>
      <c r="AH72">
        <f>+COUNTIF(F72:AE72,"A")</f>
        <v>12</v>
      </c>
      <c r="AI72">
        <f>+COUNTIF(F72:AE72,"b")</f>
        <v>12</v>
      </c>
      <c r="AJ72">
        <f>+COUNTIF(F72:AE72,"c")</f>
        <v>2</v>
      </c>
      <c r="AL72">
        <f>+$AG$5*AG72</f>
        <v>0</v>
      </c>
      <c r="AM72">
        <f>+$AH$5*AH72</f>
        <v>36</v>
      </c>
      <c r="AN72">
        <f>+$AI$5*AI72</f>
        <v>24</v>
      </c>
      <c r="AO72">
        <f>+$AJ$5*AJ72</f>
        <v>2</v>
      </c>
      <c r="AP72" s="73">
        <f>+SUM(AL72:AO72)</f>
        <v>62</v>
      </c>
    </row>
    <row r="73" spans="1:42" ht="15.75" customHeight="1" x14ac:dyDescent="0.3">
      <c r="A73" s="16"/>
      <c r="B73" s="55">
        <v>6</v>
      </c>
      <c r="C73" s="56" t="s">
        <v>97</v>
      </c>
      <c r="D73" s="55">
        <v>2</v>
      </c>
      <c r="E73" s="55" t="s">
        <v>21</v>
      </c>
      <c r="F73" s="18" t="s">
        <v>20</v>
      </c>
      <c r="G73" s="18" t="s">
        <v>21</v>
      </c>
      <c r="H73" s="18" t="s">
        <v>21</v>
      </c>
      <c r="I73" s="18" t="s">
        <v>21</v>
      </c>
      <c r="J73" s="18" t="s">
        <v>21</v>
      </c>
      <c r="K73" s="18" t="s">
        <v>21</v>
      </c>
      <c r="L73" s="18" t="s">
        <v>21</v>
      </c>
      <c r="M73" s="18" t="s">
        <v>20</v>
      </c>
      <c r="N73" s="18" t="s">
        <v>20</v>
      </c>
      <c r="O73" s="18" t="s">
        <v>20</v>
      </c>
      <c r="P73" s="18" t="s">
        <v>21</v>
      </c>
      <c r="Q73" s="18" t="s">
        <v>21</v>
      </c>
      <c r="R73" s="18" t="s">
        <v>21</v>
      </c>
      <c r="S73" s="18" t="s">
        <v>20</v>
      </c>
      <c r="T73" s="18" t="s">
        <v>20</v>
      </c>
      <c r="U73" s="18" t="s">
        <v>21</v>
      </c>
      <c r="V73" s="37" t="s">
        <v>21</v>
      </c>
      <c r="W73" s="37" t="s">
        <v>20</v>
      </c>
      <c r="X73" s="37" t="s">
        <v>20</v>
      </c>
      <c r="Y73" s="18" t="s">
        <v>20</v>
      </c>
      <c r="Z73" s="18" t="s">
        <v>20</v>
      </c>
      <c r="AA73" s="20" t="s">
        <v>23</v>
      </c>
      <c r="AB73" s="20" t="s">
        <v>21</v>
      </c>
      <c r="AC73" s="20" t="s">
        <v>21</v>
      </c>
      <c r="AD73" s="18" t="s">
        <v>20</v>
      </c>
      <c r="AE73" s="18" t="s">
        <v>21</v>
      </c>
      <c r="AG73">
        <f>+COUNTIF(F73:AE73,"AD")</f>
        <v>0</v>
      </c>
      <c r="AH73">
        <f>+COUNTIF(F73:AE73,"A")</f>
        <v>11</v>
      </c>
      <c r="AI73">
        <f>+COUNTIF(F73:AE73,"b")</f>
        <v>14</v>
      </c>
      <c r="AJ73">
        <f>+COUNTIF(F73:AE73,"c")</f>
        <v>1</v>
      </c>
      <c r="AL73">
        <f>+$AG$5*AG73</f>
        <v>0</v>
      </c>
      <c r="AM73">
        <f>+$AH$5*AH73</f>
        <v>33</v>
      </c>
      <c r="AN73">
        <f>+$AI$5*AI73</f>
        <v>28</v>
      </c>
      <c r="AO73">
        <f>+$AJ$5*AJ73</f>
        <v>1</v>
      </c>
      <c r="AP73" s="73">
        <f>+SUM(AL73:AO73)</f>
        <v>62</v>
      </c>
    </row>
    <row r="74" spans="1:42" ht="15.75" customHeight="1" x14ac:dyDescent="0.3">
      <c r="A74" s="16"/>
      <c r="B74" s="55">
        <v>7</v>
      </c>
      <c r="C74" s="56" t="s">
        <v>89</v>
      </c>
      <c r="D74" s="55">
        <v>2</v>
      </c>
      <c r="E74" s="55" t="s">
        <v>21</v>
      </c>
      <c r="F74" s="18" t="s">
        <v>20</v>
      </c>
      <c r="G74" s="18" t="s">
        <v>21</v>
      </c>
      <c r="H74" s="18" t="s">
        <v>21</v>
      </c>
      <c r="I74" s="18" t="s">
        <v>21</v>
      </c>
      <c r="J74" s="18" t="s">
        <v>21</v>
      </c>
      <c r="K74" s="18" t="s">
        <v>21</v>
      </c>
      <c r="L74" s="18" t="s">
        <v>21</v>
      </c>
      <c r="M74" s="18" t="s">
        <v>21</v>
      </c>
      <c r="N74" s="18" t="s">
        <v>20</v>
      </c>
      <c r="O74" s="18" t="s">
        <v>21</v>
      </c>
      <c r="P74" s="18" t="s">
        <v>20</v>
      </c>
      <c r="Q74" s="18" t="s">
        <v>20</v>
      </c>
      <c r="R74" s="18" t="s">
        <v>20</v>
      </c>
      <c r="S74" s="18" t="s">
        <v>20</v>
      </c>
      <c r="T74" s="18" t="s">
        <v>20</v>
      </c>
      <c r="U74" s="18" t="s">
        <v>21</v>
      </c>
      <c r="V74" s="37" t="s">
        <v>20</v>
      </c>
      <c r="W74" s="37" t="s">
        <v>21</v>
      </c>
      <c r="X74" s="37" t="s">
        <v>21</v>
      </c>
      <c r="Y74" s="18" t="s">
        <v>21</v>
      </c>
      <c r="Z74" s="18" t="s">
        <v>21</v>
      </c>
      <c r="AA74" s="20" t="s">
        <v>21</v>
      </c>
      <c r="AB74" s="20" t="s">
        <v>21</v>
      </c>
      <c r="AC74" s="20" t="s">
        <v>21</v>
      </c>
      <c r="AD74" s="18" t="s">
        <v>21</v>
      </c>
      <c r="AE74" s="18" t="s">
        <v>21</v>
      </c>
      <c r="AG74">
        <f>+COUNTIF(F74:AE74,"AD")</f>
        <v>0</v>
      </c>
      <c r="AH74">
        <f>+COUNTIF(F74:AE74,"A")</f>
        <v>8</v>
      </c>
      <c r="AI74">
        <f>+COUNTIF(F74:AE74,"b")</f>
        <v>18</v>
      </c>
      <c r="AJ74">
        <f>+COUNTIF(F74:AE74,"c")</f>
        <v>0</v>
      </c>
      <c r="AL74">
        <f>+$AG$5*AG74</f>
        <v>0</v>
      </c>
      <c r="AM74">
        <f>+$AH$5*AH74</f>
        <v>24</v>
      </c>
      <c r="AN74">
        <f>+$AI$5*AI74</f>
        <v>36</v>
      </c>
      <c r="AO74">
        <f>+$AJ$5*AJ74</f>
        <v>0</v>
      </c>
      <c r="AP74" s="73">
        <f>+SUM(AL74:AO74)</f>
        <v>60</v>
      </c>
    </row>
    <row r="75" spans="1:42" ht="15.75" customHeight="1" x14ac:dyDescent="0.3">
      <c r="A75" s="16"/>
      <c r="B75" s="55">
        <v>8</v>
      </c>
      <c r="C75" s="56" t="s">
        <v>90</v>
      </c>
      <c r="D75" s="55">
        <v>2</v>
      </c>
      <c r="E75" s="55" t="s">
        <v>21</v>
      </c>
      <c r="F75" s="18" t="s">
        <v>20</v>
      </c>
      <c r="G75" s="18" t="s">
        <v>20</v>
      </c>
      <c r="H75" s="18" t="s">
        <v>20</v>
      </c>
      <c r="I75" s="18" t="s">
        <v>20</v>
      </c>
      <c r="J75" s="18" t="s">
        <v>21</v>
      </c>
      <c r="K75" s="18" t="s">
        <v>20</v>
      </c>
      <c r="L75" s="18" t="s">
        <v>20</v>
      </c>
      <c r="M75" s="18" t="s">
        <v>21</v>
      </c>
      <c r="N75" s="18" t="s">
        <v>20</v>
      </c>
      <c r="O75" s="18" t="s">
        <v>20</v>
      </c>
      <c r="P75" s="18" t="s">
        <v>21</v>
      </c>
      <c r="Q75" s="18" t="s">
        <v>21</v>
      </c>
      <c r="R75" s="18" t="s">
        <v>21</v>
      </c>
      <c r="S75" s="18" t="s">
        <v>21</v>
      </c>
      <c r="T75" s="18" t="s">
        <v>20</v>
      </c>
      <c r="U75" s="18" t="s">
        <v>21</v>
      </c>
      <c r="V75" s="37" t="s">
        <v>21</v>
      </c>
      <c r="W75" s="37" t="s">
        <v>21</v>
      </c>
      <c r="X75" s="37" t="s">
        <v>21</v>
      </c>
      <c r="Y75" s="18" t="s">
        <v>21</v>
      </c>
      <c r="Z75" s="18" t="s">
        <v>20</v>
      </c>
      <c r="AA75" s="20" t="s">
        <v>21</v>
      </c>
      <c r="AB75" s="20" t="s">
        <v>23</v>
      </c>
      <c r="AC75" s="20" t="s">
        <v>21</v>
      </c>
      <c r="AD75" s="18" t="s">
        <v>23</v>
      </c>
      <c r="AE75" s="18" t="s">
        <v>21</v>
      </c>
      <c r="AG75">
        <f>+COUNTIF(F75:AE75,"AD")</f>
        <v>0</v>
      </c>
      <c r="AH75">
        <f>+COUNTIF(F75:AE75,"A")</f>
        <v>10</v>
      </c>
      <c r="AI75">
        <f>+COUNTIF(F75:AE75,"b")</f>
        <v>14</v>
      </c>
      <c r="AJ75">
        <f>+COUNTIF(F75:AE75,"c")</f>
        <v>2</v>
      </c>
      <c r="AL75">
        <f>+$AG$5*AG75</f>
        <v>0</v>
      </c>
      <c r="AM75">
        <f>+$AH$5*AH75</f>
        <v>30</v>
      </c>
      <c r="AN75">
        <f>+$AI$5*AI75</f>
        <v>28</v>
      </c>
      <c r="AO75">
        <f>+$AJ$5*AJ75</f>
        <v>2</v>
      </c>
      <c r="AP75" s="73">
        <f>+SUM(AL75:AO75)</f>
        <v>60</v>
      </c>
    </row>
    <row r="76" spans="1:42" ht="15.75" customHeight="1" x14ac:dyDescent="0.3">
      <c r="A76" s="16"/>
      <c r="B76" s="55">
        <v>9</v>
      </c>
      <c r="C76" s="56" t="s">
        <v>94</v>
      </c>
      <c r="D76" s="55">
        <v>2</v>
      </c>
      <c r="E76" s="55" t="s">
        <v>21</v>
      </c>
      <c r="F76" s="18" t="s">
        <v>20</v>
      </c>
      <c r="G76" s="18" t="s">
        <v>21</v>
      </c>
      <c r="H76" s="18" t="s">
        <v>21</v>
      </c>
      <c r="I76" s="18" t="s">
        <v>21</v>
      </c>
      <c r="J76" s="18" t="s">
        <v>21</v>
      </c>
      <c r="K76" s="18" t="s">
        <v>21</v>
      </c>
      <c r="L76" s="18" t="s">
        <v>21</v>
      </c>
      <c r="M76" s="18" t="s">
        <v>21</v>
      </c>
      <c r="N76" s="18" t="s">
        <v>21</v>
      </c>
      <c r="O76" s="18" t="s">
        <v>20</v>
      </c>
      <c r="P76" s="18" t="s">
        <v>21</v>
      </c>
      <c r="Q76" s="18" t="s">
        <v>21</v>
      </c>
      <c r="R76" s="18" t="s">
        <v>21</v>
      </c>
      <c r="S76" s="18" t="s">
        <v>21</v>
      </c>
      <c r="T76" s="18" t="s">
        <v>20</v>
      </c>
      <c r="U76" s="18" t="s">
        <v>20</v>
      </c>
      <c r="V76" s="37" t="s">
        <v>20</v>
      </c>
      <c r="W76" s="37" t="s">
        <v>20</v>
      </c>
      <c r="X76" s="37" t="s">
        <v>20</v>
      </c>
      <c r="Y76" s="18" t="s">
        <v>20</v>
      </c>
      <c r="Z76" s="18" t="s">
        <v>21</v>
      </c>
      <c r="AA76" s="20" t="s">
        <v>21</v>
      </c>
      <c r="AB76" s="20" t="s">
        <v>21</v>
      </c>
      <c r="AC76" s="20" t="s">
        <v>21</v>
      </c>
      <c r="AD76" s="18" t="s">
        <v>21</v>
      </c>
      <c r="AE76" s="18" t="s">
        <v>21</v>
      </c>
      <c r="AG76">
        <f>+COUNTIF(F76:AE76,"AD")</f>
        <v>0</v>
      </c>
      <c r="AH76">
        <f>+COUNTIF(F76:AE76,"A")</f>
        <v>8</v>
      </c>
      <c r="AI76">
        <f>+COUNTIF(F76:AE76,"b")</f>
        <v>18</v>
      </c>
      <c r="AJ76">
        <f>+COUNTIF(F76:AE76,"c")</f>
        <v>0</v>
      </c>
      <c r="AL76">
        <f>+$AG$5*AG76</f>
        <v>0</v>
      </c>
      <c r="AM76">
        <f>+$AH$5*AH76</f>
        <v>24</v>
      </c>
      <c r="AN76">
        <f>+$AI$5*AI76</f>
        <v>36</v>
      </c>
      <c r="AO76">
        <f>+$AJ$5*AJ76</f>
        <v>0</v>
      </c>
      <c r="AP76" s="73">
        <f>+SUM(AL76:AO76)</f>
        <v>60</v>
      </c>
    </row>
    <row r="77" spans="1:42" ht="15.75" customHeight="1" x14ac:dyDescent="0.3">
      <c r="A77" s="16"/>
      <c r="B77" s="55">
        <v>10</v>
      </c>
      <c r="C77" s="56" t="s">
        <v>91</v>
      </c>
      <c r="D77" s="55">
        <v>2</v>
      </c>
      <c r="E77" s="55" t="s">
        <v>21</v>
      </c>
      <c r="F77" s="18" t="s">
        <v>21</v>
      </c>
      <c r="G77" s="18" t="s">
        <v>21</v>
      </c>
      <c r="H77" s="18" t="s">
        <v>21</v>
      </c>
      <c r="I77" s="18" t="s">
        <v>21</v>
      </c>
      <c r="J77" s="18" t="s">
        <v>21</v>
      </c>
      <c r="K77" s="18" t="s">
        <v>21</v>
      </c>
      <c r="L77" s="18" t="s">
        <v>21</v>
      </c>
      <c r="M77" s="18" t="s">
        <v>20</v>
      </c>
      <c r="N77" s="18" t="s">
        <v>20</v>
      </c>
      <c r="O77" s="18" t="s">
        <v>21</v>
      </c>
      <c r="P77" s="18" t="s">
        <v>23</v>
      </c>
      <c r="Q77" s="18" t="s">
        <v>21</v>
      </c>
      <c r="R77" s="18" t="s">
        <v>21</v>
      </c>
      <c r="S77" s="18" t="s">
        <v>21</v>
      </c>
      <c r="T77" s="18" t="s">
        <v>20</v>
      </c>
      <c r="U77" s="18" t="s">
        <v>20</v>
      </c>
      <c r="V77" s="37" t="s">
        <v>20</v>
      </c>
      <c r="W77" s="37" t="s">
        <v>20</v>
      </c>
      <c r="X77" s="37" t="s">
        <v>20</v>
      </c>
      <c r="Y77" s="18" t="s">
        <v>21</v>
      </c>
      <c r="Z77" s="18" t="s">
        <v>20</v>
      </c>
      <c r="AA77" s="20" t="s">
        <v>21</v>
      </c>
      <c r="AB77" s="20" t="s">
        <v>21</v>
      </c>
      <c r="AC77" s="20" t="s">
        <v>21</v>
      </c>
      <c r="AD77" s="18" t="s">
        <v>21</v>
      </c>
      <c r="AE77" s="18" t="s">
        <v>21</v>
      </c>
      <c r="AG77">
        <f>+COUNTIF(F77:AE77,"AD")</f>
        <v>0</v>
      </c>
      <c r="AH77">
        <f>+COUNTIF(F77:AE77,"A")</f>
        <v>8</v>
      </c>
      <c r="AI77">
        <f>+COUNTIF(F77:AE77,"b")</f>
        <v>17</v>
      </c>
      <c r="AJ77">
        <f>+COUNTIF(F77:AE77,"c")</f>
        <v>1</v>
      </c>
      <c r="AL77">
        <f>+$AG$5*AG77</f>
        <v>0</v>
      </c>
      <c r="AM77">
        <f>+$AH$5*AH77</f>
        <v>24</v>
      </c>
      <c r="AN77">
        <f>+$AI$5*AI77</f>
        <v>34</v>
      </c>
      <c r="AO77">
        <f>+$AJ$5*AJ77</f>
        <v>1</v>
      </c>
      <c r="AP77" s="73">
        <f>+SUM(AL77:AO77)</f>
        <v>59</v>
      </c>
    </row>
    <row r="78" spans="1:42" ht="15.75" customHeight="1" x14ac:dyDescent="0.3">
      <c r="A78" s="16"/>
      <c r="B78" s="55">
        <v>11</v>
      </c>
      <c r="C78" s="56" t="s">
        <v>86</v>
      </c>
      <c r="D78" s="55">
        <v>2</v>
      </c>
      <c r="E78" s="55" t="s">
        <v>21</v>
      </c>
      <c r="F78" s="18" t="s">
        <v>21</v>
      </c>
      <c r="G78" s="18" t="s">
        <v>21</v>
      </c>
      <c r="H78" s="18" t="s">
        <v>21</v>
      </c>
      <c r="I78" s="18" t="s">
        <v>21</v>
      </c>
      <c r="J78" s="18" t="s">
        <v>21</v>
      </c>
      <c r="K78" s="18" t="s">
        <v>20</v>
      </c>
      <c r="L78" s="18" t="s">
        <v>20</v>
      </c>
      <c r="M78" s="18" t="s">
        <v>21</v>
      </c>
      <c r="N78" s="18" t="s">
        <v>21</v>
      </c>
      <c r="O78" s="18" t="s">
        <v>21</v>
      </c>
      <c r="P78" s="18" t="s">
        <v>21</v>
      </c>
      <c r="Q78" s="18" t="s">
        <v>21</v>
      </c>
      <c r="R78" s="18" t="s">
        <v>21</v>
      </c>
      <c r="S78" s="18" t="s">
        <v>21</v>
      </c>
      <c r="T78" s="18" t="s">
        <v>21</v>
      </c>
      <c r="U78" s="18" t="s">
        <v>21</v>
      </c>
      <c r="V78" s="37" t="s">
        <v>21</v>
      </c>
      <c r="W78" s="37" t="s">
        <v>20</v>
      </c>
      <c r="X78" s="37" t="s">
        <v>20</v>
      </c>
      <c r="Y78" s="18" t="s">
        <v>20</v>
      </c>
      <c r="Z78" s="18" t="s">
        <v>20</v>
      </c>
      <c r="AA78" s="20" t="s">
        <v>21</v>
      </c>
      <c r="AB78" s="20" t="s">
        <v>21</v>
      </c>
      <c r="AC78" s="20" t="s">
        <v>21</v>
      </c>
      <c r="AD78" s="18" t="s">
        <v>21</v>
      </c>
      <c r="AE78" s="18" t="s">
        <v>21</v>
      </c>
      <c r="AG78">
        <f>+COUNTIF(F78:AE78,"AD")</f>
        <v>0</v>
      </c>
      <c r="AH78">
        <f>+COUNTIF(F78:AE78,"A")</f>
        <v>6</v>
      </c>
      <c r="AI78">
        <f>+COUNTIF(F78:AE78,"b")</f>
        <v>20</v>
      </c>
      <c r="AJ78">
        <f>+COUNTIF(F78:AE78,"c")</f>
        <v>0</v>
      </c>
      <c r="AL78">
        <f>+$AG$5*AG78</f>
        <v>0</v>
      </c>
      <c r="AM78">
        <f>+$AH$5*AH78</f>
        <v>18</v>
      </c>
      <c r="AN78">
        <f>+$AI$5*AI78</f>
        <v>40</v>
      </c>
      <c r="AO78">
        <f>+$AJ$5*AJ78</f>
        <v>0</v>
      </c>
      <c r="AP78" s="73">
        <f>+SUM(AL78:AO78)</f>
        <v>58</v>
      </c>
    </row>
    <row r="79" spans="1:42" ht="15.75" customHeight="1" x14ac:dyDescent="0.3">
      <c r="A79" s="16"/>
      <c r="B79" s="55">
        <v>12</v>
      </c>
      <c r="C79" s="56" t="s">
        <v>103</v>
      </c>
      <c r="D79" s="55">
        <v>2</v>
      </c>
      <c r="E79" s="55" t="s">
        <v>21</v>
      </c>
      <c r="F79" s="18" t="s">
        <v>20</v>
      </c>
      <c r="G79" s="18" t="s">
        <v>21</v>
      </c>
      <c r="H79" s="18" t="s">
        <v>21</v>
      </c>
      <c r="I79" s="18" t="s">
        <v>20</v>
      </c>
      <c r="J79" s="18" t="s">
        <v>21</v>
      </c>
      <c r="K79" s="18" t="s">
        <v>20</v>
      </c>
      <c r="L79" s="18" t="s">
        <v>20</v>
      </c>
      <c r="M79" s="18" t="s">
        <v>23</v>
      </c>
      <c r="N79" s="18" t="s">
        <v>20</v>
      </c>
      <c r="O79" s="18" t="s">
        <v>20</v>
      </c>
      <c r="P79" s="18" t="s">
        <v>21</v>
      </c>
      <c r="Q79" s="18" t="s">
        <v>21</v>
      </c>
      <c r="R79" s="18" t="s">
        <v>21</v>
      </c>
      <c r="S79" s="18" t="s">
        <v>20</v>
      </c>
      <c r="T79" s="18" t="s">
        <v>21</v>
      </c>
      <c r="U79" s="18" t="s">
        <v>21</v>
      </c>
      <c r="V79" s="37" t="s">
        <v>21</v>
      </c>
      <c r="W79" s="37" t="s">
        <v>21</v>
      </c>
      <c r="X79" s="37" t="s">
        <v>21</v>
      </c>
      <c r="Y79" s="18" t="s">
        <v>23</v>
      </c>
      <c r="Z79" s="18" t="s">
        <v>21</v>
      </c>
      <c r="AA79" s="20" t="s">
        <v>21</v>
      </c>
      <c r="AB79" s="20" t="s">
        <v>20</v>
      </c>
      <c r="AC79" s="20" t="s">
        <v>20</v>
      </c>
      <c r="AD79" s="18" t="s">
        <v>23</v>
      </c>
      <c r="AE79" s="18" t="s">
        <v>21</v>
      </c>
      <c r="AG79">
        <f>+COUNTIF(F79:AE79,"AD")</f>
        <v>0</v>
      </c>
      <c r="AH79">
        <f>+COUNTIF(F79:AE79,"A")</f>
        <v>9</v>
      </c>
      <c r="AI79">
        <f>+COUNTIF(F79:AE79,"b")</f>
        <v>14</v>
      </c>
      <c r="AJ79">
        <f>+COUNTIF(F79:AE79,"c")</f>
        <v>3</v>
      </c>
      <c r="AL79">
        <f>+$AG$5*AG79</f>
        <v>0</v>
      </c>
      <c r="AM79">
        <f>+$AH$5*AH79</f>
        <v>27</v>
      </c>
      <c r="AN79">
        <f>+$AI$5*AI79</f>
        <v>28</v>
      </c>
      <c r="AO79">
        <f>+$AJ$5*AJ79</f>
        <v>3</v>
      </c>
      <c r="AP79" s="73">
        <f>+SUM(AL79:AO79)</f>
        <v>58</v>
      </c>
    </row>
    <row r="80" spans="1:42" ht="15.75" customHeight="1" x14ac:dyDescent="0.3">
      <c r="A80" s="16"/>
      <c r="B80" s="55">
        <v>13</v>
      </c>
      <c r="C80" s="56" t="s">
        <v>95</v>
      </c>
      <c r="D80" s="55">
        <v>2</v>
      </c>
      <c r="E80" s="55" t="s">
        <v>21</v>
      </c>
      <c r="F80" s="18" t="s">
        <v>21</v>
      </c>
      <c r="G80" s="18" t="s">
        <v>21</v>
      </c>
      <c r="H80" s="18" t="s">
        <v>21</v>
      </c>
      <c r="I80" s="18" t="s">
        <v>21</v>
      </c>
      <c r="J80" s="18" t="s">
        <v>21</v>
      </c>
      <c r="K80" s="18" t="s">
        <v>20</v>
      </c>
      <c r="L80" s="18" t="s">
        <v>20</v>
      </c>
      <c r="M80" s="18" t="s">
        <v>20</v>
      </c>
      <c r="N80" s="18" t="s">
        <v>21</v>
      </c>
      <c r="O80" s="18" t="s">
        <v>21</v>
      </c>
      <c r="P80" s="18" t="s">
        <v>21</v>
      </c>
      <c r="Q80" s="18" t="s">
        <v>21</v>
      </c>
      <c r="R80" s="18" t="s">
        <v>21</v>
      </c>
      <c r="S80" s="18" t="s">
        <v>21</v>
      </c>
      <c r="T80" s="18" t="s">
        <v>23</v>
      </c>
      <c r="U80" s="18" t="s">
        <v>21</v>
      </c>
      <c r="V80" s="37" t="s">
        <v>21</v>
      </c>
      <c r="W80" s="37" t="s">
        <v>20</v>
      </c>
      <c r="X80" s="37" t="s">
        <v>20</v>
      </c>
      <c r="Y80" s="18" t="s">
        <v>21</v>
      </c>
      <c r="Z80" s="18" t="s">
        <v>20</v>
      </c>
      <c r="AA80" s="20" t="s">
        <v>20</v>
      </c>
      <c r="AB80" s="20" t="s">
        <v>21</v>
      </c>
      <c r="AC80" s="20" t="s">
        <v>21</v>
      </c>
      <c r="AD80" s="18" t="s">
        <v>23</v>
      </c>
      <c r="AE80" s="18" t="s">
        <v>21</v>
      </c>
      <c r="AG80">
        <f>+COUNTIF(F80:AE80,"AD")</f>
        <v>0</v>
      </c>
      <c r="AH80">
        <f>+COUNTIF(F80:AE80,"A")</f>
        <v>7</v>
      </c>
      <c r="AI80">
        <f>+COUNTIF(F80:AE80,"b")</f>
        <v>17</v>
      </c>
      <c r="AJ80">
        <f>+COUNTIF(F80:AE80,"c")</f>
        <v>2</v>
      </c>
      <c r="AL80">
        <f>+$AG$5*AG80</f>
        <v>0</v>
      </c>
      <c r="AM80">
        <f>+$AH$5*AH80</f>
        <v>21</v>
      </c>
      <c r="AN80">
        <f>+$AI$5*AI80</f>
        <v>34</v>
      </c>
      <c r="AO80">
        <f>+$AJ$5*AJ80</f>
        <v>2</v>
      </c>
      <c r="AP80" s="73">
        <f>+SUM(AL80:AO80)</f>
        <v>57</v>
      </c>
    </row>
    <row r="81" spans="1:42" ht="15.75" customHeight="1" x14ac:dyDescent="0.3">
      <c r="A81" s="16"/>
      <c r="B81" s="55">
        <v>14</v>
      </c>
      <c r="C81" s="56" t="s">
        <v>96</v>
      </c>
      <c r="D81" s="55">
        <v>2</v>
      </c>
      <c r="E81" s="55" t="s">
        <v>21</v>
      </c>
      <c r="F81" s="18" t="s">
        <v>21</v>
      </c>
      <c r="G81" s="18" t="s">
        <v>23</v>
      </c>
      <c r="H81" s="18" t="s">
        <v>21</v>
      </c>
      <c r="I81" s="18" t="s">
        <v>21</v>
      </c>
      <c r="J81" s="18" t="s">
        <v>21</v>
      </c>
      <c r="K81" s="18" t="s">
        <v>21</v>
      </c>
      <c r="L81" s="18" t="s">
        <v>21</v>
      </c>
      <c r="M81" s="18" t="s">
        <v>20</v>
      </c>
      <c r="N81" s="18" t="s">
        <v>20</v>
      </c>
      <c r="O81" s="18" t="s">
        <v>20</v>
      </c>
      <c r="P81" s="18" t="s">
        <v>21</v>
      </c>
      <c r="Q81" s="18" t="s">
        <v>21</v>
      </c>
      <c r="R81" s="18" t="s">
        <v>21</v>
      </c>
      <c r="S81" s="18" t="s">
        <v>21</v>
      </c>
      <c r="T81" s="18" t="s">
        <v>20</v>
      </c>
      <c r="U81" s="18" t="s">
        <v>21</v>
      </c>
      <c r="V81" s="37" t="s">
        <v>21</v>
      </c>
      <c r="W81" s="37" t="s">
        <v>20</v>
      </c>
      <c r="X81" s="37" t="s">
        <v>20</v>
      </c>
      <c r="Y81" s="18" t="s">
        <v>20</v>
      </c>
      <c r="Z81" s="18" t="s">
        <v>20</v>
      </c>
      <c r="AA81" s="20" t="s">
        <v>23</v>
      </c>
      <c r="AB81" s="20" t="s">
        <v>21</v>
      </c>
      <c r="AC81" s="20" t="s">
        <v>21</v>
      </c>
      <c r="AD81" s="18" t="s">
        <v>23</v>
      </c>
      <c r="AE81" s="18" t="s">
        <v>21</v>
      </c>
      <c r="AG81">
        <f>+COUNTIF(F81:AE81,"AD")</f>
        <v>0</v>
      </c>
      <c r="AH81">
        <f>+COUNTIF(F81:AE81,"A")</f>
        <v>8</v>
      </c>
      <c r="AI81">
        <f>+COUNTIF(F81:AE81,"b")</f>
        <v>15</v>
      </c>
      <c r="AJ81">
        <f>+COUNTIF(F81:AE81,"c")</f>
        <v>3</v>
      </c>
      <c r="AL81">
        <f>+$AG$5*AG81</f>
        <v>0</v>
      </c>
      <c r="AM81">
        <f>+$AH$5*AH81</f>
        <v>24</v>
      </c>
      <c r="AN81">
        <f>+$AI$5*AI81</f>
        <v>30</v>
      </c>
      <c r="AO81">
        <f>+$AJ$5*AJ81</f>
        <v>3</v>
      </c>
      <c r="AP81" s="73">
        <f>+SUM(AL81:AO81)</f>
        <v>57</v>
      </c>
    </row>
    <row r="82" spans="1:42" ht="15.75" customHeight="1" x14ac:dyDescent="0.3">
      <c r="A82" s="16"/>
      <c r="B82" s="55">
        <v>15</v>
      </c>
      <c r="C82" s="56" t="s">
        <v>102</v>
      </c>
      <c r="D82" s="55">
        <v>2</v>
      </c>
      <c r="E82" s="55" t="s">
        <v>21</v>
      </c>
      <c r="F82" s="18" t="s">
        <v>20</v>
      </c>
      <c r="G82" s="18" t="s">
        <v>21</v>
      </c>
      <c r="H82" s="18" t="s">
        <v>21</v>
      </c>
      <c r="I82" s="18" t="s">
        <v>21</v>
      </c>
      <c r="J82" s="18" t="s">
        <v>21</v>
      </c>
      <c r="K82" s="18" t="s">
        <v>21</v>
      </c>
      <c r="L82" s="18" t="s">
        <v>21</v>
      </c>
      <c r="M82" s="18" t="s">
        <v>21</v>
      </c>
      <c r="N82" s="18" t="s">
        <v>20</v>
      </c>
      <c r="O82" s="18" t="s">
        <v>21</v>
      </c>
      <c r="P82" s="18" t="s">
        <v>23</v>
      </c>
      <c r="Q82" s="18" t="s">
        <v>23</v>
      </c>
      <c r="R82" s="18" t="s">
        <v>21</v>
      </c>
      <c r="S82" s="18" t="s">
        <v>21</v>
      </c>
      <c r="T82" s="18" t="s">
        <v>20</v>
      </c>
      <c r="U82" s="18" t="s">
        <v>21</v>
      </c>
      <c r="V82" s="37" t="s">
        <v>20</v>
      </c>
      <c r="W82" s="37" t="s">
        <v>20</v>
      </c>
      <c r="X82" s="37" t="s">
        <v>20</v>
      </c>
      <c r="Y82" s="18" t="s">
        <v>21</v>
      </c>
      <c r="Z82" s="18" t="s">
        <v>20</v>
      </c>
      <c r="AA82" s="20" t="s">
        <v>21</v>
      </c>
      <c r="AB82" s="20" t="s">
        <v>21</v>
      </c>
      <c r="AC82" s="20" t="s">
        <v>21</v>
      </c>
      <c r="AD82" s="18" t="s">
        <v>23</v>
      </c>
      <c r="AE82" s="18" t="s">
        <v>21</v>
      </c>
      <c r="AG82">
        <f>+COUNTIF(F82:AE82,"AD")</f>
        <v>0</v>
      </c>
      <c r="AH82">
        <f>+COUNTIF(F82:AE82,"A")</f>
        <v>7</v>
      </c>
      <c r="AI82">
        <f>+COUNTIF(F82:AE82,"b")</f>
        <v>16</v>
      </c>
      <c r="AJ82">
        <f>+COUNTIF(F82:AE82,"c")</f>
        <v>3</v>
      </c>
      <c r="AL82">
        <f>+$AG$5*AG82</f>
        <v>0</v>
      </c>
      <c r="AM82">
        <f>+$AH$5*AH82</f>
        <v>21</v>
      </c>
      <c r="AN82">
        <f>+$AI$5*AI82</f>
        <v>32</v>
      </c>
      <c r="AO82">
        <f>+$AJ$5*AJ82</f>
        <v>3</v>
      </c>
      <c r="AP82" s="73">
        <f>+SUM(AL82:AO82)</f>
        <v>56</v>
      </c>
    </row>
    <row r="83" spans="1:42" ht="15.75" customHeight="1" x14ac:dyDescent="0.3">
      <c r="A83" s="16"/>
      <c r="B83" s="55">
        <v>16</v>
      </c>
      <c r="C83" s="56" t="s">
        <v>100</v>
      </c>
      <c r="D83" s="55">
        <v>2</v>
      </c>
      <c r="E83" s="55" t="s">
        <v>21</v>
      </c>
      <c r="F83" s="18" t="s">
        <v>21</v>
      </c>
      <c r="G83" s="18" t="s">
        <v>21</v>
      </c>
      <c r="H83" s="18" t="s">
        <v>21</v>
      </c>
      <c r="I83" s="18" t="s">
        <v>21</v>
      </c>
      <c r="J83" s="18" t="s">
        <v>21</v>
      </c>
      <c r="K83" s="18" t="s">
        <v>21</v>
      </c>
      <c r="L83" s="18" t="s">
        <v>21</v>
      </c>
      <c r="M83" s="18" t="s">
        <v>21</v>
      </c>
      <c r="N83" s="18" t="s">
        <v>23</v>
      </c>
      <c r="O83" s="18" t="s">
        <v>21</v>
      </c>
      <c r="P83" s="18" t="s">
        <v>21</v>
      </c>
      <c r="Q83" s="18" t="s">
        <v>21</v>
      </c>
      <c r="R83" s="18" t="s">
        <v>21</v>
      </c>
      <c r="S83" s="18" t="s">
        <v>21</v>
      </c>
      <c r="T83" s="18" t="s">
        <v>20</v>
      </c>
      <c r="U83" s="18" t="s">
        <v>20</v>
      </c>
      <c r="V83" s="37" t="s">
        <v>21</v>
      </c>
      <c r="W83" s="37" t="s">
        <v>20</v>
      </c>
      <c r="X83" s="37" t="s">
        <v>21</v>
      </c>
      <c r="Y83" s="18" t="s">
        <v>20</v>
      </c>
      <c r="Z83" s="18" t="s">
        <v>21</v>
      </c>
      <c r="AA83" s="20" t="s">
        <v>21</v>
      </c>
      <c r="AB83" s="20" t="s">
        <v>21</v>
      </c>
      <c r="AC83" s="20" t="s">
        <v>21</v>
      </c>
      <c r="AD83" s="18" t="s">
        <v>21</v>
      </c>
      <c r="AE83" s="18" t="s">
        <v>21</v>
      </c>
      <c r="AG83">
        <f>+COUNTIF(F83:AE83,"AD")</f>
        <v>0</v>
      </c>
      <c r="AH83">
        <f>+COUNTIF(F83:AE83,"A")</f>
        <v>4</v>
      </c>
      <c r="AI83">
        <f>+COUNTIF(F83:AE83,"b")</f>
        <v>21</v>
      </c>
      <c r="AJ83">
        <f>+COUNTIF(F83:AE83,"c")</f>
        <v>1</v>
      </c>
      <c r="AL83">
        <f>+$AG$5*AG83</f>
        <v>0</v>
      </c>
      <c r="AM83">
        <f>+$AH$5*AH83</f>
        <v>12</v>
      </c>
      <c r="AN83">
        <f>+$AI$5*AI83</f>
        <v>42</v>
      </c>
      <c r="AO83">
        <f>+$AJ$5*AJ83</f>
        <v>1</v>
      </c>
      <c r="AP83" s="73">
        <f>+SUM(AL83:AO83)</f>
        <v>55</v>
      </c>
    </row>
    <row r="84" spans="1:42" ht="15.75" customHeight="1" x14ac:dyDescent="0.3">
      <c r="A84" s="16"/>
      <c r="B84" s="55">
        <v>17</v>
      </c>
      <c r="C84" s="56" t="s">
        <v>107</v>
      </c>
      <c r="D84" s="55">
        <v>2</v>
      </c>
      <c r="E84" s="55" t="s">
        <v>21</v>
      </c>
      <c r="F84" s="18" t="s">
        <v>21</v>
      </c>
      <c r="G84" s="18" t="s">
        <v>21</v>
      </c>
      <c r="H84" s="18" t="s">
        <v>23</v>
      </c>
      <c r="I84" s="18" t="s">
        <v>21</v>
      </c>
      <c r="J84" s="18" t="s">
        <v>20</v>
      </c>
      <c r="K84" s="18" t="s">
        <v>21</v>
      </c>
      <c r="L84" s="18" t="s">
        <v>21</v>
      </c>
      <c r="M84" s="18" t="s">
        <v>20</v>
      </c>
      <c r="N84" s="18" t="s">
        <v>21</v>
      </c>
      <c r="O84" s="18" t="s">
        <v>20</v>
      </c>
      <c r="P84" s="18" t="s">
        <v>21</v>
      </c>
      <c r="Q84" s="18" t="s">
        <v>21</v>
      </c>
      <c r="R84" s="18" t="s">
        <v>21</v>
      </c>
      <c r="S84" s="18" t="s">
        <v>20</v>
      </c>
      <c r="T84" s="18" t="s">
        <v>21</v>
      </c>
      <c r="U84" s="18" t="s">
        <v>21</v>
      </c>
      <c r="V84" s="37" t="s">
        <v>21</v>
      </c>
      <c r="W84" s="37" t="s">
        <v>21</v>
      </c>
      <c r="X84" s="37" t="s">
        <v>21</v>
      </c>
      <c r="Y84" s="18" t="s">
        <v>21</v>
      </c>
      <c r="Z84" s="18" t="s">
        <v>21</v>
      </c>
      <c r="AA84" s="20" t="s">
        <v>21</v>
      </c>
      <c r="AB84" s="20" t="s">
        <v>21</v>
      </c>
      <c r="AC84" s="20" t="s">
        <v>20</v>
      </c>
      <c r="AD84" s="18" t="s">
        <v>23</v>
      </c>
      <c r="AE84" s="18" t="s">
        <v>21</v>
      </c>
      <c r="AG84">
        <f>+COUNTIF(F84:AE84,"AD")</f>
        <v>0</v>
      </c>
      <c r="AH84">
        <f>+COUNTIF(F84:AE84,"A")</f>
        <v>5</v>
      </c>
      <c r="AI84">
        <f>+COUNTIF(F84:AE84,"b")</f>
        <v>19</v>
      </c>
      <c r="AJ84">
        <f>+COUNTIF(F84:AE84,"c")</f>
        <v>2</v>
      </c>
      <c r="AL84">
        <f>+$AG$5*AG84</f>
        <v>0</v>
      </c>
      <c r="AM84">
        <f>+$AH$5*AH84</f>
        <v>15</v>
      </c>
      <c r="AN84">
        <f>+$AI$5*AI84</f>
        <v>38</v>
      </c>
      <c r="AO84">
        <f>+$AJ$5*AJ84</f>
        <v>2</v>
      </c>
      <c r="AP84" s="73">
        <f>+SUM(AL84:AO84)</f>
        <v>55</v>
      </c>
    </row>
    <row r="85" spans="1:42" ht="15.75" customHeight="1" x14ac:dyDescent="0.3">
      <c r="A85" s="16"/>
      <c r="B85" s="55">
        <v>18</v>
      </c>
      <c r="C85" s="56" t="s">
        <v>92</v>
      </c>
      <c r="D85" s="55">
        <v>2</v>
      </c>
      <c r="E85" s="55" t="s">
        <v>21</v>
      </c>
      <c r="F85" s="18" t="s">
        <v>21</v>
      </c>
      <c r="G85" s="18" t="s">
        <v>23</v>
      </c>
      <c r="H85" s="18" t="s">
        <v>21</v>
      </c>
      <c r="I85" s="18" t="s">
        <v>21</v>
      </c>
      <c r="J85" s="18" t="s">
        <v>21</v>
      </c>
      <c r="K85" s="18" t="s">
        <v>20</v>
      </c>
      <c r="L85" s="18" t="s">
        <v>20</v>
      </c>
      <c r="M85" s="18" t="s">
        <v>21</v>
      </c>
      <c r="N85" s="18" t="s">
        <v>21</v>
      </c>
      <c r="O85" s="18" t="s">
        <v>21</v>
      </c>
      <c r="P85" s="18" t="s">
        <v>21</v>
      </c>
      <c r="Q85" s="18" t="s">
        <v>21</v>
      </c>
      <c r="R85" s="18" t="s">
        <v>21</v>
      </c>
      <c r="S85" s="18" t="s">
        <v>21</v>
      </c>
      <c r="T85" s="18" t="s">
        <v>21</v>
      </c>
      <c r="U85" s="18" t="s">
        <v>21</v>
      </c>
      <c r="V85" s="37" t="s">
        <v>20</v>
      </c>
      <c r="W85" s="37" t="s">
        <v>21</v>
      </c>
      <c r="X85" s="37" t="s">
        <v>21</v>
      </c>
      <c r="Y85" s="18" t="s">
        <v>21</v>
      </c>
      <c r="Z85" s="18" t="s">
        <v>20</v>
      </c>
      <c r="AA85" s="20" t="s">
        <v>21</v>
      </c>
      <c r="AB85" s="20" t="s">
        <v>21</v>
      </c>
      <c r="AC85" s="20" t="s">
        <v>21</v>
      </c>
      <c r="AD85" s="18" t="s">
        <v>23</v>
      </c>
      <c r="AE85" s="18" t="s">
        <v>21</v>
      </c>
      <c r="AG85">
        <f>+COUNTIF(F85:AE85,"AD")</f>
        <v>0</v>
      </c>
      <c r="AH85">
        <f>+COUNTIF(F85:AE85,"A")</f>
        <v>4</v>
      </c>
      <c r="AI85">
        <f>+COUNTIF(F85:AE85,"b")</f>
        <v>20</v>
      </c>
      <c r="AJ85">
        <f>+COUNTIF(F85:AE85,"c")</f>
        <v>2</v>
      </c>
      <c r="AL85">
        <f>+$AG$5*AG85</f>
        <v>0</v>
      </c>
      <c r="AM85">
        <f>+$AH$5*AH85</f>
        <v>12</v>
      </c>
      <c r="AN85">
        <f>+$AI$5*AI85</f>
        <v>40</v>
      </c>
      <c r="AO85">
        <f>+$AJ$5*AJ85</f>
        <v>2</v>
      </c>
      <c r="AP85" s="73">
        <f>+SUM(AL85:AO85)</f>
        <v>54</v>
      </c>
    </row>
    <row r="86" spans="1:42" ht="15.75" customHeight="1" x14ac:dyDescent="0.3">
      <c r="A86" s="16"/>
      <c r="B86" s="55">
        <v>19</v>
      </c>
      <c r="C86" s="56" t="s">
        <v>106</v>
      </c>
      <c r="D86" s="55">
        <v>2</v>
      </c>
      <c r="E86" s="55" t="s">
        <v>21</v>
      </c>
      <c r="F86" s="18" t="s">
        <v>21</v>
      </c>
      <c r="G86" s="18" t="s">
        <v>23</v>
      </c>
      <c r="H86" s="18" t="s">
        <v>21</v>
      </c>
      <c r="I86" s="18" t="s">
        <v>21</v>
      </c>
      <c r="J86" s="18" t="s">
        <v>20</v>
      </c>
      <c r="K86" s="18" t="s">
        <v>20</v>
      </c>
      <c r="L86" s="18" t="s">
        <v>20</v>
      </c>
      <c r="M86" s="18" t="s">
        <v>21</v>
      </c>
      <c r="N86" s="18" t="s">
        <v>21</v>
      </c>
      <c r="O86" s="18" t="s">
        <v>21</v>
      </c>
      <c r="P86" s="18" t="s">
        <v>21</v>
      </c>
      <c r="Q86" s="18" t="s">
        <v>21</v>
      </c>
      <c r="R86" s="18" t="s">
        <v>21</v>
      </c>
      <c r="S86" s="18" t="s">
        <v>23</v>
      </c>
      <c r="T86" s="18" t="s">
        <v>21</v>
      </c>
      <c r="U86" s="18" t="s">
        <v>20</v>
      </c>
      <c r="V86" s="37" t="s">
        <v>21</v>
      </c>
      <c r="W86" s="37" t="s">
        <v>21</v>
      </c>
      <c r="X86" s="37" t="s">
        <v>21</v>
      </c>
      <c r="Y86" s="18" t="s">
        <v>23</v>
      </c>
      <c r="Z86" s="18" t="s">
        <v>21</v>
      </c>
      <c r="AA86" s="20" t="s">
        <v>21</v>
      </c>
      <c r="AB86" s="20" t="s">
        <v>21</v>
      </c>
      <c r="AC86" s="20" t="s">
        <v>21</v>
      </c>
      <c r="AD86" s="18" t="s">
        <v>23</v>
      </c>
      <c r="AE86" s="18" t="s">
        <v>21</v>
      </c>
      <c r="AG86">
        <f>+COUNTIF(F86:AE86,"AD")</f>
        <v>0</v>
      </c>
      <c r="AH86">
        <f>+COUNTIF(F86:AE86,"A")</f>
        <v>4</v>
      </c>
      <c r="AI86">
        <f>+COUNTIF(F86:AE86,"b")</f>
        <v>18</v>
      </c>
      <c r="AJ86">
        <f>+COUNTIF(F86:AE86,"c")</f>
        <v>4</v>
      </c>
      <c r="AL86">
        <f>+$AG$5*AG86</f>
        <v>0</v>
      </c>
      <c r="AM86">
        <f>+$AH$5*AH86</f>
        <v>12</v>
      </c>
      <c r="AN86">
        <f>+$AI$5*AI86</f>
        <v>36</v>
      </c>
      <c r="AO86">
        <f>+$AJ$5*AJ86</f>
        <v>4</v>
      </c>
      <c r="AP86" s="73">
        <f>+SUM(AL86:AO86)</f>
        <v>52</v>
      </c>
    </row>
    <row r="87" spans="1:42" ht="15.75" customHeight="1" thickBot="1" x14ac:dyDescent="0.35">
      <c r="A87" s="16"/>
      <c r="B87" s="57">
        <v>20</v>
      </c>
      <c r="C87" s="56" t="s">
        <v>108</v>
      </c>
      <c r="D87" s="55">
        <v>2</v>
      </c>
      <c r="E87" s="55" t="s">
        <v>21</v>
      </c>
      <c r="F87" s="18" t="s">
        <v>21</v>
      </c>
      <c r="G87" s="18" t="s">
        <v>23</v>
      </c>
      <c r="H87" s="18" t="s">
        <v>21</v>
      </c>
      <c r="I87" s="18" t="s">
        <v>21</v>
      </c>
      <c r="J87" s="18" t="s">
        <v>20</v>
      </c>
      <c r="K87" s="18" t="s">
        <v>21</v>
      </c>
      <c r="L87" s="18" t="s">
        <v>21</v>
      </c>
      <c r="M87" s="18" t="s">
        <v>23</v>
      </c>
      <c r="N87" s="18" t="s">
        <v>21</v>
      </c>
      <c r="O87" s="18" t="s">
        <v>21</v>
      </c>
      <c r="P87" s="18" t="s">
        <v>23</v>
      </c>
      <c r="Q87" s="18" t="s">
        <v>21</v>
      </c>
      <c r="R87" s="17" t="s">
        <v>23</v>
      </c>
      <c r="S87" s="18" t="s">
        <v>23</v>
      </c>
      <c r="T87" s="18" t="s">
        <v>23</v>
      </c>
      <c r="U87" s="18" t="s">
        <v>21</v>
      </c>
      <c r="V87" s="37" t="s">
        <v>20</v>
      </c>
      <c r="W87" s="37" t="s">
        <v>20</v>
      </c>
      <c r="X87" s="37" t="s">
        <v>20</v>
      </c>
      <c r="Y87" s="18" t="s">
        <v>21</v>
      </c>
      <c r="Z87" s="18" t="s">
        <v>21</v>
      </c>
      <c r="AA87" s="20" t="s">
        <v>21</v>
      </c>
      <c r="AB87" s="20" t="s">
        <v>21</v>
      </c>
      <c r="AC87" s="20" t="s">
        <v>21</v>
      </c>
      <c r="AD87" s="18" t="s">
        <v>23</v>
      </c>
      <c r="AE87" s="18" t="s">
        <v>21</v>
      </c>
      <c r="AG87">
        <f>+COUNTIF(F87:AE87,"AD")</f>
        <v>0</v>
      </c>
      <c r="AH87">
        <f>+COUNTIF(F87:AE87,"A")</f>
        <v>4</v>
      </c>
      <c r="AI87">
        <f>+COUNTIF(F87:AE87,"b")</f>
        <v>15</v>
      </c>
      <c r="AJ87">
        <f>+COUNTIF(F87:AE87,"c")</f>
        <v>7</v>
      </c>
      <c r="AL87">
        <f>+$AG$5*AG87</f>
        <v>0</v>
      </c>
      <c r="AM87">
        <f>+$AH$5*AH87</f>
        <v>12</v>
      </c>
      <c r="AN87">
        <f>+$AI$5*AI87</f>
        <v>30</v>
      </c>
      <c r="AO87">
        <f>+$AJ$5*AJ87</f>
        <v>7</v>
      </c>
      <c r="AP87" s="73">
        <f>+SUM(AL87:AO87)</f>
        <v>49</v>
      </c>
    </row>
    <row r="88" spans="1:42" ht="15.75" customHeight="1" x14ac:dyDescent="0.3">
      <c r="A88" s="16"/>
      <c r="B88" s="55">
        <v>21</v>
      </c>
      <c r="C88" s="56" t="s">
        <v>101</v>
      </c>
      <c r="D88" s="55">
        <v>2</v>
      </c>
      <c r="E88" s="55" t="s">
        <v>21</v>
      </c>
      <c r="F88" s="18" t="s">
        <v>21</v>
      </c>
      <c r="G88" s="18" t="s">
        <v>23</v>
      </c>
      <c r="H88" s="18" t="s">
        <v>21</v>
      </c>
      <c r="I88" s="18" t="s">
        <v>21</v>
      </c>
      <c r="J88" s="18" t="s">
        <v>21</v>
      </c>
      <c r="K88" s="18" t="s">
        <v>21</v>
      </c>
      <c r="L88" s="18" t="s">
        <v>21</v>
      </c>
      <c r="M88" s="18" t="s">
        <v>21</v>
      </c>
      <c r="N88" s="18" t="s">
        <v>23</v>
      </c>
      <c r="O88" s="18" t="s">
        <v>21</v>
      </c>
      <c r="P88" s="18" t="s">
        <v>23</v>
      </c>
      <c r="Q88" s="18" t="s">
        <v>23</v>
      </c>
      <c r="R88" s="18" t="s">
        <v>21</v>
      </c>
      <c r="S88" s="18" t="s">
        <v>21</v>
      </c>
      <c r="T88" s="18" t="s">
        <v>21</v>
      </c>
      <c r="U88" s="18" t="s">
        <v>21</v>
      </c>
      <c r="V88" s="37" t="s">
        <v>21</v>
      </c>
      <c r="W88" s="37" t="s">
        <v>21</v>
      </c>
      <c r="X88" s="37" t="s">
        <v>21</v>
      </c>
      <c r="Y88" s="18" t="s">
        <v>23</v>
      </c>
      <c r="Z88" s="18" t="s">
        <v>20</v>
      </c>
      <c r="AA88" s="20" t="s">
        <v>21</v>
      </c>
      <c r="AB88" s="20" t="s">
        <v>21</v>
      </c>
      <c r="AC88" s="20" t="s">
        <v>21</v>
      </c>
      <c r="AD88" s="18" t="s">
        <v>23</v>
      </c>
      <c r="AE88" s="18" t="s">
        <v>21</v>
      </c>
      <c r="AG88">
        <f>+COUNTIF(F88:AE88,"AD")</f>
        <v>0</v>
      </c>
      <c r="AH88">
        <f>+COUNTIF(F88:AE88,"A")</f>
        <v>1</v>
      </c>
      <c r="AI88">
        <f>+COUNTIF(F88:AE88,"b")</f>
        <v>19</v>
      </c>
      <c r="AJ88">
        <f>+COUNTIF(F88:AE88,"c")</f>
        <v>6</v>
      </c>
      <c r="AL88">
        <f>+$AG$5*AG88</f>
        <v>0</v>
      </c>
      <c r="AM88">
        <f>+$AH$5*AH88</f>
        <v>3</v>
      </c>
      <c r="AN88">
        <f>+$AI$5*AI88</f>
        <v>38</v>
      </c>
      <c r="AO88">
        <f>+$AJ$5*AJ88</f>
        <v>6</v>
      </c>
      <c r="AP88" s="73">
        <f>+SUM(AL88:AO88)</f>
        <v>47</v>
      </c>
    </row>
    <row r="89" spans="1:42" ht="15.75" customHeight="1" x14ac:dyDescent="0.3">
      <c r="A89" s="16"/>
      <c r="B89" s="55">
        <v>22</v>
      </c>
      <c r="C89" s="56" t="s">
        <v>87</v>
      </c>
      <c r="D89" s="55">
        <v>2</v>
      </c>
      <c r="E89" s="55" t="s">
        <v>21</v>
      </c>
      <c r="F89" s="18" t="s">
        <v>21</v>
      </c>
      <c r="G89" s="18" t="s">
        <v>23</v>
      </c>
      <c r="H89" s="18" t="s">
        <v>21</v>
      </c>
      <c r="I89" s="18" t="s">
        <v>21</v>
      </c>
      <c r="J89" s="18" t="s">
        <v>21</v>
      </c>
      <c r="K89" s="18" t="s">
        <v>21</v>
      </c>
      <c r="L89" s="18" t="s">
        <v>21</v>
      </c>
      <c r="M89" s="18" t="s">
        <v>23</v>
      </c>
      <c r="N89" s="18" t="s">
        <v>21</v>
      </c>
      <c r="O89" s="18" t="s">
        <v>21</v>
      </c>
      <c r="P89" s="18" t="s">
        <v>23</v>
      </c>
      <c r="Q89" s="18" t="s">
        <v>21</v>
      </c>
      <c r="R89" s="18" t="s">
        <v>23</v>
      </c>
      <c r="S89" s="18" t="s">
        <v>23</v>
      </c>
      <c r="T89" s="18" t="s">
        <v>21</v>
      </c>
      <c r="U89" s="18" t="s">
        <v>21</v>
      </c>
      <c r="V89" s="37" t="s">
        <v>21</v>
      </c>
      <c r="W89" s="37" t="s">
        <v>21</v>
      </c>
      <c r="X89" s="37" t="s">
        <v>21</v>
      </c>
      <c r="Y89" s="18" t="s">
        <v>21</v>
      </c>
      <c r="Z89" s="18" t="s">
        <v>23</v>
      </c>
      <c r="AA89" s="20" t="s">
        <v>23</v>
      </c>
      <c r="AB89" s="20" t="s">
        <v>21</v>
      </c>
      <c r="AC89" s="20" t="s">
        <v>23</v>
      </c>
      <c r="AD89" s="18" t="s">
        <v>23</v>
      </c>
      <c r="AE89" s="18" t="s">
        <v>21</v>
      </c>
      <c r="AG89">
        <f>+COUNTIF(F89:AE89,"AD")</f>
        <v>0</v>
      </c>
      <c r="AH89">
        <f>+COUNTIF(F89:AE89,"A")</f>
        <v>0</v>
      </c>
      <c r="AI89">
        <f>+COUNTIF(F89:AE89,"b")</f>
        <v>17</v>
      </c>
      <c r="AJ89">
        <f>+COUNTIF(F89:AE89,"c")</f>
        <v>9</v>
      </c>
      <c r="AL89">
        <f>+$AG$5*AG89</f>
        <v>0</v>
      </c>
      <c r="AM89">
        <f>+$AH$5*AH89</f>
        <v>0</v>
      </c>
      <c r="AN89">
        <f>+$AI$5*AI89</f>
        <v>34</v>
      </c>
      <c r="AO89">
        <f>+$AJ$5*AJ89</f>
        <v>9</v>
      </c>
      <c r="AP89" s="73">
        <f>+SUM(AL89:AO89)</f>
        <v>43</v>
      </c>
    </row>
    <row r="90" spans="1:42" ht="15.75" customHeight="1" thickBot="1" x14ac:dyDescent="0.35">
      <c r="A90" s="16"/>
      <c r="B90" s="57">
        <v>23</v>
      </c>
      <c r="C90" s="58" t="s">
        <v>104</v>
      </c>
      <c r="D90" s="57">
        <v>2</v>
      </c>
      <c r="E90" s="57" t="s">
        <v>21</v>
      </c>
      <c r="F90" s="21" t="s">
        <v>21</v>
      </c>
      <c r="G90" s="21" t="s">
        <v>23</v>
      </c>
      <c r="H90" s="21" t="s">
        <v>21</v>
      </c>
      <c r="I90" s="21" t="s">
        <v>21</v>
      </c>
      <c r="J90" s="21" t="s">
        <v>21</v>
      </c>
      <c r="K90" s="21" t="s">
        <v>21</v>
      </c>
      <c r="L90" s="21" t="s">
        <v>21</v>
      </c>
      <c r="M90" s="21" t="s">
        <v>23</v>
      </c>
      <c r="N90" s="21" t="s">
        <v>23</v>
      </c>
      <c r="O90" s="21" t="s">
        <v>23</v>
      </c>
      <c r="P90" s="21" t="s">
        <v>23</v>
      </c>
      <c r="Q90" s="21" t="s">
        <v>21</v>
      </c>
      <c r="R90" s="21" t="s">
        <v>23</v>
      </c>
      <c r="S90" s="21" t="s">
        <v>21</v>
      </c>
      <c r="T90" s="21" t="s">
        <v>23</v>
      </c>
      <c r="U90" s="21" t="s">
        <v>21</v>
      </c>
      <c r="V90" s="38" t="s">
        <v>21</v>
      </c>
      <c r="W90" s="38" t="s">
        <v>21</v>
      </c>
      <c r="X90" s="38" t="s">
        <v>21</v>
      </c>
      <c r="Y90" s="21" t="s">
        <v>23</v>
      </c>
      <c r="Z90" s="21" t="s">
        <v>23</v>
      </c>
      <c r="AA90" s="23" t="s">
        <v>21</v>
      </c>
      <c r="AB90" s="23" t="s">
        <v>21</v>
      </c>
      <c r="AC90" s="23" t="s">
        <v>21</v>
      </c>
      <c r="AD90" s="21" t="s">
        <v>23</v>
      </c>
      <c r="AE90" s="21" t="s">
        <v>21</v>
      </c>
      <c r="AG90">
        <f>+COUNTIF(F90:AE90,"AD")</f>
        <v>0</v>
      </c>
      <c r="AH90">
        <f>+COUNTIF(F90:AE90,"A")</f>
        <v>0</v>
      </c>
      <c r="AI90">
        <f>+COUNTIF(F90:AE90,"b")</f>
        <v>16</v>
      </c>
      <c r="AJ90">
        <f>+COUNTIF(F90:AE90,"c")</f>
        <v>10</v>
      </c>
      <c r="AL90">
        <f>+$AG$5*AG90</f>
        <v>0</v>
      </c>
      <c r="AM90">
        <f>+$AH$5*AH90</f>
        <v>0</v>
      </c>
      <c r="AN90">
        <f>+$AI$5*AI90</f>
        <v>32</v>
      </c>
      <c r="AO90">
        <f>+$AJ$5*AJ90</f>
        <v>10</v>
      </c>
      <c r="AP90" s="73">
        <f>+SUM(AL90:AO90)</f>
        <v>42</v>
      </c>
    </row>
    <row r="91" spans="1:42" ht="15.75" hidden="1" customHeight="1" x14ac:dyDescent="0.3">
      <c r="A91" s="16"/>
      <c r="B91" s="59">
        <v>1</v>
      </c>
      <c r="C91" s="60" t="s">
        <v>109</v>
      </c>
      <c r="D91" s="59">
        <v>3</v>
      </c>
      <c r="E91" s="59" t="s">
        <v>20</v>
      </c>
      <c r="F91" s="24" t="s">
        <v>39</v>
      </c>
      <c r="G91" s="24" t="s">
        <v>39</v>
      </c>
      <c r="H91" s="24" t="s">
        <v>20</v>
      </c>
      <c r="I91" s="24" t="s">
        <v>39</v>
      </c>
      <c r="J91" s="42" t="s">
        <v>20</v>
      </c>
      <c r="K91" s="42" t="s">
        <v>39</v>
      </c>
      <c r="L91" s="42" t="s">
        <v>20</v>
      </c>
      <c r="M91" s="24" t="s">
        <v>20</v>
      </c>
      <c r="N91" s="24" t="s">
        <v>20</v>
      </c>
      <c r="O91" s="24" t="s">
        <v>20</v>
      </c>
      <c r="P91" s="24" t="s">
        <v>20</v>
      </c>
      <c r="Q91" s="24" t="s">
        <v>20</v>
      </c>
      <c r="R91" s="24" t="s">
        <v>20</v>
      </c>
      <c r="S91" s="24" t="s">
        <v>20</v>
      </c>
      <c r="T91" s="24" t="s">
        <v>20</v>
      </c>
      <c r="U91" s="24" t="s">
        <v>20</v>
      </c>
      <c r="V91" s="39" t="s">
        <v>21</v>
      </c>
      <c r="W91" s="39" t="s">
        <v>20</v>
      </c>
      <c r="X91" s="39" t="s">
        <v>21</v>
      </c>
      <c r="Y91" s="24" t="s">
        <v>39</v>
      </c>
      <c r="Z91" s="24" t="s">
        <v>39</v>
      </c>
      <c r="AA91" s="27" t="s">
        <v>20</v>
      </c>
      <c r="AB91" s="27" t="s">
        <v>20</v>
      </c>
      <c r="AC91" s="27" t="s">
        <v>20</v>
      </c>
      <c r="AD91" s="39" t="s">
        <v>20</v>
      </c>
      <c r="AE91" s="39" t="s">
        <v>21</v>
      </c>
      <c r="AG91">
        <f t="shared" ref="AG88:AG151" si="9">+COUNTIF(F91:AE91,"AD")</f>
        <v>6</v>
      </c>
      <c r="AH91">
        <f t="shared" ref="AH88:AH151" si="10">+COUNTIF(F91:AE91,"A")</f>
        <v>17</v>
      </c>
      <c r="AI91">
        <f t="shared" ref="AI88:AI151" si="11">+COUNTIF(F91:AE91,"b")</f>
        <v>3</v>
      </c>
      <c r="AJ91">
        <f t="shared" ref="AJ88:AJ151" si="12">+COUNTIF(F91:AE91,"c")</f>
        <v>0</v>
      </c>
      <c r="AL91">
        <f t="shared" ref="AL88:AL151" si="13">+$AG$5*AG91</f>
        <v>24</v>
      </c>
      <c r="AM91">
        <f t="shared" ref="AM88:AM151" si="14">+$AH$5*AH91</f>
        <v>51</v>
      </c>
      <c r="AN91">
        <f t="shared" ref="AN88:AN151" si="15">+$AI$5*AI91</f>
        <v>6</v>
      </c>
      <c r="AO91">
        <f t="shared" ref="AO88:AO151" si="16">+$AJ$5*AJ91</f>
        <v>0</v>
      </c>
      <c r="AP91">
        <f t="shared" ref="AP88:AP151" si="17">+SUM(AL91:AO91)</f>
        <v>81</v>
      </c>
    </row>
    <row r="92" spans="1:42" ht="15.75" hidden="1" customHeight="1" x14ac:dyDescent="0.3">
      <c r="A92" s="16"/>
      <c r="B92" s="55">
        <v>2</v>
      </c>
      <c r="C92" s="56" t="s">
        <v>110</v>
      </c>
      <c r="D92" s="55">
        <v>3</v>
      </c>
      <c r="E92" s="55" t="s">
        <v>20</v>
      </c>
      <c r="F92" s="18" t="s">
        <v>20</v>
      </c>
      <c r="G92" s="18" t="s">
        <v>20</v>
      </c>
      <c r="H92" s="18" t="s">
        <v>20</v>
      </c>
      <c r="I92" s="18" t="s">
        <v>39</v>
      </c>
      <c r="J92" s="43" t="s">
        <v>39</v>
      </c>
      <c r="K92" s="43" t="s">
        <v>39</v>
      </c>
      <c r="L92" s="43" t="s">
        <v>20</v>
      </c>
      <c r="M92" s="18" t="s">
        <v>20</v>
      </c>
      <c r="N92" s="18" t="s">
        <v>20</v>
      </c>
      <c r="O92" s="18" t="s">
        <v>20</v>
      </c>
      <c r="P92" s="18" t="s">
        <v>20</v>
      </c>
      <c r="Q92" s="18" t="s">
        <v>20</v>
      </c>
      <c r="R92" s="18" t="s">
        <v>20</v>
      </c>
      <c r="S92" s="18" t="s">
        <v>20</v>
      </c>
      <c r="T92" s="18" t="s">
        <v>20</v>
      </c>
      <c r="U92" s="18" t="s">
        <v>20</v>
      </c>
      <c r="V92" s="37" t="s">
        <v>20</v>
      </c>
      <c r="W92" s="37" t="s">
        <v>20</v>
      </c>
      <c r="X92" s="37" t="s">
        <v>20</v>
      </c>
      <c r="Y92" s="18" t="s">
        <v>20</v>
      </c>
      <c r="Z92" s="18" t="s">
        <v>20</v>
      </c>
      <c r="AA92" s="20" t="s">
        <v>20</v>
      </c>
      <c r="AB92" s="20" t="s">
        <v>20</v>
      </c>
      <c r="AC92" s="20" t="s">
        <v>20</v>
      </c>
      <c r="AD92" s="37" t="s">
        <v>21</v>
      </c>
      <c r="AE92" s="37" t="s">
        <v>21</v>
      </c>
      <c r="AG92">
        <f t="shared" si="9"/>
        <v>3</v>
      </c>
      <c r="AH92">
        <f t="shared" si="10"/>
        <v>21</v>
      </c>
      <c r="AI92">
        <f t="shared" si="11"/>
        <v>2</v>
      </c>
      <c r="AJ92">
        <f t="shared" si="12"/>
        <v>0</v>
      </c>
      <c r="AL92">
        <f t="shared" si="13"/>
        <v>12</v>
      </c>
      <c r="AM92">
        <f t="shared" si="14"/>
        <v>63</v>
      </c>
      <c r="AN92">
        <f t="shared" si="15"/>
        <v>4</v>
      </c>
      <c r="AO92">
        <f t="shared" si="16"/>
        <v>0</v>
      </c>
      <c r="AP92">
        <f t="shared" si="17"/>
        <v>79</v>
      </c>
    </row>
    <row r="93" spans="1:42" ht="15.75" hidden="1" customHeight="1" x14ac:dyDescent="0.3">
      <c r="A93" s="16"/>
      <c r="B93" s="55">
        <v>3</v>
      </c>
      <c r="C93" s="56" t="s">
        <v>111</v>
      </c>
      <c r="D93" s="55">
        <v>3</v>
      </c>
      <c r="E93" s="55" t="s">
        <v>20</v>
      </c>
      <c r="F93" s="18" t="s">
        <v>23</v>
      </c>
      <c r="G93" s="18" t="s">
        <v>21</v>
      </c>
      <c r="H93" s="18" t="s">
        <v>23</v>
      </c>
      <c r="I93" s="18" t="s">
        <v>23</v>
      </c>
      <c r="J93" s="43" t="s">
        <v>21</v>
      </c>
      <c r="K93" s="43" t="s">
        <v>20</v>
      </c>
      <c r="L93" s="43" t="s">
        <v>21</v>
      </c>
      <c r="M93" s="18" t="s">
        <v>21</v>
      </c>
      <c r="N93" s="18" t="s">
        <v>21</v>
      </c>
      <c r="O93" s="18" t="s">
        <v>21</v>
      </c>
      <c r="P93" s="18" t="s">
        <v>23</v>
      </c>
      <c r="Q93" s="18" t="s">
        <v>21</v>
      </c>
      <c r="R93" s="18" t="s">
        <v>21</v>
      </c>
      <c r="S93" s="18" t="s">
        <v>21</v>
      </c>
      <c r="T93" s="18" t="s">
        <v>21</v>
      </c>
      <c r="U93" s="18" t="s">
        <v>20</v>
      </c>
      <c r="V93" s="37" t="s">
        <v>20</v>
      </c>
      <c r="W93" s="37" t="s">
        <v>21</v>
      </c>
      <c r="X93" s="37" t="s">
        <v>21</v>
      </c>
      <c r="Y93" s="18" t="s">
        <v>21</v>
      </c>
      <c r="Z93" s="18" t="s">
        <v>20</v>
      </c>
      <c r="AA93" s="20" t="s">
        <v>21</v>
      </c>
      <c r="AB93" s="20" t="s">
        <v>21</v>
      </c>
      <c r="AC93" s="20" t="s">
        <v>21</v>
      </c>
      <c r="AD93" s="37" t="s">
        <v>23</v>
      </c>
      <c r="AE93" s="37" t="s">
        <v>21</v>
      </c>
      <c r="AG93">
        <f t="shared" si="9"/>
        <v>0</v>
      </c>
      <c r="AH93">
        <f t="shared" si="10"/>
        <v>4</v>
      </c>
      <c r="AI93">
        <f t="shared" si="11"/>
        <v>17</v>
      </c>
      <c r="AJ93">
        <f t="shared" si="12"/>
        <v>5</v>
      </c>
      <c r="AL93">
        <f t="shared" si="13"/>
        <v>0</v>
      </c>
      <c r="AM93">
        <f t="shared" si="14"/>
        <v>12</v>
      </c>
      <c r="AN93">
        <f t="shared" si="15"/>
        <v>34</v>
      </c>
      <c r="AO93">
        <f t="shared" si="16"/>
        <v>5</v>
      </c>
      <c r="AP93">
        <f t="shared" si="17"/>
        <v>51</v>
      </c>
    </row>
    <row r="94" spans="1:42" ht="15.75" hidden="1" customHeight="1" x14ac:dyDescent="0.3">
      <c r="A94" s="16"/>
      <c r="B94" s="55">
        <v>4</v>
      </c>
      <c r="C94" s="56" t="s">
        <v>112</v>
      </c>
      <c r="D94" s="55">
        <v>3</v>
      </c>
      <c r="E94" s="55" t="s">
        <v>20</v>
      </c>
      <c r="F94" s="18" t="s">
        <v>39</v>
      </c>
      <c r="G94" s="18" t="s">
        <v>20</v>
      </c>
      <c r="H94" s="18" t="s">
        <v>20</v>
      </c>
      <c r="I94" s="18" t="s">
        <v>20</v>
      </c>
      <c r="J94" s="43" t="s">
        <v>20</v>
      </c>
      <c r="K94" s="43" t="s">
        <v>39</v>
      </c>
      <c r="L94" s="43" t="s">
        <v>20</v>
      </c>
      <c r="M94" s="18" t="s">
        <v>20</v>
      </c>
      <c r="N94" s="18" t="s">
        <v>20</v>
      </c>
      <c r="O94" s="18" t="s">
        <v>20</v>
      </c>
      <c r="P94" s="18" t="s">
        <v>20</v>
      </c>
      <c r="Q94" s="18" t="s">
        <v>20</v>
      </c>
      <c r="R94" s="18" t="s">
        <v>20</v>
      </c>
      <c r="S94" s="18" t="s">
        <v>20</v>
      </c>
      <c r="T94" s="18" t="s">
        <v>20</v>
      </c>
      <c r="U94" s="18" t="s">
        <v>20</v>
      </c>
      <c r="V94" s="37" t="s">
        <v>20</v>
      </c>
      <c r="W94" s="37" t="s">
        <v>21</v>
      </c>
      <c r="X94" s="37" t="s">
        <v>20</v>
      </c>
      <c r="Y94" s="18" t="s">
        <v>20</v>
      </c>
      <c r="Z94" s="18" t="s">
        <v>20</v>
      </c>
      <c r="AA94" s="20" t="s">
        <v>20</v>
      </c>
      <c r="AB94" s="20" t="s">
        <v>20</v>
      </c>
      <c r="AC94" s="20" t="s">
        <v>20</v>
      </c>
      <c r="AD94" s="37" t="s">
        <v>20</v>
      </c>
      <c r="AE94" s="37" t="s">
        <v>21</v>
      </c>
      <c r="AG94">
        <f t="shared" si="9"/>
        <v>2</v>
      </c>
      <c r="AH94">
        <f t="shared" si="10"/>
        <v>22</v>
      </c>
      <c r="AI94">
        <f t="shared" si="11"/>
        <v>2</v>
      </c>
      <c r="AJ94">
        <f t="shared" si="12"/>
        <v>0</v>
      </c>
      <c r="AL94">
        <f t="shared" si="13"/>
        <v>8</v>
      </c>
      <c r="AM94">
        <f t="shared" si="14"/>
        <v>66</v>
      </c>
      <c r="AN94">
        <f t="shared" si="15"/>
        <v>4</v>
      </c>
      <c r="AO94">
        <f t="shared" si="16"/>
        <v>0</v>
      </c>
      <c r="AP94">
        <f t="shared" si="17"/>
        <v>78</v>
      </c>
    </row>
    <row r="95" spans="1:42" ht="15.75" hidden="1" customHeight="1" x14ac:dyDescent="0.3">
      <c r="A95" s="16"/>
      <c r="B95" s="55">
        <v>5</v>
      </c>
      <c r="C95" s="56" t="s">
        <v>113</v>
      </c>
      <c r="D95" s="55">
        <v>3</v>
      </c>
      <c r="E95" s="55" t="s">
        <v>20</v>
      </c>
      <c r="F95" s="18" t="s">
        <v>23</v>
      </c>
      <c r="G95" s="18" t="s">
        <v>23</v>
      </c>
      <c r="H95" s="18" t="s">
        <v>23</v>
      </c>
      <c r="I95" s="18" t="s">
        <v>23</v>
      </c>
      <c r="J95" s="43" t="s">
        <v>21</v>
      </c>
      <c r="K95" s="43" t="s">
        <v>21</v>
      </c>
      <c r="L95" s="43" t="s">
        <v>21</v>
      </c>
      <c r="M95" s="18" t="s">
        <v>21</v>
      </c>
      <c r="N95" s="18" t="s">
        <v>23</v>
      </c>
      <c r="O95" s="18" t="s">
        <v>23</v>
      </c>
      <c r="P95" s="18" t="s">
        <v>23</v>
      </c>
      <c r="Q95" s="18" t="s">
        <v>23</v>
      </c>
      <c r="R95" s="18" t="s">
        <v>21</v>
      </c>
      <c r="S95" s="18" t="s">
        <v>23</v>
      </c>
      <c r="T95" s="18" t="s">
        <v>23</v>
      </c>
      <c r="U95" s="18" t="s">
        <v>21</v>
      </c>
      <c r="V95" s="37" t="s">
        <v>21</v>
      </c>
      <c r="W95" s="37" t="s">
        <v>21</v>
      </c>
      <c r="X95" s="37" t="s">
        <v>21</v>
      </c>
      <c r="Y95" s="18" t="s">
        <v>23</v>
      </c>
      <c r="Z95" s="18" t="s">
        <v>21</v>
      </c>
      <c r="AA95" s="20" t="s">
        <v>21</v>
      </c>
      <c r="AB95" s="20" t="s">
        <v>21</v>
      </c>
      <c r="AC95" s="20" t="s">
        <v>21</v>
      </c>
      <c r="AD95" s="37" t="s">
        <v>23</v>
      </c>
      <c r="AE95" s="37" t="s">
        <v>21</v>
      </c>
      <c r="AG95">
        <f t="shared" si="9"/>
        <v>0</v>
      </c>
      <c r="AH95">
        <f t="shared" si="10"/>
        <v>0</v>
      </c>
      <c r="AI95">
        <f t="shared" si="11"/>
        <v>14</v>
      </c>
      <c r="AJ95">
        <f t="shared" si="12"/>
        <v>12</v>
      </c>
      <c r="AL95">
        <f t="shared" si="13"/>
        <v>0</v>
      </c>
      <c r="AM95">
        <f t="shared" si="14"/>
        <v>0</v>
      </c>
      <c r="AN95">
        <f t="shared" si="15"/>
        <v>28</v>
      </c>
      <c r="AO95">
        <f t="shared" si="16"/>
        <v>12</v>
      </c>
      <c r="AP95">
        <f t="shared" si="17"/>
        <v>40</v>
      </c>
    </row>
    <row r="96" spans="1:42" ht="15.75" hidden="1" customHeight="1" x14ac:dyDescent="0.3">
      <c r="A96" s="16"/>
      <c r="B96" s="55">
        <v>6</v>
      </c>
      <c r="C96" s="56" t="s">
        <v>114</v>
      </c>
      <c r="D96" s="55">
        <v>3</v>
      </c>
      <c r="E96" s="55" t="s">
        <v>20</v>
      </c>
      <c r="F96" s="18" t="s">
        <v>20</v>
      </c>
      <c r="G96" s="18" t="s">
        <v>20</v>
      </c>
      <c r="H96" s="18" t="s">
        <v>20</v>
      </c>
      <c r="I96" s="18" t="s">
        <v>20</v>
      </c>
      <c r="J96" s="43" t="s">
        <v>20</v>
      </c>
      <c r="K96" s="43" t="s">
        <v>20</v>
      </c>
      <c r="L96" s="43" t="s">
        <v>20</v>
      </c>
      <c r="M96" s="18" t="s">
        <v>21</v>
      </c>
      <c r="N96" s="18" t="s">
        <v>20</v>
      </c>
      <c r="O96" s="18" t="s">
        <v>20</v>
      </c>
      <c r="P96" s="18" t="s">
        <v>20</v>
      </c>
      <c r="Q96" s="18" t="s">
        <v>20</v>
      </c>
      <c r="R96" s="18" t="s">
        <v>21</v>
      </c>
      <c r="S96" s="18" t="s">
        <v>21</v>
      </c>
      <c r="T96" s="18" t="s">
        <v>20</v>
      </c>
      <c r="U96" s="18" t="s">
        <v>20</v>
      </c>
      <c r="V96" s="37" t="s">
        <v>21</v>
      </c>
      <c r="W96" s="37" t="s">
        <v>21</v>
      </c>
      <c r="X96" s="37" t="s">
        <v>20</v>
      </c>
      <c r="Y96" s="18" t="s">
        <v>21</v>
      </c>
      <c r="Z96" s="18" t="s">
        <v>20</v>
      </c>
      <c r="AA96" s="20" t="s">
        <v>20</v>
      </c>
      <c r="AB96" s="20" t="s">
        <v>21</v>
      </c>
      <c r="AC96" s="20" t="s">
        <v>21</v>
      </c>
      <c r="AD96" s="37" t="s">
        <v>23</v>
      </c>
      <c r="AE96" s="37" t="s">
        <v>21</v>
      </c>
      <c r="AG96">
        <f t="shared" si="9"/>
        <v>0</v>
      </c>
      <c r="AH96">
        <f t="shared" si="10"/>
        <v>16</v>
      </c>
      <c r="AI96">
        <f t="shared" si="11"/>
        <v>9</v>
      </c>
      <c r="AJ96">
        <f t="shared" si="12"/>
        <v>1</v>
      </c>
      <c r="AL96">
        <f t="shared" si="13"/>
        <v>0</v>
      </c>
      <c r="AM96">
        <f t="shared" si="14"/>
        <v>48</v>
      </c>
      <c r="AN96">
        <f t="shared" si="15"/>
        <v>18</v>
      </c>
      <c r="AO96">
        <f t="shared" si="16"/>
        <v>1</v>
      </c>
      <c r="AP96">
        <f t="shared" si="17"/>
        <v>67</v>
      </c>
    </row>
    <row r="97" spans="1:42" ht="15.75" hidden="1" customHeight="1" x14ac:dyDescent="0.3">
      <c r="A97" s="16"/>
      <c r="B97" s="55">
        <v>7</v>
      </c>
      <c r="C97" s="56" t="s">
        <v>115</v>
      </c>
      <c r="D97" s="55">
        <v>3</v>
      </c>
      <c r="E97" s="55" t="s">
        <v>20</v>
      </c>
      <c r="F97" s="18" t="s">
        <v>23</v>
      </c>
      <c r="G97" s="18" t="s">
        <v>23</v>
      </c>
      <c r="H97" s="18" t="s">
        <v>23</v>
      </c>
      <c r="I97" s="18" t="s">
        <v>23</v>
      </c>
      <c r="J97" s="43" t="s">
        <v>21</v>
      </c>
      <c r="K97" s="43" t="s">
        <v>21</v>
      </c>
      <c r="L97" s="43" t="s">
        <v>21</v>
      </c>
      <c r="M97" s="18" t="s">
        <v>20</v>
      </c>
      <c r="N97" s="18" t="s">
        <v>21</v>
      </c>
      <c r="O97" s="18" t="s">
        <v>21</v>
      </c>
      <c r="P97" s="18" t="s">
        <v>21</v>
      </c>
      <c r="Q97" s="18" t="s">
        <v>21</v>
      </c>
      <c r="R97" s="18" t="s">
        <v>21</v>
      </c>
      <c r="S97" s="18" t="s">
        <v>23</v>
      </c>
      <c r="T97" s="18" t="s">
        <v>23</v>
      </c>
      <c r="U97" s="18" t="s">
        <v>20</v>
      </c>
      <c r="V97" s="37" t="s">
        <v>20</v>
      </c>
      <c r="W97" s="37" t="s">
        <v>21</v>
      </c>
      <c r="X97" s="37" t="s">
        <v>21</v>
      </c>
      <c r="Y97" s="18" t="s">
        <v>23</v>
      </c>
      <c r="Z97" s="18" t="s">
        <v>21</v>
      </c>
      <c r="AA97" s="20" t="s">
        <v>21</v>
      </c>
      <c r="AB97" s="20" t="s">
        <v>20</v>
      </c>
      <c r="AC97" s="20" t="s">
        <v>21</v>
      </c>
      <c r="AD97" s="37" t="s">
        <v>23</v>
      </c>
      <c r="AE97" s="37" t="s">
        <v>21</v>
      </c>
      <c r="AG97">
        <f t="shared" si="9"/>
        <v>0</v>
      </c>
      <c r="AH97">
        <f t="shared" si="10"/>
        <v>4</v>
      </c>
      <c r="AI97">
        <f t="shared" si="11"/>
        <v>14</v>
      </c>
      <c r="AJ97">
        <f t="shared" si="12"/>
        <v>8</v>
      </c>
      <c r="AL97">
        <f t="shared" si="13"/>
        <v>0</v>
      </c>
      <c r="AM97">
        <f t="shared" si="14"/>
        <v>12</v>
      </c>
      <c r="AN97">
        <f t="shared" si="15"/>
        <v>28</v>
      </c>
      <c r="AO97">
        <f t="shared" si="16"/>
        <v>8</v>
      </c>
      <c r="AP97">
        <f t="shared" si="17"/>
        <v>48</v>
      </c>
    </row>
    <row r="98" spans="1:42" ht="15.75" hidden="1" customHeight="1" x14ac:dyDescent="0.3">
      <c r="A98" s="16"/>
      <c r="B98" s="55">
        <v>8</v>
      </c>
      <c r="C98" s="56" t="s">
        <v>116</v>
      </c>
      <c r="D98" s="55">
        <v>3</v>
      </c>
      <c r="E98" s="55" t="s">
        <v>20</v>
      </c>
      <c r="F98" s="18" t="s">
        <v>21</v>
      </c>
      <c r="G98" s="18" t="s">
        <v>21</v>
      </c>
      <c r="H98" s="18" t="s">
        <v>21</v>
      </c>
      <c r="I98" s="18" t="s">
        <v>21</v>
      </c>
      <c r="J98" s="43" t="s">
        <v>20</v>
      </c>
      <c r="K98" s="43" t="s">
        <v>20</v>
      </c>
      <c r="L98" s="43" t="s">
        <v>21</v>
      </c>
      <c r="M98" s="18" t="s">
        <v>20</v>
      </c>
      <c r="N98" s="18" t="s">
        <v>20</v>
      </c>
      <c r="O98" s="18" t="s">
        <v>21</v>
      </c>
      <c r="P98" s="18" t="s">
        <v>21</v>
      </c>
      <c r="Q98" s="18" t="s">
        <v>21</v>
      </c>
      <c r="R98" s="18" t="s">
        <v>21</v>
      </c>
      <c r="S98" s="18" t="s">
        <v>20</v>
      </c>
      <c r="T98" s="18" t="s">
        <v>20</v>
      </c>
      <c r="U98" s="18" t="s">
        <v>20</v>
      </c>
      <c r="V98" s="37" t="s">
        <v>20</v>
      </c>
      <c r="W98" s="37" t="s">
        <v>20</v>
      </c>
      <c r="X98" s="37" t="s">
        <v>20</v>
      </c>
      <c r="Y98" s="18" t="s">
        <v>21</v>
      </c>
      <c r="Z98" s="18" t="s">
        <v>21</v>
      </c>
      <c r="AA98" s="20" t="s">
        <v>21</v>
      </c>
      <c r="AB98" s="20" t="s">
        <v>21</v>
      </c>
      <c r="AC98" s="20" t="s">
        <v>20</v>
      </c>
      <c r="AD98" s="44" t="s">
        <v>21</v>
      </c>
      <c r="AE98" s="44" t="s">
        <v>21</v>
      </c>
      <c r="AG98">
        <f t="shared" si="9"/>
        <v>0</v>
      </c>
      <c r="AH98">
        <f t="shared" si="10"/>
        <v>11</v>
      </c>
      <c r="AI98">
        <f t="shared" si="11"/>
        <v>15</v>
      </c>
      <c r="AJ98">
        <f t="shared" si="12"/>
        <v>0</v>
      </c>
      <c r="AL98">
        <f t="shared" si="13"/>
        <v>0</v>
      </c>
      <c r="AM98">
        <f t="shared" si="14"/>
        <v>33</v>
      </c>
      <c r="AN98">
        <f t="shared" si="15"/>
        <v>30</v>
      </c>
      <c r="AO98">
        <f t="shared" si="16"/>
        <v>0</v>
      </c>
      <c r="AP98">
        <f t="shared" si="17"/>
        <v>63</v>
      </c>
    </row>
    <row r="99" spans="1:42" ht="15.75" hidden="1" customHeight="1" x14ac:dyDescent="0.3">
      <c r="A99" s="16"/>
      <c r="B99" s="55">
        <v>9</v>
      </c>
      <c r="C99" s="56" t="s">
        <v>117</v>
      </c>
      <c r="D99" s="55">
        <v>3</v>
      </c>
      <c r="E99" s="55" t="s">
        <v>20</v>
      </c>
      <c r="F99" s="18" t="s">
        <v>20</v>
      </c>
      <c r="G99" s="18" t="s">
        <v>20</v>
      </c>
      <c r="H99" s="18" t="s">
        <v>20</v>
      </c>
      <c r="I99" s="18" t="s">
        <v>20</v>
      </c>
      <c r="J99" s="43" t="s">
        <v>20</v>
      </c>
      <c r="K99" s="43" t="s">
        <v>39</v>
      </c>
      <c r="L99" s="43" t="s">
        <v>20</v>
      </c>
      <c r="M99" s="18" t="s">
        <v>20</v>
      </c>
      <c r="N99" s="18" t="s">
        <v>20</v>
      </c>
      <c r="O99" s="18" t="s">
        <v>20</v>
      </c>
      <c r="P99" s="18" t="s">
        <v>20</v>
      </c>
      <c r="Q99" s="18" t="s">
        <v>20</v>
      </c>
      <c r="R99" s="18" t="s">
        <v>20</v>
      </c>
      <c r="S99" s="18" t="s">
        <v>20</v>
      </c>
      <c r="T99" s="18" t="s">
        <v>20</v>
      </c>
      <c r="U99" s="18" t="s">
        <v>20</v>
      </c>
      <c r="V99" s="37" t="s">
        <v>20</v>
      </c>
      <c r="W99" s="37" t="s">
        <v>20</v>
      </c>
      <c r="X99" s="37" t="s">
        <v>20</v>
      </c>
      <c r="Y99" s="18" t="s">
        <v>20</v>
      </c>
      <c r="Z99" s="18" t="s">
        <v>39</v>
      </c>
      <c r="AA99" s="20" t="s">
        <v>20</v>
      </c>
      <c r="AB99" s="20" t="s">
        <v>20</v>
      </c>
      <c r="AC99" s="20" t="s">
        <v>20</v>
      </c>
      <c r="AD99" s="37" t="s">
        <v>21</v>
      </c>
      <c r="AE99" s="37" t="s">
        <v>21</v>
      </c>
      <c r="AG99">
        <f t="shared" si="9"/>
        <v>2</v>
      </c>
      <c r="AH99">
        <f t="shared" si="10"/>
        <v>22</v>
      </c>
      <c r="AI99">
        <f t="shared" si="11"/>
        <v>2</v>
      </c>
      <c r="AJ99">
        <f t="shared" si="12"/>
        <v>0</v>
      </c>
      <c r="AL99">
        <f t="shared" si="13"/>
        <v>8</v>
      </c>
      <c r="AM99">
        <f t="shared" si="14"/>
        <v>66</v>
      </c>
      <c r="AN99">
        <f t="shared" si="15"/>
        <v>4</v>
      </c>
      <c r="AO99">
        <f t="shared" si="16"/>
        <v>0</v>
      </c>
      <c r="AP99">
        <f t="shared" si="17"/>
        <v>78</v>
      </c>
    </row>
    <row r="100" spans="1:42" ht="15.75" hidden="1" customHeight="1" x14ac:dyDescent="0.3">
      <c r="A100" s="16"/>
      <c r="B100" s="55">
        <v>10</v>
      </c>
      <c r="C100" s="56" t="s">
        <v>118</v>
      </c>
      <c r="D100" s="55">
        <v>3</v>
      </c>
      <c r="E100" s="55" t="s">
        <v>20</v>
      </c>
      <c r="F100" s="18" t="s">
        <v>23</v>
      </c>
      <c r="G100" s="18" t="s">
        <v>23</v>
      </c>
      <c r="H100" s="18" t="s">
        <v>23</v>
      </c>
      <c r="I100" s="18" t="s">
        <v>23</v>
      </c>
      <c r="J100" s="43" t="s">
        <v>21</v>
      </c>
      <c r="K100" s="43" t="s">
        <v>21</v>
      </c>
      <c r="L100" s="43" t="s">
        <v>21</v>
      </c>
      <c r="M100" s="18" t="s">
        <v>21</v>
      </c>
      <c r="N100" s="18" t="s">
        <v>23</v>
      </c>
      <c r="O100" s="18" t="s">
        <v>21</v>
      </c>
      <c r="P100" s="18" t="s">
        <v>23</v>
      </c>
      <c r="Q100" s="18" t="s">
        <v>21</v>
      </c>
      <c r="R100" s="18" t="s">
        <v>21</v>
      </c>
      <c r="S100" s="18" t="s">
        <v>20</v>
      </c>
      <c r="T100" s="18" t="s">
        <v>20</v>
      </c>
      <c r="U100" s="18" t="s">
        <v>21</v>
      </c>
      <c r="V100" s="37" t="s">
        <v>20</v>
      </c>
      <c r="W100" s="37" t="s">
        <v>21</v>
      </c>
      <c r="X100" s="37" t="s">
        <v>20</v>
      </c>
      <c r="Y100" s="18" t="s">
        <v>20</v>
      </c>
      <c r="Z100" s="18" t="s">
        <v>20</v>
      </c>
      <c r="AA100" s="20" t="s">
        <v>21</v>
      </c>
      <c r="AB100" s="20" t="s">
        <v>21</v>
      </c>
      <c r="AC100" s="20" t="s">
        <v>21</v>
      </c>
      <c r="AD100" s="37" t="s">
        <v>21</v>
      </c>
      <c r="AE100" s="37" t="s">
        <v>21</v>
      </c>
      <c r="AG100">
        <f t="shared" si="9"/>
        <v>0</v>
      </c>
      <c r="AH100">
        <f t="shared" si="10"/>
        <v>6</v>
      </c>
      <c r="AI100">
        <f t="shared" si="11"/>
        <v>14</v>
      </c>
      <c r="AJ100">
        <f t="shared" si="12"/>
        <v>6</v>
      </c>
      <c r="AL100">
        <f t="shared" si="13"/>
        <v>0</v>
      </c>
      <c r="AM100">
        <f t="shared" si="14"/>
        <v>18</v>
      </c>
      <c r="AN100">
        <f t="shared" si="15"/>
        <v>28</v>
      </c>
      <c r="AO100">
        <f t="shared" si="16"/>
        <v>6</v>
      </c>
      <c r="AP100">
        <f t="shared" si="17"/>
        <v>52</v>
      </c>
    </row>
    <row r="101" spans="1:42" ht="15.75" hidden="1" customHeight="1" x14ac:dyDescent="0.3">
      <c r="A101" s="16"/>
      <c r="B101" s="55">
        <v>11</v>
      </c>
      <c r="C101" s="56" t="s">
        <v>119</v>
      </c>
      <c r="D101" s="55">
        <v>3</v>
      </c>
      <c r="E101" s="55" t="s">
        <v>20</v>
      </c>
      <c r="F101" s="18" t="s">
        <v>21</v>
      </c>
      <c r="G101" s="18" t="s">
        <v>21</v>
      </c>
      <c r="H101" s="18" t="s">
        <v>21</v>
      </c>
      <c r="I101" s="18" t="s">
        <v>21</v>
      </c>
      <c r="J101" s="43" t="s">
        <v>21</v>
      </c>
      <c r="K101" s="43" t="s">
        <v>21</v>
      </c>
      <c r="L101" s="43" t="s">
        <v>21</v>
      </c>
      <c r="M101" s="18" t="s">
        <v>21</v>
      </c>
      <c r="N101" s="18" t="s">
        <v>21</v>
      </c>
      <c r="O101" s="18" t="s">
        <v>21</v>
      </c>
      <c r="P101" s="18" t="s">
        <v>23</v>
      </c>
      <c r="Q101" s="18" t="s">
        <v>21</v>
      </c>
      <c r="R101" s="18" t="s">
        <v>21</v>
      </c>
      <c r="S101" s="18" t="s">
        <v>20</v>
      </c>
      <c r="T101" s="18" t="s">
        <v>20</v>
      </c>
      <c r="U101" s="18" t="s">
        <v>21</v>
      </c>
      <c r="V101" s="37" t="s">
        <v>20</v>
      </c>
      <c r="W101" s="37" t="s">
        <v>20</v>
      </c>
      <c r="X101" s="37" t="s">
        <v>20</v>
      </c>
      <c r="Y101" s="18" t="s">
        <v>21</v>
      </c>
      <c r="Z101" s="18" t="s">
        <v>21</v>
      </c>
      <c r="AA101" s="20" t="s">
        <v>21</v>
      </c>
      <c r="AB101" s="20" t="s">
        <v>21</v>
      </c>
      <c r="AC101" s="20" t="s">
        <v>21</v>
      </c>
      <c r="AD101" s="37" t="s">
        <v>23</v>
      </c>
      <c r="AE101" s="37" t="s">
        <v>21</v>
      </c>
      <c r="AG101">
        <f t="shared" si="9"/>
        <v>0</v>
      </c>
      <c r="AH101">
        <f t="shared" si="10"/>
        <v>5</v>
      </c>
      <c r="AI101">
        <f t="shared" si="11"/>
        <v>19</v>
      </c>
      <c r="AJ101">
        <f t="shared" si="12"/>
        <v>2</v>
      </c>
      <c r="AL101">
        <f t="shared" si="13"/>
        <v>0</v>
      </c>
      <c r="AM101">
        <f t="shared" si="14"/>
        <v>15</v>
      </c>
      <c r="AN101">
        <f t="shared" si="15"/>
        <v>38</v>
      </c>
      <c r="AO101">
        <f t="shared" si="16"/>
        <v>2</v>
      </c>
      <c r="AP101">
        <f t="shared" si="17"/>
        <v>55</v>
      </c>
    </row>
    <row r="102" spans="1:42" ht="15.75" hidden="1" customHeight="1" x14ac:dyDescent="0.3">
      <c r="A102" s="16"/>
      <c r="B102" s="55">
        <v>12</v>
      </c>
      <c r="C102" s="56" t="s">
        <v>120</v>
      </c>
      <c r="D102" s="55">
        <v>3</v>
      </c>
      <c r="E102" s="55" t="s">
        <v>20</v>
      </c>
      <c r="F102" s="18" t="s">
        <v>21</v>
      </c>
      <c r="G102" s="18" t="s">
        <v>23</v>
      </c>
      <c r="H102" s="18" t="s">
        <v>23</v>
      </c>
      <c r="I102" s="18" t="s">
        <v>21</v>
      </c>
      <c r="J102" s="43" t="s">
        <v>21</v>
      </c>
      <c r="K102" s="43" t="s">
        <v>20</v>
      </c>
      <c r="L102" s="43" t="s">
        <v>21</v>
      </c>
      <c r="M102" s="18" t="s">
        <v>21</v>
      </c>
      <c r="N102" s="18" t="s">
        <v>21</v>
      </c>
      <c r="O102" s="18" t="s">
        <v>20</v>
      </c>
      <c r="P102" s="18" t="s">
        <v>21</v>
      </c>
      <c r="Q102" s="18" t="s">
        <v>21</v>
      </c>
      <c r="R102" s="18" t="s">
        <v>21</v>
      </c>
      <c r="S102" s="18" t="s">
        <v>21</v>
      </c>
      <c r="T102" s="18" t="s">
        <v>20</v>
      </c>
      <c r="U102" s="18" t="s">
        <v>21</v>
      </c>
      <c r="V102" s="37" t="s">
        <v>20</v>
      </c>
      <c r="W102" s="37" t="s">
        <v>21</v>
      </c>
      <c r="X102" s="37" t="s">
        <v>20</v>
      </c>
      <c r="Y102" s="18" t="s">
        <v>20</v>
      </c>
      <c r="Z102" s="18" t="s">
        <v>20</v>
      </c>
      <c r="AA102" s="20" t="s">
        <v>20</v>
      </c>
      <c r="AB102" s="20" t="s">
        <v>21</v>
      </c>
      <c r="AC102" s="20" t="s">
        <v>20</v>
      </c>
      <c r="AD102" s="37" t="s">
        <v>23</v>
      </c>
      <c r="AE102" s="37" t="s">
        <v>21</v>
      </c>
      <c r="AG102">
        <f t="shared" si="9"/>
        <v>0</v>
      </c>
      <c r="AH102">
        <f t="shared" si="10"/>
        <v>9</v>
      </c>
      <c r="AI102">
        <f t="shared" si="11"/>
        <v>14</v>
      </c>
      <c r="AJ102">
        <f t="shared" si="12"/>
        <v>3</v>
      </c>
      <c r="AL102">
        <f t="shared" si="13"/>
        <v>0</v>
      </c>
      <c r="AM102">
        <f t="shared" si="14"/>
        <v>27</v>
      </c>
      <c r="AN102">
        <f t="shared" si="15"/>
        <v>28</v>
      </c>
      <c r="AO102">
        <f t="shared" si="16"/>
        <v>3</v>
      </c>
      <c r="AP102">
        <f t="shared" si="17"/>
        <v>58</v>
      </c>
    </row>
    <row r="103" spans="1:42" ht="15.75" hidden="1" customHeight="1" x14ac:dyDescent="0.3">
      <c r="A103" s="16"/>
      <c r="B103" s="55">
        <v>13</v>
      </c>
      <c r="C103" s="56" t="s">
        <v>121</v>
      </c>
      <c r="D103" s="55">
        <v>3</v>
      </c>
      <c r="E103" s="55" t="s">
        <v>20</v>
      </c>
      <c r="F103" s="18" t="s">
        <v>20</v>
      </c>
      <c r="G103" s="18" t="s">
        <v>20</v>
      </c>
      <c r="H103" s="18" t="s">
        <v>20</v>
      </c>
      <c r="I103" s="18" t="s">
        <v>20</v>
      </c>
      <c r="J103" s="43" t="s">
        <v>20</v>
      </c>
      <c r="K103" s="43" t="s">
        <v>21</v>
      </c>
      <c r="L103" s="43" t="s">
        <v>21</v>
      </c>
      <c r="M103" s="18" t="s">
        <v>21</v>
      </c>
      <c r="N103" s="18" t="s">
        <v>21</v>
      </c>
      <c r="O103" s="18" t="s">
        <v>20</v>
      </c>
      <c r="P103" s="18" t="s">
        <v>20</v>
      </c>
      <c r="Q103" s="18" t="s">
        <v>20</v>
      </c>
      <c r="R103" s="18" t="s">
        <v>20</v>
      </c>
      <c r="S103" s="18" t="s">
        <v>20</v>
      </c>
      <c r="T103" s="18" t="s">
        <v>20</v>
      </c>
      <c r="U103" s="18" t="s">
        <v>21</v>
      </c>
      <c r="V103" s="37" t="s">
        <v>20</v>
      </c>
      <c r="W103" s="37" t="s">
        <v>21</v>
      </c>
      <c r="X103" s="37" t="s">
        <v>20</v>
      </c>
      <c r="Y103" s="18" t="s">
        <v>21</v>
      </c>
      <c r="Z103" s="18" t="s">
        <v>20</v>
      </c>
      <c r="AA103" s="20" t="s">
        <v>20</v>
      </c>
      <c r="AB103" s="20" t="s">
        <v>21</v>
      </c>
      <c r="AC103" s="20" t="s">
        <v>20</v>
      </c>
      <c r="AD103" s="37" t="s">
        <v>21</v>
      </c>
      <c r="AE103" s="37" t="s">
        <v>21</v>
      </c>
      <c r="AG103">
        <f t="shared" si="9"/>
        <v>0</v>
      </c>
      <c r="AH103">
        <f t="shared" si="10"/>
        <v>16</v>
      </c>
      <c r="AI103">
        <f t="shared" si="11"/>
        <v>10</v>
      </c>
      <c r="AJ103">
        <f t="shared" si="12"/>
        <v>0</v>
      </c>
      <c r="AL103">
        <f t="shared" si="13"/>
        <v>0</v>
      </c>
      <c r="AM103">
        <f t="shared" si="14"/>
        <v>48</v>
      </c>
      <c r="AN103">
        <f t="shared" si="15"/>
        <v>20</v>
      </c>
      <c r="AO103">
        <f t="shared" si="16"/>
        <v>0</v>
      </c>
      <c r="AP103">
        <f t="shared" si="17"/>
        <v>68</v>
      </c>
    </row>
    <row r="104" spans="1:42" ht="15.75" hidden="1" customHeight="1" x14ac:dyDescent="0.3">
      <c r="A104" s="16"/>
      <c r="B104" s="55">
        <v>14</v>
      </c>
      <c r="C104" s="56" t="s">
        <v>122</v>
      </c>
      <c r="D104" s="55">
        <v>3</v>
      </c>
      <c r="E104" s="55" t="s">
        <v>20</v>
      </c>
      <c r="F104" s="18" t="s">
        <v>23</v>
      </c>
      <c r="G104" s="18" t="s">
        <v>23</v>
      </c>
      <c r="H104" s="18" t="s">
        <v>23</v>
      </c>
      <c r="I104" s="18" t="s">
        <v>23</v>
      </c>
      <c r="J104" s="43" t="s">
        <v>21</v>
      </c>
      <c r="K104" s="43" t="s">
        <v>23</v>
      </c>
      <c r="L104" s="43" t="s">
        <v>21</v>
      </c>
      <c r="M104" s="18" t="s">
        <v>21</v>
      </c>
      <c r="N104" s="18" t="s">
        <v>23</v>
      </c>
      <c r="O104" s="18" t="s">
        <v>23</v>
      </c>
      <c r="P104" s="18" t="s">
        <v>23</v>
      </c>
      <c r="Q104" s="18" t="s">
        <v>21</v>
      </c>
      <c r="R104" s="18" t="s">
        <v>23</v>
      </c>
      <c r="S104" s="18" t="s">
        <v>23</v>
      </c>
      <c r="T104" s="18" t="s">
        <v>23</v>
      </c>
      <c r="U104" s="18" t="s">
        <v>21</v>
      </c>
      <c r="V104" s="37" t="s">
        <v>20</v>
      </c>
      <c r="W104" s="37" t="s">
        <v>21</v>
      </c>
      <c r="X104" s="37" t="s">
        <v>20</v>
      </c>
      <c r="Y104" s="18" t="s">
        <v>21</v>
      </c>
      <c r="Z104" s="18" t="s">
        <v>23</v>
      </c>
      <c r="AA104" s="20" t="s">
        <v>23</v>
      </c>
      <c r="AB104" s="20" t="s">
        <v>23</v>
      </c>
      <c r="AC104" s="20" t="s">
        <v>21</v>
      </c>
      <c r="AD104" s="37" t="s">
        <v>21</v>
      </c>
      <c r="AE104" s="37" t="s">
        <v>21</v>
      </c>
      <c r="AG104">
        <f t="shared" si="9"/>
        <v>0</v>
      </c>
      <c r="AH104">
        <f t="shared" si="10"/>
        <v>2</v>
      </c>
      <c r="AI104">
        <f t="shared" si="11"/>
        <v>10</v>
      </c>
      <c r="AJ104">
        <f t="shared" si="12"/>
        <v>14</v>
      </c>
      <c r="AL104">
        <f t="shared" si="13"/>
        <v>0</v>
      </c>
      <c r="AM104">
        <f t="shared" si="14"/>
        <v>6</v>
      </c>
      <c r="AN104">
        <f t="shared" si="15"/>
        <v>20</v>
      </c>
      <c r="AO104">
        <f t="shared" si="16"/>
        <v>14</v>
      </c>
      <c r="AP104">
        <f t="shared" si="17"/>
        <v>40</v>
      </c>
    </row>
    <row r="105" spans="1:42" ht="15.75" hidden="1" customHeight="1" x14ac:dyDescent="0.3">
      <c r="A105" s="16"/>
      <c r="B105" s="55">
        <v>15</v>
      </c>
      <c r="C105" s="56" t="s">
        <v>123</v>
      </c>
      <c r="D105" s="55">
        <v>3</v>
      </c>
      <c r="E105" s="55" t="s">
        <v>20</v>
      </c>
      <c r="F105" s="18" t="s">
        <v>39</v>
      </c>
      <c r="G105" s="18" t="s">
        <v>39</v>
      </c>
      <c r="H105" s="18" t="s">
        <v>20</v>
      </c>
      <c r="I105" s="18" t="s">
        <v>39</v>
      </c>
      <c r="J105" s="43" t="s">
        <v>20</v>
      </c>
      <c r="K105" s="43" t="s">
        <v>20</v>
      </c>
      <c r="L105" s="43" t="s">
        <v>20</v>
      </c>
      <c r="M105" s="18" t="s">
        <v>20</v>
      </c>
      <c r="N105" s="18" t="s">
        <v>21</v>
      </c>
      <c r="O105" s="18" t="s">
        <v>20</v>
      </c>
      <c r="P105" s="18" t="s">
        <v>20</v>
      </c>
      <c r="Q105" s="18" t="s">
        <v>20</v>
      </c>
      <c r="R105" s="18" t="s">
        <v>20</v>
      </c>
      <c r="S105" s="18" t="s">
        <v>20</v>
      </c>
      <c r="T105" s="18" t="s">
        <v>20</v>
      </c>
      <c r="U105" s="18" t="s">
        <v>20</v>
      </c>
      <c r="V105" s="37" t="s">
        <v>20</v>
      </c>
      <c r="W105" s="37" t="s">
        <v>20</v>
      </c>
      <c r="X105" s="37" t="s">
        <v>20</v>
      </c>
      <c r="Y105" s="18" t="s">
        <v>20</v>
      </c>
      <c r="Z105" s="18" t="s">
        <v>21</v>
      </c>
      <c r="AA105" s="20" t="s">
        <v>20</v>
      </c>
      <c r="AB105" s="20" t="s">
        <v>20</v>
      </c>
      <c r="AC105" s="20" t="s">
        <v>20</v>
      </c>
      <c r="AD105" s="37" t="s">
        <v>20</v>
      </c>
      <c r="AE105" s="37" t="s">
        <v>21</v>
      </c>
      <c r="AG105">
        <f t="shared" si="9"/>
        <v>3</v>
      </c>
      <c r="AH105">
        <f t="shared" si="10"/>
        <v>20</v>
      </c>
      <c r="AI105">
        <f t="shared" si="11"/>
        <v>3</v>
      </c>
      <c r="AJ105">
        <f t="shared" si="12"/>
        <v>0</v>
      </c>
      <c r="AL105">
        <f t="shared" si="13"/>
        <v>12</v>
      </c>
      <c r="AM105">
        <f t="shared" si="14"/>
        <v>60</v>
      </c>
      <c r="AN105">
        <f t="shared" si="15"/>
        <v>6</v>
      </c>
      <c r="AO105">
        <f t="shared" si="16"/>
        <v>0</v>
      </c>
      <c r="AP105">
        <f t="shared" si="17"/>
        <v>78</v>
      </c>
    </row>
    <row r="106" spans="1:42" ht="15.75" hidden="1" customHeight="1" x14ac:dyDescent="0.3">
      <c r="A106" s="16"/>
      <c r="B106" s="55">
        <v>16</v>
      </c>
      <c r="C106" s="56" t="s">
        <v>124</v>
      </c>
      <c r="D106" s="55">
        <v>3</v>
      </c>
      <c r="E106" s="55" t="s">
        <v>20</v>
      </c>
      <c r="F106" s="18" t="s">
        <v>20</v>
      </c>
      <c r="G106" s="18" t="s">
        <v>20</v>
      </c>
      <c r="H106" s="18" t="s">
        <v>20</v>
      </c>
      <c r="I106" s="18" t="s">
        <v>20</v>
      </c>
      <c r="J106" s="43" t="s">
        <v>20</v>
      </c>
      <c r="K106" s="43" t="s">
        <v>20</v>
      </c>
      <c r="L106" s="43" t="s">
        <v>20</v>
      </c>
      <c r="M106" s="18" t="s">
        <v>20</v>
      </c>
      <c r="N106" s="18" t="s">
        <v>20</v>
      </c>
      <c r="O106" s="18" t="s">
        <v>20</v>
      </c>
      <c r="P106" s="18" t="s">
        <v>20</v>
      </c>
      <c r="Q106" s="18" t="s">
        <v>20</v>
      </c>
      <c r="R106" s="18" t="s">
        <v>20</v>
      </c>
      <c r="S106" s="18" t="s">
        <v>20</v>
      </c>
      <c r="T106" s="18" t="s">
        <v>20</v>
      </c>
      <c r="U106" s="18" t="s">
        <v>20</v>
      </c>
      <c r="V106" s="37" t="s">
        <v>20</v>
      </c>
      <c r="W106" s="37" t="s">
        <v>20</v>
      </c>
      <c r="X106" s="37" t="s">
        <v>20</v>
      </c>
      <c r="Y106" s="18" t="s">
        <v>20</v>
      </c>
      <c r="Z106" s="18" t="s">
        <v>20</v>
      </c>
      <c r="AA106" s="20" t="s">
        <v>20</v>
      </c>
      <c r="AB106" s="20" t="s">
        <v>20</v>
      </c>
      <c r="AC106" s="20" t="s">
        <v>20</v>
      </c>
      <c r="AD106" s="37" t="s">
        <v>20</v>
      </c>
      <c r="AE106" s="37" t="s">
        <v>21</v>
      </c>
      <c r="AG106">
        <f t="shared" si="9"/>
        <v>0</v>
      </c>
      <c r="AH106">
        <f t="shared" si="10"/>
        <v>25</v>
      </c>
      <c r="AI106">
        <f t="shared" si="11"/>
        <v>1</v>
      </c>
      <c r="AJ106">
        <f t="shared" si="12"/>
        <v>0</v>
      </c>
      <c r="AL106">
        <f t="shared" si="13"/>
        <v>0</v>
      </c>
      <c r="AM106">
        <f t="shared" si="14"/>
        <v>75</v>
      </c>
      <c r="AN106">
        <f t="shared" si="15"/>
        <v>2</v>
      </c>
      <c r="AO106">
        <f t="shared" si="16"/>
        <v>0</v>
      </c>
      <c r="AP106">
        <f t="shared" si="17"/>
        <v>77</v>
      </c>
    </row>
    <row r="107" spans="1:42" ht="15.75" hidden="1" customHeight="1" x14ac:dyDescent="0.3">
      <c r="A107" s="16"/>
      <c r="B107" s="55">
        <v>17</v>
      </c>
      <c r="C107" s="56" t="s">
        <v>125</v>
      </c>
      <c r="D107" s="55">
        <v>3</v>
      </c>
      <c r="E107" s="55" t="s">
        <v>20</v>
      </c>
      <c r="F107" s="18" t="s">
        <v>20</v>
      </c>
      <c r="G107" s="18" t="s">
        <v>20</v>
      </c>
      <c r="H107" s="18" t="s">
        <v>20</v>
      </c>
      <c r="I107" s="18" t="s">
        <v>20</v>
      </c>
      <c r="J107" s="43" t="s">
        <v>39</v>
      </c>
      <c r="K107" s="43" t="s">
        <v>20</v>
      </c>
      <c r="L107" s="43" t="s">
        <v>20</v>
      </c>
      <c r="M107" s="18" t="s">
        <v>20</v>
      </c>
      <c r="N107" s="18" t="s">
        <v>20</v>
      </c>
      <c r="O107" s="18" t="s">
        <v>20</v>
      </c>
      <c r="P107" s="18" t="s">
        <v>20</v>
      </c>
      <c r="Q107" s="18" t="s">
        <v>20</v>
      </c>
      <c r="R107" s="18" t="s">
        <v>20</v>
      </c>
      <c r="S107" s="18" t="s">
        <v>21</v>
      </c>
      <c r="T107" s="18" t="s">
        <v>20</v>
      </c>
      <c r="U107" s="18" t="s">
        <v>20</v>
      </c>
      <c r="V107" s="37" t="s">
        <v>21</v>
      </c>
      <c r="W107" s="37" t="s">
        <v>20</v>
      </c>
      <c r="X107" s="37" t="s">
        <v>21</v>
      </c>
      <c r="Y107" s="18" t="s">
        <v>20</v>
      </c>
      <c r="Z107" s="18" t="s">
        <v>20</v>
      </c>
      <c r="AA107" s="20" t="s">
        <v>20</v>
      </c>
      <c r="AB107" s="20" t="s">
        <v>20</v>
      </c>
      <c r="AC107" s="20" t="s">
        <v>20</v>
      </c>
      <c r="AD107" s="37" t="s">
        <v>20</v>
      </c>
      <c r="AE107" s="37" t="s">
        <v>21</v>
      </c>
      <c r="AG107">
        <f t="shared" si="9"/>
        <v>1</v>
      </c>
      <c r="AH107">
        <f t="shared" si="10"/>
        <v>21</v>
      </c>
      <c r="AI107">
        <f t="shared" si="11"/>
        <v>4</v>
      </c>
      <c r="AJ107">
        <f t="shared" si="12"/>
        <v>0</v>
      </c>
      <c r="AL107">
        <f t="shared" si="13"/>
        <v>4</v>
      </c>
      <c r="AM107">
        <f t="shared" si="14"/>
        <v>63</v>
      </c>
      <c r="AN107">
        <f t="shared" si="15"/>
        <v>8</v>
      </c>
      <c r="AO107">
        <f t="shared" si="16"/>
        <v>0</v>
      </c>
      <c r="AP107">
        <f t="shared" si="17"/>
        <v>75</v>
      </c>
    </row>
    <row r="108" spans="1:42" ht="15.75" hidden="1" customHeight="1" x14ac:dyDescent="0.3">
      <c r="A108" s="16"/>
      <c r="B108" s="55">
        <v>18</v>
      </c>
      <c r="C108" s="56" t="s">
        <v>126</v>
      </c>
      <c r="D108" s="55">
        <v>3</v>
      </c>
      <c r="E108" s="55" t="s">
        <v>20</v>
      </c>
      <c r="F108" s="18" t="s">
        <v>39</v>
      </c>
      <c r="G108" s="18" t="s">
        <v>20</v>
      </c>
      <c r="H108" s="18" t="s">
        <v>20</v>
      </c>
      <c r="I108" s="18" t="s">
        <v>20</v>
      </c>
      <c r="J108" s="43" t="s">
        <v>20</v>
      </c>
      <c r="K108" s="43" t="s">
        <v>20</v>
      </c>
      <c r="L108" s="43" t="s">
        <v>20</v>
      </c>
      <c r="M108" s="18" t="s">
        <v>20</v>
      </c>
      <c r="N108" s="18" t="s">
        <v>20</v>
      </c>
      <c r="O108" s="18" t="s">
        <v>20</v>
      </c>
      <c r="P108" s="18" t="s">
        <v>20</v>
      </c>
      <c r="Q108" s="18" t="s">
        <v>20</v>
      </c>
      <c r="R108" s="18" t="s">
        <v>20</v>
      </c>
      <c r="S108" s="18" t="s">
        <v>20</v>
      </c>
      <c r="T108" s="18" t="s">
        <v>20</v>
      </c>
      <c r="U108" s="18" t="s">
        <v>20</v>
      </c>
      <c r="V108" s="37" t="s">
        <v>20</v>
      </c>
      <c r="W108" s="37" t="s">
        <v>20</v>
      </c>
      <c r="X108" s="37" t="s">
        <v>20</v>
      </c>
      <c r="Y108" s="18" t="s">
        <v>21</v>
      </c>
      <c r="Z108" s="18" t="s">
        <v>20</v>
      </c>
      <c r="AA108" s="20" t="s">
        <v>20</v>
      </c>
      <c r="AB108" s="20" t="s">
        <v>20</v>
      </c>
      <c r="AC108" s="20" t="s">
        <v>20</v>
      </c>
      <c r="AD108" s="37" t="s">
        <v>20</v>
      </c>
      <c r="AE108" s="37" t="s">
        <v>21</v>
      </c>
      <c r="AG108">
        <f t="shared" si="9"/>
        <v>1</v>
      </c>
      <c r="AH108">
        <f t="shared" si="10"/>
        <v>23</v>
      </c>
      <c r="AI108">
        <f t="shared" si="11"/>
        <v>2</v>
      </c>
      <c r="AJ108">
        <f t="shared" si="12"/>
        <v>0</v>
      </c>
      <c r="AL108">
        <f t="shared" si="13"/>
        <v>4</v>
      </c>
      <c r="AM108">
        <f t="shared" si="14"/>
        <v>69</v>
      </c>
      <c r="AN108">
        <f t="shared" si="15"/>
        <v>4</v>
      </c>
      <c r="AO108">
        <f t="shared" si="16"/>
        <v>0</v>
      </c>
      <c r="AP108">
        <f t="shared" si="17"/>
        <v>77</v>
      </c>
    </row>
    <row r="109" spans="1:42" ht="15.75" hidden="1" customHeight="1" thickBot="1" x14ac:dyDescent="0.35">
      <c r="A109" s="16"/>
      <c r="B109" s="57">
        <v>19</v>
      </c>
      <c r="C109" s="58" t="s">
        <v>127</v>
      </c>
      <c r="D109" s="57">
        <v>3</v>
      </c>
      <c r="E109" s="57" t="s">
        <v>20</v>
      </c>
      <c r="F109" s="21" t="s">
        <v>21</v>
      </c>
      <c r="G109" s="21" t="s">
        <v>23</v>
      </c>
      <c r="H109" s="21" t="s">
        <v>23</v>
      </c>
      <c r="I109" s="21" t="s">
        <v>23</v>
      </c>
      <c r="J109" s="45" t="s">
        <v>21</v>
      </c>
      <c r="K109" s="45" t="s">
        <v>20</v>
      </c>
      <c r="L109" s="45" t="s">
        <v>21</v>
      </c>
      <c r="M109" s="21" t="s">
        <v>21</v>
      </c>
      <c r="N109" s="21" t="s">
        <v>21</v>
      </c>
      <c r="O109" s="21" t="s">
        <v>21</v>
      </c>
      <c r="P109" s="21" t="s">
        <v>21</v>
      </c>
      <c r="Q109" s="21" t="s">
        <v>21</v>
      </c>
      <c r="R109" s="21" t="s">
        <v>21</v>
      </c>
      <c r="S109" s="21" t="s">
        <v>20</v>
      </c>
      <c r="T109" s="21" t="s">
        <v>20</v>
      </c>
      <c r="U109" s="21" t="s">
        <v>20</v>
      </c>
      <c r="V109" s="38" t="s">
        <v>20</v>
      </c>
      <c r="W109" s="38" t="s">
        <v>21</v>
      </c>
      <c r="X109" s="38" t="s">
        <v>20</v>
      </c>
      <c r="Y109" s="21" t="s">
        <v>23</v>
      </c>
      <c r="Z109" s="21" t="s">
        <v>20</v>
      </c>
      <c r="AA109" s="23" t="s">
        <v>21</v>
      </c>
      <c r="AB109" s="23" t="s">
        <v>21</v>
      </c>
      <c r="AC109" s="23" t="s">
        <v>21</v>
      </c>
      <c r="AD109" s="38" t="s">
        <v>21</v>
      </c>
      <c r="AE109" s="38" t="s">
        <v>21</v>
      </c>
      <c r="AG109">
        <f t="shared" si="9"/>
        <v>0</v>
      </c>
      <c r="AH109">
        <f t="shared" si="10"/>
        <v>7</v>
      </c>
      <c r="AI109">
        <f t="shared" si="11"/>
        <v>15</v>
      </c>
      <c r="AJ109">
        <f t="shared" si="12"/>
        <v>4</v>
      </c>
      <c r="AL109">
        <f t="shared" si="13"/>
        <v>0</v>
      </c>
      <c r="AM109">
        <f t="shared" si="14"/>
        <v>21</v>
      </c>
      <c r="AN109">
        <f t="shared" si="15"/>
        <v>30</v>
      </c>
      <c r="AO109">
        <f t="shared" si="16"/>
        <v>4</v>
      </c>
      <c r="AP109">
        <f t="shared" si="17"/>
        <v>55</v>
      </c>
    </row>
    <row r="110" spans="1:42" ht="15.75" hidden="1" customHeight="1" x14ac:dyDescent="0.3">
      <c r="A110" s="16"/>
      <c r="B110" s="59">
        <v>1</v>
      </c>
      <c r="C110" s="60" t="s">
        <v>128</v>
      </c>
      <c r="D110" s="59">
        <v>3</v>
      </c>
      <c r="E110" s="59" t="s">
        <v>21</v>
      </c>
      <c r="F110" s="24" t="s">
        <v>21</v>
      </c>
      <c r="G110" s="24" t="s">
        <v>20</v>
      </c>
      <c r="H110" s="24" t="s">
        <v>20</v>
      </c>
      <c r="I110" s="24" t="s">
        <v>20</v>
      </c>
      <c r="J110" s="27" t="s">
        <v>20</v>
      </c>
      <c r="K110" s="27" t="s">
        <v>20</v>
      </c>
      <c r="L110" s="27" t="s">
        <v>21</v>
      </c>
      <c r="M110" s="24" t="s">
        <v>20</v>
      </c>
      <c r="N110" s="24" t="s">
        <v>20</v>
      </c>
      <c r="O110" s="24" t="s">
        <v>20</v>
      </c>
      <c r="P110" s="24" t="s">
        <v>21</v>
      </c>
      <c r="Q110" s="24" t="s">
        <v>21</v>
      </c>
      <c r="R110" s="24" t="s">
        <v>20</v>
      </c>
      <c r="S110" s="24" t="s">
        <v>20</v>
      </c>
      <c r="T110" s="24" t="s">
        <v>20</v>
      </c>
      <c r="U110" s="24" t="s">
        <v>20</v>
      </c>
      <c r="V110" s="39" t="s">
        <v>21</v>
      </c>
      <c r="W110" s="39" t="s">
        <v>20</v>
      </c>
      <c r="X110" s="39" t="s">
        <v>20</v>
      </c>
      <c r="Y110" s="24" t="s">
        <v>20</v>
      </c>
      <c r="Z110" s="24" t="s">
        <v>20</v>
      </c>
      <c r="AA110" s="27" t="s">
        <v>21</v>
      </c>
      <c r="AB110" s="27" t="s">
        <v>21</v>
      </c>
      <c r="AC110" s="27" t="s">
        <v>21</v>
      </c>
      <c r="AD110" s="39" t="s">
        <v>21</v>
      </c>
      <c r="AE110" s="39" t="s">
        <v>21</v>
      </c>
      <c r="AG110">
        <f t="shared" si="9"/>
        <v>0</v>
      </c>
      <c r="AH110">
        <f t="shared" si="10"/>
        <v>16</v>
      </c>
      <c r="AI110">
        <f t="shared" si="11"/>
        <v>10</v>
      </c>
      <c r="AJ110">
        <f t="shared" si="12"/>
        <v>0</v>
      </c>
      <c r="AL110">
        <f t="shared" si="13"/>
        <v>0</v>
      </c>
      <c r="AM110">
        <f t="shared" si="14"/>
        <v>48</v>
      </c>
      <c r="AN110">
        <f t="shared" si="15"/>
        <v>20</v>
      </c>
      <c r="AO110">
        <f t="shared" si="16"/>
        <v>0</v>
      </c>
      <c r="AP110">
        <f t="shared" si="17"/>
        <v>68</v>
      </c>
    </row>
    <row r="111" spans="1:42" ht="15.75" hidden="1" customHeight="1" x14ac:dyDescent="0.3">
      <c r="A111" s="16"/>
      <c r="B111" s="55">
        <v>2</v>
      </c>
      <c r="C111" s="56" t="s">
        <v>129</v>
      </c>
      <c r="D111" s="55">
        <v>3</v>
      </c>
      <c r="E111" s="55" t="s">
        <v>21</v>
      </c>
      <c r="F111" s="18" t="s">
        <v>21</v>
      </c>
      <c r="G111" s="18" t="s">
        <v>20</v>
      </c>
      <c r="H111" s="18" t="s">
        <v>20</v>
      </c>
      <c r="I111" s="18" t="s">
        <v>20</v>
      </c>
      <c r="J111" s="20" t="s">
        <v>20</v>
      </c>
      <c r="K111" s="20" t="s">
        <v>20</v>
      </c>
      <c r="L111" s="20" t="s">
        <v>21</v>
      </c>
      <c r="M111" s="18" t="s">
        <v>20</v>
      </c>
      <c r="N111" s="18" t="s">
        <v>20</v>
      </c>
      <c r="O111" s="18" t="s">
        <v>20</v>
      </c>
      <c r="P111" s="18" t="s">
        <v>21</v>
      </c>
      <c r="Q111" s="18" t="s">
        <v>20</v>
      </c>
      <c r="R111" s="18" t="s">
        <v>20</v>
      </c>
      <c r="S111" s="18" t="s">
        <v>21</v>
      </c>
      <c r="T111" s="18" t="s">
        <v>20</v>
      </c>
      <c r="U111" s="18" t="s">
        <v>20</v>
      </c>
      <c r="V111" s="37" t="s">
        <v>21</v>
      </c>
      <c r="W111" s="37" t="s">
        <v>20</v>
      </c>
      <c r="X111" s="37" t="s">
        <v>20</v>
      </c>
      <c r="Y111" s="18" t="s">
        <v>21</v>
      </c>
      <c r="Z111" s="18" t="s">
        <v>20</v>
      </c>
      <c r="AA111" s="20" t="s">
        <v>20</v>
      </c>
      <c r="AB111" s="20" t="s">
        <v>20</v>
      </c>
      <c r="AC111" s="20" t="s">
        <v>20</v>
      </c>
      <c r="AD111" s="37" t="s">
        <v>21</v>
      </c>
      <c r="AE111" s="37" t="s">
        <v>21</v>
      </c>
      <c r="AG111">
        <f t="shared" si="9"/>
        <v>0</v>
      </c>
      <c r="AH111">
        <f t="shared" si="10"/>
        <v>18</v>
      </c>
      <c r="AI111">
        <f t="shared" si="11"/>
        <v>8</v>
      </c>
      <c r="AJ111">
        <f t="shared" si="12"/>
        <v>0</v>
      </c>
      <c r="AL111">
        <f t="shared" si="13"/>
        <v>0</v>
      </c>
      <c r="AM111">
        <f t="shared" si="14"/>
        <v>54</v>
      </c>
      <c r="AN111">
        <f t="shared" si="15"/>
        <v>16</v>
      </c>
      <c r="AO111">
        <f t="shared" si="16"/>
        <v>0</v>
      </c>
      <c r="AP111">
        <f t="shared" si="17"/>
        <v>70</v>
      </c>
    </row>
    <row r="112" spans="1:42" ht="15.75" hidden="1" customHeight="1" x14ac:dyDescent="0.3">
      <c r="A112" s="16"/>
      <c r="B112" s="55">
        <v>3</v>
      </c>
      <c r="C112" s="56" t="s">
        <v>130</v>
      </c>
      <c r="D112" s="55">
        <v>3</v>
      </c>
      <c r="E112" s="55" t="s">
        <v>21</v>
      </c>
      <c r="F112" s="18" t="s">
        <v>20</v>
      </c>
      <c r="G112" s="18" t="s">
        <v>20</v>
      </c>
      <c r="H112" s="18" t="s">
        <v>20</v>
      </c>
      <c r="I112" s="18" t="s">
        <v>20</v>
      </c>
      <c r="J112" s="20" t="s">
        <v>20</v>
      </c>
      <c r="K112" s="20" t="s">
        <v>20</v>
      </c>
      <c r="L112" s="20" t="s">
        <v>21</v>
      </c>
      <c r="M112" s="18" t="s">
        <v>20</v>
      </c>
      <c r="N112" s="18" t="s">
        <v>20</v>
      </c>
      <c r="O112" s="18" t="s">
        <v>21</v>
      </c>
      <c r="P112" s="18" t="s">
        <v>20</v>
      </c>
      <c r="Q112" s="18" t="s">
        <v>20</v>
      </c>
      <c r="R112" s="18" t="s">
        <v>20</v>
      </c>
      <c r="S112" s="18" t="s">
        <v>20</v>
      </c>
      <c r="T112" s="18" t="s">
        <v>20</v>
      </c>
      <c r="U112" s="18" t="s">
        <v>20</v>
      </c>
      <c r="V112" s="37" t="s">
        <v>20</v>
      </c>
      <c r="W112" s="37" t="s">
        <v>20</v>
      </c>
      <c r="X112" s="37" t="s">
        <v>20</v>
      </c>
      <c r="Y112" s="18" t="s">
        <v>20</v>
      </c>
      <c r="Z112" s="18" t="s">
        <v>20</v>
      </c>
      <c r="AA112" s="20" t="s">
        <v>20</v>
      </c>
      <c r="AB112" s="20" t="s">
        <v>20</v>
      </c>
      <c r="AC112" s="20" t="s">
        <v>20</v>
      </c>
      <c r="AD112" s="37" t="s">
        <v>20</v>
      </c>
      <c r="AE112" s="37" t="s">
        <v>21</v>
      </c>
      <c r="AG112">
        <f t="shared" si="9"/>
        <v>0</v>
      </c>
      <c r="AH112">
        <f t="shared" si="10"/>
        <v>23</v>
      </c>
      <c r="AI112">
        <f t="shared" si="11"/>
        <v>3</v>
      </c>
      <c r="AJ112">
        <f t="shared" si="12"/>
        <v>0</v>
      </c>
      <c r="AL112">
        <f t="shared" si="13"/>
        <v>0</v>
      </c>
      <c r="AM112">
        <f t="shared" si="14"/>
        <v>69</v>
      </c>
      <c r="AN112">
        <f t="shared" si="15"/>
        <v>6</v>
      </c>
      <c r="AO112">
        <f t="shared" si="16"/>
        <v>0</v>
      </c>
      <c r="AP112">
        <f t="shared" si="17"/>
        <v>75</v>
      </c>
    </row>
    <row r="113" spans="1:42" ht="15.75" hidden="1" customHeight="1" x14ac:dyDescent="0.3">
      <c r="A113" s="16"/>
      <c r="B113" s="55">
        <v>4</v>
      </c>
      <c r="C113" s="56" t="s">
        <v>131</v>
      </c>
      <c r="D113" s="55">
        <v>3</v>
      </c>
      <c r="E113" s="55" t="s">
        <v>21</v>
      </c>
      <c r="F113" s="18" t="s">
        <v>21</v>
      </c>
      <c r="G113" s="18" t="s">
        <v>21</v>
      </c>
      <c r="H113" s="18" t="s">
        <v>21</v>
      </c>
      <c r="I113" s="18" t="s">
        <v>20</v>
      </c>
      <c r="J113" s="20" t="s">
        <v>20</v>
      </c>
      <c r="K113" s="20" t="s">
        <v>20</v>
      </c>
      <c r="L113" s="20" t="s">
        <v>20</v>
      </c>
      <c r="M113" s="18" t="s">
        <v>20</v>
      </c>
      <c r="N113" s="18" t="s">
        <v>20</v>
      </c>
      <c r="O113" s="18" t="s">
        <v>20</v>
      </c>
      <c r="P113" s="18" t="s">
        <v>20</v>
      </c>
      <c r="Q113" s="18" t="s">
        <v>21</v>
      </c>
      <c r="R113" s="18" t="s">
        <v>20</v>
      </c>
      <c r="S113" s="18" t="s">
        <v>20</v>
      </c>
      <c r="T113" s="18" t="s">
        <v>20</v>
      </c>
      <c r="U113" s="18" t="s">
        <v>20</v>
      </c>
      <c r="V113" s="37" t="s">
        <v>21</v>
      </c>
      <c r="W113" s="37" t="s">
        <v>20</v>
      </c>
      <c r="X113" s="37" t="s">
        <v>21</v>
      </c>
      <c r="Y113" s="18" t="s">
        <v>20</v>
      </c>
      <c r="Z113" s="18" t="s">
        <v>20</v>
      </c>
      <c r="AA113" s="20" t="s">
        <v>21</v>
      </c>
      <c r="AB113" s="20" t="s">
        <v>21</v>
      </c>
      <c r="AC113" s="20" t="s">
        <v>21</v>
      </c>
      <c r="AD113" s="37" t="s">
        <v>23</v>
      </c>
      <c r="AE113" s="37" t="s">
        <v>21</v>
      </c>
      <c r="AG113">
        <f t="shared" si="9"/>
        <v>0</v>
      </c>
      <c r="AH113">
        <f t="shared" si="10"/>
        <v>15</v>
      </c>
      <c r="AI113">
        <f t="shared" si="11"/>
        <v>10</v>
      </c>
      <c r="AJ113">
        <f t="shared" si="12"/>
        <v>1</v>
      </c>
      <c r="AL113">
        <f t="shared" si="13"/>
        <v>0</v>
      </c>
      <c r="AM113">
        <f t="shared" si="14"/>
        <v>45</v>
      </c>
      <c r="AN113">
        <f t="shared" si="15"/>
        <v>20</v>
      </c>
      <c r="AO113">
        <f t="shared" si="16"/>
        <v>1</v>
      </c>
      <c r="AP113">
        <f t="shared" si="17"/>
        <v>66</v>
      </c>
    </row>
    <row r="114" spans="1:42" ht="15.75" hidden="1" customHeight="1" x14ac:dyDescent="0.3">
      <c r="A114" s="16"/>
      <c r="B114" s="55">
        <v>5</v>
      </c>
      <c r="C114" s="56" t="s">
        <v>132</v>
      </c>
      <c r="D114" s="55">
        <v>3</v>
      </c>
      <c r="E114" s="55" t="s">
        <v>21</v>
      </c>
      <c r="F114" s="18" t="s">
        <v>21</v>
      </c>
      <c r="G114" s="18" t="s">
        <v>20</v>
      </c>
      <c r="H114" s="18" t="s">
        <v>21</v>
      </c>
      <c r="I114" s="18" t="s">
        <v>20</v>
      </c>
      <c r="J114" s="20" t="s">
        <v>39</v>
      </c>
      <c r="K114" s="20" t="s">
        <v>39</v>
      </c>
      <c r="L114" s="20" t="s">
        <v>20</v>
      </c>
      <c r="M114" s="18" t="s">
        <v>20</v>
      </c>
      <c r="N114" s="18" t="s">
        <v>20</v>
      </c>
      <c r="O114" s="18" t="s">
        <v>20</v>
      </c>
      <c r="P114" s="18" t="s">
        <v>21</v>
      </c>
      <c r="Q114" s="18" t="s">
        <v>20</v>
      </c>
      <c r="R114" s="18" t="s">
        <v>20</v>
      </c>
      <c r="S114" s="18" t="s">
        <v>20</v>
      </c>
      <c r="T114" s="18" t="s">
        <v>20</v>
      </c>
      <c r="U114" s="18" t="s">
        <v>20</v>
      </c>
      <c r="V114" s="37" t="s">
        <v>20</v>
      </c>
      <c r="W114" s="37" t="s">
        <v>20</v>
      </c>
      <c r="X114" s="37" t="s">
        <v>20</v>
      </c>
      <c r="Y114" s="18" t="s">
        <v>20</v>
      </c>
      <c r="Z114" s="18" t="s">
        <v>20</v>
      </c>
      <c r="AA114" s="20" t="s">
        <v>20</v>
      </c>
      <c r="AB114" s="20" t="s">
        <v>20</v>
      </c>
      <c r="AC114" s="20" t="s">
        <v>20</v>
      </c>
      <c r="AD114" s="29" t="s">
        <v>23</v>
      </c>
      <c r="AE114" s="29" t="s">
        <v>21</v>
      </c>
      <c r="AG114">
        <f t="shared" si="9"/>
        <v>2</v>
      </c>
      <c r="AH114">
        <f t="shared" si="10"/>
        <v>19</v>
      </c>
      <c r="AI114">
        <f t="shared" si="11"/>
        <v>4</v>
      </c>
      <c r="AJ114">
        <f t="shared" si="12"/>
        <v>1</v>
      </c>
      <c r="AL114">
        <f t="shared" si="13"/>
        <v>8</v>
      </c>
      <c r="AM114">
        <f t="shared" si="14"/>
        <v>57</v>
      </c>
      <c r="AN114">
        <f t="shared" si="15"/>
        <v>8</v>
      </c>
      <c r="AO114">
        <f t="shared" si="16"/>
        <v>1</v>
      </c>
      <c r="AP114">
        <f t="shared" si="17"/>
        <v>74</v>
      </c>
    </row>
    <row r="115" spans="1:42" ht="15.75" hidden="1" customHeight="1" x14ac:dyDescent="0.3">
      <c r="A115" s="16"/>
      <c r="B115" s="55">
        <v>6</v>
      </c>
      <c r="C115" s="56" t="s">
        <v>133</v>
      </c>
      <c r="D115" s="55">
        <v>3</v>
      </c>
      <c r="E115" s="55" t="s">
        <v>21</v>
      </c>
      <c r="F115" s="18" t="s">
        <v>20</v>
      </c>
      <c r="G115" s="18" t="s">
        <v>20</v>
      </c>
      <c r="H115" s="18" t="s">
        <v>20</v>
      </c>
      <c r="I115" s="18" t="s">
        <v>20</v>
      </c>
      <c r="J115" s="20" t="s">
        <v>20</v>
      </c>
      <c r="K115" s="20" t="s">
        <v>20</v>
      </c>
      <c r="L115" s="20" t="s">
        <v>20</v>
      </c>
      <c r="M115" s="18" t="s">
        <v>20</v>
      </c>
      <c r="N115" s="18" t="s">
        <v>20</v>
      </c>
      <c r="O115" s="18" t="s">
        <v>20</v>
      </c>
      <c r="P115" s="18" t="s">
        <v>21</v>
      </c>
      <c r="Q115" s="18" t="s">
        <v>20</v>
      </c>
      <c r="R115" s="18" t="s">
        <v>20</v>
      </c>
      <c r="S115" s="18" t="s">
        <v>20</v>
      </c>
      <c r="T115" s="18" t="s">
        <v>20</v>
      </c>
      <c r="U115" s="18" t="s">
        <v>20</v>
      </c>
      <c r="V115" s="37" t="s">
        <v>20</v>
      </c>
      <c r="W115" s="37" t="s">
        <v>20</v>
      </c>
      <c r="X115" s="37" t="s">
        <v>21</v>
      </c>
      <c r="Y115" s="18" t="s">
        <v>20</v>
      </c>
      <c r="Z115" s="18" t="s">
        <v>20</v>
      </c>
      <c r="AA115" s="20" t="s">
        <v>20</v>
      </c>
      <c r="AB115" s="20" t="s">
        <v>20</v>
      </c>
      <c r="AC115" s="20" t="s">
        <v>20</v>
      </c>
      <c r="AD115" s="29" t="s">
        <v>20</v>
      </c>
      <c r="AE115" s="29" t="s">
        <v>21</v>
      </c>
      <c r="AG115">
        <f t="shared" si="9"/>
        <v>0</v>
      </c>
      <c r="AH115">
        <f t="shared" si="10"/>
        <v>23</v>
      </c>
      <c r="AI115">
        <f t="shared" si="11"/>
        <v>3</v>
      </c>
      <c r="AJ115">
        <f t="shared" si="12"/>
        <v>0</v>
      </c>
      <c r="AL115">
        <f t="shared" si="13"/>
        <v>0</v>
      </c>
      <c r="AM115">
        <f t="shared" si="14"/>
        <v>69</v>
      </c>
      <c r="AN115">
        <f t="shared" si="15"/>
        <v>6</v>
      </c>
      <c r="AO115">
        <f t="shared" si="16"/>
        <v>0</v>
      </c>
      <c r="AP115">
        <f t="shared" si="17"/>
        <v>75</v>
      </c>
    </row>
    <row r="116" spans="1:42" ht="15.75" hidden="1" customHeight="1" x14ac:dyDescent="0.3">
      <c r="A116" s="16"/>
      <c r="B116" s="55">
        <v>7</v>
      </c>
      <c r="C116" s="56" t="s">
        <v>134</v>
      </c>
      <c r="D116" s="55">
        <v>3</v>
      </c>
      <c r="E116" s="55" t="s">
        <v>21</v>
      </c>
      <c r="F116" s="18" t="s">
        <v>23</v>
      </c>
      <c r="G116" s="18" t="s">
        <v>21</v>
      </c>
      <c r="H116" s="18" t="s">
        <v>23</v>
      </c>
      <c r="I116" s="18" t="s">
        <v>21</v>
      </c>
      <c r="J116" s="20" t="s">
        <v>21</v>
      </c>
      <c r="K116" s="20" t="s">
        <v>21</v>
      </c>
      <c r="L116" s="20" t="s">
        <v>21</v>
      </c>
      <c r="M116" s="18" t="s">
        <v>20</v>
      </c>
      <c r="N116" s="18" t="s">
        <v>20</v>
      </c>
      <c r="O116" s="18" t="s">
        <v>21</v>
      </c>
      <c r="P116" s="18" t="s">
        <v>21</v>
      </c>
      <c r="Q116" s="18" t="s">
        <v>23</v>
      </c>
      <c r="R116" s="18" t="s">
        <v>21</v>
      </c>
      <c r="S116" s="18" t="s">
        <v>20</v>
      </c>
      <c r="T116" s="18" t="s">
        <v>21</v>
      </c>
      <c r="U116" s="18" t="s">
        <v>20</v>
      </c>
      <c r="V116" s="37" t="s">
        <v>21</v>
      </c>
      <c r="W116" s="37" t="s">
        <v>21</v>
      </c>
      <c r="X116" s="37" t="s">
        <v>21</v>
      </c>
      <c r="Y116" s="18" t="s">
        <v>20</v>
      </c>
      <c r="Z116" s="18" t="s">
        <v>20</v>
      </c>
      <c r="AA116" s="20" t="s">
        <v>21</v>
      </c>
      <c r="AB116" s="20" t="s">
        <v>21</v>
      </c>
      <c r="AC116" s="20" t="s">
        <v>21</v>
      </c>
      <c r="AD116" s="29" t="s">
        <v>21</v>
      </c>
      <c r="AE116" s="29" t="s">
        <v>21</v>
      </c>
      <c r="AG116">
        <f t="shared" si="9"/>
        <v>0</v>
      </c>
      <c r="AH116">
        <f t="shared" si="10"/>
        <v>6</v>
      </c>
      <c r="AI116">
        <f t="shared" si="11"/>
        <v>17</v>
      </c>
      <c r="AJ116">
        <f t="shared" si="12"/>
        <v>3</v>
      </c>
      <c r="AL116">
        <f t="shared" si="13"/>
        <v>0</v>
      </c>
      <c r="AM116">
        <f t="shared" si="14"/>
        <v>18</v>
      </c>
      <c r="AN116">
        <f t="shared" si="15"/>
        <v>34</v>
      </c>
      <c r="AO116">
        <f t="shared" si="16"/>
        <v>3</v>
      </c>
      <c r="AP116">
        <f t="shared" si="17"/>
        <v>55</v>
      </c>
    </row>
    <row r="117" spans="1:42" ht="15.75" hidden="1" customHeight="1" x14ac:dyDescent="0.3">
      <c r="A117" s="16"/>
      <c r="B117" s="55">
        <v>8</v>
      </c>
      <c r="C117" s="56" t="s">
        <v>135</v>
      </c>
      <c r="D117" s="55">
        <v>3</v>
      </c>
      <c r="E117" s="55" t="s">
        <v>21</v>
      </c>
      <c r="F117" s="18" t="s">
        <v>21</v>
      </c>
      <c r="G117" s="18" t="s">
        <v>23</v>
      </c>
      <c r="H117" s="18" t="s">
        <v>21</v>
      </c>
      <c r="I117" s="18" t="s">
        <v>21</v>
      </c>
      <c r="J117" s="20" t="s">
        <v>20</v>
      </c>
      <c r="K117" s="20" t="s">
        <v>20</v>
      </c>
      <c r="L117" s="20" t="s">
        <v>21</v>
      </c>
      <c r="M117" s="18" t="s">
        <v>20</v>
      </c>
      <c r="N117" s="18" t="s">
        <v>21</v>
      </c>
      <c r="O117" s="18" t="s">
        <v>20</v>
      </c>
      <c r="P117" s="18" t="s">
        <v>21</v>
      </c>
      <c r="Q117" s="18" t="s">
        <v>21</v>
      </c>
      <c r="R117" s="18" t="s">
        <v>21</v>
      </c>
      <c r="S117" s="18" t="s">
        <v>20</v>
      </c>
      <c r="T117" s="18" t="s">
        <v>20</v>
      </c>
      <c r="U117" s="18" t="s">
        <v>20</v>
      </c>
      <c r="V117" s="37" t="s">
        <v>20</v>
      </c>
      <c r="W117" s="37" t="s">
        <v>21</v>
      </c>
      <c r="X117" s="37" t="s">
        <v>20</v>
      </c>
      <c r="Y117" s="18" t="s">
        <v>20</v>
      </c>
      <c r="Z117" s="18" t="s">
        <v>20</v>
      </c>
      <c r="AA117" s="20" t="s">
        <v>23</v>
      </c>
      <c r="AB117" s="20" t="s">
        <v>23</v>
      </c>
      <c r="AC117" s="20" t="s">
        <v>21</v>
      </c>
      <c r="AD117" s="29" t="s">
        <v>21</v>
      </c>
      <c r="AE117" s="29" t="s">
        <v>21</v>
      </c>
      <c r="AG117">
        <f t="shared" si="9"/>
        <v>0</v>
      </c>
      <c r="AH117">
        <f t="shared" si="10"/>
        <v>11</v>
      </c>
      <c r="AI117">
        <f t="shared" si="11"/>
        <v>12</v>
      </c>
      <c r="AJ117">
        <f t="shared" si="12"/>
        <v>3</v>
      </c>
      <c r="AL117">
        <f t="shared" si="13"/>
        <v>0</v>
      </c>
      <c r="AM117">
        <f t="shared" si="14"/>
        <v>33</v>
      </c>
      <c r="AN117">
        <f t="shared" si="15"/>
        <v>24</v>
      </c>
      <c r="AO117">
        <f t="shared" si="16"/>
        <v>3</v>
      </c>
      <c r="AP117">
        <f t="shared" si="17"/>
        <v>60</v>
      </c>
    </row>
    <row r="118" spans="1:42" ht="15.75" hidden="1" customHeight="1" x14ac:dyDescent="0.3">
      <c r="A118" s="16"/>
      <c r="B118" s="55">
        <v>9</v>
      </c>
      <c r="C118" s="56" t="s">
        <v>136</v>
      </c>
      <c r="D118" s="55">
        <v>3</v>
      </c>
      <c r="E118" s="55" t="s">
        <v>21</v>
      </c>
      <c r="F118" s="18" t="s">
        <v>23</v>
      </c>
      <c r="G118" s="18" t="s">
        <v>21</v>
      </c>
      <c r="H118" s="18" t="s">
        <v>23</v>
      </c>
      <c r="I118" s="18" t="s">
        <v>21</v>
      </c>
      <c r="J118" s="20" t="s">
        <v>20</v>
      </c>
      <c r="K118" s="20" t="s">
        <v>21</v>
      </c>
      <c r="L118" s="20" t="s">
        <v>21</v>
      </c>
      <c r="M118" s="18" t="s">
        <v>21</v>
      </c>
      <c r="N118" s="18" t="s">
        <v>21</v>
      </c>
      <c r="O118" s="18" t="s">
        <v>21</v>
      </c>
      <c r="P118" s="18" t="s">
        <v>23</v>
      </c>
      <c r="Q118" s="18" t="s">
        <v>20</v>
      </c>
      <c r="R118" s="18" t="s">
        <v>21</v>
      </c>
      <c r="S118" s="18" t="s">
        <v>21</v>
      </c>
      <c r="T118" s="18" t="s">
        <v>20</v>
      </c>
      <c r="U118" s="18" t="s">
        <v>20</v>
      </c>
      <c r="V118" s="37" t="s">
        <v>21</v>
      </c>
      <c r="W118" s="37" t="s">
        <v>21</v>
      </c>
      <c r="X118" s="37" t="s">
        <v>21</v>
      </c>
      <c r="Y118" s="18" t="s">
        <v>20</v>
      </c>
      <c r="Z118" s="18" t="s">
        <v>20</v>
      </c>
      <c r="AA118" s="20" t="s">
        <v>23</v>
      </c>
      <c r="AB118" s="20" t="s">
        <v>23</v>
      </c>
      <c r="AC118" s="20" t="s">
        <v>21</v>
      </c>
      <c r="AD118" s="29" t="s">
        <v>21</v>
      </c>
      <c r="AE118" s="29" t="s">
        <v>21</v>
      </c>
      <c r="AG118">
        <f t="shared" si="9"/>
        <v>0</v>
      </c>
      <c r="AH118">
        <f t="shared" si="10"/>
        <v>6</v>
      </c>
      <c r="AI118">
        <f t="shared" si="11"/>
        <v>15</v>
      </c>
      <c r="AJ118">
        <f t="shared" si="12"/>
        <v>5</v>
      </c>
      <c r="AL118">
        <f t="shared" si="13"/>
        <v>0</v>
      </c>
      <c r="AM118">
        <f t="shared" si="14"/>
        <v>18</v>
      </c>
      <c r="AN118">
        <f t="shared" si="15"/>
        <v>30</v>
      </c>
      <c r="AO118">
        <f t="shared" si="16"/>
        <v>5</v>
      </c>
      <c r="AP118">
        <f t="shared" si="17"/>
        <v>53</v>
      </c>
    </row>
    <row r="119" spans="1:42" ht="15.75" hidden="1" customHeight="1" x14ac:dyDescent="0.3">
      <c r="A119" s="16"/>
      <c r="B119" s="55">
        <v>10</v>
      </c>
      <c r="C119" s="56" t="s">
        <v>137</v>
      </c>
      <c r="D119" s="55">
        <v>3</v>
      </c>
      <c r="E119" s="55" t="s">
        <v>21</v>
      </c>
      <c r="F119" s="18" t="s">
        <v>39</v>
      </c>
      <c r="G119" s="18" t="s">
        <v>20</v>
      </c>
      <c r="H119" s="18" t="s">
        <v>20</v>
      </c>
      <c r="I119" s="18" t="s">
        <v>20</v>
      </c>
      <c r="J119" s="20" t="s">
        <v>20</v>
      </c>
      <c r="K119" s="20" t="s">
        <v>39</v>
      </c>
      <c r="L119" s="20" t="s">
        <v>20</v>
      </c>
      <c r="M119" s="18" t="s">
        <v>20</v>
      </c>
      <c r="N119" s="18" t="s">
        <v>20</v>
      </c>
      <c r="O119" s="18" t="s">
        <v>20</v>
      </c>
      <c r="P119" s="18" t="s">
        <v>21</v>
      </c>
      <c r="Q119" s="18" t="s">
        <v>20</v>
      </c>
      <c r="R119" s="18" t="s">
        <v>20</v>
      </c>
      <c r="S119" s="18" t="s">
        <v>20</v>
      </c>
      <c r="T119" s="18" t="s">
        <v>20</v>
      </c>
      <c r="U119" s="18" t="s">
        <v>20</v>
      </c>
      <c r="V119" s="37" t="s">
        <v>21</v>
      </c>
      <c r="W119" s="37" t="s">
        <v>20</v>
      </c>
      <c r="X119" s="37" t="s">
        <v>20</v>
      </c>
      <c r="Y119" s="18" t="s">
        <v>20</v>
      </c>
      <c r="Z119" s="18" t="s">
        <v>20</v>
      </c>
      <c r="AA119" s="20" t="s">
        <v>20</v>
      </c>
      <c r="AB119" s="20" t="s">
        <v>20</v>
      </c>
      <c r="AC119" s="20" t="s">
        <v>20</v>
      </c>
      <c r="AD119" s="29" t="s">
        <v>20</v>
      </c>
      <c r="AE119" s="29" t="s">
        <v>21</v>
      </c>
      <c r="AG119">
        <f t="shared" si="9"/>
        <v>2</v>
      </c>
      <c r="AH119">
        <f t="shared" si="10"/>
        <v>21</v>
      </c>
      <c r="AI119">
        <f t="shared" si="11"/>
        <v>3</v>
      </c>
      <c r="AJ119">
        <f t="shared" si="12"/>
        <v>0</v>
      </c>
      <c r="AL119">
        <f t="shared" si="13"/>
        <v>8</v>
      </c>
      <c r="AM119">
        <f t="shared" si="14"/>
        <v>63</v>
      </c>
      <c r="AN119">
        <f t="shared" si="15"/>
        <v>6</v>
      </c>
      <c r="AO119">
        <f t="shared" si="16"/>
        <v>0</v>
      </c>
      <c r="AP119">
        <f t="shared" si="17"/>
        <v>77</v>
      </c>
    </row>
    <row r="120" spans="1:42" ht="15.75" hidden="1" customHeight="1" x14ac:dyDescent="0.3">
      <c r="A120" s="16"/>
      <c r="B120" s="55">
        <v>11</v>
      </c>
      <c r="C120" s="56" t="s">
        <v>138</v>
      </c>
      <c r="D120" s="55">
        <v>3</v>
      </c>
      <c r="E120" s="55" t="s">
        <v>21</v>
      </c>
      <c r="F120" s="18" t="s">
        <v>21</v>
      </c>
      <c r="G120" s="18" t="s">
        <v>21</v>
      </c>
      <c r="H120" s="18" t="s">
        <v>21</v>
      </c>
      <c r="I120" s="18" t="s">
        <v>21</v>
      </c>
      <c r="J120" s="20" t="s">
        <v>21</v>
      </c>
      <c r="K120" s="20" t="s">
        <v>21</v>
      </c>
      <c r="L120" s="20" t="s">
        <v>21</v>
      </c>
      <c r="M120" s="18" t="s">
        <v>21</v>
      </c>
      <c r="N120" s="18" t="s">
        <v>21</v>
      </c>
      <c r="O120" s="18" t="s">
        <v>21</v>
      </c>
      <c r="P120" s="18" t="s">
        <v>21</v>
      </c>
      <c r="Q120" s="18" t="s">
        <v>21</v>
      </c>
      <c r="R120" s="18" t="s">
        <v>23</v>
      </c>
      <c r="S120" s="18" t="s">
        <v>23</v>
      </c>
      <c r="T120" s="18" t="s">
        <v>21</v>
      </c>
      <c r="U120" s="18" t="s">
        <v>20</v>
      </c>
      <c r="V120" s="37" t="s">
        <v>21</v>
      </c>
      <c r="W120" s="37" t="s">
        <v>20</v>
      </c>
      <c r="X120" s="37" t="s">
        <v>21</v>
      </c>
      <c r="Y120" s="18" t="s">
        <v>21</v>
      </c>
      <c r="Z120" s="18" t="s">
        <v>21</v>
      </c>
      <c r="AA120" s="20" t="s">
        <v>21</v>
      </c>
      <c r="AB120" s="20" t="s">
        <v>21</v>
      </c>
      <c r="AC120" s="20" t="s">
        <v>21</v>
      </c>
      <c r="AD120" s="29" t="s">
        <v>23</v>
      </c>
      <c r="AE120" s="29" t="s">
        <v>21</v>
      </c>
      <c r="AG120">
        <f t="shared" si="9"/>
        <v>0</v>
      </c>
      <c r="AH120">
        <f t="shared" si="10"/>
        <v>2</v>
      </c>
      <c r="AI120">
        <f t="shared" si="11"/>
        <v>21</v>
      </c>
      <c r="AJ120">
        <f t="shared" si="12"/>
        <v>3</v>
      </c>
      <c r="AL120">
        <f t="shared" si="13"/>
        <v>0</v>
      </c>
      <c r="AM120">
        <f t="shared" si="14"/>
        <v>6</v>
      </c>
      <c r="AN120">
        <f t="shared" si="15"/>
        <v>42</v>
      </c>
      <c r="AO120">
        <f t="shared" si="16"/>
        <v>3</v>
      </c>
      <c r="AP120">
        <f t="shared" si="17"/>
        <v>51</v>
      </c>
    </row>
    <row r="121" spans="1:42" ht="15.75" hidden="1" customHeight="1" x14ac:dyDescent="0.3">
      <c r="A121" s="16"/>
      <c r="B121" s="55">
        <v>12</v>
      </c>
      <c r="C121" s="56" t="s">
        <v>139</v>
      </c>
      <c r="D121" s="55">
        <v>3</v>
      </c>
      <c r="E121" s="55" t="s">
        <v>21</v>
      </c>
      <c r="F121" s="18" t="s">
        <v>20</v>
      </c>
      <c r="G121" s="18" t="s">
        <v>20</v>
      </c>
      <c r="H121" s="18" t="s">
        <v>20</v>
      </c>
      <c r="I121" s="18" t="s">
        <v>20</v>
      </c>
      <c r="J121" s="20" t="s">
        <v>20</v>
      </c>
      <c r="K121" s="20" t="s">
        <v>20</v>
      </c>
      <c r="L121" s="20" t="s">
        <v>20</v>
      </c>
      <c r="M121" s="18" t="s">
        <v>20</v>
      </c>
      <c r="N121" s="18" t="s">
        <v>20</v>
      </c>
      <c r="O121" s="18" t="s">
        <v>20</v>
      </c>
      <c r="P121" s="18" t="s">
        <v>21</v>
      </c>
      <c r="Q121" s="18" t="s">
        <v>20</v>
      </c>
      <c r="R121" s="18" t="s">
        <v>21</v>
      </c>
      <c r="S121" s="18" t="s">
        <v>21</v>
      </c>
      <c r="T121" s="18" t="s">
        <v>21</v>
      </c>
      <c r="U121" s="18" t="s">
        <v>20</v>
      </c>
      <c r="V121" s="37" t="s">
        <v>20</v>
      </c>
      <c r="W121" s="37" t="s">
        <v>20</v>
      </c>
      <c r="X121" s="37" t="s">
        <v>21</v>
      </c>
      <c r="Y121" s="18" t="s">
        <v>21</v>
      </c>
      <c r="Z121" s="18" t="s">
        <v>20</v>
      </c>
      <c r="AA121" s="20" t="s">
        <v>20</v>
      </c>
      <c r="AB121" s="20" t="s">
        <v>20</v>
      </c>
      <c r="AC121" s="20" t="s">
        <v>20</v>
      </c>
      <c r="AD121" s="29" t="s">
        <v>23</v>
      </c>
      <c r="AE121" s="29" t="s">
        <v>21</v>
      </c>
      <c r="AG121">
        <f t="shared" si="9"/>
        <v>0</v>
      </c>
      <c r="AH121">
        <f t="shared" si="10"/>
        <v>18</v>
      </c>
      <c r="AI121">
        <f t="shared" si="11"/>
        <v>7</v>
      </c>
      <c r="AJ121">
        <f t="shared" si="12"/>
        <v>1</v>
      </c>
      <c r="AL121">
        <f t="shared" si="13"/>
        <v>0</v>
      </c>
      <c r="AM121">
        <f t="shared" si="14"/>
        <v>54</v>
      </c>
      <c r="AN121">
        <f t="shared" si="15"/>
        <v>14</v>
      </c>
      <c r="AO121">
        <f t="shared" si="16"/>
        <v>1</v>
      </c>
      <c r="AP121">
        <f t="shared" si="17"/>
        <v>69</v>
      </c>
    </row>
    <row r="122" spans="1:42" ht="15.75" hidden="1" customHeight="1" x14ac:dyDescent="0.3">
      <c r="A122" s="16"/>
      <c r="B122" s="55">
        <v>13</v>
      </c>
      <c r="C122" s="56" t="s">
        <v>140</v>
      </c>
      <c r="D122" s="55">
        <v>3</v>
      </c>
      <c r="E122" s="55" t="s">
        <v>21</v>
      </c>
      <c r="F122" s="18" t="s">
        <v>20</v>
      </c>
      <c r="G122" s="18" t="s">
        <v>20</v>
      </c>
      <c r="H122" s="18" t="s">
        <v>20</v>
      </c>
      <c r="I122" s="18" t="s">
        <v>39</v>
      </c>
      <c r="J122" s="20" t="s">
        <v>20</v>
      </c>
      <c r="K122" s="20" t="s">
        <v>20</v>
      </c>
      <c r="L122" s="20" t="s">
        <v>20</v>
      </c>
      <c r="M122" s="18" t="s">
        <v>20</v>
      </c>
      <c r="N122" s="18" t="s">
        <v>20</v>
      </c>
      <c r="O122" s="18" t="s">
        <v>20</v>
      </c>
      <c r="P122" s="18" t="s">
        <v>21</v>
      </c>
      <c r="Q122" s="18" t="s">
        <v>21</v>
      </c>
      <c r="R122" s="18" t="s">
        <v>20</v>
      </c>
      <c r="S122" s="18" t="s">
        <v>20</v>
      </c>
      <c r="T122" s="18" t="s">
        <v>20</v>
      </c>
      <c r="U122" s="18" t="s">
        <v>20</v>
      </c>
      <c r="V122" s="37" t="s">
        <v>20</v>
      </c>
      <c r="W122" s="37" t="s">
        <v>20</v>
      </c>
      <c r="X122" s="37" t="s">
        <v>20</v>
      </c>
      <c r="Y122" s="18" t="s">
        <v>21</v>
      </c>
      <c r="Z122" s="18" t="s">
        <v>21</v>
      </c>
      <c r="AA122" s="20" t="s">
        <v>21</v>
      </c>
      <c r="AB122" s="20" t="s">
        <v>20</v>
      </c>
      <c r="AC122" s="20" t="s">
        <v>21</v>
      </c>
      <c r="AD122" s="29" t="s">
        <v>55</v>
      </c>
      <c r="AE122" s="29" t="s">
        <v>55</v>
      </c>
      <c r="AG122">
        <f t="shared" si="9"/>
        <v>1</v>
      </c>
      <c r="AH122">
        <f t="shared" si="10"/>
        <v>17</v>
      </c>
      <c r="AI122">
        <f t="shared" si="11"/>
        <v>6</v>
      </c>
      <c r="AJ122">
        <f t="shared" si="12"/>
        <v>0</v>
      </c>
      <c r="AL122">
        <f t="shared" si="13"/>
        <v>4</v>
      </c>
      <c r="AM122">
        <f t="shared" si="14"/>
        <v>51</v>
      </c>
      <c r="AN122">
        <f t="shared" si="15"/>
        <v>12</v>
      </c>
      <c r="AO122">
        <f t="shared" si="16"/>
        <v>0</v>
      </c>
      <c r="AP122">
        <f t="shared" si="17"/>
        <v>67</v>
      </c>
    </row>
    <row r="123" spans="1:42" ht="15.75" hidden="1" customHeight="1" x14ac:dyDescent="0.3">
      <c r="A123" s="16"/>
      <c r="B123" s="55">
        <v>14</v>
      </c>
      <c r="C123" s="56" t="s">
        <v>141</v>
      </c>
      <c r="D123" s="55">
        <v>3</v>
      </c>
      <c r="E123" s="55" t="s">
        <v>21</v>
      </c>
      <c r="F123" s="18" t="s">
        <v>21</v>
      </c>
      <c r="G123" s="18" t="s">
        <v>21</v>
      </c>
      <c r="H123" s="18" t="s">
        <v>20</v>
      </c>
      <c r="I123" s="18" t="s">
        <v>20</v>
      </c>
      <c r="J123" s="20" t="s">
        <v>20</v>
      </c>
      <c r="K123" s="20" t="s">
        <v>20</v>
      </c>
      <c r="L123" s="20" t="s">
        <v>21</v>
      </c>
      <c r="M123" s="18" t="s">
        <v>20</v>
      </c>
      <c r="N123" s="18" t="s">
        <v>20</v>
      </c>
      <c r="O123" s="18" t="s">
        <v>20</v>
      </c>
      <c r="P123" s="18" t="s">
        <v>23</v>
      </c>
      <c r="Q123" s="18" t="s">
        <v>21</v>
      </c>
      <c r="R123" s="18" t="s">
        <v>21</v>
      </c>
      <c r="S123" s="18" t="s">
        <v>20</v>
      </c>
      <c r="T123" s="18" t="s">
        <v>20</v>
      </c>
      <c r="U123" s="18" t="s">
        <v>21</v>
      </c>
      <c r="V123" s="37" t="s">
        <v>21</v>
      </c>
      <c r="W123" s="37" t="s">
        <v>20</v>
      </c>
      <c r="X123" s="37" t="s">
        <v>21</v>
      </c>
      <c r="Y123" s="18" t="s">
        <v>21</v>
      </c>
      <c r="Z123" s="18" t="s">
        <v>21</v>
      </c>
      <c r="AA123" s="20" t="s">
        <v>21</v>
      </c>
      <c r="AB123" s="20" t="s">
        <v>21</v>
      </c>
      <c r="AC123" s="20" t="s">
        <v>20</v>
      </c>
      <c r="AD123" s="29" t="s">
        <v>21</v>
      </c>
      <c r="AE123" s="29" t="s">
        <v>21</v>
      </c>
      <c r="AG123">
        <f t="shared" si="9"/>
        <v>0</v>
      </c>
      <c r="AH123">
        <f t="shared" si="10"/>
        <v>11</v>
      </c>
      <c r="AI123">
        <f t="shared" si="11"/>
        <v>14</v>
      </c>
      <c r="AJ123">
        <f t="shared" si="12"/>
        <v>1</v>
      </c>
      <c r="AL123">
        <f t="shared" si="13"/>
        <v>0</v>
      </c>
      <c r="AM123">
        <f t="shared" si="14"/>
        <v>33</v>
      </c>
      <c r="AN123">
        <f t="shared" si="15"/>
        <v>28</v>
      </c>
      <c r="AO123">
        <f t="shared" si="16"/>
        <v>1</v>
      </c>
      <c r="AP123">
        <f t="shared" si="17"/>
        <v>62</v>
      </c>
    </row>
    <row r="124" spans="1:42" ht="15.75" hidden="1" customHeight="1" x14ac:dyDescent="0.3">
      <c r="A124" s="16"/>
      <c r="B124" s="55">
        <v>15</v>
      </c>
      <c r="C124" s="56" t="s">
        <v>142</v>
      </c>
      <c r="D124" s="55">
        <v>3</v>
      </c>
      <c r="E124" s="55" t="s">
        <v>21</v>
      </c>
      <c r="F124" s="18" t="s">
        <v>23</v>
      </c>
      <c r="G124" s="18" t="s">
        <v>23</v>
      </c>
      <c r="H124" s="18" t="s">
        <v>23</v>
      </c>
      <c r="I124" s="18" t="s">
        <v>21</v>
      </c>
      <c r="J124" s="20" t="s">
        <v>21</v>
      </c>
      <c r="K124" s="20" t="s">
        <v>21</v>
      </c>
      <c r="L124" s="20" t="s">
        <v>21</v>
      </c>
      <c r="M124" s="18" t="s">
        <v>21</v>
      </c>
      <c r="N124" s="18" t="s">
        <v>21</v>
      </c>
      <c r="O124" s="18" t="s">
        <v>21</v>
      </c>
      <c r="P124" s="18" t="s">
        <v>23</v>
      </c>
      <c r="Q124" s="18" t="s">
        <v>21</v>
      </c>
      <c r="R124" s="18" t="s">
        <v>21</v>
      </c>
      <c r="S124" s="18" t="s">
        <v>23</v>
      </c>
      <c r="T124" s="18" t="s">
        <v>23</v>
      </c>
      <c r="U124" s="18" t="s">
        <v>20</v>
      </c>
      <c r="V124" s="37" t="s">
        <v>20</v>
      </c>
      <c r="W124" s="37" t="s">
        <v>20</v>
      </c>
      <c r="X124" s="37" t="s">
        <v>21</v>
      </c>
      <c r="Y124" s="18" t="s">
        <v>23</v>
      </c>
      <c r="Z124" s="18" t="s">
        <v>21</v>
      </c>
      <c r="AA124" s="20" t="s">
        <v>21</v>
      </c>
      <c r="AB124" s="20" t="s">
        <v>21</v>
      </c>
      <c r="AC124" s="20" t="s">
        <v>21</v>
      </c>
      <c r="AD124" s="29" t="s">
        <v>23</v>
      </c>
      <c r="AE124" s="29" t="s">
        <v>21</v>
      </c>
      <c r="AG124">
        <f t="shared" si="9"/>
        <v>0</v>
      </c>
      <c r="AH124">
        <f t="shared" si="10"/>
        <v>3</v>
      </c>
      <c r="AI124">
        <f t="shared" si="11"/>
        <v>15</v>
      </c>
      <c r="AJ124">
        <f t="shared" si="12"/>
        <v>8</v>
      </c>
      <c r="AL124">
        <f t="shared" si="13"/>
        <v>0</v>
      </c>
      <c r="AM124">
        <f t="shared" si="14"/>
        <v>9</v>
      </c>
      <c r="AN124">
        <f t="shared" si="15"/>
        <v>30</v>
      </c>
      <c r="AO124">
        <f t="shared" si="16"/>
        <v>8</v>
      </c>
      <c r="AP124">
        <f t="shared" si="17"/>
        <v>47</v>
      </c>
    </row>
    <row r="125" spans="1:42" ht="15.75" hidden="1" customHeight="1" x14ac:dyDescent="0.3">
      <c r="A125" s="16"/>
      <c r="B125" s="55">
        <v>16</v>
      </c>
      <c r="C125" s="56" t="s">
        <v>143</v>
      </c>
      <c r="D125" s="55">
        <v>3</v>
      </c>
      <c r="E125" s="55" t="s">
        <v>21</v>
      </c>
      <c r="F125" s="18" t="s">
        <v>23</v>
      </c>
      <c r="G125" s="18" t="s">
        <v>23</v>
      </c>
      <c r="H125" s="18" t="s">
        <v>21</v>
      </c>
      <c r="I125" s="18" t="s">
        <v>21</v>
      </c>
      <c r="J125" s="20" t="s">
        <v>21</v>
      </c>
      <c r="K125" s="20" t="s">
        <v>21</v>
      </c>
      <c r="L125" s="20" t="s">
        <v>21</v>
      </c>
      <c r="M125" s="18" t="s">
        <v>21</v>
      </c>
      <c r="N125" s="18" t="s">
        <v>20</v>
      </c>
      <c r="O125" s="18" t="s">
        <v>21</v>
      </c>
      <c r="P125" s="18" t="s">
        <v>21</v>
      </c>
      <c r="Q125" s="18" t="s">
        <v>20</v>
      </c>
      <c r="R125" s="18" t="s">
        <v>21</v>
      </c>
      <c r="S125" s="18" t="s">
        <v>23</v>
      </c>
      <c r="T125" s="18" t="s">
        <v>21</v>
      </c>
      <c r="U125" s="18" t="s">
        <v>20</v>
      </c>
      <c r="V125" s="37" t="s">
        <v>21</v>
      </c>
      <c r="W125" s="37" t="s">
        <v>20</v>
      </c>
      <c r="X125" s="37" t="s">
        <v>21</v>
      </c>
      <c r="Y125" s="18" t="s">
        <v>23</v>
      </c>
      <c r="Z125" s="18" t="s">
        <v>21</v>
      </c>
      <c r="AA125" s="20" t="s">
        <v>21</v>
      </c>
      <c r="AB125" s="20" t="s">
        <v>21</v>
      </c>
      <c r="AC125" s="20" t="s">
        <v>21</v>
      </c>
      <c r="AD125" s="29" t="s">
        <v>23</v>
      </c>
      <c r="AE125" s="29" t="s">
        <v>21</v>
      </c>
      <c r="AG125">
        <f t="shared" si="9"/>
        <v>0</v>
      </c>
      <c r="AH125">
        <f t="shared" si="10"/>
        <v>4</v>
      </c>
      <c r="AI125">
        <f t="shared" si="11"/>
        <v>17</v>
      </c>
      <c r="AJ125">
        <f t="shared" si="12"/>
        <v>5</v>
      </c>
      <c r="AL125">
        <f t="shared" si="13"/>
        <v>0</v>
      </c>
      <c r="AM125">
        <f t="shared" si="14"/>
        <v>12</v>
      </c>
      <c r="AN125">
        <f t="shared" si="15"/>
        <v>34</v>
      </c>
      <c r="AO125">
        <f t="shared" si="16"/>
        <v>5</v>
      </c>
      <c r="AP125">
        <f t="shared" si="17"/>
        <v>51</v>
      </c>
    </row>
    <row r="126" spans="1:42" ht="15.75" hidden="1" customHeight="1" x14ac:dyDescent="0.3">
      <c r="A126" s="16"/>
      <c r="B126" s="55">
        <v>17</v>
      </c>
      <c r="C126" s="56" t="s">
        <v>144</v>
      </c>
      <c r="D126" s="55">
        <v>3</v>
      </c>
      <c r="E126" s="55" t="s">
        <v>21</v>
      </c>
      <c r="F126" s="18" t="s">
        <v>21</v>
      </c>
      <c r="G126" s="18" t="s">
        <v>21</v>
      </c>
      <c r="H126" s="18" t="s">
        <v>21</v>
      </c>
      <c r="I126" s="18" t="s">
        <v>21</v>
      </c>
      <c r="J126" s="20" t="s">
        <v>21</v>
      </c>
      <c r="K126" s="20" t="s">
        <v>21</v>
      </c>
      <c r="L126" s="20" t="s">
        <v>21</v>
      </c>
      <c r="M126" s="18" t="s">
        <v>20</v>
      </c>
      <c r="N126" s="18" t="s">
        <v>20</v>
      </c>
      <c r="O126" s="18" t="s">
        <v>20</v>
      </c>
      <c r="P126" s="18" t="s">
        <v>21</v>
      </c>
      <c r="Q126" s="18" t="s">
        <v>21</v>
      </c>
      <c r="R126" s="18" t="s">
        <v>21</v>
      </c>
      <c r="S126" s="18" t="s">
        <v>20</v>
      </c>
      <c r="T126" s="18" t="s">
        <v>20</v>
      </c>
      <c r="U126" s="18" t="s">
        <v>20</v>
      </c>
      <c r="V126" s="37" t="s">
        <v>21</v>
      </c>
      <c r="W126" s="37" t="s">
        <v>20</v>
      </c>
      <c r="X126" s="37" t="s">
        <v>21</v>
      </c>
      <c r="Y126" s="18" t="s">
        <v>20</v>
      </c>
      <c r="Z126" s="18" t="s">
        <v>20</v>
      </c>
      <c r="AA126" s="20" t="s">
        <v>21</v>
      </c>
      <c r="AB126" s="20" t="s">
        <v>20</v>
      </c>
      <c r="AC126" s="20" t="s">
        <v>21</v>
      </c>
      <c r="AD126" s="29" t="s">
        <v>20</v>
      </c>
      <c r="AE126" s="29" t="s">
        <v>21</v>
      </c>
      <c r="AG126">
        <f t="shared" si="9"/>
        <v>0</v>
      </c>
      <c r="AH126">
        <f t="shared" si="10"/>
        <v>11</v>
      </c>
      <c r="AI126">
        <f t="shared" si="11"/>
        <v>15</v>
      </c>
      <c r="AJ126">
        <f t="shared" si="12"/>
        <v>0</v>
      </c>
      <c r="AL126">
        <f t="shared" si="13"/>
        <v>0</v>
      </c>
      <c r="AM126">
        <f t="shared" si="14"/>
        <v>33</v>
      </c>
      <c r="AN126">
        <f t="shared" si="15"/>
        <v>30</v>
      </c>
      <c r="AO126">
        <f t="shared" si="16"/>
        <v>0</v>
      </c>
      <c r="AP126">
        <f t="shared" si="17"/>
        <v>63</v>
      </c>
    </row>
    <row r="127" spans="1:42" ht="15.75" hidden="1" customHeight="1" x14ac:dyDescent="0.3">
      <c r="A127" s="16"/>
      <c r="B127" s="55">
        <v>18</v>
      </c>
      <c r="C127" s="56" t="s">
        <v>145</v>
      </c>
      <c r="D127" s="55">
        <v>3</v>
      </c>
      <c r="E127" s="55" t="s">
        <v>21</v>
      </c>
      <c r="F127" s="18" t="s">
        <v>21</v>
      </c>
      <c r="G127" s="18" t="s">
        <v>21</v>
      </c>
      <c r="H127" s="18" t="s">
        <v>20</v>
      </c>
      <c r="I127" s="18" t="s">
        <v>21</v>
      </c>
      <c r="J127" s="20" t="s">
        <v>20</v>
      </c>
      <c r="K127" s="20" t="s">
        <v>20</v>
      </c>
      <c r="L127" s="20" t="s">
        <v>20</v>
      </c>
      <c r="M127" s="18" t="s">
        <v>21</v>
      </c>
      <c r="N127" s="18" t="s">
        <v>20</v>
      </c>
      <c r="O127" s="18" t="s">
        <v>21</v>
      </c>
      <c r="P127" s="18" t="s">
        <v>21</v>
      </c>
      <c r="Q127" s="18" t="s">
        <v>21</v>
      </c>
      <c r="R127" s="18" t="s">
        <v>20</v>
      </c>
      <c r="S127" s="18" t="s">
        <v>20</v>
      </c>
      <c r="T127" s="18" t="s">
        <v>20</v>
      </c>
      <c r="U127" s="18" t="s">
        <v>20</v>
      </c>
      <c r="V127" s="37" t="s">
        <v>20</v>
      </c>
      <c r="W127" s="37" t="s">
        <v>20</v>
      </c>
      <c r="X127" s="37" t="s">
        <v>20</v>
      </c>
      <c r="Y127" s="18" t="s">
        <v>20</v>
      </c>
      <c r="Z127" s="18" t="s">
        <v>21</v>
      </c>
      <c r="AA127" s="20" t="s">
        <v>20</v>
      </c>
      <c r="AB127" s="20" t="s">
        <v>21</v>
      </c>
      <c r="AC127" s="20" t="s">
        <v>20</v>
      </c>
      <c r="AD127" s="29" t="s">
        <v>20</v>
      </c>
      <c r="AE127" s="29" t="s">
        <v>21</v>
      </c>
      <c r="AG127">
        <f t="shared" si="9"/>
        <v>0</v>
      </c>
      <c r="AH127">
        <f t="shared" si="10"/>
        <v>16</v>
      </c>
      <c r="AI127">
        <f t="shared" si="11"/>
        <v>10</v>
      </c>
      <c r="AJ127">
        <f t="shared" si="12"/>
        <v>0</v>
      </c>
      <c r="AL127">
        <f t="shared" si="13"/>
        <v>0</v>
      </c>
      <c r="AM127">
        <f t="shared" si="14"/>
        <v>48</v>
      </c>
      <c r="AN127">
        <f t="shared" si="15"/>
        <v>20</v>
      </c>
      <c r="AO127">
        <f t="shared" si="16"/>
        <v>0</v>
      </c>
      <c r="AP127">
        <f t="shared" si="17"/>
        <v>68</v>
      </c>
    </row>
    <row r="128" spans="1:42" ht="15.75" hidden="1" customHeight="1" x14ac:dyDescent="0.3">
      <c r="A128" s="16"/>
      <c r="B128" s="55">
        <v>19</v>
      </c>
      <c r="C128" s="56" t="s">
        <v>146</v>
      </c>
      <c r="D128" s="55">
        <v>3</v>
      </c>
      <c r="E128" s="55" t="s">
        <v>21</v>
      </c>
      <c r="F128" s="18" t="s">
        <v>21</v>
      </c>
      <c r="G128" s="18" t="s">
        <v>21</v>
      </c>
      <c r="H128" s="18" t="s">
        <v>21</v>
      </c>
      <c r="I128" s="18" t="s">
        <v>21</v>
      </c>
      <c r="J128" s="20" t="s">
        <v>21</v>
      </c>
      <c r="K128" s="20" t="s">
        <v>21</v>
      </c>
      <c r="L128" s="20" t="s">
        <v>21</v>
      </c>
      <c r="M128" s="18" t="s">
        <v>21</v>
      </c>
      <c r="N128" s="18" t="s">
        <v>20</v>
      </c>
      <c r="O128" s="18" t="s">
        <v>21</v>
      </c>
      <c r="P128" s="18" t="s">
        <v>21</v>
      </c>
      <c r="Q128" s="18" t="s">
        <v>21</v>
      </c>
      <c r="R128" s="18" t="s">
        <v>23</v>
      </c>
      <c r="S128" s="18" t="s">
        <v>21</v>
      </c>
      <c r="T128" s="18" t="s">
        <v>20</v>
      </c>
      <c r="U128" s="18" t="s">
        <v>21</v>
      </c>
      <c r="V128" s="37" t="s">
        <v>21</v>
      </c>
      <c r="W128" s="37" t="s">
        <v>20</v>
      </c>
      <c r="X128" s="37" t="s">
        <v>21</v>
      </c>
      <c r="Y128" s="18" t="s">
        <v>20</v>
      </c>
      <c r="Z128" s="18" t="s">
        <v>20</v>
      </c>
      <c r="AA128" s="20" t="s">
        <v>21</v>
      </c>
      <c r="AB128" s="20" t="s">
        <v>21</v>
      </c>
      <c r="AC128" s="20" t="s">
        <v>23</v>
      </c>
      <c r="AD128" s="29" t="s">
        <v>20</v>
      </c>
      <c r="AE128" s="29" t="s">
        <v>21</v>
      </c>
      <c r="AG128">
        <f t="shared" si="9"/>
        <v>0</v>
      </c>
      <c r="AH128">
        <f t="shared" si="10"/>
        <v>6</v>
      </c>
      <c r="AI128">
        <f t="shared" si="11"/>
        <v>18</v>
      </c>
      <c r="AJ128">
        <f t="shared" si="12"/>
        <v>2</v>
      </c>
      <c r="AL128">
        <f t="shared" si="13"/>
        <v>0</v>
      </c>
      <c r="AM128">
        <f t="shared" si="14"/>
        <v>18</v>
      </c>
      <c r="AN128">
        <f t="shared" si="15"/>
        <v>36</v>
      </c>
      <c r="AO128">
        <f t="shared" si="16"/>
        <v>2</v>
      </c>
      <c r="AP128">
        <f t="shared" si="17"/>
        <v>56</v>
      </c>
    </row>
    <row r="129" spans="1:42" ht="15.75" hidden="1" customHeight="1" x14ac:dyDescent="0.3">
      <c r="A129" s="16"/>
      <c r="B129" s="55">
        <v>20</v>
      </c>
      <c r="C129" s="56" t="s">
        <v>147</v>
      </c>
      <c r="D129" s="55">
        <v>3</v>
      </c>
      <c r="E129" s="55" t="s">
        <v>21</v>
      </c>
      <c r="F129" s="18" t="s">
        <v>20</v>
      </c>
      <c r="G129" s="18" t="s">
        <v>20</v>
      </c>
      <c r="H129" s="18" t="s">
        <v>20</v>
      </c>
      <c r="I129" s="18" t="s">
        <v>20</v>
      </c>
      <c r="J129" s="20" t="s">
        <v>21</v>
      </c>
      <c r="K129" s="20" t="s">
        <v>21</v>
      </c>
      <c r="L129" s="20" t="s">
        <v>21</v>
      </c>
      <c r="M129" s="18" t="s">
        <v>20</v>
      </c>
      <c r="N129" s="18" t="s">
        <v>20</v>
      </c>
      <c r="O129" s="18" t="s">
        <v>20</v>
      </c>
      <c r="P129" s="18" t="s">
        <v>21</v>
      </c>
      <c r="Q129" s="18" t="s">
        <v>20</v>
      </c>
      <c r="R129" s="18" t="s">
        <v>21</v>
      </c>
      <c r="S129" s="18" t="s">
        <v>20</v>
      </c>
      <c r="T129" s="18" t="s">
        <v>20</v>
      </c>
      <c r="U129" s="18" t="s">
        <v>20</v>
      </c>
      <c r="V129" s="37" t="s">
        <v>21</v>
      </c>
      <c r="W129" s="37" t="s">
        <v>20</v>
      </c>
      <c r="X129" s="37" t="s">
        <v>21</v>
      </c>
      <c r="Y129" s="18" t="s">
        <v>21</v>
      </c>
      <c r="Z129" s="18" t="s">
        <v>20</v>
      </c>
      <c r="AA129" s="20" t="s">
        <v>21</v>
      </c>
      <c r="AB129" s="20" t="s">
        <v>21</v>
      </c>
      <c r="AC129" s="20" t="s">
        <v>21</v>
      </c>
      <c r="AD129" s="29" t="s">
        <v>20</v>
      </c>
      <c r="AE129" s="29" t="s">
        <v>21</v>
      </c>
      <c r="AG129">
        <f t="shared" si="9"/>
        <v>0</v>
      </c>
      <c r="AH129">
        <f t="shared" si="10"/>
        <v>14</v>
      </c>
      <c r="AI129">
        <f t="shared" si="11"/>
        <v>12</v>
      </c>
      <c r="AJ129">
        <f t="shared" si="12"/>
        <v>0</v>
      </c>
      <c r="AL129">
        <f t="shared" si="13"/>
        <v>0</v>
      </c>
      <c r="AM129">
        <f t="shared" si="14"/>
        <v>42</v>
      </c>
      <c r="AN129">
        <f t="shared" si="15"/>
        <v>24</v>
      </c>
      <c r="AO129">
        <f t="shared" si="16"/>
        <v>0</v>
      </c>
      <c r="AP129">
        <f t="shared" si="17"/>
        <v>66</v>
      </c>
    </row>
    <row r="130" spans="1:42" ht="15.75" hidden="1" customHeight="1" thickBot="1" x14ac:dyDescent="0.35">
      <c r="A130" s="16"/>
      <c r="B130" s="57">
        <v>21</v>
      </c>
      <c r="C130" s="58" t="s">
        <v>148</v>
      </c>
      <c r="D130" s="57">
        <v>3</v>
      </c>
      <c r="E130" s="57" t="s">
        <v>21</v>
      </c>
      <c r="F130" s="21" t="s">
        <v>20</v>
      </c>
      <c r="G130" s="21" t="s">
        <v>20</v>
      </c>
      <c r="H130" s="21" t="s">
        <v>21</v>
      </c>
      <c r="I130" s="21" t="s">
        <v>20</v>
      </c>
      <c r="J130" s="23" t="s">
        <v>20</v>
      </c>
      <c r="K130" s="23" t="s">
        <v>20</v>
      </c>
      <c r="L130" s="23" t="s">
        <v>21</v>
      </c>
      <c r="M130" s="21" t="s">
        <v>21</v>
      </c>
      <c r="N130" s="21" t="s">
        <v>21</v>
      </c>
      <c r="O130" s="21" t="s">
        <v>21</v>
      </c>
      <c r="P130" s="21" t="s">
        <v>21</v>
      </c>
      <c r="Q130" s="21" t="s">
        <v>21</v>
      </c>
      <c r="R130" s="21" t="s">
        <v>21</v>
      </c>
      <c r="S130" s="21" t="s">
        <v>20</v>
      </c>
      <c r="T130" s="21" t="s">
        <v>20</v>
      </c>
      <c r="U130" s="21" t="s">
        <v>21</v>
      </c>
      <c r="V130" s="38" t="s">
        <v>21</v>
      </c>
      <c r="W130" s="38" t="s">
        <v>21</v>
      </c>
      <c r="X130" s="38" t="s">
        <v>21</v>
      </c>
      <c r="Y130" s="21" t="s">
        <v>20</v>
      </c>
      <c r="Z130" s="21" t="s">
        <v>20</v>
      </c>
      <c r="AA130" s="23" t="s">
        <v>21</v>
      </c>
      <c r="AB130" s="23" t="s">
        <v>21</v>
      </c>
      <c r="AC130" s="23" t="s">
        <v>21</v>
      </c>
      <c r="AD130" s="31" t="s">
        <v>20</v>
      </c>
      <c r="AE130" s="31" t="s">
        <v>21</v>
      </c>
      <c r="AG130">
        <f t="shared" si="9"/>
        <v>0</v>
      </c>
      <c r="AH130">
        <f t="shared" si="10"/>
        <v>10</v>
      </c>
      <c r="AI130">
        <f t="shared" si="11"/>
        <v>16</v>
      </c>
      <c r="AJ130">
        <f t="shared" si="12"/>
        <v>0</v>
      </c>
      <c r="AL130">
        <f t="shared" si="13"/>
        <v>0</v>
      </c>
      <c r="AM130">
        <f t="shared" si="14"/>
        <v>30</v>
      </c>
      <c r="AN130">
        <f t="shared" si="15"/>
        <v>32</v>
      </c>
      <c r="AO130">
        <f t="shared" si="16"/>
        <v>0</v>
      </c>
      <c r="AP130">
        <f t="shared" si="17"/>
        <v>62</v>
      </c>
    </row>
    <row r="131" spans="1:42" ht="15.75" hidden="1" customHeight="1" x14ac:dyDescent="0.3">
      <c r="A131" s="16"/>
      <c r="B131" s="59">
        <v>1</v>
      </c>
      <c r="C131" s="60" t="s">
        <v>149</v>
      </c>
      <c r="D131" s="59">
        <v>4</v>
      </c>
      <c r="E131" s="59" t="s">
        <v>20</v>
      </c>
      <c r="F131" s="24" t="s">
        <v>20</v>
      </c>
      <c r="G131" s="24" t="s">
        <v>20</v>
      </c>
      <c r="H131" s="24" t="s">
        <v>20</v>
      </c>
      <c r="I131" s="24" t="s">
        <v>20</v>
      </c>
      <c r="J131" s="42" t="s">
        <v>20</v>
      </c>
      <c r="K131" s="42" t="s">
        <v>20</v>
      </c>
      <c r="L131" s="42" t="s">
        <v>21</v>
      </c>
      <c r="M131" s="24" t="s">
        <v>20</v>
      </c>
      <c r="N131" s="24" t="s">
        <v>20</v>
      </c>
      <c r="O131" s="24" t="s">
        <v>20</v>
      </c>
      <c r="P131" s="24" t="s">
        <v>20</v>
      </c>
      <c r="Q131" s="24" t="s">
        <v>20</v>
      </c>
      <c r="R131" s="24" t="s">
        <v>20</v>
      </c>
      <c r="S131" s="24" t="s">
        <v>20</v>
      </c>
      <c r="T131" s="24" t="s">
        <v>21</v>
      </c>
      <c r="U131" s="24" t="s">
        <v>21</v>
      </c>
      <c r="V131" s="39" t="s">
        <v>20</v>
      </c>
      <c r="W131" s="39" t="s">
        <v>20</v>
      </c>
      <c r="X131" s="39" t="s">
        <v>20</v>
      </c>
      <c r="Y131" s="24" t="s">
        <v>20</v>
      </c>
      <c r="Z131" s="24" t="s">
        <v>20</v>
      </c>
      <c r="AA131" s="27" t="s">
        <v>21</v>
      </c>
      <c r="AB131" s="27" t="s">
        <v>20</v>
      </c>
      <c r="AC131" s="27" t="s">
        <v>21</v>
      </c>
      <c r="AD131" s="34" t="s">
        <v>21</v>
      </c>
      <c r="AE131" s="34" t="s">
        <v>21</v>
      </c>
      <c r="AG131">
        <f t="shared" si="9"/>
        <v>0</v>
      </c>
      <c r="AH131">
        <f t="shared" si="10"/>
        <v>19</v>
      </c>
      <c r="AI131">
        <f t="shared" si="11"/>
        <v>7</v>
      </c>
      <c r="AJ131">
        <f t="shared" si="12"/>
        <v>0</v>
      </c>
      <c r="AL131">
        <f t="shared" si="13"/>
        <v>0</v>
      </c>
      <c r="AM131">
        <f t="shared" si="14"/>
        <v>57</v>
      </c>
      <c r="AN131">
        <f t="shared" si="15"/>
        <v>14</v>
      </c>
      <c r="AO131">
        <f t="shared" si="16"/>
        <v>0</v>
      </c>
      <c r="AP131">
        <f t="shared" si="17"/>
        <v>71</v>
      </c>
    </row>
    <row r="132" spans="1:42" ht="15.75" hidden="1" customHeight="1" x14ac:dyDescent="0.3">
      <c r="A132" s="16"/>
      <c r="B132" s="55">
        <v>2</v>
      </c>
      <c r="C132" s="56" t="s">
        <v>150</v>
      </c>
      <c r="D132" s="55">
        <v>4</v>
      </c>
      <c r="E132" s="55" t="s">
        <v>20</v>
      </c>
      <c r="F132" s="18" t="s">
        <v>20</v>
      </c>
      <c r="G132" s="18" t="s">
        <v>20</v>
      </c>
      <c r="H132" s="18" t="s">
        <v>20</v>
      </c>
      <c r="I132" s="18" t="s">
        <v>20</v>
      </c>
      <c r="J132" s="43" t="s">
        <v>39</v>
      </c>
      <c r="K132" s="43" t="s">
        <v>20</v>
      </c>
      <c r="L132" s="43" t="s">
        <v>20</v>
      </c>
      <c r="M132" s="18" t="s">
        <v>21</v>
      </c>
      <c r="N132" s="18" t="s">
        <v>20</v>
      </c>
      <c r="O132" s="18" t="s">
        <v>20</v>
      </c>
      <c r="P132" s="18" t="s">
        <v>20</v>
      </c>
      <c r="Q132" s="18" t="s">
        <v>20</v>
      </c>
      <c r="R132" s="18" t="s">
        <v>20</v>
      </c>
      <c r="S132" s="18" t="s">
        <v>20</v>
      </c>
      <c r="T132" s="18" t="s">
        <v>20</v>
      </c>
      <c r="U132" s="18" t="s">
        <v>20</v>
      </c>
      <c r="V132" s="37" t="s">
        <v>20</v>
      </c>
      <c r="W132" s="37" t="s">
        <v>20</v>
      </c>
      <c r="X132" s="37" t="s">
        <v>20</v>
      </c>
      <c r="Y132" s="18" t="s">
        <v>20</v>
      </c>
      <c r="Z132" s="18" t="s">
        <v>21</v>
      </c>
      <c r="AA132" s="20" t="s">
        <v>20</v>
      </c>
      <c r="AB132" s="20" t="s">
        <v>20</v>
      </c>
      <c r="AC132" s="20" t="s">
        <v>21</v>
      </c>
      <c r="AD132" s="29" t="s">
        <v>20</v>
      </c>
      <c r="AE132" s="29" t="s">
        <v>21</v>
      </c>
      <c r="AG132">
        <f t="shared" si="9"/>
        <v>1</v>
      </c>
      <c r="AH132">
        <f t="shared" si="10"/>
        <v>21</v>
      </c>
      <c r="AI132">
        <f t="shared" si="11"/>
        <v>4</v>
      </c>
      <c r="AJ132">
        <f t="shared" si="12"/>
        <v>0</v>
      </c>
      <c r="AL132">
        <f t="shared" si="13"/>
        <v>4</v>
      </c>
      <c r="AM132">
        <f t="shared" si="14"/>
        <v>63</v>
      </c>
      <c r="AN132">
        <f t="shared" si="15"/>
        <v>8</v>
      </c>
      <c r="AO132">
        <f t="shared" si="16"/>
        <v>0</v>
      </c>
      <c r="AP132">
        <f t="shared" si="17"/>
        <v>75</v>
      </c>
    </row>
    <row r="133" spans="1:42" ht="15.75" hidden="1" customHeight="1" x14ac:dyDescent="0.3">
      <c r="A133" s="16"/>
      <c r="B133" s="55">
        <v>3</v>
      </c>
      <c r="C133" s="56" t="s">
        <v>151</v>
      </c>
      <c r="D133" s="55">
        <v>4</v>
      </c>
      <c r="E133" s="55" t="s">
        <v>20</v>
      </c>
      <c r="F133" s="18" t="s">
        <v>23</v>
      </c>
      <c r="G133" s="18" t="s">
        <v>21</v>
      </c>
      <c r="H133" s="18" t="s">
        <v>23</v>
      </c>
      <c r="I133" s="18" t="s">
        <v>21</v>
      </c>
      <c r="J133" s="43" t="s">
        <v>21</v>
      </c>
      <c r="K133" s="43" t="s">
        <v>21</v>
      </c>
      <c r="L133" s="43" t="s">
        <v>21</v>
      </c>
      <c r="M133" s="18" t="s">
        <v>21</v>
      </c>
      <c r="N133" s="18" t="s">
        <v>20</v>
      </c>
      <c r="O133" s="18" t="s">
        <v>20</v>
      </c>
      <c r="P133" s="18" t="s">
        <v>21</v>
      </c>
      <c r="Q133" s="18" t="s">
        <v>21</v>
      </c>
      <c r="R133" s="18" t="s">
        <v>21</v>
      </c>
      <c r="S133" s="18" t="s">
        <v>20</v>
      </c>
      <c r="T133" s="18" t="s">
        <v>20</v>
      </c>
      <c r="U133" s="18" t="s">
        <v>21</v>
      </c>
      <c r="V133" s="37" t="s">
        <v>20</v>
      </c>
      <c r="W133" s="46" t="s">
        <v>21</v>
      </c>
      <c r="X133" s="37" t="s">
        <v>20</v>
      </c>
      <c r="Y133" s="18" t="s">
        <v>21</v>
      </c>
      <c r="Z133" s="18" t="s">
        <v>23</v>
      </c>
      <c r="AA133" s="20" t="s">
        <v>21</v>
      </c>
      <c r="AB133" s="20" t="s">
        <v>21</v>
      </c>
      <c r="AC133" s="20" t="s">
        <v>21</v>
      </c>
      <c r="AD133" s="29" t="s">
        <v>21</v>
      </c>
      <c r="AE133" s="29" t="s">
        <v>21</v>
      </c>
      <c r="AG133">
        <f t="shared" si="9"/>
        <v>0</v>
      </c>
      <c r="AH133">
        <f t="shared" si="10"/>
        <v>6</v>
      </c>
      <c r="AI133">
        <f t="shared" si="11"/>
        <v>17</v>
      </c>
      <c r="AJ133">
        <f t="shared" si="12"/>
        <v>3</v>
      </c>
      <c r="AL133">
        <f t="shared" si="13"/>
        <v>0</v>
      </c>
      <c r="AM133">
        <f t="shared" si="14"/>
        <v>18</v>
      </c>
      <c r="AN133">
        <f t="shared" si="15"/>
        <v>34</v>
      </c>
      <c r="AO133">
        <f t="shared" si="16"/>
        <v>3</v>
      </c>
      <c r="AP133">
        <f t="shared" si="17"/>
        <v>55</v>
      </c>
    </row>
    <row r="134" spans="1:42" ht="15.75" hidden="1" customHeight="1" x14ac:dyDescent="0.3">
      <c r="A134" s="16"/>
      <c r="B134" s="55">
        <v>4</v>
      </c>
      <c r="C134" s="56" t="s">
        <v>152</v>
      </c>
      <c r="D134" s="55">
        <v>4</v>
      </c>
      <c r="E134" s="55" t="s">
        <v>20</v>
      </c>
      <c r="F134" s="18" t="s">
        <v>21</v>
      </c>
      <c r="G134" s="18" t="s">
        <v>20</v>
      </c>
      <c r="H134" s="18" t="s">
        <v>21</v>
      </c>
      <c r="I134" s="18" t="s">
        <v>20</v>
      </c>
      <c r="J134" s="43" t="s">
        <v>20</v>
      </c>
      <c r="K134" s="43" t="s">
        <v>20</v>
      </c>
      <c r="L134" s="43" t="s">
        <v>21</v>
      </c>
      <c r="M134" s="18" t="s">
        <v>20</v>
      </c>
      <c r="N134" s="18" t="s">
        <v>20</v>
      </c>
      <c r="O134" s="18" t="s">
        <v>20</v>
      </c>
      <c r="P134" s="18" t="s">
        <v>21</v>
      </c>
      <c r="Q134" s="18" t="s">
        <v>21</v>
      </c>
      <c r="R134" s="18" t="s">
        <v>21</v>
      </c>
      <c r="S134" s="18" t="s">
        <v>20</v>
      </c>
      <c r="T134" s="18" t="s">
        <v>20</v>
      </c>
      <c r="U134" s="18" t="s">
        <v>21</v>
      </c>
      <c r="V134" s="37" t="s">
        <v>20</v>
      </c>
      <c r="W134" s="37" t="s">
        <v>20</v>
      </c>
      <c r="X134" s="37" t="s">
        <v>20</v>
      </c>
      <c r="Y134" s="18" t="s">
        <v>20</v>
      </c>
      <c r="Z134" s="18" t="s">
        <v>20</v>
      </c>
      <c r="AA134" s="20" t="s">
        <v>21</v>
      </c>
      <c r="AB134" s="20" t="s">
        <v>21</v>
      </c>
      <c r="AC134" s="20" t="s">
        <v>20</v>
      </c>
      <c r="AD134" s="47" t="s">
        <v>20</v>
      </c>
      <c r="AE134" s="47" t="s">
        <v>21</v>
      </c>
      <c r="AG134">
        <f t="shared" si="9"/>
        <v>0</v>
      </c>
      <c r="AH134">
        <f t="shared" si="10"/>
        <v>16</v>
      </c>
      <c r="AI134">
        <f t="shared" si="11"/>
        <v>10</v>
      </c>
      <c r="AJ134">
        <f t="shared" si="12"/>
        <v>0</v>
      </c>
      <c r="AL134">
        <f t="shared" si="13"/>
        <v>0</v>
      </c>
      <c r="AM134">
        <f t="shared" si="14"/>
        <v>48</v>
      </c>
      <c r="AN134">
        <f t="shared" si="15"/>
        <v>20</v>
      </c>
      <c r="AO134">
        <f t="shared" si="16"/>
        <v>0</v>
      </c>
      <c r="AP134">
        <f t="shared" si="17"/>
        <v>68</v>
      </c>
    </row>
    <row r="135" spans="1:42" ht="15.75" hidden="1" customHeight="1" x14ac:dyDescent="0.3">
      <c r="A135" s="16"/>
      <c r="B135" s="55">
        <v>5</v>
      </c>
      <c r="C135" s="56" t="s">
        <v>153</v>
      </c>
      <c r="D135" s="55">
        <v>4</v>
      </c>
      <c r="E135" s="55" t="s">
        <v>20</v>
      </c>
      <c r="F135" s="18" t="s">
        <v>20</v>
      </c>
      <c r="G135" s="18" t="s">
        <v>21</v>
      </c>
      <c r="H135" s="18" t="s">
        <v>21</v>
      </c>
      <c r="I135" s="18" t="s">
        <v>20</v>
      </c>
      <c r="J135" s="43" t="s">
        <v>20</v>
      </c>
      <c r="K135" s="43" t="s">
        <v>20</v>
      </c>
      <c r="L135" s="43" t="s">
        <v>21</v>
      </c>
      <c r="M135" s="18" t="s">
        <v>21</v>
      </c>
      <c r="N135" s="18" t="s">
        <v>20</v>
      </c>
      <c r="O135" s="18" t="s">
        <v>20</v>
      </c>
      <c r="P135" s="18" t="s">
        <v>20</v>
      </c>
      <c r="Q135" s="18" t="s">
        <v>20</v>
      </c>
      <c r="R135" s="18" t="s">
        <v>20</v>
      </c>
      <c r="S135" s="18" t="s">
        <v>20</v>
      </c>
      <c r="T135" s="18" t="s">
        <v>20</v>
      </c>
      <c r="U135" s="18" t="s">
        <v>21</v>
      </c>
      <c r="V135" s="37" t="s">
        <v>20</v>
      </c>
      <c r="W135" s="37" t="s">
        <v>20</v>
      </c>
      <c r="X135" s="37" t="s">
        <v>20</v>
      </c>
      <c r="Y135" s="18" t="s">
        <v>20</v>
      </c>
      <c r="Z135" s="18" t="s">
        <v>21</v>
      </c>
      <c r="AA135" s="20" t="s">
        <v>21</v>
      </c>
      <c r="AB135" s="20" t="s">
        <v>20</v>
      </c>
      <c r="AC135" s="20" t="s">
        <v>20</v>
      </c>
      <c r="AD135" s="29" t="s">
        <v>23</v>
      </c>
      <c r="AE135" s="29" t="s">
        <v>21</v>
      </c>
      <c r="AG135">
        <f t="shared" si="9"/>
        <v>0</v>
      </c>
      <c r="AH135">
        <f t="shared" si="10"/>
        <v>17</v>
      </c>
      <c r="AI135">
        <f t="shared" si="11"/>
        <v>8</v>
      </c>
      <c r="AJ135">
        <f t="shared" si="12"/>
        <v>1</v>
      </c>
      <c r="AL135">
        <f t="shared" si="13"/>
        <v>0</v>
      </c>
      <c r="AM135">
        <f t="shared" si="14"/>
        <v>51</v>
      </c>
      <c r="AN135">
        <f t="shared" si="15"/>
        <v>16</v>
      </c>
      <c r="AO135">
        <f t="shared" si="16"/>
        <v>1</v>
      </c>
      <c r="AP135">
        <f t="shared" si="17"/>
        <v>68</v>
      </c>
    </row>
    <row r="136" spans="1:42" ht="15.75" hidden="1" customHeight="1" x14ac:dyDescent="0.3">
      <c r="A136" s="16"/>
      <c r="B136" s="55">
        <v>6</v>
      </c>
      <c r="C136" s="56" t="s">
        <v>154</v>
      </c>
      <c r="D136" s="55">
        <v>4</v>
      </c>
      <c r="E136" s="55" t="s">
        <v>20</v>
      </c>
      <c r="F136" s="18" t="s">
        <v>20</v>
      </c>
      <c r="G136" s="18" t="s">
        <v>21</v>
      </c>
      <c r="H136" s="18" t="s">
        <v>21</v>
      </c>
      <c r="I136" s="18" t="s">
        <v>20</v>
      </c>
      <c r="J136" s="43" t="s">
        <v>20</v>
      </c>
      <c r="K136" s="43" t="s">
        <v>20</v>
      </c>
      <c r="L136" s="43" t="s">
        <v>20</v>
      </c>
      <c r="M136" s="18" t="s">
        <v>20</v>
      </c>
      <c r="N136" s="18" t="s">
        <v>20</v>
      </c>
      <c r="O136" s="18" t="s">
        <v>20</v>
      </c>
      <c r="P136" s="18" t="s">
        <v>20</v>
      </c>
      <c r="Q136" s="18" t="s">
        <v>21</v>
      </c>
      <c r="R136" s="18" t="s">
        <v>20</v>
      </c>
      <c r="S136" s="18" t="s">
        <v>20</v>
      </c>
      <c r="T136" s="18" t="s">
        <v>20</v>
      </c>
      <c r="U136" s="18" t="s">
        <v>20</v>
      </c>
      <c r="V136" s="37" t="s">
        <v>20</v>
      </c>
      <c r="W136" s="37" t="s">
        <v>20</v>
      </c>
      <c r="X136" s="37" t="s">
        <v>20</v>
      </c>
      <c r="Y136" s="18" t="s">
        <v>20</v>
      </c>
      <c r="Z136" s="18" t="s">
        <v>20</v>
      </c>
      <c r="AA136" s="20" t="s">
        <v>20</v>
      </c>
      <c r="AB136" s="20" t="s">
        <v>20</v>
      </c>
      <c r="AC136" s="20" t="s">
        <v>20</v>
      </c>
      <c r="AD136" s="29" t="s">
        <v>20</v>
      </c>
      <c r="AE136" s="29" t="s">
        <v>21</v>
      </c>
      <c r="AG136">
        <f t="shared" si="9"/>
        <v>0</v>
      </c>
      <c r="AH136">
        <f t="shared" si="10"/>
        <v>22</v>
      </c>
      <c r="AI136">
        <f t="shared" si="11"/>
        <v>4</v>
      </c>
      <c r="AJ136">
        <f t="shared" si="12"/>
        <v>0</v>
      </c>
      <c r="AL136">
        <f t="shared" si="13"/>
        <v>0</v>
      </c>
      <c r="AM136">
        <f t="shared" si="14"/>
        <v>66</v>
      </c>
      <c r="AN136">
        <f t="shared" si="15"/>
        <v>8</v>
      </c>
      <c r="AO136">
        <f t="shared" si="16"/>
        <v>0</v>
      </c>
      <c r="AP136">
        <f t="shared" si="17"/>
        <v>74</v>
      </c>
    </row>
    <row r="137" spans="1:42" ht="15.75" hidden="1" customHeight="1" x14ac:dyDescent="0.3">
      <c r="A137" s="16"/>
      <c r="B137" s="55">
        <v>7</v>
      </c>
      <c r="C137" s="56" t="s">
        <v>155</v>
      </c>
      <c r="D137" s="55">
        <v>4</v>
      </c>
      <c r="E137" s="55" t="s">
        <v>20</v>
      </c>
      <c r="F137" s="18" t="s">
        <v>21</v>
      </c>
      <c r="G137" s="18" t="s">
        <v>21</v>
      </c>
      <c r="H137" s="18" t="s">
        <v>23</v>
      </c>
      <c r="I137" s="18" t="s">
        <v>23</v>
      </c>
      <c r="J137" s="43" t="s">
        <v>20</v>
      </c>
      <c r="K137" s="43" t="s">
        <v>20</v>
      </c>
      <c r="L137" s="43" t="s">
        <v>20</v>
      </c>
      <c r="M137" s="18" t="s">
        <v>20</v>
      </c>
      <c r="N137" s="18" t="s">
        <v>21</v>
      </c>
      <c r="O137" s="18" t="s">
        <v>21</v>
      </c>
      <c r="P137" s="18" t="s">
        <v>23</v>
      </c>
      <c r="Q137" s="18" t="s">
        <v>21</v>
      </c>
      <c r="R137" s="18" t="s">
        <v>23</v>
      </c>
      <c r="S137" s="18" t="s">
        <v>21</v>
      </c>
      <c r="T137" s="18" t="s">
        <v>20</v>
      </c>
      <c r="U137" s="18" t="s">
        <v>21</v>
      </c>
      <c r="V137" s="37" t="s">
        <v>20</v>
      </c>
      <c r="W137" s="37" t="s">
        <v>21</v>
      </c>
      <c r="X137" s="37" t="s">
        <v>20</v>
      </c>
      <c r="Y137" s="18" t="s">
        <v>21</v>
      </c>
      <c r="Z137" s="18" t="s">
        <v>20</v>
      </c>
      <c r="AA137" s="20" t="s">
        <v>21</v>
      </c>
      <c r="AB137" s="20" t="s">
        <v>21</v>
      </c>
      <c r="AC137" s="20" t="s">
        <v>21</v>
      </c>
      <c r="AD137" s="29" t="s">
        <v>55</v>
      </c>
      <c r="AE137" s="29" t="s">
        <v>55</v>
      </c>
      <c r="AG137">
        <f t="shared" si="9"/>
        <v>0</v>
      </c>
      <c r="AH137">
        <f t="shared" si="10"/>
        <v>8</v>
      </c>
      <c r="AI137">
        <f t="shared" si="11"/>
        <v>12</v>
      </c>
      <c r="AJ137">
        <f t="shared" si="12"/>
        <v>4</v>
      </c>
      <c r="AL137">
        <f t="shared" si="13"/>
        <v>0</v>
      </c>
      <c r="AM137">
        <f t="shared" si="14"/>
        <v>24</v>
      </c>
      <c r="AN137">
        <f t="shared" si="15"/>
        <v>24</v>
      </c>
      <c r="AO137">
        <f t="shared" si="16"/>
        <v>4</v>
      </c>
      <c r="AP137">
        <f t="shared" si="17"/>
        <v>52</v>
      </c>
    </row>
    <row r="138" spans="1:42" ht="15.75" hidden="1" customHeight="1" x14ac:dyDescent="0.3">
      <c r="A138" s="16"/>
      <c r="B138" s="55">
        <v>8</v>
      </c>
      <c r="C138" s="56" t="s">
        <v>156</v>
      </c>
      <c r="D138" s="55">
        <v>4</v>
      </c>
      <c r="E138" s="55" t="s">
        <v>20</v>
      </c>
      <c r="F138" s="18" t="s">
        <v>20</v>
      </c>
      <c r="G138" s="18" t="s">
        <v>20</v>
      </c>
      <c r="H138" s="18" t="s">
        <v>20</v>
      </c>
      <c r="I138" s="18" t="s">
        <v>20</v>
      </c>
      <c r="J138" s="43" t="s">
        <v>39</v>
      </c>
      <c r="K138" s="43" t="s">
        <v>20</v>
      </c>
      <c r="L138" s="43" t="s">
        <v>20</v>
      </c>
      <c r="M138" s="18" t="s">
        <v>20</v>
      </c>
      <c r="N138" s="18" t="s">
        <v>20</v>
      </c>
      <c r="O138" s="18" t="s">
        <v>20</v>
      </c>
      <c r="P138" s="18" t="s">
        <v>20</v>
      </c>
      <c r="Q138" s="18" t="s">
        <v>20</v>
      </c>
      <c r="R138" s="18" t="s">
        <v>20</v>
      </c>
      <c r="S138" s="18" t="s">
        <v>20</v>
      </c>
      <c r="T138" s="18" t="s">
        <v>20</v>
      </c>
      <c r="U138" s="18" t="s">
        <v>21</v>
      </c>
      <c r="V138" s="37" t="s">
        <v>20</v>
      </c>
      <c r="W138" s="37" t="s">
        <v>20</v>
      </c>
      <c r="X138" s="37" t="s">
        <v>20</v>
      </c>
      <c r="Y138" s="18" t="s">
        <v>20</v>
      </c>
      <c r="Z138" s="18" t="s">
        <v>20</v>
      </c>
      <c r="AA138" s="20" t="s">
        <v>20</v>
      </c>
      <c r="AB138" s="20" t="s">
        <v>20</v>
      </c>
      <c r="AC138" s="20" t="s">
        <v>20</v>
      </c>
      <c r="AD138" s="29" t="s">
        <v>20</v>
      </c>
      <c r="AE138" s="29" t="s">
        <v>21</v>
      </c>
      <c r="AG138">
        <f t="shared" si="9"/>
        <v>1</v>
      </c>
      <c r="AH138">
        <f t="shared" si="10"/>
        <v>23</v>
      </c>
      <c r="AI138">
        <f t="shared" si="11"/>
        <v>2</v>
      </c>
      <c r="AJ138">
        <f t="shared" si="12"/>
        <v>0</v>
      </c>
      <c r="AL138">
        <f t="shared" si="13"/>
        <v>4</v>
      </c>
      <c r="AM138">
        <f t="shared" si="14"/>
        <v>69</v>
      </c>
      <c r="AN138">
        <f t="shared" si="15"/>
        <v>4</v>
      </c>
      <c r="AO138">
        <f t="shared" si="16"/>
        <v>0</v>
      </c>
      <c r="AP138">
        <f t="shared" si="17"/>
        <v>77</v>
      </c>
    </row>
    <row r="139" spans="1:42" ht="15.75" hidden="1" customHeight="1" x14ac:dyDescent="0.3">
      <c r="A139" s="16"/>
      <c r="B139" s="55">
        <v>9</v>
      </c>
      <c r="C139" s="56" t="s">
        <v>157</v>
      </c>
      <c r="D139" s="55">
        <v>4</v>
      </c>
      <c r="E139" s="55" t="s">
        <v>20</v>
      </c>
      <c r="F139" s="18" t="s">
        <v>23</v>
      </c>
      <c r="G139" s="18" t="s">
        <v>21</v>
      </c>
      <c r="H139" s="18" t="s">
        <v>21</v>
      </c>
      <c r="I139" s="18" t="s">
        <v>21</v>
      </c>
      <c r="J139" s="43" t="s">
        <v>20</v>
      </c>
      <c r="K139" s="43" t="s">
        <v>20</v>
      </c>
      <c r="L139" s="43" t="s">
        <v>21</v>
      </c>
      <c r="M139" s="18" t="s">
        <v>20</v>
      </c>
      <c r="N139" s="18" t="s">
        <v>20</v>
      </c>
      <c r="O139" s="18" t="s">
        <v>20</v>
      </c>
      <c r="P139" s="18" t="s">
        <v>20</v>
      </c>
      <c r="Q139" s="18" t="s">
        <v>20</v>
      </c>
      <c r="R139" s="18" t="s">
        <v>20</v>
      </c>
      <c r="S139" s="18" t="s">
        <v>20</v>
      </c>
      <c r="T139" s="18" t="s">
        <v>20</v>
      </c>
      <c r="U139" s="18" t="s">
        <v>21</v>
      </c>
      <c r="V139" s="37" t="s">
        <v>20</v>
      </c>
      <c r="W139" s="37" t="s">
        <v>20</v>
      </c>
      <c r="X139" s="37" t="s">
        <v>20</v>
      </c>
      <c r="Y139" s="18" t="s">
        <v>20</v>
      </c>
      <c r="Z139" s="18" t="s">
        <v>21</v>
      </c>
      <c r="AA139" s="20" t="s">
        <v>21</v>
      </c>
      <c r="AB139" s="20" t="s">
        <v>21</v>
      </c>
      <c r="AC139" s="20" t="s">
        <v>23</v>
      </c>
      <c r="AD139" s="18" t="s">
        <v>20</v>
      </c>
      <c r="AE139" s="18" t="s">
        <v>21</v>
      </c>
      <c r="AG139">
        <f t="shared" si="9"/>
        <v>0</v>
      </c>
      <c r="AH139">
        <f t="shared" si="10"/>
        <v>15</v>
      </c>
      <c r="AI139">
        <f t="shared" si="11"/>
        <v>9</v>
      </c>
      <c r="AJ139">
        <f t="shared" si="12"/>
        <v>2</v>
      </c>
      <c r="AL139">
        <f t="shared" si="13"/>
        <v>0</v>
      </c>
      <c r="AM139">
        <f t="shared" si="14"/>
        <v>45</v>
      </c>
      <c r="AN139">
        <f t="shared" si="15"/>
        <v>18</v>
      </c>
      <c r="AO139">
        <f t="shared" si="16"/>
        <v>2</v>
      </c>
      <c r="AP139">
        <f t="shared" si="17"/>
        <v>65</v>
      </c>
    </row>
    <row r="140" spans="1:42" ht="15.75" hidden="1" customHeight="1" x14ac:dyDescent="0.3">
      <c r="A140" s="16"/>
      <c r="B140" s="55">
        <v>10</v>
      </c>
      <c r="C140" s="56" t="s">
        <v>158</v>
      </c>
      <c r="D140" s="55">
        <v>4</v>
      </c>
      <c r="E140" s="55" t="s">
        <v>20</v>
      </c>
      <c r="F140" s="18" t="s">
        <v>21</v>
      </c>
      <c r="G140" s="18" t="s">
        <v>23</v>
      </c>
      <c r="H140" s="18" t="s">
        <v>21</v>
      </c>
      <c r="I140" s="18" t="s">
        <v>23</v>
      </c>
      <c r="J140" s="43" t="s">
        <v>20</v>
      </c>
      <c r="K140" s="43" t="s">
        <v>21</v>
      </c>
      <c r="L140" s="43" t="s">
        <v>21</v>
      </c>
      <c r="M140" s="18" t="s">
        <v>21</v>
      </c>
      <c r="N140" s="18" t="s">
        <v>21</v>
      </c>
      <c r="O140" s="18" t="s">
        <v>20</v>
      </c>
      <c r="P140" s="18" t="s">
        <v>21</v>
      </c>
      <c r="Q140" s="18" t="s">
        <v>21</v>
      </c>
      <c r="R140" s="18" t="s">
        <v>21</v>
      </c>
      <c r="S140" s="18" t="s">
        <v>21</v>
      </c>
      <c r="T140" s="18" t="s">
        <v>20</v>
      </c>
      <c r="U140" s="18" t="s">
        <v>20</v>
      </c>
      <c r="V140" s="37" t="s">
        <v>20</v>
      </c>
      <c r="W140" s="37" t="s">
        <v>20</v>
      </c>
      <c r="X140" s="37" t="s">
        <v>20</v>
      </c>
      <c r="Y140" s="18" t="s">
        <v>20</v>
      </c>
      <c r="Z140" s="18" t="s">
        <v>21</v>
      </c>
      <c r="AA140" s="20" t="s">
        <v>20</v>
      </c>
      <c r="AB140" s="20" t="s">
        <v>20</v>
      </c>
      <c r="AC140" s="20" t="s">
        <v>20</v>
      </c>
      <c r="AD140" s="18" t="s">
        <v>23</v>
      </c>
      <c r="AE140" s="18" t="s">
        <v>21</v>
      </c>
      <c r="AG140">
        <f t="shared" si="9"/>
        <v>0</v>
      </c>
      <c r="AH140">
        <f t="shared" si="10"/>
        <v>11</v>
      </c>
      <c r="AI140">
        <f t="shared" si="11"/>
        <v>12</v>
      </c>
      <c r="AJ140">
        <f t="shared" si="12"/>
        <v>3</v>
      </c>
      <c r="AL140">
        <f t="shared" si="13"/>
        <v>0</v>
      </c>
      <c r="AM140">
        <f t="shared" si="14"/>
        <v>33</v>
      </c>
      <c r="AN140">
        <f t="shared" si="15"/>
        <v>24</v>
      </c>
      <c r="AO140">
        <f t="shared" si="16"/>
        <v>3</v>
      </c>
      <c r="AP140">
        <f t="shared" si="17"/>
        <v>60</v>
      </c>
    </row>
    <row r="141" spans="1:42" ht="15.75" hidden="1" customHeight="1" x14ac:dyDescent="0.3">
      <c r="A141" s="16"/>
      <c r="B141" s="55">
        <v>11</v>
      </c>
      <c r="C141" s="56" t="s">
        <v>159</v>
      </c>
      <c r="D141" s="55">
        <v>4</v>
      </c>
      <c r="E141" s="55" t="s">
        <v>20</v>
      </c>
      <c r="F141" s="18" t="s">
        <v>23</v>
      </c>
      <c r="G141" s="18" t="s">
        <v>23</v>
      </c>
      <c r="H141" s="18" t="s">
        <v>23</v>
      </c>
      <c r="I141" s="18" t="s">
        <v>21</v>
      </c>
      <c r="J141" s="43" t="s">
        <v>20</v>
      </c>
      <c r="K141" s="43" t="s">
        <v>21</v>
      </c>
      <c r="L141" s="43" t="s">
        <v>21</v>
      </c>
      <c r="M141" s="18" t="s">
        <v>21</v>
      </c>
      <c r="N141" s="18" t="s">
        <v>21</v>
      </c>
      <c r="O141" s="18" t="s">
        <v>21</v>
      </c>
      <c r="P141" s="18" t="s">
        <v>21</v>
      </c>
      <c r="Q141" s="18" t="s">
        <v>21</v>
      </c>
      <c r="R141" s="18" t="s">
        <v>21</v>
      </c>
      <c r="S141" s="18" t="s">
        <v>20</v>
      </c>
      <c r="T141" s="18" t="s">
        <v>21</v>
      </c>
      <c r="U141" s="18" t="s">
        <v>20</v>
      </c>
      <c r="V141" s="37" t="s">
        <v>20</v>
      </c>
      <c r="W141" s="37" t="s">
        <v>20</v>
      </c>
      <c r="X141" s="37" t="s">
        <v>20</v>
      </c>
      <c r="Y141" s="18" t="s">
        <v>21</v>
      </c>
      <c r="Z141" s="18" t="s">
        <v>21</v>
      </c>
      <c r="AA141" s="20" t="s">
        <v>21</v>
      </c>
      <c r="AB141" s="20" t="s">
        <v>21</v>
      </c>
      <c r="AC141" s="20" t="s">
        <v>23</v>
      </c>
      <c r="AD141" s="18" t="s">
        <v>23</v>
      </c>
      <c r="AE141" s="18" t="s">
        <v>21</v>
      </c>
      <c r="AG141">
        <f t="shared" si="9"/>
        <v>0</v>
      </c>
      <c r="AH141">
        <f t="shared" si="10"/>
        <v>6</v>
      </c>
      <c r="AI141">
        <f t="shared" si="11"/>
        <v>15</v>
      </c>
      <c r="AJ141">
        <f t="shared" si="12"/>
        <v>5</v>
      </c>
      <c r="AL141">
        <f t="shared" si="13"/>
        <v>0</v>
      </c>
      <c r="AM141">
        <f t="shared" si="14"/>
        <v>18</v>
      </c>
      <c r="AN141">
        <f t="shared" si="15"/>
        <v>30</v>
      </c>
      <c r="AO141">
        <f t="shared" si="16"/>
        <v>5</v>
      </c>
      <c r="AP141">
        <f t="shared" si="17"/>
        <v>53</v>
      </c>
    </row>
    <row r="142" spans="1:42" ht="15.75" hidden="1" customHeight="1" x14ac:dyDescent="0.3">
      <c r="A142" s="16"/>
      <c r="B142" s="55">
        <v>12</v>
      </c>
      <c r="C142" s="56" t="s">
        <v>160</v>
      </c>
      <c r="D142" s="55">
        <v>4</v>
      </c>
      <c r="E142" s="55" t="s">
        <v>20</v>
      </c>
      <c r="F142" s="18" t="s">
        <v>23</v>
      </c>
      <c r="G142" s="18" t="s">
        <v>23</v>
      </c>
      <c r="H142" s="18" t="s">
        <v>23</v>
      </c>
      <c r="I142" s="18" t="s">
        <v>21</v>
      </c>
      <c r="J142" s="43" t="s">
        <v>21</v>
      </c>
      <c r="K142" s="43" t="s">
        <v>21</v>
      </c>
      <c r="L142" s="43" t="s">
        <v>21</v>
      </c>
      <c r="M142" s="18" t="s">
        <v>21</v>
      </c>
      <c r="N142" s="18" t="s">
        <v>20</v>
      </c>
      <c r="O142" s="18" t="s">
        <v>21</v>
      </c>
      <c r="P142" s="18" t="s">
        <v>21</v>
      </c>
      <c r="Q142" s="18" t="s">
        <v>21</v>
      </c>
      <c r="R142" s="18" t="s">
        <v>21</v>
      </c>
      <c r="S142" s="18" t="s">
        <v>21</v>
      </c>
      <c r="T142" s="18" t="s">
        <v>21</v>
      </c>
      <c r="U142" s="18" t="s">
        <v>21</v>
      </c>
      <c r="V142" s="37" t="s">
        <v>20</v>
      </c>
      <c r="W142" s="37" t="s">
        <v>20</v>
      </c>
      <c r="X142" s="37" t="s">
        <v>21</v>
      </c>
      <c r="Y142" s="18" t="s">
        <v>21</v>
      </c>
      <c r="Z142" s="18" t="s">
        <v>21</v>
      </c>
      <c r="AA142" s="20" t="s">
        <v>21</v>
      </c>
      <c r="AB142" s="20" t="s">
        <v>21</v>
      </c>
      <c r="AC142" s="20" t="s">
        <v>23</v>
      </c>
      <c r="AD142" s="18" t="s">
        <v>23</v>
      </c>
      <c r="AE142" s="18" t="s">
        <v>21</v>
      </c>
      <c r="AG142">
        <f t="shared" si="9"/>
        <v>0</v>
      </c>
      <c r="AH142">
        <f t="shared" si="10"/>
        <v>3</v>
      </c>
      <c r="AI142">
        <f t="shared" si="11"/>
        <v>18</v>
      </c>
      <c r="AJ142">
        <f t="shared" si="12"/>
        <v>5</v>
      </c>
      <c r="AL142">
        <f t="shared" si="13"/>
        <v>0</v>
      </c>
      <c r="AM142">
        <f t="shared" si="14"/>
        <v>9</v>
      </c>
      <c r="AN142">
        <f t="shared" si="15"/>
        <v>36</v>
      </c>
      <c r="AO142">
        <f t="shared" si="16"/>
        <v>5</v>
      </c>
      <c r="AP142">
        <f t="shared" si="17"/>
        <v>50</v>
      </c>
    </row>
    <row r="143" spans="1:42" ht="15.75" hidden="1" customHeight="1" x14ac:dyDescent="0.3">
      <c r="A143" s="16"/>
      <c r="B143" s="55">
        <v>13</v>
      </c>
      <c r="C143" s="56" t="s">
        <v>161</v>
      </c>
      <c r="D143" s="55">
        <v>4</v>
      </c>
      <c r="E143" s="55" t="s">
        <v>20</v>
      </c>
      <c r="F143" s="18" t="s">
        <v>21</v>
      </c>
      <c r="G143" s="18" t="s">
        <v>21</v>
      </c>
      <c r="H143" s="18" t="s">
        <v>21</v>
      </c>
      <c r="I143" s="18" t="s">
        <v>21</v>
      </c>
      <c r="J143" s="43" t="s">
        <v>21</v>
      </c>
      <c r="K143" s="43" t="s">
        <v>21</v>
      </c>
      <c r="L143" s="43" t="s">
        <v>21</v>
      </c>
      <c r="M143" s="18" t="s">
        <v>23</v>
      </c>
      <c r="N143" s="18" t="s">
        <v>23</v>
      </c>
      <c r="O143" s="18" t="s">
        <v>21</v>
      </c>
      <c r="P143" s="18" t="s">
        <v>20</v>
      </c>
      <c r="Q143" s="18" t="s">
        <v>21</v>
      </c>
      <c r="R143" s="18" t="s">
        <v>21</v>
      </c>
      <c r="S143" s="18" t="s">
        <v>20</v>
      </c>
      <c r="T143" s="18" t="s">
        <v>21</v>
      </c>
      <c r="U143" s="18" t="s">
        <v>20</v>
      </c>
      <c r="V143" s="37" t="s">
        <v>21</v>
      </c>
      <c r="W143" s="37" t="s">
        <v>21</v>
      </c>
      <c r="X143" s="37" t="s">
        <v>21</v>
      </c>
      <c r="Y143" s="18" t="s">
        <v>21</v>
      </c>
      <c r="Z143" s="18" t="s">
        <v>21</v>
      </c>
      <c r="AA143" s="20" t="s">
        <v>21</v>
      </c>
      <c r="AB143" s="20" t="s">
        <v>21</v>
      </c>
      <c r="AC143" s="20" t="s">
        <v>23</v>
      </c>
      <c r="AD143" s="18" t="s">
        <v>23</v>
      </c>
      <c r="AE143" s="18" t="s">
        <v>21</v>
      </c>
      <c r="AG143">
        <f t="shared" si="9"/>
        <v>0</v>
      </c>
      <c r="AH143">
        <f t="shared" si="10"/>
        <v>3</v>
      </c>
      <c r="AI143">
        <f t="shared" si="11"/>
        <v>19</v>
      </c>
      <c r="AJ143">
        <f t="shared" si="12"/>
        <v>4</v>
      </c>
      <c r="AL143">
        <f t="shared" si="13"/>
        <v>0</v>
      </c>
      <c r="AM143">
        <f t="shared" si="14"/>
        <v>9</v>
      </c>
      <c r="AN143">
        <f t="shared" si="15"/>
        <v>38</v>
      </c>
      <c r="AO143">
        <f t="shared" si="16"/>
        <v>4</v>
      </c>
      <c r="AP143">
        <f t="shared" si="17"/>
        <v>51</v>
      </c>
    </row>
    <row r="144" spans="1:42" ht="15.75" hidden="1" customHeight="1" x14ac:dyDescent="0.3">
      <c r="A144" s="16"/>
      <c r="B144" s="55">
        <v>14</v>
      </c>
      <c r="C144" s="56" t="s">
        <v>162</v>
      </c>
      <c r="D144" s="55">
        <v>4</v>
      </c>
      <c r="E144" s="55" t="s">
        <v>20</v>
      </c>
      <c r="F144" s="18" t="s">
        <v>20</v>
      </c>
      <c r="G144" s="18" t="s">
        <v>20</v>
      </c>
      <c r="H144" s="18" t="s">
        <v>20</v>
      </c>
      <c r="I144" s="18" t="s">
        <v>20</v>
      </c>
      <c r="J144" s="43" t="s">
        <v>20</v>
      </c>
      <c r="K144" s="43" t="s">
        <v>20</v>
      </c>
      <c r="L144" s="43" t="s">
        <v>20</v>
      </c>
      <c r="M144" s="18" t="s">
        <v>20</v>
      </c>
      <c r="N144" s="18" t="s">
        <v>20</v>
      </c>
      <c r="O144" s="18" t="s">
        <v>20</v>
      </c>
      <c r="P144" s="18" t="s">
        <v>20</v>
      </c>
      <c r="Q144" s="18" t="s">
        <v>20</v>
      </c>
      <c r="R144" s="18" t="s">
        <v>21</v>
      </c>
      <c r="S144" s="18" t="s">
        <v>21</v>
      </c>
      <c r="T144" s="18" t="s">
        <v>20</v>
      </c>
      <c r="U144" s="18" t="s">
        <v>21</v>
      </c>
      <c r="V144" s="37" t="s">
        <v>20</v>
      </c>
      <c r="W144" s="37" t="s">
        <v>20</v>
      </c>
      <c r="X144" s="37" t="s">
        <v>20</v>
      </c>
      <c r="Y144" s="18" t="s">
        <v>20</v>
      </c>
      <c r="Z144" s="18" t="s">
        <v>20</v>
      </c>
      <c r="AA144" s="20" t="s">
        <v>21</v>
      </c>
      <c r="AB144" s="20" t="s">
        <v>20</v>
      </c>
      <c r="AC144" s="20" t="s">
        <v>20</v>
      </c>
      <c r="AD144" s="18" t="s">
        <v>20</v>
      </c>
      <c r="AE144" s="18" t="s">
        <v>21</v>
      </c>
      <c r="AG144">
        <f t="shared" si="9"/>
        <v>0</v>
      </c>
      <c r="AH144">
        <f t="shared" si="10"/>
        <v>21</v>
      </c>
      <c r="AI144">
        <f t="shared" si="11"/>
        <v>5</v>
      </c>
      <c r="AJ144">
        <f t="shared" si="12"/>
        <v>0</v>
      </c>
      <c r="AL144">
        <f t="shared" si="13"/>
        <v>0</v>
      </c>
      <c r="AM144">
        <f t="shared" si="14"/>
        <v>63</v>
      </c>
      <c r="AN144">
        <f t="shared" si="15"/>
        <v>10</v>
      </c>
      <c r="AO144">
        <f t="shared" si="16"/>
        <v>0</v>
      </c>
      <c r="AP144">
        <f t="shared" si="17"/>
        <v>73</v>
      </c>
    </row>
    <row r="145" spans="1:42" ht="15.75" hidden="1" customHeight="1" x14ac:dyDescent="0.3">
      <c r="A145" s="16"/>
      <c r="B145" s="55">
        <v>15</v>
      </c>
      <c r="C145" s="56" t="s">
        <v>163</v>
      </c>
      <c r="D145" s="55">
        <v>4</v>
      </c>
      <c r="E145" s="55" t="s">
        <v>20</v>
      </c>
      <c r="F145" s="18" t="s">
        <v>20</v>
      </c>
      <c r="G145" s="18" t="s">
        <v>21</v>
      </c>
      <c r="H145" s="18" t="s">
        <v>21</v>
      </c>
      <c r="I145" s="18" t="s">
        <v>20</v>
      </c>
      <c r="J145" s="43" t="s">
        <v>20</v>
      </c>
      <c r="K145" s="43" t="s">
        <v>20</v>
      </c>
      <c r="L145" s="43" t="s">
        <v>20</v>
      </c>
      <c r="M145" s="18" t="s">
        <v>21</v>
      </c>
      <c r="N145" s="18" t="s">
        <v>20</v>
      </c>
      <c r="O145" s="18" t="s">
        <v>20</v>
      </c>
      <c r="P145" s="18" t="s">
        <v>20</v>
      </c>
      <c r="Q145" s="18" t="s">
        <v>20</v>
      </c>
      <c r="R145" s="18" t="s">
        <v>20</v>
      </c>
      <c r="S145" s="18" t="s">
        <v>20</v>
      </c>
      <c r="T145" s="18" t="s">
        <v>20</v>
      </c>
      <c r="U145" s="18" t="s">
        <v>21</v>
      </c>
      <c r="V145" s="37" t="s">
        <v>20</v>
      </c>
      <c r="W145" s="37" t="s">
        <v>20</v>
      </c>
      <c r="X145" s="37" t="s">
        <v>20</v>
      </c>
      <c r="Y145" s="18" t="s">
        <v>20</v>
      </c>
      <c r="Z145" s="18" t="s">
        <v>21</v>
      </c>
      <c r="AA145" s="20" t="s">
        <v>21</v>
      </c>
      <c r="AB145" s="20" t="s">
        <v>20</v>
      </c>
      <c r="AC145" s="20" t="s">
        <v>20</v>
      </c>
      <c r="AD145" s="18" t="s">
        <v>20</v>
      </c>
      <c r="AE145" s="18" t="s">
        <v>21</v>
      </c>
      <c r="AG145">
        <f t="shared" si="9"/>
        <v>0</v>
      </c>
      <c r="AH145">
        <f t="shared" si="10"/>
        <v>19</v>
      </c>
      <c r="AI145">
        <f t="shared" si="11"/>
        <v>7</v>
      </c>
      <c r="AJ145">
        <f t="shared" si="12"/>
        <v>0</v>
      </c>
      <c r="AL145">
        <f t="shared" si="13"/>
        <v>0</v>
      </c>
      <c r="AM145">
        <f t="shared" si="14"/>
        <v>57</v>
      </c>
      <c r="AN145">
        <f t="shared" si="15"/>
        <v>14</v>
      </c>
      <c r="AO145">
        <f t="shared" si="16"/>
        <v>0</v>
      </c>
      <c r="AP145">
        <f t="shared" si="17"/>
        <v>71</v>
      </c>
    </row>
    <row r="146" spans="1:42" ht="15.75" hidden="1" customHeight="1" x14ac:dyDescent="0.3">
      <c r="A146" s="16"/>
      <c r="B146" s="55">
        <v>16</v>
      </c>
      <c r="C146" s="56" t="s">
        <v>164</v>
      </c>
      <c r="D146" s="55">
        <v>4</v>
      </c>
      <c r="E146" s="55" t="s">
        <v>20</v>
      </c>
      <c r="F146" s="18" t="s">
        <v>23</v>
      </c>
      <c r="G146" s="18" t="s">
        <v>23</v>
      </c>
      <c r="H146" s="18" t="s">
        <v>23</v>
      </c>
      <c r="I146" s="18" t="s">
        <v>21</v>
      </c>
      <c r="J146" s="43" t="s">
        <v>21</v>
      </c>
      <c r="K146" s="43" t="s">
        <v>21</v>
      </c>
      <c r="L146" s="43" t="s">
        <v>21</v>
      </c>
      <c r="M146" s="18" t="s">
        <v>21</v>
      </c>
      <c r="N146" s="18" t="s">
        <v>20</v>
      </c>
      <c r="O146" s="18" t="s">
        <v>21</v>
      </c>
      <c r="P146" s="18" t="s">
        <v>20</v>
      </c>
      <c r="Q146" s="18" t="s">
        <v>20</v>
      </c>
      <c r="R146" s="18" t="s">
        <v>20</v>
      </c>
      <c r="S146" s="18" t="s">
        <v>21</v>
      </c>
      <c r="T146" s="18" t="s">
        <v>21</v>
      </c>
      <c r="U146" s="18" t="s">
        <v>21</v>
      </c>
      <c r="V146" s="37" t="s">
        <v>20</v>
      </c>
      <c r="W146" s="37" t="s">
        <v>20</v>
      </c>
      <c r="X146" s="37" t="s">
        <v>20</v>
      </c>
      <c r="Y146" s="18" t="s">
        <v>21</v>
      </c>
      <c r="Z146" s="18" t="s">
        <v>21</v>
      </c>
      <c r="AA146" s="20" t="s">
        <v>21</v>
      </c>
      <c r="AB146" s="20" t="s">
        <v>21</v>
      </c>
      <c r="AC146" s="20" t="s">
        <v>21</v>
      </c>
      <c r="AD146" s="18" t="s">
        <v>23</v>
      </c>
      <c r="AE146" s="18" t="s">
        <v>21</v>
      </c>
      <c r="AG146">
        <f t="shared" si="9"/>
        <v>0</v>
      </c>
      <c r="AH146">
        <f t="shared" si="10"/>
        <v>7</v>
      </c>
      <c r="AI146">
        <f t="shared" si="11"/>
        <v>15</v>
      </c>
      <c r="AJ146">
        <f t="shared" si="12"/>
        <v>4</v>
      </c>
      <c r="AL146">
        <f t="shared" si="13"/>
        <v>0</v>
      </c>
      <c r="AM146">
        <f t="shared" si="14"/>
        <v>21</v>
      </c>
      <c r="AN146">
        <f t="shared" si="15"/>
        <v>30</v>
      </c>
      <c r="AO146">
        <f t="shared" si="16"/>
        <v>4</v>
      </c>
      <c r="AP146">
        <f t="shared" si="17"/>
        <v>55</v>
      </c>
    </row>
    <row r="147" spans="1:42" ht="15.75" hidden="1" customHeight="1" x14ac:dyDescent="0.3">
      <c r="A147" s="16"/>
      <c r="B147" s="55">
        <v>17</v>
      </c>
      <c r="C147" s="56" t="s">
        <v>165</v>
      </c>
      <c r="D147" s="55">
        <v>4</v>
      </c>
      <c r="E147" s="55" t="s">
        <v>20</v>
      </c>
      <c r="F147" s="18" t="s">
        <v>23</v>
      </c>
      <c r="G147" s="18" t="s">
        <v>21</v>
      </c>
      <c r="H147" s="18" t="s">
        <v>21</v>
      </c>
      <c r="I147" s="18" t="s">
        <v>21</v>
      </c>
      <c r="J147" s="43" t="s">
        <v>20</v>
      </c>
      <c r="K147" s="43" t="s">
        <v>20</v>
      </c>
      <c r="L147" s="43" t="s">
        <v>21</v>
      </c>
      <c r="M147" s="18" t="s">
        <v>21</v>
      </c>
      <c r="N147" s="18" t="s">
        <v>21</v>
      </c>
      <c r="O147" s="18" t="s">
        <v>20</v>
      </c>
      <c r="P147" s="18" t="s">
        <v>21</v>
      </c>
      <c r="Q147" s="18" t="s">
        <v>21</v>
      </c>
      <c r="R147" s="18" t="s">
        <v>21</v>
      </c>
      <c r="S147" s="18" t="s">
        <v>20</v>
      </c>
      <c r="T147" s="18" t="s">
        <v>20</v>
      </c>
      <c r="U147" s="18" t="s">
        <v>21</v>
      </c>
      <c r="V147" s="37" t="s">
        <v>21</v>
      </c>
      <c r="W147" s="37" t="s">
        <v>21</v>
      </c>
      <c r="X147" s="37" t="s">
        <v>21</v>
      </c>
      <c r="Y147" s="18" t="s">
        <v>20</v>
      </c>
      <c r="Z147" s="18" t="s">
        <v>20</v>
      </c>
      <c r="AA147" s="20" t="s">
        <v>21</v>
      </c>
      <c r="AB147" s="20" t="s">
        <v>21</v>
      </c>
      <c r="AC147" s="20" t="s">
        <v>20</v>
      </c>
      <c r="AD147" s="18" t="s">
        <v>20</v>
      </c>
      <c r="AE147" s="18" t="s">
        <v>21</v>
      </c>
      <c r="AG147">
        <f t="shared" si="9"/>
        <v>0</v>
      </c>
      <c r="AH147">
        <f t="shared" si="10"/>
        <v>9</v>
      </c>
      <c r="AI147">
        <f t="shared" si="11"/>
        <v>16</v>
      </c>
      <c r="AJ147">
        <f t="shared" si="12"/>
        <v>1</v>
      </c>
      <c r="AL147">
        <f t="shared" si="13"/>
        <v>0</v>
      </c>
      <c r="AM147">
        <f t="shared" si="14"/>
        <v>27</v>
      </c>
      <c r="AN147">
        <f t="shared" si="15"/>
        <v>32</v>
      </c>
      <c r="AO147">
        <f t="shared" si="16"/>
        <v>1</v>
      </c>
      <c r="AP147">
        <f t="shared" si="17"/>
        <v>60</v>
      </c>
    </row>
    <row r="148" spans="1:42" ht="15.75" hidden="1" customHeight="1" x14ac:dyDescent="0.3">
      <c r="A148" s="16"/>
      <c r="B148" s="55">
        <v>18</v>
      </c>
      <c r="C148" s="56" t="s">
        <v>166</v>
      </c>
      <c r="D148" s="55">
        <v>4</v>
      </c>
      <c r="E148" s="55" t="s">
        <v>20</v>
      </c>
      <c r="F148" s="18" t="s">
        <v>23</v>
      </c>
      <c r="G148" s="18" t="s">
        <v>23</v>
      </c>
      <c r="H148" s="18" t="s">
        <v>23</v>
      </c>
      <c r="I148" s="18" t="s">
        <v>23</v>
      </c>
      <c r="J148" s="43" t="s">
        <v>21</v>
      </c>
      <c r="K148" s="43" t="s">
        <v>21</v>
      </c>
      <c r="L148" s="43" t="s">
        <v>21</v>
      </c>
      <c r="M148" s="18" t="s">
        <v>21</v>
      </c>
      <c r="N148" s="18" t="s">
        <v>21</v>
      </c>
      <c r="O148" s="18" t="s">
        <v>21</v>
      </c>
      <c r="P148" s="18" t="s">
        <v>21</v>
      </c>
      <c r="Q148" s="18" t="s">
        <v>21</v>
      </c>
      <c r="R148" s="18" t="s">
        <v>21</v>
      </c>
      <c r="S148" s="18" t="s">
        <v>21</v>
      </c>
      <c r="T148" s="18" t="s">
        <v>20</v>
      </c>
      <c r="U148" s="18" t="s">
        <v>21</v>
      </c>
      <c r="V148" s="37" t="s">
        <v>20</v>
      </c>
      <c r="W148" s="37" t="s">
        <v>20</v>
      </c>
      <c r="X148" s="37" t="s">
        <v>20</v>
      </c>
      <c r="Y148" s="18" t="s">
        <v>20</v>
      </c>
      <c r="Z148" s="18" t="s">
        <v>21</v>
      </c>
      <c r="AA148" s="20" t="s">
        <v>21</v>
      </c>
      <c r="AB148" s="20" t="s">
        <v>20</v>
      </c>
      <c r="AC148" s="20" t="s">
        <v>21</v>
      </c>
      <c r="AD148" s="18" t="s">
        <v>21</v>
      </c>
      <c r="AE148" s="18" t="s">
        <v>21</v>
      </c>
      <c r="AG148">
        <f t="shared" si="9"/>
        <v>0</v>
      </c>
      <c r="AH148">
        <f t="shared" si="10"/>
        <v>6</v>
      </c>
      <c r="AI148">
        <f t="shared" si="11"/>
        <v>16</v>
      </c>
      <c r="AJ148">
        <f t="shared" si="12"/>
        <v>4</v>
      </c>
      <c r="AL148">
        <f t="shared" si="13"/>
        <v>0</v>
      </c>
      <c r="AM148">
        <f t="shared" si="14"/>
        <v>18</v>
      </c>
      <c r="AN148">
        <f t="shared" si="15"/>
        <v>32</v>
      </c>
      <c r="AO148">
        <f t="shared" si="16"/>
        <v>4</v>
      </c>
      <c r="AP148">
        <f t="shared" si="17"/>
        <v>54</v>
      </c>
    </row>
    <row r="149" spans="1:42" ht="15.75" hidden="1" customHeight="1" x14ac:dyDescent="0.3">
      <c r="A149" s="16"/>
      <c r="B149" s="55">
        <v>19</v>
      </c>
      <c r="C149" s="56" t="s">
        <v>167</v>
      </c>
      <c r="D149" s="55">
        <v>4</v>
      </c>
      <c r="E149" s="55" t="s">
        <v>20</v>
      </c>
      <c r="F149" s="18" t="s">
        <v>39</v>
      </c>
      <c r="G149" s="18" t="s">
        <v>39</v>
      </c>
      <c r="H149" s="18" t="s">
        <v>39</v>
      </c>
      <c r="I149" s="18" t="s">
        <v>39</v>
      </c>
      <c r="J149" s="43" t="s">
        <v>20</v>
      </c>
      <c r="K149" s="43" t="s">
        <v>20</v>
      </c>
      <c r="L149" s="43" t="s">
        <v>20</v>
      </c>
      <c r="M149" s="18" t="s">
        <v>20</v>
      </c>
      <c r="N149" s="18" t="s">
        <v>20</v>
      </c>
      <c r="O149" s="18" t="s">
        <v>20</v>
      </c>
      <c r="P149" s="18" t="s">
        <v>20</v>
      </c>
      <c r="Q149" s="18" t="s">
        <v>21</v>
      </c>
      <c r="R149" s="18" t="s">
        <v>20</v>
      </c>
      <c r="S149" s="18" t="s">
        <v>20</v>
      </c>
      <c r="T149" s="18" t="s">
        <v>20</v>
      </c>
      <c r="U149" s="18" t="s">
        <v>20</v>
      </c>
      <c r="V149" s="37" t="s">
        <v>20</v>
      </c>
      <c r="W149" s="37" t="s">
        <v>20</v>
      </c>
      <c r="X149" s="37" t="s">
        <v>20</v>
      </c>
      <c r="Y149" s="18" t="s">
        <v>20</v>
      </c>
      <c r="Z149" s="18" t="s">
        <v>20</v>
      </c>
      <c r="AA149" s="20" t="s">
        <v>20</v>
      </c>
      <c r="AB149" s="20" t="s">
        <v>20</v>
      </c>
      <c r="AC149" s="20" t="s">
        <v>20</v>
      </c>
      <c r="AD149" s="18" t="s">
        <v>20</v>
      </c>
      <c r="AE149" s="18" t="s">
        <v>21</v>
      </c>
      <c r="AG149">
        <f t="shared" si="9"/>
        <v>4</v>
      </c>
      <c r="AH149">
        <f t="shared" si="10"/>
        <v>20</v>
      </c>
      <c r="AI149">
        <f t="shared" si="11"/>
        <v>2</v>
      </c>
      <c r="AJ149">
        <f t="shared" si="12"/>
        <v>0</v>
      </c>
      <c r="AL149">
        <f t="shared" si="13"/>
        <v>16</v>
      </c>
      <c r="AM149">
        <f t="shared" si="14"/>
        <v>60</v>
      </c>
      <c r="AN149">
        <f t="shared" si="15"/>
        <v>4</v>
      </c>
      <c r="AO149">
        <f t="shared" si="16"/>
        <v>0</v>
      </c>
      <c r="AP149">
        <f t="shared" si="17"/>
        <v>80</v>
      </c>
    </row>
    <row r="150" spans="1:42" ht="15.75" hidden="1" customHeight="1" x14ac:dyDescent="0.3">
      <c r="A150" s="16"/>
      <c r="B150" s="55">
        <v>20</v>
      </c>
      <c r="C150" s="56" t="s">
        <v>168</v>
      </c>
      <c r="D150" s="55">
        <v>4</v>
      </c>
      <c r="E150" s="55" t="s">
        <v>20</v>
      </c>
      <c r="F150" s="18" t="s">
        <v>21</v>
      </c>
      <c r="G150" s="18" t="s">
        <v>23</v>
      </c>
      <c r="H150" s="18" t="s">
        <v>21</v>
      </c>
      <c r="I150" s="18" t="s">
        <v>21</v>
      </c>
      <c r="J150" s="43" t="s">
        <v>20</v>
      </c>
      <c r="K150" s="43" t="s">
        <v>21</v>
      </c>
      <c r="L150" s="43" t="s">
        <v>21</v>
      </c>
      <c r="M150" s="18" t="s">
        <v>21</v>
      </c>
      <c r="N150" s="18" t="s">
        <v>20</v>
      </c>
      <c r="O150" s="18" t="s">
        <v>21</v>
      </c>
      <c r="P150" s="18" t="s">
        <v>20</v>
      </c>
      <c r="Q150" s="18" t="s">
        <v>21</v>
      </c>
      <c r="R150" s="18" t="s">
        <v>20</v>
      </c>
      <c r="S150" s="18" t="s">
        <v>20</v>
      </c>
      <c r="T150" s="18" t="s">
        <v>20</v>
      </c>
      <c r="U150" s="18" t="s">
        <v>20</v>
      </c>
      <c r="V150" s="37" t="s">
        <v>20</v>
      </c>
      <c r="W150" s="37" t="s">
        <v>20</v>
      </c>
      <c r="X150" s="37" t="s">
        <v>20</v>
      </c>
      <c r="Y150" s="18" t="s">
        <v>21</v>
      </c>
      <c r="Z150" s="18" t="s">
        <v>21</v>
      </c>
      <c r="AA150" s="20" t="s">
        <v>21</v>
      </c>
      <c r="AB150" s="20" t="s">
        <v>21</v>
      </c>
      <c r="AC150" s="20" t="s">
        <v>21</v>
      </c>
      <c r="AD150" s="18" t="s">
        <v>20</v>
      </c>
      <c r="AE150" s="18" t="s">
        <v>21</v>
      </c>
      <c r="AG150">
        <f t="shared" si="9"/>
        <v>0</v>
      </c>
      <c r="AH150">
        <f t="shared" si="10"/>
        <v>11</v>
      </c>
      <c r="AI150">
        <f t="shared" si="11"/>
        <v>14</v>
      </c>
      <c r="AJ150">
        <f t="shared" si="12"/>
        <v>1</v>
      </c>
      <c r="AL150">
        <f t="shared" si="13"/>
        <v>0</v>
      </c>
      <c r="AM150">
        <f t="shared" si="14"/>
        <v>33</v>
      </c>
      <c r="AN150">
        <f t="shared" si="15"/>
        <v>28</v>
      </c>
      <c r="AO150">
        <f t="shared" si="16"/>
        <v>1</v>
      </c>
      <c r="AP150">
        <f t="shared" si="17"/>
        <v>62</v>
      </c>
    </row>
    <row r="151" spans="1:42" ht="15.75" hidden="1" customHeight="1" x14ac:dyDescent="0.3">
      <c r="A151" s="16"/>
      <c r="B151" s="55">
        <v>21</v>
      </c>
      <c r="C151" s="56" t="s">
        <v>169</v>
      </c>
      <c r="D151" s="55">
        <v>4</v>
      </c>
      <c r="E151" s="55" t="s">
        <v>20</v>
      </c>
      <c r="F151" s="18" t="s">
        <v>21</v>
      </c>
      <c r="G151" s="18" t="s">
        <v>21</v>
      </c>
      <c r="H151" s="18" t="s">
        <v>20</v>
      </c>
      <c r="I151" s="18" t="s">
        <v>20</v>
      </c>
      <c r="J151" s="43" t="s">
        <v>20</v>
      </c>
      <c r="K151" s="43" t="s">
        <v>20</v>
      </c>
      <c r="L151" s="43" t="s">
        <v>21</v>
      </c>
      <c r="M151" s="18" t="s">
        <v>21</v>
      </c>
      <c r="N151" s="18" t="s">
        <v>20</v>
      </c>
      <c r="O151" s="18" t="s">
        <v>20</v>
      </c>
      <c r="P151" s="18" t="s">
        <v>20</v>
      </c>
      <c r="Q151" s="18" t="s">
        <v>20</v>
      </c>
      <c r="R151" s="18" t="s">
        <v>20</v>
      </c>
      <c r="S151" s="18" t="s">
        <v>20</v>
      </c>
      <c r="T151" s="18" t="s">
        <v>20</v>
      </c>
      <c r="U151" s="18" t="s">
        <v>20</v>
      </c>
      <c r="V151" s="37" t="s">
        <v>20</v>
      </c>
      <c r="W151" s="37" t="s">
        <v>20</v>
      </c>
      <c r="X151" s="37" t="s">
        <v>20</v>
      </c>
      <c r="Y151" s="18" t="s">
        <v>21</v>
      </c>
      <c r="Z151" s="18" t="s">
        <v>21</v>
      </c>
      <c r="AA151" s="20" t="s">
        <v>20</v>
      </c>
      <c r="AB151" s="20" t="s">
        <v>20</v>
      </c>
      <c r="AC151" s="20" t="s">
        <v>21</v>
      </c>
      <c r="AD151" s="18" t="s">
        <v>21</v>
      </c>
      <c r="AE151" s="18" t="s">
        <v>21</v>
      </c>
      <c r="AG151">
        <f t="shared" si="9"/>
        <v>0</v>
      </c>
      <c r="AH151">
        <f t="shared" si="10"/>
        <v>17</v>
      </c>
      <c r="AI151">
        <f t="shared" si="11"/>
        <v>9</v>
      </c>
      <c r="AJ151">
        <f t="shared" si="12"/>
        <v>0</v>
      </c>
      <c r="AL151">
        <f t="shared" si="13"/>
        <v>0</v>
      </c>
      <c r="AM151">
        <f t="shared" si="14"/>
        <v>51</v>
      </c>
      <c r="AN151">
        <f t="shared" si="15"/>
        <v>18</v>
      </c>
      <c r="AO151">
        <f t="shared" si="16"/>
        <v>0</v>
      </c>
      <c r="AP151">
        <f t="shared" si="17"/>
        <v>69</v>
      </c>
    </row>
    <row r="152" spans="1:42" ht="15.75" hidden="1" customHeight="1" x14ac:dyDescent="0.3">
      <c r="A152" s="16"/>
      <c r="B152" s="55">
        <v>22</v>
      </c>
      <c r="C152" s="56" t="s">
        <v>170</v>
      </c>
      <c r="D152" s="55">
        <v>4</v>
      </c>
      <c r="E152" s="55" t="s">
        <v>20</v>
      </c>
      <c r="F152" s="18" t="s">
        <v>20</v>
      </c>
      <c r="G152" s="18" t="s">
        <v>20</v>
      </c>
      <c r="H152" s="18" t="s">
        <v>20</v>
      </c>
      <c r="I152" s="18" t="s">
        <v>20</v>
      </c>
      <c r="J152" s="43" t="s">
        <v>20</v>
      </c>
      <c r="K152" s="43" t="s">
        <v>20</v>
      </c>
      <c r="L152" s="43" t="s">
        <v>21</v>
      </c>
      <c r="M152" s="18" t="s">
        <v>21</v>
      </c>
      <c r="N152" s="18" t="s">
        <v>20</v>
      </c>
      <c r="O152" s="18" t="s">
        <v>20</v>
      </c>
      <c r="P152" s="18" t="s">
        <v>21</v>
      </c>
      <c r="Q152" s="18" t="s">
        <v>21</v>
      </c>
      <c r="R152" s="18" t="s">
        <v>21</v>
      </c>
      <c r="S152" s="18" t="s">
        <v>20</v>
      </c>
      <c r="T152" s="18" t="s">
        <v>20</v>
      </c>
      <c r="U152" s="18" t="s">
        <v>21</v>
      </c>
      <c r="V152" s="37" t="s">
        <v>20</v>
      </c>
      <c r="W152" s="37" t="s">
        <v>20</v>
      </c>
      <c r="X152" s="37" t="s">
        <v>20</v>
      </c>
      <c r="Y152" s="18" t="s">
        <v>21</v>
      </c>
      <c r="Z152" s="18" t="s">
        <v>20</v>
      </c>
      <c r="AA152" s="20" t="s">
        <v>21</v>
      </c>
      <c r="AB152" s="20" t="s">
        <v>21</v>
      </c>
      <c r="AC152" s="20" t="s">
        <v>21</v>
      </c>
      <c r="AD152" s="18" t="s">
        <v>21</v>
      </c>
      <c r="AE152" s="18" t="s">
        <v>21</v>
      </c>
      <c r="AG152">
        <f t="shared" ref="AG152:AG215" si="18">+COUNTIF(F152:AE152,"AD")</f>
        <v>0</v>
      </c>
      <c r="AH152">
        <f t="shared" ref="AH152:AH215" si="19">+COUNTIF(F152:AE152,"A")</f>
        <v>14</v>
      </c>
      <c r="AI152">
        <f t="shared" ref="AI152:AI215" si="20">+COUNTIF(F152:AE152,"b")</f>
        <v>12</v>
      </c>
      <c r="AJ152">
        <f t="shared" ref="AJ152:AJ215" si="21">+COUNTIF(F152:AE152,"c")</f>
        <v>0</v>
      </c>
      <c r="AL152">
        <f t="shared" ref="AL152:AL215" si="22">+$AG$5*AG152</f>
        <v>0</v>
      </c>
      <c r="AM152">
        <f t="shared" ref="AM152:AM215" si="23">+$AH$5*AH152</f>
        <v>42</v>
      </c>
      <c r="AN152">
        <f t="shared" ref="AN152:AN215" si="24">+$AI$5*AI152</f>
        <v>24</v>
      </c>
      <c r="AO152">
        <f t="shared" ref="AO152:AO215" si="25">+$AJ$5*AJ152</f>
        <v>0</v>
      </c>
      <c r="AP152">
        <f t="shared" ref="AP152:AP215" si="26">+SUM(AL152:AO152)</f>
        <v>66</v>
      </c>
    </row>
    <row r="153" spans="1:42" ht="15.75" hidden="1" customHeight="1" thickBot="1" x14ac:dyDescent="0.35">
      <c r="A153" s="16"/>
      <c r="B153" s="57">
        <v>23</v>
      </c>
      <c r="C153" s="58" t="s">
        <v>171</v>
      </c>
      <c r="D153" s="57">
        <v>4</v>
      </c>
      <c r="E153" s="57" t="s">
        <v>20</v>
      </c>
      <c r="F153" s="21" t="s">
        <v>20</v>
      </c>
      <c r="G153" s="21" t="s">
        <v>20</v>
      </c>
      <c r="H153" s="21" t="s">
        <v>20</v>
      </c>
      <c r="I153" s="21" t="s">
        <v>20</v>
      </c>
      <c r="J153" s="45" t="s">
        <v>20</v>
      </c>
      <c r="K153" s="45" t="s">
        <v>20</v>
      </c>
      <c r="L153" s="45" t="s">
        <v>20</v>
      </c>
      <c r="M153" s="21" t="s">
        <v>21</v>
      </c>
      <c r="N153" s="21" t="s">
        <v>20</v>
      </c>
      <c r="O153" s="21" t="s">
        <v>20</v>
      </c>
      <c r="P153" s="21" t="s">
        <v>21</v>
      </c>
      <c r="Q153" s="21" t="s">
        <v>21</v>
      </c>
      <c r="R153" s="21" t="s">
        <v>21</v>
      </c>
      <c r="S153" s="21" t="s">
        <v>20</v>
      </c>
      <c r="T153" s="21" t="s">
        <v>20</v>
      </c>
      <c r="U153" s="21" t="s">
        <v>20</v>
      </c>
      <c r="V153" s="48" t="s">
        <v>20</v>
      </c>
      <c r="W153" s="38" t="s">
        <v>20</v>
      </c>
      <c r="X153" s="48" t="s">
        <v>20</v>
      </c>
      <c r="Y153" s="21" t="s">
        <v>21</v>
      </c>
      <c r="Z153" s="21" t="s">
        <v>21</v>
      </c>
      <c r="AA153" s="23" t="s">
        <v>21</v>
      </c>
      <c r="AB153" s="23" t="s">
        <v>20</v>
      </c>
      <c r="AC153" s="23" t="s">
        <v>20</v>
      </c>
      <c r="AD153" s="21" t="s">
        <v>20</v>
      </c>
      <c r="AE153" s="21" t="s">
        <v>21</v>
      </c>
      <c r="AG153">
        <f t="shared" si="18"/>
        <v>0</v>
      </c>
      <c r="AH153">
        <f t="shared" si="19"/>
        <v>18</v>
      </c>
      <c r="AI153">
        <f t="shared" si="20"/>
        <v>8</v>
      </c>
      <c r="AJ153">
        <f t="shared" si="21"/>
        <v>0</v>
      </c>
      <c r="AL153">
        <f t="shared" si="22"/>
        <v>0</v>
      </c>
      <c r="AM153">
        <f t="shared" si="23"/>
        <v>54</v>
      </c>
      <c r="AN153">
        <f t="shared" si="24"/>
        <v>16</v>
      </c>
      <c r="AO153">
        <f t="shared" si="25"/>
        <v>0</v>
      </c>
      <c r="AP153">
        <f t="shared" si="26"/>
        <v>70</v>
      </c>
    </row>
    <row r="154" spans="1:42" ht="15.75" hidden="1" customHeight="1" x14ac:dyDescent="0.3">
      <c r="A154" s="16"/>
      <c r="B154" s="59">
        <v>1</v>
      </c>
      <c r="C154" s="60" t="s">
        <v>172</v>
      </c>
      <c r="D154" s="59">
        <v>4</v>
      </c>
      <c r="E154" s="59" t="s">
        <v>21</v>
      </c>
      <c r="F154" s="24" t="s">
        <v>23</v>
      </c>
      <c r="G154" s="24" t="s">
        <v>21</v>
      </c>
      <c r="H154" s="24" t="s">
        <v>23</v>
      </c>
      <c r="I154" s="24" t="s">
        <v>23</v>
      </c>
      <c r="J154" s="42" t="s">
        <v>20</v>
      </c>
      <c r="K154" s="42" t="s">
        <v>21</v>
      </c>
      <c r="L154" s="42" t="s">
        <v>21</v>
      </c>
      <c r="M154" s="24" t="s">
        <v>21</v>
      </c>
      <c r="N154" s="24" t="s">
        <v>20</v>
      </c>
      <c r="O154" s="24" t="s">
        <v>20</v>
      </c>
      <c r="P154" s="24" t="s">
        <v>20</v>
      </c>
      <c r="Q154" s="24" t="s">
        <v>21</v>
      </c>
      <c r="R154" s="24" t="s">
        <v>21</v>
      </c>
      <c r="S154" s="24" t="s">
        <v>21</v>
      </c>
      <c r="T154" s="24" t="s">
        <v>20</v>
      </c>
      <c r="U154" s="24" t="s">
        <v>20</v>
      </c>
      <c r="V154" s="39" t="s">
        <v>20</v>
      </c>
      <c r="W154" s="39" t="s">
        <v>20</v>
      </c>
      <c r="X154" s="39" t="s">
        <v>20</v>
      </c>
      <c r="Y154" s="24" t="s">
        <v>23</v>
      </c>
      <c r="Z154" s="24" t="s">
        <v>21</v>
      </c>
      <c r="AA154" s="27" t="s">
        <v>21</v>
      </c>
      <c r="AB154" s="27" t="s">
        <v>20</v>
      </c>
      <c r="AC154" s="27" t="s">
        <v>21</v>
      </c>
      <c r="AD154" s="24" t="s">
        <v>23</v>
      </c>
      <c r="AE154" s="24" t="s">
        <v>21</v>
      </c>
      <c r="AG154">
        <f t="shared" si="18"/>
        <v>0</v>
      </c>
      <c r="AH154">
        <f t="shared" si="19"/>
        <v>10</v>
      </c>
      <c r="AI154">
        <f t="shared" si="20"/>
        <v>11</v>
      </c>
      <c r="AJ154">
        <f t="shared" si="21"/>
        <v>5</v>
      </c>
      <c r="AL154">
        <f t="shared" si="22"/>
        <v>0</v>
      </c>
      <c r="AM154">
        <f t="shared" si="23"/>
        <v>30</v>
      </c>
      <c r="AN154">
        <f t="shared" si="24"/>
        <v>22</v>
      </c>
      <c r="AO154">
        <f t="shared" si="25"/>
        <v>5</v>
      </c>
      <c r="AP154">
        <f t="shared" si="26"/>
        <v>57</v>
      </c>
    </row>
    <row r="155" spans="1:42" ht="15.75" hidden="1" customHeight="1" x14ac:dyDescent="0.3">
      <c r="A155" s="16"/>
      <c r="B155" s="55">
        <v>2</v>
      </c>
      <c r="C155" s="56" t="s">
        <v>173</v>
      </c>
      <c r="D155" s="55">
        <v>4</v>
      </c>
      <c r="E155" s="55" t="s">
        <v>21</v>
      </c>
      <c r="F155" s="18" t="s">
        <v>21</v>
      </c>
      <c r="G155" s="18" t="s">
        <v>21</v>
      </c>
      <c r="H155" s="18" t="s">
        <v>21</v>
      </c>
      <c r="I155" s="18" t="s">
        <v>21</v>
      </c>
      <c r="J155" s="43" t="s">
        <v>21</v>
      </c>
      <c r="K155" s="43" t="s">
        <v>21</v>
      </c>
      <c r="L155" s="43" t="s">
        <v>21</v>
      </c>
      <c r="M155" s="18" t="s">
        <v>21</v>
      </c>
      <c r="N155" s="18" t="s">
        <v>20</v>
      </c>
      <c r="O155" s="18" t="s">
        <v>20</v>
      </c>
      <c r="P155" s="18" t="s">
        <v>21</v>
      </c>
      <c r="Q155" s="18" t="s">
        <v>21</v>
      </c>
      <c r="R155" s="18" t="s">
        <v>21</v>
      </c>
      <c r="S155" s="18" t="s">
        <v>20</v>
      </c>
      <c r="T155" s="18" t="s">
        <v>21</v>
      </c>
      <c r="U155" s="18" t="s">
        <v>21</v>
      </c>
      <c r="V155" s="37" t="s">
        <v>21</v>
      </c>
      <c r="W155" s="37" t="s">
        <v>20</v>
      </c>
      <c r="X155" s="37" t="s">
        <v>21</v>
      </c>
      <c r="Y155" s="18" t="s">
        <v>20</v>
      </c>
      <c r="Z155" s="18" t="s">
        <v>20</v>
      </c>
      <c r="AA155" s="20" t="s">
        <v>20</v>
      </c>
      <c r="AB155" s="20" t="s">
        <v>20</v>
      </c>
      <c r="AC155" s="20" t="s">
        <v>20</v>
      </c>
      <c r="AD155" s="18" t="s">
        <v>20</v>
      </c>
      <c r="AE155" s="18" t="s">
        <v>21</v>
      </c>
      <c r="AG155">
        <f t="shared" si="18"/>
        <v>0</v>
      </c>
      <c r="AH155">
        <f t="shared" si="19"/>
        <v>10</v>
      </c>
      <c r="AI155">
        <f t="shared" si="20"/>
        <v>16</v>
      </c>
      <c r="AJ155">
        <f t="shared" si="21"/>
        <v>0</v>
      </c>
      <c r="AL155">
        <f t="shared" si="22"/>
        <v>0</v>
      </c>
      <c r="AM155">
        <f t="shared" si="23"/>
        <v>30</v>
      </c>
      <c r="AN155">
        <f t="shared" si="24"/>
        <v>32</v>
      </c>
      <c r="AO155">
        <f t="shared" si="25"/>
        <v>0</v>
      </c>
      <c r="AP155">
        <f t="shared" si="26"/>
        <v>62</v>
      </c>
    </row>
    <row r="156" spans="1:42" ht="15.75" hidden="1" customHeight="1" x14ac:dyDescent="0.3">
      <c r="A156" s="16"/>
      <c r="B156" s="55">
        <v>3</v>
      </c>
      <c r="C156" s="56" t="s">
        <v>174</v>
      </c>
      <c r="D156" s="55">
        <v>4</v>
      </c>
      <c r="E156" s="55" t="s">
        <v>21</v>
      </c>
      <c r="F156" s="18" t="s">
        <v>39</v>
      </c>
      <c r="G156" s="18" t="s">
        <v>20</v>
      </c>
      <c r="H156" s="18" t="s">
        <v>39</v>
      </c>
      <c r="I156" s="18" t="s">
        <v>20</v>
      </c>
      <c r="J156" s="43" t="s">
        <v>20</v>
      </c>
      <c r="K156" s="43" t="s">
        <v>20</v>
      </c>
      <c r="L156" s="43" t="s">
        <v>20</v>
      </c>
      <c r="M156" s="18" t="s">
        <v>20</v>
      </c>
      <c r="N156" s="18" t="s">
        <v>20</v>
      </c>
      <c r="O156" s="18" t="s">
        <v>20</v>
      </c>
      <c r="P156" s="18" t="s">
        <v>20</v>
      </c>
      <c r="Q156" s="18" t="s">
        <v>20</v>
      </c>
      <c r="R156" s="18" t="s">
        <v>20</v>
      </c>
      <c r="S156" s="18" t="s">
        <v>20</v>
      </c>
      <c r="T156" s="18" t="s">
        <v>20</v>
      </c>
      <c r="U156" s="18" t="s">
        <v>20</v>
      </c>
      <c r="V156" s="37" t="s">
        <v>20</v>
      </c>
      <c r="W156" s="37" t="s">
        <v>20</v>
      </c>
      <c r="X156" s="37" t="s">
        <v>20</v>
      </c>
      <c r="Y156" s="18" t="s">
        <v>20</v>
      </c>
      <c r="Z156" s="18" t="s">
        <v>20</v>
      </c>
      <c r="AA156" s="20" t="s">
        <v>20</v>
      </c>
      <c r="AB156" s="20" t="s">
        <v>20</v>
      </c>
      <c r="AC156" s="20" t="s">
        <v>20</v>
      </c>
      <c r="AD156" s="18" t="s">
        <v>21</v>
      </c>
      <c r="AE156" s="18" t="s">
        <v>21</v>
      </c>
      <c r="AG156">
        <f t="shared" si="18"/>
        <v>2</v>
      </c>
      <c r="AH156">
        <f t="shared" si="19"/>
        <v>22</v>
      </c>
      <c r="AI156">
        <f t="shared" si="20"/>
        <v>2</v>
      </c>
      <c r="AJ156">
        <f t="shared" si="21"/>
        <v>0</v>
      </c>
      <c r="AL156">
        <f t="shared" si="22"/>
        <v>8</v>
      </c>
      <c r="AM156">
        <f t="shared" si="23"/>
        <v>66</v>
      </c>
      <c r="AN156">
        <f t="shared" si="24"/>
        <v>4</v>
      </c>
      <c r="AO156">
        <f t="shared" si="25"/>
        <v>0</v>
      </c>
      <c r="AP156">
        <f t="shared" si="26"/>
        <v>78</v>
      </c>
    </row>
    <row r="157" spans="1:42" ht="15.75" hidden="1" customHeight="1" x14ac:dyDescent="0.3">
      <c r="A157" s="16"/>
      <c r="B157" s="55">
        <v>4</v>
      </c>
      <c r="C157" s="56" t="s">
        <v>175</v>
      </c>
      <c r="D157" s="55">
        <v>4</v>
      </c>
      <c r="E157" s="55" t="s">
        <v>21</v>
      </c>
      <c r="F157" s="18" t="s">
        <v>20</v>
      </c>
      <c r="G157" s="18" t="s">
        <v>20</v>
      </c>
      <c r="H157" s="18" t="s">
        <v>20</v>
      </c>
      <c r="I157" s="18" t="s">
        <v>20</v>
      </c>
      <c r="J157" s="43" t="s">
        <v>20</v>
      </c>
      <c r="K157" s="43" t="s">
        <v>20</v>
      </c>
      <c r="L157" s="43" t="s">
        <v>21</v>
      </c>
      <c r="M157" s="18" t="s">
        <v>20</v>
      </c>
      <c r="N157" s="18" t="s">
        <v>20</v>
      </c>
      <c r="O157" s="18" t="s">
        <v>20</v>
      </c>
      <c r="P157" s="18" t="s">
        <v>21</v>
      </c>
      <c r="Q157" s="18" t="s">
        <v>21</v>
      </c>
      <c r="R157" s="18" t="s">
        <v>21</v>
      </c>
      <c r="S157" s="18" t="s">
        <v>21</v>
      </c>
      <c r="T157" s="18" t="s">
        <v>21</v>
      </c>
      <c r="U157" s="18" t="s">
        <v>21</v>
      </c>
      <c r="V157" s="37" t="s">
        <v>20</v>
      </c>
      <c r="W157" s="37" t="s">
        <v>20</v>
      </c>
      <c r="X157" s="37" t="s">
        <v>20</v>
      </c>
      <c r="Y157" s="18" t="s">
        <v>20</v>
      </c>
      <c r="Z157" s="18" t="s">
        <v>20</v>
      </c>
      <c r="AA157" s="20" t="s">
        <v>20</v>
      </c>
      <c r="AB157" s="20" t="s">
        <v>21</v>
      </c>
      <c r="AC157" s="20" t="s">
        <v>21</v>
      </c>
      <c r="AD157" s="18" t="s">
        <v>21</v>
      </c>
      <c r="AE157" s="18" t="s">
        <v>21</v>
      </c>
      <c r="AG157">
        <f t="shared" si="18"/>
        <v>0</v>
      </c>
      <c r="AH157">
        <f t="shared" si="19"/>
        <v>15</v>
      </c>
      <c r="AI157">
        <f t="shared" si="20"/>
        <v>11</v>
      </c>
      <c r="AJ157">
        <f t="shared" si="21"/>
        <v>0</v>
      </c>
      <c r="AL157">
        <f t="shared" si="22"/>
        <v>0</v>
      </c>
      <c r="AM157">
        <f t="shared" si="23"/>
        <v>45</v>
      </c>
      <c r="AN157">
        <f t="shared" si="24"/>
        <v>22</v>
      </c>
      <c r="AO157">
        <f t="shared" si="25"/>
        <v>0</v>
      </c>
      <c r="AP157">
        <f t="shared" si="26"/>
        <v>67</v>
      </c>
    </row>
    <row r="158" spans="1:42" ht="15.75" hidden="1" customHeight="1" x14ac:dyDescent="0.3">
      <c r="A158" s="16"/>
      <c r="B158" s="55">
        <v>5</v>
      </c>
      <c r="C158" s="56" t="s">
        <v>176</v>
      </c>
      <c r="D158" s="55">
        <v>4</v>
      </c>
      <c r="E158" s="55" t="s">
        <v>21</v>
      </c>
      <c r="F158" s="18" t="s">
        <v>39</v>
      </c>
      <c r="G158" s="18" t="s">
        <v>20</v>
      </c>
      <c r="H158" s="18" t="s">
        <v>20</v>
      </c>
      <c r="I158" s="18" t="s">
        <v>20</v>
      </c>
      <c r="J158" s="43" t="s">
        <v>20</v>
      </c>
      <c r="K158" s="43" t="s">
        <v>20</v>
      </c>
      <c r="L158" s="43" t="s">
        <v>20</v>
      </c>
      <c r="M158" s="18" t="s">
        <v>20</v>
      </c>
      <c r="N158" s="18" t="s">
        <v>20</v>
      </c>
      <c r="O158" s="18" t="s">
        <v>20</v>
      </c>
      <c r="P158" s="18" t="s">
        <v>20</v>
      </c>
      <c r="Q158" s="18" t="s">
        <v>20</v>
      </c>
      <c r="R158" s="18" t="s">
        <v>20</v>
      </c>
      <c r="S158" s="18" t="s">
        <v>20</v>
      </c>
      <c r="T158" s="18" t="s">
        <v>20</v>
      </c>
      <c r="U158" s="18" t="s">
        <v>20</v>
      </c>
      <c r="V158" s="37" t="s">
        <v>20</v>
      </c>
      <c r="W158" s="37" t="s">
        <v>20</v>
      </c>
      <c r="X158" s="37" t="s">
        <v>20</v>
      </c>
      <c r="Y158" s="18" t="s">
        <v>20</v>
      </c>
      <c r="Z158" s="18" t="s">
        <v>20</v>
      </c>
      <c r="AA158" s="20" t="s">
        <v>20</v>
      </c>
      <c r="AB158" s="20" t="s">
        <v>20</v>
      </c>
      <c r="AC158" s="20" t="s">
        <v>20</v>
      </c>
      <c r="AD158" s="18" t="s">
        <v>20</v>
      </c>
      <c r="AE158" s="18" t="s">
        <v>21</v>
      </c>
      <c r="AG158">
        <f t="shared" si="18"/>
        <v>1</v>
      </c>
      <c r="AH158">
        <f t="shared" si="19"/>
        <v>24</v>
      </c>
      <c r="AI158">
        <f t="shared" si="20"/>
        <v>1</v>
      </c>
      <c r="AJ158">
        <f t="shared" si="21"/>
        <v>0</v>
      </c>
      <c r="AL158">
        <f t="shared" si="22"/>
        <v>4</v>
      </c>
      <c r="AM158">
        <f t="shared" si="23"/>
        <v>72</v>
      </c>
      <c r="AN158">
        <f t="shared" si="24"/>
        <v>2</v>
      </c>
      <c r="AO158">
        <f t="shared" si="25"/>
        <v>0</v>
      </c>
      <c r="AP158">
        <f t="shared" si="26"/>
        <v>78</v>
      </c>
    </row>
    <row r="159" spans="1:42" ht="15.75" hidden="1" customHeight="1" x14ac:dyDescent="0.3">
      <c r="A159" s="16"/>
      <c r="B159" s="55">
        <v>6</v>
      </c>
      <c r="C159" s="56" t="s">
        <v>177</v>
      </c>
      <c r="D159" s="55">
        <v>4</v>
      </c>
      <c r="E159" s="55" t="s">
        <v>21</v>
      </c>
      <c r="F159" s="18" t="s">
        <v>20</v>
      </c>
      <c r="G159" s="18" t="s">
        <v>20</v>
      </c>
      <c r="H159" s="18" t="s">
        <v>20</v>
      </c>
      <c r="I159" s="18" t="s">
        <v>20</v>
      </c>
      <c r="J159" s="43" t="s">
        <v>20</v>
      </c>
      <c r="K159" s="43" t="s">
        <v>20</v>
      </c>
      <c r="L159" s="43" t="s">
        <v>20</v>
      </c>
      <c r="M159" s="18" t="s">
        <v>20</v>
      </c>
      <c r="N159" s="18" t="s">
        <v>20</v>
      </c>
      <c r="O159" s="18" t="s">
        <v>21</v>
      </c>
      <c r="P159" s="18" t="s">
        <v>21</v>
      </c>
      <c r="Q159" s="18" t="s">
        <v>21</v>
      </c>
      <c r="R159" s="18" t="s">
        <v>21</v>
      </c>
      <c r="S159" s="18" t="s">
        <v>20</v>
      </c>
      <c r="T159" s="18" t="s">
        <v>20</v>
      </c>
      <c r="U159" s="18" t="s">
        <v>21</v>
      </c>
      <c r="V159" s="37" t="s">
        <v>20</v>
      </c>
      <c r="W159" s="37" t="s">
        <v>20</v>
      </c>
      <c r="X159" s="37" t="s">
        <v>20</v>
      </c>
      <c r="Y159" s="18" t="s">
        <v>20</v>
      </c>
      <c r="Z159" s="18" t="s">
        <v>20</v>
      </c>
      <c r="AA159" s="20" t="s">
        <v>21</v>
      </c>
      <c r="AB159" s="20" t="s">
        <v>20</v>
      </c>
      <c r="AC159" s="20" t="s">
        <v>20</v>
      </c>
      <c r="AD159" s="18" t="s">
        <v>20</v>
      </c>
      <c r="AE159" s="18" t="s">
        <v>21</v>
      </c>
      <c r="AG159">
        <f t="shared" si="18"/>
        <v>0</v>
      </c>
      <c r="AH159">
        <f t="shared" si="19"/>
        <v>19</v>
      </c>
      <c r="AI159">
        <f t="shared" si="20"/>
        <v>7</v>
      </c>
      <c r="AJ159">
        <f t="shared" si="21"/>
        <v>0</v>
      </c>
      <c r="AL159">
        <f t="shared" si="22"/>
        <v>0</v>
      </c>
      <c r="AM159">
        <f t="shared" si="23"/>
        <v>57</v>
      </c>
      <c r="AN159">
        <f t="shared" si="24"/>
        <v>14</v>
      </c>
      <c r="AO159">
        <f t="shared" si="25"/>
        <v>0</v>
      </c>
      <c r="AP159">
        <f t="shared" si="26"/>
        <v>71</v>
      </c>
    </row>
    <row r="160" spans="1:42" ht="15.75" hidden="1" customHeight="1" x14ac:dyDescent="0.3">
      <c r="A160" s="16"/>
      <c r="B160" s="55">
        <v>7</v>
      </c>
      <c r="C160" s="56" t="s">
        <v>178</v>
      </c>
      <c r="D160" s="55">
        <v>4</v>
      </c>
      <c r="E160" s="55" t="s">
        <v>21</v>
      </c>
      <c r="F160" s="18" t="s">
        <v>21</v>
      </c>
      <c r="G160" s="18" t="s">
        <v>20</v>
      </c>
      <c r="H160" s="18" t="s">
        <v>20</v>
      </c>
      <c r="I160" s="18" t="s">
        <v>21</v>
      </c>
      <c r="J160" s="43" t="s">
        <v>20</v>
      </c>
      <c r="K160" s="43" t="s">
        <v>21</v>
      </c>
      <c r="L160" s="43" t="s">
        <v>21</v>
      </c>
      <c r="M160" s="18" t="s">
        <v>20</v>
      </c>
      <c r="N160" s="18" t="s">
        <v>20</v>
      </c>
      <c r="O160" s="18" t="s">
        <v>20</v>
      </c>
      <c r="P160" s="18" t="s">
        <v>21</v>
      </c>
      <c r="Q160" s="18" t="s">
        <v>21</v>
      </c>
      <c r="R160" s="18" t="s">
        <v>21</v>
      </c>
      <c r="S160" s="18" t="s">
        <v>20</v>
      </c>
      <c r="T160" s="18" t="s">
        <v>20</v>
      </c>
      <c r="U160" s="18" t="s">
        <v>21</v>
      </c>
      <c r="V160" s="37" t="s">
        <v>20</v>
      </c>
      <c r="W160" s="37" t="s">
        <v>20</v>
      </c>
      <c r="X160" s="37" t="s">
        <v>20</v>
      </c>
      <c r="Y160" s="18" t="s">
        <v>20</v>
      </c>
      <c r="Z160" s="18" t="s">
        <v>21</v>
      </c>
      <c r="AA160" s="20" t="s">
        <v>21</v>
      </c>
      <c r="AB160" s="20" t="s">
        <v>21</v>
      </c>
      <c r="AC160" s="20" t="s">
        <v>21</v>
      </c>
      <c r="AD160" s="18" t="s">
        <v>21</v>
      </c>
      <c r="AE160" s="18" t="s">
        <v>21</v>
      </c>
      <c r="AG160">
        <f t="shared" si="18"/>
        <v>0</v>
      </c>
      <c r="AH160">
        <f t="shared" si="19"/>
        <v>12</v>
      </c>
      <c r="AI160">
        <f t="shared" si="20"/>
        <v>14</v>
      </c>
      <c r="AJ160">
        <f t="shared" si="21"/>
        <v>0</v>
      </c>
      <c r="AL160">
        <f t="shared" si="22"/>
        <v>0</v>
      </c>
      <c r="AM160">
        <f t="shared" si="23"/>
        <v>36</v>
      </c>
      <c r="AN160">
        <f t="shared" si="24"/>
        <v>28</v>
      </c>
      <c r="AO160">
        <f t="shared" si="25"/>
        <v>0</v>
      </c>
      <c r="AP160">
        <f t="shared" si="26"/>
        <v>64</v>
      </c>
    </row>
    <row r="161" spans="1:42" ht="15.75" hidden="1" customHeight="1" x14ac:dyDescent="0.3">
      <c r="A161" s="16"/>
      <c r="B161" s="55">
        <v>8</v>
      </c>
      <c r="C161" s="56" t="s">
        <v>179</v>
      </c>
      <c r="D161" s="55">
        <v>4</v>
      </c>
      <c r="E161" s="55" t="s">
        <v>21</v>
      </c>
      <c r="F161" s="18" t="s">
        <v>20</v>
      </c>
      <c r="G161" s="18" t="s">
        <v>20</v>
      </c>
      <c r="H161" s="18" t="s">
        <v>20</v>
      </c>
      <c r="I161" s="18" t="s">
        <v>20</v>
      </c>
      <c r="J161" s="43" t="s">
        <v>20</v>
      </c>
      <c r="K161" s="43" t="s">
        <v>20</v>
      </c>
      <c r="L161" s="43" t="s">
        <v>20</v>
      </c>
      <c r="M161" s="18" t="s">
        <v>21</v>
      </c>
      <c r="N161" s="18" t="s">
        <v>20</v>
      </c>
      <c r="O161" s="18" t="s">
        <v>20</v>
      </c>
      <c r="P161" s="18" t="s">
        <v>21</v>
      </c>
      <c r="Q161" s="18" t="s">
        <v>21</v>
      </c>
      <c r="R161" s="18" t="s">
        <v>21</v>
      </c>
      <c r="S161" s="18" t="s">
        <v>21</v>
      </c>
      <c r="T161" s="18" t="s">
        <v>20</v>
      </c>
      <c r="U161" s="18" t="s">
        <v>20</v>
      </c>
      <c r="V161" s="37" t="s">
        <v>20</v>
      </c>
      <c r="W161" s="37" t="s">
        <v>20</v>
      </c>
      <c r="X161" s="37" t="s">
        <v>20</v>
      </c>
      <c r="Y161" s="18" t="s">
        <v>20</v>
      </c>
      <c r="Z161" s="18" t="s">
        <v>21</v>
      </c>
      <c r="AA161" s="20" t="s">
        <v>20</v>
      </c>
      <c r="AB161" s="20" t="s">
        <v>20</v>
      </c>
      <c r="AC161" s="20" t="s">
        <v>21</v>
      </c>
      <c r="AD161" s="18" t="s">
        <v>20</v>
      </c>
      <c r="AE161" s="18" t="s">
        <v>21</v>
      </c>
      <c r="AG161">
        <f t="shared" si="18"/>
        <v>0</v>
      </c>
      <c r="AH161">
        <f t="shared" si="19"/>
        <v>18</v>
      </c>
      <c r="AI161">
        <f t="shared" si="20"/>
        <v>8</v>
      </c>
      <c r="AJ161">
        <f t="shared" si="21"/>
        <v>0</v>
      </c>
      <c r="AL161">
        <f t="shared" si="22"/>
        <v>0</v>
      </c>
      <c r="AM161">
        <f t="shared" si="23"/>
        <v>54</v>
      </c>
      <c r="AN161">
        <f t="shared" si="24"/>
        <v>16</v>
      </c>
      <c r="AO161">
        <f t="shared" si="25"/>
        <v>0</v>
      </c>
      <c r="AP161">
        <f t="shared" si="26"/>
        <v>70</v>
      </c>
    </row>
    <row r="162" spans="1:42" ht="15.75" hidden="1" customHeight="1" x14ac:dyDescent="0.3">
      <c r="A162" s="16"/>
      <c r="B162" s="55">
        <v>9</v>
      </c>
      <c r="C162" s="56" t="s">
        <v>180</v>
      </c>
      <c r="D162" s="55">
        <v>4</v>
      </c>
      <c r="E162" s="55" t="s">
        <v>21</v>
      </c>
      <c r="F162" s="18" t="s">
        <v>21</v>
      </c>
      <c r="G162" s="18" t="s">
        <v>21</v>
      </c>
      <c r="H162" s="18" t="s">
        <v>21</v>
      </c>
      <c r="I162" s="18" t="s">
        <v>21</v>
      </c>
      <c r="J162" s="43" t="s">
        <v>20</v>
      </c>
      <c r="K162" s="43" t="s">
        <v>20</v>
      </c>
      <c r="L162" s="43" t="s">
        <v>20</v>
      </c>
      <c r="M162" s="18" t="s">
        <v>20</v>
      </c>
      <c r="N162" s="18" t="s">
        <v>20</v>
      </c>
      <c r="O162" s="18" t="s">
        <v>20</v>
      </c>
      <c r="P162" s="18" t="s">
        <v>21</v>
      </c>
      <c r="Q162" s="18" t="s">
        <v>21</v>
      </c>
      <c r="R162" s="18" t="s">
        <v>21</v>
      </c>
      <c r="S162" s="18" t="s">
        <v>20</v>
      </c>
      <c r="T162" s="18" t="s">
        <v>20</v>
      </c>
      <c r="U162" s="18" t="s">
        <v>21</v>
      </c>
      <c r="V162" s="37" t="s">
        <v>20</v>
      </c>
      <c r="W162" s="37" t="s">
        <v>20</v>
      </c>
      <c r="X162" s="37" t="s">
        <v>20</v>
      </c>
      <c r="Y162" s="18" t="s">
        <v>20</v>
      </c>
      <c r="Z162" s="18" t="s">
        <v>21</v>
      </c>
      <c r="AA162" s="20" t="s">
        <v>21</v>
      </c>
      <c r="AB162" s="20" t="s">
        <v>21</v>
      </c>
      <c r="AC162" s="20" t="s">
        <v>20</v>
      </c>
      <c r="AD162" s="18" t="s">
        <v>20</v>
      </c>
      <c r="AE162" s="18" t="s">
        <v>21</v>
      </c>
      <c r="AG162">
        <f t="shared" si="18"/>
        <v>0</v>
      </c>
      <c r="AH162">
        <f t="shared" si="19"/>
        <v>14</v>
      </c>
      <c r="AI162">
        <f t="shared" si="20"/>
        <v>12</v>
      </c>
      <c r="AJ162">
        <f t="shared" si="21"/>
        <v>0</v>
      </c>
      <c r="AL162">
        <f t="shared" si="22"/>
        <v>0</v>
      </c>
      <c r="AM162">
        <f t="shared" si="23"/>
        <v>42</v>
      </c>
      <c r="AN162">
        <f t="shared" si="24"/>
        <v>24</v>
      </c>
      <c r="AO162">
        <f t="shared" si="25"/>
        <v>0</v>
      </c>
      <c r="AP162">
        <f t="shared" si="26"/>
        <v>66</v>
      </c>
    </row>
    <row r="163" spans="1:42" ht="15.75" hidden="1" customHeight="1" x14ac:dyDescent="0.3">
      <c r="A163" s="16"/>
      <c r="B163" s="55">
        <v>10</v>
      </c>
      <c r="C163" s="56" t="s">
        <v>181</v>
      </c>
      <c r="D163" s="55">
        <v>4</v>
      </c>
      <c r="E163" s="55" t="s">
        <v>21</v>
      </c>
      <c r="F163" s="18" t="s">
        <v>21</v>
      </c>
      <c r="G163" s="18" t="s">
        <v>20</v>
      </c>
      <c r="H163" s="18" t="s">
        <v>21</v>
      </c>
      <c r="I163" s="18" t="s">
        <v>21</v>
      </c>
      <c r="J163" s="43" t="s">
        <v>20</v>
      </c>
      <c r="K163" s="43" t="s">
        <v>20</v>
      </c>
      <c r="L163" s="43" t="s">
        <v>21</v>
      </c>
      <c r="M163" s="18" t="s">
        <v>23</v>
      </c>
      <c r="N163" s="18" t="s">
        <v>20</v>
      </c>
      <c r="O163" s="18" t="s">
        <v>20</v>
      </c>
      <c r="P163" s="18" t="s">
        <v>21</v>
      </c>
      <c r="Q163" s="18" t="s">
        <v>21</v>
      </c>
      <c r="R163" s="18" t="s">
        <v>21</v>
      </c>
      <c r="S163" s="18" t="s">
        <v>20</v>
      </c>
      <c r="T163" s="18" t="s">
        <v>20</v>
      </c>
      <c r="U163" s="18" t="s">
        <v>21</v>
      </c>
      <c r="V163" s="37" t="s">
        <v>20</v>
      </c>
      <c r="W163" s="37" t="s">
        <v>20</v>
      </c>
      <c r="X163" s="37" t="s">
        <v>20</v>
      </c>
      <c r="Y163" s="18" t="s">
        <v>21</v>
      </c>
      <c r="Z163" s="18" t="s">
        <v>21</v>
      </c>
      <c r="AA163" s="20" t="s">
        <v>21</v>
      </c>
      <c r="AB163" s="20" t="s">
        <v>23</v>
      </c>
      <c r="AC163" s="20" t="s">
        <v>21</v>
      </c>
      <c r="AD163" s="18" t="s">
        <v>23</v>
      </c>
      <c r="AE163" s="18" t="s">
        <v>21</v>
      </c>
      <c r="AG163">
        <f t="shared" si="18"/>
        <v>0</v>
      </c>
      <c r="AH163">
        <f t="shared" si="19"/>
        <v>10</v>
      </c>
      <c r="AI163">
        <f t="shared" si="20"/>
        <v>13</v>
      </c>
      <c r="AJ163">
        <f t="shared" si="21"/>
        <v>3</v>
      </c>
      <c r="AL163">
        <f t="shared" si="22"/>
        <v>0</v>
      </c>
      <c r="AM163">
        <f t="shared" si="23"/>
        <v>30</v>
      </c>
      <c r="AN163">
        <f t="shared" si="24"/>
        <v>26</v>
      </c>
      <c r="AO163">
        <f t="shared" si="25"/>
        <v>3</v>
      </c>
      <c r="AP163">
        <f t="shared" si="26"/>
        <v>59</v>
      </c>
    </row>
    <row r="164" spans="1:42" ht="15.75" hidden="1" customHeight="1" x14ac:dyDescent="0.3">
      <c r="A164" s="16"/>
      <c r="B164" s="55">
        <v>11</v>
      </c>
      <c r="C164" s="56" t="s">
        <v>182</v>
      </c>
      <c r="D164" s="55">
        <v>4</v>
      </c>
      <c r="E164" s="55" t="s">
        <v>21</v>
      </c>
      <c r="F164" s="18" t="s">
        <v>23</v>
      </c>
      <c r="G164" s="18" t="s">
        <v>23</v>
      </c>
      <c r="H164" s="18" t="s">
        <v>23</v>
      </c>
      <c r="I164" s="18" t="s">
        <v>23</v>
      </c>
      <c r="J164" s="43" t="s">
        <v>21</v>
      </c>
      <c r="K164" s="43" t="s">
        <v>21</v>
      </c>
      <c r="L164" s="43" t="s">
        <v>21</v>
      </c>
      <c r="M164" s="18" t="s">
        <v>21</v>
      </c>
      <c r="N164" s="18" t="s">
        <v>20</v>
      </c>
      <c r="O164" s="18" t="s">
        <v>21</v>
      </c>
      <c r="P164" s="18" t="s">
        <v>23</v>
      </c>
      <c r="Q164" s="18" t="s">
        <v>21</v>
      </c>
      <c r="R164" s="18" t="s">
        <v>21</v>
      </c>
      <c r="S164" s="18" t="s">
        <v>21</v>
      </c>
      <c r="T164" s="18" t="s">
        <v>20</v>
      </c>
      <c r="U164" s="18" t="s">
        <v>20</v>
      </c>
      <c r="V164" s="37" t="s">
        <v>20</v>
      </c>
      <c r="W164" s="37" t="s">
        <v>21</v>
      </c>
      <c r="X164" s="37" t="s">
        <v>20</v>
      </c>
      <c r="Y164" s="18" t="s">
        <v>23</v>
      </c>
      <c r="Z164" s="18" t="s">
        <v>23</v>
      </c>
      <c r="AA164" s="20" t="s">
        <v>21</v>
      </c>
      <c r="AB164" s="20" t="s">
        <v>21</v>
      </c>
      <c r="AC164" s="20" t="s">
        <v>21</v>
      </c>
      <c r="AD164" s="18" t="s">
        <v>23</v>
      </c>
      <c r="AE164" s="18" t="s">
        <v>21</v>
      </c>
      <c r="AG164">
        <f t="shared" si="18"/>
        <v>0</v>
      </c>
      <c r="AH164">
        <f t="shared" si="19"/>
        <v>5</v>
      </c>
      <c r="AI164">
        <f t="shared" si="20"/>
        <v>13</v>
      </c>
      <c r="AJ164">
        <f t="shared" si="21"/>
        <v>8</v>
      </c>
      <c r="AL164">
        <f t="shared" si="22"/>
        <v>0</v>
      </c>
      <c r="AM164">
        <f t="shared" si="23"/>
        <v>15</v>
      </c>
      <c r="AN164">
        <f t="shared" si="24"/>
        <v>26</v>
      </c>
      <c r="AO164">
        <f t="shared" si="25"/>
        <v>8</v>
      </c>
      <c r="AP164">
        <f t="shared" si="26"/>
        <v>49</v>
      </c>
    </row>
    <row r="165" spans="1:42" ht="15.75" hidden="1" customHeight="1" x14ac:dyDescent="0.3">
      <c r="A165" s="16"/>
      <c r="B165" s="55">
        <v>12</v>
      </c>
      <c r="C165" s="56" t="s">
        <v>183</v>
      </c>
      <c r="D165" s="55">
        <v>4</v>
      </c>
      <c r="E165" s="55" t="s">
        <v>21</v>
      </c>
      <c r="F165" s="18" t="s">
        <v>21</v>
      </c>
      <c r="G165" s="18" t="s">
        <v>21</v>
      </c>
      <c r="H165" s="18" t="s">
        <v>21</v>
      </c>
      <c r="I165" s="18" t="s">
        <v>21</v>
      </c>
      <c r="J165" s="43" t="s">
        <v>20</v>
      </c>
      <c r="K165" s="43" t="s">
        <v>20</v>
      </c>
      <c r="L165" s="43" t="s">
        <v>21</v>
      </c>
      <c r="M165" s="18" t="s">
        <v>20</v>
      </c>
      <c r="N165" s="18" t="s">
        <v>20</v>
      </c>
      <c r="O165" s="18" t="s">
        <v>20</v>
      </c>
      <c r="P165" s="18" t="s">
        <v>21</v>
      </c>
      <c r="Q165" s="18" t="s">
        <v>21</v>
      </c>
      <c r="R165" s="18" t="s">
        <v>21</v>
      </c>
      <c r="S165" s="18" t="s">
        <v>20</v>
      </c>
      <c r="T165" s="18" t="s">
        <v>20</v>
      </c>
      <c r="U165" s="18" t="s">
        <v>20</v>
      </c>
      <c r="V165" s="49" t="s">
        <v>20</v>
      </c>
      <c r="W165" s="37" t="s">
        <v>20</v>
      </c>
      <c r="X165" s="37" t="s">
        <v>20</v>
      </c>
      <c r="Y165" s="18" t="s">
        <v>20</v>
      </c>
      <c r="Z165" s="18" t="s">
        <v>21</v>
      </c>
      <c r="AA165" s="20" t="s">
        <v>21</v>
      </c>
      <c r="AB165" s="20" t="s">
        <v>20</v>
      </c>
      <c r="AC165" s="20" t="s">
        <v>20</v>
      </c>
      <c r="AD165" s="29" t="s">
        <v>20</v>
      </c>
      <c r="AE165" s="29" t="s">
        <v>21</v>
      </c>
      <c r="AG165">
        <f t="shared" si="18"/>
        <v>0</v>
      </c>
      <c r="AH165">
        <f t="shared" si="19"/>
        <v>15</v>
      </c>
      <c r="AI165">
        <f t="shared" si="20"/>
        <v>11</v>
      </c>
      <c r="AJ165">
        <f t="shared" si="21"/>
        <v>0</v>
      </c>
      <c r="AL165">
        <f t="shared" si="22"/>
        <v>0</v>
      </c>
      <c r="AM165">
        <f t="shared" si="23"/>
        <v>45</v>
      </c>
      <c r="AN165">
        <f t="shared" si="24"/>
        <v>22</v>
      </c>
      <c r="AO165">
        <f t="shared" si="25"/>
        <v>0</v>
      </c>
      <c r="AP165">
        <f t="shared" si="26"/>
        <v>67</v>
      </c>
    </row>
    <row r="166" spans="1:42" ht="15.75" hidden="1" customHeight="1" x14ac:dyDescent="0.3">
      <c r="A166" s="16"/>
      <c r="B166" s="55">
        <v>13</v>
      </c>
      <c r="C166" s="56" t="s">
        <v>184</v>
      </c>
      <c r="D166" s="55">
        <v>4</v>
      </c>
      <c r="E166" s="55" t="s">
        <v>21</v>
      </c>
      <c r="F166" s="18" t="s">
        <v>21</v>
      </c>
      <c r="G166" s="18" t="s">
        <v>21</v>
      </c>
      <c r="H166" s="18" t="s">
        <v>23</v>
      </c>
      <c r="I166" s="18" t="s">
        <v>21</v>
      </c>
      <c r="J166" s="43" t="s">
        <v>20</v>
      </c>
      <c r="K166" s="43" t="s">
        <v>20</v>
      </c>
      <c r="L166" s="43" t="s">
        <v>21</v>
      </c>
      <c r="M166" s="18" t="s">
        <v>21</v>
      </c>
      <c r="N166" s="18" t="s">
        <v>20</v>
      </c>
      <c r="O166" s="18" t="s">
        <v>21</v>
      </c>
      <c r="P166" s="18" t="s">
        <v>21</v>
      </c>
      <c r="Q166" s="18" t="s">
        <v>21</v>
      </c>
      <c r="R166" s="18" t="s">
        <v>21</v>
      </c>
      <c r="S166" s="18" t="s">
        <v>23</v>
      </c>
      <c r="T166" s="18" t="s">
        <v>23</v>
      </c>
      <c r="U166" s="18" t="s">
        <v>20</v>
      </c>
      <c r="V166" s="49" t="s">
        <v>20</v>
      </c>
      <c r="W166" s="37" t="s">
        <v>21</v>
      </c>
      <c r="X166" s="37" t="s">
        <v>20</v>
      </c>
      <c r="Y166" s="18" t="s">
        <v>23</v>
      </c>
      <c r="Z166" s="18" t="s">
        <v>21</v>
      </c>
      <c r="AA166" s="20" t="s">
        <v>21</v>
      </c>
      <c r="AB166" s="20" t="s">
        <v>20</v>
      </c>
      <c r="AC166" s="20" t="s">
        <v>23</v>
      </c>
      <c r="AD166" s="29" t="s">
        <v>23</v>
      </c>
      <c r="AE166" s="29" t="s">
        <v>21</v>
      </c>
      <c r="AG166">
        <f t="shared" si="18"/>
        <v>0</v>
      </c>
      <c r="AH166">
        <f t="shared" si="19"/>
        <v>7</v>
      </c>
      <c r="AI166">
        <f t="shared" si="20"/>
        <v>13</v>
      </c>
      <c r="AJ166">
        <f t="shared" si="21"/>
        <v>6</v>
      </c>
      <c r="AL166">
        <f t="shared" si="22"/>
        <v>0</v>
      </c>
      <c r="AM166">
        <f t="shared" si="23"/>
        <v>21</v>
      </c>
      <c r="AN166">
        <f t="shared" si="24"/>
        <v>26</v>
      </c>
      <c r="AO166">
        <f t="shared" si="25"/>
        <v>6</v>
      </c>
      <c r="AP166">
        <f t="shared" si="26"/>
        <v>53</v>
      </c>
    </row>
    <row r="167" spans="1:42" ht="15.75" hidden="1" customHeight="1" x14ac:dyDescent="0.3">
      <c r="A167" s="16"/>
      <c r="B167" s="55">
        <v>14</v>
      </c>
      <c r="C167" s="56" t="s">
        <v>185</v>
      </c>
      <c r="D167" s="55">
        <v>4</v>
      </c>
      <c r="E167" s="55" t="s">
        <v>21</v>
      </c>
      <c r="F167" s="18" t="s">
        <v>21</v>
      </c>
      <c r="G167" s="18" t="s">
        <v>21</v>
      </c>
      <c r="H167" s="18" t="s">
        <v>21</v>
      </c>
      <c r="I167" s="18" t="s">
        <v>21</v>
      </c>
      <c r="J167" s="43" t="s">
        <v>20</v>
      </c>
      <c r="K167" s="43" t="s">
        <v>21</v>
      </c>
      <c r="L167" s="43" t="s">
        <v>21</v>
      </c>
      <c r="M167" s="18" t="s">
        <v>21</v>
      </c>
      <c r="N167" s="18" t="s">
        <v>21</v>
      </c>
      <c r="O167" s="18" t="s">
        <v>20</v>
      </c>
      <c r="P167" s="18" t="s">
        <v>21</v>
      </c>
      <c r="Q167" s="18" t="s">
        <v>21</v>
      </c>
      <c r="R167" s="18" t="s">
        <v>21</v>
      </c>
      <c r="S167" s="18" t="s">
        <v>20</v>
      </c>
      <c r="T167" s="18" t="s">
        <v>20</v>
      </c>
      <c r="U167" s="18" t="s">
        <v>21</v>
      </c>
      <c r="V167" s="49" t="s">
        <v>20</v>
      </c>
      <c r="W167" s="37" t="s">
        <v>20</v>
      </c>
      <c r="X167" s="37" t="s">
        <v>20</v>
      </c>
      <c r="Y167" s="18" t="s">
        <v>21</v>
      </c>
      <c r="Z167" s="18" t="s">
        <v>21</v>
      </c>
      <c r="AA167" s="20" t="s">
        <v>20</v>
      </c>
      <c r="AB167" s="20" t="s">
        <v>21</v>
      </c>
      <c r="AC167" s="20" t="s">
        <v>20</v>
      </c>
      <c r="AD167" s="29" t="s">
        <v>21</v>
      </c>
      <c r="AE167" s="29" t="s">
        <v>21</v>
      </c>
      <c r="AG167">
        <f t="shared" si="18"/>
        <v>0</v>
      </c>
      <c r="AH167">
        <f t="shared" si="19"/>
        <v>9</v>
      </c>
      <c r="AI167">
        <f t="shared" si="20"/>
        <v>17</v>
      </c>
      <c r="AJ167">
        <f t="shared" si="21"/>
        <v>0</v>
      </c>
      <c r="AL167">
        <f t="shared" si="22"/>
        <v>0</v>
      </c>
      <c r="AM167">
        <f t="shared" si="23"/>
        <v>27</v>
      </c>
      <c r="AN167">
        <f t="shared" si="24"/>
        <v>34</v>
      </c>
      <c r="AO167">
        <f t="shared" si="25"/>
        <v>0</v>
      </c>
      <c r="AP167">
        <f t="shared" si="26"/>
        <v>61</v>
      </c>
    </row>
    <row r="168" spans="1:42" ht="15.75" hidden="1" customHeight="1" x14ac:dyDescent="0.3">
      <c r="A168" s="16"/>
      <c r="B168" s="55">
        <v>15</v>
      </c>
      <c r="C168" s="56" t="s">
        <v>186</v>
      </c>
      <c r="D168" s="55">
        <v>4</v>
      </c>
      <c r="E168" s="55" t="s">
        <v>21</v>
      </c>
      <c r="F168" s="18" t="s">
        <v>20</v>
      </c>
      <c r="G168" s="18" t="s">
        <v>20</v>
      </c>
      <c r="H168" s="18" t="s">
        <v>20</v>
      </c>
      <c r="I168" s="18" t="s">
        <v>20</v>
      </c>
      <c r="J168" s="43" t="s">
        <v>20</v>
      </c>
      <c r="K168" s="43" t="s">
        <v>20</v>
      </c>
      <c r="L168" s="43" t="s">
        <v>20</v>
      </c>
      <c r="M168" s="18" t="s">
        <v>20</v>
      </c>
      <c r="N168" s="18" t="s">
        <v>20</v>
      </c>
      <c r="O168" s="18" t="s">
        <v>20</v>
      </c>
      <c r="P168" s="18" t="s">
        <v>20</v>
      </c>
      <c r="Q168" s="18" t="s">
        <v>20</v>
      </c>
      <c r="R168" s="18" t="s">
        <v>20</v>
      </c>
      <c r="S168" s="18" t="s">
        <v>20</v>
      </c>
      <c r="T168" s="18" t="s">
        <v>20</v>
      </c>
      <c r="U168" s="18" t="s">
        <v>20</v>
      </c>
      <c r="V168" s="49" t="s">
        <v>20</v>
      </c>
      <c r="W168" s="37" t="s">
        <v>20</v>
      </c>
      <c r="X168" s="37" t="s">
        <v>20</v>
      </c>
      <c r="Y168" s="18" t="s">
        <v>20</v>
      </c>
      <c r="Z168" s="18" t="s">
        <v>20</v>
      </c>
      <c r="AA168" s="20" t="s">
        <v>20</v>
      </c>
      <c r="AB168" s="20" t="s">
        <v>20</v>
      </c>
      <c r="AC168" s="20" t="s">
        <v>20</v>
      </c>
      <c r="AD168" s="29" t="s">
        <v>20</v>
      </c>
      <c r="AE168" s="29" t="s">
        <v>21</v>
      </c>
      <c r="AG168">
        <f t="shared" si="18"/>
        <v>0</v>
      </c>
      <c r="AH168">
        <f t="shared" si="19"/>
        <v>25</v>
      </c>
      <c r="AI168">
        <f t="shared" si="20"/>
        <v>1</v>
      </c>
      <c r="AJ168">
        <f t="shared" si="21"/>
        <v>0</v>
      </c>
      <c r="AL168">
        <f t="shared" si="22"/>
        <v>0</v>
      </c>
      <c r="AM168">
        <f t="shared" si="23"/>
        <v>75</v>
      </c>
      <c r="AN168">
        <f t="shared" si="24"/>
        <v>2</v>
      </c>
      <c r="AO168">
        <f t="shared" si="25"/>
        <v>0</v>
      </c>
      <c r="AP168">
        <f t="shared" si="26"/>
        <v>77</v>
      </c>
    </row>
    <row r="169" spans="1:42" ht="15.75" hidden="1" customHeight="1" x14ac:dyDescent="0.3">
      <c r="A169" s="16"/>
      <c r="B169" s="55">
        <v>16</v>
      </c>
      <c r="C169" s="56" t="s">
        <v>187</v>
      </c>
      <c r="D169" s="55">
        <v>4</v>
      </c>
      <c r="E169" s="55" t="s">
        <v>21</v>
      </c>
      <c r="F169" s="18" t="s">
        <v>21</v>
      </c>
      <c r="G169" s="18" t="s">
        <v>21</v>
      </c>
      <c r="H169" s="18" t="s">
        <v>21</v>
      </c>
      <c r="I169" s="18" t="s">
        <v>21</v>
      </c>
      <c r="J169" s="43" t="s">
        <v>20</v>
      </c>
      <c r="K169" s="43" t="s">
        <v>20</v>
      </c>
      <c r="L169" s="43" t="s">
        <v>21</v>
      </c>
      <c r="M169" s="18" t="s">
        <v>20</v>
      </c>
      <c r="N169" s="18" t="s">
        <v>20</v>
      </c>
      <c r="O169" s="18" t="s">
        <v>20</v>
      </c>
      <c r="P169" s="18" t="s">
        <v>21</v>
      </c>
      <c r="Q169" s="18" t="s">
        <v>21</v>
      </c>
      <c r="R169" s="18" t="s">
        <v>21</v>
      </c>
      <c r="S169" s="18" t="s">
        <v>21</v>
      </c>
      <c r="T169" s="18" t="s">
        <v>20</v>
      </c>
      <c r="U169" s="18" t="s">
        <v>21</v>
      </c>
      <c r="V169" s="49" t="s">
        <v>20</v>
      </c>
      <c r="W169" s="37" t="s">
        <v>20</v>
      </c>
      <c r="X169" s="37" t="s">
        <v>20</v>
      </c>
      <c r="Y169" s="18" t="s">
        <v>21</v>
      </c>
      <c r="Z169" s="18" t="s">
        <v>21</v>
      </c>
      <c r="AA169" s="20" t="s">
        <v>21</v>
      </c>
      <c r="AB169" s="20" t="s">
        <v>21</v>
      </c>
      <c r="AC169" s="20" t="s">
        <v>21</v>
      </c>
      <c r="AD169" s="29" t="s">
        <v>21</v>
      </c>
      <c r="AE169" s="29" t="s">
        <v>21</v>
      </c>
      <c r="AG169">
        <f t="shared" si="18"/>
        <v>0</v>
      </c>
      <c r="AH169">
        <f t="shared" si="19"/>
        <v>9</v>
      </c>
      <c r="AI169">
        <f t="shared" si="20"/>
        <v>17</v>
      </c>
      <c r="AJ169">
        <f t="shared" si="21"/>
        <v>0</v>
      </c>
      <c r="AL169">
        <f t="shared" si="22"/>
        <v>0</v>
      </c>
      <c r="AM169">
        <f t="shared" si="23"/>
        <v>27</v>
      </c>
      <c r="AN169">
        <f t="shared" si="24"/>
        <v>34</v>
      </c>
      <c r="AO169">
        <f t="shared" si="25"/>
        <v>0</v>
      </c>
      <c r="AP169">
        <f t="shared" si="26"/>
        <v>61</v>
      </c>
    </row>
    <row r="170" spans="1:42" ht="15.75" hidden="1" customHeight="1" x14ac:dyDescent="0.3">
      <c r="A170" s="16"/>
      <c r="B170" s="55">
        <v>17</v>
      </c>
      <c r="C170" s="56" t="s">
        <v>188</v>
      </c>
      <c r="D170" s="55">
        <v>4</v>
      </c>
      <c r="E170" s="55" t="s">
        <v>21</v>
      </c>
      <c r="F170" s="18" t="s">
        <v>21</v>
      </c>
      <c r="G170" s="18" t="s">
        <v>21</v>
      </c>
      <c r="H170" s="18" t="s">
        <v>21</v>
      </c>
      <c r="I170" s="18" t="s">
        <v>21</v>
      </c>
      <c r="J170" s="43" t="s">
        <v>20</v>
      </c>
      <c r="K170" s="43" t="s">
        <v>20</v>
      </c>
      <c r="L170" s="43" t="s">
        <v>21</v>
      </c>
      <c r="M170" s="18" t="s">
        <v>21</v>
      </c>
      <c r="N170" s="18" t="s">
        <v>20</v>
      </c>
      <c r="O170" s="18" t="s">
        <v>21</v>
      </c>
      <c r="P170" s="18" t="s">
        <v>21</v>
      </c>
      <c r="Q170" s="18" t="s">
        <v>21</v>
      </c>
      <c r="R170" s="18" t="s">
        <v>21</v>
      </c>
      <c r="S170" s="18" t="s">
        <v>23</v>
      </c>
      <c r="T170" s="18" t="s">
        <v>21</v>
      </c>
      <c r="U170" s="18" t="s">
        <v>20</v>
      </c>
      <c r="V170" s="49" t="s">
        <v>20</v>
      </c>
      <c r="W170" s="37" t="s">
        <v>20</v>
      </c>
      <c r="X170" s="37" t="s">
        <v>20</v>
      </c>
      <c r="Y170" s="18" t="s">
        <v>20</v>
      </c>
      <c r="Z170" s="18" t="s">
        <v>20</v>
      </c>
      <c r="AA170" s="20" t="s">
        <v>20</v>
      </c>
      <c r="AB170" s="20" t="s">
        <v>20</v>
      </c>
      <c r="AC170" s="20" t="s">
        <v>20</v>
      </c>
      <c r="AD170" s="29" t="s">
        <v>21</v>
      </c>
      <c r="AE170" s="29" t="s">
        <v>21</v>
      </c>
      <c r="AG170">
        <f t="shared" si="18"/>
        <v>0</v>
      </c>
      <c r="AH170">
        <f t="shared" si="19"/>
        <v>12</v>
      </c>
      <c r="AI170">
        <f t="shared" si="20"/>
        <v>13</v>
      </c>
      <c r="AJ170">
        <f t="shared" si="21"/>
        <v>1</v>
      </c>
      <c r="AL170">
        <f t="shared" si="22"/>
        <v>0</v>
      </c>
      <c r="AM170">
        <f t="shared" si="23"/>
        <v>36</v>
      </c>
      <c r="AN170">
        <f t="shared" si="24"/>
        <v>26</v>
      </c>
      <c r="AO170">
        <f t="shared" si="25"/>
        <v>1</v>
      </c>
      <c r="AP170">
        <f t="shared" si="26"/>
        <v>63</v>
      </c>
    </row>
    <row r="171" spans="1:42" ht="15.75" hidden="1" customHeight="1" x14ac:dyDescent="0.3">
      <c r="A171" s="16"/>
      <c r="B171" s="55">
        <v>18</v>
      </c>
      <c r="C171" s="56" t="s">
        <v>189</v>
      </c>
      <c r="D171" s="55">
        <v>4</v>
      </c>
      <c r="E171" s="55" t="s">
        <v>21</v>
      </c>
      <c r="F171" s="18" t="s">
        <v>23</v>
      </c>
      <c r="G171" s="18" t="s">
        <v>23</v>
      </c>
      <c r="H171" s="18" t="s">
        <v>23</v>
      </c>
      <c r="I171" s="18" t="s">
        <v>23</v>
      </c>
      <c r="J171" s="43" t="s">
        <v>20</v>
      </c>
      <c r="K171" s="43" t="s">
        <v>20</v>
      </c>
      <c r="L171" s="43" t="s">
        <v>21</v>
      </c>
      <c r="M171" s="18" t="s">
        <v>21</v>
      </c>
      <c r="N171" s="18" t="s">
        <v>21</v>
      </c>
      <c r="O171" s="18" t="s">
        <v>20</v>
      </c>
      <c r="P171" s="18" t="s">
        <v>21</v>
      </c>
      <c r="Q171" s="18" t="s">
        <v>21</v>
      </c>
      <c r="R171" s="18" t="s">
        <v>23</v>
      </c>
      <c r="S171" s="18" t="s">
        <v>21</v>
      </c>
      <c r="T171" s="18" t="s">
        <v>20</v>
      </c>
      <c r="U171" s="18" t="s">
        <v>21</v>
      </c>
      <c r="V171" s="49" t="s">
        <v>20</v>
      </c>
      <c r="W171" s="37" t="s">
        <v>21</v>
      </c>
      <c r="X171" s="37" t="s">
        <v>20</v>
      </c>
      <c r="Y171" s="18" t="s">
        <v>20</v>
      </c>
      <c r="Z171" s="18" t="s">
        <v>20</v>
      </c>
      <c r="AA171" s="20" t="s">
        <v>21</v>
      </c>
      <c r="AB171" s="20" t="s">
        <v>21</v>
      </c>
      <c r="AC171" s="20" t="s">
        <v>21</v>
      </c>
      <c r="AD171" s="29" t="s">
        <v>21</v>
      </c>
      <c r="AE171" s="29" t="s">
        <v>21</v>
      </c>
      <c r="AG171">
        <f t="shared" si="18"/>
        <v>0</v>
      </c>
      <c r="AH171">
        <f t="shared" si="19"/>
        <v>8</v>
      </c>
      <c r="AI171">
        <f t="shared" si="20"/>
        <v>13</v>
      </c>
      <c r="AJ171">
        <f t="shared" si="21"/>
        <v>5</v>
      </c>
      <c r="AL171">
        <f t="shared" si="22"/>
        <v>0</v>
      </c>
      <c r="AM171">
        <f t="shared" si="23"/>
        <v>24</v>
      </c>
      <c r="AN171">
        <f t="shared" si="24"/>
        <v>26</v>
      </c>
      <c r="AO171">
        <f t="shared" si="25"/>
        <v>5</v>
      </c>
      <c r="AP171">
        <f t="shared" si="26"/>
        <v>55</v>
      </c>
    </row>
    <row r="172" spans="1:42" ht="15.75" hidden="1" customHeight="1" x14ac:dyDescent="0.3">
      <c r="A172" s="16"/>
      <c r="B172" s="55">
        <v>19</v>
      </c>
      <c r="C172" s="56" t="s">
        <v>190</v>
      </c>
      <c r="D172" s="55">
        <v>4</v>
      </c>
      <c r="E172" s="55" t="s">
        <v>21</v>
      </c>
      <c r="F172" s="18" t="s">
        <v>23</v>
      </c>
      <c r="G172" s="18" t="s">
        <v>21</v>
      </c>
      <c r="H172" s="18" t="s">
        <v>21</v>
      </c>
      <c r="I172" s="18" t="s">
        <v>21</v>
      </c>
      <c r="J172" s="43" t="s">
        <v>20</v>
      </c>
      <c r="K172" s="43" t="s">
        <v>20</v>
      </c>
      <c r="L172" s="43" t="s">
        <v>21</v>
      </c>
      <c r="M172" s="18" t="s">
        <v>20</v>
      </c>
      <c r="N172" s="18" t="s">
        <v>20</v>
      </c>
      <c r="O172" s="18" t="s">
        <v>21</v>
      </c>
      <c r="P172" s="18" t="s">
        <v>21</v>
      </c>
      <c r="Q172" s="18" t="s">
        <v>21</v>
      </c>
      <c r="R172" s="18" t="s">
        <v>21</v>
      </c>
      <c r="S172" s="18" t="s">
        <v>20</v>
      </c>
      <c r="T172" s="18" t="s">
        <v>20</v>
      </c>
      <c r="U172" s="18" t="s">
        <v>21</v>
      </c>
      <c r="V172" s="49" t="s">
        <v>20</v>
      </c>
      <c r="W172" s="37" t="s">
        <v>20</v>
      </c>
      <c r="X172" s="37" t="s">
        <v>20</v>
      </c>
      <c r="Y172" s="18" t="s">
        <v>20</v>
      </c>
      <c r="Z172" s="18" t="s">
        <v>21</v>
      </c>
      <c r="AA172" s="20" t="s">
        <v>21</v>
      </c>
      <c r="AB172" s="20" t="s">
        <v>21</v>
      </c>
      <c r="AC172" s="20" t="s">
        <v>21</v>
      </c>
      <c r="AD172" s="29" t="s">
        <v>21</v>
      </c>
      <c r="AE172" s="29" t="s">
        <v>21</v>
      </c>
      <c r="AG172">
        <f t="shared" si="18"/>
        <v>0</v>
      </c>
      <c r="AH172">
        <f t="shared" si="19"/>
        <v>10</v>
      </c>
      <c r="AI172">
        <f t="shared" si="20"/>
        <v>15</v>
      </c>
      <c r="AJ172">
        <f t="shared" si="21"/>
        <v>1</v>
      </c>
      <c r="AL172">
        <f t="shared" si="22"/>
        <v>0</v>
      </c>
      <c r="AM172">
        <f t="shared" si="23"/>
        <v>30</v>
      </c>
      <c r="AN172">
        <f t="shared" si="24"/>
        <v>30</v>
      </c>
      <c r="AO172">
        <f t="shared" si="25"/>
        <v>1</v>
      </c>
      <c r="AP172">
        <f t="shared" si="26"/>
        <v>61</v>
      </c>
    </row>
    <row r="173" spans="1:42" ht="15.75" hidden="1" customHeight="1" x14ac:dyDescent="0.3">
      <c r="A173" s="16"/>
      <c r="B173" s="55">
        <v>20</v>
      </c>
      <c r="C173" s="56" t="s">
        <v>191</v>
      </c>
      <c r="D173" s="55">
        <v>4</v>
      </c>
      <c r="E173" s="55" t="s">
        <v>21</v>
      </c>
      <c r="F173" s="18" t="s">
        <v>20</v>
      </c>
      <c r="G173" s="18" t="s">
        <v>20</v>
      </c>
      <c r="H173" s="18" t="s">
        <v>20</v>
      </c>
      <c r="I173" s="18" t="s">
        <v>39</v>
      </c>
      <c r="J173" s="43" t="s">
        <v>20</v>
      </c>
      <c r="K173" s="43" t="s">
        <v>39</v>
      </c>
      <c r="L173" s="43" t="s">
        <v>20</v>
      </c>
      <c r="M173" s="18" t="s">
        <v>20</v>
      </c>
      <c r="N173" s="18" t="s">
        <v>20</v>
      </c>
      <c r="O173" s="18" t="s">
        <v>20</v>
      </c>
      <c r="P173" s="18" t="s">
        <v>20</v>
      </c>
      <c r="Q173" s="18" t="s">
        <v>20</v>
      </c>
      <c r="R173" s="18" t="s">
        <v>20</v>
      </c>
      <c r="S173" s="18" t="s">
        <v>20</v>
      </c>
      <c r="T173" s="18" t="s">
        <v>20</v>
      </c>
      <c r="U173" s="18" t="s">
        <v>20</v>
      </c>
      <c r="V173" s="50" t="s">
        <v>20</v>
      </c>
      <c r="W173" s="37" t="s">
        <v>20</v>
      </c>
      <c r="X173" s="37" t="s">
        <v>20</v>
      </c>
      <c r="Y173" s="18" t="s">
        <v>39</v>
      </c>
      <c r="Z173" s="18" t="s">
        <v>39</v>
      </c>
      <c r="AA173" s="20" t="s">
        <v>20</v>
      </c>
      <c r="AB173" s="20" t="s">
        <v>20</v>
      </c>
      <c r="AC173" s="20" t="s">
        <v>20</v>
      </c>
      <c r="AD173" s="29" t="s">
        <v>20</v>
      </c>
      <c r="AE173" s="29" t="s">
        <v>21</v>
      </c>
      <c r="AG173">
        <f t="shared" si="18"/>
        <v>4</v>
      </c>
      <c r="AH173">
        <f t="shared" si="19"/>
        <v>21</v>
      </c>
      <c r="AI173">
        <f t="shared" si="20"/>
        <v>1</v>
      </c>
      <c r="AJ173">
        <f t="shared" si="21"/>
        <v>0</v>
      </c>
      <c r="AL173">
        <f t="shared" si="22"/>
        <v>16</v>
      </c>
      <c r="AM173">
        <f t="shared" si="23"/>
        <v>63</v>
      </c>
      <c r="AN173">
        <f t="shared" si="24"/>
        <v>2</v>
      </c>
      <c r="AO173">
        <f t="shared" si="25"/>
        <v>0</v>
      </c>
      <c r="AP173">
        <f t="shared" si="26"/>
        <v>81</v>
      </c>
    </row>
    <row r="174" spans="1:42" ht="15.75" hidden="1" customHeight="1" x14ac:dyDescent="0.3">
      <c r="A174" s="16"/>
      <c r="B174" s="55">
        <v>21</v>
      </c>
      <c r="C174" s="56" t="s">
        <v>192</v>
      </c>
      <c r="D174" s="55">
        <v>4</v>
      </c>
      <c r="E174" s="55" t="s">
        <v>21</v>
      </c>
      <c r="F174" s="18" t="s">
        <v>21</v>
      </c>
      <c r="G174" s="18" t="s">
        <v>23</v>
      </c>
      <c r="H174" s="18" t="s">
        <v>23</v>
      </c>
      <c r="I174" s="18" t="s">
        <v>23</v>
      </c>
      <c r="J174" s="43" t="s">
        <v>20</v>
      </c>
      <c r="K174" s="43" t="s">
        <v>21</v>
      </c>
      <c r="L174" s="43" t="s">
        <v>21</v>
      </c>
      <c r="M174" s="18" t="s">
        <v>21</v>
      </c>
      <c r="N174" s="18" t="s">
        <v>21</v>
      </c>
      <c r="O174" s="18" t="s">
        <v>21</v>
      </c>
      <c r="P174" s="18" t="s">
        <v>21</v>
      </c>
      <c r="Q174" s="18" t="s">
        <v>21</v>
      </c>
      <c r="R174" s="18" t="s">
        <v>23</v>
      </c>
      <c r="S174" s="18" t="s">
        <v>21</v>
      </c>
      <c r="T174" s="18" t="s">
        <v>20</v>
      </c>
      <c r="U174" s="18" t="s">
        <v>20</v>
      </c>
      <c r="V174" s="49" t="s">
        <v>20</v>
      </c>
      <c r="W174" s="37" t="s">
        <v>20</v>
      </c>
      <c r="X174" s="37" t="s">
        <v>20</v>
      </c>
      <c r="Y174" s="18" t="s">
        <v>21</v>
      </c>
      <c r="Z174" s="18" t="s">
        <v>21</v>
      </c>
      <c r="AA174" s="20" t="s">
        <v>21</v>
      </c>
      <c r="AB174" s="20" t="s">
        <v>21</v>
      </c>
      <c r="AC174" s="20" t="s">
        <v>20</v>
      </c>
      <c r="AD174" s="29" t="s">
        <v>21</v>
      </c>
      <c r="AE174" s="29" t="s">
        <v>21</v>
      </c>
      <c r="AG174">
        <f t="shared" si="18"/>
        <v>0</v>
      </c>
      <c r="AH174">
        <f t="shared" si="19"/>
        <v>7</v>
      </c>
      <c r="AI174">
        <f t="shared" si="20"/>
        <v>15</v>
      </c>
      <c r="AJ174">
        <f t="shared" si="21"/>
        <v>4</v>
      </c>
      <c r="AL174">
        <f t="shared" si="22"/>
        <v>0</v>
      </c>
      <c r="AM174">
        <f t="shared" si="23"/>
        <v>21</v>
      </c>
      <c r="AN174">
        <f t="shared" si="24"/>
        <v>30</v>
      </c>
      <c r="AO174">
        <f t="shared" si="25"/>
        <v>4</v>
      </c>
      <c r="AP174">
        <f t="shared" si="26"/>
        <v>55</v>
      </c>
    </row>
    <row r="175" spans="1:42" ht="15.75" hidden="1" customHeight="1" x14ac:dyDescent="0.3">
      <c r="A175" s="16"/>
      <c r="B175" s="55">
        <v>22</v>
      </c>
      <c r="C175" s="56" t="s">
        <v>193</v>
      </c>
      <c r="D175" s="55">
        <v>4</v>
      </c>
      <c r="E175" s="55" t="s">
        <v>21</v>
      </c>
      <c r="F175" s="18" t="s">
        <v>20</v>
      </c>
      <c r="G175" s="18" t="s">
        <v>39</v>
      </c>
      <c r="H175" s="18" t="s">
        <v>39</v>
      </c>
      <c r="I175" s="18" t="s">
        <v>39</v>
      </c>
      <c r="J175" s="43" t="s">
        <v>20</v>
      </c>
      <c r="K175" s="43" t="s">
        <v>20</v>
      </c>
      <c r="L175" s="43" t="s">
        <v>20</v>
      </c>
      <c r="M175" s="18" t="s">
        <v>20</v>
      </c>
      <c r="N175" s="18" t="s">
        <v>20</v>
      </c>
      <c r="O175" s="18" t="s">
        <v>20</v>
      </c>
      <c r="P175" s="18" t="s">
        <v>20</v>
      </c>
      <c r="Q175" s="18" t="s">
        <v>21</v>
      </c>
      <c r="R175" s="18" t="s">
        <v>21</v>
      </c>
      <c r="S175" s="18" t="s">
        <v>20</v>
      </c>
      <c r="T175" s="18" t="s">
        <v>20</v>
      </c>
      <c r="U175" s="18" t="s">
        <v>20</v>
      </c>
      <c r="V175" s="49" t="s">
        <v>20</v>
      </c>
      <c r="W175" s="37" t="s">
        <v>20</v>
      </c>
      <c r="X175" s="37" t="s">
        <v>20</v>
      </c>
      <c r="Y175" s="18" t="s">
        <v>20</v>
      </c>
      <c r="Z175" s="18" t="s">
        <v>20</v>
      </c>
      <c r="AA175" s="20" t="s">
        <v>20</v>
      </c>
      <c r="AB175" s="20" t="s">
        <v>21</v>
      </c>
      <c r="AC175" s="20" t="s">
        <v>20</v>
      </c>
      <c r="AD175" s="29" t="s">
        <v>55</v>
      </c>
      <c r="AE175" s="29" t="s">
        <v>55</v>
      </c>
      <c r="AG175">
        <f t="shared" si="18"/>
        <v>3</v>
      </c>
      <c r="AH175">
        <f t="shared" si="19"/>
        <v>18</v>
      </c>
      <c r="AI175">
        <f t="shared" si="20"/>
        <v>3</v>
      </c>
      <c r="AJ175">
        <f t="shared" si="21"/>
        <v>0</v>
      </c>
      <c r="AL175">
        <f t="shared" si="22"/>
        <v>12</v>
      </c>
      <c r="AM175">
        <f t="shared" si="23"/>
        <v>54</v>
      </c>
      <c r="AN175">
        <f t="shared" si="24"/>
        <v>6</v>
      </c>
      <c r="AO175">
        <f t="shared" si="25"/>
        <v>0</v>
      </c>
      <c r="AP175">
        <f t="shared" si="26"/>
        <v>72</v>
      </c>
    </row>
    <row r="176" spans="1:42" ht="15.75" hidden="1" customHeight="1" x14ac:dyDescent="0.3">
      <c r="A176" s="16"/>
      <c r="B176" s="55">
        <v>23</v>
      </c>
      <c r="C176" s="56" t="s">
        <v>194</v>
      </c>
      <c r="D176" s="55">
        <v>4</v>
      </c>
      <c r="E176" s="55" t="s">
        <v>21</v>
      </c>
      <c r="F176" s="18" t="s">
        <v>20</v>
      </c>
      <c r="G176" s="18" t="s">
        <v>20</v>
      </c>
      <c r="H176" s="18" t="s">
        <v>20</v>
      </c>
      <c r="I176" s="18" t="s">
        <v>20</v>
      </c>
      <c r="J176" s="43" t="s">
        <v>20</v>
      </c>
      <c r="K176" s="43" t="s">
        <v>20</v>
      </c>
      <c r="L176" s="43" t="s">
        <v>21</v>
      </c>
      <c r="M176" s="18" t="s">
        <v>20</v>
      </c>
      <c r="N176" s="18" t="s">
        <v>21</v>
      </c>
      <c r="O176" s="18" t="s">
        <v>20</v>
      </c>
      <c r="P176" s="18" t="s">
        <v>20</v>
      </c>
      <c r="Q176" s="18" t="s">
        <v>20</v>
      </c>
      <c r="R176" s="18" t="s">
        <v>20</v>
      </c>
      <c r="S176" s="18" t="s">
        <v>20</v>
      </c>
      <c r="T176" s="18" t="s">
        <v>20</v>
      </c>
      <c r="U176" s="18" t="s">
        <v>20</v>
      </c>
      <c r="V176" s="49" t="s">
        <v>20</v>
      </c>
      <c r="W176" s="37" t="s">
        <v>20</v>
      </c>
      <c r="X176" s="37" t="s">
        <v>20</v>
      </c>
      <c r="Y176" s="18" t="s">
        <v>20</v>
      </c>
      <c r="Z176" s="18" t="s">
        <v>20</v>
      </c>
      <c r="AA176" s="20" t="s">
        <v>21</v>
      </c>
      <c r="AB176" s="20" t="s">
        <v>21</v>
      </c>
      <c r="AC176" s="20" t="s">
        <v>20</v>
      </c>
      <c r="AD176" s="29" t="s">
        <v>20</v>
      </c>
      <c r="AE176" s="29" t="s">
        <v>21</v>
      </c>
      <c r="AG176">
        <f t="shared" si="18"/>
        <v>0</v>
      </c>
      <c r="AH176">
        <f t="shared" si="19"/>
        <v>21</v>
      </c>
      <c r="AI176">
        <f t="shared" si="20"/>
        <v>5</v>
      </c>
      <c r="AJ176">
        <f t="shared" si="21"/>
        <v>0</v>
      </c>
      <c r="AL176">
        <f t="shared" si="22"/>
        <v>0</v>
      </c>
      <c r="AM176">
        <f t="shared" si="23"/>
        <v>63</v>
      </c>
      <c r="AN176">
        <f t="shared" si="24"/>
        <v>10</v>
      </c>
      <c r="AO176">
        <f t="shared" si="25"/>
        <v>0</v>
      </c>
      <c r="AP176">
        <f t="shared" si="26"/>
        <v>73</v>
      </c>
    </row>
    <row r="177" spans="1:42" ht="15.75" hidden="1" customHeight="1" x14ac:dyDescent="0.3">
      <c r="A177" s="16"/>
      <c r="B177" s="55">
        <v>24</v>
      </c>
      <c r="C177" s="56" t="s">
        <v>195</v>
      </c>
      <c r="D177" s="55">
        <v>4</v>
      </c>
      <c r="E177" s="55" t="s">
        <v>21</v>
      </c>
      <c r="F177" s="18" t="s">
        <v>20</v>
      </c>
      <c r="G177" s="18" t="s">
        <v>20</v>
      </c>
      <c r="H177" s="18" t="s">
        <v>20</v>
      </c>
      <c r="I177" s="18" t="s">
        <v>20</v>
      </c>
      <c r="J177" s="43" t="s">
        <v>20</v>
      </c>
      <c r="K177" s="43" t="s">
        <v>20</v>
      </c>
      <c r="L177" s="43" t="s">
        <v>20</v>
      </c>
      <c r="M177" s="18" t="s">
        <v>20</v>
      </c>
      <c r="N177" s="18" t="s">
        <v>20</v>
      </c>
      <c r="O177" s="18" t="s">
        <v>20</v>
      </c>
      <c r="P177" s="18" t="s">
        <v>21</v>
      </c>
      <c r="Q177" s="18" t="s">
        <v>21</v>
      </c>
      <c r="R177" s="18" t="s">
        <v>20</v>
      </c>
      <c r="S177" s="18" t="s">
        <v>20</v>
      </c>
      <c r="T177" s="18" t="s">
        <v>20</v>
      </c>
      <c r="U177" s="18" t="s">
        <v>20</v>
      </c>
      <c r="V177" s="49" t="s">
        <v>20</v>
      </c>
      <c r="W177" s="37" t="s">
        <v>20</v>
      </c>
      <c r="X177" s="37" t="s">
        <v>20</v>
      </c>
      <c r="Y177" s="18" t="s">
        <v>20</v>
      </c>
      <c r="Z177" s="18" t="s">
        <v>20</v>
      </c>
      <c r="AA177" s="20" t="s">
        <v>20</v>
      </c>
      <c r="AB177" s="20" t="s">
        <v>20</v>
      </c>
      <c r="AC177" s="20" t="s">
        <v>20</v>
      </c>
      <c r="AD177" s="29" t="s">
        <v>20</v>
      </c>
      <c r="AE177" s="29" t="s">
        <v>21</v>
      </c>
      <c r="AG177">
        <f t="shared" si="18"/>
        <v>0</v>
      </c>
      <c r="AH177">
        <f t="shared" si="19"/>
        <v>23</v>
      </c>
      <c r="AI177">
        <f t="shared" si="20"/>
        <v>3</v>
      </c>
      <c r="AJ177">
        <f t="shared" si="21"/>
        <v>0</v>
      </c>
      <c r="AL177">
        <f t="shared" si="22"/>
        <v>0</v>
      </c>
      <c r="AM177">
        <f t="shared" si="23"/>
        <v>69</v>
      </c>
      <c r="AN177">
        <f t="shared" si="24"/>
        <v>6</v>
      </c>
      <c r="AO177">
        <f t="shared" si="25"/>
        <v>0</v>
      </c>
      <c r="AP177">
        <f t="shared" si="26"/>
        <v>75</v>
      </c>
    </row>
    <row r="178" spans="1:42" ht="15.75" hidden="1" customHeight="1" thickBot="1" x14ac:dyDescent="0.35">
      <c r="A178" s="16"/>
      <c r="B178" s="57">
        <v>25</v>
      </c>
      <c r="C178" s="58" t="s">
        <v>196</v>
      </c>
      <c r="D178" s="57">
        <v>4</v>
      </c>
      <c r="E178" s="57" t="s">
        <v>21</v>
      </c>
      <c r="F178" s="21" t="s">
        <v>20</v>
      </c>
      <c r="G178" s="21" t="s">
        <v>20</v>
      </c>
      <c r="H178" s="21" t="s">
        <v>20</v>
      </c>
      <c r="I178" s="21" t="s">
        <v>20</v>
      </c>
      <c r="J178" s="45" t="s">
        <v>20</v>
      </c>
      <c r="K178" s="45" t="s">
        <v>39</v>
      </c>
      <c r="L178" s="45" t="s">
        <v>20</v>
      </c>
      <c r="M178" s="21" t="s">
        <v>20</v>
      </c>
      <c r="N178" s="21" t="s">
        <v>20</v>
      </c>
      <c r="O178" s="21" t="s">
        <v>20</v>
      </c>
      <c r="P178" s="21" t="s">
        <v>20</v>
      </c>
      <c r="Q178" s="21" t="s">
        <v>20</v>
      </c>
      <c r="R178" s="21" t="s">
        <v>20</v>
      </c>
      <c r="S178" s="21" t="s">
        <v>20</v>
      </c>
      <c r="T178" s="41" t="s">
        <v>20</v>
      </c>
      <c r="U178" s="21" t="s">
        <v>20</v>
      </c>
      <c r="V178" s="51" t="s">
        <v>20</v>
      </c>
      <c r="W178" s="38" t="s">
        <v>20</v>
      </c>
      <c r="X178" s="38" t="s">
        <v>20</v>
      </c>
      <c r="Y178" s="21" t="s">
        <v>20</v>
      </c>
      <c r="Z178" s="21" t="s">
        <v>21</v>
      </c>
      <c r="AA178" s="23" t="s">
        <v>20</v>
      </c>
      <c r="AB178" s="23" t="s">
        <v>21</v>
      </c>
      <c r="AC178" s="23" t="s">
        <v>20</v>
      </c>
      <c r="AD178" s="31" t="s">
        <v>20</v>
      </c>
      <c r="AE178" s="31" t="s">
        <v>21</v>
      </c>
      <c r="AG178">
        <f t="shared" si="18"/>
        <v>1</v>
      </c>
      <c r="AH178">
        <f t="shared" si="19"/>
        <v>22</v>
      </c>
      <c r="AI178">
        <f t="shared" si="20"/>
        <v>3</v>
      </c>
      <c r="AJ178">
        <f t="shared" si="21"/>
        <v>0</v>
      </c>
      <c r="AL178">
        <f t="shared" si="22"/>
        <v>4</v>
      </c>
      <c r="AM178">
        <f t="shared" si="23"/>
        <v>66</v>
      </c>
      <c r="AN178">
        <f t="shared" si="24"/>
        <v>6</v>
      </c>
      <c r="AO178">
        <f t="shared" si="25"/>
        <v>0</v>
      </c>
      <c r="AP178">
        <f t="shared" si="26"/>
        <v>76</v>
      </c>
    </row>
    <row r="179" spans="1:42" ht="15.75" hidden="1" customHeight="1" x14ac:dyDescent="0.3">
      <c r="A179" s="16"/>
      <c r="B179" s="59">
        <v>1</v>
      </c>
      <c r="C179" s="60" t="s">
        <v>197</v>
      </c>
      <c r="D179" s="59">
        <v>5</v>
      </c>
      <c r="E179" s="59" t="s">
        <v>20</v>
      </c>
      <c r="F179" s="24" t="s">
        <v>20</v>
      </c>
      <c r="G179" s="24" t="s">
        <v>20</v>
      </c>
      <c r="H179" s="24" t="s">
        <v>39</v>
      </c>
      <c r="I179" s="24" t="s">
        <v>39</v>
      </c>
      <c r="J179" s="42" t="s">
        <v>20</v>
      </c>
      <c r="K179" s="42" t="s">
        <v>20</v>
      </c>
      <c r="L179" s="42" t="s">
        <v>20</v>
      </c>
      <c r="M179" s="24" t="s">
        <v>20</v>
      </c>
      <c r="N179" s="24" t="s">
        <v>20</v>
      </c>
      <c r="O179" s="24" t="s">
        <v>20</v>
      </c>
      <c r="P179" s="24" t="s">
        <v>21</v>
      </c>
      <c r="Q179" s="24" t="s">
        <v>21</v>
      </c>
      <c r="R179" s="24" t="s">
        <v>21</v>
      </c>
      <c r="S179" s="24" t="s">
        <v>20</v>
      </c>
      <c r="T179" s="24" t="s">
        <v>21</v>
      </c>
      <c r="U179" s="24" t="s">
        <v>21</v>
      </c>
      <c r="V179" s="52" t="s">
        <v>20</v>
      </c>
      <c r="W179" s="39" t="s">
        <v>21</v>
      </c>
      <c r="X179" s="39" t="s">
        <v>21</v>
      </c>
      <c r="Y179" s="24" t="s">
        <v>20</v>
      </c>
      <c r="Z179" s="24" t="s">
        <v>20</v>
      </c>
      <c r="AA179" s="27" t="s">
        <v>20</v>
      </c>
      <c r="AB179" s="27" t="s">
        <v>20</v>
      </c>
      <c r="AC179" s="27" t="s">
        <v>21</v>
      </c>
      <c r="AD179" s="34" t="s">
        <v>20</v>
      </c>
      <c r="AE179" s="34" t="s">
        <v>21</v>
      </c>
      <c r="AG179">
        <f t="shared" si="18"/>
        <v>2</v>
      </c>
      <c r="AH179">
        <f t="shared" si="19"/>
        <v>15</v>
      </c>
      <c r="AI179">
        <f t="shared" si="20"/>
        <v>9</v>
      </c>
      <c r="AJ179">
        <f t="shared" si="21"/>
        <v>0</v>
      </c>
      <c r="AL179">
        <f t="shared" si="22"/>
        <v>8</v>
      </c>
      <c r="AM179">
        <f t="shared" si="23"/>
        <v>45</v>
      </c>
      <c r="AN179">
        <f t="shared" si="24"/>
        <v>18</v>
      </c>
      <c r="AO179">
        <f t="shared" si="25"/>
        <v>0</v>
      </c>
      <c r="AP179">
        <f t="shared" si="26"/>
        <v>71</v>
      </c>
    </row>
    <row r="180" spans="1:42" ht="15.75" hidden="1" customHeight="1" x14ac:dyDescent="0.3">
      <c r="A180" s="16"/>
      <c r="B180" s="55">
        <v>2</v>
      </c>
      <c r="C180" s="56" t="s">
        <v>198</v>
      </c>
      <c r="D180" s="55">
        <v>5</v>
      </c>
      <c r="E180" s="55" t="s">
        <v>20</v>
      </c>
      <c r="F180" s="18" t="s">
        <v>20</v>
      </c>
      <c r="G180" s="18" t="s">
        <v>20</v>
      </c>
      <c r="H180" s="18" t="s">
        <v>20</v>
      </c>
      <c r="I180" s="18" t="s">
        <v>20</v>
      </c>
      <c r="J180" s="43" t="s">
        <v>20</v>
      </c>
      <c r="K180" s="43" t="s">
        <v>20</v>
      </c>
      <c r="L180" s="43" t="s">
        <v>20</v>
      </c>
      <c r="M180" s="18" t="s">
        <v>20</v>
      </c>
      <c r="N180" s="18" t="s">
        <v>20</v>
      </c>
      <c r="O180" s="18" t="s">
        <v>20</v>
      </c>
      <c r="P180" s="18" t="s">
        <v>21</v>
      </c>
      <c r="Q180" s="18" t="s">
        <v>20</v>
      </c>
      <c r="R180" s="18" t="s">
        <v>20</v>
      </c>
      <c r="S180" s="18" t="s">
        <v>20</v>
      </c>
      <c r="T180" s="18" t="s">
        <v>21</v>
      </c>
      <c r="U180" s="18" t="s">
        <v>20</v>
      </c>
      <c r="V180" s="49" t="s">
        <v>20</v>
      </c>
      <c r="W180" s="37" t="s">
        <v>20</v>
      </c>
      <c r="X180" s="37" t="s">
        <v>20</v>
      </c>
      <c r="Y180" s="18" t="s">
        <v>21</v>
      </c>
      <c r="Z180" s="18" t="s">
        <v>20</v>
      </c>
      <c r="AA180" s="20" t="s">
        <v>21</v>
      </c>
      <c r="AB180" s="20" t="s">
        <v>20</v>
      </c>
      <c r="AC180" s="20" t="s">
        <v>20</v>
      </c>
      <c r="AD180" s="29" t="s">
        <v>20</v>
      </c>
      <c r="AE180" s="29" t="s">
        <v>21</v>
      </c>
      <c r="AG180">
        <f t="shared" si="18"/>
        <v>0</v>
      </c>
      <c r="AH180">
        <f t="shared" si="19"/>
        <v>21</v>
      </c>
      <c r="AI180">
        <f t="shared" si="20"/>
        <v>5</v>
      </c>
      <c r="AJ180">
        <f t="shared" si="21"/>
        <v>0</v>
      </c>
      <c r="AL180">
        <f t="shared" si="22"/>
        <v>0</v>
      </c>
      <c r="AM180">
        <f t="shared" si="23"/>
        <v>63</v>
      </c>
      <c r="AN180">
        <f t="shared" si="24"/>
        <v>10</v>
      </c>
      <c r="AO180">
        <f t="shared" si="25"/>
        <v>0</v>
      </c>
      <c r="AP180">
        <f t="shared" si="26"/>
        <v>73</v>
      </c>
    </row>
    <row r="181" spans="1:42" ht="15.75" hidden="1" customHeight="1" x14ac:dyDescent="0.3">
      <c r="A181" s="16"/>
      <c r="B181" s="55">
        <v>3</v>
      </c>
      <c r="C181" s="56" t="s">
        <v>199</v>
      </c>
      <c r="D181" s="55">
        <v>5</v>
      </c>
      <c r="E181" s="55" t="s">
        <v>20</v>
      </c>
      <c r="F181" s="18" t="s">
        <v>23</v>
      </c>
      <c r="G181" s="18" t="s">
        <v>23</v>
      </c>
      <c r="H181" s="18" t="s">
        <v>21</v>
      </c>
      <c r="I181" s="18" t="s">
        <v>21</v>
      </c>
      <c r="J181" s="43" t="s">
        <v>20</v>
      </c>
      <c r="K181" s="43" t="s">
        <v>20</v>
      </c>
      <c r="L181" s="43" t="s">
        <v>21</v>
      </c>
      <c r="M181" s="18" t="s">
        <v>20</v>
      </c>
      <c r="N181" s="18" t="s">
        <v>20</v>
      </c>
      <c r="O181" s="18" t="s">
        <v>20</v>
      </c>
      <c r="P181" s="18" t="s">
        <v>21</v>
      </c>
      <c r="Q181" s="18" t="s">
        <v>21</v>
      </c>
      <c r="R181" s="18" t="s">
        <v>20</v>
      </c>
      <c r="S181" s="18" t="s">
        <v>21</v>
      </c>
      <c r="T181" s="18" t="s">
        <v>20</v>
      </c>
      <c r="U181" s="18" t="s">
        <v>20</v>
      </c>
      <c r="V181" s="49" t="s">
        <v>20</v>
      </c>
      <c r="W181" s="37" t="s">
        <v>20</v>
      </c>
      <c r="X181" s="37" t="s">
        <v>20</v>
      </c>
      <c r="Y181" s="18" t="s">
        <v>20</v>
      </c>
      <c r="Z181" s="18" t="s">
        <v>20</v>
      </c>
      <c r="AA181" s="20" t="s">
        <v>21</v>
      </c>
      <c r="AB181" s="20" t="s">
        <v>21</v>
      </c>
      <c r="AC181" s="20" t="s">
        <v>21</v>
      </c>
      <c r="AD181" s="29" t="s">
        <v>20</v>
      </c>
      <c r="AE181" s="29" t="s">
        <v>21</v>
      </c>
      <c r="AG181">
        <f t="shared" si="18"/>
        <v>0</v>
      </c>
      <c r="AH181">
        <f t="shared" si="19"/>
        <v>14</v>
      </c>
      <c r="AI181">
        <f t="shared" si="20"/>
        <v>10</v>
      </c>
      <c r="AJ181">
        <f t="shared" si="21"/>
        <v>2</v>
      </c>
      <c r="AL181">
        <f t="shared" si="22"/>
        <v>0</v>
      </c>
      <c r="AM181">
        <f t="shared" si="23"/>
        <v>42</v>
      </c>
      <c r="AN181">
        <f t="shared" si="24"/>
        <v>20</v>
      </c>
      <c r="AO181">
        <f t="shared" si="25"/>
        <v>2</v>
      </c>
      <c r="AP181">
        <f t="shared" si="26"/>
        <v>64</v>
      </c>
    </row>
    <row r="182" spans="1:42" ht="15.75" hidden="1" customHeight="1" x14ac:dyDescent="0.3">
      <c r="A182" s="16"/>
      <c r="B182" s="55">
        <v>4</v>
      </c>
      <c r="C182" s="56" t="s">
        <v>200</v>
      </c>
      <c r="D182" s="55">
        <v>5</v>
      </c>
      <c r="E182" s="55" t="s">
        <v>20</v>
      </c>
      <c r="F182" s="18" t="s">
        <v>23</v>
      </c>
      <c r="G182" s="18" t="s">
        <v>23</v>
      </c>
      <c r="H182" s="18" t="s">
        <v>23</v>
      </c>
      <c r="I182" s="18" t="s">
        <v>23</v>
      </c>
      <c r="J182" s="43" t="s">
        <v>21</v>
      </c>
      <c r="K182" s="43" t="s">
        <v>21</v>
      </c>
      <c r="L182" s="43" t="s">
        <v>21</v>
      </c>
      <c r="M182" s="18" t="s">
        <v>21</v>
      </c>
      <c r="N182" s="18" t="s">
        <v>21</v>
      </c>
      <c r="O182" s="18" t="s">
        <v>20</v>
      </c>
      <c r="P182" s="18" t="s">
        <v>23</v>
      </c>
      <c r="Q182" s="18" t="s">
        <v>21</v>
      </c>
      <c r="R182" s="18" t="s">
        <v>21</v>
      </c>
      <c r="S182" s="18" t="s">
        <v>21</v>
      </c>
      <c r="T182" s="18" t="s">
        <v>21</v>
      </c>
      <c r="U182" s="18" t="s">
        <v>20</v>
      </c>
      <c r="V182" s="49" t="s">
        <v>20</v>
      </c>
      <c r="W182" s="37" t="s">
        <v>20</v>
      </c>
      <c r="X182" s="37" t="s">
        <v>20</v>
      </c>
      <c r="Y182" s="18" t="s">
        <v>20</v>
      </c>
      <c r="Z182" s="18" t="s">
        <v>20</v>
      </c>
      <c r="AA182" s="20" t="s">
        <v>21</v>
      </c>
      <c r="AB182" s="20" t="s">
        <v>21</v>
      </c>
      <c r="AC182" s="20" t="s">
        <v>21</v>
      </c>
      <c r="AD182" s="29" t="s">
        <v>21</v>
      </c>
      <c r="AE182" s="29" t="s">
        <v>21</v>
      </c>
      <c r="AG182">
        <f t="shared" si="18"/>
        <v>0</v>
      </c>
      <c r="AH182">
        <f t="shared" si="19"/>
        <v>7</v>
      </c>
      <c r="AI182">
        <f t="shared" si="20"/>
        <v>14</v>
      </c>
      <c r="AJ182">
        <f t="shared" si="21"/>
        <v>5</v>
      </c>
      <c r="AL182">
        <f t="shared" si="22"/>
        <v>0</v>
      </c>
      <c r="AM182">
        <f t="shared" si="23"/>
        <v>21</v>
      </c>
      <c r="AN182">
        <f t="shared" si="24"/>
        <v>28</v>
      </c>
      <c r="AO182">
        <f t="shared" si="25"/>
        <v>5</v>
      </c>
      <c r="AP182">
        <f t="shared" si="26"/>
        <v>54</v>
      </c>
    </row>
    <row r="183" spans="1:42" ht="15.75" hidden="1" customHeight="1" x14ac:dyDescent="0.3">
      <c r="A183" s="16"/>
      <c r="B183" s="55">
        <v>5</v>
      </c>
      <c r="C183" s="56" t="s">
        <v>201</v>
      </c>
      <c r="D183" s="55">
        <v>5</v>
      </c>
      <c r="E183" s="55" t="s">
        <v>20</v>
      </c>
      <c r="F183" s="18" t="s">
        <v>20</v>
      </c>
      <c r="G183" s="18" t="s">
        <v>20</v>
      </c>
      <c r="H183" s="18" t="s">
        <v>39</v>
      </c>
      <c r="I183" s="18" t="s">
        <v>39</v>
      </c>
      <c r="J183" s="43" t="s">
        <v>20</v>
      </c>
      <c r="K183" s="43" t="s">
        <v>20</v>
      </c>
      <c r="L183" s="43" t="s">
        <v>20</v>
      </c>
      <c r="M183" s="18" t="s">
        <v>20</v>
      </c>
      <c r="N183" s="18" t="s">
        <v>20</v>
      </c>
      <c r="O183" s="18" t="s">
        <v>20</v>
      </c>
      <c r="P183" s="18" t="s">
        <v>20</v>
      </c>
      <c r="Q183" s="18" t="s">
        <v>21</v>
      </c>
      <c r="R183" s="18" t="s">
        <v>21</v>
      </c>
      <c r="S183" s="18" t="s">
        <v>20</v>
      </c>
      <c r="T183" s="18" t="s">
        <v>21</v>
      </c>
      <c r="U183" s="18" t="s">
        <v>20</v>
      </c>
      <c r="V183" s="50" t="s">
        <v>20</v>
      </c>
      <c r="W183" s="37" t="s">
        <v>20</v>
      </c>
      <c r="X183" s="37" t="s">
        <v>20</v>
      </c>
      <c r="Y183" s="18" t="s">
        <v>20</v>
      </c>
      <c r="Z183" s="18" t="s">
        <v>20</v>
      </c>
      <c r="AA183" s="20" t="s">
        <v>21</v>
      </c>
      <c r="AB183" s="20" t="s">
        <v>21</v>
      </c>
      <c r="AC183" s="20" t="s">
        <v>21</v>
      </c>
      <c r="AD183" s="29" t="s">
        <v>20</v>
      </c>
      <c r="AE183" s="29" t="s">
        <v>21</v>
      </c>
      <c r="AG183">
        <f t="shared" si="18"/>
        <v>2</v>
      </c>
      <c r="AH183">
        <f t="shared" si="19"/>
        <v>17</v>
      </c>
      <c r="AI183">
        <f t="shared" si="20"/>
        <v>7</v>
      </c>
      <c r="AJ183">
        <f t="shared" si="21"/>
        <v>0</v>
      </c>
      <c r="AL183">
        <f t="shared" si="22"/>
        <v>8</v>
      </c>
      <c r="AM183">
        <f t="shared" si="23"/>
        <v>51</v>
      </c>
      <c r="AN183">
        <f t="shared" si="24"/>
        <v>14</v>
      </c>
      <c r="AO183">
        <f t="shared" si="25"/>
        <v>0</v>
      </c>
      <c r="AP183">
        <f t="shared" si="26"/>
        <v>73</v>
      </c>
    </row>
    <row r="184" spans="1:42" ht="15.75" hidden="1" customHeight="1" x14ac:dyDescent="0.3">
      <c r="A184" s="16"/>
      <c r="B184" s="55">
        <v>6</v>
      </c>
      <c r="C184" s="56" t="s">
        <v>202</v>
      </c>
      <c r="D184" s="55">
        <v>5</v>
      </c>
      <c r="E184" s="55" t="s">
        <v>20</v>
      </c>
      <c r="F184" s="18" t="s">
        <v>20</v>
      </c>
      <c r="G184" s="18" t="s">
        <v>20</v>
      </c>
      <c r="H184" s="18" t="s">
        <v>39</v>
      </c>
      <c r="I184" s="18" t="s">
        <v>39</v>
      </c>
      <c r="J184" s="43" t="s">
        <v>20</v>
      </c>
      <c r="K184" s="43" t="s">
        <v>20</v>
      </c>
      <c r="L184" s="43" t="s">
        <v>20</v>
      </c>
      <c r="M184" s="18" t="s">
        <v>20</v>
      </c>
      <c r="N184" s="18" t="s">
        <v>20</v>
      </c>
      <c r="O184" s="18" t="s">
        <v>20</v>
      </c>
      <c r="P184" s="18" t="s">
        <v>21</v>
      </c>
      <c r="Q184" s="18" t="s">
        <v>21</v>
      </c>
      <c r="R184" s="18" t="s">
        <v>21</v>
      </c>
      <c r="S184" s="18" t="s">
        <v>21</v>
      </c>
      <c r="T184" s="18" t="s">
        <v>20</v>
      </c>
      <c r="U184" s="18" t="s">
        <v>20</v>
      </c>
      <c r="V184" s="49" t="s">
        <v>20</v>
      </c>
      <c r="W184" s="37" t="s">
        <v>20</v>
      </c>
      <c r="X184" s="53" t="s">
        <v>20</v>
      </c>
      <c r="Y184" s="18" t="s">
        <v>20</v>
      </c>
      <c r="Z184" s="18" t="s">
        <v>20</v>
      </c>
      <c r="AA184" s="20" t="s">
        <v>20</v>
      </c>
      <c r="AB184" s="20" t="s">
        <v>20</v>
      </c>
      <c r="AC184" s="20" t="s">
        <v>20</v>
      </c>
      <c r="AD184" s="29" t="s">
        <v>20</v>
      </c>
      <c r="AE184" s="29" t="s">
        <v>21</v>
      </c>
      <c r="AG184">
        <f t="shared" si="18"/>
        <v>2</v>
      </c>
      <c r="AH184">
        <f t="shared" si="19"/>
        <v>19</v>
      </c>
      <c r="AI184">
        <f t="shared" si="20"/>
        <v>5</v>
      </c>
      <c r="AJ184">
        <f t="shared" si="21"/>
        <v>0</v>
      </c>
      <c r="AL184">
        <f t="shared" si="22"/>
        <v>8</v>
      </c>
      <c r="AM184">
        <f t="shared" si="23"/>
        <v>57</v>
      </c>
      <c r="AN184">
        <f t="shared" si="24"/>
        <v>10</v>
      </c>
      <c r="AO184">
        <f t="shared" si="25"/>
        <v>0</v>
      </c>
      <c r="AP184">
        <f t="shared" si="26"/>
        <v>75</v>
      </c>
    </row>
    <row r="185" spans="1:42" ht="15.75" hidden="1" customHeight="1" x14ac:dyDescent="0.3">
      <c r="A185" s="16"/>
      <c r="B185" s="55">
        <v>7</v>
      </c>
      <c r="C185" s="56" t="s">
        <v>203</v>
      </c>
      <c r="D185" s="55">
        <v>5</v>
      </c>
      <c r="E185" s="55" t="s">
        <v>20</v>
      </c>
      <c r="F185" s="18" t="s">
        <v>23</v>
      </c>
      <c r="G185" s="18" t="s">
        <v>21</v>
      </c>
      <c r="H185" s="18" t="s">
        <v>23</v>
      </c>
      <c r="I185" s="18" t="s">
        <v>21</v>
      </c>
      <c r="J185" s="43" t="s">
        <v>20</v>
      </c>
      <c r="K185" s="43" t="s">
        <v>20</v>
      </c>
      <c r="L185" s="43" t="s">
        <v>21</v>
      </c>
      <c r="M185" s="18" t="s">
        <v>21</v>
      </c>
      <c r="N185" s="18" t="s">
        <v>20</v>
      </c>
      <c r="O185" s="18" t="s">
        <v>20</v>
      </c>
      <c r="P185" s="18" t="s">
        <v>21</v>
      </c>
      <c r="Q185" s="18" t="s">
        <v>20</v>
      </c>
      <c r="R185" s="18" t="s">
        <v>20</v>
      </c>
      <c r="S185" s="18" t="s">
        <v>21</v>
      </c>
      <c r="T185" s="18" t="s">
        <v>21</v>
      </c>
      <c r="U185" s="18" t="s">
        <v>20</v>
      </c>
      <c r="V185" s="49" t="s">
        <v>20</v>
      </c>
      <c r="W185" s="37" t="s">
        <v>20</v>
      </c>
      <c r="X185" s="37" t="s">
        <v>20</v>
      </c>
      <c r="Y185" s="18" t="s">
        <v>20</v>
      </c>
      <c r="Z185" s="18" t="s">
        <v>21</v>
      </c>
      <c r="AA185" s="20" t="s">
        <v>21</v>
      </c>
      <c r="AB185" s="20" t="s">
        <v>20</v>
      </c>
      <c r="AC185" s="20" t="s">
        <v>21</v>
      </c>
      <c r="AD185" s="29" t="s">
        <v>20</v>
      </c>
      <c r="AE185" s="29" t="s">
        <v>21</v>
      </c>
      <c r="AG185">
        <f t="shared" si="18"/>
        <v>0</v>
      </c>
      <c r="AH185">
        <f t="shared" si="19"/>
        <v>13</v>
      </c>
      <c r="AI185">
        <f t="shared" si="20"/>
        <v>11</v>
      </c>
      <c r="AJ185">
        <f t="shared" si="21"/>
        <v>2</v>
      </c>
      <c r="AL185">
        <f t="shared" si="22"/>
        <v>0</v>
      </c>
      <c r="AM185">
        <f t="shared" si="23"/>
        <v>39</v>
      </c>
      <c r="AN185">
        <f t="shared" si="24"/>
        <v>22</v>
      </c>
      <c r="AO185">
        <f t="shared" si="25"/>
        <v>2</v>
      </c>
      <c r="AP185">
        <f t="shared" si="26"/>
        <v>63</v>
      </c>
    </row>
    <row r="186" spans="1:42" ht="15.75" hidden="1" customHeight="1" x14ac:dyDescent="0.3">
      <c r="A186" s="16"/>
      <c r="B186" s="55">
        <v>8</v>
      </c>
      <c r="C186" s="56" t="s">
        <v>204</v>
      </c>
      <c r="D186" s="55">
        <v>5</v>
      </c>
      <c r="E186" s="55" t="s">
        <v>20</v>
      </c>
      <c r="F186" s="18" t="s">
        <v>21</v>
      </c>
      <c r="G186" s="18" t="s">
        <v>21</v>
      </c>
      <c r="H186" s="18" t="s">
        <v>21</v>
      </c>
      <c r="I186" s="18" t="s">
        <v>21</v>
      </c>
      <c r="J186" s="43" t="s">
        <v>21</v>
      </c>
      <c r="K186" s="43" t="s">
        <v>21</v>
      </c>
      <c r="L186" s="43" t="s">
        <v>21</v>
      </c>
      <c r="M186" s="18" t="s">
        <v>21</v>
      </c>
      <c r="N186" s="18" t="s">
        <v>20</v>
      </c>
      <c r="O186" s="18" t="s">
        <v>20</v>
      </c>
      <c r="P186" s="18" t="s">
        <v>21</v>
      </c>
      <c r="Q186" s="18" t="s">
        <v>23</v>
      </c>
      <c r="R186" s="18" t="s">
        <v>21</v>
      </c>
      <c r="S186" s="18" t="s">
        <v>21</v>
      </c>
      <c r="T186" s="18" t="s">
        <v>21</v>
      </c>
      <c r="U186" s="18" t="s">
        <v>21</v>
      </c>
      <c r="V186" s="49" t="s">
        <v>21</v>
      </c>
      <c r="W186" s="37" t="s">
        <v>20</v>
      </c>
      <c r="X186" s="37" t="s">
        <v>20</v>
      </c>
      <c r="Y186" s="18" t="s">
        <v>21</v>
      </c>
      <c r="Z186" s="18" t="s">
        <v>21</v>
      </c>
      <c r="AA186" s="20" t="s">
        <v>21</v>
      </c>
      <c r="AB186" s="20" t="s">
        <v>21</v>
      </c>
      <c r="AC186" s="20" t="s">
        <v>21</v>
      </c>
      <c r="AD186" s="29" t="s">
        <v>21</v>
      </c>
      <c r="AE186" s="29" t="s">
        <v>21</v>
      </c>
      <c r="AG186">
        <f t="shared" si="18"/>
        <v>0</v>
      </c>
      <c r="AH186">
        <f t="shared" si="19"/>
        <v>4</v>
      </c>
      <c r="AI186">
        <f t="shared" si="20"/>
        <v>21</v>
      </c>
      <c r="AJ186">
        <f t="shared" si="21"/>
        <v>1</v>
      </c>
      <c r="AL186">
        <f t="shared" si="22"/>
        <v>0</v>
      </c>
      <c r="AM186">
        <f t="shared" si="23"/>
        <v>12</v>
      </c>
      <c r="AN186">
        <f t="shared" si="24"/>
        <v>42</v>
      </c>
      <c r="AO186">
        <f t="shared" si="25"/>
        <v>1</v>
      </c>
      <c r="AP186">
        <f t="shared" si="26"/>
        <v>55</v>
      </c>
    </row>
    <row r="187" spans="1:42" ht="15.75" hidden="1" customHeight="1" x14ac:dyDescent="0.3">
      <c r="A187" s="16"/>
      <c r="B187" s="55">
        <v>9</v>
      </c>
      <c r="C187" s="56" t="s">
        <v>205</v>
      </c>
      <c r="D187" s="55">
        <v>5</v>
      </c>
      <c r="E187" s="55" t="s">
        <v>20</v>
      </c>
      <c r="F187" s="18" t="s">
        <v>20</v>
      </c>
      <c r="G187" s="18" t="s">
        <v>20</v>
      </c>
      <c r="H187" s="18" t="s">
        <v>20</v>
      </c>
      <c r="I187" s="18" t="s">
        <v>20</v>
      </c>
      <c r="J187" s="43" t="s">
        <v>20</v>
      </c>
      <c r="K187" s="43" t="s">
        <v>20</v>
      </c>
      <c r="L187" s="43" t="s">
        <v>20</v>
      </c>
      <c r="M187" s="18" t="s">
        <v>20</v>
      </c>
      <c r="N187" s="18" t="s">
        <v>20</v>
      </c>
      <c r="O187" s="18" t="s">
        <v>20</v>
      </c>
      <c r="P187" s="18" t="s">
        <v>21</v>
      </c>
      <c r="Q187" s="18" t="s">
        <v>21</v>
      </c>
      <c r="R187" s="18" t="s">
        <v>20</v>
      </c>
      <c r="S187" s="18" t="s">
        <v>20</v>
      </c>
      <c r="T187" s="18" t="s">
        <v>21</v>
      </c>
      <c r="U187" s="18" t="s">
        <v>21</v>
      </c>
      <c r="V187" s="49" t="s">
        <v>20</v>
      </c>
      <c r="W187" s="37" t="s">
        <v>20</v>
      </c>
      <c r="X187" s="37" t="s">
        <v>20</v>
      </c>
      <c r="Y187" s="18" t="s">
        <v>20</v>
      </c>
      <c r="Z187" s="18" t="s">
        <v>20</v>
      </c>
      <c r="AA187" s="20" t="s">
        <v>20</v>
      </c>
      <c r="AB187" s="20" t="s">
        <v>20</v>
      </c>
      <c r="AC187" s="20" t="s">
        <v>20</v>
      </c>
      <c r="AD187" s="29" t="s">
        <v>20</v>
      </c>
      <c r="AE187" s="29" t="s">
        <v>21</v>
      </c>
      <c r="AG187">
        <f t="shared" si="18"/>
        <v>0</v>
      </c>
      <c r="AH187">
        <f t="shared" si="19"/>
        <v>21</v>
      </c>
      <c r="AI187">
        <f t="shared" si="20"/>
        <v>5</v>
      </c>
      <c r="AJ187">
        <f t="shared" si="21"/>
        <v>0</v>
      </c>
      <c r="AL187">
        <f t="shared" si="22"/>
        <v>0</v>
      </c>
      <c r="AM187">
        <f t="shared" si="23"/>
        <v>63</v>
      </c>
      <c r="AN187">
        <f t="shared" si="24"/>
        <v>10</v>
      </c>
      <c r="AO187">
        <f t="shared" si="25"/>
        <v>0</v>
      </c>
      <c r="AP187">
        <f t="shared" si="26"/>
        <v>73</v>
      </c>
    </row>
    <row r="188" spans="1:42" ht="15.75" hidden="1" customHeight="1" x14ac:dyDescent="0.3">
      <c r="A188" s="16"/>
      <c r="B188" s="55">
        <v>10</v>
      </c>
      <c r="C188" s="56" t="s">
        <v>206</v>
      </c>
      <c r="D188" s="55">
        <v>5</v>
      </c>
      <c r="E188" s="55" t="s">
        <v>20</v>
      </c>
      <c r="F188" s="18" t="s">
        <v>20</v>
      </c>
      <c r="G188" s="18" t="s">
        <v>20</v>
      </c>
      <c r="H188" s="18" t="s">
        <v>20</v>
      </c>
      <c r="I188" s="18" t="s">
        <v>20</v>
      </c>
      <c r="J188" s="43" t="s">
        <v>20</v>
      </c>
      <c r="K188" s="43" t="s">
        <v>20</v>
      </c>
      <c r="L188" s="43" t="s">
        <v>21</v>
      </c>
      <c r="M188" s="18" t="s">
        <v>20</v>
      </c>
      <c r="N188" s="18" t="s">
        <v>20</v>
      </c>
      <c r="O188" s="18" t="s">
        <v>20</v>
      </c>
      <c r="P188" s="18" t="s">
        <v>21</v>
      </c>
      <c r="Q188" s="18" t="s">
        <v>21</v>
      </c>
      <c r="R188" s="18" t="s">
        <v>20</v>
      </c>
      <c r="S188" s="18" t="s">
        <v>20</v>
      </c>
      <c r="T188" s="18" t="s">
        <v>21</v>
      </c>
      <c r="U188" s="18" t="s">
        <v>20</v>
      </c>
      <c r="V188" s="49" t="s">
        <v>20</v>
      </c>
      <c r="W188" s="37" t="s">
        <v>20</v>
      </c>
      <c r="X188" s="37" t="s">
        <v>21</v>
      </c>
      <c r="Y188" s="18" t="s">
        <v>20</v>
      </c>
      <c r="Z188" s="18" t="s">
        <v>20</v>
      </c>
      <c r="AA188" s="20" t="s">
        <v>39</v>
      </c>
      <c r="AB188" s="20" t="s">
        <v>20</v>
      </c>
      <c r="AC188" s="20" t="s">
        <v>20</v>
      </c>
      <c r="AD188" s="29" t="s">
        <v>20</v>
      </c>
      <c r="AE188" s="29" t="s">
        <v>21</v>
      </c>
      <c r="AG188">
        <f t="shared" si="18"/>
        <v>1</v>
      </c>
      <c r="AH188">
        <f t="shared" si="19"/>
        <v>19</v>
      </c>
      <c r="AI188">
        <f t="shared" si="20"/>
        <v>6</v>
      </c>
      <c r="AJ188">
        <f t="shared" si="21"/>
        <v>0</v>
      </c>
      <c r="AL188">
        <f t="shared" si="22"/>
        <v>4</v>
      </c>
      <c r="AM188">
        <f t="shared" si="23"/>
        <v>57</v>
      </c>
      <c r="AN188">
        <f t="shared" si="24"/>
        <v>12</v>
      </c>
      <c r="AO188">
        <f t="shared" si="25"/>
        <v>0</v>
      </c>
      <c r="AP188">
        <f t="shared" si="26"/>
        <v>73</v>
      </c>
    </row>
    <row r="189" spans="1:42" ht="15.75" hidden="1" customHeight="1" x14ac:dyDescent="0.3">
      <c r="A189" s="16"/>
      <c r="B189" s="55">
        <v>11</v>
      </c>
      <c r="C189" s="56" t="s">
        <v>207</v>
      </c>
      <c r="D189" s="55">
        <v>5</v>
      </c>
      <c r="E189" s="55" t="s">
        <v>20</v>
      </c>
      <c r="F189" s="18" t="s">
        <v>20</v>
      </c>
      <c r="G189" s="18" t="s">
        <v>20</v>
      </c>
      <c r="H189" s="18" t="s">
        <v>39</v>
      </c>
      <c r="I189" s="18" t="s">
        <v>20</v>
      </c>
      <c r="J189" s="43" t="s">
        <v>20</v>
      </c>
      <c r="K189" s="43" t="s">
        <v>20</v>
      </c>
      <c r="L189" s="43" t="s">
        <v>20</v>
      </c>
      <c r="M189" s="18" t="s">
        <v>20</v>
      </c>
      <c r="N189" s="18" t="s">
        <v>20</v>
      </c>
      <c r="O189" s="18" t="s">
        <v>20</v>
      </c>
      <c r="P189" s="18" t="s">
        <v>20</v>
      </c>
      <c r="Q189" s="18" t="s">
        <v>20</v>
      </c>
      <c r="R189" s="18" t="s">
        <v>21</v>
      </c>
      <c r="S189" s="18" t="s">
        <v>20</v>
      </c>
      <c r="T189" s="18" t="s">
        <v>21</v>
      </c>
      <c r="U189" s="18" t="s">
        <v>20</v>
      </c>
      <c r="V189" s="49" t="s">
        <v>20</v>
      </c>
      <c r="W189" s="37" t="s">
        <v>20</v>
      </c>
      <c r="X189" s="37" t="s">
        <v>20</v>
      </c>
      <c r="Y189" s="18" t="s">
        <v>20</v>
      </c>
      <c r="Z189" s="18" t="s">
        <v>20</v>
      </c>
      <c r="AA189" s="20" t="s">
        <v>20</v>
      </c>
      <c r="AB189" s="20" t="s">
        <v>20</v>
      </c>
      <c r="AC189" s="20" t="s">
        <v>21</v>
      </c>
      <c r="AD189" s="29" t="s">
        <v>20</v>
      </c>
      <c r="AE189" s="29" t="s">
        <v>21</v>
      </c>
      <c r="AG189">
        <f t="shared" si="18"/>
        <v>1</v>
      </c>
      <c r="AH189">
        <f t="shared" si="19"/>
        <v>21</v>
      </c>
      <c r="AI189">
        <f t="shared" si="20"/>
        <v>4</v>
      </c>
      <c r="AJ189">
        <f t="shared" si="21"/>
        <v>0</v>
      </c>
      <c r="AL189">
        <f t="shared" si="22"/>
        <v>4</v>
      </c>
      <c r="AM189">
        <f t="shared" si="23"/>
        <v>63</v>
      </c>
      <c r="AN189">
        <f t="shared" si="24"/>
        <v>8</v>
      </c>
      <c r="AO189">
        <f t="shared" si="25"/>
        <v>0</v>
      </c>
      <c r="AP189">
        <f t="shared" si="26"/>
        <v>75</v>
      </c>
    </row>
    <row r="190" spans="1:42" ht="15.75" hidden="1" customHeight="1" x14ac:dyDescent="0.3">
      <c r="A190" s="16"/>
      <c r="B190" s="55">
        <v>12</v>
      </c>
      <c r="C190" s="56" t="s">
        <v>208</v>
      </c>
      <c r="D190" s="55">
        <v>5</v>
      </c>
      <c r="E190" s="55" t="s">
        <v>20</v>
      </c>
      <c r="F190" s="18" t="s">
        <v>20</v>
      </c>
      <c r="G190" s="18" t="s">
        <v>39</v>
      </c>
      <c r="H190" s="18" t="s">
        <v>20</v>
      </c>
      <c r="I190" s="18" t="s">
        <v>39</v>
      </c>
      <c r="J190" s="43" t="s">
        <v>20</v>
      </c>
      <c r="K190" s="43" t="s">
        <v>39</v>
      </c>
      <c r="L190" s="43" t="s">
        <v>20</v>
      </c>
      <c r="M190" s="18" t="s">
        <v>20</v>
      </c>
      <c r="N190" s="18" t="s">
        <v>20</v>
      </c>
      <c r="O190" s="18" t="s">
        <v>20</v>
      </c>
      <c r="P190" s="18" t="s">
        <v>20</v>
      </c>
      <c r="Q190" s="18" t="s">
        <v>20</v>
      </c>
      <c r="R190" s="18" t="s">
        <v>20</v>
      </c>
      <c r="S190" s="18" t="s">
        <v>20</v>
      </c>
      <c r="T190" s="18" t="s">
        <v>20</v>
      </c>
      <c r="U190" s="18" t="s">
        <v>20</v>
      </c>
      <c r="V190" s="49" t="s">
        <v>20</v>
      </c>
      <c r="W190" s="37" t="s">
        <v>20</v>
      </c>
      <c r="X190" s="37" t="s">
        <v>20</v>
      </c>
      <c r="Y190" s="18" t="s">
        <v>39</v>
      </c>
      <c r="Z190" s="18" t="s">
        <v>39</v>
      </c>
      <c r="AA190" s="20" t="s">
        <v>20</v>
      </c>
      <c r="AB190" s="20" t="s">
        <v>20</v>
      </c>
      <c r="AC190" s="20" t="s">
        <v>20</v>
      </c>
      <c r="AD190" s="29" t="s">
        <v>20</v>
      </c>
      <c r="AE190" s="29" t="s">
        <v>21</v>
      </c>
      <c r="AG190">
        <f t="shared" si="18"/>
        <v>5</v>
      </c>
      <c r="AH190">
        <f t="shared" si="19"/>
        <v>20</v>
      </c>
      <c r="AI190">
        <f t="shared" si="20"/>
        <v>1</v>
      </c>
      <c r="AJ190">
        <f t="shared" si="21"/>
        <v>0</v>
      </c>
      <c r="AL190">
        <f t="shared" si="22"/>
        <v>20</v>
      </c>
      <c r="AM190">
        <f t="shared" si="23"/>
        <v>60</v>
      </c>
      <c r="AN190">
        <f t="shared" si="24"/>
        <v>2</v>
      </c>
      <c r="AO190">
        <f t="shared" si="25"/>
        <v>0</v>
      </c>
      <c r="AP190">
        <f t="shared" si="26"/>
        <v>82</v>
      </c>
    </row>
    <row r="191" spans="1:42" ht="15.75" hidden="1" customHeight="1" x14ac:dyDescent="0.3">
      <c r="A191" s="16"/>
      <c r="B191" s="55">
        <v>13</v>
      </c>
      <c r="C191" s="56" t="s">
        <v>209</v>
      </c>
      <c r="D191" s="55">
        <v>5</v>
      </c>
      <c r="E191" s="55" t="s">
        <v>20</v>
      </c>
      <c r="F191" s="18" t="s">
        <v>20</v>
      </c>
      <c r="G191" s="18" t="s">
        <v>20</v>
      </c>
      <c r="H191" s="18" t="s">
        <v>20</v>
      </c>
      <c r="I191" s="18" t="s">
        <v>20</v>
      </c>
      <c r="J191" s="43" t="s">
        <v>20</v>
      </c>
      <c r="K191" s="43" t="s">
        <v>20</v>
      </c>
      <c r="L191" s="43" t="s">
        <v>20</v>
      </c>
      <c r="M191" s="18" t="s">
        <v>20</v>
      </c>
      <c r="N191" s="18" t="s">
        <v>20</v>
      </c>
      <c r="O191" s="18" t="s">
        <v>20</v>
      </c>
      <c r="P191" s="18" t="s">
        <v>21</v>
      </c>
      <c r="Q191" s="18" t="s">
        <v>21</v>
      </c>
      <c r="R191" s="18" t="s">
        <v>20</v>
      </c>
      <c r="S191" s="18" t="s">
        <v>21</v>
      </c>
      <c r="T191" s="18" t="s">
        <v>21</v>
      </c>
      <c r="U191" s="18" t="s">
        <v>20</v>
      </c>
      <c r="V191" s="49" t="s">
        <v>20</v>
      </c>
      <c r="W191" s="37" t="s">
        <v>20</v>
      </c>
      <c r="X191" s="37" t="s">
        <v>20</v>
      </c>
      <c r="Y191" s="18" t="s">
        <v>20</v>
      </c>
      <c r="Z191" s="18" t="s">
        <v>39</v>
      </c>
      <c r="AA191" s="20" t="s">
        <v>39</v>
      </c>
      <c r="AB191" s="20" t="s">
        <v>20</v>
      </c>
      <c r="AC191" s="20" t="s">
        <v>39</v>
      </c>
      <c r="AD191" s="29" t="s">
        <v>20</v>
      </c>
      <c r="AE191" s="29" t="s">
        <v>21</v>
      </c>
      <c r="AG191">
        <f t="shared" si="18"/>
        <v>3</v>
      </c>
      <c r="AH191">
        <f t="shared" si="19"/>
        <v>18</v>
      </c>
      <c r="AI191">
        <f t="shared" si="20"/>
        <v>5</v>
      </c>
      <c r="AJ191">
        <f t="shared" si="21"/>
        <v>0</v>
      </c>
      <c r="AL191">
        <f t="shared" si="22"/>
        <v>12</v>
      </c>
      <c r="AM191">
        <f t="shared" si="23"/>
        <v>54</v>
      </c>
      <c r="AN191">
        <f t="shared" si="24"/>
        <v>10</v>
      </c>
      <c r="AO191">
        <f t="shared" si="25"/>
        <v>0</v>
      </c>
      <c r="AP191">
        <f t="shared" si="26"/>
        <v>76</v>
      </c>
    </row>
    <row r="192" spans="1:42" ht="15.75" hidden="1" customHeight="1" x14ac:dyDescent="0.3">
      <c r="A192" s="16"/>
      <c r="B192" s="55">
        <v>14</v>
      </c>
      <c r="C192" s="56" t="s">
        <v>210</v>
      </c>
      <c r="D192" s="55">
        <v>5</v>
      </c>
      <c r="E192" s="55" t="s">
        <v>20</v>
      </c>
      <c r="F192" s="18" t="s">
        <v>20</v>
      </c>
      <c r="G192" s="18" t="s">
        <v>20</v>
      </c>
      <c r="H192" s="18" t="s">
        <v>39</v>
      </c>
      <c r="I192" s="18" t="s">
        <v>20</v>
      </c>
      <c r="J192" s="43" t="s">
        <v>20</v>
      </c>
      <c r="K192" s="43" t="s">
        <v>39</v>
      </c>
      <c r="L192" s="43" t="s">
        <v>20</v>
      </c>
      <c r="M192" s="18" t="s">
        <v>21</v>
      </c>
      <c r="N192" s="18" t="s">
        <v>20</v>
      </c>
      <c r="O192" s="18" t="s">
        <v>20</v>
      </c>
      <c r="P192" s="18" t="s">
        <v>20</v>
      </c>
      <c r="Q192" s="18" t="s">
        <v>20</v>
      </c>
      <c r="R192" s="18" t="s">
        <v>20</v>
      </c>
      <c r="S192" s="18" t="s">
        <v>20</v>
      </c>
      <c r="T192" s="18" t="s">
        <v>21</v>
      </c>
      <c r="U192" s="18" t="s">
        <v>20</v>
      </c>
      <c r="V192" s="37" t="s">
        <v>20</v>
      </c>
      <c r="W192" s="37" t="s">
        <v>20</v>
      </c>
      <c r="X192" s="37" t="s">
        <v>20</v>
      </c>
      <c r="Y192" s="18" t="s">
        <v>20</v>
      </c>
      <c r="Z192" s="18" t="s">
        <v>39</v>
      </c>
      <c r="AA192" s="20" t="s">
        <v>21</v>
      </c>
      <c r="AB192" s="20" t="s">
        <v>20</v>
      </c>
      <c r="AC192" s="20" t="s">
        <v>20</v>
      </c>
      <c r="AD192" s="18" t="s">
        <v>20</v>
      </c>
      <c r="AE192" s="18" t="s">
        <v>21</v>
      </c>
      <c r="AG192">
        <f t="shared" si="18"/>
        <v>3</v>
      </c>
      <c r="AH192">
        <f t="shared" si="19"/>
        <v>19</v>
      </c>
      <c r="AI192">
        <f t="shared" si="20"/>
        <v>4</v>
      </c>
      <c r="AJ192">
        <f t="shared" si="21"/>
        <v>0</v>
      </c>
      <c r="AL192">
        <f t="shared" si="22"/>
        <v>12</v>
      </c>
      <c r="AM192">
        <f t="shared" si="23"/>
        <v>57</v>
      </c>
      <c r="AN192">
        <f t="shared" si="24"/>
        <v>8</v>
      </c>
      <c r="AO192">
        <f t="shared" si="25"/>
        <v>0</v>
      </c>
      <c r="AP192">
        <f t="shared" si="26"/>
        <v>77</v>
      </c>
    </row>
    <row r="193" spans="1:42" ht="15.75" hidden="1" customHeight="1" x14ac:dyDescent="0.3">
      <c r="A193" s="16"/>
      <c r="B193" s="55">
        <v>15</v>
      </c>
      <c r="C193" s="56" t="s">
        <v>211</v>
      </c>
      <c r="D193" s="55">
        <v>5</v>
      </c>
      <c r="E193" s="55" t="s">
        <v>20</v>
      </c>
      <c r="F193" s="18" t="s">
        <v>21</v>
      </c>
      <c r="G193" s="18" t="s">
        <v>21</v>
      </c>
      <c r="H193" s="18" t="s">
        <v>21</v>
      </c>
      <c r="I193" s="18" t="s">
        <v>21</v>
      </c>
      <c r="J193" s="43" t="s">
        <v>20</v>
      </c>
      <c r="K193" s="43" t="s">
        <v>20</v>
      </c>
      <c r="L193" s="43" t="s">
        <v>21</v>
      </c>
      <c r="M193" s="18" t="s">
        <v>20</v>
      </c>
      <c r="N193" s="18" t="s">
        <v>21</v>
      </c>
      <c r="O193" s="18" t="s">
        <v>20</v>
      </c>
      <c r="P193" s="18" t="s">
        <v>20</v>
      </c>
      <c r="Q193" s="18" t="s">
        <v>21</v>
      </c>
      <c r="R193" s="18" t="s">
        <v>21</v>
      </c>
      <c r="S193" s="18" t="s">
        <v>21</v>
      </c>
      <c r="T193" s="18" t="s">
        <v>21</v>
      </c>
      <c r="U193" s="18" t="s">
        <v>20</v>
      </c>
      <c r="V193" s="37" t="s">
        <v>20</v>
      </c>
      <c r="W193" s="37" t="s">
        <v>20</v>
      </c>
      <c r="X193" s="37" t="s">
        <v>20</v>
      </c>
      <c r="Y193" s="18" t="s">
        <v>21</v>
      </c>
      <c r="Z193" s="18" t="s">
        <v>21</v>
      </c>
      <c r="AA193" s="20" t="s">
        <v>21</v>
      </c>
      <c r="AB193" s="20" t="s">
        <v>21</v>
      </c>
      <c r="AC193" s="20" t="s">
        <v>20</v>
      </c>
      <c r="AD193" s="18" t="s">
        <v>20</v>
      </c>
      <c r="AE193" s="18" t="s">
        <v>21</v>
      </c>
      <c r="AG193">
        <f t="shared" si="18"/>
        <v>0</v>
      </c>
      <c r="AH193">
        <f t="shared" si="19"/>
        <v>11</v>
      </c>
      <c r="AI193">
        <f t="shared" si="20"/>
        <v>15</v>
      </c>
      <c r="AJ193">
        <f t="shared" si="21"/>
        <v>0</v>
      </c>
      <c r="AL193">
        <f t="shared" si="22"/>
        <v>0</v>
      </c>
      <c r="AM193">
        <f t="shared" si="23"/>
        <v>33</v>
      </c>
      <c r="AN193">
        <f t="shared" si="24"/>
        <v>30</v>
      </c>
      <c r="AO193">
        <f t="shared" si="25"/>
        <v>0</v>
      </c>
      <c r="AP193">
        <f t="shared" si="26"/>
        <v>63</v>
      </c>
    </row>
    <row r="194" spans="1:42" ht="15.75" hidden="1" customHeight="1" x14ac:dyDescent="0.3">
      <c r="A194" s="16"/>
      <c r="B194" s="55">
        <v>16</v>
      </c>
      <c r="C194" s="56" t="s">
        <v>212</v>
      </c>
      <c r="D194" s="55">
        <v>5</v>
      </c>
      <c r="E194" s="55" t="s">
        <v>20</v>
      </c>
      <c r="F194" s="18" t="s">
        <v>20</v>
      </c>
      <c r="G194" s="18" t="s">
        <v>20</v>
      </c>
      <c r="H194" s="18" t="s">
        <v>39</v>
      </c>
      <c r="I194" s="18" t="s">
        <v>39</v>
      </c>
      <c r="J194" s="43" t="s">
        <v>20</v>
      </c>
      <c r="K194" s="43" t="s">
        <v>20</v>
      </c>
      <c r="L194" s="43" t="s">
        <v>20</v>
      </c>
      <c r="M194" s="18" t="s">
        <v>20</v>
      </c>
      <c r="N194" s="18" t="s">
        <v>20</v>
      </c>
      <c r="O194" s="18" t="s">
        <v>20</v>
      </c>
      <c r="P194" s="18" t="s">
        <v>21</v>
      </c>
      <c r="Q194" s="18" t="s">
        <v>21</v>
      </c>
      <c r="R194" s="18" t="s">
        <v>21</v>
      </c>
      <c r="S194" s="18" t="s">
        <v>20</v>
      </c>
      <c r="T194" s="18" t="s">
        <v>21</v>
      </c>
      <c r="U194" s="18" t="s">
        <v>20</v>
      </c>
      <c r="V194" s="37" t="s">
        <v>20</v>
      </c>
      <c r="W194" s="37" t="s">
        <v>20</v>
      </c>
      <c r="X194" s="37" t="s">
        <v>20</v>
      </c>
      <c r="Y194" s="18" t="s">
        <v>20</v>
      </c>
      <c r="Z194" s="18" t="s">
        <v>20</v>
      </c>
      <c r="AA194" s="20" t="s">
        <v>20</v>
      </c>
      <c r="AB194" s="20" t="s">
        <v>20</v>
      </c>
      <c r="AC194" s="20" t="s">
        <v>20</v>
      </c>
      <c r="AD194" s="18" t="s">
        <v>20</v>
      </c>
      <c r="AE194" s="18" t="s">
        <v>21</v>
      </c>
      <c r="AG194">
        <f t="shared" si="18"/>
        <v>2</v>
      </c>
      <c r="AH194">
        <f t="shared" si="19"/>
        <v>19</v>
      </c>
      <c r="AI194">
        <f t="shared" si="20"/>
        <v>5</v>
      </c>
      <c r="AJ194">
        <f t="shared" si="21"/>
        <v>0</v>
      </c>
      <c r="AL194">
        <f t="shared" si="22"/>
        <v>8</v>
      </c>
      <c r="AM194">
        <f t="shared" si="23"/>
        <v>57</v>
      </c>
      <c r="AN194">
        <f t="shared" si="24"/>
        <v>10</v>
      </c>
      <c r="AO194">
        <f t="shared" si="25"/>
        <v>0</v>
      </c>
      <c r="AP194">
        <f t="shared" si="26"/>
        <v>75</v>
      </c>
    </row>
    <row r="195" spans="1:42" ht="15.75" hidden="1" customHeight="1" x14ac:dyDescent="0.3">
      <c r="A195" s="16"/>
      <c r="B195" s="55">
        <v>17</v>
      </c>
      <c r="C195" s="56" t="s">
        <v>213</v>
      </c>
      <c r="D195" s="55">
        <v>5</v>
      </c>
      <c r="E195" s="55" t="s">
        <v>20</v>
      </c>
      <c r="F195" s="18" t="s">
        <v>23</v>
      </c>
      <c r="G195" s="18" t="s">
        <v>23</v>
      </c>
      <c r="H195" s="18" t="s">
        <v>23</v>
      </c>
      <c r="I195" s="18" t="s">
        <v>23</v>
      </c>
      <c r="J195" s="43" t="s">
        <v>21</v>
      </c>
      <c r="K195" s="43" t="s">
        <v>21</v>
      </c>
      <c r="L195" s="43" t="s">
        <v>21</v>
      </c>
      <c r="M195" s="18" t="s">
        <v>21</v>
      </c>
      <c r="N195" s="18" t="s">
        <v>21</v>
      </c>
      <c r="O195" s="18" t="s">
        <v>20</v>
      </c>
      <c r="P195" s="18" t="s">
        <v>23</v>
      </c>
      <c r="Q195" s="18" t="s">
        <v>21</v>
      </c>
      <c r="R195" s="18" t="s">
        <v>23</v>
      </c>
      <c r="S195" s="18" t="s">
        <v>21</v>
      </c>
      <c r="T195" s="18" t="s">
        <v>23</v>
      </c>
      <c r="U195" s="18" t="s">
        <v>20</v>
      </c>
      <c r="V195" s="37" t="s">
        <v>21</v>
      </c>
      <c r="W195" s="37" t="s">
        <v>21</v>
      </c>
      <c r="X195" s="37" t="s">
        <v>21</v>
      </c>
      <c r="Y195" s="18" t="s">
        <v>21</v>
      </c>
      <c r="Z195" s="18" t="s">
        <v>21</v>
      </c>
      <c r="AA195" s="20" t="s">
        <v>23</v>
      </c>
      <c r="AB195" s="20" t="s">
        <v>21</v>
      </c>
      <c r="AC195" s="20" t="s">
        <v>23</v>
      </c>
      <c r="AD195" s="18" t="s">
        <v>23</v>
      </c>
      <c r="AE195" s="18" t="s">
        <v>21</v>
      </c>
      <c r="AG195">
        <f t="shared" si="18"/>
        <v>0</v>
      </c>
      <c r="AH195">
        <f t="shared" si="19"/>
        <v>2</v>
      </c>
      <c r="AI195">
        <f t="shared" si="20"/>
        <v>14</v>
      </c>
      <c r="AJ195">
        <f t="shared" si="21"/>
        <v>10</v>
      </c>
      <c r="AL195">
        <f t="shared" si="22"/>
        <v>0</v>
      </c>
      <c r="AM195">
        <f t="shared" si="23"/>
        <v>6</v>
      </c>
      <c r="AN195">
        <f t="shared" si="24"/>
        <v>28</v>
      </c>
      <c r="AO195">
        <f t="shared" si="25"/>
        <v>10</v>
      </c>
      <c r="AP195">
        <f t="shared" si="26"/>
        <v>44</v>
      </c>
    </row>
    <row r="196" spans="1:42" ht="15.75" hidden="1" customHeight="1" x14ac:dyDescent="0.3">
      <c r="A196" s="16"/>
      <c r="B196" s="55">
        <v>18</v>
      </c>
      <c r="C196" s="56" t="s">
        <v>214</v>
      </c>
      <c r="D196" s="55">
        <v>5</v>
      </c>
      <c r="E196" s="55" t="s">
        <v>20</v>
      </c>
      <c r="F196" s="18" t="s">
        <v>20</v>
      </c>
      <c r="G196" s="18" t="s">
        <v>20</v>
      </c>
      <c r="H196" s="18" t="s">
        <v>20</v>
      </c>
      <c r="I196" s="18" t="s">
        <v>20</v>
      </c>
      <c r="J196" s="43" t="s">
        <v>20</v>
      </c>
      <c r="K196" s="43" t="s">
        <v>20</v>
      </c>
      <c r="L196" s="43" t="s">
        <v>21</v>
      </c>
      <c r="M196" s="18" t="s">
        <v>20</v>
      </c>
      <c r="N196" s="18" t="s">
        <v>20</v>
      </c>
      <c r="O196" s="18" t="s">
        <v>20</v>
      </c>
      <c r="P196" s="18" t="s">
        <v>21</v>
      </c>
      <c r="Q196" s="18" t="s">
        <v>20</v>
      </c>
      <c r="R196" s="18" t="s">
        <v>21</v>
      </c>
      <c r="S196" s="18" t="s">
        <v>21</v>
      </c>
      <c r="T196" s="18" t="s">
        <v>21</v>
      </c>
      <c r="U196" s="18" t="s">
        <v>20</v>
      </c>
      <c r="V196" s="37" t="s">
        <v>20</v>
      </c>
      <c r="W196" s="37" t="s">
        <v>20</v>
      </c>
      <c r="X196" s="37" t="s">
        <v>20</v>
      </c>
      <c r="Y196" s="18" t="s">
        <v>20</v>
      </c>
      <c r="Z196" s="18" t="s">
        <v>20</v>
      </c>
      <c r="AA196" s="20" t="s">
        <v>20</v>
      </c>
      <c r="AB196" s="20" t="s">
        <v>20</v>
      </c>
      <c r="AC196" s="20" t="s">
        <v>20</v>
      </c>
      <c r="AD196" s="18" t="s">
        <v>20</v>
      </c>
      <c r="AE196" s="18" t="s">
        <v>21</v>
      </c>
      <c r="AG196">
        <f t="shared" si="18"/>
        <v>0</v>
      </c>
      <c r="AH196">
        <f t="shared" si="19"/>
        <v>20</v>
      </c>
      <c r="AI196">
        <f t="shared" si="20"/>
        <v>6</v>
      </c>
      <c r="AJ196">
        <f t="shared" si="21"/>
        <v>0</v>
      </c>
      <c r="AL196">
        <f t="shared" si="22"/>
        <v>0</v>
      </c>
      <c r="AM196">
        <f t="shared" si="23"/>
        <v>60</v>
      </c>
      <c r="AN196">
        <f t="shared" si="24"/>
        <v>12</v>
      </c>
      <c r="AO196">
        <f t="shared" si="25"/>
        <v>0</v>
      </c>
      <c r="AP196">
        <f t="shared" si="26"/>
        <v>72</v>
      </c>
    </row>
    <row r="197" spans="1:42" ht="15.75" hidden="1" customHeight="1" x14ac:dyDescent="0.3">
      <c r="A197" s="16"/>
      <c r="B197" s="55">
        <v>19</v>
      </c>
      <c r="C197" s="56" t="s">
        <v>215</v>
      </c>
      <c r="D197" s="55">
        <v>5</v>
      </c>
      <c r="E197" s="55" t="s">
        <v>20</v>
      </c>
      <c r="F197" s="18" t="s">
        <v>20</v>
      </c>
      <c r="G197" s="18" t="s">
        <v>20</v>
      </c>
      <c r="H197" s="18" t="s">
        <v>20</v>
      </c>
      <c r="I197" s="18" t="s">
        <v>20</v>
      </c>
      <c r="J197" s="43" t="s">
        <v>20</v>
      </c>
      <c r="K197" s="43" t="s">
        <v>20</v>
      </c>
      <c r="L197" s="43" t="s">
        <v>20</v>
      </c>
      <c r="M197" s="18" t="s">
        <v>20</v>
      </c>
      <c r="N197" s="18" t="s">
        <v>20</v>
      </c>
      <c r="O197" s="18" t="s">
        <v>20</v>
      </c>
      <c r="P197" s="18" t="s">
        <v>21</v>
      </c>
      <c r="Q197" s="18" t="s">
        <v>21</v>
      </c>
      <c r="R197" s="18" t="s">
        <v>21</v>
      </c>
      <c r="S197" s="18" t="s">
        <v>21</v>
      </c>
      <c r="T197" s="18" t="s">
        <v>21</v>
      </c>
      <c r="U197" s="18" t="s">
        <v>21</v>
      </c>
      <c r="V197" s="37" t="s">
        <v>21</v>
      </c>
      <c r="W197" s="37" t="s">
        <v>20</v>
      </c>
      <c r="X197" s="37" t="s">
        <v>20</v>
      </c>
      <c r="Y197" s="18" t="s">
        <v>21</v>
      </c>
      <c r="Z197" s="18" t="s">
        <v>20</v>
      </c>
      <c r="AA197" s="20" t="s">
        <v>20</v>
      </c>
      <c r="AB197" s="20" t="s">
        <v>20</v>
      </c>
      <c r="AC197" s="20" t="s">
        <v>20</v>
      </c>
      <c r="AD197" s="18" t="s">
        <v>55</v>
      </c>
      <c r="AE197" s="18" t="s">
        <v>55</v>
      </c>
      <c r="AG197">
        <f t="shared" si="18"/>
        <v>0</v>
      </c>
      <c r="AH197">
        <f t="shared" si="19"/>
        <v>16</v>
      </c>
      <c r="AI197">
        <f t="shared" si="20"/>
        <v>8</v>
      </c>
      <c r="AJ197">
        <f t="shared" si="21"/>
        <v>0</v>
      </c>
      <c r="AL197">
        <f t="shared" si="22"/>
        <v>0</v>
      </c>
      <c r="AM197">
        <f t="shared" si="23"/>
        <v>48</v>
      </c>
      <c r="AN197">
        <f t="shared" si="24"/>
        <v>16</v>
      </c>
      <c r="AO197">
        <f t="shared" si="25"/>
        <v>0</v>
      </c>
      <c r="AP197">
        <f t="shared" si="26"/>
        <v>64</v>
      </c>
    </row>
    <row r="198" spans="1:42" ht="15.75" hidden="1" customHeight="1" x14ac:dyDescent="0.3">
      <c r="A198" s="16"/>
      <c r="B198" s="55">
        <v>20</v>
      </c>
      <c r="C198" s="56" t="s">
        <v>216</v>
      </c>
      <c r="D198" s="55">
        <v>5</v>
      </c>
      <c r="E198" s="55" t="s">
        <v>20</v>
      </c>
      <c r="F198" s="18" t="s">
        <v>39</v>
      </c>
      <c r="G198" s="18" t="s">
        <v>20</v>
      </c>
      <c r="H198" s="18" t="s">
        <v>20</v>
      </c>
      <c r="I198" s="18" t="s">
        <v>39</v>
      </c>
      <c r="J198" s="43" t="s">
        <v>20</v>
      </c>
      <c r="K198" s="43" t="s">
        <v>20</v>
      </c>
      <c r="L198" s="43" t="s">
        <v>20</v>
      </c>
      <c r="M198" s="18" t="s">
        <v>20</v>
      </c>
      <c r="N198" s="18" t="s">
        <v>20</v>
      </c>
      <c r="O198" s="18" t="s">
        <v>20</v>
      </c>
      <c r="P198" s="18" t="s">
        <v>21</v>
      </c>
      <c r="Q198" s="18" t="s">
        <v>20</v>
      </c>
      <c r="R198" s="18" t="s">
        <v>20</v>
      </c>
      <c r="S198" s="18" t="s">
        <v>21</v>
      </c>
      <c r="T198" s="18" t="s">
        <v>21</v>
      </c>
      <c r="U198" s="18" t="s">
        <v>20</v>
      </c>
      <c r="V198" s="37" t="s">
        <v>20</v>
      </c>
      <c r="W198" s="37" t="s">
        <v>20</v>
      </c>
      <c r="X198" s="37" t="s">
        <v>20</v>
      </c>
      <c r="Y198" s="18" t="s">
        <v>20</v>
      </c>
      <c r="Z198" s="18" t="s">
        <v>20</v>
      </c>
      <c r="AA198" s="20" t="s">
        <v>20</v>
      </c>
      <c r="AB198" s="20" t="s">
        <v>20</v>
      </c>
      <c r="AC198" s="20" t="s">
        <v>20</v>
      </c>
      <c r="AD198" s="18" t="s">
        <v>20</v>
      </c>
      <c r="AE198" s="18" t="s">
        <v>21</v>
      </c>
      <c r="AG198">
        <f t="shared" si="18"/>
        <v>2</v>
      </c>
      <c r="AH198">
        <f t="shared" si="19"/>
        <v>20</v>
      </c>
      <c r="AI198">
        <f t="shared" si="20"/>
        <v>4</v>
      </c>
      <c r="AJ198">
        <f t="shared" si="21"/>
        <v>0</v>
      </c>
      <c r="AL198">
        <f t="shared" si="22"/>
        <v>8</v>
      </c>
      <c r="AM198">
        <f t="shared" si="23"/>
        <v>60</v>
      </c>
      <c r="AN198">
        <f t="shared" si="24"/>
        <v>8</v>
      </c>
      <c r="AO198">
        <f t="shared" si="25"/>
        <v>0</v>
      </c>
      <c r="AP198">
        <f t="shared" si="26"/>
        <v>76</v>
      </c>
    </row>
    <row r="199" spans="1:42" ht="15.75" hidden="1" customHeight="1" x14ac:dyDescent="0.3">
      <c r="A199" s="16"/>
      <c r="B199" s="55">
        <v>21</v>
      </c>
      <c r="C199" s="56" t="s">
        <v>217</v>
      </c>
      <c r="D199" s="55">
        <v>5</v>
      </c>
      <c r="E199" s="55" t="s">
        <v>20</v>
      </c>
      <c r="F199" s="18" t="s">
        <v>20</v>
      </c>
      <c r="G199" s="18" t="s">
        <v>20</v>
      </c>
      <c r="H199" s="18" t="s">
        <v>39</v>
      </c>
      <c r="I199" s="18" t="s">
        <v>20</v>
      </c>
      <c r="J199" s="43" t="s">
        <v>20</v>
      </c>
      <c r="K199" s="43" t="s">
        <v>20</v>
      </c>
      <c r="L199" s="43" t="s">
        <v>20</v>
      </c>
      <c r="M199" s="18" t="s">
        <v>21</v>
      </c>
      <c r="N199" s="18" t="s">
        <v>20</v>
      </c>
      <c r="O199" s="18" t="s">
        <v>20</v>
      </c>
      <c r="P199" s="18" t="s">
        <v>21</v>
      </c>
      <c r="Q199" s="18" t="s">
        <v>21</v>
      </c>
      <c r="R199" s="18" t="s">
        <v>21</v>
      </c>
      <c r="S199" s="18" t="s">
        <v>20</v>
      </c>
      <c r="T199" s="18" t="s">
        <v>21</v>
      </c>
      <c r="U199" s="18" t="s">
        <v>20</v>
      </c>
      <c r="V199" s="37" t="s">
        <v>20</v>
      </c>
      <c r="W199" s="37" t="s">
        <v>20</v>
      </c>
      <c r="X199" s="37" t="s">
        <v>20</v>
      </c>
      <c r="Y199" s="18" t="s">
        <v>20</v>
      </c>
      <c r="Z199" s="18" t="s">
        <v>20</v>
      </c>
      <c r="AA199" s="20" t="s">
        <v>20</v>
      </c>
      <c r="AB199" s="20" t="s">
        <v>20</v>
      </c>
      <c r="AC199" s="20" t="s">
        <v>20</v>
      </c>
      <c r="AD199" s="18" t="s">
        <v>20</v>
      </c>
      <c r="AE199" s="18" t="s">
        <v>21</v>
      </c>
      <c r="AG199">
        <f t="shared" si="18"/>
        <v>1</v>
      </c>
      <c r="AH199">
        <f t="shared" si="19"/>
        <v>19</v>
      </c>
      <c r="AI199">
        <f t="shared" si="20"/>
        <v>6</v>
      </c>
      <c r="AJ199">
        <f t="shared" si="21"/>
        <v>0</v>
      </c>
      <c r="AL199">
        <f t="shared" si="22"/>
        <v>4</v>
      </c>
      <c r="AM199">
        <f t="shared" si="23"/>
        <v>57</v>
      </c>
      <c r="AN199">
        <f t="shared" si="24"/>
        <v>12</v>
      </c>
      <c r="AO199">
        <f t="shared" si="25"/>
        <v>0</v>
      </c>
      <c r="AP199">
        <f t="shared" si="26"/>
        <v>73</v>
      </c>
    </row>
    <row r="200" spans="1:42" ht="15.75" hidden="1" customHeight="1" x14ac:dyDescent="0.3">
      <c r="A200" s="16"/>
      <c r="B200" s="55">
        <v>22</v>
      </c>
      <c r="C200" s="56" t="s">
        <v>218</v>
      </c>
      <c r="D200" s="55">
        <v>5</v>
      </c>
      <c r="E200" s="55" t="s">
        <v>20</v>
      </c>
      <c r="F200" s="18" t="s">
        <v>23</v>
      </c>
      <c r="G200" s="18" t="s">
        <v>23</v>
      </c>
      <c r="H200" s="18" t="s">
        <v>21</v>
      </c>
      <c r="I200" s="18" t="s">
        <v>21</v>
      </c>
      <c r="J200" s="43" t="s">
        <v>20</v>
      </c>
      <c r="K200" s="43" t="s">
        <v>20</v>
      </c>
      <c r="L200" s="43" t="s">
        <v>21</v>
      </c>
      <c r="M200" s="18" t="s">
        <v>20</v>
      </c>
      <c r="N200" s="18" t="s">
        <v>20</v>
      </c>
      <c r="O200" s="18" t="s">
        <v>20</v>
      </c>
      <c r="P200" s="18" t="s">
        <v>21</v>
      </c>
      <c r="Q200" s="18" t="s">
        <v>21</v>
      </c>
      <c r="R200" s="18" t="s">
        <v>21</v>
      </c>
      <c r="S200" s="18" t="s">
        <v>21</v>
      </c>
      <c r="T200" s="18" t="s">
        <v>21</v>
      </c>
      <c r="U200" s="18" t="s">
        <v>20</v>
      </c>
      <c r="V200" s="37" t="s">
        <v>21</v>
      </c>
      <c r="W200" s="37" t="s">
        <v>21</v>
      </c>
      <c r="X200" s="37" t="s">
        <v>21</v>
      </c>
      <c r="Y200" s="18" t="s">
        <v>20</v>
      </c>
      <c r="Z200" s="18" t="s">
        <v>20</v>
      </c>
      <c r="AA200" s="20" t="s">
        <v>20</v>
      </c>
      <c r="AB200" s="20" t="s">
        <v>20</v>
      </c>
      <c r="AC200" s="20" t="s">
        <v>20</v>
      </c>
      <c r="AD200" s="40" t="s">
        <v>20</v>
      </c>
      <c r="AE200" s="40" t="s">
        <v>21</v>
      </c>
      <c r="AG200">
        <f t="shared" si="18"/>
        <v>0</v>
      </c>
      <c r="AH200">
        <f t="shared" si="19"/>
        <v>12</v>
      </c>
      <c r="AI200">
        <f t="shared" si="20"/>
        <v>12</v>
      </c>
      <c r="AJ200">
        <f t="shared" si="21"/>
        <v>2</v>
      </c>
      <c r="AL200">
        <f t="shared" si="22"/>
        <v>0</v>
      </c>
      <c r="AM200">
        <f t="shared" si="23"/>
        <v>36</v>
      </c>
      <c r="AN200">
        <f t="shared" si="24"/>
        <v>24</v>
      </c>
      <c r="AO200">
        <f t="shared" si="25"/>
        <v>2</v>
      </c>
      <c r="AP200">
        <f t="shared" si="26"/>
        <v>62</v>
      </c>
    </row>
    <row r="201" spans="1:42" ht="15.75" hidden="1" customHeight="1" x14ac:dyDescent="0.3">
      <c r="A201" s="16"/>
      <c r="B201" s="55">
        <v>23</v>
      </c>
      <c r="C201" s="56" t="s">
        <v>219</v>
      </c>
      <c r="D201" s="55">
        <v>5</v>
      </c>
      <c r="E201" s="55" t="s">
        <v>20</v>
      </c>
      <c r="F201" s="18" t="s">
        <v>23</v>
      </c>
      <c r="G201" s="18" t="s">
        <v>23</v>
      </c>
      <c r="H201" s="18" t="s">
        <v>23</v>
      </c>
      <c r="I201" s="18" t="s">
        <v>21</v>
      </c>
      <c r="J201" s="43" t="s">
        <v>20</v>
      </c>
      <c r="K201" s="43" t="s">
        <v>20</v>
      </c>
      <c r="L201" s="43" t="s">
        <v>21</v>
      </c>
      <c r="M201" s="18" t="s">
        <v>20</v>
      </c>
      <c r="N201" s="18" t="s">
        <v>21</v>
      </c>
      <c r="O201" s="18" t="s">
        <v>20</v>
      </c>
      <c r="P201" s="18" t="s">
        <v>21</v>
      </c>
      <c r="Q201" s="18" t="s">
        <v>23</v>
      </c>
      <c r="R201" s="18" t="s">
        <v>21</v>
      </c>
      <c r="S201" s="18" t="s">
        <v>21</v>
      </c>
      <c r="T201" s="18" t="s">
        <v>21</v>
      </c>
      <c r="U201" s="18" t="s">
        <v>20</v>
      </c>
      <c r="V201" s="37" t="s">
        <v>20</v>
      </c>
      <c r="W201" s="37" t="s">
        <v>21</v>
      </c>
      <c r="X201" s="37" t="s">
        <v>20</v>
      </c>
      <c r="Y201" s="18" t="s">
        <v>21</v>
      </c>
      <c r="Z201" s="18" t="s">
        <v>20</v>
      </c>
      <c r="AA201" s="20" t="s">
        <v>23</v>
      </c>
      <c r="AB201" s="20" t="s">
        <v>21</v>
      </c>
      <c r="AC201" s="20" t="s">
        <v>21</v>
      </c>
      <c r="AD201" s="18" t="s">
        <v>23</v>
      </c>
      <c r="AE201" s="18" t="s">
        <v>21</v>
      </c>
      <c r="AG201">
        <f t="shared" si="18"/>
        <v>0</v>
      </c>
      <c r="AH201">
        <f t="shared" si="19"/>
        <v>8</v>
      </c>
      <c r="AI201">
        <f t="shared" si="20"/>
        <v>12</v>
      </c>
      <c r="AJ201">
        <f t="shared" si="21"/>
        <v>6</v>
      </c>
      <c r="AL201">
        <f t="shared" si="22"/>
        <v>0</v>
      </c>
      <c r="AM201">
        <f t="shared" si="23"/>
        <v>24</v>
      </c>
      <c r="AN201">
        <f t="shared" si="24"/>
        <v>24</v>
      </c>
      <c r="AO201">
        <f t="shared" si="25"/>
        <v>6</v>
      </c>
      <c r="AP201">
        <f t="shared" si="26"/>
        <v>54</v>
      </c>
    </row>
    <row r="202" spans="1:42" ht="15.75" hidden="1" customHeight="1" x14ac:dyDescent="0.3">
      <c r="A202" s="16"/>
      <c r="B202" s="55">
        <v>24</v>
      </c>
      <c r="C202" s="56" t="s">
        <v>220</v>
      </c>
      <c r="D202" s="55">
        <v>5</v>
      </c>
      <c r="E202" s="55" t="s">
        <v>20</v>
      </c>
      <c r="F202" s="18" t="s">
        <v>39</v>
      </c>
      <c r="G202" s="18" t="s">
        <v>20</v>
      </c>
      <c r="H202" s="18" t="s">
        <v>20</v>
      </c>
      <c r="I202" s="18" t="s">
        <v>39</v>
      </c>
      <c r="J202" s="43" t="s">
        <v>20</v>
      </c>
      <c r="K202" s="43" t="s">
        <v>20</v>
      </c>
      <c r="L202" s="43" t="s">
        <v>20</v>
      </c>
      <c r="M202" s="18" t="s">
        <v>20</v>
      </c>
      <c r="N202" s="18" t="s">
        <v>20</v>
      </c>
      <c r="O202" s="18" t="s">
        <v>20</v>
      </c>
      <c r="P202" s="18" t="s">
        <v>21</v>
      </c>
      <c r="Q202" s="18" t="s">
        <v>20</v>
      </c>
      <c r="R202" s="18" t="s">
        <v>20</v>
      </c>
      <c r="S202" s="18" t="s">
        <v>21</v>
      </c>
      <c r="T202" s="18" t="s">
        <v>21</v>
      </c>
      <c r="U202" s="18" t="s">
        <v>20</v>
      </c>
      <c r="V202" s="37" t="s">
        <v>20</v>
      </c>
      <c r="W202" s="37" t="s">
        <v>20</v>
      </c>
      <c r="X202" s="37" t="s">
        <v>20</v>
      </c>
      <c r="Y202" s="18" t="s">
        <v>20</v>
      </c>
      <c r="Z202" s="18" t="s">
        <v>20</v>
      </c>
      <c r="AA202" s="20" t="s">
        <v>20</v>
      </c>
      <c r="AB202" s="20" t="s">
        <v>20</v>
      </c>
      <c r="AC202" s="20" t="s">
        <v>20</v>
      </c>
      <c r="AD202" s="18" t="s">
        <v>20</v>
      </c>
      <c r="AE202" s="18" t="s">
        <v>21</v>
      </c>
      <c r="AG202">
        <f t="shared" si="18"/>
        <v>2</v>
      </c>
      <c r="AH202">
        <f t="shared" si="19"/>
        <v>20</v>
      </c>
      <c r="AI202">
        <f t="shared" si="20"/>
        <v>4</v>
      </c>
      <c r="AJ202">
        <f t="shared" si="21"/>
        <v>0</v>
      </c>
      <c r="AL202">
        <f t="shared" si="22"/>
        <v>8</v>
      </c>
      <c r="AM202">
        <f t="shared" si="23"/>
        <v>60</v>
      </c>
      <c r="AN202">
        <f t="shared" si="24"/>
        <v>8</v>
      </c>
      <c r="AO202">
        <f t="shared" si="25"/>
        <v>0</v>
      </c>
      <c r="AP202">
        <f t="shared" si="26"/>
        <v>76</v>
      </c>
    </row>
    <row r="203" spans="1:42" ht="15.75" hidden="1" customHeight="1" x14ac:dyDescent="0.3">
      <c r="A203" s="16"/>
      <c r="B203" s="55">
        <v>25</v>
      </c>
      <c r="C203" s="56" t="s">
        <v>221</v>
      </c>
      <c r="D203" s="55">
        <v>5</v>
      </c>
      <c r="E203" s="55" t="s">
        <v>20</v>
      </c>
      <c r="F203" s="18" t="s">
        <v>23</v>
      </c>
      <c r="G203" s="18" t="s">
        <v>23</v>
      </c>
      <c r="H203" s="18" t="s">
        <v>23</v>
      </c>
      <c r="I203" s="18" t="s">
        <v>23</v>
      </c>
      <c r="J203" s="43" t="s">
        <v>20</v>
      </c>
      <c r="K203" s="43" t="s">
        <v>20</v>
      </c>
      <c r="L203" s="43" t="s">
        <v>21</v>
      </c>
      <c r="M203" s="18" t="s">
        <v>20</v>
      </c>
      <c r="N203" s="18" t="s">
        <v>20</v>
      </c>
      <c r="O203" s="18" t="s">
        <v>20</v>
      </c>
      <c r="P203" s="18" t="s">
        <v>21</v>
      </c>
      <c r="Q203" s="18" t="s">
        <v>23</v>
      </c>
      <c r="R203" s="18" t="s">
        <v>23</v>
      </c>
      <c r="S203" s="18" t="s">
        <v>21</v>
      </c>
      <c r="T203" s="18" t="s">
        <v>23</v>
      </c>
      <c r="U203" s="18" t="s">
        <v>20</v>
      </c>
      <c r="V203" s="37" t="s">
        <v>20</v>
      </c>
      <c r="W203" s="37" t="s">
        <v>20</v>
      </c>
      <c r="X203" s="37" t="s">
        <v>20</v>
      </c>
      <c r="Y203" s="18" t="s">
        <v>20</v>
      </c>
      <c r="Z203" s="18" t="s">
        <v>20</v>
      </c>
      <c r="AA203" s="20" t="s">
        <v>21</v>
      </c>
      <c r="AB203" s="20" t="s">
        <v>21</v>
      </c>
      <c r="AC203" s="20" t="s">
        <v>20</v>
      </c>
      <c r="AD203" s="18" t="s">
        <v>20</v>
      </c>
      <c r="AE203" s="18" t="s">
        <v>21</v>
      </c>
      <c r="AG203">
        <f t="shared" si="18"/>
        <v>0</v>
      </c>
      <c r="AH203">
        <f t="shared" si="19"/>
        <v>13</v>
      </c>
      <c r="AI203">
        <f t="shared" si="20"/>
        <v>6</v>
      </c>
      <c r="AJ203">
        <f t="shared" si="21"/>
        <v>7</v>
      </c>
      <c r="AL203">
        <f t="shared" si="22"/>
        <v>0</v>
      </c>
      <c r="AM203">
        <f t="shared" si="23"/>
        <v>39</v>
      </c>
      <c r="AN203">
        <f t="shared" si="24"/>
        <v>12</v>
      </c>
      <c r="AO203">
        <f t="shared" si="25"/>
        <v>7</v>
      </c>
      <c r="AP203">
        <f t="shared" si="26"/>
        <v>58</v>
      </c>
    </row>
    <row r="204" spans="1:42" ht="15.75" hidden="1" customHeight="1" x14ac:dyDescent="0.3">
      <c r="A204" s="16"/>
      <c r="B204" s="55">
        <v>26</v>
      </c>
      <c r="C204" s="56" t="s">
        <v>222</v>
      </c>
      <c r="D204" s="55">
        <v>5</v>
      </c>
      <c r="E204" s="55" t="s">
        <v>20</v>
      </c>
      <c r="F204" s="18" t="s">
        <v>21</v>
      </c>
      <c r="G204" s="18" t="s">
        <v>21</v>
      </c>
      <c r="H204" s="18" t="s">
        <v>21</v>
      </c>
      <c r="I204" s="18" t="s">
        <v>21</v>
      </c>
      <c r="J204" s="43" t="s">
        <v>21</v>
      </c>
      <c r="K204" s="43" t="s">
        <v>21</v>
      </c>
      <c r="L204" s="43" t="s">
        <v>21</v>
      </c>
      <c r="M204" s="18" t="s">
        <v>20</v>
      </c>
      <c r="N204" s="18" t="s">
        <v>20</v>
      </c>
      <c r="O204" s="18" t="s">
        <v>20</v>
      </c>
      <c r="P204" s="18" t="s">
        <v>20</v>
      </c>
      <c r="Q204" s="18" t="s">
        <v>21</v>
      </c>
      <c r="R204" s="18" t="s">
        <v>23</v>
      </c>
      <c r="S204" s="18" t="s">
        <v>21</v>
      </c>
      <c r="T204" s="18" t="s">
        <v>21</v>
      </c>
      <c r="U204" s="18" t="s">
        <v>20</v>
      </c>
      <c r="V204" s="37" t="s">
        <v>20</v>
      </c>
      <c r="W204" s="37" t="s">
        <v>20</v>
      </c>
      <c r="X204" s="37" t="s">
        <v>20</v>
      </c>
      <c r="Y204" s="18" t="s">
        <v>20</v>
      </c>
      <c r="Z204" s="18" t="s">
        <v>20</v>
      </c>
      <c r="AA204" s="20" t="s">
        <v>21</v>
      </c>
      <c r="AB204" s="20" t="s">
        <v>21</v>
      </c>
      <c r="AC204" s="20" t="s">
        <v>20</v>
      </c>
      <c r="AD204" s="40" t="s">
        <v>20</v>
      </c>
      <c r="AE204" s="40" t="s">
        <v>21</v>
      </c>
      <c r="AG204">
        <f t="shared" si="18"/>
        <v>0</v>
      </c>
      <c r="AH204">
        <f t="shared" si="19"/>
        <v>12</v>
      </c>
      <c r="AI204">
        <f t="shared" si="20"/>
        <v>13</v>
      </c>
      <c r="AJ204">
        <f t="shared" si="21"/>
        <v>1</v>
      </c>
      <c r="AL204">
        <f t="shared" si="22"/>
        <v>0</v>
      </c>
      <c r="AM204">
        <f t="shared" si="23"/>
        <v>36</v>
      </c>
      <c r="AN204">
        <f t="shared" si="24"/>
        <v>26</v>
      </c>
      <c r="AO204">
        <f t="shared" si="25"/>
        <v>1</v>
      </c>
      <c r="AP204">
        <f t="shared" si="26"/>
        <v>63</v>
      </c>
    </row>
    <row r="205" spans="1:42" ht="15.75" hidden="1" customHeight="1" x14ac:dyDescent="0.3">
      <c r="A205" s="16"/>
      <c r="B205" s="55">
        <v>27</v>
      </c>
      <c r="C205" s="56" t="s">
        <v>223</v>
      </c>
      <c r="D205" s="55">
        <v>5</v>
      </c>
      <c r="E205" s="55" t="s">
        <v>20</v>
      </c>
      <c r="F205" s="18" t="s">
        <v>20</v>
      </c>
      <c r="G205" s="18" t="s">
        <v>20</v>
      </c>
      <c r="H205" s="18" t="s">
        <v>20</v>
      </c>
      <c r="I205" s="18" t="s">
        <v>20</v>
      </c>
      <c r="J205" s="43" t="s">
        <v>20</v>
      </c>
      <c r="K205" s="43" t="s">
        <v>20</v>
      </c>
      <c r="L205" s="43" t="s">
        <v>20</v>
      </c>
      <c r="M205" s="18" t="s">
        <v>20</v>
      </c>
      <c r="N205" s="18" t="s">
        <v>20</v>
      </c>
      <c r="O205" s="18" t="s">
        <v>20</v>
      </c>
      <c r="P205" s="18" t="s">
        <v>20</v>
      </c>
      <c r="Q205" s="18" t="s">
        <v>21</v>
      </c>
      <c r="R205" s="18" t="s">
        <v>21</v>
      </c>
      <c r="S205" s="18" t="s">
        <v>20</v>
      </c>
      <c r="T205" s="18" t="s">
        <v>21</v>
      </c>
      <c r="U205" s="18" t="s">
        <v>21</v>
      </c>
      <c r="V205" s="37" t="s">
        <v>20</v>
      </c>
      <c r="W205" s="37" t="s">
        <v>20</v>
      </c>
      <c r="X205" s="37" t="s">
        <v>20</v>
      </c>
      <c r="Y205" s="18" t="s">
        <v>20</v>
      </c>
      <c r="Z205" s="18" t="s">
        <v>20</v>
      </c>
      <c r="AA205" s="20" t="s">
        <v>20</v>
      </c>
      <c r="AB205" s="20" t="s">
        <v>20</v>
      </c>
      <c r="AC205" s="20" t="s">
        <v>20</v>
      </c>
      <c r="AD205" s="18" t="s">
        <v>20</v>
      </c>
      <c r="AE205" s="18" t="s">
        <v>21</v>
      </c>
      <c r="AG205">
        <f t="shared" si="18"/>
        <v>0</v>
      </c>
      <c r="AH205">
        <f t="shared" si="19"/>
        <v>21</v>
      </c>
      <c r="AI205">
        <f t="shared" si="20"/>
        <v>5</v>
      </c>
      <c r="AJ205">
        <f t="shared" si="21"/>
        <v>0</v>
      </c>
      <c r="AL205">
        <f t="shared" si="22"/>
        <v>0</v>
      </c>
      <c r="AM205">
        <f t="shared" si="23"/>
        <v>63</v>
      </c>
      <c r="AN205">
        <f t="shared" si="24"/>
        <v>10</v>
      </c>
      <c r="AO205">
        <f t="shared" si="25"/>
        <v>0</v>
      </c>
      <c r="AP205">
        <f t="shared" si="26"/>
        <v>73</v>
      </c>
    </row>
    <row r="206" spans="1:42" ht="15.75" hidden="1" customHeight="1" thickBot="1" x14ac:dyDescent="0.35">
      <c r="A206" s="16"/>
      <c r="B206" s="57">
        <v>28</v>
      </c>
      <c r="C206" s="58" t="s">
        <v>224</v>
      </c>
      <c r="D206" s="57">
        <v>5</v>
      </c>
      <c r="E206" s="57" t="s">
        <v>20</v>
      </c>
      <c r="F206" s="21" t="s">
        <v>20</v>
      </c>
      <c r="G206" s="21" t="s">
        <v>20</v>
      </c>
      <c r="H206" s="21" t="s">
        <v>20</v>
      </c>
      <c r="I206" s="21" t="s">
        <v>20</v>
      </c>
      <c r="J206" s="45" t="s">
        <v>20</v>
      </c>
      <c r="K206" s="45" t="s">
        <v>20</v>
      </c>
      <c r="L206" s="45" t="s">
        <v>21</v>
      </c>
      <c r="M206" s="21" t="s">
        <v>20</v>
      </c>
      <c r="N206" s="21" t="s">
        <v>20</v>
      </c>
      <c r="O206" s="21" t="s">
        <v>20</v>
      </c>
      <c r="P206" s="21" t="s">
        <v>21</v>
      </c>
      <c r="Q206" s="21" t="s">
        <v>21</v>
      </c>
      <c r="R206" s="21" t="s">
        <v>21</v>
      </c>
      <c r="S206" s="21" t="s">
        <v>20</v>
      </c>
      <c r="T206" s="21" t="s">
        <v>21</v>
      </c>
      <c r="U206" s="21" t="s">
        <v>20</v>
      </c>
      <c r="V206" s="38" t="s">
        <v>20</v>
      </c>
      <c r="W206" s="38" t="s">
        <v>20</v>
      </c>
      <c r="X206" s="38" t="s">
        <v>21</v>
      </c>
      <c r="Y206" s="21" t="s">
        <v>20</v>
      </c>
      <c r="Z206" s="21" t="s">
        <v>20</v>
      </c>
      <c r="AA206" s="23" t="s">
        <v>20</v>
      </c>
      <c r="AB206" s="23" t="s">
        <v>20</v>
      </c>
      <c r="AC206" s="23" t="s">
        <v>20</v>
      </c>
      <c r="AD206" s="21" t="s">
        <v>20</v>
      </c>
      <c r="AE206" s="21" t="s">
        <v>21</v>
      </c>
      <c r="AG206">
        <f t="shared" si="18"/>
        <v>0</v>
      </c>
      <c r="AH206">
        <f t="shared" si="19"/>
        <v>19</v>
      </c>
      <c r="AI206">
        <f t="shared" si="20"/>
        <v>7</v>
      </c>
      <c r="AJ206">
        <f t="shared" si="21"/>
        <v>0</v>
      </c>
      <c r="AL206">
        <f t="shared" si="22"/>
        <v>0</v>
      </c>
      <c r="AM206">
        <f t="shared" si="23"/>
        <v>57</v>
      </c>
      <c r="AN206">
        <f t="shared" si="24"/>
        <v>14</v>
      </c>
      <c r="AO206">
        <f t="shared" si="25"/>
        <v>0</v>
      </c>
      <c r="AP206">
        <f t="shared" si="26"/>
        <v>71</v>
      </c>
    </row>
    <row r="207" spans="1:42" ht="15.75" hidden="1" customHeight="1" x14ac:dyDescent="0.3">
      <c r="A207" s="16"/>
      <c r="B207" s="59">
        <v>1</v>
      </c>
      <c r="C207" s="60" t="s">
        <v>225</v>
      </c>
      <c r="D207" s="59">
        <v>5</v>
      </c>
      <c r="E207" s="59" t="s">
        <v>21</v>
      </c>
      <c r="F207" s="24" t="s">
        <v>21</v>
      </c>
      <c r="G207" s="24" t="s">
        <v>20</v>
      </c>
      <c r="H207" s="24" t="s">
        <v>21</v>
      </c>
      <c r="I207" s="24" t="s">
        <v>21</v>
      </c>
      <c r="J207" s="24" t="s">
        <v>20</v>
      </c>
      <c r="K207" s="24" t="s">
        <v>20</v>
      </c>
      <c r="L207" s="24" t="s">
        <v>20</v>
      </c>
      <c r="M207" s="24" t="s">
        <v>20</v>
      </c>
      <c r="N207" s="24" t="s">
        <v>20</v>
      </c>
      <c r="O207" s="24" t="s">
        <v>20</v>
      </c>
      <c r="P207" s="24" t="s">
        <v>21</v>
      </c>
      <c r="Q207" s="24" t="s">
        <v>21</v>
      </c>
      <c r="R207" s="24" t="s">
        <v>21</v>
      </c>
      <c r="S207" s="24" t="s">
        <v>20</v>
      </c>
      <c r="T207" s="24" t="s">
        <v>21</v>
      </c>
      <c r="U207" s="24" t="s">
        <v>20</v>
      </c>
      <c r="V207" s="39" t="s">
        <v>20</v>
      </c>
      <c r="W207" s="39" t="s">
        <v>20</v>
      </c>
      <c r="X207" s="39" t="s">
        <v>20</v>
      </c>
      <c r="Y207" s="24" t="s">
        <v>20</v>
      </c>
      <c r="Z207" s="24" t="s">
        <v>20</v>
      </c>
      <c r="AA207" s="27" t="s">
        <v>20</v>
      </c>
      <c r="AB207" s="27" t="s">
        <v>20</v>
      </c>
      <c r="AC207" s="27" t="s">
        <v>21</v>
      </c>
      <c r="AD207" s="24" t="s">
        <v>20</v>
      </c>
      <c r="AE207" s="24" t="s">
        <v>21</v>
      </c>
      <c r="AG207">
        <f t="shared" si="18"/>
        <v>0</v>
      </c>
      <c r="AH207">
        <f t="shared" si="19"/>
        <v>17</v>
      </c>
      <c r="AI207">
        <f t="shared" si="20"/>
        <v>9</v>
      </c>
      <c r="AJ207">
        <f t="shared" si="21"/>
        <v>0</v>
      </c>
      <c r="AL207">
        <f t="shared" si="22"/>
        <v>0</v>
      </c>
      <c r="AM207">
        <f t="shared" si="23"/>
        <v>51</v>
      </c>
      <c r="AN207">
        <f t="shared" si="24"/>
        <v>18</v>
      </c>
      <c r="AO207">
        <f t="shared" si="25"/>
        <v>0</v>
      </c>
      <c r="AP207">
        <f t="shared" si="26"/>
        <v>69</v>
      </c>
    </row>
    <row r="208" spans="1:42" ht="15.75" hidden="1" customHeight="1" x14ac:dyDescent="0.3">
      <c r="A208" s="16"/>
      <c r="B208" s="55">
        <v>2</v>
      </c>
      <c r="C208" s="56" t="s">
        <v>226</v>
      </c>
      <c r="D208" s="55">
        <v>5</v>
      </c>
      <c r="E208" s="55" t="s">
        <v>21</v>
      </c>
      <c r="F208" s="18" t="s">
        <v>21</v>
      </c>
      <c r="G208" s="18" t="s">
        <v>21</v>
      </c>
      <c r="H208" s="18" t="s">
        <v>21</v>
      </c>
      <c r="I208" s="18" t="s">
        <v>20</v>
      </c>
      <c r="J208" s="18" t="s">
        <v>21</v>
      </c>
      <c r="K208" s="18" t="s">
        <v>21</v>
      </c>
      <c r="L208" s="18" t="s">
        <v>21</v>
      </c>
      <c r="M208" s="18" t="s">
        <v>20</v>
      </c>
      <c r="N208" s="18" t="s">
        <v>21</v>
      </c>
      <c r="O208" s="18" t="s">
        <v>21</v>
      </c>
      <c r="P208" s="18" t="s">
        <v>21</v>
      </c>
      <c r="Q208" s="18" t="s">
        <v>23</v>
      </c>
      <c r="R208" s="18" t="s">
        <v>23</v>
      </c>
      <c r="S208" s="18" t="s">
        <v>21</v>
      </c>
      <c r="T208" s="18" t="s">
        <v>21</v>
      </c>
      <c r="U208" s="18" t="s">
        <v>21</v>
      </c>
      <c r="V208" s="37" t="s">
        <v>20</v>
      </c>
      <c r="W208" s="37" t="s">
        <v>21</v>
      </c>
      <c r="X208" s="37" t="s">
        <v>20</v>
      </c>
      <c r="Y208" s="18" t="s">
        <v>21</v>
      </c>
      <c r="Z208" s="18" t="s">
        <v>20</v>
      </c>
      <c r="AA208" s="20" t="s">
        <v>21</v>
      </c>
      <c r="AB208" s="20" t="s">
        <v>21</v>
      </c>
      <c r="AC208" s="20" t="s">
        <v>23</v>
      </c>
      <c r="AD208" s="18" t="s">
        <v>23</v>
      </c>
      <c r="AE208" s="18" t="s">
        <v>21</v>
      </c>
      <c r="AG208">
        <f t="shared" si="18"/>
        <v>0</v>
      </c>
      <c r="AH208">
        <f t="shared" si="19"/>
        <v>5</v>
      </c>
      <c r="AI208">
        <f t="shared" si="20"/>
        <v>17</v>
      </c>
      <c r="AJ208">
        <f t="shared" si="21"/>
        <v>4</v>
      </c>
      <c r="AL208">
        <f t="shared" si="22"/>
        <v>0</v>
      </c>
      <c r="AM208">
        <f t="shared" si="23"/>
        <v>15</v>
      </c>
      <c r="AN208">
        <f t="shared" si="24"/>
        <v>34</v>
      </c>
      <c r="AO208">
        <f t="shared" si="25"/>
        <v>4</v>
      </c>
      <c r="AP208">
        <f t="shared" si="26"/>
        <v>53</v>
      </c>
    </row>
    <row r="209" spans="1:42" ht="15.75" hidden="1" customHeight="1" x14ac:dyDescent="0.3">
      <c r="A209" s="16"/>
      <c r="B209" s="55">
        <v>3</v>
      </c>
      <c r="C209" s="56" t="s">
        <v>227</v>
      </c>
      <c r="D209" s="55">
        <v>5</v>
      </c>
      <c r="E209" s="55" t="s">
        <v>21</v>
      </c>
      <c r="F209" s="18" t="s">
        <v>21</v>
      </c>
      <c r="G209" s="18" t="s">
        <v>23</v>
      </c>
      <c r="H209" s="18" t="s">
        <v>21</v>
      </c>
      <c r="I209" s="18" t="s">
        <v>20</v>
      </c>
      <c r="J209" s="18" t="s">
        <v>21</v>
      </c>
      <c r="K209" s="18" t="s">
        <v>21</v>
      </c>
      <c r="L209" s="18" t="s">
        <v>20</v>
      </c>
      <c r="M209" s="18" t="s">
        <v>20</v>
      </c>
      <c r="N209" s="18" t="s">
        <v>21</v>
      </c>
      <c r="O209" s="18" t="s">
        <v>21</v>
      </c>
      <c r="P209" s="18" t="s">
        <v>21</v>
      </c>
      <c r="Q209" s="18" t="s">
        <v>23</v>
      </c>
      <c r="R209" s="18" t="s">
        <v>21</v>
      </c>
      <c r="S209" s="18" t="s">
        <v>21</v>
      </c>
      <c r="T209" s="18" t="s">
        <v>21</v>
      </c>
      <c r="U209" s="18" t="s">
        <v>20</v>
      </c>
      <c r="V209" s="37" t="s">
        <v>20</v>
      </c>
      <c r="W209" s="37" t="s">
        <v>21</v>
      </c>
      <c r="X209" s="37" t="s">
        <v>20</v>
      </c>
      <c r="Y209" s="18" t="s">
        <v>21</v>
      </c>
      <c r="Z209" s="18" t="s">
        <v>20</v>
      </c>
      <c r="AA209" s="20" t="s">
        <v>21</v>
      </c>
      <c r="AB209" s="20" t="s">
        <v>21</v>
      </c>
      <c r="AC209" s="20" t="s">
        <v>21</v>
      </c>
      <c r="AD209" s="18" t="s">
        <v>21</v>
      </c>
      <c r="AE209" s="18" t="s">
        <v>21</v>
      </c>
      <c r="AG209">
        <f t="shared" si="18"/>
        <v>0</v>
      </c>
      <c r="AH209">
        <f t="shared" si="19"/>
        <v>7</v>
      </c>
      <c r="AI209">
        <f t="shared" si="20"/>
        <v>17</v>
      </c>
      <c r="AJ209">
        <f t="shared" si="21"/>
        <v>2</v>
      </c>
      <c r="AL209">
        <f t="shared" si="22"/>
        <v>0</v>
      </c>
      <c r="AM209">
        <f t="shared" si="23"/>
        <v>21</v>
      </c>
      <c r="AN209">
        <f t="shared" si="24"/>
        <v>34</v>
      </c>
      <c r="AO209">
        <f t="shared" si="25"/>
        <v>2</v>
      </c>
      <c r="AP209">
        <f t="shared" si="26"/>
        <v>57</v>
      </c>
    </row>
    <row r="210" spans="1:42" ht="15.75" hidden="1" customHeight="1" x14ac:dyDescent="0.3">
      <c r="A210" s="16"/>
      <c r="B210" s="55">
        <v>4</v>
      </c>
      <c r="C210" s="56" t="s">
        <v>228</v>
      </c>
      <c r="D210" s="55">
        <v>5</v>
      </c>
      <c r="E210" s="55" t="s">
        <v>21</v>
      </c>
      <c r="F210" s="18" t="s">
        <v>20</v>
      </c>
      <c r="G210" s="18" t="s">
        <v>20</v>
      </c>
      <c r="H210" s="18" t="s">
        <v>20</v>
      </c>
      <c r="I210" s="18" t="s">
        <v>20</v>
      </c>
      <c r="J210" s="18" t="s">
        <v>21</v>
      </c>
      <c r="K210" s="18" t="s">
        <v>20</v>
      </c>
      <c r="L210" s="18" t="s">
        <v>20</v>
      </c>
      <c r="M210" s="18" t="s">
        <v>20</v>
      </c>
      <c r="N210" s="18" t="s">
        <v>20</v>
      </c>
      <c r="O210" s="18" t="s">
        <v>20</v>
      </c>
      <c r="P210" s="18" t="s">
        <v>21</v>
      </c>
      <c r="Q210" s="18" t="s">
        <v>21</v>
      </c>
      <c r="R210" s="18" t="s">
        <v>21</v>
      </c>
      <c r="S210" s="18" t="s">
        <v>20</v>
      </c>
      <c r="T210" s="18" t="s">
        <v>21</v>
      </c>
      <c r="U210" s="18" t="s">
        <v>20</v>
      </c>
      <c r="V210" s="37" t="s">
        <v>20</v>
      </c>
      <c r="W210" s="37" t="s">
        <v>20</v>
      </c>
      <c r="X210" s="37" t="s">
        <v>20</v>
      </c>
      <c r="Y210" s="18" t="s">
        <v>20</v>
      </c>
      <c r="Z210" s="18" t="s">
        <v>20</v>
      </c>
      <c r="AA210" s="20" t="s">
        <v>20</v>
      </c>
      <c r="AB210" s="20" t="s">
        <v>20</v>
      </c>
      <c r="AC210" s="20" t="s">
        <v>20</v>
      </c>
      <c r="AD210" s="18" t="s">
        <v>20</v>
      </c>
      <c r="AE210" s="18" t="s">
        <v>21</v>
      </c>
      <c r="AG210">
        <f t="shared" si="18"/>
        <v>0</v>
      </c>
      <c r="AH210">
        <f t="shared" si="19"/>
        <v>20</v>
      </c>
      <c r="AI210">
        <f t="shared" si="20"/>
        <v>6</v>
      </c>
      <c r="AJ210">
        <f t="shared" si="21"/>
        <v>0</v>
      </c>
      <c r="AL210">
        <f t="shared" si="22"/>
        <v>0</v>
      </c>
      <c r="AM210">
        <f t="shared" si="23"/>
        <v>60</v>
      </c>
      <c r="AN210">
        <f t="shared" si="24"/>
        <v>12</v>
      </c>
      <c r="AO210">
        <f t="shared" si="25"/>
        <v>0</v>
      </c>
      <c r="AP210">
        <f t="shared" si="26"/>
        <v>72</v>
      </c>
    </row>
    <row r="211" spans="1:42" ht="15.75" hidden="1" customHeight="1" x14ac:dyDescent="0.3">
      <c r="A211" s="16"/>
      <c r="B211" s="55">
        <v>5</v>
      </c>
      <c r="C211" s="56" t="s">
        <v>229</v>
      </c>
      <c r="D211" s="55">
        <v>5</v>
      </c>
      <c r="E211" s="55" t="s">
        <v>21</v>
      </c>
      <c r="F211" s="18" t="s">
        <v>20</v>
      </c>
      <c r="G211" s="18" t="s">
        <v>21</v>
      </c>
      <c r="H211" s="18" t="s">
        <v>20</v>
      </c>
      <c r="I211" s="18" t="s">
        <v>20</v>
      </c>
      <c r="J211" s="18" t="s">
        <v>21</v>
      </c>
      <c r="K211" s="18" t="s">
        <v>21</v>
      </c>
      <c r="L211" s="18" t="s">
        <v>20</v>
      </c>
      <c r="M211" s="18" t="s">
        <v>20</v>
      </c>
      <c r="N211" s="18" t="s">
        <v>20</v>
      </c>
      <c r="O211" s="18" t="s">
        <v>20</v>
      </c>
      <c r="P211" s="18" t="s">
        <v>21</v>
      </c>
      <c r="Q211" s="18" t="s">
        <v>20</v>
      </c>
      <c r="R211" s="18" t="s">
        <v>21</v>
      </c>
      <c r="S211" s="18" t="s">
        <v>20</v>
      </c>
      <c r="T211" s="18" t="s">
        <v>21</v>
      </c>
      <c r="U211" s="18" t="s">
        <v>20</v>
      </c>
      <c r="V211" s="37" t="s">
        <v>20</v>
      </c>
      <c r="W211" s="37" t="s">
        <v>21</v>
      </c>
      <c r="X211" s="37" t="s">
        <v>20</v>
      </c>
      <c r="Y211" s="18" t="s">
        <v>21</v>
      </c>
      <c r="Z211" s="18" t="s">
        <v>20</v>
      </c>
      <c r="AA211" s="20" t="s">
        <v>20</v>
      </c>
      <c r="AB211" s="20" t="s">
        <v>20</v>
      </c>
      <c r="AC211" s="20" t="s">
        <v>20</v>
      </c>
      <c r="AD211" s="18" t="s">
        <v>20</v>
      </c>
      <c r="AE211" s="18" t="s">
        <v>21</v>
      </c>
      <c r="AG211">
        <f t="shared" si="18"/>
        <v>0</v>
      </c>
      <c r="AH211">
        <f t="shared" si="19"/>
        <v>17</v>
      </c>
      <c r="AI211">
        <f t="shared" si="20"/>
        <v>9</v>
      </c>
      <c r="AJ211">
        <f t="shared" si="21"/>
        <v>0</v>
      </c>
      <c r="AL211">
        <f t="shared" si="22"/>
        <v>0</v>
      </c>
      <c r="AM211">
        <f t="shared" si="23"/>
        <v>51</v>
      </c>
      <c r="AN211">
        <f t="shared" si="24"/>
        <v>18</v>
      </c>
      <c r="AO211">
        <f t="shared" si="25"/>
        <v>0</v>
      </c>
      <c r="AP211">
        <f t="shared" si="26"/>
        <v>69</v>
      </c>
    </row>
    <row r="212" spans="1:42" ht="15.75" hidden="1" customHeight="1" x14ac:dyDescent="0.3">
      <c r="A212" s="16"/>
      <c r="B212" s="55">
        <v>6</v>
      </c>
      <c r="C212" s="56" t="s">
        <v>230</v>
      </c>
      <c r="D212" s="55">
        <v>5</v>
      </c>
      <c r="E212" s="55" t="s">
        <v>21</v>
      </c>
      <c r="F212" s="18" t="s">
        <v>21</v>
      </c>
      <c r="G212" s="18" t="s">
        <v>21</v>
      </c>
      <c r="H212" s="18" t="s">
        <v>21</v>
      </c>
      <c r="I212" s="18" t="s">
        <v>20</v>
      </c>
      <c r="J212" s="18" t="s">
        <v>21</v>
      </c>
      <c r="K212" s="18" t="s">
        <v>21</v>
      </c>
      <c r="L212" s="18" t="s">
        <v>21</v>
      </c>
      <c r="M212" s="18" t="s">
        <v>20</v>
      </c>
      <c r="N212" s="18" t="s">
        <v>20</v>
      </c>
      <c r="O212" s="18" t="s">
        <v>20</v>
      </c>
      <c r="P212" s="18" t="s">
        <v>21</v>
      </c>
      <c r="Q212" s="18" t="s">
        <v>23</v>
      </c>
      <c r="R212" s="18" t="s">
        <v>23</v>
      </c>
      <c r="S212" s="18" t="s">
        <v>21</v>
      </c>
      <c r="T212" s="18" t="s">
        <v>21</v>
      </c>
      <c r="U212" s="18" t="s">
        <v>20</v>
      </c>
      <c r="V212" s="37" t="s">
        <v>20</v>
      </c>
      <c r="W212" s="37" t="s">
        <v>20</v>
      </c>
      <c r="X212" s="37" t="s">
        <v>20</v>
      </c>
      <c r="Y212" s="18" t="s">
        <v>21</v>
      </c>
      <c r="Z212" s="18" t="s">
        <v>20</v>
      </c>
      <c r="AA212" s="20" t="s">
        <v>20</v>
      </c>
      <c r="AB212" s="20" t="s">
        <v>20</v>
      </c>
      <c r="AC212" s="20" t="s">
        <v>20</v>
      </c>
      <c r="AD212" s="29" t="s">
        <v>23</v>
      </c>
      <c r="AE212" s="29" t="s">
        <v>21</v>
      </c>
      <c r="AG212">
        <f t="shared" si="18"/>
        <v>0</v>
      </c>
      <c r="AH212">
        <f t="shared" si="19"/>
        <v>12</v>
      </c>
      <c r="AI212">
        <f t="shared" si="20"/>
        <v>11</v>
      </c>
      <c r="AJ212">
        <f t="shared" si="21"/>
        <v>3</v>
      </c>
      <c r="AL212">
        <f t="shared" si="22"/>
        <v>0</v>
      </c>
      <c r="AM212">
        <f t="shared" si="23"/>
        <v>36</v>
      </c>
      <c r="AN212">
        <f t="shared" si="24"/>
        <v>22</v>
      </c>
      <c r="AO212">
        <f t="shared" si="25"/>
        <v>3</v>
      </c>
      <c r="AP212">
        <f t="shared" si="26"/>
        <v>61</v>
      </c>
    </row>
    <row r="213" spans="1:42" ht="15.75" hidden="1" customHeight="1" x14ac:dyDescent="0.3">
      <c r="A213" s="16"/>
      <c r="B213" s="55">
        <v>7</v>
      </c>
      <c r="C213" s="56" t="s">
        <v>231</v>
      </c>
      <c r="D213" s="55">
        <v>5</v>
      </c>
      <c r="E213" s="55" t="s">
        <v>21</v>
      </c>
      <c r="F213" s="18" t="s">
        <v>21</v>
      </c>
      <c r="G213" s="18" t="s">
        <v>21</v>
      </c>
      <c r="H213" s="18" t="s">
        <v>21</v>
      </c>
      <c r="I213" s="18" t="s">
        <v>21</v>
      </c>
      <c r="J213" s="18" t="s">
        <v>21</v>
      </c>
      <c r="K213" s="18" t="s">
        <v>21</v>
      </c>
      <c r="L213" s="18" t="s">
        <v>21</v>
      </c>
      <c r="M213" s="18" t="s">
        <v>20</v>
      </c>
      <c r="N213" s="18" t="s">
        <v>21</v>
      </c>
      <c r="O213" s="18" t="s">
        <v>20</v>
      </c>
      <c r="P213" s="18" t="s">
        <v>21</v>
      </c>
      <c r="Q213" s="18" t="s">
        <v>23</v>
      </c>
      <c r="R213" s="18" t="s">
        <v>21</v>
      </c>
      <c r="S213" s="18" t="s">
        <v>21</v>
      </c>
      <c r="T213" s="18" t="s">
        <v>21</v>
      </c>
      <c r="U213" s="18" t="s">
        <v>21</v>
      </c>
      <c r="V213" s="37" t="s">
        <v>21</v>
      </c>
      <c r="W213" s="37" t="s">
        <v>21</v>
      </c>
      <c r="X213" s="37" t="s">
        <v>21</v>
      </c>
      <c r="Y213" s="18" t="s">
        <v>20</v>
      </c>
      <c r="Z213" s="18" t="s">
        <v>20</v>
      </c>
      <c r="AA213" s="20" t="s">
        <v>21</v>
      </c>
      <c r="AB213" s="20" t="s">
        <v>21</v>
      </c>
      <c r="AC213" s="20" t="s">
        <v>21</v>
      </c>
      <c r="AD213" s="29" t="s">
        <v>23</v>
      </c>
      <c r="AE213" s="29" t="s">
        <v>21</v>
      </c>
      <c r="AG213">
        <f t="shared" si="18"/>
        <v>0</v>
      </c>
      <c r="AH213">
        <f t="shared" si="19"/>
        <v>4</v>
      </c>
      <c r="AI213">
        <f t="shared" si="20"/>
        <v>20</v>
      </c>
      <c r="AJ213">
        <f t="shared" si="21"/>
        <v>2</v>
      </c>
      <c r="AL213">
        <f t="shared" si="22"/>
        <v>0</v>
      </c>
      <c r="AM213">
        <f t="shared" si="23"/>
        <v>12</v>
      </c>
      <c r="AN213">
        <f t="shared" si="24"/>
        <v>40</v>
      </c>
      <c r="AO213">
        <f t="shared" si="25"/>
        <v>2</v>
      </c>
      <c r="AP213">
        <f t="shared" si="26"/>
        <v>54</v>
      </c>
    </row>
    <row r="214" spans="1:42" ht="15.75" hidden="1" customHeight="1" x14ac:dyDescent="0.3">
      <c r="A214" s="16"/>
      <c r="B214" s="55">
        <v>8</v>
      </c>
      <c r="C214" s="56" t="s">
        <v>232</v>
      </c>
      <c r="D214" s="55">
        <v>5</v>
      </c>
      <c r="E214" s="55" t="s">
        <v>21</v>
      </c>
      <c r="F214" s="18" t="s">
        <v>21</v>
      </c>
      <c r="G214" s="18" t="s">
        <v>23</v>
      </c>
      <c r="H214" s="18" t="s">
        <v>21</v>
      </c>
      <c r="I214" s="18" t="s">
        <v>20</v>
      </c>
      <c r="J214" s="18" t="s">
        <v>23</v>
      </c>
      <c r="K214" s="18" t="s">
        <v>20</v>
      </c>
      <c r="L214" s="18" t="s">
        <v>20</v>
      </c>
      <c r="M214" s="18" t="s">
        <v>20</v>
      </c>
      <c r="N214" s="18" t="s">
        <v>20</v>
      </c>
      <c r="O214" s="18" t="s">
        <v>20</v>
      </c>
      <c r="P214" s="18" t="s">
        <v>23</v>
      </c>
      <c r="Q214" s="18" t="s">
        <v>21</v>
      </c>
      <c r="R214" s="18" t="s">
        <v>21</v>
      </c>
      <c r="S214" s="18" t="s">
        <v>23</v>
      </c>
      <c r="T214" s="18" t="s">
        <v>21</v>
      </c>
      <c r="U214" s="18" t="s">
        <v>20</v>
      </c>
      <c r="V214" s="37" t="s">
        <v>20</v>
      </c>
      <c r="W214" s="37" t="s">
        <v>21</v>
      </c>
      <c r="X214" s="37" t="s">
        <v>20</v>
      </c>
      <c r="Y214" s="18" t="s">
        <v>20</v>
      </c>
      <c r="Z214" s="18" t="s">
        <v>20</v>
      </c>
      <c r="AA214" s="20" t="s">
        <v>20</v>
      </c>
      <c r="AB214" s="20" t="s">
        <v>20</v>
      </c>
      <c r="AC214" s="20" t="s">
        <v>20</v>
      </c>
      <c r="AD214" s="29" t="s">
        <v>23</v>
      </c>
      <c r="AE214" s="29" t="s">
        <v>21</v>
      </c>
      <c r="AG214">
        <f t="shared" si="18"/>
        <v>0</v>
      </c>
      <c r="AH214">
        <f t="shared" si="19"/>
        <v>14</v>
      </c>
      <c r="AI214">
        <f t="shared" si="20"/>
        <v>7</v>
      </c>
      <c r="AJ214">
        <f t="shared" si="21"/>
        <v>5</v>
      </c>
      <c r="AL214">
        <f t="shared" si="22"/>
        <v>0</v>
      </c>
      <c r="AM214">
        <f t="shared" si="23"/>
        <v>42</v>
      </c>
      <c r="AN214">
        <f t="shared" si="24"/>
        <v>14</v>
      </c>
      <c r="AO214">
        <f t="shared" si="25"/>
        <v>5</v>
      </c>
      <c r="AP214">
        <f t="shared" si="26"/>
        <v>61</v>
      </c>
    </row>
    <row r="215" spans="1:42" ht="15.75" hidden="1" customHeight="1" x14ac:dyDescent="0.3">
      <c r="A215" s="16"/>
      <c r="B215" s="55">
        <v>9</v>
      </c>
      <c r="C215" s="56" t="s">
        <v>233</v>
      </c>
      <c r="D215" s="55">
        <v>5</v>
      </c>
      <c r="E215" s="55" t="s">
        <v>21</v>
      </c>
      <c r="F215" s="18" t="s">
        <v>20</v>
      </c>
      <c r="G215" s="18" t="s">
        <v>20</v>
      </c>
      <c r="H215" s="18" t="s">
        <v>20</v>
      </c>
      <c r="I215" s="18" t="s">
        <v>20</v>
      </c>
      <c r="J215" s="18" t="s">
        <v>21</v>
      </c>
      <c r="K215" s="18" t="s">
        <v>21</v>
      </c>
      <c r="L215" s="18" t="s">
        <v>21</v>
      </c>
      <c r="M215" s="18" t="s">
        <v>20</v>
      </c>
      <c r="N215" s="18" t="s">
        <v>20</v>
      </c>
      <c r="O215" s="18" t="s">
        <v>20</v>
      </c>
      <c r="P215" s="18" t="s">
        <v>21</v>
      </c>
      <c r="Q215" s="18" t="s">
        <v>21</v>
      </c>
      <c r="R215" s="18" t="s">
        <v>20</v>
      </c>
      <c r="S215" s="18" t="s">
        <v>20</v>
      </c>
      <c r="T215" s="18" t="s">
        <v>21</v>
      </c>
      <c r="U215" s="18" t="s">
        <v>20</v>
      </c>
      <c r="V215" s="37" t="s">
        <v>20</v>
      </c>
      <c r="W215" s="37" t="s">
        <v>20</v>
      </c>
      <c r="X215" s="37" t="s">
        <v>20</v>
      </c>
      <c r="Y215" s="18" t="s">
        <v>20</v>
      </c>
      <c r="Z215" s="18" t="s">
        <v>20</v>
      </c>
      <c r="AA215" s="20" t="s">
        <v>20</v>
      </c>
      <c r="AB215" s="20" t="s">
        <v>20</v>
      </c>
      <c r="AC215" s="20" t="s">
        <v>20</v>
      </c>
      <c r="AD215" s="29" t="s">
        <v>20</v>
      </c>
      <c r="AE215" s="29" t="s">
        <v>21</v>
      </c>
      <c r="AG215">
        <f t="shared" si="18"/>
        <v>0</v>
      </c>
      <c r="AH215">
        <f t="shared" si="19"/>
        <v>19</v>
      </c>
      <c r="AI215">
        <f t="shared" si="20"/>
        <v>7</v>
      </c>
      <c r="AJ215">
        <f t="shared" si="21"/>
        <v>0</v>
      </c>
      <c r="AL215">
        <f t="shared" si="22"/>
        <v>0</v>
      </c>
      <c r="AM215">
        <f t="shared" si="23"/>
        <v>57</v>
      </c>
      <c r="AN215">
        <f t="shared" si="24"/>
        <v>14</v>
      </c>
      <c r="AO215">
        <f t="shared" si="25"/>
        <v>0</v>
      </c>
      <c r="AP215">
        <f t="shared" si="26"/>
        <v>71</v>
      </c>
    </row>
    <row r="216" spans="1:42" ht="15.75" hidden="1" customHeight="1" x14ac:dyDescent="0.3">
      <c r="A216" s="16"/>
      <c r="B216" s="55">
        <v>10</v>
      </c>
      <c r="C216" s="56" t="s">
        <v>234</v>
      </c>
      <c r="D216" s="55">
        <v>5</v>
      </c>
      <c r="E216" s="55" t="s">
        <v>21</v>
      </c>
      <c r="F216" s="18" t="s">
        <v>20</v>
      </c>
      <c r="G216" s="18" t="s">
        <v>20</v>
      </c>
      <c r="H216" s="18" t="s">
        <v>21</v>
      </c>
      <c r="I216" s="18" t="s">
        <v>20</v>
      </c>
      <c r="J216" s="18" t="s">
        <v>20</v>
      </c>
      <c r="K216" s="18" t="s">
        <v>21</v>
      </c>
      <c r="L216" s="18" t="s">
        <v>20</v>
      </c>
      <c r="M216" s="18" t="s">
        <v>20</v>
      </c>
      <c r="N216" s="18" t="s">
        <v>20</v>
      </c>
      <c r="O216" s="18" t="s">
        <v>20</v>
      </c>
      <c r="P216" s="18" t="s">
        <v>21</v>
      </c>
      <c r="Q216" s="18" t="s">
        <v>21</v>
      </c>
      <c r="R216" s="18" t="s">
        <v>21</v>
      </c>
      <c r="S216" s="18" t="s">
        <v>20</v>
      </c>
      <c r="T216" s="18" t="s">
        <v>21</v>
      </c>
      <c r="U216" s="18" t="s">
        <v>20</v>
      </c>
      <c r="V216" s="37" t="s">
        <v>20</v>
      </c>
      <c r="W216" s="37" t="s">
        <v>20</v>
      </c>
      <c r="X216" s="37" t="s">
        <v>20</v>
      </c>
      <c r="Y216" s="18" t="s">
        <v>20</v>
      </c>
      <c r="Z216" s="18" t="s">
        <v>20</v>
      </c>
      <c r="AA216" s="20" t="s">
        <v>20</v>
      </c>
      <c r="AB216" s="20" t="s">
        <v>20</v>
      </c>
      <c r="AC216" s="20" t="s">
        <v>20</v>
      </c>
      <c r="AD216" s="29" t="s">
        <v>20</v>
      </c>
      <c r="AE216" s="29" t="s">
        <v>21</v>
      </c>
      <c r="AG216">
        <f t="shared" ref="AG216:AG249" si="27">+COUNTIF(F216:AE216,"AD")</f>
        <v>0</v>
      </c>
      <c r="AH216">
        <f t="shared" ref="AH216:AH249" si="28">+COUNTIF(F216:AE216,"A")</f>
        <v>19</v>
      </c>
      <c r="AI216">
        <f t="shared" ref="AI216:AI249" si="29">+COUNTIF(F216:AE216,"b")</f>
        <v>7</v>
      </c>
      <c r="AJ216">
        <f t="shared" ref="AJ216:AJ249" si="30">+COUNTIF(F216:AE216,"c")</f>
        <v>0</v>
      </c>
      <c r="AL216">
        <f t="shared" ref="AL216:AL249" si="31">+$AG$5*AG216</f>
        <v>0</v>
      </c>
      <c r="AM216">
        <f t="shared" ref="AM216:AM249" si="32">+$AH$5*AH216</f>
        <v>57</v>
      </c>
      <c r="AN216">
        <f t="shared" ref="AN216:AN249" si="33">+$AI$5*AI216</f>
        <v>14</v>
      </c>
      <c r="AO216">
        <f t="shared" ref="AO216:AO249" si="34">+$AJ$5*AJ216</f>
        <v>0</v>
      </c>
      <c r="AP216">
        <f t="shared" ref="AP216:AP232" si="35">+SUM(AL216:AO216)</f>
        <v>71</v>
      </c>
    </row>
    <row r="217" spans="1:42" ht="15.75" hidden="1" customHeight="1" x14ac:dyDescent="0.3">
      <c r="A217" s="16"/>
      <c r="B217" s="55">
        <v>11</v>
      </c>
      <c r="C217" s="56" t="s">
        <v>235</v>
      </c>
      <c r="D217" s="55">
        <v>5</v>
      </c>
      <c r="E217" s="55" t="s">
        <v>21</v>
      </c>
      <c r="F217" s="18" t="s">
        <v>21</v>
      </c>
      <c r="G217" s="18" t="s">
        <v>21</v>
      </c>
      <c r="H217" s="18" t="s">
        <v>21</v>
      </c>
      <c r="I217" s="18" t="s">
        <v>21</v>
      </c>
      <c r="J217" s="18" t="s">
        <v>21</v>
      </c>
      <c r="K217" s="18" t="s">
        <v>21</v>
      </c>
      <c r="L217" s="18" t="s">
        <v>20</v>
      </c>
      <c r="M217" s="18" t="s">
        <v>20</v>
      </c>
      <c r="N217" s="18" t="s">
        <v>20</v>
      </c>
      <c r="O217" s="18" t="s">
        <v>20</v>
      </c>
      <c r="P217" s="18" t="s">
        <v>21</v>
      </c>
      <c r="Q217" s="18" t="s">
        <v>21</v>
      </c>
      <c r="R217" s="18" t="s">
        <v>21</v>
      </c>
      <c r="S217" s="18" t="s">
        <v>20</v>
      </c>
      <c r="T217" s="18" t="s">
        <v>20</v>
      </c>
      <c r="U217" s="18" t="s">
        <v>21</v>
      </c>
      <c r="V217" s="37" t="s">
        <v>20</v>
      </c>
      <c r="W217" s="37" t="s">
        <v>21</v>
      </c>
      <c r="X217" s="37" t="s">
        <v>20</v>
      </c>
      <c r="Y217" s="18" t="s">
        <v>20</v>
      </c>
      <c r="Z217" s="18" t="s">
        <v>21</v>
      </c>
      <c r="AA217" s="20" t="s">
        <v>20</v>
      </c>
      <c r="AB217" s="20" t="s">
        <v>20</v>
      </c>
      <c r="AC217" s="20" t="s">
        <v>20</v>
      </c>
      <c r="AD217" s="29" t="s">
        <v>20</v>
      </c>
      <c r="AE217" s="29" t="s">
        <v>21</v>
      </c>
      <c r="AG217">
        <f t="shared" si="27"/>
        <v>0</v>
      </c>
      <c r="AH217">
        <f t="shared" si="28"/>
        <v>13</v>
      </c>
      <c r="AI217">
        <f t="shared" si="29"/>
        <v>13</v>
      </c>
      <c r="AJ217">
        <f t="shared" si="30"/>
        <v>0</v>
      </c>
      <c r="AL217">
        <f t="shared" si="31"/>
        <v>0</v>
      </c>
      <c r="AM217">
        <f t="shared" si="32"/>
        <v>39</v>
      </c>
      <c r="AN217">
        <f t="shared" si="33"/>
        <v>26</v>
      </c>
      <c r="AO217">
        <f t="shared" si="34"/>
        <v>0</v>
      </c>
      <c r="AP217">
        <f t="shared" si="35"/>
        <v>65</v>
      </c>
    </row>
    <row r="218" spans="1:42" ht="15.75" hidden="1" customHeight="1" x14ac:dyDescent="0.3">
      <c r="A218" s="16"/>
      <c r="B218" s="55">
        <v>12</v>
      </c>
      <c r="C218" s="56" t="s">
        <v>236</v>
      </c>
      <c r="D218" s="55">
        <v>5</v>
      </c>
      <c r="E218" s="55" t="s">
        <v>21</v>
      </c>
      <c r="F218" s="18" t="s">
        <v>21</v>
      </c>
      <c r="G218" s="18" t="s">
        <v>21</v>
      </c>
      <c r="H218" s="18" t="s">
        <v>21</v>
      </c>
      <c r="I218" s="18" t="s">
        <v>20</v>
      </c>
      <c r="J218" s="18" t="s">
        <v>21</v>
      </c>
      <c r="K218" s="18" t="s">
        <v>21</v>
      </c>
      <c r="L218" s="18" t="s">
        <v>20</v>
      </c>
      <c r="M218" s="18" t="s">
        <v>20</v>
      </c>
      <c r="N218" s="18" t="s">
        <v>20</v>
      </c>
      <c r="O218" s="18" t="s">
        <v>20</v>
      </c>
      <c r="P218" s="18" t="s">
        <v>23</v>
      </c>
      <c r="Q218" s="18" t="s">
        <v>23</v>
      </c>
      <c r="R218" s="18" t="s">
        <v>23</v>
      </c>
      <c r="S218" s="18" t="s">
        <v>21</v>
      </c>
      <c r="T218" s="18" t="s">
        <v>21</v>
      </c>
      <c r="U218" s="18" t="s">
        <v>20</v>
      </c>
      <c r="V218" s="37" t="s">
        <v>20</v>
      </c>
      <c r="W218" s="37" t="s">
        <v>20</v>
      </c>
      <c r="X218" s="37" t="s">
        <v>20</v>
      </c>
      <c r="Y218" s="18" t="s">
        <v>20</v>
      </c>
      <c r="Z218" s="18" t="s">
        <v>20</v>
      </c>
      <c r="AA218" s="20" t="s">
        <v>20</v>
      </c>
      <c r="AB218" s="20" t="s">
        <v>20</v>
      </c>
      <c r="AC218" s="20" t="s">
        <v>20</v>
      </c>
      <c r="AD218" s="29" t="s">
        <v>23</v>
      </c>
      <c r="AE218" s="29" t="s">
        <v>21</v>
      </c>
      <c r="AG218">
        <f t="shared" si="27"/>
        <v>0</v>
      </c>
      <c r="AH218">
        <f t="shared" si="28"/>
        <v>14</v>
      </c>
      <c r="AI218">
        <f t="shared" si="29"/>
        <v>8</v>
      </c>
      <c r="AJ218">
        <f t="shared" si="30"/>
        <v>4</v>
      </c>
      <c r="AL218">
        <f t="shared" si="31"/>
        <v>0</v>
      </c>
      <c r="AM218">
        <f t="shared" si="32"/>
        <v>42</v>
      </c>
      <c r="AN218">
        <f t="shared" si="33"/>
        <v>16</v>
      </c>
      <c r="AO218">
        <f t="shared" si="34"/>
        <v>4</v>
      </c>
      <c r="AP218">
        <f t="shared" si="35"/>
        <v>62</v>
      </c>
    </row>
    <row r="219" spans="1:42" ht="15.75" hidden="1" customHeight="1" x14ac:dyDescent="0.3">
      <c r="A219" s="16"/>
      <c r="B219" s="55">
        <v>13</v>
      </c>
      <c r="C219" s="56" t="s">
        <v>237</v>
      </c>
      <c r="D219" s="55">
        <v>5</v>
      </c>
      <c r="E219" s="55" t="s">
        <v>21</v>
      </c>
      <c r="F219" s="18" t="s">
        <v>21</v>
      </c>
      <c r="G219" s="18" t="s">
        <v>21</v>
      </c>
      <c r="H219" s="18" t="s">
        <v>21</v>
      </c>
      <c r="I219" s="18" t="s">
        <v>21</v>
      </c>
      <c r="J219" s="18" t="s">
        <v>20</v>
      </c>
      <c r="K219" s="18" t="s">
        <v>20</v>
      </c>
      <c r="L219" s="18" t="s">
        <v>20</v>
      </c>
      <c r="M219" s="18" t="s">
        <v>20</v>
      </c>
      <c r="N219" s="18" t="s">
        <v>21</v>
      </c>
      <c r="O219" s="18" t="s">
        <v>20</v>
      </c>
      <c r="P219" s="18" t="s">
        <v>23</v>
      </c>
      <c r="Q219" s="18" t="s">
        <v>21</v>
      </c>
      <c r="R219" s="18" t="s">
        <v>21</v>
      </c>
      <c r="S219" s="18" t="s">
        <v>20</v>
      </c>
      <c r="T219" s="18" t="s">
        <v>21</v>
      </c>
      <c r="U219" s="18" t="s">
        <v>21</v>
      </c>
      <c r="V219" s="37" t="s">
        <v>20</v>
      </c>
      <c r="W219" s="37" t="s">
        <v>20</v>
      </c>
      <c r="X219" s="37" t="s">
        <v>20</v>
      </c>
      <c r="Y219" s="18" t="s">
        <v>20</v>
      </c>
      <c r="Z219" s="18" t="s">
        <v>20</v>
      </c>
      <c r="AA219" s="20" t="s">
        <v>21</v>
      </c>
      <c r="AB219" s="20" t="s">
        <v>20</v>
      </c>
      <c r="AC219" s="20" t="s">
        <v>21</v>
      </c>
      <c r="AD219" s="29" t="s">
        <v>21</v>
      </c>
      <c r="AE219" s="29" t="s">
        <v>21</v>
      </c>
      <c r="AG219">
        <f t="shared" si="27"/>
        <v>0</v>
      </c>
      <c r="AH219">
        <f t="shared" si="28"/>
        <v>12</v>
      </c>
      <c r="AI219">
        <f t="shared" si="29"/>
        <v>13</v>
      </c>
      <c r="AJ219">
        <f t="shared" si="30"/>
        <v>1</v>
      </c>
      <c r="AL219">
        <f t="shared" si="31"/>
        <v>0</v>
      </c>
      <c r="AM219">
        <f t="shared" si="32"/>
        <v>36</v>
      </c>
      <c r="AN219">
        <f t="shared" si="33"/>
        <v>26</v>
      </c>
      <c r="AO219">
        <f t="shared" si="34"/>
        <v>1</v>
      </c>
      <c r="AP219">
        <f t="shared" si="35"/>
        <v>63</v>
      </c>
    </row>
    <row r="220" spans="1:42" ht="15.75" hidden="1" customHeight="1" x14ac:dyDescent="0.3">
      <c r="A220" s="16"/>
      <c r="B220" s="55">
        <v>14</v>
      </c>
      <c r="C220" s="56" t="s">
        <v>238</v>
      </c>
      <c r="D220" s="55">
        <v>5</v>
      </c>
      <c r="E220" s="55" t="s">
        <v>21</v>
      </c>
      <c r="F220" s="18" t="s">
        <v>21</v>
      </c>
      <c r="G220" s="18" t="s">
        <v>21</v>
      </c>
      <c r="H220" s="18" t="s">
        <v>23</v>
      </c>
      <c r="I220" s="18" t="s">
        <v>21</v>
      </c>
      <c r="J220" s="18" t="s">
        <v>23</v>
      </c>
      <c r="K220" s="18" t="s">
        <v>21</v>
      </c>
      <c r="L220" s="18" t="s">
        <v>21</v>
      </c>
      <c r="M220" s="18" t="s">
        <v>21</v>
      </c>
      <c r="N220" s="18" t="s">
        <v>21</v>
      </c>
      <c r="O220" s="18" t="s">
        <v>20</v>
      </c>
      <c r="P220" s="18" t="s">
        <v>21</v>
      </c>
      <c r="Q220" s="18" t="s">
        <v>23</v>
      </c>
      <c r="R220" s="18" t="s">
        <v>21</v>
      </c>
      <c r="S220" s="18" t="s">
        <v>21</v>
      </c>
      <c r="T220" s="18" t="s">
        <v>21</v>
      </c>
      <c r="U220" s="18" t="s">
        <v>20</v>
      </c>
      <c r="V220" s="37" t="s">
        <v>21</v>
      </c>
      <c r="W220" s="37" t="s">
        <v>20</v>
      </c>
      <c r="X220" s="37" t="s">
        <v>20</v>
      </c>
      <c r="Y220" s="18" t="s">
        <v>20</v>
      </c>
      <c r="Z220" s="18" t="s">
        <v>21</v>
      </c>
      <c r="AA220" s="20" t="s">
        <v>23</v>
      </c>
      <c r="AB220" s="20" t="s">
        <v>23</v>
      </c>
      <c r="AC220" s="20" t="s">
        <v>21</v>
      </c>
      <c r="AD220" s="29" t="s">
        <v>20</v>
      </c>
      <c r="AE220" s="29" t="s">
        <v>21</v>
      </c>
      <c r="AG220">
        <f t="shared" si="27"/>
        <v>0</v>
      </c>
      <c r="AH220">
        <f t="shared" si="28"/>
        <v>6</v>
      </c>
      <c r="AI220">
        <f t="shared" si="29"/>
        <v>15</v>
      </c>
      <c r="AJ220">
        <f t="shared" si="30"/>
        <v>5</v>
      </c>
      <c r="AL220">
        <f t="shared" si="31"/>
        <v>0</v>
      </c>
      <c r="AM220">
        <f t="shared" si="32"/>
        <v>18</v>
      </c>
      <c r="AN220">
        <f t="shared" si="33"/>
        <v>30</v>
      </c>
      <c r="AO220">
        <f t="shared" si="34"/>
        <v>5</v>
      </c>
      <c r="AP220">
        <f t="shared" si="35"/>
        <v>53</v>
      </c>
    </row>
    <row r="221" spans="1:42" ht="15.75" hidden="1" customHeight="1" x14ac:dyDescent="0.3">
      <c r="A221" s="16"/>
      <c r="B221" s="55">
        <v>15</v>
      </c>
      <c r="C221" s="56" t="s">
        <v>239</v>
      </c>
      <c r="D221" s="55">
        <v>5</v>
      </c>
      <c r="E221" s="55" t="s">
        <v>21</v>
      </c>
      <c r="F221" s="18" t="s">
        <v>21</v>
      </c>
      <c r="G221" s="18" t="s">
        <v>23</v>
      </c>
      <c r="H221" s="18" t="s">
        <v>21</v>
      </c>
      <c r="I221" s="18" t="s">
        <v>21</v>
      </c>
      <c r="J221" s="18" t="s">
        <v>21</v>
      </c>
      <c r="K221" s="18" t="s">
        <v>20</v>
      </c>
      <c r="L221" s="18" t="s">
        <v>20</v>
      </c>
      <c r="M221" s="18" t="s">
        <v>20</v>
      </c>
      <c r="N221" s="18" t="s">
        <v>21</v>
      </c>
      <c r="O221" s="18" t="s">
        <v>20</v>
      </c>
      <c r="P221" s="18" t="s">
        <v>21</v>
      </c>
      <c r="Q221" s="18" t="s">
        <v>21</v>
      </c>
      <c r="R221" s="18" t="s">
        <v>21</v>
      </c>
      <c r="S221" s="18" t="s">
        <v>20</v>
      </c>
      <c r="T221" s="18" t="s">
        <v>20</v>
      </c>
      <c r="U221" s="18" t="s">
        <v>21</v>
      </c>
      <c r="V221" s="37" t="s">
        <v>20</v>
      </c>
      <c r="W221" s="37" t="s">
        <v>20</v>
      </c>
      <c r="X221" s="37" t="s">
        <v>20</v>
      </c>
      <c r="Y221" s="18" t="s">
        <v>21</v>
      </c>
      <c r="Z221" s="18" t="s">
        <v>21</v>
      </c>
      <c r="AA221" s="20" t="s">
        <v>21</v>
      </c>
      <c r="AB221" s="20" t="s">
        <v>21</v>
      </c>
      <c r="AC221" s="20" t="s">
        <v>21</v>
      </c>
      <c r="AD221" s="29" t="s">
        <v>20</v>
      </c>
      <c r="AE221" s="29" t="s">
        <v>21</v>
      </c>
      <c r="AG221">
        <f t="shared" si="27"/>
        <v>0</v>
      </c>
      <c r="AH221">
        <f t="shared" si="28"/>
        <v>10</v>
      </c>
      <c r="AI221">
        <f t="shared" si="29"/>
        <v>15</v>
      </c>
      <c r="AJ221">
        <f t="shared" si="30"/>
        <v>1</v>
      </c>
      <c r="AL221">
        <f t="shared" si="31"/>
        <v>0</v>
      </c>
      <c r="AM221">
        <f t="shared" si="32"/>
        <v>30</v>
      </c>
      <c r="AN221">
        <f t="shared" si="33"/>
        <v>30</v>
      </c>
      <c r="AO221">
        <f t="shared" si="34"/>
        <v>1</v>
      </c>
      <c r="AP221">
        <f t="shared" si="35"/>
        <v>61</v>
      </c>
    </row>
    <row r="222" spans="1:42" ht="15.75" hidden="1" customHeight="1" x14ac:dyDescent="0.3">
      <c r="A222" s="16"/>
      <c r="B222" s="55">
        <v>16</v>
      </c>
      <c r="C222" s="56" t="s">
        <v>240</v>
      </c>
      <c r="D222" s="55">
        <v>5</v>
      </c>
      <c r="E222" s="55" t="s">
        <v>21</v>
      </c>
      <c r="F222" s="18" t="s">
        <v>20</v>
      </c>
      <c r="G222" s="18" t="s">
        <v>20</v>
      </c>
      <c r="H222" s="18" t="s">
        <v>21</v>
      </c>
      <c r="I222" s="18" t="s">
        <v>20</v>
      </c>
      <c r="J222" s="18" t="s">
        <v>21</v>
      </c>
      <c r="K222" s="18" t="s">
        <v>21</v>
      </c>
      <c r="L222" s="18" t="s">
        <v>20</v>
      </c>
      <c r="M222" s="18" t="s">
        <v>20</v>
      </c>
      <c r="N222" s="18" t="s">
        <v>20</v>
      </c>
      <c r="O222" s="18" t="s">
        <v>20</v>
      </c>
      <c r="P222" s="18" t="s">
        <v>21</v>
      </c>
      <c r="Q222" s="18" t="s">
        <v>20</v>
      </c>
      <c r="R222" s="18" t="s">
        <v>21</v>
      </c>
      <c r="S222" s="18" t="s">
        <v>21</v>
      </c>
      <c r="T222" s="18" t="s">
        <v>21</v>
      </c>
      <c r="U222" s="18" t="s">
        <v>20</v>
      </c>
      <c r="V222" s="37" t="s">
        <v>20</v>
      </c>
      <c r="W222" s="37" t="s">
        <v>20</v>
      </c>
      <c r="X222" s="37" t="s">
        <v>20</v>
      </c>
      <c r="Y222" s="18" t="s">
        <v>20</v>
      </c>
      <c r="Z222" s="18" t="s">
        <v>21</v>
      </c>
      <c r="AA222" s="20" t="s">
        <v>21</v>
      </c>
      <c r="AB222" s="20" t="s">
        <v>20</v>
      </c>
      <c r="AC222" s="20" t="s">
        <v>20</v>
      </c>
      <c r="AD222" s="29" t="s">
        <v>20</v>
      </c>
      <c r="AE222" s="29" t="s">
        <v>21</v>
      </c>
      <c r="AG222">
        <f t="shared" si="27"/>
        <v>0</v>
      </c>
      <c r="AH222">
        <f t="shared" si="28"/>
        <v>16</v>
      </c>
      <c r="AI222">
        <f t="shared" si="29"/>
        <v>10</v>
      </c>
      <c r="AJ222">
        <f t="shared" si="30"/>
        <v>0</v>
      </c>
      <c r="AL222">
        <f t="shared" si="31"/>
        <v>0</v>
      </c>
      <c r="AM222">
        <f t="shared" si="32"/>
        <v>48</v>
      </c>
      <c r="AN222">
        <f t="shared" si="33"/>
        <v>20</v>
      </c>
      <c r="AO222">
        <f t="shared" si="34"/>
        <v>0</v>
      </c>
      <c r="AP222">
        <f t="shared" si="35"/>
        <v>68</v>
      </c>
    </row>
    <row r="223" spans="1:42" ht="15.75" hidden="1" customHeight="1" x14ac:dyDescent="0.3">
      <c r="A223" s="16"/>
      <c r="B223" s="55">
        <v>17</v>
      </c>
      <c r="C223" s="56" t="s">
        <v>241</v>
      </c>
      <c r="D223" s="55">
        <v>5</v>
      </c>
      <c r="E223" s="55" t="s">
        <v>21</v>
      </c>
      <c r="F223" s="18" t="s">
        <v>21</v>
      </c>
      <c r="G223" s="18" t="s">
        <v>23</v>
      </c>
      <c r="H223" s="18" t="s">
        <v>21</v>
      </c>
      <c r="I223" s="18" t="s">
        <v>21</v>
      </c>
      <c r="J223" s="18" t="s">
        <v>21</v>
      </c>
      <c r="K223" s="18" t="s">
        <v>21</v>
      </c>
      <c r="L223" s="18" t="s">
        <v>21</v>
      </c>
      <c r="M223" s="18" t="s">
        <v>21</v>
      </c>
      <c r="N223" s="18" t="s">
        <v>21</v>
      </c>
      <c r="O223" s="18" t="s">
        <v>21</v>
      </c>
      <c r="P223" s="18" t="s">
        <v>21</v>
      </c>
      <c r="Q223" s="18" t="s">
        <v>23</v>
      </c>
      <c r="R223" s="18" t="s">
        <v>21</v>
      </c>
      <c r="S223" s="18" t="s">
        <v>21</v>
      </c>
      <c r="T223" s="18" t="s">
        <v>21</v>
      </c>
      <c r="U223" s="18" t="s">
        <v>21</v>
      </c>
      <c r="V223" s="37" t="s">
        <v>20</v>
      </c>
      <c r="W223" s="37" t="s">
        <v>21</v>
      </c>
      <c r="X223" s="37" t="s">
        <v>20</v>
      </c>
      <c r="Y223" s="18" t="s">
        <v>20</v>
      </c>
      <c r="Z223" s="18" t="s">
        <v>21</v>
      </c>
      <c r="AA223" s="20" t="s">
        <v>20</v>
      </c>
      <c r="AB223" s="20" t="s">
        <v>21</v>
      </c>
      <c r="AC223" s="20" t="s">
        <v>21</v>
      </c>
      <c r="AD223" s="29" t="s">
        <v>23</v>
      </c>
      <c r="AE223" s="29" t="s">
        <v>21</v>
      </c>
      <c r="AG223">
        <f t="shared" si="27"/>
        <v>0</v>
      </c>
      <c r="AH223">
        <f t="shared" si="28"/>
        <v>4</v>
      </c>
      <c r="AI223">
        <f t="shared" si="29"/>
        <v>19</v>
      </c>
      <c r="AJ223">
        <f t="shared" si="30"/>
        <v>3</v>
      </c>
      <c r="AL223">
        <f t="shared" si="31"/>
        <v>0</v>
      </c>
      <c r="AM223">
        <f t="shared" si="32"/>
        <v>12</v>
      </c>
      <c r="AN223">
        <f t="shared" si="33"/>
        <v>38</v>
      </c>
      <c r="AO223">
        <f t="shared" si="34"/>
        <v>3</v>
      </c>
      <c r="AP223">
        <f t="shared" si="35"/>
        <v>53</v>
      </c>
    </row>
    <row r="224" spans="1:42" ht="15.75" hidden="1" customHeight="1" x14ac:dyDescent="0.3">
      <c r="A224" s="16"/>
      <c r="B224" s="55">
        <v>18</v>
      </c>
      <c r="C224" s="56" t="s">
        <v>242</v>
      </c>
      <c r="D224" s="55">
        <v>5</v>
      </c>
      <c r="E224" s="55" t="s">
        <v>21</v>
      </c>
      <c r="F224" s="18" t="s">
        <v>20</v>
      </c>
      <c r="G224" s="18" t="s">
        <v>20</v>
      </c>
      <c r="H224" s="18" t="s">
        <v>21</v>
      </c>
      <c r="I224" s="18" t="s">
        <v>21</v>
      </c>
      <c r="J224" s="18" t="s">
        <v>20</v>
      </c>
      <c r="K224" s="18" t="s">
        <v>20</v>
      </c>
      <c r="L224" s="18" t="s">
        <v>21</v>
      </c>
      <c r="M224" s="18" t="s">
        <v>20</v>
      </c>
      <c r="N224" s="18" t="s">
        <v>20</v>
      </c>
      <c r="O224" s="18" t="s">
        <v>20</v>
      </c>
      <c r="P224" s="18" t="s">
        <v>21</v>
      </c>
      <c r="Q224" s="18" t="s">
        <v>21</v>
      </c>
      <c r="R224" s="18" t="s">
        <v>21</v>
      </c>
      <c r="S224" s="18" t="s">
        <v>20</v>
      </c>
      <c r="T224" s="18" t="s">
        <v>20</v>
      </c>
      <c r="U224" s="18" t="s">
        <v>20</v>
      </c>
      <c r="V224" s="37" t="s">
        <v>20</v>
      </c>
      <c r="W224" s="37" t="s">
        <v>20</v>
      </c>
      <c r="X224" s="37" t="s">
        <v>20</v>
      </c>
      <c r="Y224" s="18" t="s">
        <v>20</v>
      </c>
      <c r="Z224" s="18" t="s">
        <v>20</v>
      </c>
      <c r="AA224" s="20" t="s">
        <v>21</v>
      </c>
      <c r="AB224" s="20" t="s">
        <v>20</v>
      </c>
      <c r="AC224" s="20" t="s">
        <v>20</v>
      </c>
      <c r="AD224" s="29" t="s">
        <v>20</v>
      </c>
      <c r="AE224" s="29" t="s">
        <v>21</v>
      </c>
      <c r="AG224">
        <f t="shared" si="27"/>
        <v>0</v>
      </c>
      <c r="AH224">
        <f t="shared" si="28"/>
        <v>18</v>
      </c>
      <c r="AI224">
        <f t="shared" si="29"/>
        <v>8</v>
      </c>
      <c r="AJ224">
        <f t="shared" si="30"/>
        <v>0</v>
      </c>
      <c r="AL224">
        <f t="shared" si="31"/>
        <v>0</v>
      </c>
      <c r="AM224">
        <f t="shared" si="32"/>
        <v>54</v>
      </c>
      <c r="AN224">
        <f t="shared" si="33"/>
        <v>16</v>
      </c>
      <c r="AO224">
        <f t="shared" si="34"/>
        <v>0</v>
      </c>
      <c r="AP224">
        <f t="shared" si="35"/>
        <v>70</v>
      </c>
    </row>
    <row r="225" spans="1:42" ht="15.75" hidden="1" customHeight="1" x14ac:dyDescent="0.3">
      <c r="A225" s="16"/>
      <c r="B225" s="55">
        <v>19</v>
      </c>
      <c r="C225" s="56" t="s">
        <v>243</v>
      </c>
      <c r="D225" s="55">
        <v>5</v>
      </c>
      <c r="E225" s="55" t="s">
        <v>21</v>
      </c>
      <c r="F225" s="18" t="s">
        <v>20</v>
      </c>
      <c r="G225" s="18" t="s">
        <v>20</v>
      </c>
      <c r="H225" s="18" t="s">
        <v>20</v>
      </c>
      <c r="I225" s="18" t="s">
        <v>20</v>
      </c>
      <c r="J225" s="18" t="s">
        <v>20</v>
      </c>
      <c r="K225" s="18" t="s">
        <v>20</v>
      </c>
      <c r="L225" s="18" t="s">
        <v>20</v>
      </c>
      <c r="M225" s="18" t="s">
        <v>20</v>
      </c>
      <c r="N225" s="18" t="s">
        <v>20</v>
      </c>
      <c r="O225" s="18" t="s">
        <v>20</v>
      </c>
      <c r="P225" s="18" t="s">
        <v>20</v>
      </c>
      <c r="Q225" s="18" t="s">
        <v>20</v>
      </c>
      <c r="R225" s="18" t="s">
        <v>20</v>
      </c>
      <c r="S225" s="18" t="s">
        <v>20</v>
      </c>
      <c r="T225" s="18" t="s">
        <v>20</v>
      </c>
      <c r="U225" s="18" t="s">
        <v>20</v>
      </c>
      <c r="V225" s="37" t="s">
        <v>20</v>
      </c>
      <c r="W225" s="37" t="s">
        <v>20</v>
      </c>
      <c r="X225" s="37" t="s">
        <v>20</v>
      </c>
      <c r="Y225" s="18" t="s">
        <v>20</v>
      </c>
      <c r="Z225" s="18" t="s">
        <v>20</v>
      </c>
      <c r="AA225" s="20" t="s">
        <v>20</v>
      </c>
      <c r="AB225" s="20" t="s">
        <v>20</v>
      </c>
      <c r="AC225" s="20" t="s">
        <v>20</v>
      </c>
      <c r="AD225" s="29" t="s">
        <v>20</v>
      </c>
      <c r="AE225" s="29" t="s">
        <v>21</v>
      </c>
      <c r="AG225">
        <f t="shared" si="27"/>
        <v>0</v>
      </c>
      <c r="AH225">
        <f t="shared" si="28"/>
        <v>25</v>
      </c>
      <c r="AI225">
        <f t="shared" si="29"/>
        <v>1</v>
      </c>
      <c r="AJ225">
        <f t="shared" si="30"/>
        <v>0</v>
      </c>
      <c r="AL225">
        <f t="shared" si="31"/>
        <v>0</v>
      </c>
      <c r="AM225">
        <f t="shared" si="32"/>
        <v>75</v>
      </c>
      <c r="AN225">
        <f t="shared" si="33"/>
        <v>2</v>
      </c>
      <c r="AO225">
        <f t="shared" si="34"/>
        <v>0</v>
      </c>
      <c r="AP225">
        <f t="shared" si="35"/>
        <v>77</v>
      </c>
    </row>
    <row r="226" spans="1:42" ht="15.75" hidden="1" customHeight="1" x14ac:dyDescent="0.3">
      <c r="A226" s="16"/>
      <c r="B226" s="55">
        <v>20</v>
      </c>
      <c r="C226" s="56" t="s">
        <v>244</v>
      </c>
      <c r="D226" s="55">
        <v>5</v>
      </c>
      <c r="E226" s="55" t="s">
        <v>21</v>
      </c>
      <c r="F226" s="18" t="s">
        <v>20</v>
      </c>
      <c r="G226" s="18" t="s">
        <v>21</v>
      </c>
      <c r="H226" s="18" t="s">
        <v>21</v>
      </c>
      <c r="I226" s="18" t="s">
        <v>21</v>
      </c>
      <c r="J226" s="18" t="s">
        <v>21</v>
      </c>
      <c r="K226" s="18" t="s">
        <v>20</v>
      </c>
      <c r="L226" s="18" t="s">
        <v>20</v>
      </c>
      <c r="M226" s="18" t="s">
        <v>20</v>
      </c>
      <c r="N226" s="18" t="s">
        <v>21</v>
      </c>
      <c r="O226" s="18" t="s">
        <v>20</v>
      </c>
      <c r="P226" s="18" t="s">
        <v>21</v>
      </c>
      <c r="Q226" s="18" t="s">
        <v>21</v>
      </c>
      <c r="R226" s="18" t="s">
        <v>21</v>
      </c>
      <c r="S226" s="18" t="s">
        <v>20</v>
      </c>
      <c r="T226" s="18" t="s">
        <v>21</v>
      </c>
      <c r="U226" s="18" t="s">
        <v>21</v>
      </c>
      <c r="V226" s="37" t="s">
        <v>20</v>
      </c>
      <c r="W226" s="37" t="s">
        <v>21</v>
      </c>
      <c r="X226" s="37" t="s">
        <v>20</v>
      </c>
      <c r="Y226" s="18" t="s">
        <v>20</v>
      </c>
      <c r="Z226" s="18" t="s">
        <v>20</v>
      </c>
      <c r="AA226" s="20" t="s">
        <v>20</v>
      </c>
      <c r="AB226" s="20" t="s">
        <v>20</v>
      </c>
      <c r="AC226" s="20" t="s">
        <v>20</v>
      </c>
      <c r="AD226" s="29" t="s">
        <v>20</v>
      </c>
      <c r="AE226" s="29" t="s">
        <v>21</v>
      </c>
      <c r="AG226">
        <f t="shared" si="27"/>
        <v>0</v>
      </c>
      <c r="AH226">
        <f t="shared" si="28"/>
        <v>14</v>
      </c>
      <c r="AI226">
        <f t="shared" si="29"/>
        <v>12</v>
      </c>
      <c r="AJ226">
        <f t="shared" si="30"/>
        <v>0</v>
      </c>
      <c r="AL226">
        <f t="shared" si="31"/>
        <v>0</v>
      </c>
      <c r="AM226">
        <f t="shared" si="32"/>
        <v>42</v>
      </c>
      <c r="AN226">
        <f t="shared" si="33"/>
        <v>24</v>
      </c>
      <c r="AO226">
        <f t="shared" si="34"/>
        <v>0</v>
      </c>
      <c r="AP226">
        <f t="shared" si="35"/>
        <v>66</v>
      </c>
    </row>
    <row r="227" spans="1:42" ht="15.75" hidden="1" customHeight="1" x14ac:dyDescent="0.3">
      <c r="A227" s="16"/>
      <c r="B227" s="55">
        <v>21</v>
      </c>
      <c r="C227" s="56" t="s">
        <v>245</v>
      </c>
      <c r="D227" s="55">
        <v>5</v>
      </c>
      <c r="E227" s="55" t="s">
        <v>21</v>
      </c>
      <c r="F227" s="18" t="s">
        <v>39</v>
      </c>
      <c r="G227" s="18" t="s">
        <v>20</v>
      </c>
      <c r="H227" s="18" t="s">
        <v>20</v>
      </c>
      <c r="I227" s="18" t="s">
        <v>20</v>
      </c>
      <c r="J227" s="18" t="s">
        <v>20</v>
      </c>
      <c r="K227" s="18" t="s">
        <v>39</v>
      </c>
      <c r="L227" s="18" t="s">
        <v>39</v>
      </c>
      <c r="M227" s="18" t="s">
        <v>20</v>
      </c>
      <c r="N227" s="18" t="s">
        <v>20</v>
      </c>
      <c r="O227" s="18" t="s">
        <v>20</v>
      </c>
      <c r="P227" s="18" t="s">
        <v>20</v>
      </c>
      <c r="Q227" s="18" t="s">
        <v>20</v>
      </c>
      <c r="R227" s="18" t="s">
        <v>20</v>
      </c>
      <c r="S227" s="18" t="s">
        <v>20</v>
      </c>
      <c r="T227" s="18" t="s">
        <v>20</v>
      </c>
      <c r="U227" s="18" t="s">
        <v>20</v>
      </c>
      <c r="V227" s="37" t="s">
        <v>20</v>
      </c>
      <c r="W227" s="37" t="s">
        <v>20</v>
      </c>
      <c r="X227" s="37" t="s">
        <v>20</v>
      </c>
      <c r="Y227" s="18" t="s">
        <v>39</v>
      </c>
      <c r="Z227" s="18" t="s">
        <v>39</v>
      </c>
      <c r="AA227" s="20" t="s">
        <v>20</v>
      </c>
      <c r="AB227" s="20" t="s">
        <v>20</v>
      </c>
      <c r="AC227" s="20" t="s">
        <v>20</v>
      </c>
      <c r="AD227" s="29" t="s">
        <v>20</v>
      </c>
      <c r="AE227" s="29" t="s">
        <v>21</v>
      </c>
      <c r="AG227">
        <f t="shared" si="27"/>
        <v>5</v>
      </c>
      <c r="AH227">
        <f t="shared" si="28"/>
        <v>20</v>
      </c>
      <c r="AI227">
        <f t="shared" si="29"/>
        <v>1</v>
      </c>
      <c r="AJ227">
        <f t="shared" si="30"/>
        <v>0</v>
      </c>
      <c r="AL227">
        <f t="shared" si="31"/>
        <v>20</v>
      </c>
      <c r="AM227">
        <f t="shared" si="32"/>
        <v>60</v>
      </c>
      <c r="AN227">
        <f t="shared" si="33"/>
        <v>2</v>
      </c>
      <c r="AO227">
        <f t="shared" si="34"/>
        <v>0</v>
      </c>
      <c r="AP227">
        <f t="shared" si="35"/>
        <v>82</v>
      </c>
    </row>
    <row r="228" spans="1:42" ht="15.75" hidden="1" customHeight="1" x14ac:dyDescent="0.3">
      <c r="A228" s="16"/>
      <c r="B228" s="55">
        <v>22</v>
      </c>
      <c r="C228" s="56" t="s">
        <v>246</v>
      </c>
      <c r="D228" s="55">
        <v>5</v>
      </c>
      <c r="E228" s="55" t="s">
        <v>21</v>
      </c>
      <c r="F228" s="18" t="s">
        <v>21</v>
      </c>
      <c r="G228" s="18" t="s">
        <v>21</v>
      </c>
      <c r="H228" s="18" t="s">
        <v>21</v>
      </c>
      <c r="I228" s="18" t="s">
        <v>21</v>
      </c>
      <c r="J228" s="18" t="s">
        <v>21</v>
      </c>
      <c r="K228" s="18" t="s">
        <v>20</v>
      </c>
      <c r="L228" s="18" t="s">
        <v>20</v>
      </c>
      <c r="M228" s="18" t="s">
        <v>20</v>
      </c>
      <c r="N228" s="18" t="s">
        <v>20</v>
      </c>
      <c r="O228" s="18" t="s">
        <v>20</v>
      </c>
      <c r="P228" s="18" t="s">
        <v>21</v>
      </c>
      <c r="Q228" s="18" t="s">
        <v>21</v>
      </c>
      <c r="R228" s="18" t="s">
        <v>23</v>
      </c>
      <c r="S228" s="18" t="s">
        <v>21</v>
      </c>
      <c r="T228" s="18" t="s">
        <v>21</v>
      </c>
      <c r="U228" s="18" t="s">
        <v>20</v>
      </c>
      <c r="V228" s="37" t="s">
        <v>20</v>
      </c>
      <c r="W228" s="37" t="s">
        <v>20</v>
      </c>
      <c r="X228" s="37" t="s">
        <v>20</v>
      </c>
      <c r="Y228" s="18" t="s">
        <v>21</v>
      </c>
      <c r="Z228" s="18" t="s">
        <v>20</v>
      </c>
      <c r="AA228" s="20" t="s">
        <v>21</v>
      </c>
      <c r="AB228" s="20" t="s">
        <v>21</v>
      </c>
      <c r="AC228" s="20" t="s">
        <v>21</v>
      </c>
      <c r="AD228" s="47" t="s">
        <v>23</v>
      </c>
      <c r="AE228" s="47" t="s">
        <v>21</v>
      </c>
      <c r="AG228">
        <f t="shared" si="27"/>
        <v>0</v>
      </c>
      <c r="AH228">
        <f t="shared" si="28"/>
        <v>10</v>
      </c>
      <c r="AI228">
        <f t="shared" si="29"/>
        <v>14</v>
      </c>
      <c r="AJ228">
        <f t="shared" si="30"/>
        <v>2</v>
      </c>
      <c r="AL228">
        <f t="shared" si="31"/>
        <v>0</v>
      </c>
      <c r="AM228">
        <f t="shared" si="32"/>
        <v>30</v>
      </c>
      <c r="AN228">
        <f t="shared" si="33"/>
        <v>28</v>
      </c>
      <c r="AO228">
        <f t="shared" si="34"/>
        <v>2</v>
      </c>
      <c r="AP228">
        <f t="shared" si="35"/>
        <v>60</v>
      </c>
    </row>
    <row r="229" spans="1:42" ht="15.75" hidden="1" customHeight="1" x14ac:dyDescent="0.3">
      <c r="A229" s="16"/>
      <c r="B229" s="55">
        <v>23</v>
      </c>
      <c r="C229" s="56" t="s">
        <v>247</v>
      </c>
      <c r="D229" s="55">
        <v>5</v>
      </c>
      <c r="E229" s="55" t="s">
        <v>21</v>
      </c>
      <c r="F229" s="18" t="s">
        <v>21</v>
      </c>
      <c r="G229" s="18" t="s">
        <v>21</v>
      </c>
      <c r="H229" s="18" t="s">
        <v>21</v>
      </c>
      <c r="I229" s="18" t="s">
        <v>20</v>
      </c>
      <c r="J229" s="18" t="s">
        <v>20</v>
      </c>
      <c r="K229" s="18" t="s">
        <v>20</v>
      </c>
      <c r="L229" s="18" t="s">
        <v>20</v>
      </c>
      <c r="M229" s="18" t="s">
        <v>20</v>
      </c>
      <c r="N229" s="18" t="s">
        <v>21</v>
      </c>
      <c r="O229" s="18" t="s">
        <v>20</v>
      </c>
      <c r="P229" s="18" t="s">
        <v>21</v>
      </c>
      <c r="Q229" s="18" t="s">
        <v>21</v>
      </c>
      <c r="R229" s="18" t="s">
        <v>20</v>
      </c>
      <c r="S229" s="18" t="s">
        <v>21</v>
      </c>
      <c r="T229" s="18" t="s">
        <v>21</v>
      </c>
      <c r="U229" s="18" t="s">
        <v>21</v>
      </c>
      <c r="V229" s="37" t="s">
        <v>20</v>
      </c>
      <c r="W229" s="37" t="s">
        <v>20</v>
      </c>
      <c r="X229" s="37" t="s">
        <v>20</v>
      </c>
      <c r="Y229" s="18" t="s">
        <v>20</v>
      </c>
      <c r="Z229" s="18" t="s">
        <v>21</v>
      </c>
      <c r="AA229" s="20" t="s">
        <v>20</v>
      </c>
      <c r="AB229" s="20" t="s">
        <v>20</v>
      </c>
      <c r="AC229" s="20" t="s">
        <v>20</v>
      </c>
      <c r="AD229" s="29" t="s">
        <v>20</v>
      </c>
      <c r="AE229" s="29" t="s">
        <v>21</v>
      </c>
      <c r="AG229">
        <f t="shared" si="27"/>
        <v>0</v>
      </c>
      <c r="AH229">
        <f t="shared" si="28"/>
        <v>15</v>
      </c>
      <c r="AI229">
        <f t="shared" si="29"/>
        <v>11</v>
      </c>
      <c r="AJ229">
        <f t="shared" si="30"/>
        <v>0</v>
      </c>
      <c r="AL229">
        <f t="shared" si="31"/>
        <v>0</v>
      </c>
      <c r="AM229">
        <f t="shared" si="32"/>
        <v>45</v>
      </c>
      <c r="AN229">
        <f t="shared" si="33"/>
        <v>22</v>
      </c>
      <c r="AO229">
        <f t="shared" si="34"/>
        <v>0</v>
      </c>
      <c r="AP229">
        <f t="shared" si="35"/>
        <v>67</v>
      </c>
    </row>
    <row r="230" spans="1:42" ht="15.75" hidden="1" customHeight="1" x14ac:dyDescent="0.3">
      <c r="A230" s="16"/>
      <c r="B230" s="55">
        <v>24</v>
      </c>
      <c r="C230" s="56" t="s">
        <v>248</v>
      </c>
      <c r="D230" s="55">
        <v>5</v>
      </c>
      <c r="E230" s="55" t="s">
        <v>21</v>
      </c>
      <c r="F230" s="18" t="s">
        <v>20</v>
      </c>
      <c r="G230" s="18" t="s">
        <v>20</v>
      </c>
      <c r="H230" s="18" t="s">
        <v>20</v>
      </c>
      <c r="I230" s="18" t="s">
        <v>20</v>
      </c>
      <c r="J230" s="18" t="s">
        <v>20</v>
      </c>
      <c r="K230" s="18" t="s">
        <v>20</v>
      </c>
      <c r="L230" s="18" t="s">
        <v>39</v>
      </c>
      <c r="M230" s="18" t="s">
        <v>20</v>
      </c>
      <c r="N230" s="18" t="s">
        <v>20</v>
      </c>
      <c r="O230" s="18" t="s">
        <v>20</v>
      </c>
      <c r="P230" s="18" t="s">
        <v>20</v>
      </c>
      <c r="Q230" s="18" t="s">
        <v>21</v>
      </c>
      <c r="R230" s="18" t="s">
        <v>21</v>
      </c>
      <c r="S230" s="18" t="s">
        <v>20</v>
      </c>
      <c r="T230" s="18" t="s">
        <v>20</v>
      </c>
      <c r="U230" s="18" t="s">
        <v>20</v>
      </c>
      <c r="V230" s="37" t="s">
        <v>20</v>
      </c>
      <c r="W230" s="37" t="s">
        <v>21</v>
      </c>
      <c r="X230" s="37" t="s">
        <v>20</v>
      </c>
      <c r="Y230" s="18" t="s">
        <v>20</v>
      </c>
      <c r="Z230" s="18" t="s">
        <v>20</v>
      </c>
      <c r="AA230" s="20" t="s">
        <v>20</v>
      </c>
      <c r="AB230" s="20" t="s">
        <v>21</v>
      </c>
      <c r="AC230" s="20" t="s">
        <v>20</v>
      </c>
      <c r="AD230" s="29" t="s">
        <v>20</v>
      </c>
      <c r="AE230" s="29" t="s">
        <v>21</v>
      </c>
      <c r="AG230">
        <f t="shared" si="27"/>
        <v>1</v>
      </c>
      <c r="AH230">
        <f t="shared" si="28"/>
        <v>20</v>
      </c>
      <c r="AI230">
        <f t="shared" si="29"/>
        <v>5</v>
      </c>
      <c r="AJ230">
        <f t="shared" si="30"/>
        <v>0</v>
      </c>
      <c r="AL230">
        <f t="shared" si="31"/>
        <v>4</v>
      </c>
      <c r="AM230">
        <f t="shared" si="32"/>
        <v>60</v>
      </c>
      <c r="AN230">
        <f t="shared" si="33"/>
        <v>10</v>
      </c>
      <c r="AO230">
        <f t="shared" si="34"/>
        <v>0</v>
      </c>
      <c r="AP230">
        <f t="shared" si="35"/>
        <v>74</v>
      </c>
    </row>
    <row r="231" spans="1:42" ht="15.75" hidden="1" customHeight="1" x14ac:dyDescent="0.3">
      <c r="A231" s="16"/>
      <c r="B231" s="55">
        <v>25</v>
      </c>
      <c r="C231" s="56" t="s">
        <v>249</v>
      </c>
      <c r="D231" s="55">
        <v>5</v>
      </c>
      <c r="E231" s="55" t="s">
        <v>21</v>
      </c>
      <c r="F231" s="18" t="s">
        <v>21</v>
      </c>
      <c r="G231" s="18" t="s">
        <v>21</v>
      </c>
      <c r="H231" s="17" t="s">
        <v>21</v>
      </c>
      <c r="I231" s="18" t="s">
        <v>21</v>
      </c>
      <c r="J231" s="18" t="s">
        <v>21</v>
      </c>
      <c r="K231" s="18" t="s">
        <v>21</v>
      </c>
      <c r="L231" s="18" t="s">
        <v>21</v>
      </c>
      <c r="M231" s="18" t="s">
        <v>20</v>
      </c>
      <c r="N231" s="18" t="s">
        <v>21</v>
      </c>
      <c r="O231" s="18" t="s">
        <v>20</v>
      </c>
      <c r="P231" s="18" t="s">
        <v>21</v>
      </c>
      <c r="Q231" s="18" t="s">
        <v>21</v>
      </c>
      <c r="R231" s="18" t="s">
        <v>21</v>
      </c>
      <c r="S231" s="18" t="s">
        <v>21</v>
      </c>
      <c r="T231" s="18" t="s">
        <v>20</v>
      </c>
      <c r="U231" s="18" t="s">
        <v>21</v>
      </c>
      <c r="V231" s="37" t="s">
        <v>21</v>
      </c>
      <c r="W231" s="37" t="s">
        <v>21</v>
      </c>
      <c r="X231" s="37" t="s">
        <v>21</v>
      </c>
      <c r="Y231" s="18" t="s">
        <v>20</v>
      </c>
      <c r="Z231" s="18" t="s">
        <v>21</v>
      </c>
      <c r="AA231" s="20" t="s">
        <v>21</v>
      </c>
      <c r="AB231" s="20" t="s">
        <v>21</v>
      </c>
      <c r="AC231" s="20" t="s">
        <v>21</v>
      </c>
      <c r="AD231" s="29" t="s">
        <v>21</v>
      </c>
      <c r="AE231" s="29" t="s">
        <v>21</v>
      </c>
      <c r="AG231">
        <f t="shared" si="27"/>
        <v>0</v>
      </c>
      <c r="AH231">
        <f t="shared" si="28"/>
        <v>4</v>
      </c>
      <c r="AI231">
        <f t="shared" si="29"/>
        <v>22</v>
      </c>
      <c r="AJ231">
        <f t="shared" si="30"/>
        <v>0</v>
      </c>
      <c r="AL231">
        <f t="shared" si="31"/>
        <v>0</v>
      </c>
      <c r="AM231">
        <f t="shared" si="32"/>
        <v>12</v>
      </c>
      <c r="AN231">
        <f t="shared" si="33"/>
        <v>44</v>
      </c>
      <c r="AO231">
        <f t="shared" si="34"/>
        <v>0</v>
      </c>
      <c r="AP231">
        <f t="shared" si="35"/>
        <v>56</v>
      </c>
    </row>
    <row r="232" spans="1:42" ht="15.75" hidden="1" customHeight="1" thickBot="1" x14ac:dyDescent="0.35">
      <c r="A232" s="16"/>
      <c r="B232" s="57">
        <v>26</v>
      </c>
      <c r="C232" s="58" t="s">
        <v>250</v>
      </c>
      <c r="D232" s="57">
        <v>5</v>
      </c>
      <c r="E232" s="57" t="s">
        <v>21</v>
      </c>
      <c r="F232" s="21" t="s">
        <v>39</v>
      </c>
      <c r="G232" s="21" t="s">
        <v>20</v>
      </c>
      <c r="H232" s="41" t="s">
        <v>20</v>
      </c>
      <c r="I232" s="21" t="s">
        <v>20</v>
      </c>
      <c r="J232" s="21" t="s">
        <v>20</v>
      </c>
      <c r="K232" s="21" t="s">
        <v>20</v>
      </c>
      <c r="L232" s="21" t="s">
        <v>20</v>
      </c>
      <c r="M232" s="21" t="s">
        <v>20</v>
      </c>
      <c r="N232" s="21" t="s">
        <v>20</v>
      </c>
      <c r="O232" s="21" t="s">
        <v>20</v>
      </c>
      <c r="P232" s="21" t="s">
        <v>21</v>
      </c>
      <c r="Q232" s="21" t="s">
        <v>20</v>
      </c>
      <c r="R232" s="21" t="s">
        <v>20</v>
      </c>
      <c r="S232" s="21" t="s">
        <v>20</v>
      </c>
      <c r="T232" s="21" t="s">
        <v>20</v>
      </c>
      <c r="U232" s="21" t="s">
        <v>20</v>
      </c>
      <c r="V232" s="38" t="s">
        <v>20</v>
      </c>
      <c r="W232" s="38" t="s">
        <v>20</v>
      </c>
      <c r="X232" s="38" t="s">
        <v>20</v>
      </c>
      <c r="Y232" s="21" t="s">
        <v>20</v>
      </c>
      <c r="Z232" s="21" t="s">
        <v>20</v>
      </c>
      <c r="AA232" s="23" t="s">
        <v>20</v>
      </c>
      <c r="AB232" s="23" t="s">
        <v>20</v>
      </c>
      <c r="AC232" s="23" t="s">
        <v>20</v>
      </c>
      <c r="AD232" s="31" t="s">
        <v>20</v>
      </c>
      <c r="AE232" s="31" t="s">
        <v>21</v>
      </c>
      <c r="AG232">
        <f t="shared" si="27"/>
        <v>1</v>
      </c>
      <c r="AH232">
        <f t="shared" si="28"/>
        <v>23</v>
      </c>
      <c r="AI232">
        <f t="shared" si="29"/>
        <v>2</v>
      </c>
      <c r="AJ232">
        <f t="shared" si="30"/>
        <v>0</v>
      </c>
      <c r="AL232">
        <f t="shared" si="31"/>
        <v>4</v>
      </c>
      <c r="AM232">
        <f t="shared" si="32"/>
        <v>69</v>
      </c>
      <c r="AN232">
        <f t="shared" si="33"/>
        <v>4</v>
      </c>
      <c r="AO232">
        <f t="shared" si="34"/>
        <v>0</v>
      </c>
      <c r="AP232">
        <f t="shared" si="35"/>
        <v>77</v>
      </c>
    </row>
    <row r="233" spans="1:42" ht="15.75" customHeight="1" x14ac:dyDescent="0.3">
      <c r="B233" s="54"/>
    </row>
    <row r="234" spans="1:42" ht="15.75" customHeight="1" x14ac:dyDescent="0.3"/>
    <row r="235" spans="1:42" ht="15.75" customHeight="1" x14ac:dyDescent="0.3"/>
    <row r="236" spans="1:42" ht="15.75" customHeight="1" x14ac:dyDescent="0.3"/>
    <row r="237" spans="1:42" ht="15.75" customHeight="1" x14ac:dyDescent="0.3"/>
    <row r="238" spans="1:42" ht="15.75" customHeight="1" x14ac:dyDescent="0.3"/>
    <row r="239" spans="1:42" ht="15.75" customHeight="1" x14ac:dyDescent="0.3"/>
    <row r="240" spans="1:42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  <row r="1041" ht="15.75" customHeight="1" x14ac:dyDescent="0.3"/>
    <row r="1042" ht="15.75" customHeight="1" x14ac:dyDescent="0.3"/>
    <row r="1043" ht="15.75" customHeight="1" x14ac:dyDescent="0.3"/>
    <row r="1044" ht="15.75" customHeight="1" x14ac:dyDescent="0.3"/>
    <row r="1045" ht="15.75" customHeight="1" x14ac:dyDescent="0.3"/>
    <row r="1046" ht="15.75" customHeight="1" x14ac:dyDescent="0.3"/>
    <row r="1047" ht="15.75" customHeight="1" x14ac:dyDescent="0.3"/>
    <row r="1048" ht="15.75" customHeight="1" x14ac:dyDescent="0.3"/>
    <row r="1049" ht="15.75" customHeight="1" x14ac:dyDescent="0.3"/>
    <row r="1050" ht="15.75" customHeight="1" x14ac:dyDescent="0.3"/>
    <row r="1051" ht="15.75" customHeight="1" x14ac:dyDescent="0.3"/>
    <row r="1052" ht="15.75" customHeight="1" x14ac:dyDescent="0.3"/>
    <row r="1053" ht="15.75" customHeight="1" x14ac:dyDescent="0.3"/>
    <row r="1054" ht="15.75" customHeight="1" x14ac:dyDescent="0.3"/>
    <row r="1055" ht="15.75" customHeight="1" x14ac:dyDescent="0.3"/>
    <row r="1056" ht="15.75" customHeight="1" x14ac:dyDescent="0.3"/>
    <row r="1057" ht="15.75" customHeight="1" x14ac:dyDescent="0.3"/>
    <row r="1058" ht="15.75" customHeight="1" x14ac:dyDescent="0.3"/>
    <row r="1059" ht="15.75" customHeight="1" x14ac:dyDescent="0.3"/>
    <row r="1060" ht="15.75" customHeight="1" x14ac:dyDescent="0.3"/>
    <row r="1061" ht="15.75" customHeight="1" x14ac:dyDescent="0.3"/>
    <row r="1062" ht="15.75" customHeight="1" x14ac:dyDescent="0.3"/>
    <row r="1063" ht="15.75" customHeight="1" x14ac:dyDescent="0.3"/>
    <row r="1064" ht="15.75" customHeight="1" x14ac:dyDescent="0.3"/>
    <row r="1065" ht="15.75" customHeight="1" x14ac:dyDescent="0.3"/>
    <row r="1066" ht="15.75" customHeight="1" x14ac:dyDescent="0.3"/>
    <row r="1067" ht="15.75" customHeight="1" x14ac:dyDescent="0.3"/>
    <row r="1068" ht="15.75" customHeight="1" x14ac:dyDescent="0.3"/>
    <row r="1069" ht="15.75" customHeight="1" x14ac:dyDescent="0.3"/>
    <row r="1070" ht="15.75" customHeight="1" x14ac:dyDescent="0.3"/>
    <row r="1071" ht="15.75" customHeight="1" x14ac:dyDescent="0.3"/>
    <row r="1072" ht="15.75" customHeight="1" x14ac:dyDescent="0.3"/>
    <row r="1073" ht="15.75" customHeight="1" x14ac:dyDescent="0.3"/>
    <row r="1074" ht="15.75" customHeight="1" x14ac:dyDescent="0.3"/>
    <row r="1075" ht="15.75" customHeight="1" x14ac:dyDescent="0.3"/>
    <row r="1076" ht="15.75" customHeight="1" x14ac:dyDescent="0.3"/>
    <row r="1077" ht="15.75" customHeight="1" x14ac:dyDescent="0.3"/>
    <row r="1078" ht="15.75" customHeight="1" x14ac:dyDescent="0.3"/>
    <row r="1079" ht="15.75" customHeight="1" x14ac:dyDescent="0.3"/>
    <row r="1080" ht="15.75" customHeight="1" x14ac:dyDescent="0.3"/>
    <row r="1081" ht="15.75" customHeight="1" x14ac:dyDescent="0.3"/>
    <row r="1082" ht="15.75" customHeight="1" x14ac:dyDescent="0.3"/>
    <row r="1083" ht="15.75" customHeight="1" x14ac:dyDescent="0.3"/>
    <row r="1084" ht="15.75" customHeight="1" x14ac:dyDescent="0.3"/>
    <row r="1085" ht="15.75" customHeight="1" x14ac:dyDescent="0.3"/>
    <row r="1086" ht="15.75" customHeight="1" x14ac:dyDescent="0.3"/>
    <row r="1087" ht="15.75" customHeight="1" x14ac:dyDescent="0.3"/>
    <row r="1088" ht="15.75" customHeight="1" x14ac:dyDescent="0.3"/>
    <row r="1089" ht="15.75" customHeight="1" x14ac:dyDescent="0.3"/>
    <row r="1090" ht="15.75" customHeight="1" x14ac:dyDescent="0.3"/>
    <row r="1091" ht="15.75" customHeight="1" x14ac:dyDescent="0.3"/>
    <row r="1092" ht="15.75" customHeight="1" x14ac:dyDescent="0.3"/>
    <row r="1093" ht="15.75" customHeight="1" x14ac:dyDescent="0.3"/>
    <row r="1094" ht="15.75" customHeight="1" x14ac:dyDescent="0.3"/>
    <row r="1095" ht="15.75" customHeight="1" x14ac:dyDescent="0.3"/>
    <row r="1096" ht="15.75" customHeight="1" x14ac:dyDescent="0.3"/>
    <row r="1097" ht="15.75" customHeight="1" x14ac:dyDescent="0.3"/>
    <row r="1098" ht="15.75" customHeight="1" x14ac:dyDescent="0.3"/>
    <row r="1099" ht="15.75" customHeight="1" x14ac:dyDescent="0.3"/>
    <row r="1100" ht="15.75" customHeight="1" x14ac:dyDescent="0.3"/>
    <row r="1101" ht="15.75" customHeight="1" x14ac:dyDescent="0.3"/>
    <row r="1102" ht="15.75" customHeight="1" x14ac:dyDescent="0.3"/>
    <row r="1103" ht="15.75" customHeight="1" x14ac:dyDescent="0.3"/>
    <row r="1104" ht="15.75" customHeight="1" x14ac:dyDescent="0.3"/>
    <row r="1105" ht="15.75" customHeight="1" x14ac:dyDescent="0.3"/>
    <row r="1106" ht="15.75" customHeight="1" x14ac:dyDescent="0.3"/>
    <row r="1107" ht="15.75" customHeight="1" x14ac:dyDescent="0.3"/>
    <row r="1108" ht="15.75" customHeight="1" x14ac:dyDescent="0.3"/>
    <row r="1109" ht="15.75" customHeight="1" x14ac:dyDescent="0.3"/>
    <row r="1110" ht="15.75" customHeight="1" x14ac:dyDescent="0.3"/>
    <row r="1111" ht="15.75" customHeight="1" x14ac:dyDescent="0.3"/>
    <row r="1112" ht="15.75" customHeight="1" x14ac:dyDescent="0.3"/>
    <row r="1113" ht="15.75" customHeight="1" x14ac:dyDescent="0.3"/>
    <row r="1114" ht="15.75" customHeight="1" x14ac:dyDescent="0.3"/>
    <row r="1115" ht="15.75" customHeight="1" x14ac:dyDescent="0.3"/>
    <row r="1116" ht="15.75" customHeight="1" x14ac:dyDescent="0.3"/>
    <row r="1117" ht="15.75" customHeight="1" x14ac:dyDescent="0.3"/>
    <row r="1118" ht="15.75" customHeight="1" x14ac:dyDescent="0.3"/>
    <row r="1119" ht="15.75" customHeight="1" x14ac:dyDescent="0.3"/>
    <row r="1120" ht="15.75" customHeight="1" x14ac:dyDescent="0.3"/>
    <row r="1121" ht="15.75" customHeight="1" x14ac:dyDescent="0.3"/>
    <row r="1122" ht="15.75" customHeight="1" x14ac:dyDescent="0.3"/>
    <row r="1123" ht="15.75" customHeight="1" x14ac:dyDescent="0.3"/>
    <row r="1124" ht="15.75" customHeight="1" x14ac:dyDescent="0.3"/>
    <row r="1125" ht="15.75" customHeight="1" x14ac:dyDescent="0.3"/>
    <row r="1126" ht="15.75" customHeight="1" x14ac:dyDescent="0.3"/>
  </sheetData>
  <autoFilter ref="A5:AP232" xr:uid="{D4C9ACFA-7634-4244-A829-726CE84E67E1}">
    <filterColumn colId="3">
      <filters>
        <filter val="2"/>
      </filters>
    </filterColumn>
    <filterColumn colId="4">
      <filters>
        <filter val="B"/>
      </filters>
    </filterColumn>
    <sortState xmlns:xlrd2="http://schemas.microsoft.com/office/spreadsheetml/2017/richdata2" ref="A68:AP90">
      <sortCondition descending="1" ref="AP5:AP232"/>
    </sortState>
  </autoFilter>
  <mergeCells count="11">
    <mergeCell ref="AD4:AE4"/>
    <mergeCell ref="C2:AE2"/>
    <mergeCell ref="C3:AE3"/>
    <mergeCell ref="F4:I4"/>
    <mergeCell ref="J4:L4"/>
    <mergeCell ref="M4:O4"/>
    <mergeCell ref="P4:R4"/>
    <mergeCell ref="S4:T4"/>
    <mergeCell ref="V4:X4"/>
    <mergeCell ref="Y4:Z4"/>
    <mergeCell ref="AA4:AC4"/>
  </mergeCells>
  <conditionalFormatting sqref="F6:AE232">
    <cfRule type="cellIs" dxfId="27" priority="1" operator="equal">
      <formula>"AD"</formula>
    </cfRule>
    <cfRule type="cellIs" dxfId="26" priority="2" operator="equal">
      <formula>"A"</formula>
    </cfRule>
    <cfRule type="cellIs" dxfId="25" priority="3" operator="equal">
      <formula>"B"</formula>
    </cfRule>
    <cfRule type="cellIs" dxfId="24" priority="4" operator="equal">
      <formula>"C"</formula>
    </cfRule>
  </conditionalFormatting>
  <dataValidations count="2">
    <dataValidation type="list" allowBlank="1" showInputMessage="1" showErrorMessage="1" sqref="Q6:R26 T6:X26 AD229:AE232 F6:L26 AD27:AE80 F27:X48 AD82:AE97 AD135:AE199 AD201:AE203 AD205:AE227 AD99:AE133 Z27:Z48 F49:I232 J131:L232 J49:L109 M49:Z232" xr:uid="{DF7D1F3B-C984-453D-A76F-D66FC12B9019}">
      <formula1>"AD,A,B,C"</formula1>
    </dataValidation>
    <dataValidation type="list" allowBlank="1" showInputMessage="1" showErrorMessage="1" sqref="AA6:AC232 J110:L130" xr:uid="{2B4F6A84-F744-4C73-94D9-132692A357D5}">
      <formula1>"A,AD,B,C"</formula1>
    </dataValidation>
  </dataValidations>
  <pageMargins left="0.7" right="0.7" top="0.75" bottom="0.75" header="0" footer="0"/>
  <pageSetup paperSize="9" scale="72" orientation="landscape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28C76-1327-4C5C-9623-67790526AB32}">
  <sheetPr filterMode="1">
    <pageSetUpPr fitToPage="1"/>
  </sheetPr>
  <dimension ref="A2:AP1126"/>
  <sheetViews>
    <sheetView zoomScaleNormal="100" workbookViewId="0">
      <pane xSplit="3" ySplit="5" topLeftCell="D6" activePane="bottomRight" state="frozen"/>
      <selection pane="topRight" activeCell="C1" sqref="C1"/>
      <selection pane="bottomLeft" activeCell="A6" sqref="A6"/>
      <selection pane="bottomRight" activeCell="C3" sqref="C3:AE3"/>
    </sheetView>
  </sheetViews>
  <sheetFormatPr baseColWidth="10" defaultColWidth="14.44140625" defaultRowHeight="15" customHeight="1" x14ac:dyDescent="0.3"/>
  <cols>
    <col min="1" max="1" width="4" bestFit="1" customWidth="1"/>
    <col min="2" max="2" width="4.109375" customWidth="1"/>
    <col min="3" max="3" width="38.5546875" customWidth="1"/>
    <col min="4" max="4" width="5" hidden="1" customWidth="1"/>
    <col min="5" max="5" width="6.6640625" hidden="1" customWidth="1"/>
    <col min="6" max="31" width="5" customWidth="1"/>
    <col min="32" max="32" width="2" hidden="1" customWidth="1"/>
    <col min="33" max="36" width="3.44140625" hidden="1" customWidth="1"/>
    <col min="37" max="37" width="1.44140625" style="65" hidden="1" customWidth="1"/>
    <col min="38" max="40" width="3" hidden="1" customWidth="1"/>
    <col min="41" max="41" width="2" hidden="1" customWidth="1"/>
    <col min="42" max="42" width="5.21875" bestFit="1" customWidth="1"/>
  </cols>
  <sheetData>
    <row r="2" spans="1:42" ht="33.6" customHeight="1" x14ac:dyDescent="0.3">
      <c r="C2" s="77" t="s">
        <v>253</v>
      </c>
      <c r="D2" s="2"/>
      <c r="E2" s="2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9"/>
    </row>
    <row r="3" spans="1:42" ht="26.25" customHeight="1" x14ac:dyDescent="0.3">
      <c r="C3" s="74" t="s">
        <v>252</v>
      </c>
      <c r="D3" s="5"/>
      <c r="E3" s="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6"/>
    </row>
    <row r="4" spans="1:42" ht="22.2" customHeight="1" x14ac:dyDescent="0.3">
      <c r="C4" s="7"/>
      <c r="D4" s="8"/>
      <c r="E4" s="8"/>
      <c r="F4" s="80" t="s">
        <v>2</v>
      </c>
      <c r="G4" s="81"/>
      <c r="H4" s="81"/>
      <c r="I4" s="82"/>
      <c r="J4" s="80" t="s">
        <v>3</v>
      </c>
      <c r="K4" s="81"/>
      <c r="L4" s="82"/>
      <c r="M4" s="80" t="s">
        <v>4</v>
      </c>
      <c r="N4" s="81"/>
      <c r="O4" s="82"/>
      <c r="P4" s="80" t="s">
        <v>5</v>
      </c>
      <c r="Q4" s="81"/>
      <c r="R4" s="82"/>
      <c r="S4" s="83" t="s">
        <v>6</v>
      </c>
      <c r="T4" s="84"/>
      <c r="U4" s="86" t="s">
        <v>7</v>
      </c>
      <c r="V4" s="80" t="s">
        <v>8</v>
      </c>
      <c r="W4" s="81"/>
      <c r="X4" s="82"/>
      <c r="Y4" s="80" t="s">
        <v>9</v>
      </c>
      <c r="Z4" s="82"/>
      <c r="AA4" s="83" t="s">
        <v>10</v>
      </c>
      <c r="AB4" s="85"/>
      <c r="AC4" s="84"/>
      <c r="AD4" s="80" t="s">
        <v>11</v>
      </c>
      <c r="AE4" s="82"/>
    </row>
    <row r="5" spans="1:42" ht="27" customHeight="1" x14ac:dyDescent="0.3">
      <c r="B5" s="12"/>
      <c r="C5" s="13" t="s">
        <v>12</v>
      </c>
      <c r="D5" s="14" t="s">
        <v>13</v>
      </c>
      <c r="E5" s="15" t="s">
        <v>14</v>
      </c>
      <c r="F5" s="15" t="s">
        <v>15</v>
      </c>
      <c r="G5" s="15" t="s">
        <v>16</v>
      </c>
      <c r="H5" s="15" t="s">
        <v>17</v>
      </c>
      <c r="I5" s="15" t="s">
        <v>18</v>
      </c>
      <c r="J5" s="15" t="s">
        <v>15</v>
      </c>
      <c r="K5" s="15" t="s">
        <v>16</v>
      </c>
      <c r="L5" s="15" t="s">
        <v>17</v>
      </c>
      <c r="M5" s="15" t="s">
        <v>15</v>
      </c>
      <c r="N5" s="15" t="s">
        <v>16</v>
      </c>
      <c r="O5" s="15" t="s">
        <v>17</v>
      </c>
      <c r="P5" s="15" t="s">
        <v>15</v>
      </c>
      <c r="Q5" s="15" t="s">
        <v>16</v>
      </c>
      <c r="R5" s="15" t="s">
        <v>17</v>
      </c>
      <c r="S5" s="15" t="s">
        <v>15</v>
      </c>
      <c r="T5" s="15" t="s">
        <v>16</v>
      </c>
      <c r="U5" s="15" t="s">
        <v>15</v>
      </c>
      <c r="V5" s="15" t="s">
        <v>15</v>
      </c>
      <c r="W5" s="15" t="s">
        <v>16</v>
      </c>
      <c r="X5" s="15" t="s">
        <v>17</v>
      </c>
      <c r="Y5" s="15" t="s">
        <v>15</v>
      </c>
      <c r="Z5" s="15" t="s">
        <v>16</v>
      </c>
      <c r="AA5" s="15" t="s">
        <v>15</v>
      </c>
      <c r="AB5" s="15" t="s">
        <v>16</v>
      </c>
      <c r="AC5" s="15" t="s">
        <v>17</v>
      </c>
      <c r="AD5" s="15" t="s">
        <v>15</v>
      </c>
      <c r="AE5" s="15" t="s">
        <v>16</v>
      </c>
      <c r="AG5" s="68">
        <v>4</v>
      </c>
      <c r="AH5" s="68">
        <v>3</v>
      </c>
      <c r="AI5" s="68">
        <v>2</v>
      </c>
      <c r="AJ5" s="68">
        <v>1</v>
      </c>
      <c r="AK5" s="66"/>
      <c r="AL5" s="67" t="s">
        <v>39</v>
      </c>
      <c r="AM5" s="67" t="s">
        <v>20</v>
      </c>
      <c r="AN5" s="67" t="s">
        <v>21</v>
      </c>
      <c r="AO5" s="67" t="s">
        <v>23</v>
      </c>
      <c r="AP5" s="67" t="s">
        <v>251</v>
      </c>
    </row>
    <row r="6" spans="1:42" ht="14.4" hidden="1" x14ac:dyDescent="0.3">
      <c r="A6" s="16"/>
      <c r="B6" s="55">
        <v>17</v>
      </c>
      <c r="C6" s="56" t="s">
        <v>38</v>
      </c>
      <c r="D6" s="55">
        <v>1</v>
      </c>
      <c r="E6" s="55" t="s">
        <v>20</v>
      </c>
      <c r="F6" s="18" t="s">
        <v>20</v>
      </c>
      <c r="G6" s="18" t="s">
        <v>20</v>
      </c>
      <c r="H6" s="18" t="s">
        <v>21</v>
      </c>
      <c r="I6" s="18" t="s">
        <v>20</v>
      </c>
      <c r="J6" s="18" t="s">
        <v>20</v>
      </c>
      <c r="K6" s="18" t="s">
        <v>20</v>
      </c>
      <c r="L6" s="18" t="s">
        <v>20</v>
      </c>
      <c r="M6" s="19" t="s">
        <v>20</v>
      </c>
      <c r="N6" s="19" t="s">
        <v>21</v>
      </c>
      <c r="O6" s="19" t="s">
        <v>20</v>
      </c>
      <c r="P6" s="19" t="s">
        <v>20</v>
      </c>
      <c r="Q6" s="18" t="s">
        <v>20</v>
      </c>
      <c r="R6" s="18" t="s">
        <v>21</v>
      </c>
      <c r="S6" s="19" t="s">
        <v>20</v>
      </c>
      <c r="T6" s="18" t="s">
        <v>20</v>
      </c>
      <c r="U6" s="18" t="s">
        <v>20</v>
      </c>
      <c r="V6" s="18" t="s">
        <v>20</v>
      </c>
      <c r="W6" s="18" t="s">
        <v>20</v>
      </c>
      <c r="X6" s="18" t="s">
        <v>20</v>
      </c>
      <c r="Y6" s="19" t="s">
        <v>20</v>
      </c>
      <c r="Z6" s="19" t="s">
        <v>20</v>
      </c>
      <c r="AA6" s="20" t="s">
        <v>20</v>
      </c>
      <c r="AB6" s="20" t="s">
        <v>39</v>
      </c>
      <c r="AC6" s="20" t="s">
        <v>20</v>
      </c>
      <c r="AD6" s="19" t="s">
        <v>20</v>
      </c>
      <c r="AE6" s="19" t="s">
        <v>21</v>
      </c>
      <c r="AG6">
        <f>+COUNTIF(F6:AE6,"AD")</f>
        <v>1</v>
      </c>
      <c r="AH6">
        <f>+COUNTIF(F6:AE6,"A")</f>
        <v>21</v>
      </c>
      <c r="AI6">
        <f>+COUNTIF(F6:AE6,"b")</f>
        <v>4</v>
      </c>
      <c r="AJ6">
        <f>+COUNTIF(F6:AE6,"c")</f>
        <v>0</v>
      </c>
      <c r="AL6">
        <f>+$AG$5*AG6</f>
        <v>4</v>
      </c>
      <c r="AM6">
        <f>+$AH$5*AH6</f>
        <v>63</v>
      </c>
      <c r="AN6">
        <f>+$AI$5*AI6</f>
        <v>8</v>
      </c>
      <c r="AO6">
        <f>+$AJ$5*AJ6</f>
        <v>0</v>
      </c>
      <c r="AP6">
        <f>+SUM(AL6:AO6)</f>
        <v>75</v>
      </c>
    </row>
    <row r="7" spans="1:42" ht="14.4" hidden="1" x14ac:dyDescent="0.3">
      <c r="A7" s="16"/>
      <c r="B7" s="55">
        <v>3</v>
      </c>
      <c r="C7" s="56" t="s">
        <v>24</v>
      </c>
      <c r="D7" s="55">
        <v>1</v>
      </c>
      <c r="E7" s="55" t="s">
        <v>20</v>
      </c>
      <c r="F7" s="18" t="s">
        <v>20</v>
      </c>
      <c r="G7" s="18" t="s">
        <v>20</v>
      </c>
      <c r="H7" s="18" t="s">
        <v>20</v>
      </c>
      <c r="I7" s="18" t="s">
        <v>20</v>
      </c>
      <c r="J7" s="18" t="s">
        <v>20</v>
      </c>
      <c r="K7" s="18" t="s">
        <v>20</v>
      </c>
      <c r="L7" s="18" t="s">
        <v>20</v>
      </c>
      <c r="M7" s="19" t="s">
        <v>20</v>
      </c>
      <c r="N7" s="19" t="s">
        <v>20</v>
      </c>
      <c r="O7" s="19" t="s">
        <v>20</v>
      </c>
      <c r="P7" s="19" t="s">
        <v>20</v>
      </c>
      <c r="Q7" s="18" t="s">
        <v>20</v>
      </c>
      <c r="R7" s="18" t="s">
        <v>21</v>
      </c>
      <c r="S7" s="19" t="s">
        <v>20</v>
      </c>
      <c r="T7" s="18" t="s">
        <v>20</v>
      </c>
      <c r="U7" s="18" t="s">
        <v>20</v>
      </c>
      <c r="V7" s="18" t="s">
        <v>20</v>
      </c>
      <c r="W7" s="18" t="s">
        <v>20</v>
      </c>
      <c r="X7" s="18" t="s">
        <v>20</v>
      </c>
      <c r="Y7" s="19" t="s">
        <v>20</v>
      </c>
      <c r="Z7" s="19" t="s">
        <v>20</v>
      </c>
      <c r="AA7" s="20" t="s">
        <v>20</v>
      </c>
      <c r="AB7" s="20" t="s">
        <v>21</v>
      </c>
      <c r="AC7" s="20" t="s">
        <v>21</v>
      </c>
      <c r="AD7" s="19" t="s">
        <v>20</v>
      </c>
      <c r="AE7" s="19" t="s">
        <v>21</v>
      </c>
      <c r="AG7">
        <f>+COUNTIF(F7:AE7,"AD")</f>
        <v>0</v>
      </c>
      <c r="AH7">
        <f>+COUNTIF(F7:AE7,"A")</f>
        <v>22</v>
      </c>
      <c r="AI7">
        <f>+COUNTIF(F7:AE7,"b")</f>
        <v>4</v>
      </c>
      <c r="AJ7">
        <f>+COUNTIF(F7:AE7,"c")</f>
        <v>0</v>
      </c>
      <c r="AL7">
        <f>+$AG$5*AG7</f>
        <v>0</v>
      </c>
      <c r="AM7">
        <f>+$AH$5*AH7</f>
        <v>66</v>
      </c>
      <c r="AN7">
        <f>+$AI$5*AI7</f>
        <v>8</v>
      </c>
      <c r="AO7">
        <f>+$AJ$5*AJ7</f>
        <v>0</v>
      </c>
      <c r="AP7">
        <f>+SUM(AL7:AO7)</f>
        <v>74</v>
      </c>
    </row>
    <row r="8" spans="1:42" ht="14.4" hidden="1" x14ac:dyDescent="0.3">
      <c r="A8" s="16"/>
      <c r="B8" s="55">
        <v>7</v>
      </c>
      <c r="C8" s="56" t="s">
        <v>28</v>
      </c>
      <c r="D8" s="55">
        <v>1</v>
      </c>
      <c r="E8" s="55" t="s">
        <v>20</v>
      </c>
      <c r="F8" s="18" t="s">
        <v>20</v>
      </c>
      <c r="G8" s="18" t="s">
        <v>20</v>
      </c>
      <c r="H8" s="18" t="s">
        <v>21</v>
      </c>
      <c r="I8" s="18" t="s">
        <v>20</v>
      </c>
      <c r="J8" s="18" t="s">
        <v>20</v>
      </c>
      <c r="K8" s="18" t="s">
        <v>20</v>
      </c>
      <c r="L8" s="18" t="s">
        <v>20</v>
      </c>
      <c r="M8" s="19" t="s">
        <v>20</v>
      </c>
      <c r="N8" s="19" t="s">
        <v>20</v>
      </c>
      <c r="O8" s="19" t="s">
        <v>20</v>
      </c>
      <c r="P8" s="19" t="s">
        <v>20</v>
      </c>
      <c r="Q8" s="18" t="s">
        <v>20</v>
      </c>
      <c r="R8" s="18" t="s">
        <v>20</v>
      </c>
      <c r="S8" s="19" t="s">
        <v>20</v>
      </c>
      <c r="T8" s="18" t="s">
        <v>20</v>
      </c>
      <c r="U8" s="18" t="s">
        <v>21</v>
      </c>
      <c r="V8" s="18" t="s">
        <v>20</v>
      </c>
      <c r="W8" s="18" t="s">
        <v>20</v>
      </c>
      <c r="X8" s="18" t="s">
        <v>20</v>
      </c>
      <c r="Y8" s="19" t="s">
        <v>20</v>
      </c>
      <c r="Z8" s="19" t="s">
        <v>20</v>
      </c>
      <c r="AA8" s="20" t="s">
        <v>20</v>
      </c>
      <c r="AB8" s="20" t="s">
        <v>21</v>
      </c>
      <c r="AC8" s="20" t="s">
        <v>20</v>
      </c>
      <c r="AD8" s="19" t="s">
        <v>21</v>
      </c>
      <c r="AE8" s="19" t="s">
        <v>21</v>
      </c>
      <c r="AG8">
        <f>+COUNTIF(F8:AE8,"AD")</f>
        <v>0</v>
      </c>
      <c r="AH8">
        <f>+COUNTIF(F8:AE8,"A")</f>
        <v>21</v>
      </c>
      <c r="AI8">
        <f>+COUNTIF(F8:AE8,"b")</f>
        <v>5</v>
      </c>
      <c r="AJ8">
        <f>+COUNTIF(F8:AE8,"c")</f>
        <v>0</v>
      </c>
      <c r="AL8">
        <f>+$AG$5*AG8</f>
        <v>0</v>
      </c>
      <c r="AM8">
        <f>+$AH$5*AH8</f>
        <v>63</v>
      </c>
      <c r="AN8">
        <f>+$AI$5*AI8</f>
        <v>10</v>
      </c>
      <c r="AO8">
        <f>+$AJ$5*AJ8</f>
        <v>0</v>
      </c>
      <c r="AP8">
        <f>+SUM(AL8:AO8)</f>
        <v>73</v>
      </c>
    </row>
    <row r="9" spans="1:42" ht="14.4" hidden="1" x14ac:dyDescent="0.3">
      <c r="A9" s="16"/>
      <c r="B9" s="55">
        <v>16</v>
      </c>
      <c r="C9" s="56" t="s">
        <v>37</v>
      </c>
      <c r="D9" s="55">
        <v>1</v>
      </c>
      <c r="E9" s="55" t="s">
        <v>20</v>
      </c>
      <c r="F9" s="18" t="s">
        <v>21</v>
      </c>
      <c r="G9" s="18" t="s">
        <v>21</v>
      </c>
      <c r="H9" s="18" t="s">
        <v>21</v>
      </c>
      <c r="I9" s="18" t="s">
        <v>21</v>
      </c>
      <c r="J9" s="18" t="s">
        <v>20</v>
      </c>
      <c r="K9" s="18" t="s">
        <v>20</v>
      </c>
      <c r="L9" s="18" t="s">
        <v>20</v>
      </c>
      <c r="M9" s="19" t="s">
        <v>20</v>
      </c>
      <c r="N9" s="19" t="s">
        <v>20</v>
      </c>
      <c r="O9" s="19" t="s">
        <v>20</v>
      </c>
      <c r="P9" s="19" t="s">
        <v>20</v>
      </c>
      <c r="Q9" s="18" t="s">
        <v>20</v>
      </c>
      <c r="R9" s="18" t="s">
        <v>20</v>
      </c>
      <c r="S9" s="19" t="s">
        <v>20</v>
      </c>
      <c r="T9" s="18" t="s">
        <v>20</v>
      </c>
      <c r="U9" s="18" t="s">
        <v>20</v>
      </c>
      <c r="V9" s="18" t="s">
        <v>20</v>
      </c>
      <c r="W9" s="18" t="s">
        <v>20</v>
      </c>
      <c r="X9" s="18" t="s">
        <v>20</v>
      </c>
      <c r="Y9" s="19" t="s">
        <v>20</v>
      </c>
      <c r="Z9" s="19" t="s">
        <v>20</v>
      </c>
      <c r="AA9" s="20" t="s">
        <v>20</v>
      </c>
      <c r="AB9" s="20" t="s">
        <v>21</v>
      </c>
      <c r="AC9" s="20" t="s">
        <v>20</v>
      </c>
      <c r="AD9" s="19" t="s">
        <v>20</v>
      </c>
      <c r="AE9" s="19" t="s">
        <v>21</v>
      </c>
      <c r="AG9">
        <f>+COUNTIF(F9:AE9,"AD")</f>
        <v>0</v>
      </c>
      <c r="AH9">
        <f>+COUNTIF(F9:AE9,"A")</f>
        <v>20</v>
      </c>
      <c r="AI9">
        <f>+COUNTIF(F9:AE9,"b")</f>
        <v>6</v>
      </c>
      <c r="AJ9">
        <f>+COUNTIF(F9:AE9,"c")</f>
        <v>0</v>
      </c>
      <c r="AL9">
        <f>+$AG$5*AG9</f>
        <v>0</v>
      </c>
      <c r="AM9">
        <f>+$AH$5*AH9</f>
        <v>60</v>
      </c>
      <c r="AN9">
        <f>+$AI$5*AI9</f>
        <v>12</v>
      </c>
      <c r="AO9">
        <f>+$AJ$5*AJ9</f>
        <v>0</v>
      </c>
      <c r="AP9">
        <f>+SUM(AL9:AO9)</f>
        <v>72</v>
      </c>
    </row>
    <row r="10" spans="1:42" ht="14.4" hidden="1" x14ac:dyDescent="0.3">
      <c r="A10" s="16"/>
      <c r="B10" s="55">
        <v>1</v>
      </c>
      <c r="C10" s="56" t="s">
        <v>19</v>
      </c>
      <c r="D10" s="55">
        <v>1</v>
      </c>
      <c r="E10" s="55" t="s">
        <v>20</v>
      </c>
      <c r="F10" s="17" t="s">
        <v>20</v>
      </c>
      <c r="G10" s="18" t="s">
        <v>20</v>
      </c>
      <c r="H10" s="18" t="s">
        <v>21</v>
      </c>
      <c r="I10" s="18" t="s">
        <v>20</v>
      </c>
      <c r="J10" s="18" t="s">
        <v>20</v>
      </c>
      <c r="K10" s="18" t="s">
        <v>20</v>
      </c>
      <c r="L10" s="18" t="s">
        <v>20</v>
      </c>
      <c r="M10" s="19" t="s">
        <v>20</v>
      </c>
      <c r="N10" s="19" t="s">
        <v>20</v>
      </c>
      <c r="O10" s="19" t="s">
        <v>20</v>
      </c>
      <c r="P10" s="19" t="s">
        <v>20</v>
      </c>
      <c r="Q10" s="18" t="s">
        <v>21</v>
      </c>
      <c r="R10" s="18" t="s">
        <v>21</v>
      </c>
      <c r="S10" s="19" t="s">
        <v>20</v>
      </c>
      <c r="T10" s="18" t="s">
        <v>20</v>
      </c>
      <c r="U10" s="18" t="s">
        <v>20</v>
      </c>
      <c r="V10" s="18" t="s">
        <v>20</v>
      </c>
      <c r="W10" s="18" t="s">
        <v>20</v>
      </c>
      <c r="X10" s="18" t="s">
        <v>20</v>
      </c>
      <c r="Y10" s="19" t="s">
        <v>21</v>
      </c>
      <c r="Z10" s="19" t="s">
        <v>20</v>
      </c>
      <c r="AA10" s="20" t="s">
        <v>21</v>
      </c>
      <c r="AB10" s="20" t="s">
        <v>21</v>
      </c>
      <c r="AC10" s="20" t="s">
        <v>20</v>
      </c>
      <c r="AD10" s="19" t="s">
        <v>20</v>
      </c>
      <c r="AE10" s="19" t="s">
        <v>21</v>
      </c>
      <c r="AG10">
        <f>+COUNTIF(F10:AE10,"AD")</f>
        <v>0</v>
      </c>
      <c r="AH10">
        <f>+COUNTIF(F10:AE10,"A")</f>
        <v>19</v>
      </c>
      <c r="AI10">
        <f>+COUNTIF(F10:AE10,"b")</f>
        <v>7</v>
      </c>
      <c r="AJ10">
        <f>+COUNTIF(F10:AE10,"c")</f>
        <v>0</v>
      </c>
      <c r="AL10">
        <f>+$AG$5*AG10</f>
        <v>0</v>
      </c>
      <c r="AM10">
        <f>+$AH$5*AH10</f>
        <v>57</v>
      </c>
      <c r="AN10">
        <f>+$AI$5*AI10</f>
        <v>14</v>
      </c>
      <c r="AO10">
        <f>+$AJ$5*AJ10</f>
        <v>0</v>
      </c>
      <c r="AP10">
        <f>+SUM(AL10:AO10)</f>
        <v>71</v>
      </c>
    </row>
    <row r="11" spans="1:42" ht="14.4" hidden="1" x14ac:dyDescent="0.3">
      <c r="A11" s="16"/>
      <c r="B11" s="55">
        <v>6</v>
      </c>
      <c r="C11" s="56" t="s">
        <v>27</v>
      </c>
      <c r="D11" s="55">
        <v>1</v>
      </c>
      <c r="E11" s="55" t="s">
        <v>20</v>
      </c>
      <c r="F11" s="18" t="s">
        <v>20</v>
      </c>
      <c r="G11" s="18" t="s">
        <v>20</v>
      </c>
      <c r="H11" s="18" t="s">
        <v>20</v>
      </c>
      <c r="I11" s="18" t="s">
        <v>20</v>
      </c>
      <c r="J11" s="18" t="s">
        <v>20</v>
      </c>
      <c r="K11" s="18" t="s">
        <v>20</v>
      </c>
      <c r="L11" s="18" t="s">
        <v>20</v>
      </c>
      <c r="M11" s="19" t="s">
        <v>20</v>
      </c>
      <c r="N11" s="19" t="s">
        <v>20</v>
      </c>
      <c r="O11" s="19" t="s">
        <v>20</v>
      </c>
      <c r="P11" s="19" t="s">
        <v>20</v>
      </c>
      <c r="Q11" s="18" t="s">
        <v>21</v>
      </c>
      <c r="R11" s="18" t="s">
        <v>21</v>
      </c>
      <c r="S11" s="19" t="s">
        <v>20</v>
      </c>
      <c r="T11" s="18" t="s">
        <v>21</v>
      </c>
      <c r="U11" s="18" t="s">
        <v>21</v>
      </c>
      <c r="V11" s="18" t="s">
        <v>21</v>
      </c>
      <c r="W11" s="18" t="s">
        <v>20</v>
      </c>
      <c r="X11" s="18" t="s">
        <v>20</v>
      </c>
      <c r="Y11" s="19" t="s">
        <v>20</v>
      </c>
      <c r="Z11" s="19" t="s">
        <v>21</v>
      </c>
      <c r="AA11" s="20" t="s">
        <v>21</v>
      </c>
      <c r="AB11" s="20" t="s">
        <v>21</v>
      </c>
      <c r="AC11" s="20" t="s">
        <v>21</v>
      </c>
      <c r="AD11" s="19" t="s">
        <v>21</v>
      </c>
      <c r="AE11" s="19" t="s">
        <v>21</v>
      </c>
      <c r="AG11">
        <f>+COUNTIF(F11:AE11,"AD")</f>
        <v>0</v>
      </c>
      <c r="AH11">
        <f>+COUNTIF(F11:AE11,"A")</f>
        <v>15</v>
      </c>
      <c r="AI11">
        <f>+COUNTIF(F11:AE11,"b")</f>
        <v>11</v>
      </c>
      <c r="AJ11">
        <f>+COUNTIF(F11:AE11,"c")</f>
        <v>0</v>
      </c>
      <c r="AL11">
        <f>+$AG$5*AG11</f>
        <v>0</v>
      </c>
      <c r="AM11">
        <f>+$AH$5*AH11</f>
        <v>45</v>
      </c>
      <c r="AN11">
        <f>+$AI$5*AI11</f>
        <v>22</v>
      </c>
      <c r="AO11">
        <f>+$AJ$5*AJ11</f>
        <v>0</v>
      </c>
      <c r="AP11">
        <f>+SUM(AL11:AO11)</f>
        <v>67</v>
      </c>
    </row>
    <row r="12" spans="1:42" ht="14.4" hidden="1" x14ac:dyDescent="0.3">
      <c r="A12" s="16"/>
      <c r="B12" s="55">
        <v>4</v>
      </c>
      <c r="C12" s="56" t="s">
        <v>25</v>
      </c>
      <c r="D12" s="55">
        <v>1</v>
      </c>
      <c r="E12" s="55" t="s">
        <v>20</v>
      </c>
      <c r="F12" s="18" t="s">
        <v>20</v>
      </c>
      <c r="G12" s="18" t="s">
        <v>21</v>
      </c>
      <c r="H12" s="18" t="s">
        <v>21</v>
      </c>
      <c r="I12" s="18" t="s">
        <v>21</v>
      </c>
      <c r="J12" s="18" t="s">
        <v>20</v>
      </c>
      <c r="K12" s="18" t="s">
        <v>20</v>
      </c>
      <c r="L12" s="18" t="s">
        <v>20</v>
      </c>
      <c r="M12" s="19" t="s">
        <v>21</v>
      </c>
      <c r="N12" s="19" t="s">
        <v>21</v>
      </c>
      <c r="O12" s="19" t="s">
        <v>20</v>
      </c>
      <c r="P12" s="19" t="s">
        <v>20</v>
      </c>
      <c r="Q12" s="18" t="s">
        <v>20</v>
      </c>
      <c r="R12" s="18" t="s">
        <v>21</v>
      </c>
      <c r="S12" s="19" t="s">
        <v>20</v>
      </c>
      <c r="T12" s="18" t="s">
        <v>21</v>
      </c>
      <c r="U12" s="18" t="s">
        <v>20</v>
      </c>
      <c r="V12" s="18" t="s">
        <v>21</v>
      </c>
      <c r="W12" s="18" t="s">
        <v>20</v>
      </c>
      <c r="X12" s="18" t="s">
        <v>20</v>
      </c>
      <c r="Y12" s="19" t="s">
        <v>21</v>
      </c>
      <c r="Z12" s="19" t="s">
        <v>20</v>
      </c>
      <c r="AA12" s="20" t="s">
        <v>21</v>
      </c>
      <c r="AB12" s="20" t="s">
        <v>21</v>
      </c>
      <c r="AC12" s="20" t="s">
        <v>21</v>
      </c>
      <c r="AD12" s="19" t="s">
        <v>20</v>
      </c>
      <c r="AE12" s="19" t="s">
        <v>21</v>
      </c>
      <c r="AG12">
        <f>+COUNTIF(F12:AE12,"AD")</f>
        <v>0</v>
      </c>
      <c r="AH12">
        <f>+COUNTIF(F12:AE12,"A")</f>
        <v>13</v>
      </c>
      <c r="AI12">
        <f>+COUNTIF(F12:AE12,"b")</f>
        <v>13</v>
      </c>
      <c r="AJ12">
        <f>+COUNTIF(F12:AE12,"c")</f>
        <v>0</v>
      </c>
      <c r="AL12">
        <f>+$AG$5*AG12</f>
        <v>0</v>
      </c>
      <c r="AM12">
        <f>+$AH$5*AH12</f>
        <v>39</v>
      </c>
      <c r="AN12">
        <f>+$AI$5*AI12</f>
        <v>26</v>
      </c>
      <c r="AO12">
        <f>+$AJ$5*AJ12</f>
        <v>0</v>
      </c>
      <c r="AP12">
        <f>+SUM(AL12:AO12)</f>
        <v>65</v>
      </c>
    </row>
    <row r="13" spans="1:42" ht="14.4" hidden="1" x14ac:dyDescent="0.3">
      <c r="A13" s="16"/>
      <c r="B13" s="55">
        <v>5</v>
      </c>
      <c r="C13" s="56" t="s">
        <v>26</v>
      </c>
      <c r="D13" s="55">
        <v>1</v>
      </c>
      <c r="E13" s="55" t="s">
        <v>20</v>
      </c>
      <c r="F13" s="18" t="s">
        <v>21</v>
      </c>
      <c r="G13" s="18" t="s">
        <v>21</v>
      </c>
      <c r="H13" s="18" t="s">
        <v>21</v>
      </c>
      <c r="I13" s="18" t="s">
        <v>21</v>
      </c>
      <c r="J13" s="18" t="s">
        <v>20</v>
      </c>
      <c r="K13" s="18" t="s">
        <v>20</v>
      </c>
      <c r="L13" s="18" t="s">
        <v>20</v>
      </c>
      <c r="M13" s="19" t="s">
        <v>20</v>
      </c>
      <c r="N13" s="19" t="s">
        <v>21</v>
      </c>
      <c r="O13" s="19" t="s">
        <v>20</v>
      </c>
      <c r="P13" s="19" t="s">
        <v>21</v>
      </c>
      <c r="Q13" s="18" t="s">
        <v>21</v>
      </c>
      <c r="R13" s="18" t="s">
        <v>21</v>
      </c>
      <c r="S13" s="19" t="s">
        <v>20</v>
      </c>
      <c r="T13" s="18" t="s">
        <v>21</v>
      </c>
      <c r="U13" s="18" t="s">
        <v>21</v>
      </c>
      <c r="V13" s="18" t="s">
        <v>20</v>
      </c>
      <c r="W13" s="18" t="s">
        <v>21</v>
      </c>
      <c r="X13" s="18" t="s">
        <v>20</v>
      </c>
      <c r="Y13" s="19" t="s">
        <v>21</v>
      </c>
      <c r="Z13" s="19" t="s">
        <v>20</v>
      </c>
      <c r="AA13" s="20" t="s">
        <v>21</v>
      </c>
      <c r="AB13" s="20" t="s">
        <v>21</v>
      </c>
      <c r="AC13" s="20" t="s">
        <v>23</v>
      </c>
      <c r="AD13" s="19" t="s">
        <v>21</v>
      </c>
      <c r="AE13" s="19" t="s">
        <v>21</v>
      </c>
      <c r="AG13">
        <f>+COUNTIF(F13:AE13,"AD")</f>
        <v>0</v>
      </c>
      <c r="AH13">
        <f>+COUNTIF(F13:AE13,"A")</f>
        <v>9</v>
      </c>
      <c r="AI13">
        <f>+COUNTIF(F13:AE13,"b")</f>
        <v>16</v>
      </c>
      <c r="AJ13">
        <f>+COUNTIF(F13:AE13,"c")</f>
        <v>1</v>
      </c>
      <c r="AL13">
        <f>+$AG$5*AG13</f>
        <v>0</v>
      </c>
      <c r="AM13">
        <f>+$AH$5*AH13</f>
        <v>27</v>
      </c>
      <c r="AN13">
        <f>+$AI$5*AI13</f>
        <v>32</v>
      </c>
      <c r="AO13">
        <f>+$AJ$5*AJ13</f>
        <v>1</v>
      </c>
      <c r="AP13">
        <f>+SUM(AL13:AO13)</f>
        <v>60</v>
      </c>
    </row>
    <row r="14" spans="1:42" ht="14.4" hidden="1" x14ac:dyDescent="0.3">
      <c r="A14" s="16"/>
      <c r="B14" s="55">
        <v>9</v>
      </c>
      <c r="C14" s="56" t="s">
        <v>30</v>
      </c>
      <c r="D14" s="55">
        <v>1</v>
      </c>
      <c r="E14" s="55" t="s">
        <v>20</v>
      </c>
      <c r="F14" s="18" t="s">
        <v>21</v>
      </c>
      <c r="G14" s="18" t="s">
        <v>21</v>
      </c>
      <c r="H14" s="18" t="s">
        <v>23</v>
      </c>
      <c r="I14" s="18" t="s">
        <v>21</v>
      </c>
      <c r="J14" s="18" t="s">
        <v>20</v>
      </c>
      <c r="K14" s="18" t="s">
        <v>20</v>
      </c>
      <c r="L14" s="18" t="s">
        <v>20</v>
      </c>
      <c r="M14" s="19" t="s">
        <v>20</v>
      </c>
      <c r="N14" s="19" t="s">
        <v>21</v>
      </c>
      <c r="O14" s="19" t="s">
        <v>20</v>
      </c>
      <c r="P14" s="19" t="s">
        <v>21</v>
      </c>
      <c r="Q14" s="18" t="s">
        <v>21</v>
      </c>
      <c r="R14" s="18" t="s">
        <v>21</v>
      </c>
      <c r="S14" s="19" t="s">
        <v>21</v>
      </c>
      <c r="T14" s="18" t="s">
        <v>20</v>
      </c>
      <c r="U14" s="18" t="s">
        <v>21</v>
      </c>
      <c r="V14" s="18" t="s">
        <v>21</v>
      </c>
      <c r="W14" s="18" t="s">
        <v>20</v>
      </c>
      <c r="X14" s="18" t="s">
        <v>20</v>
      </c>
      <c r="Y14" s="19" t="s">
        <v>21</v>
      </c>
      <c r="Z14" s="19" t="s">
        <v>20</v>
      </c>
      <c r="AA14" s="20" t="s">
        <v>21</v>
      </c>
      <c r="AB14" s="20" t="s">
        <v>21</v>
      </c>
      <c r="AC14" s="20" t="s">
        <v>23</v>
      </c>
      <c r="AD14" s="19" t="s">
        <v>20</v>
      </c>
      <c r="AE14" s="19" t="s">
        <v>21</v>
      </c>
      <c r="AG14">
        <f>+COUNTIF(F14:AE14,"AD")</f>
        <v>0</v>
      </c>
      <c r="AH14">
        <f>+COUNTIF(F14:AE14,"A")</f>
        <v>10</v>
      </c>
      <c r="AI14">
        <f>+COUNTIF(F14:AE14,"b")</f>
        <v>14</v>
      </c>
      <c r="AJ14">
        <f>+COUNTIF(F14:AE14,"c")</f>
        <v>2</v>
      </c>
      <c r="AL14">
        <f>+$AG$5*AG14</f>
        <v>0</v>
      </c>
      <c r="AM14">
        <f>+$AH$5*AH14</f>
        <v>30</v>
      </c>
      <c r="AN14">
        <f>+$AI$5*AI14</f>
        <v>28</v>
      </c>
      <c r="AO14">
        <f>+$AJ$5*AJ14</f>
        <v>2</v>
      </c>
      <c r="AP14">
        <f>+SUM(AL14:AO14)</f>
        <v>60</v>
      </c>
    </row>
    <row r="15" spans="1:42" ht="14.4" hidden="1" x14ac:dyDescent="0.3">
      <c r="A15" s="16"/>
      <c r="B15" s="55">
        <v>11</v>
      </c>
      <c r="C15" s="56" t="s">
        <v>32</v>
      </c>
      <c r="D15" s="55">
        <v>1</v>
      </c>
      <c r="E15" s="55" t="s">
        <v>20</v>
      </c>
      <c r="F15" s="18" t="s">
        <v>21</v>
      </c>
      <c r="G15" s="18" t="s">
        <v>21</v>
      </c>
      <c r="H15" s="18" t="s">
        <v>21</v>
      </c>
      <c r="I15" s="18" t="s">
        <v>21</v>
      </c>
      <c r="J15" s="18" t="s">
        <v>20</v>
      </c>
      <c r="K15" s="18" t="s">
        <v>20</v>
      </c>
      <c r="L15" s="18" t="s">
        <v>20</v>
      </c>
      <c r="M15" s="19" t="s">
        <v>21</v>
      </c>
      <c r="N15" s="19" t="s">
        <v>21</v>
      </c>
      <c r="O15" s="19" t="s">
        <v>20</v>
      </c>
      <c r="P15" s="19" t="s">
        <v>21</v>
      </c>
      <c r="Q15" s="18" t="s">
        <v>21</v>
      </c>
      <c r="R15" s="18" t="s">
        <v>23</v>
      </c>
      <c r="S15" s="19" t="s">
        <v>21</v>
      </c>
      <c r="T15" s="18" t="s">
        <v>20</v>
      </c>
      <c r="U15" s="18" t="s">
        <v>21</v>
      </c>
      <c r="V15" s="18" t="s">
        <v>20</v>
      </c>
      <c r="W15" s="18" t="s">
        <v>21</v>
      </c>
      <c r="X15" s="18" t="s">
        <v>20</v>
      </c>
      <c r="Y15" s="19" t="s">
        <v>20</v>
      </c>
      <c r="Z15" s="19" t="s">
        <v>20</v>
      </c>
      <c r="AA15" s="20" t="s">
        <v>21</v>
      </c>
      <c r="AB15" s="20" t="s">
        <v>21</v>
      </c>
      <c r="AC15" s="20" t="s">
        <v>23</v>
      </c>
      <c r="AD15" s="19" t="s">
        <v>21</v>
      </c>
      <c r="AE15" s="19" t="s">
        <v>21</v>
      </c>
      <c r="AG15">
        <f>+COUNTIF(F15:AE15,"AD")</f>
        <v>0</v>
      </c>
      <c r="AH15">
        <f>+COUNTIF(F15:AE15,"A")</f>
        <v>9</v>
      </c>
      <c r="AI15">
        <f>+COUNTIF(F15:AE15,"b")</f>
        <v>15</v>
      </c>
      <c r="AJ15">
        <f>+COUNTIF(F15:AE15,"c")</f>
        <v>2</v>
      </c>
      <c r="AL15">
        <f>+$AG$5*AG15</f>
        <v>0</v>
      </c>
      <c r="AM15">
        <f>+$AH$5*AH15</f>
        <v>27</v>
      </c>
      <c r="AN15">
        <f>+$AI$5*AI15</f>
        <v>30</v>
      </c>
      <c r="AO15">
        <f>+$AJ$5*AJ15</f>
        <v>2</v>
      </c>
      <c r="AP15">
        <f>+SUM(AL15:AO15)</f>
        <v>59</v>
      </c>
    </row>
    <row r="16" spans="1:42" ht="14.4" hidden="1" x14ac:dyDescent="0.3">
      <c r="A16" s="16"/>
      <c r="B16" s="55">
        <v>15</v>
      </c>
      <c r="C16" s="56" t="s">
        <v>36</v>
      </c>
      <c r="D16" s="55">
        <v>1</v>
      </c>
      <c r="E16" s="55" t="s">
        <v>20</v>
      </c>
      <c r="F16" s="18" t="s">
        <v>21</v>
      </c>
      <c r="G16" s="18" t="s">
        <v>21</v>
      </c>
      <c r="H16" s="18" t="s">
        <v>21</v>
      </c>
      <c r="I16" s="18" t="s">
        <v>21</v>
      </c>
      <c r="J16" s="18" t="s">
        <v>21</v>
      </c>
      <c r="K16" s="18" t="s">
        <v>21</v>
      </c>
      <c r="L16" s="18" t="s">
        <v>21</v>
      </c>
      <c r="M16" s="19" t="s">
        <v>20</v>
      </c>
      <c r="N16" s="19" t="s">
        <v>21</v>
      </c>
      <c r="O16" s="19" t="s">
        <v>20</v>
      </c>
      <c r="P16" s="19" t="s">
        <v>21</v>
      </c>
      <c r="Q16" s="18" t="s">
        <v>21</v>
      </c>
      <c r="R16" s="18" t="s">
        <v>21</v>
      </c>
      <c r="S16" s="19" t="s">
        <v>20</v>
      </c>
      <c r="T16" s="18" t="s">
        <v>21</v>
      </c>
      <c r="U16" s="18" t="s">
        <v>21</v>
      </c>
      <c r="V16" s="18" t="s">
        <v>21</v>
      </c>
      <c r="W16" s="18" t="s">
        <v>20</v>
      </c>
      <c r="X16" s="18" t="s">
        <v>20</v>
      </c>
      <c r="Y16" s="19" t="s">
        <v>20</v>
      </c>
      <c r="Z16" s="19" t="s">
        <v>20</v>
      </c>
      <c r="AA16" s="20" t="s">
        <v>21</v>
      </c>
      <c r="AB16" s="20" t="s">
        <v>21</v>
      </c>
      <c r="AC16" s="20" t="s">
        <v>23</v>
      </c>
      <c r="AD16" s="19" t="s">
        <v>20</v>
      </c>
      <c r="AE16" s="19" t="s">
        <v>21</v>
      </c>
      <c r="AG16">
        <f>+COUNTIF(F16:AE16,"AD")</f>
        <v>0</v>
      </c>
      <c r="AH16">
        <f>+COUNTIF(F16:AE16,"A")</f>
        <v>8</v>
      </c>
      <c r="AI16">
        <f>+COUNTIF(F16:AE16,"b")</f>
        <v>17</v>
      </c>
      <c r="AJ16">
        <f>+COUNTIF(F16:AE16,"c")</f>
        <v>1</v>
      </c>
      <c r="AL16">
        <f>+$AG$5*AG16</f>
        <v>0</v>
      </c>
      <c r="AM16">
        <f>+$AH$5*AH16</f>
        <v>24</v>
      </c>
      <c r="AN16">
        <f>+$AI$5*AI16</f>
        <v>34</v>
      </c>
      <c r="AO16">
        <f>+$AJ$5*AJ16</f>
        <v>1</v>
      </c>
      <c r="AP16">
        <f>+SUM(AL16:AO16)</f>
        <v>59</v>
      </c>
    </row>
    <row r="17" spans="1:42" ht="14.4" hidden="1" x14ac:dyDescent="0.3">
      <c r="A17" s="16"/>
      <c r="B17" s="55">
        <v>10</v>
      </c>
      <c r="C17" s="56" t="s">
        <v>31</v>
      </c>
      <c r="D17" s="55">
        <v>1</v>
      </c>
      <c r="E17" s="55" t="s">
        <v>20</v>
      </c>
      <c r="F17" s="18" t="s">
        <v>21</v>
      </c>
      <c r="G17" s="18" t="s">
        <v>21</v>
      </c>
      <c r="H17" s="18" t="s">
        <v>21</v>
      </c>
      <c r="I17" s="18" t="s">
        <v>21</v>
      </c>
      <c r="J17" s="18" t="s">
        <v>21</v>
      </c>
      <c r="K17" s="18" t="s">
        <v>21</v>
      </c>
      <c r="L17" s="18" t="s">
        <v>21</v>
      </c>
      <c r="M17" s="19" t="s">
        <v>21</v>
      </c>
      <c r="N17" s="19" t="s">
        <v>21</v>
      </c>
      <c r="O17" s="19" t="s">
        <v>20</v>
      </c>
      <c r="P17" s="19" t="s">
        <v>21</v>
      </c>
      <c r="Q17" s="18" t="s">
        <v>21</v>
      </c>
      <c r="R17" s="18" t="s">
        <v>21</v>
      </c>
      <c r="S17" s="19" t="s">
        <v>20</v>
      </c>
      <c r="T17" s="18" t="s">
        <v>21</v>
      </c>
      <c r="U17" s="18" t="s">
        <v>21</v>
      </c>
      <c r="V17" s="18" t="s">
        <v>20</v>
      </c>
      <c r="W17" s="18" t="s">
        <v>20</v>
      </c>
      <c r="X17" s="18" t="s">
        <v>20</v>
      </c>
      <c r="Y17" s="19" t="s">
        <v>21</v>
      </c>
      <c r="Z17" s="19" t="s">
        <v>20</v>
      </c>
      <c r="AA17" s="20" t="s">
        <v>21</v>
      </c>
      <c r="AB17" s="20" t="s">
        <v>21</v>
      </c>
      <c r="AC17" s="20" t="s">
        <v>23</v>
      </c>
      <c r="AD17" s="19" t="s">
        <v>21</v>
      </c>
      <c r="AE17" s="19" t="s">
        <v>21</v>
      </c>
      <c r="AG17">
        <f>+COUNTIF(F17:AE17,"AD")</f>
        <v>0</v>
      </c>
      <c r="AH17">
        <f>+COUNTIF(F17:AE17,"A")</f>
        <v>6</v>
      </c>
      <c r="AI17">
        <f>+COUNTIF(F17:AE17,"b")</f>
        <v>19</v>
      </c>
      <c r="AJ17">
        <f>+COUNTIF(F17:AE17,"c")</f>
        <v>1</v>
      </c>
      <c r="AL17">
        <f>+$AG$5*AG17</f>
        <v>0</v>
      </c>
      <c r="AM17">
        <f>+$AH$5*AH17</f>
        <v>18</v>
      </c>
      <c r="AN17">
        <f>+$AI$5*AI17</f>
        <v>38</v>
      </c>
      <c r="AO17">
        <f>+$AJ$5*AJ17</f>
        <v>1</v>
      </c>
      <c r="AP17">
        <f>+SUM(AL17:AO17)</f>
        <v>57</v>
      </c>
    </row>
    <row r="18" spans="1:42" ht="14.4" hidden="1" x14ac:dyDescent="0.3">
      <c r="A18" s="16"/>
      <c r="B18" s="55">
        <v>18</v>
      </c>
      <c r="C18" s="56" t="s">
        <v>40</v>
      </c>
      <c r="D18" s="55">
        <v>1</v>
      </c>
      <c r="E18" s="55" t="s">
        <v>20</v>
      </c>
      <c r="F18" s="18" t="s">
        <v>21</v>
      </c>
      <c r="G18" s="18" t="s">
        <v>21</v>
      </c>
      <c r="H18" s="18" t="s">
        <v>21</v>
      </c>
      <c r="I18" s="18" t="s">
        <v>21</v>
      </c>
      <c r="J18" s="18" t="s">
        <v>21</v>
      </c>
      <c r="K18" s="18" t="s">
        <v>21</v>
      </c>
      <c r="L18" s="18" t="s">
        <v>21</v>
      </c>
      <c r="M18" s="19" t="s">
        <v>21</v>
      </c>
      <c r="N18" s="19" t="s">
        <v>21</v>
      </c>
      <c r="O18" s="19" t="s">
        <v>20</v>
      </c>
      <c r="P18" s="19" t="s">
        <v>21</v>
      </c>
      <c r="Q18" s="18" t="s">
        <v>21</v>
      </c>
      <c r="R18" s="18" t="s">
        <v>21</v>
      </c>
      <c r="S18" s="19" t="s">
        <v>23</v>
      </c>
      <c r="T18" s="18" t="s">
        <v>23</v>
      </c>
      <c r="U18" s="18" t="s">
        <v>20</v>
      </c>
      <c r="V18" s="18" t="s">
        <v>21</v>
      </c>
      <c r="W18" s="18" t="s">
        <v>20</v>
      </c>
      <c r="X18" s="18" t="s">
        <v>20</v>
      </c>
      <c r="Y18" s="19" t="s">
        <v>20</v>
      </c>
      <c r="Z18" s="19" t="s">
        <v>20</v>
      </c>
      <c r="AA18" s="20" t="s">
        <v>21</v>
      </c>
      <c r="AB18" s="20" t="s">
        <v>21</v>
      </c>
      <c r="AC18" s="20" t="s">
        <v>23</v>
      </c>
      <c r="AD18" s="19" t="s">
        <v>21</v>
      </c>
      <c r="AE18" s="19" t="s">
        <v>21</v>
      </c>
      <c r="AG18">
        <f>+COUNTIF(F18:AE18,"AD")</f>
        <v>0</v>
      </c>
      <c r="AH18">
        <f>+COUNTIF(F18:AE18,"A")</f>
        <v>6</v>
      </c>
      <c r="AI18">
        <f>+COUNTIF(F18:AE18,"b")</f>
        <v>17</v>
      </c>
      <c r="AJ18">
        <f>+COUNTIF(F18:AE18,"c")</f>
        <v>3</v>
      </c>
      <c r="AL18">
        <f>+$AG$5*AG18</f>
        <v>0</v>
      </c>
      <c r="AM18">
        <f>+$AH$5*AH18</f>
        <v>18</v>
      </c>
      <c r="AN18">
        <f>+$AI$5*AI18</f>
        <v>34</v>
      </c>
      <c r="AO18">
        <f>+$AJ$5*AJ18</f>
        <v>3</v>
      </c>
      <c r="AP18">
        <f>+SUM(AL18:AO18)</f>
        <v>55</v>
      </c>
    </row>
    <row r="19" spans="1:42" ht="14.4" hidden="1" x14ac:dyDescent="0.3">
      <c r="A19" s="16"/>
      <c r="B19" s="55">
        <v>13</v>
      </c>
      <c r="C19" s="56" t="s">
        <v>34</v>
      </c>
      <c r="D19" s="55">
        <v>1</v>
      </c>
      <c r="E19" s="55" t="s">
        <v>20</v>
      </c>
      <c r="F19" s="18" t="s">
        <v>21</v>
      </c>
      <c r="G19" s="18" t="s">
        <v>21</v>
      </c>
      <c r="H19" s="18" t="s">
        <v>23</v>
      </c>
      <c r="I19" s="18" t="s">
        <v>21</v>
      </c>
      <c r="J19" s="18" t="s">
        <v>21</v>
      </c>
      <c r="K19" s="18" t="s">
        <v>21</v>
      </c>
      <c r="L19" s="18" t="s">
        <v>21</v>
      </c>
      <c r="M19" s="19" t="s">
        <v>21</v>
      </c>
      <c r="N19" s="19" t="s">
        <v>21</v>
      </c>
      <c r="O19" s="19" t="s">
        <v>21</v>
      </c>
      <c r="P19" s="19" t="s">
        <v>21</v>
      </c>
      <c r="Q19" s="18" t="s">
        <v>21</v>
      </c>
      <c r="R19" s="18" t="s">
        <v>21</v>
      </c>
      <c r="S19" s="19" t="s">
        <v>23</v>
      </c>
      <c r="T19" s="18" t="s">
        <v>23</v>
      </c>
      <c r="U19" s="18" t="s">
        <v>21</v>
      </c>
      <c r="V19" s="18" t="s">
        <v>21</v>
      </c>
      <c r="W19" s="18" t="s">
        <v>21</v>
      </c>
      <c r="X19" s="18" t="s">
        <v>20</v>
      </c>
      <c r="Y19" s="19" t="s">
        <v>20</v>
      </c>
      <c r="Z19" s="19" t="s">
        <v>20</v>
      </c>
      <c r="AA19" s="20" t="s">
        <v>21</v>
      </c>
      <c r="AB19" s="20" t="s">
        <v>21</v>
      </c>
      <c r="AC19" s="20" t="s">
        <v>23</v>
      </c>
      <c r="AD19" s="19" t="s">
        <v>21</v>
      </c>
      <c r="AE19" s="19" t="s">
        <v>21</v>
      </c>
      <c r="AG19">
        <f>+COUNTIF(F19:AE19,"AD")</f>
        <v>0</v>
      </c>
      <c r="AH19">
        <f>+COUNTIF(F19:AE19,"A")</f>
        <v>3</v>
      </c>
      <c r="AI19">
        <f>+COUNTIF(F19:AE19,"b")</f>
        <v>19</v>
      </c>
      <c r="AJ19">
        <f>+COUNTIF(F19:AE19,"c")</f>
        <v>4</v>
      </c>
      <c r="AL19">
        <f>+$AG$5*AG19</f>
        <v>0</v>
      </c>
      <c r="AM19">
        <f>+$AH$5*AH19</f>
        <v>9</v>
      </c>
      <c r="AN19">
        <f>+$AI$5*AI19</f>
        <v>38</v>
      </c>
      <c r="AO19">
        <f>+$AJ$5*AJ19</f>
        <v>4</v>
      </c>
      <c r="AP19">
        <f>+SUM(AL19:AO19)</f>
        <v>51</v>
      </c>
    </row>
    <row r="20" spans="1:42" ht="14.4" hidden="1" x14ac:dyDescent="0.3">
      <c r="A20" s="16"/>
      <c r="B20" s="55">
        <v>14</v>
      </c>
      <c r="C20" s="56" t="s">
        <v>35</v>
      </c>
      <c r="D20" s="55">
        <v>1</v>
      </c>
      <c r="E20" s="55" t="s">
        <v>20</v>
      </c>
      <c r="F20" s="18" t="s">
        <v>21</v>
      </c>
      <c r="G20" s="18" t="s">
        <v>23</v>
      </c>
      <c r="H20" s="18" t="s">
        <v>21</v>
      </c>
      <c r="I20" s="18" t="s">
        <v>21</v>
      </c>
      <c r="J20" s="18" t="s">
        <v>21</v>
      </c>
      <c r="K20" s="18" t="s">
        <v>21</v>
      </c>
      <c r="L20" s="18" t="s">
        <v>21</v>
      </c>
      <c r="M20" s="19" t="s">
        <v>21</v>
      </c>
      <c r="N20" s="19" t="s">
        <v>21</v>
      </c>
      <c r="O20" s="19" t="s">
        <v>21</v>
      </c>
      <c r="P20" s="19" t="s">
        <v>21</v>
      </c>
      <c r="Q20" s="18" t="s">
        <v>21</v>
      </c>
      <c r="R20" s="18" t="s">
        <v>21</v>
      </c>
      <c r="S20" s="19" t="s">
        <v>23</v>
      </c>
      <c r="T20" s="18" t="s">
        <v>23</v>
      </c>
      <c r="U20" s="18" t="s">
        <v>21</v>
      </c>
      <c r="V20" s="18" t="s">
        <v>20</v>
      </c>
      <c r="W20" s="18" t="s">
        <v>21</v>
      </c>
      <c r="X20" s="18" t="s">
        <v>20</v>
      </c>
      <c r="Y20" s="19" t="s">
        <v>21</v>
      </c>
      <c r="Z20" s="19" t="s">
        <v>20</v>
      </c>
      <c r="AA20" s="20" t="s">
        <v>21</v>
      </c>
      <c r="AB20" s="20" t="s">
        <v>23</v>
      </c>
      <c r="AC20" s="20" t="s">
        <v>23</v>
      </c>
      <c r="AD20" s="19" t="s">
        <v>21</v>
      </c>
      <c r="AE20" s="19" t="s">
        <v>21</v>
      </c>
      <c r="AG20">
        <f>+COUNTIF(F20:AE20,"AD")</f>
        <v>0</v>
      </c>
      <c r="AH20">
        <f>+COUNTIF(F20:AE20,"A")</f>
        <v>3</v>
      </c>
      <c r="AI20">
        <f>+COUNTIF(F20:AE20,"b")</f>
        <v>18</v>
      </c>
      <c r="AJ20">
        <f>+COUNTIF(F20:AE20,"c")</f>
        <v>5</v>
      </c>
      <c r="AL20">
        <f>+$AG$5*AG20</f>
        <v>0</v>
      </c>
      <c r="AM20">
        <f>+$AH$5*AH20</f>
        <v>9</v>
      </c>
      <c r="AN20">
        <f>+$AI$5*AI20</f>
        <v>36</v>
      </c>
      <c r="AO20">
        <f>+$AJ$5*AJ20</f>
        <v>5</v>
      </c>
      <c r="AP20">
        <f>+SUM(AL20:AO20)</f>
        <v>50</v>
      </c>
    </row>
    <row r="21" spans="1:42" ht="14.4" hidden="1" x14ac:dyDescent="0.3">
      <c r="A21" s="16"/>
      <c r="B21" s="55">
        <v>8</v>
      </c>
      <c r="C21" s="56" t="s">
        <v>29</v>
      </c>
      <c r="D21" s="55">
        <v>1</v>
      </c>
      <c r="E21" s="55" t="s">
        <v>20</v>
      </c>
      <c r="F21" s="18" t="s">
        <v>21</v>
      </c>
      <c r="G21" s="18" t="s">
        <v>23</v>
      </c>
      <c r="H21" s="18" t="s">
        <v>21</v>
      </c>
      <c r="I21" s="18" t="s">
        <v>21</v>
      </c>
      <c r="J21" s="18" t="s">
        <v>21</v>
      </c>
      <c r="K21" s="18" t="s">
        <v>21</v>
      </c>
      <c r="L21" s="18" t="s">
        <v>21</v>
      </c>
      <c r="M21" s="19" t="s">
        <v>21</v>
      </c>
      <c r="N21" s="19" t="s">
        <v>21</v>
      </c>
      <c r="O21" s="19" t="s">
        <v>21</v>
      </c>
      <c r="P21" s="19" t="s">
        <v>21</v>
      </c>
      <c r="Q21" s="18" t="s">
        <v>21</v>
      </c>
      <c r="R21" s="18" t="s">
        <v>21</v>
      </c>
      <c r="S21" s="19" t="s">
        <v>23</v>
      </c>
      <c r="T21" s="18" t="s">
        <v>21</v>
      </c>
      <c r="U21" s="18" t="s">
        <v>21</v>
      </c>
      <c r="V21" s="18" t="s">
        <v>20</v>
      </c>
      <c r="W21" s="18" t="s">
        <v>21</v>
      </c>
      <c r="X21" s="18" t="s">
        <v>20</v>
      </c>
      <c r="Y21" s="19" t="s">
        <v>21</v>
      </c>
      <c r="Z21" s="19" t="s">
        <v>21</v>
      </c>
      <c r="AA21" s="20" t="s">
        <v>21</v>
      </c>
      <c r="AB21" s="20" t="s">
        <v>23</v>
      </c>
      <c r="AC21" s="20" t="s">
        <v>23</v>
      </c>
      <c r="AD21" s="19" t="s">
        <v>23</v>
      </c>
      <c r="AE21" s="19" t="s">
        <v>21</v>
      </c>
      <c r="AG21">
        <f>+COUNTIF(F21:AE21,"AD")</f>
        <v>0</v>
      </c>
      <c r="AH21">
        <f>+COUNTIF(F21:AE21,"A")</f>
        <v>2</v>
      </c>
      <c r="AI21">
        <f>+COUNTIF(F21:AE21,"b")</f>
        <v>19</v>
      </c>
      <c r="AJ21">
        <f>+COUNTIF(F21:AE21,"c")</f>
        <v>5</v>
      </c>
      <c r="AL21">
        <f>+$AG$5*AG21</f>
        <v>0</v>
      </c>
      <c r="AM21">
        <f>+$AH$5*AH21</f>
        <v>6</v>
      </c>
      <c r="AN21">
        <f>+$AI$5*AI21</f>
        <v>38</v>
      </c>
      <c r="AO21">
        <f>+$AJ$5*AJ21</f>
        <v>5</v>
      </c>
      <c r="AP21">
        <f>+SUM(AL21:AO21)</f>
        <v>49</v>
      </c>
    </row>
    <row r="22" spans="1:42" ht="15.75" hidden="1" customHeight="1" x14ac:dyDescent="0.3">
      <c r="A22" s="16"/>
      <c r="B22" s="55">
        <v>12</v>
      </c>
      <c r="C22" s="56" t="s">
        <v>33</v>
      </c>
      <c r="D22" s="55">
        <v>1</v>
      </c>
      <c r="E22" s="55" t="s">
        <v>20</v>
      </c>
      <c r="F22" s="18" t="s">
        <v>21</v>
      </c>
      <c r="G22" s="18" t="s">
        <v>21</v>
      </c>
      <c r="H22" s="18" t="s">
        <v>21</v>
      </c>
      <c r="I22" s="18" t="s">
        <v>23</v>
      </c>
      <c r="J22" s="18" t="s">
        <v>21</v>
      </c>
      <c r="K22" s="18" t="s">
        <v>21</v>
      </c>
      <c r="L22" s="18" t="s">
        <v>21</v>
      </c>
      <c r="M22" s="19" t="s">
        <v>21</v>
      </c>
      <c r="N22" s="19" t="s">
        <v>21</v>
      </c>
      <c r="O22" s="19" t="s">
        <v>21</v>
      </c>
      <c r="P22" s="19" t="s">
        <v>21</v>
      </c>
      <c r="Q22" s="18" t="s">
        <v>21</v>
      </c>
      <c r="R22" s="18" t="s">
        <v>21</v>
      </c>
      <c r="S22" s="19" t="s">
        <v>23</v>
      </c>
      <c r="T22" s="18" t="s">
        <v>23</v>
      </c>
      <c r="U22" s="18" t="s">
        <v>21</v>
      </c>
      <c r="V22" s="18" t="s">
        <v>21</v>
      </c>
      <c r="W22" s="18" t="s">
        <v>21</v>
      </c>
      <c r="X22" s="18" t="s">
        <v>20</v>
      </c>
      <c r="Y22" s="19" t="s">
        <v>20</v>
      </c>
      <c r="Z22" s="19" t="s">
        <v>20</v>
      </c>
      <c r="AA22" s="20" t="s">
        <v>23</v>
      </c>
      <c r="AB22" s="20" t="s">
        <v>23</v>
      </c>
      <c r="AC22" s="20" t="s">
        <v>23</v>
      </c>
      <c r="AD22" s="19" t="s">
        <v>23</v>
      </c>
      <c r="AE22" s="19" t="s">
        <v>21</v>
      </c>
      <c r="AG22">
        <f>+COUNTIF(F22:AE22,"AD")</f>
        <v>0</v>
      </c>
      <c r="AH22">
        <f>+COUNTIF(F22:AE22,"A")</f>
        <v>3</v>
      </c>
      <c r="AI22">
        <f>+COUNTIF(F22:AE22,"b")</f>
        <v>16</v>
      </c>
      <c r="AJ22">
        <f>+COUNTIF(F22:AE22,"c")</f>
        <v>7</v>
      </c>
      <c r="AL22">
        <f>+$AG$5*AG22</f>
        <v>0</v>
      </c>
      <c r="AM22">
        <f>+$AH$5*AH22</f>
        <v>9</v>
      </c>
      <c r="AN22">
        <f>+$AI$5*AI22</f>
        <v>32</v>
      </c>
      <c r="AO22">
        <f>+$AJ$5*AJ22</f>
        <v>7</v>
      </c>
      <c r="AP22">
        <f>+SUM(AL22:AO22)</f>
        <v>48</v>
      </c>
    </row>
    <row r="23" spans="1:42" ht="15.75" hidden="1" customHeight="1" thickBot="1" x14ac:dyDescent="0.35">
      <c r="A23" s="16"/>
      <c r="B23" s="57">
        <v>2</v>
      </c>
      <c r="C23" s="58" t="s">
        <v>22</v>
      </c>
      <c r="D23" s="57">
        <v>1</v>
      </c>
      <c r="E23" s="57" t="s">
        <v>20</v>
      </c>
      <c r="F23" s="21" t="s">
        <v>21</v>
      </c>
      <c r="G23" s="21" t="s">
        <v>23</v>
      </c>
      <c r="H23" s="21" t="s">
        <v>21</v>
      </c>
      <c r="I23" s="21" t="s">
        <v>21</v>
      </c>
      <c r="J23" s="21" t="s">
        <v>21</v>
      </c>
      <c r="K23" s="21" t="s">
        <v>21</v>
      </c>
      <c r="L23" s="21" t="s">
        <v>21</v>
      </c>
      <c r="M23" s="22" t="s">
        <v>21</v>
      </c>
      <c r="N23" s="22" t="s">
        <v>21</v>
      </c>
      <c r="O23" s="22" t="s">
        <v>23</v>
      </c>
      <c r="P23" s="22" t="s">
        <v>21</v>
      </c>
      <c r="Q23" s="21" t="s">
        <v>21</v>
      </c>
      <c r="R23" s="21" t="s">
        <v>21</v>
      </c>
      <c r="S23" s="22" t="s">
        <v>23</v>
      </c>
      <c r="T23" s="21" t="s">
        <v>23</v>
      </c>
      <c r="U23" s="21" t="s">
        <v>21</v>
      </c>
      <c r="V23" s="21" t="s">
        <v>21</v>
      </c>
      <c r="W23" s="21" t="s">
        <v>21</v>
      </c>
      <c r="X23" s="21" t="s">
        <v>20</v>
      </c>
      <c r="Y23" s="22" t="s">
        <v>21</v>
      </c>
      <c r="Z23" s="22" t="s">
        <v>20</v>
      </c>
      <c r="AA23" s="23" t="s">
        <v>23</v>
      </c>
      <c r="AB23" s="23" t="s">
        <v>23</v>
      </c>
      <c r="AC23" s="23" t="s">
        <v>23</v>
      </c>
      <c r="AD23" s="22" t="s">
        <v>23</v>
      </c>
      <c r="AE23" s="22" t="s">
        <v>21</v>
      </c>
      <c r="AG23">
        <f>+COUNTIF(F23:AE23,"AD")</f>
        <v>0</v>
      </c>
      <c r="AH23">
        <f>+COUNTIF(F23:AE23,"A")</f>
        <v>2</v>
      </c>
      <c r="AI23">
        <f>+COUNTIF(F23:AE23,"b")</f>
        <v>16</v>
      </c>
      <c r="AJ23">
        <f>+COUNTIF(F23:AE23,"c")</f>
        <v>8</v>
      </c>
      <c r="AL23">
        <f>+$AG$5*AG23</f>
        <v>0</v>
      </c>
      <c r="AM23">
        <f>+$AH$5*AH23</f>
        <v>6</v>
      </c>
      <c r="AN23">
        <f>+$AI$5*AI23</f>
        <v>32</v>
      </c>
      <c r="AO23">
        <f>+$AJ$5*AJ23</f>
        <v>8</v>
      </c>
      <c r="AP23">
        <f>+SUM(AL23:AO23)</f>
        <v>46</v>
      </c>
    </row>
    <row r="24" spans="1:42" ht="15.75" hidden="1" customHeight="1" x14ac:dyDescent="0.3">
      <c r="A24" s="16"/>
      <c r="B24" s="59">
        <v>1</v>
      </c>
      <c r="C24" s="60" t="s">
        <v>41</v>
      </c>
      <c r="D24" s="59">
        <v>1</v>
      </c>
      <c r="E24" s="59" t="s">
        <v>21</v>
      </c>
      <c r="F24" s="24" t="s">
        <v>39</v>
      </c>
      <c r="G24" s="24" t="s">
        <v>20</v>
      </c>
      <c r="H24" s="24" t="s">
        <v>20</v>
      </c>
      <c r="I24" s="24" t="s">
        <v>20</v>
      </c>
      <c r="J24" s="24" t="s">
        <v>20</v>
      </c>
      <c r="K24" s="24" t="s">
        <v>20</v>
      </c>
      <c r="L24" s="24" t="s">
        <v>20</v>
      </c>
      <c r="M24" s="25" t="s">
        <v>20</v>
      </c>
      <c r="N24" s="25" t="s">
        <v>20</v>
      </c>
      <c r="O24" s="25" t="s">
        <v>20</v>
      </c>
      <c r="P24" s="25" t="s">
        <v>20</v>
      </c>
      <c r="Q24" s="24" t="s">
        <v>20</v>
      </c>
      <c r="R24" s="24" t="s">
        <v>20</v>
      </c>
      <c r="S24" s="25" t="s">
        <v>20</v>
      </c>
      <c r="T24" s="24" t="s">
        <v>20</v>
      </c>
      <c r="U24" s="24" t="s">
        <v>20</v>
      </c>
      <c r="V24" s="24" t="s">
        <v>20</v>
      </c>
      <c r="W24" s="24" t="s">
        <v>20</v>
      </c>
      <c r="X24" s="24" t="s">
        <v>20</v>
      </c>
      <c r="Y24" s="25" t="s">
        <v>20</v>
      </c>
      <c r="Z24" s="25" t="s">
        <v>20</v>
      </c>
      <c r="AA24" s="26" t="s">
        <v>20</v>
      </c>
      <c r="AB24" s="26" t="s">
        <v>20</v>
      </c>
      <c r="AC24" s="27" t="s">
        <v>20</v>
      </c>
      <c r="AD24" s="25" t="s">
        <v>20</v>
      </c>
      <c r="AE24" s="25" t="s">
        <v>21</v>
      </c>
      <c r="AG24">
        <f t="shared" ref="AG24:AG87" si="0">+COUNTIF(F24:AE24,"AD")</f>
        <v>1</v>
      </c>
      <c r="AH24">
        <f t="shared" ref="AH24:AH87" si="1">+COUNTIF(F24:AE24,"A")</f>
        <v>24</v>
      </c>
      <c r="AI24">
        <f t="shared" ref="AI24:AI87" si="2">+COUNTIF(F24:AE24,"b")</f>
        <v>1</v>
      </c>
      <c r="AJ24">
        <f t="shared" ref="AJ24:AJ87" si="3">+COUNTIF(F24:AE24,"c")</f>
        <v>0</v>
      </c>
      <c r="AL24">
        <f t="shared" ref="AL24:AL87" si="4">+$AG$5*AG24</f>
        <v>4</v>
      </c>
      <c r="AM24">
        <f t="shared" ref="AM24:AM87" si="5">+$AH$5*AH24</f>
        <v>72</v>
      </c>
      <c r="AN24">
        <f t="shared" ref="AN24:AN87" si="6">+$AI$5*AI24</f>
        <v>2</v>
      </c>
      <c r="AO24">
        <f t="shared" ref="AO24:AO87" si="7">+$AJ$5*AJ24</f>
        <v>0</v>
      </c>
      <c r="AP24">
        <f t="shared" ref="AP24:AP43" si="8">+SUM(AL24:AO24)</f>
        <v>78</v>
      </c>
    </row>
    <row r="25" spans="1:42" ht="15.75" hidden="1" customHeight="1" x14ac:dyDescent="0.3">
      <c r="A25" s="16"/>
      <c r="B25" s="55">
        <v>2</v>
      </c>
      <c r="C25" s="56" t="s">
        <v>42</v>
      </c>
      <c r="D25" s="55">
        <v>1</v>
      </c>
      <c r="E25" s="55" t="s">
        <v>21</v>
      </c>
      <c r="F25" s="18" t="s">
        <v>21</v>
      </c>
      <c r="G25" s="18" t="s">
        <v>21</v>
      </c>
      <c r="H25" s="18" t="s">
        <v>21</v>
      </c>
      <c r="I25" s="18" t="s">
        <v>21</v>
      </c>
      <c r="J25" s="18" t="s">
        <v>20</v>
      </c>
      <c r="K25" s="18" t="s">
        <v>21</v>
      </c>
      <c r="L25" s="18" t="s">
        <v>21</v>
      </c>
      <c r="M25" s="19" t="s">
        <v>20</v>
      </c>
      <c r="N25" s="19" t="s">
        <v>20</v>
      </c>
      <c r="O25" s="19" t="s">
        <v>20</v>
      </c>
      <c r="P25" s="19" t="s">
        <v>20</v>
      </c>
      <c r="Q25" s="18" t="s">
        <v>20</v>
      </c>
      <c r="R25" s="18" t="s">
        <v>21</v>
      </c>
      <c r="S25" s="19" t="s">
        <v>20</v>
      </c>
      <c r="T25" s="18" t="s">
        <v>20</v>
      </c>
      <c r="U25" s="18" t="s">
        <v>21</v>
      </c>
      <c r="V25" s="18" t="s">
        <v>20</v>
      </c>
      <c r="W25" s="18" t="s">
        <v>20</v>
      </c>
      <c r="X25" s="18" t="s">
        <v>20</v>
      </c>
      <c r="Y25" s="19" t="s">
        <v>20</v>
      </c>
      <c r="Z25" s="19" t="s">
        <v>20</v>
      </c>
      <c r="AA25" s="28" t="s">
        <v>20</v>
      </c>
      <c r="AB25" s="28" t="s">
        <v>21</v>
      </c>
      <c r="AC25" s="20" t="s">
        <v>20</v>
      </c>
      <c r="AD25" s="19" t="s">
        <v>20</v>
      </c>
      <c r="AE25" s="19" t="s">
        <v>21</v>
      </c>
      <c r="AG25">
        <f t="shared" si="0"/>
        <v>0</v>
      </c>
      <c r="AH25">
        <f t="shared" si="1"/>
        <v>16</v>
      </c>
      <c r="AI25">
        <f t="shared" si="2"/>
        <v>10</v>
      </c>
      <c r="AJ25">
        <f t="shared" si="3"/>
        <v>0</v>
      </c>
      <c r="AL25">
        <f t="shared" si="4"/>
        <v>0</v>
      </c>
      <c r="AM25">
        <f t="shared" si="5"/>
        <v>48</v>
      </c>
      <c r="AN25">
        <f t="shared" si="6"/>
        <v>20</v>
      </c>
      <c r="AO25">
        <f t="shared" si="7"/>
        <v>0</v>
      </c>
      <c r="AP25">
        <f t="shared" si="8"/>
        <v>68</v>
      </c>
    </row>
    <row r="26" spans="1:42" ht="15.75" hidden="1" customHeight="1" x14ac:dyDescent="0.3">
      <c r="A26" s="16"/>
      <c r="B26" s="55">
        <v>3</v>
      </c>
      <c r="C26" s="56" t="s">
        <v>43</v>
      </c>
      <c r="D26" s="55">
        <v>1</v>
      </c>
      <c r="E26" s="55" t="s">
        <v>21</v>
      </c>
      <c r="F26" s="18" t="s">
        <v>21</v>
      </c>
      <c r="G26" s="18" t="s">
        <v>20</v>
      </c>
      <c r="H26" s="18" t="s">
        <v>21</v>
      </c>
      <c r="I26" s="18" t="s">
        <v>21</v>
      </c>
      <c r="J26" s="18" t="s">
        <v>21</v>
      </c>
      <c r="K26" s="18" t="s">
        <v>20</v>
      </c>
      <c r="L26" s="18" t="s">
        <v>21</v>
      </c>
      <c r="M26" s="19" t="s">
        <v>20</v>
      </c>
      <c r="N26" s="19" t="s">
        <v>20</v>
      </c>
      <c r="O26" s="19" t="s">
        <v>20</v>
      </c>
      <c r="P26" s="19" t="s">
        <v>20</v>
      </c>
      <c r="Q26" s="18" t="s">
        <v>21</v>
      </c>
      <c r="R26" s="18" t="s">
        <v>21</v>
      </c>
      <c r="S26" s="19" t="s">
        <v>20</v>
      </c>
      <c r="T26" s="18" t="s">
        <v>20</v>
      </c>
      <c r="U26" s="18" t="s">
        <v>21</v>
      </c>
      <c r="V26" s="18" t="s">
        <v>20</v>
      </c>
      <c r="W26" s="18" t="s">
        <v>20</v>
      </c>
      <c r="X26" s="18" t="s">
        <v>20</v>
      </c>
      <c r="Y26" s="19" t="s">
        <v>20</v>
      </c>
      <c r="Z26" s="19" t="s">
        <v>20</v>
      </c>
      <c r="AA26" s="28" t="s">
        <v>20</v>
      </c>
      <c r="AB26" s="28" t="s">
        <v>21</v>
      </c>
      <c r="AC26" s="20" t="s">
        <v>21</v>
      </c>
      <c r="AD26" s="19" t="s">
        <v>20</v>
      </c>
      <c r="AE26" s="19" t="s">
        <v>21</v>
      </c>
      <c r="AG26">
        <f t="shared" si="0"/>
        <v>0</v>
      </c>
      <c r="AH26">
        <f t="shared" si="1"/>
        <v>15</v>
      </c>
      <c r="AI26">
        <f t="shared" si="2"/>
        <v>11</v>
      </c>
      <c r="AJ26">
        <f t="shared" si="3"/>
        <v>0</v>
      </c>
      <c r="AL26">
        <f t="shared" si="4"/>
        <v>0</v>
      </c>
      <c r="AM26">
        <f t="shared" si="5"/>
        <v>45</v>
      </c>
      <c r="AN26">
        <f t="shared" si="6"/>
        <v>22</v>
      </c>
      <c r="AO26">
        <f t="shared" si="7"/>
        <v>0</v>
      </c>
      <c r="AP26">
        <f t="shared" si="8"/>
        <v>67</v>
      </c>
    </row>
    <row r="27" spans="1:42" ht="15.75" hidden="1" customHeight="1" x14ac:dyDescent="0.3">
      <c r="A27" s="16"/>
      <c r="B27" s="55">
        <v>4</v>
      </c>
      <c r="C27" s="56" t="s">
        <v>44</v>
      </c>
      <c r="D27" s="55">
        <v>1</v>
      </c>
      <c r="E27" s="55" t="s">
        <v>21</v>
      </c>
      <c r="F27" s="18" t="s">
        <v>20</v>
      </c>
      <c r="G27" s="18" t="s">
        <v>20</v>
      </c>
      <c r="H27" s="18" t="s">
        <v>20</v>
      </c>
      <c r="I27" s="18" t="s">
        <v>20</v>
      </c>
      <c r="J27" s="18" t="s">
        <v>21</v>
      </c>
      <c r="K27" s="18" t="s">
        <v>21</v>
      </c>
      <c r="L27" s="18" t="s">
        <v>21</v>
      </c>
      <c r="M27" s="18" t="s">
        <v>21</v>
      </c>
      <c r="N27" s="18" t="s">
        <v>20</v>
      </c>
      <c r="O27" s="18" t="s">
        <v>20</v>
      </c>
      <c r="P27" s="18" t="s">
        <v>21</v>
      </c>
      <c r="Q27" s="18" t="s">
        <v>21</v>
      </c>
      <c r="R27" s="18" t="s">
        <v>21</v>
      </c>
      <c r="S27" s="18" t="s">
        <v>20</v>
      </c>
      <c r="T27" s="18" t="s">
        <v>20</v>
      </c>
      <c r="U27" s="18" t="s">
        <v>21</v>
      </c>
      <c r="V27" s="18" t="s">
        <v>20</v>
      </c>
      <c r="W27" s="18" t="s">
        <v>20</v>
      </c>
      <c r="X27" s="18" t="s">
        <v>20</v>
      </c>
      <c r="Y27" s="19" t="s">
        <v>21</v>
      </c>
      <c r="Z27" s="18" t="s">
        <v>20</v>
      </c>
      <c r="AA27" s="28" t="s">
        <v>21</v>
      </c>
      <c r="AB27" s="28" t="s">
        <v>21</v>
      </c>
      <c r="AC27" s="20" t="s">
        <v>21</v>
      </c>
      <c r="AD27" s="29" t="s">
        <v>21</v>
      </c>
      <c r="AE27" s="29" t="s">
        <v>21</v>
      </c>
      <c r="AG27">
        <f t="shared" si="0"/>
        <v>0</v>
      </c>
      <c r="AH27">
        <f t="shared" si="1"/>
        <v>12</v>
      </c>
      <c r="AI27">
        <f t="shared" si="2"/>
        <v>14</v>
      </c>
      <c r="AJ27">
        <f t="shared" si="3"/>
        <v>0</v>
      </c>
      <c r="AL27">
        <f t="shared" si="4"/>
        <v>0</v>
      </c>
      <c r="AM27">
        <f t="shared" si="5"/>
        <v>36</v>
      </c>
      <c r="AN27">
        <f t="shared" si="6"/>
        <v>28</v>
      </c>
      <c r="AO27">
        <f t="shared" si="7"/>
        <v>0</v>
      </c>
      <c r="AP27">
        <f t="shared" si="8"/>
        <v>64</v>
      </c>
    </row>
    <row r="28" spans="1:42" ht="15.75" hidden="1" customHeight="1" x14ac:dyDescent="0.3">
      <c r="A28" s="16"/>
      <c r="B28" s="55">
        <v>5</v>
      </c>
      <c r="C28" s="56" t="s">
        <v>45</v>
      </c>
      <c r="D28" s="55">
        <v>1</v>
      </c>
      <c r="E28" s="55" t="s">
        <v>21</v>
      </c>
      <c r="F28" s="18" t="s">
        <v>21</v>
      </c>
      <c r="G28" s="18" t="s">
        <v>21</v>
      </c>
      <c r="H28" s="18" t="s">
        <v>20</v>
      </c>
      <c r="I28" s="18" t="s">
        <v>21</v>
      </c>
      <c r="J28" s="18" t="s">
        <v>21</v>
      </c>
      <c r="K28" s="18" t="s">
        <v>21</v>
      </c>
      <c r="L28" s="18" t="s">
        <v>21</v>
      </c>
      <c r="M28" s="18" t="s">
        <v>20</v>
      </c>
      <c r="N28" s="18" t="s">
        <v>21</v>
      </c>
      <c r="O28" s="18" t="s">
        <v>20</v>
      </c>
      <c r="P28" s="18" t="s">
        <v>21</v>
      </c>
      <c r="Q28" s="18" t="s">
        <v>21</v>
      </c>
      <c r="R28" s="18" t="s">
        <v>21</v>
      </c>
      <c r="S28" s="18" t="s">
        <v>20</v>
      </c>
      <c r="T28" s="18" t="s">
        <v>20</v>
      </c>
      <c r="U28" s="18" t="s">
        <v>21</v>
      </c>
      <c r="V28" s="18" t="s">
        <v>20</v>
      </c>
      <c r="W28" s="18" t="s">
        <v>20</v>
      </c>
      <c r="X28" s="18" t="s">
        <v>20</v>
      </c>
      <c r="Y28" s="19" t="s">
        <v>21</v>
      </c>
      <c r="Z28" s="18" t="s">
        <v>20</v>
      </c>
      <c r="AA28" s="28" t="s">
        <v>20</v>
      </c>
      <c r="AB28" s="28" t="s">
        <v>20</v>
      </c>
      <c r="AC28" s="20" t="s">
        <v>21</v>
      </c>
      <c r="AD28" s="29" t="s">
        <v>21</v>
      </c>
      <c r="AE28" s="29" t="s">
        <v>21</v>
      </c>
      <c r="AG28">
        <f t="shared" si="0"/>
        <v>0</v>
      </c>
      <c r="AH28">
        <f t="shared" si="1"/>
        <v>11</v>
      </c>
      <c r="AI28">
        <f t="shared" si="2"/>
        <v>15</v>
      </c>
      <c r="AJ28">
        <f t="shared" si="3"/>
        <v>0</v>
      </c>
      <c r="AL28">
        <f t="shared" si="4"/>
        <v>0</v>
      </c>
      <c r="AM28">
        <f t="shared" si="5"/>
        <v>33</v>
      </c>
      <c r="AN28">
        <f t="shared" si="6"/>
        <v>30</v>
      </c>
      <c r="AO28">
        <f t="shared" si="7"/>
        <v>0</v>
      </c>
      <c r="AP28">
        <f t="shared" si="8"/>
        <v>63</v>
      </c>
    </row>
    <row r="29" spans="1:42" ht="15.75" hidden="1" customHeight="1" x14ac:dyDescent="0.3">
      <c r="A29" s="16"/>
      <c r="B29" s="55">
        <v>6</v>
      </c>
      <c r="C29" s="56" t="s">
        <v>46</v>
      </c>
      <c r="D29" s="55">
        <v>1</v>
      </c>
      <c r="E29" s="55" t="s">
        <v>21</v>
      </c>
      <c r="F29" s="18" t="s">
        <v>20</v>
      </c>
      <c r="G29" s="18" t="s">
        <v>20</v>
      </c>
      <c r="H29" s="18" t="s">
        <v>21</v>
      </c>
      <c r="I29" s="18" t="s">
        <v>20</v>
      </c>
      <c r="J29" s="18" t="s">
        <v>21</v>
      </c>
      <c r="K29" s="18" t="s">
        <v>20</v>
      </c>
      <c r="L29" s="18" t="s">
        <v>21</v>
      </c>
      <c r="M29" s="18" t="s">
        <v>20</v>
      </c>
      <c r="N29" s="18" t="s">
        <v>21</v>
      </c>
      <c r="O29" s="18" t="s">
        <v>20</v>
      </c>
      <c r="P29" s="18" t="s">
        <v>21</v>
      </c>
      <c r="Q29" s="18" t="s">
        <v>21</v>
      </c>
      <c r="R29" s="18" t="s">
        <v>21</v>
      </c>
      <c r="S29" s="18" t="s">
        <v>21</v>
      </c>
      <c r="T29" s="18" t="s">
        <v>20</v>
      </c>
      <c r="U29" s="18" t="s">
        <v>21</v>
      </c>
      <c r="V29" s="18" t="s">
        <v>20</v>
      </c>
      <c r="W29" s="18" t="s">
        <v>20</v>
      </c>
      <c r="X29" s="18" t="s">
        <v>20</v>
      </c>
      <c r="Y29" s="19" t="s">
        <v>20</v>
      </c>
      <c r="Z29" s="18" t="s">
        <v>20</v>
      </c>
      <c r="AA29" s="28" t="s">
        <v>20</v>
      </c>
      <c r="AB29" s="28" t="s">
        <v>20</v>
      </c>
      <c r="AC29" s="20" t="s">
        <v>20</v>
      </c>
      <c r="AD29" s="29" t="s">
        <v>21</v>
      </c>
      <c r="AE29" s="29" t="s">
        <v>21</v>
      </c>
      <c r="AG29">
        <f t="shared" si="0"/>
        <v>0</v>
      </c>
      <c r="AH29">
        <f t="shared" si="1"/>
        <v>15</v>
      </c>
      <c r="AI29">
        <f t="shared" si="2"/>
        <v>11</v>
      </c>
      <c r="AJ29">
        <f t="shared" si="3"/>
        <v>0</v>
      </c>
      <c r="AL29">
        <f t="shared" si="4"/>
        <v>0</v>
      </c>
      <c r="AM29">
        <f t="shared" si="5"/>
        <v>45</v>
      </c>
      <c r="AN29">
        <f t="shared" si="6"/>
        <v>22</v>
      </c>
      <c r="AO29">
        <f t="shared" si="7"/>
        <v>0</v>
      </c>
      <c r="AP29">
        <f t="shared" si="8"/>
        <v>67</v>
      </c>
    </row>
    <row r="30" spans="1:42" ht="15.75" hidden="1" customHeight="1" x14ac:dyDescent="0.3">
      <c r="A30" s="16"/>
      <c r="B30" s="55">
        <v>7</v>
      </c>
      <c r="C30" s="56" t="s">
        <v>47</v>
      </c>
      <c r="D30" s="55">
        <v>1</v>
      </c>
      <c r="E30" s="55" t="s">
        <v>21</v>
      </c>
      <c r="F30" s="18" t="s">
        <v>21</v>
      </c>
      <c r="G30" s="18" t="s">
        <v>21</v>
      </c>
      <c r="H30" s="18" t="s">
        <v>20</v>
      </c>
      <c r="I30" s="18" t="s">
        <v>21</v>
      </c>
      <c r="J30" s="18" t="s">
        <v>20</v>
      </c>
      <c r="K30" s="18" t="s">
        <v>20</v>
      </c>
      <c r="L30" s="18" t="s">
        <v>21</v>
      </c>
      <c r="M30" s="18" t="s">
        <v>20</v>
      </c>
      <c r="N30" s="18" t="s">
        <v>21</v>
      </c>
      <c r="O30" s="18" t="s">
        <v>20</v>
      </c>
      <c r="P30" s="18" t="s">
        <v>20</v>
      </c>
      <c r="Q30" s="18" t="s">
        <v>21</v>
      </c>
      <c r="R30" s="18" t="s">
        <v>20</v>
      </c>
      <c r="S30" s="18" t="s">
        <v>20</v>
      </c>
      <c r="T30" s="18" t="s">
        <v>20</v>
      </c>
      <c r="U30" s="18" t="s">
        <v>21</v>
      </c>
      <c r="V30" s="18" t="s">
        <v>20</v>
      </c>
      <c r="W30" s="18" t="s">
        <v>20</v>
      </c>
      <c r="X30" s="18" t="s">
        <v>21</v>
      </c>
      <c r="Y30" s="19" t="s">
        <v>20</v>
      </c>
      <c r="Z30" s="18" t="s">
        <v>20</v>
      </c>
      <c r="AA30" s="28" t="s">
        <v>20</v>
      </c>
      <c r="AB30" s="28" t="s">
        <v>20</v>
      </c>
      <c r="AC30" s="20" t="s">
        <v>20</v>
      </c>
      <c r="AD30" s="29" t="s">
        <v>21</v>
      </c>
      <c r="AE30" s="29" t="s">
        <v>21</v>
      </c>
      <c r="AG30">
        <f t="shared" si="0"/>
        <v>0</v>
      </c>
      <c r="AH30">
        <f t="shared" si="1"/>
        <v>16</v>
      </c>
      <c r="AI30">
        <f t="shared" si="2"/>
        <v>10</v>
      </c>
      <c r="AJ30">
        <f t="shared" si="3"/>
        <v>0</v>
      </c>
      <c r="AL30">
        <f t="shared" si="4"/>
        <v>0</v>
      </c>
      <c r="AM30">
        <f t="shared" si="5"/>
        <v>48</v>
      </c>
      <c r="AN30">
        <f t="shared" si="6"/>
        <v>20</v>
      </c>
      <c r="AO30">
        <f t="shared" si="7"/>
        <v>0</v>
      </c>
      <c r="AP30">
        <f t="shared" si="8"/>
        <v>68</v>
      </c>
    </row>
    <row r="31" spans="1:42" ht="15.75" hidden="1" customHeight="1" x14ac:dyDescent="0.3">
      <c r="A31" s="16"/>
      <c r="B31" s="55">
        <v>8</v>
      </c>
      <c r="C31" s="56" t="s">
        <v>48</v>
      </c>
      <c r="D31" s="55">
        <v>1</v>
      </c>
      <c r="E31" s="55" t="s">
        <v>21</v>
      </c>
      <c r="F31" s="18" t="s">
        <v>20</v>
      </c>
      <c r="G31" s="18" t="s">
        <v>21</v>
      </c>
      <c r="H31" s="18" t="s">
        <v>21</v>
      </c>
      <c r="I31" s="18" t="s">
        <v>21</v>
      </c>
      <c r="J31" s="18" t="s">
        <v>20</v>
      </c>
      <c r="K31" s="18" t="s">
        <v>21</v>
      </c>
      <c r="L31" s="18" t="s">
        <v>21</v>
      </c>
      <c r="M31" s="18" t="s">
        <v>20</v>
      </c>
      <c r="N31" s="18" t="s">
        <v>21</v>
      </c>
      <c r="O31" s="18" t="s">
        <v>21</v>
      </c>
      <c r="P31" s="18" t="s">
        <v>21</v>
      </c>
      <c r="Q31" s="18" t="s">
        <v>21</v>
      </c>
      <c r="R31" s="18" t="s">
        <v>21</v>
      </c>
      <c r="S31" s="18" t="s">
        <v>20</v>
      </c>
      <c r="T31" s="18" t="s">
        <v>20</v>
      </c>
      <c r="U31" s="18" t="s">
        <v>20</v>
      </c>
      <c r="V31" s="18" t="s">
        <v>21</v>
      </c>
      <c r="W31" s="18" t="s">
        <v>20</v>
      </c>
      <c r="X31" s="18" t="s">
        <v>21</v>
      </c>
      <c r="Y31" s="19" t="s">
        <v>21</v>
      </c>
      <c r="Z31" s="18" t="s">
        <v>20</v>
      </c>
      <c r="AA31" s="28" t="s">
        <v>20</v>
      </c>
      <c r="AB31" s="28" t="s">
        <v>20</v>
      </c>
      <c r="AC31" s="20" t="s">
        <v>20</v>
      </c>
      <c r="AD31" s="29" t="s">
        <v>20</v>
      </c>
      <c r="AE31" s="29" t="s">
        <v>21</v>
      </c>
      <c r="AG31">
        <f t="shared" si="0"/>
        <v>0</v>
      </c>
      <c r="AH31">
        <f t="shared" si="1"/>
        <v>12</v>
      </c>
      <c r="AI31">
        <f t="shared" si="2"/>
        <v>14</v>
      </c>
      <c r="AJ31">
        <f t="shared" si="3"/>
        <v>0</v>
      </c>
      <c r="AL31">
        <f t="shared" si="4"/>
        <v>0</v>
      </c>
      <c r="AM31">
        <f t="shared" si="5"/>
        <v>36</v>
      </c>
      <c r="AN31">
        <f t="shared" si="6"/>
        <v>28</v>
      </c>
      <c r="AO31">
        <f t="shared" si="7"/>
        <v>0</v>
      </c>
      <c r="AP31">
        <f t="shared" si="8"/>
        <v>64</v>
      </c>
    </row>
    <row r="32" spans="1:42" ht="15.75" hidden="1" customHeight="1" x14ac:dyDescent="0.3">
      <c r="A32" s="16"/>
      <c r="B32" s="55">
        <v>9</v>
      </c>
      <c r="C32" s="56" t="s">
        <v>49</v>
      </c>
      <c r="D32" s="55">
        <v>1</v>
      </c>
      <c r="E32" s="55" t="s">
        <v>21</v>
      </c>
      <c r="F32" s="18" t="s">
        <v>20</v>
      </c>
      <c r="G32" s="18" t="s">
        <v>21</v>
      </c>
      <c r="H32" s="18" t="s">
        <v>21</v>
      </c>
      <c r="I32" s="18" t="s">
        <v>21</v>
      </c>
      <c r="J32" s="18" t="s">
        <v>21</v>
      </c>
      <c r="K32" s="18" t="s">
        <v>21</v>
      </c>
      <c r="L32" s="18" t="s">
        <v>20</v>
      </c>
      <c r="M32" s="18" t="s">
        <v>20</v>
      </c>
      <c r="N32" s="18" t="s">
        <v>20</v>
      </c>
      <c r="O32" s="18" t="s">
        <v>20</v>
      </c>
      <c r="P32" s="18" t="s">
        <v>20</v>
      </c>
      <c r="Q32" s="18" t="s">
        <v>20</v>
      </c>
      <c r="R32" s="18" t="s">
        <v>20</v>
      </c>
      <c r="S32" s="18" t="s">
        <v>20</v>
      </c>
      <c r="T32" s="18" t="s">
        <v>20</v>
      </c>
      <c r="U32" s="18" t="s">
        <v>21</v>
      </c>
      <c r="V32" s="18" t="s">
        <v>20</v>
      </c>
      <c r="W32" s="18" t="s">
        <v>20</v>
      </c>
      <c r="X32" s="18" t="s">
        <v>20</v>
      </c>
      <c r="Y32" s="19" t="s">
        <v>20</v>
      </c>
      <c r="Z32" s="18" t="s">
        <v>20</v>
      </c>
      <c r="AA32" s="28" t="s">
        <v>21</v>
      </c>
      <c r="AB32" s="28" t="s">
        <v>21</v>
      </c>
      <c r="AC32" s="20" t="s">
        <v>21</v>
      </c>
      <c r="AD32" s="29" t="s">
        <v>21</v>
      </c>
      <c r="AE32" s="29" t="s">
        <v>21</v>
      </c>
      <c r="AG32">
        <f t="shared" si="0"/>
        <v>0</v>
      </c>
      <c r="AH32">
        <f t="shared" si="1"/>
        <v>15</v>
      </c>
      <c r="AI32">
        <f t="shared" si="2"/>
        <v>11</v>
      </c>
      <c r="AJ32">
        <f t="shared" si="3"/>
        <v>0</v>
      </c>
      <c r="AL32">
        <f t="shared" si="4"/>
        <v>0</v>
      </c>
      <c r="AM32">
        <f t="shared" si="5"/>
        <v>45</v>
      </c>
      <c r="AN32">
        <f t="shared" si="6"/>
        <v>22</v>
      </c>
      <c r="AO32">
        <f t="shared" si="7"/>
        <v>0</v>
      </c>
      <c r="AP32">
        <f t="shared" si="8"/>
        <v>67</v>
      </c>
    </row>
    <row r="33" spans="1:42" ht="15.75" hidden="1" customHeight="1" x14ac:dyDescent="0.3">
      <c r="A33" s="16"/>
      <c r="B33" s="55">
        <v>10</v>
      </c>
      <c r="C33" s="56" t="s">
        <v>50</v>
      </c>
      <c r="D33" s="55">
        <v>1</v>
      </c>
      <c r="E33" s="55" t="s">
        <v>21</v>
      </c>
      <c r="F33" s="18" t="s">
        <v>20</v>
      </c>
      <c r="G33" s="18" t="s">
        <v>21</v>
      </c>
      <c r="H33" s="18" t="s">
        <v>20</v>
      </c>
      <c r="I33" s="18" t="s">
        <v>21</v>
      </c>
      <c r="J33" s="18" t="s">
        <v>21</v>
      </c>
      <c r="K33" s="18" t="s">
        <v>21</v>
      </c>
      <c r="L33" s="18" t="s">
        <v>21</v>
      </c>
      <c r="M33" s="18" t="s">
        <v>20</v>
      </c>
      <c r="N33" s="18" t="s">
        <v>20</v>
      </c>
      <c r="O33" s="18" t="s">
        <v>20</v>
      </c>
      <c r="P33" s="18" t="s">
        <v>21</v>
      </c>
      <c r="Q33" s="18" t="s">
        <v>20</v>
      </c>
      <c r="R33" s="18" t="s">
        <v>21</v>
      </c>
      <c r="S33" s="18" t="s">
        <v>20</v>
      </c>
      <c r="T33" s="18" t="s">
        <v>20</v>
      </c>
      <c r="U33" s="18" t="s">
        <v>20</v>
      </c>
      <c r="V33" s="18" t="s">
        <v>20</v>
      </c>
      <c r="W33" s="18" t="s">
        <v>20</v>
      </c>
      <c r="X33" s="18" t="s">
        <v>20</v>
      </c>
      <c r="Y33" s="19" t="s">
        <v>20</v>
      </c>
      <c r="Z33" s="18" t="s">
        <v>20</v>
      </c>
      <c r="AA33" s="28" t="s">
        <v>21</v>
      </c>
      <c r="AB33" s="28" t="s">
        <v>21</v>
      </c>
      <c r="AC33" s="20" t="s">
        <v>20</v>
      </c>
      <c r="AD33" s="29" t="s">
        <v>20</v>
      </c>
      <c r="AE33" s="29" t="s">
        <v>21</v>
      </c>
      <c r="AG33">
        <f t="shared" si="0"/>
        <v>0</v>
      </c>
      <c r="AH33">
        <f t="shared" si="1"/>
        <v>16</v>
      </c>
      <c r="AI33">
        <f t="shared" si="2"/>
        <v>10</v>
      </c>
      <c r="AJ33">
        <f t="shared" si="3"/>
        <v>0</v>
      </c>
      <c r="AL33">
        <f t="shared" si="4"/>
        <v>0</v>
      </c>
      <c r="AM33">
        <f t="shared" si="5"/>
        <v>48</v>
      </c>
      <c r="AN33">
        <f t="shared" si="6"/>
        <v>20</v>
      </c>
      <c r="AO33">
        <f t="shared" si="7"/>
        <v>0</v>
      </c>
      <c r="AP33">
        <f t="shared" si="8"/>
        <v>68</v>
      </c>
    </row>
    <row r="34" spans="1:42" ht="15.75" hidden="1" customHeight="1" x14ac:dyDescent="0.3">
      <c r="A34" s="16"/>
      <c r="B34" s="55">
        <v>11</v>
      </c>
      <c r="C34" s="56" t="s">
        <v>51</v>
      </c>
      <c r="D34" s="55">
        <v>1</v>
      </c>
      <c r="E34" s="55" t="s">
        <v>21</v>
      </c>
      <c r="F34" s="18" t="s">
        <v>39</v>
      </c>
      <c r="G34" s="18" t="s">
        <v>20</v>
      </c>
      <c r="H34" s="18" t="s">
        <v>20</v>
      </c>
      <c r="I34" s="18" t="s">
        <v>20</v>
      </c>
      <c r="J34" s="18" t="s">
        <v>20</v>
      </c>
      <c r="K34" s="18" t="s">
        <v>20</v>
      </c>
      <c r="L34" s="18" t="s">
        <v>20</v>
      </c>
      <c r="M34" s="18" t="s">
        <v>20</v>
      </c>
      <c r="N34" s="18" t="s">
        <v>20</v>
      </c>
      <c r="O34" s="18" t="s">
        <v>20</v>
      </c>
      <c r="P34" s="18" t="s">
        <v>20</v>
      </c>
      <c r="Q34" s="18" t="s">
        <v>20</v>
      </c>
      <c r="R34" s="18" t="s">
        <v>20</v>
      </c>
      <c r="S34" s="18" t="s">
        <v>20</v>
      </c>
      <c r="T34" s="18" t="s">
        <v>20</v>
      </c>
      <c r="U34" s="18" t="s">
        <v>20</v>
      </c>
      <c r="V34" s="18" t="s">
        <v>20</v>
      </c>
      <c r="W34" s="18" t="s">
        <v>20</v>
      </c>
      <c r="X34" s="18" t="s">
        <v>21</v>
      </c>
      <c r="Y34" s="19" t="s">
        <v>20</v>
      </c>
      <c r="Z34" s="18" t="s">
        <v>20</v>
      </c>
      <c r="AA34" s="28" t="s">
        <v>20</v>
      </c>
      <c r="AB34" s="28" t="s">
        <v>20</v>
      </c>
      <c r="AC34" s="20" t="s">
        <v>20</v>
      </c>
      <c r="AD34" s="29" t="s">
        <v>20</v>
      </c>
      <c r="AE34" s="29" t="s">
        <v>21</v>
      </c>
      <c r="AG34">
        <f t="shared" si="0"/>
        <v>1</v>
      </c>
      <c r="AH34">
        <f t="shared" si="1"/>
        <v>23</v>
      </c>
      <c r="AI34">
        <f t="shared" si="2"/>
        <v>2</v>
      </c>
      <c r="AJ34">
        <f t="shared" si="3"/>
        <v>0</v>
      </c>
      <c r="AL34">
        <f t="shared" si="4"/>
        <v>4</v>
      </c>
      <c r="AM34">
        <f t="shared" si="5"/>
        <v>69</v>
      </c>
      <c r="AN34">
        <f t="shared" si="6"/>
        <v>4</v>
      </c>
      <c r="AO34">
        <f t="shared" si="7"/>
        <v>0</v>
      </c>
      <c r="AP34">
        <f t="shared" si="8"/>
        <v>77</v>
      </c>
    </row>
    <row r="35" spans="1:42" ht="15.75" hidden="1" customHeight="1" x14ac:dyDescent="0.3">
      <c r="A35" s="16"/>
      <c r="B35" s="55">
        <v>12</v>
      </c>
      <c r="C35" s="56" t="s">
        <v>52</v>
      </c>
      <c r="D35" s="55">
        <v>1</v>
      </c>
      <c r="E35" s="55" t="s">
        <v>21</v>
      </c>
      <c r="F35" s="18" t="s">
        <v>20</v>
      </c>
      <c r="G35" s="18" t="s">
        <v>21</v>
      </c>
      <c r="H35" s="18" t="s">
        <v>20</v>
      </c>
      <c r="I35" s="18" t="s">
        <v>21</v>
      </c>
      <c r="J35" s="18" t="s">
        <v>20</v>
      </c>
      <c r="K35" s="18" t="s">
        <v>21</v>
      </c>
      <c r="L35" s="18" t="s">
        <v>21</v>
      </c>
      <c r="M35" s="18" t="s">
        <v>20</v>
      </c>
      <c r="N35" s="18" t="s">
        <v>20</v>
      </c>
      <c r="O35" s="18" t="s">
        <v>20</v>
      </c>
      <c r="P35" s="18" t="s">
        <v>20</v>
      </c>
      <c r="Q35" s="18" t="s">
        <v>20</v>
      </c>
      <c r="R35" s="18" t="s">
        <v>20</v>
      </c>
      <c r="S35" s="18" t="s">
        <v>20</v>
      </c>
      <c r="T35" s="18" t="s">
        <v>20</v>
      </c>
      <c r="U35" s="18" t="s">
        <v>20</v>
      </c>
      <c r="V35" s="18" t="s">
        <v>21</v>
      </c>
      <c r="W35" s="18" t="s">
        <v>20</v>
      </c>
      <c r="X35" s="18" t="s">
        <v>21</v>
      </c>
      <c r="Y35" s="19" t="s">
        <v>21</v>
      </c>
      <c r="Z35" s="18" t="s">
        <v>20</v>
      </c>
      <c r="AA35" s="28" t="s">
        <v>21</v>
      </c>
      <c r="AB35" s="28" t="s">
        <v>21</v>
      </c>
      <c r="AC35" s="20" t="s">
        <v>21</v>
      </c>
      <c r="AD35" s="29" t="s">
        <v>21</v>
      </c>
      <c r="AE35" s="29" t="s">
        <v>21</v>
      </c>
      <c r="AG35">
        <f t="shared" si="0"/>
        <v>0</v>
      </c>
      <c r="AH35">
        <f t="shared" si="1"/>
        <v>14</v>
      </c>
      <c r="AI35">
        <f t="shared" si="2"/>
        <v>12</v>
      </c>
      <c r="AJ35">
        <f t="shared" si="3"/>
        <v>0</v>
      </c>
      <c r="AL35">
        <f t="shared" si="4"/>
        <v>0</v>
      </c>
      <c r="AM35">
        <f t="shared" si="5"/>
        <v>42</v>
      </c>
      <c r="AN35">
        <f t="shared" si="6"/>
        <v>24</v>
      </c>
      <c r="AO35">
        <f t="shared" si="7"/>
        <v>0</v>
      </c>
      <c r="AP35">
        <f t="shared" si="8"/>
        <v>66</v>
      </c>
    </row>
    <row r="36" spans="1:42" ht="15.75" hidden="1" customHeight="1" x14ac:dyDescent="0.3">
      <c r="A36" s="16"/>
      <c r="B36" s="55">
        <v>13</v>
      </c>
      <c r="C36" s="56" t="s">
        <v>53</v>
      </c>
      <c r="D36" s="55">
        <v>1</v>
      </c>
      <c r="E36" s="55" t="s">
        <v>21</v>
      </c>
      <c r="F36" s="18" t="s">
        <v>21</v>
      </c>
      <c r="G36" s="18" t="s">
        <v>20</v>
      </c>
      <c r="H36" s="18" t="s">
        <v>21</v>
      </c>
      <c r="I36" s="18" t="s">
        <v>21</v>
      </c>
      <c r="J36" s="18" t="s">
        <v>20</v>
      </c>
      <c r="K36" s="18" t="s">
        <v>21</v>
      </c>
      <c r="L36" s="18" t="s">
        <v>21</v>
      </c>
      <c r="M36" s="18" t="s">
        <v>21</v>
      </c>
      <c r="N36" s="18" t="s">
        <v>20</v>
      </c>
      <c r="O36" s="18" t="s">
        <v>20</v>
      </c>
      <c r="P36" s="18" t="s">
        <v>21</v>
      </c>
      <c r="Q36" s="18" t="s">
        <v>21</v>
      </c>
      <c r="R36" s="18" t="s">
        <v>21</v>
      </c>
      <c r="S36" s="18" t="s">
        <v>21</v>
      </c>
      <c r="T36" s="18" t="s">
        <v>20</v>
      </c>
      <c r="U36" s="18" t="s">
        <v>20</v>
      </c>
      <c r="V36" s="18" t="s">
        <v>20</v>
      </c>
      <c r="W36" s="18" t="s">
        <v>20</v>
      </c>
      <c r="X36" s="18" t="s">
        <v>20</v>
      </c>
      <c r="Y36" s="19" t="s">
        <v>20</v>
      </c>
      <c r="Z36" s="18" t="s">
        <v>20</v>
      </c>
      <c r="AA36" s="28" t="s">
        <v>20</v>
      </c>
      <c r="AB36" s="28" t="s">
        <v>20</v>
      </c>
      <c r="AC36" s="20" t="s">
        <v>21</v>
      </c>
      <c r="AD36" s="29" t="s">
        <v>21</v>
      </c>
      <c r="AE36" s="29" t="s">
        <v>21</v>
      </c>
      <c r="AG36">
        <f t="shared" si="0"/>
        <v>0</v>
      </c>
      <c r="AH36">
        <f t="shared" si="1"/>
        <v>13</v>
      </c>
      <c r="AI36">
        <f t="shared" si="2"/>
        <v>13</v>
      </c>
      <c r="AJ36">
        <f t="shared" si="3"/>
        <v>0</v>
      </c>
      <c r="AL36">
        <f t="shared" si="4"/>
        <v>0</v>
      </c>
      <c r="AM36">
        <f t="shared" si="5"/>
        <v>39</v>
      </c>
      <c r="AN36">
        <f t="shared" si="6"/>
        <v>26</v>
      </c>
      <c r="AO36">
        <f t="shared" si="7"/>
        <v>0</v>
      </c>
      <c r="AP36">
        <f t="shared" si="8"/>
        <v>65</v>
      </c>
    </row>
    <row r="37" spans="1:42" ht="15.75" hidden="1" customHeight="1" x14ac:dyDescent="0.3">
      <c r="A37" s="16"/>
      <c r="B37" s="55">
        <v>14</v>
      </c>
      <c r="C37" s="56" t="s">
        <v>54</v>
      </c>
      <c r="D37" s="55">
        <v>1</v>
      </c>
      <c r="E37" s="55" t="s">
        <v>21</v>
      </c>
      <c r="F37" s="18" t="s">
        <v>20</v>
      </c>
      <c r="G37" s="18" t="s">
        <v>20</v>
      </c>
      <c r="H37" s="18" t="s">
        <v>20</v>
      </c>
      <c r="I37" s="18" t="s">
        <v>20</v>
      </c>
      <c r="J37" s="18" t="s">
        <v>20</v>
      </c>
      <c r="K37" s="18" t="s">
        <v>20</v>
      </c>
      <c r="L37" s="18" t="s">
        <v>20</v>
      </c>
      <c r="M37" s="18" t="s">
        <v>20</v>
      </c>
      <c r="N37" s="18" t="s">
        <v>20</v>
      </c>
      <c r="O37" s="18" t="s">
        <v>20</v>
      </c>
      <c r="P37" s="18" t="s">
        <v>20</v>
      </c>
      <c r="Q37" s="18" t="s">
        <v>20</v>
      </c>
      <c r="R37" s="18" t="s">
        <v>20</v>
      </c>
      <c r="S37" s="18" t="s">
        <v>20</v>
      </c>
      <c r="T37" s="18" t="s">
        <v>20</v>
      </c>
      <c r="U37" s="18" t="s">
        <v>20</v>
      </c>
      <c r="V37" s="18" t="s">
        <v>21</v>
      </c>
      <c r="W37" s="18" t="s">
        <v>21</v>
      </c>
      <c r="X37" s="18" t="s">
        <v>20</v>
      </c>
      <c r="Y37" s="19" t="s">
        <v>21</v>
      </c>
      <c r="Z37" s="18" t="s">
        <v>20</v>
      </c>
      <c r="AA37" s="28" t="s">
        <v>20</v>
      </c>
      <c r="AB37" s="28" t="s">
        <v>20</v>
      </c>
      <c r="AC37" s="20" t="s">
        <v>20</v>
      </c>
      <c r="AD37" s="29" t="s">
        <v>55</v>
      </c>
      <c r="AE37" s="29" t="s">
        <v>55</v>
      </c>
      <c r="AG37">
        <f t="shared" si="0"/>
        <v>0</v>
      </c>
      <c r="AH37">
        <f t="shared" si="1"/>
        <v>21</v>
      </c>
      <c r="AI37">
        <f t="shared" si="2"/>
        <v>3</v>
      </c>
      <c r="AJ37">
        <f t="shared" si="3"/>
        <v>0</v>
      </c>
      <c r="AL37">
        <f t="shared" si="4"/>
        <v>0</v>
      </c>
      <c r="AM37">
        <f t="shared" si="5"/>
        <v>63</v>
      </c>
      <c r="AN37">
        <f t="shared" si="6"/>
        <v>6</v>
      </c>
      <c r="AO37">
        <f t="shared" si="7"/>
        <v>0</v>
      </c>
      <c r="AP37">
        <f t="shared" si="8"/>
        <v>69</v>
      </c>
    </row>
    <row r="38" spans="1:42" ht="15.75" hidden="1" customHeight="1" x14ac:dyDescent="0.3">
      <c r="A38" s="16"/>
      <c r="B38" s="55">
        <v>15</v>
      </c>
      <c r="C38" s="56" t="s">
        <v>56</v>
      </c>
      <c r="D38" s="55">
        <v>1</v>
      </c>
      <c r="E38" s="55" t="s">
        <v>21</v>
      </c>
      <c r="F38" s="18" t="s">
        <v>20</v>
      </c>
      <c r="G38" s="18" t="s">
        <v>21</v>
      </c>
      <c r="H38" s="18" t="s">
        <v>21</v>
      </c>
      <c r="I38" s="18" t="s">
        <v>20</v>
      </c>
      <c r="J38" s="18" t="s">
        <v>21</v>
      </c>
      <c r="K38" s="18" t="s">
        <v>21</v>
      </c>
      <c r="L38" s="18" t="s">
        <v>21</v>
      </c>
      <c r="M38" s="18" t="s">
        <v>20</v>
      </c>
      <c r="N38" s="18" t="s">
        <v>20</v>
      </c>
      <c r="O38" s="18" t="s">
        <v>20</v>
      </c>
      <c r="P38" s="18" t="s">
        <v>21</v>
      </c>
      <c r="Q38" s="18" t="s">
        <v>21</v>
      </c>
      <c r="R38" s="18" t="s">
        <v>21</v>
      </c>
      <c r="S38" s="18" t="s">
        <v>23</v>
      </c>
      <c r="T38" s="18" t="s">
        <v>21</v>
      </c>
      <c r="U38" s="18" t="s">
        <v>20</v>
      </c>
      <c r="V38" s="18" t="s">
        <v>20</v>
      </c>
      <c r="W38" s="18" t="s">
        <v>20</v>
      </c>
      <c r="X38" s="18" t="s">
        <v>20</v>
      </c>
      <c r="Y38" s="19" t="s">
        <v>23</v>
      </c>
      <c r="Z38" s="18" t="s">
        <v>21</v>
      </c>
      <c r="AA38" s="28" t="s">
        <v>20</v>
      </c>
      <c r="AB38" s="28" t="s">
        <v>20</v>
      </c>
      <c r="AC38" s="20" t="s">
        <v>21</v>
      </c>
      <c r="AD38" s="29" t="s">
        <v>21</v>
      </c>
      <c r="AE38" s="29" t="s">
        <v>21</v>
      </c>
      <c r="AG38">
        <f t="shared" si="0"/>
        <v>0</v>
      </c>
      <c r="AH38">
        <f t="shared" si="1"/>
        <v>11</v>
      </c>
      <c r="AI38">
        <f t="shared" si="2"/>
        <v>13</v>
      </c>
      <c r="AJ38">
        <f t="shared" si="3"/>
        <v>2</v>
      </c>
      <c r="AL38">
        <f t="shared" si="4"/>
        <v>0</v>
      </c>
      <c r="AM38">
        <f t="shared" si="5"/>
        <v>33</v>
      </c>
      <c r="AN38">
        <f t="shared" si="6"/>
        <v>26</v>
      </c>
      <c r="AO38">
        <f t="shared" si="7"/>
        <v>2</v>
      </c>
      <c r="AP38">
        <f t="shared" si="8"/>
        <v>61</v>
      </c>
    </row>
    <row r="39" spans="1:42" ht="15.75" hidden="1" customHeight="1" x14ac:dyDescent="0.3">
      <c r="A39" s="16"/>
      <c r="B39" s="55">
        <v>16</v>
      </c>
      <c r="C39" s="56" t="s">
        <v>57</v>
      </c>
      <c r="D39" s="55">
        <v>1</v>
      </c>
      <c r="E39" s="55" t="s">
        <v>21</v>
      </c>
      <c r="F39" s="18" t="s">
        <v>20</v>
      </c>
      <c r="G39" s="18" t="s">
        <v>21</v>
      </c>
      <c r="H39" s="18" t="s">
        <v>21</v>
      </c>
      <c r="I39" s="18" t="s">
        <v>21</v>
      </c>
      <c r="J39" s="18" t="s">
        <v>20</v>
      </c>
      <c r="K39" s="18" t="s">
        <v>21</v>
      </c>
      <c r="L39" s="18" t="s">
        <v>21</v>
      </c>
      <c r="M39" s="18" t="s">
        <v>21</v>
      </c>
      <c r="N39" s="18" t="s">
        <v>21</v>
      </c>
      <c r="O39" s="18" t="s">
        <v>20</v>
      </c>
      <c r="P39" s="18" t="s">
        <v>21</v>
      </c>
      <c r="Q39" s="18" t="s">
        <v>21</v>
      </c>
      <c r="R39" s="18" t="s">
        <v>21</v>
      </c>
      <c r="S39" s="18" t="s">
        <v>21</v>
      </c>
      <c r="T39" s="18" t="s">
        <v>21</v>
      </c>
      <c r="U39" s="18" t="s">
        <v>21</v>
      </c>
      <c r="V39" s="18" t="s">
        <v>20</v>
      </c>
      <c r="W39" s="18" t="s">
        <v>20</v>
      </c>
      <c r="X39" s="18" t="s">
        <v>21</v>
      </c>
      <c r="Y39" s="19" t="s">
        <v>20</v>
      </c>
      <c r="Z39" s="18" t="s">
        <v>20</v>
      </c>
      <c r="AA39" s="28" t="s">
        <v>20</v>
      </c>
      <c r="AB39" s="28" t="s">
        <v>20</v>
      </c>
      <c r="AC39" s="20" t="s">
        <v>21</v>
      </c>
      <c r="AD39" s="29" t="s">
        <v>21</v>
      </c>
      <c r="AE39" s="29" t="s">
        <v>21</v>
      </c>
      <c r="AG39">
        <f t="shared" si="0"/>
        <v>0</v>
      </c>
      <c r="AH39">
        <f t="shared" si="1"/>
        <v>9</v>
      </c>
      <c r="AI39">
        <f t="shared" si="2"/>
        <v>17</v>
      </c>
      <c r="AJ39">
        <f t="shared" si="3"/>
        <v>0</v>
      </c>
      <c r="AL39">
        <f t="shared" si="4"/>
        <v>0</v>
      </c>
      <c r="AM39">
        <f t="shared" si="5"/>
        <v>27</v>
      </c>
      <c r="AN39">
        <f t="shared" si="6"/>
        <v>34</v>
      </c>
      <c r="AO39">
        <f t="shared" si="7"/>
        <v>0</v>
      </c>
      <c r="AP39">
        <f t="shared" si="8"/>
        <v>61</v>
      </c>
    </row>
    <row r="40" spans="1:42" ht="15.75" hidden="1" customHeight="1" x14ac:dyDescent="0.3">
      <c r="A40" s="16"/>
      <c r="B40" s="55">
        <v>17</v>
      </c>
      <c r="C40" s="56" t="s">
        <v>58</v>
      </c>
      <c r="D40" s="55">
        <v>1</v>
      </c>
      <c r="E40" s="55" t="s">
        <v>21</v>
      </c>
      <c r="F40" s="18" t="s">
        <v>21</v>
      </c>
      <c r="G40" s="18" t="s">
        <v>21</v>
      </c>
      <c r="H40" s="18" t="s">
        <v>21</v>
      </c>
      <c r="I40" s="18" t="s">
        <v>21</v>
      </c>
      <c r="J40" s="18" t="s">
        <v>20</v>
      </c>
      <c r="K40" s="18" t="s">
        <v>21</v>
      </c>
      <c r="L40" s="18" t="s">
        <v>21</v>
      </c>
      <c r="M40" s="18" t="s">
        <v>21</v>
      </c>
      <c r="N40" s="18" t="s">
        <v>20</v>
      </c>
      <c r="O40" s="18" t="s">
        <v>20</v>
      </c>
      <c r="P40" s="18" t="s">
        <v>21</v>
      </c>
      <c r="Q40" s="18" t="s">
        <v>21</v>
      </c>
      <c r="R40" s="18" t="s">
        <v>21</v>
      </c>
      <c r="S40" s="18" t="s">
        <v>20</v>
      </c>
      <c r="T40" s="18" t="s">
        <v>21</v>
      </c>
      <c r="U40" s="18" t="s">
        <v>20</v>
      </c>
      <c r="V40" s="18" t="s">
        <v>20</v>
      </c>
      <c r="W40" s="18" t="s">
        <v>20</v>
      </c>
      <c r="X40" s="18" t="s">
        <v>20</v>
      </c>
      <c r="Y40" s="19" t="s">
        <v>21</v>
      </c>
      <c r="Z40" s="18" t="s">
        <v>20</v>
      </c>
      <c r="AA40" s="28" t="s">
        <v>20</v>
      </c>
      <c r="AB40" s="28" t="s">
        <v>20</v>
      </c>
      <c r="AC40" s="20" t="s">
        <v>21</v>
      </c>
      <c r="AD40" s="29" t="s">
        <v>21</v>
      </c>
      <c r="AE40" s="29" t="s">
        <v>21</v>
      </c>
      <c r="AG40">
        <f t="shared" si="0"/>
        <v>0</v>
      </c>
      <c r="AH40">
        <f t="shared" si="1"/>
        <v>11</v>
      </c>
      <c r="AI40">
        <f t="shared" si="2"/>
        <v>15</v>
      </c>
      <c r="AJ40">
        <f t="shared" si="3"/>
        <v>0</v>
      </c>
      <c r="AL40">
        <f t="shared" si="4"/>
        <v>0</v>
      </c>
      <c r="AM40">
        <f t="shared" si="5"/>
        <v>33</v>
      </c>
      <c r="AN40">
        <f t="shared" si="6"/>
        <v>30</v>
      </c>
      <c r="AO40">
        <f t="shared" si="7"/>
        <v>0</v>
      </c>
      <c r="AP40">
        <f t="shared" si="8"/>
        <v>63</v>
      </c>
    </row>
    <row r="41" spans="1:42" ht="15.75" hidden="1" customHeight="1" x14ac:dyDescent="0.3">
      <c r="A41" s="16"/>
      <c r="B41" s="55">
        <v>18</v>
      </c>
      <c r="C41" s="56" t="s">
        <v>59</v>
      </c>
      <c r="D41" s="55">
        <v>1</v>
      </c>
      <c r="E41" s="55" t="s">
        <v>21</v>
      </c>
      <c r="F41" s="18" t="s">
        <v>20</v>
      </c>
      <c r="G41" s="18" t="s">
        <v>21</v>
      </c>
      <c r="H41" s="18" t="s">
        <v>21</v>
      </c>
      <c r="I41" s="18" t="s">
        <v>21</v>
      </c>
      <c r="J41" s="18" t="s">
        <v>21</v>
      </c>
      <c r="K41" s="18" t="s">
        <v>21</v>
      </c>
      <c r="L41" s="18" t="s">
        <v>21</v>
      </c>
      <c r="M41" s="18" t="s">
        <v>20</v>
      </c>
      <c r="N41" s="18" t="s">
        <v>20</v>
      </c>
      <c r="O41" s="18" t="s">
        <v>20</v>
      </c>
      <c r="P41" s="18" t="s">
        <v>20</v>
      </c>
      <c r="Q41" s="18" t="s">
        <v>21</v>
      </c>
      <c r="R41" s="18" t="s">
        <v>20</v>
      </c>
      <c r="S41" s="18" t="s">
        <v>20</v>
      </c>
      <c r="T41" s="18" t="s">
        <v>20</v>
      </c>
      <c r="U41" s="18" t="s">
        <v>21</v>
      </c>
      <c r="V41" s="18" t="s">
        <v>21</v>
      </c>
      <c r="W41" s="18" t="s">
        <v>20</v>
      </c>
      <c r="X41" s="18" t="s">
        <v>20</v>
      </c>
      <c r="Y41" s="19" t="s">
        <v>21</v>
      </c>
      <c r="Z41" s="18" t="s">
        <v>20</v>
      </c>
      <c r="AA41" s="28" t="s">
        <v>20</v>
      </c>
      <c r="AB41" s="28" t="s">
        <v>20</v>
      </c>
      <c r="AC41" s="20" t="s">
        <v>21</v>
      </c>
      <c r="AD41" s="29" t="s">
        <v>20</v>
      </c>
      <c r="AE41" s="29" t="s">
        <v>21</v>
      </c>
      <c r="AG41">
        <f t="shared" si="0"/>
        <v>0</v>
      </c>
      <c r="AH41">
        <f t="shared" si="1"/>
        <v>14</v>
      </c>
      <c r="AI41">
        <f t="shared" si="2"/>
        <v>12</v>
      </c>
      <c r="AJ41">
        <f t="shared" si="3"/>
        <v>0</v>
      </c>
      <c r="AL41">
        <f t="shared" si="4"/>
        <v>0</v>
      </c>
      <c r="AM41">
        <f t="shared" si="5"/>
        <v>42</v>
      </c>
      <c r="AN41">
        <f t="shared" si="6"/>
        <v>24</v>
      </c>
      <c r="AO41">
        <f t="shared" si="7"/>
        <v>0</v>
      </c>
      <c r="AP41">
        <f t="shared" si="8"/>
        <v>66</v>
      </c>
    </row>
    <row r="42" spans="1:42" ht="15.75" hidden="1" customHeight="1" x14ac:dyDescent="0.3">
      <c r="A42" s="16"/>
      <c r="B42" s="55">
        <v>19</v>
      </c>
      <c r="C42" s="56" t="s">
        <v>60</v>
      </c>
      <c r="D42" s="55">
        <v>1</v>
      </c>
      <c r="E42" s="55" t="s">
        <v>21</v>
      </c>
      <c r="F42" s="18" t="s">
        <v>20</v>
      </c>
      <c r="G42" s="18" t="s">
        <v>21</v>
      </c>
      <c r="H42" s="18" t="s">
        <v>21</v>
      </c>
      <c r="I42" s="18" t="s">
        <v>21</v>
      </c>
      <c r="J42" s="18" t="s">
        <v>21</v>
      </c>
      <c r="K42" s="18" t="s">
        <v>21</v>
      </c>
      <c r="L42" s="18" t="s">
        <v>21</v>
      </c>
      <c r="M42" s="18" t="s">
        <v>21</v>
      </c>
      <c r="N42" s="18" t="s">
        <v>20</v>
      </c>
      <c r="O42" s="18" t="s">
        <v>20</v>
      </c>
      <c r="P42" s="18" t="s">
        <v>21</v>
      </c>
      <c r="Q42" s="18" t="s">
        <v>21</v>
      </c>
      <c r="R42" s="18" t="s">
        <v>21</v>
      </c>
      <c r="S42" s="18" t="s">
        <v>20</v>
      </c>
      <c r="T42" s="18" t="s">
        <v>21</v>
      </c>
      <c r="U42" s="18" t="s">
        <v>20</v>
      </c>
      <c r="V42" s="18" t="s">
        <v>21</v>
      </c>
      <c r="W42" s="18" t="s">
        <v>20</v>
      </c>
      <c r="X42" s="18" t="s">
        <v>20</v>
      </c>
      <c r="Y42" s="19" t="s">
        <v>20</v>
      </c>
      <c r="Z42" s="18" t="s">
        <v>20</v>
      </c>
      <c r="AA42" s="28" t="s">
        <v>21</v>
      </c>
      <c r="AB42" s="28" t="s">
        <v>23</v>
      </c>
      <c r="AC42" s="20" t="s">
        <v>21</v>
      </c>
      <c r="AD42" s="29" t="s">
        <v>21</v>
      </c>
      <c r="AE42" s="29" t="s">
        <v>21</v>
      </c>
      <c r="AG42">
        <f t="shared" si="0"/>
        <v>0</v>
      </c>
      <c r="AH42">
        <f t="shared" si="1"/>
        <v>9</v>
      </c>
      <c r="AI42">
        <f t="shared" si="2"/>
        <v>16</v>
      </c>
      <c r="AJ42">
        <f t="shared" si="3"/>
        <v>1</v>
      </c>
      <c r="AL42">
        <f t="shared" si="4"/>
        <v>0</v>
      </c>
      <c r="AM42">
        <f t="shared" si="5"/>
        <v>27</v>
      </c>
      <c r="AN42">
        <f t="shared" si="6"/>
        <v>32</v>
      </c>
      <c r="AO42">
        <f t="shared" si="7"/>
        <v>1</v>
      </c>
      <c r="AP42">
        <f t="shared" si="8"/>
        <v>60</v>
      </c>
    </row>
    <row r="43" spans="1:42" ht="15.75" hidden="1" customHeight="1" thickBot="1" x14ac:dyDescent="0.35">
      <c r="A43" s="16"/>
      <c r="B43" s="57">
        <v>20</v>
      </c>
      <c r="C43" s="58" t="s">
        <v>61</v>
      </c>
      <c r="D43" s="57">
        <v>1</v>
      </c>
      <c r="E43" s="57" t="s">
        <v>21</v>
      </c>
      <c r="F43" s="21" t="s">
        <v>20</v>
      </c>
      <c r="G43" s="21" t="s">
        <v>21</v>
      </c>
      <c r="H43" s="21" t="s">
        <v>20</v>
      </c>
      <c r="I43" s="21" t="s">
        <v>21</v>
      </c>
      <c r="J43" s="21" t="s">
        <v>21</v>
      </c>
      <c r="K43" s="21" t="s">
        <v>21</v>
      </c>
      <c r="L43" s="21" t="s">
        <v>21</v>
      </c>
      <c r="M43" s="21" t="s">
        <v>20</v>
      </c>
      <c r="N43" s="21" t="s">
        <v>20</v>
      </c>
      <c r="O43" s="21" t="s">
        <v>20</v>
      </c>
      <c r="P43" s="21" t="s">
        <v>21</v>
      </c>
      <c r="Q43" s="21" t="s">
        <v>21</v>
      </c>
      <c r="R43" s="21" t="s">
        <v>21</v>
      </c>
      <c r="S43" s="21" t="s">
        <v>23</v>
      </c>
      <c r="T43" s="21" t="s">
        <v>21</v>
      </c>
      <c r="U43" s="21" t="s">
        <v>21</v>
      </c>
      <c r="V43" s="21" t="s">
        <v>20</v>
      </c>
      <c r="W43" s="21" t="s">
        <v>20</v>
      </c>
      <c r="X43" s="21" t="s">
        <v>20</v>
      </c>
      <c r="Y43" s="22" t="s">
        <v>21</v>
      </c>
      <c r="Z43" s="21" t="s">
        <v>20</v>
      </c>
      <c r="AA43" s="30" t="s">
        <v>20</v>
      </c>
      <c r="AB43" s="30" t="s">
        <v>20</v>
      </c>
      <c r="AC43" s="23" t="s">
        <v>21</v>
      </c>
      <c r="AD43" s="31" t="s">
        <v>21</v>
      </c>
      <c r="AE43" s="31" t="s">
        <v>21</v>
      </c>
      <c r="AG43">
        <f t="shared" si="0"/>
        <v>0</v>
      </c>
      <c r="AH43">
        <f t="shared" si="1"/>
        <v>11</v>
      </c>
      <c r="AI43">
        <f t="shared" si="2"/>
        <v>14</v>
      </c>
      <c r="AJ43">
        <f t="shared" si="3"/>
        <v>1</v>
      </c>
      <c r="AL43">
        <f t="shared" si="4"/>
        <v>0</v>
      </c>
      <c r="AM43">
        <f t="shared" si="5"/>
        <v>33</v>
      </c>
      <c r="AN43">
        <f t="shared" si="6"/>
        <v>28</v>
      </c>
      <c r="AO43">
        <f t="shared" si="7"/>
        <v>1</v>
      </c>
      <c r="AP43">
        <f t="shared" si="8"/>
        <v>62</v>
      </c>
    </row>
    <row r="44" spans="1:42" ht="15.75" hidden="1" customHeight="1" x14ac:dyDescent="0.3">
      <c r="A44" s="16"/>
      <c r="B44" s="59">
        <v>18</v>
      </c>
      <c r="C44" s="60" t="s">
        <v>79</v>
      </c>
      <c r="D44" s="59">
        <v>2</v>
      </c>
      <c r="E44" s="59" t="s">
        <v>20</v>
      </c>
      <c r="F44" s="24" t="s">
        <v>20</v>
      </c>
      <c r="G44" s="24" t="s">
        <v>20</v>
      </c>
      <c r="H44" s="24" t="s">
        <v>20</v>
      </c>
      <c r="I44" s="24" t="s">
        <v>20</v>
      </c>
      <c r="J44" s="24" t="s">
        <v>20</v>
      </c>
      <c r="K44" s="24" t="s">
        <v>20</v>
      </c>
      <c r="L44" s="24" t="s">
        <v>20</v>
      </c>
      <c r="M44" s="24" t="s">
        <v>20</v>
      </c>
      <c r="N44" s="24" t="s">
        <v>20</v>
      </c>
      <c r="O44" s="24" t="s">
        <v>20</v>
      </c>
      <c r="P44" s="24" t="s">
        <v>20</v>
      </c>
      <c r="Q44" s="24" t="s">
        <v>20</v>
      </c>
      <c r="R44" s="24" t="s">
        <v>20</v>
      </c>
      <c r="S44" s="24" t="s">
        <v>20</v>
      </c>
      <c r="T44" s="24" t="s">
        <v>20</v>
      </c>
      <c r="U44" s="24" t="s">
        <v>20</v>
      </c>
      <c r="V44" s="39" t="s">
        <v>20</v>
      </c>
      <c r="W44" s="39" t="s">
        <v>20</v>
      </c>
      <c r="X44" s="39" t="s">
        <v>20</v>
      </c>
      <c r="Y44" s="24" t="s">
        <v>39</v>
      </c>
      <c r="Z44" s="24" t="s">
        <v>39</v>
      </c>
      <c r="AA44" s="27" t="s">
        <v>20</v>
      </c>
      <c r="AB44" s="27" t="s">
        <v>20</v>
      </c>
      <c r="AC44" s="27" t="s">
        <v>20</v>
      </c>
      <c r="AD44" s="34" t="s">
        <v>20</v>
      </c>
      <c r="AE44" s="34" t="s">
        <v>21</v>
      </c>
      <c r="AG44">
        <f>+COUNTIF(F44:AE44,"AD")</f>
        <v>2</v>
      </c>
      <c r="AH44">
        <f>+COUNTIF(F44:AE44,"A")</f>
        <v>23</v>
      </c>
      <c r="AI44">
        <f>+COUNTIF(F44:AE44,"b")</f>
        <v>1</v>
      </c>
      <c r="AJ44">
        <f>+COUNTIF(F44:AE44,"c")</f>
        <v>0</v>
      </c>
      <c r="AL44">
        <f>+$AG$5*AG44</f>
        <v>8</v>
      </c>
      <c r="AM44">
        <f>+$AH$5*AH44</f>
        <v>69</v>
      </c>
      <c r="AN44">
        <f>+$AI$5*AI44</f>
        <v>2</v>
      </c>
      <c r="AO44">
        <f>+$AJ$5*AJ44</f>
        <v>0</v>
      </c>
      <c r="AP44">
        <f>+SUM(AL44:AO44)</f>
        <v>79</v>
      </c>
    </row>
    <row r="45" spans="1:42" ht="15.75" hidden="1" customHeight="1" x14ac:dyDescent="0.3">
      <c r="A45" s="16"/>
      <c r="B45" s="55">
        <v>23</v>
      </c>
      <c r="C45" s="56" t="s">
        <v>84</v>
      </c>
      <c r="D45" s="55">
        <v>2</v>
      </c>
      <c r="E45" s="55" t="s">
        <v>20</v>
      </c>
      <c r="F45" s="18" t="s">
        <v>20</v>
      </c>
      <c r="G45" s="18" t="s">
        <v>20</v>
      </c>
      <c r="H45" s="18" t="s">
        <v>20</v>
      </c>
      <c r="I45" s="18" t="s">
        <v>20</v>
      </c>
      <c r="J45" s="18" t="s">
        <v>20</v>
      </c>
      <c r="K45" s="18" t="s">
        <v>20</v>
      </c>
      <c r="L45" s="18" t="s">
        <v>20</v>
      </c>
      <c r="M45" s="18" t="s">
        <v>20</v>
      </c>
      <c r="N45" s="18" t="s">
        <v>20</v>
      </c>
      <c r="O45" s="18" t="s">
        <v>20</v>
      </c>
      <c r="P45" s="18" t="s">
        <v>20</v>
      </c>
      <c r="Q45" s="18" t="s">
        <v>20</v>
      </c>
      <c r="R45" s="18" t="s">
        <v>20</v>
      </c>
      <c r="S45" s="18" t="s">
        <v>20</v>
      </c>
      <c r="T45" s="18" t="s">
        <v>20</v>
      </c>
      <c r="U45" s="18" t="s">
        <v>20</v>
      </c>
      <c r="V45" s="37" t="s">
        <v>20</v>
      </c>
      <c r="W45" s="37" t="s">
        <v>20</v>
      </c>
      <c r="X45" s="37" t="s">
        <v>20</v>
      </c>
      <c r="Y45" s="18" t="s">
        <v>20</v>
      </c>
      <c r="Z45" s="18" t="s">
        <v>20</v>
      </c>
      <c r="AA45" s="20" t="s">
        <v>20</v>
      </c>
      <c r="AB45" s="20" t="s">
        <v>20</v>
      </c>
      <c r="AC45" s="20" t="s">
        <v>20</v>
      </c>
      <c r="AD45" s="29" t="s">
        <v>20</v>
      </c>
      <c r="AE45" s="29" t="s">
        <v>21</v>
      </c>
      <c r="AG45">
        <f>+COUNTIF(F45:AE45,"AD")</f>
        <v>0</v>
      </c>
      <c r="AH45">
        <f>+COUNTIF(F45:AE45,"A")</f>
        <v>25</v>
      </c>
      <c r="AI45">
        <f>+COUNTIF(F45:AE45,"b")</f>
        <v>1</v>
      </c>
      <c r="AJ45">
        <f>+COUNTIF(F45:AE45,"c")</f>
        <v>0</v>
      </c>
      <c r="AL45">
        <f>+$AG$5*AG45</f>
        <v>0</v>
      </c>
      <c r="AM45">
        <f>+$AH$5*AH45</f>
        <v>75</v>
      </c>
      <c r="AN45">
        <f>+$AI$5*AI45</f>
        <v>2</v>
      </c>
      <c r="AO45">
        <f>+$AJ$5*AJ45</f>
        <v>0</v>
      </c>
      <c r="AP45">
        <f>+SUM(AL45:AO45)</f>
        <v>77</v>
      </c>
    </row>
    <row r="46" spans="1:42" ht="15.75" hidden="1" customHeight="1" x14ac:dyDescent="0.3">
      <c r="A46" s="16"/>
      <c r="B46" s="55">
        <v>6</v>
      </c>
      <c r="C46" s="56" t="s">
        <v>67</v>
      </c>
      <c r="D46" s="55">
        <v>2</v>
      </c>
      <c r="E46" s="55" t="s">
        <v>20</v>
      </c>
      <c r="F46" s="18" t="s">
        <v>20</v>
      </c>
      <c r="G46" s="18" t="s">
        <v>21</v>
      </c>
      <c r="H46" s="18" t="s">
        <v>20</v>
      </c>
      <c r="I46" s="18" t="s">
        <v>20</v>
      </c>
      <c r="J46" s="18" t="s">
        <v>20</v>
      </c>
      <c r="K46" s="18" t="s">
        <v>20</v>
      </c>
      <c r="L46" s="18" t="s">
        <v>20</v>
      </c>
      <c r="M46" s="18" t="s">
        <v>20</v>
      </c>
      <c r="N46" s="18" t="s">
        <v>20</v>
      </c>
      <c r="O46" s="18" t="s">
        <v>20</v>
      </c>
      <c r="P46" s="18" t="s">
        <v>20</v>
      </c>
      <c r="Q46" s="18" t="s">
        <v>20</v>
      </c>
      <c r="R46" s="18" t="s">
        <v>20</v>
      </c>
      <c r="S46" s="18" t="s">
        <v>20</v>
      </c>
      <c r="T46" s="18" t="s">
        <v>20</v>
      </c>
      <c r="U46" s="18" t="s">
        <v>20</v>
      </c>
      <c r="V46" s="37" t="s">
        <v>20</v>
      </c>
      <c r="W46" s="37" t="s">
        <v>20</v>
      </c>
      <c r="X46" s="37" t="s">
        <v>20</v>
      </c>
      <c r="Y46" s="18" t="s">
        <v>20</v>
      </c>
      <c r="Z46" s="18" t="s">
        <v>20</v>
      </c>
      <c r="AA46" s="20" t="s">
        <v>20</v>
      </c>
      <c r="AB46" s="20" t="s">
        <v>20</v>
      </c>
      <c r="AC46" s="20" t="s">
        <v>20</v>
      </c>
      <c r="AD46" s="29" t="s">
        <v>20</v>
      </c>
      <c r="AE46" s="29" t="s">
        <v>21</v>
      </c>
      <c r="AG46">
        <f>+COUNTIF(F46:AE46,"AD")</f>
        <v>0</v>
      </c>
      <c r="AH46">
        <f>+COUNTIF(F46:AE46,"A")</f>
        <v>24</v>
      </c>
      <c r="AI46">
        <f>+COUNTIF(F46:AE46,"b")</f>
        <v>2</v>
      </c>
      <c r="AJ46">
        <f>+COUNTIF(F46:AE46,"c")</f>
        <v>0</v>
      </c>
      <c r="AL46">
        <f>+$AG$5*AG46</f>
        <v>0</v>
      </c>
      <c r="AM46">
        <f>+$AH$5*AH46</f>
        <v>72</v>
      </c>
      <c r="AN46">
        <f>+$AI$5*AI46</f>
        <v>4</v>
      </c>
      <c r="AO46">
        <f>+$AJ$5*AJ46</f>
        <v>0</v>
      </c>
      <c r="AP46">
        <f>+SUM(AL46:AO46)</f>
        <v>76</v>
      </c>
    </row>
    <row r="47" spans="1:42" ht="15.75" hidden="1" customHeight="1" x14ac:dyDescent="0.3">
      <c r="A47" s="16"/>
      <c r="B47" s="55">
        <v>8</v>
      </c>
      <c r="C47" s="56" t="s">
        <v>69</v>
      </c>
      <c r="D47" s="55">
        <v>2</v>
      </c>
      <c r="E47" s="55" t="s">
        <v>20</v>
      </c>
      <c r="F47" s="18" t="s">
        <v>21</v>
      </c>
      <c r="G47" s="18" t="s">
        <v>21</v>
      </c>
      <c r="H47" s="18" t="s">
        <v>21</v>
      </c>
      <c r="I47" s="18" t="s">
        <v>21</v>
      </c>
      <c r="J47" s="18" t="s">
        <v>20</v>
      </c>
      <c r="K47" s="18" t="s">
        <v>20</v>
      </c>
      <c r="L47" s="18" t="s">
        <v>20</v>
      </c>
      <c r="M47" s="18" t="s">
        <v>21</v>
      </c>
      <c r="N47" s="18" t="s">
        <v>20</v>
      </c>
      <c r="O47" s="18" t="s">
        <v>20</v>
      </c>
      <c r="P47" s="18" t="s">
        <v>20</v>
      </c>
      <c r="Q47" s="18" t="s">
        <v>20</v>
      </c>
      <c r="R47" s="18" t="s">
        <v>20</v>
      </c>
      <c r="S47" s="18" t="s">
        <v>20</v>
      </c>
      <c r="T47" s="18" t="s">
        <v>20</v>
      </c>
      <c r="U47" s="18" t="s">
        <v>21</v>
      </c>
      <c r="V47" s="37" t="s">
        <v>20</v>
      </c>
      <c r="W47" s="37" t="s">
        <v>20</v>
      </c>
      <c r="X47" s="37" t="s">
        <v>20</v>
      </c>
      <c r="Y47" s="18" t="s">
        <v>20</v>
      </c>
      <c r="Z47" s="18" t="s">
        <v>20</v>
      </c>
      <c r="AA47" s="20" t="s">
        <v>20</v>
      </c>
      <c r="AB47" s="20" t="s">
        <v>20</v>
      </c>
      <c r="AC47" s="20" t="s">
        <v>20</v>
      </c>
      <c r="AD47" s="29" t="s">
        <v>21</v>
      </c>
      <c r="AE47" s="29" t="s">
        <v>21</v>
      </c>
      <c r="AG47">
        <f>+COUNTIF(F47:AE47,"AD")</f>
        <v>0</v>
      </c>
      <c r="AH47">
        <f>+COUNTIF(F47:AE47,"A")</f>
        <v>18</v>
      </c>
      <c r="AI47">
        <f>+COUNTIF(F47:AE47,"b")</f>
        <v>8</v>
      </c>
      <c r="AJ47">
        <f>+COUNTIF(F47:AE47,"c")</f>
        <v>0</v>
      </c>
      <c r="AL47">
        <f>+$AG$5*AG47</f>
        <v>0</v>
      </c>
      <c r="AM47">
        <f>+$AH$5*AH47</f>
        <v>54</v>
      </c>
      <c r="AN47">
        <f>+$AI$5*AI47</f>
        <v>16</v>
      </c>
      <c r="AO47">
        <f>+$AJ$5*AJ47</f>
        <v>0</v>
      </c>
      <c r="AP47">
        <f>+SUM(AL47:AO47)</f>
        <v>70</v>
      </c>
    </row>
    <row r="48" spans="1:42" ht="15.75" hidden="1" customHeight="1" x14ac:dyDescent="0.3">
      <c r="A48" s="16"/>
      <c r="B48" s="55">
        <v>11</v>
      </c>
      <c r="C48" s="56" t="s">
        <v>72</v>
      </c>
      <c r="D48" s="55">
        <v>2</v>
      </c>
      <c r="E48" s="55" t="s">
        <v>20</v>
      </c>
      <c r="F48" s="18" t="s">
        <v>20</v>
      </c>
      <c r="G48" s="18" t="s">
        <v>20</v>
      </c>
      <c r="H48" s="18" t="s">
        <v>20</v>
      </c>
      <c r="I48" s="18" t="s">
        <v>20</v>
      </c>
      <c r="J48" s="18" t="s">
        <v>20</v>
      </c>
      <c r="K48" s="18" t="s">
        <v>20</v>
      </c>
      <c r="L48" s="18" t="s">
        <v>20</v>
      </c>
      <c r="M48" s="18" t="s">
        <v>20</v>
      </c>
      <c r="N48" s="18" t="s">
        <v>20</v>
      </c>
      <c r="O48" s="18" t="s">
        <v>20</v>
      </c>
      <c r="P48" s="18" t="s">
        <v>20</v>
      </c>
      <c r="Q48" s="18" t="s">
        <v>20</v>
      </c>
      <c r="R48" s="18" t="s">
        <v>20</v>
      </c>
      <c r="S48" s="18" t="s">
        <v>20</v>
      </c>
      <c r="T48" s="18" t="s">
        <v>21</v>
      </c>
      <c r="U48" s="18" t="s">
        <v>20</v>
      </c>
      <c r="V48" s="37" t="s">
        <v>21</v>
      </c>
      <c r="W48" s="37" t="s">
        <v>20</v>
      </c>
      <c r="X48" s="37" t="s">
        <v>21</v>
      </c>
      <c r="Y48" s="18" t="s">
        <v>20</v>
      </c>
      <c r="Z48" s="18" t="s">
        <v>20</v>
      </c>
      <c r="AA48" s="20" t="s">
        <v>20</v>
      </c>
      <c r="AB48" s="20" t="s">
        <v>20</v>
      </c>
      <c r="AC48" s="20" t="s">
        <v>20</v>
      </c>
      <c r="AD48" s="29" t="s">
        <v>55</v>
      </c>
      <c r="AE48" s="29" t="s">
        <v>55</v>
      </c>
      <c r="AG48">
        <f>+COUNTIF(F48:AE48,"AD")</f>
        <v>0</v>
      </c>
      <c r="AH48">
        <f>+COUNTIF(F48:AE48,"A")</f>
        <v>21</v>
      </c>
      <c r="AI48">
        <f>+COUNTIF(F48:AE48,"b")</f>
        <v>3</v>
      </c>
      <c r="AJ48">
        <f>+COUNTIF(F48:AE48,"c")</f>
        <v>0</v>
      </c>
      <c r="AL48">
        <f>+$AG$5*AG48</f>
        <v>0</v>
      </c>
      <c r="AM48">
        <f>+$AH$5*AH48</f>
        <v>63</v>
      </c>
      <c r="AN48">
        <f>+$AI$5*AI48</f>
        <v>6</v>
      </c>
      <c r="AO48">
        <f>+$AJ$5*AJ48</f>
        <v>0</v>
      </c>
      <c r="AP48">
        <f>+SUM(AL48:AO48)</f>
        <v>69</v>
      </c>
    </row>
    <row r="49" spans="1:42" ht="15.75" hidden="1" customHeight="1" x14ac:dyDescent="0.3">
      <c r="A49" s="16"/>
      <c r="B49" s="55">
        <v>20</v>
      </c>
      <c r="C49" s="56" t="s">
        <v>81</v>
      </c>
      <c r="D49" s="55">
        <v>2</v>
      </c>
      <c r="E49" s="55" t="s">
        <v>20</v>
      </c>
      <c r="F49" s="18" t="s">
        <v>21</v>
      </c>
      <c r="G49" s="18" t="s">
        <v>21</v>
      </c>
      <c r="H49" s="18" t="s">
        <v>21</v>
      </c>
      <c r="I49" s="18" t="s">
        <v>21</v>
      </c>
      <c r="J49" s="18" t="s">
        <v>20</v>
      </c>
      <c r="K49" s="18" t="s">
        <v>21</v>
      </c>
      <c r="L49" s="18" t="s">
        <v>20</v>
      </c>
      <c r="M49" s="18" t="s">
        <v>20</v>
      </c>
      <c r="N49" s="18" t="s">
        <v>20</v>
      </c>
      <c r="O49" s="18" t="s">
        <v>20</v>
      </c>
      <c r="P49" s="18" t="s">
        <v>20</v>
      </c>
      <c r="Q49" s="18" t="s">
        <v>20</v>
      </c>
      <c r="R49" s="18" t="s">
        <v>20</v>
      </c>
      <c r="S49" s="18" t="s">
        <v>20</v>
      </c>
      <c r="T49" s="18" t="s">
        <v>21</v>
      </c>
      <c r="U49" s="18" t="s">
        <v>20</v>
      </c>
      <c r="V49" s="37" t="s">
        <v>20</v>
      </c>
      <c r="W49" s="37" t="s">
        <v>20</v>
      </c>
      <c r="X49" s="37" t="s">
        <v>21</v>
      </c>
      <c r="Y49" s="18" t="s">
        <v>20</v>
      </c>
      <c r="Z49" s="18" t="s">
        <v>20</v>
      </c>
      <c r="AA49" s="20" t="s">
        <v>20</v>
      </c>
      <c r="AB49" s="20" t="s">
        <v>20</v>
      </c>
      <c r="AC49" s="20" t="s">
        <v>20</v>
      </c>
      <c r="AD49" s="29" t="s">
        <v>21</v>
      </c>
      <c r="AE49" s="29" t="s">
        <v>21</v>
      </c>
      <c r="AG49">
        <f>+COUNTIF(F49:AE49,"AD")</f>
        <v>0</v>
      </c>
      <c r="AH49">
        <f>+COUNTIF(F49:AE49,"A")</f>
        <v>17</v>
      </c>
      <c r="AI49">
        <f>+COUNTIF(F49:AE49,"b")</f>
        <v>9</v>
      </c>
      <c r="AJ49">
        <f>+COUNTIF(F49:AE49,"c")</f>
        <v>0</v>
      </c>
      <c r="AL49">
        <f>+$AG$5*AG49</f>
        <v>0</v>
      </c>
      <c r="AM49">
        <f>+$AH$5*AH49</f>
        <v>51</v>
      </c>
      <c r="AN49">
        <f>+$AI$5*AI49</f>
        <v>18</v>
      </c>
      <c r="AO49">
        <f>+$AJ$5*AJ49</f>
        <v>0</v>
      </c>
      <c r="AP49">
        <f>+SUM(AL49:AO49)</f>
        <v>69</v>
      </c>
    </row>
    <row r="50" spans="1:42" ht="15.75" hidden="1" customHeight="1" x14ac:dyDescent="0.3">
      <c r="A50" s="16"/>
      <c r="B50" s="55">
        <v>2</v>
      </c>
      <c r="C50" s="56" t="s">
        <v>63</v>
      </c>
      <c r="D50" s="55">
        <v>2</v>
      </c>
      <c r="E50" s="55" t="s">
        <v>20</v>
      </c>
      <c r="F50" s="18" t="s">
        <v>21</v>
      </c>
      <c r="G50" s="18" t="s">
        <v>21</v>
      </c>
      <c r="H50" s="18" t="s">
        <v>23</v>
      </c>
      <c r="I50" s="18" t="s">
        <v>21</v>
      </c>
      <c r="J50" s="18" t="s">
        <v>21</v>
      </c>
      <c r="K50" s="18" t="s">
        <v>23</v>
      </c>
      <c r="L50" s="18" t="s">
        <v>23</v>
      </c>
      <c r="M50" s="18" t="s">
        <v>20</v>
      </c>
      <c r="N50" s="18" t="s">
        <v>20</v>
      </c>
      <c r="O50" s="18" t="s">
        <v>20</v>
      </c>
      <c r="P50" s="18" t="s">
        <v>20</v>
      </c>
      <c r="Q50" s="18" t="s">
        <v>20</v>
      </c>
      <c r="R50" s="18" t="s">
        <v>20</v>
      </c>
      <c r="S50" s="18" t="s">
        <v>21</v>
      </c>
      <c r="T50" s="18" t="s">
        <v>20</v>
      </c>
      <c r="U50" s="18" t="s">
        <v>20</v>
      </c>
      <c r="V50" s="35" t="s">
        <v>20</v>
      </c>
      <c r="W50" s="35" t="s">
        <v>20</v>
      </c>
      <c r="X50" s="36" t="s">
        <v>20</v>
      </c>
      <c r="Y50" s="19" t="s">
        <v>20</v>
      </c>
      <c r="Z50" s="18" t="s">
        <v>20</v>
      </c>
      <c r="AA50" s="20" t="s">
        <v>21</v>
      </c>
      <c r="AB50" s="20" t="s">
        <v>21</v>
      </c>
      <c r="AC50" s="20" t="s">
        <v>21</v>
      </c>
      <c r="AD50" s="29" t="s">
        <v>20</v>
      </c>
      <c r="AE50" s="29" t="s">
        <v>21</v>
      </c>
      <c r="AG50">
        <f>+COUNTIF(F50:AE50,"AD")</f>
        <v>0</v>
      </c>
      <c r="AH50">
        <f>+COUNTIF(F50:AE50,"A")</f>
        <v>14</v>
      </c>
      <c r="AI50">
        <f>+COUNTIF(F50:AE50,"b")</f>
        <v>9</v>
      </c>
      <c r="AJ50">
        <f>+COUNTIF(F50:AE50,"c")</f>
        <v>3</v>
      </c>
      <c r="AL50">
        <f>+$AG$5*AG50</f>
        <v>0</v>
      </c>
      <c r="AM50">
        <f>+$AH$5*AH50</f>
        <v>42</v>
      </c>
      <c r="AN50">
        <f>+$AI$5*AI50</f>
        <v>18</v>
      </c>
      <c r="AO50">
        <f>+$AJ$5*AJ50</f>
        <v>3</v>
      </c>
      <c r="AP50">
        <f>+SUM(AL50:AO50)</f>
        <v>63</v>
      </c>
    </row>
    <row r="51" spans="1:42" ht="15.75" hidden="1" customHeight="1" x14ac:dyDescent="0.3">
      <c r="A51" s="16"/>
      <c r="B51" s="55">
        <v>7</v>
      </c>
      <c r="C51" s="56" t="s">
        <v>68</v>
      </c>
      <c r="D51" s="55">
        <v>2</v>
      </c>
      <c r="E51" s="55" t="s">
        <v>20</v>
      </c>
      <c r="F51" s="18" t="s">
        <v>21</v>
      </c>
      <c r="G51" s="18" t="s">
        <v>21</v>
      </c>
      <c r="H51" s="18" t="s">
        <v>21</v>
      </c>
      <c r="I51" s="18" t="s">
        <v>21</v>
      </c>
      <c r="J51" s="18" t="s">
        <v>20</v>
      </c>
      <c r="K51" s="18" t="s">
        <v>21</v>
      </c>
      <c r="L51" s="18" t="s">
        <v>21</v>
      </c>
      <c r="M51" s="18" t="s">
        <v>21</v>
      </c>
      <c r="N51" s="18" t="s">
        <v>20</v>
      </c>
      <c r="O51" s="18" t="s">
        <v>23</v>
      </c>
      <c r="P51" s="18" t="s">
        <v>21</v>
      </c>
      <c r="Q51" s="18" t="s">
        <v>21</v>
      </c>
      <c r="R51" s="18" t="s">
        <v>21</v>
      </c>
      <c r="S51" s="18" t="s">
        <v>21</v>
      </c>
      <c r="T51" s="18" t="s">
        <v>20</v>
      </c>
      <c r="U51" s="18" t="s">
        <v>20</v>
      </c>
      <c r="V51" s="37" t="s">
        <v>20</v>
      </c>
      <c r="W51" s="37" t="s">
        <v>20</v>
      </c>
      <c r="X51" s="37" t="s">
        <v>20</v>
      </c>
      <c r="Y51" s="18" t="s">
        <v>20</v>
      </c>
      <c r="Z51" s="18" t="s">
        <v>20</v>
      </c>
      <c r="AA51" s="20" t="s">
        <v>20</v>
      </c>
      <c r="AB51" s="20" t="s">
        <v>20</v>
      </c>
      <c r="AC51" s="20" t="s">
        <v>20</v>
      </c>
      <c r="AD51" s="29" t="s">
        <v>21</v>
      </c>
      <c r="AE51" s="29" t="s">
        <v>21</v>
      </c>
      <c r="AG51">
        <f>+COUNTIF(F51:AE51,"AD")</f>
        <v>0</v>
      </c>
      <c r="AH51">
        <f>+COUNTIF(F51:AE51,"A")</f>
        <v>12</v>
      </c>
      <c r="AI51">
        <f>+COUNTIF(F51:AE51,"b")</f>
        <v>13</v>
      </c>
      <c r="AJ51">
        <f>+COUNTIF(F51:AE51,"c")</f>
        <v>1</v>
      </c>
      <c r="AL51">
        <f>+$AG$5*AG51</f>
        <v>0</v>
      </c>
      <c r="AM51">
        <f>+$AH$5*AH51</f>
        <v>36</v>
      </c>
      <c r="AN51">
        <f>+$AI$5*AI51</f>
        <v>26</v>
      </c>
      <c r="AO51">
        <f>+$AJ$5*AJ51</f>
        <v>1</v>
      </c>
      <c r="AP51">
        <f>+SUM(AL51:AO51)</f>
        <v>63</v>
      </c>
    </row>
    <row r="52" spans="1:42" ht="15.75" hidden="1" customHeight="1" x14ac:dyDescent="0.3">
      <c r="A52" s="16"/>
      <c r="B52" s="55">
        <v>16</v>
      </c>
      <c r="C52" s="56" t="s">
        <v>77</v>
      </c>
      <c r="D52" s="55">
        <v>2</v>
      </c>
      <c r="E52" s="55" t="s">
        <v>20</v>
      </c>
      <c r="F52" s="18" t="s">
        <v>21</v>
      </c>
      <c r="G52" s="18" t="s">
        <v>21</v>
      </c>
      <c r="H52" s="18" t="s">
        <v>21</v>
      </c>
      <c r="I52" s="18" t="s">
        <v>21</v>
      </c>
      <c r="J52" s="18" t="s">
        <v>21</v>
      </c>
      <c r="K52" s="18" t="s">
        <v>21</v>
      </c>
      <c r="L52" s="18" t="s">
        <v>21</v>
      </c>
      <c r="M52" s="18" t="s">
        <v>20</v>
      </c>
      <c r="N52" s="18" t="s">
        <v>20</v>
      </c>
      <c r="O52" s="18" t="s">
        <v>20</v>
      </c>
      <c r="P52" s="18" t="s">
        <v>21</v>
      </c>
      <c r="Q52" s="18" t="s">
        <v>21</v>
      </c>
      <c r="R52" s="18" t="s">
        <v>21</v>
      </c>
      <c r="S52" s="18" t="s">
        <v>20</v>
      </c>
      <c r="T52" s="18" t="s">
        <v>20</v>
      </c>
      <c r="U52" s="18" t="s">
        <v>21</v>
      </c>
      <c r="V52" s="37" t="s">
        <v>20</v>
      </c>
      <c r="W52" s="37" t="s">
        <v>20</v>
      </c>
      <c r="X52" s="37" t="s">
        <v>20</v>
      </c>
      <c r="Y52" s="18" t="s">
        <v>20</v>
      </c>
      <c r="Z52" s="18" t="s">
        <v>20</v>
      </c>
      <c r="AA52" s="20" t="s">
        <v>21</v>
      </c>
      <c r="AB52" s="20" t="s">
        <v>21</v>
      </c>
      <c r="AC52" s="20" t="s">
        <v>21</v>
      </c>
      <c r="AD52" s="29" t="s">
        <v>21</v>
      </c>
      <c r="AE52" s="29" t="s">
        <v>21</v>
      </c>
      <c r="AG52">
        <f>+COUNTIF(F52:AE52,"AD")</f>
        <v>0</v>
      </c>
      <c r="AH52">
        <f>+COUNTIF(F52:AE52,"A")</f>
        <v>10</v>
      </c>
      <c r="AI52">
        <f>+COUNTIF(F52:AE52,"b")</f>
        <v>16</v>
      </c>
      <c r="AJ52">
        <f>+COUNTIF(F52:AE52,"c")</f>
        <v>0</v>
      </c>
      <c r="AL52">
        <f>+$AG$5*AG52</f>
        <v>0</v>
      </c>
      <c r="AM52">
        <f>+$AH$5*AH52</f>
        <v>30</v>
      </c>
      <c r="AN52">
        <f>+$AI$5*AI52</f>
        <v>32</v>
      </c>
      <c r="AO52">
        <f>+$AJ$5*AJ52</f>
        <v>0</v>
      </c>
      <c r="AP52">
        <f>+SUM(AL52:AO52)</f>
        <v>62</v>
      </c>
    </row>
    <row r="53" spans="1:42" ht="15.75" hidden="1" customHeight="1" x14ac:dyDescent="0.3">
      <c r="A53" s="16"/>
      <c r="B53" s="55">
        <v>1</v>
      </c>
      <c r="C53" s="56" t="s">
        <v>62</v>
      </c>
      <c r="D53" s="55">
        <v>2</v>
      </c>
      <c r="E53" s="55" t="s">
        <v>20</v>
      </c>
      <c r="F53" s="18" t="s">
        <v>21</v>
      </c>
      <c r="G53" s="18" t="s">
        <v>23</v>
      </c>
      <c r="H53" s="18" t="s">
        <v>21</v>
      </c>
      <c r="I53" s="18" t="s">
        <v>21</v>
      </c>
      <c r="J53" s="18" t="s">
        <v>21</v>
      </c>
      <c r="K53" s="18" t="s">
        <v>21</v>
      </c>
      <c r="L53" s="18" t="s">
        <v>20</v>
      </c>
      <c r="M53" s="18" t="s">
        <v>20</v>
      </c>
      <c r="N53" s="18" t="s">
        <v>20</v>
      </c>
      <c r="O53" s="18" t="s">
        <v>21</v>
      </c>
      <c r="P53" s="18" t="s">
        <v>21</v>
      </c>
      <c r="Q53" s="18" t="s">
        <v>21</v>
      </c>
      <c r="R53" s="18" t="s">
        <v>21</v>
      </c>
      <c r="S53" s="18" t="s">
        <v>20</v>
      </c>
      <c r="T53" s="18" t="s">
        <v>21</v>
      </c>
      <c r="U53" s="18" t="s">
        <v>20</v>
      </c>
      <c r="V53" s="35" t="s">
        <v>20</v>
      </c>
      <c r="W53" s="35" t="s">
        <v>20</v>
      </c>
      <c r="X53" s="36" t="s">
        <v>20</v>
      </c>
      <c r="Y53" s="19" t="s">
        <v>20</v>
      </c>
      <c r="Z53" s="18" t="s">
        <v>20</v>
      </c>
      <c r="AA53" s="20" t="s">
        <v>21</v>
      </c>
      <c r="AB53" s="20" t="s">
        <v>21</v>
      </c>
      <c r="AC53" s="20" t="s">
        <v>21</v>
      </c>
      <c r="AD53" s="29" t="s">
        <v>21</v>
      </c>
      <c r="AE53" s="29" t="s">
        <v>21</v>
      </c>
      <c r="AG53">
        <f>+COUNTIF(F53:AE53,"AD")</f>
        <v>0</v>
      </c>
      <c r="AH53">
        <f>+COUNTIF(F53:AE53,"A")</f>
        <v>10</v>
      </c>
      <c r="AI53">
        <f>+COUNTIF(F53:AE53,"b")</f>
        <v>15</v>
      </c>
      <c r="AJ53">
        <f>+COUNTIF(F53:AE53,"c")</f>
        <v>1</v>
      </c>
      <c r="AL53">
        <f>+$AG$5*AG53</f>
        <v>0</v>
      </c>
      <c r="AM53">
        <f>+$AH$5*AH53</f>
        <v>30</v>
      </c>
      <c r="AN53">
        <f>+$AI$5*AI53</f>
        <v>30</v>
      </c>
      <c r="AO53">
        <f>+$AJ$5*AJ53</f>
        <v>1</v>
      </c>
      <c r="AP53">
        <f>+SUM(AL53:AO53)</f>
        <v>61</v>
      </c>
    </row>
    <row r="54" spans="1:42" ht="15.75" hidden="1" customHeight="1" x14ac:dyDescent="0.3">
      <c r="A54" s="16"/>
      <c r="B54" s="55">
        <v>10</v>
      </c>
      <c r="C54" s="56" t="s">
        <v>71</v>
      </c>
      <c r="D54" s="55">
        <v>2</v>
      </c>
      <c r="E54" s="55" t="s">
        <v>20</v>
      </c>
      <c r="F54" s="18" t="s">
        <v>21</v>
      </c>
      <c r="G54" s="18" t="s">
        <v>21</v>
      </c>
      <c r="H54" s="18" t="s">
        <v>21</v>
      </c>
      <c r="I54" s="18" t="s">
        <v>21</v>
      </c>
      <c r="J54" s="18" t="s">
        <v>20</v>
      </c>
      <c r="K54" s="18" t="s">
        <v>21</v>
      </c>
      <c r="L54" s="18" t="s">
        <v>21</v>
      </c>
      <c r="M54" s="18" t="s">
        <v>21</v>
      </c>
      <c r="N54" s="18" t="s">
        <v>21</v>
      </c>
      <c r="O54" s="18" t="s">
        <v>20</v>
      </c>
      <c r="P54" s="18" t="s">
        <v>21</v>
      </c>
      <c r="Q54" s="18" t="s">
        <v>21</v>
      </c>
      <c r="R54" s="18" t="s">
        <v>21</v>
      </c>
      <c r="S54" s="18" t="s">
        <v>21</v>
      </c>
      <c r="T54" s="18" t="s">
        <v>20</v>
      </c>
      <c r="U54" s="18" t="s">
        <v>20</v>
      </c>
      <c r="V54" s="37" t="s">
        <v>20</v>
      </c>
      <c r="W54" s="37" t="s">
        <v>20</v>
      </c>
      <c r="X54" s="37" t="s">
        <v>20</v>
      </c>
      <c r="Y54" s="18" t="s">
        <v>20</v>
      </c>
      <c r="Z54" s="18" t="s">
        <v>21</v>
      </c>
      <c r="AA54" s="20" t="s">
        <v>20</v>
      </c>
      <c r="AB54" s="20" t="s">
        <v>21</v>
      </c>
      <c r="AC54" s="20" t="s">
        <v>21</v>
      </c>
      <c r="AD54" s="29" t="s">
        <v>21</v>
      </c>
      <c r="AE54" s="29" t="s">
        <v>21</v>
      </c>
      <c r="AG54">
        <f>+COUNTIF(F54:AE54,"AD")</f>
        <v>0</v>
      </c>
      <c r="AH54">
        <f>+COUNTIF(F54:AE54,"A")</f>
        <v>9</v>
      </c>
      <c r="AI54">
        <f>+COUNTIF(F54:AE54,"b")</f>
        <v>17</v>
      </c>
      <c r="AJ54">
        <f>+COUNTIF(F54:AE54,"c")</f>
        <v>0</v>
      </c>
      <c r="AL54">
        <f>+$AG$5*AG54</f>
        <v>0</v>
      </c>
      <c r="AM54">
        <f>+$AH$5*AH54</f>
        <v>27</v>
      </c>
      <c r="AN54">
        <f>+$AI$5*AI54</f>
        <v>34</v>
      </c>
      <c r="AO54">
        <f>+$AJ$5*AJ54</f>
        <v>0</v>
      </c>
      <c r="AP54">
        <f>+SUM(AL54:AO54)</f>
        <v>61</v>
      </c>
    </row>
    <row r="55" spans="1:42" ht="15.75" hidden="1" customHeight="1" x14ac:dyDescent="0.3">
      <c r="A55" s="16"/>
      <c r="B55" s="55">
        <v>5</v>
      </c>
      <c r="C55" s="56" t="s">
        <v>66</v>
      </c>
      <c r="D55" s="55">
        <v>2</v>
      </c>
      <c r="E55" s="55" t="s">
        <v>20</v>
      </c>
      <c r="F55" s="18" t="s">
        <v>21</v>
      </c>
      <c r="G55" s="18" t="s">
        <v>21</v>
      </c>
      <c r="H55" s="18" t="s">
        <v>21</v>
      </c>
      <c r="I55" s="18" t="s">
        <v>21</v>
      </c>
      <c r="J55" s="18" t="s">
        <v>21</v>
      </c>
      <c r="K55" s="18" t="s">
        <v>21</v>
      </c>
      <c r="L55" s="18" t="s">
        <v>21</v>
      </c>
      <c r="M55" s="18" t="s">
        <v>21</v>
      </c>
      <c r="N55" s="18" t="s">
        <v>21</v>
      </c>
      <c r="O55" s="18" t="s">
        <v>20</v>
      </c>
      <c r="P55" s="18" t="s">
        <v>21</v>
      </c>
      <c r="Q55" s="18" t="s">
        <v>21</v>
      </c>
      <c r="R55" s="18" t="s">
        <v>21</v>
      </c>
      <c r="S55" s="18" t="s">
        <v>20</v>
      </c>
      <c r="T55" s="18" t="s">
        <v>21</v>
      </c>
      <c r="U55" s="18" t="s">
        <v>20</v>
      </c>
      <c r="V55" s="35" t="s">
        <v>20</v>
      </c>
      <c r="W55" s="35" t="s">
        <v>20</v>
      </c>
      <c r="X55" s="36" t="s">
        <v>20</v>
      </c>
      <c r="Y55" s="19" t="s">
        <v>20</v>
      </c>
      <c r="Z55" s="18" t="s">
        <v>20</v>
      </c>
      <c r="AA55" s="20" t="s">
        <v>21</v>
      </c>
      <c r="AB55" s="20" t="s">
        <v>21</v>
      </c>
      <c r="AC55" s="20" t="s">
        <v>23</v>
      </c>
      <c r="AD55" s="29" t="s">
        <v>21</v>
      </c>
      <c r="AE55" s="29" t="s">
        <v>21</v>
      </c>
      <c r="AG55">
        <f>+COUNTIF(F55:AE55,"AD")</f>
        <v>0</v>
      </c>
      <c r="AH55">
        <f>+COUNTIF(F55:AE55,"A")</f>
        <v>8</v>
      </c>
      <c r="AI55">
        <f>+COUNTIF(F55:AE55,"b")</f>
        <v>17</v>
      </c>
      <c r="AJ55">
        <f>+COUNTIF(F55:AE55,"c")</f>
        <v>1</v>
      </c>
      <c r="AL55">
        <f>+$AG$5*AG55</f>
        <v>0</v>
      </c>
      <c r="AM55">
        <f>+$AH$5*AH55</f>
        <v>24</v>
      </c>
      <c r="AN55">
        <f>+$AI$5*AI55</f>
        <v>34</v>
      </c>
      <c r="AO55">
        <f>+$AJ$5*AJ55</f>
        <v>1</v>
      </c>
      <c r="AP55">
        <f>+SUM(AL55:AO55)</f>
        <v>59</v>
      </c>
    </row>
    <row r="56" spans="1:42" ht="15.75" hidden="1" customHeight="1" x14ac:dyDescent="0.3">
      <c r="A56" s="16"/>
      <c r="B56" s="55">
        <v>15</v>
      </c>
      <c r="C56" s="56" t="s">
        <v>76</v>
      </c>
      <c r="D56" s="55">
        <v>2</v>
      </c>
      <c r="E56" s="55" t="s">
        <v>20</v>
      </c>
      <c r="F56" s="18" t="s">
        <v>20</v>
      </c>
      <c r="G56" s="18" t="s">
        <v>21</v>
      </c>
      <c r="H56" s="18" t="s">
        <v>21</v>
      </c>
      <c r="I56" s="18" t="s">
        <v>21</v>
      </c>
      <c r="J56" s="18" t="s">
        <v>20</v>
      </c>
      <c r="K56" s="18" t="s">
        <v>21</v>
      </c>
      <c r="L56" s="18" t="s">
        <v>21</v>
      </c>
      <c r="M56" s="18" t="s">
        <v>21</v>
      </c>
      <c r="N56" s="18" t="s">
        <v>21</v>
      </c>
      <c r="O56" s="18" t="s">
        <v>20</v>
      </c>
      <c r="P56" s="18" t="s">
        <v>21</v>
      </c>
      <c r="Q56" s="18" t="s">
        <v>21</v>
      </c>
      <c r="R56" s="18" t="s">
        <v>21</v>
      </c>
      <c r="S56" s="18" t="s">
        <v>20</v>
      </c>
      <c r="T56" s="18" t="s">
        <v>21</v>
      </c>
      <c r="U56" s="18" t="s">
        <v>21</v>
      </c>
      <c r="V56" s="37" t="s">
        <v>21</v>
      </c>
      <c r="W56" s="37" t="s">
        <v>20</v>
      </c>
      <c r="X56" s="37" t="s">
        <v>20</v>
      </c>
      <c r="Y56" s="18" t="s">
        <v>21</v>
      </c>
      <c r="Z56" s="18" t="s">
        <v>21</v>
      </c>
      <c r="AA56" s="20" t="s">
        <v>21</v>
      </c>
      <c r="AB56" s="20" t="s">
        <v>21</v>
      </c>
      <c r="AC56" s="20" t="s">
        <v>21</v>
      </c>
      <c r="AD56" s="29" t="s">
        <v>23</v>
      </c>
      <c r="AE56" s="29" t="s">
        <v>21</v>
      </c>
      <c r="AG56">
        <f>+COUNTIF(F56:AE56,"AD")</f>
        <v>0</v>
      </c>
      <c r="AH56">
        <f>+COUNTIF(F56:AE56,"A")</f>
        <v>6</v>
      </c>
      <c r="AI56">
        <f>+COUNTIF(F56:AE56,"b")</f>
        <v>19</v>
      </c>
      <c r="AJ56">
        <f>+COUNTIF(F56:AE56,"c")</f>
        <v>1</v>
      </c>
      <c r="AL56">
        <f>+$AG$5*AG56</f>
        <v>0</v>
      </c>
      <c r="AM56">
        <f>+$AH$5*AH56</f>
        <v>18</v>
      </c>
      <c r="AN56">
        <f>+$AI$5*AI56</f>
        <v>38</v>
      </c>
      <c r="AO56">
        <f>+$AJ$5*AJ56</f>
        <v>1</v>
      </c>
      <c r="AP56">
        <f>+SUM(AL56:AO56)</f>
        <v>57</v>
      </c>
    </row>
    <row r="57" spans="1:42" ht="15.75" hidden="1" customHeight="1" x14ac:dyDescent="0.3">
      <c r="A57" s="16"/>
      <c r="B57" s="55">
        <v>17</v>
      </c>
      <c r="C57" s="56" t="s">
        <v>78</v>
      </c>
      <c r="D57" s="55">
        <v>2</v>
      </c>
      <c r="E57" s="55" t="s">
        <v>20</v>
      </c>
      <c r="F57" s="18" t="s">
        <v>21</v>
      </c>
      <c r="G57" s="18" t="s">
        <v>21</v>
      </c>
      <c r="H57" s="18" t="s">
        <v>21</v>
      </c>
      <c r="I57" s="18" t="s">
        <v>21</v>
      </c>
      <c r="J57" s="18" t="s">
        <v>23</v>
      </c>
      <c r="K57" s="18" t="s">
        <v>21</v>
      </c>
      <c r="L57" s="18" t="s">
        <v>21</v>
      </c>
      <c r="M57" s="18" t="s">
        <v>21</v>
      </c>
      <c r="N57" s="18" t="s">
        <v>21</v>
      </c>
      <c r="O57" s="18" t="s">
        <v>20</v>
      </c>
      <c r="P57" s="18" t="s">
        <v>21</v>
      </c>
      <c r="Q57" s="18" t="s">
        <v>21</v>
      </c>
      <c r="R57" s="18" t="s">
        <v>21</v>
      </c>
      <c r="S57" s="18" t="s">
        <v>21</v>
      </c>
      <c r="T57" s="18" t="s">
        <v>21</v>
      </c>
      <c r="U57" s="18" t="s">
        <v>21</v>
      </c>
      <c r="V57" s="37" t="s">
        <v>20</v>
      </c>
      <c r="W57" s="37" t="s">
        <v>20</v>
      </c>
      <c r="X57" s="37" t="s">
        <v>20</v>
      </c>
      <c r="Y57" s="18" t="s">
        <v>20</v>
      </c>
      <c r="Z57" s="18" t="s">
        <v>20</v>
      </c>
      <c r="AA57" s="20" t="s">
        <v>23</v>
      </c>
      <c r="AB57" s="20" t="s">
        <v>23</v>
      </c>
      <c r="AC57" s="20" t="s">
        <v>21</v>
      </c>
      <c r="AD57" s="29" t="s">
        <v>21</v>
      </c>
      <c r="AE57" s="29" t="s">
        <v>21</v>
      </c>
      <c r="AG57">
        <f>+COUNTIF(F57:AE57,"AD")</f>
        <v>0</v>
      </c>
      <c r="AH57">
        <f>+COUNTIF(F57:AE57,"A")</f>
        <v>6</v>
      </c>
      <c r="AI57">
        <f>+COUNTIF(F57:AE57,"b")</f>
        <v>17</v>
      </c>
      <c r="AJ57">
        <f>+COUNTIF(F57:AE57,"c")</f>
        <v>3</v>
      </c>
      <c r="AL57">
        <f>+$AG$5*AG57</f>
        <v>0</v>
      </c>
      <c r="AM57">
        <f>+$AH$5*AH57</f>
        <v>18</v>
      </c>
      <c r="AN57">
        <f>+$AI$5*AI57</f>
        <v>34</v>
      </c>
      <c r="AO57">
        <f>+$AJ$5*AJ57</f>
        <v>3</v>
      </c>
      <c r="AP57">
        <f>+SUM(AL57:AO57)</f>
        <v>55</v>
      </c>
    </row>
    <row r="58" spans="1:42" ht="15.75" hidden="1" customHeight="1" x14ac:dyDescent="0.3">
      <c r="A58" s="16"/>
      <c r="B58" s="55">
        <v>14</v>
      </c>
      <c r="C58" s="56" t="s">
        <v>75</v>
      </c>
      <c r="D58" s="55">
        <v>2</v>
      </c>
      <c r="E58" s="55" t="s">
        <v>20</v>
      </c>
      <c r="F58" s="18" t="s">
        <v>20</v>
      </c>
      <c r="G58" s="18" t="s">
        <v>21</v>
      </c>
      <c r="H58" s="18" t="s">
        <v>21</v>
      </c>
      <c r="I58" s="18" t="s">
        <v>21</v>
      </c>
      <c r="J58" s="18" t="s">
        <v>21</v>
      </c>
      <c r="K58" s="18" t="s">
        <v>23</v>
      </c>
      <c r="L58" s="18" t="s">
        <v>20</v>
      </c>
      <c r="M58" s="18" t="s">
        <v>21</v>
      </c>
      <c r="N58" s="18" t="s">
        <v>21</v>
      </c>
      <c r="O58" s="18" t="s">
        <v>23</v>
      </c>
      <c r="P58" s="18" t="s">
        <v>20</v>
      </c>
      <c r="Q58" s="18" t="s">
        <v>20</v>
      </c>
      <c r="R58" s="18" t="s">
        <v>21</v>
      </c>
      <c r="S58" s="18" t="s">
        <v>21</v>
      </c>
      <c r="T58" s="18" t="s">
        <v>23</v>
      </c>
      <c r="U58" s="18" t="s">
        <v>21</v>
      </c>
      <c r="V58" s="37" t="s">
        <v>21</v>
      </c>
      <c r="W58" s="37" t="s">
        <v>20</v>
      </c>
      <c r="X58" s="37" t="s">
        <v>21</v>
      </c>
      <c r="Y58" s="18" t="s">
        <v>21</v>
      </c>
      <c r="Z58" s="18" t="s">
        <v>20</v>
      </c>
      <c r="AA58" s="20" t="s">
        <v>23</v>
      </c>
      <c r="AB58" s="20" t="s">
        <v>21</v>
      </c>
      <c r="AC58" s="20" t="s">
        <v>21</v>
      </c>
      <c r="AD58" s="29" t="s">
        <v>23</v>
      </c>
      <c r="AE58" s="29" t="s">
        <v>21</v>
      </c>
      <c r="AG58">
        <f>+COUNTIF(F58:AE58,"AD")</f>
        <v>0</v>
      </c>
      <c r="AH58">
        <f>+COUNTIF(F58:AE58,"A")</f>
        <v>6</v>
      </c>
      <c r="AI58">
        <f>+COUNTIF(F58:AE58,"b")</f>
        <v>15</v>
      </c>
      <c r="AJ58">
        <f>+COUNTIF(F58:AE58,"c")</f>
        <v>5</v>
      </c>
      <c r="AL58">
        <f>+$AG$5*AG58</f>
        <v>0</v>
      </c>
      <c r="AM58">
        <f>+$AH$5*AH58</f>
        <v>18</v>
      </c>
      <c r="AN58">
        <f>+$AI$5*AI58</f>
        <v>30</v>
      </c>
      <c r="AO58">
        <f>+$AJ$5*AJ58</f>
        <v>5</v>
      </c>
      <c r="AP58">
        <f>+SUM(AL58:AO58)</f>
        <v>53</v>
      </c>
    </row>
    <row r="59" spans="1:42" ht="15.75" hidden="1" customHeight="1" x14ac:dyDescent="0.3">
      <c r="A59" s="16"/>
      <c r="B59" s="55">
        <v>19</v>
      </c>
      <c r="C59" s="56" t="s">
        <v>80</v>
      </c>
      <c r="D59" s="55">
        <v>2</v>
      </c>
      <c r="E59" s="55" t="s">
        <v>20</v>
      </c>
      <c r="F59" s="18" t="s">
        <v>21</v>
      </c>
      <c r="G59" s="18" t="s">
        <v>20</v>
      </c>
      <c r="H59" s="18" t="s">
        <v>21</v>
      </c>
      <c r="I59" s="18" t="s">
        <v>21</v>
      </c>
      <c r="J59" s="18" t="s">
        <v>21</v>
      </c>
      <c r="K59" s="18" t="s">
        <v>23</v>
      </c>
      <c r="L59" s="18" t="s">
        <v>23</v>
      </c>
      <c r="M59" s="18" t="s">
        <v>21</v>
      </c>
      <c r="N59" s="18" t="s">
        <v>21</v>
      </c>
      <c r="O59" s="18" t="s">
        <v>20</v>
      </c>
      <c r="P59" s="18" t="s">
        <v>21</v>
      </c>
      <c r="Q59" s="18" t="s">
        <v>21</v>
      </c>
      <c r="R59" s="18" t="s">
        <v>23</v>
      </c>
      <c r="S59" s="18" t="s">
        <v>21</v>
      </c>
      <c r="T59" s="18" t="s">
        <v>21</v>
      </c>
      <c r="U59" s="18" t="s">
        <v>21</v>
      </c>
      <c r="V59" s="37" t="s">
        <v>21</v>
      </c>
      <c r="W59" s="37" t="s">
        <v>20</v>
      </c>
      <c r="X59" s="37" t="s">
        <v>20</v>
      </c>
      <c r="Y59" s="18" t="s">
        <v>20</v>
      </c>
      <c r="Z59" s="18" t="s">
        <v>20</v>
      </c>
      <c r="AA59" s="20" t="s">
        <v>23</v>
      </c>
      <c r="AB59" s="20" t="s">
        <v>21</v>
      </c>
      <c r="AC59" s="20" t="s">
        <v>21</v>
      </c>
      <c r="AD59" s="29" t="s">
        <v>23</v>
      </c>
      <c r="AE59" s="29" t="s">
        <v>21</v>
      </c>
      <c r="AG59">
        <f>+COUNTIF(F59:AE59,"AD")</f>
        <v>0</v>
      </c>
      <c r="AH59">
        <f>+COUNTIF(F59:AE59,"A")</f>
        <v>6</v>
      </c>
      <c r="AI59">
        <f>+COUNTIF(F59:AE59,"b")</f>
        <v>15</v>
      </c>
      <c r="AJ59">
        <f>+COUNTIF(F59:AE59,"c")</f>
        <v>5</v>
      </c>
      <c r="AL59">
        <f>+$AG$5*AG59</f>
        <v>0</v>
      </c>
      <c r="AM59">
        <f>+$AH$5*AH59</f>
        <v>18</v>
      </c>
      <c r="AN59">
        <f>+$AI$5*AI59</f>
        <v>30</v>
      </c>
      <c r="AO59">
        <f>+$AJ$5*AJ59</f>
        <v>5</v>
      </c>
      <c r="AP59">
        <f>+SUM(AL59:AO59)</f>
        <v>53</v>
      </c>
    </row>
    <row r="60" spans="1:42" ht="15.75" hidden="1" customHeight="1" x14ac:dyDescent="0.3">
      <c r="A60" s="16"/>
      <c r="B60" s="55">
        <v>9</v>
      </c>
      <c r="C60" s="56" t="s">
        <v>70</v>
      </c>
      <c r="D60" s="55">
        <v>2</v>
      </c>
      <c r="E60" s="55" t="s">
        <v>20</v>
      </c>
      <c r="F60" s="18" t="s">
        <v>21</v>
      </c>
      <c r="G60" s="18" t="s">
        <v>21</v>
      </c>
      <c r="H60" s="18" t="s">
        <v>21</v>
      </c>
      <c r="I60" s="18" t="s">
        <v>21</v>
      </c>
      <c r="J60" s="18" t="s">
        <v>21</v>
      </c>
      <c r="K60" s="18" t="s">
        <v>21</v>
      </c>
      <c r="L60" s="18" t="s">
        <v>21</v>
      </c>
      <c r="M60" s="18" t="s">
        <v>21</v>
      </c>
      <c r="N60" s="18" t="s">
        <v>21</v>
      </c>
      <c r="O60" s="18" t="s">
        <v>23</v>
      </c>
      <c r="P60" s="18" t="s">
        <v>21</v>
      </c>
      <c r="Q60" s="18" t="s">
        <v>21</v>
      </c>
      <c r="R60" s="18" t="s">
        <v>21</v>
      </c>
      <c r="S60" s="18" t="s">
        <v>23</v>
      </c>
      <c r="T60" s="18" t="s">
        <v>23</v>
      </c>
      <c r="U60" s="18" t="s">
        <v>20</v>
      </c>
      <c r="V60" s="37" t="s">
        <v>20</v>
      </c>
      <c r="W60" s="37" t="s">
        <v>20</v>
      </c>
      <c r="X60" s="37" t="s">
        <v>20</v>
      </c>
      <c r="Y60" s="18" t="s">
        <v>21</v>
      </c>
      <c r="Z60" s="18" t="s">
        <v>20</v>
      </c>
      <c r="AA60" s="20" t="s">
        <v>23</v>
      </c>
      <c r="AB60" s="20" t="s">
        <v>21</v>
      </c>
      <c r="AC60" s="20" t="s">
        <v>23</v>
      </c>
      <c r="AD60" s="29" t="s">
        <v>21</v>
      </c>
      <c r="AE60" s="29" t="s">
        <v>21</v>
      </c>
      <c r="AG60">
        <f>+COUNTIF(F60:AE60,"AD")</f>
        <v>0</v>
      </c>
      <c r="AH60">
        <f>+COUNTIF(F60:AE60,"A")</f>
        <v>5</v>
      </c>
      <c r="AI60">
        <f>+COUNTIF(F60:AE60,"b")</f>
        <v>16</v>
      </c>
      <c r="AJ60">
        <f>+COUNTIF(F60:AE60,"c")</f>
        <v>5</v>
      </c>
      <c r="AL60">
        <f>+$AG$5*AG60</f>
        <v>0</v>
      </c>
      <c r="AM60">
        <f>+$AH$5*AH60</f>
        <v>15</v>
      </c>
      <c r="AN60">
        <f>+$AI$5*AI60</f>
        <v>32</v>
      </c>
      <c r="AO60">
        <f>+$AJ$5*AJ60</f>
        <v>5</v>
      </c>
      <c r="AP60">
        <f>+SUM(AL60:AO60)</f>
        <v>52</v>
      </c>
    </row>
    <row r="61" spans="1:42" ht="15.75" hidden="1" customHeight="1" x14ac:dyDescent="0.3">
      <c r="A61" s="16"/>
      <c r="B61" s="55">
        <v>4</v>
      </c>
      <c r="C61" s="56" t="s">
        <v>65</v>
      </c>
      <c r="D61" s="55">
        <v>2</v>
      </c>
      <c r="E61" s="55" t="s">
        <v>20</v>
      </c>
      <c r="F61" s="18" t="s">
        <v>21</v>
      </c>
      <c r="G61" s="18" t="s">
        <v>23</v>
      </c>
      <c r="H61" s="18" t="s">
        <v>21</v>
      </c>
      <c r="I61" s="18" t="s">
        <v>21</v>
      </c>
      <c r="J61" s="18" t="s">
        <v>21</v>
      </c>
      <c r="K61" s="18" t="s">
        <v>23</v>
      </c>
      <c r="L61" s="18" t="s">
        <v>21</v>
      </c>
      <c r="M61" s="18" t="s">
        <v>21</v>
      </c>
      <c r="N61" s="18" t="s">
        <v>21</v>
      </c>
      <c r="O61" s="18" t="s">
        <v>23</v>
      </c>
      <c r="P61" s="18" t="s">
        <v>23</v>
      </c>
      <c r="Q61" s="18" t="s">
        <v>23</v>
      </c>
      <c r="R61" s="18" t="s">
        <v>21</v>
      </c>
      <c r="S61" s="18" t="s">
        <v>23</v>
      </c>
      <c r="T61" s="18" t="s">
        <v>23</v>
      </c>
      <c r="U61" s="18" t="s">
        <v>20</v>
      </c>
      <c r="V61" s="35" t="s">
        <v>20</v>
      </c>
      <c r="W61" s="35" t="s">
        <v>20</v>
      </c>
      <c r="X61" s="36" t="s">
        <v>20</v>
      </c>
      <c r="Y61" s="19" t="s">
        <v>20</v>
      </c>
      <c r="Z61" s="18" t="s">
        <v>20</v>
      </c>
      <c r="AA61" s="20" t="s">
        <v>21</v>
      </c>
      <c r="AB61" s="20" t="s">
        <v>21</v>
      </c>
      <c r="AC61" s="20" t="s">
        <v>21</v>
      </c>
      <c r="AD61" s="29" t="s">
        <v>21</v>
      </c>
      <c r="AE61" s="29" t="s">
        <v>21</v>
      </c>
      <c r="AG61">
        <f>+COUNTIF(F61:AE61,"AD")</f>
        <v>0</v>
      </c>
      <c r="AH61">
        <f>+COUNTIF(F61:AE61,"A")</f>
        <v>6</v>
      </c>
      <c r="AI61">
        <f>+COUNTIF(F61:AE61,"b")</f>
        <v>13</v>
      </c>
      <c r="AJ61">
        <f>+COUNTIF(F61:AE61,"c")</f>
        <v>7</v>
      </c>
      <c r="AL61">
        <f>+$AG$5*AG61</f>
        <v>0</v>
      </c>
      <c r="AM61">
        <f>+$AH$5*AH61</f>
        <v>18</v>
      </c>
      <c r="AN61">
        <f>+$AI$5*AI61</f>
        <v>26</v>
      </c>
      <c r="AO61">
        <f>+$AJ$5*AJ61</f>
        <v>7</v>
      </c>
      <c r="AP61">
        <f>+SUM(AL61:AO61)</f>
        <v>51</v>
      </c>
    </row>
    <row r="62" spans="1:42" ht="15.75" hidden="1" customHeight="1" x14ac:dyDescent="0.3">
      <c r="A62" s="16"/>
      <c r="B62" s="55">
        <v>3</v>
      </c>
      <c r="C62" s="56" t="s">
        <v>64</v>
      </c>
      <c r="D62" s="55">
        <v>2</v>
      </c>
      <c r="E62" s="55" t="s">
        <v>20</v>
      </c>
      <c r="F62" s="18" t="s">
        <v>21</v>
      </c>
      <c r="G62" s="18" t="s">
        <v>23</v>
      </c>
      <c r="H62" s="18" t="s">
        <v>21</v>
      </c>
      <c r="I62" s="18" t="s">
        <v>21</v>
      </c>
      <c r="J62" s="18" t="s">
        <v>20</v>
      </c>
      <c r="K62" s="18" t="s">
        <v>23</v>
      </c>
      <c r="L62" s="18" t="s">
        <v>21</v>
      </c>
      <c r="M62" s="18" t="s">
        <v>21</v>
      </c>
      <c r="N62" s="18" t="s">
        <v>21</v>
      </c>
      <c r="O62" s="18" t="s">
        <v>23</v>
      </c>
      <c r="P62" s="18" t="s">
        <v>21</v>
      </c>
      <c r="Q62" s="18" t="s">
        <v>20</v>
      </c>
      <c r="R62" s="18" t="s">
        <v>21</v>
      </c>
      <c r="S62" s="18" t="s">
        <v>23</v>
      </c>
      <c r="T62" s="18" t="s">
        <v>21</v>
      </c>
      <c r="U62" s="18" t="s">
        <v>20</v>
      </c>
      <c r="V62" s="35" t="s">
        <v>21</v>
      </c>
      <c r="W62" s="35" t="s">
        <v>21</v>
      </c>
      <c r="X62" s="36" t="s">
        <v>21</v>
      </c>
      <c r="Y62" s="19" t="s">
        <v>21</v>
      </c>
      <c r="Z62" s="18" t="s">
        <v>20</v>
      </c>
      <c r="AA62" s="20" t="s">
        <v>21</v>
      </c>
      <c r="AB62" s="20" t="s">
        <v>21</v>
      </c>
      <c r="AC62" s="20" t="s">
        <v>21</v>
      </c>
      <c r="AD62" s="29" t="s">
        <v>55</v>
      </c>
      <c r="AE62" s="29" t="s">
        <v>55</v>
      </c>
      <c r="AG62">
        <f>+COUNTIF(F62:AE62,"AD")</f>
        <v>0</v>
      </c>
      <c r="AH62">
        <f>+COUNTIF(F62:AE62,"A")</f>
        <v>4</v>
      </c>
      <c r="AI62">
        <f>+COUNTIF(F62:AE62,"b")</f>
        <v>16</v>
      </c>
      <c r="AJ62">
        <f>+COUNTIF(F62:AE62,"c")</f>
        <v>4</v>
      </c>
      <c r="AL62">
        <f>+$AG$5*AG62</f>
        <v>0</v>
      </c>
      <c r="AM62">
        <f>+$AH$5*AH62</f>
        <v>12</v>
      </c>
      <c r="AN62">
        <f>+$AI$5*AI62</f>
        <v>32</v>
      </c>
      <c r="AO62">
        <f>+$AJ$5*AJ62</f>
        <v>4</v>
      </c>
      <c r="AP62">
        <f>+SUM(AL62:AO62)</f>
        <v>48</v>
      </c>
    </row>
    <row r="63" spans="1:42" ht="15.75" hidden="1" customHeight="1" x14ac:dyDescent="0.3">
      <c r="A63" s="16"/>
      <c r="B63" s="55">
        <v>21</v>
      </c>
      <c r="C63" s="56" t="s">
        <v>82</v>
      </c>
      <c r="D63" s="55">
        <v>2</v>
      </c>
      <c r="E63" s="55" t="s">
        <v>20</v>
      </c>
      <c r="F63" s="18" t="s">
        <v>21</v>
      </c>
      <c r="G63" s="18" t="s">
        <v>20</v>
      </c>
      <c r="H63" s="18" t="s">
        <v>21</v>
      </c>
      <c r="I63" s="18" t="s">
        <v>21</v>
      </c>
      <c r="J63" s="18" t="s">
        <v>20</v>
      </c>
      <c r="K63" s="18" t="s">
        <v>21</v>
      </c>
      <c r="L63" s="18" t="s">
        <v>23</v>
      </c>
      <c r="M63" s="18" t="s">
        <v>21</v>
      </c>
      <c r="N63" s="18" t="s">
        <v>21</v>
      </c>
      <c r="O63" s="18" t="s">
        <v>23</v>
      </c>
      <c r="P63" s="18" t="s">
        <v>23</v>
      </c>
      <c r="Q63" s="18" t="s">
        <v>23</v>
      </c>
      <c r="R63" s="18" t="s">
        <v>21</v>
      </c>
      <c r="S63" s="18" t="s">
        <v>23</v>
      </c>
      <c r="T63" s="18" t="s">
        <v>23</v>
      </c>
      <c r="U63" s="18" t="s">
        <v>21</v>
      </c>
      <c r="V63" s="37" t="s">
        <v>20</v>
      </c>
      <c r="W63" s="37" t="s">
        <v>21</v>
      </c>
      <c r="X63" s="37" t="s">
        <v>20</v>
      </c>
      <c r="Y63" s="18" t="s">
        <v>21</v>
      </c>
      <c r="Z63" s="18" t="s">
        <v>21</v>
      </c>
      <c r="AA63" s="20" t="s">
        <v>23</v>
      </c>
      <c r="AB63" s="20" t="s">
        <v>21</v>
      </c>
      <c r="AC63" s="20" t="s">
        <v>21</v>
      </c>
      <c r="AD63" s="29" t="s">
        <v>23</v>
      </c>
      <c r="AE63" s="29" t="s">
        <v>21</v>
      </c>
      <c r="AG63">
        <f>+COUNTIF(F63:AE63,"AD")</f>
        <v>0</v>
      </c>
      <c r="AH63">
        <f>+COUNTIF(F63:AE63,"A")</f>
        <v>4</v>
      </c>
      <c r="AI63">
        <f>+COUNTIF(F63:AE63,"b")</f>
        <v>14</v>
      </c>
      <c r="AJ63">
        <f>+COUNTIF(F63:AE63,"c")</f>
        <v>8</v>
      </c>
      <c r="AL63">
        <f>+$AG$5*AG63</f>
        <v>0</v>
      </c>
      <c r="AM63">
        <f>+$AH$5*AH63</f>
        <v>12</v>
      </c>
      <c r="AN63">
        <f>+$AI$5*AI63</f>
        <v>28</v>
      </c>
      <c r="AO63">
        <f>+$AJ$5*AJ63</f>
        <v>8</v>
      </c>
      <c r="AP63">
        <f>+SUM(AL63:AO63)</f>
        <v>48</v>
      </c>
    </row>
    <row r="64" spans="1:42" ht="15.75" hidden="1" customHeight="1" x14ac:dyDescent="0.3">
      <c r="A64" s="16"/>
      <c r="B64" s="55">
        <v>22</v>
      </c>
      <c r="C64" s="56" t="s">
        <v>83</v>
      </c>
      <c r="D64" s="55">
        <v>2</v>
      </c>
      <c r="E64" s="55" t="s">
        <v>20</v>
      </c>
      <c r="F64" s="18" t="s">
        <v>21</v>
      </c>
      <c r="G64" s="18" t="s">
        <v>23</v>
      </c>
      <c r="H64" s="18" t="s">
        <v>21</v>
      </c>
      <c r="I64" s="18" t="s">
        <v>21</v>
      </c>
      <c r="J64" s="18" t="s">
        <v>21</v>
      </c>
      <c r="K64" s="18" t="s">
        <v>21</v>
      </c>
      <c r="L64" s="18" t="s">
        <v>20</v>
      </c>
      <c r="M64" s="18" t="s">
        <v>21</v>
      </c>
      <c r="N64" s="18" t="s">
        <v>21</v>
      </c>
      <c r="O64" s="18" t="s">
        <v>23</v>
      </c>
      <c r="P64" s="18" t="s">
        <v>23</v>
      </c>
      <c r="Q64" s="18" t="s">
        <v>23</v>
      </c>
      <c r="R64" s="18" t="s">
        <v>21</v>
      </c>
      <c r="S64" s="18" t="s">
        <v>23</v>
      </c>
      <c r="T64" s="18" t="s">
        <v>23</v>
      </c>
      <c r="U64" s="18" t="s">
        <v>21</v>
      </c>
      <c r="V64" s="37" t="s">
        <v>20</v>
      </c>
      <c r="W64" s="37" t="s">
        <v>20</v>
      </c>
      <c r="X64" s="37" t="s">
        <v>20</v>
      </c>
      <c r="Y64" s="18" t="s">
        <v>21</v>
      </c>
      <c r="Z64" s="18" t="s">
        <v>21</v>
      </c>
      <c r="AA64" s="20" t="s">
        <v>23</v>
      </c>
      <c r="AB64" s="20" t="s">
        <v>21</v>
      </c>
      <c r="AC64" s="20" t="s">
        <v>21</v>
      </c>
      <c r="AD64" s="29" t="s">
        <v>23</v>
      </c>
      <c r="AE64" s="29" t="s">
        <v>21</v>
      </c>
      <c r="AG64">
        <f>+COUNTIF(F64:AE64,"AD")</f>
        <v>0</v>
      </c>
      <c r="AH64">
        <f>+COUNTIF(F64:AE64,"A")</f>
        <v>4</v>
      </c>
      <c r="AI64">
        <f>+COUNTIF(F64:AE64,"b")</f>
        <v>14</v>
      </c>
      <c r="AJ64">
        <f>+COUNTIF(F64:AE64,"c")</f>
        <v>8</v>
      </c>
      <c r="AL64">
        <f>+$AG$5*AG64</f>
        <v>0</v>
      </c>
      <c r="AM64">
        <f>+$AH$5*AH64</f>
        <v>12</v>
      </c>
      <c r="AN64">
        <f>+$AI$5*AI64</f>
        <v>28</v>
      </c>
      <c r="AO64">
        <f>+$AJ$5*AJ64</f>
        <v>8</v>
      </c>
      <c r="AP64">
        <f>+SUM(AL64:AO64)</f>
        <v>48</v>
      </c>
    </row>
    <row r="65" spans="1:42" ht="15.75" hidden="1" customHeight="1" x14ac:dyDescent="0.3">
      <c r="A65" s="16"/>
      <c r="B65" s="55">
        <v>24</v>
      </c>
      <c r="C65" s="56" t="s">
        <v>85</v>
      </c>
      <c r="D65" s="55">
        <v>2</v>
      </c>
      <c r="E65" s="55" t="s">
        <v>20</v>
      </c>
      <c r="F65" s="18" t="s">
        <v>21</v>
      </c>
      <c r="G65" s="18" t="s">
        <v>23</v>
      </c>
      <c r="H65" s="18" t="s">
        <v>21</v>
      </c>
      <c r="I65" s="18" t="s">
        <v>21</v>
      </c>
      <c r="J65" s="18" t="s">
        <v>21</v>
      </c>
      <c r="K65" s="18" t="s">
        <v>21</v>
      </c>
      <c r="L65" s="18" t="s">
        <v>23</v>
      </c>
      <c r="M65" s="18" t="s">
        <v>21</v>
      </c>
      <c r="N65" s="18" t="s">
        <v>21</v>
      </c>
      <c r="O65" s="18" t="s">
        <v>23</v>
      </c>
      <c r="P65" s="18" t="s">
        <v>21</v>
      </c>
      <c r="Q65" s="18" t="s">
        <v>21</v>
      </c>
      <c r="R65" s="18" t="s">
        <v>21</v>
      </c>
      <c r="S65" s="18" t="s">
        <v>23</v>
      </c>
      <c r="T65" s="18" t="s">
        <v>21</v>
      </c>
      <c r="U65" s="18" t="s">
        <v>21</v>
      </c>
      <c r="V65" s="37" t="s">
        <v>21</v>
      </c>
      <c r="W65" s="37" t="s">
        <v>20</v>
      </c>
      <c r="X65" s="37" t="s">
        <v>20</v>
      </c>
      <c r="Y65" s="18" t="s">
        <v>21</v>
      </c>
      <c r="Z65" s="18" t="s">
        <v>21</v>
      </c>
      <c r="AA65" s="20" t="s">
        <v>21</v>
      </c>
      <c r="AB65" s="20" t="s">
        <v>21</v>
      </c>
      <c r="AC65" s="20" t="s">
        <v>23</v>
      </c>
      <c r="AD65" s="29" t="s">
        <v>23</v>
      </c>
      <c r="AE65" s="29" t="s">
        <v>21</v>
      </c>
      <c r="AG65">
        <f>+COUNTIF(F65:AE65,"AD")</f>
        <v>0</v>
      </c>
      <c r="AH65">
        <f>+COUNTIF(F65:AE65,"A")</f>
        <v>2</v>
      </c>
      <c r="AI65">
        <f>+COUNTIF(F65:AE65,"b")</f>
        <v>18</v>
      </c>
      <c r="AJ65">
        <f>+COUNTIF(F65:AE65,"c")</f>
        <v>6</v>
      </c>
      <c r="AL65">
        <f>+$AG$5*AG65</f>
        <v>0</v>
      </c>
      <c r="AM65">
        <f>+$AH$5*AH65</f>
        <v>6</v>
      </c>
      <c r="AN65">
        <f>+$AI$5*AI65</f>
        <v>36</v>
      </c>
      <c r="AO65">
        <f>+$AJ$5*AJ65</f>
        <v>6</v>
      </c>
      <c r="AP65">
        <f>+SUM(AL65:AO65)</f>
        <v>48</v>
      </c>
    </row>
    <row r="66" spans="1:42" ht="15.75" hidden="1" customHeight="1" x14ac:dyDescent="0.3">
      <c r="A66" s="16"/>
      <c r="B66" s="55">
        <v>12</v>
      </c>
      <c r="C66" s="56" t="s">
        <v>73</v>
      </c>
      <c r="D66" s="55">
        <v>2</v>
      </c>
      <c r="E66" s="55" t="s">
        <v>20</v>
      </c>
      <c r="F66" s="18" t="s">
        <v>20</v>
      </c>
      <c r="G66" s="18" t="s">
        <v>21</v>
      </c>
      <c r="H66" s="18" t="s">
        <v>21</v>
      </c>
      <c r="I66" s="18" t="s">
        <v>21</v>
      </c>
      <c r="J66" s="18" t="s">
        <v>21</v>
      </c>
      <c r="K66" s="18" t="s">
        <v>21</v>
      </c>
      <c r="L66" s="18" t="s">
        <v>21</v>
      </c>
      <c r="M66" s="18" t="s">
        <v>21</v>
      </c>
      <c r="N66" s="18" t="s">
        <v>21</v>
      </c>
      <c r="O66" s="18" t="s">
        <v>23</v>
      </c>
      <c r="P66" s="18" t="s">
        <v>23</v>
      </c>
      <c r="Q66" s="18" t="s">
        <v>23</v>
      </c>
      <c r="R66" s="18" t="s">
        <v>21</v>
      </c>
      <c r="S66" s="18" t="s">
        <v>23</v>
      </c>
      <c r="T66" s="18" t="s">
        <v>23</v>
      </c>
      <c r="U66" s="18" t="s">
        <v>21</v>
      </c>
      <c r="V66" s="37" t="s">
        <v>21</v>
      </c>
      <c r="W66" s="37" t="s">
        <v>21</v>
      </c>
      <c r="X66" s="37" t="s">
        <v>21</v>
      </c>
      <c r="Y66" s="18" t="s">
        <v>21</v>
      </c>
      <c r="Z66" s="18" t="s">
        <v>21</v>
      </c>
      <c r="AA66" s="20" t="s">
        <v>23</v>
      </c>
      <c r="AB66" s="20" t="s">
        <v>21</v>
      </c>
      <c r="AC66" s="20" t="s">
        <v>23</v>
      </c>
      <c r="AD66" s="29" t="s">
        <v>23</v>
      </c>
      <c r="AE66" s="29" t="s">
        <v>21</v>
      </c>
      <c r="AG66">
        <f>+COUNTIF(F66:AE66,"AD")</f>
        <v>0</v>
      </c>
      <c r="AH66">
        <f>+COUNTIF(F66:AE66,"A")</f>
        <v>1</v>
      </c>
      <c r="AI66">
        <f>+COUNTIF(F66:AE66,"b")</f>
        <v>17</v>
      </c>
      <c r="AJ66">
        <f>+COUNTIF(F66:AE66,"c")</f>
        <v>8</v>
      </c>
      <c r="AL66">
        <f>+$AG$5*AG66</f>
        <v>0</v>
      </c>
      <c r="AM66">
        <f>+$AH$5*AH66</f>
        <v>3</v>
      </c>
      <c r="AN66">
        <f>+$AI$5*AI66</f>
        <v>34</v>
      </c>
      <c r="AO66">
        <f>+$AJ$5*AJ66</f>
        <v>8</v>
      </c>
      <c r="AP66">
        <f>+SUM(AL66:AO66)</f>
        <v>45</v>
      </c>
    </row>
    <row r="67" spans="1:42" ht="15.75" hidden="1" customHeight="1" thickBot="1" x14ac:dyDescent="0.35">
      <c r="A67" s="16"/>
      <c r="B67" s="57">
        <v>13</v>
      </c>
      <c r="C67" s="58" t="s">
        <v>74</v>
      </c>
      <c r="D67" s="57">
        <v>2</v>
      </c>
      <c r="E67" s="57" t="s">
        <v>20</v>
      </c>
      <c r="F67" s="21" t="s">
        <v>21</v>
      </c>
      <c r="G67" s="21" t="s">
        <v>21</v>
      </c>
      <c r="H67" s="21" t="s">
        <v>21</v>
      </c>
      <c r="I67" s="21" t="s">
        <v>21</v>
      </c>
      <c r="J67" s="21" t="s">
        <v>21</v>
      </c>
      <c r="K67" s="21" t="s">
        <v>23</v>
      </c>
      <c r="L67" s="21" t="s">
        <v>21</v>
      </c>
      <c r="M67" s="21" t="s">
        <v>21</v>
      </c>
      <c r="N67" s="21" t="s">
        <v>21</v>
      </c>
      <c r="O67" s="21" t="s">
        <v>23</v>
      </c>
      <c r="P67" s="21" t="s">
        <v>23</v>
      </c>
      <c r="Q67" s="21" t="s">
        <v>23</v>
      </c>
      <c r="R67" s="21" t="s">
        <v>23</v>
      </c>
      <c r="S67" s="21" t="s">
        <v>23</v>
      </c>
      <c r="T67" s="21" t="s">
        <v>23</v>
      </c>
      <c r="U67" s="21" t="s">
        <v>21</v>
      </c>
      <c r="V67" s="38" t="s">
        <v>20</v>
      </c>
      <c r="W67" s="38" t="s">
        <v>20</v>
      </c>
      <c r="X67" s="38" t="s">
        <v>20</v>
      </c>
      <c r="Y67" s="21" t="s">
        <v>21</v>
      </c>
      <c r="Z67" s="21" t="s">
        <v>21</v>
      </c>
      <c r="AA67" s="23" t="s">
        <v>21</v>
      </c>
      <c r="AB67" s="23" t="s">
        <v>23</v>
      </c>
      <c r="AC67" s="23" t="s">
        <v>23</v>
      </c>
      <c r="AD67" s="31" t="s">
        <v>23</v>
      </c>
      <c r="AE67" s="31" t="s">
        <v>21</v>
      </c>
      <c r="AG67">
        <f>+COUNTIF(F67:AE67,"AD")</f>
        <v>0</v>
      </c>
      <c r="AH67">
        <f>+COUNTIF(F67:AE67,"A")</f>
        <v>3</v>
      </c>
      <c r="AI67">
        <f>+COUNTIF(F67:AE67,"b")</f>
        <v>13</v>
      </c>
      <c r="AJ67">
        <f>+COUNTIF(F67:AE67,"c")</f>
        <v>10</v>
      </c>
      <c r="AL67">
        <f>+$AG$5*AG67</f>
        <v>0</v>
      </c>
      <c r="AM67">
        <f>+$AH$5*AH67</f>
        <v>9</v>
      </c>
      <c r="AN67">
        <f>+$AI$5*AI67</f>
        <v>26</v>
      </c>
      <c r="AO67">
        <f>+$AJ$5*AJ67</f>
        <v>10</v>
      </c>
      <c r="AP67">
        <f>+SUM(AL67:AO67)</f>
        <v>45</v>
      </c>
    </row>
    <row r="68" spans="1:42" ht="15.75" hidden="1" customHeight="1" x14ac:dyDescent="0.3">
      <c r="A68" s="16"/>
      <c r="B68" s="55">
        <v>1</v>
      </c>
      <c r="C68" s="60" t="s">
        <v>93</v>
      </c>
      <c r="D68" s="59">
        <v>2</v>
      </c>
      <c r="E68" s="59" t="s">
        <v>21</v>
      </c>
      <c r="F68" s="24" t="s">
        <v>20</v>
      </c>
      <c r="G68" s="24" t="s">
        <v>20</v>
      </c>
      <c r="H68" s="24" t="s">
        <v>20</v>
      </c>
      <c r="I68" s="24" t="s">
        <v>20</v>
      </c>
      <c r="J68" s="24" t="s">
        <v>20</v>
      </c>
      <c r="K68" s="24" t="s">
        <v>20</v>
      </c>
      <c r="L68" s="24" t="s">
        <v>39</v>
      </c>
      <c r="M68" s="24" t="s">
        <v>20</v>
      </c>
      <c r="N68" s="24" t="s">
        <v>20</v>
      </c>
      <c r="O68" s="24" t="s">
        <v>20</v>
      </c>
      <c r="P68" s="24" t="s">
        <v>20</v>
      </c>
      <c r="Q68" s="24" t="s">
        <v>20</v>
      </c>
      <c r="R68" s="24" t="s">
        <v>20</v>
      </c>
      <c r="S68" s="24" t="s">
        <v>20</v>
      </c>
      <c r="T68" s="24" t="s">
        <v>20</v>
      </c>
      <c r="U68" s="24" t="s">
        <v>20</v>
      </c>
      <c r="V68" s="39" t="s">
        <v>20</v>
      </c>
      <c r="W68" s="39" t="s">
        <v>20</v>
      </c>
      <c r="X68" s="39" t="s">
        <v>20</v>
      </c>
      <c r="Y68" s="24" t="s">
        <v>20</v>
      </c>
      <c r="Z68" s="24" t="s">
        <v>20</v>
      </c>
      <c r="AA68" s="27" t="s">
        <v>20</v>
      </c>
      <c r="AB68" s="27" t="s">
        <v>20</v>
      </c>
      <c r="AC68" s="27" t="s">
        <v>20</v>
      </c>
      <c r="AD68" s="24" t="s">
        <v>20</v>
      </c>
      <c r="AE68" s="24" t="s">
        <v>21</v>
      </c>
      <c r="AG68">
        <f>+COUNTIF(F68:AE68,"AD")</f>
        <v>1</v>
      </c>
      <c r="AH68">
        <f>+COUNTIF(F68:AE68,"A")</f>
        <v>24</v>
      </c>
      <c r="AI68">
        <f>+COUNTIF(F68:AE68,"b")</f>
        <v>1</v>
      </c>
      <c r="AJ68">
        <f>+COUNTIF(F68:AE68,"c")</f>
        <v>0</v>
      </c>
      <c r="AL68">
        <f>+$AG$5*AG68</f>
        <v>4</v>
      </c>
      <c r="AM68">
        <f>+$AH$5*AH68</f>
        <v>72</v>
      </c>
      <c r="AN68">
        <f>+$AI$5*AI68</f>
        <v>2</v>
      </c>
      <c r="AO68">
        <f>+$AJ$5*AJ68</f>
        <v>0</v>
      </c>
      <c r="AP68">
        <f>+SUM(AL68:AO68)</f>
        <v>78</v>
      </c>
    </row>
    <row r="69" spans="1:42" ht="15.75" hidden="1" customHeight="1" x14ac:dyDescent="0.3">
      <c r="A69" s="16"/>
      <c r="B69" s="55">
        <v>2</v>
      </c>
      <c r="C69" s="56" t="s">
        <v>99</v>
      </c>
      <c r="D69" s="55">
        <v>2</v>
      </c>
      <c r="E69" s="55" t="s">
        <v>21</v>
      </c>
      <c r="F69" s="18" t="s">
        <v>20</v>
      </c>
      <c r="G69" s="18" t="s">
        <v>20</v>
      </c>
      <c r="H69" s="18" t="s">
        <v>20</v>
      </c>
      <c r="I69" s="18" t="s">
        <v>20</v>
      </c>
      <c r="J69" s="18" t="s">
        <v>20</v>
      </c>
      <c r="K69" s="18" t="s">
        <v>20</v>
      </c>
      <c r="L69" s="18" t="s">
        <v>20</v>
      </c>
      <c r="M69" s="18" t="s">
        <v>21</v>
      </c>
      <c r="N69" s="18" t="s">
        <v>20</v>
      </c>
      <c r="O69" s="18" t="s">
        <v>20</v>
      </c>
      <c r="P69" s="18" t="s">
        <v>20</v>
      </c>
      <c r="Q69" s="18" t="s">
        <v>20</v>
      </c>
      <c r="R69" s="18" t="s">
        <v>20</v>
      </c>
      <c r="S69" s="18" t="s">
        <v>20</v>
      </c>
      <c r="T69" s="18" t="s">
        <v>20</v>
      </c>
      <c r="U69" s="18" t="s">
        <v>21</v>
      </c>
      <c r="V69" s="37" t="s">
        <v>20</v>
      </c>
      <c r="W69" s="37" t="s">
        <v>20</v>
      </c>
      <c r="X69" s="37" t="s">
        <v>20</v>
      </c>
      <c r="Y69" s="18" t="s">
        <v>20</v>
      </c>
      <c r="Z69" s="18" t="s">
        <v>20</v>
      </c>
      <c r="AA69" s="20" t="s">
        <v>21</v>
      </c>
      <c r="AB69" s="20" t="s">
        <v>21</v>
      </c>
      <c r="AC69" s="20" t="s">
        <v>21</v>
      </c>
      <c r="AD69" s="40" t="s">
        <v>23</v>
      </c>
      <c r="AE69" s="40" t="s">
        <v>21</v>
      </c>
      <c r="AG69">
        <f>+COUNTIF(F69:AE69,"AD")</f>
        <v>0</v>
      </c>
      <c r="AH69">
        <f>+COUNTIF(F69:AE69,"A")</f>
        <v>19</v>
      </c>
      <c r="AI69">
        <f>+COUNTIF(F69:AE69,"b")</f>
        <v>6</v>
      </c>
      <c r="AJ69">
        <f>+COUNTIF(F69:AE69,"c")</f>
        <v>1</v>
      </c>
      <c r="AL69">
        <f>+$AG$5*AG69</f>
        <v>0</v>
      </c>
      <c r="AM69">
        <f>+$AH$5*AH69</f>
        <v>57</v>
      </c>
      <c r="AN69">
        <f>+$AI$5*AI69</f>
        <v>12</v>
      </c>
      <c r="AO69">
        <f>+$AJ$5*AJ69</f>
        <v>1</v>
      </c>
      <c r="AP69">
        <f>+SUM(AL69:AO69)</f>
        <v>70</v>
      </c>
    </row>
    <row r="70" spans="1:42" ht="15.75" hidden="1" customHeight="1" x14ac:dyDescent="0.3">
      <c r="A70" s="16"/>
      <c r="B70" s="55">
        <v>3</v>
      </c>
      <c r="C70" s="56" t="s">
        <v>105</v>
      </c>
      <c r="D70" s="55">
        <v>2</v>
      </c>
      <c r="E70" s="55" t="s">
        <v>21</v>
      </c>
      <c r="F70" s="18" t="s">
        <v>20</v>
      </c>
      <c r="G70" s="18" t="s">
        <v>20</v>
      </c>
      <c r="H70" s="18" t="s">
        <v>20</v>
      </c>
      <c r="I70" s="18" t="s">
        <v>20</v>
      </c>
      <c r="J70" s="18" t="s">
        <v>20</v>
      </c>
      <c r="K70" s="18" t="s">
        <v>20</v>
      </c>
      <c r="L70" s="18" t="s">
        <v>21</v>
      </c>
      <c r="M70" s="18" t="s">
        <v>21</v>
      </c>
      <c r="N70" s="18" t="s">
        <v>20</v>
      </c>
      <c r="O70" s="18" t="s">
        <v>20</v>
      </c>
      <c r="P70" s="18" t="s">
        <v>23</v>
      </c>
      <c r="Q70" s="18" t="s">
        <v>23</v>
      </c>
      <c r="R70" s="18" t="s">
        <v>21</v>
      </c>
      <c r="S70" s="18" t="s">
        <v>21</v>
      </c>
      <c r="T70" s="18" t="s">
        <v>20</v>
      </c>
      <c r="U70" s="18" t="s">
        <v>21</v>
      </c>
      <c r="V70" s="37" t="s">
        <v>21</v>
      </c>
      <c r="W70" s="37" t="s">
        <v>20</v>
      </c>
      <c r="X70" s="37" t="s">
        <v>21</v>
      </c>
      <c r="Y70" s="18" t="s">
        <v>20</v>
      </c>
      <c r="Z70" s="18" t="s">
        <v>20</v>
      </c>
      <c r="AA70" s="20" t="s">
        <v>20</v>
      </c>
      <c r="AB70" s="20" t="s">
        <v>20</v>
      </c>
      <c r="AC70" s="20" t="s">
        <v>20</v>
      </c>
      <c r="AD70" s="18" t="s">
        <v>21</v>
      </c>
      <c r="AE70" s="18" t="s">
        <v>21</v>
      </c>
      <c r="AG70">
        <f>+COUNTIF(F70:AE70,"AD")</f>
        <v>0</v>
      </c>
      <c r="AH70">
        <f>+COUNTIF(F70:AE70,"A")</f>
        <v>15</v>
      </c>
      <c r="AI70">
        <f>+COUNTIF(F70:AE70,"b")</f>
        <v>9</v>
      </c>
      <c r="AJ70">
        <f>+COUNTIF(F70:AE70,"c")</f>
        <v>2</v>
      </c>
      <c r="AL70">
        <f>+$AG$5*AG70</f>
        <v>0</v>
      </c>
      <c r="AM70">
        <f>+$AH$5*AH70</f>
        <v>45</v>
      </c>
      <c r="AN70">
        <f>+$AI$5*AI70</f>
        <v>18</v>
      </c>
      <c r="AO70">
        <f>+$AJ$5*AJ70</f>
        <v>2</v>
      </c>
      <c r="AP70">
        <f>+SUM(AL70:AO70)</f>
        <v>65</v>
      </c>
    </row>
    <row r="71" spans="1:42" ht="15.75" hidden="1" customHeight="1" x14ac:dyDescent="0.3">
      <c r="A71" s="16"/>
      <c r="B71" s="55">
        <v>4</v>
      </c>
      <c r="C71" s="56" t="s">
        <v>98</v>
      </c>
      <c r="D71" s="55">
        <v>2</v>
      </c>
      <c r="E71" s="55" t="s">
        <v>21</v>
      </c>
      <c r="F71" s="18" t="s">
        <v>20</v>
      </c>
      <c r="G71" s="18" t="s">
        <v>21</v>
      </c>
      <c r="H71" s="18" t="s">
        <v>20</v>
      </c>
      <c r="I71" s="18" t="s">
        <v>21</v>
      </c>
      <c r="J71" s="18" t="s">
        <v>20</v>
      </c>
      <c r="K71" s="18" t="s">
        <v>20</v>
      </c>
      <c r="L71" s="18" t="s">
        <v>20</v>
      </c>
      <c r="M71" s="18" t="s">
        <v>21</v>
      </c>
      <c r="N71" s="18" t="s">
        <v>20</v>
      </c>
      <c r="O71" s="18" t="s">
        <v>21</v>
      </c>
      <c r="P71" s="18" t="s">
        <v>21</v>
      </c>
      <c r="Q71" s="18" t="s">
        <v>21</v>
      </c>
      <c r="R71" s="18" t="s">
        <v>21</v>
      </c>
      <c r="S71" s="18" t="s">
        <v>20</v>
      </c>
      <c r="T71" s="18" t="s">
        <v>20</v>
      </c>
      <c r="U71" s="18" t="s">
        <v>21</v>
      </c>
      <c r="V71" s="37" t="s">
        <v>21</v>
      </c>
      <c r="W71" s="37" t="s">
        <v>20</v>
      </c>
      <c r="X71" s="37" t="s">
        <v>21</v>
      </c>
      <c r="Y71" s="18" t="s">
        <v>21</v>
      </c>
      <c r="Z71" s="18" t="s">
        <v>21</v>
      </c>
      <c r="AA71" s="20" t="s">
        <v>21</v>
      </c>
      <c r="AB71" s="20" t="s">
        <v>20</v>
      </c>
      <c r="AC71" s="20" t="s">
        <v>20</v>
      </c>
      <c r="AD71" s="18" t="s">
        <v>21</v>
      </c>
      <c r="AE71" s="18" t="s">
        <v>21</v>
      </c>
      <c r="AG71">
        <f>+COUNTIF(F71:AE71,"AD")</f>
        <v>0</v>
      </c>
      <c r="AH71">
        <f>+COUNTIF(F71:AE71,"A")</f>
        <v>11</v>
      </c>
      <c r="AI71">
        <f>+COUNTIF(F71:AE71,"b")</f>
        <v>15</v>
      </c>
      <c r="AJ71">
        <f>+COUNTIF(F71:AE71,"c")</f>
        <v>0</v>
      </c>
      <c r="AL71">
        <f>+$AG$5*AG71</f>
        <v>0</v>
      </c>
      <c r="AM71">
        <f>+$AH$5*AH71</f>
        <v>33</v>
      </c>
      <c r="AN71">
        <f>+$AI$5*AI71</f>
        <v>30</v>
      </c>
      <c r="AO71">
        <f>+$AJ$5*AJ71</f>
        <v>0</v>
      </c>
      <c r="AP71">
        <f>+SUM(AL71:AO71)</f>
        <v>63</v>
      </c>
    </row>
    <row r="72" spans="1:42" ht="15.75" hidden="1" customHeight="1" x14ac:dyDescent="0.3">
      <c r="A72" s="16"/>
      <c r="B72" s="55">
        <v>5</v>
      </c>
      <c r="C72" s="56" t="s">
        <v>88</v>
      </c>
      <c r="D72" s="55">
        <v>2</v>
      </c>
      <c r="E72" s="55" t="s">
        <v>21</v>
      </c>
      <c r="F72" s="18" t="s">
        <v>20</v>
      </c>
      <c r="G72" s="18" t="s">
        <v>21</v>
      </c>
      <c r="H72" s="18" t="s">
        <v>20</v>
      </c>
      <c r="I72" s="18" t="s">
        <v>21</v>
      </c>
      <c r="J72" s="18" t="s">
        <v>20</v>
      </c>
      <c r="K72" s="18" t="s">
        <v>20</v>
      </c>
      <c r="L72" s="18" t="s">
        <v>20</v>
      </c>
      <c r="M72" s="18" t="s">
        <v>23</v>
      </c>
      <c r="N72" s="18" t="s">
        <v>21</v>
      </c>
      <c r="O72" s="18" t="s">
        <v>20</v>
      </c>
      <c r="P72" s="18" t="s">
        <v>21</v>
      </c>
      <c r="Q72" s="18" t="s">
        <v>21</v>
      </c>
      <c r="R72" s="18" t="s">
        <v>21</v>
      </c>
      <c r="S72" s="18" t="s">
        <v>20</v>
      </c>
      <c r="T72" s="18" t="s">
        <v>20</v>
      </c>
      <c r="U72" s="18" t="s">
        <v>20</v>
      </c>
      <c r="V72" s="37" t="s">
        <v>21</v>
      </c>
      <c r="W72" s="37" t="s">
        <v>21</v>
      </c>
      <c r="X72" s="37" t="s">
        <v>21</v>
      </c>
      <c r="Y72" s="18" t="s">
        <v>21</v>
      </c>
      <c r="Z72" s="18" t="s">
        <v>21</v>
      </c>
      <c r="AA72" s="20" t="s">
        <v>20</v>
      </c>
      <c r="AB72" s="20" t="s">
        <v>20</v>
      </c>
      <c r="AC72" s="20" t="s">
        <v>20</v>
      </c>
      <c r="AD72" s="18" t="s">
        <v>23</v>
      </c>
      <c r="AE72" s="18" t="s">
        <v>21</v>
      </c>
      <c r="AG72">
        <f>+COUNTIF(F72:AE72,"AD")</f>
        <v>0</v>
      </c>
      <c r="AH72">
        <f>+COUNTIF(F72:AE72,"A")</f>
        <v>12</v>
      </c>
      <c r="AI72">
        <f>+COUNTIF(F72:AE72,"b")</f>
        <v>12</v>
      </c>
      <c r="AJ72">
        <f>+COUNTIF(F72:AE72,"c")</f>
        <v>2</v>
      </c>
      <c r="AL72">
        <f>+$AG$5*AG72</f>
        <v>0</v>
      </c>
      <c r="AM72">
        <f>+$AH$5*AH72</f>
        <v>36</v>
      </c>
      <c r="AN72">
        <f>+$AI$5*AI72</f>
        <v>24</v>
      </c>
      <c r="AO72">
        <f>+$AJ$5*AJ72</f>
        <v>2</v>
      </c>
      <c r="AP72">
        <f>+SUM(AL72:AO72)</f>
        <v>62</v>
      </c>
    </row>
    <row r="73" spans="1:42" ht="15.75" hidden="1" customHeight="1" x14ac:dyDescent="0.3">
      <c r="A73" s="16"/>
      <c r="B73" s="55">
        <v>6</v>
      </c>
      <c r="C73" s="56" t="s">
        <v>97</v>
      </c>
      <c r="D73" s="55">
        <v>2</v>
      </c>
      <c r="E73" s="55" t="s">
        <v>21</v>
      </c>
      <c r="F73" s="18" t="s">
        <v>20</v>
      </c>
      <c r="G73" s="18" t="s">
        <v>21</v>
      </c>
      <c r="H73" s="18" t="s">
        <v>21</v>
      </c>
      <c r="I73" s="18" t="s">
        <v>21</v>
      </c>
      <c r="J73" s="18" t="s">
        <v>21</v>
      </c>
      <c r="K73" s="18" t="s">
        <v>21</v>
      </c>
      <c r="L73" s="18" t="s">
        <v>21</v>
      </c>
      <c r="M73" s="18" t="s">
        <v>20</v>
      </c>
      <c r="N73" s="18" t="s">
        <v>20</v>
      </c>
      <c r="O73" s="18" t="s">
        <v>20</v>
      </c>
      <c r="P73" s="18" t="s">
        <v>21</v>
      </c>
      <c r="Q73" s="18" t="s">
        <v>21</v>
      </c>
      <c r="R73" s="18" t="s">
        <v>21</v>
      </c>
      <c r="S73" s="18" t="s">
        <v>20</v>
      </c>
      <c r="T73" s="18" t="s">
        <v>20</v>
      </c>
      <c r="U73" s="18" t="s">
        <v>21</v>
      </c>
      <c r="V73" s="37" t="s">
        <v>21</v>
      </c>
      <c r="W73" s="37" t="s">
        <v>20</v>
      </c>
      <c r="X73" s="37" t="s">
        <v>20</v>
      </c>
      <c r="Y73" s="18" t="s">
        <v>20</v>
      </c>
      <c r="Z73" s="18" t="s">
        <v>20</v>
      </c>
      <c r="AA73" s="20" t="s">
        <v>23</v>
      </c>
      <c r="AB73" s="20" t="s">
        <v>21</v>
      </c>
      <c r="AC73" s="20" t="s">
        <v>21</v>
      </c>
      <c r="AD73" s="18" t="s">
        <v>20</v>
      </c>
      <c r="AE73" s="18" t="s">
        <v>21</v>
      </c>
      <c r="AG73">
        <f>+COUNTIF(F73:AE73,"AD")</f>
        <v>0</v>
      </c>
      <c r="AH73">
        <f>+COUNTIF(F73:AE73,"A")</f>
        <v>11</v>
      </c>
      <c r="AI73">
        <f>+COUNTIF(F73:AE73,"b")</f>
        <v>14</v>
      </c>
      <c r="AJ73">
        <f>+COUNTIF(F73:AE73,"c")</f>
        <v>1</v>
      </c>
      <c r="AL73">
        <f>+$AG$5*AG73</f>
        <v>0</v>
      </c>
      <c r="AM73">
        <f>+$AH$5*AH73</f>
        <v>33</v>
      </c>
      <c r="AN73">
        <f>+$AI$5*AI73</f>
        <v>28</v>
      </c>
      <c r="AO73">
        <f>+$AJ$5*AJ73</f>
        <v>1</v>
      </c>
      <c r="AP73">
        <f>+SUM(AL73:AO73)</f>
        <v>62</v>
      </c>
    </row>
    <row r="74" spans="1:42" ht="15.75" hidden="1" customHeight="1" x14ac:dyDescent="0.3">
      <c r="A74" s="16"/>
      <c r="B74" s="55">
        <v>7</v>
      </c>
      <c r="C74" s="56" t="s">
        <v>89</v>
      </c>
      <c r="D74" s="55">
        <v>2</v>
      </c>
      <c r="E74" s="55" t="s">
        <v>21</v>
      </c>
      <c r="F74" s="18" t="s">
        <v>20</v>
      </c>
      <c r="G74" s="18" t="s">
        <v>21</v>
      </c>
      <c r="H74" s="18" t="s">
        <v>21</v>
      </c>
      <c r="I74" s="18" t="s">
        <v>21</v>
      </c>
      <c r="J74" s="18" t="s">
        <v>21</v>
      </c>
      <c r="K74" s="18" t="s">
        <v>21</v>
      </c>
      <c r="L74" s="18" t="s">
        <v>21</v>
      </c>
      <c r="M74" s="18" t="s">
        <v>21</v>
      </c>
      <c r="N74" s="18" t="s">
        <v>20</v>
      </c>
      <c r="O74" s="18" t="s">
        <v>21</v>
      </c>
      <c r="P74" s="18" t="s">
        <v>20</v>
      </c>
      <c r="Q74" s="18" t="s">
        <v>20</v>
      </c>
      <c r="R74" s="18" t="s">
        <v>20</v>
      </c>
      <c r="S74" s="18" t="s">
        <v>20</v>
      </c>
      <c r="T74" s="18" t="s">
        <v>20</v>
      </c>
      <c r="U74" s="18" t="s">
        <v>21</v>
      </c>
      <c r="V74" s="37" t="s">
        <v>20</v>
      </c>
      <c r="W74" s="37" t="s">
        <v>21</v>
      </c>
      <c r="X74" s="37" t="s">
        <v>21</v>
      </c>
      <c r="Y74" s="18" t="s">
        <v>21</v>
      </c>
      <c r="Z74" s="18" t="s">
        <v>21</v>
      </c>
      <c r="AA74" s="20" t="s">
        <v>21</v>
      </c>
      <c r="AB74" s="20" t="s">
        <v>21</v>
      </c>
      <c r="AC74" s="20" t="s">
        <v>21</v>
      </c>
      <c r="AD74" s="18" t="s">
        <v>21</v>
      </c>
      <c r="AE74" s="18" t="s">
        <v>21</v>
      </c>
      <c r="AG74">
        <f>+COUNTIF(F74:AE74,"AD")</f>
        <v>0</v>
      </c>
      <c r="AH74">
        <f>+COUNTIF(F74:AE74,"A")</f>
        <v>8</v>
      </c>
      <c r="AI74">
        <f>+COUNTIF(F74:AE74,"b")</f>
        <v>18</v>
      </c>
      <c r="AJ74">
        <f>+COUNTIF(F74:AE74,"c")</f>
        <v>0</v>
      </c>
      <c r="AL74">
        <f>+$AG$5*AG74</f>
        <v>0</v>
      </c>
      <c r="AM74">
        <f>+$AH$5*AH74</f>
        <v>24</v>
      </c>
      <c r="AN74">
        <f>+$AI$5*AI74</f>
        <v>36</v>
      </c>
      <c r="AO74">
        <f>+$AJ$5*AJ74</f>
        <v>0</v>
      </c>
      <c r="AP74">
        <f>+SUM(AL74:AO74)</f>
        <v>60</v>
      </c>
    </row>
    <row r="75" spans="1:42" ht="15.75" hidden="1" customHeight="1" x14ac:dyDescent="0.3">
      <c r="A75" s="16"/>
      <c r="B75" s="55">
        <v>8</v>
      </c>
      <c r="C75" s="56" t="s">
        <v>90</v>
      </c>
      <c r="D75" s="55">
        <v>2</v>
      </c>
      <c r="E75" s="55" t="s">
        <v>21</v>
      </c>
      <c r="F75" s="18" t="s">
        <v>20</v>
      </c>
      <c r="G75" s="18" t="s">
        <v>20</v>
      </c>
      <c r="H75" s="18" t="s">
        <v>20</v>
      </c>
      <c r="I75" s="18" t="s">
        <v>20</v>
      </c>
      <c r="J75" s="18" t="s">
        <v>21</v>
      </c>
      <c r="K75" s="18" t="s">
        <v>20</v>
      </c>
      <c r="L75" s="18" t="s">
        <v>20</v>
      </c>
      <c r="M75" s="18" t="s">
        <v>21</v>
      </c>
      <c r="N75" s="18" t="s">
        <v>20</v>
      </c>
      <c r="O75" s="18" t="s">
        <v>20</v>
      </c>
      <c r="P75" s="18" t="s">
        <v>21</v>
      </c>
      <c r="Q75" s="18" t="s">
        <v>21</v>
      </c>
      <c r="R75" s="18" t="s">
        <v>21</v>
      </c>
      <c r="S75" s="18" t="s">
        <v>21</v>
      </c>
      <c r="T75" s="18" t="s">
        <v>20</v>
      </c>
      <c r="U75" s="18" t="s">
        <v>21</v>
      </c>
      <c r="V75" s="37" t="s">
        <v>21</v>
      </c>
      <c r="W75" s="37" t="s">
        <v>21</v>
      </c>
      <c r="X75" s="37" t="s">
        <v>21</v>
      </c>
      <c r="Y75" s="18" t="s">
        <v>21</v>
      </c>
      <c r="Z75" s="18" t="s">
        <v>20</v>
      </c>
      <c r="AA75" s="20" t="s">
        <v>21</v>
      </c>
      <c r="AB75" s="20" t="s">
        <v>23</v>
      </c>
      <c r="AC75" s="20" t="s">
        <v>21</v>
      </c>
      <c r="AD75" s="18" t="s">
        <v>23</v>
      </c>
      <c r="AE75" s="18" t="s">
        <v>21</v>
      </c>
      <c r="AG75">
        <f>+COUNTIF(F75:AE75,"AD")</f>
        <v>0</v>
      </c>
      <c r="AH75">
        <f>+COUNTIF(F75:AE75,"A")</f>
        <v>10</v>
      </c>
      <c r="AI75">
        <f>+COUNTIF(F75:AE75,"b")</f>
        <v>14</v>
      </c>
      <c r="AJ75">
        <f>+COUNTIF(F75:AE75,"c")</f>
        <v>2</v>
      </c>
      <c r="AL75">
        <f>+$AG$5*AG75</f>
        <v>0</v>
      </c>
      <c r="AM75">
        <f>+$AH$5*AH75</f>
        <v>30</v>
      </c>
      <c r="AN75">
        <f>+$AI$5*AI75</f>
        <v>28</v>
      </c>
      <c r="AO75">
        <f>+$AJ$5*AJ75</f>
        <v>2</v>
      </c>
      <c r="AP75">
        <f>+SUM(AL75:AO75)</f>
        <v>60</v>
      </c>
    </row>
    <row r="76" spans="1:42" ht="15.75" hidden="1" customHeight="1" x14ac:dyDescent="0.3">
      <c r="A76" s="16"/>
      <c r="B76" s="55">
        <v>9</v>
      </c>
      <c r="C76" s="56" t="s">
        <v>94</v>
      </c>
      <c r="D76" s="55">
        <v>2</v>
      </c>
      <c r="E76" s="55" t="s">
        <v>21</v>
      </c>
      <c r="F76" s="18" t="s">
        <v>20</v>
      </c>
      <c r="G76" s="18" t="s">
        <v>21</v>
      </c>
      <c r="H76" s="18" t="s">
        <v>21</v>
      </c>
      <c r="I76" s="18" t="s">
        <v>21</v>
      </c>
      <c r="J76" s="18" t="s">
        <v>21</v>
      </c>
      <c r="K76" s="18" t="s">
        <v>21</v>
      </c>
      <c r="L76" s="18" t="s">
        <v>21</v>
      </c>
      <c r="M76" s="18" t="s">
        <v>21</v>
      </c>
      <c r="N76" s="18" t="s">
        <v>21</v>
      </c>
      <c r="O76" s="18" t="s">
        <v>20</v>
      </c>
      <c r="P76" s="18" t="s">
        <v>21</v>
      </c>
      <c r="Q76" s="18" t="s">
        <v>21</v>
      </c>
      <c r="R76" s="18" t="s">
        <v>21</v>
      </c>
      <c r="S76" s="18" t="s">
        <v>21</v>
      </c>
      <c r="T76" s="18" t="s">
        <v>20</v>
      </c>
      <c r="U76" s="18" t="s">
        <v>20</v>
      </c>
      <c r="V76" s="37" t="s">
        <v>20</v>
      </c>
      <c r="W76" s="37" t="s">
        <v>20</v>
      </c>
      <c r="X76" s="37" t="s">
        <v>20</v>
      </c>
      <c r="Y76" s="18" t="s">
        <v>20</v>
      </c>
      <c r="Z76" s="18" t="s">
        <v>21</v>
      </c>
      <c r="AA76" s="20" t="s">
        <v>21</v>
      </c>
      <c r="AB76" s="20" t="s">
        <v>21</v>
      </c>
      <c r="AC76" s="20" t="s">
        <v>21</v>
      </c>
      <c r="AD76" s="18" t="s">
        <v>21</v>
      </c>
      <c r="AE76" s="18" t="s">
        <v>21</v>
      </c>
      <c r="AG76">
        <f>+COUNTIF(F76:AE76,"AD")</f>
        <v>0</v>
      </c>
      <c r="AH76">
        <f>+COUNTIF(F76:AE76,"A")</f>
        <v>8</v>
      </c>
      <c r="AI76">
        <f>+COUNTIF(F76:AE76,"b")</f>
        <v>18</v>
      </c>
      <c r="AJ76">
        <f>+COUNTIF(F76:AE76,"c")</f>
        <v>0</v>
      </c>
      <c r="AL76">
        <f>+$AG$5*AG76</f>
        <v>0</v>
      </c>
      <c r="AM76">
        <f>+$AH$5*AH76</f>
        <v>24</v>
      </c>
      <c r="AN76">
        <f>+$AI$5*AI76</f>
        <v>36</v>
      </c>
      <c r="AO76">
        <f>+$AJ$5*AJ76</f>
        <v>0</v>
      </c>
      <c r="AP76">
        <f>+SUM(AL76:AO76)</f>
        <v>60</v>
      </c>
    </row>
    <row r="77" spans="1:42" ht="15.75" hidden="1" customHeight="1" x14ac:dyDescent="0.3">
      <c r="A77" s="16"/>
      <c r="B77" s="55">
        <v>10</v>
      </c>
      <c r="C77" s="56" t="s">
        <v>91</v>
      </c>
      <c r="D77" s="55">
        <v>2</v>
      </c>
      <c r="E77" s="55" t="s">
        <v>21</v>
      </c>
      <c r="F77" s="18" t="s">
        <v>21</v>
      </c>
      <c r="G77" s="18" t="s">
        <v>21</v>
      </c>
      <c r="H77" s="18" t="s">
        <v>21</v>
      </c>
      <c r="I77" s="18" t="s">
        <v>21</v>
      </c>
      <c r="J77" s="18" t="s">
        <v>21</v>
      </c>
      <c r="K77" s="18" t="s">
        <v>21</v>
      </c>
      <c r="L77" s="18" t="s">
        <v>21</v>
      </c>
      <c r="M77" s="18" t="s">
        <v>20</v>
      </c>
      <c r="N77" s="18" t="s">
        <v>20</v>
      </c>
      <c r="O77" s="18" t="s">
        <v>21</v>
      </c>
      <c r="P77" s="18" t="s">
        <v>23</v>
      </c>
      <c r="Q77" s="18" t="s">
        <v>21</v>
      </c>
      <c r="R77" s="18" t="s">
        <v>21</v>
      </c>
      <c r="S77" s="18" t="s">
        <v>21</v>
      </c>
      <c r="T77" s="18" t="s">
        <v>20</v>
      </c>
      <c r="U77" s="18" t="s">
        <v>20</v>
      </c>
      <c r="V77" s="37" t="s">
        <v>20</v>
      </c>
      <c r="W77" s="37" t="s">
        <v>20</v>
      </c>
      <c r="X77" s="37" t="s">
        <v>20</v>
      </c>
      <c r="Y77" s="18" t="s">
        <v>21</v>
      </c>
      <c r="Z77" s="18" t="s">
        <v>20</v>
      </c>
      <c r="AA77" s="20" t="s">
        <v>21</v>
      </c>
      <c r="AB77" s="20" t="s">
        <v>21</v>
      </c>
      <c r="AC77" s="20" t="s">
        <v>21</v>
      </c>
      <c r="AD77" s="18" t="s">
        <v>21</v>
      </c>
      <c r="AE77" s="18" t="s">
        <v>21</v>
      </c>
      <c r="AG77">
        <f>+COUNTIF(F77:AE77,"AD")</f>
        <v>0</v>
      </c>
      <c r="AH77">
        <f>+COUNTIF(F77:AE77,"A")</f>
        <v>8</v>
      </c>
      <c r="AI77">
        <f>+COUNTIF(F77:AE77,"b")</f>
        <v>17</v>
      </c>
      <c r="AJ77">
        <f>+COUNTIF(F77:AE77,"c")</f>
        <v>1</v>
      </c>
      <c r="AL77">
        <f>+$AG$5*AG77</f>
        <v>0</v>
      </c>
      <c r="AM77">
        <f>+$AH$5*AH77</f>
        <v>24</v>
      </c>
      <c r="AN77">
        <f>+$AI$5*AI77</f>
        <v>34</v>
      </c>
      <c r="AO77">
        <f>+$AJ$5*AJ77</f>
        <v>1</v>
      </c>
      <c r="AP77">
        <f>+SUM(AL77:AO77)</f>
        <v>59</v>
      </c>
    </row>
    <row r="78" spans="1:42" ht="15.75" hidden="1" customHeight="1" x14ac:dyDescent="0.3">
      <c r="A78" s="16"/>
      <c r="B78" s="55">
        <v>11</v>
      </c>
      <c r="C78" s="56" t="s">
        <v>86</v>
      </c>
      <c r="D78" s="55">
        <v>2</v>
      </c>
      <c r="E78" s="55" t="s">
        <v>21</v>
      </c>
      <c r="F78" s="18" t="s">
        <v>21</v>
      </c>
      <c r="G78" s="18" t="s">
        <v>21</v>
      </c>
      <c r="H78" s="18" t="s">
        <v>21</v>
      </c>
      <c r="I78" s="18" t="s">
        <v>21</v>
      </c>
      <c r="J78" s="18" t="s">
        <v>21</v>
      </c>
      <c r="K78" s="18" t="s">
        <v>20</v>
      </c>
      <c r="L78" s="18" t="s">
        <v>20</v>
      </c>
      <c r="M78" s="18" t="s">
        <v>21</v>
      </c>
      <c r="N78" s="18" t="s">
        <v>21</v>
      </c>
      <c r="O78" s="18" t="s">
        <v>21</v>
      </c>
      <c r="P78" s="18" t="s">
        <v>21</v>
      </c>
      <c r="Q78" s="18" t="s">
        <v>21</v>
      </c>
      <c r="R78" s="18" t="s">
        <v>21</v>
      </c>
      <c r="S78" s="18" t="s">
        <v>21</v>
      </c>
      <c r="T78" s="18" t="s">
        <v>21</v>
      </c>
      <c r="U78" s="18" t="s">
        <v>21</v>
      </c>
      <c r="V78" s="37" t="s">
        <v>21</v>
      </c>
      <c r="W78" s="37" t="s">
        <v>20</v>
      </c>
      <c r="X78" s="37" t="s">
        <v>20</v>
      </c>
      <c r="Y78" s="18" t="s">
        <v>20</v>
      </c>
      <c r="Z78" s="18" t="s">
        <v>20</v>
      </c>
      <c r="AA78" s="20" t="s">
        <v>21</v>
      </c>
      <c r="AB78" s="20" t="s">
        <v>21</v>
      </c>
      <c r="AC78" s="20" t="s">
        <v>21</v>
      </c>
      <c r="AD78" s="18" t="s">
        <v>21</v>
      </c>
      <c r="AE78" s="18" t="s">
        <v>21</v>
      </c>
      <c r="AG78">
        <f>+COUNTIF(F78:AE78,"AD")</f>
        <v>0</v>
      </c>
      <c r="AH78">
        <f>+COUNTIF(F78:AE78,"A")</f>
        <v>6</v>
      </c>
      <c r="AI78">
        <f>+COUNTIF(F78:AE78,"b")</f>
        <v>20</v>
      </c>
      <c r="AJ78">
        <f>+COUNTIF(F78:AE78,"c")</f>
        <v>0</v>
      </c>
      <c r="AL78">
        <f>+$AG$5*AG78</f>
        <v>0</v>
      </c>
      <c r="AM78">
        <f>+$AH$5*AH78</f>
        <v>18</v>
      </c>
      <c r="AN78">
        <f>+$AI$5*AI78</f>
        <v>40</v>
      </c>
      <c r="AO78">
        <f>+$AJ$5*AJ78</f>
        <v>0</v>
      </c>
      <c r="AP78">
        <f>+SUM(AL78:AO78)</f>
        <v>58</v>
      </c>
    </row>
    <row r="79" spans="1:42" ht="15.75" hidden="1" customHeight="1" x14ac:dyDescent="0.3">
      <c r="A79" s="16"/>
      <c r="B79" s="55">
        <v>12</v>
      </c>
      <c r="C79" s="56" t="s">
        <v>103</v>
      </c>
      <c r="D79" s="55">
        <v>2</v>
      </c>
      <c r="E79" s="55" t="s">
        <v>21</v>
      </c>
      <c r="F79" s="18" t="s">
        <v>20</v>
      </c>
      <c r="G79" s="18" t="s">
        <v>21</v>
      </c>
      <c r="H79" s="18" t="s">
        <v>21</v>
      </c>
      <c r="I79" s="18" t="s">
        <v>20</v>
      </c>
      <c r="J79" s="18" t="s">
        <v>21</v>
      </c>
      <c r="K79" s="18" t="s">
        <v>20</v>
      </c>
      <c r="L79" s="18" t="s">
        <v>20</v>
      </c>
      <c r="M79" s="18" t="s">
        <v>23</v>
      </c>
      <c r="N79" s="18" t="s">
        <v>20</v>
      </c>
      <c r="O79" s="18" t="s">
        <v>20</v>
      </c>
      <c r="P79" s="18" t="s">
        <v>21</v>
      </c>
      <c r="Q79" s="18" t="s">
        <v>21</v>
      </c>
      <c r="R79" s="18" t="s">
        <v>21</v>
      </c>
      <c r="S79" s="18" t="s">
        <v>20</v>
      </c>
      <c r="T79" s="18" t="s">
        <v>21</v>
      </c>
      <c r="U79" s="18" t="s">
        <v>21</v>
      </c>
      <c r="V79" s="37" t="s">
        <v>21</v>
      </c>
      <c r="W79" s="37" t="s">
        <v>21</v>
      </c>
      <c r="X79" s="37" t="s">
        <v>21</v>
      </c>
      <c r="Y79" s="18" t="s">
        <v>23</v>
      </c>
      <c r="Z79" s="18" t="s">
        <v>21</v>
      </c>
      <c r="AA79" s="20" t="s">
        <v>21</v>
      </c>
      <c r="AB79" s="20" t="s">
        <v>20</v>
      </c>
      <c r="AC79" s="20" t="s">
        <v>20</v>
      </c>
      <c r="AD79" s="18" t="s">
        <v>23</v>
      </c>
      <c r="AE79" s="18" t="s">
        <v>21</v>
      </c>
      <c r="AG79">
        <f>+COUNTIF(F79:AE79,"AD")</f>
        <v>0</v>
      </c>
      <c r="AH79">
        <f>+COUNTIF(F79:AE79,"A")</f>
        <v>9</v>
      </c>
      <c r="AI79">
        <f>+COUNTIF(F79:AE79,"b")</f>
        <v>14</v>
      </c>
      <c r="AJ79">
        <f>+COUNTIF(F79:AE79,"c")</f>
        <v>3</v>
      </c>
      <c r="AL79">
        <f>+$AG$5*AG79</f>
        <v>0</v>
      </c>
      <c r="AM79">
        <f>+$AH$5*AH79</f>
        <v>27</v>
      </c>
      <c r="AN79">
        <f>+$AI$5*AI79</f>
        <v>28</v>
      </c>
      <c r="AO79">
        <f>+$AJ$5*AJ79</f>
        <v>3</v>
      </c>
      <c r="AP79">
        <f>+SUM(AL79:AO79)</f>
        <v>58</v>
      </c>
    </row>
    <row r="80" spans="1:42" ht="15.75" hidden="1" customHeight="1" x14ac:dyDescent="0.3">
      <c r="A80" s="16"/>
      <c r="B80" s="55">
        <v>13</v>
      </c>
      <c r="C80" s="56" t="s">
        <v>95</v>
      </c>
      <c r="D80" s="55">
        <v>2</v>
      </c>
      <c r="E80" s="55" t="s">
        <v>21</v>
      </c>
      <c r="F80" s="18" t="s">
        <v>21</v>
      </c>
      <c r="G80" s="18" t="s">
        <v>21</v>
      </c>
      <c r="H80" s="18" t="s">
        <v>21</v>
      </c>
      <c r="I80" s="18" t="s">
        <v>21</v>
      </c>
      <c r="J80" s="18" t="s">
        <v>21</v>
      </c>
      <c r="K80" s="18" t="s">
        <v>20</v>
      </c>
      <c r="L80" s="18" t="s">
        <v>20</v>
      </c>
      <c r="M80" s="18" t="s">
        <v>20</v>
      </c>
      <c r="N80" s="18" t="s">
        <v>21</v>
      </c>
      <c r="O80" s="18" t="s">
        <v>21</v>
      </c>
      <c r="P80" s="18" t="s">
        <v>21</v>
      </c>
      <c r="Q80" s="18" t="s">
        <v>21</v>
      </c>
      <c r="R80" s="18" t="s">
        <v>21</v>
      </c>
      <c r="S80" s="18" t="s">
        <v>21</v>
      </c>
      <c r="T80" s="18" t="s">
        <v>23</v>
      </c>
      <c r="U80" s="18" t="s">
        <v>21</v>
      </c>
      <c r="V80" s="37" t="s">
        <v>21</v>
      </c>
      <c r="W80" s="37" t="s">
        <v>20</v>
      </c>
      <c r="X80" s="37" t="s">
        <v>20</v>
      </c>
      <c r="Y80" s="18" t="s">
        <v>21</v>
      </c>
      <c r="Z80" s="18" t="s">
        <v>20</v>
      </c>
      <c r="AA80" s="20" t="s">
        <v>20</v>
      </c>
      <c r="AB80" s="20" t="s">
        <v>21</v>
      </c>
      <c r="AC80" s="20" t="s">
        <v>21</v>
      </c>
      <c r="AD80" s="18" t="s">
        <v>23</v>
      </c>
      <c r="AE80" s="18" t="s">
        <v>21</v>
      </c>
      <c r="AG80">
        <f>+COUNTIF(F80:AE80,"AD")</f>
        <v>0</v>
      </c>
      <c r="AH80">
        <f>+COUNTIF(F80:AE80,"A")</f>
        <v>7</v>
      </c>
      <c r="AI80">
        <f>+COUNTIF(F80:AE80,"b")</f>
        <v>17</v>
      </c>
      <c r="AJ80">
        <f>+COUNTIF(F80:AE80,"c")</f>
        <v>2</v>
      </c>
      <c r="AL80">
        <f>+$AG$5*AG80</f>
        <v>0</v>
      </c>
      <c r="AM80">
        <f>+$AH$5*AH80</f>
        <v>21</v>
      </c>
      <c r="AN80">
        <f>+$AI$5*AI80</f>
        <v>34</v>
      </c>
      <c r="AO80">
        <f>+$AJ$5*AJ80</f>
        <v>2</v>
      </c>
      <c r="AP80">
        <f>+SUM(AL80:AO80)</f>
        <v>57</v>
      </c>
    </row>
    <row r="81" spans="1:42" ht="15.75" hidden="1" customHeight="1" x14ac:dyDescent="0.3">
      <c r="A81" s="16"/>
      <c r="B81" s="55">
        <v>14</v>
      </c>
      <c r="C81" s="56" t="s">
        <v>96</v>
      </c>
      <c r="D81" s="55">
        <v>2</v>
      </c>
      <c r="E81" s="55" t="s">
        <v>21</v>
      </c>
      <c r="F81" s="18" t="s">
        <v>21</v>
      </c>
      <c r="G81" s="18" t="s">
        <v>23</v>
      </c>
      <c r="H81" s="18" t="s">
        <v>21</v>
      </c>
      <c r="I81" s="18" t="s">
        <v>21</v>
      </c>
      <c r="J81" s="18" t="s">
        <v>21</v>
      </c>
      <c r="K81" s="18" t="s">
        <v>21</v>
      </c>
      <c r="L81" s="18" t="s">
        <v>21</v>
      </c>
      <c r="M81" s="18" t="s">
        <v>20</v>
      </c>
      <c r="N81" s="18" t="s">
        <v>20</v>
      </c>
      <c r="O81" s="18" t="s">
        <v>20</v>
      </c>
      <c r="P81" s="18" t="s">
        <v>21</v>
      </c>
      <c r="Q81" s="18" t="s">
        <v>21</v>
      </c>
      <c r="R81" s="18" t="s">
        <v>21</v>
      </c>
      <c r="S81" s="18" t="s">
        <v>21</v>
      </c>
      <c r="T81" s="18" t="s">
        <v>20</v>
      </c>
      <c r="U81" s="18" t="s">
        <v>21</v>
      </c>
      <c r="V81" s="37" t="s">
        <v>21</v>
      </c>
      <c r="W81" s="37" t="s">
        <v>20</v>
      </c>
      <c r="X81" s="37" t="s">
        <v>20</v>
      </c>
      <c r="Y81" s="18" t="s">
        <v>20</v>
      </c>
      <c r="Z81" s="18" t="s">
        <v>20</v>
      </c>
      <c r="AA81" s="20" t="s">
        <v>23</v>
      </c>
      <c r="AB81" s="20" t="s">
        <v>21</v>
      </c>
      <c r="AC81" s="20" t="s">
        <v>21</v>
      </c>
      <c r="AD81" s="18" t="s">
        <v>23</v>
      </c>
      <c r="AE81" s="18" t="s">
        <v>21</v>
      </c>
      <c r="AG81">
        <f>+COUNTIF(F81:AE81,"AD")</f>
        <v>0</v>
      </c>
      <c r="AH81">
        <f>+COUNTIF(F81:AE81,"A")</f>
        <v>8</v>
      </c>
      <c r="AI81">
        <f>+COUNTIF(F81:AE81,"b")</f>
        <v>15</v>
      </c>
      <c r="AJ81">
        <f>+COUNTIF(F81:AE81,"c")</f>
        <v>3</v>
      </c>
      <c r="AL81">
        <f>+$AG$5*AG81</f>
        <v>0</v>
      </c>
      <c r="AM81">
        <f>+$AH$5*AH81</f>
        <v>24</v>
      </c>
      <c r="AN81">
        <f>+$AI$5*AI81</f>
        <v>30</v>
      </c>
      <c r="AO81">
        <f>+$AJ$5*AJ81</f>
        <v>3</v>
      </c>
      <c r="AP81">
        <f>+SUM(AL81:AO81)</f>
        <v>57</v>
      </c>
    </row>
    <row r="82" spans="1:42" ht="15.75" hidden="1" customHeight="1" x14ac:dyDescent="0.3">
      <c r="A82" s="16"/>
      <c r="B82" s="55">
        <v>15</v>
      </c>
      <c r="C82" s="56" t="s">
        <v>102</v>
      </c>
      <c r="D82" s="55">
        <v>2</v>
      </c>
      <c r="E82" s="55" t="s">
        <v>21</v>
      </c>
      <c r="F82" s="18" t="s">
        <v>20</v>
      </c>
      <c r="G82" s="18" t="s">
        <v>21</v>
      </c>
      <c r="H82" s="18" t="s">
        <v>21</v>
      </c>
      <c r="I82" s="18" t="s">
        <v>21</v>
      </c>
      <c r="J82" s="18" t="s">
        <v>21</v>
      </c>
      <c r="K82" s="18" t="s">
        <v>21</v>
      </c>
      <c r="L82" s="18" t="s">
        <v>21</v>
      </c>
      <c r="M82" s="18" t="s">
        <v>21</v>
      </c>
      <c r="N82" s="18" t="s">
        <v>20</v>
      </c>
      <c r="O82" s="18" t="s">
        <v>21</v>
      </c>
      <c r="P82" s="18" t="s">
        <v>23</v>
      </c>
      <c r="Q82" s="18" t="s">
        <v>23</v>
      </c>
      <c r="R82" s="18" t="s">
        <v>21</v>
      </c>
      <c r="S82" s="18" t="s">
        <v>21</v>
      </c>
      <c r="T82" s="18" t="s">
        <v>20</v>
      </c>
      <c r="U82" s="18" t="s">
        <v>21</v>
      </c>
      <c r="V82" s="37" t="s">
        <v>20</v>
      </c>
      <c r="W82" s="37" t="s">
        <v>20</v>
      </c>
      <c r="X82" s="37" t="s">
        <v>20</v>
      </c>
      <c r="Y82" s="18" t="s">
        <v>21</v>
      </c>
      <c r="Z82" s="18" t="s">
        <v>20</v>
      </c>
      <c r="AA82" s="20" t="s">
        <v>21</v>
      </c>
      <c r="AB82" s="20" t="s">
        <v>21</v>
      </c>
      <c r="AC82" s="20" t="s">
        <v>21</v>
      </c>
      <c r="AD82" s="18" t="s">
        <v>23</v>
      </c>
      <c r="AE82" s="18" t="s">
        <v>21</v>
      </c>
      <c r="AG82">
        <f>+COUNTIF(F82:AE82,"AD")</f>
        <v>0</v>
      </c>
      <c r="AH82">
        <f>+COUNTIF(F82:AE82,"A")</f>
        <v>7</v>
      </c>
      <c r="AI82">
        <f>+COUNTIF(F82:AE82,"b")</f>
        <v>16</v>
      </c>
      <c r="AJ82">
        <f>+COUNTIF(F82:AE82,"c")</f>
        <v>3</v>
      </c>
      <c r="AL82">
        <f>+$AG$5*AG82</f>
        <v>0</v>
      </c>
      <c r="AM82">
        <f>+$AH$5*AH82</f>
        <v>21</v>
      </c>
      <c r="AN82">
        <f>+$AI$5*AI82</f>
        <v>32</v>
      </c>
      <c r="AO82">
        <f>+$AJ$5*AJ82</f>
        <v>3</v>
      </c>
      <c r="AP82">
        <f>+SUM(AL82:AO82)</f>
        <v>56</v>
      </c>
    </row>
    <row r="83" spans="1:42" ht="15.75" hidden="1" customHeight="1" x14ac:dyDescent="0.3">
      <c r="A83" s="16"/>
      <c r="B83" s="55">
        <v>16</v>
      </c>
      <c r="C83" s="56" t="s">
        <v>100</v>
      </c>
      <c r="D83" s="55">
        <v>2</v>
      </c>
      <c r="E83" s="55" t="s">
        <v>21</v>
      </c>
      <c r="F83" s="18" t="s">
        <v>21</v>
      </c>
      <c r="G83" s="18" t="s">
        <v>21</v>
      </c>
      <c r="H83" s="18" t="s">
        <v>21</v>
      </c>
      <c r="I83" s="18" t="s">
        <v>21</v>
      </c>
      <c r="J83" s="18" t="s">
        <v>21</v>
      </c>
      <c r="K83" s="18" t="s">
        <v>21</v>
      </c>
      <c r="L83" s="18" t="s">
        <v>21</v>
      </c>
      <c r="M83" s="18" t="s">
        <v>21</v>
      </c>
      <c r="N83" s="18" t="s">
        <v>23</v>
      </c>
      <c r="O83" s="18" t="s">
        <v>21</v>
      </c>
      <c r="P83" s="18" t="s">
        <v>21</v>
      </c>
      <c r="Q83" s="18" t="s">
        <v>21</v>
      </c>
      <c r="R83" s="18" t="s">
        <v>21</v>
      </c>
      <c r="S83" s="18" t="s">
        <v>21</v>
      </c>
      <c r="T83" s="18" t="s">
        <v>20</v>
      </c>
      <c r="U83" s="18" t="s">
        <v>20</v>
      </c>
      <c r="V83" s="37" t="s">
        <v>21</v>
      </c>
      <c r="W83" s="37" t="s">
        <v>20</v>
      </c>
      <c r="X83" s="37" t="s">
        <v>21</v>
      </c>
      <c r="Y83" s="18" t="s">
        <v>20</v>
      </c>
      <c r="Z83" s="18" t="s">
        <v>21</v>
      </c>
      <c r="AA83" s="20" t="s">
        <v>21</v>
      </c>
      <c r="AB83" s="20" t="s">
        <v>21</v>
      </c>
      <c r="AC83" s="20" t="s">
        <v>21</v>
      </c>
      <c r="AD83" s="18" t="s">
        <v>21</v>
      </c>
      <c r="AE83" s="18" t="s">
        <v>21</v>
      </c>
      <c r="AG83">
        <f>+COUNTIF(F83:AE83,"AD")</f>
        <v>0</v>
      </c>
      <c r="AH83">
        <f>+COUNTIF(F83:AE83,"A")</f>
        <v>4</v>
      </c>
      <c r="AI83">
        <f>+COUNTIF(F83:AE83,"b")</f>
        <v>21</v>
      </c>
      <c r="AJ83">
        <f>+COUNTIF(F83:AE83,"c")</f>
        <v>1</v>
      </c>
      <c r="AL83">
        <f>+$AG$5*AG83</f>
        <v>0</v>
      </c>
      <c r="AM83">
        <f>+$AH$5*AH83</f>
        <v>12</v>
      </c>
      <c r="AN83">
        <f>+$AI$5*AI83</f>
        <v>42</v>
      </c>
      <c r="AO83">
        <f>+$AJ$5*AJ83</f>
        <v>1</v>
      </c>
      <c r="AP83">
        <f>+SUM(AL83:AO83)</f>
        <v>55</v>
      </c>
    </row>
    <row r="84" spans="1:42" ht="15.75" hidden="1" customHeight="1" x14ac:dyDescent="0.3">
      <c r="A84" s="16"/>
      <c r="B84" s="55">
        <v>17</v>
      </c>
      <c r="C84" s="56" t="s">
        <v>107</v>
      </c>
      <c r="D84" s="55">
        <v>2</v>
      </c>
      <c r="E84" s="55" t="s">
        <v>21</v>
      </c>
      <c r="F84" s="18" t="s">
        <v>21</v>
      </c>
      <c r="G84" s="18" t="s">
        <v>21</v>
      </c>
      <c r="H84" s="18" t="s">
        <v>23</v>
      </c>
      <c r="I84" s="18" t="s">
        <v>21</v>
      </c>
      <c r="J84" s="18" t="s">
        <v>20</v>
      </c>
      <c r="K84" s="18" t="s">
        <v>21</v>
      </c>
      <c r="L84" s="18" t="s">
        <v>21</v>
      </c>
      <c r="M84" s="18" t="s">
        <v>20</v>
      </c>
      <c r="N84" s="18" t="s">
        <v>21</v>
      </c>
      <c r="O84" s="18" t="s">
        <v>20</v>
      </c>
      <c r="P84" s="18" t="s">
        <v>21</v>
      </c>
      <c r="Q84" s="18" t="s">
        <v>21</v>
      </c>
      <c r="R84" s="18" t="s">
        <v>21</v>
      </c>
      <c r="S84" s="18" t="s">
        <v>20</v>
      </c>
      <c r="T84" s="18" t="s">
        <v>21</v>
      </c>
      <c r="U84" s="18" t="s">
        <v>21</v>
      </c>
      <c r="V84" s="37" t="s">
        <v>21</v>
      </c>
      <c r="W84" s="37" t="s">
        <v>21</v>
      </c>
      <c r="X84" s="37" t="s">
        <v>21</v>
      </c>
      <c r="Y84" s="18" t="s">
        <v>21</v>
      </c>
      <c r="Z84" s="18" t="s">
        <v>21</v>
      </c>
      <c r="AA84" s="20" t="s">
        <v>21</v>
      </c>
      <c r="AB84" s="20" t="s">
        <v>21</v>
      </c>
      <c r="AC84" s="20" t="s">
        <v>20</v>
      </c>
      <c r="AD84" s="18" t="s">
        <v>23</v>
      </c>
      <c r="AE84" s="18" t="s">
        <v>21</v>
      </c>
      <c r="AG84">
        <f>+COUNTIF(F84:AE84,"AD")</f>
        <v>0</v>
      </c>
      <c r="AH84">
        <f>+COUNTIF(F84:AE84,"A")</f>
        <v>5</v>
      </c>
      <c r="AI84">
        <f>+COUNTIF(F84:AE84,"b")</f>
        <v>19</v>
      </c>
      <c r="AJ84">
        <f>+COUNTIF(F84:AE84,"c")</f>
        <v>2</v>
      </c>
      <c r="AL84">
        <f>+$AG$5*AG84</f>
        <v>0</v>
      </c>
      <c r="AM84">
        <f>+$AH$5*AH84</f>
        <v>15</v>
      </c>
      <c r="AN84">
        <f>+$AI$5*AI84</f>
        <v>38</v>
      </c>
      <c r="AO84">
        <f>+$AJ$5*AJ84</f>
        <v>2</v>
      </c>
      <c r="AP84">
        <f>+SUM(AL84:AO84)</f>
        <v>55</v>
      </c>
    </row>
    <row r="85" spans="1:42" ht="15.75" hidden="1" customHeight="1" x14ac:dyDescent="0.3">
      <c r="A85" s="16"/>
      <c r="B85" s="55">
        <v>18</v>
      </c>
      <c r="C85" s="56" t="s">
        <v>92</v>
      </c>
      <c r="D85" s="55">
        <v>2</v>
      </c>
      <c r="E85" s="55" t="s">
        <v>21</v>
      </c>
      <c r="F85" s="18" t="s">
        <v>21</v>
      </c>
      <c r="G85" s="18" t="s">
        <v>23</v>
      </c>
      <c r="H85" s="18" t="s">
        <v>21</v>
      </c>
      <c r="I85" s="18" t="s">
        <v>21</v>
      </c>
      <c r="J85" s="18" t="s">
        <v>21</v>
      </c>
      <c r="K85" s="18" t="s">
        <v>20</v>
      </c>
      <c r="L85" s="18" t="s">
        <v>20</v>
      </c>
      <c r="M85" s="18" t="s">
        <v>21</v>
      </c>
      <c r="N85" s="18" t="s">
        <v>21</v>
      </c>
      <c r="O85" s="18" t="s">
        <v>21</v>
      </c>
      <c r="P85" s="18" t="s">
        <v>21</v>
      </c>
      <c r="Q85" s="18" t="s">
        <v>21</v>
      </c>
      <c r="R85" s="18" t="s">
        <v>21</v>
      </c>
      <c r="S85" s="18" t="s">
        <v>21</v>
      </c>
      <c r="T85" s="18" t="s">
        <v>21</v>
      </c>
      <c r="U85" s="18" t="s">
        <v>21</v>
      </c>
      <c r="V85" s="37" t="s">
        <v>20</v>
      </c>
      <c r="W85" s="37" t="s">
        <v>21</v>
      </c>
      <c r="X85" s="37" t="s">
        <v>21</v>
      </c>
      <c r="Y85" s="18" t="s">
        <v>21</v>
      </c>
      <c r="Z85" s="18" t="s">
        <v>20</v>
      </c>
      <c r="AA85" s="20" t="s">
        <v>21</v>
      </c>
      <c r="AB85" s="20" t="s">
        <v>21</v>
      </c>
      <c r="AC85" s="20" t="s">
        <v>21</v>
      </c>
      <c r="AD85" s="18" t="s">
        <v>23</v>
      </c>
      <c r="AE85" s="18" t="s">
        <v>21</v>
      </c>
      <c r="AG85">
        <f>+COUNTIF(F85:AE85,"AD")</f>
        <v>0</v>
      </c>
      <c r="AH85">
        <f>+COUNTIF(F85:AE85,"A")</f>
        <v>4</v>
      </c>
      <c r="AI85">
        <f>+COUNTIF(F85:AE85,"b")</f>
        <v>20</v>
      </c>
      <c r="AJ85">
        <f>+COUNTIF(F85:AE85,"c")</f>
        <v>2</v>
      </c>
      <c r="AL85">
        <f>+$AG$5*AG85</f>
        <v>0</v>
      </c>
      <c r="AM85">
        <f>+$AH$5*AH85</f>
        <v>12</v>
      </c>
      <c r="AN85">
        <f>+$AI$5*AI85</f>
        <v>40</v>
      </c>
      <c r="AO85">
        <f>+$AJ$5*AJ85</f>
        <v>2</v>
      </c>
      <c r="AP85">
        <f>+SUM(AL85:AO85)</f>
        <v>54</v>
      </c>
    </row>
    <row r="86" spans="1:42" ht="15.75" hidden="1" customHeight="1" x14ac:dyDescent="0.3">
      <c r="A86" s="16"/>
      <c r="B86" s="55">
        <v>19</v>
      </c>
      <c r="C86" s="56" t="s">
        <v>106</v>
      </c>
      <c r="D86" s="55">
        <v>2</v>
      </c>
      <c r="E86" s="55" t="s">
        <v>21</v>
      </c>
      <c r="F86" s="18" t="s">
        <v>21</v>
      </c>
      <c r="G86" s="18" t="s">
        <v>23</v>
      </c>
      <c r="H86" s="18" t="s">
        <v>21</v>
      </c>
      <c r="I86" s="18" t="s">
        <v>21</v>
      </c>
      <c r="J86" s="18" t="s">
        <v>20</v>
      </c>
      <c r="K86" s="18" t="s">
        <v>20</v>
      </c>
      <c r="L86" s="18" t="s">
        <v>20</v>
      </c>
      <c r="M86" s="18" t="s">
        <v>21</v>
      </c>
      <c r="N86" s="18" t="s">
        <v>21</v>
      </c>
      <c r="O86" s="18" t="s">
        <v>21</v>
      </c>
      <c r="P86" s="18" t="s">
        <v>21</v>
      </c>
      <c r="Q86" s="18" t="s">
        <v>21</v>
      </c>
      <c r="R86" s="18" t="s">
        <v>21</v>
      </c>
      <c r="S86" s="18" t="s">
        <v>23</v>
      </c>
      <c r="T86" s="18" t="s">
        <v>21</v>
      </c>
      <c r="U86" s="18" t="s">
        <v>20</v>
      </c>
      <c r="V86" s="37" t="s">
        <v>21</v>
      </c>
      <c r="W86" s="37" t="s">
        <v>21</v>
      </c>
      <c r="X86" s="37" t="s">
        <v>21</v>
      </c>
      <c r="Y86" s="18" t="s">
        <v>23</v>
      </c>
      <c r="Z86" s="18" t="s">
        <v>21</v>
      </c>
      <c r="AA86" s="20" t="s">
        <v>21</v>
      </c>
      <c r="AB86" s="20" t="s">
        <v>21</v>
      </c>
      <c r="AC86" s="20" t="s">
        <v>21</v>
      </c>
      <c r="AD86" s="18" t="s">
        <v>23</v>
      </c>
      <c r="AE86" s="18" t="s">
        <v>21</v>
      </c>
      <c r="AG86">
        <f>+COUNTIF(F86:AE86,"AD")</f>
        <v>0</v>
      </c>
      <c r="AH86">
        <f>+COUNTIF(F86:AE86,"A")</f>
        <v>4</v>
      </c>
      <c r="AI86">
        <f>+COUNTIF(F86:AE86,"b")</f>
        <v>18</v>
      </c>
      <c r="AJ86">
        <f>+COUNTIF(F86:AE86,"c")</f>
        <v>4</v>
      </c>
      <c r="AL86">
        <f>+$AG$5*AG86</f>
        <v>0</v>
      </c>
      <c r="AM86">
        <f>+$AH$5*AH86</f>
        <v>12</v>
      </c>
      <c r="AN86">
        <f>+$AI$5*AI86</f>
        <v>36</v>
      </c>
      <c r="AO86">
        <f>+$AJ$5*AJ86</f>
        <v>4</v>
      </c>
      <c r="AP86">
        <f>+SUM(AL86:AO86)</f>
        <v>52</v>
      </c>
    </row>
    <row r="87" spans="1:42" ht="15.75" hidden="1" customHeight="1" thickBot="1" x14ac:dyDescent="0.35">
      <c r="A87" s="16"/>
      <c r="B87" s="57">
        <v>20</v>
      </c>
      <c r="C87" s="56" t="s">
        <v>108</v>
      </c>
      <c r="D87" s="55">
        <v>2</v>
      </c>
      <c r="E87" s="55" t="s">
        <v>21</v>
      </c>
      <c r="F87" s="18" t="s">
        <v>21</v>
      </c>
      <c r="G87" s="18" t="s">
        <v>23</v>
      </c>
      <c r="H87" s="18" t="s">
        <v>21</v>
      </c>
      <c r="I87" s="18" t="s">
        <v>21</v>
      </c>
      <c r="J87" s="18" t="s">
        <v>20</v>
      </c>
      <c r="K87" s="18" t="s">
        <v>21</v>
      </c>
      <c r="L87" s="18" t="s">
        <v>21</v>
      </c>
      <c r="M87" s="18" t="s">
        <v>23</v>
      </c>
      <c r="N87" s="18" t="s">
        <v>21</v>
      </c>
      <c r="O87" s="18" t="s">
        <v>21</v>
      </c>
      <c r="P87" s="18" t="s">
        <v>23</v>
      </c>
      <c r="Q87" s="18" t="s">
        <v>21</v>
      </c>
      <c r="R87" s="17" t="s">
        <v>23</v>
      </c>
      <c r="S87" s="18" t="s">
        <v>23</v>
      </c>
      <c r="T87" s="18" t="s">
        <v>23</v>
      </c>
      <c r="U87" s="18" t="s">
        <v>21</v>
      </c>
      <c r="V87" s="37" t="s">
        <v>20</v>
      </c>
      <c r="W87" s="37" t="s">
        <v>20</v>
      </c>
      <c r="X87" s="37" t="s">
        <v>20</v>
      </c>
      <c r="Y87" s="18" t="s">
        <v>21</v>
      </c>
      <c r="Z87" s="18" t="s">
        <v>21</v>
      </c>
      <c r="AA87" s="20" t="s">
        <v>21</v>
      </c>
      <c r="AB87" s="20" t="s">
        <v>21</v>
      </c>
      <c r="AC87" s="20" t="s">
        <v>21</v>
      </c>
      <c r="AD87" s="18" t="s">
        <v>23</v>
      </c>
      <c r="AE87" s="18" t="s">
        <v>21</v>
      </c>
      <c r="AG87">
        <f>+COUNTIF(F87:AE87,"AD")</f>
        <v>0</v>
      </c>
      <c r="AH87">
        <f>+COUNTIF(F87:AE87,"A")</f>
        <v>4</v>
      </c>
      <c r="AI87">
        <f>+COUNTIF(F87:AE87,"b")</f>
        <v>15</v>
      </c>
      <c r="AJ87">
        <f>+COUNTIF(F87:AE87,"c")</f>
        <v>7</v>
      </c>
      <c r="AL87">
        <f>+$AG$5*AG87</f>
        <v>0</v>
      </c>
      <c r="AM87">
        <f>+$AH$5*AH87</f>
        <v>12</v>
      </c>
      <c r="AN87">
        <f>+$AI$5*AI87</f>
        <v>30</v>
      </c>
      <c r="AO87">
        <f>+$AJ$5*AJ87</f>
        <v>7</v>
      </c>
      <c r="AP87">
        <f>+SUM(AL87:AO87)</f>
        <v>49</v>
      </c>
    </row>
    <row r="88" spans="1:42" ht="15.75" hidden="1" customHeight="1" x14ac:dyDescent="0.3">
      <c r="A88" s="16"/>
      <c r="B88" s="55">
        <v>16</v>
      </c>
      <c r="C88" s="56" t="s">
        <v>101</v>
      </c>
      <c r="D88" s="55">
        <v>2</v>
      </c>
      <c r="E88" s="55" t="s">
        <v>21</v>
      </c>
      <c r="F88" s="18" t="s">
        <v>21</v>
      </c>
      <c r="G88" s="18" t="s">
        <v>23</v>
      </c>
      <c r="H88" s="18" t="s">
        <v>21</v>
      </c>
      <c r="I88" s="18" t="s">
        <v>21</v>
      </c>
      <c r="J88" s="18" t="s">
        <v>21</v>
      </c>
      <c r="K88" s="18" t="s">
        <v>21</v>
      </c>
      <c r="L88" s="18" t="s">
        <v>21</v>
      </c>
      <c r="M88" s="18" t="s">
        <v>21</v>
      </c>
      <c r="N88" s="18" t="s">
        <v>23</v>
      </c>
      <c r="O88" s="18" t="s">
        <v>21</v>
      </c>
      <c r="P88" s="18" t="s">
        <v>23</v>
      </c>
      <c r="Q88" s="18" t="s">
        <v>23</v>
      </c>
      <c r="R88" s="18" t="s">
        <v>21</v>
      </c>
      <c r="S88" s="18" t="s">
        <v>21</v>
      </c>
      <c r="T88" s="18" t="s">
        <v>21</v>
      </c>
      <c r="U88" s="18" t="s">
        <v>21</v>
      </c>
      <c r="V88" s="37" t="s">
        <v>21</v>
      </c>
      <c r="W88" s="37" t="s">
        <v>21</v>
      </c>
      <c r="X88" s="37" t="s">
        <v>21</v>
      </c>
      <c r="Y88" s="18" t="s">
        <v>23</v>
      </c>
      <c r="Z88" s="18" t="s">
        <v>20</v>
      </c>
      <c r="AA88" s="20" t="s">
        <v>21</v>
      </c>
      <c r="AB88" s="20" t="s">
        <v>21</v>
      </c>
      <c r="AC88" s="20" t="s">
        <v>21</v>
      </c>
      <c r="AD88" s="18" t="s">
        <v>23</v>
      </c>
      <c r="AE88" s="18" t="s">
        <v>21</v>
      </c>
      <c r="AG88">
        <f>+COUNTIF(F88:AE88,"AD")</f>
        <v>0</v>
      </c>
      <c r="AH88">
        <f>+COUNTIF(F88:AE88,"A")</f>
        <v>1</v>
      </c>
      <c r="AI88">
        <f>+COUNTIF(F88:AE88,"b")</f>
        <v>19</v>
      </c>
      <c r="AJ88">
        <f>+COUNTIF(F88:AE88,"c")</f>
        <v>6</v>
      </c>
      <c r="AL88">
        <f>+$AG$5*AG88</f>
        <v>0</v>
      </c>
      <c r="AM88">
        <f>+$AH$5*AH88</f>
        <v>3</v>
      </c>
      <c r="AN88">
        <f>+$AI$5*AI88</f>
        <v>38</v>
      </c>
      <c r="AO88">
        <f>+$AJ$5*AJ88</f>
        <v>6</v>
      </c>
      <c r="AP88">
        <f>+SUM(AL88:AO88)</f>
        <v>47</v>
      </c>
    </row>
    <row r="89" spans="1:42" ht="15.75" hidden="1" customHeight="1" x14ac:dyDescent="0.3">
      <c r="A89" s="16"/>
      <c r="B89" s="55">
        <v>2</v>
      </c>
      <c r="C89" s="56" t="s">
        <v>87</v>
      </c>
      <c r="D89" s="55">
        <v>2</v>
      </c>
      <c r="E89" s="55" t="s">
        <v>21</v>
      </c>
      <c r="F89" s="18" t="s">
        <v>21</v>
      </c>
      <c r="G89" s="18" t="s">
        <v>23</v>
      </c>
      <c r="H89" s="18" t="s">
        <v>21</v>
      </c>
      <c r="I89" s="18" t="s">
        <v>21</v>
      </c>
      <c r="J89" s="18" t="s">
        <v>21</v>
      </c>
      <c r="K89" s="18" t="s">
        <v>21</v>
      </c>
      <c r="L89" s="18" t="s">
        <v>21</v>
      </c>
      <c r="M89" s="18" t="s">
        <v>23</v>
      </c>
      <c r="N89" s="18" t="s">
        <v>21</v>
      </c>
      <c r="O89" s="18" t="s">
        <v>21</v>
      </c>
      <c r="P89" s="18" t="s">
        <v>23</v>
      </c>
      <c r="Q89" s="18" t="s">
        <v>21</v>
      </c>
      <c r="R89" s="18" t="s">
        <v>23</v>
      </c>
      <c r="S89" s="18" t="s">
        <v>23</v>
      </c>
      <c r="T89" s="18" t="s">
        <v>21</v>
      </c>
      <c r="U89" s="18" t="s">
        <v>21</v>
      </c>
      <c r="V89" s="37" t="s">
        <v>21</v>
      </c>
      <c r="W89" s="37" t="s">
        <v>21</v>
      </c>
      <c r="X89" s="37" t="s">
        <v>21</v>
      </c>
      <c r="Y89" s="18" t="s">
        <v>21</v>
      </c>
      <c r="Z89" s="18" t="s">
        <v>23</v>
      </c>
      <c r="AA89" s="20" t="s">
        <v>23</v>
      </c>
      <c r="AB89" s="20" t="s">
        <v>21</v>
      </c>
      <c r="AC89" s="20" t="s">
        <v>23</v>
      </c>
      <c r="AD89" s="18" t="s">
        <v>23</v>
      </c>
      <c r="AE89" s="18" t="s">
        <v>21</v>
      </c>
      <c r="AG89">
        <f>+COUNTIF(F89:AE89,"AD")</f>
        <v>0</v>
      </c>
      <c r="AH89">
        <f>+COUNTIF(F89:AE89,"A")</f>
        <v>0</v>
      </c>
      <c r="AI89">
        <f>+COUNTIF(F89:AE89,"b")</f>
        <v>17</v>
      </c>
      <c r="AJ89">
        <f>+COUNTIF(F89:AE89,"c")</f>
        <v>9</v>
      </c>
      <c r="AL89">
        <f>+$AG$5*AG89</f>
        <v>0</v>
      </c>
      <c r="AM89">
        <f>+$AH$5*AH89</f>
        <v>0</v>
      </c>
      <c r="AN89">
        <f>+$AI$5*AI89</f>
        <v>34</v>
      </c>
      <c r="AO89">
        <f>+$AJ$5*AJ89</f>
        <v>9</v>
      </c>
      <c r="AP89">
        <f>+SUM(AL89:AO89)</f>
        <v>43</v>
      </c>
    </row>
    <row r="90" spans="1:42" ht="15.75" hidden="1" customHeight="1" thickBot="1" x14ac:dyDescent="0.35">
      <c r="A90" s="16"/>
      <c r="B90" s="57">
        <v>19</v>
      </c>
      <c r="C90" s="58" t="s">
        <v>104</v>
      </c>
      <c r="D90" s="57">
        <v>2</v>
      </c>
      <c r="E90" s="57" t="s">
        <v>21</v>
      </c>
      <c r="F90" s="21" t="s">
        <v>21</v>
      </c>
      <c r="G90" s="21" t="s">
        <v>23</v>
      </c>
      <c r="H90" s="21" t="s">
        <v>21</v>
      </c>
      <c r="I90" s="21" t="s">
        <v>21</v>
      </c>
      <c r="J90" s="21" t="s">
        <v>21</v>
      </c>
      <c r="K90" s="21" t="s">
        <v>21</v>
      </c>
      <c r="L90" s="21" t="s">
        <v>21</v>
      </c>
      <c r="M90" s="21" t="s">
        <v>23</v>
      </c>
      <c r="N90" s="21" t="s">
        <v>23</v>
      </c>
      <c r="O90" s="21" t="s">
        <v>23</v>
      </c>
      <c r="P90" s="21" t="s">
        <v>23</v>
      </c>
      <c r="Q90" s="21" t="s">
        <v>21</v>
      </c>
      <c r="R90" s="21" t="s">
        <v>23</v>
      </c>
      <c r="S90" s="21" t="s">
        <v>21</v>
      </c>
      <c r="T90" s="21" t="s">
        <v>23</v>
      </c>
      <c r="U90" s="21" t="s">
        <v>21</v>
      </c>
      <c r="V90" s="38" t="s">
        <v>21</v>
      </c>
      <c r="W90" s="38" t="s">
        <v>21</v>
      </c>
      <c r="X90" s="38" t="s">
        <v>21</v>
      </c>
      <c r="Y90" s="21" t="s">
        <v>23</v>
      </c>
      <c r="Z90" s="21" t="s">
        <v>23</v>
      </c>
      <c r="AA90" s="23" t="s">
        <v>21</v>
      </c>
      <c r="AB90" s="23" t="s">
        <v>21</v>
      </c>
      <c r="AC90" s="23" t="s">
        <v>21</v>
      </c>
      <c r="AD90" s="21" t="s">
        <v>23</v>
      </c>
      <c r="AE90" s="21" t="s">
        <v>21</v>
      </c>
      <c r="AG90">
        <f>+COUNTIF(F90:AE90,"AD")</f>
        <v>0</v>
      </c>
      <c r="AH90">
        <f>+COUNTIF(F90:AE90,"A")</f>
        <v>0</v>
      </c>
      <c r="AI90">
        <f>+COUNTIF(F90:AE90,"b")</f>
        <v>16</v>
      </c>
      <c r="AJ90">
        <f>+COUNTIF(F90:AE90,"c")</f>
        <v>10</v>
      </c>
      <c r="AL90">
        <f>+$AG$5*AG90</f>
        <v>0</v>
      </c>
      <c r="AM90">
        <f>+$AH$5*AH90</f>
        <v>0</v>
      </c>
      <c r="AN90">
        <f>+$AI$5*AI90</f>
        <v>32</v>
      </c>
      <c r="AO90">
        <f>+$AJ$5*AJ90</f>
        <v>10</v>
      </c>
      <c r="AP90">
        <f>+SUM(AL90:AO90)</f>
        <v>42</v>
      </c>
    </row>
    <row r="91" spans="1:42" ht="15.75" customHeight="1" x14ac:dyDescent="0.3">
      <c r="A91" s="16"/>
      <c r="B91" s="55">
        <v>1</v>
      </c>
      <c r="C91" s="60" t="s">
        <v>109</v>
      </c>
      <c r="D91" s="59">
        <v>3</v>
      </c>
      <c r="E91" s="59" t="s">
        <v>20</v>
      </c>
      <c r="F91" s="24" t="s">
        <v>39</v>
      </c>
      <c r="G91" s="24" t="s">
        <v>39</v>
      </c>
      <c r="H91" s="24" t="s">
        <v>20</v>
      </c>
      <c r="I91" s="24" t="s">
        <v>39</v>
      </c>
      <c r="J91" s="42" t="s">
        <v>20</v>
      </c>
      <c r="K91" s="42" t="s">
        <v>39</v>
      </c>
      <c r="L91" s="42" t="s">
        <v>20</v>
      </c>
      <c r="M91" s="24" t="s">
        <v>20</v>
      </c>
      <c r="N91" s="24" t="s">
        <v>20</v>
      </c>
      <c r="O91" s="24" t="s">
        <v>20</v>
      </c>
      <c r="P91" s="24" t="s">
        <v>20</v>
      </c>
      <c r="Q91" s="24" t="s">
        <v>20</v>
      </c>
      <c r="R91" s="24" t="s">
        <v>20</v>
      </c>
      <c r="S91" s="24" t="s">
        <v>20</v>
      </c>
      <c r="T91" s="24" t="s">
        <v>20</v>
      </c>
      <c r="U91" s="24" t="s">
        <v>20</v>
      </c>
      <c r="V91" s="39" t="s">
        <v>21</v>
      </c>
      <c r="W91" s="39" t="s">
        <v>20</v>
      </c>
      <c r="X91" s="39" t="s">
        <v>21</v>
      </c>
      <c r="Y91" s="24" t="s">
        <v>39</v>
      </c>
      <c r="Z91" s="24" t="s">
        <v>39</v>
      </c>
      <c r="AA91" s="27" t="s">
        <v>20</v>
      </c>
      <c r="AB91" s="27" t="s">
        <v>20</v>
      </c>
      <c r="AC91" s="27" t="s">
        <v>20</v>
      </c>
      <c r="AD91" s="39" t="s">
        <v>20</v>
      </c>
      <c r="AE91" s="39" t="s">
        <v>21</v>
      </c>
      <c r="AG91">
        <f>+COUNTIF(F91:AE91,"AD")</f>
        <v>6</v>
      </c>
      <c r="AH91">
        <f>+COUNTIF(F91:AE91,"A")</f>
        <v>17</v>
      </c>
      <c r="AI91">
        <f>+COUNTIF(F91:AE91,"b")</f>
        <v>3</v>
      </c>
      <c r="AJ91">
        <f>+COUNTIF(F91:AE91,"c")</f>
        <v>0</v>
      </c>
      <c r="AL91">
        <f>+$AG$5*AG91</f>
        <v>24</v>
      </c>
      <c r="AM91">
        <f>+$AH$5*AH91</f>
        <v>51</v>
      </c>
      <c r="AN91">
        <f>+$AI$5*AI91</f>
        <v>6</v>
      </c>
      <c r="AO91">
        <f>+$AJ$5*AJ91</f>
        <v>0</v>
      </c>
      <c r="AP91" s="73">
        <f>+SUM(AL91:AO91)</f>
        <v>81</v>
      </c>
    </row>
    <row r="92" spans="1:42" ht="15.75" customHeight="1" x14ac:dyDescent="0.3">
      <c r="A92" s="16"/>
      <c r="B92" s="55">
        <v>2</v>
      </c>
      <c r="C92" s="56" t="s">
        <v>110</v>
      </c>
      <c r="D92" s="55">
        <v>3</v>
      </c>
      <c r="E92" s="55" t="s">
        <v>20</v>
      </c>
      <c r="F92" s="18" t="s">
        <v>20</v>
      </c>
      <c r="G92" s="18" t="s">
        <v>20</v>
      </c>
      <c r="H92" s="18" t="s">
        <v>20</v>
      </c>
      <c r="I92" s="18" t="s">
        <v>39</v>
      </c>
      <c r="J92" s="43" t="s">
        <v>39</v>
      </c>
      <c r="K92" s="43" t="s">
        <v>39</v>
      </c>
      <c r="L92" s="43" t="s">
        <v>20</v>
      </c>
      <c r="M92" s="18" t="s">
        <v>20</v>
      </c>
      <c r="N92" s="18" t="s">
        <v>20</v>
      </c>
      <c r="O92" s="18" t="s">
        <v>20</v>
      </c>
      <c r="P92" s="18" t="s">
        <v>20</v>
      </c>
      <c r="Q92" s="18" t="s">
        <v>20</v>
      </c>
      <c r="R92" s="18" t="s">
        <v>20</v>
      </c>
      <c r="S92" s="18" t="s">
        <v>20</v>
      </c>
      <c r="T92" s="18" t="s">
        <v>20</v>
      </c>
      <c r="U92" s="18" t="s">
        <v>20</v>
      </c>
      <c r="V92" s="37" t="s">
        <v>20</v>
      </c>
      <c r="W92" s="37" t="s">
        <v>20</v>
      </c>
      <c r="X92" s="37" t="s">
        <v>20</v>
      </c>
      <c r="Y92" s="18" t="s">
        <v>20</v>
      </c>
      <c r="Z92" s="18" t="s">
        <v>20</v>
      </c>
      <c r="AA92" s="20" t="s">
        <v>20</v>
      </c>
      <c r="AB92" s="20" t="s">
        <v>20</v>
      </c>
      <c r="AC92" s="20" t="s">
        <v>20</v>
      </c>
      <c r="AD92" s="37" t="s">
        <v>21</v>
      </c>
      <c r="AE92" s="37" t="s">
        <v>21</v>
      </c>
      <c r="AG92">
        <f>+COUNTIF(F92:AE92,"AD")</f>
        <v>3</v>
      </c>
      <c r="AH92">
        <f>+COUNTIF(F92:AE92,"A")</f>
        <v>21</v>
      </c>
      <c r="AI92">
        <f>+COUNTIF(F92:AE92,"b")</f>
        <v>2</v>
      </c>
      <c r="AJ92">
        <f>+COUNTIF(F92:AE92,"c")</f>
        <v>0</v>
      </c>
      <c r="AL92">
        <f>+$AG$5*AG92</f>
        <v>12</v>
      </c>
      <c r="AM92">
        <f>+$AH$5*AH92</f>
        <v>63</v>
      </c>
      <c r="AN92">
        <f>+$AI$5*AI92</f>
        <v>4</v>
      </c>
      <c r="AO92">
        <f>+$AJ$5*AJ92</f>
        <v>0</v>
      </c>
      <c r="AP92" s="73">
        <f>+SUM(AL92:AO92)</f>
        <v>79</v>
      </c>
    </row>
    <row r="93" spans="1:42" ht="15.75" customHeight="1" x14ac:dyDescent="0.3">
      <c r="A93" s="16"/>
      <c r="B93" s="55">
        <v>3</v>
      </c>
      <c r="C93" s="56" t="s">
        <v>112</v>
      </c>
      <c r="D93" s="55">
        <v>3</v>
      </c>
      <c r="E93" s="55" t="s">
        <v>20</v>
      </c>
      <c r="F93" s="18" t="s">
        <v>39</v>
      </c>
      <c r="G93" s="18" t="s">
        <v>20</v>
      </c>
      <c r="H93" s="18" t="s">
        <v>20</v>
      </c>
      <c r="I93" s="18" t="s">
        <v>20</v>
      </c>
      <c r="J93" s="43" t="s">
        <v>20</v>
      </c>
      <c r="K93" s="43" t="s">
        <v>39</v>
      </c>
      <c r="L93" s="43" t="s">
        <v>20</v>
      </c>
      <c r="M93" s="18" t="s">
        <v>20</v>
      </c>
      <c r="N93" s="18" t="s">
        <v>20</v>
      </c>
      <c r="O93" s="18" t="s">
        <v>20</v>
      </c>
      <c r="P93" s="18" t="s">
        <v>20</v>
      </c>
      <c r="Q93" s="18" t="s">
        <v>20</v>
      </c>
      <c r="R93" s="18" t="s">
        <v>20</v>
      </c>
      <c r="S93" s="18" t="s">
        <v>20</v>
      </c>
      <c r="T93" s="18" t="s">
        <v>20</v>
      </c>
      <c r="U93" s="18" t="s">
        <v>20</v>
      </c>
      <c r="V93" s="37" t="s">
        <v>20</v>
      </c>
      <c r="W93" s="37" t="s">
        <v>21</v>
      </c>
      <c r="X93" s="37" t="s">
        <v>20</v>
      </c>
      <c r="Y93" s="18" t="s">
        <v>20</v>
      </c>
      <c r="Z93" s="18" t="s">
        <v>20</v>
      </c>
      <c r="AA93" s="20" t="s">
        <v>20</v>
      </c>
      <c r="AB93" s="20" t="s">
        <v>20</v>
      </c>
      <c r="AC93" s="20" t="s">
        <v>20</v>
      </c>
      <c r="AD93" s="37" t="s">
        <v>20</v>
      </c>
      <c r="AE93" s="37" t="s">
        <v>21</v>
      </c>
      <c r="AG93">
        <f>+COUNTIF(F93:AE93,"AD")</f>
        <v>2</v>
      </c>
      <c r="AH93">
        <f>+COUNTIF(F93:AE93,"A")</f>
        <v>22</v>
      </c>
      <c r="AI93">
        <f>+COUNTIF(F93:AE93,"b")</f>
        <v>2</v>
      </c>
      <c r="AJ93">
        <f>+COUNTIF(F93:AE93,"c")</f>
        <v>0</v>
      </c>
      <c r="AL93">
        <f>+$AG$5*AG93</f>
        <v>8</v>
      </c>
      <c r="AM93">
        <f>+$AH$5*AH93</f>
        <v>66</v>
      </c>
      <c r="AN93">
        <f>+$AI$5*AI93</f>
        <v>4</v>
      </c>
      <c r="AO93">
        <f>+$AJ$5*AJ93</f>
        <v>0</v>
      </c>
      <c r="AP93" s="73">
        <f>+SUM(AL93:AO93)</f>
        <v>78</v>
      </c>
    </row>
    <row r="94" spans="1:42" ht="15.75" customHeight="1" x14ac:dyDescent="0.3">
      <c r="A94" s="16"/>
      <c r="B94" s="55">
        <v>4</v>
      </c>
      <c r="C94" s="56" t="s">
        <v>117</v>
      </c>
      <c r="D94" s="55">
        <v>3</v>
      </c>
      <c r="E94" s="55" t="s">
        <v>20</v>
      </c>
      <c r="F94" s="18" t="s">
        <v>20</v>
      </c>
      <c r="G94" s="18" t="s">
        <v>20</v>
      </c>
      <c r="H94" s="18" t="s">
        <v>20</v>
      </c>
      <c r="I94" s="18" t="s">
        <v>20</v>
      </c>
      <c r="J94" s="43" t="s">
        <v>20</v>
      </c>
      <c r="K94" s="43" t="s">
        <v>39</v>
      </c>
      <c r="L94" s="43" t="s">
        <v>20</v>
      </c>
      <c r="M94" s="18" t="s">
        <v>20</v>
      </c>
      <c r="N94" s="18" t="s">
        <v>20</v>
      </c>
      <c r="O94" s="18" t="s">
        <v>20</v>
      </c>
      <c r="P94" s="18" t="s">
        <v>20</v>
      </c>
      <c r="Q94" s="18" t="s">
        <v>20</v>
      </c>
      <c r="R94" s="18" t="s">
        <v>20</v>
      </c>
      <c r="S94" s="18" t="s">
        <v>20</v>
      </c>
      <c r="T94" s="18" t="s">
        <v>20</v>
      </c>
      <c r="U94" s="18" t="s">
        <v>20</v>
      </c>
      <c r="V94" s="37" t="s">
        <v>20</v>
      </c>
      <c r="W94" s="37" t="s">
        <v>20</v>
      </c>
      <c r="X94" s="37" t="s">
        <v>20</v>
      </c>
      <c r="Y94" s="18" t="s">
        <v>20</v>
      </c>
      <c r="Z94" s="18" t="s">
        <v>39</v>
      </c>
      <c r="AA94" s="20" t="s">
        <v>20</v>
      </c>
      <c r="AB94" s="20" t="s">
        <v>20</v>
      </c>
      <c r="AC94" s="20" t="s">
        <v>20</v>
      </c>
      <c r="AD94" s="37" t="s">
        <v>21</v>
      </c>
      <c r="AE94" s="37" t="s">
        <v>21</v>
      </c>
      <c r="AG94">
        <f>+COUNTIF(F94:AE94,"AD")</f>
        <v>2</v>
      </c>
      <c r="AH94">
        <f>+COUNTIF(F94:AE94,"A")</f>
        <v>22</v>
      </c>
      <c r="AI94">
        <f>+COUNTIF(F94:AE94,"b")</f>
        <v>2</v>
      </c>
      <c r="AJ94">
        <f>+COUNTIF(F94:AE94,"c")</f>
        <v>0</v>
      </c>
      <c r="AL94">
        <f>+$AG$5*AG94</f>
        <v>8</v>
      </c>
      <c r="AM94">
        <f>+$AH$5*AH94</f>
        <v>66</v>
      </c>
      <c r="AN94">
        <f>+$AI$5*AI94</f>
        <v>4</v>
      </c>
      <c r="AO94">
        <f>+$AJ$5*AJ94</f>
        <v>0</v>
      </c>
      <c r="AP94" s="73">
        <f>+SUM(AL94:AO94)</f>
        <v>78</v>
      </c>
    </row>
    <row r="95" spans="1:42" ht="15.75" customHeight="1" x14ac:dyDescent="0.3">
      <c r="A95" s="16"/>
      <c r="B95" s="55">
        <v>5</v>
      </c>
      <c r="C95" s="56" t="s">
        <v>123</v>
      </c>
      <c r="D95" s="55">
        <v>3</v>
      </c>
      <c r="E95" s="55" t="s">
        <v>20</v>
      </c>
      <c r="F95" s="18" t="s">
        <v>39</v>
      </c>
      <c r="G95" s="18" t="s">
        <v>39</v>
      </c>
      <c r="H95" s="18" t="s">
        <v>20</v>
      </c>
      <c r="I95" s="18" t="s">
        <v>39</v>
      </c>
      <c r="J95" s="43" t="s">
        <v>20</v>
      </c>
      <c r="K95" s="43" t="s">
        <v>20</v>
      </c>
      <c r="L95" s="43" t="s">
        <v>20</v>
      </c>
      <c r="M95" s="18" t="s">
        <v>20</v>
      </c>
      <c r="N95" s="18" t="s">
        <v>21</v>
      </c>
      <c r="O95" s="18" t="s">
        <v>20</v>
      </c>
      <c r="P95" s="18" t="s">
        <v>20</v>
      </c>
      <c r="Q95" s="18" t="s">
        <v>20</v>
      </c>
      <c r="R95" s="18" t="s">
        <v>20</v>
      </c>
      <c r="S95" s="18" t="s">
        <v>20</v>
      </c>
      <c r="T95" s="18" t="s">
        <v>20</v>
      </c>
      <c r="U95" s="18" t="s">
        <v>20</v>
      </c>
      <c r="V95" s="37" t="s">
        <v>20</v>
      </c>
      <c r="W95" s="37" t="s">
        <v>20</v>
      </c>
      <c r="X95" s="37" t="s">
        <v>20</v>
      </c>
      <c r="Y95" s="18" t="s">
        <v>20</v>
      </c>
      <c r="Z95" s="18" t="s">
        <v>21</v>
      </c>
      <c r="AA95" s="20" t="s">
        <v>20</v>
      </c>
      <c r="AB95" s="20" t="s">
        <v>20</v>
      </c>
      <c r="AC95" s="20" t="s">
        <v>20</v>
      </c>
      <c r="AD95" s="37" t="s">
        <v>20</v>
      </c>
      <c r="AE95" s="37" t="s">
        <v>21</v>
      </c>
      <c r="AG95">
        <f>+COUNTIF(F95:AE95,"AD")</f>
        <v>3</v>
      </c>
      <c r="AH95">
        <f>+COUNTIF(F95:AE95,"A")</f>
        <v>20</v>
      </c>
      <c r="AI95">
        <f>+COUNTIF(F95:AE95,"b")</f>
        <v>3</v>
      </c>
      <c r="AJ95">
        <f>+COUNTIF(F95:AE95,"c")</f>
        <v>0</v>
      </c>
      <c r="AL95">
        <f>+$AG$5*AG95</f>
        <v>12</v>
      </c>
      <c r="AM95">
        <f>+$AH$5*AH95</f>
        <v>60</v>
      </c>
      <c r="AN95">
        <f>+$AI$5*AI95</f>
        <v>6</v>
      </c>
      <c r="AO95">
        <f>+$AJ$5*AJ95</f>
        <v>0</v>
      </c>
      <c r="AP95" s="73">
        <f>+SUM(AL95:AO95)</f>
        <v>78</v>
      </c>
    </row>
    <row r="96" spans="1:42" ht="15.75" customHeight="1" x14ac:dyDescent="0.3">
      <c r="A96" s="16"/>
      <c r="B96" s="55">
        <v>6</v>
      </c>
      <c r="C96" s="56" t="s">
        <v>124</v>
      </c>
      <c r="D96" s="55">
        <v>3</v>
      </c>
      <c r="E96" s="55" t="s">
        <v>20</v>
      </c>
      <c r="F96" s="18" t="s">
        <v>20</v>
      </c>
      <c r="G96" s="18" t="s">
        <v>20</v>
      </c>
      <c r="H96" s="18" t="s">
        <v>20</v>
      </c>
      <c r="I96" s="18" t="s">
        <v>20</v>
      </c>
      <c r="J96" s="43" t="s">
        <v>20</v>
      </c>
      <c r="K96" s="43" t="s">
        <v>20</v>
      </c>
      <c r="L96" s="43" t="s">
        <v>20</v>
      </c>
      <c r="M96" s="18" t="s">
        <v>20</v>
      </c>
      <c r="N96" s="18" t="s">
        <v>20</v>
      </c>
      <c r="O96" s="18" t="s">
        <v>20</v>
      </c>
      <c r="P96" s="18" t="s">
        <v>20</v>
      </c>
      <c r="Q96" s="18" t="s">
        <v>20</v>
      </c>
      <c r="R96" s="18" t="s">
        <v>20</v>
      </c>
      <c r="S96" s="18" t="s">
        <v>20</v>
      </c>
      <c r="T96" s="18" t="s">
        <v>20</v>
      </c>
      <c r="U96" s="18" t="s">
        <v>20</v>
      </c>
      <c r="V96" s="37" t="s">
        <v>20</v>
      </c>
      <c r="W96" s="37" t="s">
        <v>20</v>
      </c>
      <c r="X96" s="37" t="s">
        <v>20</v>
      </c>
      <c r="Y96" s="18" t="s">
        <v>20</v>
      </c>
      <c r="Z96" s="18" t="s">
        <v>20</v>
      </c>
      <c r="AA96" s="20" t="s">
        <v>20</v>
      </c>
      <c r="AB96" s="20" t="s">
        <v>20</v>
      </c>
      <c r="AC96" s="20" t="s">
        <v>20</v>
      </c>
      <c r="AD96" s="37" t="s">
        <v>20</v>
      </c>
      <c r="AE96" s="37" t="s">
        <v>21</v>
      </c>
      <c r="AG96">
        <f>+COUNTIF(F96:AE96,"AD")</f>
        <v>0</v>
      </c>
      <c r="AH96">
        <f>+COUNTIF(F96:AE96,"A")</f>
        <v>25</v>
      </c>
      <c r="AI96">
        <f>+COUNTIF(F96:AE96,"b")</f>
        <v>1</v>
      </c>
      <c r="AJ96">
        <f>+COUNTIF(F96:AE96,"c")</f>
        <v>0</v>
      </c>
      <c r="AL96">
        <f>+$AG$5*AG96</f>
        <v>0</v>
      </c>
      <c r="AM96">
        <f>+$AH$5*AH96</f>
        <v>75</v>
      </c>
      <c r="AN96">
        <f>+$AI$5*AI96</f>
        <v>2</v>
      </c>
      <c r="AO96">
        <f>+$AJ$5*AJ96</f>
        <v>0</v>
      </c>
      <c r="AP96" s="73">
        <f>+SUM(AL96:AO96)</f>
        <v>77</v>
      </c>
    </row>
    <row r="97" spans="1:42" ht="15.75" customHeight="1" x14ac:dyDescent="0.3">
      <c r="A97" s="16"/>
      <c r="B97" s="55">
        <v>7</v>
      </c>
      <c r="C97" s="56" t="s">
        <v>126</v>
      </c>
      <c r="D97" s="55">
        <v>3</v>
      </c>
      <c r="E97" s="55" t="s">
        <v>20</v>
      </c>
      <c r="F97" s="18" t="s">
        <v>39</v>
      </c>
      <c r="G97" s="18" t="s">
        <v>20</v>
      </c>
      <c r="H97" s="18" t="s">
        <v>20</v>
      </c>
      <c r="I97" s="18" t="s">
        <v>20</v>
      </c>
      <c r="J97" s="43" t="s">
        <v>20</v>
      </c>
      <c r="K97" s="43" t="s">
        <v>20</v>
      </c>
      <c r="L97" s="43" t="s">
        <v>20</v>
      </c>
      <c r="M97" s="18" t="s">
        <v>20</v>
      </c>
      <c r="N97" s="18" t="s">
        <v>20</v>
      </c>
      <c r="O97" s="18" t="s">
        <v>20</v>
      </c>
      <c r="P97" s="18" t="s">
        <v>20</v>
      </c>
      <c r="Q97" s="18" t="s">
        <v>20</v>
      </c>
      <c r="R97" s="18" t="s">
        <v>20</v>
      </c>
      <c r="S97" s="18" t="s">
        <v>20</v>
      </c>
      <c r="T97" s="18" t="s">
        <v>20</v>
      </c>
      <c r="U97" s="18" t="s">
        <v>20</v>
      </c>
      <c r="V97" s="37" t="s">
        <v>20</v>
      </c>
      <c r="W97" s="37" t="s">
        <v>20</v>
      </c>
      <c r="X97" s="37" t="s">
        <v>20</v>
      </c>
      <c r="Y97" s="18" t="s">
        <v>21</v>
      </c>
      <c r="Z97" s="18" t="s">
        <v>20</v>
      </c>
      <c r="AA97" s="20" t="s">
        <v>20</v>
      </c>
      <c r="AB97" s="20" t="s">
        <v>20</v>
      </c>
      <c r="AC97" s="20" t="s">
        <v>20</v>
      </c>
      <c r="AD97" s="37" t="s">
        <v>20</v>
      </c>
      <c r="AE97" s="37" t="s">
        <v>21</v>
      </c>
      <c r="AG97">
        <f>+COUNTIF(F97:AE97,"AD")</f>
        <v>1</v>
      </c>
      <c r="AH97">
        <f>+COUNTIF(F97:AE97,"A")</f>
        <v>23</v>
      </c>
      <c r="AI97">
        <f>+COUNTIF(F97:AE97,"b")</f>
        <v>2</v>
      </c>
      <c r="AJ97">
        <f>+COUNTIF(F97:AE97,"c")</f>
        <v>0</v>
      </c>
      <c r="AL97">
        <f>+$AG$5*AG97</f>
        <v>4</v>
      </c>
      <c r="AM97">
        <f>+$AH$5*AH97</f>
        <v>69</v>
      </c>
      <c r="AN97">
        <f>+$AI$5*AI97</f>
        <v>4</v>
      </c>
      <c r="AO97">
        <f>+$AJ$5*AJ97</f>
        <v>0</v>
      </c>
      <c r="AP97" s="73">
        <f>+SUM(AL97:AO97)</f>
        <v>77</v>
      </c>
    </row>
    <row r="98" spans="1:42" ht="15.75" customHeight="1" x14ac:dyDescent="0.3">
      <c r="A98" s="16"/>
      <c r="B98" s="55">
        <v>8</v>
      </c>
      <c r="C98" s="56" t="s">
        <v>125</v>
      </c>
      <c r="D98" s="55">
        <v>3</v>
      </c>
      <c r="E98" s="55" t="s">
        <v>20</v>
      </c>
      <c r="F98" s="18" t="s">
        <v>20</v>
      </c>
      <c r="G98" s="18" t="s">
        <v>20</v>
      </c>
      <c r="H98" s="18" t="s">
        <v>20</v>
      </c>
      <c r="I98" s="18" t="s">
        <v>20</v>
      </c>
      <c r="J98" s="43" t="s">
        <v>39</v>
      </c>
      <c r="K98" s="43" t="s">
        <v>20</v>
      </c>
      <c r="L98" s="43" t="s">
        <v>20</v>
      </c>
      <c r="M98" s="18" t="s">
        <v>20</v>
      </c>
      <c r="N98" s="18" t="s">
        <v>20</v>
      </c>
      <c r="O98" s="18" t="s">
        <v>20</v>
      </c>
      <c r="P98" s="18" t="s">
        <v>20</v>
      </c>
      <c r="Q98" s="18" t="s">
        <v>20</v>
      </c>
      <c r="R98" s="18" t="s">
        <v>20</v>
      </c>
      <c r="S98" s="18" t="s">
        <v>21</v>
      </c>
      <c r="T98" s="18" t="s">
        <v>20</v>
      </c>
      <c r="U98" s="18" t="s">
        <v>20</v>
      </c>
      <c r="V98" s="37" t="s">
        <v>21</v>
      </c>
      <c r="W98" s="37" t="s">
        <v>20</v>
      </c>
      <c r="X98" s="37" t="s">
        <v>21</v>
      </c>
      <c r="Y98" s="18" t="s">
        <v>20</v>
      </c>
      <c r="Z98" s="18" t="s">
        <v>20</v>
      </c>
      <c r="AA98" s="20" t="s">
        <v>20</v>
      </c>
      <c r="AB98" s="20" t="s">
        <v>20</v>
      </c>
      <c r="AC98" s="20" t="s">
        <v>20</v>
      </c>
      <c r="AD98" s="37" t="s">
        <v>20</v>
      </c>
      <c r="AE98" s="37" t="s">
        <v>21</v>
      </c>
      <c r="AG98">
        <f>+COUNTIF(F98:AE98,"AD")</f>
        <v>1</v>
      </c>
      <c r="AH98">
        <f>+COUNTIF(F98:AE98,"A")</f>
        <v>21</v>
      </c>
      <c r="AI98">
        <f>+COUNTIF(F98:AE98,"b")</f>
        <v>4</v>
      </c>
      <c r="AJ98">
        <f>+COUNTIF(F98:AE98,"c")</f>
        <v>0</v>
      </c>
      <c r="AL98">
        <f>+$AG$5*AG98</f>
        <v>4</v>
      </c>
      <c r="AM98">
        <f>+$AH$5*AH98</f>
        <v>63</v>
      </c>
      <c r="AN98">
        <f>+$AI$5*AI98</f>
        <v>8</v>
      </c>
      <c r="AO98">
        <f>+$AJ$5*AJ98</f>
        <v>0</v>
      </c>
      <c r="AP98" s="73">
        <f>+SUM(AL98:AO98)</f>
        <v>75</v>
      </c>
    </row>
    <row r="99" spans="1:42" ht="15.75" customHeight="1" x14ac:dyDescent="0.3">
      <c r="A99" s="16"/>
      <c r="B99" s="55">
        <v>9</v>
      </c>
      <c r="C99" s="56" t="s">
        <v>121</v>
      </c>
      <c r="D99" s="55">
        <v>3</v>
      </c>
      <c r="E99" s="55" t="s">
        <v>20</v>
      </c>
      <c r="F99" s="18" t="s">
        <v>20</v>
      </c>
      <c r="G99" s="18" t="s">
        <v>20</v>
      </c>
      <c r="H99" s="18" t="s">
        <v>20</v>
      </c>
      <c r="I99" s="18" t="s">
        <v>20</v>
      </c>
      <c r="J99" s="43" t="s">
        <v>20</v>
      </c>
      <c r="K99" s="43" t="s">
        <v>21</v>
      </c>
      <c r="L99" s="43" t="s">
        <v>21</v>
      </c>
      <c r="M99" s="18" t="s">
        <v>21</v>
      </c>
      <c r="N99" s="18" t="s">
        <v>21</v>
      </c>
      <c r="O99" s="18" t="s">
        <v>20</v>
      </c>
      <c r="P99" s="18" t="s">
        <v>20</v>
      </c>
      <c r="Q99" s="18" t="s">
        <v>20</v>
      </c>
      <c r="R99" s="18" t="s">
        <v>20</v>
      </c>
      <c r="S99" s="18" t="s">
        <v>20</v>
      </c>
      <c r="T99" s="18" t="s">
        <v>20</v>
      </c>
      <c r="U99" s="18" t="s">
        <v>21</v>
      </c>
      <c r="V99" s="37" t="s">
        <v>20</v>
      </c>
      <c r="W99" s="37" t="s">
        <v>21</v>
      </c>
      <c r="X99" s="37" t="s">
        <v>20</v>
      </c>
      <c r="Y99" s="18" t="s">
        <v>21</v>
      </c>
      <c r="Z99" s="18" t="s">
        <v>20</v>
      </c>
      <c r="AA99" s="20" t="s">
        <v>20</v>
      </c>
      <c r="AB99" s="20" t="s">
        <v>21</v>
      </c>
      <c r="AC99" s="20" t="s">
        <v>20</v>
      </c>
      <c r="AD99" s="37" t="s">
        <v>21</v>
      </c>
      <c r="AE99" s="37" t="s">
        <v>21</v>
      </c>
      <c r="AG99">
        <f>+COUNTIF(F99:AE99,"AD")</f>
        <v>0</v>
      </c>
      <c r="AH99">
        <f>+COUNTIF(F99:AE99,"A")</f>
        <v>16</v>
      </c>
      <c r="AI99">
        <f>+COUNTIF(F99:AE99,"b")</f>
        <v>10</v>
      </c>
      <c r="AJ99">
        <f>+COUNTIF(F99:AE99,"c")</f>
        <v>0</v>
      </c>
      <c r="AL99">
        <f>+$AG$5*AG99</f>
        <v>0</v>
      </c>
      <c r="AM99">
        <f>+$AH$5*AH99</f>
        <v>48</v>
      </c>
      <c r="AN99">
        <f>+$AI$5*AI99</f>
        <v>20</v>
      </c>
      <c r="AO99">
        <f>+$AJ$5*AJ99</f>
        <v>0</v>
      </c>
      <c r="AP99" s="73">
        <f>+SUM(AL99:AO99)</f>
        <v>68</v>
      </c>
    </row>
    <row r="100" spans="1:42" ht="15.75" customHeight="1" x14ac:dyDescent="0.3">
      <c r="A100" s="16"/>
      <c r="B100" s="55">
        <v>10</v>
      </c>
      <c r="C100" s="56" t="s">
        <v>114</v>
      </c>
      <c r="D100" s="55">
        <v>3</v>
      </c>
      <c r="E100" s="55" t="s">
        <v>20</v>
      </c>
      <c r="F100" s="18" t="s">
        <v>20</v>
      </c>
      <c r="G100" s="18" t="s">
        <v>20</v>
      </c>
      <c r="H100" s="18" t="s">
        <v>20</v>
      </c>
      <c r="I100" s="18" t="s">
        <v>20</v>
      </c>
      <c r="J100" s="43" t="s">
        <v>20</v>
      </c>
      <c r="K100" s="43" t="s">
        <v>20</v>
      </c>
      <c r="L100" s="43" t="s">
        <v>20</v>
      </c>
      <c r="M100" s="18" t="s">
        <v>21</v>
      </c>
      <c r="N100" s="18" t="s">
        <v>20</v>
      </c>
      <c r="O100" s="18" t="s">
        <v>20</v>
      </c>
      <c r="P100" s="18" t="s">
        <v>20</v>
      </c>
      <c r="Q100" s="18" t="s">
        <v>20</v>
      </c>
      <c r="R100" s="18" t="s">
        <v>21</v>
      </c>
      <c r="S100" s="18" t="s">
        <v>21</v>
      </c>
      <c r="T100" s="18" t="s">
        <v>20</v>
      </c>
      <c r="U100" s="18" t="s">
        <v>20</v>
      </c>
      <c r="V100" s="37" t="s">
        <v>21</v>
      </c>
      <c r="W100" s="37" t="s">
        <v>21</v>
      </c>
      <c r="X100" s="37" t="s">
        <v>20</v>
      </c>
      <c r="Y100" s="18" t="s">
        <v>21</v>
      </c>
      <c r="Z100" s="18" t="s">
        <v>20</v>
      </c>
      <c r="AA100" s="20" t="s">
        <v>20</v>
      </c>
      <c r="AB100" s="20" t="s">
        <v>21</v>
      </c>
      <c r="AC100" s="20" t="s">
        <v>21</v>
      </c>
      <c r="AD100" s="37" t="s">
        <v>23</v>
      </c>
      <c r="AE100" s="37" t="s">
        <v>21</v>
      </c>
      <c r="AG100">
        <f>+COUNTIF(F100:AE100,"AD")</f>
        <v>0</v>
      </c>
      <c r="AH100">
        <f>+COUNTIF(F100:AE100,"A")</f>
        <v>16</v>
      </c>
      <c r="AI100">
        <f>+COUNTIF(F100:AE100,"b")</f>
        <v>9</v>
      </c>
      <c r="AJ100">
        <f>+COUNTIF(F100:AE100,"c")</f>
        <v>1</v>
      </c>
      <c r="AL100">
        <f>+$AG$5*AG100</f>
        <v>0</v>
      </c>
      <c r="AM100">
        <f>+$AH$5*AH100</f>
        <v>48</v>
      </c>
      <c r="AN100">
        <f>+$AI$5*AI100</f>
        <v>18</v>
      </c>
      <c r="AO100">
        <f>+$AJ$5*AJ100</f>
        <v>1</v>
      </c>
      <c r="AP100" s="73">
        <f>+SUM(AL100:AO100)</f>
        <v>67</v>
      </c>
    </row>
    <row r="101" spans="1:42" ht="15.75" customHeight="1" x14ac:dyDescent="0.3">
      <c r="A101" s="16"/>
      <c r="B101" s="55">
        <v>11</v>
      </c>
      <c r="C101" s="56" t="s">
        <v>116</v>
      </c>
      <c r="D101" s="55">
        <v>3</v>
      </c>
      <c r="E101" s="55" t="s">
        <v>20</v>
      </c>
      <c r="F101" s="18" t="s">
        <v>21</v>
      </c>
      <c r="G101" s="18" t="s">
        <v>21</v>
      </c>
      <c r="H101" s="18" t="s">
        <v>21</v>
      </c>
      <c r="I101" s="18" t="s">
        <v>21</v>
      </c>
      <c r="J101" s="43" t="s">
        <v>20</v>
      </c>
      <c r="K101" s="43" t="s">
        <v>20</v>
      </c>
      <c r="L101" s="43" t="s">
        <v>21</v>
      </c>
      <c r="M101" s="18" t="s">
        <v>20</v>
      </c>
      <c r="N101" s="18" t="s">
        <v>20</v>
      </c>
      <c r="O101" s="18" t="s">
        <v>21</v>
      </c>
      <c r="P101" s="18" t="s">
        <v>21</v>
      </c>
      <c r="Q101" s="18" t="s">
        <v>21</v>
      </c>
      <c r="R101" s="18" t="s">
        <v>21</v>
      </c>
      <c r="S101" s="18" t="s">
        <v>20</v>
      </c>
      <c r="T101" s="18" t="s">
        <v>20</v>
      </c>
      <c r="U101" s="18" t="s">
        <v>20</v>
      </c>
      <c r="V101" s="37" t="s">
        <v>20</v>
      </c>
      <c r="W101" s="37" t="s">
        <v>20</v>
      </c>
      <c r="X101" s="37" t="s">
        <v>20</v>
      </c>
      <c r="Y101" s="18" t="s">
        <v>21</v>
      </c>
      <c r="Z101" s="18" t="s">
        <v>21</v>
      </c>
      <c r="AA101" s="20" t="s">
        <v>21</v>
      </c>
      <c r="AB101" s="20" t="s">
        <v>21</v>
      </c>
      <c r="AC101" s="20" t="s">
        <v>20</v>
      </c>
      <c r="AD101" s="44" t="s">
        <v>21</v>
      </c>
      <c r="AE101" s="44" t="s">
        <v>21</v>
      </c>
      <c r="AG101">
        <f>+COUNTIF(F101:AE101,"AD")</f>
        <v>0</v>
      </c>
      <c r="AH101">
        <f>+COUNTIF(F101:AE101,"A")</f>
        <v>11</v>
      </c>
      <c r="AI101">
        <f>+COUNTIF(F101:AE101,"b")</f>
        <v>15</v>
      </c>
      <c r="AJ101">
        <f>+COUNTIF(F101:AE101,"c")</f>
        <v>0</v>
      </c>
      <c r="AL101">
        <f>+$AG$5*AG101</f>
        <v>0</v>
      </c>
      <c r="AM101">
        <f>+$AH$5*AH101</f>
        <v>33</v>
      </c>
      <c r="AN101">
        <f>+$AI$5*AI101</f>
        <v>30</v>
      </c>
      <c r="AO101">
        <f>+$AJ$5*AJ101</f>
        <v>0</v>
      </c>
      <c r="AP101" s="73">
        <f>+SUM(AL101:AO101)</f>
        <v>63</v>
      </c>
    </row>
    <row r="102" spans="1:42" ht="15.75" customHeight="1" x14ac:dyDescent="0.3">
      <c r="A102" s="16"/>
      <c r="B102" s="55">
        <v>12</v>
      </c>
      <c r="C102" s="56" t="s">
        <v>120</v>
      </c>
      <c r="D102" s="55">
        <v>3</v>
      </c>
      <c r="E102" s="55" t="s">
        <v>20</v>
      </c>
      <c r="F102" s="18" t="s">
        <v>21</v>
      </c>
      <c r="G102" s="18" t="s">
        <v>23</v>
      </c>
      <c r="H102" s="18" t="s">
        <v>23</v>
      </c>
      <c r="I102" s="18" t="s">
        <v>21</v>
      </c>
      <c r="J102" s="43" t="s">
        <v>21</v>
      </c>
      <c r="K102" s="43" t="s">
        <v>20</v>
      </c>
      <c r="L102" s="43" t="s">
        <v>21</v>
      </c>
      <c r="M102" s="18" t="s">
        <v>21</v>
      </c>
      <c r="N102" s="18" t="s">
        <v>21</v>
      </c>
      <c r="O102" s="18" t="s">
        <v>20</v>
      </c>
      <c r="P102" s="18" t="s">
        <v>21</v>
      </c>
      <c r="Q102" s="18" t="s">
        <v>21</v>
      </c>
      <c r="R102" s="18" t="s">
        <v>21</v>
      </c>
      <c r="S102" s="18" t="s">
        <v>21</v>
      </c>
      <c r="T102" s="18" t="s">
        <v>20</v>
      </c>
      <c r="U102" s="18" t="s">
        <v>21</v>
      </c>
      <c r="V102" s="37" t="s">
        <v>20</v>
      </c>
      <c r="W102" s="37" t="s">
        <v>21</v>
      </c>
      <c r="X102" s="37" t="s">
        <v>20</v>
      </c>
      <c r="Y102" s="18" t="s">
        <v>20</v>
      </c>
      <c r="Z102" s="18" t="s">
        <v>20</v>
      </c>
      <c r="AA102" s="20" t="s">
        <v>20</v>
      </c>
      <c r="AB102" s="20" t="s">
        <v>21</v>
      </c>
      <c r="AC102" s="20" t="s">
        <v>20</v>
      </c>
      <c r="AD102" s="37" t="s">
        <v>23</v>
      </c>
      <c r="AE102" s="37" t="s">
        <v>21</v>
      </c>
      <c r="AG102">
        <f>+COUNTIF(F102:AE102,"AD")</f>
        <v>0</v>
      </c>
      <c r="AH102">
        <f>+COUNTIF(F102:AE102,"A")</f>
        <v>9</v>
      </c>
      <c r="AI102">
        <f>+COUNTIF(F102:AE102,"b")</f>
        <v>14</v>
      </c>
      <c r="AJ102">
        <f>+COUNTIF(F102:AE102,"c")</f>
        <v>3</v>
      </c>
      <c r="AL102">
        <f>+$AG$5*AG102</f>
        <v>0</v>
      </c>
      <c r="AM102">
        <f>+$AH$5*AH102</f>
        <v>27</v>
      </c>
      <c r="AN102">
        <f>+$AI$5*AI102</f>
        <v>28</v>
      </c>
      <c r="AO102">
        <f>+$AJ$5*AJ102</f>
        <v>3</v>
      </c>
      <c r="AP102" s="73">
        <f>+SUM(AL102:AO102)</f>
        <v>58</v>
      </c>
    </row>
    <row r="103" spans="1:42" ht="15.75" customHeight="1" x14ac:dyDescent="0.3">
      <c r="A103" s="16"/>
      <c r="B103" s="55">
        <v>13</v>
      </c>
      <c r="C103" s="56" t="s">
        <v>119</v>
      </c>
      <c r="D103" s="55">
        <v>3</v>
      </c>
      <c r="E103" s="55" t="s">
        <v>20</v>
      </c>
      <c r="F103" s="18" t="s">
        <v>21</v>
      </c>
      <c r="G103" s="18" t="s">
        <v>21</v>
      </c>
      <c r="H103" s="18" t="s">
        <v>21</v>
      </c>
      <c r="I103" s="18" t="s">
        <v>21</v>
      </c>
      <c r="J103" s="43" t="s">
        <v>21</v>
      </c>
      <c r="K103" s="43" t="s">
        <v>21</v>
      </c>
      <c r="L103" s="43" t="s">
        <v>21</v>
      </c>
      <c r="M103" s="18" t="s">
        <v>21</v>
      </c>
      <c r="N103" s="18" t="s">
        <v>21</v>
      </c>
      <c r="O103" s="18" t="s">
        <v>21</v>
      </c>
      <c r="P103" s="18" t="s">
        <v>23</v>
      </c>
      <c r="Q103" s="18" t="s">
        <v>21</v>
      </c>
      <c r="R103" s="18" t="s">
        <v>21</v>
      </c>
      <c r="S103" s="18" t="s">
        <v>20</v>
      </c>
      <c r="T103" s="18" t="s">
        <v>20</v>
      </c>
      <c r="U103" s="18" t="s">
        <v>21</v>
      </c>
      <c r="V103" s="37" t="s">
        <v>20</v>
      </c>
      <c r="W103" s="37" t="s">
        <v>20</v>
      </c>
      <c r="X103" s="37" t="s">
        <v>20</v>
      </c>
      <c r="Y103" s="18" t="s">
        <v>21</v>
      </c>
      <c r="Z103" s="18" t="s">
        <v>21</v>
      </c>
      <c r="AA103" s="20" t="s">
        <v>21</v>
      </c>
      <c r="AB103" s="20" t="s">
        <v>21</v>
      </c>
      <c r="AC103" s="20" t="s">
        <v>21</v>
      </c>
      <c r="AD103" s="37" t="s">
        <v>23</v>
      </c>
      <c r="AE103" s="37" t="s">
        <v>21</v>
      </c>
      <c r="AG103">
        <f>+COUNTIF(F103:AE103,"AD")</f>
        <v>0</v>
      </c>
      <c r="AH103">
        <f>+COUNTIF(F103:AE103,"A")</f>
        <v>5</v>
      </c>
      <c r="AI103">
        <f>+COUNTIF(F103:AE103,"b")</f>
        <v>19</v>
      </c>
      <c r="AJ103">
        <f>+COUNTIF(F103:AE103,"c")</f>
        <v>2</v>
      </c>
      <c r="AL103">
        <f>+$AG$5*AG103</f>
        <v>0</v>
      </c>
      <c r="AM103">
        <f>+$AH$5*AH103</f>
        <v>15</v>
      </c>
      <c r="AN103">
        <f>+$AI$5*AI103</f>
        <v>38</v>
      </c>
      <c r="AO103">
        <f>+$AJ$5*AJ103</f>
        <v>2</v>
      </c>
      <c r="AP103" s="73">
        <f>+SUM(AL103:AO103)</f>
        <v>55</v>
      </c>
    </row>
    <row r="104" spans="1:42" ht="15.75" customHeight="1" x14ac:dyDescent="0.3">
      <c r="A104" s="16"/>
      <c r="B104" s="55">
        <v>14</v>
      </c>
      <c r="C104" s="56" t="s">
        <v>127</v>
      </c>
      <c r="D104" s="55">
        <v>3</v>
      </c>
      <c r="E104" s="55" t="s">
        <v>20</v>
      </c>
      <c r="F104" s="18" t="s">
        <v>21</v>
      </c>
      <c r="G104" s="18" t="s">
        <v>23</v>
      </c>
      <c r="H104" s="18" t="s">
        <v>23</v>
      </c>
      <c r="I104" s="18" t="s">
        <v>23</v>
      </c>
      <c r="J104" s="43" t="s">
        <v>21</v>
      </c>
      <c r="K104" s="43" t="s">
        <v>20</v>
      </c>
      <c r="L104" s="43" t="s">
        <v>21</v>
      </c>
      <c r="M104" s="18" t="s">
        <v>21</v>
      </c>
      <c r="N104" s="18" t="s">
        <v>21</v>
      </c>
      <c r="O104" s="18" t="s">
        <v>21</v>
      </c>
      <c r="P104" s="18" t="s">
        <v>21</v>
      </c>
      <c r="Q104" s="18" t="s">
        <v>21</v>
      </c>
      <c r="R104" s="18" t="s">
        <v>21</v>
      </c>
      <c r="S104" s="18" t="s">
        <v>20</v>
      </c>
      <c r="T104" s="18" t="s">
        <v>20</v>
      </c>
      <c r="U104" s="18" t="s">
        <v>20</v>
      </c>
      <c r="V104" s="37" t="s">
        <v>20</v>
      </c>
      <c r="W104" s="37" t="s">
        <v>21</v>
      </c>
      <c r="X104" s="37" t="s">
        <v>20</v>
      </c>
      <c r="Y104" s="18" t="s">
        <v>23</v>
      </c>
      <c r="Z104" s="18" t="s">
        <v>20</v>
      </c>
      <c r="AA104" s="20" t="s">
        <v>21</v>
      </c>
      <c r="AB104" s="20" t="s">
        <v>21</v>
      </c>
      <c r="AC104" s="20" t="s">
        <v>21</v>
      </c>
      <c r="AD104" s="37" t="s">
        <v>21</v>
      </c>
      <c r="AE104" s="37" t="s">
        <v>21</v>
      </c>
      <c r="AG104">
        <f>+COUNTIF(F104:AE104,"AD")</f>
        <v>0</v>
      </c>
      <c r="AH104">
        <f>+COUNTIF(F104:AE104,"A")</f>
        <v>7</v>
      </c>
      <c r="AI104">
        <f>+COUNTIF(F104:AE104,"b")</f>
        <v>15</v>
      </c>
      <c r="AJ104">
        <f>+COUNTIF(F104:AE104,"c")</f>
        <v>4</v>
      </c>
      <c r="AL104">
        <f>+$AG$5*AG104</f>
        <v>0</v>
      </c>
      <c r="AM104">
        <f>+$AH$5*AH104</f>
        <v>21</v>
      </c>
      <c r="AN104">
        <f>+$AI$5*AI104</f>
        <v>30</v>
      </c>
      <c r="AO104">
        <f>+$AJ$5*AJ104</f>
        <v>4</v>
      </c>
      <c r="AP104" s="73">
        <f>+SUM(AL104:AO104)</f>
        <v>55</v>
      </c>
    </row>
    <row r="105" spans="1:42" ht="15.75" customHeight="1" x14ac:dyDescent="0.3">
      <c r="A105" s="16"/>
      <c r="B105" s="55">
        <v>15</v>
      </c>
      <c r="C105" s="56" t="s">
        <v>118</v>
      </c>
      <c r="D105" s="55">
        <v>3</v>
      </c>
      <c r="E105" s="55" t="s">
        <v>20</v>
      </c>
      <c r="F105" s="18" t="s">
        <v>23</v>
      </c>
      <c r="G105" s="18" t="s">
        <v>23</v>
      </c>
      <c r="H105" s="18" t="s">
        <v>23</v>
      </c>
      <c r="I105" s="18" t="s">
        <v>23</v>
      </c>
      <c r="J105" s="43" t="s">
        <v>21</v>
      </c>
      <c r="K105" s="43" t="s">
        <v>21</v>
      </c>
      <c r="L105" s="43" t="s">
        <v>21</v>
      </c>
      <c r="M105" s="18" t="s">
        <v>21</v>
      </c>
      <c r="N105" s="18" t="s">
        <v>23</v>
      </c>
      <c r="O105" s="18" t="s">
        <v>21</v>
      </c>
      <c r="P105" s="18" t="s">
        <v>23</v>
      </c>
      <c r="Q105" s="18" t="s">
        <v>21</v>
      </c>
      <c r="R105" s="18" t="s">
        <v>21</v>
      </c>
      <c r="S105" s="18" t="s">
        <v>20</v>
      </c>
      <c r="T105" s="18" t="s">
        <v>20</v>
      </c>
      <c r="U105" s="18" t="s">
        <v>21</v>
      </c>
      <c r="V105" s="37" t="s">
        <v>20</v>
      </c>
      <c r="W105" s="37" t="s">
        <v>21</v>
      </c>
      <c r="X105" s="37" t="s">
        <v>20</v>
      </c>
      <c r="Y105" s="18" t="s">
        <v>20</v>
      </c>
      <c r="Z105" s="18" t="s">
        <v>20</v>
      </c>
      <c r="AA105" s="20" t="s">
        <v>21</v>
      </c>
      <c r="AB105" s="20" t="s">
        <v>21</v>
      </c>
      <c r="AC105" s="20" t="s">
        <v>21</v>
      </c>
      <c r="AD105" s="37" t="s">
        <v>21</v>
      </c>
      <c r="AE105" s="37" t="s">
        <v>21</v>
      </c>
      <c r="AG105">
        <f>+COUNTIF(F105:AE105,"AD")</f>
        <v>0</v>
      </c>
      <c r="AH105">
        <f>+COUNTIF(F105:AE105,"A")</f>
        <v>6</v>
      </c>
      <c r="AI105">
        <f>+COUNTIF(F105:AE105,"b")</f>
        <v>14</v>
      </c>
      <c r="AJ105">
        <f>+COUNTIF(F105:AE105,"c")</f>
        <v>6</v>
      </c>
      <c r="AL105">
        <f>+$AG$5*AG105</f>
        <v>0</v>
      </c>
      <c r="AM105">
        <f>+$AH$5*AH105</f>
        <v>18</v>
      </c>
      <c r="AN105">
        <f>+$AI$5*AI105</f>
        <v>28</v>
      </c>
      <c r="AO105">
        <f>+$AJ$5*AJ105</f>
        <v>6</v>
      </c>
      <c r="AP105" s="73">
        <f>+SUM(AL105:AO105)</f>
        <v>52</v>
      </c>
    </row>
    <row r="106" spans="1:42" ht="15.75" customHeight="1" x14ac:dyDescent="0.3">
      <c r="A106" s="16"/>
      <c r="B106" s="55">
        <v>16</v>
      </c>
      <c r="C106" s="56" t="s">
        <v>111</v>
      </c>
      <c r="D106" s="55">
        <v>3</v>
      </c>
      <c r="E106" s="55" t="s">
        <v>20</v>
      </c>
      <c r="F106" s="18" t="s">
        <v>23</v>
      </c>
      <c r="G106" s="18" t="s">
        <v>21</v>
      </c>
      <c r="H106" s="18" t="s">
        <v>23</v>
      </c>
      <c r="I106" s="18" t="s">
        <v>23</v>
      </c>
      <c r="J106" s="43" t="s">
        <v>21</v>
      </c>
      <c r="K106" s="43" t="s">
        <v>20</v>
      </c>
      <c r="L106" s="43" t="s">
        <v>21</v>
      </c>
      <c r="M106" s="18" t="s">
        <v>21</v>
      </c>
      <c r="N106" s="18" t="s">
        <v>21</v>
      </c>
      <c r="O106" s="18" t="s">
        <v>21</v>
      </c>
      <c r="P106" s="18" t="s">
        <v>23</v>
      </c>
      <c r="Q106" s="18" t="s">
        <v>21</v>
      </c>
      <c r="R106" s="18" t="s">
        <v>21</v>
      </c>
      <c r="S106" s="18" t="s">
        <v>21</v>
      </c>
      <c r="T106" s="18" t="s">
        <v>21</v>
      </c>
      <c r="U106" s="18" t="s">
        <v>20</v>
      </c>
      <c r="V106" s="37" t="s">
        <v>20</v>
      </c>
      <c r="W106" s="37" t="s">
        <v>21</v>
      </c>
      <c r="X106" s="37" t="s">
        <v>21</v>
      </c>
      <c r="Y106" s="18" t="s">
        <v>21</v>
      </c>
      <c r="Z106" s="18" t="s">
        <v>20</v>
      </c>
      <c r="AA106" s="20" t="s">
        <v>21</v>
      </c>
      <c r="AB106" s="20" t="s">
        <v>21</v>
      </c>
      <c r="AC106" s="20" t="s">
        <v>21</v>
      </c>
      <c r="AD106" s="37" t="s">
        <v>23</v>
      </c>
      <c r="AE106" s="37" t="s">
        <v>21</v>
      </c>
      <c r="AG106">
        <f>+COUNTIF(F106:AE106,"AD")</f>
        <v>0</v>
      </c>
      <c r="AH106">
        <f>+COUNTIF(F106:AE106,"A")</f>
        <v>4</v>
      </c>
      <c r="AI106">
        <f>+COUNTIF(F106:AE106,"b")</f>
        <v>17</v>
      </c>
      <c r="AJ106">
        <f>+COUNTIF(F106:AE106,"c")</f>
        <v>5</v>
      </c>
      <c r="AL106">
        <f>+$AG$5*AG106</f>
        <v>0</v>
      </c>
      <c r="AM106">
        <f>+$AH$5*AH106</f>
        <v>12</v>
      </c>
      <c r="AN106">
        <f>+$AI$5*AI106</f>
        <v>34</v>
      </c>
      <c r="AO106">
        <f>+$AJ$5*AJ106</f>
        <v>5</v>
      </c>
      <c r="AP106" s="73">
        <f>+SUM(AL106:AO106)</f>
        <v>51</v>
      </c>
    </row>
    <row r="107" spans="1:42" ht="15.75" customHeight="1" x14ac:dyDescent="0.3">
      <c r="A107" s="16"/>
      <c r="B107" s="55">
        <v>17</v>
      </c>
      <c r="C107" s="56" t="s">
        <v>115</v>
      </c>
      <c r="D107" s="55">
        <v>3</v>
      </c>
      <c r="E107" s="55" t="s">
        <v>20</v>
      </c>
      <c r="F107" s="18" t="s">
        <v>23</v>
      </c>
      <c r="G107" s="18" t="s">
        <v>23</v>
      </c>
      <c r="H107" s="18" t="s">
        <v>23</v>
      </c>
      <c r="I107" s="18" t="s">
        <v>23</v>
      </c>
      <c r="J107" s="43" t="s">
        <v>21</v>
      </c>
      <c r="K107" s="43" t="s">
        <v>21</v>
      </c>
      <c r="L107" s="43" t="s">
        <v>21</v>
      </c>
      <c r="M107" s="18" t="s">
        <v>20</v>
      </c>
      <c r="N107" s="18" t="s">
        <v>21</v>
      </c>
      <c r="O107" s="18" t="s">
        <v>21</v>
      </c>
      <c r="P107" s="18" t="s">
        <v>21</v>
      </c>
      <c r="Q107" s="18" t="s">
        <v>21</v>
      </c>
      <c r="R107" s="18" t="s">
        <v>21</v>
      </c>
      <c r="S107" s="18" t="s">
        <v>23</v>
      </c>
      <c r="T107" s="18" t="s">
        <v>23</v>
      </c>
      <c r="U107" s="18" t="s">
        <v>20</v>
      </c>
      <c r="V107" s="37" t="s">
        <v>20</v>
      </c>
      <c r="W107" s="37" t="s">
        <v>21</v>
      </c>
      <c r="X107" s="37" t="s">
        <v>21</v>
      </c>
      <c r="Y107" s="18" t="s">
        <v>23</v>
      </c>
      <c r="Z107" s="18" t="s">
        <v>21</v>
      </c>
      <c r="AA107" s="20" t="s">
        <v>21</v>
      </c>
      <c r="AB107" s="20" t="s">
        <v>20</v>
      </c>
      <c r="AC107" s="20" t="s">
        <v>21</v>
      </c>
      <c r="AD107" s="37" t="s">
        <v>23</v>
      </c>
      <c r="AE107" s="37" t="s">
        <v>21</v>
      </c>
      <c r="AG107">
        <f>+COUNTIF(F107:AE107,"AD")</f>
        <v>0</v>
      </c>
      <c r="AH107">
        <f>+COUNTIF(F107:AE107,"A")</f>
        <v>4</v>
      </c>
      <c r="AI107">
        <f>+COUNTIF(F107:AE107,"b")</f>
        <v>14</v>
      </c>
      <c r="AJ107">
        <f>+COUNTIF(F107:AE107,"c")</f>
        <v>8</v>
      </c>
      <c r="AL107">
        <f>+$AG$5*AG107</f>
        <v>0</v>
      </c>
      <c r="AM107">
        <f>+$AH$5*AH107</f>
        <v>12</v>
      </c>
      <c r="AN107">
        <f>+$AI$5*AI107</f>
        <v>28</v>
      </c>
      <c r="AO107">
        <f>+$AJ$5*AJ107</f>
        <v>8</v>
      </c>
      <c r="AP107" s="73">
        <f>+SUM(AL107:AO107)</f>
        <v>48</v>
      </c>
    </row>
    <row r="108" spans="1:42" ht="15.75" customHeight="1" x14ac:dyDescent="0.3">
      <c r="A108" s="16"/>
      <c r="B108" s="55">
        <v>18</v>
      </c>
      <c r="C108" s="56" t="s">
        <v>113</v>
      </c>
      <c r="D108" s="55">
        <v>3</v>
      </c>
      <c r="E108" s="55" t="s">
        <v>20</v>
      </c>
      <c r="F108" s="18" t="s">
        <v>23</v>
      </c>
      <c r="G108" s="18" t="s">
        <v>23</v>
      </c>
      <c r="H108" s="18" t="s">
        <v>23</v>
      </c>
      <c r="I108" s="18" t="s">
        <v>23</v>
      </c>
      <c r="J108" s="43" t="s">
        <v>21</v>
      </c>
      <c r="K108" s="43" t="s">
        <v>21</v>
      </c>
      <c r="L108" s="43" t="s">
        <v>21</v>
      </c>
      <c r="M108" s="18" t="s">
        <v>21</v>
      </c>
      <c r="N108" s="18" t="s">
        <v>23</v>
      </c>
      <c r="O108" s="18" t="s">
        <v>23</v>
      </c>
      <c r="P108" s="18" t="s">
        <v>23</v>
      </c>
      <c r="Q108" s="18" t="s">
        <v>23</v>
      </c>
      <c r="R108" s="18" t="s">
        <v>21</v>
      </c>
      <c r="S108" s="18" t="s">
        <v>23</v>
      </c>
      <c r="T108" s="18" t="s">
        <v>23</v>
      </c>
      <c r="U108" s="18" t="s">
        <v>21</v>
      </c>
      <c r="V108" s="37" t="s">
        <v>21</v>
      </c>
      <c r="W108" s="37" t="s">
        <v>21</v>
      </c>
      <c r="X108" s="37" t="s">
        <v>21</v>
      </c>
      <c r="Y108" s="18" t="s">
        <v>23</v>
      </c>
      <c r="Z108" s="18" t="s">
        <v>21</v>
      </c>
      <c r="AA108" s="20" t="s">
        <v>21</v>
      </c>
      <c r="AB108" s="20" t="s">
        <v>21</v>
      </c>
      <c r="AC108" s="20" t="s">
        <v>21</v>
      </c>
      <c r="AD108" s="37" t="s">
        <v>23</v>
      </c>
      <c r="AE108" s="37" t="s">
        <v>21</v>
      </c>
      <c r="AG108">
        <f>+COUNTIF(F108:AE108,"AD")</f>
        <v>0</v>
      </c>
      <c r="AH108">
        <f>+COUNTIF(F108:AE108,"A")</f>
        <v>0</v>
      </c>
      <c r="AI108">
        <f>+COUNTIF(F108:AE108,"b")</f>
        <v>14</v>
      </c>
      <c r="AJ108">
        <f>+COUNTIF(F108:AE108,"c")</f>
        <v>12</v>
      </c>
      <c r="AL108">
        <f>+$AG$5*AG108</f>
        <v>0</v>
      </c>
      <c r="AM108">
        <f>+$AH$5*AH108</f>
        <v>0</v>
      </c>
      <c r="AN108">
        <f>+$AI$5*AI108</f>
        <v>28</v>
      </c>
      <c r="AO108">
        <f>+$AJ$5*AJ108</f>
        <v>12</v>
      </c>
      <c r="AP108" s="73">
        <f>+SUM(AL108:AO108)</f>
        <v>40</v>
      </c>
    </row>
    <row r="109" spans="1:42" ht="15.75" customHeight="1" thickBot="1" x14ac:dyDescent="0.35">
      <c r="A109" s="16"/>
      <c r="B109" s="55">
        <v>19</v>
      </c>
      <c r="C109" s="58" t="s">
        <v>122</v>
      </c>
      <c r="D109" s="57">
        <v>3</v>
      </c>
      <c r="E109" s="57" t="s">
        <v>20</v>
      </c>
      <c r="F109" s="21" t="s">
        <v>23</v>
      </c>
      <c r="G109" s="21" t="s">
        <v>23</v>
      </c>
      <c r="H109" s="21" t="s">
        <v>23</v>
      </c>
      <c r="I109" s="21" t="s">
        <v>23</v>
      </c>
      <c r="J109" s="45" t="s">
        <v>21</v>
      </c>
      <c r="K109" s="45" t="s">
        <v>23</v>
      </c>
      <c r="L109" s="45" t="s">
        <v>21</v>
      </c>
      <c r="M109" s="21" t="s">
        <v>21</v>
      </c>
      <c r="N109" s="21" t="s">
        <v>23</v>
      </c>
      <c r="O109" s="21" t="s">
        <v>23</v>
      </c>
      <c r="P109" s="21" t="s">
        <v>23</v>
      </c>
      <c r="Q109" s="21" t="s">
        <v>21</v>
      </c>
      <c r="R109" s="21" t="s">
        <v>23</v>
      </c>
      <c r="S109" s="21" t="s">
        <v>23</v>
      </c>
      <c r="T109" s="21" t="s">
        <v>23</v>
      </c>
      <c r="U109" s="21" t="s">
        <v>21</v>
      </c>
      <c r="V109" s="38" t="s">
        <v>20</v>
      </c>
      <c r="W109" s="38" t="s">
        <v>21</v>
      </c>
      <c r="X109" s="38" t="s">
        <v>20</v>
      </c>
      <c r="Y109" s="21" t="s">
        <v>21</v>
      </c>
      <c r="Z109" s="21" t="s">
        <v>23</v>
      </c>
      <c r="AA109" s="23" t="s">
        <v>23</v>
      </c>
      <c r="AB109" s="23" t="s">
        <v>23</v>
      </c>
      <c r="AC109" s="23" t="s">
        <v>21</v>
      </c>
      <c r="AD109" s="38" t="s">
        <v>21</v>
      </c>
      <c r="AE109" s="38" t="s">
        <v>21</v>
      </c>
      <c r="AG109">
        <f>+COUNTIF(F109:AE109,"AD")</f>
        <v>0</v>
      </c>
      <c r="AH109">
        <f>+COUNTIF(F109:AE109,"A")</f>
        <v>2</v>
      </c>
      <c r="AI109">
        <f>+COUNTIF(F109:AE109,"b")</f>
        <v>10</v>
      </c>
      <c r="AJ109">
        <f>+COUNTIF(F109:AE109,"c")</f>
        <v>14</v>
      </c>
      <c r="AL109">
        <f>+$AG$5*AG109</f>
        <v>0</v>
      </c>
      <c r="AM109">
        <f>+$AH$5*AH109</f>
        <v>6</v>
      </c>
      <c r="AN109">
        <f>+$AI$5*AI109</f>
        <v>20</v>
      </c>
      <c r="AO109">
        <f>+$AJ$5*AJ109</f>
        <v>14</v>
      </c>
      <c r="AP109" s="73">
        <f>+SUM(AL109:AO109)</f>
        <v>40</v>
      </c>
    </row>
    <row r="110" spans="1:42" ht="15.75" hidden="1" customHeight="1" x14ac:dyDescent="0.35">
      <c r="A110" s="16"/>
      <c r="B110" s="57">
        <v>20</v>
      </c>
      <c r="C110" s="60" t="s">
        <v>128</v>
      </c>
      <c r="D110" s="59">
        <v>3</v>
      </c>
      <c r="E110" s="59" t="s">
        <v>21</v>
      </c>
      <c r="F110" s="24" t="s">
        <v>21</v>
      </c>
      <c r="G110" s="24" t="s">
        <v>20</v>
      </c>
      <c r="H110" s="24" t="s">
        <v>20</v>
      </c>
      <c r="I110" s="24" t="s">
        <v>20</v>
      </c>
      <c r="J110" s="27" t="s">
        <v>20</v>
      </c>
      <c r="K110" s="27" t="s">
        <v>20</v>
      </c>
      <c r="L110" s="27" t="s">
        <v>21</v>
      </c>
      <c r="M110" s="24" t="s">
        <v>20</v>
      </c>
      <c r="N110" s="24" t="s">
        <v>20</v>
      </c>
      <c r="O110" s="24" t="s">
        <v>20</v>
      </c>
      <c r="P110" s="24" t="s">
        <v>21</v>
      </c>
      <c r="Q110" s="24" t="s">
        <v>21</v>
      </c>
      <c r="R110" s="24" t="s">
        <v>20</v>
      </c>
      <c r="S110" s="24" t="s">
        <v>20</v>
      </c>
      <c r="T110" s="24" t="s">
        <v>20</v>
      </c>
      <c r="U110" s="24" t="s">
        <v>20</v>
      </c>
      <c r="V110" s="39" t="s">
        <v>21</v>
      </c>
      <c r="W110" s="39" t="s">
        <v>20</v>
      </c>
      <c r="X110" s="39" t="s">
        <v>20</v>
      </c>
      <c r="Y110" s="24" t="s">
        <v>20</v>
      </c>
      <c r="Z110" s="24" t="s">
        <v>20</v>
      </c>
      <c r="AA110" s="27" t="s">
        <v>21</v>
      </c>
      <c r="AB110" s="27" t="s">
        <v>21</v>
      </c>
      <c r="AC110" s="27" t="s">
        <v>21</v>
      </c>
      <c r="AD110" s="39" t="s">
        <v>21</v>
      </c>
      <c r="AE110" s="39" t="s">
        <v>21</v>
      </c>
      <c r="AG110">
        <f t="shared" ref="AG91:AG154" si="9">+COUNTIF(F110:AE110,"AD")</f>
        <v>0</v>
      </c>
      <c r="AH110">
        <f t="shared" ref="AH91:AH154" si="10">+COUNTIF(F110:AE110,"A")</f>
        <v>16</v>
      </c>
      <c r="AI110">
        <f t="shared" ref="AI91:AI154" si="11">+COUNTIF(F110:AE110,"b")</f>
        <v>10</v>
      </c>
      <c r="AJ110">
        <f t="shared" ref="AJ91:AJ154" si="12">+COUNTIF(F110:AE110,"c")</f>
        <v>0</v>
      </c>
      <c r="AL110">
        <f t="shared" ref="AL91:AL154" si="13">+$AG$5*AG110</f>
        <v>0</v>
      </c>
      <c r="AM110">
        <f t="shared" ref="AM91:AM154" si="14">+$AH$5*AH110</f>
        <v>48</v>
      </c>
      <c r="AN110">
        <f t="shared" ref="AN91:AN154" si="15">+$AI$5*AI110</f>
        <v>20</v>
      </c>
      <c r="AO110">
        <f t="shared" ref="AO91:AO154" si="16">+$AJ$5*AJ110</f>
        <v>0</v>
      </c>
      <c r="AP110">
        <f t="shared" ref="AP91:AP154" si="17">+SUM(AL110:AO110)</f>
        <v>68</v>
      </c>
    </row>
    <row r="111" spans="1:42" ht="15.75" hidden="1" customHeight="1" x14ac:dyDescent="0.3">
      <c r="A111" s="16"/>
      <c r="B111" s="55">
        <v>21</v>
      </c>
      <c r="C111" s="56" t="s">
        <v>129</v>
      </c>
      <c r="D111" s="55">
        <v>3</v>
      </c>
      <c r="E111" s="55" t="s">
        <v>21</v>
      </c>
      <c r="F111" s="18" t="s">
        <v>21</v>
      </c>
      <c r="G111" s="18" t="s">
        <v>20</v>
      </c>
      <c r="H111" s="18" t="s">
        <v>20</v>
      </c>
      <c r="I111" s="18" t="s">
        <v>20</v>
      </c>
      <c r="J111" s="20" t="s">
        <v>20</v>
      </c>
      <c r="K111" s="20" t="s">
        <v>20</v>
      </c>
      <c r="L111" s="20" t="s">
        <v>21</v>
      </c>
      <c r="M111" s="18" t="s">
        <v>20</v>
      </c>
      <c r="N111" s="18" t="s">
        <v>20</v>
      </c>
      <c r="O111" s="18" t="s">
        <v>20</v>
      </c>
      <c r="P111" s="18" t="s">
        <v>21</v>
      </c>
      <c r="Q111" s="18" t="s">
        <v>20</v>
      </c>
      <c r="R111" s="18" t="s">
        <v>20</v>
      </c>
      <c r="S111" s="18" t="s">
        <v>21</v>
      </c>
      <c r="T111" s="18" t="s">
        <v>20</v>
      </c>
      <c r="U111" s="18" t="s">
        <v>20</v>
      </c>
      <c r="V111" s="37" t="s">
        <v>21</v>
      </c>
      <c r="W111" s="37" t="s">
        <v>20</v>
      </c>
      <c r="X111" s="37" t="s">
        <v>20</v>
      </c>
      <c r="Y111" s="18" t="s">
        <v>21</v>
      </c>
      <c r="Z111" s="18" t="s">
        <v>20</v>
      </c>
      <c r="AA111" s="20" t="s">
        <v>20</v>
      </c>
      <c r="AB111" s="20" t="s">
        <v>20</v>
      </c>
      <c r="AC111" s="20" t="s">
        <v>20</v>
      </c>
      <c r="AD111" s="37" t="s">
        <v>21</v>
      </c>
      <c r="AE111" s="37" t="s">
        <v>21</v>
      </c>
      <c r="AG111">
        <f t="shared" si="9"/>
        <v>0</v>
      </c>
      <c r="AH111">
        <f t="shared" si="10"/>
        <v>18</v>
      </c>
      <c r="AI111">
        <f t="shared" si="11"/>
        <v>8</v>
      </c>
      <c r="AJ111">
        <f t="shared" si="12"/>
        <v>0</v>
      </c>
      <c r="AL111">
        <f t="shared" si="13"/>
        <v>0</v>
      </c>
      <c r="AM111">
        <f t="shared" si="14"/>
        <v>54</v>
      </c>
      <c r="AN111">
        <f t="shared" si="15"/>
        <v>16</v>
      </c>
      <c r="AO111">
        <f t="shared" si="16"/>
        <v>0</v>
      </c>
      <c r="AP111">
        <f t="shared" si="17"/>
        <v>70</v>
      </c>
    </row>
    <row r="112" spans="1:42" ht="15.75" hidden="1" customHeight="1" x14ac:dyDescent="0.3">
      <c r="A112" s="16"/>
      <c r="B112" s="55">
        <v>22</v>
      </c>
      <c r="C112" s="56" t="s">
        <v>130</v>
      </c>
      <c r="D112" s="55">
        <v>3</v>
      </c>
      <c r="E112" s="55" t="s">
        <v>21</v>
      </c>
      <c r="F112" s="18" t="s">
        <v>20</v>
      </c>
      <c r="G112" s="18" t="s">
        <v>20</v>
      </c>
      <c r="H112" s="18" t="s">
        <v>20</v>
      </c>
      <c r="I112" s="18" t="s">
        <v>20</v>
      </c>
      <c r="J112" s="20" t="s">
        <v>20</v>
      </c>
      <c r="K112" s="20" t="s">
        <v>20</v>
      </c>
      <c r="L112" s="20" t="s">
        <v>21</v>
      </c>
      <c r="M112" s="18" t="s">
        <v>20</v>
      </c>
      <c r="N112" s="18" t="s">
        <v>20</v>
      </c>
      <c r="O112" s="18" t="s">
        <v>21</v>
      </c>
      <c r="P112" s="18" t="s">
        <v>20</v>
      </c>
      <c r="Q112" s="18" t="s">
        <v>20</v>
      </c>
      <c r="R112" s="18" t="s">
        <v>20</v>
      </c>
      <c r="S112" s="18" t="s">
        <v>20</v>
      </c>
      <c r="T112" s="18" t="s">
        <v>20</v>
      </c>
      <c r="U112" s="18" t="s">
        <v>20</v>
      </c>
      <c r="V112" s="37" t="s">
        <v>20</v>
      </c>
      <c r="W112" s="37" t="s">
        <v>20</v>
      </c>
      <c r="X112" s="37" t="s">
        <v>20</v>
      </c>
      <c r="Y112" s="18" t="s">
        <v>20</v>
      </c>
      <c r="Z112" s="18" t="s">
        <v>20</v>
      </c>
      <c r="AA112" s="20" t="s">
        <v>20</v>
      </c>
      <c r="AB112" s="20" t="s">
        <v>20</v>
      </c>
      <c r="AC112" s="20" t="s">
        <v>20</v>
      </c>
      <c r="AD112" s="37" t="s">
        <v>20</v>
      </c>
      <c r="AE112" s="37" t="s">
        <v>21</v>
      </c>
      <c r="AG112">
        <f t="shared" si="9"/>
        <v>0</v>
      </c>
      <c r="AH112">
        <f t="shared" si="10"/>
        <v>23</v>
      </c>
      <c r="AI112">
        <f t="shared" si="11"/>
        <v>3</v>
      </c>
      <c r="AJ112">
        <f t="shared" si="12"/>
        <v>0</v>
      </c>
      <c r="AL112">
        <f t="shared" si="13"/>
        <v>0</v>
      </c>
      <c r="AM112">
        <f t="shared" si="14"/>
        <v>69</v>
      </c>
      <c r="AN112">
        <f t="shared" si="15"/>
        <v>6</v>
      </c>
      <c r="AO112">
        <f t="shared" si="16"/>
        <v>0</v>
      </c>
      <c r="AP112">
        <f t="shared" si="17"/>
        <v>75</v>
      </c>
    </row>
    <row r="113" spans="1:42" ht="15.75" hidden="1" customHeight="1" x14ac:dyDescent="0.35">
      <c r="A113" s="16"/>
      <c r="B113" s="57">
        <v>23</v>
      </c>
      <c r="C113" s="56" t="s">
        <v>131</v>
      </c>
      <c r="D113" s="55">
        <v>3</v>
      </c>
      <c r="E113" s="55" t="s">
        <v>21</v>
      </c>
      <c r="F113" s="18" t="s">
        <v>21</v>
      </c>
      <c r="G113" s="18" t="s">
        <v>21</v>
      </c>
      <c r="H113" s="18" t="s">
        <v>21</v>
      </c>
      <c r="I113" s="18" t="s">
        <v>20</v>
      </c>
      <c r="J113" s="20" t="s">
        <v>20</v>
      </c>
      <c r="K113" s="20" t="s">
        <v>20</v>
      </c>
      <c r="L113" s="20" t="s">
        <v>20</v>
      </c>
      <c r="M113" s="18" t="s">
        <v>20</v>
      </c>
      <c r="N113" s="18" t="s">
        <v>20</v>
      </c>
      <c r="O113" s="18" t="s">
        <v>20</v>
      </c>
      <c r="P113" s="18" t="s">
        <v>20</v>
      </c>
      <c r="Q113" s="18" t="s">
        <v>21</v>
      </c>
      <c r="R113" s="18" t="s">
        <v>20</v>
      </c>
      <c r="S113" s="18" t="s">
        <v>20</v>
      </c>
      <c r="T113" s="18" t="s">
        <v>20</v>
      </c>
      <c r="U113" s="18" t="s">
        <v>20</v>
      </c>
      <c r="V113" s="37" t="s">
        <v>21</v>
      </c>
      <c r="W113" s="37" t="s">
        <v>20</v>
      </c>
      <c r="X113" s="37" t="s">
        <v>21</v>
      </c>
      <c r="Y113" s="18" t="s">
        <v>20</v>
      </c>
      <c r="Z113" s="18" t="s">
        <v>20</v>
      </c>
      <c r="AA113" s="20" t="s">
        <v>21</v>
      </c>
      <c r="AB113" s="20" t="s">
        <v>21</v>
      </c>
      <c r="AC113" s="20" t="s">
        <v>21</v>
      </c>
      <c r="AD113" s="37" t="s">
        <v>23</v>
      </c>
      <c r="AE113" s="37" t="s">
        <v>21</v>
      </c>
      <c r="AG113">
        <f t="shared" si="9"/>
        <v>0</v>
      </c>
      <c r="AH113">
        <f t="shared" si="10"/>
        <v>15</v>
      </c>
      <c r="AI113">
        <f t="shared" si="11"/>
        <v>10</v>
      </c>
      <c r="AJ113">
        <f t="shared" si="12"/>
        <v>1</v>
      </c>
      <c r="AL113">
        <f t="shared" si="13"/>
        <v>0</v>
      </c>
      <c r="AM113">
        <f t="shared" si="14"/>
        <v>45</v>
      </c>
      <c r="AN113">
        <f t="shared" si="15"/>
        <v>20</v>
      </c>
      <c r="AO113">
        <f t="shared" si="16"/>
        <v>1</v>
      </c>
      <c r="AP113">
        <f t="shared" si="17"/>
        <v>66</v>
      </c>
    </row>
    <row r="114" spans="1:42" ht="15.75" hidden="1" customHeight="1" x14ac:dyDescent="0.3">
      <c r="A114" s="16"/>
      <c r="B114" s="55">
        <v>5</v>
      </c>
      <c r="C114" s="56" t="s">
        <v>132</v>
      </c>
      <c r="D114" s="55">
        <v>3</v>
      </c>
      <c r="E114" s="55" t="s">
        <v>21</v>
      </c>
      <c r="F114" s="18" t="s">
        <v>21</v>
      </c>
      <c r="G114" s="18" t="s">
        <v>20</v>
      </c>
      <c r="H114" s="18" t="s">
        <v>21</v>
      </c>
      <c r="I114" s="18" t="s">
        <v>20</v>
      </c>
      <c r="J114" s="20" t="s">
        <v>39</v>
      </c>
      <c r="K114" s="20" t="s">
        <v>39</v>
      </c>
      <c r="L114" s="20" t="s">
        <v>20</v>
      </c>
      <c r="M114" s="18" t="s">
        <v>20</v>
      </c>
      <c r="N114" s="18" t="s">
        <v>20</v>
      </c>
      <c r="O114" s="18" t="s">
        <v>20</v>
      </c>
      <c r="P114" s="18" t="s">
        <v>21</v>
      </c>
      <c r="Q114" s="18" t="s">
        <v>20</v>
      </c>
      <c r="R114" s="18" t="s">
        <v>20</v>
      </c>
      <c r="S114" s="18" t="s">
        <v>20</v>
      </c>
      <c r="T114" s="18" t="s">
        <v>20</v>
      </c>
      <c r="U114" s="18" t="s">
        <v>20</v>
      </c>
      <c r="V114" s="37" t="s">
        <v>20</v>
      </c>
      <c r="W114" s="37" t="s">
        <v>20</v>
      </c>
      <c r="X114" s="37" t="s">
        <v>20</v>
      </c>
      <c r="Y114" s="18" t="s">
        <v>20</v>
      </c>
      <c r="Z114" s="18" t="s">
        <v>20</v>
      </c>
      <c r="AA114" s="20" t="s">
        <v>20</v>
      </c>
      <c r="AB114" s="20" t="s">
        <v>20</v>
      </c>
      <c r="AC114" s="20" t="s">
        <v>20</v>
      </c>
      <c r="AD114" s="29" t="s">
        <v>23</v>
      </c>
      <c r="AE114" s="29" t="s">
        <v>21</v>
      </c>
      <c r="AG114">
        <f t="shared" si="9"/>
        <v>2</v>
      </c>
      <c r="AH114">
        <f t="shared" si="10"/>
        <v>19</v>
      </c>
      <c r="AI114">
        <f t="shared" si="11"/>
        <v>4</v>
      </c>
      <c r="AJ114">
        <f t="shared" si="12"/>
        <v>1</v>
      </c>
      <c r="AL114">
        <f t="shared" si="13"/>
        <v>8</v>
      </c>
      <c r="AM114">
        <f t="shared" si="14"/>
        <v>57</v>
      </c>
      <c r="AN114">
        <f t="shared" si="15"/>
        <v>8</v>
      </c>
      <c r="AO114">
        <f t="shared" si="16"/>
        <v>1</v>
      </c>
      <c r="AP114">
        <f t="shared" si="17"/>
        <v>74</v>
      </c>
    </row>
    <row r="115" spans="1:42" ht="15.75" hidden="1" customHeight="1" x14ac:dyDescent="0.3">
      <c r="A115" s="16"/>
      <c r="B115" s="55">
        <v>6</v>
      </c>
      <c r="C115" s="56" t="s">
        <v>133</v>
      </c>
      <c r="D115" s="55">
        <v>3</v>
      </c>
      <c r="E115" s="55" t="s">
        <v>21</v>
      </c>
      <c r="F115" s="18" t="s">
        <v>20</v>
      </c>
      <c r="G115" s="18" t="s">
        <v>20</v>
      </c>
      <c r="H115" s="18" t="s">
        <v>20</v>
      </c>
      <c r="I115" s="18" t="s">
        <v>20</v>
      </c>
      <c r="J115" s="20" t="s">
        <v>20</v>
      </c>
      <c r="K115" s="20" t="s">
        <v>20</v>
      </c>
      <c r="L115" s="20" t="s">
        <v>20</v>
      </c>
      <c r="M115" s="18" t="s">
        <v>20</v>
      </c>
      <c r="N115" s="18" t="s">
        <v>20</v>
      </c>
      <c r="O115" s="18" t="s">
        <v>20</v>
      </c>
      <c r="P115" s="18" t="s">
        <v>21</v>
      </c>
      <c r="Q115" s="18" t="s">
        <v>20</v>
      </c>
      <c r="R115" s="18" t="s">
        <v>20</v>
      </c>
      <c r="S115" s="18" t="s">
        <v>20</v>
      </c>
      <c r="T115" s="18" t="s">
        <v>20</v>
      </c>
      <c r="U115" s="18" t="s">
        <v>20</v>
      </c>
      <c r="V115" s="37" t="s">
        <v>20</v>
      </c>
      <c r="W115" s="37" t="s">
        <v>20</v>
      </c>
      <c r="X115" s="37" t="s">
        <v>21</v>
      </c>
      <c r="Y115" s="18" t="s">
        <v>20</v>
      </c>
      <c r="Z115" s="18" t="s">
        <v>20</v>
      </c>
      <c r="AA115" s="20" t="s">
        <v>20</v>
      </c>
      <c r="AB115" s="20" t="s">
        <v>20</v>
      </c>
      <c r="AC115" s="20" t="s">
        <v>20</v>
      </c>
      <c r="AD115" s="29" t="s">
        <v>20</v>
      </c>
      <c r="AE115" s="29" t="s">
        <v>21</v>
      </c>
      <c r="AG115">
        <f t="shared" si="9"/>
        <v>0</v>
      </c>
      <c r="AH115">
        <f t="shared" si="10"/>
        <v>23</v>
      </c>
      <c r="AI115">
        <f t="shared" si="11"/>
        <v>3</v>
      </c>
      <c r="AJ115">
        <f t="shared" si="12"/>
        <v>0</v>
      </c>
      <c r="AL115">
        <f t="shared" si="13"/>
        <v>0</v>
      </c>
      <c r="AM115">
        <f t="shared" si="14"/>
        <v>69</v>
      </c>
      <c r="AN115">
        <f t="shared" si="15"/>
        <v>6</v>
      </c>
      <c r="AO115">
        <f t="shared" si="16"/>
        <v>0</v>
      </c>
      <c r="AP115">
        <f t="shared" si="17"/>
        <v>75</v>
      </c>
    </row>
    <row r="116" spans="1:42" ht="15.75" hidden="1" customHeight="1" x14ac:dyDescent="0.3">
      <c r="A116" s="16"/>
      <c r="B116" s="55">
        <v>7</v>
      </c>
      <c r="C116" s="56" t="s">
        <v>134</v>
      </c>
      <c r="D116" s="55">
        <v>3</v>
      </c>
      <c r="E116" s="55" t="s">
        <v>21</v>
      </c>
      <c r="F116" s="18" t="s">
        <v>23</v>
      </c>
      <c r="G116" s="18" t="s">
        <v>21</v>
      </c>
      <c r="H116" s="18" t="s">
        <v>23</v>
      </c>
      <c r="I116" s="18" t="s">
        <v>21</v>
      </c>
      <c r="J116" s="20" t="s">
        <v>21</v>
      </c>
      <c r="K116" s="20" t="s">
        <v>21</v>
      </c>
      <c r="L116" s="20" t="s">
        <v>21</v>
      </c>
      <c r="M116" s="18" t="s">
        <v>20</v>
      </c>
      <c r="N116" s="18" t="s">
        <v>20</v>
      </c>
      <c r="O116" s="18" t="s">
        <v>21</v>
      </c>
      <c r="P116" s="18" t="s">
        <v>21</v>
      </c>
      <c r="Q116" s="18" t="s">
        <v>23</v>
      </c>
      <c r="R116" s="18" t="s">
        <v>21</v>
      </c>
      <c r="S116" s="18" t="s">
        <v>20</v>
      </c>
      <c r="T116" s="18" t="s">
        <v>21</v>
      </c>
      <c r="U116" s="18" t="s">
        <v>20</v>
      </c>
      <c r="V116" s="37" t="s">
        <v>21</v>
      </c>
      <c r="W116" s="37" t="s">
        <v>21</v>
      </c>
      <c r="X116" s="37" t="s">
        <v>21</v>
      </c>
      <c r="Y116" s="18" t="s">
        <v>20</v>
      </c>
      <c r="Z116" s="18" t="s">
        <v>20</v>
      </c>
      <c r="AA116" s="20" t="s">
        <v>21</v>
      </c>
      <c r="AB116" s="20" t="s">
        <v>21</v>
      </c>
      <c r="AC116" s="20" t="s">
        <v>21</v>
      </c>
      <c r="AD116" s="29" t="s">
        <v>21</v>
      </c>
      <c r="AE116" s="29" t="s">
        <v>21</v>
      </c>
      <c r="AG116">
        <f t="shared" si="9"/>
        <v>0</v>
      </c>
      <c r="AH116">
        <f t="shared" si="10"/>
        <v>6</v>
      </c>
      <c r="AI116">
        <f t="shared" si="11"/>
        <v>17</v>
      </c>
      <c r="AJ116">
        <f t="shared" si="12"/>
        <v>3</v>
      </c>
      <c r="AL116">
        <f t="shared" si="13"/>
        <v>0</v>
      </c>
      <c r="AM116">
        <f t="shared" si="14"/>
        <v>18</v>
      </c>
      <c r="AN116">
        <f t="shared" si="15"/>
        <v>34</v>
      </c>
      <c r="AO116">
        <f t="shared" si="16"/>
        <v>3</v>
      </c>
      <c r="AP116">
        <f t="shared" si="17"/>
        <v>55</v>
      </c>
    </row>
    <row r="117" spans="1:42" ht="15.75" hidden="1" customHeight="1" x14ac:dyDescent="0.3">
      <c r="A117" s="16"/>
      <c r="B117" s="55">
        <v>8</v>
      </c>
      <c r="C117" s="56" t="s">
        <v>135</v>
      </c>
      <c r="D117" s="55">
        <v>3</v>
      </c>
      <c r="E117" s="55" t="s">
        <v>21</v>
      </c>
      <c r="F117" s="18" t="s">
        <v>21</v>
      </c>
      <c r="G117" s="18" t="s">
        <v>23</v>
      </c>
      <c r="H117" s="18" t="s">
        <v>21</v>
      </c>
      <c r="I117" s="18" t="s">
        <v>21</v>
      </c>
      <c r="J117" s="20" t="s">
        <v>20</v>
      </c>
      <c r="K117" s="20" t="s">
        <v>20</v>
      </c>
      <c r="L117" s="20" t="s">
        <v>21</v>
      </c>
      <c r="M117" s="18" t="s">
        <v>20</v>
      </c>
      <c r="N117" s="18" t="s">
        <v>21</v>
      </c>
      <c r="O117" s="18" t="s">
        <v>20</v>
      </c>
      <c r="P117" s="18" t="s">
        <v>21</v>
      </c>
      <c r="Q117" s="18" t="s">
        <v>21</v>
      </c>
      <c r="R117" s="18" t="s">
        <v>21</v>
      </c>
      <c r="S117" s="18" t="s">
        <v>20</v>
      </c>
      <c r="T117" s="18" t="s">
        <v>20</v>
      </c>
      <c r="U117" s="18" t="s">
        <v>20</v>
      </c>
      <c r="V117" s="37" t="s">
        <v>20</v>
      </c>
      <c r="W117" s="37" t="s">
        <v>21</v>
      </c>
      <c r="X117" s="37" t="s">
        <v>20</v>
      </c>
      <c r="Y117" s="18" t="s">
        <v>20</v>
      </c>
      <c r="Z117" s="18" t="s">
        <v>20</v>
      </c>
      <c r="AA117" s="20" t="s">
        <v>23</v>
      </c>
      <c r="AB117" s="20" t="s">
        <v>23</v>
      </c>
      <c r="AC117" s="20" t="s">
        <v>21</v>
      </c>
      <c r="AD117" s="29" t="s">
        <v>21</v>
      </c>
      <c r="AE117" s="29" t="s">
        <v>21</v>
      </c>
      <c r="AG117">
        <f t="shared" si="9"/>
        <v>0</v>
      </c>
      <c r="AH117">
        <f t="shared" si="10"/>
        <v>11</v>
      </c>
      <c r="AI117">
        <f t="shared" si="11"/>
        <v>12</v>
      </c>
      <c r="AJ117">
        <f t="shared" si="12"/>
        <v>3</v>
      </c>
      <c r="AL117">
        <f t="shared" si="13"/>
        <v>0</v>
      </c>
      <c r="AM117">
        <f t="shared" si="14"/>
        <v>33</v>
      </c>
      <c r="AN117">
        <f t="shared" si="15"/>
        <v>24</v>
      </c>
      <c r="AO117">
        <f t="shared" si="16"/>
        <v>3</v>
      </c>
      <c r="AP117">
        <f t="shared" si="17"/>
        <v>60</v>
      </c>
    </row>
    <row r="118" spans="1:42" ht="15.75" hidden="1" customHeight="1" x14ac:dyDescent="0.3">
      <c r="A118" s="16"/>
      <c r="B118" s="55">
        <v>9</v>
      </c>
      <c r="C118" s="56" t="s">
        <v>136</v>
      </c>
      <c r="D118" s="55">
        <v>3</v>
      </c>
      <c r="E118" s="55" t="s">
        <v>21</v>
      </c>
      <c r="F118" s="18" t="s">
        <v>23</v>
      </c>
      <c r="G118" s="18" t="s">
        <v>21</v>
      </c>
      <c r="H118" s="18" t="s">
        <v>23</v>
      </c>
      <c r="I118" s="18" t="s">
        <v>21</v>
      </c>
      <c r="J118" s="20" t="s">
        <v>20</v>
      </c>
      <c r="K118" s="20" t="s">
        <v>21</v>
      </c>
      <c r="L118" s="20" t="s">
        <v>21</v>
      </c>
      <c r="M118" s="18" t="s">
        <v>21</v>
      </c>
      <c r="N118" s="18" t="s">
        <v>21</v>
      </c>
      <c r="O118" s="18" t="s">
        <v>21</v>
      </c>
      <c r="P118" s="18" t="s">
        <v>23</v>
      </c>
      <c r="Q118" s="18" t="s">
        <v>20</v>
      </c>
      <c r="R118" s="18" t="s">
        <v>21</v>
      </c>
      <c r="S118" s="18" t="s">
        <v>21</v>
      </c>
      <c r="T118" s="18" t="s">
        <v>20</v>
      </c>
      <c r="U118" s="18" t="s">
        <v>20</v>
      </c>
      <c r="V118" s="37" t="s">
        <v>21</v>
      </c>
      <c r="W118" s="37" t="s">
        <v>21</v>
      </c>
      <c r="X118" s="37" t="s">
        <v>21</v>
      </c>
      <c r="Y118" s="18" t="s">
        <v>20</v>
      </c>
      <c r="Z118" s="18" t="s">
        <v>20</v>
      </c>
      <c r="AA118" s="20" t="s">
        <v>23</v>
      </c>
      <c r="AB118" s="20" t="s">
        <v>23</v>
      </c>
      <c r="AC118" s="20" t="s">
        <v>21</v>
      </c>
      <c r="AD118" s="29" t="s">
        <v>21</v>
      </c>
      <c r="AE118" s="29" t="s">
        <v>21</v>
      </c>
      <c r="AG118">
        <f t="shared" si="9"/>
        <v>0</v>
      </c>
      <c r="AH118">
        <f t="shared" si="10"/>
        <v>6</v>
      </c>
      <c r="AI118">
        <f t="shared" si="11"/>
        <v>15</v>
      </c>
      <c r="AJ118">
        <f t="shared" si="12"/>
        <v>5</v>
      </c>
      <c r="AL118">
        <f t="shared" si="13"/>
        <v>0</v>
      </c>
      <c r="AM118">
        <f t="shared" si="14"/>
        <v>18</v>
      </c>
      <c r="AN118">
        <f t="shared" si="15"/>
        <v>30</v>
      </c>
      <c r="AO118">
        <f t="shared" si="16"/>
        <v>5</v>
      </c>
      <c r="AP118">
        <f t="shared" si="17"/>
        <v>53</v>
      </c>
    </row>
    <row r="119" spans="1:42" ht="15.75" hidden="1" customHeight="1" x14ac:dyDescent="0.3">
      <c r="A119" s="16"/>
      <c r="B119" s="55">
        <v>10</v>
      </c>
      <c r="C119" s="56" t="s">
        <v>137</v>
      </c>
      <c r="D119" s="55">
        <v>3</v>
      </c>
      <c r="E119" s="55" t="s">
        <v>21</v>
      </c>
      <c r="F119" s="18" t="s">
        <v>39</v>
      </c>
      <c r="G119" s="18" t="s">
        <v>20</v>
      </c>
      <c r="H119" s="18" t="s">
        <v>20</v>
      </c>
      <c r="I119" s="18" t="s">
        <v>20</v>
      </c>
      <c r="J119" s="20" t="s">
        <v>20</v>
      </c>
      <c r="K119" s="20" t="s">
        <v>39</v>
      </c>
      <c r="L119" s="20" t="s">
        <v>20</v>
      </c>
      <c r="M119" s="18" t="s">
        <v>20</v>
      </c>
      <c r="N119" s="18" t="s">
        <v>20</v>
      </c>
      <c r="O119" s="18" t="s">
        <v>20</v>
      </c>
      <c r="P119" s="18" t="s">
        <v>21</v>
      </c>
      <c r="Q119" s="18" t="s">
        <v>20</v>
      </c>
      <c r="R119" s="18" t="s">
        <v>20</v>
      </c>
      <c r="S119" s="18" t="s">
        <v>20</v>
      </c>
      <c r="T119" s="18" t="s">
        <v>20</v>
      </c>
      <c r="U119" s="18" t="s">
        <v>20</v>
      </c>
      <c r="V119" s="37" t="s">
        <v>21</v>
      </c>
      <c r="W119" s="37" t="s">
        <v>20</v>
      </c>
      <c r="X119" s="37" t="s">
        <v>20</v>
      </c>
      <c r="Y119" s="18" t="s">
        <v>20</v>
      </c>
      <c r="Z119" s="18" t="s">
        <v>20</v>
      </c>
      <c r="AA119" s="20" t="s">
        <v>20</v>
      </c>
      <c r="AB119" s="20" t="s">
        <v>20</v>
      </c>
      <c r="AC119" s="20" t="s">
        <v>20</v>
      </c>
      <c r="AD119" s="29" t="s">
        <v>20</v>
      </c>
      <c r="AE119" s="29" t="s">
        <v>21</v>
      </c>
      <c r="AG119">
        <f t="shared" si="9"/>
        <v>2</v>
      </c>
      <c r="AH119">
        <f t="shared" si="10"/>
        <v>21</v>
      </c>
      <c r="AI119">
        <f t="shared" si="11"/>
        <v>3</v>
      </c>
      <c r="AJ119">
        <f t="shared" si="12"/>
        <v>0</v>
      </c>
      <c r="AL119">
        <f t="shared" si="13"/>
        <v>8</v>
      </c>
      <c r="AM119">
        <f t="shared" si="14"/>
        <v>63</v>
      </c>
      <c r="AN119">
        <f t="shared" si="15"/>
        <v>6</v>
      </c>
      <c r="AO119">
        <f t="shared" si="16"/>
        <v>0</v>
      </c>
      <c r="AP119">
        <f t="shared" si="17"/>
        <v>77</v>
      </c>
    </row>
    <row r="120" spans="1:42" ht="15.75" hidden="1" customHeight="1" x14ac:dyDescent="0.3">
      <c r="A120" s="16"/>
      <c r="B120" s="55">
        <v>11</v>
      </c>
      <c r="C120" s="56" t="s">
        <v>138</v>
      </c>
      <c r="D120" s="55">
        <v>3</v>
      </c>
      <c r="E120" s="55" t="s">
        <v>21</v>
      </c>
      <c r="F120" s="18" t="s">
        <v>21</v>
      </c>
      <c r="G120" s="18" t="s">
        <v>21</v>
      </c>
      <c r="H120" s="18" t="s">
        <v>21</v>
      </c>
      <c r="I120" s="18" t="s">
        <v>21</v>
      </c>
      <c r="J120" s="20" t="s">
        <v>21</v>
      </c>
      <c r="K120" s="20" t="s">
        <v>21</v>
      </c>
      <c r="L120" s="20" t="s">
        <v>21</v>
      </c>
      <c r="M120" s="18" t="s">
        <v>21</v>
      </c>
      <c r="N120" s="18" t="s">
        <v>21</v>
      </c>
      <c r="O120" s="18" t="s">
        <v>21</v>
      </c>
      <c r="P120" s="18" t="s">
        <v>21</v>
      </c>
      <c r="Q120" s="18" t="s">
        <v>21</v>
      </c>
      <c r="R120" s="18" t="s">
        <v>23</v>
      </c>
      <c r="S120" s="18" t="s">
        <v>23</v>
      </c>
      <c r="T120" s="18" t="s">
        <v>21</v>
      </c>
      <c r="U120" s="18" t="s">
        <v>20</v>
      </c>
      <c r="V120" s="37" t="s">
        <v>21</v>
      </c>
      <c r="W120" s="37" t="s">
        <v>20</v>
      </c>
      <c r="X120" s="37" t="s">
        <v>21</v>
      </c>
      <c r="Y120" s="18" t="s">
        <v>21</v>
      </c>
      <c r="Z120" s="18" t="s">
        <v>21</v>
      </c>
      <c r="AA120" s="20" t="s">
        <v>21</v>
      </c>
      <c r="AB120" s="20" t="s">
        <v>21</v>
      </c>
      <c r="AC120" s="20" t="s">
        <v>21</v>
      </c>
      <c r="AD120" s="29" t="s">
        <v>23</v>
      </c>
      <c r="AE120" s="29" t="s">
        <v>21</v>
      </c>
      <c r="AG120">
        <f t="shared" si="9"/>
        <v>0</v>
      </c>
      <c r="AH120">
        <f t="shared" si="10"/>
        <v>2</v>
      </c>
      <c r="AI120">
        <f t="shared" si="11"/>
        <v>21</v>
      </c>
      <c r="AJ120">
        <f t="shared" si="12"/>
        <v>3</v>
      </c>
      <c r="AL120">
        <f t="shared" si="13"/>
        <v>0</v>
      </c>
      <c r="AM120">
        <f t="shared" si="14"/>
        <v>6</v>
      </c>
      <c r="AN120">
        <f t="shared" si="15"/>
        <v>42</v>
      </c>
      <c r="AO120">
        <f t="shared" si="16"/>
        <v>3</v>
      </c>
      <c r="AP120">
        <f t="shared" si="17"/>
        <v>51</v>
      </c>
    </row>
    <row r="121" spans="1:42" ht="15.75" hidden="1" customHeight="1" x14ac:dyDescent="0.3">
      <c r="A121" s="16"/>
      <c r="B121" s="55">
        <v>12</v>
      </c>
      <c r="C121" s="56" t="s">
        <v>139</v>
      </c>
      <c r="D121" s="55">
        <v>3</v>
      </c>
      <c r="E121" s="55" t="s">
        <v>21</v>
      </c>
      <c r="F121" s="18" t="s">
        <v>20</v>
      </c>
      <c r="G121" s="18" t="s">
        <v>20</v>
      </c>
      <c r="H121" s="18" t="s">
        <v>20</v>
      </c>
      <c r="I121" s="18" t="s">
        <v>20</v>
      </c>
      <c r="J121" s="20" t="s">
        <v>20</v>
      </c>
      <c r="K121" s="20" t="s">
        <v>20</v>
      </c>
      <c r="L121" s="20" t="s">
        <v>20</v>
      </c>
      <c r="M121" s="18" t="s">
        <v>20</v>
      </c>
      <c r="N121" s="18" t="s">
        <v>20</v>
      </c>
      <c r="O121" s="18" t="s">
        <v>20</v>
      </c>
      <c r="P121" s="18" t="s">
        <v>21</v>
      </c>
      <c r="Q121" s="18" t="s">
        <v>20</v>
      </c>
      <c r="R121" s="18" t="s">
        <v>21</v>
      </c>
      <c r="S121" s="18" t="s">
        <v>21</v>
      </c>
      <c r="T121" s="18" t="s">
        <v>21</v>
      </c>
      <c r="U121" s="18" t="s">
        <v>20</v>
      </c>
      <c r="V121" s="37" t="s">
        <v>20</v>
      </c>
      <c r="W121" s="37" t="s">
        <v>20</v>
      </c>
      <c r="X121" s="37" t="s">
        <v>21</v>
      </c>
      <c r="Y121" s="18" t="s">
        <v>21</v>
      </c>
      <c r="Z121" s="18" t="s">
        <v>20</v>
      </c>
      <c r="AA121" s="20" t="s">
        <v>20</v>
      </c>
      <c r="AB121" s="20" t="s">
        <v>20</v>
      </c>
      <c r="AC121" s="20" t="s">
        <v>20</v>
      </c>
      <c r="AD121" s="29" t="s">
        <v>23</v>
      </c>
      <c r="AE121" s="29" t="s">
        <v>21</v>
      </c>
      <c r="AG121">
        <f t="shared" si="9"/>
        <v>0</v>
      </c>
      <c r="AH121">
        <f t="shared" si="10"/>
        <v>18</v>
      </c>
      <c r="AI121">
        <f t="shared" si="11"/>
        <v>7</v>
      </c>
      <c r="AJ121">
        <f t="shared" si="12"/>
        <v>1</v>
      </c>
      <c r="AL121">
        <f t="shared" si="13"/>
        <v>0</v>
      </c>
      <c r="AM121">
        <f t="shared" si="14"/>
        <v>54</v>
      </c>
      <c r="AN121">
        <f t="shared" si="15"/>
        <v>14</v>
      </c>
      <c r="AO121">
        <f t="shared" si="16"/>
        <v>1</v>
      </c>
      <c r="AP121">
        <f t="shared" si="17"/>
        <v>69</v>
      </c>
    </row>
    <row r="122" spans="1:42" ht="15.75" hidden="1" customHeight="1" x14ac:dyDescent="0.3">
      <c r="A122" s="16"/>
      <c r="B122" s="55">
        <v>13</v>
      </c>
      <c r="C122" s="56" t="s">
        <v>140</v>
      </c>
      <c r="D122" s="55">
        <v>3</v>
      </c>
      <c r="E122" s="55" t="s">
        <v>21</v>
      </c>
      <c r="F122" s="18" t="s">
        <v>20</v>
      </c>
      <c r="G122" s="18" t="s">
        <v>20</v>
      </c>
      <c r="H122" s="18" t="s">
        <v>20</v>
      </c>
      <c r="I122" s="18" t="s">
        <v>39</v>
      </c>
      <c r="J122" s="20" t="s">
        <v>20</v>
      </c>
      <c r="K122" s="20" t="s">
        <v>20</v>
      </c>
      <c r="L122" s="20" t="s">
        <v>20</v>
      </c>
      <c r="M122" s="18" t="s">
        <v>20</v>
      </c>
      <c r="N122" s="18" t="s">
        <v>20</v>
      </c>
      <c r="O122" s="18" t="s">
        <v>20</v>
      </c>
      <c r="P122" s="18" t="s">
        <v>21</v>
      </c>
      <c r="Q122" s="18" t="s">
        <v>21</v>
      </c>
      <c r="R122" s="18" t="s">
        <v>20</v>
      </c>
      <c r="S122" s="18" t="s">
        <v>20</v>
      </c>
      <c r="T122" s="18" t="s">
        <v>20</v>
      </c>
      <c r="U122" s="18" t="s">
        <v>20</v>
      </c>
      <c r="V122" s="37" t="s">
        <v>20</v>
      </c>
      <c r="W122" s="37" t="s">
        <v>20</v>
      </c>
      <c r="X122" s="37" t="s">
        <v>20</v>
      </c>
      <c r="Y122" s="18" t="s">
        <v>21</v>
      </c>
      <c r="Z122" s="18" t="s">
        <v>21</v>
      </c>
      <c r="AA122" s="20" t="s">
        <v>21</v>
      </c>
      <c r="AB122" s="20" t="s">
        <v>20</v>
      </c>
      <c r="AC122" s="20" t="s">
        <v>21</v>
      </c>
      <c r="AD122" s="29" t="s">
        <v>55</v>
      </c>
      <c r="AE122" s="29" t="s">
        <v>55</v>
      </c>
      <c r="AG122">
        <f t="shared" si="9"/>
        <v>1</v>
      </c>
      <c r="AH122">
        <f t="shared" si="10"/>
        <v>17</v>
      </c>
      <c r="AI122">
        <f t="shared" si="11"/>
        <v>6</v>
      </c>
      <c r="AJ122">
        <f t="shared" si="12"/>
        <v>0</v>
      </c>
      <c r="AL122">
        <f t="shared" si="13"/>
        <v>4</v>
      </c>
      <c r="AM122">
        <f t="shared" si="14"/>
        <v>51</v>
      </c>
      <c r="AN122">
        <f t="shared" si="15"/>
        <v>12</v>
      </c>
      <c r="AO122">
        <f t="shared" si="16"/>
        <v>0</v>
      </c>
      <c r="AP122">
        <f t="shared" si="17"/>
        <v>67</v>
      </c>
    </row>
    <row r="123" spans="1:42" ht="15.75" hidden="1" customHeight="1" x14ac:dyDescent="0.3">
      <c r="A123" s="16"/>
      <c r="B123" s="55">
        <v>14</v>
      </c>
      <c r="C123" s="56" t="s">
        <v>141</v>
      </c>
      <c r="D123" s="55">
        <v>3</v>
      </c>
      <c r="E123" s="55" t="s">
        <v>21</v>
      </c>
      <c r="F123" s="18" t="s">
        <v>21</v>
      </c>
      <c r="G123" s="18" t="s">
        <v>21</v>
      </c>
      <c r="H123" s="18" t="s">
        <v>20</v>
      </c>
      <c r="I123" s="18" t="s">
        <v>20</v>
      </c>
      <c r="J123" s="20" t="s">
        <v>20</v>
      </c>
      <c r="K123" s="20" t="s">
        <v>20</v>
      </c>
      <c r="L123" s="20" t="s">
        <v>21</v>
      </c>
      <c r="M123" s="18" t="s">
        <v>20</v>
      </c>
      <c r="N123" s="18" t="s">
        <v>20</v>
      </c>
      <c r="O123" s="18" t="s">
        <v>20</v>
      </c>
      <c r="P123" s="18" t="s">
        <v>23</v>
      </c>
      <c r="Q123" s="18" t="s">
        <v>21</v>
      </c>
      <c r="R123" s="18" t="s">
        <v>21</v>
      </c>
      <c r="S123" s="18" t="s">
        <v>20</v>
      </c>
      <c r="T123" s="18" t="s">
        <v>20</v>
      </c>
      <c r="U123" s="18" t="s">
        <v>21</v>
      </c>
      <c r="V123" s="37" t="s">
        <v>21</v>
      </c>
      <c r="W123" s="37" t="s">
        <v>20</v>
      </c>
      <c r="X123" s="37" t="s">
        <v>21</v>
      </c>
      <c r="Y123" s="18" t="s">
        <v>21</v>
      </c>
      <c r="Z123" s="18" t="s">
        <v>21</v>
      </c>
      <c r="AA123" s="20" t="s">
        <v>21</v>
      </c>
      <c r="AB123" s="20" t="s">
        <v>21</v>
      </c>
      <c r="AC123" s="20" t="s">
        <v>20</v>
      </c>
      <c r="AD123" s="29" t="s">
        <v>21</v>
      </c>
      <c r="AE123" s="29" t="s">
        <v>21</v>
      </c>
      <c r="AG123">
        <f t="shared" si="9"/>
        <v>0</v>
      </c>
      <c r="AH123">
        <f t="shared" si="10"/>
        <v>11</v>
      </c>
      <c r="AI123">
        <f t="shared" si="11"/>
        <v>14</v>
      </c>
      <c r="AJ123">
        <f t="shared" si="12"/>
        <v>1</v>
      </c>
      <c r="AL123">
        <f t="shared" si="13"/>
        <v>0</v>
      </c>
      <c r="AM123">
        <f t="shared" si="14"/>
        <v>33</v>
      </c>
      <c r="AN123">
        <f t="shared" si="15"/>
        <v>28</v>
      </c>
      <c r="AO123">
        <f t="shared" si="16"/>
        <v>1</v>
      </c>
      <c r="AP123">
        <f t="shared" si="17"/>
        <v>62</v>
      </c>
    </row>
    <row r="124" spans="1:42" ht="15.75" hidden="1" customHeight="1" x14ac:dyDescent="0.3">
      <c r="A124" s="16"/>
      <c r="B124" s="55">
        <v>15</v>
      </c>
      <c r="C124" s="56" t="s">
        <v>142</v>
      </c>
      <c r="D124" s="55">
        <v>3</v>
      </c>
      <c r="E124" s="55" t="s">
        <v>21</v>
      </c>
      <c r="F124" s="18" t="s">
        <v>23</v>
      </c>
      <c r="G124" s="18" t="s">
        <v>23</v>
      </c>
      <c r="H124" s="18" t="s">
        <v>23</v>
      </c>
      <c r="I124" s="18" t="s">
        <v>21</v>
      </c>
      <c r="J124" s="20" t="s">
        <v>21</v>
      </c>
      <c r="K124" s="20" t="s">
        <v>21</v>
      </c>
      <c r="L124" s="20" t="s">
        <v>21</v>
      </c>
      <c r="M124" s="18" t="s">
        <v>21</v>
      </c>
      <c r="N124" s="18" t="s">
        <v>21</v>
      </c>
      <c r="O124" s="18" t="s">
        <v>21</v>
      </c>
      <c r="P124" s="18" t="s">
        <v>23</v>
      </c>
      <c r="Q124" s="18" t="s">
        <v>21</v>
      </c>
      <c r="R124" s="18" t="s">
        <v>21</v>
      </c>
      <c r="S124" s="18" t="s">
        <v>23</v>
      </c>
      <c r="T124" s="18" t="s">
        <v>23</v>
      </c>
      <c r="U124" s="18" t="s">
        <v>20</v>
      </c>
      <c r="V124" s="37" t="s">
        <v>20</v>
      </c>
      <c r="W124" s="37" t="s">
        <v>20</v>
      </c>
      <c r="X124" s="37" t="s">
        <v>21</v>
      </c>
      <c r="Y124" s="18" t="s">
        <v>23</v>
      </c>
      <c r="Z124" s="18" t="s">
        <v>21</v>
      </c>
      <c r="AA124" s="20" t="s">
        <v>21</v>
      </c>
      <c r="AB124" s="20" t="s">
        <v>21</v>
      </c>
      <c r="AC124" s="20" t="s">
        <v>21</v>
      </c>
      <c r="AD124" s="29" t="s">
        <v>23</v>
      </c>
      <c r="AE124" s="29" t="s">
        <v>21</v>
      </c>
      <c r="AG124">
        <f t="shared" si="9"/>
        <v>0</v>
      </c>
      <c r="AH124">
        <f t="shared" si="10"/>
        <v>3</v>
      </c>
      <c r="AI124">
        <f t="shared" si="11"/>
        <v>15</v>
      </c>
      <c r="AJ124">
        <f t="shared" si="12"/>
        <v>8</v>
      </c>
      <c r="AL124">
        <f t="shared" si="13"/>
        <v>0</v>
      </c>
      <c r="AM124">
        <f t="shared" si="14"/>
        <v>9</v>
      </c>
      <c r="AN124">
        <f t="shared" si="15"/>
        <v>30</v>
      </c>
      <c r="AO124">
        <f t="shared" si="16"/>
        <v>8</v>
      </c>
      <c r="AP124">
        <f t="shared" si="17"/>
        <v>47</v>
      </c>
    </row>
    <row r="125" spans="1:42" ht="15.75" hidden="1" customHeight="1" x14ac:dyDescent="0.3">
      <c r="A125" s="16"/>
      <c r="B125" s="55">
        <v>16</v>
      </c>
      <c r="C125" s="56" t="s">
        <v>143</v>
      </c>
      <c r="D125" s="55">
        <v>3</v>
      </c>
      <c r="E125" s="55" t="s">
        <v>21</v>
      </c>
      <c r="F125" s="18" t="s">
        <v>23</v>
      </c>
      <c r="G125" s="18" t="s">
        <v>23</v>
      </c>
      <c r="H125" s="18" t="s">
        <v>21</v>
      </c>
      <c r="I125" s="18" t="s">
        <v>21</v>
      </c>
      <c r="J125" s="20" t="s">
        <v>21</v>
      </c>
      <c r="K125" s="20" t="s">
        <v>21</v>
      </c>
      <c r="L125" s="20" t="s">
        <v>21</v>
      </c>
      <c r="M125" s="18" t="s">
        <v>21</v>
      </c>
      <c r="N125" s="18" t="s">
        <v>20</v>
      </c>
      <c r="O125" s="18" t="s">
        <v>21</v>
      </c>
      <c r="P125" s="18" t="s">
        <v>21</v>
      </c>
      <c r="Q125" s="18" t="s">
        <v>20</v>
      </c>
      <c r="R125" s="18" t="s">
        <v>21</v>
      </c>
      <c r="S125" s="18" t="s">
        <v>23</v>
      </c>
      <c r="T125" s="18" t="s">
        <v>21</v>
      </c>
      <c r="U125" s="18" t="s">
        <v>20</v>
      </c>
      <c r="V125" s="37" t="s">
        <v>21</v>
      </c>
      <c r="W125" s="37" t="s">
        <v>20</v>
      </c>
      <c r="X125" s="37" t="s">
        <v>21</v>
      </c>
      <c r="Y125" s="18" t="s">
        <v>23</v>
      </c>
      <c r="Z125" s="18" t="s">
        <v>21</v>
      </c>
      <c r="AA125" s="20" t="s">
        <v>21</v>
      </c>
      <c r="AB125" s="20" t="s">
        <v>21</v>
      </c>
      <c r="AC125" s="20" t="s">
        <v>21</v>
      </c>
      <c r="AD125" s="29" t="s">
        <v>23</v>
      </c>
      <c r="AE125" s="29" t="s">
        <v>21</v>
      </c>
      <c r="AG125">
        <f t="shared" si="9"/>
        <v>0</v>
      </c>
      <c r="AH125">
        <f t="shared" si="10"/>
        <v>4</v>
      </c>
      <c r="AI125">
        <f t="shared" si="11"/>
        <v>17</v>
      </c>
      <c r="AJ125">
        <f t="shared" si="12"/>
        <v>5</v>
      </c>
      <c r="AL125">
        <f t="shared" si="13"/>
        <v>0</v>
      </c>
      <c r="AM125">
        <f t="shared" si="14"/>
        <v>12</v>
      </c>
      <c r="AN125">
        <f t="shared" si="15"/>
        <v>34</v>
      </c>
      <c r="AO125">
        <f t="shared" si="16"/>
        <v>5</v>
      </c>
      <c r="AP125">
        <f t="shared" si="17"/>
        <v>51</v>
      </c>
    </row>
    <row r="126" spans="1:42" ht="15.75" hidden="1" customHeight="1" x14ac:dyDescent="0.3">
      <c r="A126" s="16"/>
      <c r="B126" s="55">
        <v>17</v>
      </c>
      <c r="C126" s="56" t="s">
        <v>144</v>
      </c>
      <c r="D126" s="55">
        <v>3</v>
      </c>
      <c r="E126" s="55" t="s">
        <v>21</v>
      </c>
      <c r="F126" s="18" t="s">
        <v>21</v>
      </c>
      <c r="G126" s="18" t="s">
        <v>21</v>
      </c>
      <c r="H126" s="18" t="s">
        <v>21</v>
      </c>
      <c r="I126" s="18" t="s">
        <v>21</v>
      </c>
      <c r="J126" s="20" t="s">
        <v>21</v>
      </c>
      <c r="K126" s="20" t="s">
        <v>21</v>
      </c>
      <c r="L126" s="20" t="s">
        <v>21</v>
      </c>
      <c r="M126" s="18" t="s">
        <v>20</v>
      </c>
      <c r="N126" s="18" t="s">
        <v>20</v>
      </c>
      <c r="O126" s="18" t="s">
        <v>20</v>
      </c>
      <c r="P126" s="18" t="s">
        <v>21</v>
      </c>
      <c r="Q126" s="18" t="s">
        <v>21</v>
      </c>
      <c r="R126" s="18" t="s">
        <v>21</v>
      </c>
      <c r="S126" s="18" t="s">
        <v>20</v>
      </c>
      <c r="T126" s="18" t="s">
        <v>20</v>
      </c>
      <c r="U126" s="18" t="s">
        <v>20</v>
      </c>
      <c r="V126" s="37" t="s">
        <v>21</v>
      </c>
      <c r="W126" s="37" t="s">
        <v>20</v>
      </c>
      <c r="X126" s="37" t="s">
        <v>21</v>
      </c>
      <c r="Y126" s="18" t="s">
        <v>20</v>
      </c>
      <c r="Z126" s="18" t="s">
        <v>20</v>
      </c>
      <c r="AA126" s="20" t="s">
        <v>21</v>
      </c>
      <c r="AB126" s="20" t="s">
        <v>20</v>
      </c>
      <c r="AC126" s="20" t="s">
        <v>21</v>
      </c>
      <c r="AD126" s="29" t="s">
        <v>20</v>
      </c>
      <c r="AE126" s="29" t="s">
        <v>21</v>
      </c>
      <c r="AG126">
        <f t="shared" si="9"/>
        <v>0</v>
      </c>
      <c r="AH126">
        <f t="shared" si="10"/>
        <v>11</v>
      </c>
      <c r="AI126">
        <f t="shared" si="11"/>
        <v>15</v>
      </c>
      <c r="AJ126">
        <f t="shared" si="12"/>
        <v>0</v>
      </c>
      <c r="AL126">
        <f t="shared" si="13"/>
        <v>0</v>
      </c>
      <c r="AM126">
        <f t="shared" si="14"/>
        <v>33</v>
      </c>
      <c r="AN126">
        <f t="shared" si="15"/>
        <v>30</v>
      </c>
      <c r="AO126">
        <f t="shared" si="16"/>
        <v>0</v>
      </c>
      <c r="AP126">
        <f t="shared" si="17"/>
        <v>63</v>
      </c>
    </row>
    <row r="127" spans="1:42" ht="15.75" hidden="1" customHeight="1" x14ac:dyDescent="0.3">
      <c r="A127" s="16"/>
      <c r="B127" s="55">
        <v>18</v>
      </c>
      <c r="C127" s="56" t="s">
        <v>145</v>
      </c>
      <c r="D127" s="55">
        <v>3</v>
      </c>
      <c r="E127" s="55" t="s">
        <v>21</v>
      </c>
      <c r="F127" s="18" t="s">
        <v>21</v>
      </c>
      <c r="G127" s="18" t="s">
        <v>21</v>
      </c>
      <c r="H127" s="18" t="s">
        <v>20</v>
      </c>
      <c r="I127" s="18" t="s">
        <v>21</v>
      </c>
      <c r="J127" s="20" t="s">
        <v>20</v>
      </c>
      <c r="K127" s="20" t="s">
        <v>20</v>
      </c>
      <c r="L127" s="20" t="s">
        <v>20</v>
      </c>
      <c r="M127" s="18" t="s">
        <v>21</v>
      </c>
      <c r="N127" s="18" t="s">
        <v>20</v>
      </c>
      <c r="O127" s="18" t="s">
        <v>21</v>
      </c>
      <c r="P127" s="18" t="s">
        <v>21</v>
      </c>
      <c r="Q127" s="18" t="s">
        <v>21</v>
      </c>
      <c r="R127" s="18" t="s">
        <v>20</v>
      </c>
      <c r="S127" s="18" t="s">
        <v>20</v>
      </c>
      <c r="T127" s="18" t="s">
        <v>20</v>
      </c>
      <c r="U127" s="18" t="s">
        <v>20</v>
      </c>
      <c r="V127" s="37" t="s">
        <v>20</v>
      </c>
      <c r="W127" s="37" t="s">
        <v>20</v>
      </c>
      <c r="X127" s="37" t="s">
        <v>20</v>
      </c>
      <c r="Y127" s="18" t="s">
        <v>20</v>
      </c>
      <c r="Z127" s="18" t="s">
        <v>21</v>
      </c>
      <c r="AA127" s="20" t="s">
        <v>20</v>
      </c>
      <c r="AB127" s="20" t="s">
        <v>21</v>
      </c>
      <c r="AC127" s="20" t="s">
        <v>20</v>
      </c>
      <c r="AD127" s="29" t="s">
        <v>20</v>
      </c>
      <c r="AE127" s="29" t="s">
        <v>21</v>
      </c>
      <c r="AG127">
        <f t="shared" si="9"/>
        <v>0</v>
      </c>
      <c r="AH127">
        <f t="shared" si="10"/>
        <v>16</v>
      </c>
      <c r="AI127">
        <f t="shared" si="11"/>
        <v>10</v>
      </c>
      <c r="AJ127">
        <f t="shared" si="12"/>
        <v>0</v>
      </c>
      <c r="AL127">
        <f t="shared" si="13"/>
        <v>0</v>
      </c>
      <c r="AM127">
        <f t="shared" si="14"/>
        <v>48</v>
      </c>
      <c r="AN127">
        <f t="shared" si="15"/>
        <v>20</v>
      </c>
      <c r="AO127">
        <f t="shared" si="16"/>
        <v>0</v>
      </c>
      <c r="AP127">
        <f t="shared" si="17"/>
        <v>68</v>
      </c>
    </row>
    <row r="128" spans="1:42" ht="15.75" hidden="1" customHeight="1" x14ac:dyDescent="0.3">
      <c r="A128" s="16"/>
      <c r="B128" s="55">
        <v>19</v>
      </c>
      <c r="C128" s="56" t="s">
        <v>146</v>
      </c>
      <c r="D128" s="55">
        <v>3</v>
      </c>
      <c r="E128" s="55" t="s">
        <v>21</v>
      </c>
      <c r="F128" s="18" t="s">
        <v>21</v>
      </c>
      <c r="G128" s="18" t="s">
        <v>21</v>
      </c>
      <c r="H128" s="18" t="s">
        <v>21</v>
      </c>
      <c r="I128" s="18" t="s">
        <v>21</v>
      </c>
      <c r="J128" s="20" t="s">
        <v>21</v>
      </c>
      <c r="K128" s="20" t="s">
        <v>21</v>
      </c>
      <c r="L128" s="20" t="s">
        <v>21</v>
      </c>
      <c r="M128" s="18" t="s">
        <v>21</v>
      </c>
      <c r="N128" s="18" t="s">
        <v>20</v>
      </c>
      <c r="O128" s="18" t="s">
        <v>21</v>
      </c>
      <c r="P128" s="18" t="s">
        <v>21</v>
      </c>
      <c r="Q128" s="18" t="s">
        <v>21</v>
      </c>
      <c r="R128" s="18" t="s">
        <v>23</v>
      </c>
      <c r="S128" s="18" t="s">
        <v>21</v>
      </c>
      <c r="T128" s="18" t="s">
        <v>20</v>
      </c>
      <c r="U128" s="18" t="s">
        <v>21</v>
      </c>
      <c r="V128" s="37" t="s">
        <v>21</v>
      </c>
      <c r="W128" s="37" t="s">
        <v>20</v>
      </c>
      <c r="X128" s="37" t="s">
        <v>21</v>
      </c>
      <c r="Y128" s="18" t="s">
        <v>20</v>
      </c>
      <c r="Z128" s="18" t="s">
        <v>20</v>
      </c>
      <c r="AA128" s="20" t="s">
        <v>21</v>
      </c>
      <c r="AB128" s="20" t="s">
        <v>21</v>
      </c>
      <c r="AC128" s="20" t="s">
        <v>23</v>
      </c>
      <c r="AD128" s="29" t="s">
        <v>20</v>
      </c>
      <c r="AE128" s="29" t="s">
        <v>21</v>
      </c>
      <c r="AG128">
        <f t="shared" si="9"/>
        <v>0</v>
      </c>
      <c r="AH128">
        <f t="shared" si="10"/>
        <v>6</v>
      </c>
      <c r="AI128">
        <f t="shared" si="11"/>
        <v>18</v>
      </c>
      <c r="AJ128">
        <f t="shared" si="12"/>
        <v>2</v>
      </c>
      <c r="AL128">
        <f t="shared" si="13"/>
        <v>0</v>
      </c>
      <c r="AM128">
        <f t="shared" si="14"/>
        <v>18</v>
      </c>
      <c r="AN128">
        <f t="shared" si="15"/>
        <v>36</v>
      </c>
      <c r="AO128">
        <f t="shared" si="16"/>
        <v>2</v>
      </c>
      <c r="AP128">
        <f t="shared" si="17"/>
        <v>56</v>
      </c>
    </row>
    <row r="129" spans="1:42" ht="15.75" hidden="1" customHeight="1" x14ac:dyDescent="0.3">
      <c r="A129" s="16"/>
      <c r="B129" s="55">
        <v>20</v>
      </c>
      <c r="C129" s="56" t="s">
        <v>147</v>
      </c>
      <c r="D129" s="55">
        <v>3</v>
      </c>
      <c r="E129" s="55" t="s">
        <v>21</v>
      </c>
      <c r="F129" s="18" t="s">
        <v>20</v>
      </c>
      <c r="G129" s="18" t="s">
        <v>20</v>
      </c>
      <c r="H129" s="18" t="s">
        <v>20</v>
      </c>
      <c r="I129" s="18" t="s">
        <v>20</v>
      </c>
      <c r="J129" s="20" t="s">
        <v>21</v>
      </c>
      <c r="K129" s="20" t="s">
        <v>21</v>
      </c>
      <c r="L129" s="20" t="s">
        <v>21</v>
      </c>
      <c r="M129" s="18" t="s">
        <v>20</v>
      </c>
      <c r="N129" s="18" t="s">
        <v>20</v>
      </c>
      <c r="O129" s="18" t="s">
        <v>20</v>
      </c>
      <c r="P129" s="18" t="s">
        <v>21</v>
      </c>
      <c r="Q129" s="18" t="s">
        <v>20</v>
      </c>
      <c r="R129" s="18" t="s">
        <v>21</v>
      </c>
      <c r="S129" s="18" t="s">
        <v>20</v>
      </c>
      <c r="T129" s="18" t="s">
        <v>20</v>
      </c>
      <c r="U129" s="18" t="s">
        <v>20</v>
      </c>
      <c r="V129" s="37" t="s">
        <v>21</v>
      </c>
      <c r="W129" s="37" t="s">
        <v>20</v>
      </c>
      <c r="X129" s="37" t="s">
        <v>21</v>
      </c>
      <c r="Y129" s="18" t="s">
        <v>21</v>
      </c>
      <c r="Z129" s="18" t="s">
        <v>20</v>
      </c>
      <c r="AA129" s="20" t="s">
        <v>21</v>
      </c>
      <c r="AB129" s="20" t="s">
        <v>21</v>
      </c>
      <c r="AC129" s="20" t="s">
        <v>21</v>
      </c>
      <c r="AD129" s="29" t="s">
        <v>20</v>
      </c>
      <c r="AE129" s="29" t="s">
        <v>21</v>
      </c>
      <c r="AG129">
        <f t="shared" si="9"/>
        <v>0</v>
      </c>
      <c r="AH129">
        <f t="shared" si="10"/>
        <v>14</v>
      </c>
      <c r="AI129">
        <f t="shared" si="11"/>
        <v>12</v>
      </c>
      <c r="AJ129">
        <f t="shared" si="12"/>
        <v>0</v>
      </c>
      <c r="AL129">
        <f t="shared" si="13"/>
        <v>0</v>
      </c>
      <c r="AM129">
        <f t="shared" si="14"/>
        <v>42</v>
      </c>
      <c r="AN129">
        <f t="shared" si="15"/>
        <v>24</v>
      </c>
      <c r="AO129">
        <f t="shared" si="16"/>
        <v>0</v>
      </c>
      <c r="AP129">
        <f t="shared" si="17"/>
        <v>66</v>
      </c>
    </row>
    <row r="130" spans="1:42" ht="15.75" hidden="1" customHeight="1" thickBot="1" x14ac:dyDescent="0.35">
      <c r="A130" s="16"/>
      <c r="B130" s="57">
        <v>21</v>
      </c>
      <c r="C130" s="58" t="s">
        <v>148</v>
      </c>
      <c r="D130" s="57">
        <v>3</v>
      </c>
      <c r="E130" s="57" t="s">
        <v>21</v>
      </c>
      <c r="F130" s="21" t="s">
        <v>20</v>
      </c>
      <c r="G130" s="21" t="s">
        <v>20</v>
      </c>
      <c r="H130" s="21" t="s">
        <v>21</v>
      </c>
      <c r="I130" s="21" t="s">
        <v>20</v>
      </c>
      <c r="J130" s="23" t="s">
        <v>20</v>
      </c>
      <c r="K130" s="23" t="s">
        <v>20</v>
      </c>
      <c r="L130" s="23" t="s">
        <v>21</v>
      </c>
      <c r="M130" s="21" t="s">
        <v>21</v>
      </c>
      <c r="N130" s="21" t="s">
        <v>21</v>
      </c>
      <c r="O130" s="21" t="s">
        <v>21</v>
      </c>
      <c r="P130" s="21" t="s">
        <v>21</v>
      </c>
      <c r="Q130" s="21" t="s">
        <v>21</v>
      </c>
      <c r="R130" s="21" t="s">
        <v>21</v>
      </c>
      <c r="S130" s="21" t="s">
        <v>20</v>
      </c>
      <c r="T130" s="21" t="s">
        <v>20</v>
      </c>
      <c r="U130" s="21" t="s">
        <v>21</v>
      </c>
      <c r="V130" s="38" t="s">
        <v>21</v>
      </c>
      <c r="W130" s="38" t="s">
        <v>21</v>
      </c>
      <c r="X130" s="38" t="s">
        <v>21</v>
      </c>
      <c r="Y130" s="21" t="s">
        <v>20</v>
      </c>
      <c r="Z130" s="21" t="s">
        <v>20</v>
      </c>
      <c r="AA130" s="23" t="s">
        <v>21</v>
      </c>
      <c r="AB130" s="23" t="s">
        <v>21</v>
      </c>
      <c r="AC130" s="23" t="s">
        <v>21</v>
      </c>
      <c r="AD130" s="31" t="s">
        <v>20</v>
      </c>
      <c r="AE130" s="31" t="s">
        <v>21</v>
      </c>
      <c r="AG130">
        <f t="shared" si="9"/>
        <v>0</v>
      </c>
      <c r="AH130">
        <f t="shared" si="10"/>
        <v>10</v>
      </c>
      <c r="AI130">
        <f t="shared" si="11"/>
        <v>16</v>
      </c>
      <c r="AJ130">
        <f t="shared" si="12"/>
        <v>0</v>
      </c>
      <c r="AL130">
        <f t="shared" si="13"/>
        <v>0</v>
      </c>
      <c r="AM130">
        <f t="shared" si="14"/>
        <v>30</v>
      </c>
      <c r="AN130">
        <f t="shared" si="15"/>
        <v>32</v>
      </c>
      <c r="AO130">
        <f t="shared" si="16"/>
        <v>0</v>
      </c>
      <c r="AP130">
        <f t="shared" si="17"/>
        <v>62</v>
      </c>
    </row>
    <row r="131" spans="1:42" ht="15.75" hidden="1" customHeight="1" x14ac:dyDescent="0.3">
      <c r="A131" s="16"/>
      <c r="B131" s="59">
        <v>1</v>
      </c>
      <c r="C131" s="60" t="s">
        <v>149</v>
      </c>
      <c r="D131" s="59">
        <v>4</v>
      </c>
      <c r="E131" s="59" t="s">
        <v>20</v>
      </c>
      <c r="F131" s="24" t="s">
        <v>20</v>
      </c>
      <c r="G131" s="24" t="s">
        <v>20</v>
      </c>
      <c r="H131" s="24" t="s">
        <v>20</v>
      </c>
      <c r="I131" s="24" t="s">
        <v>20</v>
      </c>
      <c r="J131" s="42" t="s">
        <v>20</v>
      </c>
      <c r="K131" s="42" t="s">
        <v>20</v>
      </c>
      <c r="L131" s="42" t="s">
        <v>21</v>
      </c>
      <c r="M131" s="24" t="s">
        <v>20</v>
      </c>
      <c r="N131" s="24" t="s">
        <v>20</v>
      </c>
      <c r="O131" s="24" t="s">
        <v>20</v>
      </c>
      <c r="P131" s="24" t="s">
        <v>20</v>
      </c>
      <c r="Q131" s="24" t="s">
        <v>20</v>
      </c>
      <c r="R131" s="24" t="s">
        <v>20</v>
      </c>
      <c r="S131" s="24" t="s">
        <v>20</v>
      </c>
      <c r="T131" s="24" t="s">
        <v>21</v>
      </c>
      <c r="U131" s="24" t="s">
        <v>21</v>
      </c>
      <c r="V131" s="39" t="s">
        <v>20</v>
      </c>
      <c r="W131" s="39" t="s">
        <v>20</v>
      </c>
      <c r="X131" s="39" t="s">
        <v>20</v>
      </c>
      <c r="Y131" s="24" t="s">
        <v>20</v>
      </c>
      <c r="Z131" s="24" t="s">
        <v>20</v>
      </c>
      <c r="AA131" s="27" t="s">
        <v>21</v>
      </c>
      <c r="AB131" s="27" t="s">
        <v>20</v>
      </c>
      <c r="AC131" s="27" t="s">
        <v>21</v>
      </c>
      <c r="AD131" s="34" t="s">
        <v>21</v>
      </c>
      <c r="AE131" s="34" t="s">
        <v>21</v>
      </c>
      <c r="AG131">
        <f t="shared" si="9"/>
        <v>0</v>
      </c>
      <c r="AH131">
        <f t="shared" si="10"/>
        <v>19</v>
      </c>
      <c r="AI131">
        <f t="shared" si="11"/>
        <v>7</v>
      </c>
      <c r="AJ131">
        <f t="shared" si="12"/>
        <v>0</v>
      </c>
      <c r="AL131">
        <f t="shared" si="13"/>
        <v>0</v>
      </c>
      <c r="AM131">
        <f t="shared" si="14"/>
        <v>57</v>
      </c>
      <c r="AN131">
        <f t="shared" si="15"/>
        <v>14</v>
      </c>
      <c r="AO131">
        <f t="shared" si="16"/>
        <v>0</v>
      </c>
      <c r="AP131">
        <f t="shared" si="17"/>
        <v>71</v>
      </c>
    </row>
    <row r="132" spans="1:42" ht="15.75" hidden="1" customHeight="1" x14ac:dyDescent="0.3">
      <c r="A132" s="16"/>
      <c r="B132" s="55">
        <v>2</v>
      </c>
      <c r="C132" s="56" t="s">
        <v>150</v>
      </c>
      <c r="D132" s="55">
        <v>4</v>
      </c>
      <c r="E132" s="55" t="s">
        <v>20</v>
      </c>
      <c r="F132" s="18" t="s">
        <v>20</v>
      </c>
      <c r="G132" s="18" t="s">
        <v>20</v>
      </c>
      <c r="H132" s="18" t="s">
        <v>20</v>
      </c>
      <c r="I132" s="18" t="s">
        <v>20</v>
      </c>
      <c r="J132" s="43" t="s">
        <v>39</v>
      </c>
      <c r="K132" s="43" t="s">
        <v>20</v>
      </c>
      <c r="L132" s="43" t="s">
        <v>20</v>
      </c>
      <c r="M132" s="18" t="s">
        <v>21</v>
      </c>
      <c r="N132" s="18" t="s">
        <v>20</v>
      </c>
      <c r="O132" s="18" t="s">
        <v>20</v>
      </c>
      <c r="P132" s="18" t="s">
        <v>20</v>
      </c>
      <c r="Q132" s="18" t="s">
        <v>20</v>
      </c>
      <c r="R132" s="18" t="s">
        <v>20</v>
      </c>
      <c r="S132" s="18" t="s">
        <v>20</v>
      </c>
      <c r="T132" s="18" t="s">
        <v>20</v>
      </c>
      <c r="U132" s="18" t="s">
        <v>20</v>
      </c>
      <c r="V132" s="37" t="s">
        <v>20</v>
      </c>
      <c r="W132" s="37" t="s">
        <v>20</v>
      </c>
      <c r="X132" s="37" t="s">
        <v>20</v>
      </c>
      <c r="Y132" s="18" t="s">
        <v>20</v>
      </c>
      <c r="Z132" s="18" t="s">
        <v>21</v>
      </c>
      <c r="AA132" s="20" t="s">
        <v>20</v>
      </c>
      <c r="AB132" s="20" t="s">
        <v>20</v>
      </c>
      <c r="AC132" s="20" t="s">
        <v>21</v>
      </c>
      <c r="AD132" s="29" t="s">
        <v>20</v>
      </c>
      <c r="AE132" s="29" t="s">
        <v>21</v>
      </c>
      <c r="AG132">
        <f t="shared" si="9"/>
        <v>1</v>
      </c>
      <c r="AH132">
        <f t="shared" si="10"/>
        <v>21</v>
      </c>
      <c r="AI132">
        <f t="shared" si="11"/>
        <v>4</v>
      </c>
      <c r="AJ132">
        <f t="shared" si="12"/>
        <v>0</v>
      </c>
      <c r="AL132">
        <f t="shared" si="13"/>
        <v>4</v>
      </c>
      <c r="AM132">
        <f t="shared" si="14"/>
        <v>63</v>
      </c>
      <c r="AN132">
        <f t="shared" si="15"/>
        <v>8</v>
      </c>
      <c r="AO132">
        <f t="shared" si="16"/>
        <v>0</v>
      </c>
      <c r="AP132">
        <f t="shared" si="17"/>
        <v>75</v>
      </c>
    </row>
    <row r="133" spans="1:42" ht="15.75" hidden="1" customHeight="1" x14ac:dyDescent="0.3">
      <c r="A133" s="16"/>
      <c r="B133" s="55">
        <v>3</v>
      </c>
      <c r="C133" s="56" t="s">
        <v>151</v>
      </c>
      <c r="D133" s="55">
        <v>4</v>
      </c>
      <c r="E133" s="55" t="s">
        <v>20</v>
      </c>
      <c r="F133" s="18" t="s">
        <v>23</v>
      </c>
      <c r="G133" s="18" t="s">
        <v>21</v>
      </c>
      <c r="H133" s="18" t="s">
        <v>23</v>
      </c>
      <c r="I133" s="18" t="s">
        <v>21</v>
      </c>
      <c r="J133" s="43" t="s">
        <v>21</v>
      </c>
      <c r="K133" s="43" t="s">
        <v>21</v>
      </c>
      <c r="L133" s="43" t="s">
        <v>21</v>
      </c>
      <c r="M133" s="18" t="s">
        <v>21</v>
      </c>
      <c r="N133" s="18" t="s">
        <v>20</v>
      </c>
      <c r="O133" s="18" t="s">
        <v>20</v>
      </c>
      <c r="P133" s="18" t="s">
        <v>21</v>
      </c>
      <c r="Q133" s="18" t="s">
        <v>21</v>
      </c>
      <c r="R133" s="18" t="s">
        <v>21</v>
      </c>
      <c r="S133" s="18" t="s">
        <v>20</v>
      </c>
      <c r="T133" s="18" t="s">
        <v>20</v>
      </c>
      <c r="U133" s="18" t="s">
        <v>21</v>
      </c>
      <c r="V133" s="37" t="s">
        <v>20</v>
      </c>
      <c r="W133" s="46" t="s">
        <v>21</v>
      </c>
      <c r="X133" s="37" t="s">
        <v>20</v>
      </c>
      <c r="Y133" s="18" t="s">
        <v>21</v>
      </c>
      <c r="Z133" s="18" t="s">
        <v>23</v>
      </c>
      <c r="AA133" s="20" t="s">
        <v>21</v>
      </c>
      <c r="AB133" s="20" t="s">
        <v>21</v>
      </c>
      <c r="AC133" s="20" t="s">
        <v>21</v>
      </c>
      <c r="AD133" s="29" t="s">
        <v>21</v>
      </c>
      <c r="AE133" s="29" t="s">
        <v>21</v>
      </c>
      <c r="AG133">
        <f t="shared" si="9"/>
        <v>0</v>
      </c>
      <c r="AH133">
        <f t="shared" si="10"/>
        <v>6</v>
      </c>
      <c r="AI133">
        <f t="shared" si="11"/>
        <v>17</v>
      </c>
      <c r="AJ133">
        <f t="shared" si="12"/>
        <v>3</v>
      </c>
      <c r="AL133">
        <f t="shared" si="13"/>
        <v>0</v>
      </c>
      <c r="AM133">
        <f t="shared" si="14"/>
        <v>18</v>
      </c>
      <c r="AN133">
        <f t="shared" si="15"/>
        <v>34</v>
      </c>
      <c r="AO133">
        <f t="shared" si="16"/>
        <v>3</v>
      </c>
      <c r="AP133">
        <f t="shared" si="17"/>
        <v>55</v>
      </c>
    </row>
    <row r="134" spans="1:42" ht="15.75" hidden="1" customHeight="1" x14ac:dyDescent="0.3">
      <c r="A134" s="16"/>
      <c r="B134" s="55">
        <v>4</v>
      </c>
      <c r="C134" s="56" t="s">
        <v>152</v>
      </c>
      <c r="D134" s="55">
        <v>4</v>
      </c>
      <c r="E134" s="55" t="s">
        <v>20</v>
      </c>
      <c r="F134" s="18" t="s">
        <v>21</v>
      </c>
      <c r="G134" s="18" t="s">
        <v>20</v>
      </c>
      <c r="H134" s="18" t="s">
        <v>21</v>
      </c>
      <c r="I134" s="18" t="s">
        <v>20</v>
      </c>
      <c r="J134" s="43" t="s">
        <v>20</v>
      </c>
      <c r="K134" s="43" t="s">
        <v>20</v>
      </c>
      <c r="L134" s="43" t="s">
        <v>21</v>
      </c>
      <c r="M134" s="18" t="s">
        <v>20</v>
      </c>
      <c r="N134" s="18" t="s">
        <v>20</v>
      </c>
      <c r="O134" s="18" t="s">
        <v>20</v>
      </c>
      <c r="P134" s="18" t="s">
        <v>21</v>
      </c>
      <c r="Q134" s="18" t="s">
        <v>21</v>
      </c>
      <c r="R134" s="18" t="s">
        <v>21</v>
      </c>
      <c r="S134" s="18" t="s">
        <v>20</v>
      </c>
      <c r="T134" s="18" t="s">
        <v>20</v>
      </c>
      <c r="U134" s="18" t="s">
        <v>21</v>
      </c>
      <c r="V134" s="37" t="s">
        <v>20</v>
      </c>
      <c r="W134" s="37" t="s">
        <v>20</v>
      </c>
      <c r="X134" s="37" t="s">
        <v>20</v>
      </c>
      <c r="Y134" s="18" t="s">
        <v>20</v>
      </c>
      <c r="Z134" s="18" t="s">
        <v>20</v>
      </c>
      <c r="AA134" s="20" t="s">
        <v>21</v>
      </c>
      <c r="AB134" s="20" t="s">
        <v>21</v>
      </c>
      <c r="AC134" s="20" t="s">
        <v>20</v>
      </c>
      <c r="AD134" s="47" t="s">
        <v>20</v>
      </c>
      <c r="AE134" s="47" t="s">
        <v>21</v>
      </c>
      <c r="AG134">
        <f t="shared" si="9"/>
        <v>0</v>
      </c>
      <c r="AH134">
        <f t="shared" si="10"/>
        <v>16</v>
      </c>
      <c r="AI134">
        <f t="shared" si="11"/>
        <v>10</v>
      </c>
      <c r="AJ134">
        <f t="shared" si="12"/>
        <v>0</v>
      </c>
      <c r="AL134">
        <f t="shared" si="13"/>
        <v>0</v>
      </c>
      <c r="AM134">
        <f t="shared" si="14"/>
        <v>48</v>
      </c>
      <c r="AN134">
        <f t="shared" si="15"/>
        <v>20</v>
      </c>
      <c r="AO134">
        <f t="shared" si="16"/>
        <v>0</v>
      </c>
      <c r="AP134">
        <f t="shared" si="17"/>
        <v>68</v>
      </c>
    </row>
    <row r="135" spans="1:42" ht="15.75" hidden="1" customHeight="1" x14ac:dyDescent="0.3">
      <c r="A135" s="16"/>
      <c r="B135" s="55">
        <v>5</v>
      </c>
      <c r="C135" s="56" t="s">
        <v>153</v>
      </c>
      <c r="D135" s="55">
        <v>4</v>
      </c>
      <c r="E135" s="55" t="s">
        <v>20</v>
      </c>
      <c r="F135" s="18" t="s">
        <v>20</v>
      </c>
      <c r="G135" s="18" t="s">
        <v>21</v>
      </c>
      <c r="H135" s="18" t="s">
        <v>21</v>
      </c>
      <c r="I135" s="18" t="s">
        <v>20</v>
      </c>
      <c r="J135" s="43" t="s">
        <v>20</v>
      </c>
      <c r="K135" s="43" t="s">
        <v>20</v>
      </c>
      <c r="L135" s="43" t="s">
        <v>21</v>
      </c>
      <c r="M135" s="18" t="s">
        <v>21</v>
      </c>
      <c r="N135" s="18" t="s">
        <v>20</v>
      </c>
      <c r="O135" s="18" t="s">
        <v>20</v>
      </c>
      <c r="P135" s="18" t="s">
        <v>20</v>
      </c>
      <c r="Q135" s="18" t="s">
        <v>20</v>
      </c>
      <c r="R135" s="18" t="s">
        <v>20</v>
      </c>
      <c r="S135" s="18" t="s">
        <v>20</v>
      </c>
      <c r="T135" s="18" t="s">
        <v>20</v>
      </c>
      <c r="U135" s="18" t="s">
        <v>21</v>
      </c>
      <c r="V135" s="37" t="s">
        <v>20</v>
      </c>
      <c r="W135" s="37" t="s">
        <v>20</v>
      </c>
      <c r="X135" s="37" t="s">
        <v>20</v>
      </c>
      <c r="Y135" s="18" t="s">
        <v>20</v>
      </c>
      <c r="Z135" s="18" t="s">
        <v>21</v>
      </c>
      <c r="AA135" s="20" t="s">
        <v>21</v>
      </c>
      <c r="AB135" s="20" t="s">
        <v>20</v>
      </c>
      <c r="AC135" s="20" t="s">
        <v>20</v>
      </c>
      <c r="AD135" s="29" t="s">
        <v>23</v>
      </c>
      <c r="AE135" s="29" t="s">
        <v>21</v>
      </c>
      <c r="AG135">
        <f t="shared" si="9"/>
        <v>0</v>
      </c>
      <c r="AH135">
        <f t="shared" si="10"/>
        <v>17</v>
      </c>
      <c r="AI135">
        <f t="shared" si="11"/>
        <v>8</v>
      </c>
      <c r="AJ135">
        <f t="shared" si="12"/>
        <v>1</v>
      </c>
      <c r="AL135">
        <f t="shared" si="13"/>
        <v>0</v>
      </c>
      <c r="AM135">
        <f t="shared" si="14"/>
        <v>51</v>
      </c>
      <c r="AN135">
        <f t="shared" si="15"/>
        <v>16</v>
      </c>
      <c r="AO135">
        <f t="shared" si="16"/>
        <v>1</v>
      </c>
      <c r="AP135">
        <f t="shared" si="17"/>
        <v>68</v>
      </c>
    </row>
    <row r="136" spans="1:42" ht="15.75" hidden="1" customHeight="1" x14ac:dyDescent="0.3">
      <c r="A136" s="16"/>
      <c r="B136" s="55">
        <v>6</v>
      </c>
      <c r="C136" s="56" t="s">
        <v>154</v>
      </c>
      <c r="D136" s="55">
        <v>4</v>
      </c>
      <c r="E136" s="55" t="s">
        <v>20</v>
      </c>
      <c r="F136" s="18" t="s">
        <v>20</v>
      </c>
      <c r="G136" s="18" t="s">
        <v>21</v>
      </c>
      <c r="H136" s="18" t="s">
        <v>21</v>
      </c>
      <c r="I136" s="18" t="s">
        <v>20</v>
      </c>
      <c r="J136" s="43" t="s">
        <v>20</v>
      </c>
      <c r="K136" s="43" t="s">
        <v>20</v>
      </c>
      <c r="L136" s="43" t="s">
        <v>20</v>
      </c>
      <c r="M136" s="18" t="s">
        <v>20</v>
      </c>
      <c r="N136" s="18" t="s">
        <v>20</v>
      </c>
      <c r="O136" s="18" t="s">
        <v>20</v>
      </c>
      <c r="P136" s="18" t="s">
        <v>20</v>
      </c>
      <c r="Q136" s="18" t="s">
        <v>21</v>
      </c>
      <c r="R136" s="18" t="s">
        <v>20</v>
      </c>
      <c r="S136" s="18" t="s">
        <v>20</v>
      </c>
      <c r="T136" s="18" t="s">
        <v>20</v>
      </c>
      <c r="U136" s="18" t="s">
        <v>20</v>
      </c>
      <c r="V136" s="37" t="s">
        <v>20</v>
      </c>
      <c r="W136" s="37" t="s">
        <v>20</v>
      </c>
      <c r="X136" s="37" t="s">
        <v>20</v>
      </c>
      <c r="Y136" s="18" t="s">
        <v>20</v>
      </c>
      <c r="Z136" s="18" t="s">
        <v>20</v>
      </c>
      <c r="AA136" s="20" t="s">
        <v>20</v>
      </c>
      <c r="AB136" s="20" t="s">
        <v>20</v>
      </c>
      <c r="AC136" s="20" t="s">
        <v>20</v>
      </c>
      <c r="AD136" s="29" t="s">
        <v>20</v>
      </c>
      <c r="AE136" s="29" t="s">
        <v>21</v>
      </c>
      <c r="AG136">
        <f t="shared" si="9"/>
        <v>0</v>
      </c>
      <c r="AH136">
        <f t="shared" si="10"/>
        <v>22</v>
      </c>
      <c r="AI136">
        <f t="shared" si="11"/>
        <v>4</v>
      </c>
      <c r="AJ136">
        <f t="shared" si="12"/>
        <v>0</v>
      </c>
      <c r="AL136">
        <f t="shared" si="13"/>
        <v>0</v>
      </c>
      <c r="AM136">
        <f t="shared" si="14"/>
        <v>66</v>
      </c>
      <c r="AN136">
        <f t="shared" si="15"/>
        <v>8</v>
      </c>
      <c r="AO136">
        <f t="shared" si="16"/>
        <v>0</v>
      </c>
      <c r="AP136">
        <f t="shared" si="17"/>
        <v>74</v>
      </c>
    </row>
    <row r="137" spans="1:42" ht="15.75" hidden="1" customHeight="1" x14ac:dyDescent="0.3">
      <c r="A137" s="16"/>
      <c r="B137" s="55">
        <v>7</v>
      </c>
      <c r="C137" s="56" t="s">
        <v>155</v>
      </c>
      <c r="D137" s="55">
        <v>4</v>
      </c>
      <c r="E137" s="55" t="s">
        <v>20</v>
      </c>
      <c r="F137" s="18" t="s">
        <v>21</v>
      </c>
      <c r="G137" s="18" t="s">
        <v>21</v>
      </c>
      <c r="H137" s="18" t="s">
        <v>23</v>
      </c>
      <c r="I137" s="18" t="s">
        <v>23</v>
      </c>
      <c r="J137" s="43" t="s">
        <v>20</v>
      </c>
      <c r="K137" s="43" t="s">
        <v>20</v>
      </c>
      <c r="L137" s="43" t="s">
        <v>20</v>
      </c>
      <c r="M137" s="18" t="s">
        <v>20</v>
      </c>
      <c r="N137" s="18" t="s">
        <v>21</v>
      </c>
      <c r="O137" s="18" t="s">
        <v>21</v>
      </c>
      <c r="P137" s="18" t="s">
        <v>23</v>
      </c>
      <c r="Q137" s="18" t="s">
        <v>21</v>
      </c>
      <c r="R137" s="18" t="s">
        <v>23</v>
      </c>
      <c r="S137" s="18" t="s">
        <v>21</v>
      </c>
      <c r="T137" s="18" t="s">
        <v>20</v>
      </c>
      <c r="U137" s="18" t="s">
        <v>21</v>
      </c>
      <c r="V137" s="37" t="s">
        <v>20</v>
      </c>
      <c r="W137" s="37" t="s">
        <v>21</v>
      </c>
      <c r="X137" s="37" t="s">
        <v>20</v>
      </c>
      <c r="Y137" s="18" t="s">
        <v>21</v>
      </c>
      <c r="Z137" s="18" t="s">
        <v>20</v>
      </c>
      <c r="AA137" s="20" t="s">
        <v>21</v>
      </c>
      <c r="AB137" s="20" t="s">
        <v>21</v>
      </c>
      <c r="AC137" s="20" t="s">
        <v>21</v>
      </c>
      <c r="AD137" s="29" t="s">
        <v>55</v>
      </c>
      <c r="AE137" s="29" t="s">
        <v>55</v>
      </c>
      <c r="AG137">
        <f t="shared" si="9"/>
        <v>0</v>
      </c>
      <c r="AH137">
        <f t="shared" si="10"/>
        <v>8</v>
      </c>
      <c r="AI137">
        <f t="shared" si="11"/>
        <v>12</v>
      </c>
      <c r="AJ137">
        <f t="shared" si="12"/>
        <v>4</v>
      </c>
      <c r="AL137">
        <f t="shared" si="13"/>
        <v>0</v>
      </c>
      <c r="AM137">
        <f t="shared" si="14"/>
        <v>24</v>
      </c>
      <c r="AN137">
        <f t="shared" si="15"/>
        <v>24</v>
      </c>
      <c r="AO137">
        <f t="shared" si="16"/>
        <v>4</v>
      </c>
      <c r="AP137">
        <f t="shared" si="17"/>
        <v>52</v>
      </c>
    </row>
    <row r="138" spans="1:42" ht="15.75" hidden="1" customHeight="1" x14ac:dyDescent="0.3">
      <c r="A138" s="16"/>
      <c r="B138" s="55">
        <v>8</v>
      </c>
      <c r="C138" s="56" t="s">
        <v>156</v>
      </c>
      <c r="D138" s="55">
        <v>4</v>
      </c>
      <c r="E138" s="55" t="s">
        <v>20</v>
      </c>
      <c r="F138" s="18" t="s">
        <v>20</v>
      </c>
      <c r="G138" s="18" t="s">
        <v>20</v>
      </c>
      <c r="H138" s="18" t="s">
        <v>20</v>
      </c>
      <c r="I138" s="18" t="s">
        <v>20</v>
      </c>
      <c r="J138" s="43" t="s">
        <v>39</v>
      </c>
      <c r="K138" s="43" t="s">
        <v>20</v>
      </c>
      <c r="L138" s="43" t="s">
        <v>20</v>
      </c>
      <c r="M138" s="18" t="s">
        <v>20</v>
      </c>
      <c r="N138" s="18" t="s">
        <v>20</v>
      </c>
      <c r="O138" s="18" t="s">
        <v>20</v>
      </c>
      <c r="P138" s="18" t="s">
        <v>20</v>
      </c>
      <c r="Q138" s="18" t="s">
        <v>20</v>
      </c>
      <c r="R138" s="18" t="s">
        <v>20</v>
      </c>
      <c r="S138" s="18" t="s">
        <v>20</v>
      </c>
      <c r="T138" s="18" t="s">
        <v>20</v>
      </c>
      <c r="U138" s="18" t="s">
        <v>21</v>
      </c>
      <c r="V138" s="37" t="s">
        <v>20</v>
      </c>
      <c r="W138" s="37" t="s">
        <v>20</v>
      </c>
      <c r="X138" s="37" t="s">
        <v>20</v>
      </c>
      <c r="Y138" s="18" t="s">
        <v>20</v>
      </c>
      <c r="Z138" s="18" t="s">
        <v>20</v>
      </c>
      <c r="AA138" s="20" t="s">
        <v>20</v>
      </c>
      <c r="AB138" s="20" t="s">
        <v>20</v>
      </c>
      <c r="AC138" s="20" t="s">
        <v>20</v>
      </c>
      <c r="AD138" s="29" t="s">
        <v>20</v>
      </c>
      <c r="AE138" s="29" t="s">
        <v>21</v>
      </c>
      <c r="AG138">
        <f t="shared" si="9"/>
        <v>1</v>
      </c>
      <c r="AH138">
        <f t="shared" si="10"/>
        <v>23</v>
      </c>
      <c r="AI138">
        <f t="shared" si="11"/>
        <v>2</v>
      </c>
      <c r="AJ138">
        <f t="shared" si="12"/>
        <v>0</v>
      </c>
      <c r="AL138">
        <f t="shared" si="13"/>
        <v>4</v>
      </c>
      <c r="AM138">
        <f t="shared" si="14"/>
        <v>69</v>
      </c>
      <c r="AN138">
        <f t="shared" si="15"/>
        <v>4</v>
      </c>
      <c r="AO138">
        <f t="shared" si="16"/>
        <v>0</v>
      </c>
      <c r="AP138">
        <f t="shared" si="17"/>
        <v>77</v>
      </c>
    </row>
    <row r="139" spans="1:42" ht="15.75" hidden="1" customHeight="1" x14ac:dyDescent="0.3">
      <c r="A139" s="16"/>
      <c r="B139" s="55">
        <v>9</v>
      </c>
      <c r="C139" s="56" t="s">
        <v>157</v>
      </c>
      <c r="D139" s="55">
        <v>4</v>
      </c>
      <c r="E139" s="55" t="s">
        <v>20</v>
      </c>
      <c r="F139" s="18" t="s">
        <v>23</v>
      </c>
      <c r="G139" s="18" t="s">
        <v>21</v>
      </c>
      <c r="H139" s="18" t="s">
        <v>21</v>
      </c>
      <c r="I139" s="18" t="s">
        <v>21</v>
      </c>
      <c r="J139" s="43" t="s">
        <v>20</v>
      </c>
      <c r="K139" s="43" t="s">
        <v>20</v>
      </c>
      <c r="L139" s="43" t="s">
        <v>21</v>
      </c>
      <c r="M139" s="18" t="s">
        <v>20</v>
      </c>
      <c r="N139" s="18" t="s">
        <v>20</v>
      </c>
      <c r="O139" s="18" t="s">
        <v>20</v>
      </c>
      <c r="P139" s="18" t="s">
        <v>20</v>
      </c>
      <c r="Q139" s="18" t="s">
        <v>20</v>
      </c>
      <c r="R139" s="18" t="s">
        <v>20</v>
      </c>
      <c r="S139" s="18" t="s">
        <v>20</v>
      </c>
      <c r="T139" s="18" t="s">
        <v>20</v>
      </c>
      <c r="U139" s="18" t="s">
        <v>21</v>
      </c>
      <c r="V139" s="37" t="s">
        <v>20</v>
      </c>
      <c r="W139" s="37" t="s">
        <v>20</v>
      </c>
      <c r="X139" s="37" t="s">
        <v>20</v>
      </c>
      <c r="Y139" s="18" t="s">
        <v>20</v>
      </c>
      <c r="Z139" s="18" t="s">
        <v>21</v>
      </c>
      <c r="AA139" s="20" t="s">
        <v>21</v>
      </c>
      <c r="AB139" s="20" t="s">
        <v>21</v>
      </c>
      <c r="AC139" s="20" t="s">
        <v>23</v>
      </c>
      <c r="AD139" s="18" t="s">
        <v>20</v>
      </c>
      <c r="AE139" s="18" t="s">
        <v>21</v>
      </c>
      <c r="AG139">
        <f t="shared" si="9"/>
        <v>0</v>
      </c>
      <c r="AH139">
        <f t="shared" si="10"/>
        <v>15</v>
      </c>
      <c r="AI139">
        <f t="shared" si="11"/>
        <v>9</v>
      </c>
      <c r="AJ139">
        <f t="shared" si="12"/>
        <v>2</v>
      </c>
      <c r="AL139">
        <f t="shared" si="13"/>
        <v>0</v>
      </c>
      <c r="AM139">
        <f t="shared" si="14"/>
        <v>45</v>
      </c>
      <c r="AN139">
        <f t="shared" si="15"/>
        <v>18</v>
      </c>
      <c r="AO139">
        <f t="shared" si="16"/>
        <v>2</v>
      </c>
      <c r="AP139">
        <f t="shared" si="17"/>
        <v>65</v>
      </c>
    </row>
    <row r="140" spans="1:42" ht="15.75" hidden="1" customHeight="1" x14ac:dyDescent="0.3">
      <c r="A140" s="16"/>
      <c r="B140" s="55">
        <v>10</v>
      </c>
      <c r="C140" s="56" t="s">
        <v>158</v>
      </c>
      <c r="D140" s="55">
        <v>4</v>
      </c>
      <c r="E140" s="55" t="s">
        <v>20</v>
      </c>
      <c r="F140" s="18" t="s">
        <v>21</v>
      </c>
      <c r="G140" s="18" t="s">
        <v>23</v>
      </c>
      <c r="H140" s="18" t="s">
        <v>21</v>
      </c>
      <c r="I140" s="18" t="s">
        <v>23</v>
      </c>
      <c r="J140" s="43" t="s">
        <v>20</v>
      </c>
      <c r="K140" s="43" t="s">
        <v>21</v>
      </c>
      <c r="L140" s="43" t="s">
        <v>21</v>
      </c>
      <c r="M140" s="18" t="s">
        <v>21</v>
      </c>
      <c r="N140" s="18" t="s">
        <v>21</v>
      </c>
      <c r="O140" s="18" t="s">
        <v>20</v>
      </c>
      <c r="P140" s="18" t="s">
        <v>21</v>
      </c>
      <c r="Q140" s="18" t="s">
        <v>21</v>
      </c>
      <c r="R140" s="18" t="s">
        <v>21</v>
      </c>
      <c r="S140" s="18" t="s">
        <v>21</v>
      </c>
      <c r="T140" s="18" t="s">
        <v>20</v>
      </c>
      <c r="U140" s="18" t="s">
        <v>20</v>
      </c>
      <c r="V140" s="37" t="s">
        <v>20</v>
      </c>
      <c r="W140" s="37" t="s">
        <v>20</v>
      </c>
      <c r="X140" s="37" t="s">
        <v>20</v>
      </c>
      <c r="Y140" s="18" t="s">
        <v>20</v>
      </c>
      <c r="Z140" s="18" t="s">
        <v>21</v>
      </c>
      <c r="AA140" s="20" t="s">
        <v>20</v>
      </c>
      <c r="AB140" s="20" t="s">
        <v>20</v>
      </c>
      <c r="AC140" s="20" t="s">
        <v>20</v>
      </c>
      <c r="AD140" s="18" t="s">
        <v>23</v>
      </c>
      <c r="AE140" s="18" t="s">
        <v>21</v>
      </c>
      <c r="AG140">
        <f t="shared" si="9"/>
        <v>0</v>
      </c>
      <c r="AH140">
        <f t="shared" si="10"/>
        <v>11</v>
      </c>
      <c r="AI140">
        <f t="shared" si="11"/>
        <v>12</v>
      </c>
      <c r="AJ140">
        <f t="shared" si="12"/>
        <v>3</v>
      </c>
      <c r="AL140">
        <f t="shared" si="13"/>
        <v>0</v>
      </c>
      <c r="AM140">
        <f t="shared" si="14"/>
        <v>33</v>
      </c>
      <c r="AN140">
        <f t="shared" si="15"/>
        <v>24</v>
      </c>
      <c r="AO140">
        <f t="shared" si="16"/>
        <v>3</v>
      </c>
      <c r="AP140">
        <f t="shared" si="17"/>
        <v>60</v>
      </c>
    </row>
    <row r="141" spans="1:42" ht="15.75" hidden="1" customHeight="1" x14ac:dyDescent="0.3">
      <c r="A141" s="16"/>
      <c r="B141" s="55">
        <v>11</v>
      </c>
      <c r="C141" s="56" t="s">
        <v>159</v>
      </c>
      <c r="D141" s="55">
        <v>4</v>
      </c>
      <c r="E141" s="55" t="s">
        <v>20</v>
      </c>
      <c r="F141" s="18" t="s">
        <v>23</v>
      </c>
      <c r="G141" s="18" t="s">
        <v>23</v>
      </c>
      <c r="H141" s="18" t="s">
        <v>23</v>
      </c>
      <c r="I141" s="18" t="s">
        <v>21</v>
      </c>
      <c r="J141" s="43" t="s">
        <v>20</v>
      </c>
      <c r="K141" s="43" t="s">
        <v>21</v>
      </c>
      <c r="L141" s="43" t="s">
        <v>21</v>
      </c>
      <c r="M141" s="18" t="s">
        <v>21</v>
      </c>
      <c r="N141" s="18" t="s">
        <v>21</v>
      </c>
      <c r="O141" s="18" t="s">
        <v>21</v>
      </c>
      <c r="P141" s="18" t="s">
        <v>21</v>
      </c>
      <c r="Q141" s="18" t="s">
        <v>21</v>
      </c>
      <c r="R141" s="18" t="s">
        <v>21</v>
      </c>
      <c r="S141" s="18" t="s">
        <v>20</v>
      </c>
      <c r="T141" s="18" t="s">
        <v>21</v>
      </c>
      <c r="U141" s="18" t="s">
        <v>20</v>
      </c>
      <c r="V141" s="37" t="s">
        <v>20</v>
      </c>
      <c r="W141" s="37" t="s">
        <v>20</v>
      </c>
      <c r="X141" s="37" t="s">
        <v>20</v>
      </c>
      <c r="Y141" s="18" t="s">
        <v>21</v>
      </c>
      <c r="Z141" s="18" t="s">
        <v>21</v>
      </c>
      <c r="AA141" s="20" t="s">
        <v>21</v>
      </c>
      <c r="AB141" s="20" t="s">
        <v>21</v>
      </c>
      <c r="AC141" s="20" t="s">
        <v>23</v>
      </c>
      <c r="AD141" s="18" t="s">
        <v>23</v>
      </c>
      <c r="AE141" s="18" t="s">
        <v>21</v>
      </c>
      <c r="AG141">
        <f t="shared" si="9"/>
        <v>0</v>
      </c>
      <c r="AH141">
        <f t="shared" si="10"/>
        <v>6</v>
      </c>
      <c r="AI141">
        <f t="shared" si="11"/>
        <v>15</v>
      </c>
      <c r="AJ141">
        <f t="shared" si="12"/>
        <v>5</v>
      </c>
      <c r="AL141">
        <f t="shared" si="13"/>
        <v>0</v>
      </c>
      <c r="AM141">
        <f t="shared" si="14"/>
        <v>18</v>
      </c>
      <c r="AN141">
        <f t="shared" si="15"/>
        <v>30</v>
      </c>
      <c r="AO141">
        <f t="shared" si="16"/>
        <v>5</v>
      </c>
      <c r="AP141">
        <f t="shared" si="17"/>
        <v>53</v>
      </c>
    </row>
    <row r="142" spans="1:42" ht="15.75" hidden="1" customHeight="1" x14ac:dyDescent="0.3">
      <c r="A142" s="16"/>
      <c r="B142" s="55">
        <v>12</v>
      </c>
      <c r="C142" s="56" t="s">
        <v>160</v>
      </c>
      <c r="D142" s="55">
        <v>4</v>
      </c>
      <c r="E142" s="55" t="s">
        <v>20</v>
      </c>
      <c r="F142" s="18" t="s">
        <v>23</v>
      </c>
      <c r="G142" s="18" t="s">
        <v>23</v>
      </c>
      <c r="H142" s="18" t="s">
        <v>23</v>
      </c>
      <c r="I142" s="18" t="s">
        <v>21</v>
      </c>
      <c r="J142" s="43" t="s">
        <v>21</v>
      </c>
      <c r="K142" s="43" t="s">
        <v>21</v>
      </c>
      <c r="L142" s="43" t="s">
        <v>21</v>
      </c>
      <c r="M142" s="18" t="s">
        <v>21</v>
      </c>
      <c r="N142" s="18" t="s">
        <v>20</v>
      </c>
      <c r="O142" s="18" t="s">
        <v>21</v>
      </c>
      <c r="P142" s="18" t="s">
        <v>21</v>
      </c>
      <c r="Q142" s="18" t="s">
        <v>21</v>
      </c>
      <c r="R142" s="18" t="s">
        <v>21</v>
      </c>
      <c r="S142" s="18" t="s">
        <v>21</v>
      </c>
      <c r="T142" s="18" t="s">
        <v>21</v>
      </c>
      <c r="U142" s="18" t="s">
        <v>21</v>
      </c>
      <c r="V142" s="37" t="s">
        <v>20</v>
      </c>
      <c r="W142" s="37" t="s">
        <v>20</v>
      </c>
      <c r="X142" s="37" t="s">
        <v>21</v>
      </c>
      <c r="Y142" s="18" t="s">
        <v>21</v>
      </c>
      <c r="Z142" s="18" t="s">
        <v>21</v>
      </c>
      <c r="AA142" s="20" t="s">
        <v>21</v>
      </c>
      <c r="AB142" s="20" t="s">
        <v>21</v>
      </c>
      <c r="AC142" s="20" t="s">
        <v>23</v>
      </c>
      <c r="AD142" s="18" t="s">
        <v>23</v>
      </c>
      <c r="AE142" s="18" t="s">
        <v>21</v>
      </c>
      <c r="AG142">
        <f t="shared" si="9"/>
        <v>0</v>
      </c>
      <c r="AH142">
        <f t="shared" si="10"/>
        <v>3</v>
      </c>
      <c r="AI142">
        <f t="shared" si="11"/>
        <v>18</v>
      </c>
      <c r="AJ142">
        <f t="shared" si="12"/>
        <v>5</v>
      </c>
      <c r="AL142">
        <f t="shared" si="13"/>
        <v>0</v>
      </c>
      <c r="AM142">
        <f t="shared" si="14"/>
        <v>9</v>
      </c>
      <c r="AN142">
        <f t="shared" si="15"/>
        <v>36</v>
      </c>
      <c r="AO142">
        <f t="shared" si="16"/>
        <v>5</v>
      </c>
      <c r="AP142">
        <f t="shared" si="17"/>
        <v>50</v>
      </c>
    </row>
    <row r="143" spans="1:42" ht="15.75" hidden="1" customHeight="1" x14ac:dyDescent="0.3">
      <c r="A143" s="16"/>
      <c r="B143" s="55">
        <v>13</v>
      </c>
      <c r="C143" s="56" t="s">
        <v>161</v>
      </c>
      <c r="D143" s="55">
        <v>4</v>
      </c>
      <c r="E143" s="55" t="s">
        <v>20</v>
      </c>
      <c r="F143" s="18" t="s">
        <v>21</v>
      </c>
      <c r="G143" s="18" t="s">
        <v>21</v>
      </c>
      <c r="H143" s="18" t="s">
        <v>21</v>
      </c>
      <c r="I143" s="18" t="s">
        <v>21</v>
      </c>
      <c r="J143" s="43" t="s">
        <v>21</v>
      </c>
      <c r="K143" s="43" t="s">
        <v>21</v>
      </c>
      <c r="L143" s="43" t="s">
        <v>21</v>
      </c>
      <c r="M143" s="18" t="s">
        <v>23</v>
      </c>
      <c r="N143" s="18" t="s">
        <v>23</v>
      </c>
      <c r="O143" s="18" t="s">
        <v>21</v>
      </c>
      <c r="P143" s="18" t="s">
        <v>20</v>
      </c>
      <c r="Q143" s="18" t="s">
        <v>21</v>
      </c>
      <c r="R143" s="18" t="s">
        <v>21</v>
      </c>
      <c r="S143" s="18" t="s">
        <v>20</v>
      </c>
      <c r="T143" s="18" t="s">
        <v>21</v>
      </c>
      <c r="U143" s="18" t="s">
        <v>20</v>
      </c>
      <c r="V143" s="37" t="s">
        <v>21</v>
      </c>
      <c r="W143" s="37" t="s">
        <v>21</v>
      </c>
      <c r="X143" s="37" t="s">
        <v>21</v>
      </c>
      <c r="Y143" s="18" t="s">
        <v>21</v>
      </c>
      <c r="Z143" s="18" t="s">
        <v>21</v>
      </c>
      <c r="AA143" s="20" t="s">
        <v>21</v>
      </c>
      <c r="AB143" s="20" t="s">
        <v>21</v>
      </c>
      <c r="AC143" s="20" t="s">
        <v>23</v>
      </c>
      <c r="AD143" s="18" t="s">
        <v>23</v>
      </c>
      <c r="AE143" s="18" t="s">
        <v>21</v>
      </c>
      <c r="AG143">
        <f t="shared" si="9"/>
        <v>0</v>
      </c>
      <c r="AH143">
        <f t="shared" si="10"/>
        <v>3</v>
      </c>
      <c r="AI143">
        <f t="shared" si="11"/>
        <v>19</v>
      </c>
      <c r="AJ143">
        <f t="shared" si="12"/>
        <v>4</v>
      </c>
      <c r="AL143">
        <f t="shared" si="13"/>
        <v>0</v>
      </c>
      <c r="AM143">
        <f t="shared" si="14"/>
        <v>9</v>
      </c>
      <c r="AN143">
        <f t="shared" si="15"/>
        <v>38</v>
      </c>
      <c r="AO143">
        <f t="shared" si="16"/>
        <v>4</v>
      </c>
      <c r="AP143">
        <f t="shared" si="17"/>
        <v>51</v>
      </c>
    </row>
    <row r="144" spans="1:42" ht="15.75" hidden="1" customHeight="1" x14ac:dyDescent="0.3">
      <c r="A144" s="16"/>
      <c r="B144" s="55">
        <v>14</v>
      </c>
      <c r="C144" s="56" t="s">
        <v>162</v>
      </c>
      <c r="D144" s="55">
        <v>4</v>
      </c>
      <c r="E144" s="55" t="s">
        <v>20</v>
      </c>
      <c r="F144" s="18" t="s">
        <v>20</v>
      </c>
      <c r="G144" s="18" t="s">
        <v>20</v>
      </c>
      <c r="H144" s="18" t="s">
        <v>20</v>
      </c>
      <c r="I144" s="18" t="s">
        <v>20</v>
      </c>
      <c r="J144" s="43" t="s">
        <v>20</v>
      </c>
      <c r="K144" s="43" t="s">
        <v>20</v>
      </c>
      <c r="L144" s="43" t="s">
        <v>20</v>
      </c>
      <c r="M144" s="18" t="s">
        <v>20</v>
      </c>
      <c r="N144" s="18" t="s">
        <v>20</v>
      </c>
      <c r="O144" s="18" t="s">
        <v>20</v>
      </c>
      <c r="P144" s="18" t="s">
        <v>20</v>
      </c>
      <c r="Q144" s="18" t="s">
        <v>20</v>
      </c>
      <c r="R144" s="18" t="s">
        <v>21</v>
      </c>
      <c r="S144" s="18" t="s">
        <v>21</v>
      </c>
      <c r="T144" s="18" t="s">
        <v>20</v>
      </c>
      <c r="U144" s="18" t="s">
        <v>21</v>
      </c>
      <c r="V144" s="37" t="s">
        <v>20</v>
      </c>
      <c r="W144" s="37" t="s">
        <v>20</v>
      </c>
      <c r="X144" s="37" t="s">
        <v>20</v>
      </c>
      <c r="Y144" s="18" t="s">
        <v>20</v>
      </c>
      <c r="Z144" s="18" t="s">
        <v>20</v>
      </c>
      <c r="AA144" s="20" t="s">
        <v>21</v>
      </c>
      <c r="AB144" s="20" t="s">
        <v>20</v>
      </c>
      <c r="AC144" s="20" t="s">
        <v>20</v>
      </c>
      <c r="AD144" s="18" t="s">
        <v>20</v>
      </c>
      <c r="AE144" s="18" t="s">
        <v>21</v>
      </c>
      <c r="AG144">
        <f t="shared" si="9"/>
        <v>0</v>
      </c>
      <c r="AH144">
        <f t="shared" si="10"/>
        <v>21</v>
      </c>
      <c r="AI144">
        <f t="shared" si="11"/>
        <v>5</v>
      </c>
      <c r="AJ144">
        <f t="shared" si="12"/>
        <v>0</v>
      </c>
      <c r="AL144">
        <f t="shared" si="13"/>
        <v>0</v>
      </c>
      <c r="AM144">
        <f t="shared" si="14"/>
        <v>63</v>
      </c>
      <c r="AN144">
        <f t="shared" si="15"/>
        <v>10</v>
      </c>
      <c r="AO144">
        <f t="shared" si="16"/>
        <v>0</v>
      </c>
      <c r="AP144">
        <f t="shared" si="17"/>
        <v>73</v>
      </c>
    </row>
    <row r="145" spans="1:42" ht="15.75" hidden="1" customHeight="1" x14ac:dyDescent="0.3">
      <c r="A145" s="16"/>
      <c r="B145" s="55">
        <v>15</v>
      </c>
      <c r="C145" s="56" t="s">
        <v>163</v>
      </c>
      <c r="D145" s="55">
        <v>4</v>
      </c>
      <c r="E145" s="55" t="s">
        <v>20</v>
      </c>
      <c r="F145" s="18" t="s">
        <v>20</v>
      </c>
      <c r="G145" s="18" t="s">
        <v>21</v>
      </c>
      <c r="H145" s="18" t="s">
        <v>21</v>
      </c>
      <c r="I145" s="18" t="s">
        <v>20</v>
      </c>
      <c r="J145" s="43" t="s">
        <v>20</v>
      </c>
      <c r="K145" s="43" t="s">
        <v>20</v>
      </c>
      <c r="L145" s="43" t="s">
        <v>20</v>
      </c>
      <c r="M145" s="18" t="s">
        <v>21</v>
      </c>
      <c r="N145" s="18" t="s">
        <v>20</v>
      </c>
      <c r="O145" s="18" t="s">
        <v>20</v>
      </c>
      <c r="P145" s="18" t="s">
        <v>20</v>
      </c>
      <c r="Q145" s="18" t="s">
        <v>20</v>
      </c>
      <c r="R145" s="18" t="s">
        <v>20</v>
      </c>
      <c r="S145" s="18" t="s">
        <v>20</v>
      </c>
      <c r="T145" s="18" t="s">
        <v>20</v>
      </c>
      <c r="U145" s="18" t="s">
        <v>21</v>
      </c>
      <c r="V145" s="37" t="s">
        <v>20</v>
      </c>
      <c r="W145" s="37" t="s">
        <v>20</v>
      </c>
      <c r="X145" s="37" t="s">
        <v>20</v>
      </c>
      <c r="Y145" s="18" t="s">
        <v>20</v>
      </c>
      <c r="Z145" s="18" t="s">
        <v>21</v>
      </c>
      <c r="AA145" s="20" t="s">
        <v>21</v>
      </c>
      <c r="AB145" s="20" t="s">
        <v>20</v>
      </c>
      <c r="AC145" s="20" t="s">
        <v>20</v>
      </c>
      <c r="AD145" s="18" t="s">
        <v>20</v>
      </c>
      <c r="AE145" s="18" t="s">
        <v>21</v>
      </c>
      <c r="AG145">
        <f t="shared" si="9"/>
        <v>0</v>
      </c>
      <c r="AH145">
        <f t="shared" si="10"/>
        <v>19</v>
      </c>
      <c r="AI145">
        <f t="shared" si="11"/>
        <v>7</v>
      </c>
      <c r="AJ145">
        <f t="shared" si="12"/>
        <v>0</v>
      </c>
      <c r="AL145">
        <f t="shared" si="13"/>
        <v>0</v>
      </c>
      <c r="AM145">
        <f t="shared" si="14"/>
        <v>57</v>
      </c>
      <c r="AN145">
        <f t="shared" si="15"/>
        <v>14</v>
      </c>
      <c r="AO145">
        <f t="shared" si="16"/>
        <v>0</v>
      </c>
      <c r="AP145">
        <f t="shared" si="17"/>
        <v>71</v>
      </c>
    </row>
    <row r="146" spans="1:42" ht="15.75" hidden="1" customHeight="1" x14ac:dyDescent="0.3">
      <c r="A146" s="16"/>
      <c r="B146" s="55">
        <v>16</v>
      </c>
      <c r="C146" s="56" t="s">
        <v>164</v>
      </c>
      <c r="D146" s="55">
        <v>4</v>
      </c>
      <c r="E146" s="55" t="s">
        <v>20</v>
      </c>
      <c r="F146" s="18" t="s">
        <v>23</v>
      </c>
      <c r="G146" s="18" t="s">
        <v>23</v>
      </c>
      <c r="H146" s="18" t="s">
        <v>23</v>
      </c>
      <c r="I146" s="18" t="s">
        <v>21</v>
      </c>
      <c r="J146" s="43" t="s">
        <v>21</v>
      </c>
      <c r="K146" s="43" t="s">
        <v>21</v>
      </c>
      <c r="L146" s="43" t="s">
        <v>21</v>
      </c>
      <c r="M146" s="18" t="s">
        <v>21</v>
      </c>
      <c r="N146" s="18" t="s">
        <v>20</v>
      </c>
      <c r="O146" s="18" t="s">
        <v>21</v>
      </c>
      <c r="P146" s="18" t="s">
        <v>20</v>
      </c>
      <c r="Q146" s="18" t="s">
        <v>20</v>
      </c>
      <c r="R146" s="18" t="s">
        <v>20</v>
      </c>
      <c r="S146" s="18" t="s">
        <v>21</v>
      </c>
      <c r="T146" s="18" t="s">
        <v>21</v>
      </c>
      <c r="U146" s="18" t="s">
        <v>21</v>
      </c>
      <c r="V146" s="37" t="s">
        <v>20</v>
      </c>
      <c r="W146" s="37" t="s">
        <v>20</v>
      </c>
      <c r="X146" s="37" t="s">
        <v>20</v>
      </c>
      <c r="Y146" s="18" t="s">
        <v>21</v>
      </c>
      <c r="Z146" s="18" t="s">
        <v>21</v>
      </c>
      <c r="AA146" s="20" t="s">
        <v>21</v>
      </c>
      <c r="AB146" s="20" t="s">
        <v>21</v>
      </c>
      <c r="AC146" s="20" t="s">
        <v>21</v>
      </c>
      <c r="AD146" s="18" t="s">
        <v>23</v>
      </c>
      <c r="AE146" s="18" t="s">
        <v>21</v>
      </c>
      <c r="AG146">
        <f t="shared" si="9"/>
        <v>0</v>
      </c>
      <c r="AH146">
        <f t="shared" si="10"/>
        <v>7</v>
      </c>
      <c r="AI146">
        <f t="shared" si="11"/>
        <v>15</v>
      </c>
      <c r="AJ146">
        <f t="shared" si="12"/>
        <v>4</v>
      </c>
      <c r="AL146">
        <f t="shared" si="13"/>
        <v>0</v>
      </c>
      <c r="AM146">
        <f t="shared" si="14"/>
        <v>21</v>
      </c>
      <c r="AN146">
        <f t="shared" si="15"/>
        <v>30</v>
      </c>
      <c r="AO146">
        <f t="shared" si="16"/>
        <v>4</v>
      </c>
      <c r="AP146">
        <f t="shared" si="17"/>
        <v>55</v>
      </c>
    </row>
    <row r="147" spans="1:42" ht="15.75" hidden="1" customHeight="1" x14ac:dyDescent="0.3">
      <c r="A147" s="16"/>
      <c r="B147" s="55">
        <v>17</v>
      </c>
      <c r="C147" s="56" t="s">
        <v>165</v>
      </c>
      <c r="D147" s="55">
        <v>4</v>
      </c>
      <c r="E147" s="55" t="s">
        <v>20</v>
      </c>
      <c r="F147" s="18" t="s">
        <v>23</v>
      </c>
      <c r="G147" s="18" t="s">
        <v>21</v>
      </c>
      <c r="H147" s="18" t="s">
        <v>21</v>
      </c>
      <c r="I147" s="18" t="s">
        <v>21</v>
      </c>
      <c r="J147" s="43" t="s">
        <v>20</v>
      </c>
      <c r="K147" s="43" t="s">
        <v>20</v>
      </c>
      <c r="L147" s="43" t="s">
        <v>21</v>
      </c>
      <c r="M147" s="18" t="s">
        <v>21</v>
      </c>
      <c r="N147" s="18" t="s">
        <v>21</v>
      </c>
      <c r="O147" s="18" t="s">
        <v>20</v>
      </c>
      <c r="P147" s="18" t="s">
        <v>21</v>
      </c>
      <c r="Q147" s="18" t="s">
        <v>21</v>
      </c>
      <c r="R147" s="18" t="s">
        <v>21</v>
      </c>
      <c r="S147" s="18" t="s">
        <v>20</v>
      </c>
      <c r="T147" s="18" t="s">
        <v>20</v>
      </c>
      <c r="U147" s="18" t="s">
        <v>21</v>
      </c>
      <c r="V147" s="37" t="s">
        <v>21</v>
      </c>
      <c r="W147" s="37" t="s">
        <v>21</v>
      </c>
      <c r="X147" s="37" t="s">
        <v>21</v>
      </c>
      <c r="Y147" s="18" t="s">
        <v>20</v>
      </c>
      <c r="Z147" s="18" t="s">
        <v>20</v>
      </c>
      <c r="AA147" s="20" t="s">
        <v>21</v>
      </c>
      <c r="AB147" s="20" t="s">
        <v>21</v>
      </c>
      <c r="AC147" s="20" t="s">
        <v>20</v>
      </c>
      <c r="AD147" s="18" t="s">
        <v>20</v>
      </c>
      <c r="AE147" s="18" t="s">
        <v>21</v>
      </c>
      <c r="AG147">
        <f t="shared" si="9"/>
        <v>0</v>
      </c>
      <c r="AH147">
        <f t="shared" si="10"/>
        <v>9</v>
      </c>
      <c r="AI147">
        <f t="shared" si="11"/>
        <v>16</v>
      </c>
      <c r="AJ147">
        <f t="shared" si="12"/>
        <v>1</v>
      </c>
      <c r="AL147">
        <f t="shared" si="13"/>
        <v>0</v>
      </c>
      <c r="AM147">
        <f t="shared" si="14"/>
        <v>27</v>
      </c>
      <c r="AN147">
        <f t="shared" si="15"/>
        <v>32</v>
      </c>
      <c r="AO147">
        <f t="shared" si="16"/>
        <v>1</v>
      </c>
      <c r="AP147">
        <f t="shared" si="17"/>
        <v>60</v>
      </c>
    </row>
    <row r="148" spans="1:42" ht="15.75" hidden="1" customHeight="1" x14ac:dyDescent="0.3">
      <c r="A148" s="16"/>
      <c r="B148" s="55">
        <v>18</v>
      </c>
      <c r="C148" s="56" t="s">
        <v>166</v>
      </c>
      <c r="D148" s="55">
        <v>4</v>
      </c>
      <c r="E148" s="55" t="s">
        <v>20</v>
      </c>
      <c r="F148" s="18" t="s">
        <v>23</v>
      </c>
      <c r="G148" s="18" t="s">
        <v>23</v>
      </c>
      <c r="H148" s="18" t="s">
        <v>23</v>
      </c>
      <c r="I148" s="18" t="s">
        <v>23</v>
      </c>
      <c r="J148" s="43" t="s">
        <v>21</v>
      </c>
      <c r="K148" s="43" t="s">
        <v>21</v>
      </c>
      <c r="L148" s="43" t="s">
        <v>21</v>
      </c>
      <c r="M148" s="18" t="s">
        <v>21</v>
      </c>
      <c r="N148" s="18" t="s">
        <v>21</v>
      </c>
      <c r="O148" s="18" t="s">
        <v>21</v>
      </c>
      <c r="P148" s="18" t="s">
        <v>21</v>
      </c>
      <c r="Q148" s="18" t="s">
        <v>21</v>
      </c>
      <c r="R148" s="18" t="s">
        <v>21</v>
      </c>
      <c r="S148" s="18" t="s">
        <v>21</v>
      </c>
      <c r="T148" s="18" t="s">
        <v>20</v>
      </c>
      <c r="U148" s="18" t="s">
        <v>21</v>
      </c>
      <c r="V148" s="37" t="s">
        <v>20</v>
      </c>
      <c r="W148" s="37" t="s">
        <v>20</v>
      </c>
      <c r="X148" s="37" t="s">
        <v>20</v>
      </c>
      <c r="Y148" s="18" t="s">
        <v>20</v>
      </c>
      <c r="Z148" s="18" t="s">
        <v>21</v>
      </c>
      <c r="AA148" s="20" t="s">
        <v>21</v>
      </c>
      <c r="AB148" s="20" t="s">
        <v>20</v>
      </c>
      <c r="AC148" s="20" t="s">
        <v>21</v>
      </c>
      <c r="AD148" s="18" t="s">
        <v>21</v>
      </c>
      <c r="AE148" s="18" t="s">
        <v>21</v>
      </c>
      <c r="AG148">
        <f t="shared" si="9"/>
        <v>0</v>
      </c>
      <c r="AH148">
        <f t="shared" si="10"/>
        <v>6</v>
      </c>
      <c r="AI148">
        <f t="shared" si="11"/>
        <v>16</v>
      </c>
      <c r="AJ148">
        <f t="shared" si="12"/>
        <v>4</v>
      </c>
      <c r="AL148">
        <f t="shared" si="13"/>
        <v>0</v>
      </c>
      <c r="AM148">
        <f t="shared" si="14"/>
        <v>18</v>
      </c>
      <c r="AN148">
        <f t="shared" si="15"/>
        <v>32</v>
      </c>
      <c r="AO148">
        <f t="shared" si="16"/>
        <v>4</v>
      </c>
      <c r="AP148">
        <f t="shared" si="17"/>
        <v>54</v>
      </c>
    </row>
    <row r="149" spans="1:42" ht="15.75" hidden="1" customHeight="1" x14ac:dyDescent="0.3">
      <c r="A149" s="16"/>
      <c r="B149" s="55">
        <v>19</v>
      </c>
      <c r="C149" s="56" t="s">
        <v>167</v>
      </c>
      <c r="D149" s="55">
        <v>4</v>
      </c>
      <c r="E149" s="55" t="s">
        <v>20</v>
      </c>
      <c r="F149" s="18" t="s">
        <v>39</v>
      </c>
      <c r="G149" s="18" t="s">
        <v>39</v>
      </c>
      <c r="H149" s="18" t="s">
        <v>39</v>
      </c>
      <c r="I149" s="18" t="s">
        <v>39</v>
      </c>
      <c r="J149" s="43" t="s">
        <v>20</v>
      </c>
      <c r="K149" s="43" t="s">
        <v>20</v>
      </c>
      <c r="L149" s="43" t="s">
        <v>20</v>
      </c>
      <c r="M149" s="18" t="s">
        <v>20</v>
      </c>
      <c r="N149" s="18" t="s">
        <v>20</v>
      </c>
      <c r="O149" s="18" t="s">
        <v>20</v>
      </c>
      <c r="P149" s="18" t="s">
        <v>20</v>
      </c>
      <c r="Q149" s="18" t="s">
        <v>21</v>
      </c>
      <c r="R149" s="18" t="s">
        <v>20</v>
      </c>
      <c r="S149" s="18" t="s">
        <v>20</v>
      </c>
      <c r="T149" s="18" t="s">
        <v>20</v>
      </c>
      <c r="U149" s="18" t="s">
        <v>20</v>
      </c>
      <c r="V149" s="37" t="s">
        <v>20</v>
      </c>
      <c r="W149" s="37" t="s">
        <v>20</v>
      </c>
      <c r="X149" s="37" t="s">
        <v>20</v>
      </c>
      <c r="Y149" s="18" t="s">
        <v>20</v>
      </c>
      <c r="Z149" s="18" t="s">
        <v>20</v>
      </c>
      <c r="AA149" s="20" t="s">
        <v>20</v>
      </c>
      <c r="AB149" s="20" t="s">
        <v>20</v>
      </c>
      <c r="AC149" s="20" t="s">
        <v>20</v>
      </c>
      <c r="AD149" s="18" t="s">
        <v>20</v>
      </c>
      <c r="AE149" s="18" t="s">
        <v>21</v>
      </c>
      <c r="AG149">
        <f t="shared" si="9"/>
        <v>4</v>
      </c>
      <c r="AH149">
        <f t="shared" si="10"/>
        <v>20</v>
      </c>
      <c r="AI149">
        <f t="shared" si="11"/>
        <v>2</v>
      </c>
      <c r="AJ149">
        <f t="shared" si="12"/>
        <v>0</v>
      </c>
      <c r="AL149">
        <f t="shared" si="13"/>
        <v>16</v>
      </c>
      <c r="AM149">
        <f t="shared" si="14"/>
        <v>60</v>
      </c>
      <c r="AN149">
        <f t="shared" si="15"/>
        <v>4</v>
      </c>
      <c r="AO149">
        <f t="shared" si="16"/>
        <v>0</v>
      </c>
      <c r="AP149">
        <f t="shared" si="17"/>
        <v>80</v>
      </c>
    </row>
    <row r="150" spans="1:42" ht="15.75" hidden="1" customHeight="1" x14ac:dyDescent="0.3">
      <c r="A150" s="16"/>
      <c r="B150" s="55">
        <v>20</v>
      </c>
      <c r="C150" s="56" t="s">
        <v>168</v>
      </c>
      <c r="D150" s="55">
        <v>4</v>
      </c>
      <c r="E150" s="55" t="s">
        <v>20</v>
      </c>
      <c r="F150" s="18" t="s">
        <v>21</v>
      </c>
      <c r="G150" s="18" t="s">
        <v>23</v>
      </c>
      <c r="H150" s="18" t="s">
        <v>21</v>
      </c>
      <c r="I150" s="18" t="s">
        <v>21</v>
      </c>
      <c r="J150" s="43" t="s">
        <v>20</v>
      </c>
      <c r="K150" s="43" t="s">
        <v>21</v>
      </c>
      <c r="L150" s="43" t="s">
        <v>21</v>
      </c>
      <c r="M150" s="18" t="s">
        <v>21</v>
      </c>
      <c r="N150" s="18" t="s">
        <v>20</v>
      </c>
      <c r="O150" s="18" t="s">
        <v>21</v>
      </c>
      <c r="P150" s="18" t="s">
        <v>20</v>
      </c>
      <c r="Q150" s="18" t="s">
        <v>21</v>
      </c>
      <c r="R150" s="18" t="s">
        <v>20</v>
      </c>
      <c r="S150" s="18" t="s">
        <v>20</v>
      </c>
      <c r="T150" s="18" t="s">
        <v>20</v>
      </c>
      <c r="U150" s="18" t="s">
        <v>20</v>
      </c>
      <c r="V150" s="37" t="s">
        <v>20</v>
      </c>
      <c r="W150" s="37" t="s">
        <v>20</v>
      </c>
      <c r="X150" s="37" t="s">
        <v>20</v>
      </c>
      <c r="Y150" s="18" t="s">
        <v>21</v>
      </c>
      <c r="Z150" s="18" t="s">
        <v>21</v>
      </c>
      <c r="AA150" s="20" t="s">
        <v>21</v>
      </c>
      <c r="AB150" s="20" t="s">
        <v>21</v>
      </c>
      <c r="AC150" s="20" t="s">
        <v>21</v>
      </c>
      <c r="AD150" s="18" t="s">
        <v>20</v>
      </c>
      <c r="AE150" s="18" t="s">
        <v>21</v>
      </c>
      <c r="AG150">
        <f t="shared" si="9"/>
        <v>0</v>
      </c>
      <c r="AH150">
        <f t="shared" si="10"/>
        <v>11</v>
      </c>
      <c r="AI150">
        <f t="shared" si="11"/>
        <v>14</v>
      </c>
      <c r="AJ150">
        <f t="shared" si="12"/>
        <v>1</v>
      </c>
      <c r="AL150">
        <f t="shared" si="13"/>
        <v>0</v>
      </c>
      <c r="AM150">
        <f t="shared" si="14"/>
        <v>33</v>
      </c>
      <c r="AN150">
        <f t="shared" si="15"/>
        <v>28</v>
      </c>
      <c r="AO150">
        <f t="shared" si="16"/>
        <v>1</v>
      </c>
      <c r="AP150">
        <f t="shared" si="17"/>
        <v>62</v>
      </c>
    </row>
    <row r="151" spans="1:42" ht="15.75" hidden="1" customHeight="1" x14ac:dyDescent="0.3">
      <c r="A151" s="16"/>
      <c r="B151" s="55">
        <v>21</v>
      </c>
      <c r="C151" s="56" t="s">
        <v>169</v>
      </c>
      <c r="D151" s="55">
        <v>4</v>
      </c>
      <c r="E151" s="55" t="s">
        <v>20</v>
      </c>
      <c r="F151" s="18" t="s">
        <v>21</v>
      </c>
      <c r="G151" s="18" t="s">
        <v>21</v>
      </c>
      <c r="H151" s="18" t="s">
        <v>20</v>
      </c>
      <c r="I151" s="18" t="s">
        <v>20</v>
      </c>
      <c r="J151" s="43" t="s">
        <v>20</v>
      </c>
      <c r="K151" s="43" t="s">
        <v>20</v>
      </c>
      <c r="L151" s="43" t="s">
        <v>21</v>
      </c>
      <c r="M151" s="18" t="s">
        <v>21</v>
      </c>
      <c r="N151" s="18" t="s">
        <v>20</v>
      </c>
      <c r="O151" s="18" t="s">
        <v>20</v>
      </c>
      <c r="P151" s="18" t="s">
        <v>20</v>
      </c>
      <c r="Q151" s="18" t="s">
        <v>20</v>
      </c>
      <c r="R151" s="18" t="s">
        <v>20</v>
      </c>
      <c r="S151" s="18" t="s">
        <v>20</v>
      </c>
      <c r="T151" s="18" t="s">
        <v>20</v>
      </c>
      <c r="U151" s="18" t="s">
        <v>20</v>
      </c>
      <c r="V151" s="37" t="s">
        <v>20</v>
      </c>
      <c r="W151" s="37" t="s">
        <v>20</v>
      </c>
      <c r="X151" s="37" t="s">
        <v>20</v>
      </c>
      <c r="Y151" s="18" t="s">
        <v>21</v>
      </c>
      <c r="Z151" s="18" t="s">
        <v>21</v>
      </c>
      <c r="AA151" s="20" t="s">
        <v>20</v>
      </c>
      <c r="AB151" s="20" t="s">
        <v>20</v>
      </c>
      <c r="AC151" s="20" t="s">
        <v>21</v>
      </c>
      <c r="AD151" s="18" t="s">
        <v>21</v>
      </c>
      <c r="AE151" s="18" t="s">
        <v>21</v>
      </c>
      <c r="AG151">
        <f t="shared" si="9"/>
        <v>0</v>
      </c>
      <c r="AH151">
        <f t="shared" si="10"/>
        <v>17</v>
      </c>
      <c r="AI151">
        <f t="shared" si="11"/>
        <v>9</v>
      </c>
      <c r="AJ151">
        <f t="shared" si="12"/>
        <v>0</v>
      </c>
      <c r="AL151">
        <f t="shared" si="13"/>
        <v>0</v>
      </c>
      <c r="AM151">
        <f t="shared" si="14"/>
        <v>51</v>
      </c>
      <c r="AN151">
        <f t="shared" si="15"/>
        <v>18</v>
      </c>
      <c r="AO151">
        <f t="shared" si="16"/>
        <v>0</v>
      </c>
      <c r="AP151">
        <f t="shared" si="17"/>
        <v>69</v>
      </c>
    </row>
    <row r="152" spans="1:42" ht="15.75" hidden="1" customHeight="1" x14ac:dyDescent="0.3">
      <c r="A152" s="16"/>
      <c r="B152" s="55">
        <v>22</v>
      </c>
      <c r="C152" s="56" t="s">
        <v>170</v>
      </c>
      <c r="D152" s="55">
        <v>4</v>
      </c>
      <c r="E152" s="55" t="s">
        <v>20</v>
      </c>
      <c r="F152" s="18" t="s">
        <v>20</v>
      </c>
      <c r="G152" s="18" t="s">
        <v>20</v>
      </c>
      <c r="H152" s="18" t="s">
        <v>20</v>
      </c>
      <c r="I152" s="18" t="s">
        <v>20</v>
      </c>
      <c r="J152" s="43" t="s">
        <v>20</v>
      </c>
      <c r="K152" s="43" t="s">
        <v>20</v>
      </c>
      <c r="L152" s="43" t="s">
        <v>21</v>
      </c>
      <c r="M152" s="18" t="s">
        <v>21</v>
      </c>
      <c r="N152" s="18" t="s">
        <v>20</v>
      </c>
      <c r="O152" s="18" t="s">
        <v>20</v>
      </c>
      <c r="P152" s="18" t="s">
        <v>21</v>
      </c>
      <c r="Q152" s="18" t="s">
        <v>21</v>
      </c>
      <c r="R152" s="18" t="s">
        <v>21</v>
      </c>
      <c r="S152" s="18" t="s">
        <v>20</v>
      </c>
      <c r="T152" s="18" t="s">
        <v>20</v>
      </c>
      <c r="U152" s="18" t="s">
        <v>21</v>
      </c>
      <c r="V152" s="37" t="s">
        <v>20</v>
      </c>
      <c r="W152" s="37" t="s">
        <v>20</v>
      </c>
      <c r="X152" s="37" t="s">
        <v>20</v>
      </c>
      <c r="Y152" s="18" t="s">
        <v>21</v>
      </c>
      <c r="Z152" s="18" t="s">
        <v>20</v>
      </c>
      <c r="AA152" s="20" t="s">
        <v>21</v>
      </c>
      <c r="AB152" s="20" t="s">
        <v>21</v>
      </c>
      <c r="AC152" s="20" t="s">
        <v>21</v>
      </c>
      <c r="AD152" s="18" t="s">
        <v>21</v>
      </c>
      <c r="AE152" s="18" t="s">
        <v>21</v>
      </c>
      <c r="AG152">
        <f t="shared" si="9"/>
        <v>0</v>
      </c>
      <c r="AH152">
        <f t="shared" si="10"/>
        <v>14</v>
      </c>
      <c r="AI152">
        <f t="shared" si="11"/>
        <v>12</v>
      </c>
      <c r="AJ152">
        <f t="shared" si="12"/>
        <v>0</v>
      </c>
      <c r="AL152">
        <f t="shared" si="13"/>
        <v>0</v>
      </c>
      <c r="AM152">
        <f t="shared" si="14"/>
        <v>42</v>
      </c>
      <c r="AN152">
        <f t="shared" si="15"/>
        <v>24</v>
      </c>
      <c r="AO152">
        <f t="shared" si="16"/>
        <v>0</v>
      </c>
      <c r="AP152">
        <f t="shared" si="17"/>
        <v>66</v>
      </c>
    </row>
    <row r="153" spans="1:42" ht="15.75" hidden="1" customHeight="1" thickBot="1" x14ac:dyDescent="0.35">
      <c r="A153" s="16"/>
      <c r="B153" s="57">
        <v>23</v>
      </c>
      <c r="C153" s="58" t="s">
        <v>171</v>
      </c>
      <c r="D153" s="57">
        <v>4</v>
      </c>
      <c r="E153" s="57" t="s">
        <v>20</v>
      </c>
      <c r="F153" s="21" t="s">
        <v>20</v>
      </c>
      <c r="G153" s="21" t="s">
        <v>20</v>
      </c>
      <c r="H153" s="21" t="s">
        <v>20</v>
      </c>
      <c r="I153" s="21" t="s">
        <v>20</v>
      </c>
      <c r="J153" s="45" t="s">
        <v>20</v>
      </c>
      <c r="K153" s="45" t="s">
        <v>20</v>
      </c>
      <c r="L153" s="45" t="s">
        <v>20</v>
      </c>
      <c r="M153" s="21" t="s">
        <v>21</v>
      </c>
      <c r="N153" s="21" t="s">
        <v>20</v>
      </c>
      <c r="O153" s="21" t="s">
        <v>20</v>
      </c>
      <c r="P153" s="21" t="s">
        <v>21</v>
      </c>
      <c r="Q153" s="21" t="s">
        <v>21</v>
      </c>
      <c r="R153" s="21" t="s">
        <v>21</v>
      </c>
      <c r="S153" s="21" t="s">
        <v>20</v>
      </c>
      <c r="T153" s="21" t="s">
        <v>20</v>
      </c>
      <c r="U153" s="21" t="s">
        <v>20</v>
      </c>
      <c r="V153" s="48" t="s">
        <v>20</v>
      </c>
      <c r="W153" s="38" t="s">
        <v>20</v>
      </c>
      <c r="X153" s="48" t="s">
        <v>20</v>
      </c>
      <c r="Y153" s="21" t="s">
        <v>21</v>
      </c>
      <c r="Z153" s="21" t="s">
        <v>21</v>
      </c>
      <c r="AA153" s="23" t="s">
        <v>21</v>
      </c>
      <c r="AB153" s="23" t="s">
        <v>20</v>
      </c>
      <c r="AC153" s="23" t="s">
        <v>20</v>
      </c>
      <c r="AD153" s="21" t="s">
        <v>20</v>
      </c>
      <c r="AE153" s="21" t="s">
        <v>21</v>
      </c>
      <c r="AG153">
        <f t="shared" si="9"/>
        <v>0</v>
      </c>
      <c r="AH153">
        <f t="shared" si="10"/>
        <v>18</v>
      </c>
      <c r="AI153">
        <f t="shared" si="11"/>
        <v>8</v>
      </c>
      <c r="AJ153">
        <f t="shared" si="12"/>
        <v>0</v>
      </c>
      <c r="AL153">
        <f t="shared" si="13"/>
        <v>0</v>
      </c>
      <c r="AM153">
        <f t="shared" si="14"/>
        <v>54</v>
      </c>
      <c r="AN153">
        <f t="shared" si="15"/>
        <v>16</v>
      </c>
      <c r="AO153">
        <f t="shared" si="16"/>
        <v>0</v>
      </c>
      <c r="AP153">
        <f t="shared" si="17"/>
        <v>70</v>
      </c>
    </row>
    <row r="154" spans="1:42" ht="15.75" hidden="1" customHeight="1" x14ac:dyDescent="0.3">
      <c r="A154" s="16"/>
      <c r="B154" s="59">
        <v>1</v>
      </c>
      <c r="C154" s="60" t="s">
        <v>172</v>
      </c>
      <c r="D154" s="59">
        <v>4</v>
      </c>
      <c r="E154" s="59" t="s">
        <v>21</v>
      </c>
      <c r="F154" s="24" t="s">
        <v>23</v>
      </c>
      <c r="G154" s="24" t="s">
        <v>21</v>
      </c>
      <c r="H154" s="24" t="s">
        <v>23</v>
      </c>
      <c r="I154" s="24" t="s">
        <v>23</v>
      </c>
      <c r="J154" s="42" t="s">
        <v>20</v>
      </c>
      <c r="K154" s="42" t="s">
        <v>21</v>
      </c>
      <c r="L154" s="42" t="s">
        <v>21</v>
      </c>
      <c r="M154" s="24" t="s">
        <v>21</v>
      </c>
      <c r="N154" s="24" t="s">
        <v>20</v>
      </c>
      <c r="O154" s="24" t="s">
        <v>20</v>
      </c>
      <c r="P154" s="24" t="s">
        <v>20</v>
      </c>
      <c r="Q154" s="24" t="s">
        <v>21</v>
      </c>
      <c r="R154" s="24" t="s">
        <v>21</v>
      </c>
      <c r="S154" s="24" t="s">
        <v>21</v>
      </c>
      <c r="T154" s="24" t="s">
        <v>20</v>
      </c>
      <c r="U154" s="24" t="s">
        <v>20</v>
      </c>
      <c r="V154" s="39" t="s">
        <v>20</v>
      </c>
      <c r="W154" s="39" t="s">
        <v>20</v>
      </c>
      <c r="X154" s="39" t="s">
        <v>20</v>
      </c>
      <c r="Y154" s="24" t="s">
        <v>23</v>
      </c>
      <c r="Z154" s="24" t="s">
        <v>21</v>
      </c>
      <c r="AA154" s="27" t="s">
        <v>21</v>
      </c>
      <c r="AB154" s="27" t="s">
        <v>20</v>
      </c>
      <c r="AC154" s="27" t="s">
        <v>21</v>
      </c>
      <c r="AD154" s="24" t="s">
        <v>23</v>
      </c>
      <c r="AE154" s="24" t="s">
        <v>21</v>
      </c>
      <c r="AG154">
        <f t="shared" si="9"/>
        <v>0</v>
      </c>
      <c r="AH154">
        <f t="shared" si="10"/>
        <v>10</v>
      </c>
      <c r="AI154">
        <f t="shared" si="11"/>
        <v>11</v>
      </c>
      <c r="AJ154">
        <f t="shared" si="12"/>
        <v>5</v>
      </c>
      <c r="AL154">
        <f t="shared" si="13"/>
        <v>0</v>
      </c>
      <c r="AM154">
        <f t="shared" si="14"/>
        <v>30</v>
      </c>
      <c r="AN154">
        <f t="shared" si="15"/>
        <v>22</v>
      </c>
      <c r="AO154">
        <f t="shared" si="16"/>
        <v>5</v>
      </c>
      <c r="AP154">
        <f t="shared" si="17"/>
        <v>57</v>
      </c>
    </row>
    <row r="155" spans="1:42" ht="15.75" hidden="1" customHeight="1" x14ac:dyDescent="0.3">
      <c r="A155" s="16"/>
      <c r="B155" s="55">
        <v>2</v>
      </c>
      <c r="C155" s="56" t="s">
        <v>173</v>
      </c>
      <c r="D155" s="55">
        <v>4</v>
      </c>
      <c r="E155" s="55" t="s">
        <v>21</v>
      </c>
      <c r="F155" s="18" t="s">
        <v>21</v>
      </c>
      <c r="G155" s="18" t="s">
        <v>21</v>
      </c>
      <c r="H155" s="18" t="s">
        <v>21</v>
      </c>
      <c r="I155" s="18" t="s">
        <v>21</v>
      </c>
      <c r="J155" s="43" t="s">
        <v>21</v>
      </c>
      <c r="K155" s="43" t="s">
        <v>21</v>
      </c>
      <c r="L155" s="43" t="s">
        <v>21</v>
      </c>
      <c r="M155" s="18" t="s">
        <v>21</v>
      </c>
      <c r="N155" s="18" t="s">
        <v>20</v>
      </c>
      <c r="O155" s="18" t="s">
        <v>20</v>
      </c>
      <c r="P155" s="18" t="s">
        <v>21</v>
      </c>
      <c r="Q155" s="18" t="s">
        <v>21</v>
      </c>
      <c r="R155" s="18" t="s">
        <v>21</v>
      </c>
      <c r="S155" s="18" t="s">
        <v>20</v>
      </c>
      <c r="T155" s="18" t="s">
        <v>21</v>
      </c>
      <c r="U155" s="18" t="s">
        <v>21</v>
      </c>
      <c r="V155" s="37" t="s">
        <v>21</v>
      </c>
      <c r="W155" s="37" t="s">
        <v>20</v>
      </c>
      <c r="X155" s="37" t="s">
        <v>21</v>
      </c>
      <c r="Y155" s="18" t="s">
        <v>20</v>
      </c>
      <c r="Z155" s="18" t="s">
        <v>20</v>
      </c>
      <c r="AA155" s="20" t="s">
        <v>20</v>
      </c>
      <c r="AB155" s="20" t="s">
        <v>20</v>
      </c>
      <c r="AC155" s="20" t="s">
        <v>20</v>
      </c>
      <c r="AD155" s="18" t="s">
        <v>20</v>
      </c>
      <c r="AE155" s="18" t="s">
        <v>21</v>
      </c>
      <c r="AG155">
        <f t="shared" ref="AG155:AG218" si="18">+COUNTIF(F155:AE155,"AD")</f>
        <v>0</v>
      </c>
      <c r="AH155">
        <f t="shared" ref="AH155:AH218" si="19">+COUNTIF(F155:AE155,"A")</f>
        <v>10</v>
      </c>
      <c r="AI155">
        <f t="shared" ref="AI155:AI218" si="20">+COUNTIF(F155:AE155,"b")</f>
        <v>16</v>
      </c>
      <c r="AJ155">
        <f t="shared" ref="AJ155:AJ218" si="21">+COUNTIF(F155:AE155,"c")</f>
        <v>0</v>
      </c>
      <c r="AL155">
        <f t="shared" ref="AL155:AL218" si="22">+$AG$5*AG155</f>
        <v>0</v>
      </c>
      <c r="AM155">
        <f t="shared" ref="AM155:AM218" si="23">+$AH$5*AH155</f>
        <v>30</v>
      </c>
      <c r="AN155">
        <f t="shared" ref="AN155:AN218" si="24">+$AI$5*AI155</f>
        <v>32</v>
      </c>
      <c r="AO155">
        <f t="shared" ref="AO155:AO218" si="25">+$AJ$5*AJ155</f>
        <v>0</v>
      </c>
      <c r="AP155">
        <f t="shared" ref="AP155:AP218" si="26">+SUM(AL155:AO155)</f>
        <v>62</v>
      </c>
    </row>
    <row r="156" spans="1:42" ht="15.75" hidden="1" customHeight="1" x14ac:dyDescent="0.3">
      <c r="A156" s="16"/>
      <c r="B156" s="55">
        <v>3</v>
      </c>
      <c r="C156" s="56" t="s">
        <v>174</v>
      </c>
      <c r="D156" s="55">
        <v>4</v>
      </c>
      <c r="E156" s="55" t="s">
        <v>21</v>
      </c>
      <c r="F156" s="18" t="s">
        <v>39</v>
      </c>
      <c r="G156" s="18" t="s">
        <v>20</v>
      </c>
      <c r="H156" s="18" t="s">
        <v>39</v>
      </c>
      <c r="I156" s="18" t="s">
        <v>20</v>
      </c>
      <c r="J156" s="43" t="s">
        <v>20</v>
      </c>
      <c r="K156" s="43" t="s">
        <v>20</v>
      </c>
      <c r="L156" s="43" t="s">
        <v>20</v>
      </c>
      <c r="M156" s="18" t="s">
        <v>20</v>
      </c>
      <c r="N156" s="18" t="s">
        <v>20</v>
      </c>
      <c r="O156" s="18" t="s">
        <v>20</v>
      </c>
      <c r="P156" s="18" t="s">
        <v>20</v>
      </c>
      <c r="Q156" s="18" t="s">
        <v>20</v>
      </c>
      <c r="R156" s="18" t="s">
        <v>20</v>
      </c>
      <c r="S156" s="18" t="s">
        <v>20</v>
      </c>
      <c r="T156" s="18" t="s">
        <v>20</v>
      </c>
      <c r="U156" s="18" t="s">
        <v>20</v>
      </c>
      <c r="V156" s="37" t="s">
        <v>20</v>
      </c>
      <c r="W156" s="37" t="s">
        <v>20</v>
      </c>
      <c r="X156" s="37" t="s">
        <v>20</v>
      </c>
      <c r="Y156" s="18" t="s">
        <v>20</v>
      </c>
      <c r="Z156" s="18" t="s">
        <v>20</v>
      </c>
      <c r="AA156" s="20" t="s">
        <v>20</v>
      </c>
      <c r="AB156" s="20" t="s">
        <v>20</v>
      </c>
      <c r="AC156" s="20" t="s">
        <v>20</v>
      </c>
      <c r="AD156" s="18" t="s">
        <v>21</v>
      </c>
      <c r="AE156" s="18" t="s">
        <v>21</v>
      </c>
      <c r="AG156">
        <f t="shared" si="18"/>
        <v>2</v>
      </c>
      <c r="AH156">
        <f t="shared" si="19"/>
        <v>22</v>
      </c>
      <c r="AI156">
        <f t="shared" si="20"/>
        <v>2</v>
      </c>
      <c r="AJ156">
        <f t="shared" si="21"/>
        <v>0</v>
      </c>
      <c r="AL156">
        <f t="shared" si="22"/>
        <v>8</v>
      </c>
      <c r="AM156">
        <f t="shared" si="23"/>
        <v>66</v>
      </c>
      <c r="AN156">
        <f t="shared" si="24"/>
        <v>4</v>
      </c>
      <c r="AO156">
        <f t="shared" si="25"/>
        <v>0</v>
      </c>
      <c r="AP156">
        <f t="shared" si="26"/>
        <v>78</v>
      </c>
    </row>
    <row r="157" spans="1:42" ht="15.75" hidden="1" customHeight="1" x14ac:dyDescent="0.3">
      <c r="A157" s="16"/>
      <c r="B157" s="55">
        <v>4</v>
      </c>
      <c r="C157" s="56" t="s">
        <v>175</v>
      </c>
      <c r="D157" s="55">
        <v>4</v>
      </c>
      <c r="E157" s="55" t="s">
        <v>21</v>
      </c>
      <c r="F157" s="18" t="s">
        <v>20</v>
      </c>
      <c r="G157" s="18" t="s">
        <v>20</v>
      </c>
      <c r="H157" s="18" t="s">
        <v>20</v>
      </c>
      <c r="I157" s="18" t="s">
        <v>20</v>
      </c>
      <c r="J157" s="43" t="s">
        <v>20</v>
      </c>
      <c r="K157" s="43" t="s">
        <v>20</v>
      </c>
      <c r="L157" s="43" t="s">
        <v>21</v>
      </c>
      <c r="M157" s="18" t="s">
        <v>20</v>
      </c>
      <c r="N157" s="18" t="s">
        <v>20</v>
      </c>
      <c r="O157" s="18" t="s">
        <v>20</v>
      </c>
      <c r="P157" s="18" t="s">
        <v>21</v>
      </c>
      <c r="Q157" s="18" t="s">
        <v>21</v>
      </c>
      <c r="R157" s="18" t="s">
        <v>21</v>
      </c>
      <c r="S157" s="18" t="s">
        <v>21</v>
      </c>
      <c r="T157" s="18" t="s">
        <v>21</v>
      </c>
      <c r="U157" s="18" t="s">
        <v>21</v>
      </c>
      <c r="V157" s="37" t="s">
        <v>20</v>
      </c>
      <c r="W157" s="37" t="s">
        <v>20</v>
      </c>
      <c r="X157" s="37" t="s">
        <v>20</v>
      </c>
      <c r="Y157" s="18" t="s">
        <v>20</v>
      </c>
      <c r="Z157" s="18" t="s">
        <v>20</v>
      </c>
      <c r="AA157" s="20" t="s">
        <v>20</v>
      </c>
      <c r="AB157" s="20" t="s">
        <v>21</v>
      </c>
      <c r="AC157" s="20" t="s">
        <v>21</v>
      </c>
      <c r="AD157" s="18" t="s">
        <v>21</v>
      </c>
      <c r="AE157" s="18" t="s">
        <v>21</v>
      </c>
      <c r="AG157">
        <f t="shared" si="18"/>
        <v>0</v>
      </c>
      <c r="AH157">
        <f t="shared" si="19"/>
        <v>15</v>
      </c>
      <c r="AI157">
        <f t="shared" si="20"/>
        <v>11</v>
      </c>
      <c r="AJ157">
        <f t="shared" si="21"/>
        <v>0</v>
      </c>
      <c r="AL157">
        <f t="shared" si="22"/>
        <v>0</v>
      </c>
      <c r="AM157">
        <f t="shared" si="23"/>
        <v>45</v>
      </c>
      <c r="AN157">
        <f t="shared" si="24"/>
        <v>22</v>
      </c>
      <c r="AO157">
        <f t="shared" si="25"/>
        <v>0</v>
      </c>
      <c r="AP157">
        <f t="shared" si="26"/>
        <v>67</v>
      </c>
    </row>
    <row r="158" spans="1:42" ht="15.75" hidden="1" customHeight="1" x14ac:dyDescent="0.3">
      <c r="A158" s="16"/>
      <c r="B158" s="55">
        <v>5</v>
      </c>
      <c r="C158" s="56" t="s">
        <v>176</v>
      </c>
      <c r="D158" s="55">
        <v>4</v>
      </c>
      <c r="E158" s="55" t="s">
        <v>21</v>
      </c>
      <c r="F158" s="18" t="s">
        <v>39</v>
      </c>
      <c r="G158" s="18" t="s">
        <v>20</v>
      </c>
      <c r="H158" s="18" t="s">
        <v>20</v>
      </c>
      <c r="I158" s="18" t="s">
        <v>20</v>
      </c>
      <c r="J158" s="43" t="s">
        <v>20</v>
      </c>
      <c r="K158" s="43" t="s">
        <v>20</v>
      </c>
      <c r="L158" s="43" t="s">
        <v>20</v>
      </c>
      <c r="M158" s="18" t="s">
        <v>20</v>
      </c>
      <c r="N158" s="18" t="s">
        <v>20</v>
      </c>
      <c r="O158" s="18" t="s">
        <v>20</v>
      </c>
      <c r="P158" s="18" t="s">
        <v>20</v>
      </c>
      <c r="Q158" s="18" t="s">
        <v>20</v>
      </c>
      <c r="R158" s="18" t="s">
        <v>20</v>
      </c>
      <c r="S158" s="18" t="s">
        <v>20</v>
      </c>
      <c r="T158" s="18" t="s">
        <v>20</v>
      </c>
      <c r="U158" s="18" t="s">
        <v>20</v>
      </c>
      <c r="V158" s="37" t="s">
        <v>20</v>
      </c>
      <c r="W158" s="37" t="s">
        <v>20</v>
      </c>
      <c r="X158" s="37" t="s">
        <v>20</v>
      </c>
      <c r="Y158" s="18" t="s">
        <v>20</v>
      </c>
      <c r="Z158" s="18" t="s">
        <v>20</v>
      </c>
      <c r="AA158" s="20" t="s">
        <v>20</v>
      </c>
      <c r="AB158" s="20" t="s">
        <v>20</v>
      </c>
      <c r="AC158" s="20" t="s">
        <v>20</v>
      </c>
      <c r="AD158" s="18" t="s">
        <v>20</v>
      </c>
      <c r="AE158" s="18" t="s">
        <v>21</v>
      </c>
      <c r="AG158">
        <f t="shared" si="18"/>
        <v>1</v>
      </c>
      <c r="AH158">
        <f t="shared" si="19"/>
        <v>24</v>
      </c>
      <c r="AI158">
        <f t="shared" si="20"/>
        <v>1</v>
      </c>
      <c r="AJ158">
        <f t="shared" si="21"/>
        <v>0</v>
      </c>
      <c r="AL158">
        <f t="shared" si="22"/>
        <v>4</v>
      </c>
      <c r="AM158">
        <f t="shared" si="23"/>
        <v>72</v>
      </c>
      <c r="AN158">
        <f t="shared" si="24"/>
        <v>2</v>
      </c>
      <c r="AO158">
        <f t="shared" si="25"/>
        <v>0</v>
      </c>
      <c r="AP158">
        <f t="shared" si="26"/>
        <v>78</v>
      </c>
    </row>
    <row r="159" spans="1:42" ht="15.75" hidden="1" customHeight="1" x14ac:dyDescent="0.3">
      <c r="A159" s="16"/>
      <c r="B159" s="55">
        <v>6</v>
      </c>
      <c r="C159" s="56" t="s">
        <v>177</v>
      </c>
      <c r="D159" s="55">
        <v>4</v>
      </c>
      <c r="E159" s="55" t="s">
        <v>21</v>
      </c>
      <c r="F159" s="18" t="s">
        <v>20</v>
      </c>
      <c r="G159" s="18" t="s">
        <v>20</v>
      </c>
      <c r="H159" s="18" t="s">
        <v>20</v>
      </c>
      <c r="I159" s="18" t="s">
        <v>20</v>
      </c>
      <c r="J159" s="43" t="s">
        <v>20</v>
      </c>
      <c r="K159" s="43" t="s">
        <v>20</v>
      </c>
      <c r="L159" s="43" t="s">
        <v>20</v>
      </c>
      <c r="M159" s="18" t="s">
        <v>20</v>
      </c>
      <c r="N159" s="18" t="s">
        <v>20</v>
      </c>
      <c r="O159" s="18" t="s">
        <v>21</v>
      </c>
      <c r="P159" s="18" t="s">
        <v>21</v>
      </c>
      <c r="Q159" s="18" t="s">
        <v>21</v>
      </c>
      <c r="R159" s="18" t="s">
        <v>21</v>
      </c>
      <c r="S159" s="18" t="s">
        <v>20</v>
      </c>
      <c r="T159" s="18" t="s">
        <v>20</v>
      </c>
      <c r="U159" s="18" t="s">
        <v>21</v>
      </c>
      <c r="V159" s="37" t="s">
        <v>20</v>
      </c>
      <c r="W159" s="37" t="s">
        <v>20</v>
      </c>
      <c r="X159" s="37" t="s">
        <v>20</v>
      </c>
      <c r="Y159" s="18" t="s">
        <v>20</v>
      </c>
      <c r="Z159" s="18" t="s">
        <v>20</v>
      </c>
      <c r="AA159" s="20" t="s">
        <v>21</v>
      </c>
      <c r="AB159" s="20" t="s">
        <v>20</v>
      </c>
      <c r="AC159" s="20" t="s">
        <v>20</v>
      </c>
      <c r="AD159" s="18" t="s">
        <v>20</v>
      </c>
      <c r="AE159" s="18" t="s">
        <v>21</v>
      </c>
      <c r="AG159">
        <f t="shared" si="18"/>
        <v>0</v>
      </c>
      <c r="AH159">
        <f t="shared" si="19"/>
        <v>19</v>
      </c>
      <c r="AI159">
        <f t="shared" si="20"/>
        <v>7</v>
      </c>
      <c r="AJ159">
        <f t="shared" si="21"/>
        <v>0</v>
      </c>
      <c r="AL159">
        <f t="shared" si="22"/>
        <v>0</v>
      </c>
      <c r="AM159">
        <f t="shared" si="23"/>
        <v>57</v>
      </c>
      <c r="AN159">
        <f t="shared" si="24"/>
        <v>14</v>
      </c>
      <c r="AO159">
        <f t="shared" si="25"/>
        <v>0</v>
      </c>
      <c r="AP159">
        <f t="shared" si="26"/>
        <v>71</v>
      </c>
    </row>
    <row r="160" spans="1:42" ht="15.75" hidden="1" customHeight="1" x14ac:dyDescent="0.3">
      <c r="A160" s="16"/>
      <c r="B160" s="55">
        <v>7</v>
      </c>
      <c r="C160" s="56" t="s">
        <v>178</v>
      </c>
      <c r="D160" s="55">
        <v>4</v>
      </c>
      <c r="E160" s="55" t="s">
        <v>21</v>
      </c>
      <c r="F160" s="18" t="s">
        <v>21</v>
      </c>
      <c r="G160" s="18" t="s">
        <v>20</v>
      </c>
      <c r="H160" s="18" t="s">
        <v>20</v>
      </c>
      <c r="I160" s="18" t="s">
        <v>21</v>
      </c>
      <c r="J160" s="43" t="s">
        <v>20</v>
      </c>
      <c r="K160" s="43" t="s">
        <v>21</v>
      </c>
      <c r="L160" s="43" t="s">
        <v>21</v>
      </c>
      <c r="M160" s="18" t="s">
        <v>20</v>
      </c>
      <c r="N160" s="18" t="s">
        <v>20</v>
      </c>
      <c r="O160" s="18" t="s">
        <v>20</v>
      </c>
      <c r="P160" s="18" t="s">
        <v>21</v>
      </c>
      <c r="Q160" s="18" t="s">
        <v>21</v>
      </c>
      <c r="R160" s="18" t="s">
        <v>21</v>
      </c>
      <c r="S160" s="18" t="s">
        <v>20</v>
      </c>
      <c r="T160" s="18" t="s">
        <v>20</v>
      </c>
      <c r="U160" s="18" t="s">
        <v>21</v>
      </c>
      <c r="V160" s="37" t="s">
        <v>20</v>
      </c>
      <c r="W160" s="37" t="s">
        <v>20</v>
      </c>
      <c r="X160" s="37" t="s">
        <v>20</v>
      </c>
      <c r="Y160" s="18" t="s">
        <v>20</v>
      </c>
      <c r="Z160" s="18" t="s">
        <v>21</v>
      </c>
      <c r="AA160" s="20" t="s">
        <v>21</v>
      </c>
      <c r="AB160" s="20" t="s">
        <v>21</v>
      </c>
      <c r="AC160" s="20" t="s">
        <v>21</v>
      </c>
      <c r="AD160" s="18" t="s">
        <v>21</v>
      </c>
      <c r="AE160" s="18" t="s">
        <v>21</v>
      </c>
      <c r="AG160">
        <f t="shared" si="18"/>
        <v>0</v>
      </c>
      <c r="AH160">
        <f t="shared" si="19"/>
        <v>12</v>
      </c>
      <c r="AI160">
        <f t="shared" si="20"/>
        <v>14</v>
      </c>
      <c r="AJ160">
        <f t="shared" si="21"/>
        <v>0</v>
      </c>
      <c r="AL160">
        <f t="shared" si="22"/>
        <v>0</v>
      </c>
      <c r="AM160">
        <f t="shared" si="23"/>
        <v>36</v>
      </c>
      <c r="AN160">
        <f t="shared" si="24"/>
        <v>28</v>
      </c>
      <c r="AO160">
        <f t="shared" si="25"/>
        <v>0</v>
      </c>
      <c r="AP160">
        <f t="shared" si="26"/>
        <v>64</v>
      </c>
    </row>
    <row r="161" spans="1:42" ht="15.75" hidden="1" customHeight="1" x14ac:dyDescent="0.3">
      <c r="A161" s="16"/>
      <c r="B161" s="55">
        <v>8</v>
      </c>
      <c r="C161" s="56" t="s">
        <v>179</v>
      </c>
      <c r="D161" s="55">
        <v>4</v>
      </c>
      <c r="E161" s="55" t="s">
        <v>21</v>
      </c>
      <c r="F161" s="18" t="s">
        <v>20</v>
      </c>
      <c r="G161" s="18" t="s">
        <v>20</v>
      </c>
      <c r="H161" s="18" t="s">
        <v>20</v>
      </c>
      <c r="I161" s="18" t="s">
        <v>20</v>
      </c>
      <c r="J161" s="43" t="s">
        <v>20</v>
      </c>
      <c r="K161" s="43" t="s">
        <v>20</v>
      </c>
      <c r="L161" s="43" t="s">
        <v>20</v>
      </c>
      <c r="M161" s="18" t="s">
        <v>21</v>
      </c>
      <c r="N161" s="18" t="s">
        <v>20</v>
      </c>
      <c r="O161" s="18" t="s">
        <v>20</v>
      </c>
      <c r="P161" s="18" t="s">
        <v>21</v>
      </c>
      <c r="Q161" s="18" t="s">
        <v>21</v>
      </c>
      <c r="R161" s="18" t="s">
        <v>21</v>
      </c>
      <c r="S161" s="18" t="s">
        <v>21</v>
      </c>
      <c r="T161" s="18" t="s">
        <v>20</v>
      </c>
      <c r="U161" s="18" t="s">
        <v>20</v>
      </c>
      <c r="V161" s="37" t="s">
        <v>20</v>
      </c>
      <c r="W161" s="37" t="s">
        <v>20</v>
      </c>
      <c r="X161" s="37" t="s">
        <v>20</v>
      </c>
      <c r="Y161" s="18" t="s">
        <v>20</v>
      </c>
      <c r="Z161" s="18" t="s">
        <v>21</v>
      </c>
      <c r="AA161" s="20" t="s">
        <v>20</v>
      </c>
      <c r="AB161" s="20" t="s">
        <v>20</v>
      </c>
      <c r="AC161" s="20" t="s">
        <v>21</v>
      </c>
      <c r="AD161" s="18" t="s">
        <v>20</v>
      </c>
      <c r="AE161" s="18" t="s">
        <v>21</v>
      </c>
      <c r="AG161">
        <f t="shared" si="18"/>
        <v>0</v>
      </c>
      <c r="AH161">
        <f t="shared" si="19"/>
        <v>18</v>
      </c>
      <c r="AI161">
        <f t="shared" si="20"/>
        <v>8</v>
      </c>
      <c r="AJ161">
        <f t="shared" si="21"/>
        <v>0</v>
      </c>
      <c r="AL161">
        <f t="shared" si="22"/>
        <v>0</v>
      </c>
      <c r="AM161">
        <f t="shared" si="23"/>
        <v>54</v>
      </c>
      <c r="AN161">
        <f t="shared" si="24"/>
        <v>16</v>
      </c>
      <c r="AO161">
        <f t="shared" si="25"/>
        <v>0</v>
      </c>
      <c r="AP161">
        <f t="shared" si="26"/>
        <v>70</v>
      </c>
    </row>
    <row r="162" spans="1:42" ht="15.75" hidden="1" customHeight="1" x14ac:dyDescent="0.3">
      <c r="A162" s="16"/>
      <c r="B162" s="55">
        <v>9</v>
      </c>
      <c r="C162" s="56" t="s">
        <v>180</v>
      </c>
      <c r="D162" s="55">
        <v>4</v>
      </c>
      <c r="E162" s="55" t="s">
        <v>21</v>
      </c>
      <c r="F162" s="18" t="s">
        <v>21</v>
      </c>
      <c r="G162" s="18" t="s">
        <v>21</v>
      </c>
      <c r="H162" s="18" t="s">
        <v>21</v>
      </c>
      <c r="I162" s="18" t="s">
        <v>21</v>
      </c>
      <c r="J162" s="43" t="s">
        <v>20</v>
      </c>
      <c r="K162" s="43" t="s">
        <v>20</v>
      </c>
      <c r="L162" s="43" t="s">
        <v>20</v>
      </c>
      <c r="M162" s="18" t="s">
        <v>20</v>
      </c>
      <c r="N162" s="18" t="s">
        <v>20</v>
      </c>
      <c r="O162" s="18" t="s">
        <v>20</v>
      </c>
      <c r="P162" s="18" t="s">
        <v>21</v>
      </c>
      <c r="Q162" s="18" t="s">
        <v>21</v>
      </c>
      <c r="R162" s="18" t="s">
        <v>21</v>
      </c>
      <c r="S162" s="18" t="s">
        <v>20</v>
      </c>
      <c r="T162" s="18" t="s">
        <v>20</v>
      </c>
      <c r="U162" s="18" t="s">
        <v>21</v>
      </c>
      <c r="V162" s="37" t="s">
        <v>20</v>
      </c>
      <c r="W162" s="37" t="s">
        <v>20</v>
      </c>
      <c r="X162" s="37" t="s">
        <v>20</v>
      </c>
      <c r="Y162" s="18" t="s">
        <v>20</v>
      </c>
      <c r="Z162" s="18" t="s">
        <v>21</v>
      </c>
      <c r="AA162" s="20" t="s">
        <v>21</v>
      </c>
      <c r="AB162" s="20" t="s">
        <v>21</v>
      </c>
      <c r="AC162" s="20" t="s">
        <v>20</v>
      </c>
      <c r="AD162" s="18" t="s">
        <v>20</v>
      </c>
      <c r="AE162" s="18" t="s">
        <v>21</v>
      </c>
      <c r="AG162">
        <f t="shared" si="18"/>
        <v>0</v>
      </c>
      <c r="AH162">
        <f t="shared" si="19"/>
        <v>14</v>
      </c>
      <c r="AI162">
        <f t="shared" si="20"/>
        <v>12</v>
      </c>
      <c r="AJ162">
        <f t="shared" si="21"/>
        <v>0</v>
      </c>
      <c r="AL162">
        <f t="shared" si="22"/>
        <v>0</v>
      </c>
      <c r="AM162">
        <f t="shared" si="23"/>
        <v>42</v>
      </c>
      <c r="AN162">
        <f t="shared" si="24"/>
        <v>24</v>
      </c>
      <c r="AO162">
        <f t="shared" si="25"/>
        <v>0</v>
      </c>
      <c r="AP162">
        <f t="shared" si="26"/>
        <v>66</v>
      </c>
    </row>
    <row r="163" spans="1:42" ht="15.75" hidden="1" customHeight="1" x14ac:dyDescent="0.3">
      <c r="A163" s="16"/>
      <c r="B163" s="55">
        <v>10</v>
      </c>
      <c r="C163" s="56" t="s">
        <v>181</v>
      </c>
      <c r="D163" s="55">
        <v>4</v>
      </c>
      <c r="E163" s="55" t="s">
        <v>21</v>
      </c>
      <c r="F163" s="18" t="s">
        <v>21</v>
      </c>
      <c r="G163" s="18" t="s">
        <v>20</v>
      </c>
      <c r="H163" s="18" t="s">
        <v>21</v>
      </c>
      <c r="I163" s="18" t="s">
        <v>21</v>
      </c>
      <c r="J163" s="43" t="s">
        <v>20</v>
      </c>
      <c r="K163" s="43" t="s">
        <v>20</v>
      </c>
      <c r="L163" s="43" t="s">
        <v>21</v>
      </c>
      <c r="M163" s="18" t="s">
        <v>23</v>
      </c>
      <c r="N163" s="18" t="s">
        <v>20</v>
      </c>
      <c r="O163" s="18" t="s">
        <v>20</v>
      </c>
      <c r="P163" s="18" t="s">
        <v>21</v>
      </c>
      <c r="Q163" s="18" t="s">
        <v>21</v>
      </c>
      <c r="R163" s="18" t="s">
        <v>21</v>
      </c>
      <c r="S163" s="18" t="s">
        <v>20</v>
      </c>
      <c r="T163" s="18" t="s">
        <v>20</v>
      </c>
      <c r="U163" s="18" t="s">
        <v>21</v>
      </c>
      <c r="V163" s="37" t="s">
        <v>20</v>
      </c>
      <c r="W163" s="37" t="s">
        <v>20</v>
      </c>
      <c r="X163" s="37" t="s">
        <v>20</v>
      </c>
      <c r="Y163" s="18" t="s">
        <v>21</v>
      </c>
      <c r="Z163" s="18" t="s">
        <v>21</v>
      </c>
      <c r="AA163" s="20" t="s">
        <v>21</v>
      </c>
      <c r="AB163" s="20" t="s">
        <v>23</v>
      </c>
      <c r="AC163" s="20" t="s">
        <v>21</v>
      </c>
      <c r="AD163" s="18" t="s">
        <v>23</v>
      </c>
      <c r="AE163" s="18" t="s">
        <v>21</v>
      </c>
      <c r="AG163">
        <f t="shared" si="18"/>
        <v>0</v>
      </c>
      <c r="AH163">
        <f t="shared" si="19"/>
        <v>10</v>
      </c>
      <c r="AI163">
        <f t="shared" si="20"/>
        <v>13</v>
      </c>
      <c r="AJ163">
        <f t="shared" si="21"/>
        <v>3</v>
      </c>
      <c r="AL163">
        <f t="shared" si="22"/>
        <v>0</v>
      </c>
      <c r="AM163">
        <f t="shared" si="23"/>
        <v>30</v>
      </c>
      <c r="AN163">
        <f t="shared" si="24"/>
        <v>26</v>
      </c>
      <c r="AO163">
        <f t="shared" si="25"/>
        <v>3</v>
      </c>
      <c r="AP163">
        <f t="shared" si="26"/>
        <v>59</v>
      </c>
    </row>
    <row r="164" spans="1:42" ht="15.75" hidden="1" customHeight="1" x14ac:dyDescent="0.3">
      <c r="A164" s="16"/>
      <c r="B164" s="55">
        <v>11</v>
      </c>
      <c r="C164" s="56" t="s">
        <v>182</v>
      </c>
      <c r="D164" s="55">
        <v>4</v>
      </c>
      <c r="E164" s="55" t="s">
        <v>21</v>
      </c>
      <c r="F164" s="18" t="s">
        <v>23</v>
      </c>
      <c r="G164" s="18" t="s">
        <v>23</v>
      </c>
      <c r="H164" s="18" t="s">
        <v>23</v>
      </c>
      <c r="I164" s="18" t="s">
        <v>23</v>
      </c>
      <c r="J164" s="43" t="s">
        <v>21</v>
      </c>
      <c r="K164" s="43" t="s">
        <v>21</v>
      </c>
      <c r="L164" s="43" t="s">
        <v>21</v>
      </c>
      <c r="M164" s="18" t="s">
        <v>21</v>
      </c>
      <c r="N164" s="18" t="s">
        <v>20</v>
      </c>
      <c r="O164" s="18" t="s">
        <v>21</v>
      </c>
      <c r="P164" s="18" t="s">
        <v>23</v>
      </c>
      <c r="Q164" s="18" t="s">
        <v>21</v>
      </c>
      <c r="R164" s="18" t="s">
        <v>21</v>
      </c>
      <c r="S164" s="18" t="s">
        <v>21</v>
      </c>
      <c r="T164" s="18" t="s">
        <v>20</v>
      </c>
      <c r="U164" s="18" t="s">
        <v>20</v>
      </c>
      <c r="V164" s="37" t="s">
        <v>20</v>
      </c>
      <c r="W164" s="37" t="s">
        <v>21</v>
      </c>
      <c r="X164" s="37" t="s">
        <v>20</v>
      </c>
      <c r="Y164" s="18" t="s">
        <v>23</v>
      </c>
      <c r="Z164" s="18" t="s">
        <v>23</v>
      </c>
      <c r="AA164" s="20" t="s">
        <v>21</v>
      </c>
      <c r="AB164" s="20" t="s">
        <v>21</v>
      </c>
      <c r="AC164" s="20" t="s">
        <v>21</v>
      </c>
      <c r="AD164" s="18" t="s">
        <v>23</v>
      </c>
      <c r="AE164" s="18" t="s">
        <v>21</v>
      </c>
      <c r="AG164">
        <f t="shared" si="18"/>
        <v>0</v>
      </c>
      <c r="AH164">
        <f t="shared" si="19"/>
        <v>5</v>
      </c>
      <c r="AI164">
        <f t="shared" si="20"/>
        <v>13</v>
      </c>
      <c r="AJ164">
        <f t="shared" si="21"/>
        <v>8</v>
      </c>
      <c r="AL164">
        <f t="shared" si="22"/>
        <v>0</v>
      </c>
      <c r="AM164">
        <f t="shared" si="23"/>
        <v>15</v>
      </c>
      <c r="AN164">
        <f t="shared" si="24"/>
        <v>26</v>
      </c>
      <c r="AO164">
        <f t="shared" si="25"/>
        <v>8</v>
      </c>
      <c r="AP164">
        <f t="shared" si="26"/>
        <v>49</v>
      </c>
    </row>
    <row r="165" spans="1:42" ht="15.75" hidden="1" customHeight="1" x14ac:dyDescent="0.3">
      <c r="A165" s="16"/>
      <c r="B165" s="55">
        <v>12</v>
      </c>
      <c r="C165" s="56" t="s">
        <v>183</v>
      </c>
      <c r="D165" s="55">
        <v>4</v>
      </c>
      <c r="E165" s="55" t="s">
        <v>21</v>
      </c>
      <c r="F165" s="18" t="s">
        <v>21</v>
      </c>
      <c r="G165" s="18" t="s">
        <v>21</v>
      </c>
      <c r="H165" s="18" t="s">
        <v>21</v>
      </c>
      <c r="I165" s="18" t="s">
        <v>21</v>
      </c>
      <c r="J165" s="43" t="s">
        <v>20</v>
      </c>
      <c r="K165" s="43" t="s">
        <v>20</v>
      </c>
      <c r="L165" s="43" t="s">
        <v>21</v>
      </c>
      <c r="M165" s="18" t="s">
        <v>20</v>
      </c>
      <c r="N165" s="18" t="s">
        <v>20</v>
      </c>
      <c r="O165" s="18" t="s">
        <v>20</v>
      </c>
      <c r="P165" s="18" t="s">
        <v>21</v>
      </c>
      <c r="Q165" s="18" t="s">
        <v>21</v>
      </c>
      <c r="R165" s="18" t="s">
        <v>21</v>
      </c>
      <c r="S165" s="18" t="s">
        <v>20</v>
      </c>
      <c r="T165" s="18" t="s">
        <v>20</v>
      </c>
      <c r="U165" s="18" t="s">
        <v>20</v>
      </c>
      <c r="V165" s="49" t="s">
        <v>20</v>
      </c>
      <c r="W165" s="37" t="s">
        <v>20</v>
      </c>
      <c r="X165" s="37" t="s">
        <v>20</v>
      </c>
      <c r="Y165" s="18" t="s">
        <v>20</v>
      </c>
      <c r="Z165" s="18" t="s">
        <v>21</v>
      </c>
      <c r="AA165" s="20" t="s">
        <v>21</v>
      </c>
      <c r="AB165" s="20" t="s">
        <v>20</v>
      </c>
      <c r="AC165" s="20" t="s">
        <v>20</v>
      </c>
      <c r="AD165" s="29" t="s">
        <v>20</v>
      </c>
      <c r="AE165" s="29" t="s">
        <v>21</v>
      </c>
      <c r="AG165">
        <f t="shared" si="18"/>
        <v>0</v>
      </c>
      <c r="AH165">
        <f t="shared" si="19"/>
        <v>15</v>
      </c>
      <c r="AI165">
        <f t="shared" si="20"/>
        <v>11</v>
      </c>
      <c r="AJ165">
        <f t="shared" si="21"/>
        <v>0</v>
      </c>
      <c r="AL165">
        <f t="shared" si="22"/>
        <v>0</v>
      </c>
      <c r="AM165">
        <f t="shared" si="23"/>
        <v>45</v>
      </c>
      <c r="AN165">
        <f t="shared" si="24"/>
        <v>22</v>
      </c>
      <c r="AO165">
        <f t="shared" si="25"/>
        <v>0</v>
      </c>
      <c r="AP165">
        <f t="shared" si="26"/>
        <v>67</v>
      </c>
    </row>
    <row r="166" spans="1:42" ht="15.75" hidden="1" customHeight="1" x14ac:dyDescent="0.3">
      <c r="A166" s="16"/>
      <c r="B166" s="55">
        <v>13</v>
      </c>
      <c r="C166" s="56" t="s">
        <v>184</v>
      </c>
      <c r="D166" s="55">
        <v>4</v>
      </c>
      <c r="E166" s="55" t="s">
        <v>21</v>
      </c>
      <c r="F166" s="18" t="s">
        <v>21</v>
      </c>
      <c r="G166" s="18" t="s">
        <v>21</v>
      </c>
      <c r="H166" s="18" t="s">
        <v>23</v>
      </c>
      <c r="I166" s="18" t="s">
        <v>21</v>
      </c>
      <c r="J166" s="43" t="s">
        <v>20</v>
      </c>
      <c r="K166" s="43" t="s">
        <v>20</v>
      </c>
      <c r="L166" s="43" t="s">
        <v>21</v>
      </c>
      <c r="M166" s="18" t="s">
        <v>21</v>
      </c>
      <c r="N166" s="18" t="s">
        <v>20</v>
      </c>
      <c r="O166" s="18" t="s">
        <v>21</v>
      </c>
      <c r="P166" s="18" t="s">
        <v>21</v>
      </c>
      <c r="Q166" s="18" t="s">
        <v>21</v>
      </c>
      <c r="R166" s="18" t="s">
        <v>21</v>
      </c>
      <c r="S166" s="18" t="s">
        <v>23</v>
      </c>
      <c r="T166" s="18" t="s">
        <v>23</v>
      </c>
      <c r="U166" s="18" t="s">
        <v>20</v>
      </c>
      <c r="V166" s="49" t="s">
        <v>20</v>
      </c>
      <c r="W166" s="37" t="s">
        <v>21</v>
      </c>
      <c r="X166" s="37" t="s">
        <v>20</v>
      </c>
      <c r="Y166" s="18" t="s">
        <v>23</v>
      </c>
      <c r="Z166" s="18" t="s">
        <v>21</v>
      </c>
      <c r="AA166" s="20" t="s">
        <v>21</v>
      </c>
      <c r="AB166" s="20" t="s">
        <v>20</v>
      </c>
      <c r="AC166" s="20" t="s">
        <v>23</v>
      </c>
      <c r="AD166" s="29" t="s">
        <v>23</v>
      </c>
      <c r="AE166" s="29" t="s">
        <v>21</v>
      </c>
      <c r="AG166">
        <f t="shared" si="18"/>
        <v>0</v>
      </c>
      <c r="AH166">
        <f t="shared" si="19"/>
        <v>7</v>
      </c>
      <c r="AI166">
        <f t="shared" si="20"/>
        <v>13</v>
      </c>
      <c r="AJ166">
        <f t="shared" si="21"/>
        <v>6</v>
      </c>
      <c r="AL166">
        <f t="shared" si="22"/>
        <v>0</v>
      </c>
      <c r="AM166">
        <f t="shared" si="23"/>
        <v>21</v>
      </c>
      <c r="AN166">
        <f t="shared" si="24"/>
        <v>26</v>
      </c>
      <c r="AO166">
        <f t="shared" si="25"/>
        <v>6</v>
      </c>
      <c r="AP166">
        <f t="shared" si="26"/>
        <v>53</v>
      </c>
    </row>
    <row r="167" spans="1:42" ht="15.75" hidden="1" customHeight="1" x14ac:dyDescent="0.3">
      <c r="A167" s="16"/>
      <c r="B167" s="55">
        <v>14</v>
      </c>
      <c r="C167" s="56" t="s">
        <v>185</v>
      </c>
      <c r="D167" s="55">
        <v>4</v>
      </c>
      <c r="E167" s="55" t="s">
        <v>21</v>
      </c>
      <c r="F167" s="18" t="s">
        <v>21</v>
      </c>
      <c r="G167" s="18" t="s">
        <v>21</v>
      </c>
      <c r="H167" s="18" t="s">
        <v>21</v>
      </c>
      <c r="I167" s="18" t="s">
        <v>21</v>
      </c>
      <c r="J167" s="43" t="s">
        <v>20</v>
      </c>
      <c r="K167" s="43" t="s">
        <v>21</v>
      </c>
      <c r="L167" s="43" t="s">
        <v>21</v>
      </c>
      <c r="M167" s="18" t="s">
        <v>21</v>
      </c>
      <c r="N167" s="18" t="s">
        <v>21</v>
      </c>
      <c r="O167" s="18" t="s">
        <v>20</v>
      </c>
      <c r="P167" s="18" t="s">
        <v>21</v>
      </c>
      <c r="Q167" s="18" t="s">
        <v>21</v>
      </c>
      <c r="R167" s="18" t="s">
        <v>21</v>
      </c>
      <c r="S167" s="18" t="s">
        <v>20</v>
      </c>
      <c r="T167" s="18" t="s">
        <v>20</v>
      </c>
      <c r="U167" s="18" t="s">
        <v>21</v>
      </c>
      <c r="V167" s="49" t="s">
        <v>20</v>
      </c>
      <c r="W167" s="37" t="s">
        <v>20</v>
      </c>
      <c r="X167" s="37" t="s">
        <v>20</v>
      </c>
      <c r="Y167" s="18" t="s">
        <v>21</v>
      </c>
      <c r="Z167" s="18" t="s">
        <v>21</v>
      </c>
      <c r="AA167" s="20" t="s">
        <v>20</v>
      </c>
      <c r="AB167" s="20" t="s">
        <v>21</v>
      </c>
      <c r="AC167" s="20" t="s">
        <v>20</v>
      </c>
      <c r="AD167" s="29" t="s">
        <v>21</v>
      </c>
      <c r="AE167" s="29" t="s">
        <v>21</v>
      </c>
      <c r="AG167">
        <f t="shared" si="18"/>
        <v>0</v>
      </c>
      <c r="AH167">
        <f t="shared" si="19"/>
        <v>9</v>
      </c>
      <c r="AI167">
        <f t="shared" si="20"/>
        <v>17</v>
      </c>
      <c r="AJ167">
        <f t="shared" si="21"/>
        <v>0</v>
      </c>
      <c r="AL167">
        <f t="shared" si="22"/>
        <v>0</v>
      </c>
      <c r="AM167">
        <f t="shared" si="23"/>
        <v>27</v>
      </c>
      <c r="AN167">
        <f t="shared" si="24"/>
        <v>34</v>
      </c>
      <c r="AO167">
        <f t="shared" si="25"/>
        <v>0</v>
      </c>
      <c r="AP167">
        <f t="shared" si="26"/>
        <v>61</v>
      </c>
    </row>
    <row r="168" spans="1:42" ht="15.75" hidden="1" customHeight="1" x14ac:dyDescent="0.3">
      <c r="A168" s="16"/>
      <c r="B168" s="55">
        <v>15</v>
      </c>
      <c r="C168" s="56" t="s">
        <v>186</v>
      </c>
      <c r="D168" s="55">
        <v>4</v>
      </c>
      <c r="E168" s="55" t="s">
        <v>21</v>
      </c>
      <c r="F168" s="18" t="s">
        <v>20</v>
      </c>
      <c r="G168" s="18" t="s">
        <v>20</v>
      </c>
      <c r="H168" s="18" t="s">
        <v>20</v>
      </c>
      <c r="I168" s="18" t="s">
        <v>20</v>
      </c>
      <c r="J168" s="43" t="s">
        <v>20</v>
      </c>
      <c r="K168" s="43" t="s">
        <v>20</v>
      </c>
      <c r="L168" s="43" t="s">
        <v>20</v>
      </c>
      <c r="M168" s="18" t="s">
        <v>20</v>
      </c>
      <c r="N168" s="18" t="s">
        <v>20</v>
      </c>
      <c r="O168" s="18" t="s">
        <v>20</v>
      </c>
      <c r="P168" s="18" t="s">
        <v>20</v>
      </c>
      <c r="Q168" s="18" t="s">
        <v>20</v>
      </c>
      <c r="R168" s="18" t="s">
        <v>20</v>
      </c>
      <c r="S168" s="18" t="s">
        <v>20</v>
      </c>
      <c r="T168" s="18" t="s">
        <v>20</v>
      </c>
      <c r="U168" s="18" t="s">
        <v>20</v>
      </c>
      <c r="V168" s="49" t="s">
        <v>20</v>
      </c>
      <c r="W168" s="37" t="s">
        <v>20</v>
      </c>
      <c r="X168" s="37" t="s">
        <v>20</v>
      </c>
      <c r="Y168" s="18" t="s">
        <v>20</v>
      </c>
      <c r="Z168" s="18" t="s">
        <v>20</v>
      </c>
      <c r="AA168" s="20" t="s">
        <v>20</v>
      </c>
      <c r="AB168" s="20" t="s">
        <v>20</v>
      </c>
      <c r="AC168" s="20" t="s">
        <v>20</v>
      </c>
      <c r="AD168" s="29" t="s">
        <v>20</v>
      </c>
      <c r="AE168" s="29" t="s">
        <v>21</v>
      </c>
      <c r="AG168">
        <f t="shared" si="18"/>
        <v>0</v>
      </c>
      <c r="AH168">
        <f t="shared" si="19"/>
        <v>25</v>
      </c>
      <c r="AI168">
        <f t="shared" si="20"/>
        <v>1</v>
      </c>
      <c r="AJ168">
        <f t="shared" si="21"/>
        <v>0</v>
      </c>
      <c r="AL168">
        <f t="shared" si="22"/>
        <v>0</v>
      </c>
      <c r="AM168">
        <f t="shared" si="23"/>
        <v>75</v>
      </c>
      <c r="AN168">
        <f t="shared" si="24"/>
        <v>2</v>
      </c>
      <c r="AO168">
        <f t="shared" si="25"/>
        <v>0</v>
      </c>
      <c r="AP168">
        <f t="shared" si="26"/>
        <v>77</v>
      </c>
    </row>
    <row r="169" spans="1:42" ht="15.75" hidden="1" customHeight="1" x14ac:dyDescent="0.3">
      <c r="A169" s="16"/>
      <c r="B169" s="55">
        <v>16</v>
      </c>
      <c r="C169" s="56" t="s">
        <v>187</v>
      </c>
      <c r="D169" s="55">
        <v>4</v>
      </c>
      <c r="E169" s="55" t="s">
        <v>21</v>
      </c>
      <c r="F169" s="18" t="s">
        <v>21</v>
      </c>
      <c r="G169" s="18" t="s">
        <v>21</v>
      </c>
      <c r="H169" s="18" t="s">
        <v>21</v>
      </c>
      <c r="I169" s="18" t="s">
        <v>21</v>
      </c>
      <c r="J169" s="43" t="s">
        <v>20</v>
      </c>
      <c r="K169" s="43" t="s">
        <v>20</v>
      </c>
      <c r="L169" s="43" t="s">
        <v>21</v>
      </c>
      <c r="M169" s="18" t="s">
        <v>20</v>
      </c>
      <c r="N169" s="18" t="s">
        <v>20</v>
      </c>
      <c r="O169" s="18" t="s">
        <v>20</v>
      </c>
      <c r="P169" s="18" t="s">
        <v>21</v>
      </c>
      <c r="Q169" s="18" t="s">
        <v>21</v>
      </c>
      <c r="R169" s="18" t="s">
        <v>21</v>
      </c>
      <c r="S169" s="18" t="s">
        <v>21</v>
      </c>
      <c r="T169" s="18" t="s">
        <v>20</v>
      </c>
      <c r="U169" s="18" t="s">
        <v>21</v>
      </c>
      <c r="V169" s="49" t="s">
        <v>20</v>
      </c>
      <c r="W169" s="37" t="s">
        <v>20</v>
      </c>
      <c r="X169" s="37" t="s">
        <v>20</v>
      </c>
      <c r="Y169" s="18" t="s">
        <v>21</v>
      </c>
      <c r="Z169" s="18" t="s">
        <v>21</v>
      </c>
      <c r="AA169" s="20" t="s">
        <v>21</v>
      </c>
      <c r="AB169" s="20" t="s">
        <v>21</v>
      </c>
      <c r="AC169" s="20" t="s">
        <v>21</v>
      </c>
      <c r="AD169" s="29" t="s">
        <v>21</v>
      </c>
      <c r="AE169" s="29" t="s">
        <v>21</v>
      </c>
      <c r="AG169">
        <f t="shared" si="18"/>
        <v>0</v>
      </c>
      <c r="AH169">
        <f t="shared" si="19"/>
        <v>9</v>
      </c>
      <c r="AI169">
        <f t="shared" si="20"/>
        <v>17</v>
      </c>
      <c r="AJ169">
        <f t="shared" si="21"/>
        <v>0</v>
      </c>
      <c r="AL169">
        <f t="shared" si="22"/>
        <v>0</v>
      </c>
      <c r="AM169">
        <f t="shared" si="23"/>
        <v>27</v>
      </c>
      <c r="AN169">
        <f t="shared" si="24"/>
        <v>34</v>
      </c>
      <c r="AO169">
        <f t="shared" si="25"/>
        <v>0</v>
      </c>
      <c r="AP169">
        <f t="shared" si="26"/>
        <v>61</v>
      </c>
    </row>
    <row r="170" spans="1:42" ht="15.75" hidden="1" customHeight="1" x14ac:dyDescent="0.3">
      <c r="A170" s="16"/>
      <c r="B170" s="55">
        <v>17</v>
      </c>
      <c r="C170" s="56" t="s">
        <v>188</v>
      </c>
      <c r="D170" s="55">
        <v>4</v>
      </c>
      <c r="E170" s="55" t="s">
        <v>21</v>
      </c>
      <c r="F170" s="18" t="s">
        <v>21</v>
      </c>
      <c r="G170" s="18" t="s">
        <v>21</v>
      </c>
      <c r="H170" s="18" t="s">
        <v>21</v>
      </c>
      <c r="I170" s="18" t="s">
        <v>21</v>
      </c>
      <c r="J170" s="43" t="s">
        <v>20</v>
      </c>
      <c r="K170" s="43" t="s">
        <v>20</v>
      </c>
      <c r="L170" s="43" t="s">
        <v>21</v>
      </c>
      <c r="M170" s="18" t="s">
        <v>21</v>
      </c>
      <c r="N170" s="18" t="s">
        <v>20</v>
      </c>
      <c r="O170" s="18" t="s">
        <v>21</v>
      </c>
      <c r="P170" s="18" t="s">
        <v>21</v>
      </c>
      <c r="Q170" s="18" t="s">
        <v>21</v>
      </c>
      <c r="R170" s="18" t="s">
        <v>21</v>
      </c>
      <c r="S170" s="18" t="s">
        <v>23</v>
      </c>
      <c r="T170" s="18" t="s">
        <v>21</v>
      </c>
      <c r="U170" s="18" t="s">
        <v>20</v>
      </c>
      <c r="V170" s="49" t="s">
        <v>20</v>
      </c>
      <c r="W170" s="37" t="s">
        <v>20</v>
      </c>
      <c r="X170" s="37" t="s">
        <v>20</v>
      </c>
      <c r="Y170" s="18" t="s">
        <v>20</v>
      </c>
      <c r="Z170" s="18" t="s">
        <v>20</v>
      </c>
      <c r="AA170" s="20" t="s">
        <v>20</v>
      </c>
      <c r="AB170" s="20" t="s">
        <v>20</v>
      </c>
      <c r="AC170" s="20" t="s">
        <v>20</v>
      </c>
      <c r="AD170" s="29" t="s">
        <v>21</v>
      </c>
      <c r="AE170" s="29" t="s">
        <v>21</v>
      </c>
      <c r="AG170">
        <f t="shared" si="18"/>
        <v>0</v>
      </c>
      <c r="AH170">
        <f t="shared" si="19"/>
        <v>12</v>
      </c>
      <c r="AI170">
        <f t="shared" si="20"/>
        <v>13</v>
      </c>
      <c r="AJ170">
        <f t="shared" si="21"/>
        <v>1</v>
      </c>
      <c r="AL170">
        <f t="shared" si="22"/>
        <v>0</v>
      </c>
      <c r="AM170">
        <f t="shared" si="23"/>
        <v>36</v>
      </c>
      <c r="AN170">
        <f t="shared" si="24"/>
        <v>26</v>
      </c>
      <c r="AO170">
        <f t="shared" si="25"/>
        <v>1</v>
      </c>
      <c r="AP170">
        <f t="shared" si="26"/>
        <v>63</v>
      </c>
    </row>
    <row r="171" spans="1:42" ht="15.75" hidden="1" customHeight="1" x14ac:dyDescent="0.3">
      <c r="A171" s="16"/>
      <c r="B171" s="55">
        <v>18</v>
      </c>
      <c r="C171" s="56" t="s">
        <v>189</v>
      </c>
      <c r="D171" s="55">
        <v>4</v>
      </c>
      <c r="E171" s="55" t="s">
        <v>21</v>
      </c>
      <c r="F171" s="18" t="s">
        <v>23</v>
      </c>
      <c r="G171" s="18" t="s">
        <v>23</v>
      </c>
      <c r="H171" s="18" t="s">
        <v>23</v>
      </c>
      <c r="I171" s="18" t="s">
        <v>23</v>
      </c>
      <c r="J171" s="43" t="s">
        <v>20</v>
      </c>
      <c r="K171" s="43" t="s">
        <v>20</v>
      </c>
      <c r="L171" s="43" t="s">
        <v>21</v>
      </c>
      <c r="M171" s="18" t="s">
        <v>21</v>
      </c>
      <c r="N171" s="18" t="s">
        <v>21</v>
      </c>
      <c r="O171" s="18" t="s">
        <v>20</v>
      </c>
      <c r="P171" s="18" t="s">
        <v>21</v>
      </c>
      <c r="Q171" s="18" t="s">
        <v>21</v>
      </c>
      <c r="R171" s="18" t="s">
        <v>23</v>
      </c>
      <c r="S171" s="18" t="s">
        <v>21</v>
      </c>
      <c r="T171" s="18" t="s">
        <v>20</v>
      </c>
      <c r="U171" s="18" t="s">
        <v>21</v>
      </c>
      <c r="V171" s="49" t="s">
        <v>20</v>
      </c>
      <c r="W171" s="37" t="s">
        <v>21</v>
      </c>
      <c r="X171" s="37" t="s">
        <v>20</v>
      </c>
      <c r="Y171" s="18" t="s">
        <v>20</v>
      </c>
      <c r="Z171" s="18" t="s">
        <v>20</v>
      </c>
      <c r="AA171" s="20" t="s">
        <v>21</v>
      </c>
      <c r="AB171" s="20" t="s">
        <v>21</v>
      </c>
      <c r="AC171" s="20" t="s">
        <v>21</v>
      </c>
      <c r="AD171" s="29" t="s">
        <v>21</v>
      </c>
      <c r="AE171" s="29" t="s">
        <v>21</v>
      </c>
      <c r="AG171">
        <f t="shared" si="18"/>
        <v>0</v>
      </c>
      <c r="AH171">
        <f t="shared" si="19"/>
        <v>8</v>
      </c>
      <c r="AI171">
        <f t="shared" si="20"/>
        <v>13</v>
      </c>
      <c r="AJ171">
        <f t="shared" si="21"/>
        <v>5</v>
      </c>
      <c r="AL171">
        <f t="shared" si="22"/>
        <v>0</v>
      </c>
      <c r="AM171">
        <f t="shared" si="23"/>
        <v>24</v>
      </c>
      <c r="AN171">
        <f t="shared" si="24"/>
        <v>26</v>
      </c>
      <c r="AO171">
        <f t="shared" si="25"/>
        <v>5</v>
      </c>
      <c r="AP171">
        <f t="shared" si="26"/>
        <v>55</v>
      </c>
    </row>
    <row r="172" spans="1:42" ht="15.75" hidden="1" customHeight="1" x14ac:dyDescent="0.3">
      <c r="A172" s="16"/>
      <c r="B172" s="55">
        <v>19</v>
      </c>
      <c r="C172" s="56" t="s">
        <v>190</v>
      </c>
      <c r="D172" s="55">
        <v>4</v>
      </c>
      <c r="E172" s="55" t="s">
        <v>21</v>
      </c>
      <c r="F172" s="18" t="s">
        <v>23</v>
      </c>
      <c r="G172" s="18" t="s">
        <v>21</v>
      </c>
      <c r="H172" s="18" t="s">
        <v>21</v>
      </c>
      <c r="I172" s="18" t="s">
        <v>21</v>
      </c>
      <c r="J172" s="43" t="s">
        <v>20</v>
      </c>
      <c r="K172" s="43" t="s">
        <v>20</v>
      </c>
      <c r="L172" s="43" t="s">
        <v>21</v>
      </c>
      <c r="M172" s="18" t="s">
        <v>20</v>
      </c>
      <c r="N172" s="18" t="s">
        <v>20</v>
      </c>
      <c r="O172" s="18" t="s">
        <v>21</v>
      </c>
      <c r="P172" s="18" t="s">
        <v>21</v>
      </c>
      <c r="Q172" s="18" t="s">
        <v>21</v>
      </c>
      <c r="R172" s="18" t="s">
        <v>21</v>
      </c>
      <c r="S172" s="18" t="s">
        <v>20</v>
      </c>
      <c r="T172" s="18" t="s">
        <v>20</v>
      </c>
      <c r="U172" s="18" t="s">
        <v>21</v>
      </c>
      <c r="V172" s="49" t="s">
        <v>20</v>
      </c>
      <c r="W172" s="37" t="s">
        <v>20</v>
      </c>
      <c r="X172" s="37" t="s">
        <v>20</v>
      </c>
      <c r="Y172" s="18" t="s">
        <v>20</v>
      </c>
      <c r="Z172" s="18" t="s">
        <v>21</v>
      </c>
      <c r="AA172" s="20" t="s">
        <v>21</v>
      </c>
      <c r="AB172" s="20" t="s">
        <v>21</v>
      </c>
      <c r="AC172" s="20" t="s">
        <v>21</v>
      </c>
      <c r="AD172" s="29" t="s">
        <v>21</v>
      </c>
      <c r="AE172" s="29" t="s">
        <v>21</v>
      </c>
      <c r="AG172">
        <f t="shared" si="18"/>
        <v>0</v>
      </c>
      <c r="AH172">
        <f t="shared" si="19"/>
        <v>10</v>
      </c>
      <c r="AI172">
        <f t="shared" si="20"/>
        <v>15</v>
      </c>
      <c r="AJ172">
        <f t="shared" si="21"/>
        <v>1</v>
      </c>
      <c r="AL172">
        <f t="shared" si="22"/>
        <v>0</v>
      </c>
      <c r="AM172">
        <f t="shared" si="23"/>
        <v>30</v>
      </c>
      <c r="AN172">
        <f t="shared" si="24"/>
        <v>30</v>
      </c>
      <c r="AO172">
        <f t="shared" si="25"/>
        <v>1</v>
      </c>
      <c r="AP172">
        <f t="shared" si="26"/>
        <v>61</v>
      </c>
    </row>
    <row r="173" spans="1:42" ht="15.75" hidden="1" customHeight="1" x14ac:dyDescent="0.3">
      <c r="A173" s="16"/>
      <c r="B173" s="55">
        <v>20</v>
      </c>
      <c r="C173" s="56" t="s">
        <v>191</v>
      </c>
      <c r="D173" s="55">
        <v>4</v>
      </c>
      <c r="E173" s="55" t="s">
        <v>21</v>
      </c>
      <c r="F173" s="18" t="s">
        <v>20</v>
      </c>
      <c r="G173" s="18" t="s">
        <v>20</v>
      </c>
      <c r="H173" s="18" t="s">
        <v>20</v>
      </c>
      <c r="I173" s="18" t="s">
        <v>39</v>
      </c>
      <c r="J173" s="43" t="s">
        <v>20</v>
      </c>
      <c r="K173" s="43" t="s">
        <v>39</v>
      </c>
      <c r="L173" s="43" t="s">
        <v>20</v>
      </c>
      <c r="M173" s="18" t="s">
        <v>20</v>
      </c>
      <c r="N173" s="18" t="s">
        <v>20</v>
      </c>
      <c r="O173" s="18" t="s">
        <v>20</v>
      </c>
      <c r="P173" s="18" t="s">
        <v>20</v>
      </c>
      <c r="Q173" s="18" t="s">
        <v>20</v>
      </c>
      <c r="R173" s="18" t="s">
        <v>20</v>
      </c>
      <c r="S173" s="18" t="s">
        <v>20</v>
      </c>
      <c r="T173" s="18" t="s">
        <v>20</v>
      </c>
      <c r="U173" s="18" t="s">
        <v>20</v>
      </c>
      <c r="V173" s="50" t="s">
        <v>20</v>
      </c>
      <c r="W173" s="37" t="s">
        <v>20</v>
      </c>
      <c r="X173" s="37" t="s">
        <v>20</v>
      </c>
      <c r="Y173" s="18" t="s">
        <v>39</v>
      </c>
      <c r="Z173" s="18" t="s">
        <v>39</v>
      </c>
      <c r="AA173" s="20" t="s">
        <v>20</v>
      </c>
      <c r="AB173" s="20" t="s">
        <v>20</v>
      </c>
      <c r="AC173" s="20" t="s">
        <v>20</v>
      </c>
      <c r="AD173" s="29" t="s">
        <v>20</v>
      </c>
      <c r="AE173" s="29" t="s">
        <v>21</v>
      </c>
      <c r="AG173">
        <f t="shared" si="18"/>
        <v>4</v>
      </c>
      <c r="AH173">
        <f t="shared" si="19"/>
        <v>21</v>
      </c>
      <c r="AI173">
        <f t="shared" si="20"/>
        <v>1</v>
      </c>
      <c r="AJ173">
        <f t="shared" si="21"/>
        <v>0</v>
      </c>
      <c r="AL173">
        <f t="shared" si="22"/>
        <v>16</v>
      </c>
      <c r="AM173">
        <f t="shared" si="23"/>
        <v>63</v>
      </c>
      <c r="AN173">
        <f t="shared" si="24"/>
        <v>2</v>
      </c>
      <c r="AO173">
        <f t="shared" si="25"/>
        <v>0</v>
      </c>
      <c r="AP173">
        <f t="shared" si="26"/>
        <v>81</v>
      </c>
    </row>
    <row r="174" spans="1:42" ht="15.75" hidden="1" customHeight="1" x14ac:dyDescent="0.3">
      <c r="A174" s="16"/>
      <c r="B174" s="55">
        <v>21</v>
      </c>
      <c r="C174" s="56" t="s">
        <v>192</v>
      </c>
      <c r="D174" s="55">
        <v>4</v>
      </c>
      <c r="E174" s="55" t="s">
        <v>21</v>
      </c>
      <c r="F174" s="18" t="s">
        <v>21</v>
      </c>
      <c r="G174" s="18" t="s">
        <v>23</v>
      </c>
      <c r="H174" s="18" t="s">
        <v>23</v>
      </c>
      <c r="I174" s="18" t="s">
        <v>23</v>
      </c>
      <c r="J174" s="43" t="s">
        <v>20</v>
      </c>
      <c r="K174" s="43" t="s">
        <v>21</v>
      </c>
      <c r="L174" s="43" t="s">
        <v>21</v>
      </c>
      <c r="M174" s="18" t="s">
        <v>21</v>
      </c>
      <c r="N174" s="18" t="s">
        <v>21</v>
      </c>
      <c r="O174" s="18" t="s">
        <v>21</v>
      </c>
      <c r="P174" s="18" t="s">
        <v>21</v>
      </c>
      <c r="Q174" s="18" t="s">
        <v>21</v>
      </c>
      <c r="R174" s="18" t="s">
        <v>23</v>
      </c>
      <c r="S174" s="18" t="s">
        <v>21</v>
      </c>
      <c r="T174" s="18" t="s">
        <v>20</v>
      </c>
      <c r="U174" s="18" t="s">
        <v>20</v>
      </c>
      <c r="V174" s="49" t="s">
        <v>20</v>
      </c>
      <c r="W174" s="37" t="s">
        <v>20</v>
      </c>
      <c r="X174" s="37" t="s">
        <v>20</v>
      </c>
      <c r="Y174" s="18" t="s">
        <v>21</v>
      </c>
      <c r="Z174" s="18" t="s">
        <v>21</v>
      </c>
      <c r="AA174" s="20" t="s">
        <v>21</v>
      </c>
      <c r="AB174" s="20" t="s">
        <v>21</v>
      </c>
      <c r="AC174" s="20" t="s">
        <v>20</v>
      </c>
      <c r="AD174" s="29" t="s">
        <v>21</v>
      </c>
      <c r="AE174" s="29" t="s">
        <v>21</v>
      </c>
      <c r="AG174">
        <f t="shared" si="18"/>
        <v>0</v>
      </c>
      <c r="AH174">
        <f t="shared" si="19"/>
        <v>7</v>
      </c>
      <c r="AI174">
        <f t="shared" si="20"/>
        <v>15</v>
      </c>
      <c r="AJ174">
        <f t="shared" si="21"/>
        <v>4</v>
      </c>
      <c r="AL174">
        <f t="shared" si="22"/>
        <v>0</v>
      </c>
      <c r="AM174">
        <f t="shared" si="23"/>
        <v>21</v>
      </c>
      <c r="AN174">
        <f t="shared" si="24"/>
        <v>30</v>
      </c>
      <c r="AO174">
        <f t="shared" si="25"/>
        <v>4</v>
      </c>
      <c r="AP174">
        <f t="shared" si="26"/>
        <v>55</v>
      </c>
    </row>
    <row r="175" spans="1:42" ht="15.75" hidden="1" customHeight="1" x14ac:dyDescent="0.3">
      <c r="A175" s="16"/>
      <c r="B175" s="55">
        <v>22</v>
      </c>
      <c r="C175" s="56" t="s">
        <v>193</v>
      </c>
      <c r="D175" s="55">
        <v>4</v>
      </c>
      <c r="E175" s="55" t="s">
        <v>21</v>
      </c>
      <c r="F175" s="18" t="s">
        <v>20</v>
      </c>
      <c r="G175" s="18" t="s">
        <v>39</v>
      </c>
      <c r="H175" s="18" t="s">
        <v>39</v>
      </c>
      <c r="I175" s="18" t="s">
        <v>39</v>
      </c>
      <c r="J175" s="43" t="s">
        <v>20</v>
      </c>
      <c r="K175" s="43" t="s">
        <v>20</v>
      </c>
      <c r="L175" s="43" t="s">
        <v>20</v>
      </c>
      <c r="M175" s="18" t="s">
        <v>20</v>
      </c>
      <c r="N175" s="18" t="s">
        <v>20</v>
      </c>
      <c r="O175" s="18" t="s">
        <v>20</v>
      </c>
      <c r="P175" s="18" t="s">
        <v>20</v>
      </c>
      <c r="Q175" s="18" t="s">
        <v>21</v>
      </c>
      <c r="R175" s="18" t="s">
        <v>21</v>
      </c>
      <c r="S175" s="18" t="s">
        <v>20</v>
      </c>
      <c r="T175" s="18" t="s">
        <v>20</v>
      </c>
      <c r="U175" s="18" t="s">
        <v>20</v>
      </c>
      <c r="V175" s="49" t="s">
        <v>20</v>
      </c>
      <c r="W175" s="37" t="s">
        <v>20</v>
      </c>
      <c r="X175" s="37" t="s">
        <v>20</v>
      </c>
      <c r="Y175" s="18" t="s">
        <v>20</v>
      </c>
      <c r="Z175" s="18" t="s">
        <v>20</v>
      </c>
      <c r="AA175" s="20" t="s">
        <v>20</v>
      </c>
      <c r="AB175" s="20" t="s">
        <v>21</v>
      </c>
      <c r="AC175" s="20" t="s">
        <v>20</v>
      </c>
      <c r="AD175" s="29" t="s">
        <v>55</v>
      </c>
      <c r="AE175" s="29" t="s">
        <v>55</v>
      </c>
      <c r="AG175">
        <f t="shared" si="18"/>
        <v>3</v>
      </c>
      <c r="AH175">
        <f t="shared" si="19"/>
        <v>18</v>
      </c>
      <c r="AI175">
        <f t="shared" si="20"/>
        <v>3</v>
      </c>
      <c r="AJ175">
        <f t="shared" si="21"/>
        <v>0</v>
      </c>
      <c r="AL175">
        <f t="shared" si="22"/>
        <v>12</v>
      </c>
      <c r="AM175">
        <f t="shared" si="23"/>
        <v>54</v>
      </c>
      <c r="AN175">
        <f t="shared" si="24"/>
        <v>6</v>
      </c>
      <c r="AO175">
        <f t="shared" si="25"/>
        <v>0</v>
      </c>
      <c r="AP175">
        <f t="shared" si="26"/>
        <v>72</v>
      </c>
    </row>
    <row r="176" spans="1:42" ht="15.75" hidden="1" customHeight="1" x14ac:dyDescent="0.3">
      <c r="A176" s="16"/>
      <c r="B176" s="55">
        <v>23</v>
      </c>
      <c r="C176" s="56" t="s">
        <v>194</v>
      </c>
      <c r="D176" s="55">
        <v>4</v>
      </c>
      <c r="E176" s="55" t="s">
        <v>21</v>
      </c>
      <c r="F176" s="18" t="s">
        <v>20</v>
      </c>
      <c r="G176" s="18" t="s">
        <v>20</v>
      </c>
      <c r="H176" s="18" t="s">
        <v>20</v>
      </c>
      <c r="I176" s="18" t="s">
        <v>20</v>
      </c>
      <c r="J176" s="43" t="s">
        <v>20</v>
      </c>
      <c r="K176" s="43" t="s">
        <v>20</v>
      </c>
      <c r="L176" s="43" t="s">
        <v>21</v>
      </c>
      <c r="M176" s="18" t="s">
        <v>20</v>
      </c>
      <c r="N176" s="18" t="s">
        <v>21</v>
      </c>
      <c r="O176" s="18" t="s">
        <v>20</v>
      </c>
      <c r="P176" s="18" t="s">
        <v>20</v>
      </c>
      <c r="Q176" s="18" t="s">
        <v>20</v>
      </c>
      <c r="R176" s="18" t="s">
        <v>20</v>
      </c>
      <c r="S176" s="18" t="s">
        <v>20</v>
      </c>
      <c r="T176" s="18" t="s">
        <v>20</v>
      </c>
      <c r="U176" s="18" t="s">
        <v>20</v>
      </c>
      <c r="V176" s="49" t="s">
        <v>20</v>
      </c>
      <c r="W176" s="37" t="s">
        <v>20</v>
      </c>
      <c r="X176" s="37" t="s">
        <v>20</v>
      </c>
      <c r="Y176" s="18" t="s">
        <v>20</v>
      </c>
      <c r="Z176" s="18" t="s">
        <v>20</v>
      </c>
      <c r="AA176" s="20" t="s">
        <v>21</v>
      </c>
      <c r="AB176" s="20" t="s">
        <v>21</v>
      </c>
      <c r="AC176" s="20" t="s">
        <v>20</v>
      </c>
      <c r="AD176" s="29" t="s">
        <v>20</v>
      </c>
      <c r="AE176" s="29" t="s">
        <v>21</v>
      </c>
      <c r="AG176">
        <f t="shared" si="18"/>
        <v>0</v>
      </c>
      <c r="AH176">
        <f t="shared" si="19"/>
        <v>21</v>
      </c>
      <c r="AI176">
        <f t="shared" si="20"/>
        <v>5</v>
      </c>
      <c r="AJ176">
        <f t="shared" si="21"/>
        <v>0</v>
      </c>
      <c r="AL176">
        <f t="shared" si="22"/>
        <v>0</v>
      </c>
      <c r="AM176">
        <f t="shared" si="23"/>
        <v>63</v>
      </c>
      <c r="AN176">
        <f t="shared" si="24"/>
        <v>10</v>
      </c>
      <c r="AO176">
        <f t="shared" si="25"/>
        <v>0</v>
      </c>
      <c r="AP176">
        <f t="shared" si="26"/>
        <v>73</v>
      </c>
    </row>
    <row r="177" spans="1:42" ht="15.75" hidden="1" customHeight="1" x14ac:dyDescent="0.3">
      <c r="A177" s="16"/>
      <c r="B177" s="55">
        <v>24</v>
      </c>
      <c r="C177" s="56" t="s">
        <v>195</v>
      </c>
      <c r="D177" s="55">
        <v>4</v>
      </c>
      <c r="E177" s="55" t="s">
        <v>21</v>
      </c>
      <c r="F177" s="18" t="s">
        <v>20</v>
      </c>
      <c r="G177" s="18" t="s">
        <v>20</v>
      </c>
      <c r="H177" s="18" t="s">
        <v>20</v>
      </c>
      <c r="I177" s="18" t="s">
        <v>20</v>
      </c>
      <c r="J177" s="43" t="s">
        <v>20</v>
      </c>
      <c r="K177" s="43" t="s">
        <v>20</v>
      </c>
      <c r="L177" s="43" t="s">
        <v>20</v>
      </c>
      <c r="M177" s="18" t="s">
        <v>20</v>
      </c>
      <c r="N177" s="18" t="s">
        <v>20</v>
      </c>
      <c r="O177" s="18" t="s">
        <v>20</v>
      </c>
      <c r="P177" s="18" t="s">
        <v>21</v>
      </c>
      <c r="Q177" s="18" t="s">
        <v>21</v>
      </c>
      <c r="R177" s="18" t="s">
        <v>20</v>
      </c>
      <c r="S177" s="18" t="s">
        <v>20</v>
      </c>
      <c r="T177" s="18" t="s">
        <v>20</v>
      </c>
      <c r="U177" s="18" t="s">
        <v>20</v>
      </c>
      <c r="V177" s="49" t="s">
        <v>20</v>
      </c>
      <c r="W177" s="37" t="s">
        <v>20</v>
      </c>
      <c r="X177" s="37" t="s">
        <v>20</v>
      </c>
      <c r="Y177" s="18" t="s">
        <v>20</v>
      </c>
      <c r="Z177" s="18" t="s">
        <v>20</v>
      </c>
      <c r="AA177" s="20" t="s">
        <v>20</v>
      </c>
      <c r="AB177" s="20" t="s">
        <v>20</v>
      </c>
      <c r="AC177" s="20" t="s">
        <v>20</v>
      </c>
      <c r="AD177" s="29" t="s">
        <v>20</v>
      </c>
      <c r="AE177" s="29" t="s">
        <v>21</v>
      </c>
      <c r="AG177">
        <f t="shared" si="18"/>
        <v>0</v>
      </c>
      <c r="AH177">
        <f t="shared" si="19"/>
        <v>23</v>
      </c>
      <c r="AI177">
        <f t="shared" si="20"/>
        <v>3</v>
      </c>
      <c r="AJ177">
        <f t="shared" si="21"/>
        <v>0</v>
      </c>
      <c r="AL177">
        <f t="shared" si="22"/>
        <v>0</v>
      </c>
      <c r="AM177">
        <f t="shared" si="23"/>
        <v>69</v>
      </c>
      <c r="AN177">
        <f t="shared" si="24"/>
        <v>6</v>
      </c>
      <c r="AO177">
        <f t="shared" si="25"/>
        <v>0</v>
      </c>
      <c r="AP177">
        <f t="shared" si="26"/>
        <v>75</v>
      </c>
    </row>
    <row r="178" spans="1:42" ht="15.75" hidden="1" customHeight="1" thickBot="1" x14ac:dyDescent="0.35">
      <c r="A178" s="16"/>
      <c r="B178" s="57">
        <v>25</v>
      </c>
      <c r="C178" s="58" t="s">
        <v>196</v>
      </c>
      <c r="D178" s="57">
        <v>4</v>
      </c>
      <c r="E178" s="57" t="s">
        <v>21</v>
      </c>
      <c r="F178" s="21" t="s">
        <v>20</v>
      </c>
      <c r="G178" s="21" t="s">
        <v>20</v>
      </c>
      <c r="H178" s="21" t="s">
        <v>20</v>
      </c>
      <c r="I178" s="21" t="s">
        <v>20</v>
      </c>
      <c r="J178" s="45" t="s">
        <v>20</v>
      </c>
      <c r="K178" s="45" t="s">
        <v>39</v>
      </c>
      <c r="L178" s="45" t="s">
        <v>20</v>
      </c>
      <c r="M178" s="21" t="s">
        <v>20</v>
      </c>
      <c r="N178" s="21" t="s">
        <v>20</v>
      </c>
      <c r="O178" s="21" t="s">
        <v>20</v>
      </c>
      <c r="P178" s="21" t="s">
        <v>20</v>
      </c>
      <c r="Q178" s="21" t="s">
        <v>20</v>
      </c>
      <c r="R178" s="21" t="s">
        <v>20</v>
      </c>
      <c r="S178" s="21" t="s">
        <v>20</v>
      </c>
      <c r="T178" s="41" t="s">
        <v>20</v>
      </c>
      <c r="U178" s="21" t="s">
        <v>20</v>
      </c>
      <c r="V178" s="51" t="s">
        <v>20</v>
      </c>
      <c r="W178" s="38" t="s">
        <v>20</v>
      </c>
      <c r="X178" s="38" t="s">
        <v>20</v>
      </c>
      <c r="Y178" s="21" t="s">
        <v>20</v>
      </c>
      <c r="Z178" s="21" t="s">
        <v>21</v>
      </c>
      <c r="AA178" s="23" t="s">
        <v>20</v>
      </c>
      <c r="AB178" s="23" t="s">
        <v>21</v>
      </c>
      <c r="AC178" s="23" t="s">
        <v>20</v>
      </c>
      <c r="AD178" s="31" t="s">
        <v>20</v>
      </c>
      <c r="AE178" s="31" t="s">
        <v>21</v>
      </c>
      <c r="AG178">
        <f t="shared" si="18"/>
        <v>1</v>
      </c>
      <c r="AH178">
        <f t="shared" si="19"/>
        <v>22</v>
      </c>
      <c r="AI178">
        <f t="shared" si="20"/>
        <v>3</v>
      </c>
      <c r="AJ178">
        <f t="shared" si="21"/>
        <v>0</v>
      </c>
      <c r="AL178">
        <f t="shared" si="22"/>
        <v>4</v>
      </c>
      <c r="AM178">
        <f t="shared" si="23"/>
        <v>66</v>
      </c>
      <c r="AN178">
        <f t="shared" si="24"/>
        <v>6</v>
      </c>
      <c r="AO178">
        <f t="shared" si="25"/>
        <v>0</v>
      </c>
      <c r="AP178">
        <f t="shared" si="26"/>
        <v>76</v>
      </c>
    </row>
    <row r="179" spans="1:42" ht="15.75" hidden="1" customHeight="1" x14ac:dyDescent="0.3">
      <c r="A179" s="16"/>
      <c r="B179" s="59">
        <v>1</v>
      </c>
      <c r="C179" s="60" t="s">
        <v>197</v>
      </c>
      <c r="D179" s="59">
        <v>5</v>
      </c>
      <c r="E179" s="59" t="s">
        <v>20</v>
      </c>
      <c r="F179" s="24" t="s">
        <v>20</v>
      </c>
      <c r="G179" s="24" t="s">
        <v>20</v>
      </c>
      <c r="H179" s="24" t="s">
        <v>39</v>
      </c>
      <c r="I179" s="24" t="s">
        <v>39</v>
      </c>
      <c r="J179" s="42" t="s">
        <v>20</v>
      </c>
      <c r="K179" s="42" t="s">
        <v>20</v>
      </c>
      <c r="L179" s="42" t="s">
        <v>20</v>
      </c>
      <c r="M179" s="24" t="s">
        <v>20</v>
      </c>
      <c r="N179" s="24" t="s">
        <v>20</v>
      </c>
      <c r="O179" s="24" t="s">
        <v>20</v>
      </c>
      <c r="P179" s="24" t="s">
        <v>21</v>
      </c>
      <c r="Q179" s="24" t="s">
        <v>21</v>
      </c>
      <c r="R179" s="24" t="s">
        <v>21</v>
      </c>
      <c r="S179" s="24" t="s">
        <v>20</v>
      </c>
      <c r="T179" s="24" t="s">
        <v>21</v>
      </c>
      <c r="U179" s="24" t="s">
        <v>21</v>
      </c>
      <c r="V179" s="52" t="s">
        <v>20</v>
      </c>
      <c r="W179" s="39" t="s">
        <v>21</v>
      </c>
      <c r="X179" s="39" t="s">
        <v>21</v>
      </c>
      <c r="Y179" s="24" t="s">
        <v>20</v>
      </c>
      <c r="Z179" s="24" t="s">
        <v>20</v>
      </c>
      <c r="AA179" s="27" t="s">
        <v>20</v>
      </c>
      <c r="AB179" s="27" t="s">
        <v>20</v>
      </c>
      <c r="AC179" s="27" t="s">
        <v>21</v>
      </c>
      <c r="AD179" s="34" t="s">
        <v>20</v>
      </c>
      <c r="AE179" s="34" t="s">
        <v>21</v>
      </c>
      <c r="AG179">
        <f t="shared" si="18"/>
        <v>2</v>
      </c>
      <c r="AH179">
        <f t="shared" si="19"/>
        <v>15</v>
      </c>
      <c r="AI179">
        <f t="shared" si="20"/>
        <v>9</v>
      </c>
      <c r="AJ179">
        <f t="shared" si="21"/>
        <v>0</v>
      </c>
      <c r="AL179">
        <f t="shared" si="22"/>
        <v>8</v>
      </c>
      <c r="AM179">
        <f t="shared" si="23"/>
        <v>45</v>
      </c>
      <c r="AN179">
        <f t="shared" si="24"/>
        <v>18</v>
      </c>
      <c r="AO179">
        <f t="shared" si="25"/>
        <v>0</v>
      </c>
      <c r="AP179">
        <f t="shared" si="26"/>
        <v>71</v>
      </c>
    </row>
    <row r="180" spans="1:42" ht="15.75" hidden="1" customHeight="1" x14ac:dyDescent="0.3">
      <c r="A180" s="16"/>
      <c r="B180" s="55">
        <v>2</v>
      </c>
      <c r="C180" s="56" t="s">
        <v>198</v>
      </c>
      <c r="D180" s="55">
        <v>5</v>
      </c>
      <c r="E180" s="55" t="s">
        <v>20</v>
      </c>
      <c r="F180" s="18" t="s">
        <v>20</v>
      </c>
      <c r="G180" s="18" t="s">
        <v>20</v>
      </c>
      <c r="H180" s="18" t="s">
        <v>20</v>
      </c>
      <c r="I180" s="18" t="s">
        <v>20</v>
      </c>
      <c r="J180" s="43" t="s">
        <v>20</v>
      </c>
      <c r="K180" s="43" t="s">
        <v>20</v>
      </c>
      <c r="L180" s="43" t="s">
        <v>20</v>
      </c>
      <c r="M180" s="18" t="s">
        <v>20</v>
      </c>
      <c r="N180" s="18" t="s">
        <v>20</v>
      </c>
      <c r="O180" s="18" t="s">
        <v>20</v>
      </c>
      <c r="P180" s="18" t="s">
        <v>21</v>
      </c>
      <c r="Q180" s="18" t="s">
        <v>20</v>
      </c>
      <c r="R180" s="18" t="s">
        <v>20</v>
      </c>
      <c r="S180" s="18" t="s">
        <v>20</v>
      </c>
      <c r="T180" s="18" t="s">
        <v>21</v>
      </c>
      <c r="U180" s="18" t="s">
        <v>20</v>
      </c>
      <c r="V180" s="49" t="s">
        <v>20</v>
      </c>
      <c r="W180" s="37" t="s">
        <v>20</v>
      </c>
      <c r="X180" s="37" t="s">
        <v>20</v>
      </c>
      <c r="Y180" s="18" t="s">
        <v>21</v>
      </c>
      <c r="Z180" s="18" t="s">
        <v>20</v>
      </c>
      <c r="AA180" s="20" t="s">
        <v>21</v>
      </c>
      <c r="AB180" s="20" t="s">
        <v>20</v>
      </c>
      <c r="AC180" s="20" t="s">
        <v>20</v>
      </c>
      <c r="AD180" s="29" t="s">
        <v>20</v>
      </c>
      <c r="AE180" s="29" t="s">
        <v>21</v>
      </c>
      <c r="AG180">
        <f t="shared" si="18"/>
        <v>0</v>
      </c>
      <c r="AH180">
        <f t="shared" si="19"/>
        <v>21</v>
      </c>
      <c r="AI180">
        <f t="shared" si="20"/>
        <v>5</v>
      </c>
      <c r="AJ180">
        <f t="shared" si="21"/>
        <v>0</v>
      </c>
      <c r="AL180">
        <f t="shared" si="22"/>
        <v>0</v>
      </c>
      <c r="AM180">
        <f t="shared" si="23"/>
        <v>63</v>
      </c>
      <c r="AN180">
        <f t="shared" si="24"/>
        <v>10</v>
      </c>
      <c r="AO180">
        <f t="shared" si="25"/>
        <v>0</v>
      </c>
      <c r="AP180">
        <f t="shared" si="26"/>
        <v>73</v>
      </c>
    </row>
    <row r="181" spans="1:42" ht="15.75" hidden="1" customHeight="1" x14ac:dyDescent="0.3">
      <c r="A181" s="16"/>
      <c r="B181" s="55">
        <v>3</v>
      </c>
      <c r="C181" s="56" t="s">
        <v>199</v>
      </c>
      <c r="D181" s="55">
        <v>5</v>
      </c>
      <c r="E181" s="55" t="s">
        <v>20</v>
      </c>
      <c r="F181" s="18" t="s">
        <v>23</v>
      </c>
      <c r="G181" s="18" t="s">
        <v>23</v>
      </c>
      <c r="H181" s="18" t="s">
        <v>21</v>
      </c>
      <c r="I181" s="18" t="s">
        <v>21</v>
      </c>
      <c r="J181" s="43" t="s">
        <v>20</v>
      </c>
      <c r="K181" s="43" t="s">
        <v>20</v>
      </c>
      <c r="L181" s="43" t="s">
        <v>21</v>
      </c>
      <c r="M181" s="18" t="s">
        <v>20</v>
      </c>
      <c r="N181" s="18" t="s">
        <v>20</v>
      </c>
      <c r="O181" s="18" t="s">
        <v>20</v>
      </c>
      <c r="P181" s="18" t="s">
        <v>21</v>
      </c>
      <c r="Q181" s="18" t="s">
        <v>21</v>
      </c>
      <c r="R181" s="18" t="s">
        <v>20</v>
      </c>
      <c r="S181" s="18" t="s">
        <v>21</v>
      </c>
      <c r="T181" s="18" t="s">
        <v>20</v>
      </c>
      <c r="U181" s="18" t="s">
        <v>20</v>
      </c>
      <c r="V181" s="49" t="s">
        <v>20</v>
      </c>
      <c r="W181" s="37" t="s">
        <v>20</v>
      </c>
      <c r="X181" s="37" t="s">
        <v>20</v>
      </c>
      <c r="Y181" s="18" t="s">
        <v>20</v>
      </c>
      <c r="Z181" s="18" t="s">
        <v>20</v>
      </c>
      <c r="AA181" s="20" t="s">
        <v>21</v>
      </c>
      <c r="AB181" s="20" t="s">
        <v>21</v>
      </c>
      <c r="AC181" s="20" t="s">
        <v>21</v>
      </c>
      <c r="AD181" s="29" t="s">
        <v>20</v>
      </c>
      <c r="AE181" s="29" t="s">
        <v>21</v>
      </c>
      <c r="AG181">
        <f t="shared" si="18"/>
        <v>0</v>
      </c>
      <c r="AH181">
        <f t="shared" si="19"/>
        <v>14</v>
      </c>
      <c r="AI181">
        <f t="shared" si="20"/>
        <v>10</v>
      </c>
      <c r="AJ181">
        <f t="shared" si="21"/>
        <v>2</v>
      </c>
      <c r="AL181">
        <f t="shared" si="22"/>
        <v>0</v>
      </c>
      <c r="AM181">
        <f t="shared" si="23"/>
        <v>42</v>
      </c>
      <c r="AN181">
        <f t="shared" si="24"/>
        <v>20</v>
      </c>
      <c r="AO181">
        <f t="shared" si="25"/>
        <v>2</v>
      </c>
      <c r="AP181">
        <f t="shared" si="26"/>
        <v>64</v>
      </c>
    </row>
    <row r="182" spans="1:42" ht="15.75" hidden="1" customHeight="1" x14ac:dyDescent="0.3">
      <c r="A182" s="16"/>
      <c r="B182" s="55">
        <v>4</v>
      </c>
      <c r="C182" s="56" t="s">
        <v>200</v>
      </c>
      <c r="D182" s="55">
        <v>5</v>
      </c>
      <c r="E182" s="55" t="s">
        <v>20</v>
      </c>
      <c r="F182" s="18" t="s">
        <v>23</v>
      </c>
      <c r="G182" s="18" t="s">
        <v>23</v>
      </c>
      <c r="H182" s="18" t="s">
        <v>23</v>
      </c>
      <c r="I182" s="18" t="s">
        <v>23</v>
      </c>
      <c r="J182" s="43" t="s">
        <v>21</v>
      </c>
      <c r="K182" s="43" t="s">
        <v>21</v>
      </c>
      <c r="L182" s="43" t="s">
        <v>21</v>
      </c>
      <c r="M182" s="18" t="s">
        <v>21</v>
      </c>
      <c r="N182" s="18" t="s">
        <v>21</v>
      </c>
      <c r="O182" s="18" t="s">
        <v>20</v>
      </c>
      <c r="P182" s="18" t="s">
        <v>23</v>
      </c>
      <c r="Q182" s="18" t="s">
        <v>21</v>
      </c>
      <c r="R182" s="18" t="s">
        <v>21</v>
      </c>
      <c r="S182" s="18" t="s">
        <v>21</v>
      </c>
      <c r="T182" s="18" t="s">
        <v>21</v>
      </c>
      <c r="U182" s="18" t="s">
        <v>20</v>
      </c>
      <c r="V182" s="49" t="s">
        <v>20</v>
      </c>
      <c r="W182" s="37" t="s">
        <v>20</v>
      </c>
      <c r="X182" s="37" t="s">
        <v>20</v>
      </c>
      <c r="Y182" s="18" t="s">
        <v>20</v>
      </c>
      <c r="Z182" s="18" t="s">
        <v>20</v>
      </c>
      <c r="AA182" s="20" t="s">
        <v>21</v>
      </c>
      <c r="AB182" s="20" t="s">
        <v>21</v>
      </c>
      <c r="AC182" s="20" t="s">
        <v>21</v>
      </c>
      <c r="AD182" s="29" t="s">
        <v>21</v>
      </c>
      <c r="AE182" s="29" t="s">
        <v>21</v>
      </c>
      <c r="AG182">
        <f t="shared" si="18"/>
        <v>0</v>
      </c>
      <c r="AH182">
        <f t="shared" si="19"/>
        <v>7</v>
      </c>
      <c r="AI182">
        <f t="shared" si="20"/>
        <v>14</v>
      </c>
      <c r="AJ182">
        <f t="shared" si="21"/>
        <v>5</v>
      </c>
      <c r="AL182">
        <f t="shared" si="22"/>
        <v>0</v>
      </c>
      <c r="AM182">
        <f t="shared" si="23"/>
        <v>21</v>
      </c>
      <c r="AN182">
        <f t="shared" si="24"/>
        <v>28</v>
      </c>
      <c r="AO182">
        <f t="shared" si="25"/>
        <v>5</v>
      </c>
      <c r="AP182">
        <f t="shared" si="26"/>
        <v>54</v>
      </c>
    </row>
    <row r="183" spans="1:42" ht="15.75" hidden="1" customHeight="1" x14ac:dyDescent="0.3">
      <c r="A183" s="16"/>
      <c r="B183" s="55">
        <v>5</v>
      </c>
      <c r="C183" s="56" t="s">
        <v>201</v>
      </c>
      <c r="D183" s="55">
        <v>5</v>
      </c>
      <c r="E183" s="55" t="s">
        <v>20</v>
      </c>
      <c r="F183" s="18" t="s">
        <v>20</v>
      </c>
      <c r="G183" s="18" t="s">
        <v>20</v>
      </c>
      <c r="H183" s="18" t="s">
        <v>39</v>
      </c>
      <c r="I183" s="18" t="s">
        <v>39</v>
      </c>
      <c r="J183" s="43" t="s">
        <v>20</v>
      </c>
      <c r="K183" s="43" t="s">
        <v>20</v>
      </c>
      <c r="L183" s="43" t="s">
        <v>20</v>
      </c>
      <c r="M183" s="18" t="s">
        <v>20</v>
      </c>
      <c r="N183" s="18" t="s">
        <v>20</v>
      </c>
      <c r="O183" s="18" t="s">
        <v>20</v>
      </c>
      <c r="P183" s="18" t="s">
        <v>20</v>
      </c>
      <c r="Q183" s="18" t="s">
        <v>21</v>
      </c>
      <c r="R183" s="18" t="s">
        <v>21</v>
      </c>
      <c r="S183" s="18" t="s">
        <v>20</v>
      </c>
      <c r="T183" s="18" t="s">
        <v>21</v>
      </c>
      <c r="U183" s="18" t="s">
        <v>20</v>
      </c>
      <c r="V183" s="50" t="s">
        <v>20</v>
      </c>
      <c r="W183" s="37" t="s">
        <v>20</v>
      </c>
      <c r="X183" s="37" t="s">
        <v>20</v>
      </c>
      <c r="Y183" s="18" t="s">
        <v>20</v>
      </c>
      <c r="Z183" s="18" t="s">
        <v>20</v>
      </c>
      <c r="AA183" s="20" t="s">
        <v>21</v>
      </c>
      <c r="AB183" s="20" t="s">
        <v>21</v>
      </c>
      <c r="AC183" s="20" t="s">
        <v>21</v>
      </c>
      <c r="AD183" s="29" t="s">
        <v>20</v>
      </c>
      <c r="AE183" s="29" t="s">
        <v>21</v>
      </c>
      <c r="AG183">
        <f t="shared" si="18"/>
        <v>2</v>
      </c>
      <c r="AH183">
        <f t="shared" si="19"/>
        <v>17</v>
      </c>
      <c r="AI183">
        <f t="shared" si="20"/>
        <v>7</v>
      </c>
      <c r="AJ183">
        <f t="shared" si="21"/>
        <v>0</v>
      </c>
      <c r="AL183">
        <f t="shared" si="22"/>
        <v>8</v>
      </c>
      <c r="AM183">
        <f t="shared" si="23"/>
        <v>51</v>
      </c>
      <c r="AN183">
        <f t="shared" si="24"/>
        <v>14</v>
      </c>
      <c r="AO183">
        <f t="shared" si="25"/>
        <v>0</v>
      </c>
      <c r="AP183">
        <f t="shared" si="26"/>
        <v>73</v>
      </c>
    </row>
    <row r="184" spans="1:42" ht="15.75" hidden="1" customHeight="1" x14ac:dyDescent="0.3">
      <c r="A184" s="16"/>
      <c r="B184" s="55">
        <v>6</v>
      </c>
      <c r="C184" s="56" t="s">
        <v>202</v>
      </c>
      <c r="D184" s="55">
        <v>5</v>
      </c>
      <c r="E184" s="55" t="s">
        <v>20</v>
      </c>
      <c r="F184" s="18" t="s">
        <v>20</v>
      </c>
      <c r="G184" s="18" t="s">
        <v>20</v>
      </c>
      <c r="H184" s="18" t="s">
        <v>39</v>
      </c>
      <c r="I184" s="18" t="s">
        <v>39</v>
      </c>
      <c r="J184" s="43" t="s">
        <v>20</v>
      </c>
      <c r="K184" s="43" t="s">
        <v>20</v>
      </c>
      <c r="L184" s="43" t="s">
        <v>20</v>
      </c>
      <c r="M184" s="18" t="s">
        <v>20</v>
      </c>
      <c r="N184" s="18" t="s">
        <v>20</v>
      </c>
      <c r="O184" s="18" t="s">
        <v>20</v>
      </c>
      <c r="P184" s="18" t="s">
        <v>21</v>
      </c>
      <c r="Q184" s="18" t="s">
        <v>21</v>
      </c>
      <c r="R184" s="18" t="s">
        <v>21</v>
      </c>
      <c r="S184" s="18" t="s">
        <v>21</v>
      </c>
      <c r="T184" s="18" t="s">
        <v>20</v>
      </c>
      <c r="U184" s="18" t="s">
        <v>20</v>
      </c>
      <c r="V184" s="49" t="s">
        <v>20</v>
      </c>
      <c r="W184" s="37" t="s">
        <v>20</v>
      </c>
      <c r="X184" s="53" t="s">
        <v>20</v>
      </c>
      <c r="Y184" s="18" t="s">
        <v>20</v>
      </c>
      <c r="Z184" s="18" t="s">
        <v>20</v>
      </c>
      <c r="AA184" s="20" t="s">
        <v>20</v>
      </c>
      <c r="AB184" s="20" t="s">
        <v>20</v>
      </c>
      <c r="AC184" s="20" t="s">
        <v>20</v>
      </c>
      <c r="AD184" s="29" t="s">
        <v>20</v>
      </c>
      <c r="AE184" s="29" t="s">
        <v>21</v>
      </c>
      <c r="AG184">
        <f t="shared" si="18"/>
        <v>2</v>
      </c>
      <c r="AH184">
        <f t="shared" si="19"/>
        <v>19</v>
      </c>
      <c r="AI184">
        <f t="shared" si="20"/>
        <v>5</v>
      </c>
      <c r="AJ184">
        <f t="shared" si="21"/>
        <v>0</v>
      </c>
      <c r="AL184">
        <f t="shared" si="22"/>
        <v>8</v>
      </c>
      <c r="AM184">
        <f t="shared" si="23"/>
        <v>57</v>
      </c>
      <c r="AN184">
        <f t="shared" si="24"/>
        <v>10</v>
      </c>
      <c r="AO184">
        <f t="shared" si="25"/>
        <v>0</v>
      </c>
      <c r="AP184">
        <f t="shared" si="26"/>
        <v>75</v>
      </c>
    </row>
    <row r="185" spans="1:42" ht="15.75" hidden="1" customHeight="1" x14ac:dyDescent="0.3">
      <c r="A185" s="16"/>
      <c r="B185" s="55">
        <v>7</v>
      </c>
      <c r="C185" s="56" t="s">
        <v>203</v>
      </c>
      <c r="D185" s="55">
        <v>5</v>
      </c>
      <c r="E185" s="55" t="s">
        <v>20</v>
      </c>
      <c r="F185" s="18" t="s">
        <v>23</v>
      </c>
      <c r="G185" s="18" t="s">
        <v>21</v>
      </c>
      <c r="H185" s="18" t="s">
        <v>23</v>
      </c>
      <c r="I185" s="18" t="s">
        <v>21</v>
      </c>
      <c r="J185" s="43" t="s">
        <v>20</v>
      </c>
      <c r="K185" s="43" t="s">
        <v>20</v>
      </c>
      <c r="L185" s="43" t="s">
        <v>21</v>
      </c>
      <c r="M185" s="18" t="s">
        <v>21</v>
      </c>
      <c r="N185" s="18" t="s">
        <v>20</v>
      </c>
      <c r="O185" s="18" t="s">
        <v>20</v>
      </c>
      <c r="P185" s="18" t="s">
        <v>21</v>
      </c>
      <c r="Q185" s="18" t="s">
        <v>20</v>
      </c>
      <c r="R185" s="18" t="s">
        <v>20</v>
      </c>
      <c r="S185" s="18" t="s">
        <v>21</v>
      </c>
      <c r="T185" s="18" t="s">
        <v>21</v>
      </c>
      <c r="U185" s="18" t="s">
        <v>20</v>
      </c>
      <c r="V185" s="49" t="s">
        <v>20</v>
      </c>
      <c r="W185" s="37" t="s">
        <v>20</v>
      </c>
      <c r="X185" s="37" t="s">
        <v>20</v>
      </c>
      <c r="Y185" s="18" t="s">
        <v>20</v>
      </c>
      <c r="Z185" s="18" t="s">
        <v>21</v>
      </c>
      <c r="AA185" s="20" t="s">
        <v>21</v>
      </c>
      <c r="AB185" s="20" t="s">
        <v>20</v>
      </c>
      <c r="AC185" s="20" t="s">
        <v>21</v>
      </c>
      <c r="AD185" s="29" t="s">
        <v>20</v>
      </c>
      <c r="AE185" s="29" t="s">
        <v>21</v>
      </c>
      <c r="AG185">
        <f t="shared" si="18"/>
        <v>0</v>
      </c>
      <c r="AH185">
        <f t="shared" si="19"/>
        <v>13</v>
      </c>
      <c r="AI185">
        <f t="shared" si="20"/>
        <v>11</v>
      </c>
      <c r="AJ185">
        <f t="shared" si="21"/>
        <v>2</v>
      </c>
      <c r="AL185">
        <f t="shared" si="22"/>
        <v>0</v>
      </c>
      <c r="AM185">
        <f t="shared" si="23"/>
        <v>39</v>
      </c>
      <c r="AN185">
        <f t="shared" si="24"/>
        <v>22</v>
      </c>
      <c r="AO185">
        <f t="shared" si="25"/>
        <v>2</v>
      </c>
      <c r="AP185">
        <f t="shared" si="26"/>
        <v>63</v>
      </c>
    </row>
    <row r="186" spans="1:42" ht="15.75" hidden="1" customHeight="1" x14ac:dyDescent="0.3">
      <c r="A186" s="16"/>
      <c r="B186" s="55">
        <v>8</v>
      </c>
      <c r="C186" s="56" t="s">
        <v>204</v>
      </c>
      <c r="D186" s="55">
        <v>5</v>
      </c>
      <c r="E186" s="55" t="s">
        <v>20</v>
      </c>
      <c r="F186" s="18" t="s">
        <v>21</v>
      </c>
      <c r="G186" s="18" t="s">
        <v>21</v>
      </c>
      <c r="H186" s="18" t="s">
        <v>21</v>
      </c>
      <c r="I186" s="18" t="s">
        <v>21</v>
      </c>
      <c r="J186" s="43" t="s">
        <v>21</v>
      </c>
      <c r="K186" s="43" t="s">
        <v>21</v>
      </c>
      <c r="L186" s="43" t="s">
        <v>21</v>
      </c>
      <c r="M186" s="18" t="s">
        <v>21</v>
      </c>
      <c r="N186" s="18" t="s">
        <v>20</v>
      </c>
      <c r="O186" s="18" t="s">
        <v>20</v>
      </c>
      <c r="P186" s="18" t="s">
        <v>21</v>
      </c>
      <c r="Q186" s="18" t="s">
        <v>23</v>
      </c>
      <c r="R186" s="18" t="s">
        <v>21</v>
      </c>
      <c r="S186" s="18" t="s">
        <v>21</v>
      </c>
      <c r="T186" s="18" t="s">
        <v>21</v>
      </c>
      <c r="U186" s="18" t="s">
        <v>21</v>
      </c>
      <c r="V186" s="49" t="s">
        <v>21</v>
      </c>
      <c r="W186" s="37" t="s">
        <v>20</v>
      </c>
      <c r="X186" s="37" t="s">
        <v>20</v>
      </c>
      <c r="Y186" s="18" t="s">
        <v>21</v>
      </c>
      <c r="Z186" s="18" t="s">
        <v>21</v>
      </c>
      <c r="AA186" s="20" t="s">
        <v>21</v>
      </c>
      <c r="AB186" s="20" t="s">
        <v>21</v>
      </c>
      <c r="AC186" s="20" t="s">
        <v>21</v>
      </c>
      <c r="AD186" s="29" t="s">
        <v>21</v>
      </c>
      <c r="AE186" s="29" t="s">
        <v>21</v>
      </c>
      <c r="AG186">
        <f t="shared" si="18"/>
        <v>0</v>
      </c>
      <c r="AH186">
        <f t="shared" si="19"/>
        <v>4</v>
      </c>
      <c r="AI186">
        <f t="shared" si="20"/>
        <v>21</v>
      </c>
      <c r="AJ186">
        <f t="shared" si="21"/>
        <v>1</v>
      </c>
      <c r="AL186">
        <f t="shared" si="22"/>
        <v>0</v>
      </c>
      <c r="AM186">
        <f t="shared" si="23"/>
        <v>12</v>
      </c>
      <c r="AN186">
        <f t="shared" si="24"/>
        <v>42</v>
      </c>
      <c r="AO186">
        <f t="shared" si="25"/>
        <v>1</v>
      </c>
      <c r="AP186">
        <f t="shared" si="26"/>
        <v>55</v>
      </c>
    </row>
    <row r="187" spans="1:42" ht="15.75" hidden="1" customHeight="1" x14ac:dyDescent="0.3">
      <c r="A187" s="16"/>
      <c r="B187" s="55">
        <v>9</v>
      </c>
      <c r="C187" s="56" t="s">
        <v>205</v>
      </c>
      <c r="D187" s="55">
        <v>5</v>
      </c>
      <c r="E187" s="55" t="s">
        <v>20</v>
      </c>
      <c r="F187" s="18" t="s">
        <v>20</v>
      </c>
      <c r="G187" s="18" t="s">
        <v>20</v>
      </c>
      <c r="H187" s="18" t="s">
        <v>20</v>
      </c>
      <c r="I187" s="18" t="s">
        <v>20</v>
      </c>
      <c r="J187" s="43" t="s">
        <v>20</v>
      </c>
      <c r="K187" s="43" t="s">
        <v>20</v>
      </c>
      <c r="L187" s="43" t="s">
        <v>20</v>
      </c>
      <c r="M187" s="18" t="s">
        <v>20</v>
      </c>
      <c r="N187" s="18" t="s">
        <v>20</v>
      </c>
      <c r="O187" s="18" t="s">
        <v>20</v>
      </c>
      <c r="P187" s="18" t="s">
        <v>21</v>
      </c>
      <c r="Q187" s="18" t="s">
        <v>21</v>
      </c>
      <c r="R187" s="18" t="s">
        <v>20</v>
      </c>
      <c r="S187" s="18" t="s">
        <v>20</v>
      </c>
      <c r="T187" s="18" t="s">
        <v>21</v>
      </c>
      <c r="U187" s="18" t="s">
        <v>21</v>
      </c>
      <c r="V187" s="49" t="s">
        <v>20</v>
      </c>
      <c r="W187" s="37" t="s">
        <v>20</v>
      </c>
      <c r="X187" s="37" t="s">
        <v>20</v>
      </c>
      <c r="Y187" s="18" t="s">
        <v>20</v>
      </c>
      <c r="Z187" s="18" t="s">
        <v>20</v>
      </c>
      <c r="AA187" s="20" t="s">
        <v>20</v>
      </c>
      <c r="AB187" s="20" t="s">
        <v>20</v>
      </c>
      <c r="AC187" s="20" t="s">
        <v>20</v>
      </c>
      <c r="AD187" s="29" t="s">
        <v>20</v>
      </c>
      <c r="AE187" s="29" t="s">
        <v>21</v>
      </c>
      <c r="AG187">
        <f t="shared" si="18"/>
        <v>0</v>
      </c>
      <c r="AH187">
        <f t="shared" si="19"/>
        <v>21</v>
      </c>
      <c r="AI187">
        <f t="shared" si="20"/>
        <v>5</v>
      </c>
      <c r="AJ187">
        <f t="shared" si="21"/>
        <v>0</v>
      </c>
      <c r="AL187">
        <f t="shared" si="22"/>
        <v>0</v>
      </c>
      <c r="AM187">
        <f t="shared" si="23"/>
        <v>63</v>
      </c>
      <c r="AN187">
        <f t="shared" si="24"/>
        <v>10</v>
      </c>
      <c r="AO187">
        <f t="shared" si="25"/>
        <v>0</v>
      </c>
      <c r="AP187">
        <f t="shared" si="26"/>
        <v>73</v>
      </c>
    </row>
    <row r="188" spans="1:42" ht="15.75" hidden="1" customHeight="1" x14ac:dyDescent="0.3">
      <c r="A188" s="16"/>
      <c r="B188" s="55">
        <v>10</v>
      </c>
      <c r="C188" s="56" t="s">
        <v>206</v>
      </c>
      <c r="D188" s="55">
        <v>5</v>
      </c>
      <c r="E188" s="55" t="s">
        <v>20</v>
      </c>
      <c r="F188" s="18" t="s">
        <v>20</v>
      </c>
      <c r="G188" s="18" t="s">
        <v>20</v>
      </c>
      <c r="H188" s="18" t="s">
        <v>20</v>
      </c>
      <c r="I188" s="18" t="s">
        <v>20</v>
      </c>
      <c r="J188" s="43" t="s">
        <v>20</v>
      </c>
      <c r="K188" s="43" t="s">
        <v>20</v>
      </c>
      <c r="L188" s="43" t="s">
        <v>21</v>
      </c>
      <c r="M188" s="18" t="s">
        <v>20</v>
      </c>
      <c r="N188" s="18" t="s">
        <v>20</v>
      </c>
      <c r="O188" s="18" t="s">
        <v>20</v>
      </c>
      <c r="P188" s="18" t="s">
        <v>21</v>
      </c>
      <c r="Q188" s="18" t="s">
        <v>21</v>
      </c>
      <c r="R188" s="18" t="s">
        <v>20</v>
      </c>
      <c r="S188" s="18" t="s">
        <v>20</v>
      </c>
      <c r="T188" s="18" t="s">
        <v>21</v>
      </c>
      <c r="U188" s="18" t="s">
        <v>20</v>
      </c>
      <c r="V188" s="49" t="s">
        <v>20</v>
      </c>
      <c r="W188" s="37" t="s">
        <v>20</v>
      </c>
      <c r="X188" s="37" t="s">
        <v>21</v>
      </c>
      <c r="Y188" s="18" t="s">
        <v>20</v>
      </c>
      <c r="Z188" s="18" t="s">
        <v>20</v>
      </c>
      <c r="AA188" s="20" t="s">
        <v>39</v>
      </c>
      <c r="AB188" s="20" t="s">
        <v>20</v>
      </c>
      <c r="AC188" s="20" t="s">
        <v>20</v>
      </c>
      <c r="AD188" s="29" t="s">
        <v>20</v>
      </c>
      <c r="AE188" s="29" t="s">
        <v>21</v>
      </c>
      <c r="AG188">
        <f t="shared" si="18"/>
        <v>1</v>
      </c>
      <c r="AH188">
        <f t="shared" si="19"/>
        <v>19</v>
      </c>
      <c r="AI188">
        <f t="shared" si="20"/>
        <v>6</v>
      </c>
      <c r="AJ188">
        <f t="shared" si="21"/>
        <v>0</v>
      </c>
      <c r="AL188">
        <f t="shared" si="22"/>
        <v>4</v>
      </c>
      <c r="AM188">
        <f t="shared" si="23"/>
        <v>57</v>
      </c>
      <c r="AN188">
        <f t="shared" si="24"/>
        <v>12</v>
      </c>
      <c r="AO188">
        <f t="shared" si="25"/>
        <v>0</v>
      </c>
      <c r="AP188">
        <f t="shared" si="26"/>
        <v>73</v>
      </c>
    </row>
    <row r="189" spans="1:42" ht="15.75" hidden="1" customHeight="1" x14ac:dyDescent="0.3">
      <c r="A189" s="16"/>
      <c r="B189" s="55">
        <v>11</v>
      </c>
      <c r="C189" s="56" t="s">
        <v>207</v>
      </c>
      <c r="D189" s="55">
        <v>5</v>
      </c>
      <c r="E189" s="55" t="s">
        <v>20</v>
      </c>
      <c r="F189" s="18" t="s">
        <v>20</v>
      </c>
      <c r="G189" s="18" t="s">
        <v>20</v>
      </c>
      <c r="H189" s="18" t="s">
        <v>39</v>
      </c>
      <c r="I189" s="18" t="s">
        <v>20</v>
      </c>
      <c r="J189" s="43" t="s">
        <v>20</v>
      </c>
      <c r="K189" s="43" t="s">
        <v>20</v>
      </c>
      <c r="L189" s="43" t="s">
        <v>20</v>
      </c>
      <c r="M189" s="18" t="s">
        <v>20</v>
      </c>
      <c r="N189" s="18" t="s">
        <v>20</v>
      </c>
      <c r="O189" s="18" t="s">
        <v>20</v>
      </c>
      <c r="P189" s="18" t="s">
        <v>20</v>
      </c>
      <c r="Q189" s="18" t="s">
        <v>20</v>
      </c>
      <c r="R189" s="18" t="s">
        <v>21</v>
      </c>
      <c r="S189" s="18" t="s">
        <v>20</v>
      </c>
      <c r="T189" s="18" t="s">
        <v>21</v>
      </c>
      <c r="U189" s="18" t="s">
        <v>20</v>
      </c>
      <c r="V189" s="49" t="s">
        <v>20</v>
      </c>
      <c r="W189" s="37" t="s">
        <v>20</v>
      </c>
      <c r="X189" s="37" t="s">
        <v>20</v>
      </c>
      <c r="Y189" s="18" t="s">
        <v>20</v>
      </c>
      <c r="Z189" s="18" t="s">
        <v>20</v>
      </c>
      <c r="AA189" s="20" t="s">
        <v>20</v>
      </c>
      <c r="AB189" s="20" t="s">
        <v>20</v>
      </c>
      <c r="AC189" s="20" t="s">
        <v>21</v>
      </c>
      <c r="AD189" s="29" t="s">
        <v>20</v>
      </c>
      <c r="AE189" s="29" t="s">
        <v>21</v>
      </c>
      <c r="AG189">
        <f t="shared" si="18"/>
        <v>1</v>
      </c>
      <c r="AH189">
        <f t="shared" si="19"/>
        <v>21</v>
      </c>
      <c r="AI189">
        <f t="shared" si="20"/>
        <v>4</v>
      </c>
      <c r="AJ189">
        <f t="shared" si="21"/>
        <v>0</v>
      </c>
      <c r="AL189">
        <f t="shared" si="22"/>
        <v>4</v>
      </c>
      <c r="AM189">
        <f t="shared" si="23"/>
        <v>63</v>
      </c>
      <c r="AN189">
        <f t="shared" si="24"/>
        <v>8</v>
      </c>
      <c r="AO189">
        <f t="shared" si="25"/>
        <v>0</v>
      </c>
      <c r="AP189">
        <f t="shared" si="26"/>
        <v>75</v>
      </c>
    </row>
    <row r="190" spans="1:42" ht="15.75" hidden="1" customHeight="1" x14ac:dyDescent="0.3">
      <c r="A190" s="16"/>
      <c r="B190" s="55">
        <v>12</v>
      </c>
      <c r="C190" s="56" t="s">
        <v>208</v>
      </c>
      <c r="D190" s="55">
        <v>5</v>
      </c>
      <c r="E190" s="55" t="s">
        <v>20</v>
      </c>
      <c r="F190" s="18" t="s">
        <v>20</v>
      </c>
      <c r="G190" s="18" t="s">
        <v>39</v>
      </c>
      <c r="H190" s="18" t="s">
        <v>20</v>
      </c>
      <c r="I190" s="18" t="s">
        <v>39</v>
      </c>
      <c r="J190" s="43" t="s">
        <v>20</v>
      </c>
      <c r="K190" s="43" t="s">
        <v>39</v>
      </c>
      <c r="L190" s="43" t="s">
        <v>20</v>
      </c>
      <c r="M190" s="18" t="s">
        <v>20</v>
      </c>
      <c r="N190" s="18" t="s">
        <v>20</v>
      </c>
      <c r="O190" s="18" t="s">
        <v>20</v>
      </c>
      <c r="P190" s="18" t="s">
        <v>20</v>
      </c>
      <c r="Q190" s="18" t="s">
        <v>20</v>
      </c>
      <c r="R190" s="18" t="s">
        <v>20</v>
      </c>
      <c r="S190" s="18" t="s">
        <v>20</v>
      </c>
      <c r="T190" s="18" t="s">
        <v>20</v>
      </c>
      <c r="U190" s="18" t="s">
        <v>20</v>
      </c>
      <c r="V190" s="49" t="s">
        <v>20</v>
      </c>
      <c r="W190" s="37" t="s">
        <v>20</v>
      </c>
      <c r="X190" s="37" t="s">
        <v>20</v>
      </c>
      <c r="Y190" s="18" t="s">
        <v>39</v>
      </c>
      <c r="Z190" s="18" t="s">
        <v>39</v>
      </c>
      <c r="AA190" s="20" t="s">
        <v>20</v>
      </c>
      <c r="AB190" s="20" t="s">
        <v>20</v>
      </c>
      <c r="AC190" s="20" t="s">
        <v>20</v>
      </c>
      <c r="AD190" s="29" t="s">
        <v>20</v>
      </c>
      <c r="AE190" s="29" t="s">
        <v>21</v>
      </c>
      <c r="AG190">
        <f t="shared" si="18"/>
        <v>5</v>
      </c>
      <c r="AH190">
        <f t="shared" si="19"/>
        <v>20</v>
      </c>
      <c r="AI190">
        <f t="shared" si="20"/>
        <v>1</v>
      </c>
      <c r="AJ190">
        <f t="shared" si="21"/>
        <v>0</v>
      </c>
      <c r="AL190">
        <f t="shared" si="22"/>
        <v>20</v>
      </c>
      <c r="AM190">
        <f t="shared" si="23"/>
        <v>60</v>
      </c>
      <c r="AN190">
        <f t="shared" si="24"/>
        <v>2</v>
      </c>
      <c r="AO190">
        <f t="shared" si="25"/>
        <v>0</v>
      </c>
      <c r="AP190">
        <f t="shared" si="26"/>
        <v>82</v>
      </c>
    </row>
    <row r="191" spans="1:42" ht="15.75" hidden="1" customHeight="1" x14ac:dyDescent="0.3">
      <c r="A191" s="16"/>
      <c r="B191" s="55">
        <v>13</v>
      </c>
      <c r="C191" s="56" t="s">
        <v>209</v>
      </c>
      <c r="D191" s="55">
        <v>5</v>
      </c>
      <c r="E191" s="55" t="s">
        <v>20</v>
      </c>
      <c r="F191" s="18" t="s">
        <v>20</v>
      </c>
      <c r="G191" s="18" t="s">
        <v>20</v>
      </c>
      <c r="H191" s="18" t="s">
        <v>20</v>
      </c>
      <c r="I191" s="18" t="s">
        <v>20</v>
      </c>
      <c r="J191" s="43" t="s">
        <v>20</v>
      </c>
      <c r="K191" s="43" t="s">
        <v>20</v>
      </c>
      <c r="L191" s="43" t="s">
        <v>20</v>
      </c>
      <c r="M191" s="18" t="s">
        <v>20</v>
      </c>
      <c r="N191" s="18" t="s">
        <v>20</v>
      </c>
      <c r="O191" s="18" t="s">
        <v>20</v>
      </c>
      <c r="P191" s="18" t="s">
        <v>21</v>
      </c>
      <c r="Q191" s="18" t="s">
        <v>21</v>
      </c>
      <c r="R191" s="18" t="s">
        <v>20</v>
      </c>
      <c r="S191" s="18" t="s">
        <v>21</v>
      </c>
      <c r="T191" s="18" t="s">
        <v>21</v>
      </c>
      <c r="U191" s="18" t="s">
        <v>20</v>
      </c>
      <c r="V191" s="49" t="s">
        <v>20</v>
      </c>
      <c r="W191" s="37" t="s">
        <v>20</v>
      </c>
      <c r="X191" s="37" t="s">
        <v>20</v>
      </c>
      <c r="Y191" s="18" t="s">
        <v>20</v>
      </c>
      <c r="Z191" s="18" t="s">
        <v>39</v>
      </c>
      <c r="AA191" s="20" t="s">
        <v>39</v>
      </c>
      <c r="AB191" s="20" t="s">
        <v>20</v>
      </c>
      <c r="AC191" s="20" t="s">
        <v>39</v>
      </c>
      <c r="AD191" s="29" t="s">
        <v>20</v>
      </c>
      <c r="AE191" s="29" t="s">
        <v>21</v>
      </c>
      <c r="AG191">
        <f t="shared" si="18"/>
        <v>3</v>
      </c>
      <c r="AH191">
        <f t="shared" si="19"/>
        <v>18</v>
      </c>
      <c r="AI191">
        <f t="shared" si="20"/>
        <v>5</v>
      </c>
      <c r="AJ191">
        <f t="shared" si="21"/>
        <v>0</v>
      </c>
      <c r="AL191">
        <f t="shared" si="22"/>
        <v>12</v>
      </c>
      <c r="AM191">
        <f t="shared" si="23"/>
        <v>54</v>
      </c>
      <c r="AN191">
        <f t="shared" si="24"/>
        <v>10</v>
      </c>
      <c r="AO191">
        <f t="shared" si="25"/>
        <v>0</v>
      </c>
      <c r="AP191">
        <f t="shared" si="26"/>
        <v>76</v>
      </c>
    </row>
    <row r="192" spans="1:42" ht="15.75" hidden="1" customHeight="1" x14ac:dyDescent="0.3">
      <c r="A192" s="16"/>
      <c r="B192" s="55">
        <v>14</v>
      </c>
      <c r="C192" s="56" t="s">
        <v>210</v>
      </c>
      <c r="D192" s="55">
        <v>5</v>
      </c>
      <c r="E192" s="55" t="s">
        <v>20</v>
      </c>
      <c r="F192" s="18" t="s">
        <v>20</v>
      </c>
      <c r="G192" s="18" t="s">
        <v>20</v>
      </c>
      <c r="H192" s="18" t="s">
        <v>39</v>
      </c>
      <c r="I192" s="18" t="s">
        <v>20</v>
      </c>
      <c r="J192" s="43" t="s">
        <v>20</v>
      </c>
      <c r="K192" s="43" t="s">
        <v>39</v>
      </c>
      <c r="L192" s="43" t="s">
        <v>20</v>
      </c>
      <c r="M192" s="18" t="s">
        <v>21</v>
      </c>
      <c r="N192" s="18" t="s">
        <v>20</v>
      </c>
      <c r="O192" s="18" t="s">
        <v>20</v>
      </c>
      <c r="P192" s="18" t="s">
        <v>20</v>
      </c>
      <c r="Q192" s="18" t="s">
        <v>20</v>
      </c>
      <c r="R192" s="18" t="s">
        <v>20</v>
      </c>
      <c r="S192" s="18" t="s">
        <v>20</v>
      </c>
      <c r="T192" s="18" t="s">
        <v>21</v>
      </c>
      <c r="U192" s="18" t="s">
        <v>20</v>
      </c>
      <c r="V192" s="37" t="s">
        <v>20</v>
      </c>
      <c r="W192" s="37" t="s">
        <v>20</v>
      </c>
      <c r="X192" s="37" t="s">
        <v>20</v>
      </c>
      <c r="Y192" s="18" t="s">
        <v>20</v>
      </c>
      <c r="Z192" s="18" t="s">
        <v>39</v>
      </c>
      <c r="AA192" s="20" t="s">
        <v>21</v>
      </c>
      <c r="AB192" s="20" t="s">
        <v>20</v>
      </c>
      <c r="AC192" s="20" t="s">
        <v>20</v>
      </c>
      <c r="AD192" s="18" t="s">
        <v>20</v>
      </c>
      <c r="AE192" s="18" t="s">
        <v>21</v>
      </c>
      <c r="AG192">
        <f t="shared" si="18"/>
        <v>3</v>
      </c>
      <c r="AH192">
        <f t="shared" si="19"/>
        <v>19</v>
      </c>
      <c r="AI192">
        <f t="shared" si="20"/>
        <v>4</v>
      </c>
      <c r="AJ192">
        <f t="shared" si="21"/>
        <v>0</v>
      </c>
      <c r="AL192">
        <f t="shared" si="22"/>
        <v>12</v>
      </c>
      <c r="AM192">
        <f t="shared" si="23"/>
        <v>57</v>
      </c>
      <c r="AN192">
        <f t="shared" si="24"/>
        <v>8</v>
      </c>
      <c r="AO192">
        <f t="shared" si="25"/>
        <v>0</v>
      </c>
      <c r="AP192">
        <f t="shared" si="26"/>
        <v>77</v>
      </c>
    </row>
    <row r="193" spans="1:42" ht="15.75" hidden="1" customHeight="1" x14ac:dyDescent="0.3">
      <c r="A193" s="16"/>
      <c r="B193" s="55">
        <v>15</v>
      </c>
      <c r="C193" s="56" t="s">
        <v>211</v>
      </c>
      <c r="D193" s="55">
        <v>5</v>
      </c>
      <c r="E193" s="55" t="s">
        <v>20</v>
      </c>
      <c r="F193" s="18" t="s">
        <v>21</v>
      </c>
      <c r="G193" s="18" t="s">
        <v>21</v>
      </c>
      <c r="H193" s="18" t="s">
        <v>21</v>
      </c>
      <c r="I193" s="18" t="s">
        <v>21</v>
      </c>
      <c r="J193" s="43" t="s">
        <v>20</v>
      </c>
      <c r="K193" s="43" t="s">
        <v>20</v>
      </c>
      <c r="L193" s="43" t="s">
        <v>21</v>
      </c>
      <c r="M193" s="18" t="s">
        <v>20</v>
      </c>
      <c r="N193" s="18" t="s">
        <v>21</v>
      </c>
      <c r="O193" s="18" t="s">
        <v>20</v>
      </c>
      <c r="P193" s="18" t="s">
        <v>20</v>
      </c>
      <c r="Q193" s="18" t="s">
        <v>21</v>
      </c>
      <c r="R193" s="18" t="s">
        <v>21</v>
      </c>
      <c r="S193" s="18" t="s">
        <v>21</v>
      </c>
      <c r="T193" s="18" t="s">
        <v>21</v>
      </c>
      <c r="U193" s="18" t="s">
        <v>20</v>
      </c>
      <c r="V193" s="37" t="s">
        <v>20</v>
      </c>
      <c r="W193" s="37" t="s">
        <v>20</v>
      </c>
      <c r="X193" s="37" t="s">
        <v>20</v>
      </c>
      <c r="Y193" s="18" t="s">
        <v>21</v>
      </c>
      <c r="Z193" s="18" t="s">
        <v>21</v>
      </c>
      <c r="AA193" s="20" t="s">
        <v>21</v>
      </c>
      <c r="AB193" s="20" t="s">
        <v>21</v>
      </c>
      <c r="AC193" s="20" t="s">
        <v>20</v>
      </c>
      <c r="AD193" s="18" t="s">
        <v>20</v>
      </c>
      <c r="AE193" s="18" t="s">
        <v>21</v>
      </c>
      <c r="AG193">
        <f t="shared" si="18"/>
        <v>0</v>
      </c>
      <c r="AH193">
        <f t="shared" si="19"/>
        <v>11</v>
      </c>
      <c r="AI193">
        <f t="shared" si="20"/>
        <v>15</v>
      </c>
      <c r="AJ193">
        <f t="shared" si="21"/>
        <v>0</v>
      </c>
      <c r="AL193">
        <f t="shared" si="22"/>
        <v>0</v>
      </c>
      <c r="AM193">
        <f t="shared" si="23"/>
        <v>33</v>
      </c>
      <c r="AN193">
        <f t="shared" si="24"/>
        <v>30</v>
      </c>
      <c r="AO193">
        <f t="shared" si="25"/>
        <v>0</v>
      </c>
      <c r="AP193">
        <f t="shared" si="26"/>
        <v>63</v>
      </c>
    </row>
    <row r="194" spans="1:42" ht="15.75" hidden="1" customHeight="1" x14ac:dyDescent="0.3">
      <c r="A194" s="16"/>
      <c r="B194" s="55">
        <v>16</v>
      </c>
      <c r="C194" s="56" t="s">
        <v>212</v>
      </c>
      <c r="D194" s="55">
        <v>5</v>
      </c>
      <c r="E194" s="55" t="s">
        <v>20</v>
      </c>
      <c r="F194" s="18" t="s">
        <v>20</v>
      </c>
      <c r="G194" s="18" t="s">
        <v>20</v>
      </c>
      <c r="H194" s="18" t="s">
        <v>39</v>
      </c>
      <c r="I194" s="18" t="s">
        <v>39</v>
      </c>
      <c r="J194" s="43" t="s">
        <v>20</v>
      </c>
      <c r="K194" s="43" t="s">
        <v>20</v>
      </c>
      <c r="L194" s="43" t="s">
        <v>20</v>
      </c>
      <c r="M194" s="18" t="s">
        <v>20</v>
      </c>
      <c r="N194" s="18" t="s">
        <v>20</v>
      </c>
      <c r="O194" s="18" t="s">
        <v>20</v>
      </c>
      <c r="P194" s="18" t="s">
        <v>21</v>
      </c>
      <c r="Q194" s="18" t="s">
        <v>21</v>
      </c>
      <c r="R194" s="18" t="s">
        <v>21</v>
      </c>
      <c r="S194" s="18" t="s">
        <v>20</v>
      </c>
      <c r="T194" s="18" t="s">
        <v>21</v>
      </c>
      <c r="U194" s="18" t="s">
        <v>20</v>
      </c>
      <c r="V194" s="37" t="s">
        <v>20</v>
      </c>
      <c r="W194" s="37" t="s">
        <v>20</v>
      </c>
      <c r="X194" s="37" t="s">
        <v>20</v>
      </c>
      <c r="Y194" s="18" t="s">
        <v>20</v>
      </c>
      <c r="Z194" s="18" t="s">
        <v>20</v>
      </c>
      <c r="AA194" s="20" t="s">
        <v>20</v>
      </c>
      <c r="AB194" s="20" t="s">
        <v>20</v>
      </c>
      <c r="AC194" s="20" t="s">
        <v>20</v>
      </c>
      <c r="AD194" s="18" t="s">
        <v>20</v>
      </c>
      <c r="AE194" s="18" t="s">
        <v>21</v>
      </c>
      <c r="AG194">
        <f t="shared" si="18"/>
        <v>2</v>
      </c>
      <c r="AH194">
        <f t="shared" si="19"/>
        <v>19</v>
      </c>
      <c r="AI194">
        <f t="shared" si="20"/>
        <v>5</v>
      </c>
      <c r="AJ194">
        <f t="shared" si="21"/>
        <v>0</v>
      </c>
      <c r="AL194">
        <f t="shared" si="22"/>
        <v>8</v>
      </c>
      <c r="AM194">
        <f t="shared" si="23"/>
        <v>57</v>
      </c>
      <c r="AN194">
        <f t="shared" si="24"/>
        <v>10</v>
      </c>
      <c r="AO194">
        <f t="shared" si="25"/>
        <v>0</v>
      </c>
      <c r="AP194">
        <f t="shared" si="26"/>
        <v>75</v>
      </c>
    </row>
    <row r="195" spans="1:42" ht="15.75" hidden="1" customHeight="1" x14ac:dyDescent="0.3">
      <c r="A195" s="16"/>
      <c r="B195" s="55">
        <v>17</v>
      </c>
      <c r="C195" s="56" t="s">
        <v>213</v>
      </c>
      <c r="D195" s="55">
        <v>5</v>
      </c>
      <c r="E195" s="55" t="s">
        <v>20</v>
      </c>
      <c r="F195" s="18" t="s">
        <v>23</v>
      </c>
      <c r="G195" s="18" t="s">
        <v>23</v>
      </c>
      <c r="H195" s="18" t="s">
        <v>23</v>
      </c>
      <c r="I195" s="18" t="s">
        <v>23</v>
      </c>
      <c r="J195" s="43" t="s">
        <v>21</v>
      </c>
      <c r="K195" s="43" t="s">
        <v>21</v>
      </c>
      <c r="L195" s="43" t="s">
        <v>21</v>
      </c>
      <c r="M195" s="18" t="s">
        <v>21</v>
      </c>
      <c r="N195" s="18" t="s">
        <v>21</v>
      </c>
      <c r="O195" s="18" t="s">
        <v>20</v>
      </c>
      <c r="P195" s="18" t="s">
        <v>23</v>
      </c>
      <c r="Q195" s="18" t="s">
        <v>21</v>
      </c>
      <c r="R195" s="18" t="s">
        <v>23</v>
      </c>
      <c r="S195" s="18" t="s">
        <v>21</v>
      </c>
      <c r="T195" s="18" t="s">
        <v>23</v>
      </c>
      <c r="U195" s="18" t="s">
        <v>20</v>
      </c>
      <c r="V195" s="37" t="s">
        <v>21</v>
      </c>
      <c r="W195" s="37" t="s">
        <v>21</v>
      </c>
      <c r="X195" s="37" t="s">
        <v>21</v>
      </c>
      <c r="Y195" s="18" t="s">
        <v>21</v>
      </c>
      <c r="Z195" s="18" t="s">
        <v>21</v>
      </c>
      <c r="AA195" s="20" t="s">
        <v>23</v>
      </c>
      <c r="AB195" s="20" t="s">
        <v>21</v>
      </c>
      <c r="AC195" s="20" t="s">
        <v>23</v>
      </c>
      <c r="AD195" s="18" t="s">
        <v>23</v>
      </c>
      <c r="AE195" s="18" t="s">
        <v>21</v>
      </c>
      <c r="AG195">
        <f t="shared" si="18"/>
        <v>0</v>
      </c>
      <c r="AH195">
        <f t="shared" si="19"/>
        <v>2</v>
      </c>
      <c r="AI195">
        <f t="shared" si="20"/>
        <v>14</v>
      </c>
      <c r="AJ195">
        <f t="shared" si="21"/>
        <v>10</v>
      </c>
      <c r="AL195">
        <f t="shared" si="22"/>
        <v>0</v>
      </c>
      <c r="AM195">
        <f t="shared" si="23"/>
        <v>6</v>
      </c>
      <c r="AN195">
        <f t="shared" si="24"/>
        <v>28</v>
      </c>
      <c r="AO195">
        <f t="shared" si="25"/>
        <v>10</v>
      </c>
      <c r="AP195">
        <f t="shared" si="26"/>
        <v>44</v>
      </c>
    </row>
    <row r="196" spans="1:42" ht="15.75" hidden="1" customHeight="1" x14ac:dyDescent="0.3">
      <c r="A196" s="16"/>
      <c r="B196" s="55">
        <v>18</v>
      </c>
      <c r="C196" s="56" t="s">
        <v>214</v>
      </c>
      <c r="D196" s="55">
        <v>5</v>
      </c>
      <c r="E196" s="55" t="s">
        <v>20</v>
      </c>
      <c r="F196" s="18" t="s">
        <v>20</v>
      </c>
      <c r="G196" s="18" t="s">
        <v>20</v>
      </c>
      <c r="H196" s="18" t="s">
        <v>20</v>
      </c>
      <c r="I196" s="18" t="s">
        <v>20</v>
      </c>
      <c r="J196" s="43" t="s">
        <v>20</v>
      </c>
      <c r="K196" s="43" t="s">
        <v>20</v>
      </c>
      <c r="L196" s="43" t="s">
        <v>21</v>
      </c>
      <c r="M196" s="18" t="s">
        <v>20</v>
      </c>
      <c r="N196" s="18" t="s">
        <v>20</v>
      </c>
      <c r="O196" s="18" t="s">
        <v>20</v>
      </c>
      <c r="P196" s="18" t="s">
        <v>21</v>
      </c>
      <c r="Q196" s="18" t="s">
        <v>20</v>
      </c>
      <c r="R196" s="18" t="s">
        <v>21</v>
      </c>
      <c r="S196" s="18" t="s">
        <v>21</v>
      </c>
      <c r="T196" s="18" t="s">
        <v>21</v>
      </c>
      <c r="U196" s="18" t="s">
        <v>20</v>
      </c>
      <c r="V196" s="37" t="s">
        <v>20</v>
      </c>
      <c r="W196" s="37" t="s">
        <v>20</v>
      </c>
      <c r="X196" s="37" t="s">
        <v>20</v>
      </c>
      <c r="Y196" s="18" t="s">
        <v>20</v>
      </c>
      <c r="Z196" s="18" t="s">
        <v>20</v>
      </c>
      <c r="AA196" s="20" t="s">
        <v>20</v>
      </c>
      <c r="AB196" s="20" t="s">
        <v>20</v>
      </c>
      <c r="AC196" s="20" t="s">
        <v>20</v>
      </c>
      <c r="AD196" s="18" t="s">
        <v>20</v>
      </c>
      <c r="AE196" s="18" t="s">
        <v>21</v>
      </c>
      <c r="AG196">
        <f t="shared" si="18"/>
        <v>0</v>
      </c>
      <c r="AH196">
        <f t="shared" si="19"/>
        <v>20</v>
      </c>
      <c r="AI196">
        <f t="shared" si="20"/>
        <v>6</v>
      </c>
      <c r="AJ196">
        <f t="shared" si="21"/>
        <v>0</v>
      </c>
      <c r="AL196">
        <f t="shared" si="22"/>
        <v>0</v>
      </c>
      <c r="AM196">
        <f t="shared" si="23"/>
        <v>60</v>
      </c>
      <c r="AN196">
        <f t="shared" si="24"/>
        <v>12</v>
      </c>
      <c r="AO196">
        <f t="shared" si="25"/>
        <v>0</v>
      </c>
      <c r="AP196">
        <f t="shared" si="26"/>
        <v>72</v>
      </c>
    </row>
    <row r="197" spans="1:42" ht="15.75" hidden="1" customHeight="1" x14ac:dyDescent="0.3">
      <c r="A197" s="16"/>
      <c r="B197" s="55">
        <v>19</v>
      </c>
      <c r="C197" s="56" t="s">
        <v>215</v>
      </c>
      <c r="D197" s="55">
        <v>5</v>
      </c>
      <c r="E197" s="55" t="s">
        <v>20</v>
      </c>
      <c r="F197" s="18" t="s">
        <v>20</v>
      </c>
      <c r="G197" s="18" t="s">
        <v>20</v>
      </c>
      <c r="H197" s="18" t="s">
        <v>20</v>
      </c>
      <c r="I197" s="18" t="s">
        <v>20</v>
      </c>
      <c r="J197" s="43" t="s">
        <v>20</v>
      </c>
      <c r="K197" s="43" t="s">
        <v>20</v>
      </c>
      <c r="L197" s="43" t="s">
        <v>20</v>
      </c>
      <c r="M197" s="18" t="s">
        <v>20</v>
      </c>
      <c r="N197" s="18" t="s">
        <v>20</v>
      </c>
      <c r="O197" s="18" t="s">
        <v>20</v>
      </c>
      <c r="P197" s="18" t="s">
        <v>21</v>
      </c>
      <c r="Q197" s="18" t="s">
        <v>21</v>
      </c>
      <c r="R197" s="18" t="s">
        <v>21</v>
      </c>
      <c r="S197" s="18" t="s">
        <v>21</v>
      </c>
      <c r="T197" s="18" t="s">
        <v>21</v>
      </c>
      <c r="U197" s="18" t="s">
        <v>21</v>
      </c>
      <c r="V197" s="37" t="s">
        <v>21</v>
      </c>
      <c r="W197" s="37" t="s">
        <v>20</v>
      </c>
      <c r="X197" s="37" t="s">
        <v>20</v>
      </c>
      <c r="Y197" s="18" t="s">
        <v>21</v>
      </c>
      <c r="Z197" s="18" t="s">
        <v>20</v>
      </c>
      <c r="AA197" s="20" t="s">
        <v>20</v>
      </c>
      <c r="AB197" s="20" t="s">
        <v>20</v>
      </c>
      <c r="AC197" s="20" t="s">
        <v>20</v>
      </c>
      <c r="AD197" s="18" t="s">
        <v>55</v>
      </c>
      <c r="AE197" s="18" t="s">
        <v>55</v>
      </c>
      <c r="AG197">
        <f t="shared" si="18"/>
        <v>0</v>
      </c>
      <c r="AH197">
        <f t="shared" si="19"/>
        <v>16</v>
      </c>
      <c r="AI197">
        <f t="shared" si="20"/>
        <v>8</v>
      </c>
      <c r="AJ197">
        <f t="shared" si="21"/>
        <v>0</v>
      </c>
      <c r="AL197">
        <f t="shared" si="22"/>
        <v>0</v>
      </c>
      <c r="AM197">
        <f t="shared" si="23"/>
        <v>48</v>
      </c>
      <c r="AN197">
        <f t="shared" si="24"/>
        <v>16</v>
      </c>
      <c r="AO197">
        <f t="shared" si="25"/>
        <v>0</v>
      </c>
      <c r="AP197">
        <f t="shared" si="26"/>
        <v>64</v>
      </c>
    </row>
    <row r="198" spans="1:42" ht="15.75" hidden="1" customHeight="1" x14ac:dyDescent="0.3">
      <c r="A198" s="16"/>
      <c r="B198" s="55">
        <v>20</v>
      </c>
      <c r="C198" s="56" t="s">
        <v>216</v>
      </c>
      <c r="D198" s="55">
        <v>5</v>
      </c>
      <c r="E198" s="55" t="s">
        <v>20</v>
      </c>
      <c r="F198" s="18" t="s">
        <v>39</v>
      </c>
      <c r="G198" s="18" t="s">
        <v>20</v>
      </c>
      <c r="H198" s="18" t="s">
        <v>20</v>
      </c>
      <c r="I198" s="18" t="s">
        <v>39</v>
      </c>
      <c r="J198" s="43" t="s">
        <v>20</v>
      </c>
      <c r="K198" s="43" t="s">
        <v>20</v>
      </c>
      <c r="L198" s="43" t="s">
        <v>20</v>
      </c>
      <c r="M198" s="18" t="s">
        <v>20</v>
      </c>
      <c r="N198" s="18" t="s">
        <v>20</v>
      </c>
      <c r="O198" s="18" t="s">
        <v>20</v>
      </c>
      <c r="P198" s="18" t="s">
        <v>21</v>
      </c>
      <c r="Q198" s="18" t="s">
        <v>20</v>
      </c>
      <c r="R198" s="18" t="s">
        <v>20</v>
      </c>
      <c r="S198" s="18" t="s">
        <v>21</v>
      </c>
      <c r="T198" s="18" t="s">
        <v>21</v>
      </c>
      <c r="U198" s="18" t="s">
        <v>20</v>
      </c>
      <c r="V198" s="37" t="s">
        <v>20</v>
      </c>
      <c r="W198" s="37" t="s">
        <v>20</v>
      </c>
      <c r="X198" s="37" t="s">
        <v>20</v>
      </c>
      <c r="Y198" s="18" t="s">
        <v>20</v>
      </c>
      <c r="Z198" s="18" t="s">
        <v>20</v>
      </c>
      <c r="AA198" s="20" t="s">
        <v>20</v>
      </c>
      <c r="AB198" s="20" t="s">
        <v>20</v>
      </c>
      <c r="AC198" s="20" t="s">
        <v>20</v>
      </c>
      <c r="AD198" s="18" t="s">
        <v>20</v>
      </c>
      <c r="AE198" s="18" t="s">
        <v>21</v>
      </c>
      <c r="AG198">
        <f t="shared" si="18"/>
        <v>2</v>
      </c>
      <c r="AH198">
        <f t="shared" si="19"/>
        <v>20</v>
      </c>
      <c r="AI198">
        <f t="shared" si="20"/>
        <v>4</v>
      </c>
      <c r="AJ198">
        <f t="shared" si="21"/>
        <v>0</v>
      </c>
      <c r="AL198">
        <f t="shared" si="22"/>
        <v>8</v>
      </c>
      <c r="AM198">
        <f t="shared" si="23"/>
        <v>60</v>
      </c>
      <c r="AN198">
        <f t="shared" si="24"/>
        <v>8</v>
      </c>
      <c r="AO198">
        <f t="shared" si="25"/>
        <v>0</v>
      </c>
      <c r="AP198">
        <f t="shared" si="26"/>
        <v>76</v>
      </c>
    </row>
    <row r="199" spans="1:42" ht="15.75" hidden="1" customHeight="1" x14ac:dyDescent="0.3">
      <c r="A199" s="16"/>
      <c r="B199" s="55">
        <v>21</v>
      </c>
      <c r="C199" s="56" t="s">
        <v>217</v>
      </c>
      <c r="D199" s="55">
        <v>5</v>
      </c>
      <c r="E199" s="55" t="s">
        <v>20</v>
      </c>
      <c r="F199" s="18" t="s">
        <v>20</v>
      </c>
      <c r="G199" s="18" t="s">
        <v>20</v>
      </c>
      <c r="H199" s="18" t="s">
        <v>39</v>
      </c>
      <c r="I199" s="18" t="s">
        <v>20</v>
      </c>
      <c r="J199" s="43" t="s">
        <v>20</v>
      </c>
      <c r="K199" s="43" t="s">
        <v>20</v>
      </c>
      <c r="L199" s="43" t="s">
        <v>20</v>
      </c>
      <c r="M199" s="18" t="s">
        <v>21</v>
      </c>
      <c r="N199" s="18" t="s">
        <v>20</v>
      </c>
      <c r="O199" s="18" t="s">
        <v>20</v>
      </c>
      <c r="P199" s="18" t="s">
        <v>21</v>
      </c>
      <c r="Q199" s="18" t="s">
        <v>21</v>
      </c>
      <c r="R199" s="18" t="s">
        <v>21</v>
      </c>
      <c r="S199" s="18" t="s">
        <v>20</v>
      </c>
      <c r="T199" s="18" t="s">
        <v>21</v>
      </c>
      <c r="U199" s="18" t="s">
        <v>20</v>
      </c>
      <c r="V199" s="37" t="s">
        <v>20</v>
      </c>
      <c r="W199" s="37" t="s">
        <v>20</v>
      </c>
      <c r="X199" s="37" t="s">
        <v>20</v>
      </c>
      <c r="Y199" s="18" t="s">
        <v>20</v>
      </c>
      <c r="Z199" s="18" t="s">
        <v>20</v>
      </c>
      <c r="AA199" s="20" t="s">
        <v>20</v>
      </c>
      <c r="AB199" s="20" t="s">
        <v>20</v>
      </c>
      <c r="AC199" s="20" t="s">
        <v>20</v>
      </c>
      <c r="AD199" s="18" t="s">
        <v>20</v>
      </c>
      <c r="AE199" s="18" t="s">
        <v>21</v>
      </c>
      <c r="AG199">
        <f t="shared" si="18"/>
        <v>1</v>
      </c>
      <c r="AH199">
        <f t="shared" si="19"/>
        <v>19</v>
      </c>
      <c r="AI199">
        <f t="shared" si="20"/>
        <v>6</v>
      </c>
      <c r="AJ199">
        <f t="shared" si="21"/>
        <v>0</v>
      </c>
      <c r="AL199">
        <f t="shared" si="22"/>
        <v>4</v>
      </c>
      <c r="AM199">
        <f t="shared" si="23"/>
        <v>57</v>
      </c>
      <c r="AN199">
        <f t="shared" si="24"/>
        <v>12</v>
      </c>
      <c r="AO199">
        <f t="shared" si="25"/>
        <v>0</v>
      </c>
      <c r="AP199">
        <f t="shared" si="26"/>
        <v>73</v>
      </c>
    </row>
    <row r="200" spans="1:42" ht="15.75" hidden="1" customHeight="1" x14ac:dyDescent="0.3">
      <c r="A200" s="16"/>
      <c r="B200" s="55">
        <v>22</v>
      </c>
      <c r="C200" s="56" t="s">
        <v>218</v>
      </c>
      <c r="D200" s="55">
        <v>5</v>
      </c>
      <c r="E200" s="55" t="s">
        <v>20</v>
      </c>
      <c r="F200" s="18" t="s">
        <v>23</v>
      </c>
      <c r="G200" s="18" t="s">
        <v>23</v>
      </c>
      <c r="H200" s="18" t="s">
        <v>21</v>
      </c>
      <c r="I200" s="18" t="s">
        <v>21</v>
      </c>
      <c r="J200" s="43" t="s">
        <v>20</v>
      </c>
      <c r="K200" s="43" t="s">
        <v>20</v>
      </c>
      <c r="L200" s="43" t="s">
        <v>21</v>
      </c>
      <c r="M200" s="18" t="s">
        <v>20</v>
      </c>
      <c r="N200" s="18" t="s">
        <v>20</v>
      </c>
      <c r="O200" s="18" t="s">
        <v>20</v>
      </c>
      <c r="P200" s="18" t="s">
        <v>21</v>
      </c>
      <c r="Q200" s="18" t="s">
        <v>21</v>
      </c>
      <c r="R200" s="18" t="s">
        <v>21</v>
      </c>
      <c r="S200" s="18" t="s">
        <v>21</v>
      </c>
      <c r="T200" s="18" t="s">
        <v>21</v>
      </c>
      <c r="U200" s="18" t="s">
        <v>20</v>
      </c>
      <c r="V200" s="37" t="s">
        <v>21</v>
      </c>
      <c r="W200" s="37" t="s">
        <v>21</v>
      </c>
      <c r="X200" s="37" t="s">
        <v>21</v>
      </c>
      <c r="Y200" s="18" t="s">
        <v>20</v>
      </c>
      <c r="Z200" s="18" t="s">
        <v>20</v>
      </c>
      <c r="AA200" s="20" t="s">
        <v>20</v>
      </c>
      <c r="AB200" s="20" t="s">
        <v>20</v>
      </c>
      <c r="AC200" s="20" t="s">
        <v>20</v>
      </c>
      <c r="AD200" s="40" t="s">
        <v>20</v>
      </c>
      <c r="AE200" s="40" t="s">
        <v>21</v>
      </c>
      <c r="AG200">
        <f t="shared" si="18"/>
        <v>0</v>
      </c>
      <c r="AH200">
        <f t="shared" si="19"/>
        <v>12</v>
      </c>
      <c r="AI200">
        <f t="shared" si="20"/>
        <v>12</v>
      </c>
      <c r="AJ200">
        <f t="shared" si="21"/>
        <v>2</v>
      </c>
      <c r="AL200">
        <f t="shared" si="22"/>
        <v>0</v>
      </c>
      <c r="AM200">
        <f t="shared" si="23"/>
        <v>36</v>
      </c>
      <c r="AN200">
        <f t="shared" si="24"/>
        <v>24</v>
      </c>
      <c r="AO200">
        <f t="shared" si="25"/>
        <v>2</v>
      </c>
      <c r="AP200">
        <f t="shared" si="26"/>
        <v>62</v>
      </c>
    </row>
    <row r="201" spans="1:42" ht="15.75" hidden="1" customHeight="1" x14ac:dyDescent="0.3">
      <c r="A201" s="16"/>
      <c r="B201" s="55">
        <v>23</v>
      </c>
      <c r="C201" s="56" t="s">
        <v>219</v>
      </c>
      <c r="D201" s="55">
        <v>5</v>
      </c>
      <c r="E201" s="55" t="s">
        <v>20</v>
      </c>
      <c r="F201" s="18" t="s">
        <v>23</v>
      </c>
      <c r="G201" s="18" t="s">
        <v>23</v>
      </c>
      <c r="H201" s="18" t="s">
        <v>23</v>
      </c>
      <c r="I201" s="18" t="s">
        <v>21</v>
      </c>
      <c r="J201" s="43" t="s">
        <v>20</v>
      </c>
      <c r="K201" s="43" t="s">
        <v>20</v>
      </c>
      <c r="L201" s="43" t="s">
        <v>21</v>
      </c>
      <c r="M201" s="18" t="s">
        <v>20</v>
      </c>
      <c r="N201" s="18" t="s">
        <v>21</v>
      </c>
      <c r="O201" s="18" t="s">
        <v>20</v>
      </c>
      <c r="P201" s="18" t="s">
        <v>21</v>
      </c>
      <c r="Q201" s="18" t="s">
        <v>23</v>
      </c>
      <c r="R201" s="18" t="s">
        <v>21</v>
      </c>
      <c r="S201" s="18" t="s">
        <v>21</v>
      </c>
      <c r="T201" s="18" t="s">
        <v>21</v>
      </c>
      <c r="U201" s="18" t="s">
        <v>20</v>
      </c>
      <c r="V201" s="37" t="s">
        <v>20</v>
      </c>
      <c r="W201" s="37" t="s">
        <v>21</v>
      </c>
      <c r="X201" s="37" t="s">
        <v>20</v>
      </c>
      <c r="Y201" s="18" t="s">
        <v>21</v>
      </c>
      <c r="Z201" s="18" t="s">
        <v>20</v>
      </c>
      <c r="AA201" s="20" t="s">
        <v>23</v>
      </c>
      <c r="AB201" s="20" t="s">
        <v>21</v>
      </c>
      <c r="AC201" s="20" t="s">
        <v>21</v>
      </c>
      <c r="AD201" s="18" t="s">
        <v>23</v>
      </c>
      <c r="AE201" s="18" t="s">
        <v>21</v>
      </c>
      <c r="AG201">
        <f t="shared" si="18"/>
        <v>0</v>
      </c>
      <c r="AH201">
        <f t="shared" si="19"/>
        <v>8</v>
      </c>
      <c r="AI201">
        <f t="shared" si="20"/>
        <v>12</v>
      </c>
      <c r="AJ201">
        <f t="shared" si="21"/>
        <v>6</v>
      </c>
      <c r="AL201">
        <f t="shared" si="22"/>
        <v>0</v>
      </c>
      <c r="AM201">
        <f t="shared" si="23"/>
        <v>24</v>
      </c>
      <c r="AN201">
        <f t="shared" si="24"/>
        <v>24</v>
      </c>
      <c r="AO201">
        <f t="shared" si="25"/>
        <v>6</v>
      </c>
      <c r="AP201">
        <f t="shared" si="26"/>
        <v>54</v>
      </c>
    </row>
    <row r="202" spans="1:42" ht="15.75" hidden="1" customHeight="1" x14ac:dyDescent="0.3">
      <c r="A202" s="16"/>
      <c r="B202" s="55">
        <v>24</v>
      </c>
      <c r="C202" s="56" t="s">
        <v>220</v>
      </c>
      <c r="D202" s="55">
        <v>5</v>
      </c>
      <c r="E202" s="55" t="s">
        <v>20</v>
      </c>
      <c r="F202" s="18" t="s">
        <v>39</v>
      </c>
      <c r="G202" s="18" t="s">
        <v>20</v>
      </c>
      <c r="H202" s="18" t="s">
        <v>20</v>
      </c>
      <c r="I202" s="18" t="s">
        <v>39</v>
      </c>
      <c r="J202" s="43" t="s">
        <v>20</v>
      </c>
      <c r="K202" s="43" t="s">
        <v>20</v>
      </c>
      <c r="L202" s="43" t="s">
        <v>20</v>
      </c>
      <c r="M202" s="18" t="s">
        <v>20</v>
      </c>
      <c r="N202" s="18" t="s">
        <v>20</v>
      </c>
      <c r="O202" s="18" t="s">
        <v>20</v>
      </c>
      <c r="P202" s="18" t="s">
        <v>21</v>
      </c>
      <c r="Q202" s="18" t="s">
        <v>20</v>
      </c>
      <c r="R202" s="18" t="s">
        <v>20</v>
      </c>
      <c r="S202" s="18" t="s">
        <v>21</v>
      </c>
      <c r="T202" s="18" t="s">
        <v>21</v>
      </c>
      <c r="U202" s="18" t="s">
        <v>20</v>
      </c>
      <c r="V202" s="37" t="s">
        <v>20</v>
      </c>
      <c r="W202" s="37" t="s">
        <v>20</v>
      </c>
      <c r="X202" s="37" t="s">
        <v>20</v>
      </c>
      <c r="Y202" s="18" t="s">
        <v>20</v>
      </c>
      <c r="Z202" s="18" t="s">
        <v>20</v>
      </c>
      <c r="AA202" s="20" t="s">
        <v>20</v>
      </c>
      <c r="AB202" s="20" t="s">
        <v>20</v>
      </c>
      <c r="AC202" s="20" t="s">
        <v>20</v>
      </c>
      <c r="AD202" s="18" t="s">
        <v>20</v>
      </c>
      <c r="AE202" s="18" t="s">
        <v>21</v>
      </c>
      <c r="AG202">
        <f t="shared" si="18"/>
        <v>2</v>
      </c>
      <c r="AH202">
        <f t="shared" si="19"/>
        <v>20</v>
      </c>
      <c r="AI202">
        <f t="shared" si="20"/>
        <v>4</v>
      </c>
      <c r="AJ202">
        <f t="shared" si="21"/>
        <v>0</v>
      </c>
      <c r="AL202">
        <f t="shared" si="22"/>
        <v>8</v>
      </c>
      <c r="AM202">
        <f t="shared" si="23"/>
        <v>60</v>
      </c>
      <c r="AN202">
        <f t="shared" si="24"/>
        <v>8</v>
      </c>
      <c r="AO202">
        <f t="shared" si="25"/>
        <v>0</v>
      </c>
      <c r="AP202">
        <f t="shared" si="26"/>
        <v>76</v>
      </c>
    </row>
    <row r="203" spans="1:42" ht="15.75" hidden="1" customHeight="1" x14ac:dyDescent="0.3">
      <c r="A203" s="16"/>
      <c r="B203" s="55">
        <v>25</v>
      </c>
      <c r="C203" s="56" t="s">
        <v>221</v>
      </c>
      <c r="D203" s="55">
        <v>5</v>
      </c>
      <c r="E203" s="55" t="s">
        <v>20</v>
      </c>
      <c r="F203" s="18" t="s">
        <v>23</v>
      </c>
      <c r="G203" s="18" t="s">
        <v>23</v>
      </c>
      <c r="H203" s="18" t="s">
        <v>23</v>
      </c>
      <c r="I203" s="18" t="s">
        <v>23</v>
      </c>
      <c r="J203" s="43" t="s">
        <v>20</v>
      </c>
      <c r="K203" s="43" t="s">
        <v>20</v>
      </c>
      <c r="L203" s="43" t="s">
        <v>21</v>
      </c>
      <c r="M203" s="18" t="s">
        <v>20</v>
      </c>
      <c r="N203" s="18" t="s">
        <v>20</v>
      </c>
      <c r="O203" s="18" t="s">
        <v>20</v>
      </c>
      <c r="P203" s="18" t="s">
        <v>21</v>
      </c>
      <c r="Q203" s="18" t="s">
        <v>23</v>
      </c>
      <c r="R203" s="18" t="s">
        <v>23</v>
      </c>
      <c r="S203" s="18" t="s">
        <v>21</v>
      </c>
      <c r="T203" s="18" t="s">
        <v>23</v>
      </c>
      <c r="U203" s="18" t="s">
        <v>20</v>
      </c>
      <c r="V203" s="37" t="s">
        <v>20</v>
      </c>
      <c r="W203" s="37" t="s">
        <v>20</v>
      </c>
      <c r="X203" s="37" t="s">
        <v>20</v>
      </c>
      <c r="Y203" s="18" t="s">
        <v>20</v>
      </c>
      <c r="Z203" s="18" t="s">
        <v>20</v>
      </c>
      <c r="AA203" s="20" t="s">
        <v>21</v>
      </c>
      <c r="AB203" s="20" t="s">
        <v>21</v>
      </c>
      <c r="AC203" s="20" t="s">
        <v>20</v>
      </c>
      <c r="AD203" s="18" t="s">
        <v>20</v>
      </c>
      <c r="AE203" s="18" t="s">
        <v>21</v>
      </c>
      <c r="AG203">
        <f t="shared" si="18"/>
        <v>0</v>
      </c>
      <c r="AH203">
        <f t="shared" si="19"/>
        <v>13</v>
      </c>
      <c r="AI203">
        <f t="shared" si="20"/>
        <v>6</v>
      </c>
      <c r="AJ203">
        <f t="shared" si="21"/>
        <v>7</v>
      </c>
      <c r="AL203">
        <f t="shared" si="22"/>
        <v>0</v>
      </c>
      <c r="AM203">
        <f t="shared" si="23"/>
        <v>39</v>
      </c>
      <c r="AN203">
        <f t="shared" si="24"/>
        <v>12</v>
      </c>
      <c r="AO203">
        <f t="shared" si="25"/>
        <v>7</v>
      </c>
      <c r="AP203">
        <f t="shared" si="26"/>
        <v>58</v>
      </c>
    </row>
    <row r="204" spans="1:42" ht="15.75" hidden="1" customHeight="1" x14ac:dyDescent="0.3">
      <c r="A204" s="16"/>
      <c r="B204" s="55">
        <v>26</v>
      </c>
      <c r="C204" s="56" t="s">
        <v>222</v>
      </c>
      <c r="D204" s="55">
        <v>5</v>
      </c>
      <c r="E204" s="55" t="s">
        <v>20</v>
      </c>
      <c r="F204" s="18" t="s">
        <v>21</v>
      </c>
      <c r="G204" s="18" t="s">
        <v>21</v>
      </c>
      <c r="H204" s="18" t="s">
        <v>21</v>
      </c>
      <c r="I204" s="18" t="s">
        <v>21</v>
      </c>
      <c r="J204" s="43" t="s">
        <v>21</v>
      </c>
      <c r="K204" s="43" t="s">
        <v>21</v>
      </c>
      <c r="L204" s="43" t="s">
        <v>21</v>
      </c>
      <c r="M204" s="18" t="s">
        <v>20</v>
      </c>
      <c r="N204" s="18" t="s">
        <v>20</v>
      </c>
      <c r="O204" s="18" t="s">
        <v>20</v>
      </c>
      <c r="P204" s="18" t="s">
        <v>20</v>
      </c>
      <c r="Q204" s="18" t="s">
        <v>21</v>
      </c>
      <c r="R204" s="18" t="s">
        <v>23</v>
      </c>
      <c r="S204" s="18" t="s">
        <v>21</v>
      </c>
      <c r="T204" s="18" t="s">
        <v>21</v>
      </c>
      <c r="U204" s="18" t="s">
        <v>20</v>
      </c>
      <c r="V204" s="37" t="s">
        <v>20</v>
      </c>
      <c r="W204" s="37" t="s">
        <v>20</v>
      </c>
      <c r="X204" s="37" t="s">
        <v>20</v>
      </c>
      <c r="Y204" s="18" t="s">
        <v>20</v>
      </c>
      <c r="Z204" s="18" t="s">
        <v>20</v>
      </c>
      <c r="AA204" s="20" t="s">
        <v>21</v>
      </c>
      <c r="AB204" s="20" t="s">
        <v>21</v>
      </c>
      <c r="AC204" s="20" t="s">
        <v>20</v>
      </c>
      <c r="AD204" s="40" t="s">
        <v>20</v>
      </c>
      <c r="AE204" s="40" t="s">
        <v>21</v>
      </c>
      <c r="AG204">
        <f t="shared" si="18"/>
        <v>0</v>
      </c>
      <c r="AH204">
        <f t="shared" si="19"/>
        <v>12</v>
      </c>
      <c r="AI204">
        <f t="shared" si="20"/>
        <v>13</v>
      </c>
      <c r="AJ204">
        <f t="shared" si="21"/>
        <v>1</v>
      </c>
      <c r="AL204">
        <f t="shared" si="22"/>
        <v>0</v>
      </c>
      <c r="AM204">
        <f t="shared" si="23"/>
        <v>36</v>
      </c>
      <c r="AN204">
        <f t="shared" si="24"/>
        <v>26</v>
      </c>
      <c r="AO204">
        <f t="shared" si="25"/>
        <v>1</v>
      </c>
      <c r="AP204">
        <f t="shared" si="26"/>
        <v>63</v>
      </c>
    </row>
    <row r="205" spans="1:42" ht="15.75" hidden="1" customHeight="1" x14ac:dyDescent="0.3">
      <c r="A205" s="16"/>
      <c r="B205" s="55">
        <v>27</v>
      </c>
      <c r="C205" s="56" t="s">
        <v>223</v>
      </c>
      <c r="D205" s="55">
        <v>5</v>
      </c>
      <c r="E205" s="55" t="s">
        <v>20</v>
      </c>
      <c r="F205" s="18" t="s">
        <v>20</v>
      </c>
      <c r="G205" s="18" t="s">
        <v>20</v>
      </c>
      <c r="H205" s="18" t="s">
        <v>20</v>
      </c>
      <c r="I205" s="18" t="s">
        <v>20</v>
      </c>
      <c r="J205" s="43" t="s">
        <v>20</v>
      </c>
      <c r="K205" s="43" t="s">
        <v>20</v>
      </c>
      <c r="L205" s="43" t="s">
        <v>20</v>
      </c>
      <c r="M205" s="18" t="s">
        <v>20</v>
      </c>
      <c r="N205" s="18" t="s">
        <v>20</v>
      </c>
      <c r="O205" s="18" t="s">
        <v>20</v>
      </c>
      <c r="P205" s="18" t="s">
        <v>20</v>
      </c>
      <c r="Q205" s="18" t="s">
        <v>21</v>
      </c>
      <c r="R205" s="18" t="s">
        <v>21</v>
      </c>
      <c r="S205" s="18" t="s">
        <v>20</v>
      </c>
      <c r="T205" s="18" t="s">
        <v>21</v>
      </c>
      <c r="U205" s="18" t="s">
        <v>21</v>
      </c>
      <c r="V205" s="37" t="s">
        <v>20</v>
      </c>
      <c r="W205" s="37" t="s">
        <v>20</v>
      </c>
      <c r="X205" s="37" t="s">
        <v>20</v>
      </c>
      <c r="Y205" s="18" t="s">
        <v>20</v>
      </c>
      <c r="Z205" s="18" t="s">
        <v>20</v>
      </c>
      <c r="AA205" s="20" t="s">
        <v>20</v>
      </c>
      <c r="AB205" s="20" t="s">
        <v>20</v>
      </c>
      <c r="AC205" s="20" t="s">
        <v>20</v>
      </c>
      <c r="AD205" s="18" t="s">
        <v>20</v>
      </c>
      <c r="AE205" s="18" t="s">
        <v>21</v>
      </c>
      <c r="AG205">
        <f t="shared" si="18"/>
        <v>0</v>
      </c>
      <c r="AH205">
        <f t="shared" si="19"/>
        <v>21</v>
      </c>
      <c r="AI205">
        <f t="shared" si="20"/>
        <v>5</v>
      </c>
      <c r="AJ205">
        <f t="shared" si="21"/>
        <v>0</v>
      </c>
      <c r="AL205">
        <f t="shared" si="22"/>
        <v>0</v>
      </c>
      <c r="AM205">
        <f t="shared" si="23"/>
        <v>63</v>
      </c>
      <c r="AN205">
        <f t="shared" si="24"/>
        <v>10</v>
      </c>
      <c r="AO205">
        <f t="shared" si="25"/>
        <v>0</v>
      </c>
      <c r="AP205">
        <f t="shared" si="26"/>
        <v>73</v>
      </c>
    </row>
    <row r="206" spans="1:42" ht="15.75" hidden="1" customHeight="1" thickBot="1" x14ac:dyDescent="0.35">
      <c r="A206" s="16"/>
      <c r="B206" s="57">
        <v>28</v>
      </c>
      <c r="C206" s="58" t="s">
        <v>224</v>
      </c>
      <c r="D206" s="57">
        <v>5</v>
      </c>
      <c r="E206" s="57" t="s">
        <v>20</v>
      </c>
      <c r="F206" s="21" t="s">
        <v>20</v>
      </c>
      <c r="G206" s="21" t="s">
        <v>20</v>
      </c>
      <c r="H206" s="21" t="s">
        <v>20</v>
      </c>
      <c r="I206" s="21" t="s">
        <v>20</v>
      </c>
      <c r="J206" s="45" t="s">
        <v>20</v>
      </c>
      <c r="K206" s="45" t="s">
        <v>20</v>
      </c>
      <c r="L206" s="45" t="s">
        <v>21</v>
      </c>
      <c r="M206" s="21" t="s">
        <v>20</v>
      </c>
      <c r="N206" s="21" t="s">
        <v>20</v>
      </c>
      <c r="O206" s="21" t="s">
        <v>20</v>
      </c>
      <c r="P206" s="21" t="s">
        <v>21</v>
      </c>
      <c r="Q206" s="21" t="s">
        <v>21</v>
      </c>
      <c r="R206" s="21" t="s">
        <v>21</v>
      </c>
      <c r="S206" s="21" t="s">
        <v>20</v>
      </c>
      <c r="T206" s="21" t="s">
        <v>21</v>
      </c>
      <c r="U206" s="21" t="s">
        <v>20</v>
      </c>
      <c r="V206" s="38" t="s">
        <v>20</v>
      </c>
      <c r="W206" s="38" t="s">
        <v>20</v>
      </c>
      <c r="X206" s="38" t="s">
        <v>21</v>
      </c>
      <c r="Y206" s="21" t="s">
        <v>20</v>
      </c>
      <c r="Z206" s="21" t="s">
        <v>20</v>
      </c>
      <c r="AA206" s="23" t="s">
        <v>20</v>
      </c>
      <c r="AB206" s="23" t="s">
        <v>20</v>
      </c>
      <c r="AC206" s="23" t="s">
        <v>20</v>
      </c>
      <c r="AD206" s="21" t="s">
        <v>20</v>
      </c>
      <c r="AE206" s="21" t="s">
        <v>21</v>
      </c>
      <c r="AG206">
        <f t="shared" si="18"/>
        <v>0</v>
      </c>
      <c r="AH206">
        <f t="shared" si="19"/>
        <v>19</v>
      </c>
      <c r="AI206">
        <f t="shared" si="20"/>
        <v>7</v>
      </c>
      <c r="AJ206">
        <f t="shared" si="21"/>
        <v>0</v>
      </c>
      <c r="AL206">
        <f t="shared" si="22"/>
        <v>0</v>
      </c>
      <c r="AM206">
        <f t="shared" si="23"/>
        <v>57</v>
      </c>
      <c r="AN206">
        <f t="shared" si="24"/>
        <v>14</v>
      </c>
      <c r="AO206">
        <f t="shared" si="25"/>
        <v>0</v>
      </c>
      <c r="AP206">
        <f t="shared" si="26"/>
        <v>71</v>
      </c>
    </row>
    <row r="207" spans="1:42" ht="15.75" hidden="1" customHeight="1" x14ac:dyDescent="0.3">
      <c r="A207" s="16"/>
      <c r="B207" s="59">
        <v>1</v>
      </c>
      <c r="C207" s="60" t="s">
        <v>225</v>
      </c>
      <c r="D207" s="59">
        <v>5</v>
      </c>
      <c r="E207" s="59" t="s">
        <v>21</v>
      </c>
      <c r="F207" s="24" t="s">
        <v>21</v>
      </c>
      <c r="G207" s="24" t="s">
        <v>20</v>
      </c>
      <c r="H207" s="24" t="s">
        <v>21</v>
      </c>
      <c r="I207" s="24" t="s">
        <v>21</v>
      </c>
      <c r="J207" s="24" t="s">
        <v>20</v>
      </c>
      <c r="K207" s="24" t="s">
        <v>20</v>
      </c>
      <c r="L207" s="24" t="s">
        <v>20</v>
      </c>
      <c r="M207" s="24" t="s">
        <v>20</v>
      </c>
      <c r="N207" s="24" t="s">
        <v>20</v>
      </c>
      <c r="O207" s="24" t="s">
        <v>20</v>
      </c>
      <c r="P207" s="24" t="s">
        <v>21</v>
      </c>
      <c r="Q207" s="24" t="s">
        <v>21</v>
      </c>
      <c r="R207" s="24" t="s">
        <v>21</v>
      </c>
      <c r="S207" s="24" t="s">
        <v>20</v>
      </c>
      <c r="T207" s="24" t="s">
        <v>21</v>
      </c>
      <c r="U207" s="24" t="s">
        <v>20</v>
      </c>
      <c r="V207" s="39" t="s">
        <v>20</v>
      </c>
      <c r="W207" s="39" t="s">
        <v>20</v>
      </c>
      <c r="X207" s="39" t="s">
        <v>20</v>
      </c>
      <c r="Y207" s="24" t="s">
        <v>20</v>
      </c>
      <c r="Z207" s="24" t="s">
        <v>20</v>
      </c>
      <c r="AA207" s="27" t="s">
        <v>20</v>
      </c>
      <c r="AB207" s="27" t="s">
        <v>20</v>
      </c>
      <c r="AC207" s="27" t="s">
        <v>21</v>
      </c>
      <c r="AD207" s="24" t="s">
        <v>20</v>
      </c>
      <c r="AE207" s="24" t="s">
        <v>21</v>
      </c>
      <c r="AG207">
        <f t="shared" si="18"/>
        <v>0</v>
      </c>
      <c r="AH207">
        <f t="shared" si="19"/>
        <v>17</v>
      </c>
      <c r="AI207">
        <f t="shared" si="20"/>
        <v>9</v>
      </c>
      <c r="AJ207">
        <f t="shared" si="21"/>
        <v>0</v>
      </c>
      <c r="AL207">
        <f t="shared" si="22"/>
        <v>0</v>
      </c>
      <c r="AM207">
        <f t="shared" si="23"/>
        <v>51</v>
      </c>
      <c r="AN207">
        <f t="shared" si="24"/>
        <v>18</v>
      </c>
      <c r="AO207">
        <f t="shared" si="25"/>
        <v>0</v>
      </c>
      <c r="AP207">
        <f t="shared" si="26"/>
        <v>69</v>
      </c>
    </row>
    <row r="208" spans="1:42" ht="15.75" hidden="1" customHeight="1" x14ac:dyDescent="0.3">
      <c r="A208" s="16"/>
      <c r="B208" s="55">
        <v>2</v>
      </c>
      <c r="C208" s="56" t="s">
        <v>226</v>
      </c>
      <c r="D208" s="55">
        <v>5</v>
      </c>
      <c r="E208" s="55" t="s">
        <v>21</v>
      </c>
      <c r="F208" s="18" t="s">
        <v>21</v>
      </c>
      <c r="G208" s="18" t="s">
        <v>21</v>
      </c>
      <c r="H208" s="18" t="s">
        <v>21</v>
      </c>
      <c r="I208" s="18" t="s">
        <v>20</v>
      </c>
      <c r="J208" s="18" t="s">
        <v>21</v>
      </c>
      <c r="K208" s="18" t="s">
        <v>21</v>
      </c>
      <c r="L208" s="18" t="s">
        <v>21</v>
      </c>
      <c r="M208" s="18" t="s">
        <v>20</v>
      </c>
      <c r="N208" s="18" t="s">
        <v>21</v>
      </c>
      <c r="O208" s="18" t="s">
        <v>21</v>
      </c>
      <c r="P208" s="18" t="s">
        <v>21</v>
      </c>
      <c r="Q208" s="18" t="s">
        <v>23</v>
      </c>
      <c r="R208" s="18" t="s">
        <v>23</v>
      </c>
      <c r="S208" s="18" t="s">
        <v>21</v>
      </c>
      <c r="T208" s="18" t="s">
        <v>21</v>
      </c>
      <c r="U208" s="18" t="s">
        <v>21</v>
      </c>
      <c r="V208" s="37" t="s">
        <v>20</v>
      </c>
      <c r="W208" s="37" t="s">
        <v>21</v>
      </c>
      <c r="X208" s="37" t="s">
        <v>20</v>
      </c>
      <c r="Y208" s="18" t="s">
        <v>21</v>
      </c>
      <c r="Z208" s="18" t="s">
        <v>20</v>
      </c>
      <c r="AA208" s="20" t="s">
        <v>21</v>
      </c>
      <c r="AB208" s="20" t="s">
        <v>21</v>
      </c>
      <c r="AC208" s="20" t="s">
        <v>23</v>
      </c>
      <c r="AD208" s="18" t="s">
        <v>23</v>
      </c>
      <c r="AE208" s="18" t="s">
        <v>21</v>
      </c>
      <c r="AG208">
        <f t="shared" si="18"/>
        <v>0</v>
      </c>
      <c r="AH208">
        <f t="shared" si="19"/>
        <v>5</v>
      </c>
      <c r="AI208">
        <f t="shared" si="20"/>
        <v>17</v>
      </c>
      <c r="AJ208">
        <f t="shared" si="21"/>
        <v>4</v>
      </c>
      <c r="AL208">
        <f t="shared" si="22"/>
        <v>0</v>
      </c>
      <c r="AM208">
        <f t="shared" si="23"/>
        <v>15</v>
      </c>
      <c r="AN208">
        <f t="shared" si="24"/>
        <v>34</v>
      </c>
      <c r="AO208">
        <f t="shared" si="25"/>
        <v>4</v>
      </c>
      <c r="AP208">
        <f t="shared" si="26"/>
        <v>53</v>
      </c>
    </row>
    <row r="209" spans="1:42" ht="15.75" hidden="1" customHeight="1" x14ac:dyDescent="0.3">
      <c r="A209" s="16"/>
      <c r="B209" s="55">
        <v>3</v>
      </c>
      <c r="C209" s="56" t="s">
        <v>227</v>
      </c>
      <c r="D209" s="55">
        <v>5</v>
      </c>
      <c r="E209" s="55" t="s">
        <v>21</v>
      </c>
      <c r="F209" s="18" t="s">
        <v>21</v>
      </c>
      <c r="G209" s="18" t="s">
        <v>23</v>
      </c>
      <c r="H209" s="18" t="s">
        <v>21</v>
      </c>
      <c r="I209" s="18" t="s">
        <v>20</v>
      </c>
      <c r="J209" s="18" t="s">
        <v>21</v>
      </c>
      <c r="K209" s="18" t="s">
        <v>21</v>
      </c>
      <c r="L209" s="18" t="s">
        <v>20</v>
      </c>
      <c r="M209" s="18" t="s">
        <v>20</v>
      </c>
      <c r="N209" s="18" t="s">
        <v>21</v>
      </c>
      <c r="O209" s="18" t="s">
        <v>21</v>
      </c>
      <c r="P209" s="18" t="s">
        <v>21</v>
      </c>
      <c r="Q209" s="18" t="s">
        <v>23</v>
      </c>
      <c r="R209" s="18" t="s">
        <v>21</v>
      </c>
      <c r="S209" s="18" t="s">
        <v>21</v>
      </c>
      <c r="T209" s="18" t="s">
        <v>21</v>
      </c>
      <c r="U209" s="18" t="s">
        <v>20</v>
      </c>
      <c r="V209" s="37" t="s">
        <v>20</v>
      </c>
      <c r="W209" s="37" t="s">
        <v>21</v>
      </c>
      <c r="X209" s="37" t="s">
        <v>20</v>
      </c>
      <c r="Y209" s="18" t="s">
        <v>21</v>
      </c>
      <c r="Z209" s="18" t="s">
        <v>20</v>
      </c>
      <c r="AA209" s="20" t="s">
        <v>21</v>
      </c>
      <c r="AB209" s="20" t="s">
        <v>21</v>
      </c>
      <c r="AC209" s="20" t="s">
        <v>21</v>
      </c>
      <c r="AD209" s="18" t="s">
        <v>21</v>
      </c>
      <c r="AE209" s="18" t="s">
        <v>21</v>
      </c>
      <c r="AG209">
        <f t="shared" si="18"/>
        <v>0</v>
      </c>
      <c r="AH209">
        <f t="shared" si="19"/>
        <v>7</v>
      </c>
      <c r="AI209">
        <f t="shared" si="20"/>
        <v>17</v>
      </c>
      <c r="AJ209">
        <f t="shared" si="21"/>
        <v>2</v>
      </c>
      <c r="AL209">
        <f t="shared" si="22"/>
        <v>0</v>
      </c>
      <c r="AM209">
        <f t="shared" si="23"/>
        <v>21</v>
      </c>
      <c r="AN209">
        <f t="shared" si="24"/>
        <v>34</v>
      </c>
      <c r="AO209">
        <f t="shared" si="25"/>
        <v>2</v>
      </c>
      <c r="AP209">
        <f t="shared" si="26"/>
        <v>57</v>
      </c>
    </row>
    <row r="210" spans="1:42" ht="15.75" hidden="1" customHeight="1" x14ac:dyDescent="0.3">
      <c r="A210" s="16"/>
      <c r="B210" s="55">
        <v>4</v>
      </c>
      <c r="C210" s="56" t="s">
        <v>228</v>
      </c>
      <c r="D210" s="55">
        <v>5</v>
      </c>
      <c r="E210" s="55" t="s">
        <v>21</v>
      </c>
      <c r="F210" s="18" t="s">
        <v>20</v>
      </c>
      <c r="G210" s="18" t="s">
        <v>20</v>
      </c>
      <c r="H210" s="18" t="s">
        <v>20</v>
      </c>
      <c r="I210" s="18" t="s">
        <v>20</v>
      </c>
      <c r="J210" s="18" t="s">
        <v>21</v>
      </c>
      <c r="K210" s="18" t="s">
        <v>20</v>
      </c>
      <c r="L210" s="18" t="s">
        <v>20</v>
      </c>
      <c r="M210" s="18" t="s">
        <v>20</v>
      </c>
      <c r="N210" s="18" t="s">
        <v>20</v>
      </c>
      <c r="O210" s="18" t="s">
        <v>20</v>
      </c>
      <c r="P210" s="18" t="s">
        <v>21</v>
      </c>
      <c r="Q210" s="18" t="s">
        <v>21</v>
      </c>
      <c r="R210" s="18" t="s">
        <v>21</v>
      </c>
      <c r="S210" s="18" t="s">
        <v>20</v>
      </c>
      <c r="T210" s="18" t="s">
        <v>21</v>
      </c>
      <c r="U210" s="18" t="s">
        <v>20</v>
      </c>
      <c r="V210" s="37" t="s">
        <v>20</v>
      </c>
      <c r="W210" s="37" t="s">
        <v>20</v>
      </c>
      <c r="X210" s="37" t="s">
        <v>20</v>
      </c>
      <c r="Y210" s="18" t="s">
        <v>20</v>
      </c>
      <c r="Z210" s="18" t="s">
        <v>20</v>
      </c>
      <c r="AA210" s="20" t="s">
        <v>20</v>
      </c>
      <c r="AB210" s="20" t="s">
        <v>20</v>
      </c>
      <c r="AC210" s="20" t="s">
        <v>20</v>
      </c>
      <c r="AD210" s="18" t="s">
        <v>20</v>
      </c>
      <c r="AE210" s="18" t="s">
        <v>21</v>
      </c>
      <c r="AG210">
        <f t="shared" si="18"/>
        <v>0</v>
      </c>
      <c r="AH210">
        <f t="shared" si="19"/>
        <v>20</v>
      </c>
      <c r="AI210">
        <f t="shared" si="20"/>
        <v>6</v>
      </c>
      <c r="AJ210">
        <f t="shared" si="21"/>
        <v>0</v>
      </c>
      <c r="AL210">
        <f t="shared" si="22"/>
        <v>0</v>
      </c>
      <c r="AM210">
        <f t="shared" si="23"/>
        <v>60</v>
      </c>
      <c r="AN210">
        <f t="shared" si="24"/>
        <v>12</v>
      </c>
      <c r="AO210">
        <f t="shared" si="25"/>
        <v>0</v>
      </c>
      <c r="AP210">
        <f t="shared" si="26"/>
        <v>72</v>
      </c>
    </row>
    <row r="211" spans="1:42" ht="15.75" hidden="1" customHeight="1" x14ac:dyDescent="0.3">
      <c r="A211" s="16"/>
      <c r="B211" s="55">
        <v>5</v>
      </c>
      <c r="C211" s="56" t="s">
        <v>229</v>
      </c>
      <c r="D211" s="55">
        <v>5</v>
      </c>
      <c r="E211" s="55" t="s">
        <v>21</v>
      </c>
      <c r="F211" s="18" t="s">
        <v>20</v>
      </c>
      <c r="G211" s="18" t="s">
        <v>21</v>
      </c>
      <c r="H211" s="18" t="s">
        <v>20</v>
      </c>
      <c r="I211" s="18" t="s">
        <v>20</v>
      </c>
      <c r="J211" s="18" t="s">
        <v>21</v>
      </c>
      <c r="K211" s="18" t="s">
        <v>21</v>
      </c>
      <c r="L211" s="18" t="s">
        <v>20</v>
      </c>
      <c r="M211" s="18" t="s">
        <v>20</v>
      </c>
      <c r="N211" s="18" t="s">
        <v>20</v>
      </c>
      <c r="O211" s="18" t="s">
        <v>20</v>
      </c>
      <c r="P211" s="18" t="s">
        <v>21</v>
      </c>
      <c r="Q211" s="18" t="s">
        <v>20</v>
      </c>
      <c r="R211" s="18" t="s">
        <v>21</v>
      </c>
      <c r="S211" s="18" t="s">
        <v>20</v>
      </c>
      <c r="T211" s="18" t="s">
        <v>21</v>
      </c>
      <c r="U211" s="18" t="s">
        <v>20</v>
      </c>
      <c r="V211" s="37" t="s">
        <v>20</v>
      </c>
      <c r="W211" s="37" t="s">
        <v>21</v>
      </c>
      <c r="X211" s="37" t="s">
        <v>20</v>
      </c>
      <c r="Y211" s="18" t="s">
        <v>21</v>
      </c>
      <c r="Z211" s="18" t="s">
        <v>20</v>
      </c>
      <c r="AA211" s="20" t="s">
        <v>20</v>
      </c>
      <c r="AB211" s="20" t="s">
        <v>20</v>
      </c>
      <c r="AC211" s="20" t="s">
        <v>20</v>
      </c>
      <c r="AD211" s="18" t="s">
        <v>20</v>
      </c>
      <c r="AE211" s="18" t="s">
        <v>21</v>
      </c>
      <c r="AG211">
        <f t="shared" si="18"/>
        <v>0</v>
      </c>
      <c r="AH211">
        <f t="shared" si="19"/>
        <v>17</v>
      </c>
      <c r="AI211">
        <f t="shared" si="20"/>
        <v>9</v>
      </c>
      <c r="AJ211">
        <f t="shared" si="21"/>
        <v>0</v>
      </c>
      <c r="AL211">
        <f t="shared" si="22"/>
        <v>0</v>
      </c>
      <c r="AM211">
        <f t="shared" si="23"/>
        <v>51</v>
      </c>
      <c r="AN211">
        <f t="shared" si="24"/>
        <v>18</v>
      </c>
      <c r="AO211">
        <f t="shared" si="25"/>
        <v>0</v>
      </c>
      <c r="AP211">
        <f t="shared" si="26"/>
        <v>69</v>
      </c>
    </row>
    <row r="212" spans="1:42" ht="15.75" hidden="1" customHeight="1" x14ac:dyDescent="0.3">
      <c r="A212" s="16"/>
      <c r="B212" s="55">
        <v>6</v>
      </c>
      <c r="C212" s="56" t="s">
        <v>230</v>
      </c>
      <c r="D212" s="55">
        <v>5</v>
      </c>
      <c r="E212" s="55" t="s">
        <v>21</v>
      </c>
      <c r="F212" s="18" t="s">
        <v>21</v>
      </c>
      <c r="G212" s="18" t="s">
        <v>21</v>
      </c>
      <c r="H212" s="18" t="s">
        <v>21</v>
      </c>
      <c r="I212" s="18" t="s">
        <v>20</v>
      </c>
      <c r="J212" s="18" t="s">
        <v>21</v>
      </c>
      <c r="K212" s="18" t="s">
        <v>21</v>
      </c>
      <c r="L212" s="18" t="s">
        <v>21</v>
      </c>
      <c r="M212" s="18" t="s">
        <v>20</v>
      </c>
      <c r="N212" s="18" t="s">
        <v>20</v>
      </c>
      <c r="O212" s="18" t="s">
        <v>20</v>
      </c>
      <c r="P212" s="18" t="s">
        <v>21</v>
      </c>
      <c r="Q212" s="18" t="s">
        <v>23</v>
      </c>
      <c r="R212" s="18" t="s">
        <v>23</v>
      </c>
      <c r="S212" s="18" t="s">
        <v>21</v>
      </c>
      <c r="T212" s="18" t="s">
        <v>21</v>
      </c>
      <c r="U212" s="18" t="s">
        <v>20</v>
      </c>
      <c r="V212" s="37" t="s">
        <v>20</v>
      </c>
      <c r="W212" s="37" t="s">
        <v>20</v>
      </c>
      <c r="X212" s="37" t="s">
        <v>20</v>
      </c>
      <c r="Y212" s="18" t="s">
        <v>21</v>
      </c>
      <c r="Z212" s="18" t="s">
        <v>20</v>
      </c>
      <c r="AA212" s="20" t="s">
        <v>20</v>
      </c>
      <c r="AB212" s="20" t="s">
        <v>20</v>
      </c>
      <c r="AC212" s="20" t="s">
        <v>20</v>
      </c>
      <c r="AD212" s="29" t="s">
        <v>23</v>
      </c>
      <c r="AE212" s="29" t="s">
        <v>21</v>
      </c>
      <c r="AG212">
        <f t="shared" si="18"/>
        <v>0</v>
      </c>
      <c r="AH212">
        <f t="shared" si="19"/>
        <v>12</v>
      </c>
      <c r="AI212">
        <f t="shared" si="20"/>
        <v>11</v>
      </c>
      <c r="AJ212">
        <f t="shared" si="21"/>
        <v>3</v>
      </c>
      <c r="AL212">
        <f t="shared" si="22"/>
        <v>0</v>
      </c>
      <c r="AM212">
        <f t="shared" si="23"/>
        <v>36</v>
      </c>
      <c r="AN212">
        <f t="shared" si="24"/>
        <v>22</v>
      </c>
      <c r="AO212">
        <f t="shared" si="25"/>
        <v>3</v>
      </c>
      <c r="AP212">
        <f t="shared" si="26"/>
        <v>61</v>
      </c>
    </row>
    <row r="213" spans="1:42" ht="15.75" hidden="1" customHeight="1" x14ac:dyDescent="0.3">
      <c r="A213" s="16"/>
      <c r="B213" s="55">
        <v>7</v>
      </c>
      <c r="C213" s="56" t="s">
        <v>231</v>
      </c>
      <c r="D213" s="55">
        <v>5</v>
      </c>
      <c r="E213" s="55" t="s">
        <v>21</v>
      </c>
      <c r="F213" s="18" t="s">
        <v>21</v>
      </c>
      <c r="G213" s="18" t="s">
        <v>21</v>
      </c>
      <c r="H213" s="18" t="s">
        <v>21</v>
      </c>
      <c r="I213" s="18" t="s">
        <v>21</v>
      </c>
      <c r="J213" s="18" t="s">
        <v>21</v>
      </c>
      <c r="K213" s="18" t="s">
        <v>21</v>
      </c>
      <c r="L213" s="18" t="s">
        <v>21</v>
      </c>
      <c r="M213" s="18" t="s">
        <v>20</v>
      </c>
      <c r="N213" s="18" t="s">
        <v>21</v>
      </c>
      <c r="O213" s="18" t="s">
        <v>20</v>
      </c>
      <c r="P213" s="18" t="s">
        <v>21</v>
      </c>
      <c r="Q213" s="18" t="s">
        <v>23</v>
      </c>
      <c r="R213" s="18" t="s">
        <v>21</v>
      </c>
      <c r="S213" s="18" t="s">
        <v>21</v>
      </c>
      <c r="T213" s="18" t="s">
        <v>21</v>
      </c>
      <c r="U213" s="18" t="s">
        <v>21</v>
      </c>
      <c r="V213" s="37" t="s">
        <v>21</v>
      </c>
      <c r="W213" s="37" t="s">
        <v>21</v>
      </c>
      <c r="X213" s="37" t="s">
        <v>21</v>
      </c>
      <c r="Y213" s="18" t="s">
        <v>20</v>
      </c>
      <c r="Z213" s="18" t="s">
        <v>20</v>
      </c>
      <c r="AA213" s="20" t="s">
        <v>21</v>
      </c>
      <c r="AB213" s="20" t="s">
        <v>21</v>
      </c>
      <c r="AC213" s="20" t="s">
        <v>21</v>
      </c>
      <c r="AD213" s="29" t="s">
        <v>23</v>
      </c>
      <c r="AE213" s="29" t="s">
        <v>21</v>
      </c>
      <c r="AG213">
        <f t="shared" si="18"/>
        <v>0</v>
      </c>
      <c r="AH213">
        <f t="shared" si="19"/>
        <v>4</v>
      </c>
      <c r="AI213">
        <f t="shared" si="20"/>
        <v>20</v>
      </c>
      <c r="AJ213">
        <f t="shared" si="21"/>
        <v>2</v>
      </c>
      <c r="AL213">
        <f t="shared" si="22"/>
        <v>0</v>
      </c>
      <c r="AM213">
        <f t="shared" si="23"/>
        <v>12</v>
      </c>
      <c r="AN213">
        <f t="shared" si="24"/>
        <v>40</v>
      </c>
      <c r="AO213">
        <f t="shared" si="25"/>
        <v>2</v>
      </c>
      <c r="AP213">
        <f t="shared" si="26"/>
        <v>54</v>
      </c>
    </row>
    <row r="214" spans="1:42" ht="15.75" hidden="1" customHeight="1" x14ac:dyDescent="0.3">
      <c r="A214" s="16"/>
      <c r="B214" s="55">
        <v>8</v>
      </c>
      <c r="C214" s="56" t="s">
        <v>232</v>
      </c>
      <c r="D214" s="55">
        <v>5</v>
      </c>
      <c r="E214" s="55" t="s">
        <v>21</v>
      </c>
      <c r="F214" s="18" t="s">
        <v>21</v>
      </c>
      <c r="G214" s="18" t="s">
        <v>23</v>
      </c>
      <c r="H214" s="18" t="s">
        <v>21</v>
      </c>
      <c r="I214" s="18" t="s">
        <v>20</v>
      </c>
      <c r="J214" s="18" t="s">
        <v>23</v>
      </c>
      <c r="K214" s="18" t="s">
        <v>20</v>
      </c>
      <c r="L214" s="18" t="s">
        <v>20</v>
      </c>
      <c r="M214" s="18" t="s">
        <v>20</v>
      </c>
      <c r="N214" s="18" t="s">
        <v>20</v>
      </c>
      <c r="O214" s="18" t="s">
        <v>20</v>
      </c>
      <c r="P214" s="18" t="s">
        <v>23</v>
      </c>
      <c r="Q214" s="18" t="s">
        <v>21</v>
      </c>
      <c r="R214" s="18" t="s">
        <v>21</v>
      </c>
      <c r="S214" s="18" t="s">
        <v>23</v>
      </c>
      <c r="T214" s="18" t="s">
        <v>21</v>
      </c>
      <c r="U214" s="18" t="s">
        <v>20</v>
      </c>
      <c r="V214" s="37" t="s">
        <v>20</v>
      </c>
      <c r="W214" s="37" t="s">
        <v>21</v>
      </c>
      <c r="X214" s="37" t="s">
        <v>20</v>
      </c>
      <c r="Y214" s="18" t="s">
        <v>20</v>
      </c>
      <c r="Z214" s="18" t="s">
        <v>20</v>
      </c>
      <c r="AA214" s="20" t="s">
        <v>20</v>
      </c>
      <c r="AB214" s="20" t="s">
        <v>20</v>
      </c>
      <c r="AC214" s="20" t="s">
        <v>20</v>
      </c>
      <c r="AD214" s="29" t="s">
        <v>23</v>
      </c>
      <c r="AE214" s="29" t="s">
        <v>21</v>
      </c>
      <c r="AG214">
        <f t="shared" si="18"/>
        <v>0</v>
      </c>
      <c r="AH214">
        <f t="shared" si="19"/>
        <v>14</v>
      </c>
      <c r="AI214">
        <f t="shared" si="20"/>
        <v>7</v>
      </c>
      <c r="AJ214">
        <f t="shared" si="21"/>
        <v>5</v>
      </c>
      <c r="AL214">
        <f t="shared" si="22"/>
        <v>0</v>
      </c>
      <c r="AM214">
        <f t="shared" si="23"/>
        <v>42</v>
      </c>
      <c r="AN214">
        <f t="shared" si="24"/>
        <v>14</v>
      </c>
      <c r="AO214">
        <f t="shared" si="25"/>
        <v>5</v>
      </c>
      <c r="AP214">
        <f t="shared" si="26"/>
        <v>61</v>
      </c>
    </row>
    <row r="215" spans="1:42" ht="15.75" hidden="1" customHeight="1" x14ac:dyDescent="0.3">
      <c r="A215" s="16"/>
      <c r="B215" s="55">
        <v>9</v>
      </c>
      <c r="C215" s="56" t="s">
        <v>233</v>
      </c>
      <c r="D215" s="55">
        <v>5</v>
      </c>
      <c r="E215" s="55" t="s">
        <v>21</v>
      </c>
      <c r="F215" s="18" t="s">
        <v>20</v>
      </c>
      <c r="G215" s="18" t="s">
        <v>20</v>
      </c>
      <c r="H215" s="18" t="s">
        <v>20</v>
      </c>
      <c r="I215" s="18" t="s">
        <v>20</v>
      </c>
      <c r="J215" s="18" t="s">
        <v>21</v>
      </c>
      <c r="K215" s="18" t="s">
        <v>21</v>
      </c>
      <c r="L215" s="18" t="s">
        <v>21</v>
      </c>
      <c r="M215" s="18" t="s">
        <v>20</v>
      </c>
      <c r="N215" s="18" t="s">
        <v>20</v>
      </c>
      <c r="O215" s="18" t="s">
        <v>20</v>
      </c>
      <c r="P215" s="18" t="s">
        <v>21</v>
      </c>
      <c r="Q215" s="18" t="s">
        <v>21</v>
      </c>
      <c r="R215" s="18" t="s">
        <v>20</v>
      </c>
      <c r="S215" s="18" t="s">
        <v>20</v>
      </c>
      <c r="T215" s="18" t="s">
        <v>21</v>
      </c>
      <c r="U215" s="18" t="s">
        <v>20</v>
      </c>
      <c r="V215" s="37" t="s">
        <v>20</v>
      </c>
      <c r="W215" s="37" t="s">
        <v>20</v>
      </c>
      <c r="X215" s="37" t="s">
        <v>20</v>
      </c>
      <c r="Y215" s="18" t="s">
        <v>20</v>
      </c>
      <c r="Z215" s="18" t="s">
        <v>20</v>
      </c>
      <c r="AA215" s="20" t="s">
        <v>20</v>
      </c>
      <c r="AB215" s="20" t="s">
        <v>20</v>
      </c>
      <c r="AC215" s="20" t="s">
        <v>20</v>
      </c>
      <c r="AD215" s="29" t="s">
        <v>20</v>
      </c>
      <c r="AE215" s="29" t="s">
        <v>21</v>
      </c>
      <c r="AG215">
        <f t="shared" si="18"/>
        <v>0</v>
      </c>
      <c r="AH215">
        <f t="shared" si="19"/>
        <v>19</v>
      </c>
      <c r="AI215">
        <f t="shared" si="20"/>
        <v>7</v>
      </c>
      <c r="AJ215">
        <f t="shared" si="21"/>
        <v>0</v>
      </c>
      <c r="AL215">
        <f t="shared" si="22"/>
        <v>0</v>
      </c>
      <c r="AM215">
        <f t="shared" si="23"/>
        <v>57</v>
      </c>
      <c r="AN215">
        <f t="shared" si="24"/>
        <v>14</v>
      </c>
      <c r="AO215">
        <f t="shared" si="25"/>
        <v>0</v>
      </c>
      <c r="AP215">
        <f t="shared" si="26"/>
        <v>71</v>
      </c>
    </row>
    <row r="216" spans="1:42" ht="15.75" hidden="1" customHeight="1" x14ac:dyDescent="0.3">
      <c r="A216" s="16"/>
      <c r="B216" s="55">
        <v>10</v>
      </c>
      <c r="C216" s="56" t="s">
        <v>234</v>
      </c>
      <c r="D216" s="55">
        <v>5</v>
      </c>
      <c r="E216" s="55" t="s">
        <v>21</v>
      </c>
      <c r="F216" s="18" t="s">
        <v>20</v>
      </c>
      <c r="G216" s="18" t="s">
        <v>20</v>
      </c>
      <c r="H216" s="18" t="s">
        <v>21</v>
      </c>
      <c r="I216" s="18" t="s">
        <v>20</v>
      </c>
      <c r="J216" s="18" t="s">
        <v>20</v>
      </c>
      <c r="K216" s="18" t="s">
        <v>21</v>
      </c>
      <c r="L216" s="18" t="s">
        <v>20</v>
      </c>
      <c r="M216" s="18" t="s">
        <v>20</v>
      </c>
      <c r="N216" s="18" t="s">
        <v>20</v>
      </c>
      <c r="O216" s="18" t="s">
        <v>20</v>
      </c>
      <c r="P216" s="18" t="s">
        <v>21</v>
      </c>
      <c r="Q216" s="18" t="s">
        <v>21</v>
      </c>
      <c r="R216" s="18" t="s">
        <v>21</v>
      </c>
      <c r="S216" s="18" t="s">
        <v>20</v>
      </c>
      <c r="T216" s="18" t="s">
        <v>21</v>
      </c>
      <c r="U216" s="18" t="s">
        <v>20</v>
      </c>
      <c r="V216" s="37" t="s">
        <v>20</v>
      </c>
      <c r="W216" s="37" t="s">
        <v>20</v>
      </c>
      <c r="X216" s="37" t="s">
        <v>20</v>
      </c>
      <c r="Y216" s="18" t="s">
        <v>20</v>
      </c>
      <c r="Z216" s="18" t="s">
        <v>20</v>
      </c>
      <c r="AA216" s="20" t="s">
        <v>20</v>
      </c>
      <c r="AB216" s="20" t="s">
        <v>20</v>
      </c>
      <c r="AC216" s="20" t="s">
        <v>20</v>
      </c>
      <c r="AD216" s="29" t="s">
        <v>20</v>
      </c>
      <c r="AE216" s="29" t="s">
        <v>21</v>
      </c>
      <c r="AG216">
        <f t="shared" si="18"/>
        <v>0</v>
      </c>
      <c r="AH216">
        <f t="shared" si="19"/>
        <v>19</v>
      </c>
      <c r="AI216">
        <f t="shared" si="20"/>
        <v>7</v>
      </c>
      <c r="AJ216">
        <f t="shared" si="21"/>
        <v>0</v>
      </c>
      <c r="AL216">
        <f t="shared" si="22"/>
        <v>0</v>
      </c>
      <c r="AM216">
        <f t="shared" si="23"/>
        <v>57</v>
      </c>
      <c r="AN216">
        <f t="shared" si="24"/>
        <v>14</v>
      </c>
      <c r="AO216">
        <f t="shared" si="25"/>
        <v>0</v>
      </c>
      <c r="AP216">
        <f t="shared" si="26"/>
        <v>71</v>
      </c>
    </row>
    <row r="217" spans="1:42" ht="15.75" hidden="1" customHeight="1" x14ac:dyDescent="0.3">
      <c r="A217" s="16"/>
      <c r="B217" s="55">
        <v>11</v>
      </c>
      <c r="C217" s="56" t="s">
        <v>235</v>
      </c>
      <c r="D217" s="55">
        <v>5</v>
      </c>
      <c r="E217" s="55" t="s">
        <v>21</v>
      </c>
      <c r="F217" s="18" t="s">
        <v>21</v>
      </c>
      <c r="G217" s="18" t="s">
        <v>21</v>
      </c>
      <c r="H217" s="18" t="s">
        <v>21</v>
      </c>
      <c r="I217" s="18" t="s">
        <v>21</v>
      </c>
      <c r="J217" s="18" t="s">
        <v>21</v>
      </c>
      <c r="K217" s="18" t="s">
        <v>21</v>
      </c>
      <c r="L217" s="18" t="s">
        <v>20</v>
      </c>
      <c r="M217" s="18" t="s">
        <v>20</v>
      </c>
      <c r="N217" s="18" t="s">
        <v>20</v>
      </c>
      <c r="O217" s="18" t="s">
        <v>20</v>
      </c>
      <c r="P217" s="18" t="s">
        <v>21</v>
      </c>
      <c r="Q217" s="18" t="s">
        <v>21</v>
      </c>
      <c r="R217" s="18" t="s">
        <v>21</v>
      </c>
      <c r="S217" s="18" t="s">
        <v>20</v>
      </c>
      <c r="T217" s="18" t="s">
        <v>20</v>
      </c>
      <c r="U217" s="18" t="s">
        <v>21</v>
      </c>
      <c r="V217" s="37" t="s">
        <v>20</v>
      </c>
      <c r="W217" s="37" t="s">
        <v>21</v>
      </c>
      <c r="X217" s="37" t="s">
        <v>20</v>
      </c>
      <c r="Y217" s="18" t="s">
        <v>20</v>
      </c>
      <c r="Z217" s="18" t="s">
        <v>21</v>
      </c>
      <c r="AA217" s="20" t="s">
        <v>20</v>
      </c>
      <c r="AB217" s="20" t="s">
        <v>20</v>
      </c>
      <c r="AC217" s="20" t="s">
        <v>20</v>
      </c>
      <c r="AD217" s="29" t="s">
        <v>20</v>
      </c>
      <c r="AE217" s="29" t="s">
        <v>21</v>
      </c>
      <c r="AG217">
        <f t="shared" si="18"/>
        <v>0</v>
      </c>
      <c r="AH217">
        <f t="shared" si="19"/>
        <v>13</v>
      </c>
      <c r="AI217">
        <f t="shared" si="20"/>
        <v>13</v>
      </c>
      <c r="AJ217">
        <f t="shared" si="21"/>
        <v>0</v>
      </c>
      <c r="AL217">
        <f t="shared" si="22"/>
        <v>0</v>
      </c>
      <c r="AM217">
        <f t="shared" si="23"/>
        <v>39</v>
      </c>
      <c r="AN217">
        <f t="shared" si="24"/>
        <v>26</v>
      </c>
      <c r="AO217">
        <f t="shared" si="25"/>
        <v>0</v>
      </c>
      <c r="AP217">
        <f t="shared" si="26"/>
        <v>65</v>
      </c>
    </row>
    <row r="218" spans="1:42" ht="15.75" hidden="1" customHeight="1" x14ac:dyDescent="0.3">
      <c r="A218" s="16"/>
      <c r="B218" s="55">
        <v>12</v>
      </c>
      <c r="C218" s="56" t="s">
        <v>236</v>
      </c>
      <c r="D218" s="55">
        <v>5</v>
      </c>
      <c r="E218" s="55" t="s">
        <v>21</v>
      </c>
      <c r="F218" s="18" t="s">
        <v>21</v>
      </c>
      <c r="G218" s="18" t="s">
        <v>21</v>
      </c>
      <c r="H218" s="18" t="s">
        <v>21</v>
      </c>
      <c r="I218" s="18" t="s">
        <v>20</v>
      </c>
      <c r="J218" s="18" t="s">
        <v>21</v>
      </c>
      <c r="K218" s="18" t="s">
        <v>21</v>
      </c>
      <c r="L218" s="18" t="s">
        <v>20</v>
      </c>
      <c r="M218" s="18" t="s">
        <v>20</v>
      </c>
      <c r="N218" s="18" t="s">
        <v>20</v>
      </c>
      <c r="O218" s="18" t="s">
        <v>20</v>
      </c>
      <c r="P218" s="18" t="s">
        <v>23</v>
      </c>
      <c r="Q218" s="18" t="s">
        <v>23</v>
      </c>
      <c r="R218" s="18" t="s">
        <v>23</v>
      </c>
      <c r="S218" s="18" t="s">
        <v>21</v>
      </c>
      <c r="T218" s="18" t="s">
        <v>21</v>
      </c>
      <c r="U218" s="18" t="s">
        <v>20</v>
      </c>
      <c r="V218" s="37" t="s">
        <v>20</v>
      </c>
      <c r="W218" s="37" t="s">
        <v>20</v>
      </c>
      <c r="X218" s="37" t="s">
        <v>20</v>
      </c>
      <c r="Y218" s="18" t="s">
        <v>20</v>
      </c>
      <c r="Z218" s="18" t="s">
        <v>20</v>
      </c>
      <c r="AA218" s="20" t="s">
        <v>20</v>
      </c>
      <c r="AB218" s="20" t="s">
        <v>20</v>
      </c>
      <c r="AC218" s="20" t="s">
        <v>20</v>
      </c>
      <c r="AD218" s="29" t="s">
        <v>23</v>
      </c>
      <c r="AE218" s="29" t="s">
        <v>21</v>
      </c>
      <c r="AG218">
        <f t="shared" si="18"/>
        <v>0</v>
      </c>
      <c r="AH218">
        <f t="shared" si="19"/>
        <v>14</v>
      </c>
      <c r="AI218">
        <f t="shared" si="20"/>
        <v>8</v>
      </c>
      <c r="AJ218">
        <f t="shared" si="21"/>
        <v>4</v>
      </c>
      <c r="AL218">
        <f t="shared" si="22"/>
        <v>0</v>
      </c>
      <c r="AM218">
        <f t="shared" si="23"/>
        <v>42</v>
      </c>
      <c r="AN218">
        <f t="shared" si="24"/>
        <v>16</v>
      </c>
      <c r="AO218">
        <f t="shared" si="25"/>
        <v>4</v>
      </c>
      <c r="AP218">
        <f t="shared" si="26"/>
        <v>62</v>
      </c>
    </row>
    <row r="219" spans="1:42" ht="15.75" hidden="1" customHeight="1" x14ac:dyDescent="0.3">
      <c r="A219" s="16"/>
      <c r="B219" s="55">
        <v>13</v>
      </c>
      <c r="C219" s="56" t="s">
        <v>237</v>
      </c>
      <c r="D219" s="55">
        <v>5</v>
      </c>
      <c r="E219" s="55" t="s">
        <v>21</v>
      </c>
      <c r="F219" s="18" t="s">
        <v>21</v>
      </c>
      <c r="G219" s="18" t="s">
        <v>21</v>
      </c>
      <c r="H219" s="18" t="s">
        <v>21</v>
      </c>
      <c r="I219" s="18" t="s">
        <v>21</v>
      </c>
      <c r="J219" s="18" t="s">
        <v>20</v>
      </c>
      <c r="K219" s="18" t="s">
        <v>20</v>
      </c>
      <c r="L219" s="18" t="s">
        <v>20</v>
      </c>
      <c r="M219" s="18" t="s">
        <v>20</v>
      </c>
      <c r="N219" s="18" t="s">
        <v>21</v>
      </c>
      <c r="O219" s="18" t="s">
        <v>20</v>
      </c>
      <c r="P219" s="18" t="s">
        <v>23</v>
      </c>
      <c r="Q219" s="18" t="s">
        <v>21</v>
      </c>
      <c r="R219" s="18" t="s">
        <v>21</v>
      </c>
      <c r="S219" s="18" t="s">
        <v>20</v>
      </c>
      <c r="T219" s="18" t="s">
        <v>21</v>
      </c>
      <c r="U219" s="18" t="s">
        <v>21</v>
      </c>
      <c r="V219" s="37" t="s">
        <v>20</v>
      </c>
      <c r="W219" s="37" t="s">
        <v>20</v>
      </c>
      <c r="X219" s="37" t="s">
        <v>20</v>
      </c>
      <c r="Y219" s="18" t="s">
        <v>20</v>
      </c>
      <c r="Z219" s="18" t="s">
        <v>20</v>
      </c>
      <c r="AA219" s="20" t="s">
        <v>21</v>
      </c>
      <c r="AB219" s="20" t="s">
        <v>20</v>
      </c>
      <c r="AC219" s="20" t="s">
        <v>21</v>
      </c>
      <c r="AD219" s="29" t="s">
        <v>21</v>
      </c>
      <c r="AE219" s="29" t="s">
        <v>21</v>
      </c>
      <c r="AG219">
        <f t="shared" ref="AG219:AG252" si="27">+COUNTIF(F219:AE219,"AD")</f>
        <v>0</v>
      </c>
      <c r="AH219">
        <f t="shared" ref="AH219:AH252" si="28">+COUNTIF(F219:AE219,"A")</f>
        <v>12</v>
      </c>
      <c r="AI219">
        <f t="shared" ref="AI219:AI252" si="29">+COUNTIF(F219:AE219,"b")</f>
        <v>13</v>
      </c>
      <c r="AJ219">
        <f t="shared" ref="AJ219:AJ252" si="30">+COUNTIF(F219:AE219,"c")</f>
        <v>1</v>
      </c>
      <c r="AL219">
        <f t="shared" ref="AL219:AL252" si="31">+$AG$5*AG219</f>
        <v>0</v>
      </c>
      <c r="AM219">
        <f t="shared" ref="AM219:AM252" si="32">+$AH$5*AH219</f>
        <v>36</v>
      </c>
      <c r="AN219">
        <f t="shared" ref="AN219:AN252" si="33">+$AI$5*AI219</f>
        <v>26</v>
      </c>
      <c r="AO219">
        <f t="shared" ref="AO219:AO252" si="34">+$AJ$5*AJ219</f>
        <v>1</v>
      </c>
      <c r="AP219">
        <f t="shared" ref="AP219:AP232" si="35">+SUM(AL219:AO219)</f>
        <v>63</v>
      </c>
    </row>
    <row r="220" spans="1:42" ht="15.75" hidden="1" customHeight="1" x14ac:dyDescent="0.3">
      <c r="A220" s="16"/>
      <c r="B220" s="55">
        <v>14</v>
      </c>
      <c r="C220" s="56" t="s">
        <v>238</v>
      </c>
      <c r="D220" s="55">
        <v>5</v>
      </c>
      <c r="E220" s="55" t="s">
        <v>21</v>
      </c>
      <c r="F220" s="18" t="s">
        <v>21</v>
      </c>
      <c r="G220" s="18" t="s">
        <v>21</v>
      </c>
      <c r="H220" s="18" t="s">
        <v>23</v>
      </c>
      <c r="I220" s="18" t="s">
        <v>21</v>
      </c>
      <c r="J220" s="18" t="s">
        <v>23</v>
      </c>
      <c r="K220" s="18" t="s">
        <v>21</v>
      </c>
      <c r="L220" s="18" t="s">
        <v>21</v>
      </c>
      <c r="M220" s="18" t="s">
        <v>21</v>
      </c>
      <c r="N220" s="18" t="s">
        <v>21</v>
      </c>
      <c r="O220" s="18" t="s">
        <v>20</v>
      </c>
      <c r="P220" s="18" t="s">
        <v>21</v>
      </c>
      <c r="Q220" s="18" t="s">
        <v>23</v>
      </c>
      <c r="R220" s="18" t="s">
        <v>21</v>
      </c>
      <c r="S220" s="18" t="s">
        <v>21</v>
      </c>
      <c r="T220" s="18" t="s">
        <v>21</v>
      </c>
      <c r="U220" s="18" t="s">
        <v>20</v>
      </c>
      <c r="V220" s="37" t="s">
        <v>21</v>
      </c>
      <c r="W220" s="37" t="s">
        <v>20</v>
      </c>
      <c r="X220" s="37" t="s">
        <v>20</v>
      </c>
      <c r="Y220" s="18" t="s">
        <v>20</v>
      </c>
      <c r="Z220" s="18" t="s">
        <v>21</v>
      </c>
      <c r="AA220" s="20" t="s">
        <v>23</v>
      </c>
      <c r="AB220" s="20" t="s">
        <v>23</v>
      </c>
      <c r="AC220" s="20" t="s">
        <v>21</v>
      </c>
      <c r="AD220" s="29" t="s">
        <v>20</v>
      </c>
      <c r="AE220" s="29" t="s">
        <v>21</v>
      </c>
      <c r="AG220">
        <f t="shared" si="27"/>
        <v>0</v>
      </c>
      <c r="AH220">
        <f t="shared" si="28"/>
        <v>6</v>
      </c>
      <c r="AI220">
        <f t="shared" si="29"/>
        <v>15</v>
      </c>
      <c r="AJ220">
        <f t="shared" si="30"/>
        <v>5</v>
      </c>
      <c r="AL220">
        <f t="shared" si="31"/>
        <v>0</v>
      </c>
      <c r="AM220">
        <f t="shared" si="32"/>
        <v>18</v>
      </c>
      <c r="AN220">
        <f t="shared" si="33"/>
        <v>30</v>
      </c>
      <c r="AO220">
        <f t="shared" si="34"/>
        <v>5</v>
      </c>
      <c r="AP220">
        <f t="shared" si="35"/>
        <v>53</v>
      </c>
    </row>
    <row r="221" spans="1:42" ht="15.75" hidden="1" customHeight="1" x14ac:dyDescent="0.3">
      <c r="A221" s="16"/>
      <c r="B221" s="55">
        <v>15</v>
      </c>
      <c r="C221" s="56" t="s">
        <v>239</v>
      </c>
      <c r="D221" s="55">
        <v>5</v>
      </c>
      <c r="E221" s="55" t="s">
        <v>21</v>
      </c>
      <c r="F221" s="18" t="s">
        <v>21</v>
      </c>
      <c r="G221" s="18" t="s">
        <v>23</v>
      </c>
      <c r="H221" s="18" t="s">
        <v>21</v>
      </c>
      <c r="I221" s="18" t="s">
        <v>21</v>
      </c>
      <c r="J221" s="18" t="s">
        <v>21</v>
      </c>
      <c r="K221" s="18" t="s">
        <v>20</v>
      </c>
      <c r="L221" s="18" t="s">
        <v>20</v>
      </c>
      <c r="M221" s="18" t="s">
        <v>20</v>
      </c>
      <c r="N221" s="18" t="s">
        <v>21</v>
      </c>
      <c r="O221" s="18" t="s">
        <v>20</v>
      </c>
      <c r="P221" s="18" t="s">
        <v>21</v>
      </c>
      <c r="Q221" s="18" t="s">
        <v>21</v>
      </c>
      <c r="R221" s="18" t="s">
        <v>21</v>
      </c>
      <c r="S221" s="18" t="s">
        <v>20</v>
      </c>
      <c r="T221" s="18" t="s">
        <v>20</v>
      </c>
      <c r="U221" s="18" t="s">
        <v>21</v>
      </c>
      <c r="V221" s="37" t="s">
        <v>20</v>
      </c>
      <c r="W221" s="37" t="s">
        <v>20</v>
      </c>
      <c r="X221" s="37" t="s">
        <v>20</v>
      </c>
      <c r="Y221" s="18" t="s">
        <v>21</v>
      </c>
      <c r="Z221" s="18" t="s">
        <v>21</v>
      </c>
      <c r="AA221" s="20" t="s">
        <v>21</v>
      </c>
      <c r="AB221" s="20" t="s">
        <v>21</v>
      </c>
      <c r="AC221" s="20" t="s">
        <v>21</v>
      </c>
      <c r="AD221" s="29" t="s">
        <v>20</v>
      </c>
      <c r="AE221" s="29" t="s">
        <v>21</v>
      </c>
      <c r="AG221">
        <f t="shared" si="27"/>
        <v>0</v>
      </c>
      <c r="AH221">
        <f t="shared" si="28"/>
        <v>10</v>
      </c>
      <c r="AI221">
        <f t="shared" si="29"/>
        <v>15</v>
      </c>
      <c r="AJ221">
        <f t="shared" si="30"/>
        <v>1</v>
      </c>
      <c r="AL221">
        <f t="shared" si="31"/>
        <v>0</v>
      </c>
      <c r="AM221">
        <f t="shared" si="32"/>
        <v>30</v>
      </c>
      <c r="AN221">
        <f t="shared" si="33"/>
        <v>30</v>
      </c>
      <c r="AO221">
        <f t="shared" si="34"/>
        <v>1</v>
      </c>
      <c r="AP221">
        <f t="shared" si="35"/>
        <v>61</v>
      </c>
    </row>
    <row r="222" spans="1:42" ht="15.75" hidden="1" customHeight="1" x14ac:dyDescent="0.3">
      <c r="A222" s="16"/>
      <c r="B222" s="55">
        <v>16</v>
      </c>
      <c r="C222" s="56" t="s">
        <v>240</v>
      </c>
      <c r="D222" s="55">
        <v>5</v>
      </c>
      <c r="E222" s="55" t="s">
        <v>21</v>
      </c>
      <c r="F222" s="18" t="s">
        <v>20</v>
      </c>
      <c r="G222" s="18" t="s">
        <v>20</v>
      </c>
      <c r="H222" s="18" t="s">
        <v>21</v>
      </c>
      <c r="I222" s="18" t="s">
        <v>20</v>
      </c>
      <c r="J222" s="18" t="s">
        <v>21</v>
      </c>
      <c r="K222" s="18" t="s">
        <v>21</v>
      </c>
      <c r="L222" s="18" t="s">
        <v>20</v>
      </c>
      <c r="M222" s="18" t="s">
        <v>20</v>
      </c>
      <c r="N222" s="18" t="s">
        <v>20</v>
      </c>
      <c r="O222" s="18" t="s">
        <v>20</v>
      </c>
      <c r="P222" s="18" t="s">
        <v>21</v>
      </c>
      <c r="Q222" s="18" t="s">
        <v>20</v>
      </c>
      <c r="R222" s="18" t="s">
        <v>21</v>
      </c>
      <c r="S222" s="18" t="s">
        <v>21</v>
      </c>
      <c r="T222" s="18" t="s">
        <v>21</v>
      </c>
      <c r="U222" s="18" t="s">
        <v>20</v>
      </c>
      <c r="V222" s="37" t="s">
        <v>20</v>
      </c>
      <c r="W222" s="37" t="s">
        <v>20</v>
      </c>
      <c r="X222" s="37" t="s">
        <v>20</v>
      </c>
      <c r="Y222" s="18" t="s">
        <v>20</v>
      </c>
      <c r="Z222" s="18" t="s">
        <v>21</v>
      </c>
      <c r="AA222" s="20" t="s">
        <v>21</v>
      </c>
      <c r="AB222" s="20" t="s">
        <v>20</v>
      </c>
      <c r="AC222" s="20" t="s">
        <v>20</v>
      </c>
      <c r="AD222" s="29" t="s">
        <v>20</v>
      </c>
      <c r="AE222" s="29" t="s">
        <v>21</v>
      </c>
      <c r="AG222">
        <f t="shared" si="27"/>
        <v>0</v>
      </c>
      <c r="AH222">
        <f t="shared" si="28"/>
        <v>16</v>
      </c>
      <c r="AI222">
        <f t="shared" si="29"/>
        <v>10</v>
      </c>
      <c r="AJ222">
        <f t="shared" si="30"/>
        <v>0</v>
      </c>
      <c r="AL222">
        <f t="shared" si="31"/>
        <v>0</v>
      </c>
      <c r="AM222">
        <f t="shared" si="32"/>
        <v>48</v>
      </c>
      <c r="AN222">
        <f t="shared" si="33"/>
        <v>20</v>
      </c>
      <c r="AO222">
        <f t="shared" si="34"/>
        <v>0</v>
      </c>
      <c r="AP222">
        <f t="shared" si="35"/>
        <v>68</v>
      </c>
    </row>
    <row r="223" spans="1:42" ht="15.75" hidden="1" customHeight="1" x14ac:dyDescent="0.3">
      <c r="A223" s="16"/>
      <c r="B223" s="55">
        <v>17</v>
      </c>
      <c r="C223" s="56" t="s">
        <v>241</v>
      </c>
      <c r="D223" s="55">
        <v>5</v>
      </c>
      <c r="E223" s="55" t="s">
        <v>21</v>
      </c>
      <c r="F223" s="18" t="s">
        <v>21</v>
      </c>
      <c r="G223" s="18" t="s">
        <v>23</v>
      </c>
      <c r="H223" s="18" t="s">
        <v>21</v>
      </c>
      <c r="I223" s="18" t="s">
        <v>21</v>
      </c>
      <c r="J223" s="18" t="s">
        <v>21</v>
      </c>
      <c r="K223" s="18" t="s">
        <v>21</v>
      </c>
      <c r="L223" s="18" t="s">
        <v>21</v>
      </c>
      <c r="M223" s="18" t="s">
        <v>21</v>
      </c>
      <c r="N223" s="18" t="s">
        <v>21</v>
      </c>
      <c r="O223" s="18" t="s">
        <v>21</v>
      </c>
      <c r="P223" s="18" t="s">
        <v>21</v>
      </c>
      <c r="Q223" s="18" t="s">
        <v>23</v>
      </c>
      <c r="R223" s="18" t="s">
        <v>21</v>
      </c>
      <c r="S223" s="18" t="s">
        <v>21</v>
      </c>
      <c r="T223" s="18" t="s">
        <v>21</v>
      </c>
      <c r="U223" s="18" t="s">
        <v>21</v>
      </c>
      <c r="V223" s="37" t="s">
        <v>20</v>
      </c>
      <c r="W223" s="37" t="s">
        <v>21</v>
      </c>
      <c r="X223" s="37" t="s">
        <v>20</v>
      </c>
      <c r="Y223" s="18" t="s">
        <v>20</v>
      </c>
      <c r="Z223" s="18" t="s">
        <v>21</v>
      </c>
      <c r="AA223" s="20" t="s">
        <v>20</v>
      </c>
      <c r="AB223" s="20" t="s">
        <v>21</v>
      </c>
      <c r="AC223" s="20" t="s">
        <v>21</v>
      </c>
      <c r="AD223" s="29" t="s">
        <v>23</v>
      </c>
      <c r="AE223" s="29" t="s">
        <v>21</v>
      </c>
      <c r="AG223">
        <f t="shared" si="27"/>
        <v>0</v>
      </c>
      <c r="AH223">
        <f t="shared" si="28"/>
        <v>4</v>
      </c>
      <c r="AI223">
        <f t="shared" si="29"/>
        <v>19</v>
      </c>
      <c r="AJ223">
        <f t="shared" si="30"/>
        <v>3</v>
      </c>
      <c r="AL223">
        <f t="shared" si="31"/>
        <v>0</v>
      </c>
      <c r="AM223">
        <f t="shared" si="32"/>
        <v>12</v>
      </c>
      <c r="AN223">
        <f t="shared" si="33"/>
        <v>38</v>
      </c>
      <c r="AO223">
        <f t="shared" si="34"/>
        <v>3</v>
      </c>
      <c r="AP223">
        <f t="shared" si="35"/>
        <v>53</v>
      </c>
    </row>
    <row r="224" spans="1:42" ht="15.75" hidden="1" customHeight="1" x14ac:dyDescent="0.3">
      <c r="A224" s="16"/>
      <c r="B224" s="55">
        <v>18</v>
      </c>
      <c r="C224" s="56" t="s">
        <v>242</v>
      </c>
      <c r="D224" s="55">
        <v>5</v>
      </c>
      <c r="E224" s="55" t="s">
        <v>21</v>
      </c>
      <c r="F224" s="18" t="s">
        <v>20</v>
      </c>
      <c r="G224" s="18" t="s">
        <v>20</v>
      </c>
      <c r="H224" s="18" t="s">
        <v>21</v>
      </c>
      <c r="I224" s="18" t="s">
        <v>21</v>
      </c>
      <c r="J224" s="18" t="s">
        <v>20</v>
      </c>
      <c r="K224" s="18" t="s">
        <v>20</v>
      </c>
      <c r="L224" s="18" t="s">
        <v>21</v>
      </c>
      <c r="M224" s="18" t="s">
        <v>20</v>
      </c>
      <c r="N224" s="18" t="s">
        <v>20</v>
      </c>
      <c r="O224" s="18" t="s">
        <v>20</v>
      </c>
      <c r="P224" s="18" t="s">
        <v>21</v>
      </c>
      <c r="Q224" s="18" t="s">
        <v>21</v>
      </c>
      <c r="R224" s="18" t="s">
        <v>21</v>
      </c>
      <c r="S224" s="18" t="s">
        <v>20</v>
      </c>
      <c r="T224" s="18" t="s">
        <v>20</v>
      </c>
      <c r="U224" s="18" t="s">
        <v>20</v>
      </c>
      <c r="V224" s="37" t="s">
        <v>20</v>
      </c>
      <c r="W224" s="37" t="s">
        <v>20</v>
      </c>
      <c r="X224" s="37" t="s">
        <v>20</v>
      </c>
      <c r="Y224" s="18" t="s">
        <v>20</v>
      </c>
      <c r="Z224" s="18" t="s">
        <v>20</v>
      </c>
      <c r="AA224" s="20" t="s">
        <v>21</v>
      </c>
      <c r="AB224" s="20" t="s">
        <v>20</v>
      </c>
      <c r="AC224" s="20" t="s">
        <v>20</v>
      </c>
      <c r="AD224" s="29" t="s">
        <v>20</v>
      </c>
      <c r="AE224" s="29" t="s">
        <v>21</v>
      </c>
      <c r="AG224">
        <f t="shared" si="27"/>
        <v>0</v>
      </c>
      <c r="AH224">
        <f t="shared" si="28"/>
        <v>18</v>
      </c>
      <c r="AI224">
        <f t="shared" si="29"/>
        <v>8</v>
      </c>
      <c r="AJ224">
        <f t="shared" si="30"/>
        <v>0</v>
      </c>
      <c r="AL224">
        <f t="shared" si="31"/>
        <v>0</v>
      </c>
      <c r="AM224">
        <f t="shared" si="32"/>
        <v>54</v>
      </c>
      <c r="AN224">
        <f t="shared" si="33"/>
        <v>16</v>
      </c>
      <c r="AO224">
        <f t="shared" si="34"/>
        <v>0</v>
      </c>
      <c r="AP224">
        <f t="shared" si="35"/>
        <v>70</v>
      </c>
    </row>
    <row r="225" spans="1:42" ht="15.75" hidden="1" customHeight="1" x14ac:dyDescent="0.3">
      <c r="A225" s="16"/>
      <c r="B225" s="55">
        <v>19</v>
      </c>
      <c r="C225" s="56" t="s">
        <v>243</v>
      </c>
      <c r="D225" s="55">
        <v>5</v>
      </c>
      <c r="E225" s="55" t="s">
        <v>21</v>
      </c>
      <c r="F225" s="18" t="s">
        <v>20</v>
      </c>
      <c r="G225" s="18" t="s">
        <v>20</v>
      </c>
      <c r="H225" s="18" t="s">
        <v>20</v>
      </c>
      <c r="I225" s="18" t="s">
        <v>20</v>
      </c>
      <c r="J225" s="18" t="s">
        <v>20</v>
      </c>
      <c r="K225" s="18" t="s">
        <v>20</v>
      </c>
      <c r="L225" s="18" t="s">
        <v>20</v>
      </c>
      <c r="M225" s="18" t="s">
        <v>20</v>
      </c>
      <c r="N225" s="18" t="s">
        <v>20</v>
      </c>
      <c r="O225" s="18" t="s">
        <v>20</v>
      </c>
      <c r="P225" s="18" t="s">
        <v>20</v>
      </c>
      <c r="Q225" s="18" t="s">
        <v>20</v>
      </c>
      <c r="R225" s="18" t="s">
        <v>20</v>
      </c>
      <c r="S225" s="18" t="s">
        <v>20</v>
      </c>
      <c r="T225" s="18" t="s">
        <v>20</v>
      </c>
      <c r="U225" s="18" t="s">
        <v>20</v>
      </c>
      <c r="V225" s="37" t="s">
        <v>20</v>
      </c>
      <c r="W225" s="37" t="s">
        <v>20</v>
      </c>
      <c r="X225" s="37" t="s">
        <v>20</v>
      </c>
      <c r="Y225" s="18" t="s">
        <v>20</v>
      </c>
      <c r="Z225" s="18" t="s">
        <v>20</v>
      </c>
      <c r="AA225" s="20" t="s">
        <v>20</v>
      </c>
      <c r="AB225" s="20" t="s">
        <v>20</v>
      </c>
      <c r="AC225" s="20" t="s">
        <v>20</v>
      </c>
      <c r="AD225" s="29" t="s">
        <v>20</v>
      </c>
      <c r="AE225" s="29" t="s">
        <v>21</v>
      </c>
      <c r="AG225">
        <f t="shared" si="27"/>
        <v>0</v>
      </c>
      <c r="AH225">
        <f t="shared" si="28"/>
        <v>25</v>
      </c>
      <c r="AI225">
        <f t="shared" si="29"/>
        <v>1</v>
      </c>
      <c r="AJ225">
        <f t="shared" si="30"/>
        <v>0</v>
      </c>
      <c r="AL225">
        <f t="shared" si="31"/>
        <v>0</v>
      </c>
      <c r="AM225">
        <f t="shared" si="32"/>
        <v>75</v>
      </c>
      <c r="AN225">
        <f t="shared" si="33"/>
        <v>2</v>
      </c>
      <c r="AO225">
        <f t="shared" si="34"/>
        <v>0</v>
      </c>
      <c r="AP225">
        <f t="shared" si="35"/>
        <v>77</v>
      </c>
    </row>
    <row r="226" spans="1:42" ht="15.75" hidden="1" customHeight="1" x14ac:dyDescent="0.3">
      <c r="A226" s="16"/>
      <c r="B226" s="55">
        <v>20</v>
      </c>
      <c r="C226" s="56" t="s">
        <v>244</v>
      </c>
      <c r="D226" s="55">
        <v>5</v>
      </c>
      <c r="E226" s="55" t="s">
        <v>21</v>
      </c>
      <c r="F226" s="18" t="s">
        <v>20</v>
      </c>
      <c r="G226" s="18" t="s">
        <v>21</v>
      </c>
      <c r="H226" s="18" t="s">
        <v>21</v>
      </c>
      <c r="I226" s="18" t="s">
        <v>21</v>
      </c>
      <c r="J226" s="18" t="s">
        <v>21</v>
      </c>
      <c r="K226" s="18" t="s">
        <v>20</v>
      </c>
      <c r="L226" s="18" t="s">
        <v>20</v>
      </c>
      <c r="M226" s="18" t="s">
        <v>20</v>
      </c>
      <c r="N226" s="18" t="s">
        <v>21</v>
      </c>
      <c r="O226" s="18" t="s">
        <v>20</v>
      </c>
      <c r="P226" s="18" t="s">
        <v>21</v>
      </c>
      <c r="Q226" s="18" t="s">
        <v>21</v>
      </c>
      <c r="R226" s="18" t="s">
        <v>21</v>
      </c>
      <c r="S226" s="18" t="s">
        <v>20</v>
      </c>
      <c r="T226" s="18" t="s">
        <v>21</v>
      </c>
      <c r="U226" s="18" t="s">
        <v>21</v>
      </c>
      <c r="V226" s="37" t="s">
        <v>20</v>
      </c>
      <c r="W226" s="37" t="s">
        <v>21</v>
      </c>
      <c r="X226" s="37" t="s">
        <v>20</v>
      </c>
      <c r="Y226" s="18" t="s">
        <v>20</v>
      </c>
      <c r="Z226" s="18" t="s">
        <v>20</v>
      </c>
      <c r="AA226" s="20" t="s">
        <v>20</v>
      </c>
      <c r="AB226" s="20" t="s">
        <v>20</v>
      </c>
      <c r="AC226" s="20" t="s">
        <v>20</v>
      </c>
      <c r="AD226" s="29" t="s">
        <v>20</v>
      </c>
      <c r="AE226" s="29" t="s">
        <v>21</v>
      </c>
      <c r="AG226">
        <f t="shared" si="27"/>
        <v>0</v>
      </c>
      <c r="AH226">
        <f t="shared" si="28"/>
        <v>14</v>
      </c>
      <c r="AI226">
        <f t="shared" si="29"/>
        <v>12</v>
      </c>
      <c r="AJ226">
        <f t="shared" si="30"/>
        <v>0</v>
      </c>
      <c r="AL226">
        <f t="shared" si="31"/>
        <v>0</v>
      </c>
      <c r="AM226">
        <f t="shared" si="32"/>
        <v>42</v>
      </c>
      <c r="AN226">
        <f t="shared" si="33"/>
        <v>24</v>
      </c>
      <c r="AO226">
        <f t="shared" si="34"/>
        <v>0</v>
      </c>
      <c r="AP226">
        <f t="shared" si="35"/>
        <v>66</v>
      </c>
    </row>
    <row r="227" spans="1:42" ht="15.75" hidden="1" customHeight="1" x14ac:dyDescent="0.3">
      <c r="A227" s="16"/>
      <c r="B227" s="55">
        <v>21</v>
      </c>
      <c r="C227" s="56" t="s">
        <v>245</v>
      </c>
      <c r="D227" s="55">
        <v>5</v>
      </c>
      <c r="E227" s="55" t="s">
        <v>21</v>
      </c>
      <c r="F227" s="18" t="s">
        <v>39</v>
      </c>
      <c r="G227" s="18" t="s">
        <v>20</v>
      </c>
      <c r="H227" s="18" t="s">
        <v>20</v>
      </c>
      <c r="I227" s="18" t="s">
        <v>20</v>
      </c>
      <c r="J227" s="18" t="s">
        <v>20</v>
      </c>
      <c r="K227" s="18" t="s">
        <v>39</v>
      </c>
      <c r="L227" s="18" t="s">
        <v>39</v>
      </c>
      <c r="M227" s="18" t="s">
        <v>20</v>
      </c>
      <c r="N227" s="18" t="s">
        <v>20</v>
      </c>
      <c r="O227" s="18" t="s">
        <v>20</v>
      </c>
      <c r="P227" s="18" t="s">
        <v>20</v>
      </c>
      <c r="Q227" s="18" t="s">
        <v>20</v>
      </c>
      <c r="R227" s="18" t="s">
        <v>20</v>
      </c>
      <c r="S227" s="18" t="s">
        <v>20</v>
      </c>
      <c r="T227" s="18" t="s">
        <v>20</v>
      </c>
      <c r="U227" s="18" t="s">
        <v>20</v>
      </c>
      <c r="V227" s="37" t="s">
        <v>20</v>
      </c>
      <c r="W227" s="37" t="s">
        <v>20</v>
      </c>
      <c r="X227" s="37" t="s">
        <v>20</v>
      </c>
      <c r="Y227" s="18" t="s">
        <v>39</v>
      </c>
      <c r="Z227" s="18" t="s">
        <v>39</v>
      </c>
      <c r="AA227" s="20" t="s">
        <v>20</v>
      </c>
      <c r="AB227" s="20" t="s">
        <v>20</v>
      </c>
      <c r="AC227" s="20" t="s">
        <v>20</v>
      </c>
      <c r="AD227" s="29" t="s">
        <v>20</v>
      </c>
      <c r="AE227" s="29" t="s">
        <v>21</v>
      </c>
      <c r="AG227">
        <f t="shared" si="27"/>
        <v>5</v>
      </c>
      <c r="AH227">
        <f t="shared" si="28"/>
        <v>20</v>
      </c>
      <c r="AI227">
        <f t="shared" si="29"/>
        <v>1</v>
      </c>
      <c r="AJ227">
        <f t="shared" si="30"/>
        <v>0</v>
      </c>
      <c r="AL227">
        <f t="shared" si="31"/>
        <v>20</v>
      </c>
      <c r="AM227">
        <f t="shared" si="32"/>
        <v>60</v>
      </c>
      <c r="AN227">
        <f t="shared" si="33"/>
        <v>2</v>
      </c>
      <c r="AO227">
        <f t="shared" si="34"/>
        <v>0</v>
      </c>
      <c r="AP227">
        <f t="shared" si="35"/>
        <v>82</v>
      </c>
    </row>
    <row r="228" spans="1:42" ht="15.75" hidden="1" customHeight="1" x14ac:dyDescent="0.3">
      <c r="A228" s="16"/>
      <c r="B228" s="55">
        <v>22</v>
      </c>
      <c r="C228" s="56" t="s">
        <v>246</v>
      </c>
      <c r="D228" s="55">
        <v>5</v>
      </c>
      <c r="E228" s="55" t="s">
        <v>21</v>
      </c>
      <c r="F228" s="18" t="s">
        <v>21</v>
      </c>
      <c r="G228" s="18" t="s">
        <v>21</v>
      </c>
      <c r="H228" s="18" t="s">
        <v>21</v>
      </c>
      <c r="I228" s="18" t="s">
        <v>21</v>
      </c>
      <c r="J228" s="18" t="s">
        <v>21</v>
      </c>
      <c r="K228" s="18" t="s">
        <v>20</v>
      </c>
      <c r="L228" s="18" t="s">
        <v>20</v>
      </c>
      <c r="M228" s="18" t="s">
        <v>20</v>
      </c>
      <c r="N228" s="18" t="s">
        <v>20</v>
      </c>
      <c r="O228" s="18" t="s">
        <v>20</v>
      </c>
      <c r="P228" s="18" t="s">
        <v>21</v>
      </c>
      <c r="Q228" s="18" t="s">
        <v>21</v>
      </c>
      <c r="R228" s="18" t="s">
        <v>23</v>
      </c>
      <c r="S228" s="18" t="s">
        <v>21</v>
      </c>
      <c r="T228" s="18" t="s">
        <v>21</v>
      </c>
      <c r="U228" s="18" t="s">
        <v>20</v>
      </c>
      <c r="V228" s="37" t="s">
        <v>20</v>
      </c>
      <c r="W228" s="37" t="s">
        <v>20</v>
      </c>
      <c r="X228" s="37" t="s">
        <v>20</v>
      </c>
      <c r="Y228" s="18" t="s">
        <v>21</v>
      </c>
      <c r="Z228" s="18" t="s">
        <v>20</v>
      </c>
      <c r="AA228" s="20" t="s">
        <v>21</v>
      </c>
      <c r="AB228" s="20" t="s">
        <v>21</v>
      </c>
      <c r="AC228" s="20" t="s">
        <v>21</v>
      </c>
      <c r="AD228" s="47" t="s">
        <v>23</v>
      </c>
      <c r="AE228" s="47" t="s">
        <v>21</v>
      </c>
      <c r="AG228">
        <f t="shared" si="27"/>
        <v>0</v>
      </c>
      <c r="AH228">
        <f t="shared" si="28"/>
        <v>10</v>
      </c>
      <c r="AI228">
        <f t="shared" si="29"/>
        <v>14</v>
      </c>
      <c r="AJ228">
        <f t="shared" si="30"/>
        <v>2</v>
      </c>
      <c r="AL228">
        <f t="shared" si="31"/>
        <v>0</v>
      </c>
      <c r="AM228">
        <f t="shared" si="32"/>
        <v>30</v>
      </c>
      <c r="AN228">
        <f t="shared" si="33"/>
        <v>28</v>
      </c>
      <c r="AO228">
        <f t="shared" si="34"/>
        <v>2</v>
      </c>
      <c r="AP228">
        <f t="shared" si="35"/>
        <v>60</v>
      </c>
    </row>
    <row r="229" spans="1:42" ht="15.75" hidden="1" customHeight="1" x14ac:dyDescent="0.3">
      <c r="A229" s="16"/>
      <c r="B229" s="55">
        <v>23</v>
      </c>
      <c r="C229" s="56" t="s">
        <v>247</v>
      </c>
      <c r="D229" s="55">
        <v>5</v>
      </c>
      <c r="E229" s="55" t="s">
        <v>21</v>
      </c>
      <c r="F229" s="18" t="s">
        <v>21</v>
      </c>
      <c r="G229" s="18" t="s">
        <v>21</v>
      </c>
      <c r="H229" s="18" t="s">
        <v>21</v>
      </c>
      <c r="I229" s="18" t="s">
        <v>20</v>
      </c>
      <c r="J229" s="18" t="s">
        <v>20</v>
      </c>
      <c r="K229" s="18" t="s">
        <v>20</v>
      </c>
      <c r="L229" s="18" t="s">
        <v>20</v>
      </c>
      <c r="M229" s="18" t="s">
        <v>20</v>
      </c>
      <c r="N229" s="18" t="s">
        <v>21</v>
      </c>
      <c r="O229" s="18" t="s">
        <v>20</v>
      </c>
      <c r="P229" s="18" t="s">
        <v>21</v>
      </c>
      <c r="Q229" s="18" t="s">
        <v>21</v>
      </c>
      <c r="R229" s="18" t="s">
        <v>20</v>
      </c>
      <c r="S229" s="18" t="s">
        <v>21</v>
      </c>
      <c r="T229" s="18" t="s">
        <v>21</v>
      </c>
      <c r="U229" s="18" t="s">
        <v>21</v>
      </c>
      <c r="V229" s="37" t="s">
        <v>20</v>
      </c>
      <c r="W229" s="37" t="s">
        <v>20</v>
      </c>
      <c r="X229" s="37" t="s">
        <v>20</v>
      </c>
      <c r="Y229" s="18" t="s">
        <v>20</v>
      </c>
      <c r="Z229" s="18" t="s">
        <v>21</v>
      </c>
      <c r="AA229" s="20" t="s">
        <v>20</v>
      </c>
      <c r="AB229" s="20" t="s">
        <v>20</v>
      </c>
      <c r="AC229" s="20" t="s">
        <v>20</v>
      </c>
      <c r="AD229" s="29" t="s">
        <v>20</v>
      </c>
      <c r="AE229" s="29" t="s">
        <v>21</v>
      </c>
      <c r="AG229">
        <f t="shared" si="27"/>
        <v>0</v>
      </c>
      <c r="AH229">
        <f t="shared" si="28"/>
        <v>15</v>
      </c>
      <c r="AI229">
        <f t="shared" si="29"/>
        <v>11</v>
      </c>
      <c r="AJ229">
        <f t="shared" si="30"/>
        <v>0</v>
      </c>
      <c r="AL229">
        <f t="shared" si="31"/>
        <v>0</v>
      </c>
      <c r="AM229">
        <f t="shared" si="32"/>
        <v>45</v>
      </c>
      <c r="AN229">
        <f t="shared" si="33"/>
        <v>22</v>
      </c>
      <c r="AO229">
        <f t="shared" si="34"/>
        <v>0</v>
      </c>
      <c r="AP229">
        <f t="shared" si="35"/>
        <v>67</v>
      </c>
    </row>
    <row r="230" spans="1:42" ht="15.75" hidden="1" customHeight="1" x14ac:dyDescent="0.3">
      <c r="A230" s="16"/>
      <c r="B230" s="55">
        <v>24</v>
      </c>
      <c r="C230" s="56" t="s">
        <v>248</v>
      </c>
      <c r="D230" s="55">
        <v>5</v>
      </c>
      <c r="E230" s="55" t="s">
        <v>21</v>
      </c>
      <c r="F230" s="18" t="s">
        <v>20</v>
      </c>
      <c r="G230" s="18" t="s">
        <v>20</v>
      </c>
      <c r="H230" s="18" t="s">
        <v>20</v>
      </c>
      <c r="I230" s="18" t="s">
        <v>20</v>
      </c>
      <c r="J230" s="18" t="s">
        <v>20</v>
      </c>
      <c r="K230" s="18" t="s">
        <v>20</v>
      </c>
      <c r="L230" s="18" t="s">
        <v>39</v>
      </c>
      <c r="M230" s="18" t="s">
        <v>20</v>
      </c>
      <c r="N230" s="18" t="s">
        <v>20</v>
      </c>
      <c r="O230" s="18" t="s">
        <v>20</v>
      </c>
      <c r="P230" s="18" t="s">
        <v>20</v>
      </c>
      <c r="Q230" s="18" t="s">
        <v>21</v>
      </c>
      <c r="R230" s="18" t="s">
        <v>21</v>
      </c>
      <c r="S230" s="18" t="s">
        <v>20</v>
      </c>
      <c r="T230" s="18" t="s">
        <v>20</v>
      </c>
      <c r="U230" s="18" t="s">
        <v>20</v>
      </c>
      <c r="V230" s="37" t="s">
        <v>20</v>
      </c>
      <c r="W230" s="37" t="s">
        <v>21</v>
      </c>
      <c r="X230" s="37" t="s">
        <v>20</v>
      </c>
      <c r="Y230" s="18" t="s">
        <v>20</v>
      </c>
      <c r="Z230" s="18" t="s">
        <v>20</v>
      </c>
      <c r="AA230" s="20" t="s">
        <v>20</v>
      </c>
      <c r="AB230" s="20" t="s">
        <v>21</v>
      </c>
      <c r="AC230" s="20" t="s">
        <v>20</v>
      </c>
      <c r="AD230" s="29" t="s">
        <v>20</v>
      </c>
      <c r="AE230" s="29" t="s">
        <v>21</v>
      </c>
      <c r="AG230">
        <f t="shared" si="27"/>
        <v>1</v>
      </c>
      <c r="AH230">
        <f t="shared" si="28"/>
        <v>20</v>
      </c>
      <c r="AI230">
        <f t="shared" si="29"/>
        <v>5</v>
      </c>
      <c r="AJ230">
        <f t="shared" si="30"/>
        <v>0</v>
      </c>
      <c r="AL230">
        <f t="shared" si="31"/>
        <v>4</v>
      </c>
      <c r="AM230">
        <f t="shared" si="32"/>
        <v>60</v>
      </c>
      <c r="AN230">
        <f t="shared" si="33"/>
        <v>10</v>
      </c>
      <c r="AO230">
        <f t="shared" si="34"/>
        <v>0</v>
      </c>
      <c r="AP230">
        <f t="shared" si="35"/>
        <v>74</v>
      </c>
    </row>
    <row r="231" spans="1:42" ht="15.75" hidden="1" customHeight="1" x14ac:dyDescent="0.3">
      <c r="A231" s="16"/>
      <c r="B231" s="55">
        <v>25</v>
      </c>
      <c r="C231" s="56" t="s">
        <v>249</v>
      </c>
      <c r="D231" s="55">
        <v>5</v>
      </c>
      <c r="E231" s="55" t="s">
        <v>21</v>
      </c>
      <c r="F231" s="18" t="s">
        <v>21</v>
      </c>
      <c r="G231" s="18" t="s">
        <v>21</v>
      </c>
      <c r="H231" s="17" t="s">
        <v>21</v>
      </c>
      <c r="I231" s="18" t="s">
        <v>21</v>
      </c>
      <c r="J231" s="18" t="s">
        <v>21</v>
      </c>
      <c r="K231" s="18" t="s">
        <v>21</v>
      </c>
      <c r="L231" s="18" t="s">
        <v>21</v>
      </c>
      <c r="M231" s="18" t="s">
        <v>20</v>
      </c>
      <c r="N231" s="18" t="s">
        <v>21</v>
      </c>
      <c r="O231" s="18" t="s">
        <v>20</v>
      </c>
      <c r="P231" s="18" t="s">
        <v>21</v>
      </c>
      <c r="Q231" s="18" t="s">
        <v>21</v>
      </c>
      <c r="R231" s="18" t="s">
        <v>21</v>
      </c>
      <c r="S231" s="18" t="s">
        <v>21</v>
      </c>
      <c r="T231" s="18" t="s">
        <v>20</v>
      </c>
      <c r="U231" s="18" t="s">
        <v>21</v>
      </c>
      <c r="V231" s="37" t="s">
        <v>21</v>
      </c>
      <c r="W231" s="37" t="s">
        <v>21</v>
      </c>
      <c r="X231" s="37" t="s">
        <v>21</v>
      </c>
      <c r="Y231" s="18" t="s">
        <v>20</v>
      </c>
      <c r="Z231" s="18" t="s">
        <v>21</v>
      </c>
      <c r="AA231" s="20" t="s">
        <v>21</v>
      </c>
      <c r="AB231" s="20" t="s">
        <v>21</v>
      </c>
      <c r="AC231" s="20" t="s">
        <v>21</v>
      </c>
      <c r="AD231" s="29" t="s">
        <v>21</v>
      </c>
      <c r="AE231" s="29" t="s">
        <v>21</v>
      </c>
      <c r="AG231">
        <f t="shared" si="27"/>
        <v>0</v>
      </c>
      <c r="AH231">
        <f t="shared" si="28"/>
        <v>4</v>
      </c>
      <c r="AI231">
        <f t="shared" si="29"/>
        <v>22</v>
      </c>
      <c r="AJ231">
        <f t="shared" si="30"/>
        <v>0</v>
      </c>
      <c r="AL231">
        <f t="shared" si="31"/>
        <v>0</v>
      </c>
      <c r="AM231">
        <f t="shared" si="32"/>
        <v>12</v>
      </c>
      <c r="AN231">
        <f t="shared" si="33"/>
        <v>44</v>
      </c>
      <c r="AO231">
        <f t="shared" si="34"/>
        <v>0</v>
      </c>
      <c r="AP231">
        <f t="shared" si="35"/>
        <v>56</v>
      </c>
    </row>
    <row r="232" spans="1:42" ht="15.75" hidden="1" customHeight="1" thickBot="1" x14ac:dyDescent="0.35">
      <c r="A232" s="16"/>
      <c r="B232" s="57">
        <v>26</v>
      </c>
      <c r="C232" s="58" t="s">
        <v>250</v>
      </c>
      <c r="D232" s="57">
        <v>5</v>
      </c>
      <c r="E232" s="57" t="s">
        <v>21</v>
      </c>
      <c r="F232" s="21" t="s">
        <v>39</v>
      </c>
      <c r="G232" s="21" t="s">
        <v>20</v>
      </c>
      <c r="H232" s="41" t="s">
        <v>20</v>
      </c>
      <c r="I232" s="21" t="s">
        <v>20</v>
      </c>
      <c r="J232" s="21" t="s">
        <v>20</v>
      </c>
      <c r="K232" s="21" t="s">
        <v>20</v>
      </c>
      <c r="L232" s="21" t="s">
        <v>20</v>
      </c>
      <c r="M232" s="21" t="s">
        <v>20</v>
      </c>
      <c r="N232" s="21" t="s">
        <v>20</v>
      </c>
      <c r="O232" s="21" t="s">
        <v>20</v>
      </c>
      <c r="P232" s="21" t="s">
        <v>21</v>
      </c>
      <c r="Q232" s="21" t="s">
        <v>20</v>
      </c>
      <c r="R232" s="21" t="s">
        <v>20</v>
      </c>
      <c r="S232" s="21" t="s">
        <v>20</v>
      </c>
      <c r="T232" s="21" t="s">
        <v>20</v>
      </c>
      <c r="U232" s="21" t="s">
        <v>20</v>
      </c>
      <c r="V232" s="38" t="s">
        <v>20</v>
      </c>
      <c r="W232" s="38" t="s">
        <v>20</v>
      </c>
      <c r="X232" s="38" t="s">
        <v>20</v>
      </c>
      <c r="Y232" s="21" t="s">
        <v>20</v>
      </c>
      <c r="Z232" s="21" t="s">
        <v>20</v>
      </c>
      <c r="AA232" s="23" t="s">
        <v>20</v>
      </c>
      <c r="AB232" s="23" t="s">
        <v>20</v>
      </c>
      <c r="AC232" s="23" t="s">
        <v>20</v>
      </c>
      <c r="AD232" s="31" t="s">
        <v>20</v>
      </c>
      <c r="AE232" s="31" t="s">
        <v>21</v>
      </c>
      <c r="AG232">
        <f t="shared" si="27"/>
        <v>1</v>
      </c>
      <c r="AH232">
        <f t="shared" si="28"/>
        <v>23</v>
      </c>
      <c r="AI232">
        <f t="shared" si="29"/>
        <v>2</v>
      </c>
      <c r="AJ232">
        <f t="shared" si="30"/>
        <v>0</v>
      </c>
      <c r="AL232">
        <f t="shared" si="31"/>
        <v>4</v>
      </c>
      <c r="AM232">
        <f t="shared" si="32"/>
        <v>69</v>
      </c>
      <c r="AN232">
        <f t="shared" si="33"/>
        <v>4</v>
      </c>
      <c r="AO232">
        <f t="shared" si="34"/>
        <v>0</v>
      </c>
      <c r="AP232">
        <f t="shared" si="35"/>
        <v>77</v>
      </c>
    </row>
    <row r="233" spans="1:42" ht="15.75" customHeight="1" x14ac:dyDescent="0.3">
      <c r="B233" s="54"/>
    </row>
    <row r="234" spans="1:42" ht="15.75" customHeight="1" x14ac:dyDescent="0.3"/>
    <row r="235" spans="1:42" ht="15.75" customHeight="1" x14ac:dyDescent="0.3"/>
    <row r="236" spans="1:42" ht="15.75" customHeight="1" x14ac:dyDescent="0.3"/>
    <row r="237" spans="1:42" ht="15.75" customHeight="1" x14ac:dyDescent="0.3"/>
    <row r="238" spans="1:42" ht="15.75" customHeight="1" x14ac:dyDescent="0.3"/>
    <row r="239" spans="1:42" ht="15.75" customHeight="1" x14ac:dyDescent="0.3"/>
    <row r="240" spans="1:42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  <row r="1041" ht="15.75" customHeight="1" x14ac:dyDescent="0.3"/>
    <row r="1042" ht="15.75" customHeight="1" x14ac:dyDescent="0.3"/>
    <row r="1043" ht="15.75" customHeight="1" x14ac:dyDescent="0.3"/>
    <row r="1044" ht="15.75" customHeight="1" x14ac:dyDescent="0.3"/>
    <row r="1045" ht="15.75" customHeight="1" x14ac:dyDescent="0.3"/>
    <row r="1046" ht="15.75" customHeight="1" x14ac:dyDescent="0.3"/>
    <row r="1047" ht="15.75" customHeight="1" x14ac:dyDescent="0.3"/>
    <row r="1048" ht="15.75" customHeight="1" x14ac:dyDescent="0.3"/>
    <row r="1049" ht="15.75" customHeight="1" x14ac:dyDescent="0.3"/>
    <row r="1050" ht="15.75" customHeight="1" x14ac:dyDescent="0.3"/>
    <row r="1051" ht="15.75" customHeight="1" x14ac:dyDescent="0.3"/>
    <row r="1052" ht="15.75" customHeight="1" x14ac:dyDescent="0.3"/>
    <row r="1053" ht="15.75" customHeight="1" x14ac:dyDescent="0.3"/>
    <row r="1054" ht="15.75" customHeight="1" x14ac:dyDescent="0.3"/>
    <row r="1055" ht="15.75" customHeight="1" x14ac:dyDescent="0.3"/>
    <row r="1056" ht="15.75" customHeight="1" x14ac:dyDescent="0.3"/>
    <row r="1057" ht="15.75" customHeight="1" x14ac:dyDescent="0.3"/>
    <row r="1058" ht="15.75" customHeight="1" x14ac:dyDescent="0.3"/>
    <row r="1059" ht="15.75" customHeight="1" x14ac:dyDescent="0.3"/>
    <row r="1060" ht="15.75" customHeight="1" x14ac:dyDescent="0.3"/>
    <row r="1061" ht="15.75" customHeight="1" x14ac:dyDescent="0.3"/>
    <row r="1062" ht="15.75" customHeight="1" x14ac:dyDescent="0.3"/>
    <row r="1063" ht="15.75" customHeight="1" x14ac:dyDescent="0.3"/>
    <row r="1064" ht="15.75" customHeight="1" x14ac:dyDescent="0.3"/>
    <row r="1065" ht="15.75" customHeight="1" x14ac:dyDescent="0.3"/>
    <row r="1066" ht="15.75" customHeight="1" x14ac:dyDescent="0.3"/>
    <row r="1067" ht="15.75" customHeight="1" x14ac:dyDescent="0.3"/>
    <row r="1068" ht="15.75" customHeight="1" x14ac:dyDescent="0.3"/>
    <row r="1069" ht="15.75" customHeight="1" x14ac:dyDescent="0.3"/>
    <row r="1070" ht="15.75" customHeight="1" x14ac:dyDescent="0.3"/>
    <row r="1071" ht="15.75" customHeight="1" x14ac:dyDescent="0.3"/>
    <row r="1072" ht="15.75" customHeight="1" x14ac:dyDescent="0.3"/>
    <row r="1073" ht="15.75" customHeight="1" x14ac:dyDescent="0.3"/>
    <row r="1074" ht="15.75" customHeight="1" x14ac:dyDescent="0.3"/>
    <row r="1075" ht="15.75" customHeight="1" x14ac:dyDescent="0.3"/>
    <row r="1076" ht="15.75" customHeight="1" x14ac:dyDescent="0.3"/>
    <row r="1077" ht="15.75" customHeight="1" x14ac:dyDescent="0.3"/>
    <row r="1078" ht="15.75" customHeight="1" x14ac:dyDescent="0.3"/>
    <row r="1079" ht="15.75" customHeight="1" x14ac:dyDescent="0.3"/>
    <row r="1080" ht="15.75" customHeight="1" x14ac:dyDescent="0.3"/>
    <row r="1081" ht="15.75" customHeight="1" x14ac:dyDescent="0.3"/>
    <row r="1082" ht="15.75" customHeight="1" x14ac:dyDescent="0.3"/>
    <row r="1083" ht="15.75" customHeight="1" x14ac:dyDescent="0.3"/>
    <row r="1084" ht="15.75" customHeight="1" x14ac:dyDescent="0.3"/>
    <row r="1085" ht="15.75" customHeight="1" x14ac:dyDescent="0.3"/>
    <row r="1086" ht="15.75" customHeight="1" x14ac:dyDescent="0.3"/>
    <row r="1087" ht="15.75" customHeight="1" x14ac:dyDescent="0.3"/>
    <row r="1088" ht="15.75" customHeight="1" x14ac:dyDescent="0.3"/>
    <row r="1089" ht="15.75" customHeight="1" x14ac:dyDescent="0.3"/>
    <row r="1090" ht="15.75" customHeight="1" x14ac:dyDescent="0.3"/>
    <row r="1091" ht="15.75" customHeight="1" x14ac:dyDescent="0.3"/>
    <row r="1092" ht="15.75" customHeight="1" x14ac:dyDescent="0.3"/>
    <row r="1093" ht="15.75" customHeight="1" x14ac:dyDescent="0.3"/>
    <row r="1094" ht="15.75" customHeight="1" x14ac:dyDescent="0.3"/>
    <row r="1095" ht="15.75" customHeight="1" x14ac:dyDescent="0.3"/>
    <row r="1096" ht="15.75" customHeight="1" x14ac:dyDescent="0.3"/>
    <row r="1097" ht="15.75" customHeight="1" x14ac:dyDescent="0.3"/>
    <row r="1098" ht="15.75" customHeight="1" x14ac:dyDescent="0.3"/>
    <row r="1099" ht="15.75" customHeight="1" x14ac:dyDescent="0.3"/>
    <row r="1100" ht="15.75" customHeight="1" x14ac:dyDescent="0.3"/>
    <row r="1101" ht="15.75" customHeight="1" x14ac:dyDescent="0.3"/>
    <row r="1102" ht="15.75" customHeight="1" x14ac:dyDescent="0.3"/>
    <row r="1103" ht="15.75" customHeight="1" x14ac:dyDescent="0.3"/>
    <row r="1104" ht="15.75" customHeight="1" x14ac:dyDescent="0.3"/>
    <row r="1105" ht="15.75" customHeight="1" x14ac:dyDescent="0.3"/>
    <row r="1106" ht="15.75" customHeight="1" x14ac:dyDescent="0.3"/>
    <row r="1107" ht="15.75" customHeight="1" x14ac:dyDescent="0.3"/>
    <row r="1108" ht="15.75" customHeight="1" x14ac:dyDescent="0.3"/>
    <row r="1109" ht="15.75" customHeight="1" x14ac:dyDescent="0.3"/>
    <row r="1110" ht="15.75" customHeight="1" x14ac:dyDescent="0.3"/>
    <row r="1111" ht="15.75" customHeight="1" x14ac:dyDescent="0.3"/>
    <row r="1112" ht="15.75" customHeight="1" x14ac:dyDescent="0.3"/>
    <row r="1113" ht="15.75" customHeight="1" x14ac:dyDescent="0.3"/>
    <row r="1114" ht="15.75" customHeight="1" x14ac:dyDescent="0.3"/>
    <row r="1115" ht="15.75" customHeight="1" x14ac:dyDescent="0.3"/>
    <row r="1116" ht="15.75" customHeight="1" x14ac:dyDescent="0.3"/>
    <row r="1117" ht="15.75" customHeight="1" x14ac:dyDescent="0.3"/>
    <row r="1118" ht="15.75" customHeight="1" x14ac:dyDescent="0.3"/>
    <row r="1119" ht="15.75" customHeight="1" x14ac:dyDescent="0.3"/>
    <row r="1120" ht="15.75" customHeight="1" x14ac:dyDescent="0.3"/>
    <row r="1121" ht="15.75" customHeight="1" x14ac:dyDescent="0.3"/>
    <row r="1122" ht="15.75" customHeight="1" x14ac:dyDescent="0.3"/>
    <row r="1123" ht="15.75" customHeight="1" x14ac:dyDescent="0.3"/>
    <row r="1124" ht="15.75" customHeight="1" x14ac:dyDescent="0.3"/>
    <row r="1125" ht="15.75" customHeight="1" x14ac:dyDescent="0.3"/>
    <row r="1126" ht="15.75" customHeight="1" x14ac:dyDescent="0.3"/>
  </sheetData>
  <autoFilter ref="A5:AP232" xr:uid="{D4C9ACFA-7634-4244-A829-726CE84E67E1}">
    <filterColumn colId="3">
      <filters>
        <filter val="3"/>
      </filters>
    </filterColumn>
    <filterColumn colId="4">
      <filters>
        <filter val="A"/>
      </filters>
    </filterColumn>
    <sortState xmlns:xlrd2="http://schemas.microsoft.com/office/spreadsheetml/2017/richdata2" ref="A91:AP109">
      <sortCondition descending="1" ref="AP5:AP232"/>
    </sortState>
  </autoFilter>
  <mergeCells count="11">
    <mergeCell ref="AD4:AE4"/>
    <mergeCell ref="C2:AE2"/>
    <mergeCell ref="C3:AE3"/>
    <mergeCell ref="F4:I4"/>
    <mergeCell ref="J4:L4"/>
    <mergeCell ref="M4:O4"/>
    <mergeCell ref="P4:R4"/>
    <mergeCell ref="S4:T4"/>
    <mergeCell ref="V4:X4"/>
    <mergeCell ref="Y4:Z4"/>
    <mergeCell ref="AA4:AC4"/>
  </mergeCells>
  <conditionalFormatting sqref="F6:AE232">
    <cfRule type="cellIs" dxfId="23" priority="1" operator="equal">
      <formula>"AD"</formula>
    </cfRule>
    <cfRule type="cellIs" dxfId="22" priority="2" operator="equal">
      <formula>"A"</formula>
    </cfRule>
    <cfRule type="cellIs" dxfId="21" priority="3" operator="equal">
      <formula>"B"</formula>
    </cfRule>
    <cfRule type="cellIs" dxfId="20" priority="4" operator="equal">
      <formula>"C"</formula>
    </cfRule>
  </conditionalFormatting>
  <dataValidations count="2">
    <dataValidation type="list" allowBlank="1" showInputMessage="1" showErrorMessage="1" sqref="AA6:AC232 J110:L130" xr:uid="{E282F071-4E44-4358-A842-82E9204A1859}">
      <formula1>"A,AD,B,C"</formula1>
    </dataValidation>
    <dataValidation type="list" allowBlank="1" showInputMessage="1" showErrorMessage="1" sqref="Q6:R26 T6:X26 AD229:AE232 F6:L26 AD27:AE80 F27:X48 AD82:AE97 AD135:AE199 AD201:AE203 AD205:AE227 AD99:AE133 Z27:Z48 F49:I232 J131:L232 J49:L109 M49:Z232" xr:uid="{3AB55814-4970-4327-8EED-81BF8F3A306E}">
      <formula1>"AD,A,B,C"</formula1>
    </dataValidation>
  </dataValidations>
  <pageMargins left="0.7" right="0.7" top="0.75" bottom="0.75" header="0" footer="0"/>
  <pageSetup paperSize="9" scale="72" orientation="landscape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3440E-CDA1-4380-A691-674C2A4E2AB9}">
  <sheetPr filterMode="1">
    <pageSetUpPr fitToPage="1"/>
  </sheetPr>
  <dimension ref="A2:AP1126"/>
  <sheetViews>
    <sheetView zoomScaleNormal="100" workbookViewId="0">
      <pane xSplit="3" ySplit="5" topLeftCell="D112" activePane="bottomRight" state="frozen"/>
      <selection pane="topRight" activeCell="C1" sqref="C1"/>
      <selection pane="bottomLeft" activeCell="A6" sqref="A6"/>
      <selection pane="bottomRight" activeCell="F4" sqref="F4:AE4"/>
    </sheetView>
  </sheetViews>
  <sheetFormatPr baseColWidth="10" defaultColWidth="14.44140625" defaultRowHeight="15" customHeight="1" x14ac:dyDescent="0.3"/>
  <cols>
    <col min="1" max="1" width="4" bestFit="1" customWidth="1"/>
    <col min="2" max="2" width="4.109375" customWidth="1"/>
    <col min="3" max="3" width="38.5546875" customWidth="1"/>
    <col min="4" max="4" width="5" hidden="1" customWidth="1"/>
    <col min="5" max="5" width="6.6640625" hidden="1" customWidth="1"/>
    <col min="6" max="31" width="5" customWidth="1"/>
    <col min="32" max="32" width="2" hidden="1" customWidth="1"/>
    <col min="33" max="36" width="3.44140625" hidden="1" customWidth="1"/>
    <col min="37" max="37" width="1.44140625" style="65" hidden="1" customWidth="1"/>
    <col min="38" max="40" width="3" hidden="1" customWidth="1"/>
    <col min="41" max="41" width="2" hidden="1" customWidth="1"/>
    <col min="42" max="42" width="5.21875" bestFit="1" customWidth="1"/>
  </cols>
  <sheetData>
    <row r="2" spans="1:42" ht="36" customHeight="1" x14ac:dyDescent="0.3">
      <c r="C2" s="77" t="s">
        <v>253</v>
      </c>
      <c r="D2" s="2"/>
      <c r="E2" s="2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9"/>
    </row>
    <row r="3" spans="1:42" ht="26.25" customHeight="1" x14ac:dyDescent="0.3">
      <c r="C3" s="74" t="s">
        <v>252</v>
      </c>
      <c r="D3" s="5"/>
      <c r="E3" s="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6"/>
    </row>
    <row r="4" spans="1:42" ht="21" customHeight="1" x14ac:dyDescent="0.3">
      <c r="C4" s="7"/>
      <c r="D4" s="8"/>
      <c r="E4" s="8"/>
      <c r="F4" s="80" t="s">
        <v>2</v>
      </c>
      <c r="G4" s="81"/>
      <c r="H4" s="81"/>
      <c r="I4" s="82"/>
      <c r="J4" s="80" t="s">
        <v>3</v>
      </c>
      <c r="K4" s="81"/>
      <c r="L4" s="82"/>
      <c r="M4" s="80" t="s">
        <v>4</v>
      </c>
      <c r="N4" s="81"/>
      <c r="O4" s="82"/>
      <c r="P4" s="80" t="s">
        <v>5</v>
      </c>
      <c r="Q4" s="81"/>
      <c r="R4" s="82"/>
      <c r="S4" s="83" t="s">
        <v>6</v>
      </c>
      <c r="T4" s="84"/>
      <c r="U4" s="86" t="s">
        <v>7</v>
      </c>
      <c r="V4" s="80" t="s">
        <v>8</v>
      </c>
      <c r="W4" s="81"/>
      <c r="X4" s="82"/>
      <c r="Y4" s="80" t="s">
        <v>9</v>
      </c>
      <c r="Z4" s="82"/>
      <c r="AA4" s="83" t="s">
        <v>10</v>
      </c>
      <c r="AB4" s="85"/>
      <c r="AC4" s="84"/>
      <c r="AD4" s="80" t="s">
        <v>11</v>
      </c>
      <c r="AE4" s="82"/>
    </row>
    <row r="5" spans="1:42" ht="27" customHeight="1" x14ac:dyDescent="0.3">
      <c r="B5" s="12"/>
      <c r="C5" s="13" t="s">
        <v>12</v>
      </c>
      <c r="D5" s="14" t="s">
        <v>13</v>
      </c>
      <c r="E5" s="15" t="s">
        <v>14</v>
      </c>
      <c r="F5" s="15" t="s">
        <v>15</v>
      </c>
      <c r="G5" s="15" t="s">
        <v>16</v>
      </c>
      <c r="H5" s="15" t="s">
        <v>17</v>
      </c>
      <c r="I5" s="15" t="s">
        <v>18</v>
      </c>
      <c r="J5" s="15" t="s">
        <v>15</v>
      </c>
      <c r="K5" s="15" t="s">
        <v>16</v>
      </c>
      <c r="L5" s="15" t="s">
        <v>17</v>
      </c>
      <c r="M5" s="15" t="s">
        <v>15</v>
      </c>
      <c r="N5" s="15" t="s">
        <v>16</v>
      </c>
      <c r="O5" s="15" t="s">
        <v>17</v>
      </c>
      <c r="P5" s="15" t="s">
        <v>15</v>
      </c>
      <c r="Q5" s="15" t="s">
        <v>16</v>
      </c>
      <c r="R5" s="15" t="s">
        <v>17</v>
      </c>
      <c r="S5" s="15" t="s">
        <v>15</v>
      </c>
      <c r="T5" s="15" t="s">
        <v>16</v>
      </c>
      <c r="U5" s="15" t="s">
        <v>15</v>
      </c>
      <c r="V5" s="15" t="s">
        <v>15</v>
      </c>
      <c r="W5" s="15" t="s">
        <v>16</v>
      </c>
      <c r="X5" s="15" t="s">
        <v>17</v>
      </c>
      <c r="Y5" s="15" t="s">
        <v>15</v>
      </c>
      <c r="Z5" s="15" t="s">
        <v>16</v>
      </c>
      <c r="AA5" s="15" t="s">
        <v>15</v>
      </c>
      <c r="AB5" s="15" t="s">
        <v>16</v>
      </c>
      <c r="AC5" s="15" t="s">
        <v>17</v>
      </c>
      <c r="AD5" s="15" t="s">
        <v>15</v>
      </c>
      <c r="AE5" s="15" t="s">
        <v>16</v>
      </c>
      <c r="AG5" s="68">
        <v>4</v>
      </c>
      <c r="AH5" s="68">
        <v>3</v>
      </c>
      <c r="AI5" s="68">
        <v>2</v>
      </c>
      <c r="AJ5" s="68">
        <v>1</v>
      </c>
      <c r="AK5" s="66"/>
      <c r="AL5" s="67" t="s">
        <v>39</v>
      </c>
      <c r="AM5" s="67" t="s">
        <v>20</v>
      </c>
      <c r="AN5" s="67" t="s">
        <v>21</v>
      </c>
      <c r="AO5" s="67" t="s">
        <v>23</v>
      </c>
      <c r="AP5" s="67" t="s">
        <v>251</v>
      </c>
    </row>
    <row r="6" spans="1:42" ht="14.4" hidden="1" x14ac:dyDescent="0.3">
      <c r="A6" s="16"/>
      <c r="B6" s="55">
        <v>17</v>
      </c>
      <c r="C6" s="56" t="s">
        <v>38</v>
      </c>
      <c r="D6" s="55">
        <v>1</v>
      </c>
      <c r="E6" s="55" t="s">
        <v>20</v>
      </c>
      <c r="F6" s="18" t="s">
        <v>20</v>
      </c>
      <c r="G6" s="18" t="s">
        <v>20</v>
      </c>
      <c r="H6" s="18" t="s">
        <v>21</v>
      </c>
      <c r="I6" s="18" t="s">
        <v>20</v>
      </c>
      <c r="J6" s="18" t="s">
        <v>20</v>
      </c>
      <c r="K6" s="18" t="s">
        <v>20</v>
      </c>
      <c r="L6" s="18" t="s">
        <v>20</v>
      </c>
      <c r="M6" s="19" t="s">
        <v>20</v>
      </c>
      <c r="N6" s="19" t="s">
        <v>21</v>
      </c>
      <c r="O6" s="19" t="s">
        <v>20</v>
      </c>
      <c r="P6" s="19" t="s">
        <v>20</v>
      </c>
      <c r="Q6" s="18" t="s">
        <v>20</v>
      </c>
      <c r="R6" s="18" t="s">
        <v>21</v>
      </c>
      <c r="S6" s="19" t="s">
        <v>20</v>
      </c>
      <c r="T6" s="18" t="s">
        <v>20</v>
      </c>
      <c r="U6" s="18" t="s">
        <v>20</v>
      </c>
      <c r="V6" s="18" t="s">
        <v>20</v>
      </c>
      <c r="W6" s="18" t="s">
        <v>20</v>
      </c>
      <c r="X6" s="18" t="s">
        <v>20</v>
      </c>
      <c r="Y6" s="19" t="s">
        <v>20</v>
      </c>
      <c r="Z6" s="19" t="s">
        <v>20</v>
      </c>
      <c r="AA6" s="20" t="s">
        <v>20</v>
      </c>
      <c r="AB6" s="20" t="s">
        <v>39</v>
      </c>
      <c r="AC6" s="20" t="s">
        <v>20</v>
      </c>
      <c r="AD6" s="19" t="s">
        <v>20</v>
      </c>
      <c r="AE6" s="19" t="s">
        <v>21</v>
      </c>
      <c r="AG6">
        <f>+COUNTIF(F6:AE6,"AD")</f>
        <v>1</v>
      </c>
      <c r="AH6">
        <f>+COUNTIF(F6:AE6,"A")</f>
        <v>21</v>
      </c>
      <c r="AI6">
        <f>+COUNTIF(F6:AE6,"b")</f>
        <v>4</v>
      </c>
      <c r="AJ6">
        <f>+COUNTIF(F6:AE6,"c")</f>
        <v>0</v>
      </c>
      <c r="AL6">
        <f>+$AG$5*AG6</f>
        <v>4</v>
      </c>
      <c r="AM6">
        <f>+$AH$5*AH6</f>
        <v>63</v>
      </c>
      <c r="AN6">
        <f>+$AI$5*AI6</f>
        <v>8</v>
      </c>
      <c r="AO6">
        <f>+$AJ$5*AJ6</f>
        <v>0</v>
      </c>
      <c r="AP6">
        <f>+SUM(AL6:AO6)</f>
        <v>75</v>
      </c>
    </row>
    <row r="7" spans="1:42" ht="14.4" hidden="1" x14ac:dyDescent="0.3">
      <c r="A7" s="16"/>
      <c r="B7" s="55">
        <v>3</v>
      </c>
      <c r="C7" s="56" t="s">
        <v>24</v>
      </c>
      <c r="D7" s="55">
        <v>1</v>
      </c>
      <c r="E7" s="55" t="s">
        <v>20</v>
      </c>
      <c r="F7" s="18" t="s">
        <v>20</v>
      </c>
      <c r="G7" s="18" t="s">
        <v>20</v>
      </c>
      <c r="H7" s="18" t="s">
        <v>20</v>
      </c>
      <c r="I7" s="18" t="s">
        <v>20</v>
      </c>
      <c r="J7" s="18" t="s">
        <v>20</v>
      </c>
      <c r="K7" s="18" t="s">
        <v>20</v>
      </c>
      <c r="L7" s="18" t="s">
        <v>20</v>
      </c>
      <c r="M7" s="19" t="s">
        <v>20</v>
      </c>
      <c r="N7" s="19" t="s">
        <v>20</v>
      </c>
      <c r="O7" s="19" t="s">
        <v>20</v>
      </c>
      <c r="P7" s="19" t="s">
        <v>20</v>
      </c>
      <c r="Q7" s="18" t="s">
        <v>20</v>
      </c>
      <c r="R7" s="18" t="s">
        <v>21</v>
      </c>
      <c r="S7" s="19" t="s">
        <v>20</v>
      </c>
      <c r="T7" s="18" t="s">
        <v>20</v>
      </c>
      <c r="U7" s="18" t="s">
        <v>20</v>
      </c>
      <c r="V7" s="18" t="s">
        <v>20</v>
      </c>
      <c r="W7" s="18" t="s">
        <v>20</v>
      </c>
      <c r="X7" s="18" t="s">
        <v>20</v>
      </c>
      <c r="Y7" s="19" t="s">
        <v>20</v>
      </c>
      <c r="Z7" s="19" t="s">
        <v>20</v>
      </c>
      <c r="AA7" s="20" t="s">
        <v>20</v>
      </c>
      <c r="AB7" s="20" t="s">
        <v>21</v>
      </c>
      <c r="AC7" s="20" t="s">
        <v>21</v>
      </c>
      <c r="AD7" s="19" t="s">
        <v>20</v>
      </c>
      <c r="AE7" s="19" t="s">
        <v>21</v>
      </c>
      <c r="AG7">
        <f>+COUNTIF(F7:AE7,"AD")</f>
        <v>0</v>
      </c>
      <c r="AH7">
        <f>+COUNTIF(F7:AE7,"A")</f>
        <v>22</v>
      </c>
      <c r="AI7">
        <f>+COUNTIF(F7:AE7,"b")</f>
        <v>4</v>
      </c>
      <c r="AJ7">
        <f>+COUNTIF(F7:AE7,"c")</f>
        <v>0</v>
      </c>
      <c r="AL7">
        <f>+$AG$5*AG7</f>
        <v>0</v>
      </c>
      <c r="AM7">
        <f>+$AH$5*AH7</f>
        <v>66</v>
      </c>
      <c r="AN7">
        <f>+$AI$5*AI7</f>
        <v>8</v>
      </c>
      <c r="AO7">
        <f>+$AJ$5*AJ7</f>
        <v>0</v>
      </c>
      <c r="AP7">
        <f>+SUM(AL7:AO7)</f>
        <v>74</v>
      </c>
    </row>
    <row r="8" spans="1:42" ht="14.4" hidden="1" x14ac:dyDescent="0.3">
      <c r="A8" s="16"/>
      <c r="B8" s="55">
        <v>7</v>
      </c>
      <c r="C8" s="56" t="s">
        <v>28</v>
      </c>
      <c r="D8" s="55">
        <v>1</v>
      </c>
      <c r="E8" s="55" t="s">
        <v>20</v>
      </c>
      <c r="F8" s="18" t="s">
        <v>20</v>
      </c>
      <c r="G8" s="18" t="s">
        <v>20</v>
      </c>
      <c r="H8" s="18" t="s">
        <v>21</v>
      </c>
      <c r="I8" s="18" t="s">
        <v>20</v>
      </c>
      <c r="J8" s="18" t="s">
        <v>20</v>
      </c>
      <c r="K8" s="18" t="s">
        <v>20</v>
      </c>
      <c r="L8" s="18" t="s">
        <v>20</v>
      </c>
      <c r="M8" s="19" t="s">
        <v>20</v>
      </c>
      <c r="N8" s="19" t="s">
        <v>20</v>
      </c>
      <c r="O8" s="19" t="s">
        <v>20</v>
      </c>
      <c r="P8" s="19" t="s">
        <v>20</v>
      </c>
      <c r="Q8" s="18" t="s">
        <v>20</v>
      </c>
      <c r="R8" s="18" t="s">
        <v>20</v>
      </c>
      <c r="S8" s="19" t="s">
        <v>20</v>
      </c>
      <c r="T8" s="18" t="s">
        <v>20</v>
      </c>
      <c r="U8" s="18" t="s">
        <v>21</v>
      </c>
      <c r="V8" s="18" t="s">
        <v>20</v>
      </c>
      <c r="W8" s="18" t="s">
        <v>20</v>
      </c>
      <c r="X8" s="18" t="s">
        <v>20</v>
      </c>
      <c r="Y8" s="19" t="s">
        <v>20</v>
      </c>
      <c r="Z8" s="19" t="s">
        <v>20</v>
      </c>
      <c r="AA8" s="20" t="s">
        <v>20</v>
      </c>
      <c r="AB8" s="20" t="s">
        <v>21</v>
      </c>
      <c r="AC8" s="20" t="s">
        <v>20</v>
      </c>
      <c r="AD8" s="19" t="s">
        <v>21</v>
      </c>
      <c r="AE8" s="19" t="s">
        <v>21</v>
      </c>
      <c r="AG8">
        <f>+COUNTIF(F8:AE8,"AD")</f>
        <v>0</v>
      </c>
      <c r="AH8">
        <f>+COUNTIF(F8:AE8,"A")</f>
        <v>21</v>
      </c>
      <c r="AI8">
        <f>+COUNTIF(F8:AE8,"b")</f>
        <v>5</v>
      </c>
      <c r="AJ8">
        <f>+COUNTIF(F8:AE8,"c")</f>
        <v>0</v>
      </c>
      <c r="AL8">
        <f>+$AG$5*AG8</f>
        <v>0</v>
      </c>
      <c r="AM8">
        <f>+$AH$5*AH8</f>
        <v>63</v>
      </c>
      <c r="AN8">
        <f>+$AI$5*AI8</f>
        <v>10</v>
      </c>
      <c r="AO8">
        <f>+$AJ$5*AJ8</f>
        <v>0</v>
      </c>
      <c r="AP8">
        <f>+SUM(AL8:AO8)</f>
        <v>73</v>
      </c>
    </row>
    <row r="9" spans="1:42" ht="14.4" hidden="1" x14ac:dyDescent="0.3">
      <c r="A9" s="16"/>
      <c r="B9" s="55">
        <v>16</v>
      </c>
      <c r="C9" s="56" t="s">
        <v>37</v>
      </c>
      <c r="D9" s="55">
        <v>1</v>
      </c>
      <c r="E9" s="55" t="s">
        <v>20</v>
      </c>
      <c r="F9" s="18" t="s">
        <v>21</v>
      </c>
      <c r="G9" s="18" t="s">
        <v>21</v>
      </c>
      <c r="H9" s="18" t="s">
        <v>21</v>
      </c>
      <c r="I9" s="18" t="s">
        <v>21</v>
      </c>
      <c r="J9" s="18" t="s">
        <v>20</v>
      </c>
      <c r="K9" s="18" t="s">
        <v>20</v>
      </c>
      <c r="L9" s="18" t="s">
        <v>20</v>
      </c>
      <c r="M9" s="19" t="s">
        <v>20</v>
      </c>
      <c r="N9" s="19" t="s">
        <v>20</v>
      </c>
      <c r="O9" s="19" t="s">
        <v>20</v>
      </c>
      <c r="P9" s="19" t="s">
        <v>20</v>
      </c>
      <c r="Q9" s="18" t="s">
        <v>20</v>
      </c>
      <c r="R9" s="18" t="s">
        <v>20</v>
      </c>
      <c r="S9" s="19" t="s">
        <v>20</v>
      </c>
      <c r="T9" s="18" t="s">
        <v>20</v>
      </c>
      <c r="U9" s="18" t="s">
        <v>20</v>
      </c>
      <c r="V9" s="18" t="s">
        <v>20</v>
      </c>
      <c r="W9" s="18" t="s">
        <v>20</v>
      </c>
      <c r="X9" s="18" t="s">
        <v>20</v>
      </c>
      <c r="Y9" s="19" t="s">
        <v>20</v>
      </c>
      <c r="Z9" s="19" t="s">
        <v>20</v>
      </c>
      <c r="AA9" s="20" t="s">
        <v>20</v>
      </c>
      <c r="AB9" s="20" t="s">
        <v>21</v>
      </c>
      <c r="AC9" s="20" t="s">
        <v>20</v>
      </c>
      <c r="AD9" s="19" t="s">
        <v>20</v>
      </c>
      <c r="AE9" s="19" t="s">
        <v>21</v>
      </c>
      <c r="AG9">
        <f>+COUNTIF(F9:AE9,"AD")</f>
        <v>0</v>
      </c>
      <c r="AH9">
        <f>+COUNTIF(F9:AE9,"A")</f>
        <v>20</v>
      </c>
      <c r="AI9">
        <f>+COUNTIF(F9:AE9,"b")</f>
        <v>6</v>
      </c>
      <c r="AJ9">
        <f>+COUNTIF(F9:AE9,"c")</f>
        <v>0</v>
      </c>
      <c r="AL9">
        <f>+$AG$5*AG9</f>
        <v>0</v>
      </c>
      <c r="AM9">
        <f>+$AH$5*AH9</f>
        <v>60</v>
      </c>
      <c r="AN9">
        <f>+$AI$5*AI9</f>
        <v>12</v>
      </c>
      <c r="AO9">
        <f>+$AJ$5*AJ9</f>
        <v>0</v>
      </c>
      <c r="AP9">
        <f>+SUM(AL9:AO9)</f>
        <v>72</v>
      </c>
    </row>
    <row r="10" spans="1:42" ht="14.4" hidden="1" x14ac:dyDescent="0.3">
      <c r="A10" s="16"/>
      <c r="B10" s="55">
        <v>1</v>
      </c>
      <c r="C10" s="56" t="s">
        <v>19</v>
      </c>
      <c r="D10" s="55">
        <v>1</v>
      </c>
      <c r="E10" s="55" t="s">
        <v>20</v>
      </c>
      <c r="F10" s="17" t="s">
        <v>20</v>
      </c>
      <c r="G10" s="18" t="s">
        <v>20</v>
      </c>
      <c r="H10" s="18" t="s">
        <v>21</v>
      </c>
      <c r="I10" s="18" t="s">
        <v>20</v>
      </c>
      <c r="J10" s="18" t="s">
        <v>20</v>
      </c>
      <c r="K10" s="18" t="s">
        <v>20</v>
      </c>
      <c r="L10" s="18" t="s">
        <v>20</v>
      </c>
      <c r="M10" s="19" t="s">
        <v>20</v>
      </c>
      <c r="N10" s="19" t="s">
        <v>20</v>
      </c>
      <c r="O10" s="19" t="s">
        <v>20</v>
      </c>
      <c r="P10" s="19" t="s">
        <v>20</v>
      </c>
      <c r="Q10" s="18" t="s">
        <v>21</v>
      </c>
      <c r="R10" s="18" t="s">
        <v>21</v>
      </c>
      <c r="S10" s="19" t="s">
        <v>20</v>
      </c>
      <c r="T10" s="18" t="s">
        <v>20</v>
      </c>
      <c r="U10" s="18" t="s">
        <v>20</v>
      </c>
      <c r="V10" s="18" t="s">
        <v>20</v>
      </c>
      <c r="W10" s="18" t="s">
        <v>20</v>
      </c>
      <c r="X10" s="18" t="s">
        <v>20</v>
      </c>
      <c r="Y10" s="19" t="s">
        <v>21</v>
      </c>
      <c r="Z10" s="19" t="s">
        <v>20</v>
      </c>
      <c r="AA10" s="20" t="s">
        <v>21</v>
      </c>
      <c r="AB10" s="20" t="s">
        <v>21</v>
      </c>
      <c r="AC10" s="20" t="s">
        <v>20</v>
      </c>
      <c r="AD10" s="19" t="s">
        <v>20</v>
      </c>
      <c r="AE10" s="19" t="s">
        <v>21</v>
      </c>
      <c r="AG10">
        <f>+COUNTIF(F10:AE10,"AD")</f>
        <v>0</v>
      </c>
      <c r="AH10">
        <f>+COUNTIF(F10:AE10,"A")</f>
        <v>19</v>
      </c>
      <c r="AI10">
        <f>+COUNTIF(F10:AE10,"b")</f>
        <v>7</v>
      </c>
      <c r="AJ10">
        <f>+COUNTIF(F10:AE10,"c")</f>
        <v>0</v>
      </c>
      <c r="AL10">
        <f>+$AG$5*AG10</f>
        <v>0</v>
      </c>
      <c r="AM10">
        <f>+$AH$5*AH10</f>
        <v>57</v>
      </c>
      <c r="AN10">
        <f>+$AI$5*AI10</f>
        <v>14</v>
      </c>
      <c r="AO10">
        <f>+$AJ$5*AJ10</f>
        <v>0</v>
      </c>
      <c r="AP10">
        <f>+SUM(AL10:AO10)</f>
        <v>71</v>
      </c>
    </row>
    <row r="11" spans="1:42" ht="14.4" hidden="1" x14ac:dyDescent="0.3">
      <c r="A11" s="16"/>
      <c r="B11" s="55">
        <v>6</v>
      </c>
      <c r="C11" s="56" t="s">
        <v>27</v>
      </c>
      <c r="D11" s="55">
        <v>1</v>
      </c>
      <c r="E11" s="55" t="s">
        <v>20</v>
      </c>
      <c r="F11" s="18" t="s">
        <v>20</v>
      </c>
      <c r="G11" s="18" t="s">
        <v>20</v>
      </c>
      <c r="H11" s="18" t="s">
        <v>20</v>
      </c>
      <c r="I11" s="18" t="s">
        <v>20</v>
      </c>
      <c r="J11" s="18" t="s">
        <v>20</v>
      </c>
      <c r="K11" s="18" t="s">
        <v>20</v>
      </c>
      <c r="L11" s="18" t="s">
        <v>20</v>
      </c>
      <c r="M11" s="19" t="s">
        <v>20</v>
      </c>
      <c r="N11" s="19" t="s">
        <v>20</v>
      </c>
      <c r="O11" s="19" t="s">
        <v>20</v>
      </c>
      <c r="P11" s="19" t="s">
        <v>20</v>
      </c>
      <c r="Q11" s="18" t="s">
        <v>21</v>
      </c>
      <c r="R11" s="18" t="s">
        <v>21</v>
      </c>
      <c r="S11" s="19" t="s">
        <v>20</v>
      </c>
      <c r="T11" s="18" t="s">
        <v>21</v>
      </c>
      <c r="U11" s="18" t="s">
        <v>21</v>
      </c>
      <c r="V11" s="18" t="s">
        <v>21</v>
      </c>
      <c r="W11" s="18" t="s">
        <v>20</v>
      </c>
      <c r="X11" s="18" t="s">
        <v>20</v>
      </c>
      <c r="Y11" s="19" t="s">
        <v>20</v>
      </c>
      <c r="Z11" s="19" t="s">
        <v>21</v>
      </c>
      <c r="AA11" s="20" t="s">
        <v>21</v>
      </c>
      <c r="AB11" s="20" t="s">
        <v>21</v>
      </c>
      <c r="AC11" s="20" t="s">
        <v>21</v>
      </c>
      <c r="AD11" s="19" t="s">
        <v>21</v>
      </c>
      <c r="AE11" s="19" t="s">
        <v>21</v>
      </c>
      <c r="AG11">
        <f>+COUNTIF(F11:AE11,"AD")</f>
        <v>0</v>
      </c>
      <c r="AH11">
        <f>+COUNTIF(F11:AE11,"A")</f>
        <v>15</v>
      </c>
      <c r="AI11">
        <f>+COUNTIF(F11:AE11,"b")</f>
        <v>11</v>
      </c>
      <c r="AJ11">
        <f>+COUNTIF(F11:AE11,"c")</f>
        <v>0</v>
      </c>
      <c r="AL11">
        <f>+$AG$5*AG11</f>
        <v>0</v>
      </c>
      <c r="AM11">
        <f>+$AH$5*AH11</f>
        <v>45</v>
      </c>
      <c r="AN11">
        <f>+$AI$5*AI11</f>
        <v>22</v>
      </c>
      <c r="AO11">
        <f>+$AJ$5*AJ11</f>
        <v>0</v>
      </c>
      <c r="AP11">
        <f>+SUM(AL11:AO11)</f>
        <v>67</v>
      </c>
    </row>
    <row r="12" spans="1:42" ht="14.4" hidden="1" x14ac:dyDescent="0.3">
      <c r="A12" s="16"/>
      <c r="B12" s="55">
        <v>4</v>
      </c>
      <c r="C12" s="56" t="s">
        <v>25</v>
      </c>
      <c r="D12" s="55">
        <v>1</v>
      </c>
      <c r="E12" s="55" t="s">
        <v>20</v>
      </c>
      <c r="F12" s="18" t="s">
        <v>20</v>
      </c>
      <c r="G12" s="18" t="s">
        <v>21</v>
      </c>
      <c r="H12" s="18" t="s">
        <v>21</v>
      </c>
      <c r="I12" s="18" t="s">
        <v>21</v>
      </c>
      <c r="J12" s="18" t="s">
        <v>20</v>
      </c>
      <c r="K12" s="18" t="s">
        <v>20</v>
      </c>
      <c r="L12" s="18" t="s">
        <v>20</v>
      </c>
      <c r="M12" s="19" t="s">
        <v>21</v>
      </c>
      <c r="N12" s="19" t="s">
        <v>21</v>
      </c>
      <c r="O12" s="19" t="s">
        <v>20</v>
      </c>
      <c r="P12" s="19" t="s">
        <v>20</v>
      </c>
      <c r="Q12" s="18" t="s">
        <v>20</v>
      </c>
      <c r="R12" s="18" t="s">
        <v>21</v>
      </c>
      <c r="S12" s="19" t="s">
        <v>20</v>
      </c>
      <c r="T12" s="18" t="s">
        <v>21</v>
      </c>
      <c r="U12" s="18" t="s">
        <v>20</v>
      </c>
      <c r="V12" s="18" t="s">
        <v>21</v>
      </c>
      <c r="W12" s="18" t="s">
        <v>20</v>
      </c>
      <c r="X12" s="18" t="s">
        <v>20</v>
      </c>
      <c r="Y12" s="19" t="s">
        <v>21</v>
      </c>
      <c r="Z12" s="19" t="s">
        <v>20</v>
      </c>
      <c r="AA12" s="20" t="s">
        <v>21</v>
      </c>
      <c r="AB12" s="20" t="s">
        <v>21</v>
      </c>
      <c r="AC12" s="20" t="s">
        <v>21</v>
      </c>
      <c r="AD12" s="19" t="s">
        <v>20</v>
      </c>
      <c r="AE12" s="19" t="s">
        <v>21</v>
      </c>
      <c r="AG12">
        <f>+COUNTIF(F12:AE12,"AD")</f>
        <v>0</v>
      </c>
      <c r="AH12">
        <f>+COUNTIF(F12:AE12,"A")</f>
        <v>13</v>
      </c>
      <c r="AI12">
        <f>+COUNTIF(F12:AE12,"b")</f>
        <v>13</v>
      </c>
      <c r="AJ12">
        <f>+COUNTIF(F12:AE12,"c")</f>
        <v>0</v>
      </c>
      <c r="AL12">
        <f>+$AG$5*AG12</f>
        <v>0</v>
      </c>
      <c r="AM12">
        <f>+$AH$5*AH12</f>
        <v>39</v>
      </c>
      <c r="AN12">
        <f>+$AI$5*AI12</f>
        <v>26</v>
      </c>
      <c r="AO12">
        <f>+$AJ$5*AJ12</f>
        <v>0</v>
      </c>
      <c r="AP12">
        <f>+SUM(AL12:AO12)</f>
        <v>65</v>
      </c>
    </row>
    <row r="13" spans="1:42" ht="14.4" hidden="1" x14ac:dyDescent="0.3">
      <c r="A13" s="16"/>
      <c r="B13" s="55">
        <v>5</v>
      </c>
      <c r="C13" s="56" t="s">
        <v>26</v>
      </c>
      <c r="D13" s="55">
        <v>1</v>
      </c>
      <c r="E13" s="55" t="s">
        <v>20</v>
      </c>
      <c r="F13" s="18" t="s">
        <v>21</v>
      </c>
      <c r="G13" s="18" t="s">
        <v>21</v>
      </c>
      <c r="H13" s="18" t="s">
        <v>21</v>
      </c>
      <c r="I13" s="18" t="s">
        <v>21</v>
      </c>
      <c r="J13" s="18" t="s">
        <v>20</v>
      </c>
      <c r="K13" s="18" t="s">
        <v>20</v>
      </c>
      <c r="L13" s="18" t="s">
        <v>20</v>
      </c>
      <c r="M13" s="19" t="s">
        <v>20</v>
      </c>
      <c r="N13" s="19" t="s">
        <v>21</v>
      </c>
      <c r="O13" s="19" t="s">
        <v>20</v>
      </c>
      <c r="P13" s="19" t="s">
        <v>21</v>
      </c>
      <c r="Q13" s="18" t="s">
        <v>21</v>
      </c>
      <c r="R13" s="18" t="s">
        <v>21</v>
      </c>
      <c r="S13" s="19" t="s">
        <v>20</v>
      </c>
      <c r="T13" s="18" t="s">
        <v>21</v>
      </c>
      <c r="U13" s="18" t="s">
        <v>21</v>
      </c>
      <c r="V13" s="18" t="s">
        <v>20</v>
      </c>
      <c r="W13" s="18" t="s">
        <v>21</v>
      </c>
      <c r="X13" s="18" t="s">
        <v>20</v>
      </c>
      <c r="Y13" s="19" t="s">
        <v>21</v>
      </c>
      <c r="Z13" s="19" t="s">
        <v>20</v>
      </c>
      <c r="AA13" s="20" t="s">
        <v>21</v>
      </c>
      <c r="AB13" s="20" t="s">
        <v>21</v>
      </c>
      <c r="AC13" s="20" t="s">
        <v>23</v>
      </c>
      <c r="AD13" s="19" t="s">
        <v>21</v>
      </c>
      <c r="AE13" s="19" t="s">
        <v>21</v>
      </c>
      <c r="AG13">
        <f>+COUNTIF(F13:AE13,"AD")</f>
        <v>0</v>
      </c>
      <c r="AH13">
        <f>+COUNTIF(F13:AE13,"A")</f>
        <v>9</v>
      </c>
      <c r="AI13">
        <f>+COUNTIF(F13:AE13,"b")</f>
        <v>16</v>
      </c>
      <c r="AJ13">
        <f>+COUNTIF(F13:AE13,"c")</f>
        <v>1</v>
      </c>
      <c r="AL13">
        <f>+$AG$5*AG13</f>
        <v>0</v>
      </c>
      <c r="AM13">
        <f>+$AH$5*AH13</f>
        <v>27</v>
      </c>
      <c r="AN13">
        <f>+$AI$5*AI13</f>
        <v>32</v>
      </c>
      <c r="AO13">
        <f>+$AJ$5*AJ13</f>
        <v>1</v>
      </c>
      <c r="AP13">
        <f>+SUM(AL13:AO13)</f>
        <v>60</v>
      </c>
    </row>
    <row r="14" spans="1:42" ht="14.4" hidden="1" x14ac:dyDescent="0.3">
      <c r="A14" s="16"/>
      <c r="B14" s="55">
        <v>9</v>
      </c>
      <c r="C14" s="56" t="s">
        <v>30</v>
      </c>
      <c r="D14" s="55">
        <v>1</v>
      </c>
      <c r="E14" s="55" t="s">
        <v>20</v>
      </c>
      <c r="F14" s="18" t="s">
        <v>21</v>
      </c>
      <c r="G14" s="18" t="s">
        <v>21</v>
      </c>
      <c r="H14" s="18" t="s">
        <v>23</v>
      </c>
      <c r="I14" s="18" t="s">
        <v>21</v>
      </c>
      <c r="J14" s="18" t="s">
        <v>20</v>
      </c>
      <c r="K14" s="18" t="s">
        <v>20</v>
      </c>
      <c r="L14" s="18" t="s">
        <v>20</v>
      </c>
      <c r="M14" s="19" t="s">
        <v>20</v>
      </c>
      <c r="N14" s="19" t="s">
        <v>21</v>
      </c>
      <c r="O14" s="19" t="s">
        <v>20</v>
      </c>
      <c r="P14" s="19" t="s">
        <v>21</v>
      </c>
      <c r="Q14" s="18" t="s">
        <v>21</v>
      </c>
      <c r="R14" s="18" t="s">
        <v>21</v>
      </c>
      <c r="S14" s="19" t="s">
        <v>21</v>
      </c>
      <c r="T14" s="18" t="s">
        <v>20</v>
      </c>
      <c r="U14" s="18" t="s">
        <v>21</v>
      </c>
      <c r="V14" s="18" t="s">
        <v>21</v>
      </c>
      <c r="W14" s="18" t="s">
        <v>20</v>
      </c>
      <c r="X14" s="18" t="s">
        <v>20</v>
      </c>
      <c r="Y14" s="19" t="s">
        <v>21</v>
      </c>
      <c r="Z14" s="19" t="s">
        <v>20</v>
      </c>
      <c r="AA14" s="20" t="s">
        <v>21</v>
      </c>
      <c r="AB14" s="20" t="s">
        <v>21</v>
      </c>
      <c r="AC14" s="20" t="s">
        <v>23</v>
      </c>
      <c r="AD14" s="19" t="s">
        <v>20</v>
      </c>
      <c r="AE14" s="19" t="s">
        <v>21</v>
      </c>
      <c r="AG14">
        <f>+COUNTIF(F14:AE14,"AD")</f>
        <v>0</v>
      </c>
      <c r="AH14">
        <f>+COUNTIF(F14:AE14,"A")</f>
        <v>10</v>
      </c>
      <c r="AI14">
        <f>+COUNTIF(F14:AE14,"b")</f>
        <v>14</v>
      </c>
      <c r="AJ14">
        <f>+COUNTIF(F14:AE14,"c")</f>
        <v>2</v>
      </c>
      <c r="AL14">
        <f>+$AG$5*AG14</f>
        <v>0</v>
      </c>
      <c r="AM14">
        <f>+$AH$5*AH14</f>
        <v>30</v>
      </c>
      <c r="AN14">
        <f>+$AI$5*AI14</f>
        <v>28</v>
      </c>
      <c r="AO14">
        <f>+$AJ$5*AJ14</f>
        <v>2</v>
      </c>
      <c r="AP14">
        <f>+SUM(AL14:AO14)</f>
        <v>60</v>
      </c>
    </row>
    <row r="15" spans="1:42" ht="14.4" hidden="1" x14ac:dyDescent="0.3">
      <c r="A15" s="16"/>
      <c r="B15" s="55">
        <v>11</v>
      </c>
      <c r="C15" s="56" t="s">
        <v>32</v>
      </c>
      <c r="D15" s="55">
        <v>1</v>
      </c>
      <c r="E15" s="55" t="s">
        <v>20</v>
      </c>
      <c r="F15" s="18" t="s">
        <v>21</v>
      </c>
      <c r="G15" s="18" t="s">
        <v>21</v>
      </c>
      <c r="H15" s="18" t="s">
        <v>21</v>
      </c>
      <c r="I15" s="18" t="s">
        <v>21</v>
      </c>
      <c r="J15" s="18" t="s">
        <v>20</v>
      </c>
      <c r="K15" s="18" t="s">
        <v>20</v>
      </c>
      <c r="L15" s="18" t="s">
        <v>20</v>
      </c>
      <c r="M15" s="19" t="s">
        <v>21</v>
      </c>
      <c r="N15" s="19" t="s">
        <v>21</v>
      </c>
      <c r="O15" s="19" t="s">
        <v>20</v>
      </c>
      <c r="P15" s="19" t="s">
        <v>21</v>
      </c>
      <c r="Q15" s="18" t="s">
        <v>21</v>
      </c>
      <c r="R15" s="18" t="s">
        <v>23</v>
      </c>
      <c r="S15" s="19" t="s">
        <v>21</v>
      </c>
      <c r="T15" s="18" t="s">
        <v>20</v>
      </c>
      <c r="U15" s="18" t="s">
        <v>21</v>
      </c>
      <c r="V15" s="18" t="s">
        <v>20</v>
      </c>
      <c r="W15" s="18" t="s">
        <v>21</v>
      </c>
      <c r="X15" s="18" t="s">
        <v>20</v>
      </c>
      <c r="Y15" s="19" t="s">
        <v>20</v>
      </c>
      <c r="Z15" s="19" t="s">
        <v>20</v>
      </c>
      <c r="AA15" s="20" t="s">
        <v>21</v>
      </c>
      <c r="AB15" s="20" t="s">
        <v>21</v>
      </c>
      <c r="AC15" s="20" t="s">
        <v>23</v>
      </c>
      <c r="AD15" s="19" t="s">
        <v>21</v>
      </c>
      <c r="AE15" s="19" t="s">
        <v>21</v>
      </c>
      <c r="AG15">
        <f>+COUNTIF(F15:AE15,"AD")</f>
        <v>0</v>
      </c>
      <c r="AH15">
        <f>+COUNTIF(F15:AE15,"A")</f>
        <v>9</v>
      </c>
      <c r="AI15">
        <f>+COUNTIF(F15:AE15,"b")</f>
        <v>15</v>
      </c>
      <c r="AJ15">
        <f>+COUNTIF(F15:AE15,"c")</f>
        <v>2</v>
      </c>
      <c r="AL15">
        <f>+$AG$5*AG15</f>
        <v>0</v>
      </c>
      <c r="AM15">
        <f>+$AH$5*AH15</f>
        <v>27</v>
      </c>
      <c r="AN15">
        <f>+$AI$5*AI15</f>
        <v>30</v>
      </c>
      <c r="AO15">
        <f>+$AJ$5*AJ15</f>
        <v>2</v>
      </c>
      <c r="AP15">
        <f>+SUM(AL15:AO15)</f>
        <v>59</v>
      </c>
    </row>
    <row r="16" spans="1:42" ht="14.4" hidden="1" x14ac:dyDescent="0.3">
      <c r="A16" s="16"/>
      <c r="B16" s="55">
        <v>15</v>
      </c>
      <c r="C16" s="56" t="s">
        <v>36</v>
      </c>
      <c r="D16" s="55">
        <v>1</v>
      </c>
      <c r="E16" s="55" t="s">
        <v>20</v>
      </c>
      <c r="F16" s="18" t="s">
        <v>21</v>
      </c>
      <c r="G16" s="18" t="s">
        <v>21</v>
      </c>
      <c r="H16" s="18" t="s">
        <v>21</v>
      </c>
      <c r="I16" s="18" t="s">
        <v>21</v>
      </c>
      <c r="J16" s="18" t="s">
        <v>21</v>
      </c>
      <c r="K16" s="18" t="s">
        <v>21</v>
      </c>
      <c r="L16" s="18" t="s">
        <v>21</v>
      </c>
      <c r="M16" s="19" t="s">
        <v>20</v>
      </c>
      <c r="N16" s="19" t="s">
        <v>21</v>
      </c>
      <c r="O16" s="19" t="s">
        <v>20</v>
      </c>
      <c r="P16" s="19" t="s">
        <v>21</v>
      </c>
      <c r="Q16" s="18" t="s">
        <v>21</v>
      </c>
      <c r="R16" s="18" t="s">
        <v>21</v>
      </c>
      <c r="S16" s="19" t="s">
        <v>20</v>
      </c>
      <c r="T16" s="18" t="s">
        <v>21</v>
      </c>
      <c r="U16" s="18" t="s">
        <v>21</v>
      </c>
      <c r="V16" s="18" t="s">
        <v>21</v>
      </c>
      <c r="W16" s="18" t="s">
        <v>20</v>
      </c>
      <c r="X16" s="18" t="s">
        <v>20</v>
      </c>
      <c r="Y16" s="19" t="s">
        <v>20</v>
      </c>
      <c r="Z16" s="19" t="s">
        <v>20</v>
      </c>
      <c r="AA16" s="20" t="s">
        <v>21</v>
      </c>
      <c r="AB16" s="20" t="s">
        <v>21</v>
      </c>
      <c r="AC16" s="20" t="s">
        <v>23</v>
      </c>
      <c r="AD16" s="19" t="s">
        <v>20</v>
      </c>
      <c r="AE16" s="19" t="s">
        <v>21</v>
      </c>
      <c r="AG16">
        <f>+COUNTIF(F16:AE16,"AD")</f>
        <v>0</v>
      </c>
      <c r="AH16">
        <f>+COUNTIF(F16:AE16,"A")</f>
        <v>8</v>
      </c>
      <c r="AI16">
        <f>+COUNTIF(F16:AE16,"b")</f>
        <v>17</v>
      </c>
      <c r="AJ16">
        <f>+COUNTIF(F16:AE16,"c")</f>
        <v>1</v>
      </c>
      <c r="AL16">
        <f>+$AG$5*AG16</f>
        <v>0</v>
      </c>
      <c r="AM16">
        <f>+$AH$5*AH16</f>
        <v>24</v>
      </c>
      <c r="AN16">
        <f>+$AI$5*AI16</f>
        <v>34</v>
      </c>
      <c r="AO16">
        <f>+$AJ$5*AJ16</f>
        <v>1</v>
      </c>
      <c r="AP16">
        <f>+SUM(AL16:AO16)</f>
        <v>59</v>
      </c>
    </row>
    <row r="17" spans="1:42" ht="14.4" hidden="1" x14ac:dyDescent="0.3">
      <c r="A17" s="16"/>
      <c r="B17" s="55">
        <v>10</v>
      </c>
      <c r="C17" s="56" t="s">
        <v>31</v>
      </c>
      <c r="D17" s="55">
        <v>1</v>
      </c>
      <c r="E17" s="55" t="s">
        <v>20</v>
      </c>
      <c r="F17" s="18" t="s">
        <v>21</v>
      </c>
      <c r="G17" s="18" t="s">
        <v>21</v>
      </c>
      <c r="H17" s="18" t="s">
        <v>21</v>
      </c>
      <c r="I17" s="18" t="s">
        <v>21</v>
      </c>
      <c r="J17" s="18" t="s">
        <v>21</v>
      </c>
      <c r="K17" s="18" t="s">
        <v>21</v>
      </c>
      <c r="L17" s="18" t="s">
        <v>21</v>
      </c>
      <c r="M17" s="19" t="s">
        <v>21</v>
      </c>
      <c r="N17" s="19" t="s">
        <v>21</v>
      </c>
      <c r="O17" s="19" t="s">
        <v>20</v>
      </c>
      <c r="P17" s="19" t="s">
        <v>21</v>
      </c>
      <c r="Q17" s="18" t="s">
        <v>21</v>
      </c>
      <c r="R17" s="18" t="s">
        <v>21</v>
      </c>
      <c r="S17" s="19" t="s">
        <v>20</v>
      </c>
      <c r="T17" s="18" t="s">
        <v>21</v>
      </c>
      <c r="U17" s="18" t="s">
        <v>21</v>
      </c>
      <c r="V17" s="18" t="s">
        <v>20</v>
      </c>
      <c r="W17" s="18" t="s">
        <v>20</v>
      </c>
      <c r="X17" s="18" t="s">
        <v>20</v>
      </c>
      <c r="Y17" s="19" t="s">
        <v>21</v>
      </c>
      <c r="Z17" s="19" t="s">
        <v>20</v>
      </c>
      <c r="AA17" s="20" t="s">
        <v>21</v>
      </c>
      <c r="AB17" s="20" t="s">
        <v>21</v>
      </c>
      <c r="AC17" s="20" t="s">
        <v>23</v>
      </c>
      <c r="AD17" s="19" t="s">
        <v>21</v>
      </c>
      <c r="AE17" s="19" t="s">
        <v>21</v>
      </c>
      <c r="AG17">
        <f>+COUNTIF(F17:AE17,"AD")</f>
        <v>0</v>
      </c>
      <c r="AH17">
        <f>+COUNTIF(F17:AE17,"A")</f>
        <v>6</v>
      </c>
      <c r="AI17">
        <f>+COUNTIF(F17:AE17,"b")</f>
        <v>19</v>
      </c>
      <c r="AJ17">
        <f>+COUNTIF(F17:AE17,"c")</f>
        <v>1</v>
      </c>
      <c r="AL17">
        <f>+$AG$5*AG17</f>
        <v>0</v>
      </c>
      <c r="AM17">
        <f>+$AH$5*AH17</f>
        <v>18</v>
      </c>
      <c r="AN17">
        <f>+$AI$5*AI17</f>
        <v>38</v>
      </c>
      <c r="AO17">
        <f>+$AJ$5*AJ17</f>
        <v>1</v>
      </c>
      <c r="AP17">
        <f>+SUM(AL17:AO17)</f>
        <v>57</v>
      </c>
    </row>
    <row r="18" spans="1:42" ht="14.4" hidden="1" x14ac:dyDescent="0.3">
      <c r="A18" s="16"/>
      <c r="B18" s="55">
        <v>18</v>
      </c>
      <c r="C18" s="56" t="s">
        <v>40</v>
      </c>
      <c r="D18" s="55">
        <v>1</v>
      </c>
      <c r="E18" s="55" t="s">
        <v>20</v>
      </c>
      <c r="F18" s="18" t="s">
        <v>21</v>
      </c>
      <c r="G18" s="18" t="s">
        <v>21</v>
      </c>
      <c r="H18" s="18" t="s">
        <v>21</v>
      </c>
      <c r="I18" s="18" t="s">
        <v>21</v>
      </c>
      <c r="J18" s="18" t="s">
        <v>21</v>
      </c>
      <c r="K18" s="18" t="s">
        <v>21</v>
      </c>
      <c r="L18" s="18" t="s">
        <v>21</v>
      </c>
      <c r="M18" s="19" t="s">
        <v>21</v>
      </c>
      <c r="N18" s="19" t="s">
        <v>21</v>
      </c>
      <c r="O18" s="19" t="s">
        <v>20</v>
      </c>
      <c r="P18" s="19" t="s">
        <v>21</v>
      </c>
      <c r="Q18" s="18" t="s">
        <v>21</v>
      </c>
      <c r="R18" s="18" t="s">
        <v>21</v>
      </c>
      <c r="S18" s="19" t="s">
        <v>23</v>
      </c>
      <c r="T18" s="18" t="s">
        <v>23</v>
      </c>
      <c r="U18" s="18" t="s">
        <v>20</v>
      </c>
      <c r="V18" s="18" t="s">
        <v>21</v>
      </c>
      <c r="W18" s="18" t="s">
        <v>20</v>
      </c>
      <c r="X18" s="18" t="s">
        <v>20</v>
      </c>
      <c r="Y18" s="19" t="s">
        <v>20</v>
      </c>
      <c r="Z18" s="19" t="s">
        <v>20</v>
      </c>
      <c r="AA18" s="20" t="s">
        <v>21</v>
      </c>
      <c r="AB18" s="20" t="s">
        <v>21</v>
      </c>
      <c r="AC18" s="20" t="s">
        <v>23</v>
      </c>
      <c r="AD18" s="19" t="s">
        <v>21</v>
      </c>
      <c r="AE18" s="19" t="s">
        <v>21</v>
      </c>
      <c r="AG18">
        <f>+COUNTIF(F18:AE18,"AD")</f>
        <v>0</v>
      </c>
      <c r="AH18">
        <f>+COUNTIF(F18:AE18,"A")</f>
        <v>6</v>
      </c>
      <c r="AI18">
        <f>+COUNTIF(F18:AE18,"b")</f>
        <v>17</v>
      </c>
      <c r="AJ18">
        <f>+COUNTIF(F18:AE18,"c")</f>
        <v>3</v>
      </c>
      <c r="AL18">
        <f>+$AG$5*AG18</f>
        <v>0</v>
      </c>
      <c r="AM18">
        <f>+$AH$5*AH18</f>
        <v>18</v>
      </c>
      <c r="AN18">
        <f>+$AI$5*AI18</f>
        <v>34</v>
      </c>
      <c r="AO18">
        <f>+$AJ$5*AJ18</f>
        <v>3</v>
      </c>
      <c r="AP18">
        <f>+SUM(AL18:AO18)</f>
        <v>55</v>
      </c>
    </row>
    <row r="19" spans="1:42" ht="14.4" hidden="1" x14ac:dyDescent="0.3">
      <c r="A19" s="16"/>
      <c r="B19" s="55">
        <v>13</v>
      </c>
      <c r="C19" s="56" t="s">
        <v>34</v>
      </c>
      <c r="D19" s="55">
        <v>1</v>
      </c>
      <c r="E19" s="55" t="s">
        <v>20</v>
      </c>
      <c r="F19" s="18" t="s">
        <v>21</v>
      </c>
      <c r="G19" s="18" t="s">
        <v>21</v>
      </c>
      <c r="H19" s="18" t="s">
        <v>23</v>
      </c>
      <c r="I19" s="18" t="s">
        <v>21</v>
      </c>
      <c r="J19" s="18" t="s">
        <v>21</v>
      </c>
      <c r="K19" s="18" t="s">
        <v>21</v>
      </c>
      <c r="L19" s="18" t="s">
        <v>21</v>
      </c>
      <c r="M19" s="19" t="s">
        <v>21</v>
      </c>
      <c r="N19" s="19" t="s">
        <v>21</v>
      </c>
      <c r="O19" s="19" t="s">
        <v>21</v>
      </c>
      <c r="P19" s="19" t="s">
        <v>21</v>
      </c>
      <c r="Q19" s="18" t="s">
        <v>21</v>
      </c>
      <c r="R19" s="18" t="s">
        <v>21</v>
      </c>
      <c r="S19" s="19" t="s">
        <v>23</v>
      </c>
      <c r="T19" s="18" t="s">
        <v>23</v>
      </c>
      <c r="U19" s="18" t="s">
        <v>21</v>
      </c>
      <c r="V19" s="18" t="s">
        <v>21</v>
      </c>
      <c r="W19" s="18" t="s">
        <v>21</v>
      </c>
      <c r="X19" s="18" t="s">
        <v>20</v>
      </c>
      <c r="Y19" s="19" t="s">
        <v>20</v>
      </c>
      <c r="Z19" s="19" t="s">
        <v>20</v>
      </c>
      <c r="AA19" s="20" t="s">
        <v>21</v>
      </c>
      <c r="AB19" s="20" t="s">
        <v>21</v>
      </c>
      <c r="AC19" s="20" t="s">
        <v>23</v>
      </c>
      <c r="AD19" s="19" t="s">
        <v>21</v>
      </c>
      <c r="AE19" s="19" t="s">
        <v>21</v>
      </c>
      <c r="AG19">
        <f>+COUNTIF(F19:AE19,"AD")</f>
        <v>0</v>
      </c>
      <c r="AH19">
        <f>+COUNTIF(F19:AE19,"A")</f>
        <v>3</v>
      </c>
      <c r="AI19">
        <f>+COUNTIF(F19:AE19,"b")</f>
        <v>19</v>
      </c>
      <c r="AJ19">
        <f>+COUNTIF(F19:AE19,"c")</f>
        <v>4</v>
      </c>
      <c r="AL19">
        <f>+$AG$5*AG19</f>
        <v>0</v>
      </c>
      <c r="AM19">
        <f>+$AH$5*AH19</f>
        <v>9</v>
      </c>
      <c r="AN19">
        <f>+$AI$5*AI19</f>
        <v>38</v>
      </c>
      <c r="AO19">
        <f>+$AJ$5*AJ19</f>
        <v>4</v>
      </c>
      <c r="AP19">
        <f>+SUM(AL19:AO19)</f>
        <v>51</v>
      </c>
    </row>
    <row r="20" spans="1:42" ht="14.4" hidden="1" x14ac:dyDescent="0.3">
      <c r="A20" s="16"/>
      <c r="B20" s="55">
        <v>14</v>
      </c>
      <c r="C20" s="56" t="s">
        <v>35</v>
      </c>
      <c r="D20" s="55">
        <v>1</v>
      </c>
      <c r="E20" s="55" t="s">
        <v>20</v>
      </c>
      <c r="F20" s="18" t="s">
        <v>21</v>
      </c>
      <c r="G20" s="18" t="s">
        <v>23</v>
      </c>
      <c r="H20" s="18" t="s">
        <v>21</v>
      </c>
      <c r="I20" s="18" t="s">
        <v>21</v>
      </c>
      <c r="J20" s="18" t="s">
        <v>21</v>
      </c>
      <c r="K20" s="18" t="s">
        <v>21</v>
      </c>
      <c r="L20" s="18" t="s">
        <v>21</v>
      </c>
      <c r="M20" s="19" t="s">
        <v>21</v>
      </c>
      <c r="N20" s="19" t="s">
        <v>21</v>
      </c>
      <c r="O20" s="19" t="s">
        <v>21</v>
      </c>
      <c r="P20" s="19" t="s">
        <v>21</v>
      </c>
      <c r="Q20" s="18" t="s">
        <v>21</v>
      </c>
      <c r="R20" s="18" t="s">
        <v>21</v>
      </c>
      <c r="S20" s="19" t="s">
        <v>23</v>
      </c>
      <c r="T20" s="18" t="s">
        <v>23</v>
      </c>
      <c r="U20" s="18" t="s">
        <v>21</v>
      </c>
      <c r="V20" s="18" t="s">
        <v>20</v>
      </c>
      <c r="W20" s="18" t="s">
        <v>21</v>
      </c>
      <c r="X20" s="18" t="s">
        <v>20</v>
      </c>
      <c r="Y20" s="19" t="s">
        <v>21</v>
      </c>
      <c r="Z20" s="19" t="s">
        <v>20</v>
      </c>
      <c r="AA20" s="20" t="s">
        <v>21</v>
      </c>
      <c r="AB20" s="20" t="s">
        <v>23</v>
      </c>
      <c r="AC20" s="20" t="s">
        <v>23</v>
      </c>
      <c r="AD20" s="19" t="s">
        <v>21</v>
      </c>
      <c r="AE20" s="19" t="s">
        <v>21</v>
      </c>
      <c r="AG20">
        <f>+COUNTIF(F20:AE20,"AD")</f>
        <v>0</v>
      </c>
      <c r="AH20">
        <f>+COUNTIF(F20:AE20,"A")</f>
        <v>3</v>
      </c>
      <c r="AI20">
        <f>+COUNTIF(F20:AE20,"b")</f>
        <v>18</v>
      </c>
      <c r="AJ20">
        <f>+COUNTIF(F20:AE20,"c")</f>
        <v>5</v>
      </c>
      <c r="AL20">
        <f>+$AG$5*AG20</f>
        <v>0</v>
      </c>
      <c r="AM20">
        <f>+$AH$5*AH20</f>
        <v>9</v>
      </c>
      <c r="AN20">
        <f>+$AI$5*AI20</f>
        <v>36</v>
      </c>
      <c r="AO20">
        <f>+$AJ$5*AJ20</f>
        <v>5</v>
      </c>
      <c r="AP20">
        <f>+SUM(AL20:AO20)</f>
        <v>50</v>
      </c>
    </row>
    <row r="21" spans="1:42" ht="14.4" hidden="1" x14ac:dyDescent="0.3">
      <c r="A21" s="16"/>
      <c r="B21" s="55">
        <v>8</v>
      </c>
      <c r="C21" s="56" t="s">
        <v>29</v>
      </c>
      <c r="D21" s="55">
        <v>1</v>
      </c>
      <c r="E21" s="55" t="s">
        <v>20</v>
      </c>
      <c r="F21" s="18" t="s">
        <v>21</v>
      </c>
      <c r="G21" s="18" t="s">
        <v>23</v>
      </c>
      <c r="H21" s="18" t="s">
        <v>21</v>
      </c>
      <c r="I21" s="18" t="s">
        <v>21</v>
      </c>
      <c r="J21" s="18" t="s">
        <v>21</v>
      </c>
      <c r="K21" s="18" t="s">
        <v>21</v>
      </c>
      <c r="L21" s="18" t="s">
        <v>21</v>
      </c>
      <c r="M21" s="19" t="s">
        <v>21</v>
      </c>
      <c r="N21" s="19" t="s">
        <v>21</v>
      </c>
      <c r="O21" s="19" t="s">
        <v>21</v>
      </c>
      <c r="P21" s="19" t="s">
        <v>21</v>
      </c>
      <c r="Q21" s="18" t="s">
        <v>21</v>
      </c>
      <c r="R21" s="18" t="s">
        <v>21</v>
      </c>
      <c r="S21" s="19" t="s">
        <v>23</v>
      </c>
      <c r="T21" s="18" t="s">
        <v>21</v>
      </c>
      <c r="U21" s="18" t="s">
        <v>21</v>
      </c>
      <c r="V21" s="18" t="s">
        <v>20</v>
      </c>
      <c r="W21" s="18" t="s">
        <v>21</v>
      </c>
      <c r="X21" s="18" t="s">
        <v>20</v>
      </c>
      <c r="Y21" s="19" t="s">
        <v>21</v>
      </c>
      <c r="Z21" s="19" t="s">
        <v>21</v>
      </c>
      <c r="AA21" s="20" t="s">
        <v>21</v>
      </c>
      <c r="AB21" s="20" t="s">
        <v>23</v>
      </c>
      <c r="AC21" s="20" t="s">
        <v>23</v>
      </c>
      <c r="AD21" s="19" t="s">
        <v>23</v>
      </c>
      <c r="AE21" s="19" t="s">
        <v>21</v>
      </c>
      <c r="AG21">
        <f>+COUNTIF(F21:AE21,"AD")</f>
        <v>0</v>
      </c>
      <c r="AH21">
        <f>+COUNTIF(F21:AE21,"A")</f>
        <v>2</v>
      </c>
      <c r="AI21">
        <f>+COUNTIF(F21:AE21,"b")</f>
        <v>19</v>
      </c>
      <c r="AJ21">
        <f>+COUNTIF(F21:AE21,"c")</f>
        <v>5</v>
      </c>
      <c r="AL21">
        <f>+$AG$5*AG21</f>
        <v>0</v>
      </c>
      <c r="AM21">
        <f>+$AH$5*AH21</f>
        <v>6</v>
      </c>
      <c r="AN21">
        <f>+$AI$5*AI21</f>
        <v>38</v>
      </c>
      <c r="AO21">
        <f>+$AJ$5*AJ21</f>
        <v>5</v>
      </c>
      <c r="AP21">
        <f>+SUM(AL21:AO21)</f>
        <v>49</v>
      </c>
    </row>
    <row r="22" spans="1:42" ht="15.75" hidden="1" customHeight="1" x14ac:dyDescent="0.3">
      <c r="A22" s="16"/>
      <c r="B22" s="55">
        <v>12</v>
      </c>
      <c r="C22" s="56" t="s">
        <v>33</v>
      </c>
      <c r="D22" s="55">
        <v>1</v>
      </c>
      <c r="E22" s="55" t="s">
        <v>20</v>
      </c>
      <c r="F22" s="18" t="s">
        <v>21</v>
      </c>
      <c r="G22" s="18" t="s">
        <v>21</v>
      </c>
      <c r="H22" s="18" t="s">
        <v>21</v>
      </c>
      <c r="I22" s="18" t="s">
        <v>23</v>
      </c>
      <c r="J22" s="18" t="s">
        <v>21</v>
      </c>
      <c r="K22" s="18" t="s">
        <v>21</v>
      </c>
      <c r="L22" s="18" t="s">
        <v>21</v>
      </c>
      <c r="M22" s="19" t="s">
        <v>21</v>
      </c>
      <c r="N22" s="19" t="s">
        <v>21</v>
      </c>
      <c r="O22" s="19" t="s">
        <v>21</v>
      </c>
      <c r="P22" s="19" t="s">
        <v>21</v>
      </c>
      <c r="Q22" s="18" t="s">
        <v>21</v>
      </c>
      <c r="R22" s="18" t="s">
        <v>21</v>
      </c>
      <c r="S22" s="19" t="s">
        <v>23</v>
      </c>
      <c r="T22" s="18" t="s">
        <v>23</v>
      </c>
      <c r="U22" s="18" t="s">
        <v>21</v>
      </c>
      <c r="V22" s="18" t="s">
        <v>21</v>
      </c>
      <c r="W22" s="18" t="s">
        <v>21</v>
      </c>
      <c r="X22" s="18" t="s">
        <v>20</v>
      </c>
      <c r="Y22" s="19" t="s">
        <v>20</v>
      </c>
      <c r="Z22" s="19" t="s">
        <v>20</v>
      </c>
      <c r="AA22" s="20" t="s">
        <v>23</v>
      </c>
      <c r="AB22" s="20" t="s">
        <v>23</v>
      </c>
      <c r="AC22" s="20" t="s">
        <v>23</v>
      </c>
      <c r="AD22" s="19" t="s">
        <v>23</v>
      </c>
      <c r="AE22" s="19" t="s">
        <v>21</v>
      </c>
      <c r="AG22">
        <f>+COUNTIF(F22:AE22,"AD")</f>
        <v>0</v>
      </c>
      <c r="AH22">
        <f>+COUNTIF(F22:AE22,"A")</f>
        <v>3</v>
      </c>
      <c r="AI22">
        <f>+COUNTIF(F22:AE22,"b")</f>
        <v>16</v>
      </c>
      <c r="AJ22">
        <f>+COUNTIF(F22:AE22,"c")</f>
        <v>7</v>
      </c>
      <c r="AL22">
        <f>+$AG$5*AG22</f>
        <v>0</v>
      </c>
      <c r="AM22">
        <f>+$AH$5*AH22</f>
        <v>9</v>
      </c>
      <c r="AN22">
        <f>+$AI$5*AI22</f>
        <v>32</v>
      </c>
      <c r="AO22">
        <f>+$AJ$5*AJ22</f>
        <v>7</v>
      </c>
      <c r="AP22">
        <f>+SUM(AL22:AO22)</f>
        <v>48</v>
      </c>
    </row>
    <row r="23" spans="1:42" ht="15.75" hidden="1" customHeight="1" thickBot="1" x14ac:dyDescent="0.35">
      <c r="A23" s="16"/>
      <c r="B23" s="57">
        <v>2</v>
      </c>
      <c r="C23" s="58" t="s">
        <v>22</v>
      </c>
      <c r="D23" s="57">
        <v>1</v>
      </c>
      <c r="E23" s="57" t="s">
        <v>20</v>
      </c>
      <c r="F23" s="21" t="s">
        <v>21</v>
      </c>
      <c r="G23" s="21" t="s">
        <v>23</v>
      </c>
      <c r="H23" s="21" t="s">
        <v>21</v>
      </c>
      <c r="I23" s="21" t="s">
        <v>21</v>
      </c>
      <c r="J23" s="21" t="s">
        <v>21</v>
      </c>
      <c r="K23" s="21" t="s">
        <v>21</v>
      </c>
      <c r="L23" s="21" t="s">
        <v>21</v>
      </c>
      <c r="M23" s="22" t="s">
        <v>21</v>
      </c>
      <c r="N23" s="22" t="s">
        <v>21</v>
      </c>
      <c r="O23" s="22" t="s">
        <v>23</v>
      </c>
      <c r="P23" s="22" t="s">
        <v>21</v>
      </c>
      <c r="Q23" s="21" t="s">
        <v>21</v>
      </c>
      <c r="R23" s="21" t="s">
        <v>21</v>
      </c>
      <c r="S23" s="22" t="s">
        <v>23</v>
      </c>
      <c r="T23" s="21" t="s">
        <v>23</v>
      </c>
      <c r="U23" s="21" t="s">
        <v>21</v>
      </c>
      <c r="V23" s="21" t="s">
        <v>21</v>
      </c>
      <c r="W23" s="21" t="s">
        <v>21</v>
      </c>
      <c r="X23" s="21" t="s">
        <v>20</v>
      </c>
      <c r="Y23" s="22" t="s">
        <v>21</v>
      </c>
      <c r="Z23" s="22" t="s">
        <v>20</v>
      </c>
      <c r="AA23" s="23" t="s">
        <v>23</v>
      </c>
      <c r="AB23" s="23" t="s">
        <v>23</v>
      </c>
      <c r="AC23" s="23" t="s">
        <v>23</v>
      </c>
      <c r="AD23" s="22" t="s">
        <v>23</v>
      </c>
      <c r="AE23" s="22" t="s">
        <v>21</v>
      </c>
      <c r="AG23">
        <f>+COUNTIF(F23:AE23,"AD")</f>
        <v>0</v>
      </c>
      <c r="AH23">
        <f>+COUNTIF(F23:AE23,"A")</f>
        <v>2</v>
      </c>
      <c r="AI23">
        <f>+COUNTIF(F23:AE23,"b")</f>
        <v>16</v>
      </c>
      <c r="AJ23">
        <f>+COUNTIF(F23:AE23,"c")</f>
        <v>8</v>
      </c>
      <c r="AL23">
        <f>+$AG$5*AG23</f>
        <v>0</v>
      </c>
      <c r="AM23">
        <f>+$AH$5*AH23</f>
        <v>6</v>
      </c>
      <c r="AN23">
        <f>+$AI$5*AI23</f>
        <v>32</v>
      </c>
      <c r="AO23">
        <f>+$AJ$5*AJ23</f>
        <v>8</v>
      </c>
      <c r="AP23">
        <f>+SUM(AL23:AO23)</f>
        <v>46</v>
      </c>
    </row>
    <row r="24" spans="1:42" ht="15.75" hidden="1" customHeight="1" x14ac:dyDescent="0.3">
      <c r="A24" s="16"/>
      <c r="B24" s="59">
        <v>1</v>
      </c>
      <c r="C24" s="60" t="s">
        <v>41</v>
      </c>
      <c r="D24" s="59">
        <v>1</v>
      </c>
      <c r="E24" s="59" t="s">
        <v>21</v>
      </c>
      <c r="F24" s="24" t="s">
        <v>39</v>
      </c>
      <c r="G24" s="24" t="s">
        <v>20</v>
      </c>
      <c r="H24" s="24" t="s">
        <v>20</v>
      </c>
      <c r="I24" s="24" t="s">
        <v>20</v>
      </c>
      <c r="J24" s="24" t="s">
        <v>20</v>
      </c>
      <c r="K24" s="24" t="s">
        <v>20</v>
      </c>
      <c r="L24" s="24" t="s">
        <v>20</v>
      </c>
      <c r="M24" s="25" t="s">
        <v>20</v>
      </c>
      <c r="N24" s="25" t="s">
        <v>20</v>
      </c>
      <c r="O24" s="25" t="s">
        <v>20</v>
      </c>
      <c r="P24" s="25" t="s">
        <v>20</v>
      </c>
      <c r="Q24" s="24" t="s">
        <v>20</v>
      </c>
      <c r="R24" s="24" t="s">
        <v>20</v>
      </c>
      <c r="S24" s="25" t="s">
        <v>20</v>
      </c>
      <c r="T24" s="24" t="s">
        <v>20</v>
      </c>
      <c r="U24" s="24" t="s">
        <v>20</v>
      </c>
      <c r="V24" s="24" t="s">
        <v>20</v>
      </c>
      <c r="W24" s="24" t="s">
        <v>20</v>
      </c>
      <c r="X24" s="24" t="s">
        <v>20</v>
      </c>
      <c r="Y24" s="25" t="s">
        <v>20</v>
      </c>
      <c r="Z24" s="25" t="s">
        <v>20</v>
      </c>
      <c r="AA24" s="26" t="s">
        <v>20</v>
      </c>
      <c r="AB24" s="26" t="s">
        <v>20</v>
      </c>
      <c r="AC24" s="27" t="s">
        <v>20</v>
      </c>
      <c r="AD24" s="25" t="s">
        <v>20</v>
      </c>
      <c r="AE24" s="25" t="s">
        <v>21</v>
      </c>
      <c r="AG24">
        <f t="shared" ref="AG24:AG87" si="0">+COUNTIF(F24:AE24,"AD")</f>
        <v>1</v>
      </c>
      <c r="AH24">
        <f t="shared" ref="AH24:AH87" si="1">+COUNTIF(F24:AE24,"A")</f>
        <v>24</v>
      </c>
      <c r="AI24">
        <f t="shared" ref="AI24:AI87" si="2">+COUNTIF(F24:AE24,"b")</f>
        <v>1</v>
      </c>
      <c r="AJ24">
        <f t="shared" ref="AJ24:AJ87" si="3">+COUNTIF(F24:AE24,"c")</f>
        <v>0</v>
      </c>
      <c r="AL24">
        <f t="shared" ref="AL24:AL87" si="4">+$AG$5*AG24</f>
        <v>4</v>
      </c>
      <c r="AM24">
        <f t="shared" ref="AM24:AM87" si="5">+$AH$5*AH24</f>
        <v>72</v>
      </c>
      <c r="AN24">
        <f t="shared" ref="AN24:AN87" si="6">+$AI$5*AI24</f>
        <v>2</v>
      </c>
      <c r="AO24">
        <f t="shared" ref="AO24:AO87" si="7">+$AJ$5*AJ24</f>
        <v>0</v>
      </c>
      <c r="AP24">
        <f t="shared" ref="AP24:AP43" si="8">+SUM(AL24:AO24)</f>
        <v>78</v>
      </c>
    </row>
    <row r="25" spans="1:42" ht="15.75" hidden="1" customHeight="1" x14ac:dyDescent="0.3">
      <c r="A25" s="16"/>
      <c r="B25" s="55">
        <v>2</v>
      </c>
      <c r="C25" s="56" t="s">
        <v>42</v>
      </c>
      <c r="D25" s="55">
        <v>1</v>
      </c>
      <c r="E25" s="55" t="s">
        <v>21</v>
      </c>
      <c r="F25" s="18" t="s">
        <v>21</v>
      </c>
      <c r="G25" s="18" t="s">
        <v>21</v>
      </c>
      <c r="H25" s="18" t="s">
        <v>21</v>
      </c>
      <c r="I25" s="18" t="s">
        <v>21</v>
      </c>
      <c r="J25" s="18" t="s">
        <v>20</v>
      </c>
      <c r="K25" s="18" t="s">
        <v>21</v>
      </c>
      <c r="L25" s="18" t="s">
        <v>21</v>
      </c>
      <c r="M25" s="19" t="s">
        <v>20</v>
      </c>
      <c r="N25" s="19" t="s">
        <v>20</v>
      </c>
      <c r="O25" s="19" t="s">
        <v>20</v>
      </c>
      <c r="P25" s="19" t="s">
        <v>20</v>
      </c>
      <c r="Q25" s="18" t="s">
        <v>20</v>
      </c>
      <c r="R25" s="18" t="s">
        <v>21</v>
      </c>
      <c r="S25" s="19" t="s">
        <v>20</v>
      </c>
      <c r="T25" s="18" t="s">
        <v>20</v>
      </c>
      <c r="U25" s="18" t="s">
        <v>21</v>
      </c>
      <c r="V25" s="18" t="s">
        <v>20</v>
      </c>
      <c r="W25" s="18" t="s">
        <v>20</v>
      </c>
      <c r="X25" s="18" t="s">
        <v>20</v>
      </c>
      <c r="Y25" s="19" t="s">
        <v>20</v>
      </c>
      <c r="Z25" s="19" t="s">
        <v>20</v>
      </c>
      <c r="AA25" s="28" t="s">
        <v>20</v>
      </c>
      <c r="AB25" s="28" t="s">
        <v>21</v>
      </c>
      <c r="AC25" s="20" t="s">
        <v>20</v>
      </c>
      <c r="AD25" s="19" t="s">
        <v>20</v>
      </c>
      <c r="AE25" s="19" t="s">
        <v>21</v>
      </c>
      <c r="AG25">
        <f t="shared" si="0"/>
        <v>0</v>
      </c>
      <c r="AH25">
        <f t="shared" si="1"/>
        <v>16</v>
      </c>
      <c r="AI25">
        <f t="shared" si="2"/>
        <v>10</v>
      </c>
      <c r="AJ25">
        <f t="shared" si="3"/>
        <v>0</v>
      </c>
      <c r="AL25">
        <f t="shared" si="4"/>
        <v>0</v>
      </c>
      <c r="AM25">
        <f t="shared" si="5"/>
        <v>48</v>
      </c>
      <c r="AN25">
        <f t="shared" si="6"/>
        <v>20</v>
      </c>
      <c r="AO25">
        <f t="shared" si="7"/>
        <v>0</v>
      </c>
      <c r="AP25">
        <f t="shared" si="8"/>
        <v>68</v>
      </c>
    </row>
    <row r="26" spans="1:42" ht="15.75" hidden="1" customHeight="1" x14ac:dyDescent="0.3">
      <c r="A26" s="16"/>
      <c r="B26" s="55">
        <v>3</v>
      </c>
      <c r="C26" s="56" t="s">
        <v>43</v>
      </c>
      <c r="D26" s="55">
        <v>1</v>
      </c>
      <c r="E26" s="55" t="s">
        <v>21</v>
      </c>
      <c r="F26" s="18" t="s">
        <v>21</v>
      </c>
      <c r="G26" s="18" t="s">
        <v>20</v>
      </c>
      <c r="H26" s="18" t="s">
        <v>21</v>
      </c>
      <c r="I26" s="18" t="s">
        <v>21</v>
      </c>
      <c r="J26" s="18" t="s">
        <v>21</v>
      </c>
      <c r="K26" s="18" t="s">
        <v>20</v>
      </c>
      <c r="L26" s="18" t="s">
        <v>21</v>
      </c>
      <c r="M26" s="19" t="s">
        <v>20</v>
      </c>
      <c r="N26" s="19" t="s">
        <v>20</v>
      </c>
      <c r="O26" s="19" t="s">
        <v>20</v>
      </c>
      <c r="P26" s="19" t="s">
        <v>20</v>
      </c>
      <c r="Q26" s="18" t="s">
        <v>21</v>
      </c>
      <c r="R26" s="18" t="s">
        <v>21</v>
      </c>
      <c r="S26" s="19" t="s">
        <v>20</v>
      </c>
      <c r="T26" s="18" t="s">
        <v>20</v>
      </c>
      <c r="U26" s="18" t="s">
        <v>21</v>
      </c>
      <c r="V26" s="18" t="s">
        <v>20</v>
      </c>
      <c r="W26" s="18" t="s">
        <v>20</v>
      </c>
      <c r="X26" s="18" t="s">
        <v>20</v>
      </c>
      <c r="Y26" s="19" t="s">
        <v>20</v>
      </c>
      <c r="Z26" s="19" t="s">
        <v>20</v>
      </c>
      <c r="AA26" s="28" t="s">
        <v>20</v>
      </c>
      <c r="AB26" s="28" t="s">
        <v>21</v>
      </c>
      <c r="AC26" s="20" t="s">
        <v>21</v>
      </c>
      <c r="AD26" s="19" t="s">
        <v>20</v>
      </c>
      <c r="AE26" s="19" t="s">
        <v>21</v>
      </c>
      <c r="AG26">
        <f t="shared" si="0"/>
        <v>0</v>
      </c>
      <c r="AH26">
        <f t="shared" si="1"/>
        <v>15</v>
      </c>
      <c r="AI26">
        <f t="shared" si="2"/>
        <v>11</v>
      </c>
      <c r="AJ26">
        <f t="shared" si="3"/>
        <v>0</v>
      </c>
      <c r="AL26">
        <f t="shared" si="4"/>
        <v>0</v>
      </c>
      <c r="AM26">
        <f t="shared" si="5"/>
        <v>45</v>
      </c>
      <c r="AN26">
        <f t="shared" si="6"/>
        <v>22</v>
      </c>
      <c r="AO26">
        <f t="shared" si="7"/>
        <v>0</v>
      </c>
      <c r="AP26">
        <f t="shared" si="8"/>
        <v>67</v>
      </c>
    </row>
    <row r="27" spans="1:42" ht="15.75" hidden="1" customHeight="1" x14ac:dyDescent="0.3">
      <c r="A27" s="16"/>
      <c r="B27" s="55">
        <v>4</v>
      </c>
      <c r="C27" s="56" t="s">
        <v>44</v>
      </c>
      <c r="D27" s="55">
        <v>1</v>
      </c>
      <c r="E27" s="55" t="s">
        <v>21</v>
      </c>
      <c r="F27" s="18" t="s">
        <v>20</v>
      </c>
      <c r="G27" s="18" t="s">
        <v>20</v>
      </c>
      <c r="H27" s="18" t="s">
        <v>20</v>
      </c>
      <c r="I27" s="18" t="s">
        <v>20</v>
      </c>
      <c r="J27" s="18" t="s">
        <v>21</v>
      </c>
      <c r="K27" s="18" t="s">
        <v>21</v>
      </c>
      <c r="L27" s="18" t="s">
        <v>21</v>
      </c>
      <c r="M27" s="18" t="s">
        <v>21</v>
      </c>
      <c r="N27" s="18" t="s">
        <v>20</v>
      </c>
      <c r="O27" s="18" t="s">
        <v>20</v>
      </c>
      <c r="P27" s="18" t="s">
        <v>21</v>
      </c>
      <c r="Q27" s="18" t="s">
        <v>21</v>
      </c>
      <c r="R27" s="18" t="s">
        <v>21</v>
      </c>
      <c r="S27" s="18" t="s">
        <v>20</v>
      </c>
      <c r="T27" s="18" t="s">
        <v>20</v>
      </c>
      <c r="U27" s="18" t="s">
        <v>21</v>
      </c>
      <c r="V27" s="18" t="s">
        <v>20</v>
      </c>
      <c r="W27" s="18" t="s">
        <v>20</v>
      </c>
      <c r="X27" s="18" t="s">
        <v>20</v>
      </c>
      <c r="Y27" s="19" t="s">
        <v>21</v>
      </c>
      <c r="Z27" s="18" t="s">
        <v>20</v>
      </c>
      <c r="AA27" s="28" t="s">
        <v>21</v>
      </c>
      <c r="AB27" s="28" t="s">
        <v>21</v>
      </c>
      <c r="AC27" s="20" t="s">
        <v>21</v>
      </c>
      <c r="AD27" s="29" t="s">
        <v>21</v>
      </c>
      <c r="AE27" s="29" t="s">
        <v>21</v>
      </c>
      <c r="AG27">
        <f t="shared" si="0"/>
        <v>0</v>
      </c>
      <c r="AH27">
        <f t="shared" si="1"/>
        <v>12</v>
      </c>
      <c r="AI27">
        <f t="shared" si="2"/>
        <v>14</v>
      </c>
      <c r="AJ27">
        <f t="shared" si="3"/>
        <v>0</v>
      </c>
      <c r="AL27">
        <f t="shared" si="4"/>
        <v>0</v>
      </c>
      <c r="AM27">
        <f t="shared" si="5"/>
        <v>36</v>
      </c>
      <c r="AN27">
        <f t="shared" si="6"/>
        <v>28</v>
      </c>
      <c r="AO27">
        <f t="shared" si="7"/>
        <v>0</v>
      </c>
      <c r="AP27">
        <f t="shared" si="8"/>
        <v>64</v>
      </c>
    </row>
    <row r="28" spans="1:42" ht="15.75" hidden="1" customHeight="1" x14ac:dyDescent="0.3">
      <c r="A28" s="16"/>
      <c r="B28" s="55">
        <v>5</v>
      </c>
      <c r="C28" s="56" t="s">
        <v>45</v>
      </c>
      <c r="D28" s="55">
        <v>1</v>
      </c>
      <c r="E28" s="55" t="s">
        <v>21</v>
      </c>
      <c r="F28" s="18" t="s">
        <v>21</v>
      </c>
      <c r="G28" s="18" t="s">
        <v>21</v>
      </c>
      <c r="H28" s="18" t="s">
        <v>20</v>
      </c>
      <c r="I28" s="18" t="s">
        <v>21</v>
      </c>
      <c r="J28" s="18" t="s">
        <v>21</v>
      </c>
      <c r="K28" s="18" t="s">
        <v>21</v>
      </c>
      <c r="L28" s="18" t="s">
        <v>21</v>
      </c>
      <c r="M28" s="18" t="s">
        <v>20</v>
      </c>
      <c r="N28" s="18" t="s">
        <v>21</v>
      </c>
      <c r="O28" s="18" t="s">
        <v>20</v>
      </c>
      <c r="P28" s="18" t="s">
        <v>21</v>
      </c>
      <c r="Q28" s="18" t="s">
        <v>21</v>
      </c>
      <c r="R28" s="18" t="s">
        <v>21</v>
      </c>
      <c r="S28" s="18" t="s">
        <v>20</v>
      </c>
      <c r="T28" s="18" t="s">
        <v>20</v>
      </c>
      <c r="U28" s="18" t="s">
        <v>21</v>
      </c>
      <c r="V28" s="18" t="s">
        <v>20</v>
      </c>
      <c r="W28" s="18" t="s">
        <v>20</v>
      </c>
      <c r="X28" s="18" t="s">
        <v>20</v>
      </c>
      <c r="Y28" s="19" t="s">
        <v>21</v>
      </c>
      <c r="Z28" s="18" t="s">
        <v>20</v>
      </c>
      <c r="AA28" s="28" t="s">
        <v>20</v>
      </c>
      <c r="AB28" s="28" t="s">
        <v>20</v>
      </c>
      <c r="AC28" s="20" t="s">
        <v>21</v>
      </c>
      <c r="AD28" s="29" t="s">
        <v>21</v>
      </c>
      <c r="AE28" s="29" t="s">
        <v>21</v>
      </c>
      <c r="AG28">
        <f t="shared" si="0"/>
        <v>0</v>
      </c>
      <c r="AH28">
        <f t="shared" si="1"/>
        <v>11</v>
      </c>
      <c r="AI28">
        <f t="shared" si="2"/>
        <v>15</v>
      </c>
      <c r="AJ28">
        <f t="shared" si="3"/>
        <v>0</v>
      </c>
      <c r="AL28">
        <f t="shared" si="4"/>
        <v>0</v>
      </c>
      <c r="AM28">
        <f t="shared" si="5"/>
        <v>33</v>
      </c>
      <c r="AN28">
        <f t="shared" si="6"/>
        <v>30</v>
      </c>
      <c r="AO28">
        <f t="shared" si="7"/>
        <v>0</v>
      </c>
      <c r="AP28">
        <f t="shared" si="8"/>
        <v>63</v>
      </c>
    </row>
    <row r="29" spans="1:42" ht="15.75" hidden="1" customHeight="1" x14ac:dyDescent="0.3">
      <c r="A29" s="16"/>
      <c r="B29" s="55">
        <v>6</v>
      </c>
      <c r="C29" s="56" t="s">
        <v>46</v>
      </c>
      <c r="D29" s="55">
        <v>1</v>
      </c>
      <c r="E29" s="55" t="s">
        <v>21</v>
      </c>
      <c r="F29" s="18" t="s">
        <v>20</v>
      </c>
      <c r="G29" s="18" t="s">
        <v>20</v>
      </c>
      <c r="H29" s="18" t="s">
        <v>21</v>
      </c>
      <c r="I29" s="18" t="s">
        <v>20</v>
      </c>
      <c r="J29" s="18" t="s">
        <v>21</v>
      </c>
      <c r="K29" s="18" t="s">
        <v>20</v>
      </c>
      <c r="L29" s="18" t="s">
        <v>21</v>
      </c>
      <c r="M29" s="18" t="s">
        <v>20</v>
      </c>
      <c r="N29" s="18" t="s">
        <v>21</v>
      </c>
      <c r="O29" s="18" t="s">
        <v>20</v>
      </c>
      <c r="P29" s="18" t="s">
        <v>21</v>
      </c>
      <c r="Q29" s="18" t="s">
        <v>21</v>
      </c>
      <c r="R29" s="18" t="s">
        <v>21</v>
      </c>
      <c r="S29" s="18" t="s">
        <v>21</v>
      </c>
      <c r="T29" s="18" t="s">
        <v>20</v>
      </c>
      <c r="U29" s="18" t="s">
        <v>21</v>
      </c>
      <c r="V29" s="18" t="s">
        <v>20</v>
      </c>
      <c r="W29" s="18" t="s">
        <v>20</v>
      </c>
      <c r="X29" s="18" t="s">
        <v>20</v>
      </c>
      <c r="Y29" s="19" t="s">
        <v>20</v>
      </c>
      <c r="Z29" s="18" t="s">
        <v>20</v>
      </c>
      <c r="AA29" s="28" t="s">
        <v>20</v>
      </c>
      <c r="AB29" s="28" t="s">
        <v>20</v>
      </c>
      <c r="AC29" s="20" t="s">
        <v>20</v>
      </c>
      <c r="AD29" s="29" t="s">
        <v>21</v>
      </c>
      <c r="AE29" s="29" t="s">
        <v>21</v>
      </c>
      <c r="AG29">
        <f t="shared" si="0"/>
        <v>0</v>
      </c>
      <c r="AH29">
        <f t="shared" si="1"/>
        <v>15</v>
      </c>
      <c r="AI29">
        <f t="shared" si="2"/>
        <v>11</v>
      </c>
      <c r="AJ29">
        <f t="shared" si="3"/>
        <v>0</v>
      </c>
      <c r="AL29">
        <f t="shared" si="4"/>
        <v>0</v>
      </c>
      <c r="AM29">
        <f t="shared" si="5"/>
        <v>45</v>
      </c>
      <c r="AN29">
        <f t="shared" si="6"/>
        <v>22</v>
      </c>
      <c r="AO29">
        <f t="shared" si="7"/>
        <v>0</v>
      </c>
      <c r="AP29">
        <f t="shared" si="8"/>
        <v>67</v>
      </c>
    </row>
    <row r="30" spans="1:42" ht="15.75" hidden="1" customHeight="1" x14ac:dyDescent="0.3">
      <c r="A30" s="16"/>
      <c r="B30" s="55">
        <v>7</v>
      </c>
      <c r="C30" s="56" t="s">
        <v>47</v>
      </c>
      <c r="D30" s="55">
        <v>1</v>
      </c>
      <c r="E30" s="55" t="s">
        <v>21</v>
      </c>
      <c r="F30" s="18" t="s">
        <v>21</v>
      </c>
      <c r="G30" s="18" t="s">
        <v>21</v>
      </c>
      <c r="H30" s="18" t="s">
        <v>20</v>
      </c>
      <c r="I30" s="18" t="s">
        <v>21</v>
      </c>
      <c r="J30" s="18" t="s">
        <v>20</v>
      </c>
      <c r="K30" s="18" t="s">
        <v>20</v>
      </c>
      <c r="L30" s="18" t="s">
        <v>21</v>
      </c>
      <c r="M30" s="18" t="s">
        <v>20</v>
      </c>
      <c r="N30" s="18" t="s">
        <v>21</v>
      </c>
      <c r="O30" s="18" t="s">
        <v>20</v>
      </c>
      <c r="P30" s="18" t="s">
        <v>20</v>
      </c>
      <c r="Q30" s="18" t="s">
        <v>21</v>
      </c>
      <c r="R30" s="18" t="s">
        <v>20</v>
      </c>
      <c r="S30" s="18" t="s">
        <v>20</v>
      </c>
      <c r="T30" s="18" t="s">
        <v>20</v>
      </c>
      <c r="U30" s="18" t="s">
        <v>21</v>
      </c>
      <c r="V30" s="18" t="s">
        <v>20</v>
      </c>
      <c r="W30" s="18" t="s">
        <v>20</v>
      </c>
      <c r="X30" s="18" t="s">
        <v>21</v>
      </c>
      <c r="Y30" s="19" t="s">
        <v>20</v>
      </c>
      <c r="Z30" s="18" t="s">
        <v>20</v>
      </c>
      <c r="AA30" s="28" t="s">
        <v>20</v>
      </c>
      <c r="AB30" s="28" t="s">
        <v>20</v>
      </c>
      <c r="AC30" s="20" t="s">
        <v>20</v>
      </c>
      <c r="AD30" s="29" t="s">
        <v>21</v>
      </c>
      <c r="AE30" s="29" t="s">
        <v>21</v>
      </c>
      <c r="AG30">
        <f t="shared" si="0"/>
        <v>0</v>
      </c>
      <c r="AH30">
        <f t="shared" si="1"/>
        <v>16</v>
      </c>
      <c r="AI30">
        <f t="shared" si="2"/>
        <v>10</v>
      </c>
      <c r="AJ30">
        <f t="shared" si="3"/>
        <v>0</v>
      </c>
      <c r="AL30">
        <f t="shared" si="4"/>
        <v>0</v>
      </c>
      <c r="AM30">
        <f t="shared" si="5"/>
        <v>48</v>
      </c>
      <c r="AN30">
        <f t="shared" si="6"/>
        <v>20</v>
      </c>
      <c r="AO30">
        <f t="shared" si="7"/>
        <v>0</v>
      </c>
      <c r="AP30">
        <f t="shared" si="8"/>
        <v>68</v>
      </c>
    </row>
    <row r="31" spans="1:42" ht="15.75" hidden="1" customHeight="1" x14ac:dyDescent="0.3">
      <c r="A31" s="16"/>
      <c r="B31" s="55">
        <v>8</v>
      </c>
      <c r="C31" s="56" t="s">
        <v>48</v>
      </c>
      <c r="D31" s="55">
        <v>1</v>
      </c>
      <c r="E31" s="55" t="s">
        <v>21</v>
      </c>
      <c r="F31" s="18" t="s">
        <v>20</v>
      </c>
      <c r="G31" s="18" t="s">
        <v>21</v>
      </c>
      <c r="H31" s="18" t="s">
        <v>21</v>
      </c>
      <c r="I31" s="18" t="s">
        <v>21</v>
      </c>
      <c r="J31" s="18" t="s">
        <v>20</v>
      </c>
      <c r="K31" s="18" t="s">
        <v>21</v>
      </c>
      <c r="L31" s="18" t="s">
        <v>21</v>
      </c>
      <c r="M31" s="18" t="s">
        <v>20</v>
      </c>
      <c r="N31" s="18" t="s">
        <v>21</v>
      </c>
      <c r="O31" s="18" t="s">
        <v>21</v>
      </c>
      <c r="P31" s="18" t="s">
        <v>21</v>
      </c>
      <c r="Q31" s="18" t="s">
        <v>21</v>
      </c>
      <c r="R31" s="18" t="s">
        <v>21</v>
      </c>
      <c r="S31" s="18" t="s">
        <v>20</v>
      </c>
      <c r="T31" s="18" t="s">
        <v>20</v>
      </c>
      <c r="U31" s="18" t="s">
        <v>20</v>
      </c>
      <c r="V31" s="18" t="s">
        <v>21</v>
      </c>
      <c r="W31" s="18" t="s">
        <v>20</v>
      </c>
      <c r="X31" s="18" t="s">
        <v>21</v>
      </c>
      <c r="Y31" s="19" t="s">
        <v>21</v>
      </c>
      <c r="Z31" s="18" t="s">
        <v>20</v>
      </c>
      <c r="AA31" s="28" t="s">
        <v>20</v>
      </c>
      <c r="AB31" s="28" t="s">
        <v>20</v>
      </c>
      <c r="AC31" s="20" t="s">
        <v>20</v>
      </c>
      <c r="AD31" s="29" t="s">
        <v>20</v>
      </c>
      <c r="AE31" s="29" t="s">
        <v>21</v>
      </c>
      <c r="AG31">
        <f t="shared" si="0"/>
        <v>0</v>
      </c>
      <c r="AH31">
        <f t="shared" si="1"/>
        <v>12</v>
      </c>
      <c r="AI31">
        <f t="shared" si="2"/>
        <v>14</v>
      </c>
      <c r="AJ31">
        <f t="shared" si="3"/>
        <v>0</v>
      </c>
      <c r="AL31">
        <f t="shared" si="4"/>
        <v>0</v>
      </c>
      <c r="AM31">
        <f t="shared" si="5"/>
        <v>36</v>
      </c>
      <c r="AN31">
        <f t="shared" si="6"/>
        <v>28</v>
      </c>
      <c r="AO31">
        <f t="shared" si="7"/>
        <v>0</v>
      </c>
      <c r="AP31">
        <f t="shared" si="8"/>
        <v>64</v>
      </c>
    </row>
    <row r="32" spans="1:42" ht="15.75" hidden="1" customHeight="1" x14ac:dyDescent="0.3">
      <c r="A32" s="16"/>
      <c r="B32" s="55">
        <v>9</v>
      </c>
      <c r="C32" s="56" t="s">
        <v>49</v>
      </c>
      <c r="D32" s="55">
        <v>1</v>
      </c>
      <c r="E32" s="55" t="s">
        <v>21</v>
      </c>
      <c r="F32" s="18" t="s">
        <v>20</v>
      </c>
      <c r="G32" s="18" t="s">
        <v>21</v>
      </c>
      <c r="H32" s="18" t="s">
        <v>21</v>
      </c>
      <c r="I32" s="18" t="s">
        <v>21</v>
      </c>
      <c r="J32" s="18" t="s">
        <v>21</v>
      </c>
      <c r="K32" s="18" t="s">
        <v>21</v>
      </c>
      <c r="L32" s="18" t="s">
        <v>20</v>
      </c>
      <c r="M32" s="18" t="s">
        <v>20</v>
      </c>
      <c r="N32" s="18" t="s">
        <v>20</v>
      </c>
      <c r="O32" s="18" t="s">
        <v>20</v>
      </c>
      <c r="P32" s="18" t="s">
        <v>20</v>
      </c>
      <c r="Q32" s="18" t="s">
        <v>20</v>
      </c>
      <c r="R32" s="18" t="s">
        <v>20</v>
      </c>
      <c r="S32" s="18" t="s">
        <v>20</v>
      </c>
      <c r="T32" s="18" t="s">
        <v>20</v>
      </c>
      <c r="U32" s="18" t="s">
        <v>21</v>
      </c>
      <c r="V32" s="18" t="s">
        <v>20</v>
      </c>
      <c r="W32" s="18" t="s">
        <v>20</v>
      </c>
      <c r="X32" s="18" t="s">
        <v>20</v>
      </c>
      <c r="Y32" s="19" t="s">
        <v>20</v>
      </c>
      <c r="Z32" s="18" t="s">
        <v>20</v>
      </c>
      <c r="AA32" s="28" t="s">
        <v>21</v>
      </c>
      <c r="AB32" s="28" t="s">
        <v>21</v>
      </c>
      <c r="AC32" s="20" t="s">
        <v>21</v>
      </c>
      <c r="AD32" s="29" t="s">
        <v>21</v>
      </c>
      <c r="AE32" s="29" t="s">
        <v>21</v>
      </c>
      <c r="AG32">
        <f t="shared" si="0"/>
        <v>0</v>
      </c>
      <c r="AH32">
        <f t="shared" si="1"/>
        <v>15</v>
      </c>
      <c r="AI32">
        <f t="shared" si="2"/>
        <v>11</v>
      </c>
      <c r="AJ32">
        <f t="shared" si="3"/>
        <v>0</v>
      </c>
      <c r="AL32">
        <f t="shared" si="4"/>
        <v>0</v>
      </c>
      <c r="AM32">
        <f t="shared" si="5"/>
        <v>45</v>
      </c>
      <c r="AN32">
        <f t="shared" si="6"/>
        <v>22</v>
      </c>
      <c r="AO32">
        <f t="shared" si="7"/>
        <v>0</v>
      </c>
      <c r="AP32">
        <f t="shared" si="8"/>
        <v>67</v>
      </c>
    </row>
    <row r="33" spans="1:42" ht="15.75" hidden="1" customHeight="1" x14ac:dyDescent="0.3">
      <c r="A33" s="16"/>
      <c r="B33" s="55">
        <v>10</v>
      </c>
      <c r="C33" s="56" t="s">
        <v>50</v>
      </c>
      <c r="D33" s="55">
        <v>1</v>
      </c>
      <c r="E33" s="55" t="s">
        <v>21</v>
      </c>
      <c r="F33" s="18" t="s">
        <v>20</v>
      </c>
      <c r="G33" s="18" t="s">
        <v>21</v>
      </c>
      <c r="H33" s="18" t="s">
        <v>20</v>
      </c>
      <c r="I33" s="18" t="s">
        <v>21</v>
      </c>
      <c r="J33" s="18" t="s">
        <v>21</v>
      </c>
      <c r="K33" s="18" t="s">
        <v>21</v>
      </c>
      <c r="L33" s="18" t="s">
        <v>21</v>
      </c>
      <c r="M33" s="18" t="s">
        <v>20</v>
      </c>
      <c r="N33" s="18" t="s">
        <v>20</v>
      </c>
      <c r="O33" s="18" t="s">
        <v>20</v>
      </c>
      <c r="P33" s="18" t="s">
        <v>21</v>
      </c>
      <c r="Q33" s="18" t="s">
        <v>20</v>
      </c>
      <c r="R33" s="18" t="s">
        <v>21</v>
      </c>
      <c r="S33" s="18" t="s">
        <v>20</v>
      </c>
      <c r="T33" s="18" t="s">
        <v>20</v>
      </c>
      <c r="U33" s="18" t="s">
        <v>20</v>
      </c>
      <c r="V33" s="18" t="s">
        <v>20</v>
      </c>
      <c r="W33" s="18" t="s">
        <v>20</v>
      </c>
      <c r="X33" s="18" t="s">
        <v>20</v>
      </c>
      <c r="Y33" s="19" t="s">
        <v>20</v>
      </c>
      <c r="Z33" s="18" t="s">
        <v>20</v>
      </c>
      <c r="AA33" s="28" t="s">
        <v>21</v>
      </c>
      <c r="AB33" s="28" t="s">
        <v>21</v>
      </c>
      <c r="AC33" s="20" t="s">
        <v>20</v>
      </c>
      <c r="AD33" s="29" t="s">
        <v>20</v>
      </c>
      <c r="AE33" s="29" t="s">
        <v>21</v>
      </c>
      <c r="AG33">
        <f t="shared" si="0"/>
        <v>0</v>
      </c>
      <c r="AH33">
        <f t="shared" si="1"/>
        <v>16</v>
      </c>
      <c r="AI33">
        <f t="shared" si="2"/>
        <v>10</v>
      </c>
      <c r="AJ33">
        <f t="shared" si="3"/>
        <v>0</v>
      </c>
      <c r="AL33">
        <f t="shared" si="4"/>
        <v>0</v>
      </c>
      <c r="AM33">
        <f t="shared" si="5"/>
        <v>48</v>
      </c>
      <c r="AN33">
        <f t="shared" si="6"/>
        <v>20</v>
      </c>
      <c r="AO33">
        <f t="shared" si="7"/>
        <v>0</v>
      </c>
      <c r="AP33">
        <f t="shared" si="8"/>
        <v>68</v>
      </c>
    </row>
    <row r="34" spans="1:42" ht="15.75" hidden="1" customHeight="1" x14ac:dyDescent="0.3">
      <c r="A34" s="16"/>
      <c r="B34" s="55">
        <v>11</v>
      </c>
      <c r="C34" s="56" t="s">
        <v>51</v>
      </c>
      <c r="D34" s="55">
        <v>1</v>
      </c>
      <c r="E34" s="55" t="s">
        <v>21</v>
      </c>
      <c r="F34" s="18" t="s">
        <v>39</v>
      </c>
      <c r="G34" s="18" t="s">
        <v>20</v>
      </c>
      <c r="H34" s="18" t="s">
        <v>20</v>
      </c>
      <c r="I34" s="18" t="s">
        <v>20</v>
      </c>
      <c r="J34" s="18" t="s">
        <v>20</v>
      </c>
      <c r="K34" s="18" t="s">
        <v>20</v>
      </c>
      <c r="L34" s="18" t="s">
        <v>20</v>
      </c>
      <c r="M34" s="18" t="s">
        <v>20</v>
      </c>
      <c r="N34" s="18" t="s">
        <v>20</v>
      </c>
      <c r="O34" s="18" t="s">
        <v>20</v>
      </c>
      <c r="P34" s="18" t="s">
        <v>20</v>
      </c>
      <c r="Q34" s="18" t="s">
        <v>20</v>
      </c>
      <c r="R34" s="18" t="s">
        <v>20</v>
      </c>
      <c r="S34" s="18" t="s">
        <v>20</v>
      </c>
      <c r="T34" s="18" t="s">
        <v>20</v>
      </c>
      <c r="U34" s="18" t="s">
        <v>20</v>
      </c>
      <c r="V34" s="18" t="s">
        <v>20</v>
      </c>
      <c r="W34" s="18" t="s">
        <v>20</v>
      </c>
      <c r="X34" s="18" t="s">
        <v>21</v>
      </c>
      <c r="Y34" s="19" t="s">
        <v>20</v>
      </c>
      <c r="Z34" s="18" t="s">
        <v>20</v>
      </c>
      <c r="AA34" s="28" t="s">
        <v>20</v>
      </c>
      <c r="AB34" s="28" t="s">
        <v>20</v>
      </c>
      <c r="AC34" s="20" t="s">
        <v>20</v>
      </c>
      <c r="AD34" s="29" t="s">
        <v>20</v>
      </c>
      <c r="AE34" s="29" t="s">
        <v>21</v>
      </c>
      <c r="AG34">
        <f t="shared" si="0"/>
        <v>1</v>
      </c>
      <c r="AH34">
        <f t="shared" si="1"/>
        <v>23</v>
      </c>
      <c r="AI34">
        <f t="shared" si="2"/>
        <v>2</v>
      </c>
      <c r="AJ34">
        <f t="shared" si="3"/>
        <v>0</v>
      </c>
      <c r="AL34">
        <f t="shared" si="4"/>
        <v>4</v>
      </c>
      <c r="AM34">
        <f t="shared" si="5"/>
        <v>69</v>
      </c>
      <c r="AN34">
        <f t="shared" si="6"/>
        <v>4</v>
      </c>
      <c r="AO34">
        <f t="shared" si="7"/>
        <v>0</v>
      </c>
      <c r="AP34">
        <f t="shared" si="8"/>
        <v>77</v>
      </c>
    </row>
    <row r="35" spans="1:42" ht="15.75" hidden="1" customHeight="1" x14ac:dyDescent="0.3">
      <c r="A35" s="16"/>
      <c r="B35" s="55">
        <v>12</v>
      </c>
      <c r="C35" s="56" t="s">
        <v>52</v>
      </c>
      <c r="D35" s="55">
        <v>1</v>
      </c>
      <c r="E35" s="55" t="s">
        <v>21</v>
      </c>
      <c r="F35" s="18" t="s">
        <v>20</v>
      </c>
      <c r="G35" s="18" t="s">
        <v>21</v>
      </c>
      <c r="H35" s="18" t="s">
        <v>20</v>
      </c>
      <c r="I35" s="18" t="s">
        <v>21</v>
      </c>
      <c r="J35" s="18" t="s">
        <v>20</v>
      </c>
      <c r="K35" s="18" t="s">
        <v>21</v>
      </c>
      <c r="L35" s="18" t="s">
        <v>21</v>
      </c>
      <c r="M35" s="18" t="s">
        <v>20</v>
      </c>
      <c r="N35" s="18" t="s">
        <v>20</v>
      </c>
      <c r="O35" s="18" t="s">
        <v>20</v>
      </c>
      <c r="P35" s="18" t="s">
        <v>20</v>
      </c>
      <c r="Q35" s="18" t="s">
        <v>20</v>
      </c>
      <c r="R35" s="18" t="s">
        <v>20</v>
      </c>
      <c r="S35" s="18" t="s">
        <v>20</v>
      </c>
      <c r="T35" s="18" t="s">
        <v>20</v>
      </c>
      <c r="U35" s="18" t="s">
        <v>20</v>
      </c>
      <c r="V35" s="18" t="s">
        <v>21</v>
      </c>
      <c r="W35" s="18" t="s">
        <v>20</v>
      </c>
      <c r="X35" s="18" t="s">
        <v>21</v>
      </c>
      <c r="Y35" s="19" t="s">
        <v>21</v>
      </c>
      <c r="Z35" s="18" t="s">
        <v>20</v>
      </c>
      <c r="AA35" s="28" t="s">
        <v>21</v>
      </c>
      <c r="AB35" s="28" t="s">
        <v>21</v>
      </c>
      <c r="AC35" s="20" t="s">
        <v>21</v>
      </c>
      <c r="AD35" s="29" t="s">
        <v>21</v>
      </c>
      <c r="AE35" s="29" t="s">
        <v>21</v>
      </c>
      <c r="AG35">
        <f t="shared" si="0"/>
        <v>0</v>
      </c>
      <c r="AH35">
        <f t="shared" si="1"/>
        <v>14</v>
      </c>
      <c r="AI35">
        <f t="shared" si="2"/>
        <v>12</v>
      </c>
      <c r="AJ35">
        <f t="shared" si="3"/>
        <v>0</v>
      </c>
      <c r="AL35">
        <f t="shared" si="4"/>
        <v>0</v>
      </c>
      <c r="AM35">
        <f t="shared" si="5"/>
        <v>42</v>
      </c>
      <c r="AN35">
        <f t="shared" si="6"/>
        <v>24</v>
      </c>
      <c r="AO35">
        <f t="shared" si="7"/>
        <v>0</v>
      </c>
      <c r="AP35">
        <f t="shared" si="8"/>
        <v>66</v>
      </c>
    </row>
    <row r="36" spans="1:42" ht="15.75" hidden="1" customHeight="1" x14ac:dyDescent="0.3">
      <c r="A36" s="16"/>
      <c r="B36" s="55">
        <v>13</v>
      </c>
      <c r="C36" s="56" t="s">
        <v>53</v>
      </c>
      <c r="D36" s="55">
        <v>1</v>
      </c>
      <c r="E36" s="55" t="s">
        <v>21</v>
      </c>
      <c r="F36" s="18" t="s">
        <v>21</v>
      </c>
      <c r="G36" s="18" t="s">
        <v>20</v>
      </c>
      <c r="H36" s="18" t="s">
        <v>21</v>
      </c>
      <c r="I36" s="18" t="s">
        <v>21</v>
      </c>
      <c r="J36" s="18" t="s">
        <v>20</v>
      </c>
      <c r="K36" s="18" t="s">
        <v>21</v>
      </c>
      <c r="L36" s="18" t="s">
        <v>21</v>
      </c>
      <c r="M36" s="18" t="s">
        <v>21</v>
      </c>
      <c r="N36" s="18" t="s">
        <v>20</v>
      </c>
      <c r="O36" s="18" t="s">
        <v>20</v>
      </c>
      <c r="P36" s="18" t="s">
        <v>21</v>
      </c>
      <c r="Q36" s="18" t="s">
        <v>21</v>
      </c>
      <c r="R36" s="18" t="s">
        <v>21</v>
      </c>
      <c r="S36" s="18" t="s">
        <v>21</v>
      </c>
      <c r="T36" s="18" t="s">
        <v>20</v>
      </c>
      <c r="U36" s="18" t="s">
        <v>20</v>
      </c>
      <c r="V36" s="18" t="s">
        <v>20</v>
      </c>
      <c r="W36" s="18" t="s">
        <v>20</v>
      </c>
      <c r="X36" s="18" t="s">
        <v>20</v>
      </c>
      <c r="Y36" s="19" t="s">
        <v>20</v>
      </c>
      <c r="Z36" s="18" t="s">
        <v>20</v>
      </c>
      <c r="AA36" s="28" t="s">
        <v>20</v>
      </c>
      <c r="AB36" s="28" t="s">
        <v>20</v>
      </c>
      <c r="AC36" s="20" t="s">
        <v>21</v>
      </c>
      <c r="AD36" s="29" t="s">
        <v>21</v>
      </c>
      <c r="AE36" s="29" t="s">
        <v>21</v>
      </c>
      <c r="AG36">
        <f t="shared" si="0"/>
        <v>0</v>
      </c>
      <c r="AH36">
        <f t="shared" si="1"/>
        <v>13</v>
      </c>
      <c r="AI36">
        <f t="shared" si="2"/>
        <v>13</v>
      </c>
      <c r="AJ36">
        <f t="shared" si="3"/>
        <v>0</v>
      </c>
      <c r="AL36">
        <f t="shared" si="4"/>
        <v>0</v>
      </c>
      <c r="AM36">
        <f t="shared" si="5"/>
        <v>39</v>
      </c>
      <c r="AN36">
        <f t="shared" si="6"/>
        <v>26</v>
      </c>
      <c r="AO36">
        <f t="shared" si="7"/>
        <v>0</v>
      </c>
      <c r="AP36">
        <f t="shared" si="8"/>
        <v>65</v>
      </c>
    </row>
    <row r="37" spans="1:42" ht="15.75" hidden="1" customHeight="1" x14ac:dyDescent="0.3">
      <c r="A37" s="16"/>
      <c r="B37" s="55">
        <v>14</v>
      </c>
      <c r="C37" s="56" t="s">
        <v>54</v>
      </c>
      <c r="D37" s="55">
        <v>1</v>
      </c>
      <c r="E37" s="55" t="s">
        <v>21</v>
      </c>
      <c r="F37" s="18" t="s">
        <v>20</v>
      </c>
      <c r="G37" s="18" t="s">
        <v>20</v>
      </c>
      <c r="H37" s="18" t="s">
        <v>20</v>
      </c>
      <c r="I37" s="18" t="s">
        <v>20</v>
      </c>
      <c r="J37" s="18" t="s">
        <v>20</v>
      </c>
      <c r="K37" s="18" t="s">
        <v>20</v>
      </c>
      <c r="L37" s="18" t="s">
        <v>20</v>
      </c>
      <c r="M37" s="18" t="s">
        <v>20</v>
      </c>
      <c r="N37" s="18" t="s">
        <v>20</v>
      </c>
      <c r="O37" s="18" t="s">
        <v>20</v>
      </c>
      <c r="P37" s="18" t="s">
        <v>20</v>
      </c>
      <c r="Q37" s="18" t="s">
        <v>20</v>
      </c>
      <c r="R37" s="18" t="s">
        <v>20</v>
      </c>
      <c r="S37" s="18" t="s">
        <v>20</v>
      </c>
      <c r="T37" s="18" t="s">
        <v>20</v>
      </c>
      <c r="U37" s="18" t="s">
        <v>20</v>
      </c>
      <c r="V37" s="18" t="s">
        <v>21</v>
      </c>
      <c r="W37" s="18" t="s">
        <v>21</v>
      </c>
      <c r="X37" s="18" t="s">
        <v>20</v>
      </c>
      <c r="Y37" s="19" t="s">
        <v>21</v>
      </c>
      <c r="Z37" s="18" t="s">
        <v>20</v>
      </c>
      <c r="AA37" s="28" t="s">
        <v>20</v>
      </c>
      <c r="AB37" s="28" t="s">
        <v>20</v>
      </c>
      <c r="AC37" s="20" t="s">
        <v>20</v>
      </c>
      <c r="AD37" s="29" t="s">
        <v>55</v>
      </c>
      <c r="AE37" s="29" t="s">
        <v>55</v>
      </c>
      <c r="AG37">
        <f t="shared" si="0"/>
        <v>0</v>
      </c>
      <c r="AH37">
        <f t="shared" si="1"/>
        <v>21</v>
      </c>
      <c r="AI37">
        <f t="shared" si="2"/>
        <v>3</v>
      </c>
      <c r="AJ37">
        <f t="shared" si="3"/>
        <v>0</v>
      </c>
      <c r="AL37">
        <f t="shared" si="4"/>
        <v>0</v>
      </c>
      <c r="AM37">
        <f t="shared" si="5"/>
        <v>63</v>
      </c>
      <c r="AN37">
        <f t="shared" si="6"/>
        <v>6</v>
      </c>
      <c r="AO37">
        <f t="shared" si="7"/>
        <v>0</v>
      </c>
      <c r="AP37">
        <f t="shared" si="8"/>
        <v>69</v>
      </c>
    </row>
    <row r="38" spans="1:42" ht="15.75" hidden="1" customHeight="1" x14ac:dyDescent="0.3">
      <c r="A38" s="16"/>
      <c r="B38" s="55">
        <v>15</v>
      </c>
      <c r="C38" s="56" t="s">
        <v>56</v>
      </c>
      <c r="D38" s="55">
        <v>1</v>
      </c>
      <c r="E38" s="55" t="s">
        <v>21</v>
      </c>
      <c r="F38" s="18" t="s">
        <v>20</v>
      </c>
      <c r="G38" s="18" t="s">
        <v>21</v>
      </c>
      <c r="H38" s="18" t="s">
        <v>21</v>
      </c>
      <c r="I38" s="18" t="s">
        <v>20</v>
      </c>
      <c r="J38" s="18" t="s">
        <v>21</v>
      </c>
      <c r="K38" s="18" t="s">
        <v>21</v>
      </c>
      <c r="L38" s="18" t="s">
        <v>21</v>
      </c>
      <c r="M38" s="18" t="s">
        <v>20</v>
      </c>
      <c r="N38" s="18" t="s">
        <v>20</v>
      </c>
      <c r="O38" s="18" t="s">
        <v>20</v>
      </c>
      <c r="P38" s="18" t="s">
        <v>21</v>
      </c>
      <c r="Q38" s="18" t="s">
        <v>21</v>
      </c>
      <c r="R38" s="18" t="s">
        <v>21</v>
      </c>
      <c r="S38" s="18" t="s">
        <v>23</v>
      </c>
      <c r="T38" s="18" t="s">
        <v>21</v>
      </c>
      <c r="U38" s="18" t="s">
        <v>20</v>
      </c>
      <c r="V38" s="18" t="s">
        <v>20</v>
      </c>
      <c r="W38" s="18" t="s">
        <v>20</v>
      </c>
      <c r="X38" s="18" t="s">
        <v>20</v>
      </c>
      <c r="Y38" s="19" t="s">
        <v>23</v>
      </c>
      <c r="Z38" s="18" t="s">
        <v>21</v>
      </c>
      <c r="AA38" s="28" t="s">
        <v>20</v>
      </c>
      <c r="AB38" s="28" t="s">
        <v>20</v>
      </c>
      <c r="AC38" s="20" t="s">
        <v>21</v>
      </c>
      <c r="AD38" s="29" t="s">
        <v>21</v>
      </c>
      <c r="AE38" s="29" t="s">
        <v>21</v>
      </c>
      <c r="AG38">
        <f t="shared" si="0"/>
        <v>0</v>
      </c>
      <c r="AH38">
        <f t="shared" si="1"/>
        <v>11</v>
      </c>
      <c r="AI38">
        <f t="shared" si="2"/>
        <v>13</v>
      </c>
      <c r="AJ38">
        <f t="shared" si="3"/>
        <v>2</v>
      </c>
      <c r="AL38">
        <f t="shared" si="4"/>
        <v>0</v>
      </c>
      <c r="AM38">
        <f t="shared" si="5"/>
        <v>33</v>
      </c>
      <c r="AN38">
        <f t="shared" si="6"/>
        <v>26</v>
      </c>
      <c r="AO38">
        <f t="shared" si="7"/>
        <v>2</v>
      </c>
      <c r="AP38">
        <f t="shared" si="8"/>
        <v>61</v>
      </c>
    </row>
    <row r="39" spans="1:42" ht="15.75" hidden="1" customHeight="1" x14ac:dyDescent="0.3">
      <c r="A39" s="16"/>
      <c r="B39" s="55">
        <v>16</v>
      </c>
      <c r="C39" s="56" t="s">
        <v>57</v>
      </c>
      <c r="D39" s="55">
        <v>1</v>
      </c>
      <c r="E39" s="55" t="s">
        <v>21</v>
      </c>
      <c r="F39" s="18" t="s">
        <v>20</v>
      </c>
      <c r="G39" s="18" t="s">
        <v>21</v>
      </c>
      <c r="H39" s="18" t="s">
        <v>21</v>
      </c>
      <c r="I39" s="18" t="s">
        <v>21</v>
      </c>
      <c r="J39" s="18" t="s">
        <v>20</v>
      </c>
      <c r="K39" s="18" t="s">
        <v>21</v>
      </c>
      <c r="L39" s="18" t="s">
        <v>21</v>
      </c>
      <c r="M39" s="18" t="s">
        <v>21</v>
      </c>
      <c r="N39" s="18" t="s">
        <v>21</v>
      </c>
      <c r="O39" s="18" t="s">
        <v>20</v>
      </c>
      <c r="P39" s="18" t="s">
        <v>21</v>
      </c>
      <c r="Q39" s="18" t="s">
        <v>21</v>
      </c>
      <c r="R39" s="18" t="s">
        <v>21</v>
      </c>
      <c r="S39" s="18" t="s">
        <v>21</v>
      </c>
      <c r="T39" s="18" t="s">
        <v>21</v>
      </c>
      <c r="U39" s="18" t="s">
        <v>21</v>
      </c>
      <c r="V39" s="18" t="s">
        <v>20</v>
      </c>
      <c r="W39" s="18" t="s">
        <v>20</v>
      </c>
      <c r="X39" s="18" t="s">
        <v>21</v>
      </c>
      <c r="Y39" s="19" t="s">
        <v>20</v>
      </c>
      <c r="Z39" s="18" t="s">
        <v>20</v>
      </c>
      <c r="AA39" s="28" t="s">
        <v>20</v>
      </c>
      <c r="AB39" s="28" t="s">
        <v>20</v>
      </c>
      <c r="AC39" s="20" t="s">
        <v>21</v>
      </c>
      <c r="AD39" s="29" t="s">
        <v>21</v>
      </c>
      <c r="AE39" s="29" t="s">
        <v>21</v>
      </c>
      <c r="AG39">
        <f t="shared" si="0"/>
        <v>0</v>
      </c>
      <c r="AH39">
        <f t="shared" si="1"/>
        <v>9</v>
      </c>
      <c r="AI39">
        <f t="shared" si="2"/>
        <v>17</v>
      </c>
      <c r="AJ39">
        <f t="shared" si="3"/>
        <v>0</v>
      </c>
      <c r="AL39">
        <f t="shared" si="4"/>
        <v>0</v>
      </c>
      <c r="AM39">
        <f t="shared" si="5"/>
        <v>27</v>
      </c>
      <c r="AN39">
        <f t="shared" si="6"/>
        <v>34</v>
      </c>
      <c r="AO39">
        <f t="shared" si="7"/>
        <v>0</v>
      </c>
      <c r="AP39">
        <f t="shared" si="8"/>
        <v>61</v>
      </c>
    </row>
    <row r="40" spans="1:42" ht="15.75" hidden="1" customHeight="1" x14ac:dyDescent="0.3">
      <c r="A40" s="16"/>
      <c r="B40" s="55">
        <v>17</v>
      </c>
      <c r="C40" s="56" t="s">
        <v>58</v>
      </c>
      <c r="D40" s="55">
        <v>1</v>
      </c>
      <c r="E40" s="55" t="s">
        <v>21</v>
      </c>
      <c r="F40" s="18" t="s">
        <v>21</v>
      </c>
      <c r="G40" s="18" t="s">
        <v>21</v>
      </c>
      <c r="H40" s="18" t="s">
        <v>21</v>
      </c>
      <c r="I40" s="18" t="s">
        <v>21</v>
      </c>
      <c r="J40" s="18" t="s">
        <v>20</v>
      </c>
      <c r="K40" s="18" t="s">
        <v>21</v>
      </c>
      <c r="L40" s="18" t="s">
        <v>21</v>
      </c>
      <c r="M40" s="18" t="s">
        <v>21</v>
      </c>
      <c r="N40" s="18" t="s">
        <v>20</v>
      </c>
      <c r="O40" s="18" t="s">
        <v>20</v>
      </c>
      <c r="P40" s="18" t="s">
        <v>21</v>
      </c>
      <c r="Q40" s="18" t="s">
        <v>21</v>
      </c>
      <c r="R40" s="18" t="s">
        <v>21</v>
      </c>
      <c r="S40" s="18" t="s">
        <v>20</v>
      </c>
      <c r="T40" s="18" t="s">
        <v>21</v>
      </c>
      <c r="U40" s="18" t="s">
        <v>20</v>
      </c>
      <c r="V40" s="18" t="s">
        <v>20</v>
      </c>
      <c r="W40" s="18" t="s">
        <v>20</v>
      </c>
      <c r="X40" s="18" t="s">
        <v>20</v>
      </c>
      <c r="Y40" s="19" t="s">
        <v>21</v>
      </c>
      <c r="Z40" s="18" t="s">
        <v>20</v>
      </c>
      <c r="AA40" s="28" t="s">
        <v>20</v>
      </c>
      <c r="AB40" s="28" t="s">
        <v>20</v>
      </c>
      <c r="AC40" s="20" t="s">
        <v>21</v>
      </c>
      <c r="AD40" s="29" t="s">
        <v>21</v>
      </c>
      <c r="AE40" s="29" t="s">
        <v>21</v>
      </c>
      <c r="AG40">
        <f t="shared" si="0"/>
        <v>0</v>
      </c>
      <c r="AH40">
        <f t="shared" si="1"/>
        <v>11</v>
      </c>
      <c r="AI40">
        <f t="shared" si="2"/>
        <v>15</v>
      </c>
      <c r="AJ40">
        <f t="shared" si="3"/>
        <v>0</v>
      </c>
      <c r="AL40">
        <f t="shared" si="4"/>
        <v>0</v>
      </c>
      <c r="AM40">
        <f t="shared" si="5"/>
        <v>33</v>
      </c>
      <c r="AN40">
        <f t="shared" si="6"/>
        <v>30</v>
      </c>
      <c r="AO40">
        <f t="shared" si="7"/>
        <v>0</v>
      </c>
      <c r="AP40">
        <f t="shared" si="8"/>
        <v>63</v>
      </c>
    </row>
    <row r="41" spans="1:42" ht="15.75" hidden="1" customHeight="1" x14ac:dyDescent="0.3">
      <c r="A41" s="16"/>
      <c r="B41" s="55">
        <v>18</v>
      </c>
      <c r="C41" s="56" t="s">
        <v>59</v>
      </c>
      <c r="D41" s="55">
        <v>1</v>
      </c>
      <c r="E41" s="55" t="s">
        <v>21</v>
      </c>
      <c r="F41" s="18" t="s">
        <v>20</v>
      </c>
      <c r="G41" s="18" t="s">
        <v>21</v>
      </c>
      <c r="H41" s="18" t="s">
        <v>21</v>
      </c>
      <c r="I41" s="18" t="s">
        <v>21</v>
      </c>
      <c r="J41" s="18" t="s">
        <v>21</v>
      </c>
      <c r="K41" s="18" t="s">
        <v>21</v>
      </c>
      <c r="L41" s="18" t="s">
        <v>21</v>
      </c>
      <c r="M41" s="18" t="s">
        <v>20</v>
      </c>
      <c r="N41" s="18" t="s">
        <v>20</v>
      </c>
      <c r="O41" s="18" t="s">
        <v>20</v>
      </c>
      <c r="P41" s="18" t="s">
        <v>20</v>
      </c>
      <c r="Q41" s="18" t="s">
        <v>21</v>
      </c>
      <c r="R41" s="18" t="s">
        <v>20</v>
      </c>
      <c r="S41" s="18" t="s">
        <v>20</v>
      </c>
      <c r="T41" s="18" t="s">
        <v>20</v>
      </c>
      <c r="U41" s="18" t="s">
        <v>21</v>
      </c>
      <c r="V41" s="18" t="s">
        <v>21</v>
      </c>
      <c r="W41" s="18" t="s">
        <v>20</v>
      </c>
      <c r="X41" s="18" t="s">
        <v>20</v>
      </c>
      <c r="Y41" s="19" t="s">
        <v>21</v>
      </c>
      <c r="Z41" s="18" t="s">
        <v>20</v>
      </c>
      <c r="AA41" s="28" t="s">
        <v>20</v>
      </c>
      <c r="AB41" s="28" t="s">
        <v>20</v>
      </c>
      <c r="AC41" s="20" t="s">
        <v>21</v>
      </c>
      <c r="AD41" s="29" t="s">
        <v>20</v>
      </c>
      <c r="AE41" s="29" t="s">
        <v>21</v>
      </c>
      <c r="AG41">
        <f t="shared" si="0"/>
        <v>0</v>
      </c>
      <c r="AH41">
        <f t="shared" si="1"/>
        <v>14</v>
      </c>
      <c r="AI41">
        <f t="shared" si="2"/>
        <v>12</v>
      </c>
      <c r="AJ41">
        <f t="shared" si="3"/>
        <v>0</v>
      </c>
      <c r="AL41">
        <f t="shared" si="4"/>
        <v>0</v>
      </c>
      <c r="AM41">
        <f t="shared" si="5"/>
        <v>42</v>
      </c>
      <c r="AN41">
        <f t="shared" si="6"/>
        <v>24</v>
      </c>
      <c r="AO41">
        <f t="shared" si="7"/>
        <v>0</v>
      </c>
      <c r="AP41">
        <f t="shared" si="8"/>
        <v>66</v>
      </c>
    </row>
    <row r="42" spans="1:42" ht="15.75" hidden="1" customHeight="1" x14ac:dyDescent="0.3">
      <c r="A42" s="16"/>
      <c r="B42" s="55">
        <v>19</v>
      </c>
      <c r="C42" s="56" t="s">
        <v>60</v>
      </c>
      <c r="D42" s="55">
        <v>1</v>
      </c>
      <c r="E42" s="55" t="s">
        <v>21</v>
      </c>
      <c r="F42" s="18" t="s">
        <v>20</v>
      </c>
      <c r="G42" s="18" t="s">
        <v>21</v>
      </c>
      <c r="H42" s="18" t="s">
        <v>21</v>
      </c>
      <c r="I42" s="18" t="s">
        <v>21</v>
      </c>
      <c r="J42" s="18" t="s">
        <v>21</v>
      </c>
      <c r="K42" s="18" t="s">
        <v>21</v>
      </c>
      <c r="L42" s="18" t="s">
        <v>21</v>
      </c>
      <c r="M42" s="18" t="s">
        <v>21</v>
      </c>
      <c r="N42" s="18" t="s">
        <v>20</v>
      </c>
      <c r="O42" s="18" t="s">
        <v>20</v>
      </c>
      <c r="P42" s="18" t="s">
        <v>21</v>
      </c>
      <c r="Q42" s="18" t="s">
        <v>21</v>
      </c>
      <c r="R42" s="18" t="s">
        <v>21</v>
      </c>
      <c r="S42" s="18" t="s">
        <v>20</v>
      </c>
      <c r="T42" s="18" t="s">
        <v>21</v>
      </c>
      <c r="U42" s="18" t="s">
        <v>20</v>
      </c>
      <c r="V42" s="18" t="s">
        <v>21</v>
      </c>
      <c r="W42" s="18" t="s">
        <v>20</v>
      </c>
      <c r="X42" s="18" t="s">
        <v>20</v>
      </c>
      <c r="Y42" s="19" t="s">
        <v>20</v>
      </c>
      <c r="Z42" s="18" t="s">
        <v>20</v>
      </c>
      <c r="AA42" s="28" t="s">
        <v>21</v>
      </c>
      <c r="AB42" s="28" t="s">
        <v>23</v>
      </c>
      <c r="AC42" s="20" t="s">
        <v>21</v>
      </c>
      <c r="AD42" s="29" t="s">
        <v>21</v>
      </c>
      <c r="AE42" s="29" t="s">
        <v>21</v>
      </c>
      <c r="AG42">
        <f t="shared" si="0"/>
        <v>0</v>
      </c>
      <c r="AH42">
        <f t="shared" si="1"/>
        <v>9</v>
      </c>
      <c r="AI42">
        <f t="shared" si="2"/>
        <v>16</v>
      </c>
      <c r="AJ42">
        <f t="shared" si="3"/>
        <v>1</v>
      </c>
      <c r="AL42">
        <f t="shared" si="4"/>
        <v>0</v>
      </c>
      <c r="AM42">
        <f t="shared" si="5"/>
        <v>27</v>
      </c>
      <c r="AN42">
        <f t="shared" si="6"/>
        <v>32</v>
      </c>
      <c r="AO42">
        <f t="shared" si="7"/>
        <v>1</v>
      </c>
      <c r="AP42">
        <f t="shared" si="8"/>
        <v>60</v>
      </c>
    </row>
    <row r="43" spans="1:42" ht="15.75" hidden="1" customHeight="1" thickBot="1" x14ac:dyDescent="0.35">
      <c r="A43" s="16"/>
      <c r="B43" s="57">
        <v>20</v>
      </c>
      <c r="C43" s="58" t="s">
        <v>61</v>
      </c>
      <c r="D43" s="57">
        <v>1</v>
      </c>
      <c r="E43" s="57" t="s">
        <v>21</v>
      </c>
      <c r="F43" s="21" t="s">
        <v>20</v>
      </c>
      <c r="G43" s="21" t="s">
        <v>21</v>
      </c>
      <c r="H43" s="21" t="s">
        <v>20</v>
      </c>
      <c r="I43" s="21" t="s">
        <v>21</v>
      </c>
      <c r="J43" s="21" t="s">
        <v>21</v>
      </c>
      <c r="K43" s="21" t="s">
        <v>21</v>
      </c>
      <c r="L43" s="21" t="s">
        <v>21</v>
      </c>
      <c r="M43" s="21" t="s">
        <v>20</v>
      </c>
      <c r="N43" s="21" t="s">
        <v>20</v>
      </c>
      <c r="O43" s="21" t="s">
        <v>20</v>
      </c>
      <c r="P43" s="21" t="s">
        <v>21</v>
      </c>
      <c r="Q43" s="21" t="s">
        <v>21</v>
      </c>
      <c r="R43" s="21" t="s">
        <v>21</v>
      </c>
      <c r="S43" s="21" t="s">
        <v>23</v>
      </c>
      <c r="T43" s="21" t="s">
        <v>21</v>
      </c>
      <c r="U43" s="21" t="s">
        <v>21</v>
      </c>
      <c r="V43" s="21" t="s">
        <v>20</v>
      </c>
      <c r="W43" s="21" t="s">
        <v>20</v>
      </c>
      <c r="X43" s="21" t="s">
        <v>20</v>
      </c>
      <c r="Y43" s="22" t="s">
        <v>21</v>
      </c>
      <c r="Z43" s="21" t="s">
        <v>20</v>
      </c>
      <c r="AA43" s="30" t="s">
        <v>20</v>
      </c>
      <c r="AB43" s="30" t="s">
        <v>20</v>
      </c>
      <c r="AC43" s="23" t="s">
        <v>21</v>
      </c>
      <c r="AD43" s="31" t="s">
        <v>21</v>
      </c>
      <c r="AE43" s="31" t="s">
        <v>21</v>
      </c>
      <c r="AG43">
        <f t="shared" si="0"/>
        <v>0</v>
      </c>
      <c r="AH43">
        <f t="shared" si="1"/>
        <v>11</v>
      </c>
      <c r="AI43">
        <f t="shared" si="2"/>
        <v>14</v>
      </c>
      <c r="AJ43">
        <f t="shared" si="3"/>
        <v>1</v>
      </c>
      <c r="AL43">
        <f t="shared" si="4"/>
        <v>0</v>
      </c>
      <c r="AM43">
        <f t="shared" si="5"/>
        <v>33</v>
      </c>
      <c r="AN43">
        <f t="shared" si="6"/>
        <v>28</v>
      </c>
      <c r="AO43">
        <f t="shared" si="7"/>
        <v>1</v>
      </c>
      <c r="AP43">
        <f t="shared" si="8"/>
        <v>62</v>
      </c>
    </row>
    <row r="44" spans="1:42" ht="15.75" hidden="1" customHeight="1" x14ac:dyDescent="0.3">
      <c r="A44" s="16"/>
      <c r="B44" s="59">
        <v>18</v>
      </c>
      <c r="C44" s="60" t="s">
        <v>79</v>
      </c>
      <c r="D44" s="59">
        <v>2</v>
      </c>
      <c r="E44" s="59" t="s">
        <v>20</v>
      </c>
      <c r="F44" s="24" t="s">
        <v>20</v>
      </c>
      <c r="G44" s="24" t="s">
        <v>20</v>
      </c>
      <c r="H44" s="24" t="s">
        <v>20</v>
      </c>
      <c r="I44" s="24" t="s">
        <v>20</v>
      </c>
      <c r="J44" s="24" t="s">
        <v>20</v>
      </c>
      <c r="K44" s="24" t="s">
        <v>20</v>
      </c>
      <c r="L44" s="24" t="s">
        <v>20</v>
      </c>
      <c r="M44" s="24" t="s">
        <v>20</v>
      </c>
      <c r="N44" s="24" t="s">
        <v>20</v>
      </c>
      <c r="O44" s="24" t="s">
        <v>20</v>
      </c>
      <c r="P44" s="24" t="s">
        <v>20</v>
      </c>
      <c r="Q44" s="24" t="s">
        <v>20</v>
      </c>
      <c r="R44" s="24" t="s">
        <v>20</v>
      </c>
      <c r="S44" s="24" t="s">
        <v>20</v>
      </c>
      <c r="T44" s="24" t="s">
        <v>20</v>
      </c>
      <c r="U44" s="24" t="s">
        <v>20</v>
      </c>
      <c r="V44" s="39" t="s">
        <v>20</v>
      </c>
      <c r="W44" s="39" t="s">
        <v>20</v>
      </c>
      <c r="X44" s="39" t="s">
        <v>20</v>
      </c>
      <c r="Y44" s="24" t="s">
        <v>39</v>
      </c>
      <c r="Z44" s="24" t="s">
        <v>39</v>
      </c>
      <c r="AA44" s="27" t="s">
        <v>20</v>
      </c>
      <c r="AB44" s="27" t="s">
        <v>20</v>
      </c>
      <c r="AC44" s="27" t="s">
        <v>20</v>
      </c>
      <c r="AD44" s="34" t="s">
        <v>20</v>
      </c>
      <c r="AE44" s="34" t="s">
        <v>21</v>
      </c>
      <c r="AG44">
        <f>+COUNTIF(F44:AE44,"AD")</f>
        <v>2</v>
      </c>
      <c r="AH44">
        <f>+COUNTIF(F44:AE44,"A")</f>
        <v>23</v>
      </c>
      <c r="AI44">
        <f>+COUNTIF(F44:AE44,"b")</f>
        <v>1</v>
      </c>
      <c r="AJ44">
        <f>+COUNTIF(F44:AE44,"c")</f>
        <v>0</v>
      </c>
      <c r="AL44">
        <f>+$AG$5*AG44</f>
        <v>8</v>
      </c>
      <c r="AM44">
        <f>+$AH$5*AH44</f>
        <v>69</v>
      </c>
      <c r="AN44">
        <f>+$AI$5*AI44</f>
        <v>2</v>
      </c>
      <c r="AO44">
        <f>+$AJ$5*AJ44</f>
        <v>0</v>
      </c>
      <c r="AP44">
        <f>+SUM(AL44:AO44)</f>
        <v>79</v>
      </c>
    </row>
    <row r="45" spans="1:42" ht="15.75" hidden="1" customHeight="1" x14ac:dyDescent="0.3">
      <c r="A45" s="16"/>
      <c r="B45" s="55">
        <v>23</v>
      </c>
      <c r="C45" s="56" t="s">
        <v>84</v>
      </c>
      <c r="D45" s="55">
        <v>2</v>
      </c>
      <c r="E45" s="55" t="s">
        <v>20</v>
      </c>
      <c r="F45" s="18" t="s">
        <v>20</v>
      </c>
      <c r="G45" s="18" t="s">
        <v>20</v>
      </c>
      <c r="H45" s="18" t="s">
        <v>20</v>
      </c>
      <c r="I45" s="18" t="s">
        <v>20</v>
      </c>
      <c r="J45" s="18" t="s">
        <v>20</v>
      </c>
      <c r="K45" s="18" t="s">
        <v>20</v>
      </c>
      <c r="L45" s="18" t="s">
        <v>20</v>
      </c>
      <c r="M45" s="18" t="s">
        <v>20</v>
      </c>
      <c r="N45" s="18" t="s">
        <v>20</v>
      </c>
      <c r="O45" s="18" t="s">
        <v>20</v>
      </c>
      <c r="P45" s="18" t="s">
        <v>20</v>
      </c>
      <c r="Q45" s="18" t="s">
        <v>20</v>
      </c>
      <c r="R45" s="18" t="s">
        <v>20</v>
      </c>
      <c r="S45" s="18" t="s">
        <v>20</v>
      </c>
      <c r="T45" s="18" t="s">
        <v>20</v>
      </c>
      <c r="U45" s="18" t="s">
        <v>20</v>
      </c>
      <c r="V45" s="37" t="s">
        <v>20</v>
      </c>
      <c r="W45" s="37" t="s">
        <v>20</v>
      </c>
      <c r="X45" s="37" t="s">
        <v>20</v>
      </c>
      <c r="Y45" s="18" t="s">
        <v>20</v>
      </c>
      <c r="Z45" s="18" t="s">
        <v>20</v>
      </c>
      <c r="AA45" s="20" t="s">
        <v>20</v>
      </c>
      <c r="AB45" s="20" t="s">
        <v>20</v>
      </c>
      <c r="AC45" s="20" t="s">
        <v>20</v>
      </c>
      <c r="AD45" s="29" t="s">
        <v>20</v>
      </c>
      <c r="AE45" s="29" t="s">
        <v>21</v>
      </c>
      <c r="AG45">
        <f>+COUNTIF(F45:AE45,"AD")</f>
        <v>0</v>
      </c>
      <c r="AH45">
        <f>+COUNTIF(F45:AE45,"A")</f>
        <v>25</v>
      </c>
      <c r="AI45">
        <f>+COUNTIF(F45:AE45,"b")</f>
        <v>1</v>
      </c>
      <c r="AJ45">
        <f>+COUNTIF(F45:AE45,"c")</f>
        <v>0</v>
      </c>
      <c r="AL45">
        <f>+$AG$5*AG45</f>
        <v>0</v>
      </c>
      <c r="AM45">
        <f>+$AH$5*AH45</f>
        <v>75</v>
      </c>
      <c r="AN45">
        <f>+$AI$5*AI45</f>
        <v>2</v>
      </c>
      <c r="AO45">
        <f>+$AJ$5*AJ45</f>
        <v>0</v>
      </c>
      <c r="AP45">
        <f>+SUM(AL45:AO45)</f>
        <v>77</v>
      </c>
    </row>
    <row r="46" spans="1:42" ht="15.75" hidden="1" customHeight="1" x14ac:dyDescent="0.3">
      <c r="A46" s="16"/>
      <c r="B46" s="55">
        <v>6</v>
      </c>
      <c r="C46" s="56" t="s">
        <v>67</v>
      </c>
      <c r="D46" s="55">
        <v>2</v>
      </c>
      <c r="E46" s="55" t="s">
        <v>20</v>
      </c>
      <c r="F46" s="18" t="s">
        <v>20</v>
      </c>
      <c r="G46" s="18" t="s">
        <v>21</v>
      </c>
      <c r="H46" s="18" t="s">
        <v>20</v>
      </c>
      <c r="I46" s="18" t="s">
        <v>20</v>
      </c>
      <c r="J46" s="18" t="s">
        <v>20</v>
      </c>
      <c r="K46" s="18" t="s">
        <v>20</v>
      </c>
      <c r="L46" s="18" t="s">
        <v>20</v>
      </c>
      <c r="M46" s="18" t="s">
        <v>20</v>
      </c>
      <c r="N46" s="18" t="s">
        <v>20</v>
      </c>
      <c r="O46" s="18" t="s">
        <v>20</v>
      </c>
      <c r="P46" s="18" t="s">
        <v>20</v>
      </c>
      <c r="Q46" s="18" t="s">
        <v>20</v>
      </c>
      <c r="R46" s="18" t="s">
        <v>20</v>
      </c>
      <c r="S46" s="18" t="s">
        <v>20</v>
      </c>
      <c r="T46" s="18" t="s">
        <v>20</v>
      </c>
      <c r="U46" s="18" t="s">
        <v>20</v>
      </c>
      <c r="V46" s="37" t="s">
        <v>20</v>
      </c>
      <c r="W46" s="37" t="s">
        <v>20</v>
      </c>
      <c r="X46" s="37" t="s">
        <v>20</v>
      </c>
      <c r="Y46" s="18" t="s">
        <v>20</v>
      </c>
      <c r="Z46" s="18" t="s">
        <v>20</v>
      </c>
      <c r="AA46" s="20" t="s">
        <v>20</v>
      </c>
      <c r="AB46" s="20" t="s">
        <v>20</v>
      </c>
      <c r="AC46" s="20" t="s">
        <v>20</v>
      </c>
      <c r="AD46" s="29" t="s">
        <v>20</v>
      </c>
      <c r="AE46" s="29" t="s">
        <v>21</v>
      </c>
      <c r="AG46">
        <f>+COUNTIF(F46:AE46,"AD")</f>
        <v>0</v>
      </c>
      <c r="AH46">
        <f>+COUNTIF(F46:AE46,"A")</f>
        <v>24</v>
      </c>
      <c r="AI46">
        <f>+COUNTIF(F46:AE46,"b")</f>
        <v>2</v>
      </c>
      <c r="AJ46">
        <f>+COUNTIF(F46:AE46,"c")</f>
        <v>0</v>
      </c>
      <c r="AL46">
        <f>+$AG$5*AG46</f>
        <v>0</v>
      </c>
      <c r="AM46">
        <f>+$AH$5*AH46</f>
        <v>72</v>
      </c>
      <c r="AN46">
        <f>+$AI$5*AI46</f>
        <v>4</v>
      </c>
      <c r="AO46">
        <f>+$AJ$5*AJ46</f>
        <v>0</v>
      </c>
      <c r="AP46">
        <f>+SUM(AL46:AO46)</f>
        <v>76</v>
      </c>
    </row>
    <row r="47" spans="1:42" ht="15.75" hidden="1" customHeight="1" x14ac:dyDescent="0.3">
      <c r="A47" s="16"/>
      <c r="B47" s="55">
        <v>8</v>
      </c>
      <c r="C47" s="56" t="s">
        <v>69</v>
      </c>
      <c r="D47" s="55">
        <v>2</v>
      </c>
      <c r="E47" s="55" t="s">
        <v>20</v>
      </c>
      <c r="F47" s="18" t="s">
        <v>21</v>
      </c>
      <c r="G47" s="18" t="s">
        <v>21</v>
      </c>
      <c r="H47" s="18" t="s">
        <v>21</v>
      </c>
      <c r="I47" s="18" t="s">
        <v>21</v>
      </c>
      <c r="J47" s="18" t="s">
        <v>20</v>
      </c>
      <c r="K47" s="18" t="s">
        <v>20</v>
      </c>
      <c r="L47" s="18" t="s">
        <v>20</v>
      </c>
      <c r="M47" s="18" t="s">
        <v>21</v>
      </c>
      <c r="N47" s="18" t="s">
        <v>20</v>
      </c>
      <c r="O47" s="18" t="s">
        <v>20</v>
      </c>
      <c r="P47" s="18" t="s">
        <v>20</v>
      </c>
      <c r="Q47" s="18" t="s">
        <v>20</v>
      </c>
      <c r="R47" s="18" t="s">
        <v>20</v>
      </c>
      <c r="S47" s="18" t="s">
        <v>20</v>
      </c>
      <c r="T47" s="18" t="s">
        <v>20</v>
      </c>
      <c r="U47" s="18" t="s">
        <v>21</v>
      </c>
      <c r="V47" s="37" t="s">
        <v>20</v>
      </c>
      <c r="W47" s="37" t="s">
        <v>20</v>
      </c>
      <c r="X47" s="37" t="s">
        <v>20</v>
      </c>
      <c r="Y47" s="18" t="s">
        <v>20</v>
      </c>
      <c r="Z47" s="18" t="s">
        <v>20</v>
      </c>
      <c r="AA47" s="20" t="s">
        <v>20</v>
      </c>
      <c r="AB47" s="20" t="s">
        <v>20</v>
      </c>
      <c r="AC47" s="20" t="s">
        <v>20</v>
      </c>
      <c r="AD47" s="29" t="s">
        <v>21</v>
      </c>
      <c r="AE47" s="29" t="s">
        <v>21</v>
      </c>
      <c r="AG47">
        <f>+COUNTIF(F47:AE47,"AD")</f>
        <v>0</v>
      </c>
      <c r="AH47">
        <f>+COUNTIF(F47:AE47,"A")</f>
        <v>18</v>
      </c>
      <c r="AI47">
        <f>+COUNTIF(F47:AE47,"b")</f>
        <v>8</v>
      </c>
      <c r="AJ47">
        <f>+COUNTIF(F47:AE47,"c")</f>
        <v>0</v>
      </c>
      <c r="AL47">
        <f>+$AG$5*AG47</f>
        <v>0</v>
      </c>
      <c r="AM47">
        <f>+$AH$5*AH47</f>
        <v>54</v>
      </c>
      <c r="AN47">
        <f>+$AI$5*AI47</f>
        <v>16</v>
      </c>
      <c r="AO47">
        <f>+$AJ$5*AJ47</f>
        <v>0</v>
      </c>
      <c r="AP47">
        <f>+SUM(AL47:AO47)</f>
        <v>70</v>
      </c>
    </row>
    <row r="48" spans="1:42" ht="15.75" hidden="1" customHeight="1" x14ac:dyDescent="0.3">
      <c r="A48" s="16"/>
      <c r="B48" s="55">
        <v>11</v>
      </c>
      <c r="C48" s="56" t="s">
        <v>72</v>
      </c>
      <c r="D48" s="55">
        <v>2</v>
      </c>
      <c r="E48" s="55" t="s">
        <v>20</v>
      </c>
      <c r="F48" s="18" t="s">
        <v>20</v>
      </c>
      <c r="G48" s="18" t="s">
        <v>20</v>
      </c>
      <c r="H48" s="18" t="s">
        <v>20</v>
      </c>
      <c r="I48" s="18" t="s">
        <v>20</v>
      </c>
      <c r="J48" s="18" t="s">
        <v>20</v>
      </c>
      <c r="K48" s="18" t="s">
        <v>20</v>
      </c>
      <c r="L48" s="18" t="s">
        <v>20</v>
      </c>
      <c r="M48" s="18" t="s">
        <v>20</v>
      </c>
      <c r="N48" s="18" t="s">
        <v>20</v>
      </c>
      <c r="O48" s="18" t="s">
        <v>20</v>
      </c>
      <c r="P48" s="18" t="s">
        <v>20</v>
      </c>
      <c r="Q48" s="18" t="s">
        <v>20</v>
      </c>
      <c r="R48" s="18" t="s">
        <v>20</v>
      </c>
      <c r="S48" s="18" t="s">
        <v>20</v>
      </c>
      <c r="T48" s="18" t="s">
        <v>21</v>
      </c>
      <c r="U48" s="18" t="s">
        <v>20</v>
      </c>
      <c r="V48" s="37" t="s">
        <v>21</v>
      </c>
      <c r="W48" s="37" t="s">
        <v>20</v>
      </c>
      <c r="X48" s="37" t="s">
        <v>21</v>
      </c>
      <c r="Y48" s="18" t="s">
        <v>20</v>
      </c>
      <c r="Z48" s="18" t="s">
        <v>20</v>
      </c>
      <c r="AA48" s="20" t="s">
        <v>20</v>
      </c>
      <c r="AB48" s="20" t="s">
        <v>20</v>
      </c>
      <c r="AC48" s="20" t="s">
        <v>20</v>
      </c>
      <c r="AD48" s="29" t="s">
        <v>55</v>
      </c>
      <c r="AE48" s="29" t="s">
        <v>55</v>
      </c>
      <c r="AG48">
        <f>+COUNTIF(F48:AE48,"AD")</f>
        <v>0</v>
      </c>
      <c r="AH48">
        <f>+COUNTIF(F48:AE48,"A")</f>
        <v>21</v>
      </c>
      <c r="AI48">
        <f>+COUNTIF(F48:AE48,"b")</f>
        <v>3</v>
      </c>
      <c r="AJ48">
        <f>+COUNTIF(F48:AE48,"c")</f>
        <v>0</v>
      </c>
      <c r="AL48">
        <f>+$AG$5*AG48</f>
        <v>0</v>
      </c>
      <c r="AM48">
        <f>+$AH$5*AH48</f>
        <v>63</v>
      </c>
      <c r="AN48">
        <f>+$AI$5*AI48</f>
        <v>6</v>
      </c>
      <c r="AO48">
        <f>+$AJ$5*AJ48</f>
        <v>0</v>
      </c>
      <c r="AP48">
        <f>+SUM(AL48:AO48)</f>
        <v>69</v>
      </c>
    </row>
    <row r="49" spans="1:42" ht="15.75" hidden="1" customHeight="1" x14ac:dyDescent="0.3">
      <c r="A49" s="16"/>
      <c r="B49" s="55">
        <v>20</v>
      </c>
      <c r="C49" s="56" t="s">
        <v>81</v>
      </c>
      <c r="D49" s="55">
        <v>2</v>
      </c>
      <c r="E49" s="55" t="s">
        <v>20</v>
      </c>
      <c r="F49" s="18" t="s">
        <v>21</v>
      </c>
      <c r="G49" s="18" t="s">
        <v>21</v>
      </c>
      <c r="H49" s="18" t="s">
        <v>21</v>
      </c>
      <c r="I49" s="18" t="s">
        <v>21</v>
      </c>
      <c r="J49" s="18" t="s">
        <v>20</v>
      </c>
      <c r="K49" s="18" t="s">
        <v>21</v>
      </c>
      <c r="L49" s="18" t="s">
        <v>20</v>
      </c>
      <c r="M49" s="18" t="s">
        <v>20</v>
      </c>
      <c r="N49" s="18" t="s">
        <v>20</v>
      </c>
      <c r="O49" s="18" t="s">
        <v>20</v>
      </c>
      <c r="P49" s="18" t="s">
        <v>20</v>
      </c>
      <c r="Q49" s="18" t="s">
        <v>20</v>
      </c>
      <c r="R49" s="18" t="s">
        <v>20</v>
      </c>
      <c r="S49" s="18" t="s">
        <v>20</v>
      </c>
      <c r="T49" s="18" t="s">
        <v>21</v>
      </c>
      <c r="U49" s="18" t="s">
        <v>20</v>
      </c>
      <c r="V49" s="37" t="s">
        <v>20</v>
      </c>
      <c r="W49" s="37" t="s">
        <v>20</v>
      </c>
      <c r="X49" s="37" t="s">
        <v>21</v>
      </c>
      <c r="Y49" s="18" t="s">
        <v>20</v>
      </c>
      <c r="Z49" s="18" t="s">
        <v>20</v>
      </c>
      <c r="AA49" s="20" t="s">
        <v>20</v>
      </c>
      <c r="AB49" s="20" t="s">
        <v>20</v>
      </c>
      <c r="AC49" s="20" t="s">
        <v>20</v>
      </c>
      <c r="AD49" s="29" t="s">
        <v>21</v>
      </c>
      <c r="AE49" s="29" t="s">
        <v>21</v>
      </c>
      <c r="AG49">
        <f>+COUNTIF(F49:AE49,"AD")</f>
        <v>0</v>
      </c>
      <c r="AH49">
        <f>+COUNTIF(F49:AE49,"A")</f>
        <v>17</v>
      </c>
      <c r="AI49">
        <f>+COUNTIF(F49:AE49,"b")</f>
        <v>9</v>
      </c>
      <c r="AJ49">
        <f>+COUNTIF(F49:AE49,"c")</f>
        <v>0</v>
      </c>
      <c r="AL49">
        <f>+$AG$5*AG49</f>
        <v>0</v>
      </c>
      <c r="AM49">
        <f>+$AH$5*AH49</f>
        <v>51</v>
      </c>
      <c r="AN49">
        <f>+$AI$5*AI49</f>
        <v>18</v>
      </c>
      <c r="AO49">
        <f>+$AJ$5*AJ49</f>
        <v>0</v>
      </c>
      <c r="AP49">
        <f>+SUM(AL49:AO49)</f>
        <v>69</v>
      </c>
    </row>
    <row r="50" spans="1:42" ht="15.75" hidden="1" customHeight="1" x14ac:dyDescent="0.3">
      <c r="A50" s="16"/>
      <c r="B50" s="55">
        <v>2</v>
      </c>
      <c r="C50" s="56" t="s">
        <v>63</v>
      </c>
      <c r="D50" s="55">
        <v>2</v>
      </c>
      <c r="E50" s="55" t="s">
        <v>20</v>
      </c>
      <c r="F50" s="18" t="s">
        <v>21</v>
      </c>
      <c r="G50" s="18" t="s">
        <v>21</v>
      </c>
      <c r="H50" s="18" t="s">
        <v>23</v>
      </c>
      <c r="I50" s="18" t="s">
        <v>21</v>
      </c>
      <c r="J50" s="18" t="s">
        <v>21</v>
      </c>
      <c r="K50" s="18" t="s">
        <v>23</v>
      </c>
      <c r="L50" s="18" t="s">
        <v>23</v>
      </c>
      <c r="M50" s="18" t="s">
        <v>20</v>
      </c>
      <c r="N50" s="18" t="s">
        <v>20</v>
      </c>
      <c r="O50" s="18" t="s">
        <v>20</v>
      </c>
      <c r="P50" s="18" t="s">
        <v>20</v>
      </c>
      <c r="Q50" s="18" t="s">
        <v>20</v>
      </c>
      <c r="R50" s="18" t="s">
        <v>20</v>
      </c>
      <c r="S50" s="18" t="s">
        <v>21</v>
      </c>
      <c r="T50" s="18" t="s">
        <v>20</v>
      </c>
      <c r="U50" s="18" t="s">
        <v>20</v>
      </c>
      <c r="V50" s="35" t="s">
        <v>20</v>
      </c>
      <c r="W50" s="35" t="s">
        <v>20</v>
      </c>
      <c r="X50" s="36" t="s">
        <v>20</v>
      </c>
      <c r="Y50" s="19" t="s">
        <v>20</v>
      </c>
      <c r="Z50" s="18" t="s">
        <v>20</v>
      </c>
      <c r="AA50" s="20" t="s">
        <v>21</v>
      </c>
      <c r="AB50" s="20" t="s">
        <v>21</v>
      </c>
      <c r="AC50" s="20" t="s">
        <v>21</v>
      </c>
      <c r="AD50" s="29" t="s">
        <v>20</v>
      </c>
      <c r="AE50" s="29" t="s">
        <v>21</v>
      </c>
      <c r="AG50">
        <f>+COUNTIF(F50:AE50,"AD")</f>
        <v>0</v>
      </c>
      <c r="AH50">
        <f>+COUNTIF(F50:AE50,"A")</f>
        <v>14</v>
      </c>
      <c r="AI50">
        <f>+COUNTIF(F50:AE50,"b")</f>
        <v>9</v>
      </c>
      <c r="AJ50">
        <f>+COUNTIF(F50:AE50,"c")</f>
        <v>3</v>
      </c>
      <c r="AL50">
        <f>+$AG$5*AG50</f>
        <v>0</v>
      </c>
      <c r="AM50">
        <f>+$AH$5*AH50</f>
        <v>42</v>
      </c>
      <c r="AN50">
        <f>+$AI$5*AI50</f>
        <v>18</v>
      </c>
      <c r="AO50">
        <f>+$AJ$5*AJ50</f>
        <v>3</v>
      </c>
      <c r="AP50">
        <f>+SUM(AL50:AO50)</f>
        <v>63</v>
      </c>
    </row>
    <row r="51" spans="1:42" ht="15.75" hidden="1" customHeight="1" x14ac:dyDescent="0.3">
      <c r="A51" s="16"/>
      <c r="B51" s="55">
        <v>7</v>
      </c>
      <c r="C51" s="56" t="s">
        <v>68</v>
      </c>
      <c r="D51" s="55">
        <v>2</v>
      </c>
      <c r="E51" s="55" t="s">
        <v>20</v>
      </c>
      <c r="F51" s="18" t="s">
        <v>21</v>
      </c>
      <c r="G51" s="18" t="s">
        <v>21</v>
      </c>
      <c r="H51" s="18" t="s">
        <v>21</v>
      </c>
      <c r="I51" s="18" t="s">
        <v>21</v>
      </c>
      <c r="J51" s="18" t="s">
        <v>20</v>
      </c>
      <c r="K51" s="18" t="s">
        <v>21</v>
      </c>
      <c r="L51" s="18" t="s">
        <v>21</v>
      </c>
      <c r="M51" s="18" t="s">
        <v>21</v>
      </c>
      <c r="N51" s="18" t="s">
        <v>20</v>
      </c>
      <c r="O51" s="18" t="s">
        <v>23</v>
      </c>
      <c r="P51" s="18" t="s">
        <v>21</v>
      </c>
      <c r="Q51" s="18" t="s">
        <v>21</v>
      </c>
      <c r="R51" s="18" t="s">
        <v>21</v>
      </c>
      <c r="S51" s="18" t="s">
        <v>21</v>
      </c>
      <c r="T51" s="18" t="s">
        <v>20</v>
      </c>
      <c r="U51" s="18" t="s">
        <v>20</v>
      </c>
      <c r="V51" s="37" t="s">
        <v>20</v>
      </c>
      <c r="W51" s="37" t="s">
        <v>20</v>
      </c>
      <c r="X51" s="37" t="s">
        <v>20</v>
      </c>
      <c r="Y51" s="18" t="s">
        <v>20</v>
      </c>
      <c r="Z51" s="18" t="s">
        <v>20</v>
      </c>
      <c r="AA51" s="20" t="s">
        <v>20</v>
      </c>
      <c r="AB51" s="20" t="s">
        <v>20</v>
      </c>
      <c r="AC51" s="20" t="s">
        <v>20</v>
      </c>
      <c r="AD51" s="29" t="s">
        <v>21</v>
      </c>
      <c r="AE51" s="29" t="s">
        <v>21</v>
      </c>
      <c r="AG51">
        <f>+COUNTIF(F51:AE51,"AD")</f>
        <v>0</v>
      </c>
      <c r="AH51">
        <f>+COUNTIF(F51:AE51,"A")</f>
        <v>12</v>
      </c>
      <c r="AI51">
        <f>+COUNTIF(F51:AE51,"b")</f>
        <v>13</v>
      </c>
      <c r="AJ51">
        <f>+COUNTIF(F51:AE51,"c")</f>
        <v>1</v>
      </c>
      <c r="AL51">
        <f>+$AG$5*AG51</f>
        <v>0</v>
      </c>
      <c r="AM51">
        <f>+$AH$5*AH51</f>
        <v>36</v>
      </c>
      <c r="AN51">
        <f>+$AI$5*AI51</f>
        <v>26</v>
      </c>
      <c r="AO51">
        <f>+$AJ$5*AJ51</f>
        <v>1</v>
      </c>
      <c r="AP51">
        <f>+SUM(AL51:AO51)</f>
        <v>63</v>
      </c>
    </row>
    <row r="52" spans="1:42" ht="15.75" hidden="1" customHeight="1" x14ac:dyDescent="0.3">
      <c r="A52" s="16"/>
      <c r="B52" s="55">
        <v>16</v>
      </c>
      <c r="C52" s="56" t="s">
        <v>77</v>
      </c>
      <c r="D52" s="55">
        <v>2</v>
      </c>
      <c r="E52" s="55" t="s">
        <v>20</v>
      </c>
      <c r="F52" s="18" t="s">
        <v>21</v>
      </c>
      <c r="G52" s="18" t="s">
        <v>21</v>
      </c>
      <c r="H52" s="18" t="s">
        <v>21</v>
      </c>
      <c r="I52" s="18" t="s">
        <v>21</v>
      </c>
      <c r="J52" s="18" t="s">
        <v>21</v>
      </c>
      <c r="K52" s="18" t="s">
        <v>21</v>
      </c>
      <c r="L52" s="18" t="s">
        <v>21</v>
      </c>
      <c r="M52" s="18" t="s">
        <v>20</v>
      </c>
      <c r="N52" s="18" t="s">
        <v>20</v>
      </c>
      <c r="O52" s="18" t="s">
        <v>20</v>
      </c>
      <c r="P52" s="18" t="s">
        <v>21</v>
      </c>
      <c r="Q52" s="18" t="s">
        <v>21</v>
      </c>
      <c r="R52" s="18" t="s">
        <v>21</v>
      </c>
      <c r="S52" s="18" t="s">
        <v>20</v>
      </c>
      <c r="T52" s="18" t="s">
        <v>20</v>
      </c>
      <c r="U52" s="18" t="s">
        <v>21</v>
      </c>
      <c r="V52" s="37" t="s">
        <v>20</v>
      </c>
      <c r="W52" s="37" t="s">
        <v>20</v>
      </c>
      <c r="X52" s="37" t="s">
        <v>20</v>
      </c>
      <c r="Y52" s="18" t="s">
        <v>20</v>
      </c>
      <c r="Z52" s="18" t="s">
        <v>20</v>
      </c>
      <c r="AA52" s="20" t="s">
        <v>21</v>
      </c>
      <c r="AB52" s="20" t="s">
        <v>21</v>
      </c>
      <c r="AC52" s="20" t="s">
        <v>21</v>
      </c>
      <c r="AD52" s="29" t="s">
        <v>21</v>
      </c>
      <c r="AE52" s="29" t="s">
        <v>21</v>
      </c>
      <c r="AG52">
        <f>+COUNTIF(F52:AE52,"AD")</f>
        <v>0</v>
      </c>
      <c r="AH52">
        <f>+COUNTIF(F52:AE52,"A")</f>
        <v>10</v>
      </c>
      <c r="AI52">
        <f>+COUNTIF(F52:AE52,"b")</f>
        <v>16</v>
      </c>
      <c r="AJ52">
        <f>+COUNTIF(F52:AE52,"c")</f>
        <v>0</v>
      </c>
      <c r="AL52">
        <f>+$AG$5*AG52</f>
        <v>0</v>
      </c>
      <c r="AM52">
        <f>+$AH$5*AH52</f>
        <v>30</v>
      </c>
      <c r="AN52">
        <f>+$AI$5*AI52</f>
        <v>32</v>
      </c>
      <c r="AO52">
        <f>+$AJ$5*AJ52</f>
        <v>0</v>
      </c>
      <c r="AP52">
        <f>+SUM(AL52:AO52)</f>
        <v>62</v>
      </c>
    </row>
    <row r="53" spans="1:42" ht="15.75" hidden="1" customHeight="1" x14ac:dyDescent="0.3">
      <c r="A53" s="16"/>
      <c r="B53" s="55">
        <v>1</v>
      </c>
      <c r="C53" s="56" t="s">
        <v>62</v>
      </c>
      <c r="D53" s="55">
        <v>2</v>
      </c>
      <c r="E53" s="55" t="s">
        <v>20</v>
      </c>
      <c r="F53" s="18" t="s">
        <v>21</v>
      </c>
      <c r="G53" s="18" t="s">
        <v>23</v>
      </c>
      <c r="H53" s="18" t="s">
        <v>21</v>
      </c>
      <c r="I53" s="18" t="s">
        <v>21</v>
      </c>
      <c r="J53" s="18" t="s">
        <v>21</v>
      </c>
      <c r="K53" s="18" t="s">
        <v>21</v>
      </c>
      <c r="L53" s="18" t="s">
        <v>20</v>
      </c>
      <c r="M53" s="18" t="s">
        <v>20</v>
      </c>
      <c r="N53" s="18" t="s">
        <v>20</v>
      </c>
      <c r="O53" s="18" t="s">
        <v>21</v>
      </c>
      <c r="P53" s="18" t="s">
        <v>21</v>
      </c>
      <c r="Q53" s="18" t="s">
        <v>21</v>
      </c>
      <c r="R53" s="18" t="s">
        <v>21</v>
      </c>
      <c r="S53" s="18" t="s">
        <v>20</v>
      </c>
      <c r="T53" s="18" t="s">
        <v>21</v>
      </c>
      <c r="U53" s="18" t="s">
        <v>20</v>
      </c>
      <c r="V53" s="35" t="s">
        <v>20</v>
      </c>
      <c r="W53" s="35" t="s">
        <v>20</v>
      </c>
      <c r="X53" s="36" t="s">
        <v>20</v>
      </c>
      <c r="Y53" s="19" t="s">
        <v>20</v>
      </c>
      <c r="Z53" s="18" t="s">
        <v>20</v>
      </c>
      <c r="AA53" s="20" t="s">
        <v>21</v>
      </c>
      <c r="AB53" s="20" t="s">
        <v>21</v>
      </c>
      <c r="AC53" s="20" t="s">
        <v>21</v>
      </c>
      <c r="AD53" s="29" t="s">
        <v>21</v>
      </c>
      <c r="AE53" s="29" t="s">
        <v>21</v>
      </c>
      <c r="AG53">
        <f>+COUNTIF(F53:AE53,"AD")</f>
        <v>0</v>
      </c>
      <c r="AH53">
        <f>+COUNTIF(F53:AE53,"A")</f>
        <v>10</v>
      </c>
      <c r="AI53">
        <f>+COUNTIF(F53:AE53,"b")</f>
        <v>15</v>
      </c>
      <c r="AJ53">
        <f>+COUNTIF(F53:AE53,"c")</f>
        <v>1</v>
      </c>
      <c r="AL53">
        <f>+$AG$5*AG53</f>
        <v>0</v>
      </c>
      <c r="AM53">
        <f>+$AH$5*AH53</f>
        <v>30</v>
      </c>
      <c r="AN53">
        <f>+$AI$5*AI53</f>
        <v>30</v>
      </c>
      <c r="AO53">
        <f>+$AJ$5*AJ53</f>
        <v>1</v>
      </c>
      <c r="AP53">
        <f>+SUM(AL53:AO53)</f>
        <v>61</v>
      </c>
    </row>
    <row r="54" spans="1:42" ht="15.75" hidden="1" customHeight="1" x14ac:dyDescent="0.3">
      <c r="A54" s="16"/>
      <c r="B54" s="55">
        <v>10</v>
      </c>
      <c r="C54" s="56" t="s">
        <v>71</v>
      </c>
      <c r="D54" s="55">
        <v>2</v>
      </c>
      <c r="E54" s="55" t="s">
        <v>20</v>
      </c>
      <c r="F54" s="18" t="s">
        <v>21</v>
      </c>
      <c r="G54" s="18" t="s">
        <v>21</v>
      </c>
      <c r="H54" s="18" t="s">
        <v>21</v>
      </c>
      <c r="I54" s="18" t="s">
        <v>21</v>
      </c>
      <c r="J54" s="18" t="s">
        <v>20</v>
      </c>
      <c r="K54" s="18" t="s">
        <v>21</v>
      </c>
      <c r="L54" s="18" t="s">
        <v>21</v>
      </c>
      <c r="M54" s="18" t="s">
        <v>21</v>
      </c>
      <c r="N54" s="18" t="s">
        <v>21</v>
      </c>
      <c r="O54" s="18" t="s">
        <v>20</v>
      </c>
      <c r="P54" s="18" t="s">
        <v>21</v>
      </c>
      <c r="Q54" s="18" t="s">
        <v>21</v>
      </c>
      <c r="R54" s="18" t="s">
        <v>21</v>
      </c>
      <c r="S54" s="18" t="s">
        <v>21</v>
      </c>
      <c r="T54" s="18" t="s">
        <v>20</v>
      </c>
      <c r="U54" s="18" t="s">
        <v>20</v>
      </c>
      <c r="V54" s="37" t="s">
        <v>20</v>
      </c>
      <c r="W54" s="37" t="s">
        <v>20</v>
      </c>
      <c r="X54" s="37" t="s">
        <v>20</v>
      </c>
      <c r="Y54" s="18" t="s">
        <v>20</v>
      </c>
      <c r="Z54" s="18" t="s">
        <v>21</v>
      </c>
      <c r="AA54" s="20" t="s">
        <v>20</v>
      </c>
      <c r="AB54" s="20" t="s">
        <v>21</v>
      </c>
      <c r="AC54" s="20" t="s">
        <v>21</v>
      </c>
      <c r="AD54" s="29" t="s">
        <v>21</v>
      </c>
      <c r="AE54" s="29" t="s">
        <v>21</v>
      </c>
      <c r="AG54">
        <f>+COUNTIF(F54:AE54,"AD")</f>
        <v>0</v>
      </c>
      <c r="AH54">
        <f>+COUNTIF(F54:AE54,"A")</f>
        <v>9</v>
      </c>
      <c r="AI54">
        <f>+COUNTIF(F54:AE54,"b")</f>
        <v>17</v>
      </c>
      <c r="AJ54">
        <f>+COUNTIF(F54:AE54,"c")</f>
        <v>0</v>
      </c>
      <c r="AL54">
        <f>+$AG$5*AG54</f>
        <v>0</v>
      </c>
      <c r="AM54">
        <f>+$AH$5*AH54</f>
        <v>27</v>
      </c>
      <c r="AN54">
        <f>+$AI$5*AI54</f>
        <v>34</v>
      </c>
      <c r="AO54">
        <f>+$AJ$5*AJ54</f>
        <v>0</v>
      </c>
      <c r="AP54">
        <f>+SUM(AL54:AO54)</f>
        <v>61</v>
      </c>
    </row>
    <row r="55" spans="1:42" ht="15.75" hidden="1" customHeight="1" x14ac:dyDescent="0.3">
      <c r="A55" s="16"/>
      <c r="B55" s="55">
        <v>5</v>
      </c>
      <c r="C55" s="56" t="s">
        <v>66</v>
      </c>
      <c r="D55" s="55">
        <v>2</v>
      </c>
      <c r="E55" s="55" t="s">
        <v>20</v>
      </c>
      <c r="F55" s="18" t="s">
        <v>21</v>
      </c>
      <c r="G55" s="18" t="s">
        <v>21</v>
      </c>
      <c r="H55" s="18" t="s">
        <v>21</v>
      </c>
      <c r="I55" s="18" t="s">
        <v>21</v>
      </c>
      <c r="J55" s="18" t="s">
        <v>21</v>
      </c>
      <c r="K55" s="18" t="s">
        <v>21</v>
      </c>
      <c r="L55" s="18" t="s">
        <v>21</v>
      </c>
      <c r="M55" s="18" t="s">
        <v>21</v>
      </c>
      <c r="N55" s="18" t="s">
        <v>21</v>
      </c>
      <c r="O55" s="18" t="s">
        <v>20</v>
      </c>
      <c r="P55" s="18" t="s">
        <v>21</v>
      </c>
      <c r="Q55" s="18" t="s">
        <v>21</v>
      </c>
      <c r="R55" s="18" t="s">
        <v>21</v>
      </c>
      <c r="S55" s="18" t="s">
        <v>20</v>
      </c>
      <c r="T55" s="18" t="s">
        <v>21</v>
      </c>
      <c r="U55" s="18" t="s">
        <v>20</v>
      </c>
      <c r="V55" s="35" t="s">
        <v>20</v>
      </c>
      <c r="W55" s="35" t="s">
        <v>20</v>
      </c>
      <c r="X55" s="36" t="s">
        <v>20</v>
      </c>
      <c r="Y55" s="19" t="s">
        <v>20</v>
      </c>
      <c r="Z55" s="18" t="s">
        <v>20</v>
      </c>
      <c r="AA55" s="20" t="s">
        <v>21</v>
      </c>
      <c r="AB55" s="20" t="s">
        <v>21</v>
      </c>
      <c r="AC55" s="20" t="s">
        <v>23</v>
      </c>
      <c r="AD55" s="29" t="s">
        <v>21</v>
      </c>
      <c r="AE55" s="29" t="s">
        <v>21</v>
      </c>
      <c r="AG55">
        <f>+COUNTIF(F55:AE55,"AD")</f>
        <v>0</v>
      </c>
      <c r="AH55">
        <f>+COUNTIF(F55:AE55,"A")</f>
        <v>8</v>
      </c>
      <c r="AI55">
        <f>+COUNTIF(F55:AE55,"b")</f>
        <v>17</v>
      </c>
      <c r="AJ55">
        <f>+COUNTIF(F55:AE55,"c")</f>
        <v>1</v>
      </c>
      <c r="AL55">
        <f>+$AG$5*AG55</f>
        <v>0</v>
      </c>
      <c r="AM55">
        <f>+$AH$5*AH55</f>
        <v>24</v>
      </c>
      <c r="AN55">
        <f>+$AI$5*AI55</f>
        <v>34</v>
      </c>
      <c r="AO55">
        <f>+$AJ$5*AJ55</f>
        <v>1</v>
      </c>
      <c r="AP55">
        <f>+SUM(AL55:AO55)</f>
        <v>59</v>
      </c>
    </row>
    <row r="56" spans="1:42" ht="15.75" hidden="1" customHeight="1" x14ac:dyDescent="0.3">
      <c r="A56" s="16"/>
      <c r="B56" s="55">
        <v>15</v>
      </c>
      <c r="C56" s="56" t="s">
        <v>76</v>
      </c>
      <c r="D56" s="55">
        <v>2</v>
      </c>
      <c r="E56" s="55" t="s">
        <v>20</v>
      </c>
      <c r="F56" s="18" t="s">
        <v>20</v>
      </c>
      <c r="G56" s="18" t="s">
        <v>21</v>
      </c>
      <c r="H56" s="18" t="s">
        <v>21</v>
      </c>
      <c r="I56" s="18" t="s">
        <v>21</v>
      </c>
      <c r="J56" s="18" t="s">
        <v>20</v>
      </c>
      <c r="K56" s="18" t="s">
        <v>21</v>
      </c>
      <c r="L56" s="18" t="s">
        <v>21</v>
      </c>
      <c r="M56" s="18" t="s">
        <v>21</v>
      </c>
      <c r="N56" s="18" t="s">
        <v>21</v>
      </c>
      <c r="O56" s="18" t="s">
        <v>20</v>
      </c>
      <c r="P56" s="18" t="s">
        <v>21</v>
      </c>
      <c r="Q56" s="18" t="s">
        <v>21</v>
      </c>
      <c r="R56" s="18" t="s">
        <v>21</v>
      </c>
      <c r="S56" s="18" t="s">
        <v>20</v>
      </c>
      <c r="T56" s="18" t="s">
        <v>21</v>
      </c>
      <c r="U56" s="18" t="s">
        <v>21</v>
      </c>
      <c r="V56" s="37" t="s">
        <v>21</v>
      </c>
      <c r="W56" s="37" t="s">
        <v>20</v>
      </c>
      <c r="X56" s="37" t="s">
        <v>20</v>
      </c>
      <c r="Y56" s="18" t="s">
        <v>21</v>
      </c>
      <c r="Z56" s="18" t="s">
        <v>21</v>
      </c>
      <c r="AA56" s="20" t="s">
        <v>21</v>
      </c>
      <c r="AB56" s="20" t="s">
        <v>21</v>
      </c>
      <c r="AC56" s="20" t="s">
        <v>21</v>
      </c>
      <c r="AD56" s="29" t="s">
        <v>23</v>
      </c>
      <c r="AE56" s="29" t="s">
        <v>21</v>
      </c>
      <c r="AG56">
        <f>+COUNTIF(F56:AE56,"AD")</f>
        <v>0</v>
      </c>
      <c r="AH56">
        <f>+COUNTIF(F56:AE56,"A")</f>
        <v>6</v>
      </c>
      <c r="AI56">
        <f>+COUNTIF(F56:AE56,"b")</f>
        <v>19</v>
      </c>
      <c r="AJ56">
        <f>+COUNTIF(F56:AE56,"c")</f>
        <v>1</v>
      </c>
      <c r="AL56">
        <f>+$AG$5*AG56</f>
        <v>0</v>
      </c>
      <c r="AM56">
        <f>+$AH$5*AH56</f>
        <v>18</v>
      </c>
      <c r="AN56">
        <f>+$AI$5*AI56</f>
        <v>38</v>
      </c>
      <c r="AO56">
        <f>+$AJ$5*AJ56</f>
        <v>1</v>
      </c>
      <c r="AP56">
        <f>+SUM(AL56:AO56)</f>
        <v>57</v>
      </c>
    </row>
    <row r="57" spans="1:42" ht="15.75" hidden="1" customHeight="1" x14ac:dyDescent="0.3">
      <c r="A57" s="16"/>
      <c r="B57" s="55">
        <v>17</v>
      </c>
      <c r="C57" s="56" t="s">
        <v>78</v>
      </c>
      <c r="D57" s="55">
        <v>2</v>
      </c>
      <c r="E57" s="55" t="s">
        <v>20</v>
      </c>
      <c r="F57" s="18" t="s">
        <v>21</v>
      </c>
      <c r="G57" s="18" t="s">
        <v>21</v>
      </c>
      <c r="H57" s="18" t="s">
        <v>21</v>
      </c>
      <c r="I57" s="18" t="s">
        <v>21</v>
      </c>
      <c r="J57" s="18" t="s">
        <v>23</v>
      </c>
      <c r="K57" s="18" t="s">
        <v>21</v>
      </c>
      <c r="L57" s="18" t="s">
        <v>21</v>
      </c>
      <c r="M57" s="18" t="s">
        <v>21</v>
      </c>
      <c r="N57" s="18" t="s">
        <v>21</v>
      </c>
      <c r="O57" s="18" t="s">
        <v>20</v>
      </c>
      <c r="P57" s="18" t="s">
        <v>21</v>
      </c>
      <c r="Q57" s="18" t="s">
        <v>21</v>
      </c>
      <c r="R57" s="18" t="s">
        <v>21</v>
      </c>
      <c r="S57" s="18" t="s">
        <v>21</v>
      </c>
      <c r="T57" s="18" t="s">
        <v>21</v>
      </c>
      <c r="U57" s="18" t="s">
        <v>21</v>
      </c>
      <c r="V57" s="37" t="s">
        <v>20</v>
      </c>
      <c r="W57" s="37" t="s">
        <v>20</v>
      </c>
      <c r="X57" s="37" t="s">
        <v>20</v>
      </c>
      <c r="Y57" s="18" t="s">
        <v>20</v>
      </c>
      <c r="Z57" s="18" t="s">
        <v>20</v>
      </c>
      <c r="AA57" s="20" t="s">
        <v>23</v>
      </c>
      <c r="AB57" s="20" t="s">
        <v>23</v>
      </c>
      <c r="AC57" s="20" t="s">
        <v>21</v>
      </c>
      <c r="AD57" s="29" t="s">
        <v>21</v>
      </c>
      <c r="AE57" s="29" t="s">
        <v>21</v>
      </c>
      <c r="AG57">
        <f>+COUNTIF(F57:AE57,"AD")</f>
        <v>0</v>
      </c>
      <c r="AH57">
        <f>+COUNTIF(F57:AE57,"A")</f>
        <v>6</v>
      </c>
      <c r="AI57">
        <f>+COUNTIF(F57:AE57,"b")</f>
        <v>17</v>
      </c>
      <c r="AJ57">
        <f>+COUNTIF(F57:AE57,"c")</f>
        <v>3</v>
      </c>
      <c r="AL57">
        <f>+$AG$5*AG57</f>
        <v>0</v>
      </c>
      <c r="AM57">
        <f>+$AH$5*AH57</f>
        <v>18</v>
      </c>
      <c r="AN57">
        <f>+$AI$5*AI57</f>
        <v>34</v>
      </c>
      <c r="AO57">
        <f>+$AJ$5*AJ57</f>
        <v>3</v>
      </c>
      <c r="AP57">
        <f>+SUM(AL57:AO57)</f>
        <v>55</v>
      </c>
    </row>
    <row r="58" spans="1:42" ht="15.75" hidden="1" customHeight="1" x14ac:dyDescent="0.3">
      <c r="A58" s="16"/>
      <c r="B58" s="55">
        <v>14</v>
      </c>
      <c r="C58" s="56" t="s">
        <v>75</v>
      </c>
      <c r="D58" s="55">
        <v>2</v>
      </c>
      <c r="E58" s="55" t="s">
        <v>20</v>
      </c>
      <c r="F58" s="18" t="s">
        <v>20</v>
      </c>
      <c r="G58" s="18" t="s">
        <v>21</v>
      </c>
      <c r="H58" s="18" t="s">
        <v>21</v>
      </c>
      <c r="I58" s="18" t="s">
        <v>21</v>
      </c>
      <c r="J58" s="18" t="s">
        <v>21</v>
      </c>
      <c r="K58" s="18" t="s">
        <v>23</v>
      </c>
      <c r="L58" s="18" t="s">
        <v>20</v>
      </c>
      <c r="M58" s="18" t="s">
        <v>21</v>
      </c>
      <c r="N58" s="18" t="s">
        <v>21</v>
      </c>
      <c r="O58" s="18" t="s">
        <v>23</v>
      </c>
      <c r="P58" s="18" t="s">
        <v>20</v>
      </c>
      <c r="Q58" s="18" t="s">
        <v>20</v>
      </c>
      <c r="R58" s="18" t="s">
        <v>21</v>
      </c>
      <c r="S58" s="18" t="s">
        <v>21</v>
      </c>
      <c r="T58" s="18" t="s">
        <v>23</v>
      </c>
      <c r="U58" s="18" t="s">
        <v>21</v>
      </c>
      <c r="V58" s="37" t="s">
        <v>21</v>
      </c>
      <c r="W58" s="37" t="s">
        <v>20</v>
      </c>
      <c r="X58" s="37" t="s">
        <v>21</v>
      </c>
      <c r="Y58" s="18" t="s">
        <v>21</v>
      </c>
      <c r="Z58" s="18" t="s">
        <v>20</v>
      </c>
      <c r="AA58" s="20" t="s">
        <v>23</v>
      </c>
      <c r="AB58" s="20" t="s">
        <v>21</v>
      </c>
      <c r="AC58" s="20" t="s">
        <v>21</v>
      </c>
      <c r="AD58" s="29" t="s">
        <v>23</v>
      </c>
      <c r="AE58" s="29" t="s">
        <v>21</v>
      </c>
      <c r="AG58">
        <f>+COUNTIF(F58:AE58,"AD")</f>
        <v>0</v>
      </c>
      <c r="AH58">
        <f>+COUNTIF(F58:AE58,"A")</f>
        <v>6</v>
      </c>
      <c r="AI58">
        <f>+COUNTIF(F58:AE58,"b")</f>
        <v>15</v>
      </c>
      <c r="AJ58">
        <f>+COUNTIF(F58:AE58,"c")</f>
        <v>5</v>
      </c>
      <c r="AL58">
        <f>+$AG$5*AG58</f>
        <v>0</v>
      </c>
      <c r="AM58">
        <f>+$AH$5*AH58</f>
        <v>18</v>
      </c>
      <c r="AN58">
        <f>+$AI$5*AI58</f>
        <v>30</v>
      </c>
      <c r="AO58">
        <f>+$AJ$5*AJ58</f>
        <v>5</v>
      </c>
      <c r="AP58">
        <f>+SUM(AL58:AO58)</f>
        <v>53</v>
      </c>
    </row>
    <row r="59" spans="1:42" ht="15.75" hidden="1" customHeight="1" x14ac:dyDescent="0.3">
      <c r="A59" s="16"/>
      <c r="B59" s="55">
        <v>19</v>
      </c>
      <c r="C59" s="56" t="s">
        <v>80</v>
      </c>
      <c r="D59" s="55">
        <v>2</v>
      </c>
      <c r="E59" s="55" t="s">
        <v>20</v>
      </c>
      <c r="F59" s="18" t="s">
        <v>21</v>
      </c>
      <c r="G59" s="18" t="s">
        <v>20</v>
      </c>
      <c r="H59" s="18" t="s">
        <v>21</v>
      </c>
      <c r="I59" s="18" t="s">
        <v>21</v>
      </c>
      <c r="J59" s="18" t="s">
        <v>21</v>
      </c>
      <c r="K59" s="18" t="s">
        <v>23</v>
      </c>
      <c r="L59" s="18" t="s">
        <v>23</v>
      </c>
      <c r="M59" s="18" t="s">
        <v>21</v>
      </c>
      <c r="N59" s="18" t="s">
        <v>21</v>
      </c>
      <c r="O59" s="18" t="s">
        <v>20</v>
      </c>
      <c r="P59" s="18" t="s">
        <v>21</v>
      </c>
      <c r="Q59" s="18" t="s">
        <v>21</v>
      </c>
      <c r="R59" s="18" t="s">
        <v>23</v>
      </c>
      <c r="S59" s="18" t="s">
        <v>21</v>
      </c>
      <c r="T59" s="18" t="s">
        <v>21</v>
      </c>
      <c r="U59" s="18" t="s">
        <v>21</v>
      </c>
      <c r="V59" s="37" t="s">
        <v>21</v>
      </c>
      <c r="W59" s="37" t="s">
        <v>20</v>
      </c>
      <c r="X59" s="37" t="s">
        <v>20</v>
      </c>
      <c r="Y59" s="18" t="s">
        <v>20</v>
      </c>
      <c r="Z59" s="18" t="s">
        <v>20</v>
      </c>
      <c r="AA59" s="20" t="s">
        <v>23</v>
      </c>
      <c r="AB59" s="20" t="s">
        <v>21</v>
      </c>
      <c r="AC59" s="20" t="s">
        <v>21</v>
      </c>
      <c r="AD59" s="29" t="s">
        <v>23</v>
      </c>
      <c r="AE59" s="29" t="s">
        <v>21</v>
      </c>
      <c r="AG59">
        <f>+COUNTIF(F59:AE59,"AD")</f>
        <v>0</v>
      </c>
      <c r="AH59">
        <f>+COUNTIF(F59:AE59,"A")</f>
        <v>6</v>
      </c>
      <c r="AI59">
        <f>+COUNTIF(F59:AE59,"b")</f>
        <v>15</v>
      </c>
      <c r="AJ59">
        <f>+COUNTIF(F59:AE59,"c")</f>
        <v>5</v>
      </c>
      <c r="AL59">
        <f>+$AG$5*AG59</f>
        <v>0</v>
      </c>
      <c r="AM59">
        <f>+$AH$5*AH59</f>
        <v>18</v>
      </c>
      <c r="AN59">
        <f>+$AI$5*AI59</f>
        <v>30</v>
      </c>
      <c r="AO59">
        <f>+$AJ$5*AJ59</f>
        <v>5</v>
      </c>
      <c r="AP59">
        <f>+SUM(AL59:AO59)</f>
        <v>53</v>
      </c>
    </row>
    <row r="60" spans="1:42" ht="15.75" hidden="1" customHeight="1" x14ac:dyDescent="0.3">
      <c r="A60" s="16"/>
      <c r="B60" s="55">
        <v>9</v>
      </c>
      <c r="C60" s="56" t="s">
        <v>70</v>
      </c>
      <c r="D60" s="55">
        <v>2</v>
      </c>
      <c r="E60" s="55" t="s">
        <v>20</v>
      </c>
      <c r="F60" s="18" t="s">
        <v>21</v>
      </c>
      <c r="G60" s="18" t="s">
        <v>21</v>
      </c>
      <c r="H60" s="18" t="s">
        <v>21</v>
      </c>
      <c r="I60" s="18" t="s">
        <v>21</v>
      </c>
      <c r="J60" s="18" t="s">
        <v>21</v>
      </c>
      <c r="K60" s="18" t="s">
        <v>21</v>
      </c>
      <c r="L60" s="18" t="s">
        <v>21</v>
      </c>
      <c r="M60" s="18" t="s">
        <v>21</v>
      </c>
      <c r="N60" s="18" t="s">
        <v>21</v>
      </c>
      <c r="O60" s="18" t="s">
        <v>23</v>
      </c>
      <c r="P60" s="18" t="s">
        <v>21</v>
      </c>
      <c r="Q60" s="18" t="s">
        <v>21</v>
      </c>
      <c r="R60" s="18" t="s">
        <v>21</v>
      </c>
      <c r="S60" s="18" t="s">
        <v>23</v>
      </c>
      <c r="T60" s="18" t="s">
        <v>23</v>
      </c>
      <c r="U60" s="18" t="s">
        <v>20</v>
      </c>
      <c r="V60" s="37" t="s">
        <v>20</v>
      </c>
      <c r="W60" s="37" t="s">
        <v>20</v>
      </c>
      <c r="X60" s="37" t="s">
        <v>20</v>
      </c>
      <c r="Y60" s="18" t="s">
        <v>21</v>
      </c>
      <c r="Z60" s="18" t="s">
        <v>20</v>
      </c>
      <c r="AA60" s="20" t="s">
        <v>23</v>
      </c>
      <c r="AB60" s="20" t="s">
        <v>21</v>
      </c>
      <c r="AC60" s="20" t="s">
        <v>23</v>
      </c>
      <c r="AD60" s="29" t="s">
        <v>21</v>
      </c>
      <c r="AE60" s="29" t="s">
        <v>21</v>
      </c>
      <c r="AG60">
        <f>+COUNTIF(F60:AE60,"AD")</f>
        <v>0</v>
      </c>
      <c r="AH60">
        <f>+COUNTIF(F60:AE60,"A")</f>
        <v>5</v>
      </c>
      <c r="AI60">
        <f>+COUNTIF(F60:AE60,"b")</f>
        <v>16</v>
      </c>
      <c r="AJ60">
        <f>+COUNTIF(F60:AE60,"c")</f>
        <v>5</v>
      </c>
      <c r="AL60">
        <f>+$AG$5*AG60</f>
        <v>0</v>
      </c>
      <c r="AM60">
        <f>+$AH$5*AH60</f>
        <v>15</v>
      </c>
      <c r="AN60">
        <f>+$AI$5*AI60</f>
        <v>32</v>
      </c>
      <c r="AO60">
        <f>+$AJ$5*AJ60</f>
        <v>5</v>
      </c>
      <c r="AP60">
        <f>+SUM(AL60:AO60)</f>
        <v>52</v>
      </c>
    </row>
    <row r="61" spans="1:42" ht="15.75" hidden="1" customHeight="1" x14ac:dyDescent="0.3">
      <c r="A61" s="16"/>
      <c r="B61" s="55">
        <v>4</v>
      </c>
      <c r="C61" s="56" t="s">
        <v>65</v>
      </c>
      <c r="D61" s="55">
        <v>2</v>
      </c>
      <c r="E61" s="55" t="s">
        <v>20</v>
      </c>
      <c r="F61" s="18" t="s">
        <v>21</v>
      </c>
      <c r="G61" s="18" t="s">
        <v>23</v>
      </c>
      <c r="H61" s="18" t="s">
        <v>21</v>
      </c>
      <c r="I61" s="18" t="s">
        <v>21</v>
      </c>
      <c r="J61" s="18" t="s">
        <v>21</v>
      </c>
      <c r="K61" s="18" t="s">
        <v>23</v>
      </c>
      <c r="L61" s="18" t="s">
        <v>21</v>
      </c>
      <c r="M61" s="18" t="s">
        <v>21</v>
      </c>
      <c r="N61" s="18" t="s">
        <v>21</v>
      </c>
      <c r="O61" s="18" t="s">
        <v>23</v>
      </c>
      <c r="P61" s="18" t="s">
        <v>23</v>
      </c>
      <c r="Q61" s="18" t="s">
        <v>23</v>
      </c>
      <c r="R61" s="18" t="s">
        <v>21</v>
      </c>
      <c r="S61" s="18" t="s">
        <v>23</v>
      </c>
      <c r="T61" s="18" t="s">
        <v>23</v>
      </c>
      <c r="U61" s="18" t="s">
        <v>20</v>
      </c>
      <c r="V61" s="35" t="s">
        <v>20</v>
      </c>
      <c r="W61" s="35" t="s">
        <v>20</v>
      </c>
      <c r="X61" s="36" t="s">
        <v>20</v>
      </c>
      <c r="Y61" s="19" t="s">
        <v>20</v>
      </c>
      <c r="Z61" s="18" t="s">
        <v>20</v>
      </c>
      <c r="AA61" s="20" t="s">
        <v>21</v>
      </c>
      <c r="AB61" s="20" t="s">
        <v>21</v>
      </c>
      <c r="AC61" s="20" t="s">
        <v>21</v>
      </c>
      <c r="AD61" s="29" t="s">
        <v>21</v>
      </c>
      <c r="AE61" s="29" t="s">
        <v>21</v>
      </c>
      <c r="AG61">
        <f>+COUNTIF(F61:AE61,"AD")</f>
        <v>0</v>
      </c>
      <c r="AH61">
        <f>+COUNTIF(F61:AE61,"A")</f>
        <v>6</v>
      </c>
      <c r="AI61">
        <f>+COUNTIF(F61:AE61,"b")</f>
        <v>13</v>
      </c>
      <c r="AJ61">
        <f>+COUNTIF(F61:AE61,"c")</f>
        <v>7</v>
      </c>
      <c r="AL61">
        <f>+$AG$5*AG61</f>
        <v>0</v>
      </c>
      <c r="AM61">
        <f>+$AH$5*AH61</f>
        <v>18</v>
      </c>
      <c r="AN61">
        <f>+$AI$5*AI61</f>
        <v>26</v>
      </c>
      <c r="AO61">
        <f>+$AJ$5*AJ61</f>
        <v>7</v>
      </c>
      <c r="AP61">
        <f>+SUM(AL61:AO61)</f>
        <v>51</v>
      </c>
    </row>
    <row r="62" spans="1:42" ht="15.75" hidden="1" customHeight="1" x14ac:dyDescent="0.3">
      <c r="A62" s="16"/>
      <c r="B62" s="55">
        <v>3</v>
      </c>
      <c r="C62" s="56" t="s">
        <v>64</v>
      </c>
      <c r="D62" s="55">
        <v>2</v>
      </c>
      <c r="E62" s="55" t="s">
        <v>20</v>
      </c>
      <c r="F62" s="18" t="s">
        <v>21</v>
      </c>
      <c r="G62" s="18" t="s">
        <v>23</v>
      </c>
      <c r="H62" s="18" t="s">
        <v>21</v>
      </c>
      <c r="I62" s="18" t="s">
        <v>21</v>
      </c>
      <c r="J62" s="18" t="s">
        <v>20</v>
      </c>
      <c r="K62" s="18" t="s">
        <v>23</v>
      </c>
      <c r="L62" s="18" t="s">
        <v>21</v>
      </c>
      <c r="M62" s="18" t="s">
        <v>21</v>
      </c>
      <c r="N62" s="18" t="s">
        <v>21</v>
      </c>
      <c r="O62" s="18" t="s">
        <v>23</v>
      </c>
      <c r="P62" s="18" t="s">
        <v>21</v>
      </c>
      <c r="Q62" s="18" t="s">
        <v>20</v>
      </c>
      <c r="R62" s="18" t="s">
        <v>21</v>
      </c>
      <c r="S62" s="18" t="s">
        <v>23</v>
      </c>
      <c r="T62" s="18" t="s">
        <v>21</v>
      </c>
      <c r="U62" s="18" t="s">
        <v>20</v>
      </c>
      <c r="V62" s="35" t="s">
        <v>21</v>
      </c>
      <c r="W62" s="35" t="s">
        <v>21</v>
      </c>
      <c r="X62" s="36" t="s">
        <v>21</v>
      </c>
      <c r="Y62" s="19" t="s">
        <v>21</v>
      </c>
      <c r="Z62" s="18" t="s">
        <v>20</v>
      </c>
      <c r="AA62" s="20" t="s">
        <v>21</v>
      </c>
      <c r="AB62" s="20" t="s">
        <v>21</v>
      </c>
      <c r="AC62" s="20" t="s">
        <v>21</v>
      </c>
      <c r="AD62" s="29" t="s">
        <v>55</v>
      </c>
      <c r="AE62" s="29" t="s">
        <v>55</v>
      </c>
      <c r="AG62">
        <f>+COUNTIF(F62:AE62,"AD")</f>
        <v>0</v>
      </c>
      <c r="AH62">
        <f>+COUNTIF(F62:AE62,"A")</f>
        <v>4</v>
      </c>
      <c r="AI62">
        <f>+COUNTIF(F62:AE62,"b")</f>
        <v>16</v>
      </c>
      <c r="AJ62">
        <f>+COUNTIF(F62:AE62,"c")</f>
        <v>4</v>
      </c>
      <c r="AL62">
        <f>+$AG$5*AG62</f>
        <v>0</v>
      </c>
      <c r="AM62">
        <f>+$AH$5*AH62</f>
        <v>12</v>
      </c>
      <c r="AN62">
        <f>+$AI$5*AI62</f>
        <v>32</v>
      </c>
      <c r="AO62">
        <f>+$AJ$5*AJ62</f>
        <v>4</v>
      </c>
      <c r="AP62">
        <f>+SUM(AL62:AO62)</f>
        <v>48</v>
      </c>
    </row>
    <row r="63" spans="1:42" ht="15.75" hidden="1" customHeight="1" x14ac:dyDescent="0.3">
      <c r="A63" s="16"/>
      <c r="B63" s="55">
        <v>21</v>
      </c>
      <c r="C63" s="56" t="s">
        <v>82</v>
      </c>
      <c r="D63" s="55">
        <v>2</v>
      </c>
      <c r="E63" s="55" t="s">
        <v>20</v>
      </c>
      <c r="F63" s="18" t="s">
        <v>21</v>
      </c>
      <c r="G63" s="18" t="s">
        <v>20</v>
      </c>
      <c r="H63" s="18" t="s">
        <v>21</v>
      </c>
      <c r="I63" s="18" t="s">
        <v>21</v>
      </c>
      <c r="J63" s="18" t="s">
        <v>20</v>
      </c>
      <c r="K63" s="18" t="s">
        <v>21</v>
      </c>
      <c r="L63" s="18" t="s">
        <v>23</v>
      </c>
      <c r="M63" s="18" t="s">
        <v>21</v>
      </c>
      <c r="N63" s="18" t="s">
        <v>21</v>
      </c>
      <c r="O63" s="18" t="s">
        <v>23</v>
      </c>
      <c r="P63" s="18" t="s">
        <v>23</v>
      </c>
      <c r="Q63" s="18" t="s">
        <v>23</v>
      </c>
      <c r="R63" s="18" t="s">
        <v>21</v>
      </c>
      <c r="S63" s="18" t="s">
        <v>23</v>
      </c>
      <c r="T63" s="18" t="s">
        <v>23</v>
      </c>
      <c r="U63" s="18" t="s">
        <v>21</v>
      </c>
      <c r="V63" s="37" t="s">
        <v>20</v>
      </c>
      <c r="W63" s="37" t="s">
        <v>21</v>
      </c>
      <c r="X63" s="37" t="s">
        <v>20</v>
      </c>
      <c r="Y63" s="18" t="s">
        <v>21</v>
      </c>
      <c r="Z63" s="18" t="s">
        <v>21</v>
      </c>
      <c r="AA63" s="20" t="s">
        <v>23</v>
      </c>
      <c r="AB63" s="20" t="s">
        <v>21</v>
      </c>
      <c r="AC63" s="20" t="s">
        <v>21</v>
      </c>
      <c r="AD63" s="29" t="s">
        <v>23</v>
      </c>
      <c r="AE63" s="29" t="s">
        <v>21</v>
      </c>
      <c r="AG63">
        <f>+COUNTIF(F63:AE63,"AD")</f>
        <v>0</v>
      </c>
      <c r="AH63">
        <f>+COUNTIF(F63:AE63,"A")</f>
        <v>4</v>
      </c>
      <c r="AI63">
        <f>+COUNTIF(F63:AE63,"b")</f>
        <v>14</v>
      </c>
      <c r="AJ63">
        <f>+COUNTIF(F63:AE63,"c")</f>
        <v>8</v>
      </c>
      <c r="AL63">
        <f>+$AG$5*AG63</f>
        <v>0</v>
      </c>
      <c r="AM63">
        <f>+$AH$5*AH63</f>
        <v>12</v>
      </c>
      <c r="AN63">
        <f>+$AI$5*AI63</f>
        <v>28</v>
      </c>
      <c r="AO63">
        <f>+$AJ$5*AJ63</f>
        <v>8</v>
      </c>
      <c r="AP63">
        <f>+SUM(AL63:AO63)</f>
        <v>48</v>
      </c>
    </row>
    <row r="64" spans="1:42" ht="15.75" hidden="1" customHeight="1" x14ac:dyDescent="0.3">
      <c r="A64" s="16"/>
      <c r="B64" s="55">
        <v>22</v>
      </c>
      <c r="C64" s="56" t="s">
        <v>83</v>
      </c>
      <c r="D64" s="55">
        <v>2</v>
      </c>
      <c r="E64" s="55" t="s">
        <v>20</v>
      </c>
      <c r="F64" s="18" t="s">
        <v>21</v>
      </c>
      <c r="G64" s="18" t="s">
        <v>23</v>
      </c>
      <c r="H64" s="18" t="s">
        <v>21</v>
      </c>
      <c r="I64" s="18" t="s">
        <v>21</v>
      </c>
      <c r="J64" s="18" t="s">
        <v>21</v>
      </c>
      <c r="K64" s="18" t="s">
        <v>21</v>
      </c>
      <c r="L64" s="18" t="s">
        <v>20</v>
      </c>
      <c r="M64" s="18" t="s">
        <v>21</v>
      </c>
      <c r="N64" s="18" t="s">
        <v>21</v>
      </c>
      <c r="O64" s="18" t="s">
        <v>23</v>
      </c>
      <c r="P64" s="18" t="s">
        <v>23</v>
      </c>
      <c r="Q64" s="18" t="s">
        <v>23</v>
      </c>
      <c r="R64" s="18" t="s">
        <v>21</v>
      </c>
      <c r="S64" s="18" t="s">
        <v>23</v>
      </c>
      <c r="T64" s="18" t="s">
        <v>23</v>
      </c>
      <c r="U64" s="18" t="s">
        <v>21</v>
      </c>
      <c r="V64" s="37" t="s">
        <v>20</v>
      </c>
      <c r="W64" s="37" t="s">
        <v>20</v>
      </c>
      <c r="X64" s="37" t="s">
        <v>20</v>
      </c>
      <c r="Y64" s="18" t="s">
        <v>21</v>
      </c>
      <c r="Z64" s="18" t="s">
        <v>21</v>
      </c>
      <c r="AA64" s="20" t="s">
        <v>23</v>
      </c>
      <c r="AB64" s="20" t="s">
        <v>21</v>
      </c>
      <c r="AC64" s="20" t="s">
        <v>21</v>
      </c>
      <c r="AD64" s="29" t="s">
        <v>23</v>
      </c>
      <c r="AE64" s="29" t="s">
        <v>21</v>
      </c>
      <c r="AG64">
        <f>+COUNTIF(F64:AE64,"AD")</f>
        <v>0</v>
      </c>
      <c r="AH64">
        <f>+COUNTIF(F64:AE64,"A")</f>
        <v>4</v>
      </c>
      <c r="AI64">
        <f>+COUNTIF(F64:AE64,"b")</f>
        <v>14</v>
      </c>
      <c r="AJ64">
        <f>+COUNTIF(F64:AE64,"c")</f>
        <v>8</v>
      </c>
      <c r="AL64">
        <f>+$AG$5*AG64</f>
        <v>0</v>
      </c>
      <c r="AM64">
        <f>+$AH$5*AH64</f>
        <v>12</v>
      </c>
      <c r="AN64">
        <f>+$AI$5*AI64</f>
        <v>28</v>
      </c>
      <c r="AO64">
        <f>+$AJ$5*AJ64</f>
        <v>8</v>
      </c>
      <c r="AP64">
        <f>+SUM(AL64:AO64)</f>
        <v>48</v>
      </c>
    </row>
    <row r="65" spans="1:42" ht="15.75" hidden="1" customHeight="1" x14ac:dyDescent="0.3">
      <c r="A65" s="16"/>
      <c r="B65" s="55">
        <v>24</v>
      </c>
      <c r="C65" s="56" t="s">
        <v>85</v>
      </c>
      <c r="D65" s="55">
        <v>2</v>
      </c>
      <c r="E65" s="55" t="s">
        <v>20</v>
      </c>
      <c r="F65" s="18" t="s">
        <v>21</v>
      </c>
      <c r="G65" s="18" t="s">
        <v>23</v>
      </c>
      <c r="H65" s="18" t="s">
        <v>21</v>
      </c>
      <c r="I65" s="18" t="s">
        <v>21</v>
      </c>
      <c r="J65" s="18" t="s">
        <v>21</v>
      </c>
      <c r="K65" s="18" t="s">
        <v>21</v>
      </c>
      <c r="L65" s="18" t="s">
        <v>23</v>
      </c>
      <c r="M65" s="18" t="s">
        <v>21</v>
      </c>
      <c r="N65" s="18" t="s">
        <v>21</v>
      </c>
      <c r="O65" s="18" t="s">
        <v>23</v>
      </c>
      <c r="P65" s="18" t="s">
        <v>21</v>
      </c>
      <c r="Q65" s="18" t="s">
        <v>21</v>
      </c>
      <c r="R65" s="18" t="s">
        <v>21</v>
      </c>
      <c r="S65" s="18" t="s">
        <v>23</v>
      </c>
      <c r="T65" s="18" t="s">
        <v>21</v>
      </c>
      <c r="U65" s="18" t="s">
        <v>21</v>
      </c>
      <c r="V65" s="37" t="s">
        <v>21</v>
      </c>
      <c r="W65" s="37" t="s">
        <v>20</v>
      </c>
      <c r="X65" s="37" t="s">
        <v>20</v>
      </c>
      <c r="Y65" s="18" t="s">
        <v>21</v>
      </c>
      <c r="Z65" s="18" t="s">
        <v>21</v>
      </c>
      <c r="AA65" s="20" t="s">
        <v>21</v>
      </c>
      <c r="AB65" s="20" t="s">
        <v>21</v>
      </c>
      <c r="AC65" s="20" t="s">
        <v>23</v>
      </c>
      <c r="AD65" s="29" t="s">
        <v>23</v>
      </c>
      <c r="AE65" s="29" t="s">
        <v>21</v>
      </c>
      <c r="AG65">
        <f>+COUNTIF(F65:AE65,"AD")</f>
        <v>0</v>
      </c>
      <c r="AH65">
        <f>+COUNTIF(F65:AE65,"A")</f>
        <v>2</v>
      </c>
      <c r="AI65">
        <f>+COUNTIF(F65:AE65,"b")</f>
        <v>18</v>
      </c>
      <c r="AJ65">
        <f>+COUNTIF(F65:AE65,"c")</f>
        <v>6</v>
      </c>
      <c r="AL65">
        <f>+$AG$5*AG65</f>
        <v>0</v>
      </c>
      <c r="AM65">
        <f>+$AH$5*AH65</f>
        <v>6</v>
      </c>
      <c r="AN65">
        <f>+$AI$5*AI65</f>
        <v>36</v>
      </c>
      <c r="AO65">
        <f>+$AJ$5*AJ65</f>
        <v>6</v>
      </c>
      <c r="AP65">
        <f>+SUM(AL65:AO65)</f>
        <v>48</v>
      </c>
    </row>
    <row r="66" spans="1:42" ht="15.75" hidden="1" customHeight="1" x14ac:dyDescent="0.3">
      <c r="A66" s="16"/>
      <c r="B66" s="55">
        <v>12</v>
      </c>
      <c r="C66" s="56" t="s">
        <v>73</v>
      </c>
      <c r="D66" s="55">
        <v>2</v>
      </c>
      <c r="E66" s="55" t="s">
        <v>20</v>
      </c>
      <c r="F66" s="18" t="s">
        <v>20</v>
      </c>
      <c r="G66" s="18" t="s">
        <v>21</v>
      </c>
      <c r="H66" s="18" t="s">
        <v>21</v>
      </c>
      <c r="I66" s="18" t="s">
        <v>21</v>
      </c>
      <c r="J66" s="18" t="s">
        <v>21</v>
      </c>
      <c r="K66" s="18" t="s">
        <v>21</v>
      </c>
      <c r="L66" s="18" t="s">
        <v>21</v>
      </c>
      <c r="M66" s="18" t="s">
        <v>21</v>
      </c>
      <c r="N66" s="18" t="s">
        <v>21</v>
      </c>
      <c r="O66" s="18" t="s">
        <v>23</v>
      </c>
      <c r="P66" s="18" t="s">
        <v>23</v>
      </c>
      <c r="Q66" s="18" t="s">
        <v>23</v>
      </c>
      <c r="R66" s="18" t="s">
        <v>21</v>
      </c>
      <c r="S66" s="18" t="s">
        <v>23</v>
      </c>
      <c r="T66" s="18" t="s">
        <v>23</v>
      </c>
      <c r="U66" s="18" t="s">
        <v>21</v>
      </c>
      <c r="V66" s="37" t="s">
        <v>21</v>
      </c>
      <c r="W66" s="37" t="s">
        <v>21</v>
      </c>
      <c r="X66" s="37" t="s">
        <v>21</v>
      </c>
      <c r="Y66" s="18" t="s">
        <v>21</v>
      </c>
      <c r="Z66" s="18" t="s">
        <v>21</v>
      </c>
      <c r="AA66" s="20" t="s">
        <v>23</v>
      </c>
      <c r="AB66" s="20" t="s">
        <v>21</v>
      </c>
      <c r="AC66" s="20" t="s">
        <v>23</v>
      </c>
      <c r="AD66" s="29" t="s">
        <v>23</v>
      </c>
      <c r="AE66" s="29" t="s">
        <v>21</v>
      </c>
      <c r="AG66">
        <f>+COUNTIF(F66:AE66,"AD")</f>
        <v>0</v>
      </c>
      <c r="AH66">
        <f>+COUNTIF(F66:AE66,"A")</f>
        <v>1</v>
      </c>
      <c r="AI66">
        <f>+COUNTIF(F66:AE66,"b")</f>
        <v>17</v>
      </c>
      <c r="AJ66">
        <f>+COUNTIF(F66:AE66,"c")</f>
        <v>8</v>
      </c>
      <c r="AL66">
        <f>+$AG$5*AG66</f>
        <v>0</v>
      </c>
      <c r="AM66">
        <f>+$AH$5*AH66</f>
        <v>3</v>
      </c>
      <c r="AN66">
        <f>+$AI$5*AI66</f>
        <v>34</v>
      </c>
      <c r="AO66">
        <f>+$AJ$5*AJ66</f>
        <v>8</v>
      </c>
      <c r="AP66">
        <f>+SUM(AL66:AO66)</f>
        <v>45</v>
      </c>
    </row>
    <row r="67" spans="1:42" ht="15.75" hidden="1" customHeight="1" thickBot="1" x14ac:dyDescent="0.35">
      <c r="A67" s="16"/>
      <c r="B67" s="57">
        <v>13</v>
      </c>
      <c r="C67" s="58" t="s">
        <v>74</v>
      </c>
      <c r="D67" s="57">
        <v>2</v>
      </c>
      <c r="E67" s="57" t="s">
        <v>20</v>
      </c>
      <c r="F67" s="21" t="s">
        <v>21</v>
      </c>
      <c r="G67" s="21" t="s">
        <v>21</v>
      </c>
      <c r="H67" s="21" t="s">
        <v>21</v>
      </c>
      <c r="I67" s="21" t="s">
        <v>21</v>
      </c>
      <c r="J67" s="21" t="s">
        <v>21</v>
      </c>
      <c r="K67" s="21" t="s">
        <v>23</v>
      </c>
      <c r="L67" s="21" t="s">
        <v>21</v>
      </c>
      <c r="M67" s="21" t="s">
        <v>21</v>
      </c>
      <c r="N67" s="21" t="s">
        <v>21</v>
      </c>
      <c r="O67" s="21" t="s">
        <v>23</v>
      </c>
      <c r="P67" s="21" t="s">
        <v>23</v>
      </c>
      <c r="Q67" s="21" t="s">
        <v>23</v>
      </c>
      <c r="R67" s="21" t="s">
        <v>23</v>
      </c>
      <c r="S67" s="21" t="s">
        <v>23</v>
      </c>
      <c r="T67" s="21" t="s">
        <v>23</v>
      </c>
      <c r="U67" s="21" t="s">
        <v>21</v>
      </c>
      <c r="V67" s="38" t="s">
        <v>20</v>
      </c>
      <c r="W67" s="38" t="s">
        <v>20</v>
      </c>
      <c r="X67" s="38" t="s">
        <v>20</v>
      </c>
      <c r="Y67" s="21" t="s">
        <v>21</v>
      </c>
      <c r="Z67" s="21" t="s">
        <v>21</v>
      </c>
      <c r="AA67" s="23" t="s">
        <v>21</v>
      </c>
      <c r="AB67" s="23" t="s">
        <v>23</v>
      </c>
      <c r="AC67" s="23" t="s">
        <v>23</v>
      </c>
      <c r="AD67" s="31" t="s">
        <v>23</v>
      </c>
      <c r="AE67" s="31" t="s">
        <v>21</v>
      </c>
      <c r="AG67">
        <f>+COUNTIF(F67:AE67,"AD")</f>
        <v>0</v>
      </c>
      <c r="AH67">
        <f>+COUNTIF(F67:AE67,"A")</f>
        <v>3</v>
      </c>
      <c r="AI67">
        <f>+COUNTIF(F67:AE67,"b")</f>
        <v>13</v>
      </c>
      <c r="AJ67">
        <f>+COUNTIF(F67:AE67,"c")</f>
        <v>10</v>
      </c>
      <c r="AL67">
        <f>+$AG$5*AG67</f>
        <v>0</v>
      </c>
      <c r="AM67">
        <f>+$AH$5*AH67</f>
        <v>9</v>
      </c>
      <c r="AN67">
        <f>+$AI$5*AI67</f>
        <v>26</v>
      </c>
      <c r="AO67">
        <f>+$AJ$5*AJ67</f>
        <v>10</v>
      </c>
      <c r="AP67">
        <f>+SUM(AL67:AO67)</f>
        <v>45</v>
      </c>
    </row>
    <row r="68" spans="1:42" ht="15.75" hidden="1" customHeight="1" x14ac:dyDescent="0.3">
      <c r="A68" s="16"/>
      <c r="B68" s="55">
        <v>1</v>
      </c>
      <c r="C68" s="60" t="s">
        <v>93</v>
      </c>
      <c r="D68" s="59">
        <v>2</v>
      </c>
      <c r="E68" s="59" t="s">
        <v>21</v>
      </c>
      <c r="F68" s="24" t="s">
        <v>20</v>
      </c>
      <c r="G68" s="24" t="s">
        <v>20</v>
      </c>
      <c r="H68" s="24" t="s">
        <v>20</v>
      </c>
      <c r="I68" s="24" t="s">
        <v>20</v>
      </c>
      <c r="J68" s="24" t="s">
        <v>20</v>
      </c>
      <c r="K68" s="24" t="s">
        <v>20</v>
      </c>
      <c r="L68" s="24" t="s">
        <v>39</v>
      </c>
      <c r="M68" s="24" t="s">
        <v>20</v>
      </c>
      <c r="N68" s="24" t="s">
        <v>20</v>
      </c>
      <c r="O68" s="24" t="s">
        <v>20</v>
      </c>
      <c r="P68" s="24" t="s">
        <v>20</v>
      </c>
      <c r="Q68" s="24" t="s">
        <v>20</v>
      </c>
      <c r="R68" s="24" t="s">
        <v>20</v>
      </c>
      <c r="S68" s="24" t="s">
        <v>20</v>
      </c>
      <c r="T68" s="24" t="s">
        <v>20</v>
      </c>
      <c r="U68" s="24" t="s">
        <v>20</v>
      </c>
      <c r="V68" s="39" t="s">
        <v>20</v>
      </c>
      <c r="W68" s="39" t="s">
        <v>20</v>
      </c>
      <c r="X68" s="39" t="s">
        <v>20</v>
      </c>
      <c r="Y68" s="24" t="s">
        <v>20</v>
      </c>
      <c r="Z68" s="24" t="s">
        <v>20</v>
      </c>
      <c r="AA68" s="27" t="s">
        <v>20</v>
      </c>
      <c r="AB68" s="27" t="s">
        <v>20</v>
      </c>
      <c r="AC68" s="27" t="s">
        <v>20</v>
      </c>
      <c r="AD68" s="24" t="s">
        <v>20</v>
      </c>
      <c r="AE68" s="24" t="s">
        <v>21</v>
      </c>
      <c r="AG68">
        <f>+COUNTIF(F68:AE68,"AD")</f>
        <v>1</v>
      </c>
      <c r="AH68">
        <f>+COUNTIF(F68:AE68,"A")</f>
        <v>24</v>
      </c>
      <c r="AI68">
        <f>+COUNTIF(F68:AE68,"b")</f>
        <v>1</v>
      </c>
      <c r="AJ68">
        <f>+COUNTIF(F68:AE68,"c")</f>
        <v>0</v>
      </c>
      <c r="AL68">
        <f>+$AG$5*AG68</f>
        <v>4</v>
      </c>
      <c r="AM68">
        <f>+$AH$5*AH68</f>
        <v>72</v>
      </c>
      <c r="AN68">
        <f>+$AI$5*AI68</f>
        <v>2</v>
      </c>
      <c r="AO68">
        <f>+$AJ$5*AJ68</f>
        <v>0</v>
      </c>
      <c r="AP68">
        <f>+SUM(AL68:AO68)</f>
        <v>78</v>
      </c>
    </row>
    <row r="69" spans="1:42" ht="15.75" hidden="1" customHeight="1" x14ac:dyDescent="0.3">
      <c r="A69" s="16"/>
      <c r="B69" s="55">
        <v>2</v>
      </c>
      <c r="C69" s="56" t="s">
        <v>99</v>
      </c>
      <c r="D69" s="55">
        <v>2</v>
      </c>
      <c r="E69" s="55" t="s">
        <v>21</v>
      </c>
      <c r="F69" s="18" t="s">
        <v>20</v>
      </c>
      <c r="G69" s="18" t="s">
        <v>20</v>
      </c>
      <c r="H69" s="18" t="s">
        <v>20</v>
      </c>
      <c r="I69" s="18" t="s">
        <v>20</v>
      </c>
      <c r="J69" s="18" t="s">
        <v>20</v>
      </c>
      <c r="K69" s="18" t="s">
        <v>20</v>
      </c>
      <c r="L69" s="18" t="s">
        <v>20</v>
      </c>
      <c r="M69" s="18" t="s">
        <v>21</v>
      </c>
      <c r="N69" s="18" t="s">
        <v>20</v>
      </c>
      <c r="O69" s="18" t="s">
        <v>20</v>
      </c>
      <c r="P69" s="18" t="s">
        <v>20</v>
      </c>
      <c r="Q69" s="18" t="s">
        <v>20</v>
      </c>
      <c r="R69" s="18" t="s">
        <v>20</v>
      </c>
      <c r="S69" s="18" t="s">
        <v>20</v>
      </c>
      <c r="T69" s="18" t="s">
        <v>20</v>
      </c>
      <c r="U69" s="18" t="s">
        <v>21</v>
      </c>
      <c r="V69" s="37" t="s">
        <v>20</v>
      </c>
      <c r="W69" s="37" t="s">
        <v>20</v>
      </c>
      <c r="X69" s="37" t="s">
        <v>20</v>
      </c>
      <c r="Y69" s="18" t="s">
        <v>20</v>
      </c>
      <c r="Z69" s="18" t="s">
        <v>20</v>
      </c>
      <c r="AA69" s="20" t="s">
        <v>21</v>
      </c>
      <c r="AB69" s="20" t="s">
        <v>21</v>
      </c>
      <c r="AC69" s="20" t="s">
        <v>21</v>
      </c>
      <c r="AD69" s="40" t="s">
        <v>23</v>
      </c>
      <c r="AE69" s="40" t="s">
        <v>21</v>
      </c>
      <c r="AG69">
        <f>+COUNTIF(F69:AE69,"AD")</f>
        <v>0</v>
      </c>
      <c r="AH69">
        <f>+COUNTIF(F69:AE69,"A")</f>
        <v>19</v>
      </c>
      <c r="AI69">
        <f>+COUNTIF(F69:AE69,"b")</f>
        <v>6</v>
      </c>
      <c r="AJ69">
        <f>+COUNTIF(F69:AE69,"c")</f>
        <v>1</v>
      </c>
      <c r="AL69">
        <f>+$AG$5*AG69</f>
        <v>0</v>
      </c>
      <c r="AM69">
        <f>+$AH$5*AH69</f>
        <v>57</v>
      </c>
      <c r="AN69">
        <f>+$AI$5*AI69</f>
        <v>12</v>
      </c>
      <c r="AO69">
        <f>+$AJ$5*AJ69</f>
        <v>1</v>
      </c>
      <c r="AP69">
        <f>+SUM(AL69:AO69)</f>
        <v>70</v>
      </c>
    </row>
    <row r="70" spans="1:42" ht="15.75" hidden="1" customHeight="1" x14ac:dyDescent="0.3">
      <c r="A70" s="16"/>
      <c r="B70" s="55">
        <v>3</v>
      </c>
      <c r="C70" s="56" t="s">
        <v>105</v>
      </c>
      <c r="D70" s="55">
        <v>2</v>
      </c>
      <c r="E70" s="55" t="s">
        <v>21</v>
      </c>
      <c r="F70" s="18" t="s">
        <v>20</v>
      </c>
      <c r="G70" s="18" t="s">
        <v>20</v>
      </c>
      <c r="H70" s="18" t="s">
        <v>20</v>
      </c>
      <c r="I70" s="18" t="s">
        <v>20</v>
      </c>
      <c r="J70" s="18" t="s">
        <v>20</v>
      </c>
      <c r="K70" s="18" t="s">
        <v>20</v>
      </c>
      <c r="L70" s="18" t="s">
        <v>21</v>
      </c>
      <c r="M70" s="18" t="s">
        <v>21</v>
      </c>
      <c r="N70" s="18" t="s">
        <v>20</v>
      </c>
      <c r="O70" s="18" t="s">
        <v>20</v>
      </c>
      <c r="P70" s="18" t="s">
        <v>23</v>
      </c>
      <c r="Q70" s="18" t="s">
        <v>23</v>
      </c>
      <c r="R70" s="18" t="s">
        <v>21</v>
      </c>
      <c r="S70" s="18" t="s">
        <v>21</v>
      </c>
      <c r="T70" s="18" t="s">
        <v>20</v>
      </c>
      <c r="U70" s="18" t="s">
        <v>21</v>
      </c>
      <c r="V70" s="37" t="s">
        <v>21</v>
      </c>
      <c r="W70" s="37" t="s">
        <v>20</v>
      </c>
      <c r="X70" s="37" t="s">
        <v>21</v>
      </c>
      <c r="Y70" s="18" t="s">
        <v>20</v>
      </c>
      <c r="Z70" s="18" t="s">
        <v>20</v>
      </c>
      <c r="AA70" s="20" t="s">
        <v>20</v>
      </c>
      <c r="AB70" s="20" t="s">
        <v>20</v>
      </c>
      <c r="AC70" s="20" t="s">
        <v>20</v>
      </c>
      <c r="AD70" s="18" t="s">
        <v>21</v>
      </c>
      <c r="AE70" s="18" t="s">
        <v>21</v>
      </c>
      <c r="AG70">
        <f>+COUNTIF(F70:AE70,"AD")</f>
        <v>0</v>
      </c>
      <c r="AH70">
        <f>+COUNTIF(F70:AE70,"A")</f>
        <v>15</v>
      </c>
      <c r="AI70">
        <f>+COUNTIF(F70:AE70,"b")</f>
        <v>9</v>
      </c>
      <c r="AJ70">
        <f>+COUNTIF(F70:AE70,"c")</f>
        <v>2</v>
      </c>
      <c r="AL70">
        <f>+$AG$5*AG70</f>
        <v>0</v>
      </c>
      <c r="AM70">
        <f>+$AH$5*AH70</f>
        <v>45</v>
      </c>
      <c r="AN70">
        <f>+$AI$5*AI70</f>
        <v>18</v>
      </c>
      <c r="AO70">
        <f>+$AJ$5*AJ70</f>
        <v>2</v>
      </c>
      <c r="AP70">
        <f>+SUM(AL70:AO70)</f>
        <v>65</v>
      </c>
    </row>
    <row r="71" spans="1:42" ht="15.75" hidden="1" customHeight="1" x14ac:dyDescent="0.3">
      <c r="A71" s="16"/>
      <c r="B71" s="55">
        <v>4</v>
      </c>
      <c r="C71" s="56" t="s">
        <v>98</v>
      </c>
      <c r="D71" s="55">
        <v>2</v>
      </c>
      <c r="E71" s="55" t="s">
        <v>21</v>
      </c>
      <c r="F71" s="18" t="s">
        <v>20</v>
      </c>
      <c r="G71" s="18" t="s">
        <v>21</v>
      </c>
      <c r="H71" s="18" t="s">
        <v>20</v>
      </c>
      <c r="I71" s="18" t="s">
        <v>21</v>
      </c>
      <c r="J71" s="18" t="s">
        <v>20</v>
      </c>
      <c r="K71" s="18" t="s">
        <v>20</v>
      </c>
      <c r="L71" s="18" t="s">
        <v>20</v>
      </c>
      <c r="M71" s="18" t="s">
        <v>21</v>
      </c>
      <c r="N71" s="18" t="s">
        <v>20</v>
      </c>
      <c r="O71" s="18" t="s">
        <v>21</v>
      </c>
      <c r="P71" s="18" t="s">
        <v>21</v>
      </c>
      <c r="Q71" s="18" t="s">
        <v>21</v>
      </c>
      <c r="R71" s="18" t="s">
        <v>21</v>
      </c>
      <c r="S71" s="18" t="s">
        <v>20</v>
      </c>
      <c r="T71" s="18" t="s">
        <v>20</v>
      </c>
      <c r="U71" s="18" t="s">
        <v>21</v>
      </c>
      <c r="V71" s="37" t="s">
        <v>21</v>
      </c>
      <c r="W71" s="37" t="s">
        <v>20</v>
      </c>
      <c r="X71" s="37" t="s">
        <v>21</v>
      </c>
      <c r="Y71" s="18" t="s">
        <v>21</v>
      </c>
      <c r="Z71" s="18" t="s">
        <v>21</v>
      </c>
      <c r="AA71" s="20" t="s">
        <v>21</v>
      </c>
      <c r="AB71" s="20" t="s">
        <v>20</v>
      </c>
      <c r="AC71" s="20" t="s">
        <v>20</v>
      </c>
      <c r="AD71" s="18" t="s">
        <v>21</v>
      </c>
      <c r="AE71" s="18" t="s">
        <v>21</v>
      </c>
      <c r="AG71">
        <f>+COUNTIF(F71:AE71,"AD")</f>
        <v>0</v>
      </c>
      <c r="AH71">
        <f>+COUNTIF(F71:AE71,"A")</f>
        <v>11</v>
      </c>
      <c r="AI71">
        <f>+COUNTIF(F71:AE71,"b")</f>
        <v>15</v>
      </c>
      <c r="AJ71">
        <f>+COUNTIF(F71:AE71,"c")</f>
        <v>0</v>
      </c>
      <c r="AL71">
        <f>+$AG$5*AG71</f>
        <v>0</v>
      </c>
      <c r="AM71">
        <f>+$AH$5*AH71</f>
        <v>33</v>
      </c>
      <c r="AN71">
        <f>+$AI$5*AI71</f>
        <v>30</v>
      </c>
      <c r="AO71">
        <f>+$AJ$5*AJ71</f>
        <v>0</v>
      </c>
      <c r="AP71">
        <f>+SUM(AL71:AO71)</f>
        <v>63</v>
      </c>
    </row>
    <row r="72" spans="1:42" ht="15.75" hidden="1" customHeight="1" x14ac:dyDescent="0.3">
      <c r="A72" s="16"/>
      <c r="B72" s="55">
        <v>5</v>
      </c>
      <c r="C72" s="56" t="s">
        <v>88</v>
      </c>
      <c r="D72" s="55">
        <v>2</v>
      </c>
      <c r="E72" s="55" t="s">
        <v>21</v>
      </c>
      <c r="F72" s="18" t="s">
        <v>20</v>
      </c>
      <c r="G72" s="18" t="s">
        <v>21</v>
      </c>
      <c r="H72" s="18" t="s">
        <v>20</v>
      </c>
      <c r="I72" s="18" t="s">
        <v>21</v>
      </c>
      <c r="J72" s="18" t="s">
        <v>20</v>
      </c>
      <c r="K72" s="18" t="s">
        <v>20</v>
      </c>
      <c r="L72" s="18" t="s">
        <v>20</v>
      </c>
      <c r="M72" s="18" t="s">
        <v>23</v>
      </c>
      <c r="N72" s="18" t="s">
        <v>21</v>
      </c>
      <c r="O72" s="18" t="s">
        <v>20</v>
      </c>
      <c r="P72" s="18" t="s">
        <v>21</v>
      </c>
      <c r="Q72" s="18" t="s">
        <v>21</v>
      </c>
      <c r="R72" s="18" t="s">
        <v>21</v>
      </c>
      <c r="S72" s="18" t="s">
        <v>20</v>
      </c>
      <c r="T72" s="18" t="s">
        <v>20</v>
      </c>
      <c r="U72" s="18" t="s">
        <v>20</v>
      </c>
      <c r="V72" s="37" t="s">
        <v>21</v>
      </c>
      <c r="W72" s="37" t="s">
        <v>21</v>
      </c>
      <c r="X72" s="37" t="s">
        <v>21</v>
      </c>
      <c r="Y72" s="18" t="s">
        <v>21</v>
      </c>
      <c r="Z72" s="18" t="s">
        <v>21</v>
      </c>
      <c r="AA72" s="20" t="s">
        <v>20</v>
      </c>
      <c r="AB72" s="20" t="s">
        <v>20</v>
      </c>
      <c r="AC72" s="20" t="s">
        <v>20</v>
      </c>
      <c r="AD72" s="18" t="s">
        <v>23</v>
      </c>
      <c r="AE72" s="18" t="s">
        <v>21</v>
      </c>
      <c r="AG72">
        <f>+COUNTIF(F72:AE72,"AD")</f>
        <v>0</v>
      </c>
      <c r="AH72">
        <f>+COUNTIF(F72:AE72,"A")</f>
        <v>12</v>
      </c>
      <c r="AI72">
        <f>+COUNTIF(F72:AE72,"b")</f>
        <v>12</v>
      </c>
      <c r="AJ72">
        <f>+COUNTIF(F72:AE72,"c")</f>
        <v>2</v>
      </c>
      <c r="AL72">
        <f>+$AG$5*AG72</f>
        <v>0</v>
      </c>
      <c r="AM72">
        <f>+$AH$5*AH72</f>
        <v>36</v>
      </c>
      <c r="AN72">
        <f>+$AI$5*AI72</f>
        <v>24</v>
      </c>
      <c r="AO72">
        <f>+$AJ$5*AJ72</f>
        <v>2</v>
      </c>
      <c r="AP72">
        <f>+SUM(AL72:AO72)</f>
        <v>62</v>
      </c>
    </row>
    <row r="73" spans="1:42" ht="15.75" hidden="1" customHeight="1" x14ac:dyDescent="0.3">
      <c r="A73" s="16"/>
      <c r="B73" s="55">
        <v>6</v>
      </c>
      <c r="C73" s="56" t="s">
        <v>97</v>
      </c>
      <c r="D73" s="55">
        <v>2</v>
      </c>
      <c r="E73" s="55" t="s">
        <v>21</v>
      </c>
      <c r="F73" s="18" t="s">
        <v>20</v>
      </c>
      <c r="G73" s="18" t="s">
        <v>21</v>
      </c>
      <c r="H73" s="18" t="s">
        <v>21</v>
      </c>
      <c r="I73" s="18" t="s">
        <v>21</v>
      </c>
      <c r="J73" s="18" t="s">
        <v>21</v>
      </c>
      <c r="K73" s="18" t="s">
        <v>21</v>
      </c>
      <c r="L73" s="18" t="s">
        <v>21</v>
      </c>
      <c r="M73" s="18" t="s">
        <v>20</v>
      </c>
      <c r="N73" s="18" t="s">
        <v>20</v>
      </c>
      <c r="O73" s="18" t="s">
        <v>20</v>
      </c>
      <c r="P73" s="18" t="s">
        <v>21</v>
      </c>
      <c r="Q73" s="18" t="s">
        <v>21</v>
      </c>
      <c r="R73" s="18" t="s">
        <v>21</v>
      </c>
      <c r="S73" s="18" t="s">
        <v>20</v>
      </c>
      <c r="T73" s="18" t="s">
        <v>20</v>
      </c>
      <c r="U73" s="18" t="s">
        <v>21</v>
      </c>
      <c r="V73" s="37" t="s">
        <v>21</v>
      </c>
      <c r="W73" s="37" t="s">
        <v>20</v>
      </c>
      <c r="X73" s="37" t="s">
        <v>20</v>
      </c>
      <c r="Y73" s="18" t="s">
        <v>20</v>
      </c>
      <c r="Z73" s="18" t="s">
        <v>20</v>
      </c>
      <c r="AA73" s="20" t="s">
        <v>23</v>
      </c>
      <c r="AB73" s="20" t="s">
        <v>21</v>
      </c>
      <c r="AC73" s="20" t="s">
        <v>21</v>
      </c>
      <c r="AD73" s="18" t="s">
        <v>20</v>
      </c>
      <c r="AE73" s="18" t="s">
        <v>21</v>
      </c>
      <c r="AG73">
        <f>+COUNTIF(F73:AE73,"AD")</f>
        <v>0</v>
      </c>
      <c r="AH73">
        <f>+COUNTIF(F73:AE73,"A")</f>
        <v>11</v>
      </c>
      <c r="AI73">
        <f>+COUNTIF(F73:AE73,"b")</f>
        <v>14</v>
      </c>
      <c r="AJ73">
        <f>+COUNTIF(F73:AE73,"c")</f>
        <v>1</v>
      </c>
      <c r="AL73">
        <f>+$AG$5*AG73</f>
        <v>0</v>
      </c>
      <c r="AM73">
        <f>+$AH$5*AH73</f>
        <v>33</v>
      </c>
      <c r="AN73">
        <f>+$AI$5*AI73</f>
        <v>28</v>
      </c>
      <c r="AO73">
        <f>+$AJ$5*AJ73</f>
        <v>1</v>
      </c>
      <c r="AP73">
        <f>+SUM(AL73:AO73)</f>
        <v>62</v>
      </c>
    </row>
    <row r="74" spans="1:42" ht="15.75" hidden="1" customHeight="1" x14ac:dyDescent="0.3">
      <c r="A74" s="16"/>
      <c r="B74" s="55">
        <v>7</v>
      </c>
      <c r="C74" s="56" t="s">
        <v>89</v>
      </c>
      <c r="D74" s="55">
        <v>2</v>
      </c>
      <c r="E74" s="55" t="s">
        <v>21</v>
      </c>
      <c r="F74" s="18" t="s">
        <v>20</v>
      </c>
      <c r="G74" s="18" t="s">
        <v>21</v>
      </c>
      <c r="H74" s="18" t="s">
        <v>21</v>
      </c>
      <c r="I74" s="18" t="s">
        <v>21</v>
      </c>
      <c r="J74" s="18" t="s">
        <v>21</v>
      </c>
      <c r="K74" s="18" t="s">
        <v>21</v>
      </c>
      <c r="L74" s="18" t="s">
        <v>21</v>
      </c>
      <c r="M74" s="18" t="s">
        <v>21</v>
      </c>
      <c r="N74" s="18" t="s">
        <v>20</v>
      </c>
      <c r="O74" s="18" t="s">
        <v>21</v>
      </c>
      <c r="P74" s="18" t="s">
        <v>20</v>
      </c>
      <c r="Q74" s="18" t="s">
        <v>20</v>
      </c>
      <c r="R74" s="18" t="s">
        <v>20</v>
      </c>
      <c r="S74" s="18" t="s">
        <v>20</v>
      </c>
      <c r="T74" s="18" t="s">
        <v>20</v>
      </c>
      <c r="U74" s="18" t="s">
        <v>21</v>
      </c>
      <c r="V74" s="37" t="s">
        <v>20</v>
      </c>
      <c r="W74" s="37" t="s">
        <v>21</v>
      </c>
      <c r="X74" s="37" t="s">
        <v>21</v>
      </c>
      <c r="Y74" s="18" t="s">
        <v>21</v>
      </c>
      <c r="Z74" s="18" t="s">
        <v>21</v>
      </c>
      <c r="AA74" s="20" t="s">
        <v>21</v>
      </c>
      <c r="AB74" s="20" t="s">
        <v>21</v>
      </c>
      <c r="AC74" s="20" t="s">
        <v>21</v>
      </c>
      <c r="AD74" s="18" t="s">
        <v>21</v>
      </c>
      <c r="AE74" s="18" t="s">
        <v>21</v>
      </c>
      <c r="AG74">
        <f>+COUNTIF(F74:AE74,"AD")</f>
        <v>0</v>
      </c>
      <c r="AH74">
        <f>+COUNTIF(F74:AE74,"A")</f>
        <v>8</v>
      </c>
      <c r="AI74">
        <f>+COUNTIF(F74:AE74,"b")</f>
        <v>18</v>
      </c>
      <c r="AJ74">
        <f>+COUNTIF(F74:AE74,"c")</f>
        <v>0</v>
      </c>
      <c r="AL74">
        <f>+$AG$5*AG74</f>
        <v>0</v>
      </c>
      <c r="AM74">
        <f>+$AH$5*AH74</f>
        <v>24</v>
      </c>
      <c r="AN74">
        <f>+$AI$5*AI74</f>
        <v>36</v>
      </c>
      <c r="AO74">
        <f>+$AJ$5*AJ74</f>
        <v>0</v>
      </c>
      <c r="AP74">
        <f>+SUM(AL74:AO74)</f>
        <v>60</v>
      </c>
    </row>
    <row r="75" spans="1:42" ht="15.75" hidden="1" customHeight="1" x14ac:dyDescent="0.3">
      <c r="A75" s="16"/>
      <c r="B75" s="55">
        <v>8</v>
      </c>
      <c r="C75" s="56" t="s">
        <v>90</v>
      </c>
      <c r="D75" s="55">
        <v>2</v>
      </c>
      <c r="E75" s="55" t="s">
        <v>21</v>
      </c>
      <c r="F75" s="18" t="s">
        <v>20</v>
      </c>
      <c r="G75" s="18" t="s">
        <v>20</v>
      </c>
      <c r="H75" s="18" t="s">
        <v>20</v>
      </c>
      <c r="I75" s="18" t="s">
        <v>20</v>
      </c>
      <c r="J75" s="18" t="s">
        <v>21</v>
      </c>
      <c r="K75" s="18" t="s">
        <v>20</v>
      </c>
      <c r="L75" s="18" t="s">
        <v>20</v>
      </c>
      <c r="M75" s="18" t="s">
        <v>21</v>
      </c>
      <c r="N75" s="18" t="s">
        <v>20</v>
      </c>
      <c r="O75" s="18" t="s">
        <v>20</v>
      </c>
      <c r="P75" s="18" t="s">
        <v>21</v>
      </c>
      <c r="Q75" s="18" t="s">
        <v>21</v>
      </c>
      <c r="R75" s="18" t="s">
        <v>21</v>
      </c>
      <c r="S75" s="18" t="s">
        <v>21</v>
      </c>
      <c r="T75" s="18" t="s">
        <v>20</v>
      </c>
      <c r="U75" s="18" t="s">
        <v>21</v>
      </c>
      <c r="V75" s="37" t="s">
        <v>21</v>
      </c>
      <c r="W75" s="37" t="s">
        <v>21</v>
      </c>
      <c r="X75" s="37" t="s">
        <v>21</v>
      </c>
      <c r="Y75" s="18" t="s">
        <v>21</v>
      </c>
      <c r="Z75" s="18" t="s">
        <v>20</v>
      </c>
      <c r="AA75" s="20" t="s">
        <v>21</v>
      </c>
      <c r="AB75" s="20" t="s">
        <v>23</v>
      </c>
      <c r="AC75" s="20" t="s">
        <v>21</v>
      </c>
      <c r="AD75" s="18" t="s">
        <v>23</v>
      </c>
      <c r="AE75" s="18" t="s">
        <v>21</v>
      </c>
      <c r="AG75">
        <f>+COUNTIF(F75:AE75,"AD")</f>
        <v>0</v>
      </c>
      <c r="AH75">
        <f>+COUNTIF(F75:AE75,"A")</f>
        <v>10</v>
      </c>
      <c r="AI75">
        <f>+COUNTIF(F75:AE75,"b")</f>
        <v>14</v>
      </c>
      <c r="AJ75">
        <f>+COUNTIF(F75:AE75,"c")</f>
        <v>2</v>
      </c>
      <c r="AL75">
        <f>+$AG$5*AG75</f>
        <v>0</v>
      </c>
      <c r="AM75">
        <f>+$AH$5*AH75</f>
        <v>30</v>
      </c>
      <c r="AN75">
        <f>+$AI$5*AI75</f>
        <v>28</v>
      </c>
      <c r="AO75">
        <f>+$AJ$5*AJ75</f>
        <v>2</v>
      </c>
      <c r="AP75">
        <f>+SUM(AL75:AO75)</f>
        <v>60</v>
      </c>
    </row>
    <row r="76" spans="1:42" ht="15.75" hidden="1" customHeight="1" x14ac:dyDescent="0.3">
      <c r="A76" s="16"/>
      <c r="B76" s="55">
        <v>9</v>
      </c>
      <c r="C76" s="56" t="s">
        <v>94</v>
      </c>
      <c r="D76" s="55">
        <v>2</v>
      </c>
      <c r="E76" s="55" t="s">
        <v>21</v>
      </c>
      <c r="F76" s="18" t="s">
        <v>20</v>
      </c>
      <c r="G76" s="18" t="s">
        <v>21</v>
      </c>
      <c r="H76" s="18" t="s">
        <v>21</v>
      </c>
      <c r="I76" s="18" t="s">
        <v>21</v>
      </c>
      <c r="J76" s="18" t="s">
        <v>21</v>
      </c>
      <c r="K76" s="18" t="s">
        <v>21</v>
      </c>
      <c r="L76" s="18" t="s">
        <v>21</v>
      </c>
      <c r="M76" s="18" t="s">
        <v>21</v>
      </c>
      <c r="N76" s="18" t="s">
        <v>21</v>
      </c>
      <c r="O76" s="18" t="s">
        <v>20</v>
      </c>
      <c r="P76" s="18" t="s">
        <v>21</v>
      </c>
      <c r="Q76" s="18" t="s">
        <v>21</v>
      </c>
      <c r="R76" s="18" t="s">
        <v>21</v>
      </c>
      <c r="S76" s="18" t="s">
        <v>21</v>
      </c>
      <c r="T76" s="18" t="s">
        <v>20</v>
      </c>
      <c r="U76" s="18" t="s">
        <v>20</v>
      </c>
      <c r="V76" s="37" t="s">
        <v>20</v>
      </c>
      <c r="W76" s="37" t="s">
        <v>20</v>
      </c>
      <c r="X76" s="37" t="s">
        <v>20</v>
      </c>
      <c r="Y76" s="18" t="s">
        <v>20</v>
      </c>
      <c r="Z76" s="18" t="s">
        <v>21</v>
      </c>
      <c r="AA76" s="20" t="s">
        <v>21</v>
      </c>
      <c r="AB76" s="20" t="s">
        <v>21</v>
      </c>
      <c r="AC76" s="20" t="s">
        <v>21</v>
      </c>
      <c r="AD76" s="18" t="s">
        <v>21</v>
      </c>
      <c r="AE76" s="18" t="s">
        <v>21</v>
      </c>
      <c r="AG76">
        <f>+COUNTIF(F76:AE76,"AD")</f>
        <v>0</v>
      </c>
      <c r="AH76">
        <f>+COUNTIF(F76:AE76,"A")</f>
        <v>8</v>
      </c>
      <c r="AI76">
        <f>+COUNTIF(F76:AE76,"b")</f>
        <v>18</v>
      </c>
      <c r="AJ76">
        <f>+COUNTIF(F76:AE76,"c")</f>
        <v>0</v>
      </c>
      <c r="AL76">
        <f>+$AG$5*AG76</f>
        <v>0</v>
      </c>
      <c r="AM76">
        <f>+$AH$5*AH76</f>
        <v>24</v>
      </c>
      <c r="AN76">
        <f>+$AI$5*AI76</f>
        <v>36</v>
      </c>
      <c r="AO76">
        <f>+$AJ$5*AJ76</f>
        <v>0</v>
      </c>
      <c r="AP76">
        <f>+SUM(AL76:AO76)</f>
        <v>60</v>
      </c>
    </row>
    <row r="77" spans="1:42" ht="15.75" hidden="1" customHeight="1" x14ac:dyDescent="0.3">
      <c r="A77" s="16"/>
      <c r="B77" s="55">
        <v>10</v>
      </c>
      <c r="C77" s="56" t="s">
        <v>91</v>
      </c>
      <c r="D77" s="55">
        <v>2</v>
      </c>
      <c r="E77" s="55" t="s">
        <v>21</v>
      </c>
      <c r="F77" s="18" t="s">
        <v>21</v>
      </c>
      <c r="G77" s="18" t="s">
        <v>21</v>
      </c>
      <c r="H77" s="18" t="s">
        <v>21</v>
      </c>
      <c r="I77" s="18" t="s">
        <v>21</v>
      </c>
      <c r="J77" s="18" t="s">
        <v>21</v>
      </c>
      <c r="K77" s="18" t="s">
        <v>21</v>
      </c>
      <c r="L77" s="18" t="s">
        <v>21</v>
      </c>
      <c r="M77" s="18" t="s">
        <v>20</v>
      </c>
      <c r="N77" s="18" t="s">
        <v>20</v>
      </c>
      <c r="O77" s="18" t="s">
        <v>21</v>
      </c>
      <c r="P77" s="18" t="s">
        <v>23</v>
      </c>
      <c r="Q77" s="18" t="s">
        <v>21</v>
      </c>
      <c r="R77" s="18" t="s">
        <v>21</v>
      </c>
      <c r="S77" s="18" t="s">
        <v>21</v>
      </c>
      <c r="T77" s="18" t="s">
        <v>20</v>
      </c>
      <c r="U77" s="18" t="s">
        <v>20</v>
      </c>
      <c r="V77" s="37" t="s">
        <v>20</v>
      </c>
      <c r="W77" s="37" t="s">
        <v>20</v>
      </c>
      <c r="X77" s="37" t="s">
        <v>20</v>
      </c>
      <c r="Y77" s="18" t="s">
        <v>21</v>
      </c>
      <c r="Z77" s="18" t="s">
        <v>20</v>
      </c>
      <c r="AA77" s="20" t="s">
        <v>21</v>
      </c>
      <c r="AB77" s="20" t="s">
        <v>21</v>
      </c>
      <c r="AC77" s="20" t="s">
        <v>21</v>
      </c>
      <c r="AD77" s="18" t="s">
        <v>21</v>
      </c>
      <c r="AE77" s="18" t="s">
        <v>21</v>
      </c>
      <c r="AG77">
        <f>+COUNTIF(F77:AE77,"AD")</f>
        <v>0</v>
      </c>
      <c r="AH77">
        <f>+COUNTIF(F77:AE77,"A")</f>
        <v>8</v>
      </c>
      <c r="AI77">
        <f>+COUNTIF(F77:AE77,"b")</f>
        <v>17</v>
      </c>
      <c r="AJ77">
        <f>+COUNTIF(F77:AE77,"c")</f>
        <v>1</v>
      </c>
      <c r="AL77">
        <f>+$AG$5*AG77</f>
        <v>0</v>
      </c>
      <c r="AM77">
        <f>+$AH$5*AH77</f>
        <v>24</v>
      </c>
      <c r="AN77">
        <f>+$AI$5*AI77</f>
        <v>34</v>
      </c>
      <c r="AO77">
        <f>+$AJ$5*AJ77</f>
        <v>1</v>
      </c>
      <c r="AP77">
        <f>+SUM(AL77:AO77)</f>
        <v>59</v>
      </c>
    </row>
    <row r="78" spans="1:42" ht="15.75" hidden="1" customHeight="1" x14ac:dyDescent="0.3">
      <c r="A78" s="16"/>
      <c r="B78" s="55">
        <v>11</v>
      </c>
      <c r="C78" s="56" t="s">
        <v>86</v>
      </c>
      <c r="D78" s="55">
        <v>2</v>
      </c>
      <c r="E78" s="55" t="s">
        <v>21</v>
      </c>
      <c r="F78" s="18" t="s">
        <v>21</v>
      </c>
      <c r="G78" s="18" t="s">
        <v>21</v>
      </c>
      <c r="H78" s="18" t="s">
        <v>21</v>
      </c>
      <c r="I78" s="18" t="s">
        <v>21</v>
      </c>
      <c r="J78" s="18" t="s">
        <v>21</v>
      </c>
      <c r="K78" s="18" t="s">
        <v>20</v>
      </c>
      <c r="L78" s="18" t="s">
        <v>20</v>
      </c>
      <c r="M78" s="18" t="s">
        <v>21</v>
      </c>
      <c r="N78" s="18" t="s">
        <v>21</v>
      </c>
      <c r="O78" s="18" t="s">
        <v>21</v>
      </c>
      <c r="P78" s="18" t="s">
        <v>21</v>
      </c>
      <c r="Q78" s="18" t="s">
        <v>21</v>
      </c>
      <c r="R78" s="18" t="s">
        <v>21</v>
      </c>
      <c r="S78" s="18" t="s">
        <v>21</v>
      </c>
      <c r="T78" s="18" t="s">
        <v>21</v>
      </c>
      <c r="U78" s="18" t="s">
        <v>21</v>
      </c>
      <c r="V78" s="37" t="s">
        <v>21</v>
      </c>
      <c r="W78" s="37" t="s">
        <v>20</v>
      </c>
      <c r="X78" s="37" t="s">
        <v>20</v>
      </c>
      <c r="Y78" s="18" t="s">
        <v>20</v>
      </c>
      <c r="Z78" s="18" t="s">
        <v>20</v>
      </c>
      <c r="AA78" s="20" t="s">
        <v>21</v>
      </c>
      <c r="AB78" s="20" t="s">
        <v>21</v>
      </c>
      <c r="AC78" s="20" t="s">
        <v>21</v>
      </c>
      <c r="AD78" s="18" t="s">
        <v>21</v>
      </c>
      <c r="AE78" s="18" t="s">
        <v>21</v>
      </c>
      <c r="AG78">
        <f>+COUNTIF(F78:AE78,"AD")</f>
        <v>0</v>
      </c>
      <c r="AH78">
        <f>+COUNTIF(F78:AE78,"A")</f>
        <v>6</v>
      </c>
      <c r="AI78">
        <f>+COUNTIF(F78:AE78,"b")</f>
        <v>20</v>
      </c>
      <c r="AJ78">
        <f>+COUNTIF(F78:AE78,"c")</f>
        <v>0</v>
      </c>
      <c r="AL78">
        <f>+$AG$5*AG78</f>
        <v>0</v>
      </c>
      <c r="AM78">
        <f>+$AH$5*AH78</f>
        <v>18</v>
      </c>
      <c r="AN78">
        <f>+$AI$5*AI78</f>
        <v>40</v>
      </c>
      <c r="AO78">
        <f>+$AJ$5*AJ78</f>
        <v>0</v>
      </c>
      <c r="AP78">
        <f>+SUM(AL78:AO78)</f>
        <v>58</v>
      </c>
    </row>
    <row r="79" spans="1:42" ht="15.75" hidden="1" customHeight="1" x14ac:dyDescent="0.3">
      <c r="A79" s="16"/>
      <c r="B79" s="55">
        <v>12</v>
      </c>
      <c r="C79" s="56" t="s">
        <v>103</v>
      </c>
      <c r="D79" s="55">
        <v>2</v>
      </c>
      <c r="E79" s="55" t="s">
        <v>21</v>
      </c>
      <c r="F79" s="18" t="s">
        <v>20</v>
      </c>
      <c r="G79" s="18" t="s">
        <v>21</v>
      </c>
      <c r="H79" s="18" t="s">
        <v>21</v>
      </c>
      <c r="I79" s="18" t="s">
        <v>20</v>
      </c>
      <c r="J79" s="18" t="s">
        <v>21</v>
      </c>
      <c r="K79" s="18" t="s">
        <v>20</v>
      </c>
      <c r="L79" s="18" t="s">
        <v>20</v>
      </c>
      <c r="M79" s="18" t="s">
        <v>23</v>
      </c>
      <c r="N79" s="18" t="s">
        <v>20</v>
      </c>
      <c r="O79" s="18" t="s">
        <v>20</v>
      </c>
      <c r="P79" s="18" t="s">
        <v>21</v>
      </c>
      <c r="Q79" s="18" t="s">
        <v>21</v>
      </c>
      <c r="R79" s="18" t="s">
        <v>21</v>
      </c>
      <c r="S79" s="18" t="s">
        <v>20</v>
      </c>
      <c r="T79" s="18" t="s">
        <v>21</v>
      </c>
      <c r="U79" s="18" t="s">
        <v>21</v>
      </c>
      <c r="V79" s="37" t="s">
        <v>21</v>
      </c>
      <c r="W79" s="37" t="s">
        <v>21</v>
      </c>
      <c r="X79" s="37" t="s">
        <v>21</v>
      </c>
      <c r="Y79" s="18" t="s">
        <v>23</v>
      </c>
      <c r="Z79" s="18" t="s">
        <v>21</v>
      </c>
      <c r="AA79" s="20" t="s">
        <v>21</v>
      </c>
      <c r="AB79" s="20" t="s">
        <v>20</v>
      </c>
      <c r="AC79" s="20" t="s">
        <v>20</v>
      </c>
      <c r="AD79" s="18" t="s">
        <v>23</v>
      </c>
      <c r="AE79" s="18" t="s">
        <v>21</v>
      </c>
      <c r="AG79">
        <f>+COUNTIF(F79:AE79,"AD")</f>
        <v>0</v>
      </c>
      <c r="AH79">
        <f>+COUNTIF(F79:AE79,"A")</f>
        <v>9</v>
      </c>
      <c r="AI79">
        <f>+COUNTIF(F79:AE79,"b")</f>
        <v>14</v>
      </c>
      <c r="AJ79">
        <f>+COUNTIF(F79:AE79,"c")</f>
        <v>3</v>
      </c>
      <c r="AL79">
        <f>+$AG$5*AG79</f>
        <v>0</v>
      </c>
      <c r="AM79">
        <f>+$AH$5*AH79</f>
        <v>27</v>
      </c>
      <c r="AN79">
        <f>+$AI$5*AI79</f>
        <v>28</v>
      </c>
      <c r="AO79">
        <f>+$AJ$5*AJ79</f>
        <v>3</v>
      </c>
      <c r="AP79">
        <f>+SUM(AL79:AO79)</f>
        <v>58</v>
      </c>
    </row>
    <row r="80" spans="1:42" ht="15.75" hidden="1" customHeight="1" x14ac:dyDescent="0.3">
      <c r="A80" s="16"/>
      <c r="B80" s="55">
        <v>13</v>
      </c>
      <c r="C80" s="56" t="s">
        <v>95</v>
      </c>
      <c r="D80" s="55">
        <v>2</v>
      </c>
      <c r="E80" s="55" t="s">
        <v>21</v>
      </c>
      <c r="F80" s="18" t="s">
        <v>21</v>
      </c>
      <c r="G80" s="18" t="s">
        <v>21</v>
      </c>
      <c r="H80" s="18" t="s">
        <v>21</v>
      </c>
      <c r="I80" s="18" t="s">
        <v>21</v>
      </c>
      <c r="J80" s="18" t="s">
        <v>21</v>
      </c>
      <c r="K80" s="18" t="s">
        <v>20</v>
      </c>
      <c r="L80" s="18" t="s">
        <v>20</v>
      </c>
      <c r="M80" s="18" t="s">
        <v>20</v>
      </c>
      <c r="N80" s="18" t="s">
        <v>21</v>
      </c>
      <c r="O80" s="18" t="s">
        <v>21</v>
      </c>
      <c r="P80" s="18" t="s">
        <v>21</v>
      </c>
      <c r="Q80" s="18" t="s">
        <v>21</v>
      </c>
      <c r="R80" s="18" t="s">
        <v>21</v>
      </c>
      <c r="S80" s="18" t="s">
        <v>21</v>
      </c>
      <c r="T80" s="18" t="s">
        <v>23</v>
      </c>
      <c r="U80" s="18" t="s">
        <v>21</v>
      </c>
      <c r="V80" s="37" t="s">
        <v>21</v>
      </c>
      <c r="W80" s="37" t="s">
        <v>20</v>
      </c>
      <c r="X80" s="37" t="s">
        <v>20</v>
      </c>
      <c r="Y80" s="18" t="s">
        <v>21</v>
      </c>
      <c r="Z80" s="18" t="s">
        <v>20</v>
      </c>
      <c r="AA80" s="20" t="s">
        <v>20</v>
      </c>
      <c r="AB80" s="20" t="s">
        <v>21</v>
      </c>
      <c r="AC80" s="20" t="s">
        <v>21</v>
      </c>
      <c r="AD80" s="18" t="s">
        <v>23</v>
      </c>
      <c r="AE80" s="18" t="s">
        <v>21</v>
      </c>
      <c r="AG80">
        <f>+COUNTIF(F80:AE80,"AD")</f>
        <v>0</v>
      </c>
      <c r="AH80">
        <f>+COUNTIF(F80:AE80,"A")</f>
        <v>7</v>
      </c>
      <c r="AI80">
        <f>+COUNTIF(F80:AE80,"b")</f>
        <v>17</v>
      </c>
      <c r="AJ80">
        <f>+COUNTIF(F80:AE80,"c")</f>
        <v>2</v>
      </c>
      <c r="AL80">
        <f>+$AG$5*AG80</f>
        <v>0</v>
      </c>
      <c r="AM80">
        <f>+$AH$5*AH80</f>
        <v>21</v>
      </c>
      <c r="AN80">
        <f>+$AI$5*AI80</f>
        <v>34</v>
      </c>
      <c r="AO80">
        <f>+$AJ$5*AJ80</f>
        <v>2</v>
      </c>
      <c r="AP80">
        <f>+SUM(AL80:AO80)</f>
        <v>57</v>
      </c>
    </row>
    <row r="81" spans="1:42" ht="15.75" hidden="1" customHeight="1" x14ac:dyDescent="0.3">
      <c r="A81" s="16"/>
      <c r="B81" s="55">
        <v>14</v>
      </c>
      <c r="C81" s="56" t="s">
        <v>96</v>
      </c>
      <c r="D81" s="55">
        <v>2</v>
      </c>
      <c r="E81" s="55" t="s">
        <v>21</v>
      </c>
      <c r="F81" s="18" t="s">
        <v>21</v>
      </c>
      <c r="G81" s="18" t="s">
        <v>23</v>
      </c>
      <c r="H81" s="18" t="s">
        <v>21</v>
      </c>
      <c r="I81" s="18" t="s">
        <v>21</v>
      </c>
      <c r="J81" s="18" t="s">
        <v>21</v>
      </c>
      <c r="K81" s="18" t="s">
        <v>21</v>
      </c>
      <c r="L81" s="18" t="s">
        <v>21</v>
      </c>
      <c r="M81" s="18" t="s">
        <v>20</v>
      </c>
      <c r="N81" s="18" t="s">
        <v>20</v>
      </c>
      <c r="O81" s="18" t="s">
        <v>20</v>
      </c>
      <c r="P81" s="18" t="s">
        <v>21</v>
      </c>
      <c r="Q81" s="18" t="s">
        <v>21</v>
      </c>
      <c r="R81" s="18" t="s">
        <v>21</v>
      </c>
      <c r="S81" s="18" t="s">
        <v>21</v>
      </c>
      <c r="T81" s="18" t="s">
        <v>20</v>
      </c>
      <c r="U81" s="18" t="s">
        <v>21</v>
      </c>
      <c r="V81" s="37" t="s">
        <v>21</v>
      </c>
      <c r="W81" s="37" t="s">
        <v>20</v>
      </c>
      <c r="X81" s="37" t="s">
        <v>20</v>
      </c>
      <c r="Y81" s="18" t="s">
        <v>20</v>
      </c>
      <c r="Z81" s="18" t="s">
        <v>20</v>
      </c>
      <c r="AA81" s="20" t="s">
        <v>23</v>
      </c>
      <c r="AB81" s="20" t="s">
        <v>21</v>
      </c>
      <c r="AC81" s="20" t="s">
        <v>21</v>
      </c>
      <c r="AD81" s="18" t="s">
        <v>23</v>
      </c>
      <c r="AE81" s="18" t="s">
        <v>21</v>
      </c>
      <c r="AG81">
        <f>+COUNTIF(F81:AE81,"AD")</f>
        <v>0</v>
      </c>
      <c r="AH81">
        <f>+COUNTIF(F81:AE81,"A")</f>
        <v>8</v>
      </c>
      <c r="AI81">
        <f>+COUNTIF(F81:AE81,"b")</f>
        <v>15</v>
      </c>
      <c r="AJ81">
        <f>+COUNTIF(F81:AE81,"c")</f>
        <v>3</v>
      </c>
      <c r="AL81">
        <f>+$AG$5*AG81</f>
        <v>0</v>
      </c>
      <c r="AM81">
        <f>+$AH$5*AH81</f>
        <v>24</v>
      </c>
      <c r="AN81">
        <f>+$AI$5*AI81</f>
        <v>30</v>
      </c>
      <c r="AO81">
        <f>+$AJ$5*AJ81</f>
        <v>3</v>
      </c>
      <c r="AP81">
        <f>+SUM(AL81:AO81)</f>
        <v>57</v>
      </c>
    </row>
    <row r="82" spans="1:42" ht="15.75" hidden="1" customHeight="1" x14ac:dyDescent="0.3">
      <c r="A82" s="16"/>
      <c r="B82" s="55">
        <v>15</v>
      </c>
      <c r="C82" s="56" t="s">
        <v>102</v>
      </c>
      <c r="D82" s="55">
        <v>2</v>
      </c>
      <c r="E82" s="55" t="s">
        <v>21</v>
      </c>
      <c r="F82" s="18" t="s">
        <v>20</v>
      </c>
      <c r="G82" s="18" t="s">
        <v>21</v>
      </c>
      <c r="H82" s="18" t="s">
        <v>21</v>
      </c>
      <c r="I82" s="18" t="s">
        <v>21</v>
      </c>
      <c r="J82" s="18" t="s">
        <v>21</v>
      </c>
      <c r="K82" s="18" t="s">
        <v>21</v>
      </c>
      <c r="L82" s="18" t="s">
        <v>21</v>
      </c>
      <c r="M82" s="18" t="s">
        <v>21</v>
      </c>
      <c r="N82" s="18" t="s">
        <v>20</v>
      </c>
      <c r="O82" s="18" t="s">
        <v>21</v>
      </c>
      <c r="P82" s="18" t="s">
        <v>23</v>
      </c>
      <c r="Q82" s="18" t="s">
        <v>23</v>
      </c>
      <c r="R82" s="18" t="s">
        <v>21</v>
      </c>
      <c r="S82" s="18" t="s">
        <v>21</v>
      </c>
      <c r="T82" s="18" t="s">
        <v>20</v>
      </c>
      <c r="U82" s="18" t="s">
        <v>21</v>
      </c>
      <c r="V82" s="37" t="s">
        <v>20</v>
      </c>
      <c r="W82" s="37" t="s">
        <v>20</v>
      </c>
      <c r="X82" s="37" t="s">
        <v>20</v>
      </c>
      <c r="Y82" s="18" t="s">
        <v>21</v>
      </c>
      <c r="Z82" s="18" t="s">
        <v>20</v>
      </c>
      <c r="AA82" s="20" t="s">
        <v>21</v>
      </c>
      <c r="AB82" s="20" t="s">
        <v>21</v>
      </c>
      <c r="AC82" s="20" t="s">
        <v>21</v>
      </c>
      <c r="AD82" s="18" t="s">
        <v>23</v>
      </c>
      <c r="AE82" s="18" t="s">
        <v>21</v>
      </c>
      <c r="AG82">
        <f>+COUNTIF(F82:AE82,"AD")</f>
        <v>0</v>
      </c>
      <c r="AH82">
        <f>+COUNTIF(F82:AE82,"A")</f>
        <v>7</v>
      </c>
      <c r="AI82">
        <f>+COUNTIF(F82:AE82,"b")</f>
        <v>16</v>
      </c>
      <c r="AJ82">
        <f>+COUNTIF(F82:AE82,"c")</f>
        <v>3</v>
      </c>
      <c r="AL82">
        <f>+$AG$5*AG82</f>
        <v>0</v>
      </c>
      <c r="AM82">
        <f>+$AH$5*AH82</f>
        <v>21</v>
      </c>
      <c r="AN82">
        <f>+$AI$5*AI82</f>
        <v>32</v>
      </c>
      <c r="AO82">
        <f>+$AJ$5*AJ82</f>
        <v>3</v>
      </c>
      <c r="AP82">
        <f>+SUM(AL82:AO82)</f>
        <v>56</v>
      </c>
    </row>
    <row r="83" spans="1:42" ht="15.75" hidden="1" customHeight="1" x14ac:dyDescent="0.3">
      <c r="A83" s="16"/>
      <c r="B83" s="55">
        <v>16</v>
      </c>
      <c r="C83" s="56" t="s">
        <v>100</v>
      </c>
      <c r="D83" s="55">
        <v>2</v>
      </c>
      <c r="E83" s="55" t="s">
        <v>21</v>
      </c>
      <c r="F83" s="18" t="s">
        <v>21</v>
      </c>
      <c r="G83" s="18" t="s">
        <v>21</v>
      </c>
      <c r="H83" s="18" t="s">
        <v>21</v>
      </c>
      <c r="I83" s="18" t="s">
        <v>21</v>
      </c>
      <c r="J83" s="18" t="s">
        <v>21</v>
      </c>
      <c r="K83" s="18" t="s">
        <v>21</v>
      </c>
      <c r="L83" s="18" t="s">
        <v>21</v>
      </c>
      <c r="M83" s="18" t="s">
        <v>21</v>
      </c>
      <c r="N83" s="18" t="s">
        <v>23</v>
      </c>
      <c r="O83" s="18" t="s">
        <v>21</v>
      </c>
      <c r="P83" s="18" t="s">
        <v>21</v>
      </c>
      <c r="Q83" s="18" t="s">
        <v>21</v>
      </c>
      <c r="R83" s="18" t="s">
        <v>21</v>
      </c>
      <c r="S83" s="18" t="s">
        <v>21</v>
      </c>
      <c r="T83" s="18" t="s">
        <v>20</v>
      </c>
      <c r="U83" s="18" t="s">
        <v>20</v>
      </c>
      <c r="V83" s="37" t="s">
        <v>21</v>
      </c>
      <c r="W83" s="37" t="s">
        <v>20</v>
      </c>
      <c r="X83" s="37" t="s">
        <v>21</v>
      </c>
      <c r="Y83" s="18" t="s">
        <v>20</v>
      </c>
      <c r="Z83" s="18" t="s">
        <v>21</v>
      </c>
      <c r="AA83" s="20" t="s">
        <v>21</v>
      </c>
      <c r="AB83" s="20" t="s">
        <v>21</v>
      </c>
      <c r="AC83" s="20" t="s">
        <v>21</v>
      </c>
      <c r="AD83" s="18" t="s">
        <v>21</v>
      </c>
      <c r="AE83" s="18" t="s">
        <v>21</v>
      </c>
      <c r="AG83">
        <f>+COUNTIF(F83:AE83,"AD")</f>
        <v>0</v>
      </c>
      <c r="AH83">
        <f>+COUNTIF(F83:AE83,"A")</f>
        <v>4</v>
      </c>
      <c r="AI83">
        <f>+COUNTIF(F83:AE83,"b")</f>
        <v>21</v>
      </c>
      <c r="AJ83">
        <f>+COUNTIF(F83:AE83,"c")</f>
        <v>1</v>
      </c>
      <c r="AL83">
        <f>+$AG$5*AG83</f>
        <v>0</v>
      </c>
      <c r="AM83">
        <f>+$AH$5*AH83</f>
        <v>12</v>
      </c>
      <c r="AN83">
        <f>+$AI$5*AI83</f>
        <v>42</v>
      </c>
      <c r="AO83">
        <f>+$AJ$5*AJ83</f>
        <v>1</v>
      </c>
      <c r="AP83">
        <f>+SUM(AL83:AO83)</f>
        <v>55</v>
      </c>
    </row>
    <row r="84" spans="1:42" ht="15.75" hidden="1" customHeight="1" x14ac:dyDescent="0.3">
      <c r="A84" s="16"/>
      <c r="B84" s="55">
        <v>17</v>
      </c>
      <c r="C84" s="56" t="s">
        <v>107</v>
      </c>
      <c r="D84" s="55">
        <v>2</v>
      </c>
      <c r="E84" s="55" t="s">
        <v>21</v>
      </c>
      <c r="F84" s="18" t="s">
        <v>21</v>
      </c>
      <c r="G84" s="18" t="s">
        <v>21</v>
      </c>
      <c r="H84" s="18" t="s">
        <v>23</v>
      </c>
      <c r="I84" s="18" t="s">
        <v>21</v>
      </c>
      <c r="J84" s="18" t="s">
        <v>20</v>
      </c>
      <c r="K84" s="18" t="s">
        <v>21</v>
      </c>
      <c r="L84" s="18" t="s">
        <v>21</v>
      </c>
      <c r="M84" s="18" t="s">
        <v>20</v>
      </c>
      <c r="N84" s="18" t="s">
        <v>21</v>
      </c>
      <c r="O84" s="18" t="s">
        <v>20</v>
      </c>
      <c r="P84" s="18" t="s">
        <v>21</v>
      </c>
      <c r="Q84" s="18" t="s">
        <v>21</v>
      </c>
      <c r="R84" s="18" t="s">
        <v>21</v>
      </c>
      <c r="S84" s="18" t="s">
        <v>20</v>
      </c>
      <c r="T84" s="18" t="s">
        <v>21</v>
      </c>
      <c r="U84" s="18" t="s">
        <v>21</v>
      </c>
      <c r="V84" s="37" t="s">
        <v>21</v>
      </c>
      <c r="W84" s="37" t="s">
        <v>21</v>
      </c>
      <c r="X84" s="37" t="s">
        <v>21</v>
      </c>
      <c r="Y84" s="18" t="s">
        <v>21</v>
      </c>
      <c r="Z84" s="18" t="s">
        <v>21</v>
      </c>
      <c r="AA84" s="20" t="s">
        <v>21</v>
      </c>
      <c r="AB84" s="20" t="s">
        <v>21</v>
      </c>
      <c r="AC84" s="20" t="s">
        <v>20</v>
      </c>
      <c r="AD84" s="18" t="s">
        <v>23</v>
      </c>
      <c r="AE84" s="18" t="s">
        <v>21</v>
      </c>
      <c r="AG84">
        <f>+COUNTIF(F84:AE84,"AD")</f>
        <v>0</v>
      </c>
      <c r="AH84">
        <f>+COUNTIF(F84:AE84,"A")</f>
        <v>5</v>
      </c>
      <c r="AI84">
        <f>+COUNTIF(F84:AE84,"b")</f>
        <v>19</v>
      </c>
      <c r="AJ84">
        <f>+COUNTIF(F84:AE84,"c")</f>
        <v>2</v>
      </c>
      <c r="AL84">
        <f>+$AG$5*AG84</f>
        <v>0</v>
      </c>
      <c r="AM84">
        <f>+$AH$5*AH84</f>
        <v>15</v>
      </c>
      <c r="AN84">
        <f>+$AI$5*AI84</f>
        <v>38</v>
      </c>
      <c r="AO84">
        <f>+$AJ$5*AJ84</f>
        <v>2</v>
      </c>
      <c r="AP84">
        <f>+SUM(AL84:AO84)</f>
        <v>55</v>
      </c>
    </row>
    <row r="85" spans="1:42" ht="15.75" hidden="1" customHeight="1" x14ac:dyDescent="0.3">
      <c r="A85" s="16"/>
      <c r="B85" s="55">
        <v>18</v>
      </c>
      <c r="C85" s="56" t="s">
        <v>92</v>
      </c>
      <c r="D85" s="55">
        <v>2</v>
      </c>
      <c r="E85" s="55" t="s">
        <v>21</v>
      </c>
      <c r="F85" s="18" t="s">
        <v>21</v>
      </c>
      <c r="G85" s="18" t="s">
        <v>23</v>
      </c>
      <c r="H85" s="18" t="s">
        <v>21</v>
      </c>
      <c r="I85" s="18" t="s">
        <v>21</v>
      </c>
      <c r="J85" s="18" t="s">
        <v>21</v>
      </c>
      <c r="K85" s="18" t="s">
        <v>20</v>
      </c>
      <c r="L85" s="18" t="s">
        <v>20</v>
      </c>
      <c r="M85" s="18" t="s">
        <v>21</v>
      </c>
      <c r="N85" s="18" t="s">
        <v>21</v>
      </c>
      <c r="O85" s="18" t="s">
        <v>21</v>
      </c>
      <c r="P85" s="18" t="s">
        <v>21</v>
      </c>
      <c r="Q85" s="18" t="s">
        <v>21</v>
      </c>
      <c r="R85" s="18" t="s">
        <v>21</v>
      </c>
      <c r="S85" s="18" t="s">
        <v>21</v>
      </c>
      <c r="T85" s="18" t="s">
        <v>21</v>
      </c>
      <c r="U85" s="18" t="s">
        <v>21</v>
      </c>
      <c r="V85" s="37" t="s">
        <v>20</v>
      </c>
      <c r="W85" s="37" t="s">
        <v>21</v>
      </c>
      <c r="X85" s="37" t="s">
        <v>21</v>
      </c>
      <c r="Y85" s="18" t="s">
        <v>21</v>
      </c>
      <c r="Z85" s="18" t="s">
        <v>20</v>
      </c>
      <c r="AA85" s="20" t="s">
        <v>21</v>
      </c>
      <c r="AB85" s="20" t="s">
        <v>21</v>
      </c>
      <c r="AC85" s="20" t="s">
        <v>21</v>
      </c>
      <c r="AD85" s="18" t="s">
        <v>23</v>
      </c>
      <c r="AE85" s="18" t="s">
        <v>21</v>
      </c>
      <c r="AG85">
        <f>+COUNTIF(F85:AE85,"AD")</f>
        <v>0</v>
      </c>
      <c r="AH85">
        <f>+COUNTIF(F85:AE85,"A")</f>
        <v>4</v>
      </c>
      <c r="AI85">
        <f>+COUNTIF(F85:AE85,"b")</f>
        <v>20</v>
      </c>
      <c r="AJ85">
        <f>+COUNTIF(F85:AE85,"c")</f>
        <v>2</v>
      </c>
      <c r="AL85">
        <f>+$AG$5*AG85</f>
        <v>0</v>
      </c>
      <c r="AM85">
        <f>+$AH$5*AH85</f>
        <v>12</v>
      </c>
      <c r="AN85">
        <f>+$AI$5*AI85</f>
        <v>40</v>
      </c>
      <c r="AO85">
        <f>+$AJ$5*AJ85</f>
        <v>2</v>
      </c>
      <c r="AP85">
        <f>+SUM(AL85:AO85)</f>
        <v>54</v>
      </c>
    </row>
    <row r="86" spans="1:42" ht="15.75" hidden="1" customHeight="1" x14ac:dyDescent="0.3">
      <c r="A86" s="16"/>
      <c r="B86" s="55">
        <v>19</v>
      </c>
      <c r="C86" s="56" t="s">
        <v>106</v>
      </c>
      <c r="D86" s="55">
        <v>2</v>
      </c>
      <c r="E86" s="55" t="s">
        <v>21</v>
      </c>
      <c r="F86" s="18" t="s">
        <v>21</v>
      </c>
      <c r="G86" s="18" t="s">
        <v>23</v>
      </c>
      <c r="H86" s="18" t="s">
        <v>21</v>
      </c>
      <c r="I86" s="18" t="s">
        <v>21</v>
      </c>
      <c r="J86" s="18" t="s">
        <v>20</v>
      </c>
      <c r="K86" s="18" t="s">
        <v>20</v>
      </c>
      <c r="L86" s="18" t="s">
        <v>20</v>
      </c>
      <c r="M86" s="18" t="s">
        <v>21</v>
      </c>
      <c r="N86" s="18" t="s">
        <v>21</v>
      </c>
      <c r="O86" s="18" t="s">
        <v>21</v>
      </c>
      <c r="P86" s="18" t="s">
        <v>21</v>
      </c>
      <c r="Q86" s="18" t="s">
        <v>21</v>
      </c>
      <c r="R86" s="18" t="s">
        <v>21</v>
      </c>
      <c r="S86" s="18" t="s">
        <v>23</v>
      </c>
      <c r="T86" s="18" t="s">
        <v>21</v>
      </c>
      <c r="U86" s="18" t="s">
        <v>20</v>
      </c>
      <c r="V86" s="37" t="s">
        <v>21</v>
      </c>
      <c r="W86" s="37" t="s">
        <v>21</v>
      </c>
      <c r="X86" s="37" t="s">
        <v>21</v>
      </c>
      <c r="Y86" s="18" t="s">
        <v>23</v>
      </c>
      <c r="Z86" s="18" t="s">
        <v>21</v>
      </c>
      <c r="AA86" s="20" t="s">
        <v>21</v>
      </c>
      <c r="AB86" s="20" t="s">
        <v>21</v>
      </c>
      <c r="AC86" s="20" t="s">
        <v>21</v>
      </c>
      <c r="AD86" s="18" t="s">
        <v>23</v>
      </c>
      <c r="AE86" s="18" t="s">
        <v>21</v>
      </c>
      <c r="AG86">
        <f>+COUNTIF(F86:AE86,"AD")</f>
        <v>0</v>
      </c>
      <c r="AH86">
        <f>+COUNTIF(F86:AE86,"A")</f>
        <v>4</v>
      </c>
      <c r="AI86">
        <f>+COUNTIF(F86:AE86,"b")</f>
        <v>18</v>
      </c>
      <c r="AJ86">
        <f>+COUNTIF(F86:AE86,"c")</f>
        <v>4</v>
      </c>
      <c r="AL86">
        <f>+$AG$5*AG86</f>
        <v>0</v>
      </c>
      <c r="AM86">
        <f>+$AH$5*AH86</f>
        <v>12</v>
      </c>
      <c r="AN86">
        <f>+$AI$5*AI86</f>
        <v>36</v>
      </c>
      <c r="AO86">
        <f>+$AJ$5*AJ86</f>
        <v>4</v>
      </c>
      <c r="AP86">
        <f>+SUM(AL86:AO86)</f>
        <v>52</v>
      </c>
    </row>
    <row r="87" spans="1:42" ht="15.75" hidden="1" customHeight="1" thickBot="1" x14ac:dyDescent="0.35">
      <c r="A87" s="16"/>
      <c r="B87" s="57">
        <v>20</v>
      </c>
      <c r="C87" s="56" t="s">
        <v>108</v>
      </c>
      <c r="D87" s="55">
        <v>2</v>
      </c>
      <c r="E87" s="55" t="s">
        <v>21</v>
      </c>
      <c r="F87" s="18" t="s">
        <v>21</v>
      </c>
      <c r="G87" s="18" t="s">
        <v>23</v>
      </c>
      <c r="H87" s="18" t="s">
        <v>21</v>
      </c>
      <c r="I87" s="18" t="s">
        <v>21</v>
      </c>
      <c r="J87" s="18" t="s">
        <v>20</v>
      </c>
      <c r="K87" s="18" t="s">
        <v>21</v>
      </c>
      <c r="L87" s="18" t="s">
        <v>21</v>
      </c>
      <c r="M87" s="18" t="s">
        <v>23</v>
      </c>
      <c r="N87" s="18" t="s">
        <v>21</v>
      </c>
      <c r="O87" s="18" t="s">
        <v>21</v>
      </c>
      <c r="P87" s="18" t="s">
        <v>23</v>
      </c>
      <c r="Q87" s="18" t="s">
        <v>21</v>
      </c>
      <c r="R87" s="17" t="s">
        <v>23</v>
      </c>
      <c r="S87" s="18" t="s">
        <v>23</v>
      </c>
      <c r="T87" s="18" t="s">
        <v>23</v>
      </c>
      <c r="U87" s="18" t="s">
        <v>21</v>
      </c>
      <c r="V87" s="37" t="s">
        <v>20</v>
      </c>
      <c r="W87" s="37" t="s">
        <v>20</v>
      </c>
      <c r="X87" s="37" t="s">
        <v>20</v>
      </c>
      <c r="Y87" s="18" t="s">
        <v>21</v>
      </c>
      <c r="Z87" s="18" t="s">
        <v>21</v>
      </c>
      <c r="AA87" s="20" t="s">
        <v>21</v>
      </c>
      <c r="AB87" s="20" t="s">
        <v>21</v>
      </c>
      <c r="AC87" s="20" t="s">
        <v>21</v>
      </c>
      <c r="AD87" s="18" t="s">
        <v>23</v>
      </c>
      <c r="AE87" s="18" t="s">
        <v>21</v>
      </c>
      <c r="AG87">
        <f>+COUNTIF(F87:AE87,"AD")</f>
        <v>0</v>
      </c>
      <c r="AH87">
        <f>+COUNTIF(F87:AE87,"A")</f>
        <v>4</v>
      </c>
      <c r="AI87">
        <f>+COUNTIF(F87:AE87,"b")</f>
        <v>15</v>
      </c>
      <c r="AJ87">
        <f>+COUNTIF(F87:AE87,"c")</f>
        <v>7</v>
      </c>
      <c r="AL87">
        <f>+$AG$5*AG87</f>
        <v>0</v>
      </c>
      <c r="AM87">
        <f>+$AH$5*AH87</f>
        <v>12</v>
      </c>
      <c r="AN87">
        <f>+$AI$5*AI87</f>
        <v>30</v>
      </c>
      <c r="AO87">
        <f>+$AJ$5*AJ87</f>
        <v>7</v>
      </c>
      <c r="AP87">
        <f>+SUM(AL87:AO87)</f>
        <v>49</v>
      </c>
    </row>
    <row r="88" spans="1:42" ht="15.75" hidden="1" customHeight="1" x14ac:dyDescent="0.3">
      <c r="A88" s="16"/>
      <c r="B88" s="55">
        <v>16</v>
      </c>
      <c r="C88" s="56" t="s">
        <v>101</v>
      </c>
      <c r="D88" s="55">
        <v>2</v>
      </c>
      <c r="E88" s="55" t="s">
        <v>21</v>
      </c>
      <c r="F88" s="18" t="s">
        <v>21</v>
      </c>
      <c r="G88" s="18" t="s">
        <v>23</v>
      </c>
      <c r="H88" s="18" t="s">
        <v>21</v>
      </c>
      <c r="I88" s="18" t="s">
        <v>21</v>
      </c>
      <c r="J88" s="18" t="s">
        <v>21</v>
      </c>
      <c r="K88" s="18" t="s">
        <v>21</v>
      </c>
      <c r="L88" s="18" t="s">
        <v>21</v>
      </c>
      <c r="M88" s="18" t="s">
        <v>21</v>
      </c>
      <c r="N88" s="18" t="s">
        <v>23</v>
      </c>
      <c r="O88" s="18" t="s">
        <v>21</v>
      </c>
      <c r="P88" s="18" t="s">
        <v>23</v>
      </c>
      <c r="Q88" s="18" t="s">
        <v>23</v>
      </c>
      <c r="R88" s="18" t="s">
        <v>21</v>
      </c>
      <c r="S88" s="18" t="s">
        <v>21</v>
      </c>
      <c r="T88" s="18" t="s">
        <v>21</v>
      </c>
      <c r="U88" s="18" t="s">
        <v>21</v>
      </c>
      <c r="V88" s="37" t="s">
        <v>21</v>
      </c>
      <c r="W88" s="37" t="s">
        <v>21</v>
      </c>
      <c r="X88" s="37" t="s">
        <v>21</v>
      </c>
      <c r="Y88" s="18" t="s">
        <v>23</v>
      </c>
      <c r="Z88" s="18" t="s">
        <v>20</v>
      </c>
      <c r="AA88" s="20" t="s">
        <v>21</v>
      </c>
      <c r="AB88" s="20" t="s">
        <v>21</v>
      </c>
      <c r="AC88" s="20" t="s">
        <v>21</v>
      </c>
      <c r="AD88" s="18" t="s">
        <v>23</v>
      </c>
      <c r="AE88" s="18" t="s">
        <v>21</v>
      </c>
      <c r="AG88">
        <f>+COUNTIF(F88:AE88,"AD")</f>
        <v>0</v>
      </c>
      <c r="AH88">
        <f>+COUNTIF(F88:AE88,"A")</f>
        <v>1</v>
      </c>
      <c r="AI88">
        <f>+COUNTIF(F88:AE88,"b")</f>
        <v>19</v>
      </c>
      <c r="AJ88">
        <f>+COUNTIF(F88:AE88,"c")</f>
        <v>6</v>
      </c>
      <c r="AL88">
        <f>+$AG$5*AG88</f>
        <v>0</v>
      </c>
      <c r="AM88">
        <f>+$AH$5*AH88</f>
        <v>3</v>
      </c>
      <c r="AN88">
        <f>+$AI$5*AI88</f>
        <v>38</v>
      </c>
      <c r="AO88">
        <f>+$AJ$5*AJ88</f>
        <v>6</v>
      </c>
      <c r="AP88">
        <f>+SUM(AL88:AO88)</f>
        <v>47</v>
      </c>
    </row>
    <row r="89" spans="1:42" ht="15.75" hidden="1" customHeight="1" x14ac:dyDescent="0.3">
      <c r="A89" s="16"/>
      <c r="B89" s="55">
        <v>2</v>
      </c>
      <c r="C89" s="56" t="s">
        <v>87</v>
      </c>
      <c r="D89" s="55">
        <v>2</v>
      </c>
      <c r="E89" s="55" t="s">
        <v>21</v>
      </c>
      <c r="F89" s="18" t="s">
        <v>21</v>
      </c>
      <c r="G89" s="18" t="s">
        <v>23</v>
      </c>
      <c r="H89" s="18" t="s">
        <v>21</v>
      </c>
      <c r="I89" s="18" t="s">
        <v>21</v>
      </c>
      <c r="J89" s="18" t="s">
        <v>21</v>
      </c>
      <c r="K89" s="18" t="s">
        <v>21</v>
      </c>
      <c r="L89" s="18" t="s">
        <v>21</v>
      </c>
      <c r="M89" s="18" t="s">
        <v>23</v>
      </c>
      <c r="N89" s="18" t="s">
        <v>21</v>
      </c>
      <c r="O89" s="18" t="s">
        <v>21</v>
      </c>
      <c r="P89" s="18" t="s">
        <v>23</v>
      </c>
      <c r="Q89" s="18" t="s">
        <v>21</v>
      </c>
      <c r="R89" s="18" t="s">
        <v>23</v>
      </c>
      <c r="S89" s="18" t="s">
        <v>23</v>
      </c>
      <c r="T89" s="18" t="s">
        <v>21</v>
      </c>
      <c r="U89" s="18" t="s">
        <v>21</v>
      </c>
      <c r="V89" s="37" t="s">
        <v>21</v>
      </c>
      <c r="W89" s="37" t="s">
        <v>21</v>
      </c>
      <c r="X89" s="37" t="s">
        <v>21</v>
      </c>
      <c r="Y89" s="18" t="s">
        <v>21</v>
      </c>
      <c r="Z89" s="18" t="s">
        <v>23</v>
      </c>
      <c r="AA89" s="20" t="s">
        <v>23</v>
      </c>
      <c r="AB89" s="20" t="s">
        <v>21</v>
      </c>
      <c r="AC89" s="20" t="s">
        <v>23</v>
      </c>
      <c r="AD89" s="18" t="s">
        <v>23</v>
      </c>
      <c r="AE89" s="18" t="s">
        <v>21</v>
      </c>
      <c r="AG89">
        <f>+COUNTIF(F89:AE89,"AD")</f>
        <v>0</v>
      </c>
      <c r="AH89">
        <f>+COUNTIF(F89:AE89,"A")</f>
        <v>0</v>
      </c>
      <c r="AI89">
        <f>+COUNTIF(F89:AE89,"b")</f>
        <v>17</v>
      </c>
      <c r="AJ89">
        <f>+COUNTIF(F89:AE89,"c")</f>
        <v>9</v>
      </c>
      <c r="AL89">
        <f>+$AG$5*AG89</f>
        <v>0</v>
      </c>
      <c r="AM89">
        <f>+$AH$5*AH89</f>
        <v>0</v>
      </c>
      <c r="AN89">
        <f>+$AI$5*AI89</f>
        <v>34</v>
      </c>
      <c r="AO89">
        <f>+$AJ$5*AJ89</f>
        <v>9</v>
      </c>
      <c r="AP89">
        <f>+SUM(AL89:AO89)</f>
        <v>43</v>
      </c>
    </row>
    <row r="90" spans="1:42" ht="15.75" hidden="1" customHeight="1" thickBot="1" x14ac:dyDescent="0.35">
      <c r="A90" s="16"/>
      <c r="B90" s="57">
        <v>19</v>
      </c>
      <c r="C90" s="58" t="s">
        <v>104</v>
      </c>
      <c r="D90" s="57">
        <v>2</v>
      </c>
      <c r="E90" s="57" t="s">
        <v>21</v>
      </c>
      <c r="F90" s="21" t="s">
        <v>21</v>
      </c>
      <c r="G90" s="21" t="s">
        <v>23</v>
      </c>
      <c r="H90" s="21" t="s">
        <v>21</v>
      </c>
      <c r="I90" s="21" t="s">
        <v>21</v>
      </c>
      <c r="J90" s="21" t="s">
        <v>21</v>
      </c>
      <c r="K90" s="21" t="s">
        <v>21</v>
      </c>
      <c r="L90" s="21" t="s">
        <v>21</v>
      </c>
      <c r="M90" s="21" t="s">
        <v>23</v>
      </c>
      <c r="N90" s="21" t="s">
        <v>23</v>
      </c>
      <c r="O90" s="21" t="s">
        <v>23</v>
      </c>
      <c r="P90" s="21" t="s">
        <v>23</v>
      </c>
      <c r="Q90" s="21" t="s">
        <v>21</v>
      </c>
      <c r="R90" s="21" t="s">
        <v>23</v>
      </c>
      <c r="S90" s="21" t="s">
        <v>21</v>
      </c>
      <c r="T90" s="21" t="s">
        <v>23</v>
      </c>
      <c r="U90" s="21" t="s">
        <v>21</v>
      </c>
      <c r="V90" s="38" t="s">
        <v>21</v>
      </c>
      <c r="W90" s="38" t="s">
        <v>21</v>
      </c>
      <c r="X90" s="38" t="s">
        <v>21</v>
      </c>
      <c r="Y90" s="21" t="s">
        <v>23</v>
      </c>
      <c r="Z90" s="21" t="s">
        <v>23</v>
      </c>
      <c r="AA90" s="23" t="s">
        <v>21</v>
      </c>
      <c r="AB90" s="23" t="s">
        <v>21</v>
      </c>
      <c r="AC90" s="23" t="s">
        <v>21</v>
      </c>
      <c r="AD90" s="21" t="s">
        <v>23</v>
      </c>
      <c r="AE90" s="21" t="s">
        <v>21</v>
      </c>
      <c r="AG90">
        <f>+COUNTIF(F90:AE90,"AD")</f>
        <v>0</v>
      </c>
      <c r="AH90">
        <f>+COUNTIF(F90:AE90,"A")</f>
        <v>0</v>
      </c>
      <c r="AI90">
        <f>+COUNTIF(F90:AE90,"b")</f>
        <v>16</v>
      </c>
      <c r="AJ90">
        <f>+COUNTIF(F90:AE90,"c")</f>
        <v>10</v>
      </c>
      <c r="AL90">
        <f>+$AG$5*AG90</f>
        <v>0</v>
      </c>
      <c r="AM90">
        <f>+$AH$5*AH90</f>
        <v>0</v>
      </c>
      <c r="AN90">
        <f>+$AI$5*AI90</f>
        <v>32</v>
      </c>
      <c r="AO90">
        <f>+$AJ$5*AJ90</f>
        <v>10</v>
      </c>
      <c r="AP90">
        <f>+SUM(AL90:AO90)</f>
        <v>42</v>
      </c>
    </row>
    <row r="91" spans="1:42" ht="15.75" hidden="1" customHeight="1" x14ac:dyDescent="0.3">
      <c r="A91" s="16"/>
      <c r="B91" s="59">
        <v>1</v>
      </c>
      <c r="C91" s="60" t="s">
        <v>109</v>
      </c>
      <c r="D91" s="59">
        <v>3</v>
      </c>
      <c r="E91" s="59" t="s">
        <v>20</v>
      </c>
      <c r="F91" s="24" t="s">
        <v>39</v>
      </c>
      <c r="G91" s="24" t="s">
        <v>39</v>
      </c>
      <c r="H91" s="24" t="s">
        <v>20</v>
      </c>
      <c r="I91" s="24" t="s">
        <v>39</v>
      </c>
      <c r="J91" s="42" t="s">
        <v>20</v>
      </c>
      <c r="K91" s="42" t="s">
        <v>39</v>
      </c>
      <c r="L91" s="42" t="s">
        <v>20</v>
      </c>
      <c r="M91" s="24" t="s">
        <v>20</v>
      </c>
      <c r="N91" s="24" t="s">
        <v>20</v>
      </c>
      <c r="O91" s="24" t="s">
        <v>20</v>
      </c>
      <c r="P91" s="24" t="s">
        <v>20</v>
      </c>
      <c r="Q91" s="24" t="s">
        <v>20</v>
      </c>
      <c r="R91" s="24" t="s">
        <v>20</v>
      </c>
      <c r="S91" s="24" t="s">
        <v>20</v>
      </c>
      <c r="T91" s="24" t="s">
        <v>20</v>
      </c>
      <c r="U91" s="24" t="s">
        <v>20</v>
      </c>
      <c r="V91" s="39" t="s">
        <v>21</v>
      </c>
      <c r="W91" s="39" t="s">
        <v>20</v>
      </c>
      <c r="X91" s="39" t="s">
        <v>21</v>
      </c>
      <c r="Y91" s="24" t="s">
        <v>39</v>
      </c>
      <c r="Z91" s="24" t="s">
        <v>39</v>
      </c>
      <c r="AA91" s="27" t="s">
        <v>20</v>
      </c>
      <c r="AB91" s="27" t="s">
        <v>20</v>
      </c>
      <c r="AC91" s="27" t="s">
        <v>20</v>
      </c>
      <c r="AD91" s="39" t="s">
        <v>20</v>
      </c>
      <c r="AE91" s="39" t="s">
        <v>21</v>
      </c>
      <c r="AG91">
        <f t="shared" ref="AG91:AG154" si="9">+COUNTIF(F91:AE91,"AD")</f>
        <v>6</v>
      </c>
      <c r="AH91">
        <f t="shared" ref="AH91:AH154" si="10">+COUNTIF(F91:AE91,"A")</f>
        <v>17</v>
      </c>
      <c r="AI91">
        <f t="shared" ref="AI91:AI154" si="11">+COUNTIF(F91:AE91,"b")</f>
        <v>3</v>
      </c>
      <c r="AJ91">
        <f t="shared" ref="AJ91:AJ154" si="12">+COUNTIF(F91:AE91,"c")</f>
        <v>0</v>
      </c>
      <c r="AL91">
        <f t="shared" ref="AL91:AL154" si="13">+$AG$5*AG91</f>
        <v>24</v>
      </c>
      <c r="AM91">
        <f t="shared" ref="AM91:AM154" si="14">+$AH$5*AH91</f>
        <v>51</v>
      </c>
      <c r="AN91">
        <f t="shared" ref="AN91:AN154" si="15">+$AI$5*AI91</f>
        <v>6</v>
      </c>
      <c r="AO91">
        <f t="shared" ref="AO91:AO154" si="16">+$AJ$5*AJ91</f>
        <v>0</v>
      </c>
      <c r="AP91">
        <f t="shared" ref="AP91:AP154" si="17">+SUM(AL91:AO91)</f>
        <v>81</v>
      </c>
    </row>
    <row r="92" spans="1:42" ht="15.75" hidden="1" customHeight="1" x14ac:dyDescent="0.3">
      <c r="A92" s="16"/>
      <c r="B92" s="55">
        <v>2</v>
      </c>
      <c r="C92" s="56" t="s">
        <v>110</v>
      </c>
      <c r="D92" s="55">
        <v>3</v>
      </c>
      <c r="E92" s="55" t="s">
        <v>20</v>
      </c>
      <c r="F92" s="18" t="s">
        <v>20</v>
      </c>
      <c r="G92" s="18" t="s">
        <v>20</v>
      </c>
      <c r="H92" s="18" t="s">
        <v>20</v>
      </c>
      <c r="I92" s="18" t="s">
        <v>39</v>
      </c>
      <c r="J92" s="43" t="s">
        <v>39</v>
      </c>
      <c r="K92" s="43" t="s">
        <v>39</v>
      </c>
      <c r="L92" s="43" t="s">
        <v>20</v>
      </c>
      <c r="M92" s="18" t="s">
        <v>20</v>
      </c>
      <c r="N92" s="18" t="s">
        <v>20</v>
      </c>
      <c r="O92" s="18" t="s">
        <v>20</v>
      </c>
      <c r="P92" s="18" t="s">
        <v>20</v>
      </c>
      <c r="Q92" s="18" t="s">
        <v>20</v>
      </c>
      <c r="R92" s="18" t="s">
        <v>20</v>
      </c>
      <c r="S92" s="18" t="s">
        <v>20</v>
      </c>
      <c r="T92" s="18" t="s">
        <v>20</v>
      </c>
      <c r="U92" s="18" t="s">
        <v>20</v>
      </c>
      <c r="V92" s="37" t="s">
        <v>20</v>
      </c>
      <c r="W92" s="37" t="s">
        <v>20</v>
      </c>
      <c r="X92" s="37" t="s">
        <v>20</v>
      </c>
      <c r="Y92" s="18" t="s">
        <v>20</v>
      </c>
      <c r="Z92" s="18" t="s">
        <v>20</v>
      </c>
      <c r="AA92" s="20" t="s">
        <v>20</v>
      </c>
      <c r="AB92" s="20" t="s">
        <v>20</v>
      </c>
      <c r="AC92" s="20" t="s">
        <v>20</v>
      </c>
      <c r="AD92" s="37" t="s">
        <v>21</v>
      </c>
      <c r="AE92" s="37" t="s">
        <v>21</v>
      </c>
      <c r="AG92">
        <f t="shared" si="9"/>
        <v>3</v>
      </c>
      <c r="AH92">
        <f t="shared" si="10"/>
        <v>21</v>
      </c>
      <c r="AI92">
        <f t="shared" si="11"/>
        <v>2</v>
      </c>
      <c r="AJ92">
        <f t="shared" si="12"/>
        <v>0</v>
      </c>
      <c r="AL92">
        <f t="shared" si="13"/>
        <v>12</v>
      </c>
      <c r="AM92">
        <f t="shared" si="14"/>
        <v>63</v>
      </c>
      <c r="AN92">
        <f t="shared" si="15"/>
        <v>4</v>
      </c>
      <c r="AO92">
        <f t="shared" si="16"/>
        <v>0</v>
      </c>
      <c r="AP92">
        <f t="shared" si="17"/>
        <v>79</v>
      </c>
    </row>
    <row r="93" spans="1:42" ht="15.75" hidden="1" customHeight="1" x14ac:dyDescent="0.3">
      <c r="A93" s="16"/>
      <c r="B93" s="55">
        <v>3</v>
      </c>
      <c r="C93" s="56" t="s">
        <v>111</v>
      </c>
      <c r="D93" s="55">
        <v>3</v>
      </c>
      <c r="E93" s="55" t="s">
        <v>20</v>
      </c>
      <c r="F93" s="18" t="s">
        <v>23</v>
      </c>
      <c r="G93" s="18" t="s">
        <v>21</v>
      </c>
      <c r="H93" s="18" t="s">
        <v>23</v>
      </c>
      <c r="I93" s="18" t="s">
        <v>23</v>
      </c>
      <c r="J93" s="43" t="s">
        <v>21</v>
      </c>
      <c r="K93" s="43" t="s">
        <v>20</v>
      </c>
      <c r="L93" s="43" t="s">
        <v>21</v>
      </c>
      <c r="M93" s="18" t="s">
        <v>21</v>
      </c>
      <c r="N93" s="18" t="s">
        <v>21</v>
      </c>
      <c r="O93" s="18" t="s">
        <v>21</v>
      </c>
      <c r="P93" s="18" t="s">
        <v>23</v>
      </c>
      <c r="Q93" s="18" t="s">
        <v>21</v>
      </c>
      <c r="R93" s="18" t="s">
        <v>21</v>
      </c>
      <c r="S93" s="18" t="s">
        <v>21</v>
      </c>
      <c r="T93" s="18" t="s">
        <v>21</v>
      </c>
      <c r="U93" s="18" t="s">
        <v>20</v>
      </c>
      <c r="V93" s="37" t="s">
        <v>20</v>
      </c>
      <c r="W93" s="37" t="s">
        <v>21</v>
      </c>
      <c r="X93" s="37" t="s">
        <v>21</v>
      </c>
      <c r="Y93" s="18" t="s">
        <v>21</v>
      </c>
      <c r="Z93" s="18" t="s">
        <v>20</v>
      </c>
      <c r="AA93" s="20" t="s">
        <v>21</v>
      </c>
      <c r="AB93" s="20" t="s">
        <v>21</v>
      </c>
      <c r="AC93" s="20" t="s">
        <v>21</v>
      </c>
      <c r="AD93" s="37" t="s">
        <v>23</v>
      </c>
      <c r="AE93" s="37" t="s">
        <v>21</v>
      </c>
      <c r="AG93">
        <f t="shared" si="9"/>
        <v>0</v>
      </c>
      <c r="AH93">
        <f t="shared" si="10"/>
        <v>4</v>
      </c>
      <c r="AI93">
        <f t="shared" si="11"/>
        <v>17</v>
      </c>
      <c r="AJ93">
        <f t="shared" si="12"/>
        <v>5</v>
      </c>
      <c r="AL93">
        <f t="shared" si="13"/>
        <v>0</v>
      </c>
      <c r="AM93">
        <f t="shared" si="14"/>
        <v>12</v>
      </c>
      <c r="AN93">
        <f t="shared" si="15"/>
        <v>34</v>
      </c>
      <c r="AO93">
        <f t="shared" si="16"/>
        <v>5</v>
      </c>
      <c r="AP93">
        <f t="shared" si="17"/>
        <v>51</v>
      </c>
    </row>
    <row r="94" spans="1:42" ht="15.75" hidden="1" customHeight="1" x14ac:dyDescent="0.3">
      <c r="A94" s="16"/>
      <c r="B94" s="55">
        <v>4</v>
      </c>
      <c r="C94" s="56" t="s">
        <v>112</v>
      </c>
      <c r="D94" s="55">
        <v>3</v>
      </c>
      <c r="E94" s="55" t="s">
        <v>20</v>
      </c>
      <c r="F94" s="18" t="s">
        <v>39</v>
      </c>
      <c r="G94" s="18" t="s">
        <v>20</v>
      </c>
      <c r="H94" s="18" t="s">
        <v>20</v>
      </c>
      <c r="I94" s="18" t="s">
        <v>20</v>
      </c>
      <c r="J94" s="43" t="s">
        <v>20</v>
      </c>
      <c r="K94" s="43" t="s">
        <v>39</v>
      </c>
      <c r="L94" s="43" t="s">
        <v>20</v>
      </c>
      <c r="M94" s="18" t="s">
        <v>20</v>
      </c>
      <c r="N94" s="18" t="s">
        <v>20</v>
      </c>
      <c r="O94" s="18" t="s">
        <v>20</v>
      </c>
      <c r="P94" s="18" t="s">
        <v>20</v>
      </c>
      <c r="Q94" s="18" t="s">
        <v>20</v>
      </c>
      <c r="R94" s="18" t="s">
        <v>20</v>
      </c>
      <c r="S94" s="18" t="s">
        <v>20</v>
      </c>
      <c r="T94" s="18" t="s">
        <v>20</v>
      </c>
      <c r="U94" s="18" t="s">
        <v>20</v>
      </c>
      <c r="V94" s="37" t="s">
        <v>20</v>
      </c>
      <c r="W94" s="37" t="s">
        <v>21</v>
      </c>
      <c r="X94" s="37" t="s">
        <v>20</v>
      </c>
      <c r="Y94" s="18" t="s">
        <v>20</v>
      </c>
      <c r="Z94" s="18" t="s">
        <v>20</v>
      </c>
      <c r="AA94" s="20" t="s">
        <v>20</v>
      </c>
      <c r="AB94" s="20" t="s">
        <v>20</v>
      </c>
      <c r="AC94" s="20" t="s">
        <v>20</v>
      </c>
      <c r="AD94" s="37" t="s">
        <v>20</v>
      </c>
      <c r="AE94" s="37" t="s">
        <v>21</v>
      </c>
      <c r="AG94">
        <f t="shared" si="9"/>
        <v>2</v>
      </c>
      <c r="AH94">
        <f t="shared" si="10"/>
        <v>22</v>
      </c>
      <c r="AI94">
        <f t="shared" si="11"/>
        <v>2</v>
      </c>
      <c r="AJ94">
        <f t="shared" si="12"/>
        <v>0</v>
      </c>
      <c r="AL94">
        <f t="shared" si="13"/>
        <v>8</v>
      </c>
      <c r="AM94">
        <f t="shared" si="14"/>
        <v>66</v>
      </c>
      <c r="AN94">
        <f t="shared" si="15"/>
        <v>4</v>
      </c>
      <c r="AO94">
        <f t="shared" si="16"/>
        <v>0</v>
      </c>
      <c r="AP94">
        <f t="shared" si="17"/>
        <v>78</v>
      </c>
    </row>
    <row r="95" spans="1:42" ht="15.75" hidden="1" customHeight="1" x14ac:dyDescent="0.3">
      <c r="A95" s="16"/>
      <c r="B95" s="55">
        <v>5</v>
      </c>
      <c r="C95" s="56" t="s">
        <v>113</v>
      </c>
      <c r="D95" s="55">
        <v>3</v>
      </c>
      <c r="E95" s="55" t="s">
        <v>20</v>
      </c>
      <c r="F95" s="18" t="s">
        <v>23</v>
      </c>
      <c r="G95" s="18" t="s">
        <v>23</v>
      </c>
      <c r="H95" s="18" t="s">
        <v>23</v>
      </c>
      <c r="I95" s="18" t="s">
        <v>23</v>
      </c>
      <c r="J95" s="43" t="s">
        <v>21</v>
      </c>
      <c r="K95" s="43" t="s">
        <v>21</v>
      </c>
      <c r="L95" s="43" t="s">
        <v>21</v>
      </c>
      <c r="M95" s="18" t="s">
        <v>21</v>
      </c>
      <c r="N95" s="18" t="s">
        <v>23</v>
      </c>
      <c r="O95" s="18" t="s">
        <v>23</v>
      </c>
      <c r="P95" s="18" t="s">
        <v>23</v>
      </c>
      <c r="Q95" s="18" t="s">
        <v>23</v>
      </c>
      <c r="R95" s="18" t="s">
        <v>21</v>
      </c>
      <c r="S95" s="18" t="s">
        <v>23</v>
      </c>
      <c r="T95" s="18" t="s">
        <v>23</v>
      </c>
      <c r="U95" s="18" t="s">
        <v>21</v>
      </c>
      <c r="V95" s="37" t="s">
        <v>21</v>
      </c>
      <c r="W95" s="37" t="s">
        <v>21</v>
      </c>
      <c r="X95" s="37" t="s">
        <v>21</v>
      </c>
      <c r="Y95" s="18" t="s">
        <v>23</v>
      </c>
      <c r="Z95" s="18" t="s">
        <v>21</v>
      </c>
      <c r="AA95" s="20" t="s">
        <v>21</v>
      </c>
      <c r="AB95" s="20" t="s">
        <v>21</v>
      </c>
      <c r="AC95" s="20" t="s">
        <v>21</v>
      </c>
      <c r="AD95" s="37" t="s">
        <v>23</v>
      </c>
      <c r="AE95" s="37" t="s">
        <v>21</v>
      </c>
      <c r="AG95">
        <f t="shared" si="9"/>
        <v>0</v>
      </c>
      <c r="AH95">
        <f t="shared" si="10"/>
        <v>0</v>
      </c>
      <c r="AI95">
        <f t="shared" si="11"/>
        <v>14</v>
      </c>
      <c r="AJ95">
        <f t="shared" si="12"/>
        <v>12</v>
      </c>
      <c r="AL95">
        <f t="shared" si="13"/>
        <v>0</v>
      </c>
      <c r="AM95">
        <f t="shared" si="14"/>
        <v>0</v>
      </c>
      <c r="AN95">
        <f t="shared" si="15"/>
        <v>28</v>
      </c>
      <c r="AO95">
        <f t="shared" si="16"/>
        <v>12</v>
      </c>
      <c r="AP95">
        <f t="shared" si="17"/>
        <v>40</v>
      </c>
    </row>
    <row r="96" spans="1:42" ht="15.75" hidden="1" customHeight="1" x14ac:dyDescent="0.3">
      <c r="A96" s="16"/>
      <c r="B96" s="55">
        <v>6</v>
      </c>
      <c r="C96" s="56" t="s">
        <v>114</v>
      </c>
      <c r="D96" s="55">
        <v>3</v>
      </c>
      <c r="E96" s="55" t="s">
        <v>20</v>
      </c>
      <c r="F96" s="18" t="s">
        <v>20</v>
      </c>
      <c r="G96" s="18" t="s">
        <v>20</v>
      </c>
      <c r="H96" s="18" t="s">
        <v>20</v>
      </c>
      <c r="I96" s="18" t="s">
        <v>20</v>
      </c>
      <c r="J96" s="43" t="s">
        <v>20</v>
      </c>
      <c r="K96" s="43" t="s">
        <v>20</v>
      </c>
      <c r="L96" s="43" t="s">
        <v>20</v>
      </c>
      <c r="M96" s="18" t="s">
        <v>21</v>
      </c>
      <c r="N96" s="18" t="s">
        <v>20</v>
      </c>
      <c r="O96" s="18" t="s">
        <v>20</v>
      </c>
      <c r="P96" s="18" t="s">
        <v>20</v>
      </c>
      <c r="Q96" s="18" t="s">
        <v>20</v>
      </c>
      <c r="R96" s="18" t="s">
        <v>21</v>
      </c>
      <c r="S96" s="18" t="s">
        <v>21</v>
      </c>
      <c r="T96" s="18" t="s">
        <v>20</v>
      </c>
      <c r="U96" s="18" t="s">
        <v>20</v>
      </c>
      <c r="V96" s="37" t="s">
        <v>21</v>
      </c>
      <c r="W96" s="37" t="s">
        <v>21</v>
      </c>
      <c r="X96" s="37" t="s">
        <v>20</v>
      </c>
      <c r="Y96" s="18" t="s">
        <v>21</v>
      </c>
      <c r="Z96" s="18" t="s">
        <v>20</v>
      </c>
      <c r="AA96" s="20" t="s">
        <v>20</v>
      </c>
      <c r="AB96" s="20" t="s">
        <v>21</v>
      </c>
      <c r="AC96" s="20" t="s">
        <v>21</v>
      </c>
      <c r="AD96" s="37" t="s">
        <v>23</v>
      </c>
      <c r="AE96" s="37" t="s">
        <v>21</v>
      </c>
      <c r="AG96">
        <f t="shared" si="9"/>
        <v>0</v>
      </c>
      <c r="AH96">
        <f t="shared" si="10"/>
        <v>16</v>
      </c>
      <c r="AI96">
        <f t="shared" si="11"/>
        <v>9</v>
      </c>
      <c r="AJ96">
        <f t="shared" si="12"/>
        <v>1</v>
      </c>
      <c r="AL96">
        <f t="shared" si="13"/>
        <v>0</v>
      </c>
      <c r="AM96">
        <f t="shared" si="14"/>
        <v>48</v>
      </c>
      <c r="AN96">
        <f t="shared" si="15"/>
        <v>18</v>
      </c>
      <c r="AO96">
        <f t="shared" si="16"/>
        <v>1</v>
      </c>
      <c r="AP96">
        <f t="shared" si="17"/>
        <v>67</v>
      </c>
    </row>
    <row r="97" spans="1:42" ht="15.75" hidden="1" customHeight="1" x14ac:dyDescent="0.3">
      <c r="A97" s="16"/>
      <c r="B97" s="55">
        <v>7</v>
      </c>
      <c r="C97" s="56" t="s">
        <v>115</v>
      </c>
      <c r="D97" s="55">
        <v>3</v>
      </c>
      <c r="E97" s="55" t="s">
        <v>20</v>
      </c>
      <c r="F97" s="18" t="s">
        <v>23</v>
      </c>
      <c r="G97" s="18" t="s">
        <v>23</v>
      </c>
      <c r="H97" s="18" t="s">
        <v>23</v>
      </c>
      <c r="I97" s="18" t="s">
        <v>23</v>
      </c>
      <c r="J97" s="43" t="s">
        <v>21</v>
      </c>
      <c r="K97" s="43" t="s">
        <v>21</v>
      </c>
      <c r="L97" s="43" t="s">
        <v>21</v>
      </c>
      <c r="M97" s="18" t="s">
        <v>20</v>
      </c>
      <c r="N97" s="18" t="s">
        <v>21</v>
      </c>
      <c r="O97" s="18" t="s">
        <v>21</v>
      </c>
      <c r="P97" s="18" t="s">
        <v>21</v>
      </c>
      <c r="Q97" s="18" t="s">
        <v>21</v>
      </c>
      <c r="R97" s="18" t="s">
        <v>21</v>
      </c>
      <c r="S97" s="18" t="s">
        <v>23</v>
      </c>
      <c r="T97" s="18" t="s">
        <v>23</v>
      </c>
      <c r="U97" s="18" t="s">
        <v>20</v>
      </c>
      <c r="V97" s="37" t="s">
        <v>20</v>
      </c>
      <c r="W97" s="37" t="s">
        <v>21</v>
      </c>
      <c r="X97" s="37" t="s">
        <v>21</v>
      </c>
      <c r="Y97" s="18" t="s">
        <v>23</v>
      </c>
      <c r="Z97" s="18" t="s">
        <v>21</v>
      </c>
      <c r="AA97" s="20" t="s">
        <v>21</v>
      </c>
      <c r="AB97" s="20" t="s">
        <v>20</v>
      </c>
      <c r="AC97" s="20" t="s">
        <v>21</v>
      </c>
      <c r="AD97" s="37" t="s">
        <v>23</v>
      </c>
      <c r="AE97" s="37" t="s">
        <v>21</v>
      </c>
      <c r="AG97">
        <f t="shared" si="9"/>
        <v>0</v>
      </c>
      <c r="AH97">
        <f t="shared" si="10"/>
        <v>4</v>
      </c>
      <c r="AI97">
        <f t="shared" si="11"/>
        <v>14</v>
      </c>
      <c r="AJ97">
        <f t="shared" si="12"/>
        <v>8</v>
      </c>
      <c r="AL97">
        <f t="shared" si="13"/>
        <v>0</v>
      </c>
      <c r="AM97">
        <f t="shared" si="14"/>
        <v>12</v>
      </c>
      <c r="AN97">
        <f t="shared" si="15"/>
        <v>28</v>
      </c>
      <c r="AO97">
        <f t="shared" si="16"/>
        <v>8</v>
      </c>
      <c r="AP97">
        <f t="shared" si="17"/>
        <v>48</v>
      </c>
    </row>
    <row r="98" spans="1:42" ht="15.75" hidden="1" customHeight="1" x14ac:dyDescent="0.3">
      <c r="A98" s="16"/>
      <c r="B98" s="55">
        <v>8</v>
      </c>
      <c r="C98" s="56" t="s">
        <v>116</v>
      </c>
      <c r="D98" s="55">
        <v>3</v>
      </c>
      <c r="E98" s="55" t="s">
        <v>20</v>
      </c>
      <c r="F98" s="18" t="s">
        <v>21</v>
      </c>
      <c r="G98" s="18" t="s">
        <v>21</v>
      </c>
      <c r="H98" s="18" t="s">
        <v>21</v>
      </c>
      <c r="I98" s="18" t="s">
        <v>21</v>
      </c>
      <c r="J98" s="43" t="s">
        <v>20</v>
      </c>
      <c r="K98" s="43" t="s">
        <v>20</v>
      </c>
      <c r="L98" s="43" t="s">
        <v>21</v>
      </c>
      <c r="M98" s="18" t="s">
        <v>20</v>
      </c>
      <c r="N98" s="18" t="s">
        <v>20</v>
      </c>
      <c r="O98" s="18" t="s">
        <v>21</v>
      </c>
      <c r="P98" s="18" t="s">
        <v>21</v>
      </c>
      <c r="Q98" s="18" t="s">
        <v>21</v>
      </c>
      <c r="R98" s="18" t="s">
        <v>21</v>
      </c>
      <c r="S98" s="18" t="s">
        <v>20</v>
      </c>
      <c r="T98" s="18" t="s">
        <v>20</v>
      </c>
      <c r="U98" s="18" t="s">
        <v>20</v>
      </c>
      <c r="V98" s="37" t="s">
        <v>20</v>
      </c>
      <c r="W98" s="37" t="s">
        <v>20</v>
      </c>
      <c r="X98" s="37" t="s">
        <v>20</v>
      </c>
      <c r="Y98" s="18" t="s">
        <v>21</v>
      </c>
      <c r="Z98" s="18" t="s">
        <v>21</v>
      </c>
      <c r="AA98" s="20" t="s">
        <v>21</v>
      </c>
      <c r="AB98" s="20" t="s">
        <v>21</v>
      </c>
      <c r="AC98" s="20" t="s">
        <v>20</v>
      </c>
      <c r="AD98" s="44" t="s">
        <v>21</v>
      </c>
      <c r="AE98" s="44" t="s">
        <v>21</v>
      </c>
      <c r="AG98">
        <f t="shared" si="9"/>
        <v>0</v>
      </c>
      <c r="AH98">
        <f t="shared" si="10"/>
        <v>11</v>
      </c>
      <c r="AI98">
        <f t="shared" si="11"/>
        <v>15</v>
      </c>
      <c r="AJ98">
        <f t="shared" si="12"/>
        <v>0</v>
      </c>
      <c r="AL98">
        <f t="shared" si="13"/>
        <v>0</v>
      </c>
      <c r="AM98">
        <f t="shared" si="14"/>
        <v>33</v>
      </c>
      <c r="AN98">
        <f t="shared" si="15"/>
        <v>30</v>
      </c>
      <c r="AO98">
        <f t="shared" si="16"/>
        <v>0</v>
      </c>
      <c r="AP98">
        <f t="shared" si="17"/>
        <v>63</v>
      </c>
    </row>
    <row r="99" spans="1:42" ht="15.75" hidden="1" customHeight="1" x14ac:dyDescent="0.3">
      <c r="A99" s="16"/>
      <c r="B99" s="55">
        <v>9</v>
      </c>
      <c r="C99" s="56" t="s">
        <v>117</v>
      </c>
      <c r="D99" s="55">
        <v>3</v>
      </c>
      <c r="E99" s="55" t="s">
        <v>20</v>
      </c>
      <c r="F99" s="18" t="s">
        <v>20</v>
      </c>
      <c r="G99" s="18" t="s">
        <v>20</v>
      </c>
      <c r="H99" s="18" t="s">
        <v>20</v>
      </c>
      <c r="I99" s="18" t="s">
        <v>20</v>
      </c>
      <c r="J99" s="43" t="s">
        <v>20</v>
      </c>
      <c r="K99" s="43" t="s">
        <v>39</v>
      </c>
      <c r="L99" s="43" t="s">
        <v>20</v>
      </c>
      <c r="M99" s="18" t="s">
        <v>20</v>
      </c>
      <c r="N99" s="18" t="s">
        <v>20</v>
      </c>
      <c r="O99" s="18" t="s">
        <v>20</v>
      </c>
      <c r="P99" s="18" t="s">
        <v>20</v>
      </c>
      <c r="Q99" s="18" t="s">
        <v>20</v>
      </c>
      <c r="R99" s="18" t="s">
        <v>20</v>
      </c>
      <c r="S99" s="18" t="s">
        <v>20</v>
      </c>
      <c r="T99" s="18" t="s">
        <v>20</v>
      </c>
      <c r="U99" s="18" t="s">
        <v>20</v>
      </c>
      <c r="V99" s="37" t="s">
        <v>20</v>
      </c>
      <c r="W99" s="37" t="s">
        <v>20</v>
      </c>
      <c r="X99" s="37" t="s">
        <v>20</v>
      </c>
      <c r="Y99" s="18" t="s">
        <v>20</v>
      </c>
      <c r="Z99" s="18" t="s">
        <v>39</v>
      </c>
      <c r="AA99" s="20" t="s">
        <v>20</v>
      </c>
      <c r="AB99" s="20" t="s">
        <v>20</v>
      </c>
      <c r="AC99" s="20" t="s">
        <v>20</v>
      </c>
      <c r="AD99" s="37" t="s">
        <v>21</v>
      </c>
      <c r="AE99" s="37" t="s">
        <v>21</v>
      </c>
      <c r="AG99">
        <f t="shared" si="9"/>
        <v>2</v>
      </c>
      <c r="AH99">
        <f t="shared" si="10"/>
        <v>22</v>
      </c>
      <c r="AI99">
        <f t="shared" si="11"/>
        <v>2</v>
      </c>
      <c r="AJ99">
        <f t="shared" si="12"/>
        <v>0</v>
      </c>
      <c r="AL99">
        <f t="shared" si="13"/>
        <v>8</v>
      </c>
      <c r="AM99">
        <f t="shared" si="14"/>
        <v>66</v>
      </c>
      <c r="AN99">
        <f t="shared" si="15"/>
        <v>4</v>
      </c>
      <c r="AO99">
        <f t="shared" si="16"/>
        <v>0</v>
      </c>
      <c r="AP99">
        <f t="shared" si="17"/>
        <v>78</v>
      </c>
    </row>
    <row r="100" spans="1:42" ht="15.75" hidden="1" customHeight="1" x14ac:dyDescent="0.3">
      <c r="A100" s="16"/>
      <c r="B100" s="55">
        <v>10</v>
      </c>
      <c r="C100" s="56" t="s">
        <v>118</v>
      </c>
      <c r="D100" s="55">
        <v>3</v>
      </c>
      <c r="E100" s="55" t="s">
        <v>20</v>
      </c>
      <c r="F100" s="18" t="s">
        <v>23</v>
      </c>
      <c r="G100" s="18" t="s">
        <v>23</v>
      </c>
      <c r="H100" s="18" t="s">
        <v>23</v>
      </c>
      <c r="I100" s="18" t="s">
        <v>23</v>
      </c>
      <c r="J100" s="43" t="s">
        <v>21</v>
      </c>
      <c r="K100" s="43" t="s">
        <v>21</v>
      </c>
      <c r="L100" s="43" t="s">
        <v>21</v>
      </c>
      <c r="M100" s="18" t="s">
        <v>21</v>
      </c>
      <c r="N100" s="18" t="s">
        <v>23</v>
      </c>
      <c r="O100" s="18" t="s">
        <v>21</v>
      </c>
      <c r="P100" s="18" t="s">
        <v>23</v>
      </c>
      <c r="Q100" s="18" t="s">
        <v>21</v>
      </c>
      <c r="R100" s="18" t="s">
        <v>21</v>
      </c>
      <c r="S100" s="18" t="s">
        <v>20</v>
      </c>
      <c r="T100" s="18" t="s">
        <v>20</v>
      </c>
      <c r="U100" s="18" t="s">
        <v>21</v>
      </c>
      <c r="V100" s="37" t="s">
        <v>20</v>
      </c>
      <c r="W100" s="37" t="s">
        <v>21</v>
      </c>
      <c r="X100" s="37" t="s">
        <v>20</v>
      </c>
      <c r="Y100" s="18" t="s">
        <v>20</v>
      </c>
      <c r="Z100" s="18" t="s">
        <v>20</v>
      </c>
      <c r="AA100" s="20" t="s">
        <v>21</v>
      </c>
      <c r="AB100" s="20" t="s">
        <v>21</v>
      </c>
      <c r="AC100" s="20" t="s">
        <v>21</v>
      </c>
      <c r="AD100" s="37" t="s">
        <v>21</v>
      </c>
      <c r="AE100" s="37" t="s">
        <v>21</v>
      </c>
      <c r="AG100">
        <f t="shared" si="9"/>
        <v>0</v>
      </c>
      <c r="AH100">
        <f t="shared" si="10"/>
        <v>6</v>
      </c>
      <c r="AI100">
        <f t="shared" si="11"/>
        <v>14</v>
      </c>
      <c r="AJ100">
        <f t="shared" si="12"/>
        <v>6</v>
      </c>
      <c r="AL100">
        <f t="shared" si="13"/>
        <v>0</v>
      </c>
      <c r="AM100">
        <f t="shared" si="14"/>
        <v>18</v>
      </c>
      <c r="AN100">
        <f t="shared" si="15"/>
        <v>28</v>
      </c>
      <c r="AO100">
        <f t="shared" si="16"/>
        <v>6</v>
      </c>
      <c r="AP100">
        <f t="shared" si="17"/>
        <v>52</v>
      </c>
    </row>
    <row r="101" spans="1:42" ht="15.75" hidden="1" customHeight="1" x14ac:dyDescent="0.3">
      <c r="A101" s="16"/>
      <c r="B101" s="55">
        <v>11</v>
      </c>
      <c r="C101" s="56" t="s">
        <v>119</v>
      </c>
      <c r="D101" s="55">
        <v>3</v>
      </c>
      <c r="E101" s="55" t="s">
        <v>20</v>
      </c>
      <c r="F101" s="18" t="s">
        <v>21</v>
      </c>
      <c r="G101" s="18" t="s">
        <v>21</v>
      </c>
      <c r="H101" s="18" t="s">
        <v>21</v>
      </c>
      <c r="I101" s="18" t="s">
        <v>21</v>
      </c>
      <c r="J101" s="43" t="s">
        <v>21</v>
      </c>
      <c r="K101" s="43" t="s">
        <v>21</v>
      </c>
      <c r="L101" s="43" t="s">
        <v>21</v>
      </c>
      <c r="M101" s="18" t="s">
        <v>21</v>
      </c>
      <c r="N101" s="18" t="s">
        <v>21</v>
      </c>
      <c r="O101" s="18" t="s">
        <v>21</v>
      </c>
      <c r="P101" s="18" t="s">
        <v>23</v>
      </c>
      <c r="Q101" s="18" t="s">
        <v>21</v>
      </c>
      <c r="R101" s="18" t="s">
        <v>21</v>
      </c>
      <c r="S101" s="18" t="s">
        <v>20</v>
      </c>
      <c r="T101" s="18" t="s">
        <v>20</v>
      </c>
      <c r="U101" s="18" t="s">
        <v>21</v>
      </c>
      <c r="V101" s="37" t="s">
        <v>20</v>
      </c>
      <c r="W101" s="37" t="s">
        <v>20</v>
      </c>
      <c r="X101" s="37" t="s">
        <v>20</v>
      </c>
      <c r="Y101" s="18" t="s">
        <v>21</v>
      </c>
      <c r="Z101" s="18" t="s">
        <v>21</v>
      </c>
      <c r="AA101" s="20" t="s">
        <v>21</v>
      </c>
      <c r="AB101" s="20" t="s">
        <v>21</v>
      </c>
      <c r="AC101" s="20" t="s">
        <v>21</v>
      </c>
      <c r="AD101" s="37" t="s">
        <v>23</v>
      </c>
      <c r="AE101" s="37" t="s">
        <v>21</v>
      </c>
      <c r="AG101">
        <f t="shared" si="9"/>
        <v>0</v>
      </c>
      <c r="AH101">
        <f t="shared" si="10"/>
        <v>5</v>
      </c>
      <c r="AI101">
        <f t="shared" si="11"/>
        <v>19</v>
      </c>
      <c r="AJ101">
        <f t="shared" si="12"/>
        <v>2</v>
      </c>
      <c r="AL101">
        <f t="shared" si="13"/>
        <v>0</v>
      </c>
      <c r="AM101">
        <f t="shared" si="14"/>
        <v>15</v>
      </c>
      <c r="AN101">
        <f t="shared" si="15"/>
        <v>38</v>
      </c>
      <c r="AO101">
        <f t="shared" si="16"/>
        <v>2</v>
      </c>
      <c r="AP101">
        <f t="shared" si="17"/>
        <v>55</v>
      </c>
    </row>
    <row r="102" spans="1:42" ht="15.75" hidden="1" customHeight="1" x14ac:dyDescent="0.3">
      <c r="A102" s="16"/>
      <c r="B102" s="55">
        <v>12</v>
      </c>
      <c r="C102" s="56" t="s">
        <v>120</v>
      </c>
      <c r="D102" s="55">
        <v>3</v>
      </c>
      <c r="E102" s="55" t="s">
        <v>20</v>
      </c>
      <c r="F102" s="18" t="s">
        <v>21</v>
      </c>
      <c r="G102" s="18" t="s">
        <v>23</v>
      </c>
      <c r="H102" s="18" t="s">
        <v>23</v>
      </c>
      <c r="I102" s="18" t="s">
        <v>21</v>
      </c>
      <c r="J102" s="43" t="s">
        <v>21</v>
      </c>
      <c r="K102" s="43" t="s">
        <v>20</v>
      </c>
      <c r="L102" s="43" t="s">
        <v>21</v>
      </c>
      <c r="M102" s="18" t="s">
        <v>21</v>
      </c>
      <c r="N102" s="18" t="s">
        <v>21</v>
      </c>
      <c r="O102" s="18" t="s">
        <v>20</v>
      </c>
      <c r="P102" s="18" t="s">
        <v>21</v>
      </c>
      <c r="Q102" s="18" t="s">
        <v>21</v>
      </c>
      <c r="R102" s="18" t="s">
        <v>21</v>
      </c>
      <c r="S102" s="18" t="s">
        <v>21</v>
      </c>
      <c r="T102" s="18" t="s">
        <v>20</v>
      </c>
      <c r="U102" s="18" t="s">
        <v>21</v>
      </c>
      <c r="V102" s="37" t="s">
        <v>20</v>
      </c>
      <c r="W102" s="37" t="s">
        <v>21</v>
      </c>
      <c r="X102" s="37" t="s">
        <v>20</v>
      </c>
      <c r="Y102" s="18" t="s">
        <v>20</v>
      </c>
      <c r="Z102" s="18" t="s">
        <v>20</v>
      </c>
      <c r="AA102" s="20" t="s">
        <v>20</v>
      </c>
      <c r="AB102" s="20" t="s">
        <v>21</v>
      </c>
      <c r="AC102" s="20" t="s">
        <v>20</v>
      </c>
      <c r="AD102" s="37" t="s">
        <v>23</v>
      </c>
      <c r="AE102" s="37" t="s">
        <v>21</v>
      </c>
      <c r="AG102">
        <f t="shared" si="9"/>
        <v>0</v>
      </c>
      <c r="AH102">
        <f t="shared" si="10"/>
        <v>9</v>
      </c>
      <c r="AI102">
        <f t="shared" si="11"/>
        <v>14</v>
      </c>
      <c r="AJ102">
        <f t="shared" si="12"/>
        <v>3</v>
      </c>
      <c r="AL102">
        <f t="shared" si="13"/>
        <v>0</v>
      </c>
      <c r="AM102">
        <f t="shared" si="14"/>
        <v>27</v>
      </c>
      <c r="AN102">
        <f t="shared" si="15"/>
        <v>28</v>
      </c>
      <c r="AO102">
        <f t="shared" si="16"/>
        <v>3</v>
      </c>
      <c r="AP102">
        <f t="shared" si="17"/>
        <v>58</v>
      </c>
    </row>
    <row r="103" spans="1:42" ht="15.75" hidden="1" customHeight="1" x14ac:dyDescent="0.3">
      <c r="A103" s="16"/>
      <c r="B103" s="55">
        <v>13</v>
      </c>
      <c r="C103" s="56" t="s">
        <v>121</v>
      </c>
      <c r="D103" s="55">
        <v>3</v>
      </c>
      <c r="E103" s="55" t="s">
        <v>20</v>
      </c>
      <c r="F103" s="18" t="s">
        <v>20</v>
      </c>
      <c r="G103" s="18" t="s">
        <v>20</v>
      </c>
      <c r="H103" s="18" t="s">
        <v>20</v>
      </c>
      <c r="I103" s="18" t="s">
        <v>20</v>
      </c>
      <c r="J103" s="43" t="s">
        <v>20</v>
      </c>
      <c r="K103" s="43" t="s">
        <v>21</v>
      </c>
      <c r="L103" s="43" t="s">
        <v>21</v>
      </c>
      <c r="M103" s="18" t="s">
        <v>21</v>
      </c>
      <c r="N103" s="18" t="s">
        <v>21</v>
      </c>
      <c r="O103" s="18" t="s">
        <v>20</v>
      </c>
      <c r="P103" s="18" t="s">
        <v>20</v>
      </c>
      <c r="Q103" s="18" t="s">
        <v>20</v>
      </c>
      <c r="R103" s="18" t="s">
        <v>20</v>
      </c>
      <c r="S103" s="18" t="s">
        <v>20</v>
      </c>
      <c r="T103" s="18" t="s">
        <v>20</v>
      </c>
      <c r="U103" s="18" t="s">
        <v>21</v>
      </c>
      <c r="V103" s="37" t="s">
        <v>20</v>
      </c>
      <c r="W103" s="37" t="s">
        <v>21</v>
      </c>
      <c r="X103" s="37" t="s">
        <v>20</v>
      </c>
      <c r="Y103" s="18" t="s">
        <v>21</v>
      </c>
      <c r="Z103" s="18" t="s">
        <v>20</v>
      </c>
      <c r="AA103" s="20" t="s">
        <v>20</v>
      </c>
      <c r="AB103" s="20" t="s">
        <v>21</v>
      </c>
      <c r="AC103" s="20" t="s">
        <v>20</v>
      </c>
      <c r="AD103" s="37" t="s">
        <v>21</v>
      </c>
      <c r="AE103" s="37" t="s">
        <v>21</v>
      </c>
      <c r="AG103">
        <f t="shared" si="9"/>
        <v>0</v>
      </c>
      <c r="AH103">
        <f t="shared" si="10"/>
        <v>16</v>
      </c>
      <c r="AI103">
        <f t="shared" si="11"/>
        <v>10</v>
      </c>
      <c r="AJ103">
        <f t="shared" si="12"/>
        <v>0</v>
      </c>
      <c r="AL103">
        <f t="shared" si="13"/>
        <v>0</v>
      </c>
      <c r="AM103">
        <f t="shared" si="14"/>
        <v>48</v>
      </c>
      <c r="AN103">
        <f t="shared" si="15"/>
        <v>20</v>
      </c>
      <c r="AO103">
        <f t="shared" si="16"/>
        <v>0</v>
      </c>
      <c r="AP103">
        <f t="shared" si="17"/>
        <v>68</v>
      </c>
    </row>
    <row r="104" spans="1:42" ht="15.75" hidden="1" customHeight="1" x14ac:dyDescent="0.3">
      <c r="A104" s="16"/>
      <c r="B104" s="55">
        <v>14</v>
      </c>
      <c r="C104" s="56" t="s">
        <v>122</v>
      </c>
      <c r="D104" s="55">
        <v>3</v>
      </c>
      <c r="E104" s="55" t="s">
        <v>20</v>
      </c>
      <c r="F104" s="18" t="s">
        <v>23</v>
      </c>
      <c r="G104" s="18" t="s">
        <v>23</v>
      </c>
      <c r="H104" s="18" t="s">
        <v>23</v>
      </c>
      <c r="I104" s="18" t="s">
        <v>23</v>
      </c>
      <c r="J104" s="43" t="s">
        <v>21</v>
      </c>
      <c r="K104" s="43" t="s">
        <v>23</v>
      </c>
      <c r="L104" s="43" t="s">
        <v>21</v>
      </c>
      <c r="M104" s="18" t="s">
        <v>21</v>
      </c>
      <c r="N104" s="18" t="s">
        <v>23</v>
      </c>
      <c r="O104" s="18" t="s">
        <v>23</v>
      </c>
      <c r="P104" s="18" t="s">
        <v>23</v>
      </c>
      <c r="Q104" s="18" t="s">
        <v>21</v>
      </c>
      <c r="R104" s="18" t="s">
        <v>23</v>
      </c>
      <c r="S104" s="18" t="s">
        <v>23</v>
      </c>
      <c r="T104" s="18" t="s">
        <v>23</v>
      </c>
      <c r="U104" s="18" t="s">
        <v>21</v>
      </c>
      <c r="V104" s="37" t="s">
        <v>20</v>
      </c>
      <c r="W104" s="37" t="s">
        <v>21</v>
      </c>
      <c r="X104" s="37" t="s">
        <v>20</v>
      </c>
      <c r="Y104" s="18" t="s">
        <v>21</v>
      </c>
      <c r="Z104" s="18" t="s">
        <v>23</v>
      </c>
      <c r="AA104" s="20" t="s">
        <v>23</v>
      </c>
      <c r="AB104" s="20" t="s">
        <v>23</v>
      </c>
      <c r="AC104" s="20" t="s">
        <v>21</v>
      </c>
      <c r="AD104" s="37" t="s">
        <v>21</v>
      </c>
      <c r="AE104" s="37" t="s">
        <v>21</v>
      </c>
      <c r="AG104">
        <f t="shared" si="9"/>
        <v>0</v>
      </c>
      <c r="AH104">
        <f t="shared" si="10"/>
        <v>2</v>
      </c>
      <c r="AI104">
        <f t="shared" si="11"/>
        <v>10</v>
      </c>
      <c r="AJ104">
        <f t="shared" si="12"/>
        <v>14</v>
      </c>
      <c r="AL104">
        <f t="shared" si="13"/>
        <v>0</v>
      </c>
      <c r="AM104">
        <f t="shared" si="14"/>
        <v>6</v>
      </c>
      <c r="AN104">
        <f t="shared" si="15"/>
        <v>20</v>
      </c>
      <c r="AO104">
        <f t="shared" si="16"/>
        <v>14</v>
      </c>
      <c r="AP104">
        <f t="shared" si="17"/>
        <v>40</v>
      </c>
    </row>
    <row r="105" spans="1:42" ht="15.75" hidden="1" customHeight="1" x14ac:dyDescent="0.3">
      <c r="A105" s="16"/>
      <c r="B105" s="55">
        <v>15</v>
      </c>
      <c r="C105" s="56" t="s">
        <v>123</v>
      </c>
      <c r="D105" s="55">
        <v>3</v>
      </c>
      <c r="E105" s="55" t="s">
        <v>20</v>
      </c>
      <c r="F105" s="18" t="s">
        <v>39</v>
      </c>
      <c r="G105" s="18" t="s">
        <v>39</v>
      </c>
      <c r="H105" s="18" t="s">
        <v>20</v>
      </c>
      <c r="I105" s="18" t="s">
        <v>39</v>
      </c>
      <c r="J105" s="43" t="s">
        <v>20</v>
      </c>
      <c r="K105" s="43" t="s">
        <v>20</v>
      </c>
      <c r="L105" s="43" t="s">
        <v>20</v>
      </c>
      <c r="M105" s="18" t="s">
        <v>20</v>
      </c>
      <c r="N105" s="18" t="s">
        <v>21</v>
      </c>
      <c r="O105" s="18" t="s">
        <v>20</v>
      </c>
      <c r="P105" s="18" t="s">
        <v>20</v>
      </c>
      <c r="Q105" s="18" t="s">
        <v>20</v>
      </c>
      <c r="R105" s="18" t="s">
        <v>20</v>
      </c>
      <c r="S105" s="18" t="s">
        <v>20</v>
      </c>
      <c r="T105" s="18" t="s">
        <v>20</v>
      </c>
      <c r="U105" s="18" t="s">
        <v>20</v>
      </c>
      <c r="V105" s="37" t="s">
        <v>20</v>
      </c>
      <c r="W105" s="37" t="s">
        <v>20</v>
      </c>
      <c r="X105" s="37" t="s">
        <v>20</v>
      </c>
      <c r="Y105" s="18" t="s">
        <v>20</v>
      </c>
      <c r="Z105" s="18" t="s">
        <v>21</v>
      </c>
      <c r="AA105" s="20" t="s">
        <v>20</v>
      </c>
      <c r="AB105" s="20" t="s">
        <v>20</v>
      </c>
      <c r="AC105" s="20" t="s">
        <v>20</v>
      </c>
      <c r="AD105" s="37" t="s">
        <v>20</v>
      </c>
      <c r="AE105" s="37" t="s">
        <v>21</v>
      </c>
      <c r="AG105">
        <f t="shared" si="9"/>
        <v>3</v>
      </c>
      <c r="AH105">
        <f t="shared" si="10"/>
        <v>20</v>
      </c>
      <c r="AI105">
        <f t="shared" si="11"/>
        <v>3</v>
      </c>
      <c r="AJ105">
        <f t="shared" si="12"/>
        <v>0</v>
      </c>
      <c r="AL105">
        <f t="shared" si="13"/>
        <v>12</v>
      </c>
      <c r="AM105">
        <f t="shared" si="14"/>
        <v>60</v>
      </c>
      <c r="AN105">
        <f t="shared" si="15"/>
        <v>6</v>
      </c>
      <c r="AO105">
        <f t="shared" si="16"/>
        <v>0</v>
      </c>
      <c r="AP105">
        <f t="shared" si="17"/>
        <v>78</v>
      </c>
    </row>
    <row r="106" spans="1:42" ht="15.75" hidden="1" customHeight="1" x14ac:dyDescent="0.3">
      <c r="A106" s="16"/>
      <c r="B106" s="55">
        <v>16</v>
      </c>
      <c r="C106" s="56" t="s">
        <v>124</v>
      </c>
      <c r="D106" s="55">
        <v>3</v>
      </c>
      <c r="E106" s="55" t="s">
        <v>20</v>
      </c>
      <c r="F106" s="18" t="s">
        <v>20</v>
      </c>
      <c r="G106" s="18" t="s">
        <v>20</v>
      </c>
      <c r="H106" s="18" t="s">
        <v>20</v>
      </c>
      <c r="I106" s="18" t="s">
        <v>20</v>
      </c>
      <c r="J106" s="43" t="s">
        <v>20</v>
      </c>
      <c r="K106" s="43" t="s">
        <v>20</v>
      </c>
      <c r="L106" s="43" t="s">
        <v>20</v>
      </c>
      <c r="M106" s="18" t="s">
        <v>20</v>
      </c>
      <c r="N106" s="18" t="s">
        <v>20</v>
      </c>
      <c r="O106" s="18" t="s">
        <v>20</v>
      </c>
      <c r="P106" s="18" t="s">
        <v>20</v>
      </c>
      <c r="Q106" s="18" t="s">
        <v>20</v>
      </c>
      <c r="R106" s="18" t="s">
        <v>20</v>
      </c>
      <c r="S106" s="18" t="s">
        <v>20</v>
      </c>
      <c r="T106" s="18" t="s">
        <v>20</v>
      </c>
      <c r="U106" s="18" t="s">
        <v>20</v>
      </c>
      <c r="V106" s="37" t="s">
        <v>20</v>
      </c>
      <c r="W106" s="37" t="s">
        <v>20</v>
      </c>
      <c r="X106" s="37" t="s">
        <v>20</v>
      </c>
      <c r="Y106" s="18" t="s">
        <v>20</v>
      </c>
      <c r="Z106" s="18" t="s">
        <v>20</v>
      </c>
      <c r="AA106" s="20" t="s">
        <v>20</v>
      </c>
      <c r="AB106" s="20" t="s">
        <v>20</v>
      </c>
      <c r="AC106" s="20" t="s">
        <v>20</v>
      </c>
      <c r="AD106" s="37" t="s">
        <v>20</v>
      </c>
      <c r="AE106" s="37" t="s">
        <v>21</v>
      </c>
      <c r="AG106">
        <f t="shared" si="9"/>
        <v>0</v>
      </c>
      <c r="AH106">
        <f t="shared" si="10"/>
        <v>25</v>
      </c>
      <c r="AI106">
        <f t="shared" si="11"/>
        <v>1</v>
      </c>
      <c r="AJ106">
        <f t="shared" si="12"/>
        <v>0</v>
      </c>
      <c r="AL106">
        <f t="shared" si="13"/>
        <v>0</v>
      </c>
      <c r="AM106">
        <f t="shared" si="14"/>
        <v>75</v>
      </c>
      <c r="AN106">
        <f t="shared" si="15"/>
        <v>2</v>
      </c>
      <c r="AO106">
        <f t="shared" si="16"/>
        <v>0</v>
      </c>
      <c r="AP106">
        <f t="shared" si="17"/>
        <v>77</v>
      </c>
    </row>
    <row r="107" spans="1:42" ht="15.75" hidden="1" customHeight="1" x14ac:dyDescent="0.3">
      <c r="A107" s="16"/>
      <c r="B107" s="55">
        <v>17</v>
      </c>
      <c r="C107" s="56" t="s">
        <v>125</v>
      </c>
      <c r="D107" s="55">
        <v>3</v>
      </c>
      <c r="E107" s="55" t="s">
        <v>20</v>
      </c>
      <c r="F107" s="18" t="s">
        <v>20</v>
      </c>
      <c r="G107" s="18" t="s">
        <v>20</v>
      </c>
      <c r="H107" s="18" t="s">
        <v>20</v>
      </c>
      <c r="I107" s="18" t="s">
        <v>20</v>
      </c>
      <c r="J107" s="43" t="s">
        <v>39</v>
      </c>
      <c r="K107" s="43" t="s">
        <v>20</v>
      </c>
      <c r="L107" s="43" t="s">
        <v>20</v>
      </c>
      <c r="M107" s="18" t="s">
        <v>20</v>
      </c>
      <c r="N107" s="18" t="s">
        <v>20</v>
      </c>
      <c r="O107" s="18" t="s">
        <v>20</v>
      </c>
      <c r="P107" s="18" t="s">
        <v>20</v>
      </c>
      <c r="Q107" s="18" t="s">
        <v>20</v>
      </c>
      <c r="R107" s="18" t="s">
        <v>20</v>
      </c>
      <c r="S107" s="18" t="s">
        <v>21</v>
      </c>
      <c r="T107" s="18" t="s">
        <v>20</v>
      </c>
      <c r="U107" s="18" t="s">
        <v>20</v>
      </c>
      <c r="V107" s="37" t="s">
        <v>21</v>
      </c>
      <c r="W107" s="37" t="s">
        <v>20</v>
      </c>
      <c r="X107" s="37" t="s">
        <v>21</v>
      </c>
      <c r="Y107" s="18" t="s">
        <v>20</v>
      </c>
      <c r="Z107" s="18" t="s">
        <v>20</v>
      </c>
      <c r="AA107" s="20" t="s">
        <v>20</v>
      </c>
      <c r="AB107" s="20" t="s">
        <v>20</v>
      </c>
      <c r="AC107" s="20" t="s">
        <v>20</v>
      </c>
      <c r="AD107" s="37" t="s">
        <v>20</v>
      </c>
      <c r="AE107" s="37" t="s">
        <v>21</v>
      </c>
      <c r="AG107">
        <f t="shared" si="9"/>
        <v>1</v>
      </c>
      <c r="AH107">
        <f t="shared" si="10"/>
        <v>21</v>
      </c>
      <c r="AI107">
        <f t="shared" si="11"/>
        <v>4</v>
      </c>
      <c r="AJ107">
        <f t="shared" si="12"/>
        <v>0</v>
      </c>
      <c r="AL107">
        <f t="shared" si="13"/>
        <v>4</v>
      </c>
      <c r="AM107">
        <f t="shared" si="14"/>
        <v>63</v>
      </c>
      <c r="AN107">
        <f t="shared" si="15"/>
        <v>8</v>
      </c>
      <c r="AO107">
        <f t="shared" si="16"/>
        <v>0</v>
      </c>
      <c r="AP107">
        <f t="shared" si="17"/>
        <v>75</v>
      </c>
    </row>
    <row r="108" spans="1:42" ht="15.75" hidden="1" customHeight="1" x14ac:dyDescent="0.3">
      <c r="A108" s="16"/>
      <c r="B108" s="55">
        <v>18</v>
      </c>
      <c r="C108" s="56" t="s">
        <v>126</v>
      </c>
      <c r="D108" s="55">
        <v>3</v>
      </c>
      <c r="E108" s="55" t="s">
        <v>20</v>
      </c>
      <c r="F108" s="18" t="s">
        <v>39</v>
      </c>
      <c r="G108" s="18" t="s">
        <v>20</v>
      </c>
      <c r="H108" s="18" t="s">
        <v>20</v>
      </c>
      <c r="I108" s="18" t="s">
        <v>20</v>
      </c>
      <c r="J108" s="43" t="s">
        <v>20</v>
      </c>
      <c r="K108" s="43" t="s">
        <v>20</v>
      </c>
      <c r="L108" s="43" t="s">
        <v>20</v>
      </c>
      <c r="M108" s="18" t="s">
        <v>20</v>
      </c>
      <c r="N108" s="18" t="s">
        <v>20</v>
      </c>
      <c r="O108" s="18" t="s">
        <v>20</v>
      </c>
      <c r="P108" s="18" t="s">
        <v>20</v>
      </c>
      <c r="Q108" s="18" t="s">
        <v>20</v>
      </c>
      <c r="R108" s="18" t="s">
        <v>20</v>
      </c>
      <c r="S108" s="18" t="s">
        <v>20</v>
      </c>
      <c r="T108" s="18" t="s">
        <v>20</v>
      </c>
      <c r="U108" s="18" t="s">
        <v>20</v>
      </c>
      <c r="V108" s="37" t="s">
        <v>20</v>
      </c>
      <c r="W108" s="37" t="s">
        <v>20</v>
      </c>
      <c r="X108" s="37" t="s">
        <v>20</v>
      </c>
      <c r="Y108" s="18" t="s">
        <v>21</v>
      </c>
      <c r="Z108" s="18" t="s">
        <v>20</v>
      </c>
      <c r="AA108" s="20" t="s">
        <v>20</v>
      </c>
      <c r="AB108" s="20" t="s">
        <v>20</v>
      </c>
      <c r="AC108" s="20" t="s">
        <v>20</v>
      </c>
      <c r="AD108" s="37" t="s">
        <v>20</v>
      </c>
      <c r="AE108" s="37" t="s">
        <v>21</v>
      </c>
      <c r="AG108">
        <f t="shared" si="9"/>
        <v>1</v>
      </c>
      <c r="AH108">
        <f t="shared" si="10"/>
        <v>23</v>
      </c>
      <c r="AI108">
        <f t="shared" si="11"/>
        <v>2</v>
      </c>
      <c r="AJ108">
        <f t="shared" si="12"/>
        <v>0</v>
      </c>
      <c r="AL108">
        <f t="shared" si="13"/>
        <v>4</v>
      </c>
      <c r="AM108">
        <f t="shared" si="14"/>
        <v>69</v>
      </c>
      <c r="AN108">
        <f t="shared" si="15"/>
        <v>4</v>
      </c>
      <c r="AO108">
        <f t="shared" si="16"/>
        <v>0</v>
      </c>
      <c r="AP108">
        <f t="shared" si="17"/>
        <v>77</v>
      </c>
    </row>
    <row r="109" spans="1:42" ht="15.75" hidden="1" customHeight="1" thickBot="1" x14ac:dyDescent="0.35">
      <c r="A109" s="16"/>
      <c r="B109" s="57">
        <v>19</v>
      </c>
      <c r="C109" s="58" t="s">
        <v>127</v>
      </c>
      <c r="D109" s="57">
        <v>3</v>
      </c>
      <c r="E109" s="57" t="s">
        <v>20</v>
      </c>
      <c r="F109" s="21" t="s">
        <v>21</v>
      </c>
      <c r="G109" s="21" t="s">
        <v>23</v>
      </c>
      <c r="H109" s="21" t="s">
        <v>23</v>
      </c>
      <c r="I109" s="21" t="s">
        <v>23</v>
      </c>
      <c r="J109" s="45" t="s">
        <v>21</v>
      </c>
      <c r="K109" s="45" t="s">
        <v>20</v>
      </c>
      <c r="L109" s="45" t="s">
        <v>21</v>
      </c>
      <c r="M109" s="21" t="s">
        <v>21</v>
      </c>
      <c r="N109" s="21" t="s">
        <v>21</v>
      </c>
      <c r="O109" s="21" t="s">
        <v>21</v>
      </c>
      <c r="P109" s="21" t="s">
        <v>21</v>
      </c>
      <c r="Q109" s="21" t="s">
        <v>21</v>
      </c>
      <c r="R109" s="21" t="s">
        <v>21</v>
      </c>
      <c r="S109" s="21" t="s">
        <v>20</v>
      </c>
      <c r="T109" s="21" t="s">
        <v>20</v>
      </c>
      <c r="U109" s="21" t="s">
        <v>20</v>
      </c>
      <c r="V109" s="38" t="s">
        <v>20</v>
      </c>
      <c r="W109" s="38" t="s">
        <v>21</v>
      </c>
      <c r="X109" s="38" t="s">
        <v>20</v>
      </c>
      <c r="Y109" s="21" t="s">
        <v>23</v>
      </c>
      <c r="Z109" s="21" t="s">
        <v>20</v>
      </c>
      <c r="AA109" s="23" t="s">
        <v>21</v>
      </c>
      <c r="AB109" s="23" t="s">
        <v>21</v>
      </c>
      <c r="AC109" s="23" t="s">
        <v>21</v>
      </c>
      <c r="AD109" s="38" t="s">
        <v>21</v>
      </c>
      <c r="AE109" s="38" t="s">
        <v>21</v>
      </c>
      <c r="AG109">
        <f t="shared" si="9"/>
        <v>0</v>
      </c>
      <c r="AH109">
        <f t="shared" si="10"/>
        <v>7</v>
      </c>
      <c r="AI109">
        <f t="shared" si="11"/>
        <v>15</v>
      </c>
      <c r="AJ109">
        <f t="shared" si="12"/>
        <v>4</v>
      </c>
      <c r="AL109">
        <f t="shared" si="13"/>
        <v>0</v>
      </c>
      <c r="AM109">
        <f t="shared" si="14"/>
        <v>21</v>
      </c>
      <c r="AN109">
        <f t="shared" si="15"/>
        <v>30</v>
      </c>
      <c r="AO109">
        <f t="shared" si="16"/>
        <v>4</v>
      </c>
      <c r="AP109">
        <f t="shared" si="17"/>
        <v>55</v>
      </c>
    </row>
    <row r="110" spans="1:42" ht="15.75" customHeight="1" x14ac:dyDescent="0.3">
      <c r="A110" s="16"/>
      <c r="B110" s="55">
        <v>1</v>
      </c>
      <c r="C110" s="60" t="s">
        <v>137</v>
      </c>
      <c r="D110" s="59">
        <v>3</v>
      </c>
      <c r="E110" s="59" t="s">
        <v>21</v>
      </c>
      <c r="F110" s="24" t="s">
        <v>39</v>
      </c>
      <c r="G110" s="24" t="s">
        <v>20</v>
      </c>
      <c r="H110" s="24" t="s">
        <v>20</v>
      </c>
      <c r="I110" s="24" t="s">
        <v>20</v>
      </c>
      <c r="J110" s="27" t="s">
        <v>20</v>
      </c>
      <c r="K110" s="27" t="s">
        <v>39</v>
      </c>
      <c r="L110" s="27" t="s">
        <v>20</v>
      </c>
      <c r="M110" s="24" t="s">
        <v>20</v>
      </c>
      <c r="N110" s="24" t="s">
        <v>20</v>
      </c>
      <c r="O110" s="24" t="s">
        <v>20</v>
      </c>
      <c r="P110" s="24" t="s">
        <v>21</v>
      </c>
      <c r="Q110" s="24" t="s">
        <v>20</v>
      </c>
      <c r="R110" s="24" t="s">
        <v>20</v>
      </c>
      <c r="S110" s="24" t="s">
        <v>20</v>
      </c>
      <c r="T110" s="24" t="s">
        <v>20</v>
      </c>
      <c r="U110" s="24" t="s">
        <v>20</v>
      </c>
      <c r="V110" s="39" t="s">
        <v>21</v>
      </c>
      <c r="W110" s="39" t="s">
        <v>20</v>
      </c>
      <c r="X110" s="39" t="s">
        <v>20</v>
      </c>
      <c r="Y110" s="24" t="s">
        <v>20</v>
      </c>
      <c r="Z110" s="24" t="s">
        <v>20</v>
      </c>
      <c r="AA110" s="27" t="s">
        <v>20</v>
      </c>
      <c r="AB110" s="27" t="s">
        <v>20</v>
      </c>
      <c r="AC110" s="27" t="s">
        <v>20</v>
      </c>
      <c r="AD110" s="34" t="s">
        <v>20</v>
      </c>
      <c r="AE110" s="34" t="s">
        <v>21</v>
      </c>
      <c r="AG110">
        <f>+COUNTIF(F110:AE110,"AD")</f>
        <v>2</v>
      </c>
      <c r="AH110">
        <f>+COUNTIF(F110:AE110,"A")</f>
        <v>21</v>
      </c>
      <c r="AI110">
        <f>+COUNTIF(F110:AE110,"b")</f>
        <v>3</v>
      </c>
      <c r="AJ110">
        <f>+COUNTIF(F110:AE110,"c")</f>
        <v>0</v>
      </c>
      <c r="AL110">
        <f>+$AG$5*AG110</f>
        <v>8</v>
      </c>
      <c r="AM110">
        <f>+$AH$5*AH110</f>
        <v>63</v>
      </c>
      <c r="AN110">
        <f>+$AI$5*AI110</f>
        <v>6</v>
      </c>
      <c r="AO110">
        <f>+$AJ$5*AJ110</f>
        <v>0</v>
      </c>
      <c r="AP110" s="73">
        <f>+SUM(AL110:AO110)</f>
        <v>77</v>
      </c>
    </row>
    <row r="111" spans="1:42" ht="15.75" customHeight="1" x14ac:dyDescent="0.3">
      <c r="A111" s="16"/>
      <c r="B111" s="55">
        <v>2</v>
      </c>
      <c r="C111" s="56" t="s">
        <v>130</v>
      </c>
      <c r="D111" s="55">
        <v>3</v>
      </c>
      <c r="E111" s="55" t="s">
        <v>21</v>
      </c>
      <c r="F111" s="18" t="s">
        <v>20</v>
      </c>
      <c r="G111" s="18" t="s">
        <v>20</v>
      </c>
      <c r="H111" s="18" t="s">
        <v>20</v>
      </c>
      <c r="I111" s="18" t="s">
        <v>20</v>
      </c>
      <c r="J111" s="20" t="s">
        <v>20</v>
      </c>
      <c r="K111" s="20" t="s">
        <v>20</v>
      </c>
      <c r="L111" s="20" t="s">
        <v>21</v>
      </c>
      <c r="M111" s="18" t="s">
        <v>20</v>
      </c>
      <c r="N111" s="18" t="s">
        <v>20</v>
      </c>
      <c r="O111" s="18" t="s">
        <v>21</v>
      </c>
      <c r="P111" s="18" t="s">
        <v>20</v>
      </c>
      <c r="Q111" s="18" t="s">
        <v>20</v>
      </c>
      <c r="R111" s="18" t="s">
        <v>20</v>
      </c>
      <c r="S111" s="18" t="s">
        <v>20</v>
      </c>
      <c r="T111" s="18" t="s">
        <v>20</v>
      </c>
      <c r="U111" s="18" t="s">
        <v>20</v>
      </c>
      <c r="V111" s="37" t="s">
        <v>20</v>
      </c>
      <c r="W111" s="37" t="s">
        <v>20</v>
      </c>
      <c r="X111" s="37" t="s">
        <v>20</v>
      </c>
      <c r="Y111" s="18" t="s">
        <v>20</v>
      </c>
      <c r="Z111" s="18" t="s">
        <v>20</v>
      </c>
      <c r="AA111" s="20" t="s">
        <v>20</v>
      </c>
      <c r="AB111" s="20" t="s">
        <v>20</v>
      </c>
      <c r="AC111" s="20" t="s">
        <v>20</v>
      </c>
      <c r="AD111" s="37" t="s">
        <v>20</v>
      </c>
      <c r="AE111" s="37" t="s">
        <v>21</v>
      </c>
      <c r="AG111">
        <f>+COUNTIF(F111:AE111,"AD")</f>
        <v>0</v>
      </c>
      <c r="AH111">
        <f>+COUNTIF(F111:AE111,"A")</f>
        <v>23</v>
      </c>
      <c r="AI111">
        <f>+COUNTIF(F111:AE111,"b")</f>
        <v>3</v>
      </c>
      <c r="AJ111">
        <f>+COUNTIF(F111:AE111,"c")</f>
        <v>0</v>
      </c>
      <c r="AL111">
        <f>+$AG$5*AG111</f>
        <v>0</v>
      </c>
      <c r="AM111">
        <f>+$AH$5*AH111</f>
        <v>69</v>
      </c>
      <c r="AN111">
        <f>+$AI$5*AI111</f>
        <v>6</v>
      </c>
      <c r="AO111">
        <f>+$AJ$5*AJ111</f>
        <v>0</v>
      </c>
      <c r="AP111" s="73">
        <f>+SUM(AL111:AO111)</f>
        <v>75</v>
      </c>
    </row>
    <row r="112" spans="1:42" ht="15.75" customHeight="1" x14ac:dyDescent="0.3">
      <c r="A112" s="16"/>
      <c r="B112" s="55">
        <v>3</v>
      </c>
      <c r="C112" s="56" t="s">
        <v>133</v>
      </c>
      <c r="D112" s="55">
        <v>3</v>
      </c>
      <c r="E112" s="55" t="s">
        <v>21</v>
      </c>
      <c r="F112" s="18" t="s">
        <v>20</v>
      </c>
      <c r="G112" s="18" t="s">
        <v>20</v>
      </c>
      <c r="H112" s="18" t="s">
        <v>20</v>
      </c>
      <c r="I112" s="18" t="s">
        <v>20</v>
      </c>
      <c r="J112" s="20" t="s">
        <v>20</v>
      </c>
      <c r="K112" s="20" t="s">
        <v>20</v>
      </c>
      <c r="L112" s="20" t="s">
        <v>20</v>
      </c>
      <c r="M112" s="18" t="s">
        <v>20</v>
      </c>
      <c r="N112" s="18" t="s">
        <v>20</v>
      </c>
      <c r="O112" s="18" t="s">
        <v>20</v>
      </c>
      <c r="P112" s="18" t="s">
        <v>21</v>
      </c>
      <c r="Q112" s="18" t="s">
        <v>20</v>
      </c>
      <c r="R112" s="18" t="s">
        <v>20</v>
      </c>
      <c r="S112" s="18" t="s">
        <v>20</v>
      </c>
      <c r="T112" s="18" t="s">
        <v>20</v>
      </c>
      <c r="U112" s="18" t="s">
        <v>20</v>
      </c>
      <c r="V112" s="37" t="s">
        <v>20</v>
      </c>
      <c r="W112" s="37" t="s">
        <v>20</v>
      </c>
      <c r="X112" s="37" t="s">
        <v>21</v>
      </c>
      <c r="Y112" s="18" t="s">
        <v>20</v>
      </c>
      <c r="Z112" s="18" t="s">
        <v>20</v>
      </c>
      <c r="AA112" s="20" t="s">
        <v>20</v>
      </c>
      <c r="AB112" s="20" t="s">
        <v>20</v>
      </c>
      <c r="AC112" s="20" t="s">
        <v>20</v>
      </c>
      <c r="AD112" s="29" t="s">
        <v>20</v>
      </c>
      <c r="AE112" s="29" t="s">
        <v>21</v>
      </c>
      <c r="AG112">
        <f>+COUNTIF(F112:AE112,"AD")</f>
        <v>0</v>
      </c>
      <c r="AH112">
        <f>+COUNTIF(F112:AE112,"A")</f>
        <v>23</v>
      </c>
      <c r="AI112">
        <f>+COUNTIF(F112:AE112,"b")</f>
        <v>3</v>
      </c>
      <c r="AJ112">
        <f>+COUNTIF(F112:AE112,"c")</f>
        <v>0</v>
      </c>
      <c r="AL112">
        <f>+$AG$5*AG112</f>
        <v>0</v>
      </c>
      <c r="AM112">
        <f>+$AH$5*AH112</f>
        <v>69</v>
      </c>
      <c r="AN112">
        <f>+$AI$5*AI112</f>
        <v>6</v>
      </c>
      <c r="AO112">
        <f>+$AJ$5*AJ112</f>
        <v>0</v>
      </c>
      <c r="AP112" s="73">
        <f>+SUM(AL112:AO112)</f>
        <v>75</v>
      </c>
    </row>
    <row r="113" spans="1:42" ht="15.75" customHeight="1" x14ac:dyDescent="0.3">
      <c r="A113" s="16"/>
      <c r="B113" s="55">
        <v>4</v>
      </c>
      <c r="C113" s="56" t="s">
        <v>132</v>
      </c>
      <c r="D113" s="55">
        <v>3</v>
      </c>
      <c r="E113" s="55" t="s">
        <v>21</v>
      </c>
      <c r="F113" s="18" t="s">
        <v>21</v>
      </c>
      <c r="G113" s="18" t="s">
        <v>20</v>
      </c>
      <c r="H113" s="18" t="s">
        <v>21</v>
      </c>
      <c r="I113" s="18" t="s">
        <v>20</v>
      </c>
      <c r="J113" s="20" t="s">
        <v>39</v>
      </c>
      <c r="K113" s="20" t="s">
        <v>39</v>
      </c>
      <c r="L113" s="20" t="s">
        <v>20</v>
      </c>
      <c r="M113" s="18" t="s">
        <v>20</v>
      </c>
      <c r="N113" s="18" t="s">
        <v>20</v>
      </c>
      <c r="O113" s="18" t="s">
        <v>20</v>
      </c>
      <c r="P113" s="18" t="s">
        <v>21</v>
      </c>
      <c r="Q113" s="18" t="s">
        <v>20</v>
      </c>
      <c r="R113" s="18" t="s">
        <v>20</v>
      </c>
      <c r="S113" s="18" t="s">
        <v>20</v>
      </c>
      <c r="T113" s="18" t="s">
        <v>20</v>
      </c>
      <c r="U113" s="18" t="s">
        <v>20</v>
      </c>
      <c r="V113" s="37" t="s">
        <v>20</v>
      </c>
      <c r="W113" s="37" t="s">
        <v>20</v>
      </c>
      <c r="X113" s="37" t="s">
        <v>20</v>
      </c>
      <c r="Y113" s="18" t="s">
        <v>20</v>
      </c>
      <c r="Z113" s="18" t="s">
        <v>20</v>
      </c>
      <c r="AA113" s="20" t="s">
        <v>20</v>
      </c>
      <c r="AB113" s="20" t="s">
        <v>20</v>
      </c>
      <c r="AC113" s="20" t="s">
        <v>20</v>
      </c>
      <c r="AD113" s="29" t="s">
        <v>23</v>
      </c>
      <c r="AE113" s="29" t="s">
        <v>21</v>
      </c>
      <c r="AG113">
        <f>+COUNTIF(F113:AE113,"AD")</f>
        <v>2</v>
      </c>
      <c r="AH113">
        <f>+COUNTIF(F113:AE113,"A")</f>
        <v>19</v>
      </c>
      <c r="AI113">
        <f>+COUNTIF(F113:AE113,"b")</f>
        <v>4</v>
      </c>
      <c r="AJ113">
        <f>+COUNTIF(F113:AE113,"c")</f>
        <v>1</v>
      </c>
      <c r="AL113">
        <f>+$AG$5*AG113</f>
        <v>8</v>
      </c>
      <c r="AM113">
        <f>+$AH$5*AH113</f>
        <v>57</v>
      </c>
      <c r="AN113">
        <f>+$AI$5*AI113</f>
        <v>8</v>
      </c>
      <c r="AO113">
        <f>+$AJ$5*AJ113</f>
        <v>1</v>
      </c>
      <c r="AP113" s="73">
        <f>+SUM(AL113:AO113)</f>
        <v>74</v>
      </c>
    </row>
    <row r="114" spans="1:42" ht="15.75" customHeight="1" x14ac:dyDescent="0.3">
      <c r="A114" s="16"/>
      <c r="B114" s="55">
        <v>5</v>
      </c>
      <c r="C114" s="56" t="s">
        <v>129</v>
      </c>
      <c r="D114" s="55">
        <v>3</v>
      </c>
      <c r="E114" s="55" t="s">
        <v>21</v>
      </c>
      <c r="F114" s="18" t="s">
        <v>21</v>
      </c>
      <c r="G114" s="18" t="s">
        <v>20</v>
      </c>
      <c r="H114" s="18" t="s">
        <v>20</v>
      </c>
      <c r="I114" s="18" t="s">
        <v>20</v>
      </c>
      <c r="J114" s="20" t="s">
        <v>20</v>
      </c>
      <c r="K114" s="20" t="s">
        <v>20</v>
      </c>
      <c r="L114" s="20" t="s">
        <v>21</v>
      </c>
      <c r="M114" s="18" t="s">
        <v>20</v>
      </c>
      <c r="N114" s="18" t="s">
        <v>20</v>
      </c>
      <c r="O114" s="18" t="s">
        <v>20</v>
      </c>
      <c r="P114" s="18" t="s">
        <v>21</v>
      </c>
      <c r="Q114" s="18" t="s">
        <v>20</v>
      </c>
      <c r="R114" s="18" t="s">
        <v>20</v>
      </c>
      <c r="S114" s="18" t="s">
        <v>21</v>
      </c>
      <c r="T114" s="18" t="s">
        <v>20</v>
      </c>
      <c r="U114" s="18" t="s">
        <v>20</v>
      </c>
      <c r="V114" s="37" t="s">
        <v>21</v>
      </c>
      <c r="W114" s="37" t="s">
        <v>20</v>
      </c>
      <c r="X114" s="37" t="s">
        <v>20</v>
      </c>
      <c r="Y114" s="18" t="s">
        <v>21</v>
      </c>
      <c r="Z114" s="18" t="s">
        <v>20</v>
      </c>
      <c r="AA114" s="20" t="s">
        <v>20</v>
      </c>
      <c r="AB114" s="20" t="s">
        <v>20</v>
      </c>
      <c r="AC114" s="20" t="s">
        <v>20</v>
      </c>
      <c r="AD114" s="37" t="s">
        <v>21</v>
      </c>
      <c r="AE114" s="37" t="s">
        <v>21</v>
      </c>
      <c r="AG114">
        <f>+COUNTIF(F114:AE114,"AD")</f>
        <v>0</v>
      </c>
      <c r="AH114">
        <f>+COUNTIF(F114:AE114,"A")</f>
        <v>18</v>
      </c>
      <c r="AI114">
        <f>+COUNTIF(F114:AE114,"b")</f>
        <v>8</v>
      </c>
      <c r="AJ114">
        <f>+COUNTIF(F114:AE114,"c")</f>
        <v>0</v>
      </c>
      <c r="AL114">
        <f>+$AG$5*AG114</f>
        <v>0</v>
      </c>
      <c r="AM114">
        <f>+$AH$5*AH114</f>
        <v>54</v>
      </c>
      <c r="AN114">
        <f>+$AI$5*AI114</f>
        <v>16</v>
      </c>
      <c r="AO114">
        <f>+$AJ$5*AJ114</f>
        <v>0</v>
      </c>
      <c r="AP114" s="73">
        <f>+SUM(AL114:AO114)</f>
        <v>70</v>
      </c>
    </row>
    <row r="115" spans="1:42" ht="15.75" customHeight="1" x14ac:dyDescent="0.3">
      <c r="A115" s="16"/>
      <c r="B115" s="55">
        <v>6</v>
      </c>
      <c r="C115" s="56" t="s">
        <v>139</v>
      </c>
      <c r="D115" s="55">
        <v>3</v>
      </c>
      <c r="E115" s="55" t="s">
        <v>21</v>
      </c>
      <c r="F115" s="18" t="s">
        <v>20</v>
      </c>
      <c r="G115" s="18" t="s">
        <v>20</v>
      </c>
      <c r="H115" s="18" t="s">
        <v>20</v>
      </c>
      <c r="I115" s="18" t="s">
        <v>20</v>
      </c>
      <c r="J115" s="20" t="s">
        <v>20</v>
      </c>
      <c r="K115" s="20" t="s">
        <v>20</v>
      </c>
      <c r="L115" s="20" t="s">
        <v>20</v>
      </c>
      <c r="M115" s="18" t="s">
        <v>20</v>
      </c>
      <c r="N115" s="18" t="s">
        <v>20</v>
      </c>
      <c r="O115" s="18" t="s">
        <v>20</v>
      </c>
      <c r="P115" s="18" t="s">
        <v>21</v>
      </c>
      <c r="Q115" s="18" t="s">
        <v>20</v>
      </c>
      <c r="R115" s="18" t="s">
        <v>21</v>
      </c>
      <c r="S115" s="18" t="s">
        <v>21</v>
      </c>
      <c r="T115" s="18" t="s">
        <v>21</v>
      </c>
      <c r="U115" s="18" t="s">
        <v>20</v>
      </c>
      <c r="V115" s="37" t="s">
        <v>20</v>
      </c>
      <c r="W115" s="37" t="s">
        <v>20</v>
      </c>
      <c r="X115" s="37" t="s">
        <v>21</v>
      </c>
      <c r="Y115" s="18" t="s">
        <v>21</v>
      </c>
      <c r="Z115" s="18" t="s">
        <v>20</v>
      </c>
      <c r="AA115" s="20" t="s">
        <v>20</v>
      </c>
      <c r="AB115" s="20" t="s">
        <v>20</v>
      </c>
      <c r="AC115" s="20" t="s">
        <v>20</v>
      </c>
      <c r="AD115" s="29" t="s">
        <v>23</v>
      </c>
      <c r="AE115" s="29" t="s">
        <v>21</v>
      </c>
      <c r="AG115">
        <f>+COUNTIF(F115:AE115,"AD")</f>
        <v>0</v>
      </c>
      <c r="AH115">
        <f>+COUNTIF(F115:AE115,"A")</f>
        <v>18</v>
      </c>
      <c r="AI115">
        <f>+COUNTIF(F115:AE115,"b")</f>
        <v>7</v>
      </c>
      <c r="AJ115">
        <f>+COUNTIF(F115:AE115,"c")</f>
        <v>1</v>
      </c>
      <c r="AL115">
        <f>+$AG$5*AG115</f>
        <v>0</v>
      </c>
      <c r="AM115">
        <f>+$AH$5*AH115</f>
        <v>54</v>
      </c>
      <c r="AN115">
        <f>+$AI$5*AI115</f>
        <v>14</v>
      </c>
      <c r="AO115">
        <f>+$AJ$5*AJ115</f>
        <v>1</v>
      </c>
      <c r="AP115" s="73">
        <f>+SUM(AL115:AO115)</f>
        <v>69</v>
      </c>
    </row>
    <row r="116" spans="1:42" ht="15.75" customHeight="1" x14ac:dyDescent="0.3">
      <c r="A116" s="16"/>
      <c r="B116" s="55">
        <v>7</v>
      </c>
      <c r="C116" s="56" t="s">
        <v>128</v>
      </c>
      <c r="D116" s="55">
        <v>3</v>
      </c>
      <c r="E116" s="55" t="s">
        <v>21</v>
      </c>
      <c r="F116" s="18" t="s">
        <v>21</v>
      </c>
      <c r="G116" s="18" t="s">
        <v>20</v>
      </c>
      <c r="H116" s="18" t="s">
        <v>20</v>
      </c>
      <c r="I116" s="18" t="s">
        <v>20</v>
      </c>
      <c r="J116" s="20" t="s">
        <v>20</v>
      </c>
      <c r="K116" s="20" t="s">
        <v>20</v>
      </c>
      <c r="L116" s="20" t="s">
        <v>21</v>
      </c>
      <c r="M116" s="18" t="s">
        <v>20</v>
      </c>
      <c r="N116" s="18" t="s">
        <v>20</v>
      </c>
      <c r="O116" s="18" t="s">
        <v>20</v>
      </c>
      <c r="P116" s="18" t="s">
        <v>21</v>
      </c>
      <c r="Q116" s="18" t="s">
        <v>21</v>
      </c>
      <c r="R116" s="18" t="s">
        <v>20</v>
      </c>
      <c r="S116" s="18" t="s">
        <v>20</v>
      </c>
      <c r="T116" s="18" t="s">
        <v>20</v>
      </c>
      <c r="U116" s="18" t="s">
        <v>20</v>
      </c>
      <c r="V116" s="37" t="s">
        <v>21</v>
      </c>
      <c r="W116" s="37" t="s">
        <v>20</v>
      </c>
      <c r="X116" s="37" t="s">
        <v>20</v>
      </c>
      <c r="Y116" s="18" t="s">
        <v>20</v>
      </c>
      <c r="Z116" s="18" t="s">
        <v>20</v>
      </c>
      <c r="AA116" s="20" t="s">
        <v>21</v>
      </c>
      <c r="AB116" s="20" t="s">
        <v>21</v>
      </c>
      <c r="AC116" s="20" t="s">
        <v>21</v>
      </c>
      <c r="AD116" s="37" t="s">
        <v>21</v>
      </c>
      <c r="AE116" s="37" t="s">
        <v>21</v>
      </c>
      <c r="AG116">
        <f>+COUNTIF(F116:AE116,"AD")</f>
        <v>0</v>
      </c>
      <c r="AH116">
        <f>+COUNTIF(F116:AE116,"A")</f>
        <v>16</v>
      </c>
      <c r="AI116">
        <f>+COUNTIF(F116:AE116,"b")</f>
        <v>10</v>
      </c>
      <c r="AJ116">
        <f>+COUNTIF(F116:AE116,"c")</f>
        <v>0</v>
      </c>
      <c r="AL116">
        <f>+$AG$5*AG116</f>
        <v>0</v>
      </c>
      <c r="AM116">
        <f>+$AH$5*AH116</f>
        <v>48</v>
      </c>
      <c r="AN116">
        <f>+$AI$5*AI116</f>
        <v>20</v>
      </c>
      <c r="AO116">
        <f>+$AJ$5*AJ116</f>
        <v>0</v>
      </c>
      <c r="AP116" s="73">
        <f>+SUM(AL116:AO116)</f>
        <v>68</v>
      </c>
    </row>
    <row r="117" spans="1:42" ht="15.75" customHeight="1" x14ac:dyDescent="0.3">
      <c r="A117" s="16"/>
      <c r="B117" s="55">
        <v>8</v>
      </c>
      <c r="C117" s="56" t="s">
        <v>145</v>
      </c>
      <c r="D117" s="55">
        <v>3</v>
      </c>
      <c r="E117" s="55" t="s">
        <v>21</v>
      </c>
      <c r="F117" s="18" t="s">
        <v>21</v>
      </c>
      <c r="G117" s="18" t="s">
        <v>21</v>
      </c>
      <c r="H117" s="18" t="s">
        <v>20</v>
      </c>
      <c r="I117" s="18" t="s">
        <v>21</v>
      </c>
      <c r="J117" s="20" t="s">
        <v>20</v>
      </c>
      <c r="K117" s="20" t="s">
        <v>20</v>
      </c>
      <c r="L117" s="20" t="s">
        <v>20</v>
      </c>
      <c r="M117" s="18" t="s">
        <v>21</v>
      </c>
      <c r="N117" s="18" t="s">
        <v>20</v>
      </c>
      <c r="O117" s="18" t="s">
        <v>21</v>
      </c>
      <c r="P117" s="18" t="s">
        <v>21</v>
      </c>
      <c r="Q117" s="18" t="s">
        <v>21</v>
      </c>
      <c r="R117" s="18" t="s">
        <v>20</v>
      </c>
      <c r="S117" s="18" t="s">
        <v>20</v>
      </c>
      <c r="T117" s="18" t="s">
        <v>20</v>
      </c>
      <c r="U117" s="18" t="s">
        <v>20</v>
      </c>
      <c r="V117" s="37" t="s">
        <v>20</v>
      </c>
      <c r="W117" s="37" t="s">
        <v>20</v>
      </c>
      <c r="X117" s="37" t="s">
        <v>20</v>
      </c>
      <c r="Y117" s="18" t="s">
        <v>20</v>
      </c>
      <c r="Z117" s="18" t="s">
        <v>21</v>
      </c>
      <c r="AA117" s="20" t="s">
        <v>20</v>
      </c>
      <c r="AB117" s="20" t="s">
        <v>21</v>
      </c>
      <c r="AC117" s="20" t="s">
        <v>20</v>
      </c>
      <c r="AD117" s="29" t="s">
        <v>20</v>
      </c>
      <c r="AE117" s="29" t="s">
        <v>21</v>
      </c>
      <c r="AG117">
        <f>+COUNTIF(F117:AE117,"AD")</f>
        <v>0</v>
      </c>
      <c r="AH117">
        <f>+COUNTIF(F117:AE117,"A")</f>
        <v>16</v>
      </c>
      <c r="AI117">
        <f>+COUNTIF(F117:AE117,"b")</f>
        <v>10</v>
      </c>
      <c r="AJ117">
        <f>+COUNTIF(F117:AE117,"c")</f>
        <v>0</v>
      </c>
      <c r="AL117">
        <f>+$AG$5*AG117</f>
        <v>0</v>
      </c>
      <c r="AM117">
        <f>+$AH$5*AH117</f>
        <v>48</v>
      </c>
      <c r="AN117">
        <f>+$AI$5*AI117</f>
        <v>20</v>
      </c>
      <c r="AO117">
        <f>+$AJ$5*AJ117</f>
        <v>0</v>
      </c>
      <c r="AP117" s="73">
        <f>+SUM(AL117:AO117)</f>
        <v>68</v>
      </c>
    </row>
    <row r="118" spans="1:42" ht="15.75" customHeight="1" x14ac:dyDescent="0.3">
      <c r="A118" s="16"/>
      <c r="B118" s="55">
        <v>9</v>
      </c>
      <c r="C118" s="56" t="s">
        <v>140</v>
      </c>
      <c r="D118" s="55">
        <v>3</v>
      </c>
      <c r="E118" s="55" t="s">
        <v>21</v>
      </c>
      <c r="F118" s="18" t="s">
        <v>20</v>
      </c>
      <c r="G118" s="18" t="s">
        <v>20</v>
      </c>
      <c r="H118" s="18" t="s">
        <v>20</v>
      </c>
      <c r="I118" s="18" t="s">
        <v>39</v>
      </c>
      <c r="J118" s="20" t="s">
        <v>20</v>
      </c>
      <c r="K118" s="20" t="s">
        <v>20</v>
      </c>
      <c r="L118" s="20" t="s">
        <v>20</v>
      </c>
      <c r="M118" s="18" t="s">
        <v>20</v>
      </c>
      <c r="N118" s="18" t="s">
        <v>20</v>
      </c>
      <c r="O118" s="18" t="s">
        <v>20</v>
      </c>
      <c r="P118" s="18" t="s">
        <v>21</v>
      </c>
      <c r="Q118" s="18" t="s">
        <v>21</v>
      </c>
      <c r="R118" s="18" t="s">
        <v>20</v>
      </c>
      <c r="S118" s="18" t="s">
        <v>20</v>
      </c>
      <c r="T118" s="18" t="s">
        <v>20</v>
      </c>
      <c r="U118" s="18" t="s">
        <v>20</v>
      </c>
      <c r="V118" s="37" t="s">
        <v>20</v>
      </c>
      <c r="W118" s="37" t="s">
        <v>20</v>
      </c>
      <c r="X118" s="37" t="s">
        <v>20</v>
      </c>
      <c r="Y118" s="18" t="s">
        <v>21</v>
      </c>
      <c r="Z118" s="18" t="s">
        <v>21</v>
      </c>
      <c r="AA118" s="20" t="s">
        <v>21</v>
      </c>
      <c r="AB118" s="20" t="s">
        <v>20</v>
      </c>
      <c r="AC118" s="20" t="s">
        <v>21</v>
      </c>
      <c r="AD118" s="29" t="s">
        <v>55</v>
      </c>
      <c r="AE118" s="29" t="s">
        <v>55</v>
      </c>
      <c r="AG118">
        <f>+COUNTIF(F118:AE118,"AD")</f>
        <v>1</v>
      </c>
      <c r="AH118">
        <f>+COUNTIF(F118:AE118,"A")</f>
        <v>17</v>
      </c>
      <c r="AI118">
        <f>+COUNTIF(F118:AE118,"b")</f>
        <v>6</v>
      </c>
      <c r="AJ118">
        <f>+COUNTIF(F118:AE118,"c")</f>
        <v>0</v>
      </c>
      <c r="AL118">
        <f>+$AG$5*AG118</f>
        <v>4</v>
      </c>
      <c r="AM118">
        <f>+$AH$5*AH118</f>
        <v>51</v>
      </c>
      <c r="AN118">
        <f>+$AI$5*AI118</f>
        <v>12</v>
      </c>
      <c r="AO118">
        <f>+$AJ$5*AJ118</f>
        <v>0</v>
      </c>
      <c r="AP118" s="73">
        <f>+SUM(AL118:AO118)</f>
        <v>67</v>
      </c>
    </row>
    <row r="119" spans="1:42" ht="15.75" customHeight="1" x14ac:dyDescent="0.3">
      <c r="A119" s="16"/>
      <c r="B119" s="55">
        <v>10</v>
      </c>
      <c r="C119" s="56" t="s">
        <v>131</v>
      </c>
      <c r="D119" s="55">
        <v>3</v>
      </c>
      <c r="E119" s="55" t="s">
        <v>21</v>
      </c>
      <c r="F119" s="18" t="s">
        <v>21</v>
      </c>
      <c r="G119" s="18" t="s">
        <v>21</v>
      </c>
      <c r="H119" s="18" t="s">
        <v>21</v>
      </c>
      <c r="I119" s="18" t="s">
        <v>20</v>
      </c>
      <c r="J119" s="20" t="s">
        <v>20</v>
      </c>
      <c r="K119" s="20" t="s">
        <v>20</v>
      </c>
      <c r="L119" s="20" t="s">
        <v>20</v>
      </c>
      <c r="M119" s="18" t="s">
        <v>20</v>
      </c>
      <c r="N119" s="18" t="s">
        <v>20</v>
      </c>
      <c r="O119" s="18" t="s">
        <v>20</v>
      </c>
      <c r="P119" s="18" t="s">
        <v>20</v>
      </c>
      <c r="Q119" s="18" t="s">
        <v>21</v>
      </c>
      <c r="R119" s="18" t="s">
        <v>20</v>
      </c>
      <c r="S119" s="18" t="s">
        <v>20</v>
      </c>
      <c r="T119" s="18" t="s">
        <v>20</v>
      </c>
      <c r="U119" s="18" t="s">
        <v>20</v>
      </c>
      <c r="V119" s="37" t="s">
        <v>21</v>
      </c>
      <c r="W119" s="37" t="s">
        <v>20</v>
      </c>
      <c r="X119" s="37" t="s">
        <v>21</v>
      </c>
      <c r="Y119" s="18" t="s">
        <v>20</v>
      </c>
      <c r="Z119" s="18" t="s">
        <v>20</v>
      </c>
      <c r="AA119" s="20" t="s">
        <v>21</v>
      </c>
      <c r="AB119" s="20" t="s">
        <v>21</v>
      </c>
      <c r="AC119" s="20" t="s">
        <v>21</v>
      </c>
      <c r="AD119" s="37" t="s">
        <v>23</v>
      </c>
      <c r="AE119" s="37" t="s">
        <v>21</v>
      </c>
      <c r="AG119">
        <f>+COUNTIF(F119:AE119,"AD")</f>
        <v>0</v>
      </c>
      <c r="AH119">
        <f>+COUNTIF(F119:AE119,"A")</f>
        <v>15</v>
      </c>
      <c r="AI119">
        <f>+COUNTIF(F119:AE119,"b")</f>
        <v>10</v>
      </c>
      <c r="AJ119">
        <f>+COUNTIF(F119:AE119,"c")</f>
        <v>1</v>
      </c>
      <c r="AL119">
        <f>+$AG$5*AG119</f>
        <v>0</v>
      </c>
      <c r="AM119">
        <f>+$AH$5*AH119</f>
        <v>45</v>
      </c>
      <c r="AN119">
        <f>+$AI$5*AI119</f>
        <v>20</v>
      </c>
      <c r="AO119">
        <f>+$AJ$5*AJ119</f>
        <v>1</v>
      </c>
      <c r="AP119" s="73">
        <f>+SUM(AL119:AO119)</f>
        <v>66</v>
      </c>
    </row>
    <row r="120" spans="1:42" ht="15.75" customHeight="1" x14ac:dyDescent="0.3">
      <c r="A120" s="16"/>
      <c r="B120" s="55">
        <v>11</v>
      </c>
      <c r="C120" s="56" t="s">
        <v>147</v>
      </c>
      <c r="D120" s="55">
        <v>3</v>
      </c>
      <c r="E120" s="55" t="s">
        <v>21</v>
      </c>
      <c r="F120" s="18" t="s">
        <v>20</v>
      </c>
      <c r="G120" s="18" t="s">
        <v>20</v>
      </c>
      <c r="H120" s="18" t="s">
        <v>20</v>
      </c>
      <c r="I120" s="18" t="s">
        <v>20</v>
      </c>
      <c r="J120" s="20" t="s">
        <v>21</v>
      </c>
      <c r="K120" s="20" t="s">
        <v>21</v>
      </c>
      <c r="L120" s="20" t="s">
        <v>21</v>
      </c>
      <c r="M120" s="18" t="s">
        <v>20</v>
      </c>
      <c r="N120" s="18" t="s">
        <v>20</v>
      </c>
      <c r="O120" s="18" t="s">
        <v>20</v>
      </c>
      <c r="P120" s="18" t="s">
        <v>21</v>
      </c>
      <c r="Q120" s="18" t="s">
        <v>20</v>
      </c>
      <c r="R120" s="18" t="s">
        <v>21</v>
      </c>
      <c r="S120" s="18" t="s">
        <v>20</v>
      </c>
      <c r="T120" s="18" t="s">
        <v>20</v>
      </c>
      <c r="U120" s="18" t="s">
        <v>20</v>
      </c>
      <c r="V120" s="37" t="s">
        <v>21</v>
      </c>
      <c r="W120" s="37" t="s">
        <v>20</v>
      </c>
      <c r="X120" s="37" t="s">
        <v>21</v>
      </c>
      <c r="Y120" s="18" t="s">
        <v>21</v>
      </c>
      <c r="Z120" s="18" t="s">
        <v>20</v>
      </c>
      <c r="AA120" s="20" t="s">
        <v>21</v>
      </c>
      <c r="AB120" s="20" t="s">
        <v>21</v>
      </c>
      <c r="AC120" s="20" t="s">
        <v>21</v>
      </c>
      <c r="AD120" s="29" t="s">
        <v>20</v>
      </c>
      <c r="AE120" s="29" t="s">
        <v>21</v>
      </c>
      <c r="AG120">
        <f>+COUNTIF(F120:AE120,"AD")</f>
        <v>0</v>
      </c>
      <c r="AH120">
        <f>+COUNTIF(F120:AE120,"A")</f>
        <v>14</v>
      </c>
      <c r="AI120">
        <f>+COUNTIF(F120:AE120,"b")</f>
        <v>12</v>
      </c>
      <c r="AJ120">
        <f>+COUNTIF(F120:AE120,"c")</f>
        <v>0</v>
      </c>
      <c r="AL120">
        <f>+$AG$5*AG120</f>
        <v>0</v>
      </c>
      <c r="AM120">
        <f>+$AH$5*AH120</f>
        <v>42</v>
      </c>
      <c r="AN120">
        <f>+$AI$5*AI120</f>
        <v>24</v>
      </c>
      <c r="AO120">
        <f>+$AJ$5*AJ120</f>
        <v>0</v>
      </c>
      <c r="AP120" s="73">
        <f>+SUM(AL120:AO120)</f>
        <v>66</v>
      </c>
    </row>
    <row r="121" spans="1:42" ht="15.75" customHeight="1" x14ac:dyDescent="0.3">
      <c r="A121" s="16"/>
      <c r="B121" s="55">
        <v>12</v>
      </c>
      <c r="C121" s="56" t="s">
        <v>144</v>
      </c>
      <c r="D121" s="55">
        <v>3</v>
      </c>
      <c r="E121" s="55" t="s">
        <v>21</v>
      </c>
      <c r="F121" s="18" t="s">
        <v>21</v>
      </c>
      <c r="G121" s="18" t="s">
        <v>21</v>
      </c>
      <c r="H121" s="18" t="s">
        <v>21</v>
      </c>
      <c r="I121" s="18" t="s">
        <v>21</v>
      </c>
      <c r="J121" s="20" t="s">
        <v>21</v>
      </c>
      <c r="K121" s="20" t="s">
        <v>21</v>
      </c>
      <c r="L121" s="20" t="s">
        <v>21</v>
      </c>
      <c r="M121" s="18" t="s">
        <v>20</v>
      </c>
      <c r="N121" s="18" t="s">
        <v>20</v>
      </c>
      <c r="O121" s="18" t="s">
        <v>20</v>
      </c>
      <c r="P121" s="18" t="s">
        <v>21</v>
      </c>
      <c r="Q121" s="18" t="s">
        <v>21</v>
      </c>
      <c r="R121" s="18" t="s">
        <v>21</v>
      </c>
      <c r="S121" s="18" t="s">
        <v>20</v>
      </c>
      <c r="T121" s="18" t="s">
        <v>20</v>
      </c>
      <c r="U121" s="18" t="s">
        <v>20</v>
      </c>
      <c r="V121" s="37" t="s">
        <v>21</v>
      </c>
      <c r="W121" s="37" t="s">
        <v>20</v>
      </c>
      <c r="X121" s="37" t="s">
        <v>21</v>
      </c>
      <c r="Y121" s="18" t="s">
        <v>20</v>
      </c>
      <c r="Z121" s="18" t="s">
        <v>20</v>
      </c>
      <c r="AA121" s="20" t="s">
        <v>21</v>
      </c>
      <c r="AB121" s="20" t="s">
        <v>20</v>
      </c>
      <c r="AC121" s="20" t="s">
        <v>21</v>
      </c>
      <c r="AD121" s="29" t="s">
        <v>20</v>
      </c>
      <c r="AE121" s="29" t="s">
        <v>21</v>
      </c>
      <c r="AG121">
        <f>+COUNTIF(F121:AE121,"AD")</f>
        <v>0</v>
      </c>
      <c r="AH121">
        <f>+COUNTIF(F121:AE121,"A")</f>
        <v>11</v>
      </c>
      <c r="AI121">
        <f>+COUNTIF(F121:AE121,"b")</f>
        <v>15</v>
      </c>
      <c r="AJ121">
        <f>+COUNTIF(F121:AE121,"c")</f>
        <v>0</v>
      </c>
      <c r="AL121">
        <f>+$AG$5*AG121</f>
        <v>0</v>
      </c>
      <c r="AM121">
        <f>+$AH$5*AH121</f>
        <v>33</v>
      </c>
      <c r="AN121">
        <f>+$AI$5*AI121</f>
        <v>30</v>
      </c>
      <c r="AO121">
        <f>+$AJ$5*AJ121</f>
        <v>0</v>
      </c>
      <c r="AP121" s="73">
        <f>+SUM(AL121:AO121)</f>
        <v>63</v>
      </c>
    </row>
    <row r="122" spans="1:42" ht="15.75" customHeight="1" x14ac:dyDescent="0.3">
      <c r="A122" s="16"/>
      <c r="B122" s="55">
        <v>13</v>
      </c>
      <c r="C122" s="56" t="s">
        <v>141</v>
      </c>
      <c r="D122" s="55">
        <v>3</v>
      </c>
      <c r="E122" s="55" t="s">
        <v>21</v>
      </c>
      <c r="F122" s="18" t="s">
        <v>21</v>
      </c>
      <c r="G122" s="18" t="s">
        <v>21</v>
      </c>
      <c r="H122" s="18" t="s">
        <v>20</v>
      </c>
      <c r="I122" s="18" t="s">
        <v>20</v>
      </c>
      <c r="J122" s="20" t="s">
        <v>20</v>
      </c>
      <c r="K122" s="20" t="s">
        <v>20</v>
      </c>
      <c r="L122" s="20" t="s">
        <v>21</v>
      </c>
      <c r="M122" s="18" t="s">
        <v>20</v>
      </c>
      <c r="N122" s="18" t="s">
        <v>20</v>
      </c>
      <c r="O122" s="18" t="s">
        <v>20</v>
      </c>
      <c r="P122" s="18" t="s">
        <v>23</v>
      </c>
      <c r="Q122" s="18" t="s">
        <v>21</v>
      </c>
      <c r="R122" s="18" t="s">
        <v>21</v>
      </c>
      <c r="S122" s="18" t="s">
        <v>20</v>
      </c>
      <c r="T122" s="18" t="s">
        <v>20</v>
      </c>
      <c r="U122" s="18" t="s">
        <v>21</v>
      </c>
      <c r="V122" s="37" t="s">
        <v>21</v>
      </c>
      <c r="W122" s="37" t="s">
        <v>20</v>
      </c>
      <c r="X122" s="37" t="s">
        <v>21</v>
      </c>
      <c r="Y122" s="18" t="s">
        <v>21</v>
      </c>
      <c r="Z122" s="18" t="s">
        <v>21</v>
      </c>
      <c r="AA122" s="20" t="s">
        <v>21</v>
      </c>
      <c r="AB122" s="20" t="s">
        <v>21</v>
      </c>
      <c r="AC122" s="20" t="s">
        <v>20</v>
      </c>
      <c r="AD122" s="29" t="s">
        <v>21</v>
      </c>
      <c r="AE122" s="29" t="s">
        <v>21</v>
      </c>
      <c r="AG122">
        <f>+COUNTIF(F122:AE122,"AD")</f>
        <v>0</v>
      </c>
      <c r="AH122">
        <f>+COUNTIF(F122:AE122,"A")</f>
        <v>11</v>
      </c>
      <c r="AI122">
        <f>+COUNTIF(F122:AE122,"b")</f>
        <v>14</v>
      </c>
      <c r="AJ122">
        <f>+COUNTIF(F122:AE122,"c")</f>
        <v>1</v>
      </c>
      <c r="AL122">
        <f>+$AG$5*AG122</f>
        <v>0</v>
      </c>
      <c r="AM122">
        <f>+$AH$5*AH122</f>
        <v>33</v>
      </c>
      <c r="AN122">
        <f>+$AI$5*AI122</f>
        <v>28</v>
      </c>
      <c r="AO122">
        <f>+$AJ$5*AJ122</f>
        <v>1</v>
      </c>
      <c r="AP122" s="73">
        <f>+SUM(AL122:AO122)</f>
        <v>62</v>
      </c>
    </row>
    <row r="123" spans="1:42" ht="15.75" customHeight="1" x14ac:dyDescent="0.3">
      <c r="A123" s="16"/>
      <c r="B123" s="55">
        <v>14</v>
      </c>
      <c r="C123" s="56" t="s">
        <v>148</v>
      </c>
      <c r="D123" s="55">
        <v>3</v>
      </c>
      <c r="E123" s="55" t="s">
        <v>21</v>
      </c>
      <c r="F123" s="18" t="s">
        <v>20</v>
      </c>
      <c r="G123" s="18" t="s">
        <v>20</v>
      </c>
      <c r="H123" s="18" t="s">
        <v>21</v>
      </c>
      <c r="I123" s="18" t="s">
        <v>20</v>
      </c>
      <c r="J123" s="20" t="s">
        <v>20</v>
      </c>
      <c r="K123" s="20" t="s">
        <v>20</v>
      </c>
      <c r="L123" s="20" t="s">
        <v>21</v>
      </c>
      <c r="M123" s="18" t="s">
        <v>21</v>
      </c>
      <c r="N123" s="18" t="s">
        <v>21</v>
      </c>
      <c r="O123" s="18" t="s">
        <v>21</v>
      </c>
      <c r="P123" s="18" t="s">
        <v>21</v>
      </c>
      <c r="Q123" s="18" t="s">
        <v>21</v>
      </c>
      <c r="R123" s="18" t="s">
        <v>21</v>
      </c>
      <c r="S123" s="18" t="s">
        <v>20</v>
      </c>
      <c r="T123" s="18" t="s">
        <v>20</v>
      </c>
      <c r="U123" s="18" t="s">
        <v>21</v>
      </c>
      <c r="V123" s="37" t="s">
        <v>21</v>
      </c>
      <c r="W123" s="37" t="s">
        <v>21</v>
      </c>
      <c r="X123" s="37" t="s">
        <v>21</v>
      </c>
      <c r="Y123" s="18" t="s">
        <v>20</v>
      </c>
      <c r="Z123" s="18" t="s">
        <v>20</v>
      </c>
      <c r="AA123" s="20" t="s">
        <v>21</v>
      </c>
      <c r="AB123" s="20" t="s">
        <v>21</v>
      </c>
      <c r="AC123" s="20" t="s">
        <v>21</v>
      </c>
      <c r="AD123" s="29" t="s">
        <v>20</v>
      </c>
      <c r="AE123" s="29" t="s">
        <v>21</v>
      </c>
      <c r="AG123">
        <f>+COUNTIF(F123:AE123,"AD")</f>
        <v>0</v>
      </c>
      <c r="AH123">
        <f>+COUNTIF(F123:AE123,"A")</f>
        <v>10</v>
      </c>
      <c r="AI123">
        <f>+COUNTIF(F123:AE123,"b")</f>
        <v>16</v>
      </c>
      <c r="AJ123">
        <f>+COUNTIF(F123:AE123,"c")</f>
        <v>0</v>
      </c>
      <c r="AL123">
        <f>+$AG$5*AG123</f>
        <v>0</v>
      </c>
      <c r="AM123">
        <f>+$AH$5*AH123</f>
        <v>30</v>
      </c>
      <c r="AN123">
        <f>+$AI$5*AI123</f>
        <v>32</v>
      </c>
      <c r="AO123">
        <f>+$AJ$5*AJ123</f>
        <v>0</v>
      </c>
      <c r="AP123" s="73">
        <f>+SUM(AL123:AO123)</f>
        <v>62</v>
      </c>
    </row>
    <row r="124" spans="1:42" ht="15.75" customHeight="1" x14ac:dyDescent="0.3">
      <c r="A124" s="16"/>
      <c r="B124" s="55">
        <v>15</v>
      </c>
      <c r="C124" s="56" t="s">
        <v>135</v>
      </c>
      <c r="D124" s="55">
        <v>3</v>
      </c>
      <c r="E124" s="55" t="s">
        <v>21</v>
      </c>
      <c r="F124" s="18" t="s">
        <v>21</v>
      </c>
      <c r="G124" s="18" t="s">
        <v>23</v>
      </c>
      <c r="H124" s="18" t="s">
        <v>21</v>
      </c>
      <c r="I124" s="18" t="s">
        <v>21</v>
      </c>
      <c r="J124" s="20" t="s">
        <v>20</v>
      </c>
      <c r="K124" s="20" t="s">
        <v>20</v>
      </c>
      <c r="L124" s="20" t="s">
        <v>21</v>
      </c>
      <c r="M124" s="18" t="s">
        <v>20</v>
      </c>
      <c r="N124" s="18" t="s">
        <v>21</v>
      </c>
      <c r="O124" s="18" t="s">
        <v>20</v>
      </c>
      <c r="P124" s="18" t="s">
        <v>21</v>
      </c>
      <c r="Q124" s="18" t="s">
        <v>21</v>
      </c>
      <c r="R124" s="18" t="s">
        <v>21</v>
      </c>
      <c r="S124" s="18" t="s">
        <v>20</v>
      </c>
      <c r="T124" s="18" t="s">
        <v>20</v>
      </c>
      <c r="U124" s="18" t="s">
        <v>20</v>
      </c>
      <c r="V124" s="37" t="s">
        <v>20</v>
      </c>
      <c r="W124" s="37" t="s">
        <v>21</v>
      </c>
      <c r="X124" s="37" t="s">
        <v>20</v>
      </c>
      <c r="Y124" s="18" t="s">
        <v>20</v>
      </c>
      <c r="Z124" s="18" t="s">
        <v>20</v>
      </c>
      <c r="AA124" s="20" t="s">
        <v>23</v>
      </c>
      <c r="AB124" s="20" t="s">
        <v>23</v>
      </c>
      <c r="AC124" s="20" t="s">
        <v>21</v>
      </c>
      <c r="AD124" s="29" t="s">
        <v>21</v>
      </c>
      <c r="AE124" s="29" t="s">
        <v>21</v>
      </c>
      <c r="AG124">
        <f>+COUNTIF(F124:AE124,"AD")</f>
        <v>0</v>
      </c>
      <c r="AH124">
        <f>+COUNTIF(F124:AE124,"A")</f>
        <v>11</v>
      </c>
      <c r="AI124">
        <f>+COUNTIF(F124:AE124,"b")</f>
        <v>12</v>
      </c>
      <c r="AJ124">
        <f>+COUNTIF(F124:AE124,"c")</f>
        <v>3</v>
      </c>
      <c r="AL124">
        <f>+$AG$5*AG124</f>
        <v>0</v>
      </c>
      <c r="AM124">
        <f>+$AH$5*AH124</f>
        <v>33</v>
      </c>
      <c r="AN124">
        <f>+$AI$5*AI124</f>
        <v>24</v>
      </c>
      <c r="AO124">
        <f>+$AJ$5*AJ124</f>
        <v>3</v>
      </c>
      <c r="AP124" s="73">
        <f>+SUM(AL124:AO124)</f>
        <v>60</v>
      </c>
    </row>
    <row r="125" spans="1:42" ht="15.75" customHeight="1" x14ac:dyDescent="0.3">
      <c r="A125" s="16"/>
      <c r="B125" s="55">
        <v>16</v>
      </c>
      <c r="C125" s="56" t="s">
        <v>146</v>
      </c>
      <c r="D125" s="55">
        <v>3</v>
      </c>
      <c r="E125" s="55" t="s">
        <v>21</v>
      </c>
      <c r="F125" s="18" t="s">
        <v>21</v>
      </c>
      <c r="G125" s="18" t="s">
        <v>21</v>
      </c>
      <c r="H125" s="18" t="s">
        <v>21</v>
      </c>
      <c r="I125" s="18" t="s">
        <v>21</v>
      </c>
      <c r="J125" s="20" t="s">
        <v>21</v>
      </c>
      <c r="K125" s="20" t="s">
        <v>21</v>
      </c>
      <c r="L125" s="20" t="s">
        <v>21</v>
      </c>
      <c r="M125" s="18" t="s">
        <v>21</v>
      </c>
      <c r="N125" s="18" t="s">
        <v>20</v>
      </c>
      <c r="O125" s="18" t="s">
        <v>21</v>
      </c>
      <c r="P125" s="18" t="s">
        <v>21</v>
      </c>
      <c r="Q125" s="18" t="s">
        <v>21</v>
      </c>
      <c r="R125" s="18" t="s">
        <v>23</v>
      </c>
      <c r="S125" s="18" t="s">
        <v>21</v>
      </c>
      <c r="T125" s="18" t="s">
        <v>20</v>
      </c>
      <c r="U125" s="18" t="s">
        <v>21</v>
      </c>
      <c r="V125" s="37" t="s">
        <v>21</v>
      </c>
      <c r="W125" s="37" t="s">
        <v>20</v>
      </c>
      <c r="X125" s="37" t="s">
        <v>21</v>
      </c>
      <c r="Y125" s="18" t="s">
        <v>20</v>
      </c>
      <c r="Z125" s="18" t="s">
        <v>20</v>
      </c>
      <c r="AA125" s="20" t="s">
        <v>21</v>
      </c>
      <c r="AB125" s="20" t="s">
        <v>21</v>
      </c>
      <c r="AC125" s="20" t="s">
        <v>23</v>
      </c>
      <c r="AD125" s="29" t="s">
        <v>20</v>
      </c>
      <c r="AE125" s="29" t="s">
        <v>21</v>
      </c>
      <c r="AG125">
        <f>+COUNTIF(F125:AE125,"AD")</f>
        <v>0</v>
      </c>
      <c r="AH125">
        <f>+COUNTIF(F125:AE125,"A")</f>
        <v>6</v>
      </c>
      <c r="AI125">
        <f>+COUNTIF(F125:AE125,"b")</f>
        <v>18</v>
      </c>
      <c r="AJ125">
        <f>+COUNTIF(F125:AE125,"c")</f>
        <v>2</v>
      </c>
      <c r="AL125">
        <f>+$AG$5*AG125</f>
        <v>0</v>
      </c>
      <c r="AM125">
        <f>+$AH$5*AH125</f>
        <v>18</v>
      </c>
      <c r="AN125">
        <f>+$AI$5*AI125</f>
        <v>36</v>
      </c>
      <c r="AO125">
        <f>+$AJ$5*AJ125</f>
        <v>2</v>
      </c>
      <c r="AP125" s="73">
        <f>+SUM(AL125:AO125)</f>
        <v>56</v>
      </c>
    </row>
    <row r="126" spans="1:42" ht="15.75" customHeight="1" x14ac:dyDescent="0.3">
      <c r="A126" s="16"/>
      <c r="B126" s="55">
        <v>17</v>
      </c>
      <c r="C126" s="56" t="s">
        <v>134</v>
      </c>
      <c r="D126" s="55">
        <v>3</v>
      </c>
      <c r="E126" s="55" t="s">
        <v>21</v>
      </c>
      <c r="F126" s="18" t="s">
        <v>23</v>
      </c>
      <c r="G126" s="18" t="s">
        <v>21</v>
      </c>
      <c r="H126" s="18" t="s">
        <v>23</v>
      </c>
      <c r="I126" s="18" t="s">
        <v>21</v>
      </c>
      <c r="J126" s="20" t="s">
        <v>21</v>
      </c>
      <c r="K126" s="20" t="s">
        <v>21</v>
      </c>
      <c r="L126" s="20" t="s">
        <v>21</v>
      </c>
      <c r="M126" s="18" t="s">
        <v>20</v>
      </c>
      <c r="N126" s="18" t="s">
        <v>20</v>
      </c>
      <c r="O126" s="18" t="s">
        <v>21</v>
      </c>
      <c r="P126" s="18" t="s">
        <v>21</v>
      </c>
      <c r="Q126" s="18" t="s">
        <v>23</v>
      </c>
      <c r="R126" s="18" t="s">
        <v>21</v>
      </c>
      <c r="S126" s="18" t="s">
        <v>20</v>
      </c>
      <c r="T126" s="18" t="s">
        <v>21</v>
      </c>
      <c r="U126" s="18" t="s">
        <v>20</v>
      </c>
      <c r="V126" s="37" t="s">
        <v>21</v>
      </c>
      <c r="W126" s="37" t="s">
        <v>21</v>
      </c>
      <c r="X126" s="37" t="s">
        <v>21</v>
      </c>
      <c r="Y126" s="18" t="s">
        <v>20</v>
      </c>
      <c r="Z126" s="18" t="s">
        <v>20</v>
      </c>
      <c r="AA126" s="20" t="s">
        <v>21</v>
      </c>
      <c r="AB126" s="20" t="s">
        <v>21</v>
      </c>
      <c r="AC126" s="20" t="s">
        <v>21</v>
      </c>
      <c r="AD126" s="29" t="s">
        <v>21</v>
      </c>
      <c r="AE126" s="29" t="s">
        <v>21</v>
      </c>
      <c r="AG126">
        <f>+COUNTIF(F126:AE126,"AD")</f>
        <v>0</v>
      </c>
      <c r="AH126">
        <f>+COUNTIF(F126:AE126,"A")</f>
        <v>6</v>
      </c>
      <c r="AI126">
        <f>+COUNTIF(F126:AE126,"b")</f>
        <v>17</v>
      </c>
      <c r="AJ126">
        <f>+COUNTIF(F126:AE126,"c")</f>
        <v>3</v>
      </c>
      <c r="AL126">
        <f>+$AG$5*AG126</f>
        <v>0</v>
      </c>
      <c r="AM126">
        <f>+$AH$5*AH126</f>
        <v>18</v>
      </c>
      <c r="AN126">
        <f>+$AI$5*AI126</f>
        <v>34</v>
      </c>
      <c r="AO126">
        <f>+$AJ$5*AJ126</f>
        <v>3</v>
      </c>
      <c r="AP126" s="73">
        <f>+SUM(AL126:AO126)</f>
        <v>55</v>
      </c>
    </row>
    <row r="127" spans="1:42" ht="15.75" customHeight="1" x14ac:dyDescent="0.3">
      <c r="A127" s="16"/>
      <c r="B127" s="55">
        <v>18</v>
      </c>
      <c r="C127" s="56" t="s">
        <v>136</v>
      </c>
      <c r="D127" s="55">
        <v>3</v>
      </c>
      <c r="E127" s="55" t="s">
        <v>21</v>
      </c>
      <c r="F127" s="18" t="s">
        <v>23</v>
      </c>
      <c r="G127" s="18" t="s">
        <v>21</v>
      </c>
      <c r="H127" s="18" t="s">
        <v>23</v>
      </c>
      <c r="I127" s="18" t="s">
        <v>21</v>
      </c>
      <c r="J127" s="20" t="s">
        <v>20</v>
      </c>
      <c r="K127" s="20" t="s">
        <v>21</v>
      </c>
      <c r="L127" s="20" t="s">
        <v>21</v>
      </c>
      <c r="M127" s="18" t="s">
        <v>21</v>
      </c>
      <c r="N127" s="18" t="s">
        <v>21</v>
      </c>
      <c r="O127" s="18" t="s">
        <v>21</v>
      </c>
      <c r="P127" s="18" t="s">
        <v>23</v>
      </c>
      <c r="Q127" s="18" t="s">
        <v>20</v>
      </c>
      <c r="R127" s="18" t="s">
        <v>21</v>
      </c>
      <c r="S127" s="18" t="s">
        <v>21</v>
      </c>
      <c r="T127" s="18" t="s">
        <v>20</v>
      </c>
      <c r="U127" s="18" t="s">
        <v>20</v>
      </c>
      <c r="V127" s="37" t="s">
        <v>21</v>
      </c>
      <c r="W127" s="37" t="s">
        <v>21</v>
      </c>
      <c r="X127" s="37" t="s">
        <v>21</v>
      </c>
      <c r="Y127" s="18" t="s">
        <v>20</v>
      </c>
      <c r="Z127" s="18" t="s">
        <v>20</v>
      </c>
      <c r="AA127" s="20" t="s">
        <v>23</v>
      </c>
      <c r="AB127" s="20" t="s">
        <v>23</v>
      </c>
      <c r="AC127" s="20" t="s">
        <v>21</v>
      </c>
      <c r="AD127" s="29" t="s">
        <v>21</v>
      </c>
      <c r="AE127" s="29" t="s">
        <v>21</v>
      </c>
      <c r="AG127">
        <f>+COUNTIF(F127:AE127,"AD")</f>
        <v>0</v>
      </c>
      <c r="AH127">
        <f>+COUNTIF(F127:AE127,"A")</f>
        <v>6</v>
      </c>
      <c r="AI127">
        <f>+COUNTIF(F127:AE127,"b")</f>
        <v>15</v>
      </c>
      <c r="AJ127">
        <f>+COUNTIF(F127:AE127,"c")</f>
        <v>5</v>
      </c>
      <c r="AL127">
        <f>+$AG$5*AG127</f>
        <v>0</v>
      </c>
      <c r="AM127">
        <f>+$AH$5*AH127</f>
        <v>18</v>
      </c>
      <c r="AN127">
        <f>+$AI$5*AI127</f>
        <v>30</v>
      </c>
      <c r="AO127">
        <f>+$AJ$5*AJ127</f>
        <v>5</v>
      </c>
      <c r="AP127" s="73">
        <f>+SUM(AL127:AO127)</f>
        <v>53</v>
      </c>
    </row>
    <row r="128" spans="1:42" ht="15.75" customHeight="1" x14ac:dyDescent="0.3">
      <c r="A128" s="16"/>
      <c r="B128" s="55">
        <v>19</v>
      </c>
      <c r="C128" s="56" t="s">
        <v>138</v>
      </c>
      <c r="D128" s="55">
        <v>3</v>
      </c>
      <c r="E128" s="55" t="s">
        <v>21</v>
      </c>
      <c r="F128" s="18" t="s">
        <v>21</v>
      </c>
      <c r="G128" s="18" t="s">
        <v>21</v>
      </c>
      <c r="H128" s="18" t="s">
        <v>21</v>
      </c>
      <c r="I128" s="18" t="s">
        <v>21</v>
      </c>
      <c r="J128" s="20" t="s">
        <v>21</v>
      </c>
      <c r="K128" s="20" t="s">
        <v>21</v>
      </c>
      <c r="L128" s="20" t="s">
        <v>21</v>
      </c>
      <c r="M128" s="18" t="s">
        <v>21</v>
      </c>
      <c r="N128" s="18" t="s">
        <v>21</v>
      </c>
      <c r="O128" s="18" t="s">
        <v>21</v>
      </c>
      <c r="P128" s="18" t="s">
        <v>21</v>
      </c>
      <c r="Q128" s="18" t="s">
        <v>21</v>
      </c>
      <c r="R128" s="18" t="s">
        <v>23</v>
      </c>
      <c r="S128" s="18" t="s">
        <v>23</v>
      </c>
      <c r="T128" s="18" t="s">
        <v>21</v>
      </c>
      <c r="U128" s="18" t="s">
        <v>20</v>
      </c>
      <c r="V128" s="37" t="s">
        <v>21</v>
      </c>
      <c r="W128" s="37" t="s">
        <v>20</v>
      </c>
      <c r="X128" s="37" t="s">
        <v>21</v>
      </c>
      <c r="Y128" s="18" t="s">
        <v>21</v>
      </c>
      <c r="Z128" s="18" t="s">
        <v>21</v>
      </c>
      <c r="AA128" s="20" t="s">
        <v>21</v>
      </c>
      <c r="AB128" s="20" t="s">
        <v>21</v>
      </c>
      <c r="AC128" s="20" t="s">
        <v>21</v>
      </c>
      <c r="AD128" s="29" t="s">
        <v>23</v>
      </c>
      <c r="AE128" s="29" t="s">
        <v>21</v>
      </c>
      <c r="AG128">
        <f>+COUNTIF(F128:AE128,"AD")</f>
        <v>0</v>
      </c>
      <c r="AH128">
        <f>+COUNTIF(F128:AE128,"A")</f>
        <v>2</v>
      </c>
      <c r="AI128">
        <f>+COUNTIF(F128:AE128,"b")</f>
        <v>21</v>
      </c>
      <c r="AJ128">
        <f>+COUNTIF(F128:AE128,"c")</f>
        <v>3</v>
      </c>
      <c r="AL128">
        <f>+$AG$5*AG128</f>
        <v>0</v>
      </c>
      <c r="AM128">
        <f>+$AH$5*AH128</f>
        <v>6</v>
      </c>
      <c r="AN128">
        <f>+$AI$5*AI128</f>
        <v>42</v>
      </c>
      <c r="AO128">
        <f>+$AJ$5*AJ128</f>
        <v>3</v>
      </c>
      <c r="AP128" s="73">
        <f>+SUM(AL128:AO128)</f>
        <v>51</v>
      </c>
    </row>
    <row r="129" spans="1:42" ht="15.75" customHeight="1" thickBot="1" x14ac:dyDescent="0.35">
      <c r="A129" s="16"/>
      <c r="B129" s="57">
        <v>20</v>
      </c>
      <c r="C129" s="56" t="s">
        <v>143</v>
      </c>
      <c r="D129" s="55">
        <v>3</v>
      </c>
      <c r="E129" s="55" t="s">
        <v>21</v>
      </c>
      <c r="F129" s="18" t="s">
        <v>23</v>
      </c>
      <c r="G129" s="18" t="s">
        <v>23</v>
      </c>
      <c r="H129" s="18" t="s">
        <v>21</v>
      </c>
      <c r="I129" s="18" t="s">
        <v>21</v>
      </c>
      <c r="J129" s="20" t="s">
        <v>21</v>
      </c>
      <c r="K129" s="20" t="s">
        <v>21</v>
      </c>
      <c r="L129" s="20" t="s">
        <v>21</v>
      </c>
      <c r="M129" s="18" t="s">
        <v>21</v>
      </c>
      <c r="N129" s="18" t="s">
        <v>20</v>
      </c>
      <c r="O129" s="18" t="s">
        <v>21</v>
      </c>
      <c r="P129" s="18" t="s">
        <v>21</v>
      </c>
      <c r="Q129" s="18" t="s">
        <v>20</v>
      </c>
      <c r="R129" s="18" t="s">
        <v>21</v>
      </c>
      <c r="S129" s="18" t="s">
        <v>23</v>
      </c>
      <c r="T129" s="18" t="s">
        <v>21</v>
      </c>
      <c r="U129" s="18" t="s">
        <v>20</v>
      </c>
      <c r="V129" s="37" t="s">
        <v>21</v>
      </c>
      <c r="W129" s="37" t="s">
        <v>20</v>
      </c>
      <c r="X129" s="37" t="s">
        <v>21</v>
      </c>
      <c r="Y129" s="18" t="s">
        <v>23</v>
      </c>
      <c r="Z129" s="18" t="s">
        <v>21</v>
      </c>
      <c r="AA129" s="20" t="s">
        <v>21</v>
      </c>
      <c r="AB129" s="20" t="s">
        <v>21</v>
      </c>
      <c r="AC129" s="20" t="s">
        <v>21</v>
      </c>
      <c r="AD129" s="29" t="s">
        <v>23</v>
      </c>
      <c r="AE129" s="29" t="s">
        <v>21</v>
      </c>
      <c r="AG129">
        <f>+COUNTIF(F129:AE129,"AD")</f>
        <v>0</v>
      </c>
      <c r="AH129">
        <f>+COUNTIF(F129:AE129,"A")</f>
        <v>4</v>
      </c>
      <c r="AI129">
        <f>+COUNTIF(F129:AE129,"b")</f>
        <v>17</v>
      </c>
      <c r="AJ129">
        <f>+COUNTIF(F129:AE129,"c")</f>
        <v>5</v>
      </c>
      <c r="AL129">
        <f>+$AG$5*AG129</f>
        <v>0</v>
      </c>
      <c r="AM129">
        <f>+$AH$5*AH129</f>
        <v>12</v>
      </c>
      <c r="AN129">
        <f>+$AI$5*AI129</f>
        <v>34</v>
      </c>
      <c r="AO129">
        <f>+$AJ$5*AJ129</f>
        <v>5</v>
      </c>
      <c r="AP129" s="73">
        <f>+SUM(AL129:AO129)</f>
        <v>51</v>
      </c>
    </row>
    <row r="130" spans="1:42" ht="15.75" customHeight="1" thickBot="1" x14ac:dyDescent="0.35">
      <c r="A130" s="16"/>
      <c r="B130" s="55">
        <v>21</v>
      </c>
      <c r="C130" s="58" t="s">
        <v>142</v>
      </c>
      <c r="D130" s="57">
        <v>3</v>
      </c>
      <c r="E130" s="57" t="s">
        <v>21</v>
      </c>
      <c r="F130" s="21" t="s">
        <v>23</v>
      </c>
      <c r="G130" s="21" t="s">
        <v>23</v>
      </c>
      <c r="H130" s="21" t="s">
        <v>23</v>
      </c>
      <c r="I130" s="21" t="s">
        <v>21</v>
      </c>
      <c r="J130" s="23" t="s">
        <v>21</v>
      </c>
      <c r="K130" s="23" t="s">
        <v>21</v>
      </c>
      <c r="L130" s="23" t="s">
        <v>21</v>
      </c>
      <c r="M130" s="21" t="s">
        <v>21</v>
      </c>
      <c r="N130" s="21" t="s">
        <v>21</v>
      </c>
      <c r="O130" s="21" t="s">
        <v>21</v>
      </c>
      <c r="P130" s="21" t="s">
        <v>23</v>
      </c>
      <c r="Q130" s="21" t="s">
        <v>21</v>
      </c>
      <c r="R130" s="21" t="s">
        <v>21</v>
      </c>
      <c r="S130" s="21" t="s">
        <v>23</v>
      </c>
      <c r="T130" s="21" t="s">
        <v>23</v>
      </c>
      <c r="U130" s="21" t="s">
        <v>20</v>
      </c>
      <c r="V130" s="38" t="s">
        <v>20</v>
      </c>
      <c r="W130" s="38" t="s">
        <v>20</v>
      </c>
      <c r="X130" s="38" t="s">
        <v>21</v>
      </c>
      <c r="Y130" s="21" t="s">
        <v>23</v>
      </c>
      <c r="Z130" s="21" t="s">
        <v>21</v>
      </c>
      <c r="AA130" s="23" t="s">
        <v>21</v>
      </c>
      <c r="AB130" s="23" t="s">
        <v>21</v>
      </c>
      <c r="AC130" s="23" t="s">
        <v>21</v>
      </c>
      <c r="AD130" s="31" t="s">
        <v>23</v>
      </c>
      <c r="AE130" s="31" t="s">
        <v>21</v>
      </c>
      <c r="AG130">
        <f>+COUNTIF(F130:AE130,"AD")</f>
        <v>0</v>
      </c>
      <c r="AH130">
        <f>+COUNTIF(F130:AE130,"A")</f>
        <v>3</v>
      </c>
      <c r="AI130">
        <f>+COUNTIF(F130:AE130,"b")</f>
        <v>15</v>
      </c>
      <c r="AJ130">
        <f>+COUNTIF(F130:AE130,"c")</f>
        <v>8</v>
      </c>
      <c r="AL130">
        <f>+$AG$5*AG130</f>
        <v>0</v>
      </c>
      <c r="AM130">
        <f>+$AH$5*AH130</f>
        <v>9</v>
      </c>
      <c r="AN130">
        <f>+$AI$5*AI130</f>
        <v>30</v>
      </c>
      <c r="AO130">
        <f>+$AJ$5*AJ130</f>
        <v>8</v>
      </c>
      <c r="AP130" s="73">
        <f>+SUM(AL130:AO130)</f>
        <v>47</v>
      </c>
    </row>
    <row r="131" spans="1:42" ht="15.75" hidden="1" customHeight="1" x14ac:dyDescent="0.3">
      <c r="A131" s="16"/>
      <c r="B131" s="55">
        <v>22</v>
      </c>
      <c r="C131" s="60" t="s">
        <v>149</v>
      </c>
      <c r="D131" s="59">
        <v>4</v>
      </c>
      <c r="E131" s="59" t="s">
        <v>20</v>
      </c>
      <c r="F131" s="24" t="s">
        <v>20</v>
      </c>
      <c r="G131" s="24" t="s">
        <v>20</v>
      </c>
      <c r="H131" s="24" t="s">
        <v>20</v>
      </c>
      <c r="I131" s="24" t="s">
        <v>20</v>
      </c>
      <c r="J131" s="42" t="s">
        <v>20</v>
      </c>
      <c r="K131" s="42" t="s">
        <v>20</v>
      </c>
      <c r="L131" s="42" t="s">
        <v>21</v>
      </c>
      <c r="M131" s="24" t="s">
        <v>20</v>
      </c>
      <c r="N131" s="24" t="s">
        <v>20</v>
      </c>
      <c r="O131" s="24" t="s">
        <v>20</v>
      </c>
      <c r="P131" s="24" t="s">
        <v>20</v>
      </c>
      <c r="Q131" s="24" t="s">
        <v>20</v>
      </c>
      <c r="R131" s="24" t="s">
        <v>20</v>
      </c>
      <c r="S131" s="24" t="s">
        <v>20</v>
      </c>
      <c r="T131" s="24" t="s">
        <v>21</v>
      </c>
      <c r="U131" s="24" t="s">
        <v>21</v>
      </c>
      <c r="V131" s="39" t="s">
        <v>20</v>
      </c>
      <c r="W131" s="39" t="s">
        <v>20</v>
      </c>
      <c r="X131" s="39" t="s">
        <v>20</v>
      </c>
      <c r="Y131" s="24" t="s">
        <v>20</v>
      </c>
      <c r="Z131" s="24" t="s">
        <v>20</v>
      </c>
      <c r="AA131" s="27" t="s">
        <v>21</v>
      </c>
      <c r="AB131" s="27" t="s">
        <v>20</v>
      </c>
      <c r="AC131" s="27" t="s">
        <v>21</v>
      </c>
      <c r="AD131" s="34" t="s">
        <v>21</v>
      </c>
      <c r="AE131" s="34" t="s">
        <v>21</v>
      </c>
      <c r="AG131">
        <f t="shared" si="9"/>
        <v>0</v>
      </c>
      <c r="AH131">
        <f t="shared" si="10"/>
        <v>19</v>
      </c>
      <c r="AI131">
        <f t="shared" si="11"/>
        <v>7</v>
      </c>
      <c r="AJ131">
        <f t="shared" si="12"/>
        <v>0</v>
      </c>
      <c r="AL131">
        <f t="shared" si="13"/>
        <v>0</v>
      </c>
      <c r="AM131">
        <f t="shared" si="14"/>
        <v>57</v>
      </c>
      <c r="AN131">
        <f t="shared" si="15"/>
        <v>14</v>
      </c>
      <c r="AO131">
        <f t="shared" si="16"/>
        <v>0</v>
      </c>
      <c r="AP131">
        <f t="shared" si="17"/>
        <v>71</v>
      </c>
    </row>
    <row r="132" spans="1:42" ht="15.75" hidden="1" customHeight="1" x14ac:dyDescent="0.35">
      <c r="A132" s="16"/>
      <c r="B132" s="57">
        <v>23</v>
      </c>
      <c r="C132" s="56" t="s">
        <v>150</v>
      </c>
      <c r="D132" s="55">
        <v>4</v>
      </c>
      <c r="E132" s="55" t="s">
        <v>20</v>
      </c>
      <c r="F132" s="18" t="s">
        <v>20</v>
      </c>
      <c r="G132" s="18" t="s">
        <v>20</v>
      </c>
      <c r="H132" s="18" t="s">
        <v>20</v>
      </c>
      <c r="I132" s="18" t="s">
        <v>20</v>
      </c>
      <c r="J132" s="43" t="s">
        <v>39</v>
      </c>
      <c r="K132" s="43" t="s">
        <v>20</v>
      </c>
      <c r="L132" s="43" t="s">
        <v>20</v>
      </c>
      <c r="M132" s="18" t="s">
        <v>21</v>
      </c>
      <c r="N132" s="18" t="s">
        <v>20</v>
      </c>
      <c r="O132" s="18" t="s">
        <v>20</v>
      </c>
      <c r="P132" s="18" t="s">
        <v>20</v>
      </c>
      <c r="Q132" s="18" t="s">
        <v>20</v>
      </c>
      <c r="R132" s="18" t="s">
        <v>20</v>
      </c>
      <c r="S132" s="18" t="s">
        <v>20</v>
      </c>
      <c r="T132" s="18" t="s">
        <v>20</v>
      </c>
      <c r="U132" s="18" t="s">
        <v>20</v>
      </c>
      <c r="V132" s="37" t="s">
        <v>20</v>
      </c>
      <c r="W132" s="37" t="s">
        <v>20</v>
      </c>
      <c r="X132" s="37" t="s">
        <v>20</v>
      </c>
      <c r="Y132" s="18" t="s">
        <v>20</v>
      </c>
      <c r="Z132" s="18" t="s">
        <v>21</v>
      </c>
      <c r="AA132" s="20" t="s">
        <v>20</v>
      </c>
      <c r="AB132" s="20" t="s">
        <v>20</v>
      </c>
      <c r="AC132" s="20" t="s">
        <v>21</v>
      </c>
      <c r="AD132" s="29" t="s">
        <v>20</v>
      </c>
      <c r="AE132" s="29" t="s">
        <v>21</v>
      </c>
      <c r="AG132">
        <f t="shared" si="9"/>
        <v>1</v>
      </c>
      <c r="AH132">
        <f t="shared" si="10"/>
        <v>21</v>
      </c>
      <c r="AI132">
        <f t="shared" si="11"/>
        <v>4</v>
      </c>
      <c r="AJ132">
        <f t="shared" si="12"/>
        <v>0</v>
      </c>
      <c r="AL132">
        <f t="shared" si="13"/>
        <v>4</v>
      </c>
      <c r="AM132">
        <f t="shared" si="14"/>
        <v>63</v>
      </c>
      <c r="AN132">
        <f t="shared" si="15"/>
        <v>8</v>
      </c>
      <c r="AO132">
        <f t="shared" si="16"/>
        <v>0</v>
      </c>
      <c r="AP132">
        <f t="shared" si="17"/>
        <v>75</v>
      </c>
    </row>
    <row r="133" spans="1:42" ht="15.75" hidden="1" customHeight="1" x14ac:dyDescent="0.3">
      <c r="A133" s="16"/>
      <c r="B133" s="55">
        <v>3</v>
      </c>
      <c r="C133" s="56" t="s">
        <v>151</v>
      </c>
      <c r="D133" s="55">
        <v>4</v>
      </c>
      <c r="E133" s="55" t="s">
        <v>20</v>
      </c>
      <c r="F133" s="18" t="s">
        <v>23</v>
      </c>
      <c r="G133" s="18" t="s">
        <v>21</v>
      </c>
      <c r="H133" s="18" t="s">
        <v>23</v>
      </c>
      <c r="I133" s="18" t="s">
        <v>21</v>
      </c>
      <c r="J133" s="43" t="s">
        <v>21</v>
      </c>
      <c r="K133" s="43" t="s">
        <v>21</v>
      </c>
      <c r="L133" s="43" t="s">
        <v>21</v>
      </c>
      <c r="M133" s="18" t="s">
        <v>21</v>
      </c>
      <c r="N133" s="18" t="s">
        <v>20</v>
      </c>
      <c r="O133" s="18" t="s">
        <v>20</v>
      </c>
      <c r="P133" s="18" t="s">
        <v>21</v>
      </c>
      <c r="Q133" s="18" t="s">
        <v>21</v>
      </c>
      <c r="R133" s="18" t="s">
        <v>21</v>
      </c>
      <c r="S133" s="18" t="s">
        <v>20</v>
      </c>
      <c r="T133" s="18" t="s">
        <v>20</v>
      </c>
      <c r="U133" s="18" t="s">
        <v>21</v>
      </c>
      <c r="V133" s="37" t="s">
        <v>20</v>
      </c>
      <c r="W133" s="46" t="s">
        <v>21</v>
      </c>
      <c r="X133" s="37" t="s">
        <v>20</v>
      </c>
      <c r="Y133" s="18" t="s">
        <v>21</v>
      </c>
      <c r="Z133" s="18" t="s">
        <v>23</v>
      </c>
      <c r="AA133" s="20" t="s">
        <v>21</v>
      </c>
      <c r="AB133" s="20" t="s">
        <v>21</v>
      </c>
      <c r="AC133" s="20" t="s">
        <v>21</v>
      </c>
      <c r="AD133" s="29" t="s">
        <v>21</v>
      </c>
      <c r="AE133" s="29" t="s">
        <v>21</v>
      </c>
      <c r="AG133">
        <f t="shared" si="9"/>
        <v>0</v>
      </c>
      <c r="AH133">
        <f t="shared" si="10"/>
        <v>6</v>
      </c>
      <c r="AI133">
        <f t="shared" si="11"/>
        <v>17</v>
      </c>
      <c r="AJ133">
        <f t="shared" si="12"/>
        <v>3</v>
      </c>
      <c r="AL133">
        <f t="shared" si="13"/>
        <v>0</v>
      </c>
      <c r="AM133">
        <f t="shared" si="14"/>
        <v>18</v>
      </c>
      <c r="AN133">
        <f t="shared" si="15"/>
        <v>34</v>
      </c>
      <c r="AO133">
        <f t="shared" si="16"/>
        <v>3</v>
      </c>
      <c r="AP133">
        <f t="shared" si="17"/>
        <v>55</v>
      </c>
    </row>
    <row r="134" spans="1:42" ht="15.75" hidden="1" customHeight="1" x14ac:dyDescent="0.3">
      <c r="A134" s="16"/>
      <c r="B134" s="55">
        <v>4</v>
      </c>
      <c r="C134" s="56" t="s">
        <v>152</v>
      </c>
      <c r="D134" s="55">
        <v>4</v>
      </c>
      <c r="E134" s="55" t="s">
        <v>20</v>
      </c>
      <c r="F134" s="18" t="s">
        <v>21</v>
      </c>
      <c r="G134" s="18" t="s">
        <v>20</v>
      </c>
      <c r="H134" s="18" t="s">
        <v>21</v>
      </c>
      <c r="I134" s="18" t="s">
        <v>20</v>
      </c>
      <c r="J134" s="43" t="s">
        <v>20</v>
      </c>
      <c r="K134" s="43" t="s">
        <v>20</v>
      </c>
      <c r="L134" s="43" t="s">
        <v>21</v>
      </c>
      <c r="M134" s="18" t="s">
        <v>20</v>
      </c>
      <c r="N134" s="18" t="s">
        <v>20</v>
      </c>
      <c r="O134" s="18" t="s">
        <v>20</v>
      </c>
      <c r="P134" s="18" t="s">
        <v>21</v>
      </c>
      <c r="Q134" s="18" t="s">
        <v>21</v>
      </c>
      <c r="R134" s="18" t="s">
        <v>21</v>
      </c>
      <c r="S134" s="18" t="s">
        <v>20</v>
      </c>
      <c r="T134" s="18" t="s">
        <v>20</v>
      </c>
      <c r="U134" s="18" t="s">
        <v>21</v>
      </c>
      <c r="V134" s="37" t="s">
        <v>20</v>
      </c>
      <c r="W134" s="37" t="s">
        <v>20</v>
      </c>
      <c r="X134" s="37" t="s">
        <v>20</v>
      </c>
      <c r="Y134" s="18" t="s">
        <v>20</v>
      </c>
      <c r="Z134" s="18" t="s">
        <v>20</v>
      </c>
      <c r="AA134" s="20" t="s">
        <v>21</v>
      </c>
      <c r="AB134" s="20" t="s">
        <v>21</v>
      </c>
      <c r="AC134" s="20" t="s">
        <v>20</v>
      </c>
      <c r="AD134" s="47" t="s">
        <v>20</v>
      </c>
      <c r="AE134" s="47" t="s">
        <v>21</v>
      </c>
      <c r="AG134">
        <f t="shared" si="9"/>
        <v>0</v>
      </c>
      <c r="AH134">
        <f t="shared" si="10"/>
        <v>16</v>
      </c>
      <c r="AI134">
        <f t="shared" si="11"/>
        <v>10</v>
      </c>
      <c r="AJ134">
        <f t="shared" si="12"/>
        <v>0</v>
      </c>
      <c r="AL134">
        <f t="shared" si="13"/>
        <v>0</v>
      </c>
      <c r="AM134">
        <f t="shared" si="14"/>
        <v>48</v>
      </c>
      <c r="AN134">
        <f t="shared" si="15"/>
        <v>20</v>
      </c>
      <c r="AO134">
        <f t="shared" si="16"/>
        <v>0</v>
      </c>
      <c r="AP134">
        <f t="shared" si="17"/>
        <v>68</v>
      </c>
    </row>
    <row r="135" spans="1:42" ht="15.75" hidden="1" customHeight="1" x14ac:dyDescent="0.3">
      <c r="A135" s="16"/>
      <c r="B135" s="55">
        <v>5</v>
      </c>
      <c r="C135" s="56" t="s">
        <v>153</v>
      </c>
      <c r="D135" s="55">
        <v>4</v>
      </c>
      <c r="E135" s="55" t="s">
        <v>20</v>
      </c>
      <c r="F135" s="18" t="s">
        <v>20</v>
      </c>
      <c r="G135" s="18" t="s">
        <v>21</v>
      </c>
      <c r="H135" s="18" t="s">
        <v>21</v>
      </c>
      <c r="I135" s="18" t="s">
        <v>20</v>
      </c>
      <c r="J135" s="43" t="s">
        <v>20</v>
      </c>
      <c r="K135" s="43" t="s">
        <v>20</v>
      </c>
      <c r="L135" s="43" t="s">
        <v>21</v>
      </c>
      <c r="M135" s="18" t="s">
        <v>21</v>
      </c>
      <c r="N135" s="18" t="s">
        <v>20</v>
      </c>
      <c r="O135" s="18" t="s">
        <v>20</v>
      </c>
      <c r="P135" s="18" t="s">
        <v>20</v>
      </c>
      <c r="Q135" s="18" t="s">
        <v>20</v>
      </c>
      <c r="R135" s="18" t="s">
        <v>20</v>
      </c>
      <c r="S135" s="18" t="s">
        <v>20</v>
      </c>
      <c r="T135" s="18" t="s">
        <v>20</v>
      </c>
      <c r="U135" s="18" t="s">
        <v>21</v>
      </c>
      <c r="V135" s="37" t="s">
        <v>20</v>
      </c>
      <c r="W135" s="37" t="s">
        <v>20</v>
      </c>
      <c r="X135" s="37" t="s">
        <v>20</v>
      </c>
      <c r="Y135" s="18" t="s">
        <v>20</v>
      </c>
      <c r="Z135" s="18" t="s">
        <v>21</v>
      </c>
      <c r="AA135" s="20" t="s">
        <v>21</v>
      </c>
      <c r="AB135" s="20" t="s">
        <v>20</v>
      </c>
      <c r="AC135" s="20" t="s">
        <v>20</v>
      </c>
      <c r="AD135" s="29" t="s">
        <v>23</v>
      </c>
      <c r="AE135" s="29" t="s">
        <v>21</v>
      </c>
      <c r="AG135">
        <f t="shared" si="9"/>
        <v>0</v>
      </c>
      <c r="AH135">
        <f t="shared" si="10"/>
        <v>17</v>
      </c>
      <c r="AI135">
        <f t="shared" si="11"/>
        <v>8</v>
      </c>
      <c r="AJ135">
        <f t="shared" si="12"/>
        <v>1</v>
      </c>
      <c r="AL135">
        <f t="shared" si="13"/>
        <v>0</v>
      </c>
      <c r="AM135">
        <f t="shared" si="14"/>
        <v>51</v>
      </c>
      <c r="AN135">
        <f t="shared" si="15"/>
        <v>16</v>
      </c>
      <c r="AO135">
        <f t="shared" si="16"/>
        <v>1</v>
      </c>
      <c r="AP135">
        <f t="shared" si="17"/>
        <v>68</v>
      </c>
    </row>
    <row r="136" spans="1:42" ht="15.75" hidden="1" customHeight="1" x14ac:dyDescent="0.3">
      <c r="A136" s="16"/>
      <c r="B136" s="55">
        <v>6</v>
      </c>
      <c r="C136" s="56" t="s">
        <v>154</v>
      </c>
      <c r="D136" s="55">
        <v>4</v>
      </c>
      <c r="E136" s="55" t="s">
        <v>20</v>
      </c>
      <c r="F136" s="18" t="s">
        <v>20</v>
      </c>
      <c r="G136" s="18" t="s">
        <v>21</v>
      </c>
      <c r="H136" s="18" t="s">
        <v>21</v>
      </c>
      <c r="I136" s="18" t="s">
        <v>20</v>
      </c>
      <c r="J136" s="43" t="s">
        <v>20</v>
      </c>
      <c r="K136" s="43" t="s">
        <v>20</v>
      </c>
      <c r="L136" s="43" t="s">
        <v>20</v>
      </c>
      <c r="M136" s="18" t="s">
        <v>20</v>
      </c>
      <c r="N136" s="18" t="s">
        <v>20</v>
      </c>
      <c r="O136" s="18" t="s">
        <v>20</v>
      </c>
      <c r="P136" s="18" t="s">
        <v>20</v>
      </c>
      <c r="Q136" s="18" t="s">
        <v>21</v>
      </c>
      <c r="R136" s="18" t="s">
        <v>20</v>
      </c>
      <c r="S136" s="18" t="s">
        <v>20</v>
      </c>
      <c r="T136" s="18" t="s">
        <v>20</v>
      </c>
      <c r="U136" s="18" t="s">
        <v>20</v>
      </c>
      <c r="V136" s="37" t="s">
        <v>20</v>
      </c>
      <c r="W136" s="37" t="s">
        <v>20</v>
      </c>
      <c r="X136" s="37" t="s">
        <v>20</v>
      </c>
      <c r="Y136" s="18" t="s">
        <v>20</v>
      </c>
      <c r="Z136" s="18" t="s">
        <v>20</v>
      </c>
      <c r="AA136" s="20" t="s">
        <v>20</v>
      </c>
      <c r="AB136" s="20" t="s">
        <v>20</v>
      </c>
      <c r="AC136" s="20" t="s">
        <v>20</v>
      </c>
      <c r="AD136" s="29" t="s">
        <v>20</v>
      </c>
      <c r="AE136" s="29" t="s">
        <v>21</v>
      </c>
      <c r="AG136">
        <f t="shared" si="9"/>
        <v>0</v>
      </c>
      <c r="AH136">
        <f t="shared" si="10"/>
        <v>22</v>
      </c>
      <c r="AI136">
        <f t="shared" si="11"/>
        <v>4</v>
      </c>
      <c r="AJ136">
        <f t="shared" si="12"/>
        <v>0</v>
      </c>
      <c r="AL136">
        <f t="shared" si="13"/>
        <v>0</v>
      </c>
      <c r="AM136">
        <f t="shared" si="14"/>
        <v>66</v>
      </c>
      <c r="AN136">
        <f t="shared" si="15"/>
        <v>8</v>
      </c>
      <c r="AO136">
        <f t="shared" si="16"/>
        <v>0</v>
      </c>
      <c r="AP136">
        <f t="shared" si="17"/>
        <v>74</v>
      </c>
    </row>
    <row r="137" spans="1:42" ht="15.75" hidden="1" customHeight="1" x14ac:dyDescent="0.3">
      <c r="A137" s="16"/>
      <c r="B137" s="55">
        <v>7</v>
      </c>
      <c r="C137" s="56" t="s">
        <v>155</v>
      </c>
      <c r="D137" s="55">
        <v>4</v>
      </c>
      <c r="E137" s="55" t="s">
        <v>20</v>
      </c>
      <c r="F137" s="18" t="s">
        <v>21</v>
      </c>
      <c r="G137" s="18" t="s">
        <v>21</v>
      </c>
      <c r="H137" s="18" t="s">
        <v>23</v>
      </c>
      <c r="I137" s="18" t="s">
        <v>23</v>
      </c>
      <c r="J137" s="43" t="s">
        <v>20</v>
      </c>
      <c r="K137" s="43" t="s">
        <v>20</v>
      </c>
      <c r="L137" s="43" t="s">
        <v>20</v>
      </c>
      <c r="M137" s="18" t="s">
        <v>20</v>
      </c>
      <c r="N137" s="18" t="s">
        <v>21</v>
      </c>
      <c r="O137" s="18" t="s">
        <v>21</v>
      </c>
      <c r="P137" s="18" t="s">
        <v>23</v>
      </c>
      <c r="Q137" s="18" t="s">
        <v>21</v>
      </c>
      <c r="R137" s="18" t="s">
        <v>23</v>
      </c>
      <c r="S137" s="18" t="s">
        <v>21</v>
      </c>
      <c r="T137" s="18" t="s">
        <v>20</v>
      </c>
      <c r="U137" s="18" t="s">
        <v>21</v>
      </c>
      <c r="V137" s="37" t="s">
        <v>20</v>
      </c>
      <c r="W137" s="37" t="s">
        <v>21</v>
      </c>
      <c r="X137" s="37" t="s">
        <v>20</v>
      </c>
      <c r="Y137" s="18" t="s">
        <v>21</v>
      </c>
      <c r="Z137" s="18" t="s">
        <v>20</v>
      </c>
      <c r="AA137" s="20" t="s">
        <v>21</v>
      </c>
      <c r="AB137" s="20" t="s">
        <v>21</v>
      </c>
      <c r="AC137" s="20" t="s">
        <v>21</v>
      </c>
      <c r="AD137" s="29" t="s">
        <v>55</v>
      </c>
      <c r="AE137" s="29" t="s">
        <v>55</v>
      </c>
      <c r="AG137">
        <f t="shared" si="9"/>
        <v>0</v>
      </c>
      <c r="AH137">
        <f t="shared" si="10"/>
        <v>8</v>
      </c>
      <c r="AI137">
        <f t="shared" si="11"/>
        <v>12</v>
      </c>
      <c r="AJ137">
        <f t="shared" si="12"/>
        <v>4</v>
      </c>
      <c r="AL137">
        <f t="shared" si="13"/>
        <v>0</v>
      </c>
      <c r="AM137">
        <f t="shared" si="14"/>
        <v>24</v>
      </c>
      <c r="AN137">
        <f t="shared" si="15"/>
        <v>24</v>
      </c>
      <c r="AO137">
        <f t="shared" si="16"/>
        <v>4</v>
      </c>
      <c r="AP137">
        <f t="shared" si="17"/>
        <v>52</v>
      </c>
    </row>
    <row r="138" spans="1:42" ht="15.75" hidden="1" customHeight="1" x14ac:dyDescent="0.3">
      <c r="A138" s="16"/>
      <c r="B138" s="55">
        <v>8</v>
      </c>
      <c r="C138" s="56" t="s">
        <v>156</v>
      </c>
      <c r="D138" s="55">
        <v>4</v>
      </c>
      <c r="E138" s="55" t="s">
        <v>20</v>
      </c>
      <c r="F138" s="18" t="s">
        <v>20</v>
      </c>
      <c r="G138" s="18" t="s">
        <v>20</v>
      </c>
      <c r="H138" s="18" t="s">
        <v>20</v>
      </c>
      <c r="I138" s="18" t="s">
        <v>20</v>
      </c>
      <c r="J138" s="43" t="s">
        <v>39</v>
      </c>
      <c r="K138" s="43" t="s">
        <v>20</v>
      </c>
      <c r="L138" s="43" t="s">
        <v>20</v>
      </c>
      <c r="M138" s="18" t="s">
        <v>20</v>
      </c>
      <c r="N138" s="18" t="s">
        <v>20</v>
      </c>
      <c r="O138" s="18" t="s">
        <v>20</v>
      </c>
      <c r="P138" s="18" t="s">
        <v>20</v>
      </c>
      <c r="Q138" s="18" t="s">
        <v>20</v>
      </c>
      <c r="R138" s="18" t="s">
        <v>20</v>
      </c>
      <c r="S138" s="18" t="s">
        <v>20</v>
      </c>
      <c r="T138" s="18" t="s">
        <v>20</v>
      </c>
      <c r="U138" s="18" t="s">
        <v>21</v>
      </c>
      <c r="V138" s="37" t="s">
        <v>20</v>
      </c>
      <c r="W138" s="37" t="s">
        <v>20</v>
      </c>
      <c r="X138" s="37" t="s">
        <v>20</v>
      </c>
      <c r="Y138" s="18" t="s">
        <v>20</v>
      </c>
      <c r="Z138" s="18" t="s">
        <v>20</v>
      </c>
      <c r="AA138" s="20" t="s">
        <v>20</v>
      </c>
      <c r="AB138" s="20" t="s">
        <v>20</v>
      </c>
      <c r="AC138" s="20" t="s">
        <v>20</v>
      </c>
      <c r="AD138" s="29" t="s">
        <v>20</v>
      </c>
      <c r="AE138" s="29" t="s">
        <v>21</v>
      </c>
      <c r="AG138">
        <f t="shared" si="9"/>
        <v>1</v>
      </c>
      <c r="AH138">
        <f t="shared" si="10"/>
        <v>23</v>
      </c>
      <c r="AI138">
        <f t="shared" si="11"/>
        <v>2</v>
      </c>
      <c r="AJ138">
        <f t="shared" si="12"/>
        <v>0</v>
      </c>
      <c r="AL138">
        <f t="shared" si="13"/>
        <v>4</v>
      </c>
      <c r="AM138">
        <f t="shared" si="14"/>
        <v>69</v>
      </c>
      <c r="AN138">
        <f t="shared" si="15"/>
        <v>4</v>
      </c>
      <c r="AO138">
        <f t="shared" si="16"/>
        <v>0</v>
      </c>
      <c r="AP138">
        <f t="shared" si="17"/>
        <v>77</v>
      </c>
    </row>
    <row r="139" spans="1:42" ht="15.75" hidden="1" customHeight="1" x14ac:dyDescent="0.3">
      <c r="A139" s="16"/>
      <c r="B139" s="55">
        <v>9</v>
      </c>
      <c r="C139" s="56" t="s">
        <v>157</v>
      </c>
      <c r="D139" s="55">
        <v>4</v>
      </c>
      <c r="E139" s="55" t="s">
        <v>20</v>
      </c>
      <c r="F139" s="18" t="s">
        <v>23</v>
      </c>
      <c r="G139" s="18" t="s">
        <v>21</v>
      </c>
      <c r="H139" s="18" t="s">
        <v>21</v>
      </c>
      <c r="I139" s="18" t="s">
        <v>21</v>
      </c>
      <c r="J139" s="43" t="s">
        <v>20</v>
      </c>
      <c r="K139" s="43" t="s">
        <v>20</v>
      </c>
      <c r="L139" s="43" t="s">
        <v>21</v>
      </c>
      <c r="M139" s="18" t="s">
        <v>20</v>
      </c>
      <c r="N139" s="18" t="s">
        <v>20</v>
      </c>
      <c r="O139" s="18" t="s">
        <v>20</v>
      </c>
      <c r="P139" s="18" t="s">
        <v>20</v>
      </c>
      <c r="Q139" s="18" t="s">
        <v>20</v>
      </c>
      <c r="R139" s="18" t="s">
        <v>20</v>
      </c>
      <c r="S139" s="18" t="s">
        <v>20</v>
      </c>
      <c r="T139" s="18" t="s">
        <v>20</v>
      </c>
      <c r="U139" s="18" t="s">
        <v>21</v>
      </c>
      <c r="V139" s="37" t="s">
        <v>20</v>
      </c>
      <c r="W139" s="37" t="s">
        <v>20</v>
      </c>
      <c r="X139" s="37" t="s">
        <v>20</v>
      </c>
      <c r="Y139" s="18" t="s">
        <v>20</v>
      </c>
      <c r="Z139" s="18" t="s">
        <v>21</v>
      </c>
      <c r="AA139" s="20" t="s">
        <v>21</v>
      </c>
      <c r="AB139" s="20" t="s">
        <v>21</v>
      </c>
      <c r="AC139" s="20" t="s">
        <v>23</v>
      </c>
      <c r="AD139" s="18" t="s">
        <v>20</v>
      </c>
      <c r="AE139" s="18" t="s">
        <v>21</v>
      </c>
      <c r="AG139">
        <f t="shared" si="9"/>
        <v>0</v>
      </c>
      <c r="AH139">
        <f t="shared" si="10"/>
        <v>15</v>
      </c>
      <c r="AI139">
        <f t="shared" si="11"/>
        <v>9</v>
      </c>
      <c r="AJ139">
        <f t="shared" si="12"/>
        <v>2</v>
      </c>
      <c r="AL139">
        <f t="shared" si="13"/>
        <v>0</v>
      </c>
      <c r="AM139">
        <f t="shared" si="14"/>
        <v>45</v>
      </c>
      <c r="AN139">
        <f t="shared" si="15"/>
        <v>18</v>
      </c>
      <c r="AO139">
        <f t="shared" si="16"/>
        <v>2</v>
      </c>
      <c r="AP139">
        <f t="shared" si="17"/>
        <v>65</v>
      </c>
    </row>
    <row r="140" spans="1:42" ht="15.75" hidden="1" customHeight="1" x14ac:dyDescent="0.3">
      <c r="A140" s="16"/>
      <c r="B140" s="55">
        <v>10</v>
      </c>
      <c r="C140" s="56" t="s">
        <v>158</v>
      </c>
      <c r="D140" s="55">
        <v>4</v>
      </c>
      <c r="E140" s="55" t="s">
        <v>20</v>
      </c>
      <c r="F140" s="18" t="s">
        <v>21</v>
      </c>
      <c r="G140" s="18" t="s">
        <v>23</v>
      </c>
      <c r="H140" s="18" t="s">
        <v>21</v>
      </c>
      <c r="I140" s="18" t="s">
        <v>23</v>
      </c>
      <c r="J140" s="43" t="s">
        <v>20</v>
      </c>
      <c r="K140" s="43" t="s">
        <v>21</v>
      </c>
      <c r="L140" s="43" t="s">
        <v>21</v>
      </c>
      <c r="M140" s="18" t="s">
        <v>21</v>
      </c>
      <c r="N140" s="18" t="s">
        <v>21</v>
      </c>
      <c r="O140" s="18" t="s">
        <v>20</v>
      </c>
      <c r="P140" s="18" t="s">
        <v>21</v>
      </c>
      <c r="Q140" s="18" t="s">
        <v>21</v>
      </c>
      <c r="R140" s="18" t="s">
        <v>21</v>
      </c>
      <c r="S140" s="18" t="s">
        <v>21</v>
      </c>
      <c r="T140" s="18" t="s">
        <v>20</v>
      </c>
      <c r="U140" s="18" t="s">
        <v>20</v>
      </c>
      <c r="V140" s="37" t="s">
        <v>20</v>
      </c>
      <c r="W140" s="37" t="s">
        <v>20</v>
      </c>
      <c r="X140" s="37" t="s">
        <v>20</v>
      </c>
      <c r="Y140" s="18" t="s">
        <v>20</v>
      </c>
      <c r="Z140" s="18" t="s">
        <v>21</v>
      </c>
      <c r="AA140" s="20" t="s">
        <v>20</v>
      </c>
      <c r="AB140" s="20" t="s">
        <v>20</v>
      </c>
      <c r="AC140" s="20" t="s">
        <v>20</v>
      </c>
      <c r="AD140" s="18" t="s">
        <v>23</v>
      </c>
      <c r="AE140" s="18" t="s">
        <v>21</v>
      </c>
      <c r="AG140">
        <f t="shared" si="9"/>
        <v>0</v>
      </c>
      <c r="AH140">
        <f t="shared" si="10"/>
        <v>11</v>
      </c>
      <c r="AI140">
        <f t="shared" si="11"/>
        <v>12</v>
      </c>
      <c r="AJ140">
        <f t="shared" si="12"/>
        <v>3</v>
      </c>
      <c r="AL140">
        <f t="shared" si="13"/>
        <v>0</v>
      </c>
      <c r="AM140">
        <f t="shared" si="14"/>
        <v>33</v>
      </c>
      <c r="AN140">
        <f t="shared" si="15"/>
        <v>24</v>
      </c>
      <c r="AO140">
        <f t="shared" si="16"/>
        <v>3</v>
      </c>
      <c r="AP140">
        <f t="shared" si="17"/>
        <v>60</v>
      </c>
    </row>
    <row r="141" spans="1:42" ht="15.75" hidden="1" customHeight="1" x14ac:dyDescent="0.3">
      <c r="A141" s="16"/>
      <c r="B141" s="55">
        <v>11</v>
      </c>
      <c r="C141" s="56" t="s">
        <v>159</v>
      </c>
      <c r="D141" s="55">
        <v>4</v>
      </c>
      <c r="E141" s="55" t="s">
        <v>20</v>
      </c>
      <c r="F141" s="18" t="s">
        <v>23</v>
      </c>
      <c r="G141" s="18" t="s">
        <v>23</v>
      </c>
      <c r="H141" s="18" t="s">
        <v>23</v>
      </c>
      <c r="I141" s="18" t="s">
        <v>21</v>
      </c>
      <c r="J141" s="43" t="s">
        <v>20</v>
      </c>
      <c r="K141" s="43" t="s">
        <v>21</v>
      </c>
      <c r="L141" s="43" t="s">
        <v>21</v>
      </c>
      <c r="M141" s="18" t="s">
        <v>21</v>
      </c>
      <c r="N141" s="18" t="s">
        <v>21</v>
      </c>
      <c r="O141" s="18" t="s">
        <v>21</v>
      </c>
      <c r="P141" s="18" t="s">
        <v>21</v>
      </c>
      <c r="Q141" s="18" t="s">
        <v>21</v>
      </c>
      <c r="R141" s="18" t="s">
        <v>21</v>
      </c>
      <c r="S141" s="18" t="s">
        <v>20</v>
      </c>
      <c r="T141" s="18" t="s">
        <v>21</v>
      </c>
      <c r="U141" s="18" t="s">
        <v>20</v>
      </c>
      <c r="V141" s="37" t="s">
        <v>20</v>
      </c>
      <c r="W141" s="37" t="s">
        <v>20</v>
      </c>
      <c r="X141" s="37" t="s">
        <v>20</v>
      </c>
      <c r="Y141" s="18" t="s">
        <v>21</v>
      </c>
      <c r="Z141" s="18" t="s">
        <v>21</v>
      </c>
      <c r="AA141" s="20" t="s">
        <v>21</v>
      </c>
      <c r="AB141" s="20" t="s">
        <v>21</v>
      </c>
      <c r="AC141" s="20" t="s">
        <v>23</v>
      </c>
      <c r="AD141" s="18" t="s">
        <v>23</v>
      </c>
      <c r="AE141" s="18" t="s">
        <v>21</v>
      </c>
      <c r="AG141">
        <f t="shared" si="9"/>
        <v>0</v>
      </c>
      <c r="AH141">
        <f t="shared" si="10"/>
        <v>6</v>
      </c>
      <c r="AI141">
        <f t="shared" si="11"/>
        <v>15</v>
      </c>
      <c r="AJ141">
        <f t="shared" si="12"/>
        <v>5</v>
      </c>
      <c r="AL141">
        <f t="shared" si="13"/>
        <v>0</v>
      </c>
      <c r="AM141">
        <f t="shared" si="14"/>
        <v>18</v>
      </c>
      <c r="AN141">
        <f t="shared" si="15"/>
        <v>30</v>
      </c>
      <c r="AO141">
        <f t="shared" si="16"/>
        <v>5</v>
      </c>
      <c r="AP141">
        <f t="shared" si="17"/>
        <v>53</v>
      </c>
    </row>
    <row r="142" spans="1:42" ht="15.75" hidden="1" customHeight="1" x14ac:dyDescent="0.3">
      <c r="A142" s="16"/>
      <c r="B142" s="55">
        <v>12</v>
      </c>
      <c r="C142" s="56" t="s">
        <v>160</v>
      </c>
      <c r="D142" s="55">
        <v>4</v>
      </c>
      <c r="E142" s="55" t="s">
        <v>20</v>
      </c>
      <c r="F142" s="18" t="s">
        <v>23</v>
      </c>
      <c r="G142" s="18" t="s">
        <v>23</v>
      </c>
      <c r="H142" s="18" t="s">
        <v>23</v>
      </c>
      <c r="I142" s="18" t="s">
        <v>21</v>
      </c>
      <c r="J142" s="43" t="s">
        <v>21</v>
      </c>
      <c r="K142" s="43" t="s">
        <v>21</v>
      </c>
      <c r="L142" s="43" t="s">
        <v>21</v>
      </c>
      <c r="M142" s="18" t="s">
        <v>21</v>
      </c>
      <c r="N142" s="18" t="s">
        <v>20</v>
      </c>
      <c r="O142" s="18" t="s">
        <v>21</v>
      </c>
      <c r="P142" s="18" t="s">
        <v>21</v>
      </c>
      <c r="Q142" s="18" t="s">
        <v>21</v>
      </c>
      <c r="R142" s="18" t="s">
        <v>21</v>
      </c>
      <c r="S142" s="18" t="s">
        <v>21</v>
      </c>
      <c r="T142" s="18" t="s">
        <v>21</v>
      </c>
      <c r="U142" s="18" t="s">
        <v>21</v>
      </c>
      <c r="V142" s="37" t="s">
        <v>20</v>
      </c>
      <c r="W142" s="37" t="s">
        <v>20</v>
      </c>
      <c r="X142" s="37" t="s">
        <v>21</v>
      </c>
      <c r="Y142" s="18" t="s">
        <v>21</v>
      </c>
      <c r="Z142" s="18" t="s">
        <v>21</v>
      </c>
      <c r="AA142" s="20" t="s">
        <v>21</v>
      </c>
      <c r="AB142" s="20" t="s">
        <v>21</v>
      </c>
      <c r="AC142" s="20" t="s">
        <v>23</v>
      </c>
      <c r="AD142" s="18" t="s">
        <v>23</v>
      </c>
      <c r="AE142" s="18" t="s">
        <v>21</v>
      </c>
      <c r="AG142">
        <f t="shared" si="9"/>
        <v>0</v>
      </c>
      <c r="AH142">
        <f t="shared" si="10"/>
        <v>3</v>
      </c>
      <c r="AI142">
        <f t="shared" si="11"/>
        <v>18</v>
      </c>
      <c r="AJ142">
        <f t="shared" si="12"/>
        <v>5</v>
      </c>
      <c r="AL142">
        <f t="shared" si="13"/>
        <v>0</v>
      </c>
      <c r="AM142">
        <f t="shared" si="14"/>
        <v>9</v>
      </c>
      <c r="AN142">
        <f t="shared" si="15"/>
        <v>36</v>
      </c>
      <c r="AO142">
        <f t="shared" si="16"/>
        <v>5</v>
      </c>
      <c r="AP142">
        <f t="shared" si="17"/>
        <v>50</v>
      </c>
    </row>
    <row r="143" spans="1:42" ht="15.75" hidden="1" customHeight="1" x14ac:dyDescent="0.3">
      <c r="A143" s="16"/>
      <c r="B143" s="55">
        <v>13</v>
      </c>
      <c r="C143" s="56" t="s">
        <v>161</v>
      </c>
      <c r="D143" s="55">
        <v>4</v>
      </c>
      <c r="E143" s="55" t="s">
        <v>20</v>
      </c>
      <c r="F143" s="18" t="s">
        <v>21</v>
      </c>
      <c r="G143" s="18" t="s">
        <v>21</v>
      </c>
      <c r="H143" s="18" t="s">
        <v>21</v>
      </c>
      <c r="I143" s="18" t="s">
        <v>21</v>
      </c>
      <c r="J143" s="43" t="s">
        <v>21</v>
      </c>
      <c r="K143" s="43" t="s">
        <v>21</v>
      </c>
      <c r="L143" s="43" t="s">
        <v>21</v>
      </c>
      <c r="M143" s="18" t="s">
        <v>23</v>
      </c>
      <c r="N143" s="18" t="s">
        <v>23</v>
      </c>
      <c r="O143" s="18" t="s">
        <v>21</v>
      </c>
      <c r="P143" s="18" t="s">
        <v>20</v>
      </c>
      <c r="Q143" s="18" t="s">
        <v>21</v>
      </c>
      <c r="R143" s="18" t="s">
        <v>21</v>
      </c>
      <c r="S143" s="18" t="s">
        <v>20</v>
      </c>
      <c r="T143" s="18" t="s">
        <v>21</v>
      </c>
      <c r="U143" s="18" t="s">
        <v>20</v>
      </c>
      <c r="V143" s="37" t="s">
        <v>21</v>
      </c>
      <c r="W143" s="37" t="s">
        <v>21</v>
      </c>
      <c r="X143" s="37" t="s">
        <v>21</v>
      </c>
      <c r="Y143" s="18" t="s">
        <v>21</v>
      </c>
      <c r="Z143" s="18" t="s">
        <v>21</v>
      </c>
      <c r="AA143" s="20" t="s">
        <v>21</v>
      </c>
      <c r="AB143" s="20" t="s">
        <v>21</v>
      </c>
      <c r="AC143" s="20" t="s">
        <v>23</v>
      </c>
      <c r="AD143" s="18" t="s">
        <v>23</v>
      </c>
      <c r="AE143" s="18" t="s">
        <v>21</v>
      </c>
      <c r="AG143">
        <f t="shared" si="9"/>
        <v>0</v>
      </c>
      <c r="AH143">
        <f t="shared" si="10"/>
        <v>3</v>
      </c>
      <c r="AI143">
        <f t="shared" si="11"/>
        <v>19</v>
      </c>
      <c r="AJ143">
        <f t="shared" si="12"/>
        <v>4</v>
      </c>
      <c r="AL143">
        <f t="shared" si="13"/>
        <v>0</v>
      </c>
      <c r="AM143">
        <f t="shared" si="14"/>
        <v>9</v>
      </c>
      <c r="AN143">
        <f t="shared" si="15"/>
        <v>38</v>
      </c>
      <c r="AO143">
        <f t="shared" si="16"/>
        <v>4</v>
      </c>
      <c r="AP143">
        <f t="shared" si="17"/>
        <v>51</v>
      </c>
    </row>
    <row r="144" spans="1:42" ht="15.75" hidden="1" customHeight="1" x14ac:dyDescent="0.3">
      <c r="A144" s="16"/>
      <c r="B144" s="55">
        <v>14</v>
      </c>
      <c r="C144" s="56" t="s">
        <v>162</v>
      </c>
      <c r="D144" s="55">
        <v>4</v>
      </c>
      <c r="E144" s="55" t="s">
        <v>20</v>
      </c>
      <c r="F144" s="18" t="s">
        <v>20</v>
      </c>
      <c r="G144" s="18" t="s">
        <v>20</v>
      </c>
      <c r="H144" s="18" t="s">
        <v>20</v>
      </c>
      <c r="I144" s="18" t="s">
        <v>20</v>
      </c>
      <c r="J144" s="43" t="s">
        <v>20</v>
      </c>
      <c r="K144" s="43" t="s">
        <v>20</v>
      </c>
      <c r="L144" s="43" t="s">
        <v>20</v>
      </c>
      <c r="M144" s="18" t="s">
        <v>20</v>
      </c>
      <c r="N144" s="18" t="s">
        <v>20</v>
      </c>
      <c r="O144" s="18" t="s">
        <v>20</v>
      </c>
      <c r="P144" s="18" t="s">
        <v>20</v>
      </c>
      <c r="Q144" s="18" t="s">
        <v>20</v>
      </c>
      <c r="R144" s="18" t="s">
        <v>21</v>
      </c>
      <c r="S144" s="18" t="s">
        <v>21</v>
      </c>
      <c r="T144" s="18" t="s">
        <v>20</v>
      </c>
      <c r="U144" s="18" t="s">
        <v>21</v>
      </c>
      <c r="V144" s="37" t="s">
        <v>20</v>
      </c>
      <c r="W144" s="37" t="s">
        <v>20</v>
      </c>
      <c r="X144" s="37" t="s">
        <v>20</v>
      </c>
      <c r="Y144" s="18" t="s">
        <v>20</v>
      </c>
      <c r="Z144" s="18" t="s">
        <v>20</v>
      </c>
      <c r="AA144" s="20" t="s">
        <v>21</v>
      </c>
      <c r="AB144" s="20" t="s">
        <v>20</v>
      </c>
      <c r="AC144" s="20" t="s">
        <v>20</v>
      </c>
      <c r="AD144" s="18" t="s">
        <v>20</v>
      </c>
      <c r="AE144" s="18" t="s">
        <v>21</v>
      </c>
      <c r="AG144">
        <f t="shared" si="9"/>
        <v>0</v>
      </c>
      <c r="AH144">
        <f t="shared" si="10"/>
        <v>21</v>
      </c>
      <c r="AI144">
        <f t="shared" si="11"/>
        <v>5</v>
      </c>
      <c r="AJ144">
        <f t="shared" si="12"/>
        <v>0</v>
      </c>
      <c r="AL144">
        <f t="shared" si="13"/>
        <v>0</v>
      </c>
      <c r="AM144">
        <f t="shared" si="14"/>
        <v>63</v>
      </c>
      <c r="AN144">
        <f t="shared" si="15"/>
        <v>10</v>
      </c>
      <c r="AO144">
        <f t="shared" si="16"/>
        <v>0</v>
      </c>
      <c r="AP144">
        <f t="shared" si="17"/>
        <v>73</v>
      </c>
    </row>
    <row r="145" spans="1:42" ht="15.75" hidden="1" customHeight="1" x14ac:dyDescent="0.3">
      <c r="A145" s="16"/>
      <c r="B145" s="55">
        <v>15</v>
      </c>
      <c r="C145" s="56" t="s">
        <v>163</v>
      </c>
      <c r="D145" s="55">
        <v>4</v>
      </c>
      <c r="E145" s="55" t="s">
        <v>20</v>
      </c>
      <c r="F145" s="18" t="s">
        <v>20</v>
      </c>
      <c r="G145" s="18" t="s">
        <v>21</v>
      </c>
      <c r="H145" s="18" t="s">
        <v>21</v>
      </c>
      <c r="I145" s="18" t="s">
        <v>20</v>
      </c>
      <c r="J145" s="43" t="s">
        <v>20</v>
      </c>
      <c r="K145" s="43" t="s">
        <v>20</v>
      </c>
      <c r="L145" s="43" t="s">
        <v>20</v>
      </c>
      <c r="M145" s="18" t="s">
        <v>21</v>
      </c>
      <c r="N145" s="18" t="s">
        <v>20</v>
      </c>
      <c r="O145" s="18" t="s">
        <v>20</v>
      </c>
      <c r="P145" s="18" t="s">
        <v>20</v>
      </c>
      <c r="Q145" s="18" t="s">
        <v>20</v>
      </c>
      <c r="R145" s="18" t="s">
        <v>20</v>
      </c>
      <c r="S145" s="18" t="s">
        <v>20</v>
      </c>
      <c r="T145" s="18" t="s">
        <v>20</v>
      </c>
      <c r="U145" s="18" t="s">
        <v>21</v>
      </c>
      <c r="V145" s="37" t="s">
        <v>20</v>
      </c>
      <c r="W145" s="37" t="s">
        <v>20</v>
      </c>
      <c r="X145" s="37" t="s">
        <v>20</v>
      </c>
      <c r="Y145" s="18" t="s">
        <v>20</v>
      </c>
      <c r="Z145" s="18" t="s">
        <v>21</v>
      </c>
      <c r="AA145" s="20" t="s">
        <v>21</v>
      </c>
      <c r="AB145" s="20" t="s">
        <v>20</v>
      </c>
      <c r="AC145" s="20" t="s">
        <v>20</v>
      </c>
      <c r="AD145" s="18" t="s">
        <v>20</v>
      </c>
      <c r="AE145" s="18" t="s">
        <v>21</v>
      </c>
      <c r="AG145">
        <f t="shared" si="9"/>
        <v>0</v>
      </c>
      <c r="AH145">
        <f t="shared" si="10"/>
        <v>19</v>
      </c>
      <c r="AI145">
        <f t="shared" si="11"/>
        <v>7</v>
      </c>
      <c r="AJ145">
        <f t="shared" si="12"/>
        <v>0</v>
      </c>
      <c r="AL145">
        <f t="shared" si="13"/>
        <v>0</v>
      </c>
      <c r="AM145">
        <f t="shared" si="14"/>
        <v>57</v>
      </c>
      <c r="AN145">
        <f t="shared" si="15"/>
        <v>14</v>
      </c>
      <c r="AO145">
        <f t="shared" si="16"/>
        <v>0</v>
      </c>
      <c r="AP145">
        <f t="shared" si="17"/>
        <v>71</v>
      </c>
    </row>
    <row r="146" spans="1:42" ht="15.75" hidden="1" customHeight="1" x14ac:dyDescent="0.3">
      <c r="A146" s="16"/>
      <c r="B146" s="55">
        <v>16</v>
      </c>
      <c r="C146" s="56" t="s">
        <v>164</v>
      </c>
      <c r="D146" s="55">
        <v>4</v>
      </c>
      <c r="E146" s="55" t="s">
        <v>20</v>
      </c>
      <c r="F146" s="18" t="s">
        <v>23</v>
      </c>
      <c r="G146" s="18" t="s">
        <v>23</v>
      </c>
      <c r="H146" s="18" t="s">
        <v>23</v>
      </c>
      <c r="I146" s="18" t="s">
        <v>21</v>
      </c>
      <c r="J146" s="43" t="s">
        <v>21</v>
      </c>
      <c r="K146" s="43" t="s">
        <v>21</v>
      </c>
      <c r="L146" s="43" t="s">
        <v>21</v>
      </c>
      <c r="M146" s="18" t="s">
        <v>21</v>
      </c>
      <c r="N146" s="18" t="s">
        <v>20</v>
      </c>
      <c r="O146" s="18" t="s">
        <v>21</v>
      </c>
      <c r="P146" s="18" t="s">
        <v>20</v>
      </c>
      <c r="Q146" s="18" t="s">
        <v>20</v>
      </c>
      <c r="R146" s="18" t="s">
        <v>20</v>
      </c>
      <c r="S146" s="18" t="s">
        <v>21</v>
      </c>
      <c r="T146" s="18" t="s">
        <v>21</v>
      </c>
      <c r="U146" s="18" t="s">
        <v>21</v>
      </c>
      <c r="V146" s="37" t="s">
        <v>20</v>
      </c>
      <c r="W146" s="37" t="s">
        <v>20</v>
      </c>
      <c r="X146" s="37" t="s">
        <v>20</v>
      </c>
      <c r="Y146" s="18" t="s">
        <v>21</v>
      </c>
      <c r="Z146" s="18" t="s">
        <v>21</v>
      </c>
      <c r="AA146" s="20" t="s">
        <v>21</v>
      </c>
      <c r="AB146" s="20" t="s">
        <v>21</v>
      </c>
      <c r="AC146" s="20" t="s">
        <v>21</v>
      </c>
      <c r="AD146" s="18" t="s">
        <v>23</v>
      </c>
      <c r="AE146" s="18" t="s">
        <v>21</v>
      </c>
      <c r="AG146">
        <f t="shared" si="9"/>
        <v>0</v>
      </c>
      <c r="AH146">
        <f t="shared" si="10"/>
        <v>7</v>
      </c>
      <c r="AI146">
        <f t="shared" si="11"/>
        <v>15</v>
      </c>
      <c r="AJ146">
        <f t="shared" si="12"/>
        <v>4</v>
      </c>
      <c r="AL146">
        <f t="shared" si="13"/>
        <v>0</v>
      </c>
      <c r="AM146">
        <f t="shared" si="14"/>
        <v>21</v>
      </c>
      <c r="AN146">
        <f t="shared" si="15"/>
        <v>30</v>
      </c>
      <c r="AO146">
        <f t="shared" si="16"/>
        <v>4</v>
      </c>
      <c r="AP146">
        <f t="shared" si="17"/>
        <v>55</v>
      </c>
    </row>
    <row r="147" spans="1:42" ht="15.75" hidden="1" customHeight="1" x14ac:dyDescent="0.3">
      <c r="A147" s="16"/>
      <c r="B147" s="55">
        <v>17</v>
      </c>
      <c r="C147" s="56" t="s">
        <v>165</v>
      </c>
      <c r="D147" s="55">
        <v>4</v>
      </c>
      <c r="E147" s="55" t="s">
        <v>20</v>
      </c>
      <c r="F147" s="18" t="s">
        <v>23</v>
      </c>
      <c r="G147" s="18" t="s">
        <v>21</v>
      </c>
      <c r="H147" s="18" t="s">
        <v>21</v>
      </c>
      <c r="I147" s="18" t="s">
        <v>21</v>
      </c>
      <c r="J147" s="43" t="s">
        <v>20</v>
      </c>
      <c r="K147" s="43" t="s">
        <v>20</v>
      </c>
      <c r="L147" s="43" t="s">
        <v>21</v>
      </c>
      <c r="M147" s="18" t="s">
        <v>21</v>
      </c>
      <c r="N147" s="18" t="s">
        <v>21</v>
      </c>
      <c r="O147" s="18" t="s">
        <v>20</v>
      </c>
      <c r="P147" s="18" t="s">
        <v>21</v>
      </c>
      <c r="Q147" s="18" t="s">
        <v>21</v>
      </c>
      <c r="R147" s="18" t="s">
        <v>21</v>
      </c>
      <c r="S147" s="18" t="s">
        <v>20</v>
      </c>
      <c r="T147" s="18" t="s">
        <v>20</v>
      </c>
      <c r="U147" s="18" t="s">
        <v>21</v>
      </c>
      <c r="V147" s="37" t="s">
        <v>21</v>
      </c>
      <c r="W147" s="37" t="s">
        <v>21</v>
      </c>
      <c r="X147" s="37" t="s">
        <v>21</v>
      </c>
      <c r="Y147" s="18" t="s">
        <v>20</v>
      </c>
      <c r="Z147" s="18" t="s">
        <v>20</v>
      </c>
      <c r="AA147" s="20" t="s">
        <v>21</v>
      </c>
      <c r="AB147" s="20" t="s">
        <v>21</v>
      </c>
      <c r="AC147" s="20" t="s">
        <v>20</v>
      </c>
      <c r="AD147" s="18" t="s">
        <v>20</v>
      </c>
      <c r="AE147" s="18" t="s">
        <v>21</v>
      </c>
      <c r="AG147">
        <f t="shared" si="9"/>
        <v>0</v>
      </c>
      <c r="AH147">
        <f t="shared" si="10"/>
        <v>9</v>
      </c>
      <c r="AI147">
        <f t="shared" si="11"/>
        <v>16</v>
      </c>
      <c r="AJ147">
        <f t="shared" si="12"/>
        <v>1</v>
      </c>
      <c r="AL147">
        <f t="shared" si="13"/>
        <v>0</v>
      </c>
      <c r="AM147">
        <f t="shared" si="14"/>
        <v>27</v>
      </c>
      <c r="AN147">
        <f t="shared" si="15"/>
        <v>32</v>
      </c>
      <c r="AO147">
        <f t="shared" si="16"/>
        <v>1</v>
      </c>
      <c r="AP147">
        <f t="shared" si="17"/>
        <v>60</v>
      </c>
    </row>
    <row r="148" spans="1:42" ht="15.75" hidden="1" customHeight="1" x14ac:dyDescent="0.3">
      <c r="A148" s="16"/>
      <c r="B148" s="55">
        <v>18</v>
      </c>
      <c r="C148" s="56" t="s">
        <v>166</v>
      </c>
      <c r="D148" s="55">
        <v>4</v>
      </c>
      <c r="E148" s="55" t="s">
        <v>20</v>
      </c>
      <c r="F148" s="18" t="s">
        <v>23</v>
      </c>
      <c r="G148" s="18" t="s">
        <v>23</v>
      </c>
      <c r="H148" s="18" t="s">
        <v>23</v>
      </c>
      <c r="I148" s="18" t="s">
        <v>23</v>
      </c>
      <c r="J148" s="43" t="s">
        <v>21</v>
      </c>
      <c r="K148" s="43" t="s">
        <v>21</v>
      </c>
      <c r="L148" s="43" t="s">
        <v>21</v>
      </c>
      <c r="M148" s="18" t="s">
        <v>21</v>
      </c>
      <c r="N148" s="18" t="s">
        <v>21</v>
      </c>
      <c r="O148" s="18" t="s">
        <v>21</v>
      </c>
      <c r="P148" s="18" t="s">
        <v>21</v>
      </c>
      <c r="Q148" s="18" t="s">
        <v>21</v>
      </c>
      <c r="R148" s="18" t="s">
        <v>21</v>
      </c>
      <c r="S148" s="18" t="s">
        <v>21</v>
      </c>
      <c r="T148" s="18" t="s">
        <v>20</v>
      </c>
      <c r="U148" s="18" t="s">
        <v>21</v>
      </c>
      <c r="V148" s="37" t="s">
        <v>20</v>
      </c>
      <c r="W148" s="37" t="s">
        <v>20</v>
      </c>
      <c r="X148" s="37" t="s">
        <v>20</v>
      </c>
      <c r="Y148" s="18" t="s">
        <v>20</v>
      </c>
      <c r="Z148" s="18" t="s">
        <v>21</v>
      </c>
      <c r="AA148" s="20" t="s">
        <v>21</v>
      </c>
      <c r="AB148" s="20" t="s">
        <v>20</v>
      </c>
      <c r="AC148" s="20" t="s">
        <v>21</v>
      </c>
      <c r="AD148" s="18" t="s">
        <v>21</v>
      </c>
      <c r="AE148" s="18" t="s">
        <v>21</v>
      </c>
      <c r="AG148">
        <f t="shared" si="9"/>
        <v>0</v>
      </c>
      <c r="AH148">
        <f t="shared" si="10"/>
        <v>6</v>
      </c>
      <c r="AI148">
        <f t="shared" si="11"/>
        <v>16</v>
      </c>
      <c r="AJ148">
        <f t="shared" si="12"/>
        <v>4</v>
      </c>
      <c r="AL148">
        <f t="shared" si="13"/>
        <v>0</v>
      </c>
      <c r="AM148">
        <f t="shared" si="14"/>
        <v>18</v>
      </c>
      <c r="AN148">
        <f t="shared" si="15"/>
        <v>32</v>
      </c>
      <c r="AO148">
        <f t="shared" si="16"/>
        <v>4</v>
      </c>
      <c r="AP148">
        <f t="shared" si="17"/>
        <v>54</v>
      </c>
    </row>
    <row r="149" spans="1:42" ht="15.75" hidden="1" customHeight="1" x14ac:dyDescent="0.3">
      <c r="A149" s="16"/>
      <c r="B149" s="55">
        <v>19</v>
      </c>
      <c r="C149" s="56" t="s">
        <v>167</v>
      </c>
      <c r="D149" s="55">
        <v>4</v>
      </c>
      <c r="E149" s="55" t="s">
        <v>20</v>
      </c>
      <c r="F149" s="18" t="s">
        <v>39</v>
      </c>
      <c r="G149" s="18" t="s">
        <v>39</v>
      </c>
      <c r="H149" s="18" t="s">
        <v>39</v>
      </c>
      <c r="I149" s="18" t="s">
        <v>39</v>
      </c>
      <c r="J149" s="43" t="s">
        <v>20</v>
      </c>
      <c r="K149" s="43" t="s">
        <v>20</v>
      </c>
      <c r="L149" s="43" t="s">
        <v>20</v>
      </c>
      <c r="M149" s="18" t="s">
        <v>20</v>
      </c>
      <c r="N149" s="18" t="s">
        <v>20</v>
      </c>
      <c r="O149" s="18" t="s">
        <v>20</v>
      </c>
      <c r="P149" s="18" t="s">
        <v>20</v>
      </c>
      <c r="Q149" s="18" t="s">
        <v>21</v>
      </c>
      <c r="R149" s="18" t="s">
        <v>20</v>
      </c>
      <c r="S149" s="18" t="s">
        <v>20</v>
      </c>
      <c r="T149" s="18" t="s">
        <v>20</v>
      </c>
      <c r="U149" s="18" t="s">
        <v>20</v>
      </c>
      <c r="V149" s="37" t="s">
        <v>20</v>
      </c>
      <c r="W149" s="37" t="s">
        <v>20</v>
      </c>
      <c r="X149" s="37" t="s">
        <v>20</v>
      </c>
      <c r="Y149" s="18" t="s">
        <v>20</v>
      </c>
      <c r="Z149" s="18" t="s">
        <v>20</v>
      </c>
      <c r="AA149" s="20" t="s">
        <v>20</v>
      </c>
      <c r="AB149" s="20" t="s">
        <v>20</v>
      </c>
      <c r="AC149" s="20" t="s">
        <v>20</v>
      </c>
      <c r="AD149" s="18" t="s">
        <v>20</v>
      </c>
      <c r="AE149" s="18" t="s">
        <v>21</v>
      </c>
      <c r="AG149">
        <f t="shared" si="9"/>
        <v>4</v>
      </c>
      <c r="AH149">
        <f t="shared" si="10"/>
        <v>20</v>
      </c>
      <c r="AI149">
        <f t="shared" si="11"/>
        <v>2</v>
      </c>
      <c r="AJ149">
        <f t="shared" si="12"/>
        <v>0</v>
      </c>
      <c r="AL149">
        <f t="shared" si="13"/>
        <v>16</v>
      </c>
      <c r="AM149">
        <f t="shared" si="14"/>
        <v>60</v>
      </c>
      <c r="AN149">
        <f t="shared" si="15"/>
        <v>4</v>
      </c>
      <c r="AO149">
        <f t="shared" si="16"/>
        <v>0</v>
      </c>
      <c r="AP149">
        <f t="shared" si="17"/>
        <v>80</v>
      </c>
    </row>
    <row r="150" spans="1:42" ht="15.75" hidden="1" customHeight="1" x14ac:dyDescent="0.3">
      <c r="A150" s="16"/>
      <c r="B150" s="55">
        <v>20</v>
      </c>
      <c r="C150" s="56" t="s">
        <v>168</v>
      </c>
      <c r="D150" s="55">
        <v>4</v>
      </c>
      <c r="E150" s="55" t="s">
        <v>20</v>
      </c>
      <c r="F150" s="18" t="s">
        <v>21</v>
      </c>
      <c r="G150" s="18" t="s">
        <v>23</v>
      </c>
      <c r="H150" s="18" t="s">
        <v>21</v>
      </c>
      <c r="I150" s="18" t="s">
        <v>21</v>
      </c>
      <c r="J150" s="43" t="s">
        <v>20</v>
      </c>
      <c r="K150" s="43" t="s">
        <v>21</v>
      </c>
      <c r="L150" s="43" t="s">
        <v>21</v>
      </c>
      <c r="M150" s="18" t="s">
        <v>21</v>
      </c>
      <c r="N150" s="18" t="s">
        <v>20</v>
      </c>
      <c r="O150" s="18" t="s">
        <v>21</v>
      </c>
      <c r="P150" s="18" t="s">
        <v>20</v>
      </c>
      <c r="Q150" s="18" t="s">
        <v>21</v>
      </c>
      <c r="R150" s="18" t="s">
        <v>20</v>
      </c>
      <c r="S150" s="18" t="s">
        <v>20</v>
      </c>
      <c r="T150" s="18" t="s">
        <v>20</v>
      </c>
      <c r="U150" s="18" t="s">
        <v>20</v>
      </c>
      <c r="V150" s="37" t="s">
        <v>20</v>
      </c>
      <c r="W150" s="37" t="s">
        <v>20</v>
      </c>
      <c r="X150" s="37" t="s">
        <v>20</v>
      </c>
      <c r="Y150" s="18" t="s">
        <v>21</v>
      </c>
      <c r="Z150" s="18" t="s">
        <v>21</v>
      </c>
      <c r="AA150" s="20" t="s">
        <v>21</v>
      </c>
      <c r="AB150" s="20" t="s">
        <v>21</v>
      </c>
      <c r="AC150" s="20" t="s">
        <v>21</v>
      </c>
      <c r="AD150" s="18" t="s">
        <v>20</v>
      </c>
      <c r="AE150" s="18" t="s">
        <v>21</v>
      </c>
      <c r="AG150">
        <f t="shared" si="9"/>
        <v>0</v>
      </c>
      <c r="AH150">
        <f t="shared" si="10"/>
        <v>11</v>
      </c>
      <c r="AI150">
        <f t="shared" si="11"/>
        <v>14</v>
      </c>
      <c r="AJ150">
        <f t="shared" si="12"/>
        <v>1</v>
      </c>
      <c r="AL150">
        <f t="shared" si="13"/>
        <v>0</v>
      </c>
      <c r="AM150">
        <f t="shared" si="14"/>
        <v>33</v>
      </c>
      <c r="AN150">
        <f t="shared" si="15"/>
        <v>28</v>
      </c>
      <c r="AO150">
        <f t="shared" si="16"/>
        <v>1</v>
      </c>
      <c r="AP150">
        <f t="shared" si="17"/>
        <v>62</v>
      </c>
    </row>
    <row r="151" spans="1:42" ht="15.75" hidden="1" customHeight="1" x14ac:dyDescent="0.3">
      <c r="A151" s="16"/>
      <c r="B151" s="55">
        <v>21</v>
      </c>
      <c r="C151" s="56" t="s">
        <v>169</v>
      </c>
      <c r="D151" s="55">
        <v>4</v>
      </c>
      <c r="E151" s="55" t="s">
        <v>20</v>
      </c>
      <c r="F151" s="18" t="s">
        <v>21</v>
      </c>
      <c r="G151" s="18" t="s">
        <v>21</v>
      </c>
      <c r="H151" s="18" t="s">
        <v>20</v>
      </c>
      <c r="I151" s="18" t="s">
        <v>20</v>
      </c>
      <c r="J151" s="43" t="s">
        <v>20</v>
      </c>
      <c r="K151" s="43" t="s">
        <v>20</v>
      </c>
      <c r="L151" s="43" t="s">
        <v>21</v>
      </c>
      <c r="M151" s="18" t="s">
        <v>21</v>
      </c>
      <c r="N151" s="18" t="s">
        <v>20</v>
      </c>
      <c r="O151" s="18" t="s">
        <v>20</v>
      </c>
      <c r="P151" s="18" t="s">
        <v>20</v>
      </c>
      <c r="Q151" s="18" t="s">
        <v>20</v>
      </c>
      <c r="R151" s="18" t="s">
        <v>20</v>
      </c>
      <c r="S151" s="18" t="s">
        <v>20</v>
      </c>
      <c r="T151" s="18" t="s">
        <v>20</v>
      </c>
      <c r="U151" s="18" t="s">
        <v>20</v>
      </c>
      <c r="V151" s="37" t="s">
        <v>20</v>
      </c>
      <c r="W151" s="37" t="s">
        <v>20</v>
      </c>
      <c r="X151" s="37" t="s">
        <v>20</v>
      </c>
      <c r="Y151" s="18" t="s">
        <v>21</v>
      </c>
      <c r="Z151" s="18" t="s">
        <v>21</v>
      </c>
      <c r="AA151" s="20" t="s">
        <v>20</v>
      </c>
      <c r="AB151" s="20" t="s">
        <v>20</v>
      </c>
      <c r="AC151" s="20" t="s">
        <v>21</v>
      </c>
      <c r="AD151" s="18" t="s">
        <v>21</v>
      </c>
      <c r="AE151" s="18" t="s">
        <v>21</v>
      </c>
      <c r="AG151">
        <f t="shared" si="9"/>
        <v>0</v>
      </c>
      <c r="AH151">
        <f t="shared" si="10"/>
        <v>17</v>
      </c>
      <c r="AI151">
        <f t="shared" si="11"/>
        <v>9</v>
      </c>
      <c r="AJ151">
        <f t="shared" si="12"/>
        <v>0</v>
      </c>
      <c r="AL151">
        <f t="shared" si="13"/>
        <v>0</v>
      </c>
      <c r="AM151">
        <f t="shared" si="14"/>
        <v>51</v>
      </c>
      <c r="AN151">
        <f t="shared" si="15"/>
        <v>18</v>
      </c>
      <c r="AO151">
        <f t="shared" si="16"/>
        <v>0</v>
      </c>
      <c r="AP151">
        <f t="shared" si="17"/>
        <v>69</v>
      </c>
    </row>
    <row r="152" spans="1:42" ht="15.75" hidden="1" customHeight="1" x14ac:dyDescent="0.3">
      <c r="A152" s="16"/>
      <c r="B152" s="55">
        <v>22</v>
      </c>
      <c r="C152" s="56" t="s">
        <v>170</v>
      </c>
      <c r="D152" s="55">
        <v>4</v>
      </c>
      <c r="E152" s="55" t="s">
        <v>20</v>
      </c>
      <c r="F152" s="18" t="s">
        <v>20</v>
      </c>
      <c r="G152" s="18" t="s">
        <v>20</v>
      </c>
      <c r="H152" s="18" t="s">
        <v>20</v>
      </c>
      <c r="I152" s="18" t="s">
        <v>20</v>
      </c>
      <c r="J152" s="43" t="s">
        <v>20</v>
      </c>
      <c r="K152" s="43" t="s">
        <v>20</v>
      </c>
      <c r="L152" s="43" t="s">
        <v>21</v>
      </c>
      <c r="M152" s="18" t="s">
        <v>21</v>
      </c>
      <c r="N152" s="18" t="s">
        <v>20</v>
      </c>
      <c r="O152" s="18" t="s">
        <v>20</v>
      </c>
      <c r="P152" s="18" t="s">
        <v>21</v>
      </c>
      <c r="Q152" s="18" t="s">
        <v>21</v>
      </c>
      <c r="R152" s="18" t="s">
        <v>21</v>
      </c>
      <c r="S152" s="18" t="s">
        <v>20</v>
      </c>
      <c r="T152" s="18" t="s">
        <v>20</v>
      </c>
      <c r="U152" s="18" t="s">
        <v>21</v>
      </c>
      <c r="V152" s="37" t="s">
        <v>20</v>
      </c>
      <c r="W152" s="37" t="s">
        <v>20</v>
      </c>
      <c r="X152" s="37" t="s">
        <v>20</v>
      </c>
      <c r="Y152" s="18" t="s">
        <v>21</v>
      </c>
      <c r="Z152" s="18" t="s">
        <v>20</v>
      </c>
      <c r="AA152" s="20" t="s">
        <v>21</v>
      </c>
      <c r="AB152" s="20" t="s">
        <v>21</v>
      </c>
      <c r="AC152" s="20" t="s">
        <v>21</v>
      </c>
      <c r="AD152" s="18" t="s">
        <v>21</v>
      </c>
      <c r="AE152" s="18" t="s">
        <v>21</v>
      </c>
      <c r="AG152">
        <f t="shared" si="9"/>
        <v>0</v>
      </c>
      <c r="AH152">
        <f t="shared" si="10"/>
        <v>14</v>
      </c>
      <c r="AI152">
        <f t="shared" si="11"/>
        <v>12</v>
      </c>
      <c r="AJ152">
        <f t="shared" si="12"/>
        <v>0</v>
      </c>
      <c r="AL152">
        <f t="shared" si="13"/>
        <v>0</v>
      </c>
      <c r="AM152">
        <f t="shared" si="14"/>
        <v>42</v>
      </c>
      <c r="AN152">
        <f t="shared" si="15"/>
        <v>24</v>
      </c>
      <c r="AO152">
        <f t="shared" si="16"/>
        <v>0</v>
      </c>
      <c r="AP152">
        <f t="shared" si="17"/>
        <v>66</v>
      </c>
    </row>
    <row r="153" spans="1:42" ht="15.75" hidden="1" customHeight="1" thickBot="1" x14ac:dyDescent="0.35">
      <c r="A153" s="16"/>
      <c r="B153" s="57">
        <v>23</v>
      </c>
      <c r="C153" s="58" t="s">
        <v>171</v>
      </c>
      <c r="D153" s="57">
        <v>4</v>
      </c>
      <c r="E153" s="57" t="s">
        <v>20</v>
      </c>
      <c r="F153" s="21" t="s">
        <v>20</v>
      </c>
      <c r="G153" s="21" t="s">
        <v>20</v>
      </c>
      <c r="H153" s="21" t="s">
        <v>20</v>
      </c>
      <c r="I153" s="21" t="s">
        <v>20</v>
      </c>
      <c r="J153" s="45" t="s">
        <v>20</v>
      </c>
      <c r="K153" s="45" t="s">
        <v>20</v>
      </c>
      <c r="L153" s="45" t="s">
        <v>20</v>
      </c>
      <c r="M153" s="21" t="s">
        <v>21</v>
      </c>
      <c r="N153" s="21" t="s">
        <v>20</v>
      </c>
      <c r="O153" s="21" t="s">
        <v>20</v>
      </c>
      <c r="P153" s="21" t="s">
        <v>21</v>
      </c>
      <c r="Q153" s="21" t="s">
        <v>21</v>
      </c>
      <c r="R153" s="21" t="s">
        <v>21</v>
      </c>
      <c r="S153" s="21" t="s">
        <v>20</v>
      </c>
      <c r="T153" s="21" t="s">
        <v>20</v>
      </c>
      <c r="U153" s="21" t="s">
        <v>20</v>
      </c>
      <c r="V153" s="48" t="s">
        <v>20</v>
      </c>
      <c r="W153" s="38" t="s">
        <v>20</v>
      </c>
      <c r="X153" s="48" t="s">
        <v>20</v>
      </c>
      <c r="Y153" s="21" t="s">
        <v>21</v>
      </c>
      <c r="Z153" s="21" t="s">
        <v>21</v>
      </c>
      <c r="AA153" s="23" t="s">
        <v>21</v>
      </c>
      <c r="AB153" s="23" t="s">
        <v>20</v>
      </c>
      <c r="AC153" s="23" t="s">
        <v>20</v>
      </c>
      <c r="AD153" s="21" t="s">
        <v>20</v>
      </c>
      <c r="AE153" s="21" t="s">
        <v>21</v>
      </c>
      <c r="AG153">
        <f t="shared" si="9"/>
        <v>0</v>
      </c>
      <c r="AH153">
        <f t="shared" si="10"/>
        <v>18</v>
      </c>
      <c r="AI153">
        <f t="shared" si="11"/>
        <v>8</v>
      </c>
      <c r="AJ153">
        <f t="shared" si="12"/>
        <v>0</v>
      </c>
      <c r="AL153">
        <f t="shared" si="13"/>
        <v>0</v>
      </c>
      <c r="AM153">
        <f t="shared" si="14"/>
        <v>54</v>
      </c>
      <c r="AN153">
        <f t="shared" si="15"/>
        <v>16</v>
      </c>
      <c r="AO153">
        <f t="shared" si="16"/>
        <v>0</v>
      </c>
      <c r="AP153">
        <f t="shared" si="17"/>
        <v>70</v>
      </c>
    </row>
    <row r="154" spans="1:42" ht="15.75" hidden="1" customHeight="1" x14ac:dyDescent="0.3">
      <c r="A154" s="16"/>
      <c r="B154" s="59">
        <v>1</v>
      </c>
      <c r="C154" s="60" t="s">
        <v>172</v>
      </c>
      <c r="D154" s="59">
        <v>4</v>
      </c>
      <c r="E154" s="59" t="s">
        <v>21</v>
      </c>
      <c r="F154" s="24" t="s">
        <v>23</v>
      </c>
      <c r="G154" s="24" t="s">
        <v>21</v>
      </c>
      <c r="H154" s="24" t="s">
        <v>23</v>
      </c>
      <c r="I154" s="24" t="s">
        <v>23</v>
      </c>
      <c r="J154" s="42" t="s">
        <v>20</v>
      </c>
      <c r="K154" s="42" t="s">
        <v>21</v>
      </c>
      <c r="L154" s="42" t="s">
        <v>21</v>
      </c>
      <c r="M154" s="24" t="s">
        <v>21</v>
      </c>
      <c r="N154" s="24" t="s">
        <v>20</v>
      </c>
      <c r="O154" s="24" t="s">
        <v>20</v>
      </c>
      <c r="P154" s="24" t="s">
        <v>20</v>
      </c>
      <c r="Q154" s="24" t="s">
        <v>21</v>
      </c>
      <c r="R154" s="24" t="s">
        <v>21</v>
      </c>
      <c r="S154" s="24" t="s">
        <v>21</v>
      </c>
      <c r="T154" s="24" t="s">
        <v>20</v>
      </c>
      <c r="U154" s="24" t="s">
        <v>20</v>
      </c>
      <c r="V154" s="39" t="s">
        <v>20</v>
      </c>
      <c r="W154" s="39" t="s">
        <v>20</v>
      </c>
      <c r="X154" s="39" t="s">
        <v>20</v>
      </c>
      <c r="Y154" s="24" t="s">
        <v>23</v>
      </c>
      <c r="Z154" s="24" t="s">
        <v>21</v>
      </c>
      <c r="AA154" s="27" t="s">
        <v>21</v>
      </c>
      <c r="AB154" s="27" t="s">
        <v>20</v>
      </c>
      <c r="AC154" s="27" t="s">
        <v>21</v>
      </c>
      <c r="AD154" s="24" t="s">
        <v>23</v>
      </c>
      <c r="AE154" s="24" t="s">
        <v>21</v>
      </c>
      <c r="AG154">
        <f t="shared" si="9"/>
        <v>0</v>
      </c>
      <c r="AH154">
        <f t="shared" si="10"/>
        <v>10</v>
      </c>
      <c r="AI154">
        <f t="shared" si="11"/>
        <v>11</v>
      </c>
      <c r="AJ154">
        <f t="shared" si="12"/>
        <v>5</v>
      </c>
      <c r="AL154">
        <f t="shared" si="13"/>
        <v>0</v>
      </c>
      <c r="AM154">
        <f t="shared" si="14"/>
        <v>30</v>
      </c>
      <c r="AN154">
        <f t="shared" si="15"/>
        <v>22</v>
      </c>
      <c r="AO154">
        <f t="shared" si="16"/>
        <v>5</v>
      </c>
      <c r="AP154">
        <f t="shared" si="17"/>
        <v>57</v>
      </c>
    </row>
    <row r="155" spans="1:42" ht="15.75" hidden="1" customHeight="1" x14ac:dyDescent="0.3">
      <c r="A155" s="16"/>
      <c r="B155" s="55">
        <v>2</v>
      </c>
      <c r="C155" s="56" t="s">
        <v>173</v>
      </c>
      <c r="D155" s="55">
        <v>4</v>
      </c>
      <c r="E155" s="55" t="s">
        <v>21</v>
      </c>
      <c r="F155" s="18" t="s">
        <v>21</v>
      </c>
      <c r="G155" s="18" t="s">
        <v>21</v>
      </c>
      <c r="H155" s="18" t="s">
        <v>21</v>
      </c>
      <c r="I155" s="18" t="s">
        <v>21</v>
      </c>
      <c r="J155" s="43" t="s">
        <v>21</v>
      </c>
      <c r="K155" s="43" t="s">
        <v>21</v>
      </c>
      <c r="L155" s="43" t="s">
        <v>21</v>
      </c>
      <c r="M155" s="18" t="s">
        <v>21</v>
      </c>
      <c r="N155" s="18" t="s">
        <v>20</v>
      </c>
      <c r="O155" s="18" t="s">
        <v>20</v>
      </c>
      <c r="P155" s="18" t="s">
        <v>21</v>
      </c>
      <c r="Q155" s="18" t="s">
        <v>21</v>
      </c>
      <c r="R155" s="18" t="s">
        <v>21</v>
      </c>
      <c r="S155" s="18" t="s">
        <v>20</v>
      </c>
      <c r="T155" s="18" t="s">
        <v>21</v>
      </c>
      <c r="U155" s="18" t="s">
        <v>21</v>
      </c>
      <c r="V155" s="37" t="s">
        <v>21</v>
      </c>
      <c r="W155" s="37" t="s">
        <v>20</v>
      </c>
      <c r="X155" s="37" t="s">
        <v>21</v>
      </c>
      <c r="Y155" s="18" t="s">
        <v>20</v>
      </c>
      <c r="Z155" s="18" t="s">
        <v>20</v>
      </c>
      <c r="AA155" s="20" t="s">
        <v>20</v>
      </c>
      <c r="AB155" s="20" t="s">
        <v>20</v>
      </c>
      <c r="AC155" s="20" t="s">
        <v>20</v>
      </c>
      <c r="AD155" s="18" t="s">
        <v>20</v>
      </c>
      <c r="AE155" s="18" t="s">
        <v>21</v>
      </c>
      <c r="AG155">
        <f t="shared" ref="AG155:AG218" si="18">+COUNTIF(F155:AE155,"AD")</f>
        <v>0</v>
      </c>
      <c r="AH155">
        <f t="shared" ref="AH155:AH218" si="19">+COUNTIF(F155:AE155,"A")</f>
        <v>10</v>
      </c>
      <c r="AI155">
        <f t="shared" ref="AI155:AI218" si="20">+COUNTIF(F155:AE155,"b")</f>
        <v>16</v>
      </c>
      <c r="AJ155">
        <f t="shared" ref="AJ155:AJ218" si="21">+COUNTIF(F155:AE155,"c")</f>
        <v>0</v>
      </c>
      <c r="AL155">
        <f t="shared" ref="AL155:AL218" si="22">+$AG$5*AG155</f>
        <v>0</v>
      </c>
      <c r="AM155">
        <f t="shared" ref="AM155:AM218" si="23">+$AH$5*AH155</f>
        <v>30</v>
      </c>
      <c r="AN155">
        <f t="shared" ref="AN155:AN218" si="24">+$AI$5*AI155</f>
        <v>32</v>
      </c>
      <c r="AO155">
        <f t="shared" ref="AO155:AO218" si="25">+$AJ$5*AJ155</f>
        <v>0</v>
      </c>
      <c r="AP155">
        <f t="shared" ref="AP155:AP218" si="26">+SUM(AL155:AO155)</f>
        <v>62</v>
      </c>
    </row>
    <row r="156" spans="1:42" ht="15.75" hidden="1" customHeight="1" x14ac:dyDescent="0.3">
      <c r="A156" s="16"/>
      <c r="B156" s="55">
        <v>3</v>
      </c>
      <c r="C156" s="56" t="s">
        <v>174</v>
      </c>
      <c r="D156" s="55">
        <v>4</v>
      </c>
      <c r="E156" s="55" t="s">
        <v>21</v>
      </c>
      <c r="F156" s="18" t="s">
        <v>39</v>
      </c>
      <c r="G156" s="18" t="s">
        <v>20</v>
      </c>
      <c r="H156" s="18" t="s">
        <v>39</v>
      </c>
      <c r="I156" s="18" t="s">
        <v>20</v>
      </c>
      <c r="J156" s="43" t="s">
        <v>20</v>
      </c>
      <c r="K156" s="43" t="s">
        <v>20</v>
      </c>
      <c r="L156" s="43" t="s">
        <v>20</v>
      </c>
      <c r="M156" s="18" t="s">
        <v>20</v>
      </c>
      <c r="N156" s="18" t="s">
        <v>20</v>
      </c>
      <c r="O156" s="18" t="s">
        <v>20</v>
      </c>
      <c r="P156" s="18" t="s">
        <v>20</v>
      </c>
      <c r="Q156" s="18" t="s">
        <v>20</v>
      </c>
      <c r="R156" s="18" t="s">
        <v>20</v>
      </c>
      <c r="S156" s="18" t="s">
        <v>20</v>
      </c>
      <c r="T156" s="18" t="s">
        <v>20</v>
      </c>
      <c r="U156" s="18" t="s">
        <v>20</v>
      </c>
      <c r="V156" s="37" t="s">
        <v>20</v>
      </c>
      <c r="W156" s="37" t="s">
        <v>20</v>
      </c>
      <c r="X156" s="37" t="s">
        <v>20</v>
      </c>
      <c r="Y156" s="18" t="s">
        <v>20</v>
      </c>
      <c r="Z156" s="18" t="s">
        <v>20</v>
      </c>
      <c r="AA156" s="20" t="s">
        <v>20</v>
      </c>
      <c r="AB156" s="20" t="s">
        <v>20</v>
      </c>
      <c r="AC156" s="20" t="s">
        <v>20</v>
      </c>
      <c r="AD156" s="18" t="s">
        <v>21</v>
      </c>
      <c r="AE156" s="18" t="s">
        <v>21</v>
      </c>
      <c r="AG156">
        <f t="shared" si="18"/>
        <v>2</v>
      </c>
      <c r="AH156">
        <f t="shared" si="19"/>
        <v>22</v>
      </c>
      <c r="AI156">
        <f t="shared" si="20"/>
        <v>2</v>
      </c>
      <c r="AJ156">
        <f t="shared" si="21"/>
        <v>0</v>
      </c>
      <c r="AL156">
        <f t="shared" si="22"/>
        <v>8</v>
      </c>
      <c r="AM156">
        <f t="shared" si="23"/>
        <v>66</v>
      </c>
      <c r="AN156">
        <f t="shared" si="24"/>
        <v>4</v>
      </c>
      <c r="AO156">
        <f t="shared" si="25"/>
        <v>0</v>
      </c>
      <c r="AP156">
        <f t="shared" si="26"/>
        <v>78</v>
      </c>
    </row>
    <row r="157" spans="1:42" ht="15.75" hidden="1" customHeight="1" x14ac:dyDescent="0.3">
      <c r="A157" s="16"/>
      <c r="B157" s="55">
        <v>4</v>
      </c>
      <c r="C157" s="56" t="s">
        <v>175</v>
      </c>
      <c r="D157" s="55">
        <v>4</v>
      </c>
      <c r="E157" s="55" t="s">
        <v>21</v>
      </c>
      <c r="F157" s="18" t="s">
        <v>20</v>
      </c>
      <c r="G157" s="18" t="s">
        <v>20</v>
      </c>
      <c r="H157" s="18" t="s">
        <v>20</v>
      </c>
      <c r="I157" s="18" t="s">
        <v>20</v>
      </c>
      <c r="J157" s="43" t="s">
        <v>20</v>
      </c>
      <c r="K157" s="43" t="s">
        <v>20</v>
      </c>
      <c r="L157" s="43" t="s">
        <v>21</v>
      </c>
      <c r="M157" s="18" t="s">
        <v>20</v>
      </c>
      <c r="N157" s="18" t="s">
        <v>20</v>
      </c>
      <c r="O157" s="18" t="s">
        <v>20</v>
      </c>
      <c r="P157" s="18" t="s">
        <v>21</v>
      </c>
      <c r="Q157" s="18" t="s">
        <v>21</v>
      </c>
      <c r="R157" s="18" t="s">
        <v>21</v>
      </c>
      <c r="S157" s="18" t="s">
        <v>21</v>
      </c>
      <c r="T157" s="18" t="s">
        <v>21</v>
      </c>
      <c r="U157" s="18" t="s">
        <v>21</v>
      </c>
      <c r="V157" s="37" t="s">
        <v>20</v>
      </c>
      <c r="W157" s="37" t="s">
        <v>20</v>
      </c>
      <c r="X157" s="37" t="s">
        <v>20</v>
      </c>
      <c r="Y157" s="18" t="s">
        <v>20</v>
      </c>
      <c r="Z157" s="18" t="s">
        <v>20</v>
      </c>
      <c r="AA157" s="20" t="s">
        <v>20</v>
      </c>
      <c r="AB157" s="20" t="s">
        <v>21</v>
      </c>
      <c r="AC157" s="20" t="s">
        <v>21</v>
      </c>
      <c r="AD157" s="18" t="s">
        <v>21</v>
      </c>
      <c r="AE157" s="18" t="s">
        <v>21</v>
      </c>
      <c r="AG157">
        <f t="shared" si="18"/>
        <v>0</v>
      </c>
      <c r="AH157">
        <f t="shared" si="19"/>
        <v>15</v>
      </c>
      <c r="AI157">
        <f t="shared" si="20"/>
        <v>11</v>
      </c>
      <c r="AJ157">
        <f t="shared" si="21"/>
        <v>0</v>
      </c>
      <c r="AL157">
        <f t="shared" si="22"/>
        <v>0</v>
      </c>
      <c r="AM157">
        <f t="shared" si="23"/>
        <v>45</v>
      </c>
      <c r="AN157">
        <f t="shared" si="24"/>
        <v>22</v>
      </c>
      <c r="AO157">
        <f t="shared" si="25"/>
        <v>0</v>
      </c>
      <c r="AP157">
        <f t="shared" si="26"/>
        <v>67</v>
      </c>
    </row>
    <row r="158" spans="1:42" ht="15.75" hidden="1" customHeight="1" x14ac:dyDescent="0.3">
      <c r="A158" s="16"/>
      <c r="B158" s="55">
        <v>5</v>
      </c>
      <c r="C158" s="56" t="s">
        <v>176</v>
      </c>
      <c r="D158" s="55">
        <v>4</v>
      </c>
      <c r="E158" s="55" t="s">
        <v>21</v>
      </c>
      <c r="F158" s="18" t="s">
        <v>39</v>
      </c>
      <c r="G158" s="18" t="s">
        <v>20</v>
      </c>
      <c r="H158" s="18" t="s">
        <v>20</v>
      </c>
      <c r="I158" s="18" t="s">
        <v>20</v>
      </c>
      <c r="J158" s="43" t="s">
        <v>20</v>
      </c>
      <c r="K158" s="43" t="s">
        <v>20</v>
      </c>
      <c r="L158" s="43" t="s">
        <v>20</v>
      </c>
      <c r="M158" s="18" t="s">
        <v>20</v>
      </c>
      <c r="N158" s="18" t="s">
        <v>20</v>
      </c>
      <c r="O158" s="18" t="s">
        <v>20</v>
      </c>
      <c r="P158" s="18" t="s">
        <v>20</v>
      </c>
      <c r="Q158" s="18" t="s">
        <v>20</v>
      </c>
      <c r="R158" s="18" t="s">
        <v>20</v>
      </c>
      <c r="S158" s="18" t="s">
        <v>20</v>
      </c>
      <c r="T158" s="18" t="s">
        <v>20</v>
      </c>
      <c r="U158" s="18" t="s">
        <v>20</v>
      </c>
      <c r="V158" s="37" t="s">
        <v>20</v>
      </c>
      <c r="W158" s="37" t="s">
        <v>20</v>
      </c>
      <c r="X158" s="37" t="s">
        <v>20</v>
      </c>
      <c r="Y158" s="18" t="s">
        <v>20</v>
      </c>
      <c r="Z158" s="18" t="s">
        <v>20</v>
      </c>
      <c r="AA158" s="20" t="s">
        <v>20</v>
      </c>
      <c r="AB158" s="20" t="s">
        <v>20</v>
      </c>
      <c r="AC158" s="20" t="s">
        <v>20</v>
      </c>
      <c r="AD158" s="18" t="s">
        <v>20</v>
      </c>
      <c r="AE158" s="18" t="s">
        <v>21</v>
      </c>
      <c r="AG158">
        <f t="shared" si="18"/>
        <v>1</v>
      </c>
      <c r="AH158">
        <f t="shared" si="19"/>
        <v>24</v>
      </c>
      <c r="AI158">
        <f t="shared" si="20"/>
        <v>1</v>
      </c>
      <c r="AJ158">
        <f t="shared" si="21"/>
        <v>0</v>
      </c>
      <c r="AL158">
        <f t="shared" si="22"/>
        <v>4</v>
      </c>
      <c r="AM158">
        <f t="shared" si="23"/>
        <v>72</v>
      </c>
      <c r="AN158">
        <f t="shared" si="24"/>
        <v>2</v>
      </c>
      <c r="AO158">
        <f t="shared" si="25"/>
        <v>0</v>
      </c>
      <c r="AP158">
        <f t="shared" si="26"/>
        <v>78</v>
      </c>
    </row>
    <row r="159" spans="1:42" ht="15.75" hidden="1" customHeight="1" x14ac:dyDescent="0.3">
      <c r="A159" s="16"/>
      <c r="B159" s="55">
        <v>6</v>
      </c>
      <c r="C159" s="56" t="s">
        <v>177</v>
      </c>
      <c r="D159" s="55">
        <v>4</v>
      </c>
      <c r="E159" s="55" t="s">
        <v>21</v>
      </c>
      <c r="F159" s="18" t="s">
        <v>20</v>
      </c>
      <c r="G159" s="18" t="s">
        <v>20</v>
      </c>
      <c r="H159" s="18" t="s">
        <v>20</v>
      </c>
      <c r="I159" s="18" t="s">
        <v>20</v>
      </c>
      <c r="J159" s="43" t="s">
        <v>20</v>
      </c>
      <c r="K159" s="43" t="s">
        <v>20</v>
      </c>
      <c r="L159" s="43" t="s">
        <v>20</v>
      </c>
      <c r="M159" s="18" t="s">
        <v>20</v>
      </c>
      <c r="N159" s="18" t="s">
        <v>20</v>
      </c>
      <c r="O159" s="18" t="s">
        <v>21</v>
      </c>
      <c r="P159" s="18" t="s">
        <v>21</v>
      </c>
      <c r="Q159" s="18" t="s">
        <v>21</v>
      </c>
      <c r="R159" s="18" t="s">
        <v>21</v>
      </c>
      <c r="S159" s="18" t="s">
        <v>20</v>
      </c>
      <c r="T159" s="18" t="s">
        <v>20</v>
      </c>
      <c r="U159" s="18" t="s">
        <v>21</v>
      </c>
      <c r="V159" s="37" t="s">
        <v>20</v>
      </c>
      <c r="W159" s="37" t="s">
        <v>20</v>
      </c>
      <c r="X159" s="37" t="s">
        <v>20</v>
      </c>
      <c r="Y159" s="18" t="s">
        <v>20</v>
      </c>
      <c r="Z159" s="18" t="s">
        <v>20</v>
      </c>
      <c r="AA159" s="20" t="s">
        <v>21</v>
      </c>
      <c r="AB159" s="20" t="s">
        <v>20</v>
      </c>
      <c r="AC159" s="20" t="s">
        <v>20</v>
      </c>
      <c r="AD159" s="18" t="s">
        <v>20</v>
      </c>
      <c r="AE159" s="18" t="s">
        <v>21</v>
      </c>
      <c r="AG159">
        <f t="shared" si="18"/>
        <v>0</v>
      </c>
      <c r="AH159">
        <f t="shared" si="19"/>
        <v>19</v>
      </c>
      <c r="AI159">
        <f t="shared" si="20"/>
        <v>7</v>
      </c>
      <c r="AJ159">
        <f t="shared" si="21"/>
        <v>0</v>
      </c>
      <c r="AL159">
        <f t="shared" si="22"/>
        <v>0</v>
      </c>
      <c r="AM159">
        <f t="shared" si="23"/>
        <v>57</v>
      </c>
      <c r="AN159">
        <f t="shared" si="24"/>
        <v>14</v>
      </c>
      <c r="AO159">
        <f t="shared" si="25"/>
        <v>0</v>
      </c>
      <c r="AP159">
        <f t="shared" si="26"/>
        <v>71</v>
      </c>
    </row>
    <row r="160" spans="1:42" ht="15.75" hidden="1" customHeight="1" x14ac:dyDescent="0.3">
      <c r="A160" s="16"/>
      <c r="B160" s="55">
        <v>7</v>
      </c>
      <c r="C160" s="56" t="s">
        <v>178</v>
      </c>
      <c r="D160" s="55">
        <v>4</v>
      </c>
      <c r="E160" s="55" t="s">
        <v>21</v>
      </c>
      <c r="F160" s="18" t="s">
        <v>21</v>
      </c>
      <c r="G160" s="18" t="s">
        <v>20</v>
      </c>
      <c r="H160" s="18" t="s">
        <v>20</v>
      </c>
      <c r="I160" s="18" t="s">
        <v>21</v>
      </c>
      <c r="J160" s="43" t="s">
        <v>20</v>
      </c>
      <c r="K160" s="43" t="s">
        <v>21</v>
      </c>
      <c r="L160" s="43" t="s">
        <v>21</v>
      </c>
      <c r="M160" s="18" t="s">
        <v>20</v>
      </c>
      <c r="N160" s="18" t="s">
        <v>20</v>
      </c>
      <c r="O160" s="18" t="s">
        <v>20</v>
      </c>
      <c r="P160" s="18" t="s">
        <v>21</v>
      </c>
      <c r="Q160" s="18" t="s">
        <v>21</v>
      </c>
      <c r="R160" s="18" t="s">
        <v>21</v>
      </c>
      <c r="S160" s="18" t="s">
        <v>20</v>
      </c>
      <c r="T160" s="18" t="s">
        <v>20</v>
      </c>
      <c r="U160" s="18" t="s">
        <v>21</v>
      </c>
      <c r="V160" s="37" t="s">
        <v>20</v>
      </c>
      <c r="W160" s="37" t="s">
        <v>20</v>
      </c>
      <c r="X160" s="37" t="s">
        <v>20</v>
      </c>
      <c r="Y160" s="18" t="s">
        <v>20</v>
      </c>
      <c r="Z160" s="18" t="s">
        <v>21</v>
      </c>
      <c r="AA160" s="20" t="s">
        <v>21</v>
      </c>
      <c r="AB160" s="20" t="s">
        <v>21</v>
      </c>
      <c r="AC160" s="20" t="s">
        <v>21</v>
      </c>
      <c r="AD160" s="18" t="s">
        <v>21</v>
      </c>
      <c r="AE160" s="18" t="s">
        <v>21</v>
      </c>
      <c r="AG160">
        <f t="shared" si="18"/>
        <v>0</v>
      </c>
      <c r="AH160">
        <f t="shared" si="19"/>
        <v>12</v>
      </c>
      <c r="AI160">
        <f t="shared" si="20"/>
        <v>14</v>
      </c>
      <c r="AJ160">
        <f t="shared" si="21"/>
        <v>0</v>
      </c>
      <c r="AL160">
        <f t="shared" si="22"/>
        <v>0</v>
      </c>
      <c r="AM160">
        <f t="shared" si="23"/>
        <v>36</v>
      </c>
      <c r="AN160">
        <f t="shared" si="24"/>
        <v>28</v>
      </c>
      <c r="AO160">
        <f t="shared" si="25"/>
        <v>0</v>
      </c>
      <c r="AP160">
        <f t="shared" si="26"/>
        <v>64</v>
      </c>
    </row>
    <row r="161" spans="1:42" ht="15.75" hidden="1" customHeight="1" x14ac:dyDescent="0.3">
      <c r="A161" s="16"/>
      <c r="B161" s="55">
        <v>8</v>
      </c>
      <c r="C161" s="56" t="s">
        <v>179</v>
      </c>
      <c r="D161" s="55">
        <v>4</v>
      </c>
      <c r="E161" s="55" t="s">
        <v>21</v>
      </c>
      <c r="F161" s="18" t="s">
        <v>20</v>
      </c>
      <c r="G161" s="18" t="s">
        <v>20</v>
      </c>
      <c r="H161" s="18" t="s">
        <v>20</v>
      </c>
      <c r="I161" s="18" t="s">
        <v>20</v>
      </c>
      <c r="J161" s="43" t="s">
        <v>20</v>
      </c>
      <c r="K161" s="43" t="s">
        <v>20</v>
      </c>
      <c r="L161" s="43" t="s">
        <v>20</v>
      </c>
      <c r="M161" s="18" t="s">
        <v>21</v>
      </c>
      <c r="N161" s="18" t="s">
        <v>20</v>
      </c>
      <c r="O161" s="18" t="s">
        <v>20</v>
      </c>
      <c r="P161" s="18" t="s">
        <v>21</v>
      </c>
      <c r="Q161" s="18" t="s">
        <v>21</v>
      </c>
      <c r="R161" s="18" t="s">
        <v>21</v>
      </c>
      <c r="S161" s="18" t="s">
        <v>21</v>
      </c>
      <c r="T161" s="18" t="s">
        <v>20</v>
      </c>
      <c r="U161" s="18" t="s">
        <v>20</v>
      </c>
      <c r="V161" s="37" t="s">
        <v>20</v>
      </c>
      <c r="W161" s="37" t="s">
        <v>20</v>
      </c>
      <c r="X161" s="37" t="s">
        <v>20</v>
      </c>
      <c r="Y161" s="18" t="s">
        <v>20</v>
      </c>
      <c r="Z161" s="18" t="s">
        <v>21</v>
      </c>
      <c r="AA161" s="20" t="s">
        <v>20</v>
      </c>
      <c r="AB161" s="20" t="s">
        <v>20</v>
      </c>
      <c r="AC161" s="20" t="s">
        <v>21</v>
      </c>
      <c r="AD161" s="18" t="s">
        <v>20</v>
      </c>
      <c r="AE161" s="18" t="s">
        <v>21</v>
      </c>
      <c r="AG161">
        <f t="shared" si="18"/>
        <v>0</v>
      </c>
      <c r="AH161">
        <f t="shared" si="19"/>
        <v>18</v>
      </c>
      <c r="AI161">
        <f t="shared" si="20"/>
        <v>8</v>
      </c>
      <c r="AJ161">
        <f t="shared" si="21"/>
        <v>0</v>
      </c>
      <c r="AL161">
        <f t="shared" si="22"/>
        <v>0</v>
      </c>
      <c r="AM161">
        <f t="shared" si="23"/>
        <v>54</v>
      </c>
      <c r="AN161">
        <f t="shared" si="24"/>
        <v>16</v>
      </c>
      <c r="AO161">
        <f t="shared" si="25"/>
        <v>0</v>
      </c>
      <c r="AP161">
        <f t="shared" si="26"/>
        <v>70</v>
      </c>
    </row>
    <row r="162" spans="1:42" ht="15.75" hidden="1" customHeight="1" x14ac:dyDescent="0.3">
      <c r="A162" s="16"/>
      <c r="B162" s="55">
        <v>9</v>
      </c>
      <c r="C162" s="56" t="s">
        <v>180</v>
      </c>
      <c r="D162" s="55">
        <v>4</v>
      </c>
      <c r="E162" s="55" t="s">
        <v>21</v>
      </c>
      <c r="F162" s="18" t="s">
        <v>21</v>
      </c>
      <c r="G162" s="18" t="s">
        <v>21</v>
      </c>
      <c r="H162" s="18" t="s">
        <v>21</v>
      </c>
      <c r="I162" s="18" t="s">
        <v>21</v>
      </c>
      <c r="J162" s="43" t="s">
        <v>20</v>
      </c>
      <c r="K162" s="43" t="s">
        <v>20</v>
      </c>
      <c r="L162" s="43" t="s">
        <v>20</v>
      </c>
      <c r="M162" s="18" t="s">
        <v>20</v>
      </c>
      <c r="N162" s="18" t="s">
        <v>20</v>
      </c>
      <c r="O162" s="18" t="s">
        <v>20</v>
      </c>
      <c r="P162" s="18" t="s">
        <v>21</v>
      </c>
      <c r="Q162" s="18" t="s">
        <v>21</v>
      </c>
      <c r="R162" s="18" t="s">
        <v>21</v>
      </c>
      <c r="S162" s="18" t="s">
        <v>20</v>
      </c>
      <c r="T162" s="18" t="s">
        <v>20</v>
      </c>
      <c r="U162" s="18" t="s">
        <v>21</v>
      </c>
      <c r="V162" s="37" t="s">
        <v>20</v>
      </c>
      <c r="W162" s="37" t="s">
        <v>20</v>
      </c>
      <c r="X162" s="37" t="s">
        <v>20</v>
      </c>
      <c r="Y162" s="18" t="s">
        <v>20</v>
      </c>
      <c r="Z162" s="18" t="s">
        <v>21</v>
      </c>
      <c r="AA162" s="20" t="s">
        <v>21</v>
      </c>
      <c r="AB162" s="20" t="s">
        <v>21</v>
      </c>
      <c r="AC162" s="20" t="s">
        <v>20</v>
      </c>
      <c r="AD162" s="18" t="s">
        <v>20</v>
      </c>
      <c r="AE162" s="18" t="s">
        <v>21</v>
      </c>
      <c r="AG162">
        <f t="shared" si="18"/>
        <v>0</v>
      </c>
      <c r="AH162">
        <f t="shared" si="19"/>
        <v>14</v>
      </c>
      <c r="AI162">
        <f t="shared" si="20"/>
        <v>12</v>
      </c>
      <c r="AJ162">
        <f t="shared" si="21"/>
        <v>0</v>
      </c>
      <c r="AL162">
        <f t="shared" si="22"/>
        <v>0</v>
      </c>
      <c r="AM162">
        <f t="shared" si="23"/>
        <v>42</v>
      </c>
      <c r="AN162">
        <f t="shared" si="24"/>
        <v>24</v>
      </c>
      <c r="AO162">
        <f t="shared" si="25"/>
        <v>0</v>
      </c>
      <c r="AP162">
        <f t="shared" si="26"/>
        <v>66</v>
      </c>
    </row>
    <row r="163" spans="1:42" ht="15.75" hidden="1" customHeight="1" x14ac:dyDescent="0.3">
      <c r="A163" s="16"/>
      <c r="B163" s="55">
        <v>10</v>
      </c>
      <c r="C163" s="56" t="s">
        <v>181</v>
      </c>
      <c r="D163" s="55">
        <v>4</v>
      </c>
      <c r="E163" s="55" t="s">
        <v>21</v>
      </c>
      <c r="F163" s="18" t="s">
        <v>21</v>
      </c>
      <c r="G163" s="18" t="s">
        <v>20</v>
      </c>
      <c r="H163" s="18" t="s">
        <v>21</v>
      </c>
      <c r="I163" s="18" t="s">
        <v>21</v>
      </c>
      <c r="J163" s="43" t="s">
        <v>20</v>
      </c>
      <c r="K163" s="43" t="s">
        <v>20</v>
      </c>
      <c r="L163" s="43" t="s">
        <v>21</v>
      </c>
      <c r="M163" s="18" t="s">
        <v>23</v>
      </c>
      <c r="N163" s="18" t="s">
        <v>20</v>
      </c>
      <c r="O163" s="18" t="s">
        <v>20</v>
      </c>
      <c r="P163" s="18" t="s">
        <v>21</v>
      </c>
      <c r="Q163" s="18" t="s">
        <v>21</v>
      </c>
      <c r="R163" s="18" t="s">
        <v>21</v>
      </c>
      <c r="S163" s="18" t="s">
        <v>20</v>
      </c>
      <c r="T163" s="18" t="s">
        <v>20</v>
      </c>
      <c r="U163" s="18" t="s">
        <v>21</v>
      </c>
      <c r="V163" s="37" t="s">
        <v>20</v>
      </c>
      <c r="W163" s="37" t="s">
        <v>20</v>
      </c>
      <c r="X163" s="37" t="s">
        <v>20</v>
      </c>
      <c r="Y163" s="18" t="s">
        <v>21</v>
      </c>
      <c r="Z163" s="18" t="s">
        <v>21</v>
      </c>
      <c r="AA163" s="20" t="s">
        <v>21</v>
      </c>
      <c r="AB163" s="20" t="s">
        <v>23</v>
      </c>
      <c r="AC163" s="20" t="s">
        <v>21</v>
      </c>
      <c r="AD163" s="18" t="s">
        <v>23</v>
      </c>
      <c r="AE163" s="18" t="s">
        <v>21</v>
      </c>
      <c r="AG163">
        <f t="shared" si="18"/>
        <v>0</v>
      </c>
      <c r="AH163">
        <f t="shared" si="19"/>
        <v>10</v>
      </c>
      <c r="AI163">
        <f t="shared" si="20"/>
        <v>13</v>
      </c>
      <c r="AJ163">
        <f t="shared" si="21"/>
        <v>3</v>
      </c>
      <c r="AL163">
        <f t="shared" si="22"/>
        <v>0</v>
      </c>
      <c r="AM163">
        <f t="shared" si="23"/>
        <v>30</v>
      </c>
      <c r="AN163">
        <f t="shared" si="24"/>
        <v>26</v>
      </c>
      <c r="AO163">
        <f t="shared" si="25"/>
        <v>3</v>
      </c>
      <c r="AP163">
        <f t="shared" si="26"/>
        <v>59</v>
      </c>
    </row>
    <row r="164" spans="1:42" ht="15.75" hidden="1" customHeight="1" x14ac:dyDescent="0.3">
      <c r="A164" s="16"/>
      <c r="B164" s="55">
        <v>11</v>
      </c>
      <c r="C164" s="56" t="s">
        <v>182</v>
      </c>
      <c r="D164" s="55">
        <v>4</v>
      </c>
      <c r="E164" s="55" t="s">
        <v>21</v>
      </c>
      <c r="F164" s="18" t="s">
        <v>23</v>
      </c>
      <c r="G164" s="18" t="s">
        <v>23</v>
      </c>
      <c r="H164" s="18" t="s">
        <v>23</v>
      </c>
      <c r="I164" s="18" t="s">
        <v>23</v>
      </c>
      <c r="J164" s="43" t="s">
        <v>21</v>
      </c>
      <c r="K164" s="43" t="s">
        <v>21</v>
      </c>
      <c r="L164" s="43" t="s">
        <v>21</v>
      </c>
      <c r="M164" s="18" t="s">
        <v>21</v>
      </c>
      <c r="N164" s="18" t="s">
        <v>20</v>
      </c>
      <c r="O164" s="18" t="s">
        <v>21</v>
      </c>
      <c r="P164" s="18" t="s">
        <v>23</v>
      </c>
      <c r="Q164" s="18" t="s">
        <v>21</v>
      </c>
      <c r="R164" s="18" t="s">
        <v>21</v>
      </c>
      <c r="S164" s="18" t="s">
        <v>21</v>
      </c>
      <c r="T164" s="18" t="s">
        <v>20</v>
      </c>
      <c r="U164" s="18" t="s">
        <v>20</v>
      </c>
      <c r="V164" s="37" t="s">
        <v>20</v>
      </c>
      <c r="W164" s="37" t="s">
        <v>21</v>
      </c>
      <c r="X164" s="37" t="s">
        <v>20</v>
      </c>
      <c r="Y164" s="18" t="s">
        <v>23</v>
      </c>
      <c r="Z164" s="18" t="s">
        <v>23</v>
      </c>
      <c r="AA164" s="20" t="s">
        <v>21</v>
      </c>
      <c r="AB164" s="20" t="s">
        <v>21</v>
      </c>
      <c r="AC164" s="20" t="s">
        <v>21</v>
      </c>
      <c r="AD164" s="18" t="s">
        <v>23</v>
      </c>
      <c r="AE164" s="18" t="s">
        <v>21</v>
      </c>
      <c r="AG164">
        <f t="shared" si="18"/>
        <v>0</v>
      </c>
      <c r="AH164">
        <f t="shared" si="19"/>
        <v>5</v>
      </c>
      <c r="AI164">
        <f t="shared" si="20"/>
        <v>13</v>
      </c>
      <c r="AJ164">
        <f t="shared" si="21"/>
        <v>8</v>
      </c>
      <c r="AL164">
        <f t="shared" si="22"/>
        <v>0</v>
      </c>
      <c r="AM164">
        <f t="shared" si="23"/>
        <v>15</v>
      </c>
      <c r="AN164">
        <f t="shared" si="24"/>
        <v>26</v>
      </c>
      <c r="AO164">
        <f t="shared" si="25"/>
        <v>8</v>
      </c>
      <c r="AP164">
        <f t="shared" si="26"/>
        <v>49</v>
      </c>
    </row>
    <row r="165" spans="1:42" ht="15.75" hidden="1" customHeight="1" x14ac:dyDescent="0.3">
      <c r="A165" s="16"/>
      <c r="B165" s="55">
        <v>12</v>
      </c>
      <c r="C165" s="56" t="s">
        <v>183</v>
      </c>
      <c r="D165" s="55">
        <v>4</v>
      </c>
      <c r="E165" s="55" t="s">
        <v>21</v>
      </c>
      <c r="F165" s="18" t="s">
        <v>21</v>
      </c>
      <c r="G165" s="18" t="s">
        <v>21</v>
      </c>
      <c r="H165" s="18" t="s">
        <v>21</v>
      </c>
      <c r="I165" s="18" t="s">
        <v>21</v>
      </c>
      <c r="J165" s="43" t="s">
        <v>20</v>
      </c>
      <c r="K165" s="43" t="s">
        <v>20</v>
      </c>
      <c r="L165" s="43" t="s">
        <v>21</v>
      </c>
      <c r="M165" s="18" t="s">
        <v>20</v>
      </c>
      <c r="N165" s="18" t="s">
        <v>20</v>
      </c>
      <c r="O165" s="18" t="s">
        <v>20</v>
      </c>
      <c r="P165" s="18" t="s">
        <v>21</v>
      </c>
      <c r="Q165" s="18" t="s">
        <v>21</v>
      </c>
      <c r="R165" s="18" t="s">
        <v>21</v>
      </c>
      <c r="S165" s="18" t="s">
        <v>20</v>
      </c>
      <c r="T165" s="18" t="s">
        <v>20</v>
      </c>
      <c r="U165" s="18" t="s">
        <v>20</v>
      </c>
      <c r="V165" s="49" t="s">
        <v>20</v>
      </c>
      <c r="W165" s="37" t="s">
        <v>20</v>
      </c>
      <c r="X165" s="37" t="s">
        <v>20</v>
      </c>
      <c r="Y165" s="18" t="s">
        <v>20</v>
      </c>
      <c r="Z165" s="18" t="s">
        <v>21</v>
      </c>
      <c r="AA165" s="20" t="s">
        <v>21</v>
      </c>
      <c r="AB165" s="20" t="s">
        <v>20</v>
      </c>
      <c r="AC165" s="20" t="s">
        <v>20</v>
      </c>
      <c r="AD165" s="29" t="s">
        <v>20</v>
      </c>
      <c r="AE165" s="29" t="s">
        <v>21</v>
      </c>
      <c r="AG165">
        <f t="shared" si="18"/>
        <v>0</v>
      </c>
      <c r="AH165">
        <f t="shared" si="19"/>
        <v>15</v>
      </c>
      <c r="AI165">
        <f t="shared" si="20"/>
        <v>11</v>
      </c>
      <c r="AJ165">
        <f t="shared" si="21"/>
        <v>0</v>
      </c>
      <c r="AL165">
        <f t="shared" si="22"/>
        <v>0</v>
      </c>
      <c r="AM165">
        <f t="shared" si="23"/>
        <v>45</v>
      </c>
      <c r="AN165">
        <f t="shared" si="24"/>
        <v>22</v>
      </c>
      <c r="AO165">
        <f t="shared" si="25"/>
        <v>0</v>
      </c>
      <c r="AP165">
        <f t="shared" si="26"/>
        <v>67</v>
      </c>
    </row>
    <row r="166" spans="1:42" ht="15.75" hidden="1" customHeight="1" x14ac:dyDescent="0.3">
      <c r="A166" s="16"/>
      <c r="B166" s="55">
        <v>13</v>
      </c>
      <c r="C166" s="56" t="s">
        <v>184</v>
      </c>
      <c r="D166" s="55">
        <v>4</v>
      </c>
      <c r="E166" s="55" t="s">
        <v>21</v>
      </c>
      <c r="F166" s="18" t="s">
        <v>21</v>
      </c>
      <c r="G166" s="18" t="s">
        <v>21</v>
      </c>
      <c r="H166" s="18" t="s">
        <v>23</v>
      </c>
      <c r="I166" s="18" t="s">
        <v>21</v>
      </c>
      <c r="J166" s="43" t="s">
        <v>20</v>
      </c>
      <c r="K166" s="43" t="s">
        <v>20</v>
      </c>
      <c r="L166" s="43" t="s">
        <v>21</v>
      </c>
      <c r="M166" s="18" t="s">
        <v>21</v>
      </c>
      <c r="N166" s="18" t="s">
        <v>20</v>
      </c>
      <c r="O166" s="18" t="s">
        <v>21</v>
      </c>
      <c r="P166" s="18" t="s">
        <v>21</v>
      </c>
      <c r="Q166" s="18" t="s">
        <v>21</v>
      </c>
      <c r="R166" s="18" t="s">
        <v>21</v>
      </c>
      <c r="S166" s="18" t="s">
        <v>23</v>
      </c>
      <c r="T166" s="18" t="s">
        <v>23</v>
      </c>
      <c r="U166" s="18" t="s">
        <v>20</v>
      </c>
      <c r="V166" s="49" t="s">
        <v>20</v>
      </c>
      <c r="W166" s="37" t="s">
        <v>21</v>
      </c>
      <c r="X166" s="37" t="s">
        <v>20</v>
      </c>
      <c r="Y166" s="18" t="s">
        <v>23</v>
      </c>
      <c r="Z166" s="18" t="s">
        <v>21</v>
      </c>
      <c r="AA166" s="20" t="s">
        <v>21</v>
      </c>
      <c r="AB166" s="20" t="s">
        <v>20</v>
      </c>
      <c r="AC166" s="20" t="s">
        <v>23</v>
      </c>
      <c r="AD166" s="29" t="s">
        <v>23</v>
      </c>
      <c r="AE166" s="29" t="s">
        <v>21</v>
      </c>
      <c r="AG166">
        <f t="shared" si="18"/>
        <v>0</v>
      </c>
      <c r="AH166">
        <f t="shared" si="19"/>
        <v>7</v>
      </c>
      <c r="AI166">
        <f t="shared" si="20"/>
        <v>13</v>
      </c>
      <c r="AJ166">
        <f t="shared" si="21"/>
        <v>6</v>
      </c>
      <c r="AL166">
        <f t="shared" si="22"/>
        <v>0</v>
      </c>
      <c r="AM166">
        <f t="shared" si="23"/>
        <v>21</v>
      </c>
      <c r="AN166">
        <f t="shared" si="24"/>
        <v>26</v>
      </c>
      <c r="AO166">
        <f t="shared" si="25"/>
        <v>6</v>
      </c>
      <c r="AP166">
        <f t="shared" si="26"/>
        <v>53</v>
      </c>
    </row>
    <row r="167" spans="1:42" ht="15.75" hidden="1" customHeight="1" x14ac:dyDescent="0.3">
      <c r="A167" s="16"/>
      <c r="B167" s="55">
        <v>14</v>
      </c>
      <c r="C167" s="56" t="s">
        <v>185</v>
      </c>
      <c r="D167" s="55">
        <v>4</v>
      </c>
      <c r="E167" s="55" t="s">
        <v>21</v>
      </c>
      <c r="F167" s="18" t="s">
        <v>21</v>
      </c>
      <c r="G167" s="18" t="s">
        <v>21</v>
      </c>
      <c r="H167" s="18" t="s">
        <v>21</v>
      </c>
      <c r="I167" s="18" t="s">
        <v>21</v>
      </c>
      <c r="J167" s="43" t="s">
        <v>20</v>
      </c>
      <c r="K167" s="43" t="s">
        <v>21</v>
      </c>
      <c r="L167" s="43" t="s">
        <v>21</v>
      </c>
      <c r="M167" s="18" t="s">
        <v>21</v>
      </c>
      <c r="N167" s="18" t="s">
        <v>21</v>
      </c>
      <c r="O167" s="18" t="s">
        <v>20</v>
      </c>
      <c r="P167" s="18" t="s">
        <v>21</v>
      </c>
      <c r="Q167" s="18" t="s">
        <v>21</v>
      </c>
      <c r="R167" s="18" t="s">
        <v>21</v>
      </c>
      <c r="S167" s="18" t="s">
        <v>20</v>
      </c>
      <c r="T167" s="18" t="s">
        <v>20</v>
      </c>
      <c r="U167" s="18" t="s">
        <v>21</v>
      </c>
      <c r="V167" s="49" t="s">
        <v>20</v>
      </c>
      <c r="W167" s="37" t="s">
        <v>20</v>
      </c>
      <c r="X167" s="37" t="s">
        <v>20</v>
      </c>
      <c r="Y167" s="18" t="s">
        <v>21</v>
      </c>
      <c r="Z167" s="18" t="s">
        <v>21</v>
      </c>
      <c r="AA167" s="20" t="s">
        <v>20</v>
      </c>
      <c r="AB167" s="20" t="s">
        <v>21</v>
      </c>
      <c r="AC167" s="20" t="s">
        <v>20</v>
      </c>
      <c r="AD167" s="29" t="s">
        <v>21</v>
      </c>
      <c r="AE167" s="29" t="s">
        <v>21</v>
      </c>
      <c r="AG167">
        <f t="shared" si="18"/>
        <v>0</v>
      </c>
      <c r="AH167">
        <f t="shared" si="19"/>
        <v>9</v>
      </c>
      <c r="AI167">
        <f t="shared" si="20"/>
        <v>17</v>
      </c>
      <c r="AJ167">
        <f t="shared" si="21"/>
        <v>0</v>
      </c>
      <c r="AL167">
        <f t="shared" si="22"/>
        <v>0</v>
      </c>
      <c r="AM167">
        <f t="shared" si="23"/>
        <v>27</v>
      </c>
      <c r="AN167">
        <f t="shared" si="24"/>
        <v>34</v>
      </c>
      <c r="AO167">
        <f t="shared" si="25"/>
        <v>0</v>
      </c>
      <c r="AP167">
        <f t="shared" si="26"/>
        <v>61</v>
      </c>
    </row>
    <row r="168" spans="1:42" ht="15.75" hidden="1" customHeight="1" x14ac:dyDescent="0.3">
      <c r="A168" s="16"/>
      <c r="B168" s="55">
        <v>15</v>
      </c>
      <c r="C168" s="56" t="s">
        <v>186</v>
      </c>
      <c r="D168" s="55">
        <v>4</v>
      </c>
      <c r="E168" s="55" t="s">
        <v>21</v>
      </c>
      <c r="F168" s="18" t="s">
        <v>20</v>
      </c>
      <c r="G168" s="18" t="s">
        <v>20</v>
      </c>
      <c r="H168" s="18" t="s">
        <v>20</v>
      </c>
      <c r="I168" s="18" t="s">
        <v>20</v>
      </c>
      <c r="J168" s="43" t="s">
        <v>20</v>
      </c>
      <c r="K168" s="43" t="s">
        <v>20</v>
      </c>
      <c r="L168" s="43" t="s">
        <v>20</v>
      </c>
      <c r="M168" s="18" t="s">
        <v>20</v>
      </c>
      <c r="N168" s="18" t="s">
        <v>20</v>
      </c>
      <c r="O168" s="18" t="s">
        <v>20</v>
      </c>
      <c r="P168" s="18" t="s">
        <v>20</v>
      </c>
      <c r="Q168" s="18" t="s">
        <v>20</v>
      </c>
      <c r="R168" s="18" t="s">
        <v>20</v>
      </c>
      <c r="S168" s="18" t="s">
        <v>20</v>
      </c>
      <c r="T168" s="18" t="s">
        <v>20</v>
      </c>
      <c r="U168" s="18" t="s">
        <v>20</v>
      </c>
      <c r="V168" s="49" t="s">
        <v>20</v>
      </c>
      <c r="W168" s="37" t="s">
        <v>20</v>
      </c>
      <c r="X168" s="37" t="s">
        <v>20</v>
      </c>
      <c r="Y168" s="18" t="s">
        <v>20</v>
      </c>
      <c r="Z168" s="18" t="s">
        <v>20</v>
      </c>
      <c r="AA168" s="20" t="s">
        <v>20</v>
      </c>
      <c r="AB168" s="20" t="s">
        <v>20</v>
      </c>
      <c r="AC168" s="20" t="s">
        <v>20</v>
      </c>
      <c r="AD168" s="29" t="s">
        <v>20</v>
      </c>
      <c r="AE168" s="29" t="s">
        <v>21</v>
      </c>
      <c r="AG168">
        <f t="shared" si="18"/>
        <v>0</v>
      </c>
      <c r="AH168">
        <f t="shared" si="19"/>
        <v>25</v>
      </c>
      <c r="AI168">
        <f t="shared" si="20"/>
        <v>1</v>
      </c>
      <c r="AJ168">
        <f t="shared" si="21"/>
        <v>0</v>
      </c>
      <c r="AL168">
        <f t="shared" si="22"/>
        <v>0</v>
      </c>
      <c r="AM168">
        <f t="shared" si="23"/>
        <v>75</v>
      </c>
      <c r="AN168">
        <f t="shared" si="24"/>
        <v>2</v>
      </c>
      <c r="AO168">
        <f t="shared" si="25"/>
        <v>0</v>
      </c>
      <c r="AP168">
        <f t="shared" si="26"/>
        <v>77</v>
      </c>
    </row>
    <row r="169" spans="1:42" ht="15.75" hidden="1" customHeight="1" x14ac:dyDescent="0.3">
      <c r="A169" s="16"/>
      <c r="B169" s="55">
        <v>16</v>
      </c>
      <c r="C169" s="56" t="s">
        <v>187</v>
      </c>
      <c r="D169" s="55">
        <v>4</v>
      </c>
      <c r="E169" s="55" t="s">
        <v>21</v>
      </c>
      <c r="F169" s="18" t="s">
        <v>21</v>
      </c>
      <c r="G169" s="18" t="s">
        <v>21</v>
      </c>
      <c r="H169" s="18" t="s">
        <v>21</v>
      </c>
      <c r="I169" s="18" t="s">
        <v>21</v>
      </c>
      <c r="J169" s="43" t="s">
        <v>20</v>
      </c>
      <c r="K169" s="43" t="s">
        <v>20</v>
      </c>
      <c r="L169" s="43" t="s">
        <v>21</v>
      </c>
      <c r="M169" s="18" t="s">
        <v>20</v>
      </c>
      <c r="N169" s="18" t="s">
        <v>20</v>
      </c>
      <c r="O169" s="18" t="s">
        <v>20</v>
      </c>
      <c r="P169" s="18" t="s">
        <v>21</v>
      </c>
      <c r="Q169" s="18" t="s">
        <v>21</v>
      </c>
      <c r="R169" s="18" t="s">
        <v>21</v>
      </c>
      <c r="S169" s="18" t="s">
        <v>21</v>
      </c>
      <c r="T169" s="18" t="s">
        <v>20</v>
      </c>
      <c r="U169" s="18" t="s">
        <v>21</v>
      </c>
      <c r="V169" s="49" t="s">
        <v>20</v>
      </c>
      <c r="W169" s="37" t="s">
        <v>20</v>
      </c>
      <c r="X169" s="37" t="s">
        <v>20</v>
      </c>
      <c r="Y169" s="18" t="s">
        <v>21</v>
      </c>
      <c r="Z169" s="18" t="s">
        <v>21</v>
      </c>
      <c r="AA169" s="20" t="s">
        <v>21</v>
      </c>
      <c r="AB169" s="20" t="s">
        <v>21</v>
      </c>
      <c r="AC169" s="20" t="s">
        <v>21</v>
      </c>
      <c r="AD169" s="29" t="s">
        <v>21</v>
      </c>
      <c r="AE169" s="29" t="s">
        <v>21</v>
      </c>
      <c r="AG169">
        <f t="shared" si="18"/>
        <v>0</v>
      </c>
      <c r="AH169">
        <f t="shared" si="19"/>
        <v>9</v>
      </c>
      <c r="AI169">
        <f t="shared" si="20"/>
        <v>17</v>
      </c>
      <c r="AJ169">
        <f t="shared" si="21"/>
        <v>0</v>
      </c>
      <c r="AL169">
        <f t="shared" si="22"/>
        <v>0</v>
      </c>
      <c r="AM169">
        <f t="shared" si="23"/>
        <v>27</v>
      </c>
      <c r="AN169">
        <f t="shared" si="24"/>
        <v>34</v>
      </c>
      <c r="AO169">
        <f t="shared" si="25"/>
        <v>0</v>
      </c>
      <c r="AP169">
        <f t="shared" si="26"/>
        <v>61</v>
      </c>
    </row>
    <row r="170" spans="1:42" ht="15.75" hidden="1" customHeight="1" x14ac:dyDescent="0.3">
      <c r="A170" s="16"/>
      <c r="B170" s="55">
        <v>17</v>
      </c>
      <c r="C170" s="56" t="s">
        <v>188</v>
      </c>
      <c r="D170" s="55">
        <v>4</v>
      </c>
      <c r="E170" s="55" t="s">
        <v>21</v>
      </c>
      <c r="F170" s="18" t="s">
        <v>21</v>
      </c>
      <c r="G170" s="18" t="s">
        <v>21</v>
      </c>
      <c r="H170" s="18" t="s">
        <v>21</v>
      </c>
      <c r="I170" s="18" t="s">
        <v>21</v>
      </c>
      <c r="J170" s="43" t="s">
        <v>20</v>
      </c>
      <c r="K170" s="43" t="s">
        <v>20</v>
      </c>
      <c r="L170" s="43" t="s">
        <v>21</v>
      </c>
      <c r="M170" s="18" t="s">
        <v>21</v>
      </c>
      <c r="N170" s="18" t="s">
        <v>20</v>
      </c>
      <c r="O170" s="18" t="s">
        <v>21</v>
      </c>
      <c r="P170" s="18" t="s">
        <v>21</v>
      </c>
      <c r="Q170" s="18" t="s">
        <v>21</v>
      </c>
      <c r="R170" s="18" t="s">
        <v>21</v>
      </c>
      <c r="S170" s="18" t="s">
        <v>23</v>
      </c>
      <c r="T170" s="18" t="s">
        <v>21</v>
      </c>
      <c r="U170" s="18" t="s">
        <v>20</v>
      </c>
      <c r="V170" s="49" t="s">
        <v>20</v>
      </c>
      <c r="W170" s="37" t="s">
        <v>20</v>
      </c>
      <c r="X170" s="37" t="s">
        <v>20</v>
      </c>
      <c r="Y170" s="18" t="s">
        <v>20</v>
      </c>
      <c r="Z170" s="18" t="s">
        <v>20</v>
      </c>
      <c r="AA170" s="20" t="s">
        <v>20</v>
      </c>
      <c r="AB170" s="20" t="s">
        <v>20</v>
      </c>
      <c r="AC170" s="20" t="s">
        <v>20</v>
      </c>
      <c r="AD170" s="29" t="s">
        <v>21</v>
      </c>
      <c r="AE170" s="29" t="s">
        <v>21</v>
      </c>
      <c r="AG170">
        <f t="shared" si="18"/>
        <v>0</v>
      </c>
      <c r="AH170">
        <f t="shared" si="19"/>
        <v>12</v>
      </c>
      <c r="AI170">
        <f t="shared" si="20"/>
        <v>13</v>
      </c>
      <c r="AJ170">
        <f t="shared" si="21"/>
        <v>1</v>
      </c>
      <c r="AL170">
        <f t="shared" si="22"/>
        <v>0</v>
      </c>
      <c r="AM170">
        <f t="shared" si="23"/>
        <v>36</v>
      </c>
      <c r="AN170">
        <f t="shared" si="24"/>
        <v>26</v>
      </c>
      <c r="AO170">
        <f t="shared" si="25"/>
        <v>1</v>
      </c>
      <c r="AP170">
        <f t="shared" si="26"/>
        <v>63</v>
      </c>
    </row>
    <row r="171" spans="1:42" ht="15.75" hidden="1" customHeight="1" x14ac:dyDescent="0.3">
      <c r="A171" s="16"/>
      <c r="B171" s="55">
        <v>18</v>
      </c>
      <c r="C171" s="56" t="s">
        <v>189</v>
      </c>
      <c r="D171" s="55">
        <v>4</v>
      </c>
      <c r="E171" s="55" t="s">
        <v>21</v>
      </c>
      <c r="F171" s="18" t="s">
        <v>23</v>
      </c>
      <c r="G171" s="18" t="s">
        <v>23</v>
      </c>
      <c r="H171" s="18" t="s">
        <v>23</v>
      </c>
      <c r="I171" s="18" t="s">
        <v>23</v>
      </c>
      <c r="J171" s="43" t="s">
        <v>20</v>
      </c>
      <c r="K171" s="43" t="s">
        <v>20</v>
      </c>
      <c r="L171" s="43" t="s">
        <v>21</v>
      </c>
      <c r="M171" s="18" t="s">
        <v>21</v>
      </c>
      <c r="N171" s="18" t="s">
        <v>21</v>
      </c>
      <c r="O171" s="18" t="s">
        <v>20</v>
      </c>
      <c r="P171" s="18" t="s">
        <v>21</v>
      </c>
      <c r="Q171" s="18" t="s">
        <v>21</v>
      </c>
      <c r="R171" s="18" t="s">
        <v>23</v>
      </c>
      <c r="S171" s="18" t="s">
        <v>21</v>
      </c>
      <c r="T171" s="18" t="s">
        <v>20</v>
      </c>
      <c r="U171" s="18" t="s">
        <v>21</v>
      </c>
      <c r="V171" s="49" t="s">
        <v>20</v>
      </c>
      <c r="W171" s="37" t="s">
        <v>21</v>
      </c>
      <c r="X171" s="37" t="s">
        <v>20</v>
      </c>
      <c r="Y171" s="18" t="s">
        <v>20</v>
      </c>
      <c r="Z171" s="18" t="s">
        <v>20</v>
      </c>
      <c r="AA171" s="20" t="s">
        <v>21</v>
      </c>
      <c r="AB171" s="20" t="s">
        <v>21</v>
      </c>
      <c r="AC171" s="20" t="s">
        <v>21</v>
      </c>
      <c r="AD171" s="29" t="s">
        <v>21</v>
      </c>
      <c r="AE171" s="29" t="s">
        <v>21</v>
      </c>
      <c r="AG171">
        <f t="shared" si="18"/>
        <v>0</v>
      </c>
      <c r="AH171">
        <f t="shared" si="19"/>
        <v>8</v>
      </c>
      <c r="AI171">
        <f t="shared" si="20"/>
        <v>13</v>
      </c>
      <c r="AJ171">
        <f t="shared" si="21"/>
        <v>5</v>
      </c>
      <c r="AL171">
        <f t="shared" si="22"/>
        <v>0</v>
      </c>
      <c r="AM171">
        <f t="shared" si="23"/>
        <v>24</v>
      </c>
      <c r="AN171">
        <f t="shared" si="24"/>
        <v>26</v>
      </c>
      <c r="AO171">
        <f t="shared" si="25"/>
        <v>5</v>
      </c>
      <c r="AP171">
        <f t="shared" si="26"/>
        <v>55</v>
      </c>
    </row>
    <row r="172" spans="1:42" ht="15.75" hidden="1" customHeight="1" x14ac:dyDescent="0.3">
      <c r="A172" s="16"/>
      <c r="B172" s="55">
        <v>19</v>
      </c>
      <c r="C172" s="56" t="s">
        <v>190</v>
      </c>
      <c r="D172" s="55">
        <v>4</v>
      </c>
      <c r="E172" s="55" t="s">
        <v>21</v>
      </c>
      <c r="F172" s="18" t="s">
        <v>23</v>
      </c>
      <c r="G172" s="18" t="s">
        <v>21</v>
      </c>
      <c r="H172" s="18" t="s">
        <v>21</v>
      </c>
      <c r="I172" s="18" t="s">
        <v>21</v>
      </c>
      <c r="J172" s="43" t="s">
        <v>20</v>
      </c>
      <c r="K172" s="43" t="s">
        <v>20</v>
      </c>
      <c r="L172" s="43" t="s">
        <v>21</v>
      </c>
      <c r="M172" s="18" t="s">
        <v>20</v>
      </c>
      <c r="N172" s="18" t="s">
        <v>20</v>
      </c>
      <c r="O172" s="18" t="s">
        <v>21</v>
      </c>
      <c r="P172" s="18" t="s">
        <v>21</v>
      </c>
      <c r="Q172" s="18" t="s">
        <v>21</v>
      </c>
      <c r="R172" s="18" t="s">
        <v>21</v>
      </c>
      <c r="S172" s="18" t="s">
        <v>20</v>
      </c>
      <c r="T172" s="18" t="s">
        <v>20</v>
      </c>
      <c r="U172" s="18" t="s">
        <v>21</v>
      </c>
      <c r="V172" s="49" t="s">
        <v>20</v>
      </c>
      <c r="W172" s="37" t="s">
        <v>20</v>
      </c>
      <c r="X172" s="37" t="s">
        <v>20</v>
      </c>
      <c r="Y172" s="18" t="s">
        <v>20</v>
      </c>
      <c r="Z172" s="18" t="s">
        <v>21</v>
      </c>
      <c r="AA172" s="20" t="s">
        <v>21</v>
      </c>
      <c r="AB172" s="20" t="s">
        <v>21</v>
      </c>
      <c r="AC172" s="20" t="s">
        <v>21</v>
      </c>
      <c r="AD172" s="29" t="s">
        <v>21</v>
      </c>
      <c r="AE172" s="29" t="s">
        <v>21</v>
      </c>
      <c r="AG172">
        <f t="shared" si="18"/>
        <v>0</v>
      </c>
      <c r="AH172">
        <f t="shared" si="19"/>
        <v>10</v>
      </c>
      <c r="AI172">
        <f t="shared" si="20"/>
        <v>15</v>
      </c>
      <c r="AJ172">
        <f t="shared" si="21"/>
        <v>1</v>
      </c>
      <c r="AL172">
        <f t="shared" si="22"/>
        <v>0</v>
      </c>
      <c r="AM172">
        <f t="shared" si="23"/>
        <v>30</v>
      </c>
      <c r="AN172">
        <f t="shared" si="24"/>
        <v>30</v>
      </c>
      <c r="AO172">
        <f t="shared" si="25"/>
        <v>1</v>
      </c>
      <c r="AP172">
        <f t="shared" si="26"/>
        <v>61</v>
      </c>
    </row>
    <row r="173" spans="1:42" ht="15.75" hidden="1" customHeight="1" x14ac:dyDescent="0.3">
      <c r="A173" s="16"/>
      <c r="B173" s="55">
        <v>20</v>
      </c>
      <c r="C173" s="56" t="s">
        <v>191</v>
      </c>
      <c r="D173" s="55">
        <v>4</v>
      </c>
      <c r="E173" s="55" t="s">
        <v>21</v>
      </c>
      <c r="F173" s="18" t="s">
        <v>20</v>
      </c>
      <c r="G173" s="18" t="s">
        <v>20</v>
      </c>
      <c r="H173" s="18" t="s">
        <v>20</v>
      </c>
      <c r="I173" s="18" t="s">
        <v>39</v>
      </c>
      <c r="J173" s="43" t="s">
        <v>20</v>
      </c>
      <c r="K173" s="43" t="s">
        <v>39</v>
      </c>
      <c r="L173" s="43" t="s">
        <v>20</v>
      </c>
      <c r="M173" s="18" t="s">
        <v>20</v>
      </c>
      <c r="N173" s="18" t="s">
        <v>20</v>
      </c>
      <c r="O173" s="18" t="s">
        <v>20</v>
      </c>
      <c r="P173" s="18" t="s">
        <v>20</v>
      </c>
      <c r="Q173" s="18" t="s">
        <v>20</v>
      </c>
      <c r="R173" s="18" t="s">
        <v>20</v>
      </c>
      <c r="S173" s="18" t="s">
        <v>20</v>
      </c>
      <c r="T173" s="18" t="s">
        <v>20</v>
      </c>
      <c r="U173" s="18" t="s">
        <v>20</v>
      </c>
      <c r="V173" s="50" t="s">
        <v>20</v>
      </c>
      <c r="W173" s="37" t="s">
        <v>20</v>
      </c>
      <c r="X173" s="37" t="s">
        <v>20</v>
      </c>
      <c r="Y173" s="18" t="s">
        <v>39</v>
      </c>
      <c r="Z173" s="18" t="s">
        <v>39</v>
      </c>
      <c r="AA173" s="20" t="s">
        <v>20</v>
      </c>
      <c r="AB173" s="20" t="s">
        <v>20</v>
      </c>
      <c r="AC173" s="20" t="s">
        <v>20</v>
      </c>
      <c r="AD173" s="29" t="s">
        <v>20</v>
      </c>
      <c r="AE173" s="29" t="s">
        <v>21</v>
      </c>
      <c r="AG173">
        <f t="shared" si="18"/>
        <v>4</v>
      </c>
      <c r="AH173">
        <f t="shared" si="19"/>
        <v>21</v>
      </c>
      <c r="AI173">
        <f t="shared" si="20"/>
        <v>1</v>
      </c>
      <c r="AJ173">
        <f t="shared" si="21"/>
        <v>0</v>
      </c>
      <c r="AL173">
        <f t="shared" si="22"/>
        <v>16</v>
      </c>
      <c r="AM173">
        <f t="shared" si="23"/>
        <v>63</v>
      </c>
      <c r="AN173">
        <f t="shared" si="24"/>
        <v>2</v>
      </c>
      <c r="AO173">
        <f t="shared" si="25"/>
        <v>0</v>
      </c>
      <c r="AP173">
        <f t="shared" si="26"/>
        <v>81</v>
      </c>
    </row>
    <row r="174" spans="1:42" ht="15.75" hidden="1" customHeight="1" x14ac:dyDescent="0.3">
      <c r="A174" s="16"/>
      <c r="B174" s="55">
        <v>21</v>
      </c>
      <c r="C174" s="56" t="s">
        <v>192</v>
      </c>
      <c r="D174" s="55">
        <v>4</v>
      </c>
      <c r="E174" s="55" t="s">
        <v>21</v>
      </c>
      <c r="F174" s="18" t="s">
        <v>21</v>
      </c>
      <c r="G174" s="18" t="s">
        <v>23</v>
      </c>
      <c r="H174" s="18" t="s">
        <v>23</v>
      </c>
      <c r="I174" s="18" t="s">
        <v>23</v>
      </c>
      <c r="J174" s="43" t="s">
        <v>20</v>
      </c>
      <c r="K174" s="43" t="s">
        <v>21</v>
      </c>
      <c r="L174" s="43" t="s">
        <v>21</v>
      </c>
      <c r="M174" s="18" t="s">
        <v>21</v>
      </c>
      <c r="N174" s="18" t="s">
        <v>21</v>
      </c>
      <c r="O174" s="18" t="s">
        <v>21</v>
      </c>
      <c r="P174" s="18" t="s">
        <v>21</v>
      </c>
      <c r="Q174" s="18" t="s">
        <v>21</v>
      </c>
      <c r="R174" s="18" t="s">
        <v>23</v>
      </c>
      <c r="S174" s="18" t="s">
        <v>21</v>
      </c>
      <c r="T174" s="18" t="s">
        <v>20</v>
      </c>
      <c r="U174" s="18" t="s">
        <v>20</v>
      </c>
      <c r="V174" s="49" t="s">
        <v>20</v>
      </c>
      <c r="W174" s="37" t="s">
        <v>20</v>
      </c>
      <c r="X174" s="37" t="s">
        <v>20</v>
      </c>
      <c r="Y174" s="18" t="s">
        <v>21</v>
      </c>
      <c r="Z174" s="18" t="s">
        <v>21</v>
      </c>
      <c r="AA174" s="20" t="s">
        <v>21</v>
      </c>
      <c r="AB174" s="20" t="s">
        <v>21</v>
      </c>
      <c r="AC174" s="20" t="s">
        <v>20</v>
      </c>
      <c r="AD174" s="29" t="s">
        <v>21</v>
      </c>
      <c r="AE174" s="29" t="s">
        <v>21</v>
      </c>
      <c r="AG174">
        <f t="shared" si="18"/>
        <v>0</v>
      </c>
      <c r="AH174">
        <f t="shared" si="19"/>
        <v>7</v>
      </c>
      <c r="AI174">
        <f t="shared" si="20"/>
        <v>15</v>
      </c>
      <c r="AJ174">
        <f t="shared" si="21"/>
        <v>4</v>
      </c>
      <c r="AL174">
        <f t="shared" si="22"/>
        <v>0</v>
      </c>
      <c r="AM174">
        <f t="shared" si="23"/>
        <v>21</v>
      </c>
      <c r="AN174">
        <f t="shared" si="24"/>
        <v>30</v>
      </c>
      <c r="AO174">
        <f t="shared" si="25"/>
        <v>4</v>
      </c>
      <c r="AP174">
        <f t="shared" si="26"/>
        <v>55</v>
      </c>
    </row>
    <row r="175" spans="1:42" ht="15.75" hidden="1" customHeight="1" x14ac:dyDescent="0.3">
      <c r="A175" s="16"/>
      <c r="B175" s="55">
        <v>22</v>
      </c>
      <c r="C175" s="56" t="s">
        <v>193</v>
      </c>
      <c r="D175" s="55">
        <v>4</v>
      </c>
      <c r="E175" s="55" t="s">
        <v>21</v>
      </c>
      <c r="F175" s="18" t="s">
        <v>20</v>
      </c>
      <c r="G175" s="18" t="s">
        <v>39</v>
      </c>
      <c r="H175" s="18" t="s">
        <v>39</v>
      </c>
      <c r="I175" s="18" t="s">
        <v>39</v>
      </c>
      <c r="J175" s="43" t="s">
        <v>20</v>
      </c>
      <c r="K175" s="43" t="s">
        <v>20</v>
      </c>
      <c r="L175" s="43" t="s">
        <v>20</v>
      </c>
      <c r="M175" s="18" t="s">
        <v>20</v>
      </c>
      <c r="N175" s="18" t="s">
        <v>20</v>
      </c>
      <c r="O175" s="18" t="s">
        <v>20</v>
      </c>
      <c r="P175" s="18" t="s">
        <v>20</v>
      </c>
      <c r="Q175" s="18" t="s">
        <v>21</v>
      </c>
      <c r="R175" s="18" t="s">
        <v>21</v>
      </c>
      <c r="S175" s="18" t="s">
        <v>20</v>
      </c>
      <c r="T175" s="18" t="s">
        <v>20</v>
      </c>
      <c r="U175" s="18" t="s">
        <v>20</v>
      </c>
      <c r="V175" s="49" t="s">
        <v>20</v>
      </c>
      <c r="W175" s="37" t="s">
        <v>20</v>
      </c>
      <c r="X175" s="37" t="s">
        <v>20</v>
      </c>
      <c r="Y175" s="18" t="s">
        <v>20</v>
      </c>
      <c r="Z175" s="18" t="s">
        <v>20</v>
      </c>
      <c r="AA175" s="20" t="s">
        <v>20</v>
      </c>
      <c r="AB175" s="20" t="s">
        <v>21</v>
      </c>
      <c r="AC175" s="20" t="s">
        <v>20</v>
      </c>
      <c r="AD175" s="29" t="s">
        <v>55</v>
      </c>
      <c r="AE175" s="29" t="s">
        <v>55</v>
      </c>
      <c r="AG175">
        <f t="shared" si="18"/>
        <v>3</v>
      </c>
      <c r="AH175">
        <f t="shared" si="19"/>
        <v>18</v>
      </c>
      <c r="AI175">
        <f t="shared" si="20"/>
        <v>3</v>
      </c>
      <c r="AJ175">
        <f t="shared" si="21"/>
        <v>0</v>
      </c>
      <c r="AL175">
        <f t="shared" si="22"/>
        <v>12</v>
      </c>
      <c r="AM175">
        <f t="shared" si="23"/>
        <v>54</v>
      </c>
      <c r="AN175">
        <f t="shared" si="24"/>
        <v>6</v>
      </c>
      <c r="AO175">
        <f t="shared" si="25"/>
        <v>0</v>
      </c>
      <c r="AP175">
        <f t="shared" si="26"/>
        <v>72</v>
      </c>
    </row>
    <row r="176" spans="1:42" ht="15.75" hidden="1" customHeight="1" x14ac:dyDescent="0.3">
      <c r="A176" s="16"/>
      <c r="B176" s="55">
        <v>23</v>
      </c>
      <c r="C176" s="56" t="s">
        <v>194</v>
      </c>
      <c r="D176" s="55">
        <v>4</v>
      </c>
      <c r="E176" s="55" t="s">
        <v>21</v>
      </c>
      <c r="F176" s="18" t="s">
        <v>20</v>
      </c>
      <c r="G176" s="18" t="s">
        <v>20</v>
      </c>
      <c r="H176" s="18" t="s">
        <v>20</v>
      </c>
      <c r="I176" s="18" t="s">
        <v>20</v>
      </c>
      <c r="J176" s="43" t="s">
        <v>20</v>
      </c>
      <c r="K176" s="43" t="s">
        <v>20</v>
      </c>
      <c r="L176" s="43" t="s">
        <v>21</v>
      </c>
      <c r="M176" s="18" t="s">
        <v>20</v>
      </c>
      <c r="N176" s="18" t="s">
        <v>21</v>
      </c>
      <c r="O176" s="18" t="s">
        <v>20</v>
      </c>
      <c r="P176" s="18" t="s">
        <v>20</v>
      </c>
      <c r="Q176" s="18" t="s">
        <v>20</v>
      </c>
      <c r="R176" s="18" t="s">
        <v>20</v>
      </c>
      <c r="S176" s="18" t="s">
        <v>20</v>
      </c>
      <c r="T176" s="18" t="s">
        <v>20</v>
      </c>
      <c r="U176" s="18" t="s">
        <v>20</v>
      </c>
      <c r="V176" s="49" t="s">
        <v>20</v>
      </c>
      <c r="W176" s="37" t="s">
        <v>20</v>
      </c>
      <c r="X176" s="37" t="s">
        <v>20</v>
      </c>
      <c r="Y176" s="18" t="s">
        <v>20</v>
      </c>
      <c r="Z176" s="18" t="s">
        <v>20</v>
      </c>
      <c r="AA176" s="20" t="s">
        <v>21</v>
      </c>
      <c r="AB176" s="20" t="s">
        <v>21</v>
      </c>
      <c r="AC176" s="20" t="s">
        <v>20</v>
      </c>
      <c r="AD176" s="29" t="s">
        <v>20</v>
      </c>
      <c r="AE176" s="29" t="s">
        <v>21</v>
      </c>
      <c r="AG176">
        <f t="shared" si="18"/>
        <v>0</v>
      </c>
      <c r="AH176">
        <f t="shared" si="19"/>
        <v>21</v>
      </c>
      <c r="AI176">
        <f t="shared" si="20"/>
        <v>5</v>
      </c>
      <c r="AJ176">
        <f t="shared" si="21"/>
        <v>0</v>
      </c>
      <c r="AL176">
        <f t="shared" si="22"/>
        <v>0</v>
      </c>
      <c r="AM176">
        <f t="shared" si="23"/>
        <v>63</v>
      </c>
      <c r="AN176">
        <f t="shared" si="24"/>
        <v>10</v>
      </c>
      <c r="AO176">
        <f t="shared" si="25"/>
        <v>0</v>
      </c>
      <c r="AP176">
        <f t="shared" si="26"/>
        <v>73</v>
      </c>
    </row>
    <row r="177" spans="1:42" ht="15.75" hidden="1" customHeight="1" x14ac:dyDescent="0.3">
      <c r="A177" s="16"/>
      <c r="B177" s="55">
        <v>24</v>
      </c>
      <c r="C177" s="56" t="s">
        <v>195</v>
      </c>
      <c r="D177" s="55">
        <v>4</v>
      </c>
      <c r="E177" s="55" t="s">
        <v>21</v>
      </c>
      <c r="F177" s="18" t="s">
        <v>20</v>
      </c>
      <c r="G177" s="18" t="s">
        <v>20</v>
      </c>
      <c r="H177" s="18" t="s">
        <v>20</v>
      </c>
      <c r="I177" s="18" t="s">
        <v>20</v>
      </c>
      <c r="J177" s="43" t="s">
        <v>20</v>
      </c>
      <c r="K177" s="43" t="s">
        <v>20</v>
      </c>
      <c r="L177" s="43" t="s">
        <v>20</v>
      </c>
      <c r="M177" s="18" t="s">
        <v>20</v>
      </c>
      <c r="N177" s="18" t="s">
        <v>20</v>
      </c>
      <c r="O177" s="18" t="s">
        <v>20</v>
      </c>
      <c r="P177" s="18" t="s">
        <v>21</v>
      </c>
      <c r="Q177" s="18" t="s">
        <v>21</v>
      </c>
      <c r="R177" s="18" t="s">
        <v>20</v>
      </c>
      <c r="S177" s="18" t="s">
        <v>20</v>
      </c>
      <c r="T177" s="18" t="s">
        <v>20</v>
      </c>
      <c r="U177" s="18" t="s">
        <v>20</v>
      </c>
      <c r="V177" s="49" t="s">
        <v>20</v>
      </c>
      <c r="W177" s="37" t="s">
        <v>20</v>
      </c>
      <c r="X177" s="37" t="s">
        <v>20</v>
      </c>
      <c r="Y177" s="18" t="s">
        <v>20</v>
      </c>
      <c r="Z177" s="18" t="s">
        <v>20</v>
      </c>
      <c r="AA177" s="20" t="s">
        <v>20</v>
      </c>
      <c r="AB177" s="20" t="s">
        <v>20</v>
      </c>
      <c r="AC177" s="20" t="s">
        <v>20</v>
      </c>
      <c r="AD177" s="29" t="s">
        <v>20</v>
      </c>
      <c r="AE177" s="29" t="s">
        <v>21</v>
      </c>
      <c r="AG177">
        <f t="shared" si="18"/>
        <v>0</v>
      </c>
      <c r="AH177">
        <f t="shared" si="19"/>
        <v>23</v>
      </c>
      <c r="AI177">
        <f t="shared" si="20"/>
        <v>3</v>
      </c>
      <c r="AJ177">
        <f t="shared" si="21"/>
        <v>0</v>
      </c>
      <c r="AL177">
        <f t="shared" si="22"/>
        <v>0</v>
      </c>
      <c r="AM177">
        <f t="shared" si="23"/>
        <v>69</v>
      </c>
      <c r="AN177">
        <f t="shared" si="24"/>
        <v>6</v>
      </c>
      <c r="AO177">
        <f t="shared" si="25"/>
        <v>0</v>
      </c>
      <c r="AP177">
        <f t="shared" si="26"/>
        <v>75</v>
      </c>
    </row>
    <row r="178" spans="1:42" ht="15.75" hidden="1" customHeight="1" thickBot="1" x14ac:dyDescent="0.35">
      <c r="A178" s="16"/>
      <c r="B178" s="57">
        <v>25</v>
      </c>
      <c r="C178" s="58" t="s">
        <v>196</v>
      </c>
      <c r="D178" s="57">
        <v>4</v>
      </c>
      <c r="E178" s="57" t="s">
        <v>21</v>
      </c>
      <c r="F178" s="21" t="s">
        <v>20</v>
      </c>
      <c r="G178" s="21" t="s">
        <v>20</v>
      </c>
      <c r="H178" s="21" t="s">
        <v>20</v>
      </c>
      <c r="I178" s="21" t="s">
        <v>20</v>
      </c>
      <c r="J178" s="45" t="s">
        <v>20</v>
      </c>
      <c r="K178" s="45" t="s">
        <v>39</v>
      </c>
      <c r="L178" s="45" t="s">
        <v>20</v>
      </c>
      <c r="M178" s="21" t="s">
        <v>20</v>
      </c>
      <c r="N178" s="21" t="s">
        <v>20</v>
      </c>
      <c r="O178" s="21" t="s">
        <v>20</v>
      </c>
      <c r="P178" s="21" t="s">
        <v>20</v>
      </c>
      <c r="Q178" s="21" t="s">
        <v>20</v>
      </c>
      <c r="R178" s="21" t="s">
        <v>20</v>
      </c>
      <c r="S178" s="21" t="s">
        <v>20</v>
      </c>
      <c r="T178" s="41" t="s">
        <v>20</v>
      </c>
      <c r="U178" s="21" t="s">
        <v>20</v>
      </c>
      <c r="V178" s="51" t="s">
        <v>20</v>
      </c>
      <c r="W178" s="38" t="s">
        <v>20</v>
      </c>
      <c r="X178" s="38" t="s">
        <v>20</v>
      </c>
      <c r="Y178" s="21" t="s">
        <v>20</v>
      </c>
      <c r="Z178" s="21" t="s">
        <v>21</v>
      </c>
      <c r="AA178" s="23" t="s">
        <v>20</v>
      </c>
      <c r="AB178" s="23" t="s">
        <v>21</v>
      </c>
      <c r="AC178" s="23" t="s">
        <v>20</v>
      </c>
      <c r="AD178" s="31" t="s">
        <v>20</v>
      </c>
      <c r="AE178" s="31" t="s">
        <v>21</v>
      </c>
      <c r="AG178">
        <f t="shared" si="18"/>
        <v>1</v>
      </c>
      <c r="AH178">
        <f t="shared" si="19"/>
        <v>22</v>
      </c>
      <c r="AI178">
        <f t="shared" si="20"/>
        <v>3</v>
      </c>
      <c r="AJ178">
        <f t="shared" si="21"/>
        <v>0</v>
      </c>
      <c r="AL178">
        <f t="shared" si="22"/>
        <v>4</v>
      </c>
      <c r="AM178">
        <f t="shared" si="23"/>
        <v>66</v>
      </c>
      <c r="AN178">
        <f t="shared" si="24"/>
        <v>6</v>
      </c>
      <c r="AO178">
        <f t="shared" si="25"/>
        <v>0</v>
      </c>
      <c r="AP178">
        <f t="shared" si="26"/>
        <v>76</v>
      </c>
    </row>
    <row r="179" spans="1:42" ht="15.75" hidden="1" customHeight="1" x14ac:dyDescent="0.3">
      <c r="A179" s="16"/>
      <c r="B179" s="59">
        <v>1</v>
      </c>
      <c r="C179" s="60" t="s">
        <v>197</v>
      </c>
      <c r="D179" s="59">
        <v>5</v>
      </c>
      <c r="E179" s="59" t="s">
        <v>20</v>
      </c>
      <c r="F179" s="24" t="s">
        <v>20</v>
      </c>
      <c r="G179" s="24" t="s">
        <v>20</v>
      </c>
      <c r="H179" s="24" t="s">
        <v>39</v>
      </c>
      <c r="I179" s="24" t="s">
        <v>39</v>
      </c>
      <c r="J179" s="42" t="s">
        <v>20</v>
      </c>
      <c r="K179" s="42" t="s">
        <v>20</v>
      </c>
      <c r="L179" s="42" t="s">
        <v>20</v>
      </c>
      <c r="M179" s="24" t="s">
        <v>20</v>
      </c>
      <c r="N179" s="24" t="s">
        <v>20</v>
      </c>
      <c r="O179" s="24" t="s">
        <v>20</v>
      </c>
      <c r="P179" s="24" t="s">
        <v>21</v>
      </c>
      <c r="Q179" s="24" t="s">
        <v>21</v>
      </c>
      <c r="R179" s="24" t="s">
        <v>21</v>
      </c>
      <c r="S179" s="24" t="s">
        <v>20</v>
      </c>
      <c r="T179" s="24" t="s">
        <v>21</v>
      </c>
      <c r="U179" s="24" t="s">
        <v>21</v>
      </c>
      <c r="V179" s="52" t="s">
        <v>20</v>
      </c>
      <c r="W179" s="39" t="s">
        <v>21</v>
      </c>
      <c r="X179" s="39" t="s">
        <v>21</v>
      </c>
      <c r="Y179" s="24" t="s">
        <v>20</v>
      </c>
      <c r="Z179" s="24" t="s">
        <v>20</v>
      </c>
      <c r="AA179" s="27" t="s">
        <v>20</v>
      </c>
      <c r="AB179" s="27" t="s">
        <v>20</v>
      </c>
      <c r="AC179" s="27" t="s">
        <v>21</v>
      </c>
      <c r="AD179" s="34" t="s">
        <v>20</v>
      </c>
      <c r="AE179" s="34" t="s">
        <v>21</v>
      </c>
      <c r="AG179">
        <f t="shared" si="18"/>
        <v>2</v>
      </c>
      <c r="AH179">
        <f t="shared" si="19"/>
        <v>15</v>
      </c>
      <c r="AI179">
        <f t="shared" si="20"/>
        <v>9</v>
      </c>
      <c r="AJ179">
        <f t="shared" si="21"/>
        <v>0</v>
      </c>
      <c r="AL179">
        <f t="shared" si="22"/>
        <v>8</v>
      </c>
      <c r="AM179">
        <f t="shared" si="23"/>
        <v>45</v>
      </c>
      <c r="AN179">
        <f t="shared" si="24"/>
        <v>18</v>
      </c>
      <c r="AO179">
        <f t="shared" si="25"/>
        <v>0</v>
      </c>
      <c r="AP179">
        <f t="shared" si="26"/>
        <v>71</v>
      </c>
    </row>
    <row r="180" spans="1:42" ht="15.75" hidden="1" customHeight="1" x14ac:dyDescent="0.3">
      <c r="A180" s="16"/>
      <c r="B180" s="55">
        <v>2</v>
      </c>
      <c r="C180" s="56" t="s">
        <v>198</v>
      </c>
      <c r="D180" s="55">
        <v>5</v>
      </c>
      <c r="E180" s="55" t="s">
        <v>20</v>
      </c>
      <c r="F180" s="18" t="s">
        <v>20</v>
      </c>
      <c r="G180" s="18" t="s">
        <v>20</v>
      </c>
      <c r="H180" s="18" t="s">
        <v>20</v>
      </c>
      <c r="I180" s="18" t="s">
        <v>20</v>
      </c>
      <c r="J180" s="43" t="s">
        <v>20</v>
      </c>
      <c r="K180" s="43" t="s">
        <v>20</v>
      </c>
      <c r="L180" s="43" t="s">
        <v>20</v>
      </c>
      <c r="M180" s="18" t="s">
        <v>20</v>
      </c>
      <c r="N180" s="18" t="s">
        <v>20</v>
      </c>
      <c r="O180" s="18" t="s">
        <v>20</v>
      </c>
      <c r="P180" s="18" t="s">
        <v>21</v>
      </c>
      <c r="Q180" s="18" t="s">
        <v>20</v>
      </c>
      <c r="R180" s="18" t="s">
        <v>20</v>
      </c>
      <c r="S180" s="18" t="s">
        <v>20</v>
      </c>
      <c r="T180" s="18" t="s">
        <v>21</v>
      </c>
      <c r="U180" s="18" t="s">
        <v>20</v>
      </c>
      <c r="V180" s="49" t="s">
        <v>20</v>
      </c>
      <c r="W180" s="37" t="s">
        <v>20</v>
      </c>
      <c r="X180" s="37" t="s">
        <v>20</v>
      </c>
      <c r="Y180" s="18" t="s">
        <v>21</v>
      </c>
      <c r="Z180" s="18" t="s">
        <v>20</v>
      </c>
      <c r="AA180" s="20" t="s">
        <v>21</v>
      </c>
      <c r="AB180" s="20" t="s">
        <v>20</v>
      </c>
      <c r="AC180" s="20" t="s">
        <v>20</v>
      </c>
      <c r="AD180" s="29" t="s">
        <v>20</v>
      </c>
      <c r="AE180" s="29" t="s">
        <v>21</v>
      </c>
      <c r="AG180">
        <f t="shared" si="18"/>
        <v>0</v>
      </c>
      <c r="AH180">
        <f t="shared" si="19"/>
        <v>21</v>
      </c>
      <c r="AI180">
        <f t="shared" si="20"/>
        <v>5</v>
      </c>
      <c r="AJ180">
        <f t="shared" si="21"/>
        <v>0</v>
      </c>
      <c r="AL180">
        <f t="shared" si="22"/>
        <v>0</v>
      </c>
      <c r="AM180">
        <f t="shared" si="23"/>
        <v>63</v>
      </c>
      <c r="AN180">
        <f t="shared" si="24"/>
        <v>10</v>
      </c>
      <c r="AO180">
        <f t="shared" si="25"/>
        <v>0</v>
      </c>
      <c r="AP180">
        <f t="shared" si="26"/>
        <v>73</v>
      </c>
    </row>
    <row r="181" spans="1:42" ht="15.75" hidden="1" customHeight="1" x14ac:dyDescent="0.3">
      <c r="A181" s="16"/>
      <c r="B181" s="55">
        <v>3</v>
      </c>
      <c r="C181" s="56" t="s">
        <v>199</v>
      </c>
      <c r="D181" s="55">
        <v>5</v>
      </c>
      <c r="E181" s="55" t="s">
        <v>20</v>
      </c>
      <c r="F181" s="18" t="s">
        <v>23</v>
      </c>
      <c r="G181" s="18" t="s">
        <v>23</v>
      </c>
      <c r="H181" s="18" t="s">
        <v>21</v>
      </c>
      <c r="I181" s="18" t="s">
        <v>21</v>
      </c>
      <c r="J181" s="43" t="s">
        <v>20</v>
      </c>
      <c r="K181" s="43" t="s">
        <v>20</v>
      </c>
      <c r="L181" s="43" t="s">
        <v>21</v>
      </c>
      <c r="M181" s="18" t="s">
        <v>20</v>
      </c>
      <c r="N181" s="18" t="s">
        <v>20</v>
      </c>
      <c r="O181" s="18" t="s">
        <v>20</v>
      </c>
      <c r="P181" s="18" t="s">
        <v>21</v>
      </c>
      <c r="Q181" s="18" t="s">
        <v>21</v>
      </c>
      <c r="R181" s="18" t="s">
        <v>20</v>
      </c>
      <c r="S181" s="18" t="s">
        <v>21</v>
      </c>
      <c r="T181" s="18" t="s">
        <v>20</v>
      </c>
      <c r="U181" s="18" t="s">
        <v>20</v>
      </c>
      <c r="V181" s="49" t="s">
        <v>20</v>
      </c>
      <c r="W181" s="37" t="s">
        <v>20</v>
      </c>
      <c r="X181" s="37" t="s">
        <v>20</v>
      </c>
      <c r="Y181" s="18" t="s">
        <v>20</v>
      </c>
      <c r="Z181" s="18" t="s">
        <v>20</v>
      </c>
      <c r="AA181" s="20" t="s">
        <v>21</v>
      </c>
      <c r="AB181" s="20" t="s">
        <v>21</v>
      </c>
      <c r="AC181" s="20" t="s">
        <v>21</v>
      </c>
      <c r="AD181" s="29" t="s">
        <v>20</v>
      </c>
      <c r="AE181" s="29" t="s">
        <v>21</v>
      </c>
      <c r="AG181">
        <f t="shared" si="18"/>
        <v>0</v>
      </c>
      <c r="AH181">
        <f t="shared" si="19"/>
        <v>14</v>
      </c>
      <c r="AI181">
        <f t="shared" si="20"/>
        <v>10</v>
      </c>
      <c r="AJ181">
        <f t="shared" si="21"/>
        <v>2</v>
      </c>
      <c r="AL181">
        <f t="shared" si="22"/>
        <v>0</v>
      </c>
      <c r="AM181">
        <f t="shared" si="23"/>
        <v>42</v>
      </c>
      <c r="AN181">
        <f t="shared" si="24"/>
        <v>20</v>
      </c>
      <c r="AO181">
        <f t="shared" si="25"/>
        <v>2</v>
      </c>
      <c r="AP181">
        <f t="shared" si="26"/>
        <v>64</v>
      </c>
    </row>
    <row r="182" spans="1:42" ht="15.75" hidden="1" customHeight="1" x14ac:dyDescent="0.3">
      <c r="A182" s="16"/>
      <c r="B182" s="55">
        <v>4</v>
      </c>
      <c r="C182" s="56" t="s">
        <v>200</v>
      </c>
      <c r="D182" s="55">
        <v>5</v>
      </c>
      <c r="E182" s="55" t="s">
        <v>20</v>
      </c>
      <c r="F182" s="18" t="s">
        <v>23</v>
      </c>
      <c r="G182" s="18" t="s">
        <v>23</v>
      </c>
      <c r="H182" s="18" t="s">
        <v>23</v>
      </c>
      <c r="I182" s="18" t="s">
        <v>23</v>
      </c>
      <c r="J182" s="43" t="s">
        <v>21</v>
      </c>
      <c r="K182" s="43" t="s">
        <v>21</v>
      </c>
      <c r="L182" s="43" t="s">
        <v>21</v>
      </c>
      <c r="M182" s="18" t="s">
        <v>21</v>
      </c>
      <c r="N182" s="18" t="s">
        <v>21</v>
      </c>
      <c r="O182" s="18" t="s">
        <v>20</v>
      </c>
      <c r="P182" s="18" t="s">
        <v>23</v>
      </c>
      <c r="Q182" s="18" t="s">
        <v>21</v>
      </c>
      <c r="R182" s="18" t="s">
        <v>21</v>
      </c>
      <c r="S182" s="18" t="s">
        <v>21</v>
      </c>
      <c r="T182" s="18" t="s">
        <v>21</v>
      </c>
      <c r="U182" s="18" t="s">
        <v>20</v>
      </c>
      <c r="V182" s="49" t="s">
        <v>20</v>
      </c>
      <c r="W182" s="37" t="s">
        <v>20</v>
      </c>
      <c r="X182" s="37" t="s">
        <v>20</v>
      </c>
      <c r="Y182" s="18" t="s">
        <v>20</v>
      </c>
      <c r="Z182" s="18" t="s">
        <v>20</v>
      </c>
      <c r="AA182" s="20" t="s">
        <v>21</v>
      </c>
      <c r="AB182" s="20" t="s">
        <v>21</v>
      </c>
      <c r="AC182" s="20" t="s">
        <v>21</v>
      </c>
      <c r="AD182" s="29" t="s">
        <v>21</v>
      </c>
      <c r="AE182" s="29" t="s">
        <v>21</v>
      </c>
      <c r="AG182">
        <f t="shared" si="18"/>
        <v>0</v>
      </c>
      <c r="AH182">
        <f t="shared" si="19"/>
        <v>7</v>
      </c>
      <c r="AI182">
        <f t="shared" si="20"/>
        <v>14</v>
      </c>
      <c r="AJ182">
        <f t="shared" si="21"/>
        <v>5</v>
      </c>
      <c r="AL182">
        <f t="shared" si="22"/>
        <v>0</v>
      </c>
      <c r="AM182">
        <f t="shared" si="23"/>
        <v>21</v>
      </c>
      <c r="AN182">
        <f t="shared" si="24"/>
        <v>28</v>
      </c>
      <c r="AO182">
        <f t="shared" si="25"/>
        <v>5</v>
      </c>
      <c r="AP182">
        <f t="shared" si="26"/>
        <v>54</v>
      </c>
    </row>
    <row r="183" spans="1:42" ht="15.75" hidden="1" customHeight="1" x14ac:dyDescent="0.3">
      <c r="A183" s="16"/>
      <c r="B183" s="55">
        <v>5</v>
      </c>
      <c r="C183" s="56" t="s">
        <v>201</v>
      </c>
      <c r="D183" s="55">
        <v>5</v>
      </c>
      <c r="E183" s="55" t="s">
        <v>20</v>
      </c>
      <c r="F183" s="18" t="s">
        <v>20</v>
      </c>
      <c r="G183" s="18" t="s">
        <v>20</v>
      </c>
      <c r="H183" s="18" t="s">
        <v>39</v>
      </c>
      <c r="I183" s="18" t="s">
        <v>39</v>
      </c>
      <c r="J183" s="43" t="s">
        <v>20</v>
      </c>
      <c r="K183" s="43" t="s">
        <v>20</v>
      </c>
      <c r="L183" s="43" t="s">
        <v>20</v>
      </c>
      <c r="M183" s="18" t="s">
        <v>20</v>
      </c>
      <c r="N183" s="18" t="s">
        <v>20</v>
      </c>
      <c r="O183" s="18" t="s">
        <v>20</v>
      </c>
      <c r="P183" s="18" t="s">
        <v>20</v>
      </c>
      <c r="Q183" s="18" t="s">
        <v>21</v>
      </c>
      <c r="R183" s="18" t="s">
        <v>21</v>
      </c>
      <c r="S183" s="18" t="s">
        <v>20</v>
      </c>
      <c r="T183" s="18" t="s">
        <v>21</v>
      </c>
      <c r="U183" s="18" t="s">
        <v>20</v>
      </c>
      <c r="V183" s="50" t="s">
        <v>20</v>
      </c>
      <c r="W183" s="37" t="s">
        <v>20</v>
      </c>
      <c r="X183" s="37" t="s">
        <v>20</v>
      </c>
      <c r="Y183" s="18" t="s">
        <v>20</v>
      </c>
      <c r="Z183" s="18" t="s">
        <v>20</v>
      </c>
      <c r="AA183" s="20" t="s">
        <v>21</v>
      </c>
      <c r="AB183" s="20" t="s">
        <v>21</v>
      </c>
      <c r="AC183" s="20" t="s">
        <v>21</v>
      </c>
      <c r="AD183" s="29" t="s">
        <v>20</v>
      </c>
      <c r="AE183" s="29" t="s">
        <v>21</v>
      </c>
      <c r="AG183">
        <f t="shared" si="18"/>
        <v>2</v>
      </c>
      <c r="AH183">
        <f t="shared" si="19"/>
        <v>17</v>
      </c>
      <c r="AI183">
        <f t="shared" si="20"/>
        <v>7</v>
      </c>
      <c r="AJ183">
        <f t="shared" si="21"/>
        <v>0</v>
      </c>
      <c r="AL183">
        <f t="shared" si="22"/>
        <v>8</v>
      </c>
      <c r="AM183">
        <f t="shared" si="23"/>
        <v>51</v>
      </c>
      <c r="AN183">
        <f t="shared" si="24"/>
        <v>14</v>
      </c>
      <c r="AO183">
        <f t="shared" si="25"/>
        <v>0</v>
      </c>
      <c r="AP183">
        <f t="shared" si="26"/>
        <v>73</v>
      </c>
    </row>
    <row r="184" spans="1:42" ht="15.75" hidden="1" customHeight="1" x14ac:dyDescent="0.3">
      <c r="A184" s="16"/>
      <c r="B184" s="55">
        <v>6</v>
      </c>
      <c r="C184" s="56" t="s">
        <v>202</v>
      </c>
      <c r="D184" s="55">
        <v>5</v>
      </c>
      <c r="E184" s="55" t="s">
        <v>20</v>
      </c>
      <c r="F184" s="18" t="s">
        <v>20</v>
      </c>
      <c r="G184" s="18" t="s">
        <v>20</v>
      </c>
      <c r="H184" s="18" t="s">
        <v>39</v>
      </c>
      <c r="I184" s="18" t="s">
        <v>39</v>
      </c>
      <c r="J184" s="43" t="s">
        <v>20</v>
      </c>
      <c r="K184" s="43" t="s">
        <v>20</v>
      </c>
      <c r="L184" s="43" t="s">
        <v>20</v>
      </c>
      <c r="M184" s="18" t="s">
        <v>20</v>
      </c>
      <c r="N184" s="18" t="s">
        <v>20</v>
      </c>
      <c r="O184" s="18" t="s">
        <v>20</v>
      </c>
      <c r="P184" s="18" t="s">
        <v>21</v>
      </c>
      <c r="Q184" s="18" t="s">
        <v>21</v>
      </c>
      <c r="R184" s="18" t="s">
        <v>21</v>
      </c>
      <c r="S184" s="18" t="s">
        <v>21</v>
      </c>
      <c r="T184" s="18" t="s">
        <v>20</v>
      </c>
      <c r="U184" s="18" t="s">
        <v>20</v>
      </c>
      <c r="V184" s="49" t="s">
        <v>20</v>
      </c>
      <c r="W184" s="37" t="s">
        <v>20</v>
      </c>
      <c r="X184" s="53" t="s">
        <v>20</v>
      </c>
      <c r="Y184" s="18" t="s">
        <v>20</v>
      </c>
      <c r="Z184" s="18" t="s">
        <v>20</v>
      </c>
      <c r="AA184" s="20" t="s">
        <v>20</v>
      </c>
      <c r="AB184" s="20" t="s">
        <v>20</v>
      </c>
      <c r="AC184" s="20" t="s">
        <v>20</v>
      </c>
      <c r="AD184" s="29" t="s">
        <v>20</v>
      </c>
      <c r="AE184" s="29" t="s">
        <v>21</v>
      </c>
      <c r="AG184">
        <f t="shared" si="18"/>
        <v>2</v>
      </c>
      <c r="AH184">
        <f t="shared" si="19"/>
        <v>19</v>
      </c>
      <c r="AI184">
        <f t="shared" si="20"/>
        <v>5</v>
      </c>
      <c r="AJ184">
        <f t="shared" si="21"/>
        <v>0</v>
      </c>
      <c r="AL184">
        <f t="shared" si="22"/>
        <v>8</v>
      </c>
      <c r="AM184">
        <f t="shared" si="23"/>
        <v>57</v>
      </c>
      <c r="AN184">
        <f t="shared" si="24"/>
        <v>10</v>
      </c>
      <c r="AO184">
        <f t="shared" si="25"/>
        <v>0</v>
      </c>
      <c r="AP184">
        <f t="shared" si="26"/>
        <v>75</v>
      </c>
    </row>
    <row r="185" spans="1:42" ht="15.75" hidden="1" customHeight="1" x14ac:dyDescent="0.3">
      <c r="A185" s="16"/>
      <c r="B185" s="55">
        <v>7</v>
      </c>
      <c r="C185" s="56" t="s">
        <v>203</v>
      </c>
      <c r="D185" s="55">
        <v>5</v>
      </c>
      <c r="E185" s="55" t="s">
        <v>20</v>
      </c>
      <c r="F185" s="18" t="s">
        <v>23</v>
      </c>
      <c r="G185" s="18" t="s">
        <v>21</v>
      </c>
      <c r="H185" s="18" t="s">
        <v>23</v>
      </c>
      <c r="I185" s="18" t="s">
        <v>21</v>
      </c>
      <c r="J185" s="43" t="s">
        <v>20</v>
      </c>
      <c r="K185" s="43" t="s">
        <v>20</v>
      </c>
      <c r="L185" s="43" t="s">
        <v>21</v>
      </c>
      <c r="M185" s="18" t="s">
        <v>21</v>
      </c>
      <c r="N185" s="18" t="s">
        <v>20</v>
      </c>
      <c r="O185" s="18" t="s">
        <v>20</v>
      </c>
      <c r="P185" s="18" t="s">
        <v>21</v>
      </c>
      <c r="Q185" s="18" t="s">
        <v>20</v>
      </c>
      <c r="R185" s="18" t="s">
        <v>20</v>
      </c>
      <c r="S185" s="18" t="s">
        <v>21</v>
      </c>
      <c r="T185" s="18" t="s">
        <v>21</v>
      </c>
      <c r="U185" s="18" t="s">
        <v>20</v>
      </c>
      <c r="V185" s="49" t="s">
        <v>20</v>
      </c>
      <c r="W185" s="37" t="s">
        <v>20</v>
      </c>
      <c r="X185" s="37" t="s">
        <v>20</v>
      </c>
      <c r="Y185" s="18" t="s">
        <v>20</v>
      </c>
      <c r="Z185" s="18" t="s">
        <v>21</v>
      </c>
      <c r="AA185" s="20" t="s">
        <v>21</v>
      </c>
      <c r="AB185" s="20" t="s">
        <v>20</v>
      </c>
      <c r="AC185" s="20" t="s">
        <v>21</v>
      </c>
      <c r="AD185" s="29" t="s">
        <v>20</v>
      </c>
      <c r="AE185" s="29" t="s">
        <v>21</v>
      </c>
      <c r="AG185">
        <f t="shared" si="18"/>
        <v>0</v>
      </c>
      <c r="AH185">
        <f t="shared" si="19"/>
        <v>13</v>
      </c>
      <c r="AI185">
        <f t="shared" si="20"/>
        <v>11</v>
      </c>
      <c r="AJ185">
        <f t="shared" si="21"/>
        <v>2</v>
      </c>
      <c r="AL185">
        <f t="shared" si="22"/>
        <v>0</v>
      </c>
      <c r="AM185">
        <f t="shared" si="23"/>
        <v>39</v>
      </c>
      <c r="AN185">
        <f t="shared" si="24"/>
        <v>22</v>
      </c>
      <c r="AO185">
        <f t="shared" si="25"/>
        <v>2</v>
      </c>
      <c r="AP185">
        <f t="shared" si="26"/>
        <v>63</v>
      </c>
    </row>
    <row r="186" spans="1:42" ht="15.75" hidden="1" customHeight="1" x14ac:dyDescent="0.3">
      <c r="A186" s="16"/>
      <c r="B186" s="55">
        <v>8</v>
      </c>
      <c r="C186" s="56" t="s">
        <v>204</v>
      </c>
      <c r="D186" s="55">
        <v>5</v>
      </c>
      <c r="E186" s="55" t="s">
        <v>20</v>
      </c>
      <c r="F186" s="18" t="s">
        <v>21</v>
      </c>
      <c r="G186" s="18" t="s">
        <v>21</v>
      </c>
      <c r="H186" s="18" t="s">
        <v>21</v>
      </c>
      <c r="I186" s="18" t="s">
        <v>21</v>
      </c>
      <c r="J186" s="43" t="s">
        <v>21</v>
      </c>
      <c r="K186" s="43" t="s">
        <v>21</v>
      </c>
      <c r="L186" s="43" t="s">
        <v>21</v>
      </c>
      <c r="M186" s="18" t="s">
        <v>21</v>
      </c>
      <c r="N186" s="18" t="s">
        <v>20</v>
      </c>
      <c r="O186" s="18" t="s">
        <v>20</v>
      </c>
      <c r="P186" s="18" t="s">
        <v>21</v>
      </c>
      <c r="Q186" s="18" t="s">
        <v>23</v>
      </c>
      <c r="R186" s="18" t="s">
        <v>21</v>
      </c>
      <c r="S186" s="18" t="s">
        <v>21</v>
      </c>
      <c r="T186" s="18" t="s">
        <v>21</v>
      </c>
      <c r="U186" s="18" t="s">
        <v>21</v>
      </c>
      <c r="V186" s="49" t="s">
        <v>21</v>
      </c>
      <c r="W186" s="37" t="s">
        <v>20</v>
      </c>
      <c r="X186" s="37" t="s">
        <v>20</v>
      </c>
      <c r="Y186" s="18" t="s">
        <v>21</v>
      </c>
      <c r="Z186" s="18" t="s">
        <v>21</v>
      </c>
      <c r="AA186" s="20" t="s">
        <v>21</v>
      </c>
      <c r="AB186" s="20" t="s">
        <v>21</v>
      </c>
      <c r="AC186" s="20" t="s">
        <v>21</v>
      </c>
      <c r="AD186" s="29" t="s">
        <v>21</v>
      </c>
      <c r="AE186" s="29" t="s">
        <v>21</v>
      </c>
      <c r="AG186">
        <f t="shared" si="18"/>
        <v>0</v>
      </c>
      <c r="AH186">
        <f t="shared" si="19"/>
        <v>4</v>
      </c>
      <c r="AI186">
        <f t="shared" si="20"/>
        <v>21</v>
      </c>
      <c r="AJ186">
        <f t="shared" si="21"/>
        <v>1</v>
      </c>
      <c r="AL186">
        <f t="shared" si="22"/>
        <v>0</v>
      </c>
      <c r="AM186">
        <f t="shared" si="23"/>
        <v>12</v>
      </c>
      <c r="AN186">
        <f t="shared" si="24"/>
        <v>42</v>
      </c>
      <c r="AO186">
        <f t="shared" si="25"/>
        <v>1</v>
      </c>
      <c r="AP186">
        <f t="shared" si="26"/>
        <v>55</v>
      </c>
    </row>
    <row r="187" spans="1:42" ht="15.75" hidden="1" customHeight="1" x14ac:dyDescent="0.3">
      <c r="A187" s="16"/>
      <c r="B187" s="55">
        <v>9</v>
      </c>
      <c r="C187" s="56" t="s">
        <v>205</v>
      </c>
      <c r="D187" s="55">
        <v>5</v>
      </c>
      <c r="E187" s="55" t="s">
        <v>20</v>
      </c>
      <c r="F187" s="18" t="s">
        <v>20</v>
      </c>
      <c r="G187" s="18" t="s">
        <v>20</v>
      </c>
      <c r="H187" s="18" t="s">
        <v>20</v>
      </c>
      <c r="I187" s="18" t="s">
        <v>20</v>
      </c>
      <c r="J187" s="43" t="s">
        <v>20</v>
      </c>
      <c r="K187" s="43" t="s">
        <v>20</v>
      </c>
      <c r="L187" s="43" t="s">
        <v>20</v>
      </c>
      <c r="M187" s="18" t="s">
        <v>20</v>
      </c>
      <c r="N187" s="18" t="s">
        <v>20</v>
      </c>
      <c r="O187" s="18" t="s">
        <v>20</v>
      </c>
      <c r="P187" s="18" t="s">
        <v>21</v>
      </c>
      <c r="Q187" s="18" t="s">
        <v>21</v>
      </c>
      <c r="R187" s="18" t="s">
        <v>20</v>
      </c>
      <c r="S187" s="18" t="s">
        <v>20</v>
      </c>
      <c r="T187" s="18" t="s">
        <v>21</v>
      </c>
      <c r="U187" s="18" t="s">
        <v>21</v>
      </c>
      <c r="V187" s="49" t="s">
        <v>20</v>
      </c>
      <c r="W187" s="37" t="s">
        <v>20</v>
      </c>
      <c r="X187" s="37" t="s">
        <v>20</v>
      </c>
      <c r="Y187" s="18" t="s">
        <v>20</v>
      </c>
      <c r="Z187" s="18" t="s">
        <v>20</v>
      </c>
      <c r="AA187" s="20" t="s">
        <v>20</v>
      </c>
      <c r="AB187" s="20" t="s">
        <v>20</v>
      </c>
      <c r="AC187" s="20" t="s">
        <v>20</v>
      </c>
      <c r="AD187" s="29" t="s">
        <v>20</v>
      </c>
      <c r="AE187" s="29" t="s">
        <v>21</v>
      </c>
      <c r="AG187">
        <f t="shared" si="18"/>
        <v>0</v>
      </c>
      <c r="AH187">
        <f t="shared" si="19"/>
        <v>21</v>
      </c>
      <c r="AI187">
        <f t="shared" si="20"/>
        <v>5</v>
      </c>
      <c r="AJ187">
        <f t="shared" si="21"/>
        <v>0</v>
      </c>
      <c r="AL187">
        <f t="shared" si="22"/>
        <v>0</v>
      </c>
      <c r="AM187">
        <f t="shared" si="23"/>
        <v>63</v>
      </c>
      <c r="AN187">
        <f t="shared" si="24"/>
        <v>10</v>
      </c>
      <c r="AO187">
        <f t="shared" si="25"/>
        <v>0</v>
      </c>
      <c r="AP187">
        <f t="shared" si="26"/>
        <v>73</v>
      </c>
    </row>
    <row r="188" spans="1:42" ht="15.75" hidden="1" customHeight="1" x14ac:dyDescent="0.3">
      <c r="A188" s="16"/>
      <c r="B188" s="55">
        <v>10</v>
      </c>
      <c r="C188" s="56" t="s">
        <v>206</v>
      </c>
      <c r="D188" s="55">
        <v>5</v>
      </c>
      <c r="E188" s="55" t="s">
        <v>20</v>
      </c>
      <c r="F188" s="18" t="s">
        <v>20</v>
      </c>
      <c r="G188" s="18" t="s">
        <v>20</v>
      </c>
      <c r="H188" s="18" t="s">
        <v>20</v>
      </c>
      <c r="I188" s="18" t="s">
        <v>20</v>
      </c>
      <c r="J188" s="43" t="s">
        <v>20</v>
      </c>
      <c r="K188" s="43" t="s">
        <v>20</v>
      </c>
      <c r="L188" s="43" t="s">
        <v>21</v>
      </c>
      <c r="M188" s="18" t="s">
        <v>20</v>
      </c>
      <c r="N188" s="18" t="s">
        <v>20</v>
      </c>
      <c r="O188" s="18" t="s">
        <v>20</v>
      </c>
      <c r="P188" s="18" t="s">
        <v>21</v>
      </c>
      <c r="Q188" s="18" t="s">
        <v>21</v>
      </c>
      <c r="R188" s="18" t="s">
        <v>20</v>
      </c>
      <c r="S188" s="18" t="s">
        <v>20</v>
      </c>
      <c r="T188" s="18" t="s">
        <v>21</v>
      </c>
      <c r="U188" s="18" t="s">
        <v>20</v>
      </c>
      <c r="V188" s="49" t="s">
        <v>20</v>
      </c>
      <c r="W188" s="37" t="s">
        <v>20</v>
      </c>
      <c r="X188" s="37" t="s">
        <v>21</v>
      </c>
      <c r="Y188" s="18" t="s">
        <v>20</v>
      </c>
      <c r="Z188" s="18" t="s">
        <v>20</v>
      </c>
      <c r="AA188" s="20" t="s">
        <v>39</v>
      </c>
      <c r="AB188" s="20" t="s">
        <v>20</v>
      </c>
      <c r="AC188" s="20" t="s">
        <v>20</v>
      </c>
      <c r="AD188" s="29" t="s">
        <v>20</v>
      </c>
      <c r="AE188" s="29" t="s">
        <v>21</v>
      </c>
      <c r="AG188">
        <f t="shared" si="18"/>
        <v>1</v>
      </c>
      <c r="AH188">
        <f t="shared" si="19"/>
        <v>19</v>
      </c>
      <c r="AI188">
        <f t="shared" si="20"/>
        <v>6</v>
      </c>
      <c r="AJ188">
        <f t="shared" si="21"/>
        <v>0</v>
      </c>
      <c r="AL188">
        <f t="shared" si="22"/>
        <v>4</v>
      </c>
      <c r="AM188">
        <f t="shared" si="23"/>
        <v>57</v>
      </c>
      <c r="AN188">
        <f t="shared" si="24"/>
        <v>12</v>
      </c>
      <c r="AO188">
        <f t="shared" si="25"/>
        <v>0</v>
      </c>
      <c r="AP188">
        <f t="shared" si="26"/>
        <v>73</v>
      </c>
    </row>
    <row r="189" spans="1:42" ht="15.75" hidden="1" customHeight="1" x14ac:dyDescent="0.3">
      <c r="A189" s="16"/>
      <c r="B189" s="55">
        <v>11</v>
      </c>
      <c r="C189" s="56" t="s">
        <v>207</v>
      </c>
      <c r="D189" s="55">
        <v>5</v>
      </c>
      <c r="E189" s="55" t="s">
        <v>20</v>
      </c>
      <c r="F189" s="18" t="s">
        <v>20</v>
      </c>
      <c r="G189" s="18" t="s">
        <v>20</v>
      </c>
      <c r="H189" s="18" t="s">
        <v>39</v>
      </c>
      <c r="I189" s="18" t="s">
        <v>20</v>
      </c>
      <c r="J189" s="43" t="s">
        <v>20</v>
      </c>
      <c r="K189" s="43" t="s">
        <v>20</v>
      </c>
      <c r="L189" s="43" t="s">
        <v>20</v>
      </c>
      <c r="M189" s="18" t="s">
        <v>20</v>
      </c>
      <c r="N189" s="18" t="s">
        <v>20</v>
      </c>
      <c r="O189" s="18" t="s">
        <v>20</v>
      </c>
      <c r="P189" s="18" t="s">
        <v>20</v>
      </c>
      <c r="Q189" s="18" t="s">
        <v>20</v>
      </c>
      <c r="R189" s="18" t="s">
        <v>21</v>
      </c>
      <c r="S189" s="18" t="s">
        <v>20</v>
      </c>
      <c r="T189" s="18" t="s">
        <v>21</v>
      </c>
      <c r="U189" s="18" t="s">
        <v>20</v>
      </c>
      <c r="V189" s="49" t="s">
        <v>20</v>
      </c>
      <c r="W189" s="37" t="s">
        <v>20</v>
      </c>
      <c r="X189" s="37" t="s">
        <v>20</v>
      </c>
      <c r="Y189" s="18" t="s">
        <v>20</v>
      </c>
      <c r="Z189" s="18" t="s">
        <v>20</v>
      </c>
      <c r="AA189" s="20" t="s">
        <v>20</v>
      </c>
      <c r="AB189" s="20" t="s">
        <v>20</v>
      </c>
      <c r="AC189" s="20" t="s">
        <v>21</v>
      </c>
      <c r="AD189" s="29" t="s">
        <v>20</v>
      </c>
      <c r="AE189" s="29" t="s">
        <v>21</v>
      </c>
      <c r="AG189">
        <f t="shared" si="18"/>
        <v>1</v>
      </c>
      <c r="AH189">
        <f t="shared" si="19"/>
        <v>21</v>
      </c>
      <c r="AI189">
        <f t="shared" si="20"/>
        <v>4</v>
      </c>
      <c r="AJ189">
        <f t="shared" si="21"/>
        <v>0</v>
      </c>
      <c r="AL189">
        <f t="shared" si="22"/>
        <v>4</v>
      </c>
      <c r="AM189">
        <f t="shared" si="23"/>
        <v>63</v>
      </c>
      <c r="AN189">
        <f t="shared" si="24"/>
        <v>8</v>
      </c>
      <c r="AO189">
        <f t="shared" si="25"/>
        <v>0</v>
      </c>
      <c r="AP189">
        <f t="shared" si="26"/>
        <v>75</v>
      </c>
    </row>
    <row r="190" spans="1:42" ht="15.75" hidden="1" customHeight="1" x14ac:dyDescent="0.3">
      <c r="A190" s="16"/>
      <c r="B190" s="55">
        <v>12</v>
      </c>
      <c r="C190" s="56" t="s">
        <v>208</v>
      </c>
      <c r="D190" s="55">
        <v>5</v>
      </c>
      <c r="E190" s="55" t="s">
        <v>20</v>
      </c>
      <c r="F190" s="18" t="s">
        <v>20</v>
      </c>
      <c r="G190" s="18" t="s">
        <v>39</v>
      </c>
      <c r="H190" s="18" t="s">
        <v>20</v>
      </c>
      <c r="I190" s="18" t="s">
        <v>39</v>
      </c>
      <c r="J190" s="43" t="s">
        <v>20</v>
      </c>
      <c r="K190" s="43" t="s">
        <v>39</v>
      </c>
      <c r="L190" s="43" t="s">
        <v>20</v>
      </c>
      <c r="M190" s="18" t="s">
        <v>20</v>
      </c>
      <c r="N190" s="18" t="s">
        <v>20</v>
      </c>
      <c r="O190" s="18" t="s">
        <v>20</v>
      </c>
      <c r="P190" s="18" t="s">
        <v>20</v>
      </c>
      <c r="Q190" s="18" t="s">
        <v>20</v>
      </c>
      <c r="R190" s="18" t="s">
        <v>20</v>
      </c>
      <c r="S190" s="18" t="s">
        <v>20</v>
      </c>
      <c r="T190" s="18" t="s">
        <v>20</v>
      </c>
      <c r="U190" s="18" t="s">
        <v>20</v>
      </c>
      <c r="V190" s="49" t="s">
        <v>20</v>
      </c>
      <c r="W190" s="37" t="s">
        <v>20</v>
      </c>
      <c r="X190" s="37" t="s">
        <v>20</v>
      </c>
      <c r="Y190" s="18" t="s">
        <v>39</v>
      </c>
      <c r="Z190" s="18" t="s">
        <v>39</v>
      </c>
      <c r="AA190" s="20" t="s">
        <v>20</v>
      </c>
      <c r="AB190" s="20" t="s">
        <v>20</v>
      </c>
      <c r="AC190" s="20" t="s">
        <v>20</v>
      </c>
      <c r="AD190" s="29" t="s">
        <v>20</v>
      </c>
      <c r="AE190" s="29" t="s">
        <v>21</v>
      </c>
      <c r="AG190">
        <f t="shared" si="18"/>
        <v>5</v>
      </c>
      <c r="AH190">
        <f t="shared" si="19"/>
        <v>20</v>
      </c>
      <c r="AI190">
        <f t="shared" si="20"/>
        <v>1</v>
      </c>
      <c r="AJ190">
        <f t="shared" si="21"/>
        <v>0</v>
      </c>
      <c r="AL190">
        <f t="shared" si="22"/>
        <v>20</v>
      </c>
      <c r="AM190">
        <f t="shared" si="23"/>
        <v>60</v>
      </c>
      <c r="AN190">
        <f t="shared" si="24"/>
        <v>2</v>
      </c>
      <c r="AO190">
        <f t="shared" si="25"/>
        <v>0</v>
      </c>
      <c r="AP190">
        <f t="shared" si="26"/>
        <v>82</v>
      </c>
    </row>
    <row r="191" spans="1:42" ht="15.75" hidden="1" customHeight="1" x14ac:dyDescent="0.3">
      <c r="A191" s="16"/>
      <c r="B191" s="55">
        <v>13</v>
      </c>
      <c r="C191" s="56" t="s">
        <v>209</v>
      </c>
      <c r="D191" s="55">
        <v>5</v>
      </c>
      <c r="E191" s="55" t="s">
        <v>20</v>
      </c>
      <c r="F191" s="18" t="s">
        <v>20</v>
      </c>
      <c r="G191" s="18" t="s">
        <v>20</v>
      </c>
      <c r="H191" s="18" t="s">
        <v>20</v>
      </c>
      <c r="I191" s="18" t="s">
        <v>20</v>
      </c>
      <c r="J191" s="43" t="s">
        <v>20</v>
      </c>
      <c r="K191" s="43" t="s">
        <v>20</v>
      </c>
      <c r="L191" s="43" t="s">
        <v>20</v>
      </c>
      <c r="M191" s="18" t="s">
        <v>20</v>
      </c>
      <c r="N191" s="18" t="s">
        <v>20</v>
      </c>
      <c r="O191" s="18" t="s">
        <v>20</v>
      </c>
      <c r="P191" s="18" t="s">
        <v>21</v>
      </c>
      <c r="Q191" s="18" t="s">
        <v>21</v>
      </c>
      <c r="R191" s="18" t="s">
        <v>20</v>
      </c>
      <c r="S191" s="18" t="s">
        <v>21</v>
      </c>
      <c r="T191" s="18" t="s">
        <v>21</v>
      </c>
      <c r="U191" s="18" t="s">
        <v>20</v>
      </c>
      <c r="V191" s="49" t="s">
        <v>20</v>
      </c>
      <c r="W191" s="37" t="s">
        <v>20</v>
      </c>
      <c r="X191" s="37" t="s">
        <v>20</v>
      </c>
      <c r="Y191" s="18" t="s">
        <v>20</v>
      </c>
      <c r="Z191" s="18" t="s">
        <v>39</v>
      </c>
      <c r="AA191" s="20" t="s">
        <v>39</v>
      </c>
      <c r="AB191" s="20" t="s">
        <v>20</v>
      </c>
      <c r="AC191" s="20" t="s">
        <v>39</v>
      </c>
      <c r="AD191" s="29" t="s">
        <v>20</v>
      </c>
      <c r="AE191" s="29" t="s">
        <v>21</v>
      </c>
      <c r="AG191">
        <f t="shared" si="18"/>
        <v>3</v>
      </c>
      <c r="AH191">
        <f t="shared" si="19"/>
        <v>18</v>
      </c>
      <c r="AI191">
        <f t="shared" si="20"/>
        <v>5</v>
      </c>
      <c r="AJ191">
        <f t="shared" si="21"/>
        <v>0</v>
      </c>
      <c r="AL191">
        <f t="shared" si="22"/>
        <v>12</v>
      </c>
      <c r="AM191">
        <f t="shared" si="23"/>
        <v>54</v>
      </c>
      <c r="AN191">
        <f t="shared" si="24"/>
        <v>10</v>
      </c>
      <c r="AO191">
        <f t="shared" si="25"/>
        <v>0</v>
      </c>
      <c r="AP191">
        <f t="shared" si="26"/>
        <v>76</v>
      </c>
    </row>
    <row r="192" spans="1:42" ht="15.75" hidden="1" customHeight="1" x14ac:dyDescent="0.3">
      <c r="A192" s="16"/>
      <c r="B192" s="55">
        <v>14</v>
      </c>
      <c r="C192" s="56" t="s">
        <v>210</v>
      </c>
      <c r="D192" s="55">
        <v>5</v>
      </c>
      <c r="E192" s="55" t="s">
        <v>20</v>
      </c>
      <c r="F192" s="18" t="s">
        <v>20</v>
      </c>
      <c r="G192" s="18" t="s">
        <v>20</v>
      </c>
      <c r="H192" s="18" t="s">
        <v>39</v>
      </c>
      <c r="I192" s="18" t="s">
        <v>20</v>
      </c>
      <c r="J192" s="43" t="s">
        <v>20</v>
      </c>
      <c r="K192" s="43" t="s">
        <v>39</v>
      </c>
      <c r="L192" s="43" t="s">
        <v>20</v>
      </c>
      <c r="M192" s="18" t="s">
        <v>21</v>
      </c>
      <c r="N192" s="18" t="s">
        <v>20</v>
      </c>
      <c r="O192" s="18" t="s">
        <v>20</v>
      </c>
      <c r="P192" s="18" t="s">
        <v>20</v>
      </c>
      <c r="Q192" s="18" t="s">
        <v>20</v>
      </c>
      <c r="R192" s="18" t="s">
        <v>20</v>
      </c>
      <c r="S192" s="18" t="s">
        <v>20</v>
      </c>
      <c r="T192" s="18" t="s">
        <v>21</v>
      </c>
      <c r="U192" s="18" t="s">
        <v>20</v>
      </c>
      <c r="V192" s="37" t="s">
        <v>20</v>
      </c>
      <c r="W192" s="37" t="s">
        <v>20</v>
      </c>
      <c r="X192" s="37" t="s">
        <v>20</v>
      </c>
      <c r="Y192" s="18" t="s">
        <v>20</v>
      </c>
      <c r="Z192" s="18" t="s">
        <v>39</v>
      </c>
      <c r="AA192" s="20" t="s">
        <v>21</v>
      </c>
      <c r="AB192" s="20" t="s">
        <v>20</v>
      </c>
      <c r="AC192" s="20" t="s">
        <v>20</v>
      </c>
      <c r="AD192" s="18" t="s">
        <v>20</v>
      </c>
      <c r="AE192" s="18" t="s">
        <v>21</v>
      </c>
      <c r="AG192">
        <f t="shared" si="18"/>
        <v>3</v>
      </c>
      <c r="AH192">
        <f t="shared" si="19"/>
        <v>19</v>
      </c>
      <c r="AI192">
        <f t="shared" si="20"/>
        <v>4</v>
      </c>
      <c r="AJ192">
        <f t="shared" si="21"/>
        <v>0</v>
      </c>
      <c r="AL192">
        <f t="shared" si="22"/>
        <v>12</v>
      </c>
      <c r="AM192">
        <f t="shared" si="23"/>
        <v>57</v>
      </c>
      <c r="AN192">
        <f t="shared" si="24"/>
        <v>8</v>
      </c>
      <c r="AO192">
        <f t="shared" si="25"/>
        <v>0</v>
      </c>
      <c r="AP192">
        <f t="shared" si="26"/>
        <v>77</v>
      </c>
    </row>
    <row r="193" spans="1:42" ht="15.75" hidden="1" customHeight="1" x14ac:dyDescent="0.3">
      <c r="A193" s="16"/>
      <c r="B193" s="55">
        <v>15</v>
      </c>
      <c r="C193" s="56" t="s">
        <v>211</v>
      </c>
      <c r="D193" s="55">
        <v>5</v>
      </c>
      <c r="E193" s="55" t="s">
        <v>20</v>
      </c>
      <c r="F193" s="18" t="s">
        <v>21</v>
      </c>
      <c r="G193" s="18" t="s">
        <v>21</v>
      </c>
      <c r="H193" s="18" t="s">
        <v>21</v>
      </c>
      <c r="I193" s="18" t="s">
        <v>21</v>
      </c>
      <c r="J193" s="43" t="s">
        <v>20</v>
      </c>
      <c r="K193" s="43" t="s">
        <v>20</v>
      </c>
      <c r="L193" s="43" t="s">
        <v>21</v>
      </c>
      <c r="M193" s="18" t="s">
        <v>20</v>
      </c>
      <c r="N193" s="18" t="s">
        <v>21</v>
      </c>
      <c r="O193" s="18" t="s">
        <v>20</v>
      </c>
      <c r="P193" s="18" t="s">
        <v>20</v>
      </c>
      <c r="Q193" s="18" t="s">
        <v>21</v>
      </c>
      <c r="R193" s="18" t="s">
        <v>21</v>
      </c>
      <c r="S193" s="18" t="s">
        <v>21</v>
      </c>
      <c r="T193" s="18" t="s">
        <v>21</v>
      </c>
      <c r="U193" s="18" t="s">
        <v>20</v>
      </c>
      <c r="V193" s="37" t="s">
        <v>20</v>
      </c>
      <c r="W193" s="37" t="s">
        <v>20</v>
      </c>
      <c r="X193" s="37" t="s">
        <v>20</v>
      </c>
      <c r="Y193" s="18" t="s">
        <v>21</v>
      </c>
      <c r="Z193" s="18" t="s">
        <v>21</v>
      </c>
      <c r="AA193" s="20" t="s">
        <v>21</v>
      </c>
      <c r="AB193" s="20" t="s">
        <v>21</v>
      </c>
      <c r="AC193" s="20" t="s">
        <v>20</v>
      </c>
      <c r="AD193" s="18" t="s">
        <v>20</v>
      </c>
      <c r="AE193" s="18" t="s">
        <v>21</v>
      </c>
      <c r="AG193">
        <f t="shared" si="18"/>
        <v>0</v>
      </c>
      <c r="AH193">
        <f t="shared" si="19"/>
        <v>11</v>
      </c>
      <c r="AI193">
        <f t="shared" si="20"/>
        <v>15</v>
      </c>
      <c r="AJ193">
        <f t="shared" si="21"/>
        <v>0</v>
      </c>
      <c r="AL193">
        <f t="shared" si="22"/>
        <v>0</v>
      </c>
      <c r="AM193">
        <f t="shared" si="23"/>
        <v>33</v>
      </c>
      <c r="AN193">
        <f t="shared" si="24"/>
        <v>30</v>
      </c>
      <c r="AO193">
        <f t="shared" si="25"/>
        <v>0</v>
      </c>
      <c r="AP193">
        <f t="shared" si="26"/>
        <v>63</v>
      </c>
    </row>
    <row r="194" spans="1:42" ht="15.75" hidden="1" customHeight="1" x14ac:dyDescent="0.3">
      <c r="A194" s="16"/>
      <c r="B194" s="55">
        <v>16</v>
      </c>
      <c r="C194" s="56" t="s">
        <v>212</v>
      </c>
      <c r="D194" s="55">
        <v>5</v>
      </c>
      <c r="E194" s="55" t="s">
        <v>20</v>
      </c>
      <c r="F194" s="18" t="s">
        <v>20</v>
      </c>
      <c r="G194" s="18" t="s">
        <v>20</v>
      </c>
      <c r="H194" s="18" t="s">
        <v>39</v>
      </c>
      <c r="I194" s="18" t="s">
        <v>39</v>
      </c>
      <c r="J194" s="43" t="s">
        <v>20</v>
      </c>
      <c r="K194" s="43" t="s">
        <v>20</v>
      </c>
      <c r="L194" s="43" t="s">
        <v>20</v>
      </c>
      <c r="M194" s="18" t="s">
        <v>20</v>
      </c>
      <c r="N194" s="18" t="s">
        <v>20</v>
      </c>
      <c r="O194" s="18" t="s">
        <v>20</v>
      </c>
      <c r="P194" s="18" t="s">
        <v>21</v>
      </c>
      <c r="Q194" s="18" t="s">
        <v>21</v>
      </c>
      <c r="R194" s="18" t="s">
        <v>21</v>
      </c>
      <c r="S194" s="18" t="s">
        <v>20</v>
      </c>
      <c r="T194" s="18" t="s">
        <v>21</v>
      </c>
      <c r="U194" s="18" t="s">
        <v>20</v>
      </c>
      <c r="V194" s="37" t="s">
        <v>20</v>
      </c>
      <c r="W194" s="37" t="s">
        <v>20</v>
      </c>
      <c r="X194" s="37" t="s">
        <v>20</v>
      </c>
      <c r="Y194" s="18" t="s">
        <v>20</v>
      </c>
      <c r="Z194" s="18" t="s">
        <v>20</v>
      </c>
      <c r="AA194" s="20" t="s">
        <v>20</v>
      </c>
      <c r="AB194" s="20" t="s">
        <v>20</v>
      </c>
      <c r="AC194" s="20" t="s">
        <v>20</v>
      </c>
      <c r="AD194" s="18" t="s">
        <v>20</v>
      </c>
      <c r="AE194" s="18" t="s">
        <v>21</v>
      </c>
      <c r="AG194">
        <f t="shared" si="18"/>
        <v>2</v>
      </c>
      <c r="AH194">
        <f t="shared" si="19"/>
        <v>19</v>
      </c>
      <c r="AI194">
        <f t="shared" si="20"/>
        <v>5</v>
      </c>
      <c r="AJ194">
        <f t="shared" si="21"/>
        <v>0</v>
      </c>
      <c r="AL194">
        <f t="shared" si="22"/>
        <v>8</v>
      </c>
      <c r="AM194">
        <f t="shared" si="23"/>
        <v>57</v>
      </c>
      <c r="AN194">
        <f t="shared" si="24"/>
        <v>10</v>
      </c>
      <c r="AO194">
        <f t="shared" si="25"/>
        <v>0</v>
      </c>
      <c r="AP194">
        <f t="shared" si="26"/>
        <v>75</v>
      </c>
    </row>
    <row r="195" spans="1:42" ht="15.75" hidden="1" customHeight="1" x14ac:dyDescent="0.3">
      <c r="A195" s="16"/>
      <c r="B195" s="55">
        <v>17</v>
      </c>
      <c r="C195" s="56" t="s">
        <v>213</v>
      </c>
      <c r="D195" s="55">
        <v>5</v>
      </c>
      <c r="E195" s="55" t="s">
        <v>20</v>
      </c>
      <c r="F195" s="18" t="s">
        <v>23</v>
      </c>
      <c r="G195" s="18" t="s">
        <v>23</v>
      </c>
      <c r="H195" s="18" t="s">
        <v>23</v>
      </c>
      <c r="I195" s="18" t="s">
        <v>23</v>
      </c>
      <c r="J195" s="43" t="s">
        <v>21</v>
      </c>
      <c r="K195" s="43" t="s">
        <v>21</v>
      </c>
      <c r="L195" s="43" t="s">
        <v>21</v>
      </c>
      <c r="M195" s="18" t="s">
        <v>21</v>
      </c>
      <c r="N195" s="18" t="s">
        <v>21</v>
      </c>
      <c r="O195" s="18" t="s">
        <v>20</v>
      </c>
      <c r="P195" s="18" t="s">
        <v>23</v>
      </c>
      <c r="Q195" s="18" t="s">
        <v>21</v>
      </c>
      <c r="R195" s="18" t="s">
        <v>23</v>
      </c>
      <c r="S195" s="18" t="s">
        <v>21</v>
      </c>
      <c r="T195" s="18" t="s">
        <v>23</v>
      </c>
      <c r="U195" s="18" t="s">
        <v>20</v>
      </c>
      <c r="V195" s="37" t="s">
        <v>21</v>
      </c>
      <c r="W195" s="37" t="s">
        <v>21</v>
      </c>
      <c r="X195" s="37" t="s">
        <v>21</v>
      </c>
      <c r="Y195" s="18" t="s">
        <v>21</v>
      </c>
      <c r="Z195" s="18" t="s">
        <v>21</v>
      </c>
      <c r="AA195" s="20" t="s">
        <v>23</v>
      </c>
      <c r="AB195" s="20" t="s">
        <v>21</v>
      </c>
      <c r="AC195" s="20" t="s">
        <v>23</v>
      </c>
      <c r="AD195" s="18" t="s">
        <v>23</v>
      </c>
      <c r="AE195" s="18" t="s">
        <v>21</v>
      </c>
      <c r="AG195">
        <f t="shared" si="18"/>
        <v>0</v>
      </c>
      <c r="AH195">
        <f t="shared" si="19"/>
        <v>2</v>
      </c>
      <c r="AI195">
        <f t="shared" si="20"/>
        <v>14</v>
      </c>
      <c r="AJ195">
        <f t="shared" si="21"/>
        <v>10</v>
      </c>
      <c r="AL195">
        <f t="shared" si="22"/>
        <v>0</v>
      </c>
      <c r="AM195">
        <f t="shared" si="23"/>
        <v>6</v>
      </c>
      <c r="AN195">
        <f t="shared" si="24"/>
        <v>28</v>
      </c>
      <c r="AO195">
        <f t="shared" si="25"/>
        <v>10</v>
      </c>
      <c r="AP195">
        <f t="shared" si="26"/>
        <v>44</v>
      </c>
    </row>
    <row r="196" spans="1:42" ht="15.75" hidden="1" customHeight="1" x14ac:dyDescent="0.3">
      <c r="A196" s="16"/>
      <c r="B196" s="55">
        <v>18</v>
      </c>
      <c r="C196" s="56" t="s">
        <v>214</v>
      </c>
      <c r="D196" s="55">
        <v>5</v>
      </c>
      <c r="E196" s="55" t="s">
        <v>20</v>
      </c>
      <c r="F196" s="18" t="s">
        <v>20</v>
      </c>
      <c r="G196" s="18" t="s">
        <v>20</v>
      </c>
      <c r="H196" s="18" t="s">
        <v>20</v>
      </c>
      <c r="I196" s="18" t="s">
        <v>20</v>
      </c>
      <c r="J196" s="43" t="s">
        <v>20</v>
      </c>
      <c r="K196" s="43" t="s">
        <v>20</v>
      </c>
      <c r="L196" s="43" t="s">
        <v>21</v>
      </c>
      <c r="M196" s="18" t="s">
        <v>20</v>
      </c>
      <c r="N196" s="18" t="s">
        <v>20</v>
      </c>
      <c r="O196" s="18" t="s">
        <v>20</v>
      </c>
      <c r="P196" s="18" t="s">
        <v>21</v>
      </c>
      <c r="Q196" s="18" t="s">
        <v>20</v>
      </c>
      <c r="R196" s="18" t="s">
        <v>21</v>
      </c>
      <c r="S196" s="18" t="s">
        <v>21</v>
      </c>
      <c r="T196" s="18" t="s">
        <v>21</v>
      </c>
      <c r="U196" s="18" t="s">
        <v>20</v>
      </c>
      <c r="V196" s="37" t="s">
        <v>20</v>
      </c>
      <c r="W196" s="37" t="s">
        <v>20</v>
      </c>
      <c r="X196" s="37" t="s">
        <v>20</v>
      </c>
      <c r="Y196" s="18" t="s">
        <v>20</v>
      </c>
      <c r="Z196" s="18" t="s">
        <v>20</v>
      </c>
      <c r="AA196" s="20" t="s">
        <v>20</v>
      </c>
      <c r="AB196" s="20" t="s">
        <v>20</v>
      </c>
      <c r="AC196" s="20" t="s">
        <v>20</v>
      </c>
      <c r="AD196" s="18" t="s">
        <v>20</v>
      </c>
      <c r="AE196" s="18" t="s">
        <v>21</v>
      </c>
      <c r="AG196">
        <f t="shared" si="18"/>
        <v>0</v>
      </c>
      <c r="AH196">
        <f t="shared" si="19"/>
        <v>20</v>
      </c>
      <c r="AI196">
        <f t="shared" si="20"/>
        <v>6</v>
      </c>
      <c r="AJ196">
        <f t="shared" si="21"/>
        <v>0</v>
      </c>
      <c r="AL196">
        <f t="shared" si="22"/>
        <v>0</v>
      </c>
      <c r="AM196">
        <f t="shared" si="23"/>
        <v>60</v>
      </c>
      <c r="AN196">
        <f t="shared" si="24"/>
        <v>12</v>
      </c>
      <c r="AO196">
        <f t="shared" si="25"/>
        <v>0</v>
      </c>
      <c r="AP196">
        <f t="shared" si="26"/>
        <v>72</v>
      </c>
    </row>
    <row r="197" spans="1:42" ht="15.75" hidden="1" customHeight="1" x14ac:dyDescent="0.3">
      <c r="A197" s="16"/>
      <c r="B197" s="55">
        <v>19</v>
      </c>
      <c r="C197" s="56" t="s">
        <v>215</v>
      </c>
      <c r="D197" s="55">
        <v>5</v>
      </c>
      <c r="E197" s="55" t="s">
        <v>20</v>
      </c>
      <c r="F197" s="18" t="s">
        <v>20</v>
      </c>
      <c r="G197" s="18" t="s">
        <v>20</v>
      </c>
      <c r="H197" s="18" t="s">
        <v>20</v>
      </c>
      <c r="I197" s="18" t="s">
        <v>20</v>
      </c>
      <c r="J197" s="43" t="s">
        <v>20</v>
      </c>
      <c r="K197" s="43" t="s">
        <v>20</v>
      </c>
      <c r="L197" s="43" t="s">
        <v>20</v>
      </c>
      <c r="M197" s="18" t="s">
        <v>20</v>
      </c>
      <c r="N197" s="18" t="s">
        <v>20</v>
      </c>
      <c r="O197" s="18" t="s">
        <v>20</v>
      </c>
      <c r="P197" s="18" t="s">
        <v>21</v>
      </c>
      <c r="Q197" s="18" t="s">
        <v>21</v>
      </c>
      <c r="R197" s="18" t="s">
        <v>21</v>
      </c>
      <c r="S197" s="18" t="s">
        <v>21</v>
      </c>
      <c r="T197" s="18" t="s">
        <v>21</v>
      </c>
      <c r="U197" s="18" t="s">
        <v>21</v>
      </c>
      <c r="V197" s="37" t="s">
        <v>21</v>
      </c>
      <c r="W197" s="37" t="s">
        <v>20</v>
      </c>
      <c r="X197" s="37" t="s">
        <v>20</v>
      </c>
      <c r="Y197" s="18" t="s">
        <v>21</v>
      </c>
      <c r="Z197" s="18" t="s">
        <v>20</v>
      </c>
      <c r="AA197" s="20" t="s">
        <v>20</v>
      </c>
      <c r="AB197" s="20" t="s">
        <v>20</v>
      </c>
      <c r="AC197" s="20" t="s">
        <v>20</v>
      </c>
      <c r="AD197" s="18" t="s">
        <v>55</v>
      </c>
      <c r="AE197" s="18" t="s">
        <v>55</v>
      </c>
      <c r="AG197">
        <f t="shared" si="18"/>
        <v>0</v>
      </c>
      <c r="AH197">
        <f t="shared" si="19"/>
        <v>16</v>
      </c>
      <c r="AI197">
        <f t="shared" si="20"/>
        <v>8</v>
      </c>
      <c r="AJ197">
        <f t="shared" si="21"/>
        <v>0</v>
      </c>
      <c r="AL197">
        <f t="shared" si="22"/>
        <v>0</v>
      </c>
      <c r="AM197">
        <f t="shared" si="23"/>
        <v>48</v>
      </c>
      <c r="AN197">
        <f t="shared" si="24"/>
        <v>16</v>
      </c>
      <c r="AO197">
        <f t="shared" si="25"/>
        <v>0</v>
      </c>
      <c r="AP197">
        <f t="shared" si="26"/>
        <v>64</v>
      </c>
    </row>
    <row r="198" spans="1:42" ht="15.75" hidden="1" customHeight="1" x14ac:dyDescent="0.3">
      <c r="A198" s="16"/>
      <c r="B198" s="55">
        <v>20</v>
      </c>
      <c r="C198" s="56" t="s">
        <v>216</v>
      </c>
      <c r="D198" s="55">
        <v>5</v>
      </c>
      <c r="E198" s="55" t="s">
        <v>20</v>
      </c>
      <c r="F198" s="18" t="s">
        <v>39</v>
      </c>
      <c r="G198" s="18" t="s">
        <v>20</v>
      </c>
      <c r="H198" s="18" t="s">
        <v>20</v>
      </c>
      <c r="I198" s="18" t="s">
        <v>39</v>
      </c>
      <c r="J198" s="43" t="s">
        <v>20</v>
      </c>
      <c r="K198" s="43" t="s">
        <v>20</v>
      </c>
      <c r="L198" s="43" t="s">
        <v>20</v>
      </c>
      <c r="M198" s="18" t="s">
        <v>20</v>
      </c>
      <c r="N198" s="18" t="s">
        <v>20</v>
      </c>
      <c r="O198" s="18" t="s">
        <v>20</v>
      </c>
      <c r="P198" s="18" t="s">
        <v>21</v>
      </c>
      <c r="Q198" s="18" t="s">
        <v>20</v>
      </c>
      <c r="R198" s="18" t="s">
        <v>20</v>
      </c>
      <c r="S198" s="18" t="s">
        <v>21</v>
      </c>
      <c r="T198" s="18" t="s">
        <v>21</v>
      </c>
      <c r="U198" s="18" t="s">
        <v>20</v>
      </c>
      <c r="V198" s="37" t="s">
        <v>20</v>
      </c>
      <c r="W198" s="37" t="s">
        <v>20</v>
      </c>
      <c r="X198" s="37" t="s">
        <v>20</v>
      </c>
      <c r="Y198" s="18" t="s">
        <v>20</v>
      </c>
      <c r="Z198" s="18" t="s">
        <v>20</v>
      </c>
      <c r="AA198" s="20" t="s">
        <v>20</v>
      </c>
      <c r="AB198" s="20" t="s">
        <v>20</v>
      </c>
      <c r="AC198" s="20" t="s">
        <v>20</v>
      </c>
      <c r="AD198" s="18" t="s">
        <v>20</v>
      </c>
      <c r="AE198" s="18" t="s">
        <v>21</v>
      </c>
      <c r="AG198">
        <f t="shared" si="18"/>
        <v>2</v>
      </c>
      <c r="AH198">
        <f t="shared" si="19"/>
        <v>20</v>
      </c>
      <c r="AI198">
        <f t="shared" si="20"/>
        <v>4</v>
      </c>
      <c r="AJ198">
        <f t="shared" si="21"/>
        <v>0</v>
      </c>
      <c r="AL198">
        <f t="shared" si="22"/>
        <v>8</v>
      </c>
      <c r="AM198">
        <f t="shared" si="23"/>
        <v>60</v>
      </c>
      <c r="AN198">
        <f t="shared" si="24"/>
        <v>8</v>
      </c>
      <c r="AO198">
        <f t="shared" si="25"/>
        <v>0</v>
      </c>
      <c r="AP198">
        <f t="shared" si="26"/>
        <v>76</v>
      </c>
    </row>
    <row r="199" spans="1:42" ht="15.75" hidden="1" customHeight="1" x14ac:dyDescent="0.3">
      <c r="A199" s="16"/>
      <c r="B199" s="55">
        <v>21</v>
      </c>
      <c r="C199" s="56" t="s">
        <v>217</v>
      </c>
      <c r="D199" s="55">
        <v>5</v>
      </c>
      <c r="E199" s="55" t="s">
        <v>20</v>
      </c>
      <c r="F199" s="18" t="s">
        <v>20</v>
      </c>
      <c r="G199" s="18" t="s">
        <v>20</v>
      </c>
      <c r="H199" s="18" t="s">
        <v>39</v>
      </c>
      <c r="I199" s="18" t="s">
        <v>20</v>
      </c>
      <c r="J199" s="43" t="s">
        <v>20</v>
      </c>
      <c r="K199" s="43" t="s">
        <v>20</v>
      </c>
      <c r="L199" s="43" t="s">
        <v>20</v>
      </c>
      <c r="M199" s="18" t="s">
        <v>21</v>
      </c>
      <c r="N199" s="18" t="s">
        <v>20</v>
      </c>
      <c r="O199" s="18" t="s">
        <v>20</v>
      </c>
      <c r="P199" s="18" t="s">
        <v>21</v>
      </c>
      <c r="Q199" s="18" t="s">
        <v>21</v>
      </c>
      <c r="R199" s="18" t="s">
        <v>21</v>
      </c>
      <c r="S199" s="18" t="s">
        <v>20</v>
      </c>
      <c r="T199" s="18" t="s">
        <v>21</v>
      </c>
      <c r="U199" s="18" t="s">
        <v>20</v>
      </c>
      <c r="V199" s="37" t="s">
        <v>20</v>
      </c>
      <c r="W199" s="37" t="s">
        <v>20</v>
      </c>
      <c r="X199" s="37" t="s">
        <v>20</v>
      </c>
      <c r="Y199" s="18" t="s">
        <v>20</v>
      </c>
      <c r="Z199" s="18" t="s">
        <v>20</v>
      </c>
      <c r="AA199" s="20" t="s">
        <v>20</v>
      </c>
      <c r="AB199" s="20" t="s">
        <v>20</v>
      </c>
      <c r="AC199" s="20" t="s">
        <v>20</v>
      </c>
      <c r="AD199" s="18" t="s">
        <v>20</v>
      </c>
      <c r="AE199" s="18" t="s">
        <v>21</v>
      </c>
      <c r="AG199">
        <f t="shared" si="18"/>
        <v>1</v>
      </c>
      <c r="AH199">
        <f t="shared" si="19"/>
        <v>19</v>
      </c>
      <c r="AI199">
        <f t="shared" si="20"/>
        <v>6</v>
      </c>
      <c r="AJ199">
        <f t="shared" si="21"/>
        <v>0</v>
      </c>
      <c r="AL199">
        <f t="shared" si="22"/>
        <v>4</v>
      </c>
      <c r="AM199">
        <f t="shared" si="23"/>
        <v>57</v>
      </c>
      <c r="AN199">
        <f t="shared" si="24"/>
        <v>12</v>
      </c>
      <c r="AO199">
        <f t="shared" si="25"/>
        <v>0</v>
      </c>
      <c r="AP199">
        <f t="shared" si="26"/>
        <v>73</v>
      </c>
    </row>
    <row r="200" spans="1:42" ht="15.75" hidden="1" customHeight="1" x14ac:dyDescent="0.3">
      <c r="A200" s="16"/>
      <c r="B200" s="55">
        <v>22</v>
      </c>
      <c r="C200" s="56" t="s">
        <v>218</v>
      </c>
      <c r="D200" s="55">
        <v>5</v>
      </c>
      <c r="E200" s="55" t="s">
        <v>20</v>
      </c>
      <c r="F200" s="18" t="s">
        <v>23</v>
      </c>
      <c r="G200" s="18" t="s">
        <v>23</v>
      </c>
      <c r="H200" s="18" t="s">
        <v>21</v>
      </c>
      <c r="I200" s="18" t="s">
        <v>21</v>
      </c>
      <c r="J200" s="43" t="s">
        <v>20</v>
      </c>
      <c r="K200" s="43" t="s">
        <v>20</v>
      </c>
      <c r="L200" s="43" t="s">
        <v>21</v>
      </c>
      <c r="M200" s="18" t="s">
        <v>20</v>
      </c>
      <c r="N200" s="18" t="s">
        <v>20</v>
      </c>
      <c r="O200" s="18" t="s">
        <v>20</v>
      </c>
      <c r="P200" s="18" t="s">
        <v>21</v>
      </c>
      <c r="Q200" s="18" t="s">
        <v>21</v>
      </c>
      <c r="R200" s="18" t="s">
        <v>21</v>
      </c>
      <c r="S200" s="18" t="s">
        <v>21</v>
      </c>
      <c r="T200" s="18" t="s">
        <v>21</v>
      </c>
      <c r="U200" s="18" t="s">
        <v>20</v>
      </c>
      <c r="V200" s="37" t="s">
        <v>21</v>
      </c>
      <c r="W200" s="37" t="s">
        <v>21</v>
      </c>
      <c r="X200" s="37" t="s">
        <v>21</v>
      </c>
      <c r="Y200" s="18" t="s">
        <v>20</v>
      </c>
      <c r="Z200" s="18" t="s">
        <v>20</v>
      </c>
      <c r="AA200" s="20" t="s">
        <v>20</v>
      </c>
      <c r="AB200" s="20" t="s">
        <v>20</v>
      </c>
      <c r="AC200" s="20" t="s">
        <v>20</v>
      </c>
      <c r="AD200" s="40" t="s">
        <v>20</v>
      </c>
      <c r="AE200" s="40" t="s">
        <v>21</v>
      </c>
      <c r="AG200">
        <f t="shared" si="18"/>
        <v>0</v>
      </c>
      <c r="AH200">
        <f t="shared" si="19"/>
        <v>12</v>
      </c>
      <c r="AI200">
        <f t="shared" si="20"/>
        <v>12</v>
      </c>
      <c r="AJ200">
        <f t="shared" si="21"/>
        <v>2</v>
      </c>
      <c r="AL200">
        <f t="shared" si="22"/>
        <v>0</v>
      </c>
      <c r="AM200">
        <f t="shared" si="23"/>
        <v>36</v>
      </c>
      <c r="AN200">
        <f t="shared" si="24"/>
        <v>24</v>
      </c>
      <c r="AO200">
        <f t="shared" si="25"/>
        <v>2</v>
      </c>
      <c r="AP200">
        <f t="shared" si="26"/>
        <v>62</v>
      </c>
    </row>
    <row r="201" spans="1:42" ht="15.75" hidden="1" customHeight="1" x14ac:dyDescent="0.3">
      <c r="A201" s="16"/>
      <c r="B201" s="55">
        <v>23</v>
      </c>
      <c r="C201" s="56" t="s">
        <v>219</v>
      </c>
      <c r="D201" s="55">
        <v>5</v>
      </c>
      <c r="E201" s="55" t="s">
        <v>20</v>
      </c>
      <c r="F201" s="18" t="s">
        <v>23</v>
      </c>
      <c r="G201" s="18" t="s">
        <v>23</v>
      </c>
      <c r="H201" s="18" t="s">
        <v>23</v>
      </c>
      <c r="I201" s="18" t="s">
        <v>21</v>
      </c>
      <c r="J201" s="43" t="s">
        <v>20</v>
      </c>
      <c r="K201" s="43" t="s">
        <v>20</v>
      </c>
      <c r="L201" s="43" t="s">
        <v>21</v>
      </c>
      <c r="M201" s="18" t="s">
        <v>20</v>
      </c>
      <c r="N201" s="18" t="s">
        <v>21</v>
      </c>
      <c r="O201" s="18" t="s">
        <v>20</v>
      </c>
      <c r="P201" s="18" t="s">
        <v>21</v>
      </c>
      <c r="Q201" s="18" t="s">
        <v>23</v>
      </c>
      <c r="R201" s="18" t="s">
        <v>21</v>
      </c>
      <c r="S201" s="18" t="s">
        <v>21</v>
      </c>
      <c r="T201" s="18" t="s">
        <v>21</v>
      </c>
      <c r="U201" s="18" t="s">
        <v>20</v>
      </c>
      <c r="V201" s="37" t="s">
        <v>20</v>
      </c>
      <c r="W201" s="37" t="s">
        <v>21</v>
      </c>
      <c r="X201" s="37" t="s">
        <v>20</v>
      </c>
      <c r="Y201" s="18" t="s">
        <v>21</v>
      </c>
      <c r="Z201" s="18" t="s">
        <v>20</v>
      </c>
      <c r="AA201" s="20" t="s">
        <v>23</v>
      </c>
      <c r="AB201" s="20" t="s">
        <v>21</v>
      </c>
      <c r="AC201" s="20" t="s">
        <v>21</v>
      </c>
      <c r="AD201" s="18" t="s">
        <v>23</v>
      </c>
      <c r="AE201" s="18" t="s">
        <v>21</v>
      </c>
      <c r="AG201">
        <f t="shared" si="18"/>
        <v>0</v>
      </c>
      <c r="AH201">
        <f t="shared" si="19"/>
        <v>8</v>
      </c>
      <c r="AI201">
        <f t="shared" si="20"/>
        <v>12</v>
      </c>
      <c r="AJ201">
        <f t="shared" si="21"/>
        <v>6</v>
      </c>
      <c r="AL201">
        <f t="shared" si="22"/>
        <v>0</v>
      </c>
      <c r="AM201">
        <f t="shared" si="23"/>
        <v>24</v>
      </c>
      <c r="AN201">
        <f t="shared" si="24"/>
        <v>24</v>
      </c>
      <c r="AO201">
        <f t="shared" si="25"/>
        <v>6</v>
      </c>
      <c r="AP201">
        <f t="shared" si="26"/>
        <v>54</v>
      </c>
    </row>
    <row r="202" spans="1:42" ht="15.75" hidden="1" customHeight="1" x14ac:dyDescent="0.3">
      <c r="A202" s="16"/>
      <c r="B202" s="55">
        <v>24</v>
      </c>
      <c r="C202" s="56" t="s">
        <v>220</v>
      </c>
      <c r="D202" s="55">
        <v>5</v>
      </c>
      <c r="E202" s="55" t="s">
        <v>20</v>
      </c>
      <c r="F202" s="18" t="s">
        <v>39</v>
      </c>
      <c r="G202" s="18" t="s">
        <v>20</v>
      </c>
      <c r="H202" s="18" t="s">
        <v>20</v>
      </c>
      <c r="I202" s="18" t="s">
        <v>39</v>
      </c>
      <c r="J202" s="43" t="s">
        <v>20</v>
      </c>
      <c r="K202" s="43" t="s">
        <v>20</v>
      </c>
      <c r="L202" s="43" t="s">
        <v>20</v>
      </c>
      <c r="M202" s="18" t="s">
        <v>20</v>
      </c>
      <c r="N202" s="18" t="s">
        <v>20</v>
      </c>
      <c r="O202" s="18" t="s">
        <v>20</v>
      </c>
      <c r="P202" s="18" t="s">
        <v>21</v>
      </c>
      <c r="Q202" s="18" t="s">
        <v>20</v>
      </c>
      <c r="R202" s="18" t="s">
        <v>20</v>
      </c>
      <c r="S202" s="18" t="s">
        <v>21</v>
      </c>
      <c r="T202" s="18" t="s">
        <v>21</v>
      </c>
      <c r="U202" s="18" t="s">
        <v>20</v>
      </c>
      <c r="V202" s="37" t="s">
        <v>20</v>
      </c>
      <c r="W202" s="37" t="s">
        <v>20</v>
      </c>
      <c r="X202" s="37" t="s">
        <v>20</v>
      </c>
      <c r="Y202" s="18" t="s">
        <v>20</v>
      </c>
      <c r="Z202" s="18" t="s">
        <v>20</v>
      </c>
      <c r="AA202" s="20" t="s">
        <v>20</v>
      </c>
      <c r="AB202" s="20" t="s">
        <v>20</v>
      </c>
      <c r="AC202" s="20" t="s">
        <v>20</v>
      </c>
      <c r="AD202" s="18" t="s">
        <v>20</v>
      </c>
      <c r="AE202" s="18" t="s">
        <v>21</v>
      </c>
      <c r="AG202">
        <f t="shared" si="18"/>
        <v>2</v>
      </c>
      <c r="AH202">
        <f t="shared" si="19"/>
        <v>20</v>
      </c>
      <c r="AI202">
        <f t="shared" si="20"/>
        <v>4</v>
      </c>
      <c r="AJ202">
        <f t="shared" si="21"/>
        <v>0</v>
      </c>
      <c r="AL202">
        <f t="shared" si="22"/>
        <v>8</v>
      </c>
      <c r="AM202">
        <f t="shared" si="23"/>
        <v>60</v>
      </c>
      <c r="AN202">
        <f t="shared" si="24"/>
        <v>8</v>
      </c>
      <c r="AO202">
        <f t="shared" si="25"/>
        <v>0</v>
      </c>
      <c r="AP202">
        <f t="shared" si="26"/>
        <v>76</v>
      </c>
    </row>
    <row r="203" spans="1:42" ht="15.75" hidden="1" customHeight="1" x14ac:dyDescent="0.3">
      <c r="A203" s="16"/>
      <c r="B203" s="55">
        <v>25</v>
      </c>
      <c r="C203" s="56" t="s">
        <v>221</v>
      </c>
      <c r="D203" s="55">
        <v>5</v>
      </c>
      <c r="E203" s="55" t="s">
        <v>20</v>
      </c>
      <c r="F203" s="18" t="s">
        <v>23</v>
      </c>
      <c r="G203" s="18" t="s">
        <v>23</v>
      </c>
      <c r="H203" s="18" t="s">
        <v>23</v>
      </c>
      <c r="I203" s="18" t="s">
        <v>23</v>
      </c>
      <c r="J203" s="43" t="s">
        <v>20</v>
      </c>
      <c r="K203" s="43" t="s">
        <v>20</v>
      </c>
      <c r="L203" s="43" t="s">
        <v>21</v>
      </c>
      <c r="M203" s="18" t="s">
        <v>20</v>
      </c>
      <c r="N203" s="18" t="s">
        <v>20</v>
      </c>
      <c r="O203" s="18" t="s">
        <v>20</v>
      </c>
      <c r="P203" s="18" t="s">
        <v>21</v>
      </c>
      <c r="Q203" s="18" t="s">
        <v>23</v>
      </c>
      <c r="R203" s="18" t="s">
        <v>23</v>
      </c>
      <c r="S203" s="18" t="s">
        <v>21</v>
      </c>
      <c r="T203" s="18" t="s">
        <v>23</v>
      </c>
      <c r="U203" s="18" t="s">
        <v>20</v>
      </c>
      <c r="V203" s="37" t="s">
        <v>20</v>
      </c>
      <c r="W203" s="37" t="s">
        <v>20</v>
      </c>
      <c r="X203" s="37" t="s">
        <v>20</v>
      </c>
      <c r="Y203" s="18" t="s">
        <v>20</v>
      </c>
      <c r="Z203" s="18" t="s">
        <v>20</v>
      </c>
      <c r="AA203" s="20" t="s">
        <v>21</v>
      </c>
      <c r="AB203" s="20" t="s">
        <v>21</v>
      </c>
      <c r="AC203" s="20" t="s">
        <v>20</v>
      </c>
      <c r="AD203" s="18" t="s">
        <v>20</v>
      </c>
      <c r="AE203" s="18" t="s">
        <v>21</v>
      </c>
      <c r="AG203">
        <f t="shared" si="18"/>
        <v>0</v>
      </c>
      <c r="AH203">
        <f t="shared" si="19"/>
        <v>13</v>
      </c>
      <c r="AI203">
        <f t="shared" si="20"/>
        <v>6</v>
      </c>
      <c r="AJ203">
        <f t="shared" si="21"/>
        <v>7</v>
      </c>
      <c r="AL203">
        <f t="shared" si="22"/>
        <v>0</v>
      </c>
      <c r="AM203">
        <f t="shared" si="23"/>
        <v>39</v>
      </c>
      <c r="AN203">
        <f t="shared" si="24"/>
        <v>12</v>
      </c>
      <c r="AO203">
        <f t="shared" si="25"/>
        <v>7</v>
      </c>
      <c r="AP203">
        <f t="shared" si="26"/>
        <v>58</v>
      </c>
    </row>
    <row r="204" spans="1:42" ht="15.75" hidden="1" customHeight="1" x14ac:dyDescent="0.3">
      <c r="A204" s="16"/>
      <c r="B204" s="55">
        <v>26</v>
      </c>
      <c r="C204" s="56" t="s">
        <v>222</v>
      </c>
      <c r="D204" s="55">
        <v>5</v>
      </c>
      <c r="E204" s="55" t="s">
        <v>20</v>
      </c>
      <c r="F204" s="18" t="s">
        <v>21</v>
      </c>
      <c r="G204" s="18" t="s">
        <v>21</v>
      </c>
      <c r="H204" s="18" t="s">
        <v>21</v>
      </c>
      <c r="I204" s="18" t="s">
        <v>21</v>
      </c>
      <c r="J204" s="43" t="s">
        <v>21</v>
      </c>
      <c r="K204" s="43" t="s">
        <v>21</v>
      </c>
      <c r="L204" s="43" t="s">
        <v>21</v>
      </c>
      <c r="M204" s="18" t="s">
        <v>20</v>
      </c>
      <c r="N204" s="18" t="s">
        <v>20</v>
      </c>
      <c r="O204" s="18" t="s">
        <v>20</v>
      </c>
      <c r="P204" s="18" t="s">
        <v>20</v>
      </c>
      <c r="Q204" s="18" t="s">
        <v>21</v>
      </c>
      <c r="R204" s="18" t="s">
        <v>23</v>
      </c>
      <c r="S204" s="18" t="s">
        <v>21</v>
      </c>
      <c r="T204" s="18" t="s">
        <v>21</v>
      </c>
      <c r="U204" s="18" t="s">
        <v>20</v>
      </c>
      <c r="V204" s="37" t="s">
        <v>20</v>
      </c>
      <c r="W204" s="37" t="s">
        <v>20</v>
      </c>
      <c r="X204" s="37" t="s">
        <v>20</v>
      </c>
      <c r="Y204" s="18" t="s">
        <v>20</v>
      </c>
      <c r="Z204" s="18" t="s">
        <v>20</v>
      </c>
      <c r="AA204" s="20" t="s">
        <v>21</v>
      </c>
      <c r="AB204" s="20" t="s">
        <v>21</v>
      </c>
      <c r="AC204" s="20" t="s">
        <v>20</v>
      </c>
      <c r="AD204" s="40" t="s">
        <v>20</v>
      </c>
      <c r="AE204" s="40" t="s">
        <v>21</v>
      </c>
      <c r="AG204">
        <f t="shared" si="18"/>
        <v>0</v>
      </c>
      <c r="AH204">
        <f t="shared" si="19"/>
        <v>12</v>
      </c>
      <c r="AI204">
        <f t="shared" si="20"/>
        <v>13</v>
      </c>
      <c r="AJ204">
        <f t="shared" si="21"/>
        <v>1</v>
      </c>
      <c r="AL204">
        <f t="shared" si="22"/>
        <v>0</v>
      </c>
      <c r="AM204">
        <f t="shared" si="23"/>
        <v>36</v>
      </c>
      <c r="AN204">
        <f t="shared" si="24"/>
        <v>26</v>
      </c>
      <c r="AO204">
        <f t="shared" si="25"/>
        <v>1</v>
      </c>
      <c r="AP204">
        <f t="shared" si="26"/>
        <v>63</v>
      </c>
    </row>
    <row r="205" spans="1:42" ht="15.75" hidden="1" customHeight="1" x14ac:dyDescent="0.3">
      <c r="A205" s="16"/>
      <c r="B205" s="55">
        <v>27</v>
      </c>
      <c r="C205" s="56" t="s">
        <v>223</v>
      </c>
      <c r="D205" s="55">
        <v>5</v>
      </c>
      <c r="E205" s="55" t="s">
        <v>20</v>
      </c>
      <c r="F205" s="18" t="s">
        <v>20</v>
      </c>
      <c r="G205" s="18" t="s">
        <v>20</v>
      </c>
      <c r="H205" s="18" t="s">
        <v>20</v>
      </c>
      <c r="I205" s="18" t="s">
        <v>20</v>
      </c>
      <c r="J205" s="43" t="s">
        <v>20</v>
      </c>
      <c r="K205" s="43" t="s">
        <v>20</v>
      </c>
      <c r="L205" s="43" t="s">
        <v>20</v>
      </c>
      <c r="M205" s="18" t="s">
        <v>20</v>
      </c>
      <c r="N205" s="18" t="s">
        <v>20</v>
      </c>
      <c r="O205" s="18" t="s">
        <v>20</v>
      </c>
      <c r="P205" s="18" t="s">
        <v>20</v>
      </c>
      <c r="Q205" s="18" t="s">
        <v>21</v>
      </c>
      <c r="R205" s="18" t="s">
        <v>21</v>
      </c>
      <c r="S205" s="18" t="s">
        <v>20</v>
      </c>
      <c r="T205" s="18" t="s">
        <v>21</v>
      </c>
      <c r="U205" s="18" t="s">
        <v>21</v>
      </c>
      <c r="V205" s="37" t="s">
        <v>20</v>
      </c>
      <c r="W205" s="37" t="s">
        <v>20</v>
      </c>
      <c r="X205" s="37" t="s">
        <v>20</v>
      </c>
      <c r="Y205" s="18" t="s">
        <v>20</v>
      </c>
      <c r="Z205" s="18" t="s">
        <v>20</v>
      </c>
      <c r="AA205" s="20" t="s">
        <v>20</v>
      </c>
      <c r="AB205" s="20" t="s">
        <v>20</v>
      </c>
      <c r="AC205" s="20" t="s">
        <v>20</v>
      </c>
      <c r="AD205" s="18" t="s">
        <v>20</v>
      </c>
      <c r="AE205" s="18" t="s">
        <v>21</v>
      </c>
      <c r="AG205">
        <f t="shared" si="18"/>
        <v>0</v>
      </c>
      <c r="AH205">
        <f t="shared" si="19"/>
        <v>21</v>
      </c>
      <c r="AI205">
        <f t="shared" si="20"/>
        <v>5</v>
      </c>
      <c r="AJ205">
        <f t="shared" si="21"/>
        <v>0</v>
      </c>
      <c r="AL205">
        <f t="shared" si="22"/>
        <v>0</v>
      </c>
      <c r="AM205">
        <f t="shared" si="23"/>
        <v>63</v>
      </c>
      <c r="AN205">
        <f t="shared" si="24"/>
        <v>10</v>
      </c>
      <c r="AO205">
        <f t="shared" si="25"/>
        <v>0</v>
      </c>
      <c r="AP205">
        <f t="shared" si="26"/>
        <v>73</v>
      </c>
    </row>
    <row r="206" spans="1:42" ht="15.75" hidden="1" customHeight="1" thickBot="1" x14ac:dyDescent="0.35">
      <c r="A206" s="16"/>
      <c r="B206" s="57">
        <v>28</v>
      </c>
      <c r="C206" s="58" t="s">
        <v>224</v>
      </c>
      <c r="D206" s="57">
        <v>5</v>
      </c>
      <c r="E206" s="57" t="s">
        <v>20</v>
      </c>
      <c r="F206" s="21" t="s">
        <v>20</v>
      </c>
      <c r="G206" s="21" t="s">
        <v>20</v>
      </c>
      <c r="H206" s="21" t="s">
        <v>20</v>
      </c>
      <c r="I206" s="21" t="s">
        <v>20</v>
      </c>
      <c r="J206" s="45" t="s">
        <v>20</v>
      </c>
      <c r="K206" s="45" t="s">
        <v>20</v>
      </c>
      <c r="L206" s="45" t="s">
        <v>21</v>
      </c>
      <c r="M206" s="21" t="s">
        <v>20</v>
      </c>
      <c r="N206" s="21" t="s">
        <v>20</v>
      </c>
      <c r="O206" s="21" t="s">
        <v>20</v>
      </c>
      <c r="P206" s="21" t="s">
        <v>21</v>
      </c>
      <c r="Q206" s="21" t="s">
        <v>21</v>
      </c>
      <c r="R206" s="21" t="s">
        <v>21</v>
      </c>
      <c r="S206" s="21" t="s">
        <v>20</v>
      </c>
      <c r="T206" s="21" t="s">
        <v>21</v>
      </c>
      <c r="U206" s="21" t="s">
        <v>20</v>
      </c>
      <c r="V206" s="38" t="s">
        <v>20</v>
      </c>
      <c r="W206" s="38" t="s">
        <v>20</v>
      </c>
      <c r="X206" s="38" t="s">
        <v>21</v>
      </c>
      <c r="Y206" s="21" t="s">
        <v>20</v>
      </c>
      <c r="Z206" s="21" t="s">
        <v>20</v>
      </c>
      <c r="AA206" s="23" t="s">
        <v>20</v>
      </c>
      <c r="AB206" s="23" t="s">
        <v>20</v>
      </c>
      <c r="AC206" s="23" t="s">
        <v>20</v>
      </c>
      <c r="AD206" s="21" t="s">
        <v>20</v>
      </c>
      <c r="AE206" s="21" t="s">
        <v>21</v>
      </c>
      <c r="AG206">
        <f t="shared" si="18"/>
        <v>0</v>
      </c>
      <c r="AH206">
        <f t="shared" si="19"/>
        <v>19</v>
      </c>
      <c r="AI206">
        <f t="shared" si="20"/>
        <v>7</v>
      </c>
      <c r="AJ206">
        <f t="shared" si="21"/>
        <v>0</v>
      </c>
      <c r="AL206">
        <f t="shared" si="22"/>
        <v>0</v>
      </c>
      <c r="AM206">
        <f t="shared" si="23"/>
        <v>57</v>
      </c>
      <c r="AN206">
        <f t="shared" si="24"/>
        <v>14</v>
      </c>
      <c r="AO206">
        <f t="shared" si="25"/>
        <v>0</v>
      </c>
      <c r="AP206">
        <f t="shared" si="26"/>
        <v>71</v>
      </c>
    </row>
    <row r="207" spans="1:42" ht="15.75" hidden="1" customHeight="1" x14ac:dyDescent="0.3">
      <c r="A207" s="16"/>
      <c r="B207" s="59">
        <v>1</v>
      </c>
      <c r="C207" s="60" t="s">
        <v>225</v>
      </c>
      <c r="D207" s="59">
        <v>5</v>
      </c>
      <c r="E207" s="59" t="s">
        <v>21</v>
      </c>
      <c r="F207" s="24" t="s">
        <v>21</v>
      </c>
      <c r="G207" s="24" t="s">
        <v>20</v>
      </c>
      <c r="H207" s="24" t="s">
        <v>21</v>
      </c>
      <c r="I207" s="24" t="s">
        <v>21</v>
      </c>
      <c r="J207" s="24" t="s">
        <v>20</v>
      </c>
      <c r="K207" s="24" t="s">
        <v>20</v>
      </c>
      <c r="L207" s="24" t="s">
        <v>20</v>
      </c>
      <c r="M207" s="24" t="s">
        <v>20</v>
      </c>
      <c r="N207" s="24" t="s">
        <v>20</v>
      </c>
      <c r="O207" s="24" t="s">
        <v>20</v>
      </c>
      <c r="P207" s="24" t="s">
        <v>21</v>
      </c>
      <c r="Q207" s="24" t="s">
        <v>21</v>
      </c>
      <c r="R207" s="24" t="s">
        <v>21</v>
      </c>
      <c r="S207" s="24" t="s">
        <v>20</v>
      </c>
      <c r="T207" s="24" t="s">
        <v>21</v>
      </c>
      <c r="U207" s="24" t="s">
        <v>20</v>
      </c>
      <c r="V207" s="39" t="s">
        <v>20</v>
      </c>
      <c r="W207" s="39" t="s">
        <v>20</v>
      </c>
      <c r="X207" s="39" t="s">
        <v>20</v>
      </c>
      <c r="Y207" s="24" t="s">
        <v>20</v>
      </c>
      <c r="Z207" s="24" t="s">
        <v>20</v>
      </c>
      <c r="AA207" s="27" t="s">
        <v>20</v>
      </c>
      <c r="AB207" s="27" t="s">
        <v>20</v>
      </c>
      <c r="AC207" s="27" t="s">
        <v>21</v>
      </c>
      <c r="AD207" s="24" t="s">
        <v>20</v>
      </c>
      <c r="AE207" s="24" t="s">
        <v>21</v>
      </c>
      <c r="AG207">
        <f t="shared" si="18"/>
        <v>0</v>
      </c>
      <c r="AH207">
        <f t="shared" si="19"/>
        <v>17</v>
      </c>
      <c r="AI207">
        <f t="shared" si="20"/>
        <v>9</v>
      </c>
      <c r="AJ207">
        <f t="shared" si="21"/>
        <v>0</v>
      </c>
      <c r="AL207">
        <f t="shared" si="22"/>
        <v>0</v>
      </c>
      <c r="AM207">
        <f t="shared" si="23"/>
        <v>51</v>
      </c>
      <c r="AN207">
        <f t="shared" si="24"/>
        <v>18</v>
      </c>
      <c r="AO207">
        <f t="shared" si="25"/>
        <v>0</v>
      </c>
      <c r="AP207">
        <f t="shared" si="26"/>
        <v>69</v>
      </c>
    </row>
    <row r="208" spans="1:42" ht="15.75" hidden="1" customHeight="1" x14ac:dyDescent="0.3">
      <c r="A208" s="16"/>
      <c r="B208" s="55">
        <v>2</v>
      </c>
      <c r="C208" s="56" t="s">
        <v>226</v>
      </c>
      <c r="D208" s="55">
        <v>5</v>
      </c>
      <c r="E208" s="55" t="s">
        <v>21</v>
      </c>
      <c r="F208" s="18" t="s">
        <v>21</v>
      </c>
      <c r="G208" s="18" t="s">
        <v>21</v>
      </c>
      <c r="H208" s="18" t="s">
        <v>21</v>
      </c>
      <c r="I208" s="18" t="s">
        <v>20</v>
      </c>
      <c r="J208" s="18" t="s">
        <v>21</v>
      </c>
      <c r="K208" s="18" t="s">
        <v>21</v>
      </c>
      <c r="L208" s="18" t="s">
        <v>21</v>
      </c>
      <c r="M208" s="18" t="s">
        <v>20</v>
      </c>
      <c r="N208" s="18" t="s">
        <v>21</v>
      </c>
      <c r="O208" s="18" t="s">
        <v>21</v>
      </c>
      <c r="P208" s="18" t="s">
        <v>21</v>
      </c>
      <c r="Q208" s="18" t="s">
        <v>23</v>
      </c>
      <c r="R208" s="18" t="s">
        <v>23</v>
      </c>
      <c r="S208" s="18" t="s">
        <v>21</v>
      </c>
      <c r="T208" s="18" t="s">
        <v>21</v>
      </c>
      <c r="U208" s="18" t="s">
        <v>21</v>
      </c>
      <c r="V208" s="37" t="s">
        <v>20</v>
      </c>
      <c r="W208" s="37" t="s">
        <v>21</v>
      </c>
      <c r="X208" s="37" t="s">
        <v>20</v>
      </c>
      <c r="Y208" s="18" t="s">
        <v>21</v>
      </c>
      <c r="Z208" s="18" t="s">
        <v>20</v>
      </c>
      <c r="AA208" s="20" t="s">
        <v>21</v>
      </c>
      <c r="AB208" s="20" t="s">
        <v>21</v>
      </c>
      <c r="AC208" s="20" t="s">
        <v>23</v>
      </c>
      <c r="AD208" s="18" t="s">
        <v>23</v>
      </c>
      <c r="AE208" s="18" t="s">
        <v>21</v>
      </c>
      <c r="AG208">
        <f t="shared" si="18"/>
        <v>0</v>
      </c>
      <c r="AH208">
        <f t="shared" si="19"/>
        <v>5</v>
      </c>
      <c r="AI208">
        <f t="shared" si="20"/>
        <v>17</v>
      </c>
      <c r="AJ208">
        <f t="shared" si="21"/>
        <v>4</v>
      </c>
      <c r="AL208">
        <f t="shared" si="22"/>
        <v>0</v>
      </c>
      <c r="AM208">
        <f t="shared" si="23"/>
        <v>15</v>
      </c>
      <c r="AN208">
        <f t="shared" si="24"/>
        <v>34</v>
      </c>
      <c r="AO208">
        <f t="shared" si="25"/>
        <v>4</v>
      </c>
      <c r="AP208">
        <f t="shared" si="26"/>
        <v>53</v>
      </c>
    </row>
    <row r="209" spans="1:42" ht="15.75" hidden="1" customHeight="1" x14ac:dyDescent="0.3">
      <c r="A209" s="16"/>
      <c r="B209" s="55">
        <v>3</v>
      </c>
      <c r="C209" s="56" t="s">
        <v>227</v>
      </c>
      <c r="D209" s="55">
        <v>5</v>
      </c>
      <c r="E209" s="55" t="s">
        <v>21</v>
      </c>
      <c r="F209" s="18" t="s">
        <v>21</v>
      </c>
      <c r="G209" s="18" t="s">
        <v>23</v>
      </c>
      <c r="H209" s="18" t="s">
        <v>21</v>
      </c>
      <c r="I209" s="18" t="s">
        <v>20</v>
      </c>
      <c r="J209" s="18" t="s">
        <v>21</v>
      </c>
      <c r="K209" s="18" t="s">
        <v>21</v>
      </c>
      <c r="L209" s="18" t="s">
        <v>20</v>
      </c>
      <c r="M209" s="18" t="s">
        <v>20</v>
      </c>
      <c r="N209" s="18" t="s">
        <v>21</v>
      </c>
      <c r="O209" s="18" t="s">
        <v>21</v>
      </c>
      <c r="P209" s="18" t="s">
        <v>21</v>
      </c>
      <c r="Q209" s="18" t="s">
        <v>23</v>
      </c>
      <c r="R209" s="18" t="s">
        <v>21</v>
      </c>
      <c r="S209" s="18" t="s">
        <v>21</v>
      </c>
      <c r="T209" s="18" t="s">
        <v>21</v>
      </c>
      <c r="U209" s="18" t="s">
        <v>20</v>
      </c>
      <c r="V209" s="37" t="s">
        <v>20</v>
      </c>
      <c r="W209" s="37" t="s">
        <v>21</v>
      </c>
      <c r="X209" s="37" t="s">
        <v>20</v>
      </c>
      <c r="Y209" s="18" t="s">
        <v>21</v>
      </c>
      <c r="Z209" s="18" t="s">
        <v>20</v>
      </c>
      <c r="AA209" s="20" t="s">
        <v>21</v>
      </c>
      <c r="AB209" s="20" t="s">
        <v>21</v>
      </c>
      <c r="AC209" s="20" t="s">
        <v>21</v>
      </c>
      <c r="AD209" s="18" t="s">
        <v>21</v>
      </c>
      <c r="AE209" s="18" t="s">
        <v>21</v>
      </c>
      <c r="AG209">
        <f t="shared" si="18"/>
        <v>0</v>
      </c>
      <c r="AH209">
        <f t="shared" si="19"/>
        <v>7</v>
      </c>
      <c r="AI209">
        <f t="shared" si="20"/>
        <v>17</v>
      </c>
      <c r="AJ209">
        <f t="shared" si="21"/>
        <v>2</v>
      </c>
      <c r="AL209">
        <f t="shared" si="22"/>
        <v>0</v>
      </c>
      <c r="AM209">
        <f t="shared" si="23"/>
        <v>21</v>
      </c>
      <c r="AN209">
        <f t="shared" si="24"/>
        <v>34</v>
      </c>
      <c r="AO209">
        <f t="shared" si="25"/>
        <v>2</v>
      </c>
      <c r="AP209">
        <f t="shared" si="26"/>
        <v>57</v>
      </c>
    </row>
    <row r="210" spans="1:42" ht="15.75" hidden="1" customHeight="1" x14ac:dyDescent="0.3">
      <c r="A210" s="16"/>
      <c r="B210" s="55">
        <v>4</v>
      </c>
      <c r="C210" s="56" t="s">
        <v>228</v>
      </c>
      <c r="D210" s="55">
        <v>5</v>
      </c>
      <c r="E210" s="55" t="s">
        <v>21</v>
      </c>
      <c r="F210" s="18" t="s">
        <v>20</v>
      </c>
      <c r="G210" s="18" t="s">
        <v>20</v>
      </c>
      <c r="H210" s="18" t="s">
        <v>20</v>
      </c>
      <c r="I210" s="18" t="s">
        <v>20</v>
      </c>
      <c r="J210" s="18" t="s">
        <v>21</v>
      </c>
      <c r="K210" s="18" t="s">
        <v>20</v>
      </c>
      <c r="L210" s="18" t="s">
        <v>20</v>
      </c>
      <c r="M210" s="18" t="s">
        <v>20</v>
      </c>
      <c r="N210" s="18" t="s">
        <v>20</v>
      </c>
      <c r="O210" s="18" t="s">
        <v>20</v>
      </c>
      <c r="P210" s="18" t="s">
        <v>21</v>
      </c>
      <c r="Q210" s="18" t="s">
        <v>21</v>
      </c>
      <c r="R210" s="18" t="s">
        <v>21</v>
      </c>
      <c r="S210" s="18" t="s">
        <v>20</v>
      </c>
      <c r="T210" s="18" t="s">
        <v>21</v>
      </c>
      <c r="U210" s="18" t="s">
        <v>20</v>
      </c>
      <c r="V210" s="37" t="s">
        <v>20</v>
      </c>
      <c r="W210" s="37" t="s">
        <v>20</v>
      </c>
      <c r="X210" s="37" t="s">
        <v>20</v>
      </c>
      <c r="Y210" s="18" t="s">
        <v>20</v>
      </c>
      <c r="Z210" s="18" t="s">
        <v>20</v>
      </c>
      <c r="AA210" s="20" t="s">
        <v>20</v>
      </c>
      <c r="AB210" s="20" t="s">
        <v>20</v>
      </c>
      <c r="AC210" s="20" t="s">
        <v>20</v>
      </c>
      <c r="AD210" s="18" t="s">
        <v>20</v>
      </c>
      <c r="AE210" s="18" t="s">
        <v>21</v>
      </c>
      <c r="AG210">
        <f t="shared" si="18"/>
        <v>0</v>
      </c>
      <c r="AH210">
        <f t="shared" si="19"/>
        <v>20</v>
      </c>
      <c r="AI210">
        <f t="shared" si="20"/>
        <v>6</v>
      </c>
      <c r="AJ210">
        <f t="shared" si="21"/>
        <v>0</v>
      </c>
      <c r="AL210">
        <f t="shared" si="22"/>
        <v>0</v>
      </c>
      <c r="AM210">
        <f t="shared" si="23"/>
        <v>60</v>
      </c>
      <c r="AN210">
        <f t="shared" si="24"/>
        <v>12</v>
      </c>
      <c r="AO210">
        <f t="shared" si="25"/>
        <v>0</v>
      </c>
      <c r="AP210">
        <f t="shared" si="26"/>
        <v>72</v>
      </c>
    </row>
    <row r="211" spans="1:42" ht="15.75" hidden="1" customHeight="1" x14ac:dyDescent="0.3">
      <c r="A211" s="16"/>
      <c r="B211" s="55">
        <v>5</v>
      </c>
      <c r="C211" s="56" t="s">
        <v>229</v>
      </c>
      <c r="D211" s="55">
        <v>5</v>
      </c>
      <c r="E211" s="55" t="s">
        <v>21</v>
      </c>
      <c r="F211" s="18" t="s">
        <v>20</v>
      </c>
      <c r="G211" s="18" t="s">
        <v>21</v>
      </c>
      <c r="H211" s="18" t="s">
        <v>20</v>
      </c>
      <c r="I211" s="18" t="s">
        <v>20</v>
      </c>
      <c r="J211" s="18" t="s">
        <v>21</v>
      </c>
      <c r="K211" s="18" t="s">
        <v>21</v>
      </c>
      <c r="L211" s="18" t="s">
        <v>20</v>
      </c>
      <c r="M211" s="18" t="s">
        <v>20</v>
      </c>
      <c r="N211" s="18" t="s">
        <v>20</v>
      </c>
      <c r="O211" s="18" t="s">
        <v>20</v>
      </c>
      <c r="P211" s="18" t="s">
        <v>21</v>
      </c>
      <c r="Q211" s="18" t="s">
        <v>20</v>
      </c>
      <c r="R211" s="18" t="s">
        <v>21</v>
      </c>
      <c r="S211" s="18" t="s">
        <v>20</v>
      </c>
      <c r="T211" s="18" t="s">
        <v>21</v>
      </c>
      <c r="U211" s="18" t="s">
        <v>20</v>
      </c>
      <c r="V211" s="37" t="s">
        <v>20</v>
      </c>
      <c r="W211" s="37" t="s">
        <v>21</v>
      </c>
      <c r="X211" s="37" t="s">
        <v>20</v>
      </c>
      <c r="Y211" s="18" t="s">
        <v>21</v>
      </c>
      <c r="Z211" s="18" t="s">
        <v>20</v>
      </c>
      <c r="AA211" s="20" t="s">
        <v>20</v>
      </c>
      <c r="AB211" s="20" t="s">
        <v>20</v>
      </c>
      <c r="AC211" s="20" t="s">
        <v>20</v>
      </c>
      <c r="AD211" s="18" t="s">
        <v>20</v>
      </c>
      <c r="AE211" s="18" t="s">
        <v>21</v>
      </c>
      <c r="AG211">
        <f t="shared" si="18"/>
        <v>0</v>
      </c>
      <c r="AH211">
        <f t="shared" si="19"/>
        <v>17</v>
      </c>
      <c r="AI211">
        <f t="shared" si="20"/>
        <v>9</v>
      </c>
      <c r="AJ211">
        <f t="shared" si="21"/>
        <v>0</v>
      </c>
      <c r="AL211">
        <f t="shared" si="22"/>
        <v>0</v>
      </c>
      <c r="AM211">
        <f t="shared" si="23"/>
        <v>51</v>
      </c>
      <c r="AN211">
        <f t="shared" si="24"/>
        <v>18</v>
      </c>
      <c r="AO211">
        <f t="shared" si="25"/>
        <v>0</v>
      </c>
      <c r="AP211">
        <f t="shared" si="26"/>
        <v>69</v>
      </c>
    </row>
    <row r="212" spans="1:42" ht="15.75" hidden="1" customHeight="1" x14ac:dyDescent="0.3">
      <c r="A212" s="16"/>
      <c r="B212" s="55">
        <v>6</v>
      </c>
      <c r="C212" s="56" t="s">
        <v>230</v>
      </c>
      <c r="D212" s="55">
        <v>5</v>
      </c>
      <c r="E212" s="55" t="s">
        <v>21</v>
      </c>
      <c r="F212" s="18" t="s">
        <v>21</v>
      </c>
      <c r="G212" s="18" t="s">
        <v>21</v>
      </c>
      <c r="H212" s="18" t="s">
        <v>21</v>
      </c>
      <c r="I212" s="18" t="s">
        <v>20</v>
      </c>
      <c r="J212" s="18" t="s">
        <v>21</v>
      </c>
      <c r="K212" s="18" t="s">
        <v>21</v>
      </c>
      <c r="L212" s="18" t="s">
        <v>21</v>
      </c>
      <c r="M212" s="18" t="s">
        <v>20</v>
      </c>
      <c r="N212" s="18" t="s">
        <v>20</v>
      </c>
      <c r="O212" s="18" t="s">
        <v>20</v>
      </c>
      <c r="P212" s="18" t="s">
        <v>21</v>
      </c>
      <c r="Q212" s="18" t="s">
        <v>23</v>
      </c>
      <c r="R212" s="18" t="s">
        <v>23</v>
      </c>
      <c r="S212" s="18" t="s">
        <v>21</v>
      </c>
      <c r="T212" s="18" t="s">
        <v>21</v>
      </c>
      <c r="U212" s="18" t="s">
        <v>20</v>
      </c>
      <c r="V212" s="37" t="s">
        <v>20</v>
      </c>
      <c r="W212" s="37" t="s">
        <v>20</v>
      </c>
      <c r="X212" s="37" t="s">
        <v>20</v>
      </c>
      <c r="Y212" s="18" t="s">
        <v>21</v>
      </c>
      <c r="Z212" s="18" t="s">
        <v>20</v>
      </c>
      <c r="AA212" s="20" t="s">
        <v>20</v>
      </c>
      <c r="AB212" s="20" t="s">
        <v>20</v>
      </c>
      <c r="AC212" s="20" t="s">
        <v>20</v>
      </c>
      <c r="AD212" s="29" t="s">
        <v>23</v>
      </c>
      <c r="AE212" s="29" t="s">
        <v>21</v>
      </c>
      <c r="AG212">
        <f t="shared" si="18"/>
        <v>0</v>
      </c>
      <c r="AH212">
        <f t="shared" si="19"/>
        <v>12</v>
      </c>
      <c r="AI212">
        <f t="shared" si="20"/>
        <v>11</v>
      </c>
      <c r="AJ212">
        <f t="shared" si="21"/>
        <v>3</v>
      </c>
      <c r="AL212">
        <f t="shared" si="22"/>
        <v>0</v>
      </c>
      <c r="AM212">
        <f t="shared" si="23"/>
        <v>36</v>
      </c>
      <c r="AN212">
        <f t="shared" si="24"/>
        <v>22</v>
      </c>
      <c r="AO212">
        <f t="shared" si="25"/>
        <v>3</v>
      </c>
      <c r="AP212">
        <f t="shared" si="26"/>
        <v>61</v>
      </c>
    </row>
    <row r="213" spans="1:42" ht="15.75" hidden="1" customHeight="1" x14ac:dyDescent="0.3">
      <c r="A213" s="16"/>
      <c r="B213" s="55">
        <v>7</v>
      </c>
      <c r="C213" s="56" t="s">
        <v>231</v>
      </c>
      <c r="D213" s="55">
        <v>5</v>
      </c>
      <c r="E213" s="55" t="s">
        <v>21</v>
      </c>
      <c r="F213" s="18" t="s">
        <v>21</v>
      </c>
      <c r="G213" s="18" t="s">
        <v>21</v>
      </c>
      <c r="H213" s="18" t="s">
        <v>21</v>
      </c>
      <c r="I213" s="18" t="s">
        <v>21</v>
      </c>
      <c r="J213" s="18" t="s">
        <v>21</v>
      </c>
      <c r="K213" s="18" t="s">
        <v>21</v>
      </c>
      <c r="L213" s="18" t="s">
        <v>21</v>
      </c>
      <c r="M213" s="18" t="s">
        <v>20</v>
      </c>
      <c r="N213" s="18" t="s">
        <v>21</v>
      </c>
      <c r="O213" s="18" t="s">
        <v>20</v>
      </c>
      <c r="P213" s="18" t="s">
        <v>21</v>
      </c>
      <c r="Q213" s="18" t="s">
        <v>23</v>
      </c>
      <c r="R213" s="18" t="s">
        <v>21</v>
      </c>
      <c r="S213" s="18" t="s">
        <v>21</v>
      </c>
      <c r="T213" s="18" t="s">
        <v>21</v>
      </c>
      <c r="U213" s="18" t="s">
        <v>21</v>
      </c>
      <c r="V213" s="37" t="s">
        <v>21</v>
      </c>
      <c r="W213" s="37" t="s">
        <v>21</v>
      </c>
      <c r="X213" s="37" t="s">
        <v>21</v>
      </c>
      <c r="Y213" s="18" t="s">
        <v>20</v>
      </c>
      <c r="Z213" s="18" t="s">
        <v>20</v>
      </c>
      <c r="AA213" s="20" t="s">
        <v>21</v>
      </c>
      <c r="AB213" s="20" t="s">
        <v>21</v>
      </c>
      <c r="AC213" s="20" t="s">
        <v>21</v>
      </c>
      <c r="AD213" s="29" t="s">
        <v>23</v>
      </c>
      <c r="AE213" s="29" t="s">
        <v>21</v>
      </c>
      <c r="AG213">
        <f t="shared" si="18"/>
        <v>0</v>
      </c>
      <c r="AH213">
        <f t="shared" si="19"/>
        <v>4</v>
      </c>
      <c r="AI213">
        <f t="shared" si="20"/>
        <v>20</v>
      </c>
      <c r="AJ213">
        <f t="shared" si="21"/>
        <v>2</v>
      </c>
      <c r="AL213">
        <f t="shared" si="22"/>
        <v>0</v>
      </c>
      <c r="AM213">
        <f t="shared" si="23"/>
        <v>12</v>
      </c>
      <c r="AN213">
        <f t="shared" si="24"/>
        <v>40</v>
      </c>
      <c r="AO213">
        <f t="shared" si="25"/>
        <v>2</v>
      </c>
      <c r="AP213">
        <f t="shared" si="26"/>
        <v>54</v>
      </c>
    </row>
    <row r="214" spans="1:42" ht="15.75" hidden="1" customHeight="1" x14ac:dyDescent="0.3">
      <c r="A214" s="16"/>
      <c r="B214" s="55">
        <v>8</v>
      </c>
      <c r="C214" s="56" t="s">
        <v>232</v>
      </c>
      <c r="D214" s="55">
        <v>5</v>
      </c>
      <c r="E214" s="55" t="s">
        <v>21</v>
      </c>
      <c r="F214" s="18" t="s">
        <v>21</v>
      </c>
      <c r="G214" s="18" t="s">
        <v>23</v>
      </c>
      <c r="H214" s="18" t="s">
        <v>21</v>
      </c>
      <c r="I214" s="18" t="s">
        <v>20</v>
      </c>
      <c r="J214" s="18" t="s">
        <v>23</v>
      </c>
      <c r="K214" s="18" t="s">
        <v>20</v>
      </c>
      <c r="L214" s="18" t="s">
        <v>20</v>
      </c>
      <c r="M214" s="18" t="s">
        <v>20</v>
      </c>
      <c r="N214" s="18" t="s">
        <v>20</v>
      </c>
      <c r="O214" s="18" t="s">
        <v>20</v>
      </c>
      <c r="P214" s="18" t="s">
        <v>23</v>
      </c>
      <c r="Q214" s="18" t="s">
        <v>21</v>
      </c>
      <c r="R214" s="18" t="s">
        <v>21</v>
      </c>
      <c r="S214" s="18" t="s">
        <v>23</v>
      </c>
      <c r="T214" s="18" t="s">
        <v>21</v>
      </c>
      <c r="U214" s="18" t="s">
        <v>20</v>
      </c>
      <c r="V214" s="37" t="s">
        <v>20</v>
      </c>
      <c r="W214" s="37" t="s">
        <v>21</v>
      </c>
      <c r="X214" s="37" t="s">
        <v>20</v>
      </c>
      <c r="Y214" s="18" t="s">
        <v>20</v>
      </c>
      <c r="Z214" s="18" t="s">
        <v>20</v>
      </c>
      <c r="AA214" s="20" t="s">
        <v>20</v>
      </c>
      <c r="AB214" s="20" t="s">
        <v>20</v>
      </c>
      <c r="AC214" s="20" t="s">
        <v>20</v>
      </c>
      <c r="AD214" s="29" t="s">
        <v>23</v>
      </c>
      <c r="AE214" s="29" t="s">
        <v>21</v>
      </c>
      <c r="AG214">
        <f t="shared" si="18"/>
        <v>0</v>
      </c>
      <c r="AH214">
        <f t="shared" si="19"/>
        <v>14</v>
      </c>
      <c r="AI214">
        <f t="shared" si="20"/>
        <v>7</v>
      </c>
      <c r="AJ214">
        <f t="shared" si="21"/>
        <v>5</v>
      </c>
      <c r="AL214">
        <f t="shared" si="22"/>
        <v>0</v>
      </c>
      <c r="AM214">
        <f t="shared" si="23"/>
        <v>42</v>
      </c>
      <c r="AN214">
        <f t="shared" si="24"/>
        <v>14</v>
      </c>
      <c r="AO214">
        <f t="shared" si="25"/>
        <v>5</v>
      </c>
      <c r="AP214">
        <f t="shared" si="26"/>
        <v>61</v>
      </c>
    </row>
    <row r="215" spans="1:42" ht="15.75" hidden="1" customHeight="1" x14ac:dyDescent="0.3">
      <c r="A215" s="16"/>
      <c r="B215" s="55">
        <v>9</v>
      </c>
      <c r="C215" s="56" t="s">
        <v>233</v>
      </c>
      <c r="D215" s="55">
        <v>5</v>
      </c>
      <c r="E215" s="55" t="s">
        <v>21</v>
      </c>
      <c r="F215" s="18" t="s">
        <v>20</v>
      </c>
      <c r="G215" s="18" t="s">
        <v>20</v>
      </c>
      <c r="H215" s="18" t="s">
        <v>20</v>
      </c>
      <c r="I215" s="18" t="s">
        <v>20</v>
      </c>
      <c r="J215" s="18" t="s">
        <v>21</v>
      </c>
      <c r="K215" s="18" t="s">
        <v>21</v>
      </c>
      <c r="L215" s="18" t="s">
        <v>21</v>
      </c>
      <c r="M215" s="18" t="s">
        <v>20</v>
      </c>
      <c r="N215" s="18" t="s">
        <v>20</v>
      </c>
      <c r="O215" s="18" t="s">
        <v>20</v>
      </c>
      <c r="P215" s="18" t="s">
        <v>21</v>
      </c>
      <c r="Q215" s="18" t="s">
        <v>21</v>
      </c>
      <c r="R215" s="18" t="s">
        <v>20</v>
      </c>
      <c r="S215" s="18" t="s">
        <v>20</v>
      </c>
      <c r="T215" s="18" t="s">
        <v>21</v>
      </c>
      <c r="U215" s="18" t="s">
        <v>20</v>
      </c>
      <c r="V215" s="37" t="s">
        <v>20</v>
      </c>
      <c r="W215" s="37" t="s">
        <v>20</v>
      </c>
      <c r="X215" s="37" t="s">
        <v>20</v>
      </c>
      <c r="Y215" s="18" t="s">
        <v>20</v>
      </c>
      <c r="Z215" s="18" t="s">
        <v>20</v>
      </c>
      <c r="AA215" s="20" t="s">
        <v>20</v>
      </c>
      <c r="AB215" s="20" t="s">
        <v>20</v>
      </c>
      <c r="AC215" s="20" t="s">
        <v>20</v>
      </c>
      <c r="AD215" s="29" t="s">
        <v>20</v>
      </c>
      <c r="AE215" s="29" t="s">
        <v>21</v>
      </c>
      <c r="AG215">
        <f t="shared" si="18"/>
        <v>0</v>
      </c>
      <c r="AH215">
        <f t="shared" si="19"/>
        <v>19</v>
      </c>
      <c r="AI215">
        <f t="shared" si="20"/>
        <v>7</v>
      </c>
      <c r="AJ215">
        <f t="shared" si="21"/>
        <v>0</v>
      </c>
      <c r="AL215">
        <f t="shared" si="22"/>
        <v>0</v>
      </c>
      <c r="AM215">
        <f t="shared" si="23"/>
        <v>57</v>
      </c>
      <c r="AN215">
        <f t="shared" si="24"/>
        <v>14</v>
      </c>
      <c r="AO215">
        <f t="shared" si="25"/>
        <v>0</v>
      </c>
      <c r="AP215">
        <f t="shared" si="26"/>
        <v>71</v>
      </c>
    </row>
    <row r="216" spans="1:42" ht="15.75" hidden="1" customHeight="1" x14ac:dyDescent="0.3">
      <c r="A216" s="16"/>
      <c r="B216" s="55">
        <v>10</v>
      </c>
      <c r="C216" s="56" t="s">
        <v>234</v>
      </c>
      <c r="D216" s="55">
        <v>5</v>
      </c>
      <c r="E216" s="55" t="s">
        <v>21</v>
      </c>
      <c r="F216" s="18" t="s">
        <v>20</v>
      </c>
      <c r="G216" s="18" t="s">
        <v>20</v>
      </c>
      <c r="H216" s="18" t="s">
        <v>21</v>
      </c>
      <c r="I216" s="18" t="s">
        <v>20</v>
      </c>
      <c r="J216" s="18" t="s">
        <v>20</v>
      </c>
      <c r="K216" s="18" t="s">
        <v>21</v>
      </c>
      <c r="L216" s="18" t="s">
        <v>20</v>
      </c>
      <c r="M216" s="18" t="s">
        <v>20</v>
      </c>
      <c r="N216" s="18" t="s">
        <v>20</v>
      </c>
      <c r="O216" s="18" t="s">
        <v>20</v>
      </c>
      <c r="P216" s="18" t="s">
        <v>21</v>
      </c>
      <c r="Q216" s="18" t="s">
        <v>21</v>
      </c>
      <c r="R216" s="18" t="s">
        <v>21</v>
      </c>
      <c r="S216" s="18" t="s">
        <v>20</v>
      </c>
      <c r="T216" s="18" t="s">
        <v>21</v>
      </c>
      <c r="U216" s="18" t="s">
        <v>20</v>
      </c>
      <c r="V216" s="37" t="s">
        <v>20</v>
      </c>
      <c r="W216" s="37" t="s">
        <v>20</v>
      </c>
      <c r="X216" s="37" t="s">
        <v>20</v>
      </c>
      <c r="Y216" s="18" t="s">
        <v>20</v>
      </c>
      <c r="Z216" s="18" t="s">
        <v>20</v>
      </c>
      <c r="AA216" s="20" t="s">
        <v>20</v>
      </c>
      <c r="AB216" s="20" t="s">
        <v>20</v>
      </c>
      <c r="AC216" s="20" t="s">
        <v>20</v>
      </c>
      <c r="AD216" s="29" t="s">
        <v>20</v>
      </c>
      <c r="AE216" s="29" t="s">
        <v>21</v>
      </c>
      <c r="AG216">
        <f t="shared" si="18"/>
        <v>0</v>
      </c>
      <c r="AH216">
        <f t="shared" si="19"/>
        <v>19</v>
      </c>
      <c r="AI216">
        <f t="shared" si="20"/>
        <v>7</v>
      </c>
      <c r="AJ216">
        <f t="shared" si="21"/>
        <v>0</v>
      </c>
      <c r="AL216">
        <f t="shared" si="22"/>
        <v>0</v>
      </c>
      <c r="AM216">
        <f t="shared" si="23"/>
        <v>57</v>
      </c>
      <c r="AN216">
        <f t="shared" si="24"/>
        <v>14</v>
      </c>
      <c r="AO216">
        <f t="shared" si="25"/>
        <v>0</v>
      </c>
      <c r="AP216">
        <f t="shared" si="26"/>
        <v>71</v>
      </c>
    </row>
    <row r="217" spans="1:42" ht="15.75" hidden="1" customHeight="1" x14ac:dyDescent="0.3">
      <c r="A217" s="16"/>
      <c r="B217" s="55">
        <v>11</v>
      </c>
      <c r="C217" s="56" t="s">
        <v>235</v>
      </c>
      <c r="D217" s="55">
        <v>5</v>
      </c>
      <c r="E217" s="55" t="s">
        <v>21</v>
      </c>
      <c r="F217" s="18" t="s">
        <v>21</v>
      </c>
      <c r="G217" s="18" t="s">
        <v>21</v>
      </c>
      <c r="H217" s="18" t="s">
        <v>21</v>
      </c>
      <c r="I217" s="18" t="s">
        <v>21</v>
      </c>
      <c r="J217" s="18" t="s">
        <v>21</v>
      </c>
      <c r="K217" s="18" t="s">
        <v>21</v>
      </c>
      <c r="L217" s="18" t="s">
        <v>20</v>
      </c>
      <c r="M217" s="18" t="s">
        <v>20</v>
      </c>
      <c r="N217" s="18" t="s">
        <v>20</v>
      </c>
      <c r="O217" s="18" t="s">
        <v>20</v>
      </c>
      <c r="P217" s="18" t="s">
        <v>21</v>
      </c>
      <c r="Q217" s="18" t="s">
        <v>21</v>
      </c>
      <c r="R217" s="18" t="s">
        <v>21</v>
      </c>
      <c r="S217" s="18" t="s">
        <v>20</v>
      </c>
      <c r="T217" s="18" t="s">
        <v>20</v>
      </c>
      <c r="U217" s="18" t="s">
        <v>21</v>
      </c>
      <c r="V217" s="37" t="s">
        <v>20</v>
      </c>
      <c r="W217" s="37" t="s">
        <v>21</v>
      </c>
      <c r="X217" s="37" t="s">
        <v>20</v>
      </c>
      <c r="Y217" s="18" t="s">
        <v>20</v>
      </c>
      <c r="Z217" s="18" t="s">
        <v>21</v>
      </c>
      <c r="AA217" s="20" t="s">
        <v>20</v>
      </c>
      <c r="AB217" s="20" t="s">
        <v>20</v>
      </c>
      <c r="AC217" s="20" t="s">
        <v>20</v>
      </c>
      <c r="AD217" s="29" t="s">
        <v>20</v>
      </c>
      <c r="AE217" s="29" t="s">
        <v>21</v>
      </c>
      <c r="AG217">
        <f t="shared" si="18"/>
        <v>0</v>
      </c>
      <c r="AH217">
        <f t="shared" si="19"/>
        <v>13</v>
      </c>
      <c r="AI217">
        <f t="shared" si="20"/>
        <v>13</v>
      </c>
      <c r="AJ217">
        <f t="shared" si="21"/>
        <v>0</v>
      </c>
      <c r="AL217">
        <f t="shared" si="22"/>
        <v>0</v>
      </c>
      <c r="AM217">
        <f t="shared" si="23"/>
        <v>39</v>
      </c>
      <c r="AN217">
        <f t="shared" si="24"/>
        <v>26</v>
      </c>
      <c r="AO217">
        <f t="shared" si="25"/>
        <v>0</v>
      </c>
      <c r="AP217">
        <f t="shared" si="26"/>
        <v>65</v>
      </c>
    </row>
    <row r="218" spans="1:42" ht="15.75" hidden="1" customHeight="1" x14ac:dyDescent="0.3">
      <c r="A218" s="16"/>
      <c r="B218" s="55">
        <v>12</v>
      </c>
      <c r="C218" s="56" t="s">
        <v>236</v>
      </c>
      <c r="D218" s="55">
        <v>5</v>
      </c>
      <c r="E218" s="55" t="s">
        <v>21</v>
      </c>
      <c r="F218" s="18" t="s">
        <v>21</v>
      </c>
      <c r="G218" s="18" t="s">
        <v>21</v>
      </c>
      <c r="H218" s="18" t="s">
        <v>21</v>
      </c>
      <c r="I218" s="18" t="s">
        <v>20</v>
      </c>
      <c r="J218" s="18" t="s">
        <v>21</v>
      </c>
      <c r="K218" s="18" t="s">
        <v>21</v>
      </c>
      <c r="L218" s="18" t="s">
        <v>20</v>
      </c>
      <c r="M218" s="18" t="s">
        <v>20</v>
      </c>
      <c r="N218" s="18" t="s">
        <v>20</v>
      </c>
      <c r="O218" s="18" t="s">
        <v>20</v>
      </c>
      <c r="P218" s="18" t="s">
        <v>23</v>
      </c>
      <c r="Q218" s="18" t="s">
        <v>23</v>
      </c>
      <c r="R218" s="18" t="s">
        <v>23</v>
      </c>
      <c r="S218" s="18" t="s">
        <v>21</v>
      </c>
      <c r="T218" s="18" t="s">
        <v>21</v>
      </c>
      <c r="U218" s="18" t="s">
        <v>20</v>
      </c>
      <c r="V218" s="37" t="s">
        <v>20</v>
      </c>
      <c r="W218" s="37" t="s">
        <v>20</v>
      </c>
      <c r="X218" s="37" t="s">
        <v>20</v>
      </c>
      <c r="Y218" s="18" t="s">
        <v>20</v>
      </c>
      <c r="Z218" s="18" t="s">
        <v>20</v>
      </c>
      <c r="AA218" s="20" t="s">
        <v>20</v>
      </c>
      <c r="AB218" s="20" t="s">
        <v>20</v>
      </c>
      <c r="AC218" s="20" t="s">
        <v>20</v>
      </c>
      <c r="AD218" s="29" t="s">
        <v>23</v>
      </c>
      <c r="AE218" s="29" t="s">
        <v>21</v>
      </c>
      <c r="AG218">
        <f t="shared" si="18"/>
        <v>0</v>
      </c>
      <c r="AH218">
        <f t="shared" si="19"/>
        <v>14</v>
      </c>
      <c r="AI218">
        <f t="shared" si="20"/>
        <v>8</v>
      </c>
      <c r="AJ218">
        <f t="shared" si="21"/>
        <v>4</v>
      </c>
      <c r="AL218">
        <f t="shared" si="22"/>
        <v>0</v>
      </c>
      <c r="AM218">
        <f t="shared" si="23"/>
        <v>42</v>
      </c>
      <c r="AN218">
        <f t="shared" si="24"/>
        <v>16</v>
      </c>
      <c r="AO218">
        <f t="shared" si="25"/>
        <v>4</v>
      </c>
      <c r="AP218">
        <f t="shared" si="26"/>
        <v>62</v>
      </c>
    </row>
    <row r="219" spans="1:42" ht="15.75" hidden="1" customHeight="1" x14ac:dyDescent="0.3">
      <c r="A219" s="16"/>
      <c r="B219" s="55">
        <v>13</v>
      </c>
      <c r="C219" s="56" t="s">
        <v>237</v>
      </c>
      <c r="D219" s="55">
        <v>5</v>
      </c>
      <c r="E219" s="55" t="s">
        <v>21</v>
      </c>
      <c r="F219" s="18" t="s">
        <v>21</v>
      </c>
      <c r="G219" s="18" t="s">
        <v>21</v>
      </c>
      <c r="H219" s="18" t="s">
        <v>21</v>
      </c>
      <c r="I219" s="18" t="s">
        <v>21</v>
      </c>
      <c r="J219" s="18" t="s">
        <v>20</v>
      </c>
      <c r="K219" s="18" t="s">
        <v>20</v>
      </c>
      <c r="L219" s="18" t="s">
        <v>20</v>
      </c>
      <c r="M219" s="18" t="s">
        <v>20</v>
      </c>
      <c r="N219" s="18" t="s">
        <v>21</v>
      </c>
      <c r="O219" s="18" t="s">
        <v>20</v>
      </c>
      <c r="P219" s="18" t="s">
        <v>23</v>
      </c>
      <c r="Q219" s="18" t="s">
        <v>21</v>
      </c>
      <c r="R219" s="18" t="s">
        <v>21</v>
      </c>
      <c r="S219" s="18" t="s">
        <v>20</v>
      </c>
      <c r="T219" s="18" t="s">
        <v>21</v>
      </c>
      <c r="U219" s="18" t="s">
        <v>21</v>
      </c>
      <c r="V219" s="37" t="s">
        <v>20</v>
      </c>
      <c r="W219" s="37" t="s">
        <v>20</v>
      </c>
      <c r="X219" s="37" t="s">
        <v>20</v>
      </c>
      <c r="Y219" s="18" t="s">
        <v>20</v>
      </c>
      <c r="Z219" s="18" t="s">
        <v>20</v>
      </c>
      <c r="AA219" s="20" t="s">
        <v>21</v>
      </c>
      <c r="AB219" s="20" t="s">
        <v>20</v>
      </c>
      <c r="AC219" s="20" t="s">
        <v>21</v>
      </c>
      <c r="AD219" s="29" t="s">
        <v>21</v>
      </c>
      <c r="AE219" s="29" t="s">
        <v>21</v>
      </c>
      <c r="AG219">
        <f t="shared" ref="AG219:AG252" si="27">+COUNTIF(F219:AE219,"AD")</f>
        <v>0</v>
      </c>
      <c r="AH219">
        <f t="shared" ref="AH219:AH252" si="28">+COUNTIF(F219:AE219,"A")</f>
        <v>12</v>
      </c>
      <c r="AI219">
        <f t="shared" ref="AI219:AI252" si="29">+COUNTIF(F219:AE219,"b")</f>
        <v>13</v>
      </c>
      <c r="AJ219">
        <f t="shared" ref="AJ219:AJ252" si="30">+COUNTIF(F219:AE219,"c")</f>
        <v>1</v>
      </c>
      <c r="AL219">
        <f t="shared" ref="AL219:AL252" si="31">+$AG$5*AG219</f>
        <v>0</v>
      </c>
      <c r="AM219">
        <f t="shared" ref="AM219:AM252" si="32">+$AH$5*AH219</f>
        <v>36</v>
      </c>
      <c r="AN219">
        <f t="shared" ref="AN219:AN252" si="33">+$AI$5*AI219</f>
        <v>26</v>
      </c>
      <c r="AO219">
        <f t="shared" ref="AO219:AO252" si="34">+$AJ$5*AJ219</f>
        <v>1</v>
      </c>
      <c r="AP219">
        <f t="shared" ref="AP219:AP232" si="35">+SUM(AL219:AO219)</f>
        <v>63</v>
      </c>
    </row>
    <row r="220" spans="1:42" ht="15.75" hidden="1" customHeight="1" x14ac:dyDescent="0.3">
      <c r="A220" s="16"/>
      <c r="B220" s="55">
        <v>14</v>
      </c>
      <c r="C220" s="56" t="s">
        <v>238</v>
      </c>
      <c r="D220" s="55">
        <v>5</v>
      </c>
      <c r="E220" s="55" t="s">
        <v>21</v>
      </c>
      <c r="F220" s="18" t="s">
        <v>21</v>
      </c>
      <c r="G220" s="18" t="s">
        <v>21</v>
      </c>
      <c r="H220" s="18" t="s">
        <v>23</v>
      </c>
      <c r="I220" s="18" t="s">
        <v>21</v>
      </c>
      <c r="J220" s="18" t="s">
        <v>23</v>
      </c>
      <c r="K220" s="18" t="s">
        <v>21</v>
      </c>
      <c r="L220" s="18" t="s">
        <v>21</v>
      </c>
      <c r="M220" s="18" t="s">
        <v>21</v>
      </c>
      <c r="N220" s="18" t="s">
        <v>21</v>
      </c>
      <c r="O220" s="18" t="s">
        <v>20</v>
      </c>
      <c r="P220" s="18" t="s">
        <v>21</v>
      </c>
      <c r="Q220" s="18" t="s">
        <v>23</v>
      </c>
      <c r="R220" s="18" t="s">
        <v>21</v>
      </c>
      <c r="S220" s="18" t="s">
        <v>21</v>
      </c>
      <c r="T220" s="18" t="s">
        <v>21</v>
      </c>
      <c r="U220" s="18" t="s">
        <v>20</v>
      </c>
      <c r="V220" s="37" t="s">
        <v>21</v>
      </c>
      <c r="W220" s="37" t="s">
        <v>20</v>
      </c>
      <c r="X220" s="37" t="s">
        <v>20</v>
      </c>
      <c r="Y220" s="18" t="s">
        <v>20</v>
      </c>
      <c r="Z220" s="18" t="s">
        <v>21</v>
      </c>
      <c r="AA220" s="20" t="s">
        <v>23</v>
      </c>
      <c r="AB220" s="20" t="s">
        <v>23</v>
      </c>
      <c r="AC220" s="20" t="s">
        <v>21</v>
      </c>
      <c r="AD220" s="29" t="s">
        <v>20</v>
      </c>
      <c r="AE220" s="29" t="s">
        <v>21</v>
      </c>
      <c r="AG220">
        <f t="shared" si="27"/>
        <v>0</v>
      </c>
      <c r="AH220">
        <f t="shared" si="28"/>
        <v>6</v>
      </c>
      <c r="AI220">
        <f t="shared" si="29"/>
        <v>15</v>
      </c>
      <c r="AJ220">
        <f t="shared" si="30"/>
        <v>5</v>
      </c>
      <c r="AL220">
        <f t="shared" si="31"/>
        <v>0</v>
      </c>
      <c r="AM220">
        <f t="shared" si="32"/>
        <v>18</v>
      </c>
      <c r="AN220">
        <f t="shared" si="33"/>
        <v>30</v>
      </c>
      <c r="AO220">
        <f t="shared" si="34"/>
        <v>5</v>
      </c>
      <c r="AP220">
        <f t="shared" si="35"/>
        <v>53</v>
      </c>
    </row>
    <row r="221" spans="1:42" ht="15.75" hidden="1" customHeight="1" x14ac:dyDescent="0.3">
      <c r="A221" s="16"/>
      <c r="B221" s="55">
        <v>15</v>
      </c>
      <c r="C221" s="56" t="s">
        <v>239</v>
      </c>
      <c r="D221" s="55">
        <v>5</v>
      </c>
      <c r="E221" s="55" t="s">
        <v>21</v>
      </c>
      <c r="F221" s="18" t="s">
        <v>21</v>
      </c>
      <c r="G221" s="18" t="s">
        <v>23</v>
      </c>
      <c r="H221" s="18" t="s">
        <v>21</v>
      </c>
      <c r="I221" s="18" t="s">
        <v>21</v>
      </c>
      <c r="J221" s="18" t="s">
        <v>21</v>
      </c>
      <c r="K221" s="18" t="s">
        <v>20</v>
      </c>
      <c r="L221" s="18" t="s">
        <v>20</v>
      </c>
      <c r="M221" s="18" t="s">
        <v>20</v>
      </c>
      <c r="N221" s="18" t="s">
        <v>21</v>
      </c>
      <c r="O221" s="18" t="s">
        <v>20</v>
      </c>
      <c r="P221" s="18" t="s">
        <v>21</v>
      </c>
      <c r="Q221" s="18" t="s">
        <v>21</v>
      </c>
      <c r="R221" s="18" t="s">
        <v>21</v>
      </c>
      <c r="S221" s="18" t="s">
        <v>20</v>
      </c>
      <c r="T221" s="18" t="s">
        <v>20</v>
      </c>
      <c r="U221" s="18" t="s">
        <v>21</v>
      </c>
      <c r="V221" s="37" t="s">
        <v>20</v>
      </c>
      <c r="W221" s="37" t="s">
        <v>20</v>
      </c>
      <c r="X221" s="37" t="s">
        <v>20</v>
      </c>
      <c r="Y221" s="18" t="s">
        <v>21</v>
      </c>
      <c r="Z221" s="18" t="s">
        <v>21</v>
      </c>
      <c r="AA221" s="20" t="s">
        <v>21</v>
      </c>
      <c r="AB221" s="20" t="s">
        <v>21</v>
      </c>
      <c r="AC221" s="20" t="s">
        <v>21</v>
      </c>
      <c r="AD221" s="29" t="s">
        <v>20</v>
      </c>
      <c r="AE221" s="29" t="s">
        <v>21</v>
      </c>
      <c r="AG221">
        <f t="shared" si="27"/>
        <v>0</v>
      </c>
      <c r="AH221">
        <f t="shared" si="28"/>
        <v>10</v>
      </c>
      <c r="AI221">
        <f t="shared" si="29"/>
        <v>15</v>
      </c>
      <c r="AJ221">
        <f t="shared" si="30"/>
        <v>1</v>
      </c>
      <c r="AL221">
        <f t="shared" si="31"/>
        <v>0</v>
      </c>
      <c r="AM221">
        <f t="shared" si="32"/>
        <v>30</v>
      </c>
      <c r="AN221">
        <f t="shared" si="33"/>
        <v>30</v>
      </c>
      <c r="AO221">
        <f t="shared" si="34"/>
        <v>1</v>
      </c>
      <c r="AP221">
        <f t="shared" si="35"/>
        <v>61</v>
      </c>
    </row>
    <row r="222" spans="1:42" ht="15.75" hidden="1" customHeight="1" x14ac:dyDescent="0.3">
      <c r="A222" s="16"/>
      <c r="B222" s="55">
        <v>16</v>
      </c>
      <c r="C222" s="56" t="s">
        <v>240</v>
      </c>
      <c r="D222" s="55">
        <v>5</v>
      </c>
      <c r="E222" s="55" t="s">
        <v>21</v>
      </c>
      <c r="F222" s="18" t="s">
        <v>20</v>
      </c>
      <c r="G222" s="18" t="s">
        <v>20</v>
      </c>
      <c r="H222" s="18" t="s">
        <v>21</v>
      </c>
      <c r="I222" s="18" t="s">
        <v>20</v>
      </c>
      <c r="J222" s="18" t="s">
        <v>21</v>
      </c>
      <c r="K222" s="18" t="s">
        <v>21</v>
      </c>
      <c r="L222" s="18" t="s">
        <v>20</v>
      </c>
      <c r="M222" s="18" t="s">
        <v>20</v>
      </c>
      <c r="N222" s="18" t="s">
        <v>20</v>
      </c>
      <c r="O222" s="18" t="s">
        <v>20</v>
      </c>
      <c r="P222" s="18" t="s">
        <v>21</v>
      </c>
      <c r="Q222" s="18" t="s">
        <v>20</v>
      </c>
      <c r="R222" s="18" t="s">
        <v>21</v>
      </c>
      <c r="S222" s="18" t="s">
        <v>21</v>
      </c>
      <c r="T222" s="18" t="s">
        <v>21</v>
      </c>
      <c r="U222" s="18" t="s">
        <v>20</v>
      </c>
      <c r="V222" s="37" t="s">
        <v>20</v>
      </c>
      <c r="W222" s="37" t="s">
        <v>20</v>
      </c>
      <c r="X222" s="37" t="s">
        <v>20</v>
      </c>
      <c r="Y222" s="18" t="s">
        <v>20</v>
      </c>
      <c r="Z222" s="18" t="s">
        <v>21</v>
      </c>
      <c r="AA222" s="20" t="s">
        <v>21</v>
      </c>
      <c r="AB222" s="20" t="s">
        <v>20</v>
      </c>
      <c r="AC222" s="20" t="s">
        <v>20</v>
      </c>
      <c r="AD222" s="29" t="s">
        <v>20</v>
      </c>
      <c r="AE222" s="29" t="s">
        <v>21</v>
      </c>
      <c r="AG222">
        <f t="shared" si="27"/>
        <v>0</v>
      </c>
      <c r="AH222">
        <f t="shared" si="28"/>
        <v>16</v>
      </c>
      <c r="AI222">
        <f t="shared" si="29"/>
        <v>10</v>
      </c>
      <c r="AJ222">
        <f t="shared" si="30"/>
        <v>0</v>
      </c>
      <c r="AL222">
        <f t="shared" si="31"/>
        <v>0</v>
      </c>
      <c r="AM222">
        <f t="shared" si="32"/>
        <v>48</v>
      </c>
      <c r="AN222">
        <f t="shared" si="33"/>
        <v>20</v>
      </c>
      <c r="AO222">
        <f t="shared" si="34"/>
        <v>0</v>
      </c>
      <c r="AP222">
        <f t="shared" si="35"/>
        <v>68</v>
      </c>
    </row>
    <row r="223" spans="1:42" ht="15.75" hidden="1" customHeight="1" x14ac:dyDescent="0.3">
      <c r="A223" s="16"/>
      <c r="B223" s="55">
        <v>17</v>
      </c>
      <c r="C223" s="56" t="s">
        <v>241</v>
      </c>
      <c r="D223" s="55">
        <v>5</v>
      </c>
      <c r="E223" s="55" t="s">
        <v>21</v>
      </c>
      <c r="F223" s="18" t="s">
        <v>21</v>
      </c>
      <c r="G223" s="18" t="s">
        <v>23</v>
      </c>
      <c r="H223" s="18" t="s">
        <v>21</v>
      </c>
      <c r="I223" s="18" t="s">
        <v>21</v>
      </c>
      <c r="J223" s="18" t="s">
        <v>21</v>
      </c>
      <c r="K223" s="18" t="s">
        <v>21</v>
      </c>
      <c r="L223" s="18" t="s">
        <v>21</v>
      </c>
      <c r="M223" s="18" t="s">
        <v>21</v>
      </c>
      <c r="N223" s="18" t="s">
        <v>21</v>
      </c>
      <c r="O223" s="18" t="s">
        <v>21</v>
      </c>
      <c r="P223" s="18" t="s">
        <v>21</v>
      </c>
      <c r="Q223" s="18" t="s">
        <v>23</v>
      </c>
      <c r="R223" s="18" t="s">
        <v>21</v>
      </c>
      <c r="S223" s="18" t="s">
        <v>21</v>
      </c>
      <c r="T223" s="18" t="s">
        <v>21</v>
      </c>
      <c r="U223" s="18" t="s">
        <v>21</v>
      </c>
      <c r="V223" s="37" t="s">
        <v>20</v>
      </c>
      <c r="W223" s="37" t="s">
        <v>21</v>
      </c>
      <c r="X223" s="37" t="s">
        <v>20</v>
      </c>
      <c r="Y223" s="18" t="s">
        <v>20</v>
      </c>
      <c r="Z223" s="18" t="s">
        <v>21</v>
      </c>
      <c r="AA223" s="20" t="s">
        <v>20</v>
      </c>
      <c r="AB223" s="20" t="s">
        <v>21</v>
      </c>
      <c r="AC223" s="20" t="s">
        <v>21</v>
      </c>
      <c r="AD223" s="29" t="s">
        <v>23</v>
      </c>
      <c r="AE223" s="29" t="s">
        <v>21</v>
      </c>
      <c r="AG223">
        <f t="shared" si="27"/>
        <v>0</v>
      </c>
      <c r="AH223">
        <f t="shared" si="28"/>
        <v>4</v>
      </c>
      <c r="AI223">
        <f t="shared" si="29"/>
        <v>19</v>
      </c>
      <c r="AJ223">
        <f t="shared" si="30"/>
        <v>3</v>
      </c>
      <c r="AL223">
        <f t="shared" si="31"/>
        <v>0</v>
      </c>
      <c r="AM223">
        <f t="shared" si="32"/>
        <v>12</v>
      </c>
      <c r="AN223">
        <f t="shared" si="33"/>
        <v>38</v>
      </c>
      <c r="AO223">
        <f t="shared" si="34"/>
        <v>3</v>
      </c>
      <c r="AP223">
        <f t="shared" si="35"/>
        <v>53</v>
      </c>
    </row>
    <row r="224" spans="1:42" ht="15.75" hidden="1" customHeight="1" x14ac:dyDescent="0.3">
      <c r="A224" s="16"/>
      <c r="B224" s="55">
        <v>18</v>
      </c>
      <c r="C224" s="56" t="s">
        <v>242</v>
      </c>
      <c r="D224" s="55">
        <v>5</v>
      </c>
      <c r="E224" s="55" t="s">
        <v>21</v>
      </c>
      <c r="F224" s="18" t="s">
        <v>20</v>
      </c>
      <c r="G224" s="18" t="s">
        <v>20</v>
      </c>
      <c r="H224" s="18" t="s">
        <v>21</v>
      </c>
      <c r="I224" s="18" t="s">
        <v>21</v>
      </c>
      <c r="J224" s="18" t="s">
        <v>20</v>
      </c>
      <c r="K224" s="18" t="s">
        <v>20</v>
      </c>
      <c r="L224" s="18" t="s">
        <v>21</v>
      </c>
      <c r="M224" s="18" t="s">
        <v>20</v>
      </c>
      <c r="N224" s="18" t="s">
        <v>20</v>
      </c>
      <c r="O224" s="18" t="s">
        <v>20</v>
      </c>
      <c r="P224" s="18" t="s">
        <v>21</v>
      </c>
      <c r="Q224" s="18" t="s">
        <v>21</v>
      </c>
      <c r="R224" s="18" t="s">
        <v>21</v>
      </c>
      <c r="S224" s="18" t="s">
        <v>20</v>
      </c>
      <c r="T224" s="18" t="s">
        <v>20</v>
      </c>
      <c r="U224" s="18" t="s">
        <v>20</v>
      </c>
      <c r="V224" s="37" t="s">
        <v>20</v>
      </c>
      <c r="W224" s="37" t="s">
        <v>20</v>
      </c>
      <c r="X224" s="37" t="s">
        <v>20</v>
      </c>
      <c r="Y224" s="18" t="s">
        <v>20</v>
      </c>
      <c r="Z224" s="18" t="s">
        <v>20</v>
      </c>
      <c r="AA224" s="20" t="s">
        <v>21</v>
      </c>
      <c r="AB224" s="20" t="s">
        <v>20</v>
      </c>
      <c r="AC224" s="20" t="s">
        <v>20</v>
      </c>
      <c r="AD224" s="29" t="s">
        <v>20</v>
      </c>
      <c r="AE224" s="29" t="s">
        <v>21</v>
      </c>
      <c r="AG224">
        <f t="shared" si="27"/>
        <v>0</v>
      </c>
      <c r="AH224">
        <f t="shared" si="28"/>
        <v>18</v>
      </c>
      <c r="AI224">
        <f t="shared" si="29"/>
        <v>8</v>
      </c>
      <c r="AJ224">
        <f t="shared" si="30"/>
        <v>0</v>
      </c>
      <c r="AL224">
        <f t="shared" si="31"/>
        <v>0</v>
      </c>
      <c r="AM224">
        <f t="shared" si="32"/>
        <v>54</v>
      </c>
      <c r="AN224">
        <f t="shared" si="33"/>
        <v>16</v>
      </c>
      <c r="AO224">
        <f t="shared" si="34"/>
        <v>0</v>
      </c>
      <c r="AP224">
        <f t="shared" si="35"/>
        <v>70</v>
      </c>
    </row>
    <row r="225" spans="1:42" ht="15.75" hidden="1" customHeight="1" x14ac:dyDescent="0.3">
      <c r="A225" s="16"/>
      <c r="B225" s="55">
        <v>19</v>
      </c>
      <c r="C225" s="56" t="s">
        <v>243</v>
      </c>
      <c r="D225" s="55">
        <v>5</v>
      </c>
      <c r="E225" s="55" t="s">
        <v>21</v>
      </c>
      <c r="F225" s="18" t="s">
        <v>20</v>
      </c>
      <c r="G225" s="18" t="s">
        <v>20</v>
      </c>
      <c r="H225" s="18" t="s">
        <v>20</v>
      </c>
      <c r="I225" s="18" t="s">
        <v>20</v>
      </c>
      <c r="J225" s="18" t="s">
        <v>20</v>
      </c>
      <c r="K225" s="18" t="s">
        <v>20</v>
      </c>
      <c r="L225" s="18" t="s">
        <v>20</v>
      </c>
      <c r="M225" s="18" t="s">
        <v>20</v>
      </c>
      <c r="N225" s="18" t="s">
        <v>20</v>
      </c>
      <c r="O225" s="18" t="s">
        <v>20</v>
      </c>
      <c r="P225" s="18" t="s">
        <v>20</v>
      </c>
      <c r="Q225" s="18" t="s">
        <v>20</v>
      </c>
      <c r="R225" s="18" t="s">
        <v>20</v>
      </c>
      <c r="S225" s="18" t="s">
        <v>20</v>
      </c>
      <c r="T225" s="18" t="s">
        <v>20</v>
      </c>
      <c r="U225" s="18" t="s">
        <v>20</v>
      </c>
      <c r="V225" s="37" t="s">
        <v>20</v>
      </c>
      <c r="W225" s="37" t="s">
        <v>20</v>
      </c>
      <c r="X225" s="37" t="s">
        <v>20</v>
      </c>
      <c r="Y225" s="18" t="s">
        <v>20</v>
      </c>
      <c r="Z225" s="18" t="s">
        <v>20</v>
      </c>
      <c r="AA225" s="20" t="s">
        <v>20</v>
      </c>
      <c r="AB225" s="20" t="s">
        <v>20</v>
      </c>
      <c r="AC225" s="20" t="s">
        <v>20</v>
      </c>
      <c r="AD225" s="29" t="s">
        <v>20</v>
      </c>
      <c r="AE225" s="29" t="s">
        <v>21</v>
      </c>
      <c r="AG225">
        <f t="shared" si="27"/>
        <v>0</v>
      </c>
      <c r="AH225">
        <f t="shared" si="28"/>
        <v>25</v>
      </c>
      <c r="AI225">
        <f t="shared" si="29"/>
        <v>1</v>
      </c>
      <c r="AJ225">
        <f t="shared" si="30"/>
        <v>0</v>
      </c>
      <c r="AL225">
        <f t="shared" si="31"/>
        <v>0</v>
      </c>
      <c r="AM225">
        <f t="shared" si="32"/>
        <v>75</v>
      </c>
      <c r="AN225">
        <f t="shared" si="33"/>
        <v>2</v>
      </c>
      <c r="AO225">
        <f t="shared" si="34"/>
        <v>0</v>
      </c>
      <c r="AP225">
        <f t="shared" si="35"/>
        <v>77</v>
      </c>
    </row>
    <row r="226" spans="1:42" ht="15.75" hidden="1" customHeight="1" x14ac:dyDescent="0.3">
      <c r="A226" s="16"/>
      <c r="B226" s="55">
        <v>20</v>
      </c>
      <c r="C226" s="56" t="s">
        <v>244</v>
      </c>
      <c r="D226" s="55">
        <v>5</v>
      </c>
      <c r="E226" s="55" t="s">
        <v>21</v>
      </c>
      <c r="F226" s="18" t="s">
        <v>20</v>
      </c>
      <c r="G226" s="18" t="s">
        <v>21</v>
      </c>
      <c r="H226" s="18" t="s">
        <v>21</v>
      </c>
      <c r="I226" s="18" t="s">
        <v>21</v>
      </c>
      <c r="J226" s="18" t="s">
        <v>21</v>
      </c>
      <c r="K226" s="18" t="s">
        <v>20</v>
      </c>
      <c r="L226" s="18" t="s">
        <v>20</v>
      </c>
      <c r="M226" s="18" t="s">
        <v>20</v>
      </c>
      <c r="N226" s="18" t="s">
        <v>21</v>
      </c>
      <c r="O226" s="18" t="s">
        <v>20</v>
      </c>
      <c r="P226" s="18" t="s">
        <v>21</v>
      </c>
      <c r="Q226" s="18" t="s">
        <v>21</v>
      </c>
      <c r="R226" s="18" t="s">
        <v>21</v>
      </c>
      <c r="S226" s="18" t="s">
        <v>20</v>
      </c>
      <c r="T226" s="18" t="s">
        <v>21</v>
      </c>
      <c r="U226" s="18" t="s">
        <v>21</v>
      </c>
      <c r="V226" s="37" t="s">
        <v>20</v>
      </c>
      <c r="W226" s="37" t="s">
        <v>21</v>
      </c>
      <c r="X226" s="37" t="s">
        <v>20</v>
      </c>
      <c r="Y226" s="18" t="s">
        <v>20</v>
      </c>
      <c r="Z226" s="18" t="s">
        <v>20</v>
      </c>
      <c r="AA226" s="20" t="s">
        <v>20</v>
      </c>
      <c r="AB226" s="20" t="s">
        <v>20</v>
      </c>
      <c r="AC226" s="20" t="s">
        <v>20</v>
      </c>
      <c r="AD226" s="29" t="s">
        <v>20</v>
      </c>
      <c r="AE226" s="29" t="s">
        <v>21</v>
      </c>
      <c r="AG226">
        <f t="shared" si="27"/>
        <v>0</v>
      </c>
      <c r="AH226">
        <f t="shared" si="28"/>
        <v>14</v>
      </c>
      <c r="AI226">
        <f t="shared" si="29"/>
        <v>12</v>
      </c>
      <c r="AJ226">
        <f t="shared" si="30"/>
        <v>0</v>
      </c>
      <c r="AL226">
        <f t="shared" si="31"/>
        <v>0</v>
      </c>
      <c r="AM226">
        <f t="shared" si="32"/>
        <v>42</v>
      </c>
      <c r="AN226">
        <f t="shared" si="33"/>
        <v>24</v>
      </c>
      <c r="AO226">
        <f t="shared" si="34"/>
        <v>0</v>
      </c>
      <c r="AP226">
        <f t="shared" si="35"/>
        <v>66</v>
      </c>
    </row>
    <row r="227" spans="1:42" ht="15.75" hidden="1" customHeight="1" x14ac:dyDescent="0.3">
      <c r="A227" s="16"/>
      <c r="B227" s="55">
        <v>21</v>
      </c>
      <c r="C227" s="56" t="s">
        <v>245</v>
      </c>
      <c r="D227" s="55">
        <v>5</v>
      </c>
      <c r="E227" s="55" t="s">
        <v>21</v>
      </c>
      <c r="F227" s="18" t="s">
        <v>39</v>
      </c>
      <c r="G227" s="18" t="s">
        <v>20</v>
      </c>
      <c r="H227" s="18" t="s">
        <v>20</v>
      </c>
      <c r="I227" s="18" t="s">
        <v>20</v>
      </c>
      <c r="J227" s="18" t="s">
        <v>20</v>
      </c>
      <c r="K227" s="18" t="s">
        <v>39</v>
      </c>
      <c r="L227" s="18" t="s">
        <v>39</v>
      </c>
      <c r="M227" s="18" t="s">
        <v>20</v>
      </c>
      <c r="N227" s="18" t="s">
        <v>20</v>
      </c>
      <c r="O227" s="18" t="s">
        <v>20</v>
      </c>
      <c r="P227" s="18" t="s">
        <v>20</v>
      </c>
      <c r="Q227" s="18" t="s">
        <v>20</v>
      </c>
      <c r="R227" s="18" t="s">
        <v>20</v>
      </c>
      <c r="S227" s="18" t="s">
        <v>20</v>
      </c>
      <c r="T227" s="18" t="s">
        <v>20</v>
      </c>
      <c r="U227" s="18" t="s">
        <v>20</v>
      </c>
      <c r="V227" s="37" t="s">
        <v>20</v>
      </c>
      <c r="W227" s="37" t="s">
        <v>20</v>
      </c>
      <c r="X227" s="37" t="s">
        <v>20</v>
      </c>
      <c r="Y227" s="18" t="s">
        <v>39</v>
      </c>
      <c r="Z227" s="18" t="s">
        <v>39</v>
      </c>
      <c r="AA227" s="20" t="s">
        <v>20</v>
      </c>
      <c r="AB227" s="20" t="s">
        <v>20</v>
      </c>
      <c r="AC227" s="20" t="s">
        <v>20</v>
      </c>
      <c r="AD227" s="29" t="s">
        <v>20</v>
      </c>
      <c r="AE227" s="29" t="s">
        <v>21</v>
      </c>
      <c r="AG227">
        <f t="shared" si="27"/>
        <v>5</v>
      </c>
      <c r="AH227">
        <f t="shared" si="28"/>
        <v>20</v>
      </c>
      <c r="AI227">
        <f t="shared" si="29"/>
        <v>1</v>
      </c>
      <c r="AJ227">
        <f t="shared" si="30"/>
        <v>0</v>
      </c>
      <c r="AL227">
        <f t="shared" si="31"/>
        <v>20</v>
      </c>
      <c r="AM227">
        <f t="shared" si="32"/>
        <v>60</v>
      </c>
      <c r="AN227">
        <f t="shared" si="33"/>
        <v>2</v>
      </c>
      <c r="AO227">
        <f t="shared" si="34"/>
        <v>0</v>
      </c>
      <c r="AP227">
        <f t="shared" si="35"/>
        <v>82</v>
      </c>
    </row>
    <row r="228" spans="1:42" ht="15.75" hidden="1" customHeight="1" x14ac:dyDescent="0.3">
      <c r="A228" s="16"/>
      <c r="B228" s="55">
        <v>22</v>
      </c>
      <c r="C228" s="56" t="s">
        <v>246</v>
      </c>
      <c r="D228" s="55">
        <v>5</v>
      </c>
      <c r="E228" s="55" t="s">
        <v>21</v>
      </c>
      <c r="F228" s="18" t="s">
        <v>21</v>
      </c>
      <c r="G228" s="18" t="s">
        <v>21</v>
      </c>
      <c r="H228" s="18" t="s">
        <v>21</v>
      </c>
      <c r="I228" s="18" t="s">
        <v>21</v>
      </c>
      <c r="J228" s="18" t="s">
        <v>21</v>
      </c>
      <c r="K228" s="18" t="s">
        <v>20</v>
      </c>
      <c r="L228" s="18" t="s">
        <v>20</v>
      </c>
      <c r="M228" s="18" t="s">
        <v>20</v>
      </c>
      <c r="N228" s="18" t="s">
        <v>20</v>
      </c>
      <c r="O228" s="18" t="s">
        <v>20</v>
      </c>
      <c r="P228" s="18" t="s">
        <v>21</v>
      </c>
      <c r="Q228" s="18" t="s">
        <v>21</v>
      </c>
      <c r="R228" s="18" t="s">
        <v>23</v>
      </c>
      <c r="S228" s="18" t="s">
        <v>21</v>
      </c>
      <c r="T228" s="18" t="s">
        <v>21</v>
      </c>
      <c r="U228" s="18" t="s">
        <v>20</v>
      </c>
      <c r="V228" s="37" t="s">
        <v>20</v>
      </c>
      <c r="W228" s="37" t="s">
        <v>20</v>
      </c>
      <c r="X228" s="37" t="s">
        <v>20</v>
      </c>
      <c r="Y228" s="18" t="s">
        <v>21</v>
      </c>
      <c r="Z228" s="18" t="s">
        <v>20</v>
      </c>
      <c r="AA228" s="20" t="s">
        <v>21</v>
      </c>
      <c r="AB228" s="20" t="s">
        <v>21</v>
      </c>
      <c r="AC228" s="20" t="s">
        <v>21</v>
      </c>
      <c r="AD228" s="47" t="s">
        <v>23</v>
      </c>
      <c r="AE228" s="47" t="s">
        <v>21</v>
      </c>
      <c r="AG228">
        <f t="shared" si="27"/>
        <v>0</v>
      </c>
      <c r="AH228">
        <f t="shared" si="28"/>
        <v>10</v>
      </c>
      <c r="AI228">
        <f t="shared" si="29"/>
        <v>14</v>
      </c>
      <c r="AJ228">
        <f t="shared" si="30"/>
        <v>2</v>
      </c>
      <c r="AL228">
        <f t="shared" si="31"/>
        <v>0</v>
      </c>
      <c r="AM228">
        <f t="shared" si="32"/>
        <v>30</v>
      </c>
      <c r="AN228">
        <f t="shared" si="33"/>
        <v>28</v>
      </c>
      <c r="AO228">
        <f t="shared" si="34"/>
        <v>2</v>
      </c>
      <c r="AP228">
        <f t="shared" si="35"/>
        <v>60</v>
      </c>
    </row>
    <row r="229" spans="1:42" ht="15.75" hidden="1" customHeight="1" x14ac:dyDescent="0.3">
      <c r="A229" s="16"/>
      <c r="B229" s="55">
        <v>23</v>
      </c>
      <c r="C229" s="56" t="s">
        <v>247</v>
      </c>
      <c r="D229" s="55">
        <v>5</v>
      </c>
      <c r="E229" s="55" t="s">
        <v>21</v>
      </c>
      <c r="F229" s="18" t="s">
        <v>21</v>
      </c>
      <c r="G229" s="18" t="s">
        <v>21</v>
      </c>
      <c r="H229" s="18" t="s">
        <v>21</v>
      </c>
      <c r="I229" s="18" t="s">
        <v>20</v>
      </c>
      <c r="J229" s="18" t="s">
        <v>20</v>
      </c>
      <c r="K229" s="18" t="s">
        <v>20</v>
      </c>
      <c r="L229" s="18" t="s">
        <v>20</v>
      </c>
      <c r="M229" s="18" t="s">
        <v>20</v>
      </c>
      <c r="N229" s="18" t="s">
        <v>21</v>
      </c>
      <c r="O229" s="18" t="s">
        <v>20</v>
      </c>
      <c r="P229" s="18" t="s">
        <v>21</v>
      </c>
      <c r="Q229" s="18" t="s">
        <v>21</v>
      </c>
      <c r="R229" s="18" t="s">
        <v>20</v>
      </c>
      <c r="S229" s="18" t="s">
        <v>21</v>
      </c>
      <c r="T229" s="18" t="s">
        <v>21</v>
      </c>
      <c r="U229" s="18" t="s">
        <v>21</v>
      </c>
      <c r="V229" s="37" t="s">
        <v>20</v>
      </c>
      <c r="W229" s="37" t="s">
        <v>20</v>
      </c>
      <c r="X229" s="37" t="s">
        <v>20</v>
      </c>
      <c r="Y229" s="18" t="s">
        <v>20</v>
      </c>
      <c r="Z229" s="18" t="s">
        <v>21</v>
      </c>
      <c r="AA229" s="20" t="s">
        <v>20</v>
      </c>
      <c r="AB229" s="20" t="s">
        <v>20</v>
      </c>
      <c r="AC229" s="20" t="s">
        <v>20</v>
      </c>
      <c r="AD229" s="29" t="s">
        <v>20</v>
      </c>
      <c r="AE229" s="29" t="s">
        <v>21</v>
      </c>
      <c r="AG229">
        <f t="shared" si="27"/>
        <v>0</v>
      </c>
      <c r="AH229">
        <f t="shared" si="28"/>
        <v>15</v>
      </c>
      <c r="AI229">
        <f t="shared" si="29"/>
        <v>11</v>
      </c>
      <c r="AJ229">
        <f t="shared" si="30"/>
        <v>0</v>
      </c>
      <c r="AL229">
        <f t="shared" si="31"/>
        <v>0</v>
      </c>
      <c r="AM229">
        <f t="shared" si="32"/>
        <v>45</v>
      </c>
      <c r="AN229">
        <f t="shared" si="33"/>
        <v>22</v>
      </c>
      <c r="AO229">
        <f t="shared" si="34"/>
        <v>0</v>
      </c>
      <c r="AP229">
        <f t="shared" si="35"/>
        <v>67</v>
      </c>
    </row>
    <row r="230" spans="1:42" ht="15.75" hidden="1" customHeight="1" x14ac:dyDescent="0.3">
      <c r="A230" s="16"/>
      <c r="B230" s="55">
        <v>24</v>
      </c>
      <c r="C230" s="56" t="s">
        <v>248</v>
      </c>
      <c r="D230" s="55">
        <v>5</v>
      </c>
      <c r="E230" s="55" t="s">
        <v>21</v>
      </c>
      <c r="F230" s="18" t="s">
        <v>20</v>
      </c>
      <c r="G230" s="18" t="s">
        <v>20</v>
      </c>
      <c r="H230" s="18" t="s">
        <v>20</v>
      </c>
      <c r="I230" s="18" t="s">
        <v>20</v>
      </c>
      <c r="J230" s="18" t="s">
        <v>20</v>
      </c>
      <c r="K230" s="18" t="s">
        <v>20</v>
      </c>
      <c r="L230" s="18" t="s">
        <v>39</v>
      </c>
      <c r="M230" s="18" t="s">
        <v>20</v>
      </c>
      <c r="N230" s="18" t="s">
        <v>20</v>
      </c>
      <c r="O230" s="18" t="s">
        <v>20</v>
      </c>
      <c r="P230" s="18" t="s">
        <v>20</v>
      </c>
      <c r="Q230" s="18" t="s">
        <v>21</v>
      </c>
      <c r="R230" s="18" t="s">
        <v>21</v>
      </c>
      <c r="S230" s="18" t="s">
        <v>20</v>
      </c>
      <c r="T230" s="18" t="s">
        <v>20</v>
      </c>
      <c r="U230" s="18" t="s">
        <v>20</v>
      </c>
      <c r="V230" s="37" t="s">
        <v>20</v>
      </c>
      <c r="W230" s="37" t="s">
        <v>21</v>
      </c>
      <c r="X230" s="37" t="s">
        <v>20</v>
      </c>
      <c r="Y230" s="18" t="s">
        <v>20</v>
      </c>
      <c r="Z230" s="18" t="s">
        <v>20</v>
      </c>
      <c r="AA230" s="20" t="s">
        <v>20</v>
      </c>
      <c r="AB230" s="20" t="s">
        <v>21</v>
      </c>
      <c r="AC230" s="20" t="s">
        <v>20</v>
      </c>
      <c r="AD230" s="29" t="s">
        <v>20</v>
      </c>
      <c r="AE230" s="29" t="s">
        <v>21</v>
      </c>
      <c r="AG230">
        <f t="shared" si="27"/>
        <v>1</v>
      </c>
      <c r="AH230">
        <f t="shared" si="28"/>
        <v>20</v>
      </c>
      <c r="AI230">
        <f t="shared" si="29"/>
        <v>5</v>
      </c>
      <c r="AJ230">
        <f t="shared" si="30"/>
        <v>0</v>
      </c>
      <c r="AL230">
        <f t="shared" si="31"/>
        <v>4</v>
      </c>
      <c r="AM230">
        <f t="shared" si="32"/>
        <v>60</v>
      </c>
      <c r="AN230">
        <f t="shared" si="33"/>
        <v>10</v>
      </c>
      <c r="AO230">
        <f t="shared" si="34"/>
        <v>0</v>
      </c>
      <c r="AP230">
        <f t="shared" si="35"/>
        <v>74</v>
      </c>
    </row>
    <row r="231" spans="1:42" ht="15.75" hidden="1" customHeight="1" x14ac:dyDescent="0.3">
      <c r="A231" s="16"/>
      <c r="B231" s="55">
        <v>25</v>
      </c>
      <c r="C231" s="56" t="s">
        <v>249</v>
      </c>
      <c r="D231" s="55">
        <v>5</v>
      </c>
      <c r="E231" s="55" t="s">
        <v>21</v>
      </c>
      <c r="F231" s="18" t="s">
        <v>21</v>
      </c>
      <c r="G231" s="18" t="s">
        <v>21</v>
      </c>
      <c r="H231" s="17" t="s">
        <v>21</v>
      </c>
      <c r="I231" s="18" t="s">
        <v>21</v>
      </c>
      <c r="J231" s="18" t="s">
        <v>21</v>
      </c>
      <c r="K231" s="18" t="s">
        <v>21</v>
      </c>
      <c r="L231" s="18" t="s">
        <v>21</v>
      </c>
      <c r="M231" s="18" t="s">
        <v>20</v>
      </c>
      <c r="N231" s="18" t="s">
        <v>21</v>
      </c>
      <c r="O231" s="18" t="s">
        <v>20</v>
      </c>
      <c r="P231" s="18" t="s">
        <v>21</v>
      </c>
      <c r="Q231" s="18" t="s">
        <v>21</v>
      </c>
      <c r="R231" s="18" t="s">
        <v>21</v>
      </c>
      <c r="S231" s="18" t="s">
        <v>21</v>
      </c>
      <c r="T231" s="18" t="s">
        <v>20</v>
      </c>
      <c r="U231" s="18" t="s">
        <v>21</v>
      </c>
      <c r="V231" s="37" t="s">
        <v>21</v>
      </c>
      <c r="W231" s="37" t="s">
        <v>21</v>
      </c>
      <c r="X231" s="37" t="s">
        <v>21</v>
      </c>
      <c r="Y231" s="18" t="s">
        <v>20</v>
      </c>
      <c r="Z231" s="18" t="s">
        <v>21</v>
      </c>
      <c r="AA231" s="20" t="s">
        <v>21</v>
      </c>
      <c r="AB231" s="20" t="s">
        <v>21</v>
      </c>
      <c r="AC231" s="20" t="s">
        <v>21</v>
      </c>
      <c r="AD231" s="29" t="s">
        <v>21</v>
      </c>
      <c r="AE231" s="29" t="s">
        <v>21</v>
      </c>
      <c r="AG231">
        <f t="shared" si="27"/>
        <v>0</v>
      </c>
      <c r="AH231">
        <f t="shared" si="28"/>
        <v>4</v>
      </c>
      <c r="AI231">
        <f t="shared" si="29"/>
        <v>22</v>
      </c>
      <c r="AJ231">
        <f t="shared" si="30"/>
        <v>0</v>
      </c>
      <c r="AL231">
        <f t="shared" si="31"/>
        <v>0</v>
      </c>
      <c r="AM231">
        <f t="shared" si="32"/>
        <v>12</v>
      </c>
      <c r="AN231">
        <f t="shared" si="33"/>
        <v>44</v>
      </c>
      <c r="AO231">
        <f t="shared" si="34"/>
        <v>0</v>
      </c>
      <c r="AP231">
        <f t="shared" si="35"/>
        <v>56</v>
      </c>
    </row>
    <row r="232" spans="1:42" ht="15.75" hidden="1" customHeight="1" thickBot="1" x14ac:dyDescent="0.35">
      <c r="A232" s="16"/>
      <c r="B232" s="57">
        <v>26</v>
      </c>
      <c r="C232" s="58" t="s">
        <v>250</v>
      </c>
      <c r="D232" s="57">
        <v>5</v>
      </c>
      <c r="E232" s="57" t="s">
        <v>21</v>
      </c>
      <c r="F232" s="21" t="s">
        <v>39</v>
      </c>
      <c r="G232" s="21" t="s">
        <v>20</v>
      </c>
      <c r="H232" s="41" t="s">
        <v>20</v>
      </c>
      <c r="I232" s="21" t="s">
        <v>20</v>
      </c>
      <c r="J232" s="21" t="s">
        <v>20</v>
      </c>
      <c r="K232" s="21" t="s">
        <v>20</v>
      </c>
      <c r="L232" s="21" t="s">
        <v>20</v>
      </c>
      <c r="M232" s="21" t="s">
        <v>20</v>
      </c>
      <c r="N232" s="21" t="s">
        <v>20</v>
      </c>
      <c r="O232" s="21" t="s">
        <v>20</v>
      </c>
      <c r="P232" s="21" t="s">
        <v>21</v>
      </c>
      <c r="Q232" s="21" t="s">
        <v>20</v>
      </c>
      <c r="R232" s="21" t="s">
        <v>20</v>
      </c>
      <c r="S232" s="21" t="s">
        <v>20</v>
      </c>
      <c r="T232" s="21" t="s">
        <v>20</v>
      </c>
      <c r="U232" s="21" t="s">
        <v>20</v>
      </c>
      <c r="V232" s="38" t="s">
        <v>20</v>
      </c>
      <c r="W232" s="38" t="s">
        <v>20</v>
      </c>
      <c r="X232" s="38" t="s">
        <v>20</v>
      </c>
      <c r="Y232" s="21" t="s">
        <v>20</v>
      </c>
      <c r="Z232" s="21" t="s">
        <v>20</v>
      </c>
      <c r="AA232" s="23" t="s">
        <v>20</v>
      </c>
      <c r="AB232" s="23" t="s">
        <v>20</v>
      </c>
      <c r="AC232" s="23" t="s">
        <v>20</v>
      </c>
      <c r="AD232" s="31" t="s">
        <v>20</v>
      </c>
      <c r="AE232" s="31" t="s">
        <v>21</v>
      </c>
      <c r="AG232">
        <f t="shared" si="27"/>
        <v>1</v>
      </c>
      <c r="AH232">
        <f t="shared" si="28"/>
        <v>23</v>
      </c>
      <c r="AI232">
        <f t="shared" si="29"/>
        <v>2</v>
      </c>
      <c r="AJ232">
        <f t="shared" si="30"/>
        <v>0</v>
      </c>
      <c r="AL232">
        <f t="shared" si="31"/>
        <v>4</v>
      </c>
      <c r="AM232">
        <f t="shared" si="32"/>
        <v>69</v>
      </c>
      <c r="AN232">
        <f t="shared" si="33"/>
        <v>4</v>
      </c>
      <c r="AO232">
        <f t="shared" si="34"/>
        <v>0</v>
      </c>
      <c r="AP232">
        <f t="shared" si="35"/>
        <v>77</v>
      </c>
    </row>
    <row r="233" spans="1:42" ht="15.75" customHeight="1" x14ac:dyDescent="0.3">
      <c r="B233" s="54"/>
    </row>
    <row r="234" spans="1:42" ht="15.75" customHeight="1" x14ac:dyDescent="0.3"/>
    <row r="235" spans="1:42" ht="15.75" customHeight="1" x14ac:dyDescent="0.3"/>
    <row r="236" spans="1:42" ht="15.75" customHeight="1" x14ac:dyDescent="0.3"/>
    <row r="237" spans="1:42" ht="15.75" customHeight="1" x14ac:dyDescent="0.3"/>
    <row r="238" spans="1:42" ht="15.75" customHeight="1" x14ac:dyDescent="0.3"/>
    <row r="239" spans="1:42" ht="15.75" customHeight="1" x14ac:dyDescent="0.3"/>
    <row r="240" spans="1:42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  <row r="1041" ht="15.75" customHeight="1" x14ac:dyDescent="0.3"/>
    <row r="1042" ht="15.75" customHeight="1" x14ac:dyDescent="0.3"/>
    <row r="1043" ht="15.75" customHeight="1" x14ac:dyDescent="0.3"/>
    <row r="1044" ht="15.75" customHeight="1" x14ac:dyDescent="0.3"/>
    <row r="1045" ht="15.75" customHeight="1" x14ac:dyDescent="0.3"/>
    <row r="1046" ht="15.75" customHeight="1" x14ac:dyDescent="0.3"/>
    <row r="1047" ht="15.75" customHeight="1" x14ac:dyDescent="0.3"/>
    <row r="1048" ht="15.75" customHeight="1" x14ac:dyDescent="0.3"/>
    <row r="1049" ht="15.75" customHeight="1" x14ac:dyDescent="0.3"/>
    <row r="1050" ht="15.75" customHeight="1" x14ac:dyDescent="0.3"/>
    <row r="1051" ht="15.75" customHeight="1" x14ac:dyDescent="0.3"/>
    <row r="1052" ht="15.75" customHeight="1" x14ac:dyDescent="0.3"/>
    <row r="1053" ht="15.75" customHeight="1" x14ac:dyDescent="0.3"/>
    <row r="1054" ht="15.75" customHeight="1" x14ac:dyDescent="0.3"/>
    <row r="1055" ht="15.75" customHeight="1" x14ac:dyDescent="0.3"/>
    <row r="1056" ht="15.75" customHeight="1" x14ac:dyDescent="0.3"/>
    <row r="1057" ht="15.75" customHeight="1" x14ac:dyDescent="0.3"/>
    <row r="1058" ht="15.75" customHeight="1" x14ac:dyDescent="0.3"/>
    <row r="1059" ht="15.75" customHeight="1" x14ac:dyDescent="0.3"/>
    <row r="1060" ht="15.75" customHeight="1" x14ac:dyDescent="0.3"/>
    <row r="1061" ht="15.75" customHeight="1" x14ac:dyDescent="0.3"/>
    <row r="1062" ht="15.75" customHeight="1" x14ac:dyDescent="0.3"/>
    <row r="1063" ht="15.75" customHeight="1" x14ac:dyDescent="0.3"/>
    <row r="1064" ht="15.75" customHeight="1" x14ac:dyDescent="0.3"/>
    <row r="1065" ht="15.75" customHeight="1" x14ac:dyDescent="0.3"/>
    <row r="1066" ht="15.75" customHeight="1" x14ac:dyDescent="0.3"/>
    <row r="1067" ht="15.75" customHeight="1" x14ac:dyDescent="0.3"/>
    <row r="1068" ht="15.75" customHeight="1" x14ac:dyDescent="0.3"/>
    <row r="1069" ht="15.75" customHeight="1" x14ac:dyDescent="0.3"/>
    <row r="1070" ht="15.75" customHeight="1" x14ac:dyDescent="0.3"/>
    <row r="1071" ht="15.75" customHeight="1" x14ac:dyDescent="0.3"/>
    <row r="1072" ht="15.75" customHeight="1" x14ac:dyDescent="0.3"/>
    <row r="1073" ht="15.75" customHeight="1" x14ac:dyDescent="0.3"/>
    <row r="1074" ht="15.75" customHeight="1" x14ac:dyDescent="0.3"/>
    <row r="1075" ht="15.75" customHeight="1" x14ac:dyDescent="0.3"/>
    <row r="1076" ht="15.75" customHeight="1" x14ac:dyDescent="0.3"/>
    <row r="1077" ht="15.75" customHeight="1" x14ac:dyDescent="0.3"/>
    <row r="1078" ht="15.75" customHeight="1" x14ac:dyDescent="0.3"/>
    <row r="1079" ht="15.75" customHeight="1" x14ac:dyDescent="0.3"/>
    <row r="1080" ht="15.75" customHeight="1" x14ac:dyDescent="0.3"/>
    <row r="1081" ht="15.75" customHeight="1" x14ac:dyDescent="0.3"/>
    <row r="1082" ht="15.75" customHeight="1" x14ac:dyDescent="0.3"/>
    <row r="1083" ht="15.75" customHeight="1" x14ac:dyDescent="0.3"/>
    <row r="1084" ht="15.75" customHeight="1" x14ac:dyDescent="0.3"/>
    <row r="1085" ht="15.75" customHeight="1" x14ac:dyDescent="0.3"/>
    <row r="1086" ht="15.75" customHeight="1" x14ac:dyDescent="0.3"/>
    <row r="1087" ht="15.75" customHeight="1" x14ac:dyDescent="0.3"/>
    <row r="1088" ht="15.75" customHeight="1" x14ac:dyDescent="0.3"/>
    <row r="1089" ht="15.75" customHeight="1" x14ac:dyDescent="0.3"/>
    <row r="1090" ht="15.75" customHeight="1" x14ac:dyDescent="0.3"/>
    <row r="1091" ht="15.75" customHeight="1" x14ac:dyDescent="0.3"/>
    <row r="1092" ht="15.75" customHeight="1" x14ac:dyDescent="0.3"/>
    <row r="1093" ht="15.75" customHeight="1" x14ac:dyDescent="0.3"/>
    <row r="1094" ht="15.75" customHeight="1" x14ac:dyDescent="0.3"/>
    <row r="1095" ht="15.75" customHeight="1" x14ac:dyDescent="0.3"/>
    <row r="1096" ht="15.75" customHeight="1" x14ac:dyDescent="0.3"/>
    <row r="1097" ht="15.75" customHeight="1" x14ac:dyDescent="0.3"/>
    <row r="1098" ht="15.75" customHeight="1" x14ac:dyDescent="0.3"/>
    <row r="1099" ht="15.75" customHeight="1" x14ac:dyDescent="0.3"/>
    <row r="1100" ht="15.75" customHeight="1" x14ac:dyDescent="0.3"/>
    <row r="1101" ht="15.75" customHeight="1" x14ac:dyDescent="0.3"/>
    <row r="1102" ht="15.75" customHeight="1" x14ac:dyDescent="0.3"/>
    <row r="1103" ht="15.75" customHeight="1" x14ac:dyDescent="0.3"/>
    <row r="1104" ht="15.75" customHeight="1" x14ac:dyDescent="0.3"/>
    <row r="1105" ht="15.75" customHeight="1" x14ac:dyDescent="0.3"/>
    <row r="1106" ht="15.75" customHeight="1" x14ac:dyDescent="0.3"/>
    <row r="1107" ht="15.75" customHeight="1" x14ac:dyDescent="0.3"/>
    <row r="1108" ht="15.75" customHeight="1" x14ac:dyDescent="0.3"/>
    <row r="1109" ht="15.75" customHeight="1" x14ac:dyDescent="0.3"/>
    <row r="1110" ht="15.75" customHeight="1" x14ac:dyDescent="0.3"/>
    <row r="1111" ht="15.75" customHeight="1" x14ac:dyDescent="0.3"/>
    <row r="1112" ht="15.75" customHeight="1" x14ac:dyDescent="0.3"/>
    <row r="1113" ht="15.75" customHeight="1" x14ac:dyDescent="0.3"/>
    <row r="1114" ht="15.75" customHeight="1" x14ac:dyDescent="0.3"/>
    <row r="1115" ht="15.75" customHeight="1" x14ac:dyDescent="0.3"/>
    <row r="1116" ht="15.75" customHeight="1" x14ac:dyDescent="0.3"/>
    <row r="1117" ht="15.75" customHeight="1" x14ac:dyDescent="0.3"/>
    <row r="1118" ht="15.75" customHeight="1" x14ac:dyDescent="0.3"/>
    <row r="1119" ht="15.75" customHeight="1" x14ac:dyDescent="0.3"/>
    <row r="1120" ht="15.75" customHeight="1" x14ac:dyDescent="0.3"/>
    <row r="1121" ht="15.75" customHeight="1" x14ac:dyDescent="0.3"/>
    <row r="1122" ht="15.75" customHeight="1" x14ac:dyDescent="0.3"/>
    <row r="1123" ht="15.75" customHeight="1" x14ac:dyDescent="0.3"/>
    <row r="1124" ht="15.75" customHeight="1" x14ac:dyDescent="0.3"/>
    <row r="1125" ht="15.75" customHeight="1" x14ac:dyDescent="0.3"/>
    <row r="1126" ht="15.75" customHeight="1" x14ac:dyDescent="0.3"/>
  </sheetData>
  <autoFilter ref="A5:AP232" xr:uid="{D4C9ACFA-7634-4244-A829-726CE84E67E1}">
    <filterColumn colId="3">
      <filters>
        <filter val="3"/>
      </filters>
    </filterColumn>
    <filterColumn colId="4">
      <filters>
        <filter val="B"/>
      </filters>
    </filterColumn>
    <sortState xmlns:xlrd2="http://schemas.microsoft.com/office/spreadsheetml/2017/richdata2" ref="A110:AP130">
      <sortCondition descending="1" ref="AP5:AP232"/>
    </sortState>
  </autoFilter>
  <mergeCells count="11">
    <mergeCell ref="AD4:AE4"/>
    <mergeCell ref="C2:AE2"/>
    <mergeCell ref="C3:AE3"/>
    <mergeCell ref="F4:I4"/>
    <mergeCell ref="J4:L4"/>
    <mergeCell ref="M4:O4"/>
    <mergeCell ref="P4:R4"/>
    <mergeCell ref="S4:T4"/>
    <mergeCell ref="V4:X4"/>
    <mergeCell ref="Y4:Z4"/>
    <mergeCell ref="AA4:AC4"/>
  </mergeCells>
  <conditionalFormatting sqref="F6:AE232">
    <cfRule type="cellIs" dxfId="19" priority="1" operator="equal">
      <formula>"AD"</formula>
    </cfRule>
    <cfRule type="cellIs" dxfId="18" priority="2" operator="equal">
      <formula>"A"</formula>
    </cfRule>
    <cfRule type="cellIs" dxfId="17" priority="3" operator="equal">
      <formula>"B"</formula>
    </cfRule>
    <cfRule type="cellIs" dxfId="16" priority="4" operator="equal">
      <formula>"C"</formula>
    </cfRule>
  </conditionalFormatting>
  <dataValidations count="2">
    <dataValidation type="list" allowBlank="1" showInputMessage="1" showErrorMessage="1" sqref="Q6:R26 T6:X26 AD229:AE232 F6:L26 AD27:AE80 F27:X48 AD82:AE97 AD135:AE199 AD201:AE203 AD205:AE227 AD99:AE133 Z27:Z48 F49:I232 J131:L232 J49:L109 M49:Z232" xr:uid="{1454CA3F-43C9-4EAE-B005-1725EC34259C}">
      <formula1>"AD,A,B,C"</formula1>
    </dataValidation>
    <dataValidation type="list" allowBlank="1" showInputMessage="1" showErrorMessage="1" sqref="AA6:AC232 J110:L130" xr:uid="{E220B6D7-E124-4B0A-9DCD-D0EA3927ED7D}">
      <formula1>"A,AD,B,C"</formula1>
    </dataValidation>
  </dataValidations>
  <pageMargins left="0.7" right="0.7" top="0.75" bottom="0.75" header="0" footer="0"/>
  <pageSetup paperSize="9" scale="72" orientation="landscape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43E7C-77EE-467C-AA13-7E90FE53E780}">
  <sheetPr filterMode="1">
    <pageSetUpPr fitToPage="1"/>
  </sheetPr>
  <dimension ref="A2:AP1126"/>
  <sheetViews>
    <sheetView zoomScaleNormal="100" workbookViewId="0">
      <pane xSplit="3" ySplit="5" topLeftCell="D6" activePane="bottomRight" state="frozen"/>
      <selection pane="topRight" activeCell="C1" sqref="C1"/>
      <selection pane="bottomLeft" activeCell="A6" sqref="A6"/>
      <selection pane="bottomRight" activeCell="F4" sqref="F4:AE4"/>
    </sheetView>
  </sheetViews>
  <sheetFormatPr baseColWidth="10" defaultColWidth="14.44140625" defaultRowHeight="15" customHeight="1" x14ac:dyDescent="0.3"/>
  <cols>
    <col min="1" max="1" width="4" bestFit="1" customWidth="1"/>
    <col min="2" max="2" width="4.109375" customWidth="1"/>
    <col min="3" max="3" width="38.5546875" customWidth="1"/>
    <col min="4" max="4" width="5" customWidth="1"/>
    <col min="5" max="5" width="6.6640625" customWidth="1"/>
    <col min="6" max="31" width="5" customWidth="1"/>
    <col min="32" max="32" width="2" hidden="1" customWidth="1"/>
    <col min="33" max="36" width="3.44140625" hidden="1" customWidth="1"/>
    <col min="37" max="37" width="1.44140625" style="65" hidden="1" customWidth="1"/>
    <col min="38" max="40" width="3" hidden="1" customWidth="1"/>
    <col min="41" max="41" width="2" hidden="1" customWidth="1"/>
    <col min="42" max="42" width="5.21875" bestFit="1" customWidth="1"/>
  </cols>
  <sheetData>
    <row r="2" spans="1:42" ht="35.4" customHeight="1" x14ac:dyDescent="0.3">
      <c r="C2" s="77" t="s">
        <v>253</v>
      </c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9"/>
    </row>
    <row r="3" spans="1:42" ht="26.25" customHeight="1" x14ac:dyDescent="0.3">
      <c r="C3" s="74" t="s">
        <v>252</v>
      </c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6"/>
    </row>
    <row r="4" spans="1:42" ht="22.2" customHeight="1" x14ac:dyDescent="0.3">
      <c r="C4" s="7"/>
      <c r="D4" s="8"/>
      <c r="E4" s="8"/>
      <c r="F4" s="80" t="s">
        <v>2</v>
      </c>
      <c r="G4" s="81"/>
      <c r="H4" s="81"/>
      <c r="I4" s="82"/>
      <c r="J4" s="80" t="s">
        <v>3</v>
      </c>
      <c r="K4" s="81"/>
      <c r="L4" s="82"/>
      <c r="M4" s="80" t="s">
        <v>4</v>
      </c>
      <c r="N4" s="81"/>
      <c r="O4" s="82"/>
      <c r="P4" s="80" t="s">
        <v>5</v>
      </c>
      <c r="Q4" s="81"/>
      <c r="R4" s="82"/>
      <c r="S4" s="83" t="s">
        <v>6</v>
      </c>
      <c r="T4" s="84"/>
      <c r="U4" s="86" t="s">
        <v>7</v>
      </c>
      <c r="V4" s="80" t="s">
        <v>8</v>
      </c>
      <c r="W4" s="81"/>
      <c r="X4" s="82"/>
      <c r="Y4" s="80" t="s">
        <v>9</v>
      </c>
      <c r="Z4" s="82"/>
      <c r="AA4" s="83" t="s">
        <v>10</v>
      </c>
      <c r="AB4" s="85"/>
      <c r="AC4" s="84"/>
      <c r="AD4" s="80" t="s">
        <v>11</v>
      </c>
      <c r="AE4" s="82"/>
    </row>
    <row r="5" spans="1:42" ht="27" customHeight="1" x14ac:dyDescent="0.3">
      <c r="B5" s="12"/>
      <c r="C5" s="13" t="s">
        <v>12</v>
      </c>
      <c r="D5" s="14" t="s">
        <v>13</v>
      </c>
      <c r="E5" s="15" t="s">
        <v>14</v>
      </c>
      <c r="F5" s="15" t="s">
        <v>15</v>
      </c>
      <c r="G5" s="15" t="s">
        <v>16</v>
      </c>
      <c r="H5" s="15" t="s">
        <v>17</v>
      </c>
      <c r="I5" s="15" t="s">
        <v>18</v>
      </c>
      <c r="J5" s="15" t="s">
        <v>15</v>
      </c>
      <c r="K5" s="15" t="s">
        <v>16</v>
      </c>
      <c r="L5" s="15" t="s">
        <v>17</v>
      </c>
      <c r="M5" s="15" t="s">
        <v>15</v>
      </c>
      <c r="N5" s="15" t="s">
        <v>16</v>
      </c>
      <c r="O5" s="15" t="s">
        <v>17</v>
      </c>
      <c r="P5" s="15" t="s">
        <v>15</v>
      </c>
      <c r="Q5" s="15" t="s">
        <v>16</v>
      </c>
      <c r="R5" s="15" t="s">
        <v>17</v>
      </c>
      <c r="S5" s="15" t="s">
        <v>15</v>
      </c>
      <c r="T5" s="15" t="s">
        <v>16</v>
      </c>
      <c r="U5" s="15" t="s">
        <v>15</v>
      </c>
      <c r="V5" s="15" t="s">
        <v>15</v>
      </c>
      <c r="W5" s="15" t="s">
        <v>16</v>
      </c>
      <c r="X5" s="15" t="s">
        <v>17</v>
      </c>
      <c r="Y5" s="15" t="s">
        <v>15</v>
      </c>
      <c r="Z5" s="15" t="s">
        <v>16</v>
      </c>
      <c r="AA5" s="15" t="s">
        <v>15</v>
      </c>
      <c r="AB5" s="15" t="s">
        <v>16</v>
      </c>
      <c r="AC5" s="15" t="s">
        <v>17</v>
      </c>
      <c r="AD5" s="15" t="s">
        <v>15</v>
      </c>
      <c r="AE5" s="15" t="s">
        <v>16</v>
      </c>
      <c r="AG5" s="68">
        <v>4</v>
      </c>
      <c r="AH5" s="68">
        <v>3</v>
      </c>
      <c r="AI5" s="68">
        <v>2</v>
      </c>
      <c r="AJ5" s="68">
        <v>1</v>
      </c>
      <c r="AK5" s="66"/>
      <c r="AL5" s="67" t="s">
        <v>39</v>
      </c>
      <c r="AM5" s="67" t="s">
        <v>20</v>
      </c>
      <c r="AN5" s="67" t="s">
        <v>21</v>
      </c>
      <c r="AO5" s="67" t="s">
        <v>23</v>
      </c>
      <c r="AP5" s="67" t="s">
        <v>251</v>
      </c>
    </row>
    <row r="6" spans="1:42" ht="14.4" hidden="1" x14ac:dyDescent="0.3">
      <c r="A6" s="16"/>
      <c r="B6" s="55">
        <v>17</v>
      </c>
      <c r="C6" s="56" t="s">
        <v>38</v>
      </c>
      <c r="D6" s="55">
        <v>1</v>
      </c>
      <c r="E6" s="55" t="s">
        <v>20</v>
      </c>
      <c r="F6" s="18" t="s">
        <v>20</v>
      </c>
      <c r="G6" s="18" t="s">
        <v>20</v>
      </c>
      <c r="H6" s="18" t="s">
        <v>21</v>
      </c>
      <c r="I6" s="18" t="s">
        <v>20</v>
      </c>
      <c r="J6" s="18" t="s">
        <v>20</v>
      </c>
      <c r="K6" s="18" t="s">
        <v>20</v>
      </c>
      <c r="L6" s="18" t="s">
        <v>20</v>
      </c>
      <c r="M6" s="19" t="s">
        <v>20</v>
      </c>
      <c r="N6" s="19" t="s">
        <v>21</v>
      </c>
      <c r="O6" s="19" t="s">
        <v>20</v>
      </c>
      <c r="P6" s="19" t="s">
        <v>20</v>
      </c>
      <c r="Q6" s="18" t="s">
        <v>20</v>
      </c>
      <c r="R6" s="18" t="s">
        <v>21</v>
      </c>
      <c r="S6" s="19" t="s">
        <v>20</v>
      </c>
      <c r="T6" s="18" t="s">
        <v>20</v>
      </c>
      <c r="U6" s="18" t="s">
        <v>20</v>
      </c>
      <c r="V6" s="18" t="s">
        <v>20</v>
      </c>
      <c r="W6" s="18" t="s">
        <v>20</v>
      </c>
      <c r="X6" s="18" t="s">
        <v>20</v>
      </c>
      <c r="Y6" s="19" t="s">
        <v>20</v>
      </c>
      <c r="Z6" s="19" t="s">
        <v>20</v>
      </c>
      <c r="AA6" s="20" t="s">
        <v>20</v>
      </c>
      <c r="AB6" s="20" t="s">
        <v>39</v>
      </c>
      <c r="AC6" s="20" t="s">
        <v>20</v>
      </c>
      <c r="AD6" s="19" t="s">
        <v>20</v>
      </c>
      <c r="AE6" s="19" t="s">
        <v>21</v>
      </c>
      <c r="AG6">
        <f>+COUNTIF(F6:AE6,"AD")</f>
        <v>1</v>
      </c>
      <c r="AH6">
        <f>+COUNTIF(F6:AE6,"A")</f>
        <v>21</v>
      </c>
      <c r="AI6">
        <f>+COUNTIF(F6:AE6,"b")</f>
        <v>4</v>
      </c>
      <c r="AJ6">
        <f>+COUNTIF(F6:AE6,"c")</f>
        <v>0</v>
      </c>
      <c r="AL6">
        <f>+$AG$5*AG6</f>
        <v>4</v>
      </c>
      <c r="AM6">
        <f>+$AH$5*AH6</f>
        <v>63</v>
      </c>
      <c r="AN6">
        <f>+$AI$5*AI6</f>
        <v>8</v>
      </c>
      <c r="AO6">
        <f>+$AJ$5*AJ6</f>
        <v>0</v>
      </c>
      <c r="AP6">
        <f>+SUM(AL6:AO6)</f>
        <v>75</v>
      </c>
    </row>
    <row r="7" spans="1:42" ht="14.4" hidden="1" x14ac:dyDescent="0.3">
      <c r="A7" s="16"/>
      <c r="B7" s="55">
        <v>3</v>
      </c>
      <c r="C7" s="56" t="s">
        <v>24</v>
      </c>
      <c r="D7" s="55">
        <v>1</v>
      </c>
      <c r="E7" s="55" t="s">
        <v>20</v>
      </c>
      <c r="F7" s="18" t="s">
        <v>20</v>
      </c>
      <c r="G7" s="18" t="s">
        <v>20</v>
      </c>
      <c r="H7" s="18" t="s">
        <v>20</v>
      </c>
      <c r="I7" s="18" t="s">
        <v>20</v>
      </c>
      <c r="J7" s="18" t="s">
        <v>20</v>
      </c>
      <c r="K7" s="18" t="s">
        <v>20</v>
      </c>
      <c r="L7" s="18" t="s">
        <v>20</v>
      </c>
      <c r="M7" s="19" t="s">
        <v>20</v>
      </c>
      <c r="N7" s="19" t="s">
        <v>20</v>
      </c>
      <c r="O7" s="19" t="s">
        <v>20</v>
      </c>
      <c r="P7" s="19" t="s">
        <v>20</v>
      </c>
      <c r="Q7" s="18" t="s">
        <v>20</v>
      </c>
      <c r="R7" s="18" t="s">
        <v>21</v>
      </c>
      <c r="S7" s="19" t="s">
        <v>20</v>
      </c>
      <c r="T7" s="18" t="s">
        <v>20</v>
      </c>
      <c r="U7" s="18" t="s">
        <v>20</v>
      </c>
      <c r="V7" s="18" t="s">
        <v>20</v>
      </c>
      <c r="W7" s="18" t="s">
        <v>20</v>
      </c>
      <c r="X7" s="18" t="s">
        <v>20</v>
      </c>
      <c r="Y7" s="19" t="s">
        <v>20</v>
      </c>
      <c r="Z7" s="19" t="s">
        <v>20</v>
      </c>
      <c r="AA7" s="20" t="s">
        <v>20</v>
      </c>
      <c r="AB7" s="20" t="s">
        <v>21</v>
      </c>
      <c r="AC7" s="20" t="s">
        <v>21</v>
      </c>
      <c r="AD7" s="19" t="s">
        <v>20</v>
      </c>
      <c r="AE7" s="19" t="s">
        <v>21</v>
      </c>
      <c r="AG7">
        <f>+COUNTIF(F7:AE7,"AD")</f>
        <v>0</v>
      </c>
      <c r="AH7">
        <f>+COUNTIF(F7:AE7,"A")</f>
        <v>22</v>
      </c>
      <c r="AI7">
        <f>+COUNTIF(F7:AE7,"b")</f>
        <v>4</v>
      </c>
      <c r="AJ7">
        <f>+COUNTIF(F7:AE7,"c")</f>
        <v>0</v>
      </c>
      <c r="AL7">
        <f>+$AG$5*AG7</f>
        <v>0</v>
      </c>
      <c r="AM7">
        <f>+$AH$5*AH7</f>
        <v>66</v>
      </c>
      <c r="AN7">
        <f>+$AI$5*AI7</f>
        <v>8</v>
      </c>
      <c r="AO7">
        <f>+$AJ$5*AJ7</f>
        <v>0</v>
      </c>
      <c r="AP7">
        <f>+SUM(AL7:AO7)</f>
        <v>74</v>
      </c>
    </row>
    <row r="8" spans="1:42" ht="14.4" hidden="1" x14ac:dyDescent="0.3">
      <c r="A8" s="16"/>
      <c r="B8" s="55">
        <v>7</v>
      </c>
      <c r="C8" s="56" t="s">
        <v>28</v>
      </c>
      <c r="D8" s="55">
        <v>1</v>
      </c>
      <c r="E8" s="55" t="s">
        <v>20</v>
      </c>
      <c r="F8" s="18" t="s">
        <v>20</v>
      </c>
      <c r="G8" s="18" t="s">
        <v>20</v>
      </c>
      <c r="H8" s="18" t="s">
        <v>21</v>
      </c>
      <c r="I8" s="18" t="s">
        <v>20</v>
      </c>
      <c r="J8" s="18" t="s">
        <v>20</v>
      </c>
      <c r="K8" s="18" t="s">
        <v>20</v>
      </c>
      <c r="L8" s="18" t="s">
        <v>20</v>
      </c>
      <c r="M8" s="19" t="s">
        <v>20</v>
      </c>
      <c r="N8" s="19" t="s">
        <v>20</v>
      </c>
      <c r="O8" s="19" t="s">
        <v>20</v>
      </c>
      <c r="P8" s="19" t="s">
        <v>20</v>
      </c>
      <c r="Q8" s="18" t="s">
        <v>20</v>
      </c>
      <c r="R8" s="18" t="s">
        <v>20</v>
      </c>
      <c r="S8" s="19" t="s">
        <v>20</v>
      </c>
      <c r="T8" s="18" t="s">
        <v>20</v>
      </c>
      <c r="U8" s="18" t="s">
        <v>21</v>
      </c>
      <c r="V8" s="18" t="s">
        <v>20</v>
      </c>
      <c r="W8" s="18" t="s">
        <v>20</v>
      </c>
      <c r="X8" s="18" t="s">
        <v>20</v>
      </c>
      <c r="Y8" s="19" t="s">
        <v>20</v>
      </c>
      <c r="Z8" s="19" t="s">
        <v>20</v>
      </c>
      <c r="AA8" s="20" t="s">
        <v>20</v>
      </c>
      <c r="AB8" s="20" t="s">
        <v>21</v>
      </c>
      <c r="AC8" s="20" t="s">
        <v>20</v>
      </c>
      <c r="AD8" s="19" t="s">
        <v>21</v>
      </c>
      <c r="AE8" s="19" t="s">
        <v>21</v>
      </c>
      <c r="AG8">
        <f>+COUNTIF(F8:AE8,"AD")</f>
        <v>0</v>
      </c>
      <c r="AH8">
        <f>+COUNTIF(F8:AE8,"A")</f>
        <v>21</v>
      </c>
      <c r="AI8">
        <f>+COUNTIF(F8:AE8,"b")</f>
        <v>5</v>
      </c>
      <c r="AJ8">
        <f>+COUNTIF(F8:AE8,"c")</f>
        <v>0</v>
      </c>
      <c r="AL8">
        <f>+$AG$5*AG8</f>
        <v>0</v>
      </c>
      <c r="AM8">
        <f>+$AH$5*AH8</f>
        <v>63</v>
      </c>
      <c r="AN8">
        <f>+$AI$5*AI8</f>
        <v>10</v>
      </c>
      <c r="AO8">
        <f>+$AJ$5*AJ8</f>
        <v>0</v>
      </c>
      <c r="AP8">
        <f>+SUM(AL8:AO8)</f>
        <v>73</v>
      </c>
    </row>
    <row r="9" spans="1:42" ht="14.4" hidden="1" x14ac:dyDescent="0.3">
      <c r="A9" s="16"/>
      <c r="B9" s="55">
        <v>16</v>
      </c>
      <c r="C9" s="56" t="s">
        <v>37</v>
      </c>
      <c r="D9" s="55">
        <v>1</v>
      </c>
      <c r="E9" s="55" t="s">
        <v>20</v>
      </c>
      <c r="F9" s="18" t="s">
        <v>21</v>
      </c>
      <c r="G9" s="18" t="s">
        <v>21</v>
      </c>
      <c r="H9" s="18" t="s">
        <v>21</v>
      </c>
      <c r="I9" s="18" t="s">
        <v>21</v>
      </c>
      <c r="J9" s="18" t="s">
        <v>20</v>
      </c>
      <c r="K9" s="18" t="s">
        <v>20</v>
      </c>
      <c r="L9" s="18" t="s">
        <v>20</v>
      </c>
      <c r="M9" s="19" t="s">
        <v>20</v>
      </c>
      <c r="N9" s="19" t="s">
        <v>20</v>
      </c>
      <c r="O9" s="19" t="s">
        <v>20</v>
      </c>
      <c r="P9" s="19" t="s">
        <v>20</v>
      </c>
      <c r="Q9" s="18" t="s">
        <v>20</v>
      </c>
      <c r="R9" s="18" t="s">
        <v>20</v>
      </c>
      <c r="S9" s="19" t="s">
        <v>20</v>
      </c>
      <c r="T9" s="18" t="s">
        <v>20</v>
      </c>
      <c r="U9" s="18" t="s">
        <v>20</v>
      </c>
      <c r="V9" s="18" t="s">
        <v>20</v>
      </c>
      <c r="W9" s="18" t="s">
        <v>20</v>
      </c>
      <c r="X9" s="18" t="s">
        <v>20</v>
      </c>
      <c r="Y9" s="19" t="s">
        <v>20</v>
      </c>
      <c r="Z9" s="19" t="s">
        <v>20</v>
      </c>
      <c r="AA9" s="20" t="s">
        <v>20</v>
      </c>
      <c r="AB9" s="20" t="s">
        <v>21</v>
      </c>
      <c r="AC9" s="20" t="s">
        <v>20</v>
      </c>
      <c r="AD9" s="19" t="s">
        <v>20</v>
      </c>
      <c r="AE9" s="19" t="s">
        <v>21</v>
      </c>
      <c r="AG9">
        <f>+COUNTIF(F9:AE9,"AD")</f>
        <v>0</v>
      </c>
      <c r="AH9">
        <f>+COUNTIF(F9:AE9,"A")</f>
        <v>20</v>
      </c>
      <c r="AI9">
        <f>+COUNTIF(F9:AE9,"b")</f>
        <v>6</v>
      </c>
      <c r="AJ9">
        <f>+COUNTIF(F9:AE9,"c")</f>
        <v>0</v>
      </c>
      <c r="AL9">
        <f>+$AG$5*AG9</f>
        <v>0</v>
      </c>
      <c r="AM9">
        <f>+$AH$5*AH9</f>
        <v>60</v>
      </c>
      <c r="AN9">
        <f>+$AI$5*AI9</f>
        <v>12</v>
      </c>
      <c r="AO9">
        <f>+$AJ$5*AJ9</f>
        <v>0</v>
      </c>
      <c r="AP9">
        <f>+SUM(AL9:AO9)</f>
        <v>72</v>
      </c>
    </row>
    <row r="10" spans="1:42" ht="14.4" hidden="1" x14ac:dyDescent="0.3">
      <c r="A10" s="16"/>
      <c r="B10" s="55">
        <v>1</v>
      </c>
      <c r="C10" s="56" t="s">
        <v>19</v>
      </c>
      <c r="D10" s="55">
        <v>1</v>
      </c>
      <c r="E10" s="55" t="s">
        <v>20</v>
      </c>
      <c r="F10" s="17" t="s">
        <v>20</v>
      </c>
      <c r="G10" s="18" t="s">
        <v>20</v>
      </c>
      <c r="H10" s="18" t="s">
        <v>21</v>
      </c>
      <c r="I10" s="18" t="s">
        <v>20</v>
      </c>
      <c r="J10" s="18" t="s">
        <v>20</v>
      </c>
      <c r="K10" s="18" t="s">
        <v>20</v>
      </c>
      <c r="L10" s="18" t="s">
        <v>20</v>
      </c>
      <c r="M10" s="19" t="s">
        <v>20</v>
      </c>
      <c r="N10" s="19" t="s">
        <v>20</v>
      </c>
      <c r="O10" s="19" t="s">
        <v>20</v>
      </c>
      <c r="P10" s="19" t="s">
        <v>20</v>
      </c>
      <c r="Q10" s="18" t="s">
        <v>21</v>
      </c>
      <c r="R10" s="18" t="s">
        <v>21</v>
      </c>
      <c r="S10" s="19" t="s">
        <v>20</v>
      </c>
      <c r="T10" s="18" t="s">
        <v>20</v>
      </c>
      <c r="U10" s="18" t="s">
        <v>20</v>
      </c>
      <c r="V10" s="18" t="s">
        <v>20</v>
      </c>
      <c r="W10" s="18" t="s">
        <v>20</v>
      </c>
      <c r="X10" s="18" t="s">
        <v>20</v>
      </c>
      <c r="Y10" s="19" t="s">
        <v>21</v>
      </c>
      <c r="Z10" s="19" t="s">
        <v>20</v>
      </c>
      <c r="AA10" s="20" t="s">
        <v>21</v>
      </c>
      <c r="AB10" s="20" t="s">
        <v>21</v>
      </c>
      <c r="AC10" s="20" t="s">
        <v>20</v>
      </c>
      <c r="AD10" s="19" t="s">
        <v>20</v>
      </c>
      <c r="AE10" s="19" t="s">
        <v>21</v>
      </c>
      <c r="AG10">
        <f>+COUNTIF(F10:AE10,"AD")</f>
        <v>0</v>
      </c>
      <c r="AH10">
        <f>+COUNTIF(F10:AE10,"A")</f>
        <v>19</v>
      </c>
      <c r="AI10">
        <f>+COUNTIF(F10:AE10,"b")</f>
        <v>7</v>
      </c>
      <c r="AJ10">
        <f>+COUNTIF(F10:AE10,"c")</f>
        <v>0</v>
      </c>
      <c r="AL10">
        <f>+$AG$5*AG10</f>
        <v>0</v>
      </c>
      <c r="AM10">
        <f>+$AH$5*AH10</f>
        <v>57</v>
      </c>
      <c r="AN10">
        <f>+$AI$5*AI10</f>
        <v>14</v>
      </c>
      <c r="AO10">
        <f>+$AJ$5*AJ10</f>
        <v>0</v>
      </c>
      <c r="AP10">
        <f>+SUM(AL10:AO10)</f>
        <v>71</v>
      </c>
    </row>
    <row r="11" spans="1:42" ht="14.4" hidden="1" x14ac:dyDescent="0.3">
      <c r="A11" s="16"/>
      <c r="B11" s="55">
        <v>6</v>
      </c>
      <c r="C11" s="56" t="s">
        <v>27</v>
      </c>
      <c r="D11" s="55">
        <v>1</v>
      </c>
      <c r="E11" s="55" t="s">
        <v>20</v>
      </c>
      <c r="F11" s="18" t="s">
        <v>20</v>
      </c>
      <c r="G11" s="18" t="s">
        <v>20</v>
      </c>
      <c r="H11" s="18" t="s">
        <v>20</v>
      </c>
      <c r="I11" s="18" t="s">
        <v>20</v>
      </c>
      <c r="J11" s="18" t="s">
        <v>20</v>
      </c>
      <c r="K11" s="18" t="s">
        <v>20</v>
      </c>
      <c r="L11" s="18" t="s">
        <v>20</v>
      </c>
      <c r="M11" s="19" t="s">
        <v>20</v>
      </c>
      <c r="N11" s="19" t="s">
        <v>20</v>
      </c>
      <c r="O11" s="19" t="s">
        <v>20</v>
      </c>
      <c r="P11" s="19" t="s">
        <v>20</v>
      </c>
      <c r="Q11" s="18" t="s">
        <v>21</v>
      </c>
      <c r="R11" s="18" t="s">
        <v>21</v>
      </c>
      <c r="S11" s="19" t="s">
        <v>20</v>
      </c>
      <c r="T11" s="18" t="s">
        <v>21</v>
      </c>
      <c r="U11" s="18" t="s">
        <v>21</v>
      </c>
      <c r="V11" s="18" t="s">
        <v>21</v>
      </c>
      <c r="W11" s="18" t="s">
        <v>20</v>
      </c>
      <c r="X11" s="18" t="s">
        <v>20</v>
      </c>
      <c r="Y11" s="19" t="s">
        <v>20</v>
      </c>
      <c r="Z11" s="19" t="s">
        <v>21</v>
      </c>
      <c r="AA11" s="20" t="s">
        <v>21</v>
      </c>
      <c r="AB11" s="20" t="s">
        <v>21</v>
      </c>
      <c r="AC11" s="20" t="s">
        <v>21</v>
      </c>
      <c r="AD11" s="19" t="s">
        <v>21</v>
      </c>
      <c r="AE11" s="19" t="s">
        <v>21</v>
      </c>
      <c r="AG11">
        <f>+COUNTIF(F11:AE11,"AD")</f>
        <v>0</v>
      </c>
      <c r="AH11">
        <f>+COUNTIF(F11:AE11,"A")</f>
        <v>15</v>
      </c>
      <c r="AI11">
        <f>+COUNTIF(F11:AE11,"b")</f>
        <v>11</v>
      </c>
      <c r="AJ11">
        <f>+COUNTIF(F11:AE11,"c")</f>
        <v>0</v>
      </c>
      <c r="AL11">
        <f>+$AG$5*AG11</f>
        <v>0</v>
      </c>
      <c r="AM11">
        <f>+$AH$5*AH11</f>
        <v>45</v>
      </c>
      <c r="AN11">
        <f>+$AI$5*AI11</f>
        <v>22</v>
      </c>
      <c r="AO11">
        <f>+$AJ$5*AJ11</f>
        <v>0</v>
      </c>
      <c r="AP11">
        <f>+SUM(AL11:AO11)</f>
        <v>67</v>
      </c>
    </row>
    <row r="12" spans="1:42" ht="14.4" hidden="1" x14ac:dyDescent="0.3">
      <c r="A12" s="16"/>
      <c r="B12" s="55">
        <v>4</v>
      </c>
      <c r="C12" s="56" t="s">
        <v>25</v>
      </c>
      <c r="D12" s="55">
        <v>1</v>
      </c>
      <c r="E12" s="55" t="s">
        <v>20</v>
      </c>
      <c r="F12" s="18" t="s">
        <v>20</v>
      </c>
      <c r="G12" s="18" t="s">
        <v>21</v>
      </c>
      <c r="H12" s="18" t="s">
        <v>21</v>
      </c>
      <c r="I12" s="18" t="s">
        <v>21</v>
      </c>
      <c r="J12" s="18" t="s">
        <v>20</v>
      </c>
      <c r="K12" s="18" t="s">
        <v>20</v>
      </c>
      <c r="L12" s="18" t="s">
        <v>20</v>
      </c>
      <c r="M12" s="19" t="s">
        <v>21</v>
      </c>
      <c r="N12" s="19" t="s">
        <v>21</v>
      </c>
      <c r="O12" s="19" t="s">
        <v>20</v>
      </c>
      <c r="P12" s="19" t="s">
        <v>20</v>
      </c>
      <c r="Q12" s="18" t="s">
        <v>20</v>
      </c>
      <c r="R12" s="18" t="s">
        <v>21</v>
      </c>
      <c r="S12" s="19" t="s">
        <v>20</v>
      </c>
      <c r="T12" s="18" t="s">
        <v>21</v>
      </c>
      <c r="U12" s="18" t="s">
        <v>20</v>
      </c>
      <c r="V12" s="18" t="s">
        <v>21</v>
      </c>
      <c r="W12" s="18" t="s">
        <v>20</v>
      </c>
      <c r="X12" s="18" t="s">
        <v>20</v>
      </c>
      <c r="Y12" s="19" t="s">
        <v>21</v>
      </c>
      <c r="Z12" s="19" t="s">
        <v>20</v>
      </c>
      <c r="AA12" s="20" t="s">
        <v>21</v>
      </c>
      <c r="AB12" s="20" t="s">
        <v>21</v>
      </c>
      <c r="AC12" s="20" t="s">
        <v>21</v>
      </c>
      <c r="AD12" s="19" t="s">
        <v>20</v>
      </c>
      <c r="AE12" s="19" t="s">
        <v>21</v>
      </c>
      <c r="AG12">
        <f>+COUNTIF(F12:AE12,"AD")</f>
        <v>0</v>
      </c>
      <c r="AH12">
        <f>+COUNTIF(F12:AE12,"A")</f>
        <v>13</v>
      </c>
      <c r="AI12">
        <f>+COUNTIF(F12:AE12,"b")</f>
        <v>13</v>
      </c>
      <c r="AJ12">
        <f>+COUNTIF(F12:AE12,"c")</f>
        <v>0</v>
      </c>
      <c r="AL12">
        <f>+$AG$5*AG12</f>
        <v>0</v>
      </c>
      <c r="AM12">
        <f>+$AH$5*AH12</f>
        <v>39</v>
      </c>
      <c r="AN12">
        <f>+$AI$5*AI12</f>
        <v>26</v>
      </c>
      <c r="AO12">
        <f>+$AJ$5*AJ12</f>
        <v>0</v>
      </c>
      <c r="AP12">
        <f>+SUM(AL12:AO12)</f>
        <v>65</v>
      </c>
    </row>
    <row r="13" spans="1:42" ht="14.4" hidden="1" x14ac:dyDescent="0.3">
      <c r="A13" s="16"/>
      <c r="B13" s="55">
        <v>5</v>
      </c>
      <c r="C13" s="56" t="s">
        <v>26</v>
      </c>
      <c r="D13" s="55">
        <v>1</v>
      </c>
      <c r="E13" s="55" t="s">
        <v>20</v>
      </c>
      <c r="F13" s="18" t="s">
        <v>21</v>
      </c>
      <c r="G13" s="18" t="s">
        <v>21</v>
      </c>
      <c r="H13" s="18" t="s">
        <v>21</v>
      </c>
      <c r="I13" s="18" t="s">
        <v>21</v>
      </c>
      <c r="J13" s="18" t="s">
        <v>20</v>
      </c>
      <c r="K13" s="18" t="s">
        <v>20</v>
      </c>
      <c r="L13" s="18" t="s">
        <v>20</v>
      </c>
      <c r="M13" s="19" t="s">
        <v>20</v>
      </c>
      <c r="N13" s="19" t="s">
        <v>21</v>
      </c>
      <c r="O13" s="19" t="s">
        <v>20</v>
      </c>
      <c r="P13" s="19" t="s">
        <v>21</v>
      </c>
      <c r="Q13" s="18" t="s">
        <v>21</v>
      </c>
      <c r="R13" s="18" t="s">
        <v>21</v>
      </c>
      <c r="S13" s="19" t="s">
        <v>20</v>
      </c>
      <c r="T13" s="18" t="s">
        <v>21</v>
      </c>
      <c r="U13" s="18" t="s">
        <v>21</v>
      </c>
      <c r="V13" s="18" t="s">
        <v>20</v>
      </c>
      <c r="W13" s="18" t="s">
        <v>21</v>
      </c>
      <c r="X13" s="18" t="s">
        <v>20</v>
      </c>
      <c r="Y13" s="19" t="s">
        <v>21</v>
      </c>
      <c r="Z13" s="19" t="s">
        <v>20</v>
      </c>
      <c r="AA13" s="20" t="s">
        <v>21</v>
      </c>
      <c r="AB13" s="20" t="s">
        <v>21</v>
      </c>
      <c r="AC13" s="20" t="s">
        <v>23</v>
      </c>
      <c r="AD13" s="19" t="s">
        <v>21</v>
      </c>
      <c r="AE13" s="19" t="s">
        <v>21</v>
      </c>
      <c r="AG13">
        <f>+COUNTIF(F13:AE13,"AD")</f>
        <v>0</v>
      </c>
      <c r="AH13">
        <f>+COUNTIF(F13:AE13,"A")</f>
        <v>9</v>
      </c>
      <c r="AI13">
        <f>+COUNTIF(F13:AE13,"b")</f>
        <v>16</v>
      </c>
      <c r="AJ13">
        <f>+COUNTIF(F13:AE13,"c")</f>
        <v>1</v>
      </c>
      <c r="AL13">
        <f>+$AG$5*AG13</f>
        <v>0</v>
      </c>
      <c r="AM13">
        <f>+$AH$5*AH13</f>
        <v>27</v>
      </c>
      <c r="AN13">
        <f>+$AI$5*AI13</f>
        <v>32</v>
      </c>
      <c r="AO13">
        <f>+$AJ$5*AJ13</f>
        <v>1</v>
      </c>
      <c r="AP13">
        <f>+SUM(AL13:AO13)</f>
        <v>60</v>
      </c>
    </row>
    <row r="14" spans="1:42" ht="14.4" hidden="1" x14ac:dyDescent="0.3">
      <c r="A14" s="16"/>
      <c r="B14" s="55">
        <v>9</v>
      </c>
      <c r="C14" s="56" t="s">
        <v>30</v>
      </c>
      <c r="D14" s="55">
        <v>1</v>
      </c>
      <c r="E14" s="55" t="s">
        <v>20</v>
      </c>
      <c r="F14" s="18" t="s">
        <v>21</v>
      </c>
      <c r="G14" s="18" t="s">
        <v>21</v>
      </c>
      <c r="H14" s="18" t="s">
        <v>23</v>
      </c>
      <c r="I14" s="18" t="s">
        <v>21</v>
      </c>
      <c r="J14" s="18" t="s">
        <v>20</v>
      </c>
      <c r="K14" s="18" t="s">
        <v>20</v>
      </c>
      <c r="L14" s="18" t="s">
        <v>20</v>
      </c>
      <c r="M14" s="19" t="s">
        <v>20</v>
      </c>
      <c r="N14" s="19" t="s">
        <v>21</v>
      </c>
      <c r="O14" s="19" t="s">
        <v>20</v>
      </c>
      <c r="P14" s="19" t="s">
        <v>21</v>
      </c>
      <c r="Q14" s="18" t="s">
        <v>21</v>
      </c>
      <c r="R14" s="18" t="s">
        <v>21</v>
      </c>
      <c r="S14" s="19" t="s">
        <v>21</v>
      </c>
      <c r="T14" s="18" t="s">
        <v>20</v>
      </c>
      <c r="U14" s="18" t="s">
        <v>21</v>
      </c>
      <c r="V14" s="18" t="s">
        <v>21</v>
      </c>
      <c r="W14" s="18" t="s">
        <v>20</v>
      </c>
      <c r="X14" s="18" t="s">
        <v>20</v>
      </c>
      <c r="Y14" s="19" t="s">
        <v>21</v>
      </c>
      <c r="Z14" s="19" t="s">
        <v>20</v>
      </c>
      <c r="AA14" s="20" t="s">
        <v>21</v>
      </c>
      <c r="AB14" s="20" t="s">
        <v>21</v>
      </c>
      <c r="AC14" s="20" t="s">
        <v>23</v>
      </c>
      <c r="AD14" s="19" t="s">
        <v>20</v>
      </c>
      <c r="AE14" s="19" t="s">
        <v>21</v>
      </c>
      <c r="AG14">
        <f>+COUNTIF(F14:AE14,"AD")</f>
        <v>0</v>
      </c>
      <c r="AH14">
        <f>+COUNTIF(F14:AE14,"A")</f>
        <v>10</v>
      </c>
      <c r="AI14">
        <f>+COUNTIF(F14:AE14,"b")</f>
        <v>14</v>
      </c>
      <c r="AJ14">
        <f>+COUNTIF(F14:AE14,"c")</f>
        <v>2</v>
      </c>
      <c r="AL14">
        <f>+$AG$5*AG14</f>
        <v>0</v>
      </c>
      <c r="AM14">
        <f>+$AH$5*AH14</f>
        <v>30</v>
      </c>
      <c r="AN14">
        <f>+$AI$5*AI14</f>
        <v>28</v>
      </c>
      <c r="AO14">
        <f>+$AJ$5*AJ14</f>
        <v>2</v>
      </c>
      <c r="AP14">
        <f>+SUM(AL14:AO14)</f>
        <v>60</v>
      </c>
    </row>
    <row r="15" spans="1:42" ht="14.4" hidden="1" x14ac:dyDescent="0.3">
      <c r="A15" s="16"/>
      <c r="B15" s="55">
        <v>11</v>
      </c>
      <c r="C15" s="56" t="s">
        <v>32</v>
      </c>
      <c r="D15" s="55">
        <v>1</v>
      </c>
      <c r="E15" s="55" t="s">
        <v>20</v>
      </c>
      <c r="F15" s="18" t="s">
        <v>21</v>
      </c>
      <c r="G15" s="18" t="s">
        <v>21</v>
      </c>
      <c r="H15" s="18" t="s">
        <v>21</v>
      </c>
      <c r="I15" s="18" t="s">
        <v>21</v>
      </c>
      <c r="J15" s="18" t="s">
        <v>20</v>
      </c>
      <c r="K15" s="18" t="s">
        <v>20</v>
      </c>
      <c r="L15" s="18" t="s">
        <v>20</v>
      </c>
      <c r="M15" s="19" t="s">
        <v>21</v>
      </c>
      <c r="N15" s="19" t="s">
        <v>21</v>
      </c>
      <c r="O15" s="19" t="s">
        <v>20</v>
      </c>
      <c r="P15" s="19" t="s">
        <v>21</v>
      </c>
      <c r="Q15" s="18" t="s">
        <v>21</v>
      </c>
      <c r="R15" s="18" t="s">
        <v>23</v>
      </c>
      <c r="S15" s="19" t="s">
        <v>21</v>
      </c>
      <c r="T15" s="18" t="s">
        <v>20</v>
      </c>
      <c r="U15" s="18" t="s">
        <v>21</v>
      </c>
      <c r="V15" s="18" t="s">
        <v>20</v>
      </c>
      <c r="W15" s="18" t="s">
        <v>21</v>
      </c>
      <c r="X15" s="18" t="s">
        <v>20</v>
      </c>
      <c r="Y15" s="19" t="s">
        <v>20</v>
      </c>
      <c r="Z15" s="19" t="s">
        <v>20</v>
      </c>
      <c r="AA15" s="20" t="s">
        <v>21</v>
      </c>
      <c r="AB15" s="20" t="s">
        <v>21</v>
      </c>
      <c r="AC15" s="20" t="s">
        <v>23</v>
      </c>
      <c r="AD15" s="19" t="s">
        <v>21</v>
      </c>
      <c r="AE15" s="19" t="s">
        <v>21</v>
      </c>
      <c r="AG15">
        <f>+COUNTIF(F15:AE15,"AD")</f>
        <v>0</v>
      </c>
      <c r="AH15">
        <f>+COUNTIF(F15:AE15,"A")</f>
        <v>9</v>
      </c>
      <c r="AI15">
        <f>+COUNTIF(F15:AE15,"b")</f>
        <v>15</v>
      </c>
      <c r="AJ15">
        <f>+COUNTIF(F15:AE15,"c")</f>
        <v>2</v>
      </c>
      <c r="AL15">
        <f>+$AG$5*AG15</f>
        <v>0</v>
      </c>
      <c r="AM15">
        <f>+$AH$5*AH15</f>
        <v>27</v>
      </c>
      <c r="AN15">
        <f>+$AI$5*AI15</f>
        <v>30</v>
      </c>
      <c r="AO15">
        <f>+$AJ$5*AJ15</f>
        <v>2</v>
      </c>
      <c r="AP15">
        <f>+SUM(AL15:AO15)</f>
        <v>59</v>
      </c>
    </row>
    <row r="16" spans="1:42" ht="14.4" hidden="1" x14ac:dyDescent="0.3">
      <c r="A16" s="16"/>
      <c r="B16" s="55">
        <v>15</v>
      </c>
      <c r="C16" s="56" t="s">
        <v>36</v>
      </c>
      <c r="D16" s="55">
        <v>1</v>
      </c>
      <c r="E16" s="55" t="s">
        <v>20</v>
      </c>
      <c r="F16" s="18" t="s">
        <v>21</v>
      </c>
      <c r="G16" s="18" t="s">
        <v>21</v>
      </c>
      <c r="H16" s="18" t="s">
        <v>21</v>
      </c>
      <c r="I16" s="18" t="s">
        <v>21</v>
      </c>
      <c r="J16" s="18" t="s">
        <v>21</v>
      </c>
      <c r="K16" s="18" t="s">
        <v>21</v>
      </c>
      <c r="L16" s="18" t="s">
        <v>21</v>
      </c>
      <c r="M16" s="19" t="s">
        <v>20</v>
      </c>
      <c r="N16" s="19" t="s">
        <v>21</v>
      </c>
      <c r="O16" s="19" t="s">
        <v>20</v>
      </c>
      <c r="P16" s="19" t="s">
        <v>21</v>
      </c>
      <c r="Q16" s="18" t="s">
        <v>21</v>
      </c>
      <c r="R16" s="18" t="s">
        <v>21</v>
      </c>
      <c r="S16" s="19" t="s">
        <v>20</v>
      </c>
      <c r="T16" s="18" t="s">
        <v>21</v>
      </c>
      <c r="U16" s="18" t="s">
        <v>21</v>
      </c>
      <c r="V16" s="18" t="s">
        <v>21</v>
      </c>
      <c r="W16" s="18" t="s">
        <v>20</v>
      </c>
      <c r="X16" s="18" t="s">
        <v>20</v>
      </c>
      <c r="Y16" s="19" t="s">
        <v>20</v>
      </c>
      <c r="Z16" s="19" t="s">
        <v>20</v>
      </c>
      <c r="AA16" s="20" t="s">
        <v>21</v>
      </c>
      <c r="AB16" s="20" t="s">
        <v>21</v>
      </c>
      <c r="AC16" s="20" t="s">
        <v>23</v>
      </c>
      <c r="AD16" s="19" t="s">
        <v>20</v>
      </c>
      <c r="AE16" s="19" t="s">
        <v>21</v>
      </c>
      <c r="AG16">
        <f>+COUNTIF(F16:AE16,"AD")</f>
        <v>0</v>
      </c>
      <c r="AH16">
        <f>+COUNTIF(F16:AE16,"A")</f>
        <v>8</v>
      </c>
      <c r="AI16">
        <f>+COUNTIF(F16:AE16,"b")</f>
        <v>17</v>
      </c>
      <c r="AJ16">
        <f>+COUNTIF(F16:AE16,"c")</f>
        <v>1</v>
      </c>
      <c r="AL16">
        <f>+$AG$5*AG16</f>
        <v>0</v>
      </c>
      <c r="AM16">
        <f>+$AH$5*AH16</f>
        <v>24</v>
      </c>
      <c r="AN16">
        <f>+$AI$5*AI16</f>
        <v>34</v>
      </c>
      <c r="AO16">
        <f>+$AJ$5*AJ16</f>
        <v>1</v>
      </c>
      <c r="AP16">
        <f>+SUM(AL16:AO16)</f>
        <v>59</v>
      </c>
    </row>
    <row r="17" spans="1:42" ht="14.4" hidden="1" x14ac:dyDescent="0.3">
      <c r="A17" s="16"/>
      <c r="B17" s="55">
        <v>10</v>
      </c>
      <c r="C17" s="56" t="s">
        <v>31</v>
      </c>
      <c r="D17" s="55">
        <v>1</v>
      </c>
      <c r="E17" s="55" t="s">
        <v>20</v>
      </c>
      <c r="F17" s="18" t="s">
        <v>21</v>
      </c>
      <c r="G17" s="18" t="s">
        <v>21</v>
      </c>
      <c r="H17" s="18" t="s">
        <v>21</v>
      </c>
      <c r="I17" s="18" t="s">
        <v>21</v>
      </c>
      <c r="J17" s="18" t="s">
        <v>21</v>
      </c>
      <c r="K17" s="18" t="s">
        <v>21</v>
      </c>
      <c r="L17" s="18" t="s">
        <v>21</v>
      </c>
      <c r="M17" s="19" t="s">
        <v>21</v>
      </c>
      <c r="N17" s="19" t="s">
        <v>21</v>
      </c>
      <c r="O17" s="19" t="s">
        <v>20</v>
      </c>
      <c r="P17" s="19" t="s">
        <v>21</v>
      </c>
      <c r="Q17" s="18" t="s">
        <v>21</v>
      </c>
      <c r="R17" s="18" t="s">
        <v>21</v>
      </c>
      <c r="S17" s="19" t="s">
        <v>20</v>
      </c>
      <c r="T17" s="18" t="s">
        <v>21</v>
      </c>
      <c r="U17" s="18" t="s">
        <v>21</v>
      </c>
      <c r="V17" s="18" t="s">
        <v>20</v>
      </c>
      <c r="W17" s="18" t="s">
        <v>20</v>
      </c>
      <c r="X17" s="18" t="s">
        <v>20</v>
      </c>
      <c r="Y17" s="19" t="s">
        <v>21</v>
      </c>
      <c r="Z17" s="19" t="s">
        <v>20</v>
      </c>
      <c r="AA17" s="20" t="s">
        <v>21</v>
      </c>
      <c r="AB17" s="20" t="s">
        <v>21</v>
      </c>
      <c r="AC17" s="20" t="s">
        <v>23</v>
      </c>
      <c r="AD17" s="19" t="s">
        <v>21</v>
      </c>
      <c r="AE17" s="19" t="s">
        <v>21</v>
      </c>
      <c r="AG17">
        <f>+COUNTIF(F17:AE17,"AD")</f>
        <v>0</v>
      </c>
      <c r="AH17">
        <f>+COUNTIF(F17:AE17,"A")</f>
        <v>6</v>
      </c>
      <c r="AI17">
        <f>+COUNTIF(F17:AE17,"b")</f>
        <v>19</v>
      </c>
      <c r="AJ17">
        <f>+COUNTIF(F17:AE17,"c")</f>
        <v>1</v>
      </c>
      <c r="AL17">
        <f>+$AG$5*AG17</f>
        <v>0</v>
      </c>
      <c r="AM17">
        <f>+$AH$5*AH17</f>
        <v>18</v>
      </c>
      <c r="AN17">
        <f>+$AI$5*AI17</f>
        <v>38</v>
      </c>
      <c r="AO17">
        <f>+$AJ$5*AJ17</f>
        <v>1</v>
      </c>
      <c r="AP17">
        <f>+SUM(AL17:AO17)</f>
        <v>57</v>
      </c>
    </row>
    <row r="18" spans="1:42" ht="14.4" hidden="1" x14ac:dyDescent="0.3">
      <c r="A18" s="16"/>
      <c r="B18" s="55">
        <v>18</v>
      </c>
      <c r="C18" s="56" t="s">
        <v>40</v>
      </c>
      <c r="D18" s="55">
        <v>1</v>
      </c>
      <c r="E18" s="55" t="s">
        <v>20</v>
      </c>
      <c r="F18" s="18" t="s">
        <v>21</v>
      </c>
      <c r="G18" s="18" t="s">
        <v>21</v>
      </c>
      <c r="H18" s="18" t="s">
        <v>21</v>
      </c>
      <c r="I18" s="18" t="s">
        <v>21</v>
      </c>
      <c r="J18" s="18" t="s">
        <v>21</v>
      </c>
      <c r="K18" s="18" t="s">
        <v>21</v>
      </c>
      <c r="L18" s="18" t="s">
        <v>21</v>
      </c>
      <c r="M18" s="19" t="s">
        <v>21</v>
      </c>
      <c r="N18" s="19" t="s">
        <v>21</v>
      </c>
      <c r="O18" s="19" t="s">
        <v>20</v>
      </c>
      <c r="P18" s="19" t="s">
        <v>21</v>
      </c>
      <c r="Q18" s="18" t="s">
        <v>21</v>
      </c>
      <c r="R18" s="18" t="s">
        <v>21</v>
      </c>
      <c r="S18" s="19" t="s">
        <v>23</v>
      </c>
      <c r="T18" s="18" t="s">
        <v>23</v>
      </c>
      <c r="U18" s="18" t="s">
        <v>20</v>
      </c>
      <c r="V18" s="18" t="s">
        <v>21</v>
      </c>
      <c r="W18" s="18" t="s">
        <v>20</v>
      </c>
      <c r="X18" s="18" t="s">
        <v>20</v>
      </c>
      <c r="Y18" s="19" t="s">
        <v>20</v>
      </c>
      <c r="Z18" s="19" t="s">
        <v>20</v>
      </c>
      <c r="AA18" s="20" t="s">
        <v>21</v>
      </c>
      <c r="AB18" s="20" t="s">
        <v>21</v>
      </c>
      <c r="AC18" s="20" t="s">
        <v>23</v>
      </c>
      <c r="AD18" s="19" t="s">
        <v>21</v>
      </c>
      <c r="AE18" s="19" t="s">
        <v>21</v>
      </c>
      <c r="AG18">
        <f>+COUNTIF(F18:AE18,"AD")</f>
        <v>0</v>
      </c>
      <c r="AH18">
        <f>+COUNTIF(F18:AE18,"A")</f>
        <v>6</v>
      </c>
      <c r="AI18">
        <f>+COUNTIF(F18:AE18,"b")</f>
        <v>17</v>
      </c>
      <c r="AJ18">
        <f>+COUNTIF(F18:AE18,"c")</f>
        <v>3</v>
      </c>
      <c r="AL18">
        <f>+$AG$5*AG18</f>
        <v>0</v>
      </c>
      <c r="AM18">
        <f>+$AH$5*AH18</f>
        <v>18</v>
      </c>
      <c r="AN18">
        <f>+$AI$5*AI18</f>
        <v>34</v>
      </c>
      <c r="AO18">
        <f>+$AJ$5*AJ18</f>
        <v>3</v>
      </c>
      <c r="AP18">
        <f>+SUM(AL18:AO18)</f>
        <v>55</v>
      </c>
    </row>
    <row r="19" spans="1:42" ht="14.4" hidden="1" x14ac:dyDescent="0.3">
      <c r="A19" s="16"/>
      <c r="B19" s="55">
        <v>13</v>
      </c>
      <c r="C19" s="56" t="s">
        <v>34</v>
      </c>
      <c r="D19" s="55">
        <v>1</v>
      </c>
      <c r="E19" s="55" t="s">
        <v>20</v>
      </c>
      <c r="F19" s="18" t="s">
        <v>21</v>
      </c>
      <c r="G19" s="18" t="s">
        <v>21</v>
      </c>
      <c r="H19" s="18" t="s">
        <v>23</v>
      </c>
      <c r="I19" s="18" t="s">
        <v>21</v>
      </c>
      <c r="J19" s="18" t="s">
        <v>21</v>
      </c>
      <c r="K19" s="18" t="s">
        <v>21</v>
      </c>
      <c r="L19" s="18" t="s">
        <v>21</v>
      </c>
      <c r="M19" s="19" t="s">
        <v>21</v>
      </c>
      <c r="N19" s="19" t="s">
        <v>21</v>
      </c>
      <c r="O19" s="19" t="s">
        <v>21</v>
      </c>
      <c r="P19" s="19" t="s">
        <v>21</v>
      </c>
      <c r="Q19" s="18" t="s">
        <v>21</v>
      </c>
      <c r="R19" s="18" t="s">
        <v>21</v>
      </c>
      <c r="S19" s="19" t="s">
        <v>23</v>
      </c>
      <c r="T19" s="18" t="s">
        <v>23</v>
      </c>
      <c r="U19" s="18" t="s">
        <v>21</v>
      </c>
      <c r="V19" s="18" t="s">
        <v>21</v>
      </c>
      <c r="W19" s="18" t="s">
        <v>21</v>
      </c>
      <c r="X19" s="18" t="s">
        <v>20</v>
      </c>
      <c r="Y19" s="19" t="s">
        <v>20</v>
      </c>
      <c r="Z19" s="19" t="s">
        <v>20</v>
      </c>
      <c r="AA19" s="20" t="s">
        <v>21</v>
      </c>
      <c r="AB19" s="20" t="s">
        <v>21</v>
      </c>
      <c r="AC19" s="20" t="s">
        <v>23</v>
      </c>
      <c r="AD19" s="19" t="s">
        <v>21</v>
      </c>
      <c r="AE19" s="19" t="s">
        <v>21</v>
      </c>
      <c r="AG19">
        <f>+COUNTIF(F19:AE19,"AD")</f>
        <v>0</v>
      </c>
      <c r="AH19">
        <f>+COUNTIF(F19:AE19,"A")</f>
        <v>3</v>
      </c>
      <c r="AI19">
        <f>+COUNTIF(F19:AE19,"b")</f>
        <v>19</v>
      </c>
      <c r="AJ19">
        <f>+COUNTIF(F19:AE19,"c")</f>
        <v>4</v>
      </c>
      <c r="AL19">
        <f>+$AG$5*AG19</f>
        <v>0</v>
      </c>
      <c r="AM19">
        <f>+$AH$5*AH19</f>
        <v>9</v>
      </c>
      <c r="AN19">
        <f>+$AI$5*AI19</f>
        <v>38</v>
      </c>
      <c r="AO19">
        <f>+$AJ$5*AJ19</f>
        <v>4</v>
      </c>
      <c r="AP19">
        <f>+SUM(AL19:AO19)</f>
        <v>51</v>
      </c>
    </row>
    <row r="20" spans="1:42" ht="14.4" hidden="1" x14ac:dyDescent="0.3">
      <c r="A20" s="16"/>
      <c r="B20" s="55">
        <v>14</v>
      </c>
      <c r="C20" s="56" t="s">
        <v>35</v>
      </c>
      <c r="D20" s="55">
        <v>1</v>
      </c>
      <c r="E20" s="55" t="s">
        <v>20</v>
      </c>
      <c r="F20" s="18" t="s">
        <v>21</v>
      </c>
      <c r="G20" s="18" t="s">
        <v>23</v>
      </c>
      <c r="H20" s="18" t="s">
        <v>21</v>
      </c>
      <c r="I20" s="18" t="s">
        <v>21</v>
      </c>
      <c r="J20" s="18" t="s">
        <v>21</v>
      </c>
      <c r="K20" s="18" t="s">
        <v>21</v>
      </c>
      <c r="L20" s="18" t="s">
        <v>21</v>
      </c>
      <c r="M20" s="19" t="s">
        <v>21</v>
      </c>
      <c r="N20" s="19" t="s">
        <v>21</v>
      </c>
      <c r="O20" s="19" t="s">
        <v>21</v>
      </c>
      <c r="P20" s="19" t="s">
        <v>21</v>
      </c>
      <c r="Q20" s="18" t="s">
        <v>21</v>
      </c>
      <c r="R20" s="18" t="s">
        <v>21</v>
      </c>
      <c r="S20" s="19" t="s">
        <v>23</v>
      </c>
      <c r="T20" s="18" t="s">
        <v>23</v>
      </c>
      <c r="U20" s="18" t="s">
        <v>21</v>
      </c>
      <c r="V20" s="18" t="s">
        <v>20</v>
      </c>
      <c r="W20" s="18" t="s">
        <v>21</v>
      </c>
      <c r="X20" s="18" t="s">
        <v>20</v>
      </c>
      <c r="Y20" s="19" t="s">
        <v>21</v>
      </c>
      <c r="Z20" s="19" t="s">
        <v>20</v>
      </c>
      <c r="AA20" s="20" t="s">
        <v>21</v>
      </c>
      <c r="AB20" s="20" t="s">
        <v>23</v>
      </c>
      <c r="AC20" s="20" t="s">
        <v>23</v>
      </c>
      <c r="AD20" s="19" t="s">
        <v>21</v>
      </c>
      <c r="AE20" s="19" t="s">
        <v>21</v>
      </c>
      <c r="AG20">
        <f>+COUNTIF(F20:AE20,"AD")</f>
        <v>0</v>
      </c>
      <c r="AH20">
        <f>+COUNTIF(F20:AE20,"A")</f>
        <v>3</v>
      </c>
      <c r="AI20">
        <f>+COUNTIF(F20:AE20,"b")</f>
        <v>18</v>
      </c>
      <c r="AJ20">
        <f>+COUNTIF(F20:AE20,"c")</f>
        <v>5</v>
      </c>
      <c r="AL20">
        <f>+$AG$5*AG20</f>
        <v>0</v>
      </c>
      <c r="AM20">
        <f>+$AH$5*AH20</f>
        <v>9</v>
      </c>
      <c r="AN20">
        <f>+$AI$5*AI20</f>
        <v>36</v>
      </c>
      <c r="AO20">
        <f>+$AJ$5*AJ20</f>
        <v>5</v>
      </c>
      <c r="AP20">
        <f>+SUM(AL20:AO20)</f>
        <v>50</v>
      </c>
    </row>
    <row r="21" spans="1:42" ht="14.4" hidden="1" x14ac:dyDescent="0.3">
      <c r="A21" s="16"/>
      <c r="B21" s="55">
        <v>8</v>
      </c>
      <c r="C21" s="56" t="s">
        <v>29</v>
      </c>
      <c r="D21" s="55">
        <v>1</v>
      </c>
      <c r="E21" s="55" t="s">
        <v>20</v>
      </c>
      <c r="F21" s="18" t="s">
        <v>21</v>
      </c>
      <c r="G21" s="18" t="s">
        <v>23</v>
      </c>
      <c r="H21" s="18" t="s">
        <v>21</v>
      </c>
      <c r="I21" s="18" t="s">
        <v>21</v>
      </c>
      <c r="J21" s="18" t="s">
        <v>21</v>
      </c>
      <c r="K21" s="18" t="s">
        <v>21</v>
      </c>
      <c r="L21" s="18" t="s">
        <v>21</v>
      </c>
      <c r="M21" s="19" t="s">
        <v>21</v>
      </c>
      <c r="N21" s="19" t="s">
        <v>21</v>
      </c>
      <c r="O21" s="19" t="s">
        <v>21</v>
      </c>
      <c r="P21" s="19" t="s">
        <v>21</v>
      </c>
      <c r="Q21" s="18" t="s">
        <v>21</v>
      </c>
      <c r="R21" s="18" t="s">
        <v>21</v>
      </c>
      <c r="S21" s="19" t="s">
        <v>23</v>
      </c>
      <c r="T21" s="18" t="s">
        <v>21</v>
      </c>
      <c r="U21" s="18" t="s">
        <v>21</v>
      </c>
      <c r="V21" s="18" t="s">
        <v>20</v>
      </c>
      <c r="W21" s="18" t="s">
        <v>21</v>
      </c>
      <c r="X21" s="18" t="s">
        <v>20</v>
      </c>
      <c r="Y21" s="19" t="s">
        <v>21</v>
      </c>
      <c r="Z21" s="19" t="s">
        <v>21</v>
      </c>
      <c r="AA21" s="20" t="s">
        <v>21</v>
      </c>
      <c r="AB21" s="20" t="s">
        <v>23</v>
      </c>
      <c r="AC21" s="20" t="s">
        <v>23</v>
      </c>
      <c r="AD21" s="19" t="s">
        <v>23</v>
      </c>
      <c r="AE21" s="19" t="s">
        <v>21</v>
      </c>
      <c r="AG21">
        <f>+COUNTIF(F21:AE21,"AD")</f>
        <v>0</v>
      </c>
      <c r="AH21">
        <f>+COUNTIF(F21:AE21,"A")</f>
        <v>2</v>
      </c>
      <c r="AI21">
        <f>+COUNTIF(F21:AE21,"b")</f>
        <v>19</v>
      </c>
      <c r="AJ21">
        <f>+COUNTIF(F21:AE21,"c")</f>
        <v>5</v>
      </c>
      <c r="AL21">
        <f>+$AG$5*AG21</f>
        <v>0</v>
      </c>
      <c r="AM21">
        <f>+$AH$5*AH21</f>
        <v>6</v>
      </c>
      <c r="AN21">
        <f>+$AI$5*AI21</f>
        <v>38</v>
      </c>
      <c r="AO21">
        <f>+$AJ$5*AJ21</f>
        <v>5</v>
      </c>
      <c r="AP21">
        <f>+SUM(AL21:AO21)</f>
        <v>49</v>
      </c>
    </row>
    <row r="22" spans="1:42" ht="15.75" hidden="1" customHeight="1" x14ac:dyDescent="0.3">
      <c r="A22" s="16"/>
      <c r="B22" s="55">
        <v>12</v>
      </c>
      <c r="C22" s="56" t="s">
        <v>33</v>
      </c>
      <c r="D22" s="55">
        <v>1</v>
      </c>
      <c r="E22" s="55" t="s">
        <v>20</v>
      </c>
      <c r="F22" s="18" t="s">
        <v>21</v>
      </c>
      <c r="G22" s="18" t="s">
        <v>21</v>
      </c>
      <c r="H22" s="18" t="s">
        <v>21</v>
      </c>
      <c r="I22" s="18" t="s">
        <v>23</v>
      </c>
      <c r="J22" s="18" t="s">
        <v>21</v>
      </c>
      <c r="K22" s="18" t="s">
        <v>21</v>
      </c>
      <c r="L22" s="18" t="s">
        <v>21</v>
      </c>
      <c r="M22" s="19" t="s">
        <v>21</v>
      </c>
      <c r="N22" s="19" t="s">
        <v>21</v>
      </c>
      <c r="O22" s="19" t="s">
        <v>21</v>
      </c>
      <c r="P22" s="19" t="s">
        <v>21</v>
      </c>
      <c r="Q22" s="18" t="s">
        <v>21</v>
      </c>
      <c r="R22" s="18" t="s">
        <v>21</v>
      </c>
      <c r="S22" s="19" t="s">
        <v>23</v>
      </c>
      <c r="T22" s="18" t="s">
        <v>23</v>
      </c>
      <c r="U22" s="18" t="s">
        <v>21</v>
      </c>
      <c r="V22" s="18" t="s">
        <v>21</v>
      </c>
      <c r="W22" s="18" t="s">
        <v>21</v>
      </c>
      <c r="X22" s="18" t="s">
        <v>20</v>
      </c>
      <c r="Y22" s="19" t="s">
        <v>20</v>
      </c>
      <c r="Z22" s="19" t="s">
        <v>20</v>
      </c>
      <c r="AA22" s="20" t="s">
        <v>23</v>
      </c>
      <c r="AB22" s="20" t="s">
        <v>23</v>
      </c>
      <c r="AC22" s="20" t="s">
        <v>23</v>
      </c>
      <c r="AD22" s="19" t="s">
        <v>23</v>
      </c>
      <c r="AE22" s="19" t="s">
        <v>21</v>
      </c>
      <c r="AG22">
        <f>+COUNTIF(F22:AE22,"AD")</f>
        <v>0</v>
      </c>
      <c r="AH22">
        <f>+COUNTIF(F22:AE22,"A")</f>
        <v>3</v>
      </c>
      <c r="AI22">
        <f>+COUNTIF(F22:AE22,"b")</f>
        <v>16</v>
      </c>
      <c r="AJ22">
        <f>+COUNTIF(F22:AE22,"c")</f>
        <v>7</v>
      </c>
      <c r="AL22">
        <f>+$AG$5*AG22</f>
        <v>0</v>
      </c>
      <c r="AM22">
        <f>+$AH$5*AH22</f>
        <v>9</v>
      </c>
      <c r="AN22">
        <f>+$AI$5*AI22</f>
        <v>32</v>
      </c>
      <c r="AO22">
        <f>+$AJ$5*AJ22</f>
        <v>7</v>
      </c>
      <c r="AP22">
        <f>+SUM(AL22:AO22)</f>
        <v>48</v>
      </c>
    </row>
    <row r="23" spans="1:42" ht="15.75" hidden="1" customHeight="1" thickBot="1" x14ac:dyDescent="0.35">
      <c r="A23" s="16"/>
      <c r="B23" s="57">
        <v>2</v>
      </c>
      <c r="C23" s="58" t="s">
        <v>22</v>
      </c>
      <c r="D23" s="57">
        <v>1</v>
      </c>
      <c r="E23" s="57" t="s">
        <v>20</v>
      </c>
      <c r="F23" s="21" t="s">
        <v>21</v>
      </c>
      <c r="G23" s="21" t="s">
        <v>23</v>
      </c>
      <c r="H23" s="21" t="s">
        <v>21</v>
      </c>
      <c r="I23" s="21" t="s">
        <v>21</v>
      </c>
      <c r="J23" s="21" t="s">
        <v>21</v>
      </c>
      <c r="K23" s="21" t="s">
        <v>21</v>
      </c>
      <c r="L23" s="21" t="s">
        <v>21</v>
      </c>
      <c r="M23" s="22" t="s">
        <v>21</v>
      </c>
      <c r="N23" s="22" t="s">
        <v>21</v>
      </c>
      <c r="O23" s="22" t="s">
        <v>23</v>
      </c>
      <c r="P23" s="22" t="s">
        <v>21</v>
      </c>
      <c r="Q23" s="21" t="s">
        <v>21</v>
      </c>
      <c r="R23" s="21" t="s">
        <v>21</v>
      </c>
      <c r="S23" s="22" t="s">
        <v>23</v>
      </c>
      <c r="T23" s="21" t="s">
        <v>23</v>
      </c>
      <c r="U23" s="21" t="s">
        <v>21</v>
      </c>
      <c r="V23" s="21" t="s">
        <v>21</v>
      </c>
      <c r="W23" s="21" t="s">
        <v>21</v>
      </c>
      <c r="X23" s="21" t="s">
        <v>20</v>
      </c>
      <c r="Y23" s="22" t="s">
        <v>21</v>
      </c>
      <c r="Z23" s="22" t="s">
        <v>20</v>
      </c>
      <c r="AA23" s="23" t="s">
        <v>23</v>
      </c>
      <c r="AB23" s="23" t="s">
        <v>23</v>
      </c>
      <c r="AC23" s="23" t="s">
        <v>23</v>
      </c>
      <c r="AD23" s="22" t="s">
        <v>23</v>
      </c>
      <c r="AE23" s="22" t="s">
        <v>21</v>
      </c>
      <c r="AG23">
        <f>+COUNTIF(F23:AE23,"AD")</f>
        <v>0</v>
      </c>
      <c r="AH23">
        <f>+COUNTIF(F23:AE23,"A")</f>
        <v>2</v>
      </c>
      <c r="AI23">
        <f>+COUNTIF(F23:AE23,"b")</f>
        <v>16</v>
      </c>
      <c r="AJ23">
        <f>+COUNTIF(F23:AE23,"c")</f>
        <v>8</v>
      </c>
      <c r="AL23">
        <f>+$AG$5*AG23</f>
        <v>0</v>
      </c>
      <c r="AM23">
        <f>+$AH$5*AH23</f>
        <v>6</v>
      </c>
      <c r="AN23">
        <f>+$AI$5*AI23</f>
        <v>32</v>
      </c>
      <c r="AO23">
        <f>+$AJ$5*AJ23</f>
        <v>8</v>
      </c>
      <c r="AP23">
        <f>+SUM(AL23:AO23)</f>
        <v>46</v>
      </c>
    </row>
    <row r="24" spans="1:42" ht="15.75" hidden="1" customHeight="1" x14ac:dyDescent="0.3">
      <c r="A24" s="16"/>
      <c r="B24" s="59">
        <v>1</v>
      </c>
      <c r="C24" s="60" t="s">
        <v>41</v>
      </c>
      <c r="D24" s="59">
        <v>1</v>
      </c>
      <c r="E24" s="59" t="s">
        <v>21</v>
      </c>
      <c r="F24" s="24" t="s">
        <v>39</v>
      </c>
      <c r="G24" s="24" t="s">
        <v>20</v>
      </c>
      <c r="H24" s="24" t="s">
        <v>20</v>
      </c>
      <c r="I24" s="24" t="s">
        <v>20</v>
      </c>
      <c r="J24" s="24" t="s">
        <v>20</v>
      </c>
      <c r="K24" s="24" t="s">
        <v>20</v>
      </c>
      <c r="L24" s="24" t="s">
        <v>20</v>
      </c>
      <c r="M24" s="25" t="s">
        <v>20</v>
      </c>
      <c r="N24" s="25" t="s">
        <v>20</v>
      </c>
      <c r="O24" s="25" t="s">
        <v>20</v>
      </c>
      <c r="P24" s="25" t="s">
        <v>20</v>
      </c>
      <c r="Q24" s="24" t="s">
        <v>20</v>
      </c>
      <c r="R24" s="24" t="s">
        <v>20</v>
      </c>
      <c r="S24" s="25" t="s">
        <v>20</v>
      </c>
      <c r="T24" s="24" t="s">
        <v>20</v>
      </c>
      <c r="U24" s="24" t="s">
        <v>20</v>
      </c>
      <c r="V24" s="24" t="s">
        <v>20</v>
      </c>
      <c r="W24" s="24" t="s">
        <v>20</v>
      </c>
      <c r="X24" s="24" t="s">
        <v>20</v>
      </c>
      <c r="Y24" s="25" t="s">
        <v>20</v>
      </c>
      <c r="Z24" s="25" t="s">
        <v>20</v>
      </c>
      <c r="AA24" s="26" t="s">
        <v>20</v>
      </c>
      <c r="AB24" s="26" t="s">
        <v>20</v>
      </c>
      <c r="AC24" s="27" t="s">
        <v>20</v>
      </c>
      <c r="AD24" s="25" t="s">
        <v>20</v>
      </c>
      <c r="AE24" s="25" t="s">
        <v>21</v>
      </c>
      <c r="AG24">
        <f t="shared" ref="AG24:AG87" si="0">+COUNTIF(F24:AE24,"AD")</f>
        <v>1</v>
      </c>
      <c r="AH24">
        <f t="shared" ref="AH24:AH87" si="1">+COUNTIF(F24:AE24,"A")</f>
        <v>24</v>
      </c>
      <c r="AI24">
        <f t="shared" ref="AI24:AI87" si="2">+COUNTIF(F24:AE24,"b")</f>
        <v>1</v>
      </c>
      <c r="AJ24">
        <f t="shared" ref="AJ24:AJ87" si="3">+COUNTIF(F24:AE24,"c")</f>
        <v>0</v>
      </c>
      <c r="AL24">
        <f t="shared" ref="AL24:AL87" si="4">+$AG$5*AG24</f>
        <v>4</v>
      </c>
      <c r="AM24">
        <f t="shared" ref="AM24:AM87" si="5">+$AH$5*AH24</f>
        <v>72</v>
      </c>
      <c r="AN24">
        <f t="shared" ref="AN24:AN87" si="6">+$AI$5*AI24</f>
        <v>2</v>
      </c>
      <c r="AO24">
        <f t="shared" ref="AO24:AO87" si="7">+$AJ$5*AJ24</f>
        <v>0</v>
      </c>
      <c r="AP24">
        <f t="shared" ref="AP24:AP43" si="8">+SUM(AL24:AO24)</f>
        <v>78</v>
      </c>
    </row>
    <row r="25" spans="1:42" ht="15.75" hidden="1" customHeight="1" x14ac:dyDescent="0.3">
      <c r="A25" s="16"/>
      <c r="B25" s="55">
        <v>2</v>
      </c>
      <c r="C25" s="56" t="s">
        <v>42</v>
      </c>
      <c r="D25" s="55">
        <v>1</v>
      </c>
      <c r="E25" s="55" t="s">
        <v>21</v>
      </c>
      <c r="F25" s="18" t="s">
        <v>21</v>
      </c>
      <c r="G25" s="18" t="s">
        <v>21</v>
      </c>
      <c r="H25" s="18" t="s">
        <v>21</v>
      </c>
      <c r="I25" s="18" t="s">
        <v>21</v>
      </c>
      <c r="J25" s="18" t="s">
        <v>20</v>
      </c>
      <c r="K25" s="18" t="s">
        <v>21</v>
      </c>
      <c r="L25" s="18" t="s">
        <v>21</v>
      </c>
      <c r="M25" s="19" t="s">
        <v>20</v>
      </c>
      <c r="N25" s="19" t="s">
        <v>20</v>
      </c>
      <c r="O25" s="19" t="s">
        <v>20</v>
      </c>
      <c r="P25" s="19" t="s">
        <v>20</v>
      </c>
      <c r="Q25" s="18" t="s">
        <v>20</v>
      </c>
      <c r="R25" s="18" t="s">
        <v>21</v>
      </c>
      <c r="S25" s="19" t="s">
        <v>20</v>
      </c>
      <c r="T25" s="18" t="s">
        <v>20</v>
      </c>
      <c r="U25" s="18" t="s">
        <v>21</v>
      </c>
      <c r="V25" s="18" t="s">
        <v>20</v>
      </c>
      <c r="W25" s="18" t="s">
        <v>20</v>
      </c>
      <c r="X25" s="18" t="s">
        <v>20</v>
      </c>
      <c r="Y25" s="19" t="s">
        <v>20</v>
      </c>
      <c r="Z25" s="19" t="s">
        <v>20</v>
      </c>
      <c r="AA25" s="28" t="s">
        <v>20</v>
      </c>
      <c r="AB25" s="28" t="s">
        <v>21</v>
      </c>
      <c r="AC25" s="20" t="s">
        <v>20</v>
      </c>
      <c r="AD25" s="19" t="s">
        <v>20</v>
      </c>
      <c r="AE25" s="19" t="s">
        <v>21</v>
      </c>
      <c r="AG25">
        <f t="shared" si="0"/>
        <v>0</v>
      </c>
      <c r="AH25">
        <f t="shared" si="1"/>
        <v>16</v>
      </c>
      <c r="AI25">
        <f t="shared" si="2"/>
        <v>10</v>
      </c>
      <c r="AJ25">
        <f t="shared" si="3"/>
        <v>0</v>
      </c>
      <c r="AL25">
        <f t="shared" si="4"/>
        <v>0</v>
      </c>
      <c r="AM25">
        <f t="shared" si="5"/>
        <v>48</v>
      </c>
      <c r="AN25">
        <f t="shared" si="6"/>
        <v>20</v>
      </c>
      <c r="AO25">
        <f t="shared" si="7"/>
        <v>0</v>
      </c>
      <c r="AP25">
        <f t="shared" si="8"/>
        <v>68</v>
      </c>
    </row>
    <row r="26" spans="1:42" ht="15.75" hidden="1" customHeight="1" x14ac:dyDescent="0.3">
      <c r="A26" s="16"/>
      <c r="B26" s="55">
        <v>3</v>
      </c>
      <c r="C26" s="56" t="s">
        <v>43</v>
      </c>
      <c r="D26" s="55">
        <v>1</v>
      </c>
      <c r="E26" s="55" t="s">
        <v>21</v>
      </c>
      <c r="F26" s="18" t="s">
        <v>21</v>
      </c>
      <c r="G26" s="18" t="s">
        <v>20</v>
      </c>
      <c r="H26" s="18" t="s">
        <v>21</v>
      </c>
      <c r="I26" s="18" t="s">
        <v>21</v>
      </c>
      <c r="J26" s="18" t="s">
        <v>21</v>
      </c>
      <c r="K26" s="18" t="s">
        <v>20</v>
      </c>
      <c r="L26" s="18" t="s">
        <v>21</v>
      </c>
      <c r="M26" s="19" t="s">
        <v>20</v>
      </c>
      <c r="N26" s="19" t="s">
        <v>20</v>
      </c>
      <c r="O26" s="19" t="s">
        <v>20</v>
      </c>
      <c r="P26" s="19" t="s">
        <v>20</v>
      </c>
      <c r="Q26" s="18" t="s">
        <v>21</v>
      </c>
      <c r="R26" s="18" t="s">
        <v>21</v>
      </c>
      <c r="S26" s="19" t="s">
        <v>20</v>
      </c>
      <c r="T26" s="18" t="s">
        <v>20</v>
      </c>
      <c r="U26" s="18" t="s">
        <v>21</v>
      </c>
      <c r="V26" s="18" t="s">
        <v>20</v>
      </c>
      <c r="W26" s="18" t="s">
        <v>20</v>
      </c>
      <c r="X26" s="18" t="s">
        <v>20</v>
      </c>
      <c r="Y26" s="19" t="s">
        <v>20</v>
      </c>
      <c r="Z26" s="19" t="s">
        <v>20</v>
      </c>
      <c r="AA26" s="28" t="s">
        <v>20</v>
      </c>
      <c r="AB26" s="28" t="s">
        <v>21</v>
      </c>
      <c r="AC26" s="20" t="s">
        <v>21</v>
      </c>
      <c r="AD26" s="19" t="s">
        <v>20</v>
      </c>
      <c r="AE26" s="19" t="s">
        <v>21</v>
      </c>
      <c r="AG26">
        <f t="shared" si="0"/>
        <v>0</v>
      </c>
      <c r="AH26">
        <f t="shared" si="1"/>
        <v>15</v>
      </c>
      <c r="AI26">
        <f t="shared" si="2"/>
        <v>11</v>
      </c>
      <c r="AJ26">
        <f t="shared" si="3"/>
        <v>0</v>
      </c>
      <c r="AL26">
        <f t="shared" si="4"/>
        <v>0</v>
      </c>
      <c r="AM26">
        <f t="shared" si="5"/>
        <v>45</v>
      </c>
      <c r="AN26">
        <f t="shared" si="6"/>
        <v>22</v>
      </c>
      <c r="AO26">
        <f t="shared" si="7"/>
        <v>0</v>
      </c>
      <c r="AP26">
        <f t="shared" si="8"/>
        <v>67</v>
      </c>
    </row>
    <row r="27" spans="1:42" ht="15.75" hidden="1" customHeight="1" x14ac:dyDescent="0.3">
      <c r="A27" s="16"/>
      <c r="B27" s="55">
        <v>4</v>
      </c>
      <c r="C27" s="56" t="s">
        <v>44</v>
      </c>
      <c r="D27" s="55">
        <v>1</v>
      </c>
      <c r="E27" s="55" t="s">
        <v>21</v>
      </c>
      <c r="F27" s="18" t="s">
        <v>20</v>
      </c>
      <c r="G27" s="18" t="s">
        <v>20</v>
      </c>
      <c r="H27" s="18" t="s">
        <v>20</v>
      </c>
      <c r="I27" s="18" t="s">
        <v>20</v>
      </c>
      <c r="J27" s="18" t="s">
        <v>21</v>
      </c>
      <c r="K27" s="18" t="s">
        <v>21</v>
      </c>
      <c r="L27" s="18" t="s">
        <v>21</v>
      </c>
      <c r="M27" s="18" t="s">
        <v>21</v>
      </c>
      <c r="N27" s="18" t="s">
        <v>20</v>
      </c>
      <c r="O27" s="18" t="s">
        <v>20</v>
      </c>
      <c r="P27" s="18" t="s">
        <v>21</v>
      </c>
      <c r="Q27" s="18" t="s">
        <v>21</v>
      </c>
      <c r="R27" s="18" t="s">
        <v>21</v>
      </c>
      <c r="S27" s="18" t="s">
        <v>20</v>
      </c>
      <c r="T27" s="18" t="s">
        <v>20</v>
      </c>
      <c r="U27" s="18" t="s">
        <v>21</v>
      </c>
      <c r="V27" s="18" t="s">
        <v>20</v>
      </c>
      <c r="W27" s="18" t="s">
        <v>20</v>
      </c>
      <c r="X27" s="18" t="s">
        <v>20</v>
      </c>
      <c r="Y27" s="19" t="s">
        <v>21</v>
      </c>
      <c r="Z27" s="18" t="s">
        <v>20</v>
      </c>
      <c r="AA27" s="28" t="s">
        <v>21</v>
      </c>
      <c r="AB27" s="28" t="s">
        <v>21</v>
      </c>
      <c r="AC27" s="20" t="s">
        <v>21</v>
      </c>
      <c r="AD27" s="29" t="s">
        <v>21</v>
      </c>
      <c r="AE27" s="29" t="s">
        <v>21</v>
      </c>
      <c r="AG27">
        <f t="shared" si="0"/>
        <v>0</v>
      </c>
      <c r="AH27">
        <f t="shared" si="1"/>
        <v>12</v>
      </c>
      <c r="AI27">
        <f t="shared" si="2"/>
        <v>14</v>
      </c>
      <c r="AJ27">
        <f t="shared" si="3"/>
        <v>0</v>
      </c>
      <c r="AL27">
        <f t="shared" si="4"/>
        <v>0</v>
      </c>
      <c r="AM27">
        <f t="shared" si="5"/>
        <v>36</v>
      </c>
      <c r="AN27">
        <f t="shared" si="6"/>
        <v>28</v>
      </c>
      <c r="AO27">
        <f t="shared" si="7"/>
        <v>0</v>
      </c>
      <c r="AP27">
        <f t="shared" si="8"/>
        <v>64</v>
      </c>
    </row>
    <row r="28" spans="1:42" ht="15.75" hidden="1" customHeight="1" x14ac:dyDescent="0.3">
      <c r="A28" s="16"/>
      <c r="B28" s="55">
        <v>5</v>
      </c>
      <c r="C28" s="56" t="s">
        <v>45</v>
      </c>
      <c r="D28" s="55">
        <v>1</v>
      </c>
      <c r="E28" s="55" t="s">
        <v>21</v>
      </c>
      <c r="F28" s="18" t="s">
        <v>21</v>
      </c>
      <c r="G28" s="18" t="s">
        <v>21</v>
      </c>
      <c r="H28" s="18" t="s">
        <v>20</v>
      </c>
      <c r="I28" s="18" t="s">
        <v>21</v>
      </c>
      <c r="J28" s="18" t="s">
        <v>21</v>
      </c>
      <c r="K28" s="18" t="s">
        <v>21</v>
      </c>
      <c r="L28" s="18" t="s">
        <v>21</v>
      </c>
      <c r="M28" s="18" t="s">
        <v>20</v>
      </c>
      <c r="N28" s="18" t="s">
        <v>21</v>
      </c>
      <c r="O28" s="18" t="s">
        <v>20</v>
      </c>
      <c r="P28" s="18" t="s">
        <v>21</v>
      </c>
      <c r="Q28" s="18" t="s">
        <v>21</v>
      </c>
      <c r="R28" s="18" t="s">
        <v>21</v>
      </c>
      <c r="S28" s="18" t="s">
        <v>20</v>
      </c>
      <c r="T28" s="18" t="s">
        <v>20</v>
      </c>
      <c r="U28" s="18" t="s">
        <v>21</v>
      </c>
      <c r="V28" s="18" t="s">
        <v>20</v>
      </c>
      <c r="W28" s="18" t="s">
        <v>20</v>
      </c>
      <c r="X28" s="18" t="s">
        <v>20</v>
      </c>
      <c r="Y28" s="19" t="s">
        <v>21</v>
      </c>
      <c r="Z28" s="18" t="s">
        <v>20</v>
      </c>
      <c r="AA28" s="28" t="s">
        <v>20</v>
      </c>
      <c r="AB28" s="28" t="s">
        <v>20</v>
      </c>
      <c r="AC28" s="20" t="s">
        <v>21</v>
      </c>
      <c r="AD28" s="29" t="s">
        <v>21</v>
      </c>
      <c r="AE28" s="29" t="s">
        <v>21</v>
      </c>
      <c r="AG28">
        <f t="shared" si="0"/>
        <v>0</v>
      </c>
      <c r="AH28">
        <f t="shared" si="1"/>
        <v>11</v>
      </c>
      <c r="AI28">
        <f t="shared" si="2"/>
        <v>15</v>
      </c>
      <c r="AJ28">
        <f t="shared" si="3"/>
        <v>0</v>
      </c>
      <c r="AL28">
        <f t="shared" si="4"/>
        <v>0</v>
      </c>
      <c r="AM28">
        <f t="shared" si="5"/>
        <v>33</v>
      </c>
      <c r="AN28">
        <f t="shared" si="6"/>
        <v>30</v>
      </c>
      <c r="AO28">
        <f t="shared" si="7"/>
        <v>0</v>
      </c>
      <c r="AP28">
        <f t="shared" si="8"/>
        <v>63</v>
      </c>
    </row>
    <row r="29" spans="1:42" ht="15.75" hidden="1" customHeight="1" x14ac:dyDescent="0.3">
      <c r="A29" s="16"/>
      <c r="B29" s="55">
        <v>6</v>
      </c>
      <c r="C29" s="56" t="s">
        <v>46</v>
      </c>
      <c r="D29" s="55">
        <v>1</v>
      </c>
      <c r="E29" s="55" t="s">
        <v>21</v>
      </c>
      <c r="F29" s="18" t="s">
        <v>20</v>
      </c>
      <c r="G29" s="18" t="s">
        <v>20</v>
      </c>
      <c r="H29" s="18" t="s">
        <v>21</v>
      </c>
      <c r="I29" s="18" t="s">
        <v>20</v>
      </c>
      <c r="J29" s="18" t="s">
        <v>21</v>
      </c>
      <c r="K29" s="18" t="s">
        <v>20</v>
      </c>
      <c r="L29" s="18" t="s">
        <v>21</v>
      </c>
      <c r="M29" s="18" t="s">
        <v>20</v>
      </c>
      <c r="N29" s="18" t="s">
        <v>21</v>
      </c>
      <c r="O29" s="18" t="s">
        <v>20</v>
      </c>
      <c r="P29" s="18" t="s">
        <v>21</v>
      </c>
      <c r="Q29" s="18" t="s">
        <v>21</v>
      </c>
      <c r="R29" s="18" t="s">
        <v>21</v>
      </c>
      <c r="S29" s="18" t="s">
        <v>21</v>
      </c>
      <c r="T29" s="18" t="s">
        <v>20</v>
      </c>
      <c r="U29" s="18" t="s">
        <v>21</v>
      </c>
      <c r="V29" s="18" t="s">
        <v>20</v>
      </c>
      <c r="W29" s="18" t="s">
        <v>20</v>
      </c>
      <c r="X29" s="18" t="s">
        <v>20</v>
      </c>
      <c r="Y29" s="19" t="s">
        <v>20</v>
      </c>
      <c r="Z29" s="18" t="s">
        <v>20</v>
      </c>
      <c r="AA29" s="28" t="s">
        <v>20</v>
      </c>
      <c r="AB29" s="28" t="s">
        <v>20</v>
      </c>
      <c r="AC29" s="20" t="s">
        <v>20</v>
      </c>
      <c r="AD29" s="29" t="s">
        <v>21</v>
      </c>
      <c r="AE29" s="29" t="s">
        <v>21</v>
      </c>
      <c r="AG29">
        <f t="shared" si="0"/>
        <v>0</v>
      </c>
      <c r="AH29">
        <f t="shared" si="1"/>
        <v>15</v>
      </c>
      <c r="AI29">
        <f t="shared" si="2"/>
        <v>11</v>
      </c>
      <c r="AJ29">
        <f t="shared" si="3"/>
        <v>0</v>
      </c>
      <c r="AL29">
        <f t="shared" si="4"/>
        <v>0</v>
      </c>
      <c r="AM29">
        <f t="shared" si="5"/>
        <v>45</v>
      </c>
      <c r="AN29">
        <f t="shared" si="6"/>
        <v>22</v>
      </c>
      <c r="AO29">
        <f t="shared" si="7"/>
        <v>0</v>
      </c>
      <c r="AP29">
        <f t="shared" si="8"/>
        <v>67</v>
      </c>
    </row>
    <row r="30" spans="1:42" ht="15.75" hidden="1" customHeight="1" x14ac:dyDescent="0.3">
      <c r="A30" s="16"/>
      <c r="B30" s="55">
        <v>7</v>
      </c>
      <c r="C30" s="56" t="s">
        <v>47</v>
      </c>
      <c r="D30" s="55">
        <v>1</v>
      </c>
      <c r="E30" s="55" t="s">
        <v>21</v>
      </c>
      <c r="F30" s="18" t="s">
        <v>21</v>
      </c>
      <c r="G30" s="18" t="s">
        <v>21</v>
      </c>
      <c r="H30" s="18" t="s">
        <v>20</v>
      </c>
      <c r="I30" s="18" t="s">
        <v>21</v>
      </c>
      <c r="J30" s="18" t="s">
        <v>20</v>
      </c>
      <c r="K30" s="18" t="s">
        <v>20</v>
      </c>
      <c r="L30" s="18" t="s">
        <v>21</v>
      </c>
      <c r="M30" s="18" t="s">
        <v>20</v>
      </c>
      <c r="N30" s="18" t="s">
        <v>21</v>
      </c>
      <c r="O30" s="18" t="s">
        <v>20</v>
      </c>
      <c r="P30" s="18" t="s">
        <v>20</v>
      </c>
      <c r="Q30" s="18" t="s">
        <v>21</v>
      </c>
      <c r="R30" s="18" t="s">
        <v>20</v>
      </c>
      <c r="S30" s="18" t="s">
        <v>20</v>
      </c>
      <c r="T30" s="18" t="s">
        <v>20</v>
      </c>
      <c r="U30" s="18" t="s">
        <v>21</v>
      </c>
      <c r="V30" s="18" t="s">
        <v>20</v>
      </c>
      <c r="W30" s="18" t="s">
        <v>20</v>
      </c>
      <c r="X30" s="18" t="s">
        <v>21</v>
      </c>
      <c r="Y30" s="19" t="s">
        <v>20</v>
      </c>
      <c r="Z30" s="18" t="s">
        <v>20</v>
      </c>
      <c r="AA30" s="28" t="s">
        <v>20</v>
      </c>
      <c r="AB30" s="28" t="s">
        <v>20</v>
      </c>
      <c r="AC30" s="20" t="s">
        <v>20</v>
      </c>
      <c r="AD30" s="29" t="s">
        <v>21</v>
      </c>
      <c r="AE30" s="29" t="s">
        <v>21</v>
      </c>
      <c r="AG30">
        <f t="shared" si="0"/>
        <v>0</v>
      </c>
      <c r="AH30">
        <f t="shared" si="1"/>
        <v>16</v>
      </c>
      <c r="AI30">
        <f t="shared" si="2"/>
        <v>10</v>
      </c>
      <c r="AJ30">
        <f t="shared" si="3"/>
        <v>0</v>
      </c>
      <c r="AL30">
        <f t="shared" si="4"/>
        <v>0</v>
      </c>
      <c r="AM30">
        <f t="shared" si="5"/>
        <v>48</v>
      </c>
      <c r="AN30">
        <f t="shared" si="6"/>
        <v>20</v>
      </c>
      <c r="AO30">
        <f t="shared" si="7"/>
        <v>0</v>
      </c>
      <c r="AP30">
        <f t="shared" si="8"/>
        <v>68</v>
      </c>
    </row>
    <row r="31" spans="1:42" ht="15.75" hidden="1" customHeight="1" x14ac:dyDescent="0.3">
      <c r="A31" s="16"/>
      <c r="B31" s="55">
        <v>8</v>
      </c>
      <c r="C31" s="56" t="s">
        <v>48</v>
      </c>
      <c r="D31" s="55">
        <v>1</v>
      </c>
      <c r="E31" s="55" t="s">
        <v>21</v>
      </c>
      <c r="F31" s="18" t="s">
        <v>20</v>
      </c>
      <c r="G31" s="18" t="s">
        <v>21</v>
      </c>
      <c r="H31" s="18" t="s">
        <v>21</v>
      </c>
      <c r="I31" s="18" t="s">
        <v>21</v>
      </c>
      <c r="J31" s="18" t="s">
        <v>20</v>
      </c>
      <c r="K31" s="18" t="s">
        <v>21</v>
      </c>
      <c r="L31" s="18" t="s">
        <v>21</v>
      </c>
      <c r="M31" s="18" t="s">
        <v>20</v>
      </c>
      <c r="N31" s="18" t="s">
        <v>21</v>
      </c>
      <c r="O31" s="18" t="s">
        <v>21</v>
      </c>
      <c r="P31" s="18" t="s">
        <v>21</v>
      </c>
      <c r="Q31" s="18" t="s">
        <v>21</v>
      </c>
      <c r="R31" s="18" t="s">
        <v>21</v>
      </c>
      <c r="S31" s="18" t="s">
        <v>20</v>
      </c>
      <c r="T31" s="18" t="s">
        <v>20</v>
      </c>
      <c r="U31" s="18" t="s">
        <v>20</v>
      </c>
      <c r="V31" s="18" t="s">
        <v>21</v>
      </c>
      <c r="W31" s="18" t="s">
        <v>20</v>
      </c>
      <c r="X31" s="18" t="s">
        <v>21</v>
      </c>
      <c r="Y31" s="19" t="s">
        <v>21</v>
      </c>
      <c r="Z31" s="18" t="s">
        <v>20</v>
      </c>
      <c r="AA31" s="28" t="s">
        <v>20</v>
      </c>
      <c r="AB31" s="28" t="s">
        <v>20</v>
      </c>
      <c r="AC31" s="20" t="s">
        <v>20</v>
      </c>
      <c r="AD31" s="29" t="s">
        <v>20</v>
      </c>
      <c r="AE31" s="29" t="s">
        <v>21</v>
      </c>
      <c r="AG31">
        <f t="shared" si="0"/>
        <v>0</v>
      </c>
      <c r="AH31">
        <f t="shared" si="1"/>
        <v>12</v>
      </c>
      <c r="AI31">
        <f t="shared" si="2"/>
        <v>14</v>
      </c>
      <c r="AJ31">
        <f t="shared" si="3"/>
        <v>0</v>
      </c>
      <c r="AL31">
        <f t="shared" si="4"/>
        <v>0</v>
      </c>
      <c r="AM31">
        <f t="shared" si="5"/>
        <v>36</v>
      </c>
      <c r="AN31">
        <f t="shared" si="6"/>
        <v>28</v>
      </c>
      <c r="AO31">
        <f t="shared" si="7"/>
        <v>0</v>
      </c>
      <c r="AP31">
        <f t="shared" si="8"/>
        <v>64</v>
      </c>
    </row>
    <row r="32" spans="1:42" ht="15.75" hidden="1" customHeight="1" x14ac:dyDescent="0.3">
      <c r="A32" s="16"/>
      <c r="B32" s="55">
        <v>9</v>
      </c>
      <c r="C32" s="56" t="s">
        <v>49</v>
      </c>
      <c r="D32" s="55">
        <v>1</v>
      </c>
      <c r="E32" s="55" t="s">
        <v>21</v>
      </c>
      <c r="F32" s="18" t="s">
        <v>20</v>
      </c>
      <c r="G32" s="18" t="s">
        <v>21</v>
      </c>
      <c r="H32" s="18" t="s">
        <v>21</v>
      </c>
      <c r="I32" s="18" t="s">
        <v>21</v>
      </c>
      <c r="J32" s="18" t="s">
        <v>21</v>
      </c>
      <c r="K32" s="18" t="s">
        <v>21</v>
      </c>
      <c r="L32" s="18" t="s">
        <v>20</v>
      </c>
      <c r="M32" s="18" t="s">
        <v>20</v>
      </c>
      <c r="N32" s="18" t="s">
        <v>20</v>
      </c>
      <c r="O32" s="18" t="s">
        <v>20</v>
      </c>
      <c r="P32" s="18" t="s">
        <v>20</v>
      </c>
      <c r="Q32" s="18" t="s">
        <v>20</v>
      </c>
      <c r="R32" s="18" t="s">
        <v>20</v>
      </c>
      <c r="S32" s="18" t="s">
        <v>20</v>
      </c>
      <c r="T32" s="18" t="s">
        <v>20</v>
      </c>
      <c r="U32" s="18" t="s">
        <v>21</v>
      </c>
      <c r="V32" s="18" t="s">
        <v>20</v>
      </c>
      <c r="W32" s="18" t="s">
        <v>20</v>
      </c>
      <c r="X32" s="18" t="s">
        <v>20</v>
      </c>
      <c r="Y32" s="19" t="s">
        <v>20</v>
      </c>
      <c r="Z32" s="18" t="s">
        <v>20</v>
      </c>
      <c r="AA32" s="28" t="s">
        <v>21</v>
      </c>
      <c r="AB32" s="28" t="s">
        <v>21</v>
      </c>
      <c r="AC32" s="20" t="s">
        <v>21</v>
      </c>
      <c r="AD32" s="29" t="s">
        <v>21</v>
      </c>
      <c r="AE32" s="29" t="s">
        <v>21</v>
      </c>
      <c r="AG32">
        <f t="shared" si="0"/>
        <v>0</v>
      </c>
      <c r="AH32">
        <f t="shared" si="1"/>
        <v>15</v>
      </c>
      <c r="AI32">
        <f t="shared" si="2"/>
        <v>11</v>
      </c>
      <c r="AJ32">
        <f t="shared" si="3"/>
        <v>0</v>
      </c>
      <c r="AL32">
        <f t="shared" si="4"/>
        <v>0</v>
      </c>
      <c r="AM32">
        <f t="shared" si="5"/>
        <v>45</v>
      </c>
      <c r="AN32">
        <f t="shared" si="6"/>
        <v>22</v>
      </c>
      <c r="AO32">
        <f t="shared" si="7"/>
        <v>0</v>
      </c>
      <c r="AP32">
        <f t="shared" si="8"/>
        <v>67</v>
      </c>
    </row>
    <row r="33" spans="1:42" ht="15.75" hidden="1" customHeight="1" x14ac:dyDescent="0.3">
      <c r="A33" s="16"/>
      <c r="B33" s="55">
        <v>10</v>
      </c>
      <c r="C33" s="56" t="s">
        <v>50</v>
      </c>
      <c r="D33" s="55">
        <v>1</v>
      </c>
      <c r="E33" s="55" t="s">
        <v>21</v>
      </c>
      <c r="F33" s="18" t="s">
        <v>20</v>
      </c>
      <c r="G33" s="18" t="s">
        <v>21</v>
      </c>
      <c r="H33" s="18" t="s">
        <v>20</v>
      </c>
      <c r="I33" s="18" t="s">
        <v>21</v>
      </c>
      <c r="J33" s="18" t="s">
        <v>21</v>
      </c>
      <c r="K33" s="18" t="s">
        <v>21</v>
      </c>
      <c r="L33" s="18" t="s">
        <v>21</v>
      </c>
      <c r="M33" s="18" t="s">
        <v>20</v>
      </c>
      <c r="N33" s="18" t="s">
        <v>20</v>
      </c>
      <c r="O33" s="18" t="s">
        <v>20</v>
      </c>
      <c r="P33" s="18" t="s">
        <v>21</v>
      </c>
      <c r="Q33" s="18" t="s">
        <v>20</v>
      </c>
      <c r="R33" s="18" t="s">
        <v>21</v>
      </c>
      <c r="S33" s="18" t="s">
        <v>20</v>
      </c>
      <c r="T33" s="18" t="s">
        <v>20</v>
      </c>
      <c r="U33" s="18" t="s">
        <v>20</v>
      </c>
      <c r="V33" s="18" t="s">
        <v>20</v>
      </c>
      <c r="W33" s="18" t="s">
        <v>20</v>
      </c>
      <c r="X33" s="18" t="s">
        <v>20</v>
      </c>
      <c r="Y33" s="19" t="s">
        <v>20</v>
      </c>
      <c r="Z33" s="18" t="s">
        <v>20</v>
      </c>
      <c r="AA33" s="28" t="s">
        <v>21</v>
      </c>
      <c r="AB33" s="28" t="s">
        <v>21</v>
      </c>
      <c r="AC33" s="20" t="s">
        <v>20</v>
      </c>
      <c r="AD33" s="29" t="s">
        <v>20</v>
      </c>
      <c r="AE33" s="29" t="s">
        <v>21</v>
      </c>
      <c r="AG33">
        <f t="shared" si="0"/>
        <v>0</v>
      </c>
      <c r="AH33">
        <f t="shared" si="1"/>
        <v>16</v>
      </c>
      <c r="AI33">
        <f t="shared" si="2"/>
        <v>10</v>
      </c>
      <c r="AJ33">
        <f t="shared" si="3"/>
        <v>0</v>
      </c>
      <c r="AL33">
        <f t="shared" si="4"/>
        <v>0</v>
      </c>
      <c r="AM33">
        <f t="shared" si="5"/>
        <v>48</v>
      </c>
      <c r="AN33">
        <f t="shared" si="6"/>
        <v>20</v>
      </c>
      <c r="AO33">
        <f t="shared" si="7"/>
        <v>0</v>
      </c>
      <c r="AP33">
        <f t="shared" si="8"/>
        <v>68</v>
      </c>
    </row>
    <row r="34" spans="1:42" ht="15.75" hidden="1" customHeight="1" x14ac:dyDescent="0.3">
      <c r="A34" s="16"/>
      <c r="B34" s="55">
        <v>11</v>
      </c>
      <c r="C34" s="56" t="s">
        <v>51</v>
      </c>
      <c r="D34" s="55">
        <v>1</v>
      </c>
      <c r="E34" s="55" t="s">
        <v>21</v>
      </c>
      <c r="F34" s="18" t="s">
        <v>39</v>
      </c>
      <c r="G34" s="18" t="s">
        <v>20</v>
      </c>
      <c r="H34" s="18" t="s">
        <v>20</v>
      </c>
      <c r="I34" s="18" t="s">
        <v>20</v>
      </c>
      <c r="J34" s="18" t="s">
        <v>20</v>
      </c>
      <c r="K34" s="18" t="s">
        <v>20</v>
      </c>
      <c r="L34" s="18" t="s">
        <v>20</v>
      </c>
      <c r="M34" s="18" t="s">
        <v>20</v>
      </c>
      <c r="N34" s="18" t="s">
        <v>20</v>
      </c>
      <c r="O34" s="18" t="s">
        <v>20</v>
      </c>
      <c r="P34" s="18" t="s">
        <v>20</v>
      </c>
      <c r="Q34" s="18" t="s">
        <v>20</v>
      </c>
      <c r="R34" s="18" t="s">
        <v>20</v>
      </c>
      <c r="S34" s="18" t="s">
        <v>20</v>
      </c>
      <c r="T34" s="18" t="s">
        <v>20</v>
      </c>
      <c r="U34" s="18" t="s">
        <v>20</v>
      </c>
      <c r="V34" s="18" t="s">
        <v>20</v>
      </c>
      <c r="W34" s="18" t="s">
        <v>20</v>
      </c>
      <c r="X34" s="18" t="s">
        <v>21</v>
      </c>
      <c r="Y34" s="19" t="s">
        <v>20</v>
      </c>
      <c r="Z34" s="18" t="s">
        <v>20</v>
      </c>
      <c r="AA34" s="28" t="s">
        <v>20</v>
      </c>
      <c r="AB34" s="28" t="s">
        <v>20</v>
      </c>
      <c r="AC34" s="20" t="s">
        <v>20</v>
      </c>
      <c r="AD34" s="29" t="s">
        <v>20</v>
      </c>
      <c r="AE34" s="29" t="s">
        <v>21</v>
      </c>
      <c r="AG34">
        <f t="shared" si="0"/>
        <v>1</v>
      </c>
      <c r="AH34">
        <f t="shared" si="1"/>
        <v>23</v>
      </c>
      <c r="AI34">
        <f t="shared" si="2"/>
        <v>2</v>
      </c>
      <c r="AJ34">
        <f t="shared" si="3"/>
        <v>0</v>
      </c>
      <c r="AL34">
        <f t="shared" si="4"/>
        <v>4</v>
      </c>
      <c r="AM34">
        <f t="shared" si="5"/>
        <v>69</v>
      </c>
      <c r="AN34">
        <f t="shared" si="6"/>
        <v>4</v>
      </c>
      <c r="AO34">
        <f t="shared" si="7"/>
        <v>0</v>
      </c>
      <c r="AP34">
        <f t="shared" si="8"/>
        <v>77</v>
      </c>
    </row>
    <row r="35" spans="1:42" ht="15.75" hidden="1" customHeight="1" x14ac:dyDescent="0.3">
      <c r="A35" s="16"/>
      <c r="B35" s="55">
        <v>12</v>
      </c>
      <c r="C35" s="56" t="s">
        <v>52</v>
      </c>
      <c r="D35" s="55">
        <v>1</v>
      </c>
      <c r="E35" s="55" t="s">
        <v>21</v>
      </c>
      <c r="F35" s="18" t="s">
        <v>20</v>
      </c>
      <c r="G35" s="18" t="s">
        <v>21</v>
      </c>
      <c r="H35" s="18" t="s">
        <v>20</v>
      </c>
      <c r="I35" s="18" t="s">
        <v>21</v>
      </c>
      <c r="J35" s="18" t="s">
        <v>20</v>
      </c>
      <c r="K35" s="18" t="s">
        <v>21</v>
      </c>
      <c r="L35" s="18" t="s">
        <v>21</v>
      </c>
      <c r="M35" s="18" t="s">
        <v>20</v>
      </c>
      <c r="N35" s="18" t="s">
        <v>20</v>
      </c>
      <c r="O35" s="18" t="s">
        <v>20</v>
      </c>
      <c r="P35" s="18" t="s">
        <v>20</v>
      </c>
      <c r="Q35" s="18" t="s">
        <v>20</v>
      </c>
      <c r="R35" s="18" t="s">
        <v>20</v>
      </c>
      <c r="S35" s="18" t="s">
        <v>20</v>
      </c>
      <c r="T35" s="18" t="s">
        <v>20</v>
      </c>
      <c r="U35" s="18" t="s">
        <v>20</v>
      </c>
      <c r="V35" s="18" t="s">
        <v>21</v>
      </c>
      <c r="W35" s="18" t="s">
        <v>20</v>
      </c>
      <c r="X35" s="18" t="s">
        <v>21</v>
      </c>
      <c r="Y35" s="19" t="s">
        <v>21</v>
      </c>
      <c r="Z35" s="18" t="s">
        <v>20</v>
      </c>
      <c r="AA35" s="28" t="s">
        <v>21</v>
      </c>
      <c r="AB35" s="28" t="s">
        <v>21</v>
      </c>
      <c r="AC35" s="20" t="s">
        <v>21</v>
      </c>
      <c r="AD35" s="29" t="s">
        <v>21</v>
      </c>
      <c r="AE35" s="29" t="s">
        <v>21</v>
      </c>
      <c r="AG35">
        <f t="shared" si="0"/>
        <v>0</v>
      </c>
      <c r="AH35">
        <f t="shared" si="1"/>
        <v>14</v>
      </c>
      <c r="AI35">
        <f t="shared" si="2"/>
        <v>12</v>
      </c>
      <c r="AJ35">
        <f t="shared" si="3"/>
        <v>0</v>
      </c>
      <c r="AL35">
        <f t="shared" si="4"/>
        <v>0</v>
      </c>
      <c r="AM35">
        <f t="shared" si="5"/>
        <v>42</v>
      </c>
      <c r="AN35">
        <f t="shared" si="6"/>
        <v>24</v>
      </c>
      <c r="AO35">
        <f t="shared" si="7"/>
        <v>0</v>
      </c>
      <c r="AP35">
        <f t="shared" si="8"/>
        <v>66</v>
      </c>
    </row>
    <row r="36" spans="1:42" ht="15.75" hidden="1" customHeight="1" x14ac:dyDescent="0.3">
      <c r="A36" s="16"/>
      <c r="B36" s="55">
        <v>13</v>
      </c>
      <c r="C36" s="56" t="s">
        <v>53</v>
      </c>
      <c r="D36" s="55">
        <v>1</v>
      </c>
      <c r="E36" s="55" t="s">
        <v>21</v>
      </c>
      <c r="F36" s="18" t="s">
        <v>21</v>
      </c>
      <c r="G36" s="18" t="s">
        <v>20</v>
      </c>
      <c r="H36" s="18" t="s">
        <v>21</v>
      </c>
      <c r="I36" s="18" t="s">
        <v>21</v>
      </c>
      <c r="J36" s="18" t="s">
        <v>20</v>
      </c>
      <c r="K36" s="18" t="s">
        <v>21</v>
      </c>
      <c r="L36" s="18" t="s">
        <v>21</v>
      </c>
      <c r="M36" s="18" t="s">
        <v>21</v>
      </c>
      <c r="N36" s="18" t="s">
        <v>20</v>
      </c>
      <c r="O36" s="18" t="s">
        <v>20</v>
      </c>
      <c r="P36" s="18" t="s">
        <v>21</v>
      </c>
      <c r="Q36" s="18" t="s">
        <v>21</v>
      </c>
      <c r="R36" s="18" t="s">
        <v>21</v>
      </c>
      <c r="S36" s="18" t="s">
        <v>21</v>
      </c>
      <c r="T36" s="18" t="s">
        <v>20</v>
      </c>
      <c r="U36" s="18" t="s">
        <v>20</v>
      </c>
      <c r="V36" s="18" t="s">
        <v>20</v>
      </c>
      <c r="W36" s="18" t="s">
        <v>20</v>
      </c>
      <c r="X36" s="18" t="s">
        <v>20</v>
      </c>
      <c r="Y36" s="19" t="s">
        <v>20</v>
      </c>
      <c r="Z36" s="18" t="s">
        <v>20</v>
      </c>
      <c r="AA36" s="28" t="s">
        <v>20</v>
      </c>
      <c r="AB36" s="28" t="s">
        <v>20</v>
      </c>
      <c r="AC36" s="20" t="s">
        <v>21</v>
      </c>
      <c r="AD36" s="29" t="s">
        <v>21</v>
      </c>
      <c r="AE36" s="29" t="s">
        <v>21</v>
      </c>
      <c r="AG36">
        <f t="shared" si="0"/>
        <v>0</v>
      </c>
      <c r="AH36">
        <f t="shared" si="1"/>
        <v>13</v>
      </c>
      <c r="AI36">
        <f t="shared" si="2"/>
        <v>13</v>
      </c>
      <c r="AJ36">
        <f t="shared" si="3"/>
        <v>0</v>
      </c>
      <c r="AL36">
        <f t="shared" si="4"/>
        <v>0</v>
      </c>
      <c r="AM36">
        <f t="shared" si="5"/>
        <v>39</v>
      </c>
      <c r="AN36">
        <f t="shared" si="6"/>
        <v>26</v>
      </c>
      <c r="AO36">
        <f t="shared" si="7"/>
        <v>0</v>
      </c>
      <c r="AP36">
        <f t="shared" si="8"/>
        <v>65</v>
      </c>
    </row>
    <row r="37" spans="1:42" ht="15.75" hidden="1" customHeight="1" x14ac:dyDescent="0.3">
      <c r="A37" s="16"/>
      <c r="B37" s="55">
        <v>14</v>
      </c>
      <c r="C37" s="56" t="s">
        <v>54</v>
      </c>
      <c r="D37" s="55">
        <v>1</v>
      </c>
      <c r="E37" s="55" t="s">
        <v>21</v>
      </c>
      <c r="F37" s="18" t="s">
        <v>20</v>
      </c>
      <c r="G37" s="18" t="s">
        <v>20</v>
      </c>
      <c r="H37" s="18" t="s">
        <v>20</v>
      </c>
      <c r="I37" s="18" t="s">
        <v>20</v>
      </c>
      <c r="J37" s="18" t="s">
        <v>20</v>
      </c>
      <c r="K37" s="18" t="s">
        <v>20</v>
      </c>
      <c r="L37" s="18" t="s">
        <v>20</v>
      </c>
      <c r="M37" s="18" t="s">
        <v>20</v>
      </c>
      <c r="N37" s="18" t="s">
        <v>20</v>
      </c>
      <c r="O37" s="18" t="s">
        <v>20</v>
      </c>
      <c r="P37" s="18" t="s">
        <v>20</v>
      </c>
      <c r="Q37" s="18" t="s">
        <v>20</v>
      </c>
      <c r="R37" s="18" t="s">
        <v>20</v>
      </c>
      <c r="S37" s="18" t="s">
        <v>20</v>
      </c>
      <c r="T37" s="18" t="s">
        <v>20</v>
      </c>
      <c r="U37" s="18" t="s">
        <v>20</v>
      </c>
      <c r="V37" s="18" t="s">
        <v>21</v>
      </c>
      <c r="W37" s="18" t="s">
        <v>21</v>
      </c>
      <c r="X37" s="18" t="s">
        <v>20</v>
      </c>
      <c r="Y37" s="19" t="s">
        <v>21</v>
      </c>
      <c r="Z37" s="18" t="s">
        <v>20</v>
      </c>
      <c r="AA37" s="28" t="s">
        <v>20</v>
      </c>
      <c r="AB37" s="28" t="s">
        <v>20</v>
      </c>
      <c r="AC37" s="20" t="s">
        <v>20</v>
      </c>
      <c r="AD37" s="29" t="s">
        <v>55</v>
      </c>
      <c r="AE37" s="29" t="s">
        <v>55</v>
      </c>
      <c r="AG37">
        <f t="shared" si="0"/>
        <v>0</v>
      </c>
      <c r="AH37">
        <f t="shared" si="1"/>
        <v>21</v>
      </c>
      <c r="AI37">
        <f t="shared" si="2"/>
        <v>3</v>
      </c>
      <c r="AJ37">
        <f t="shared" si="3"/>
        <v>0</v>
      </c>
      <c r="AL37">
        <f t="shared" si="4"/>
        <v>0</v>
      </c>
      <c r="AM37">
        <f t="shared" si="5"/>
        <v>63</v>
      </c>
      <c r="AN37">
        <f t="shared" si="6"/>
        <v>6</v>
      </c>
      <c r="AO37">
        <f t="shared" si="7"/>
        <v>0</v>
      </c>
      <c r="AP37">
        <f t="shared" si="8"/>
        <v>69</v>
      </c>
    </row>
    <row r="38" spans="1:42" ht="15.75" hidden="1" customHeight="1" x14ac:dyDescent="0.3">
      <c r="A38" s="16"/>
      <c r="B38" s="55">
        <v>15</v>
      </c>
      <c r="C38" s="56" t="s">
        <v>56</v>
      </c>
      <c r="D38" s="55">
        <v>1</v>
      </c>
      <c r="E38" s="55" t="s">
        <v>21</v>
      </c>
      <c r="F38" s="18" t="s">
        <v>20</v>
      </c>
      <c r="G38" s="18" t="s">
        <v>21</v>
      </c>
      <c r="H38" s="18" t="s">
        <v>21</v>
      </c>
      <c r="I38" s="18" t="s">
        <v>20</v>
      </c>
      <c r="J38" s="18" t="s">
        <v>21</v>
      </c>
      <c r="K38" s="18" t="s">
        <v>21</v>
      </c>
      <c r="L38" s="18" t="s">
        <v>21</v>
      </c>
      <c r="M38" s="18" t="s">
        <v>20</v>
      </c>
      <c r="N38" s="18" t="s">
        <v>20</v>
      </c>
      <c r="O38" s="18" t="s">
        <v>20</v>
      </c>
      <c r="P38" s="18" t="s">
        <v>21</v>
      </c>
      <c r="Q38" s="18" t="s">
        <v>21</v>
      </c>
      <c r="R38" s="18" t="s">
        <v>21</v>
      </c>
      <c r="S38" s="18" t="s">
        <v>23</v>
      </c>
      <c r="T38" s="18" t="s">
        <v>21</v>
      </c>
      <c r="U38" s="18" t="s">
        <v>20</v>
      </c>
      <c r="V38" s="18" t="s">
        <v>20</v>
      </c>
      <c r="W38" s="18" t="s">
        <v>20</v>
      </c>
      <c r="X38" s="18" t="s">
        <v>20</v>
      </c>
      <c r="Y38" s="19" t="s">
        <v>23</v>
      </c>
      <c r="Z38" s="18" t="s">
        <v>21</v>
      </c>
      <c r="AA38" s="28" t="s">
        <v>20</v>
      </c>
      <c r="AB38" s="28" t="s">
        <v>20</v>
      </c>
      <c r="AC38" s="20" t="s">
        <v>21</v>
      </c>
      <c r="AD38" s="29" t="s">
        <v>21</v>
      </c>
      <c r="AE38" s="29" t="s">
        <v>21</v>
      </c>
      <c r="AG38">
        <f t="shared" si="0"/>
        <v>0</v>
      </c>
      <c r="AH38">
        <f t="shared" si="1"/>
        <v>11</v>
      </c>
      <c r="AI38">
        <f t="shared" si="2"/>
        <v>13</v>
      </c>
      <c r="AJ38">
        <f t="shared" si="3"/>
        <v>2</v>
      </c>
      <c r="AL38">
        <f t="shared" si="4"/>
        <v>0</v>
      </c>
      <c r="AM38">
        <f t="shared" si="5"/>
        <v>33</v>
      </c>
      <c r="AN38">
        <f t="shared" si="6"/>
        <v>26</v>
      </c>
      <c r="AO38">
        <f t="shared" si="7"/>
        <v>2</v>
      </c>
      <c r="AP38">
        <f t="shared" si="8"/>
        <v>61</v>
      </c>
    </row>
    <row r="39" spans="1:42" ht="15.75" hidden="1" customHeight="1" x14ac:dyDescent="0.3">
      <c r="A39" s="16"/>
      <c r="B39" s="55">
        <v>16</v>
      </c>
      <c r="C39" s="56" t="s">
        <v>57</v>
      </c>
      <c r="D39" s="55">
        <v>1</v>
      </c>
      <c r="E39" s="55" t="s">
        <v>21</v>
      </c>
      <c r="F39" s="18" t="s">
        <v>20</v>
      </c>
      <c r="G39" s="18" t="s">
        <v>21</v>
      </c>
      <c r="H39" s="18" t="s">
        <v>21</v>
      </c>
      <c r="I39" s="18" t="s">
        <v>21</v>
      </c>
      <c r="J39" s="18" t="s">
        <v>20</v>
      </c>
      <c r="K39" s="18" t="s">
        <v>21</v>
      </c>
      <c r="L39" s="18" t="s">
        <v>21</v>
      </c>
      <c r="M39" s="18" t="s">
        <v>21</v>
      </c>
      <c r="N39" s="18" t="s">
        <v>21</v>
      </c>
      <c r="O39" s="18" t="s">
        <v>20</v>
      </c>
      <c r="P39" s="18" t="s">
        <v>21</v>
      </c>
      <c r="Q39" s="18" t="s">
        <v>21</v>
      </c>
      <c r="R39" s="18" t="s">
        <v>21</v>
      </c>
      <c r="S39" s="18" t="s">
        <v>21</v>
      </c>
      <c r="T39" s="18" t="s">
        <v>21</v>
      </c>
      <c r="U39" s="18" t="s">
        <v>21</v>
      </c>
      <c r="V39" s="18" t="s">
        <v>20</v>
      </c>
      <c r="W39" s="18" t="s">
        <v>20</v>
      </c>
      <c r="X39" s="18" t="s">
        <v>21</v>
      </c>
      <c r="Y39" s="19" t="s">
        <v>20</v>
      </c>
      <c r="Z39" s="18" t="s">
        <v>20</v>
      </c>
      <c r="AA39" s="28" t="s">
        <v>20</v>
      </c>
      <c r="AB39" s="28" t="s">
        <v>20</v>
      </c>
      <c r="AC39" s="20" t="s">
        <v>21</v>
      </c>
      <c r="AD39" s="29" t="s">
        <v>21</v>
      </c>
      <c r="AE39" s="29" t="s">
        <v>21</v>
      </c>
      <c r="AG39">
        <f t="shared" si="0"/>
        <v>0</v>
      </c>
      <c r="AH39">
        <f t="shared" si="1"/>
        <v>9</v>
      </c>
      <c r="AI39">
        <f t="shared" si="2"/>
        <v>17</v>
      </c>
      <c r="AJ39">
        <f t="shared" si="3"/>
        <v>0</v>
      </c>
      <c r="AL39">
        <f t="shared" si="4"/>
        <v>0</v>
      </c>
      <c r="AM39">
        <f t="shared" si="5"/>
        <v>27</v>
      </c>
      <c r="AN39">
        <f t="shared" si="6"/>
        <v>34</v>
      </c>
      <c r="AO39">
        <f t="shared" si="7"/>
        <v>0</v>
      </c>
      <c r="AP39">
        <f t="shared" si="8"/>
        <v>61</v>
      </c>
    </row>
    <row r="40" spans="1:42" ht="15.75" hidden="1" customHeight="1" x14ac:dyDescent="0.3">
      <c r="A40" s="16"/>
      <c r="B40" s="55">
        <v>17</v>
      </c>
      <c r="C40" s="56" t="s">
        <v>58</v>
      </c>
      <c r="D40" s="55">
        <v>1</v>
      </c>
      <c r="E40" s="55" t="s">
        <v>21</v>
      </c>
      <c r="F40" s="18" t="s">
        <v>21</v>
      </c>
      <c r="G40" s="18" t="s">
        <v>21</v>
      </c>
      <c r="H40" s="18" t="s">
        <v>21</v>
      </c>
      <c r="I40" s="18" t="s">
        <v>21</v>
      </c>
      <c r="J40" s="18" t="s">
        <v>20</v>
      </c>
      <c r="K40" s="18" t="s">
        <v>21</v>
      </c>
      <c r="L40" s="18" t="s">
        <v>21</v>
      </c>
      <c r="M40" s="18" t="s">
        <v>21</v>
      </c>
      <c r="N40" s="18" t="s">
        <v>20</v>
      </c>
      <c r="O40" s="18" t="s">
        <v>20</v>
      </c>
      <c r="P40" s="18" t="s">
        <v>21</v>
      </c>
      <c r="Q40" s="18" t="s">
        <v>21</v>
      </c>
      <c r="R40" s="18" t="s">
        <v>21</v>
      </c>
      <c r="S40" s="18" t="s">
        <v>20</v>
      </c>
      <c r="T40" s="18" t="s">
        <v>21</v>
      </c>
      <c r="U40" s="18" t="s">
        <v>20</v>
      </c>
      <c r="V40" s="18" t="s">
        <v>20</v>
      </c>
      <c r="W40" s="18" t="s">
        <v>20</v>
      </c>
      <c r="X40" s="18" t="s">
        <v>20</v>
      </c>
      <c r="Y40" s="19" t="s">
        <v>21</v>
      </c>
      <c r="Z40" s="18" t="s">
        <v>20</v>
      </c>
      <c r="AA40" s="28" t="s">
        <v>20</v>
      </c>
      <c r="AB40" s="28" t="s">
        <v>20</v>
      </c>
      <c r="AC40" s="20" t="s">
        <v>21</v>
      </c>
      <c r="AD40" s="29" t="s">
        <v>21</v>
      </c>
      <c r="AE40" s="29" t="s">
        <v>21</v>
      </c>
      <c r="AG40">
        <f t="shared" si="0"/>
        <v>0</v>
      </c>
      <c r="AH40">
        <f t="shared" si="1"/>
        <v>11</v>
      </c>
      <c r="AI40">
        <f t="shared" si="2"/>
        <v>15</v>
      </c>
      <c r="AJ40">
        <f t="shared" si="3"/>
        <v>0</v>
      </c>
      <c r="AL40">
        <f t="shared" si="4"/>
        <v>0</v>
      </c>
      <c r="AM40">
        <f t="shared" si="5"/>
        <v>33</v>
      </c>
      <c r="AN40">
        <f t="shared" si="6"/>
        <v>30</v>
      </c>
      <c r="AO40">
        <f t="shared" si="7"/>
        <v>0</v>
      </c>
      <c r="AP40">
        <f t="shared" si="8"/>
        <v>63</v>
      </c>
    </row>
    <row r="41" spans="1:42" ht="15.75" hidden="1" customHeight="1" x14ac:dyDescent="0.3">
      <c r="A41" s="16"/>
      <c r="B41" s="55">
        <v>18</v>
      </c>
      <c r="C41" s="56" t="s">
        <v>59</v>
      </c>
      <c r="D41" s="55">
        <v>1</v>
      </c>
      <c r="E41" s="55" t="s">
        <v>21</v>
      </c>
      <c r="F41" s="18" t="s">
        <v>20</v>
      </c>
      <c r="G41" s="18" t="s">
        <v>21</v>
      </c>
      <c r="H41" s="18" t="s">
        <v>21</v>
      </c>
      <c r="I41" s="18" t="s">
        <v>21</v>
      </c>
      <c r="J41" s="18" t="s">
        <v>21</v>
      </c>
      <c r="K41" s="18" t="s">
        <v>21</v>
      </c>
      <c r="L41" s="18" t="s">
        <v>21</v>
      </c>
      <c r="M41" s="18" t="s">
        <v>20</v>
      </c>
      <c r="N41" s="18" t="s">
        <v>20</v>
      </c>
      <c r="O41" s="18" t="s">
        <v>20</v>
      </c>
      <c r="P41" s="18" t="s">
        <v>20</v>
      </c>
      <c r="Q41" s="18" t="s">
        <v>21</v>
      </c>
      <c r="R41" s="18" t="s">
        <v>20</v>
      </c>
      <c r="S41" s="18" t="s">
        <v>20</v>
      </c>
      <c r="T41" s="18" t="s">
        <v>20</v>
      </c>
      <c r="U41" s="18" t="s">
        <v>21</v>
      </c>
      <c r="V41" s="18" t="s">
        <v>21</v>
      </c>
      <c r="W41" s="18" t="s">
        <v>20</v>
      </c>
      <c r="X41" s="18" t="s">
        <v>20</v>
      </c>
      <c r="Y41" s="19" t="s">
        <v>21</v>
      </c>
      <c r="Z41" s="18" t="s">
        <v>20</v>
      </c>
      <c r="AA41" s="28" t="s">
        <v>20</v>
      </c>
      <c r="AB41" s="28" t="s">
        <v>20</v>
      </c>
      <c r="AC41" s="20" t="s">
        <v>21</v>
      </c>
      <c r="AD41" s="29" t="s">
        <v>20</v>
      </c>
      <c r="AE41" s="29" t="s">
        <v>21</v>
      </c>
      <c r="AG41">
        <f t="shared" si="0"/>
        <v>0</v>
      </c>
      <c r="AH41">
        <f t="shared" si="1"/>
        <v>14</v>
      </c>
      <c r="AI41">
        <f t="shared" si="2"/>
        <v>12</v>
      </c>
      <c r="AJ41">
        <f t="shared" si="3"/>
        <v>0</v>
      </c>
      <c r="AL41">
        <f t="shared" si="4"/>
        <v>0</v>
      </c>
      <c r="AM41">
        <f t="shared" si="5"/>
        <v>42</v>
      </c>
      <c r="AN41">
        <f t="shared" si="6"/>
        <v>24</v>
      </c>
      <c r="AO41">
        <f t="shared" si="7"/>
        <v>0</v>
      </c>
      <c r="AP41">
        <f t="shared" si="8"/>
        <v>66</v>
      </c>
    </row>
    <row r="42" spans="1:42" ht="15.75" hidden="1" customHeight="1" x14ac:dyDescent="0.3">
      <c r="A42" s="16"/>
      <c r="B42" s="55">
        <v>19</v>
      </c>
      <c r="C42" s="56" t="s">
        <v>60</v>
      </c>
      <c r="D42" s="55">
        <v>1</v>
      </c>
      <c r="E42" s="55" t="s">
        <v>21</v>
      </c>
      <c r="F42" s="18" t="s">
        <v>20</v>
      </c>
      <c r="G42" s="18" t="s">
        <v>21</v>
      </c>
      <c r="H42" s="18" t="s">
        <v>21</v>
      </c>
      <c r="I42" s="18" t="s">
        <v>21</v>
      </c>
      <c r="J42" s="18" t="s">
        <v>21</v>
      </c>
      <c r="K42" s="18" t="s">
        <v>21</v>
      </c>
      <c r="L42" s="18" t="s">
        <v>21</v>
      </c>
      <c r="M42" s="18" t="s">
        <v>21</v>
      </c>
      <c r="N42" s="18" t="s">
        <v>20</v>
      </c>
      <c r="O42" s="18" t="s">
        <v>20</v>
      </c>
      <c r="P42" s="18" t="s">
        <v>21</v>
      </c>
      <c r="Q42" s="18" t="s">
        <v>21</v>
      </c>
      <c r="R42" s="18" t="s">
        <v>21</v>
      </c>
      <c r="S42" s="18" t="s">
        <v>20</v>
      </c>
      <c r="T42" s="18" t="s">
        <v>21</v>
      </c>
      <c r="U42" s="18" t="s">
        <v>20</v>
      </c>
      <c r="V42" s="18" t="s">
        <v>21</v>
      </c>
      <c r="W42" s="18" t="s">
        <v>20</v>
      </c>
      <c r="X42" s="18" t="s">
        <v>20</v>
      </c>
      <c r="Y42" s="19" t="s">
        <v>20</v>
      </c>
      <c r="Z42" s="18" t="s">
        <v>20</v>
      </c>
      <c r="AA42" s="28" t="s">
        <v>21</v>
      </c>
      <c r="AB42" s="28" t="s">
        <v>23</v>
      </c>
      <c r="AC42" s="20" t="s">
        <v>21</v>
      </c>
      <c r="AD42" s="29" t="s">
        <v>21</v>
      </c>
      <c r="AE42" s="29" t="s">
        <v>21</v>
      </c>
      <c r="AG42">
        <f t="shared" si="0"/>
        <v>0</v>
      </c>
      <c r="AH42">
        <f t="shared" si="1"/>
        <v>9</v>
      </c>
      <c r="AI42">
        <f t="shared" si="2"/>
        <v>16</v>
      </c>
      <c r="AJ42">
        <f t="shared" si="3"/>
        <v>1</v>
      </c>
      <c r="AL42">
        <f t="shared" si="4"/>
        <v>0</v>
      </c>
      <c r="AM42">
        <f t="shared" si="5"/>
        <v>27</v>
      </c>
      <c r="AN42">
        <f t="shared" si="6"/>
        <v>32</v>
      </c>
      <c r="AO42">
        <f t="shared" si="7"/>
        <v>1</v>
      </c>
      <c r="AP42">
        <f t="shared" si="8"/>
        <v>60</v>
      </c>
    </row>
    <row r="43" spans="1:42" ht="15.75" hidden="1" customHeight="1" thickBot="1" x14ac:dyDescent="0.35">
      <c r="A43" s="16"/>
      <c r="B43" s="57">
        <v>20</v>
      </c>
      <c r="C43" s="58" t="s">
        <v>61</v>
      </c>
      <c r="D43" s="57">
        <v>1</v>
      </c>
      <c r="E43" s="57" t="s">
        <v>21</v>
      </c>
      <c r="F43" s="21" t="s">
        <v>20</v>
      </c>
      <c r="G43" s="21" t="s">
        <v>21</v>
      </c>
      <c r="H43" s="21" t="s">
        <v>20</v>
      </c>
      <c r="I43" s="21" t="s">
        <v>21</v>
      </c>
      <c r="J43" s="21" t="s">
        <v>21</v>
      </c>
      <c r="K43" s="21" t="s">
        <v>21</v>
      </c>
      <c r="L43" s="21" t="s">
        <v>21</v>
      </c>
      <c r="M43" s="21" t="s">
        <v>20</v>
      </c>
      <c r="N43" s="21" t="s">
        <v>20</v>
      </c>
      <c r="O43" s="21" t="s">
        <v>20</v>
      </c>
      <c r="P43" s="21" t="s">
        <v>21</v>
      </c>
      <c r="Q43" s="21" t="s">
        <v>21</v>
      </c>
      <c r="R43" s="21" t="s">
        <v>21</v>
      </c>
      <c r="S43" s="21" t="s">
        <v>23</v>
      </c>
      <c r="T43" s="21" t="s">
        <v>21</v>
      </c>
      <c r="U43" s="21" t="s">
        <v>21</v>
      </c>
      <c r="V43" s="21" t="s">
        <v>20</v>
      </c>
      <c r="W43" s="21" t="s">
        <v>20</v>
      </c>
      <c r="X43" s="21" t="s">
        <v>20</v>
      </c>
      <c r="Y43" s="22" t="s">
        <v>21</v>
      </c>
      <c r="Z43" s="21" t="s">
        <v>20</v>
      </c>
      <c r="AA43" s="30" t="s">
        <v>20</v>
      </c>
      <c r="AB43" s="30" t="s">
        <v>20</v>
      </c>
      <c r="AC43" s="23" t="s">
        <v>21</v>
      </c>
      <c r="AD43" s="31" t="s">
        <v>21</v>
      </c>
      <c r="AE43" s="31" t="s">
        <v>21</v>
      </c>
      <c r="AG43">
        <f t="shared" si="0"/>
        <v>0</v>
      </c>
      <c r="AH43">
        <f t="shared" si="1"/>
        <v>11</v>
      </c>
      <c r="AI43">
        <f t="shared" si="2"/>
        <v>14</v>
      </c>
      <c r="AJ43">
        <f t="shared" si="3"/>
        <v>1</v>
      </c>
      <c r="AL43">
        <f t="shared" si="4"/>
        <v>0</v>
      </c>
      <c r="AM43">
        <f t="shared" si="5"/>
        <v>33</v>
      </c>
      <c r="AN43">
        <f t="shared" si="6"/>
        <v>28</v>
      </c>
      <c r="AO43">
        <f t="shared" si="7"/>
        <v>1</v>
      </c>
      <c r="AP43">
        <f t="shared" si="8"/>
        <v>62</v>
      </c>
    </row>
    <row r="44" spans="1:42" ht="15.75" hidden="1" customHeight="1" x14ac:dyDescent="0.3">
      <c r="A44" s="16"/>
      <c r="B44" s="59">
        <v>18</v>
      </c>
      <c r="C44" s="60" t="s">
        <v>79</v>
      </c>
      <c r="D44" s="59">
        <v>2</v>
      </c>
      <c r="E44" s="59" t="s">
        <v>20</v>
      </c>
      <c r="F44" s="24" t="s">
        <v>20</v>
      </c>
      <c r="G44" s="24" t="s">
        <v>20</v>
      </c>
      <c r="H44" s="24" t="s">
        <v>20</v>
      </c>
      <c r="I44" s="24" t="s">
        <v>20</v>
      </c>
      <c r="J44" s="24" t="s">
        <v>20</v>
      </c>
      <c r="K44" s="24" t="s">
        <v>20</v>
      </c>
      <c r="L44" s="24" t="s">
        <v>20</v>
      </c>
      <c r="M44" s="24" t="s">
        <v>20</v>
      </c>
      <c r="N44" s="24" t="s">
        <v>20</v>
      </c>
      <c r="O44" s="24" t="s">
        <v>20</v>
      </c>
      <c r="P44" s="24" t="s">
        <v>20</v>
      </c>
      <c r="Q44" s="24" t="s">
        <v>20</v>
      </c>
      <c r="R44" s="24" t="s">
        <v>20</v>
      </c>
      <c r="S44" s="24" t="s">
        <v>20</v>
      </c>
      <c r="T44" s="24" t="s">
        <v>20</v>
      </c>
      <c r="U44" s="24" t="s">
        <v>20</v>
      </c>
      <c r="V44" s="39" t="s">
        <v>20</v>
      </c>
      <c r="W44" s="39" t="s">
        <v>20</v>
      </c>
      <c r="X44" s="39" t="s">
        <v>20</v>
      </c>
      <c r="Y44" s="24" t="s">
        <v>39</v>
      </c>
      <c r="Z44" s="24" t="s">
        <v>39</v>
      </c>
      <c r="AA44" s="27" t="s">
        <v>20</v>
      </c>
      <c r="AB44" s="27" t="s">
        <v>20</v>
      </c>
      <c r="AC44" s="27" t="s">
        <v>20</v>
      </c>
      <c r="AD44" s="34" t="s">
        <v>20</v>
      </c>
      <c r="AE44" s="34" t="s">
        <v>21</v>
      </c>
      <c r="AG44">
        <f>+COUNTIF(F44:AE44,"AD")</f>
        <v>2</v>
      </c>
      <c r="AH44">
        <f>+COUNTIF(F44:AE44,"A")</f>
        <v>23</v>
      </c>
      <c r="AI44">
        <f>+COUNTIF(F44:AE44,"b")</f>
        <v>1</v>
      </c>
      <c r="AJ44">
        <f>+COUNTIF(F44:AE44,"c")</f>
        <v>0</v>
      </c>
      <c r="AL44">
        <f>+$AG$5*AG44</f>
        <v>8</v>
      </c>
      <c r="AM44">
        <f>+$AH$5*AH44</f>
        <v>69</v>
      </c>
      <c r="AN44">
        <f>+$AI$5*AI44</f>
        <v>2</v>
      </c>
      <c r="AO44">
        <f>+$AJ$5*AJ44</f>
        <v>0</v>
      </c>
      <c r="AP44">
        <f>+SUM(AL44:AO44)</f>
        <v>79</v>
      </c>
    </row>
    <row r="45" spans="1:42" ht="15.75" hidden="1" customHeight="1" x14ac:dyDescent="0.3">
      <c r="A45" s="16"/>
      <c r="B45" s="55">
        <v>23</v>
      </c>
      <c r="C45" s="56" t="s">
        <v>84</v>
      </c>
      <c r="D45" s="55">
        <v>2</v>
      </c>
      <c r="E45" s="55" t="s">
        <v>20</v>
      </c>
      <c r="F45" s="18" t="s">
        <v>20</v>
      </c>
      <c r="G45" s="18" t="s">
        <v>20</v>
      </c>
      <c r="H45" s="18" t="s">
        <v>20</v>
      </c>
      <c r="I45" s="18" t="s">
        <v>20</v>
      </c>
      <c r="J45" s="18" t="s">
        <v>20</v>
      </c>
      <c r="K45" s="18" t="s">
        <v>20</v>
      </c>
      <c r="L45" s="18" t="s">
        <v>20</v>
      </c>
      <c r="M45" s="18" t="s">
        <v>20</v>
      </c>
      <c r="N45" s="18" t="s">
        <v>20</v>
      </c>
      <c r="O45" s="18" t="s">
        <v>20</v>
      </c>
      <c r="P45" s="18" t="s">
        <v>20</v>
      </c>
      <c r="Q45" s="18" t="s">
        <v>20</v>
      </c>
      <c r="R45" s="18" t="s">
        <v>20</v>
      </c>
      <c r="S45" s="18" t="s">
        <v>20</v>
      </c>
      <c r="T45" s="18" t="s">
        <v>20</v>
      </c>
      <c r="U45" s="18" t="s">
        <v>20</v>
      </c>
      <c r="V45" s="37" t="s">
        <v>20</v>
      </c>
      <c r="W45" s="37" t="s">
        <v>20</v>
      </c>
      <c r="X45" s="37" t="s">
        <v>20</v>
      </c>
      <c r="Y45" s="18" t="s">
        <v>20</v>
      </c>
      <c r="Z45" s="18" t="s">
        <v>20</v>
      </c>
      <c r="AA45" s="20" t="s">
        <v>20</v>
      </c>
      <c r="AB45" s="20" t="s">
        <v>20</v>
      </c>
      <c r="AC45" s="20" t="s">
        <v>20</v>
      </c>
      <c r="AD45" s="29" t="s">
        <v>20</v>
      </c>
      <c r="AE45" s="29" t="s">
        <v>21</v>
      </c>
      <c r="AG45">
        <f>+COUNTIF(F45:AE45,"AD")</f>
        <v>0</v>
      </c>
      <c r="AH45">
        <f>+COUNTIF(F45:AE45,"A")</f>
        <v>25</v>
      </c>
      <c r="AI45">
        <f>+COUNTIF(F45:AE45,"b")</f>
        <v>1</v>
      </c>
      <c r="AJ45">
        <f>+COUNTIF(F45:AE45,"c")</f>
        <v>0</v>
      </c>
      <c r="AL45">
        <f>+$AG$5*AG45</f>
        <v>0</v>
      </c>
      <c r="AM45">
        <f>+$AH$5*AH45</f>
        <v>75</v>
      </c>
      <c r="AN45">
        <f>+$AI$5*AI45</f>
        <v>2</v>
      </c>
      <c r="AO45">
        <f>+$AJ$5*AJ45</f>
        <v>0</v>
      </c>
      <c r="AP45">
        <f>+SUM(AL45:AO45)</f>
        <v>77</v>
      </c>
    </row>
    <row r="46" spans="1:42" ht="15.75" hidden="1" customHeight="1" x14ac:dyDescent="0.3">
      <c r="A46" s="16"/>
      <c r="B46" s="55">
        <v>6</v>
      </c>
      <c r="C46" s="56" t="s">
        <v>67</v>
      </c>
      <c r="D46" s="55">
        <v>2</v>
      </c>
      <c r="E46" s="55" t="s">
        <v>20</v>
      </c>
      <c r="F46" s="18" t="s">
        <v>20</v>
      </c>
      <c r="G46" s="18" t="s">
        <v>21</v>
      </c>
      <c r="H46" s="18" t="s">
        <v>20</v>
      </c>
      <c r="I46" s="18" t="s">
        <v>20</v>
      </c>
      <c r="J46" s="18" t="s">
        <v>20</v>
      </c>
      <c r="K46" s="18" t="s">
        <v>20</v>
      </c>
      <c r="L46" s="18" t="s">
        <v>20</v>
      </c>
      <c r="M46" s="18" t="s">
        <v>20</v>
      </c>
      <c r="N46" s="18" t="s">
        <v>20</v>
      </c>
      <c r="O46" s="18" t="s">
        <v>20</v>
      </c>
      <c r="P46" s="18" t="s">
        <v>20</v>
      </c>
      <c r="Q46" s="18" t="s">
        <v>20</v>
      </c>
      <c r="R46" s="18" t="s">
        <v>20</v>
      </c>
      <c r="S46" s="18" t="s">
        <v>20</v>
      </c>
      <c r="T46" s="18" t="s">
        <v>20</v>
      </c>
      <c r="U46" s="18" t="s">
        <v>20</v>
      </c>
      <c r="V46" s="37" t="s">
        <v>20</v>
      </c>
      <c r="W46" s="37" t="s">
        <v>20</v>
      </c>
      <c r="X46" s="37" t="s">
        <v>20</v>
      </c>
      <c r="Y46" s="18" t="s">
        <v>20</v>
      </c>
      <c r="Z46" s="18" t="s">
        <v>20</v>
      </c>
      <c r="AA46" s="20" t="s">
        <v>20</v>
      </c>
      <c r="AB46" s="20" t="s">
        <v>20</v>
      </c>
      <c r="AC46" s="20" t="s">
        <v>20</v>
      </c>
      <c r="AD46" s="29" t="s">
        <v>20</v>
      </c>
      <c r="AE46" s="29" t="s">
        <v>21</v>
      </c>
      <c r="AG46">
        <f>+COUNTIF(F46:AE46,"AD")</f>
        <v>0</v>
      </c>
      <c r="AH46">
        <f>+COUNTIF(F46:AE46,"A")</f>
        <v>24</v>
      </c>
      <c r="AI46">
        <f>+COUNTIF(F46:AE46,"b")</f>
        <v>2</v>
      </c>
      <c r="AJ46">
        <f>+COUNTIF(F46:AE46,"c")</f>
        <v>0</v>
      </c>
      <c r="AL46">
        <f>+$AG$5*AG46</f>
        <v>0</v>
      </c>
      <c r="AM46">
        <f>+$AH$5*AH46</f>
        <v>72</v>
      </c>
      <c r="AN46">
        <f>+$AI$5*AI46</f>
        <v>4</v>
      </c>
      <c r="AO46">
        <f>+$AJ$5*AJ46</f>
        <v>0</v>
      </c>
      <c r="AP46">
        <f>+SUM(AL46:AO46)</f>
        <v>76</v>
      </c>
    </row>
    <row r="47" spans="1:42" ht="15.75" hidden="1" customHeight="1" x14ac:dyDescent="0.3">
      <c r="A47" s="16"/>
      <c r="B47" s="55">
        <v>8</v>
      </c>
      <c r="C47" s="56" t="s">
        <v>69</v>
      </c>
      <c r="D47" s="55">
        <v>2</v>
      </c>
      <c r="E47" s="55" t="s">
        <v>20</v>
      </c>
      <c r="F47" s="18" t="s">
        <v>21</v>
      </c>
      <c r="G47" s="18" t="s">
        <v>21</v>
      </c>
      <c r="H47" s="18" t="s">
        <v>21</v>
      </c>
      <c r="I47" s="18" t="s">
        <v>21</v>
      </c>
      <c r="J47" s="18" t="s">
        <v>20</v>
      </c>
      <c r="K47" s="18" t="s">
        <v>20</v>
      </c>
      <c r="L47" s="18" t="s">
        <v>20</v>
      </c>
      <c r="M47" s="18" t="s">
        <v>21</v>
      </c>
      <c r="N47" s="18" t="s">
        <v>20</v>
      </c>
      <c r="O47" s="18" t="s">
        <v>20</v>
      </c>
      <c r="P47" s="18" t="s">
        <v>20</v>
      </c>
      <c r="Q47" s="18" t="s">
        <v>20</v>
      </c>
      <c r="R47" s="18" t="s">
        <v>20</v>
      </c>
      <c r="S47" s="18" t="s">
        <v>20</v>
      </c>
      <c r="T47" s="18" t="s">
        <v>20</v>
      </c>
      <c r="U47" s="18" t="s">
        <v>21</v>
      </c>
      <c r="V47" s="37" t="s">
        <v>20</v>
      </c>
      <c r="W47" s="37" t="s">
        <v>20</v>
      </c>
      <c r="X47" s="37" t="s">
        <v>20</v>
      </c>
      <c r="Y47" s="18" t="s">
        <v>20</v>
      </c>
      <c r="Z47" s="18" t="s">
        <v>20</v>
      </c>
      <c r="AA47" s="20" t="s">
        <v>20</v>
      </c>
      <c r="AB47" s="20" t="s">
        <v>20</v>
      </c>
      <c r="AC47" s="20" t="s">
        <v>20</v>
      </c>
      <c r="AD47" s="29" t="s">
        <v>21</v>
      </c>
      <c r="AE47" s="29" t="s">
        <v>21</v>
      </c>
      <c r="AG47">
        <f>+COUNTIF(F47:AE47,"AD")</f>
        <v>0</v>
      </c>
      <c r="AH47">
        <f>+COUNTIF(F47:AE47,"A")</f>
        <v>18</v>
      </c>
      <c r="AI47">
        <f>+COUNTIF(F47:AE47,"b")</f>
        <v>8</v>
      </c>
      <c r="AJ47">
        <f>+COUNTIF(F47:AE47,"c")</f>
        <v>0</v>
      </c>
      <c r="AL47">
        <f>+$AG$5*AG47</f>
        <v>0</v>
      </c>
      <c r="AM47">
        <f>+$AH$5*AH47</f>
        <v>54</v>
      </c>
      <c r="AN47">
        <f>+$AI$5*AI47</f>
        <v>16</v>
      </c>
      <c r="AO47">
        <f>+$AJ$5*AJ47</f>
        <v>0</v>
      </c>
      <c r="AP47">
        <f>+SUM(AL47:AO47)</f>
        <v>70</v>
      </c>
    </row>
    <row r="48" spans="1:42" ht="15.75" hidden="1" customHeight="1" x14ac:dyDescent="0.3">
      <c r="A48" s="16"/>
      <c r="B48" s="55">
        <v>11</v>
      </c>
      <c r="C48" s="56" t="s">
        <v>72</v>
      </c>
      <c r="D48" s="55">
        <v>2</v>
      </c>
      <c r="E48" s="55" t="s">
        <v>20</v>
      </c>
      <c r="F48" s="18" t="s">
        <v>20</v>
      </c>
      <c r="G48" s="18" t="s">
        <v>20</v>
      </c>
      <c r="H48" s="18" t="s">
        <v>20</v>
      </c>
      <c r="I48" s="18" t="s">
        <v>20</v>
      </c>
      <c r="J48" s="18" t="s">
        <v>20</v>
      </c>
      <c r="K48" s="18" t="s">
        <v>20</v>
      </c>
      <c r="L48" s="18" t="s">
        <v>20</v>
      </c>
      <c r="M48" s="18" t="s">
        <v>20</v>
      </c>
      <c r="N48" s="18" t="s">
        <v>20</v>
      </c>
      <c r="O48" s="18" t="s">
        <v>20</v>
      </c>
      <c r="P48" s="18" t="s">
        <v>20</v>
      </c>
      <c r="Q48" s="18" t="s">
        <v>20</v>
      </c>
      <c r="R48" s="18" t="s">
        <v>20</v>
      </c>
      <c r="S48" s="18" t="s">
        <v>20</v>
      </c>
      <c r="T48" s="18" t="s">
        <v>21</v>
      </c>
      <c r="U48" s="18" t="s">
        <v>20</v>
      </c>
      <c r="V48" s="37" t="s">
        <v>21</v>
      </c>
      <c r="W48" s="37" t="s">
        <v>20</v>
      </c>
      <c r="X48" s="37" t="s">
        <v>21</v>
      </c>
      <c r="Y48" s="18" t="s">
        <v>20</v>
      </c>
      <c r="Z48" s="18" t="s">
        <v>20</v>
      </c>
      <c r="AA48" s="20" t="s">
        <v>20</v>
      </c>
      <c r="AB48" s="20" t="s">
        <v>20</v>
      </c>
      <c r="AC48" s="20" t="s">
        <v>20</v>
      </c>
      <c r="AD48" s="29" t="s">
        <v>55</v>
      </c>
      <c r="AE48" s="29" t="s">
        <v>55</v>
      </c>
      <c r="AG48">
        <f>+COUNTIF(F48:AE48,"AD")</f>
        <v>0</v>
      </c>
      <c r="AH48">
        <f>+COUNTIF(F48:AE48,"A")</f>
        <v>21</v>
      </c>
      <c r="AI48">
        <f>+COUNTIF(F48:AE48,"b")</f>
        <v>3</v>
      </c>
      <c r="AJ48">
        <f>+COUNTIF(F48:AE48,"c")</f>
        <v>0</v>
      </c>
      <c r="AL48">
        <f>+$AG$5*AG48</f>
        <v>0</v>
      </c>
      <c r="AM48">
        <f>+$AH$5*AH48</f>
        <v>63</v>
      </c>
      <c r="AN48">
        <f>+$AI$5*AI48</f>
        <v>6</v>
      </c>
      <c r="AO48">
        <f>+$AJ$5*AJ48</f>
        <v>0</v>
      </c>
      <c r="AP48">
        <f>+SUM(AL48:AO48)</f>
        <v>69</v>
      </c>
    </row>
    <row r="49" spans="1:42" ht="15.75" hidden="1" customHeight="1" x14ac:dyDescent="0.3">
      <c r="A49" s="16"/>
      <c r="B49" s="55">
        <v>20</v>
      </c>
      <c r="C49" s="56" t="s">
        <v>81</v>
      </c>
      <c r="D49" s="55">
        <v>2</v>
      </c>
      <c r="E49" s="55" t="s">
        <v>20</v>
      </c>
      <c r="F49" s="18" t="s">
        <v>21</v>
      </c>
      <c r="G49" s="18" t="s">
        <v>21</v>
      </c>
      <c r="H49" s="18" t="s">
        <v>21</v>
      </c>
      <c r="I49" s="18" t="s">
        <v>21</v>
      </c>
      <c r="J49" s="18" t="s">
        <v>20</v>
      </c>
      <c r="K49" s="18" t="s">
        <v>21</v>
      </c>
      <c r="L49" s="18" t="s">
        <v>20</v>
      </c>
      <c r="M49" s="18" t="s">
        <v>20</v>
      </c>
      <c r="N49" s="18" t="s">
        <v>20</v>
      </c>
      <c r="O49" s="18" t="s">
        <v>20</v>
      </c>
      <c r="P49" s="18" t="s">
        <v>20</v>
      </c>
      <c r="Q49" s="18" t="s">
        <v>20</v>
      </c>
      <c r="R49" s="18" t="s">
        <v>20</v>
      </c>
      <c r="S49" s="18" t="s">
        <v>20</v>
      </c>
      <c r="T49" s="18" t="s">
        <v>21</v>
      </c>
      <c r="U49" s="18" t="s">
        <v>20</v>
      </c>
      <c r="V49" s="37" t="s">
        <v>20</v>
      </c>
      <c r="W49" s="37" t="s">
        <v>20</v>
      </c>
      <c r="X49" s="37" t="s">
        <v>21</v>
      </c>
      <c r="Y49" s="18" t="s">
        <v>20</v>
      </c>
      <c r="Z49" s="18" t="s">
        <v>20</v>
      </c>
      <c r="AA49" s="20" t="s">
        <v>20</v>
      </c>
      <c r="AB49" s="20" t="s">
        <v>20</v>
      </c>
      <c r="AC49" s="20" t="s">
        <v>20</v>
      </c>
      <c r="AD49" s="29" t="s">
        <v>21</v>
      </c>
      <c r="AE49" s="29" t="s">
        <v>21</v>
      </c>
      <c r="AG49">
        <f>+COUNTIF(F49:AE49,"AD")</f>
        <v>0</v>
      </c>
      <c r="AH49">
        <f>+COUNTIF(F49:AE49,"A")</f>
        <v>17</v>
      </c>
      <c r="AI49">
        <f>+COUNTIF(F49:AE49,"b")</f>
        <v>9</v>
      </c>
      <c r="AJ49">
        <f>+COUNTIF(F49:AE49,"c")</f>
        <v>0</v>
      </c>
      <c r="AL49">
        <f>+$AG$5*AG49</f>
        <v>0</v>
      </c>
      <c r="AM49">
        <f>+$AH$5*AH49</f>
        <v>51</v>
      </c>
      <c r="AN49">
        <f>+$AI$5*AI49</f>
        <v>18</v>
      </c>
      <c r="AO49">
        <f>+$AJ$5*AJ49</f>
        <v>0</v>
      </c>
      <c r="AP49">
        <f>+SUM(AL49:AO49)</f>
        <v>69</v>
      </c>
    </row>
    <row r="50" spans="1:42" ht="15.75" hidden="1" customHeight="1" x14ac:dyDescent="0.3">
      <c r="A50" s="16"/>
      <c r="B50" s="55">
        <v>2</v>
      </c>
      <c r="C50" s="56" t="s">
        <v>63</v>
      </c>
      <c r="D50" s="55">
        <v>2</v>
      </c>
      <c r="E50" s="55" t="s">
        <v>20</v>
      </c>
      <c r="F50" s="18" t="s">
        <v>21</v>
      </c>
      <c r="G50" s="18" t="s">
        <v>21</v>
      </c>
      <c r="H50" s="18" t="s">
        <v>23</v>
      </c>
      <c r="I50" s="18" t="s">
        <v>21</v>
      </c>
      <c r="J50" s="18" t="s">
        <v>21</v>
      </c>
      <c r="K50" s="18" t="s">
        <v>23</v>
      </c>
      <c r="L50" s="18" t="s">
        <v>23</v>
      </c>
      <c r="M50" s="18" t="s">
        <v>20</v>
      </c>
      <c r="N50" s="18" t="s">
        <v>20</v>
      </c>
      <c r="O50" s="18" t="s">
        <v>20</v>
      </c>
      <c r="P50" s="18" t="s">
        <v>20</v>
      </c>
      <c r="Q50" s="18" t="s">
        <v>20</v>
      </c>
      <c r="R50" s="18" t="s">
        <v>20</v>
      </c>
      <c r="S50" s="18" t="s">
        <v>21</v>
      </c>
      <c r="T50" s="18" t="s">
        <v>20</v>
      </c>
      <c r="U50" s="18" t="s">
        <v>20</v>
      </c>
      <c r="V50" s="35" t="s">
        <v>20</v>
      </c>
      <c r="W50" s="35" t="s">
        <v>20</v>
      </c>
      <c r="X50" s="36" t="s">
        <v>20</v>
      </c>
      <c r="Y50" s="19" t="s">
        <v>20</v>
      </c>
      <c r="Z50" s="18" t="s">
        <v>20</v>
      </c>
      <c r="AA50" s="20" t="s">
        <v>21</v>
      </c>
      <c r="AB50" s="20" t="s">
        <v>21</v>
      </c>
      <c r="AC50" s="20" t="s">
        <v>21</v>
      </c>
      <c r="AD50" s="29" t="s">
        <v>20</v>
      </c>
      <c r="AE50" s="29" t="s">
        <v>21</v>
      </c>
      <c r="AG50">
        <f>+COUNTIF(F50:AE50,"AD")</f>
        <v>0</v>
      </c>
      <c r="AH50">
        <f>+COUNTIF(F50:AE50,"A")</f>
        <v>14</v>
      </c>
      <c r="AI50">
        <f>+COUNTIF(F50:AE50,"b")</f>
        <v>9</v>
      </c>
      <c r="AJ50">
        <f>+COUNTIF(F50:AE50,"c")</f>
        <v>3</v>
      </c>
      <c r="AL50">
        <f>+$AG$5*AG50</f>
        <v>0</v>
      </c>
      <c r="AM50">
        <f>+$AH$5*AH50</f>
        <v>42</v>
      </c>
      <c r="AN50">
        <f>+$AI$5*AI50</f>
        <v>18</v>
      </c>
      <c r="AO50">
        <f>+$AJ$5*AJ50</f>
        <v>3</v>
      </c>
      <c r="AP50">
        <f>+SUM(AL50:AO50)</f>
        <v>63</v>
      </c>
    </row>
    <row r="51" spans="1:42" ht="15.75" hidden="1" customHeight="1" x14ac:dyDescent="0.3">
      <c r="A51" s="16"/>
      <c r="B51" s="55">
        <v>7</v>
      </c>
      <c r="C51" s="56" t="s">
        <v>68</v>
      </c>
      <c r="D51" s="55">
        <v>2</v>
      </c>
      <c r="E51" s="55" t="s">
        <v>20</v>
      </c>
      <c r="F51" s="18" t="s">
        <v>21</v>
      </c>
      <c r="G51" s="18" t="s">
        <v>21</v>
      </c>
      <c r="H51" s="18" t="s">
        <v>21</v>
      </c>
      <c r="I51" s="18" t="s">
        <v>21</v>
      </c>
      <c r="J51" s="18" t="s">
        <v>20</v>
      </c>
      <c r="K51" s="18" t="s">
        <v>21</v>
      </c>
      <c r="L51" s="18" t="s">
        <v>21</v>
      </c>
      <c r="M51" s="18" t="s">
        <v>21</v>
      </c>
      <c r="N51" s="18" t="s">
        <v>20</v>
      </c>
      <c r="O51" s="18" t="s">
        <v>23</v>
      </c>
      <c r="P51" s="18" t="s">
        <v>21</v>
      </c>
      <c r="Q51" s="18" t="s">
        <v>21</v>
      </c>
      <c r="R51" s="18" t="s">
        <v>21</v>
      </c>
      <c r="S51" s="18" t="s">
        <v>21</v>
      </c>
      <c r="T51" s="18" t="s">
        <v>20</v>
      </c>
      <c r="U51" s="18" t="s">
        <v>20</v>
      </c>
      <c r="V51" s="37" t="s">
        <v>20</v>
      </c>
      <c r="W51" s="37" t="s">
        <v>20</v>
      </c>
      <c r="X51" s="37" t="s">
        <v>20</v>
      </c>
      <c r="Y51" s="18" t="s">
        <v>20</v>
      </c>
      <c r="Z51" s="18" t="s">
        <v>20</v>
      </c>
      <c r="AA51" s="20" t="s">
        <v>20</v>
      </c>
      <c r="AB51" s="20" t="s">
        <v>20</v>
      </c>
      <c r="AC51" s="20" t="s">
        <v>20</v>
      </c>
      <c r="AD51" s="29" t="s">
        <v>21</v>
      </c>
      <c r="AE51" s="29" t="s">
        <v>21</v>
      </c>
      <c r="AG51">
        <f>+COUNTIF(F51:AE51,"AD")</f>
        <v>0</v>
      </c>
      <c r="AH51">
        <f>+COUNTIF(F51:AE51,"A")</f>
        <v>12</v>
      </c>
      <c r="AI51">
        <f>+COUNTIF(F51:AE51,"b")</f>
        <v>13</v>
      </c>
      <c r="AJ51">
        <f>+COUNTIF(F51:AE51,"c")</f>
        <v>1</v>
      </c>
      <c r="AL51">
        <f>+$AG$5*AG51</f>
        <v>0</v>
      </c>
      <c r="AM51">
        <f>+$AH$5*AH51</f>
        <v>36</v>
      </c>
      <c r="AN51">
        <f>+$AI$5*AI51</f>
        <v>26</v>
      </c>
      <c r="AO51">
        <f>+$AJ$5*AJ51</f>
        <v>1</v>
      </c>
      <c r="AP51">
        <f>+SUM(AL51:AO51)</f>
        <v>63</v>
      </c>
    </row>
    <row r="52" spans="1:42" ht="15.75" hidden="1" customHeight="1" x14ac:dyDescent="0.3">
      <c r="A52" s="16"/>
      <c r="B52" s="55">
        <v>16</v>
      </c>
      <c r="C52" s="56" t="s">
        <v>77</v>
      </c>
      <c r="D52" s="55">
        <v>2</v>
      </c>
      <c r="E52" s="55" t="s">
        <v>20</v>
      </c>
      <c r="F52" s="18" t="s">
        <v>21</v>
      </c>
      <c r="G52" s="18" t="s">
        <v>21</v>
      </c>
      <c r="H52" s="18" t="s">
        <v>21</v>
      </c>
      <c r="I52" s="18" t="s">
        <v>21</v>
      </c>
      <c r="J52" s="18" t="s">
        <v>21</v>
      </c>
      <c r="K52" s="18" t="s">
        <v>21</v>
      </c>
      <c r="L52" s="18" t="s">
        <v>21</v>
      </c>
      <c r="M52" s="18" t="s">
        <v>20</v>
      </c>
      <c r="N52" s="18" t="s">
        <v>20</v>
      </c>
      <c r="O52" s="18" t="s">
        <v>20</v>
      </c>
      <c r="P52" s="18" t="s">
        <v>21</v>
      </c>
      <c r="Q52" s="18" t="s">
        <v>21</v>
      </c>
      <c r="R52" s="18" t="s">
        <v>21</v>
      </c>
      <c r="S52" s="18" t="s">
        <v>20</v>
      </c>
      <c r="T52" s="18" t="s">
        <v>20</v>
      </c>
      <c r="U52" s="18" t="s">
        <v>21</v>
      </c>
      <c r="V52" s="37" t="s">
        <v>20</v>
      </c>
      <c r="W52" s="37" t="s">
        <v>20</v>
      </c>
      <c r="X52" s="37" t="s">
        <v>20</v>
      </c>
      <c r="Y52" s="18" t="s">
        <v>20</v>
      </c>
      <c r="Z52" s="18" t="s">
        <v>20</v>
      </c>
      <c r="AA52" s="20" t="s">
        <v>21</v>
      </c>
      <c r="AB52" s="20" t="s">
        <v>21</v>
      </c>
      <c r="AC52" s="20" t="s">
        <v>21</v>
      </c>
      <c r="AD52" s="29" t="s">
        <v>21</v>
      </c>
      <c r="AE52" s="29" t="s">
        <v>21</v>
      </c>
      <c r="AG52">
        <f>+COUNTIF(F52:AE52,"AD")</f>
        <v>0</v>
      </c>
      <c r="AH52">
        <f>+COUNTIF(F52:AE52,"A")</f>
        <v>10</v>
      </c>
      <c r="AI52">
        <f>+COUNTIF(F52:AE52,"b")</f>
        <v>16</v>
      </c>
      <c r="AJ52">
        <f>+COUNTIF(F52:AE52,"c")</f>
        <v>0</v>
      </c>
      <c r="AL52">
        <f>+$AG$5*AG52</f>
        <v>0</v>
      </c>
      <c r="AM52">
        <f>+$AH$5*AH52</f>
        <v>30</v>
      </c>
      <c r="AN52">
        <f>+$AI$5*AI52</f>
        <v>32</v>
      </c>
      <c r="AO52">
        <f>+$AJ$5*AJ52</f>
        <v>0</v>
      </c>
      <c r="AP52">
        <f>+SUM(AL52:AO52)</f>
        <v>62</v>
      </c>
    </row>
    <row r="53" spans="1:42" ht="15.75" hidden="1" customHeight="1" x14ac:dyDescent="0.3">
      <c r="A53" s="16"/>
      <c r="B53" s="55">
        <v>1</v>
      </c>
      <c r="C53" s="56" t="s">
        <v>62</v>
      </c>
      <c r="D53" s="55">
        <v>2</v>
      </c>
      <c r="E53" s="55" t="s">
        <v>20</v>
      </c>
      <c r="F53" s="18" t="s">
        <v>21</v>
      </c>
      <c r="G53" s="18" t="s">
        <v>23</v>
      </c>
      <c r="H53" s="18" t="s">
        <v>21</v>
      </c>
      <c r="I53" s="18" t="s">
        <v>21</v>
      </c>
      <c r="J53" s="18" t="s">
        <v>21</v>
      </c>
      <c r="K53" s="18" t="s">
        <v>21</v>
      </c>
      <c r="L53" s="18" t="s">
        <v>20</v>
      </c>
      <c r="M53" s="18" t="s">
        <v>20</v>
      </c>
      <c r="N53" s="18" t="s">
        <v>20</v>
      </c>
      <c r="O53" s="18" t="s">
        <v>21</v>
      </c>
      <c r="P53" s="18" t="s">
        <v>21</v>
      </c>
      <c r="Q53" s="18" t="s">
        <v>21</v>
      </c>
      <c r="R53" s="18" t="s">
        <v>21</v>
      </c>
      <c r="S53" s="18" t="s">
        <v>20</v>
      </c>
      <c r="T53" s="18" t="s">
        <v>21</v>
      </c>
      <c r="U53" s="18" t="s">
        <v>20</v>
      </c>
      <c r="V53" s="35" t="s">
        <v>20</v>
      </c>
      <c r="W53" s="35" t="s">
        <v>20</v>
      </c>
      <c r="X53" s="36" t="s">
        <v>20</v>
      </c>
      <c r="Y53" s="19" t="s">
        <v>20</v>
      </c>
      <c r="Z53" s="18" t="s">
        <v>20</v>
      </c>
      <c r="AA53" s="20" t="s">
        <v>21</v>
      </c>
      <c r="AB53" s="20" t="s">
        <v>21</v>
      </c>
      <c r="AC53" s="20" t="s">
        <v>21</v>
      </c>
      <c r="AD53" s="29" t="s">
        <v>21</v>
      </c>
      <c r="AE53" s="29" t="s">
        <v>21</v>
      </c>
      <c r="AG53">
        <f>+COUNTIF(F53:AE53,"AD")</f>
        <v>0</v>
      </c>
      <c r="AH53">
        <f>+COUNTIF(F53:AE53,"A")</f>
        <v>10</v>
      </c>
      <c r="AI53">
        <f>+COUNTIF(F53:AE53,"b")</f>
        <v>15</v>
      </c>
      <c r="AJ53">
        <f>+COUNTIF(F53:AE53,"c")</f>
        <v>1</v>
      </c>
      <c r="AL53">
        <f>+$AG$5*AG53</f>
        <v>0</v>
      </c>
      <c r="AM53">
        <f>+$AH$5*AH53</f>
        <v>30</v>
      </c>
      <c r="AN53">
        <f>+$AI$5*AI53</f>
        <v>30</v>
      </c>
      <c r="AO53">
        <f>+$AJ$5*AJ53</f>
        <v>1</v>
      </c>
      <c r="AP53">
        <f>+SUM(AL53:AO53)</f>
        <v>61</v>
      </c>
    </row>
    <row r="54" spans="1:42" ht="15.75" hidden="1" customHeight="1" x14ac:dyDescent="0.3">
      <c r="A54" s="16"/>
      <c r="B54" s="55">
        <v>10</v>
      </c>
      <c r="C54" s="56" t="s">
        <v>71</v>
      </c>
      <c r="D54" s="55">
        <v>2</v>
      </c>
      <c r="E54" s="55" t="s">
        <v>20</v>
      </c>
      <c r="F54" s="18" t="s">
        <v>21</v>
      </c>
      <c r="G54" s="18" t="s">
        <v>21</v>
      </c>
      <c r="H54" s="18" t="s">
        <v>21</v>
      </c>
      <c r="I54" s="18" t="s">
        <v>21</v>
      </c>
      <c r="J54" s="18" t="s">
        <v>20</v>
      </c>
      <c r="K54" s="18" t="s">
        <v>21</v>
      </c>
      <c r="L54" s="18" t="s">
        <v>21</v>
      </c>
      <c r="M54" s="18" t="s">
        <v>21</v>
      </c>
      <c r="N54" s="18" t="s">
        <v>21</v>
      </c>
      <c r="O54" s="18" t="s">
        <v>20</v>
      </c>
      <c r="P54" s="18" t="s">
        <v>21</v>
      </c>
      <c r="Q54" s="18" t="s">
        <v>21</v>
      </c>
      <c r="R54" s="18" t="s">
        <v>21</v>
      </c>
      <c r="S54" s="18" t="s">
        <v>21</v>
      </c>
      <c r="T54" s="18" t="s">
        <v>20</v>
      </c>
      <c r="U54" s="18" t="s">
        <v>20</v>
      </c>
      <c r="V54" s="37" t="s">
        <v>20</v>
      </c>
      <c r="W54" s="37" t="s">
        <v>20</v>
      </c>
      <c r="X54" s="37" t="s">
        <v>20</v>
      </c>
      <c r="Y54" s="18" t="s">
        <v>20</v>
      </c>
      <c r="Z54" s="18" t="s">
        <v>21</v>
      </c>
      <c r="AA54" s="20" t="s">
        <v>20</v>
      </c>
      <c r="AB54" s="20" t="s">
        <v>21</v>
      </c>
      <c r="AC54" s="20" t="s">
        <v>21</v>
      </c>
      <c r="AD54" s="29" t="s">
        <v>21</v>
      </c>
      <c r="AE54" s="29" t="s">
        <v>21</v>
      </c>
      <c r="AG54">
        <f>+COUNTIF(F54:AE54,"AD")</f>
        <v>0</v>
      </c>
      <c r="AH54">
        <f>+COUNTIF(F54:AE54,"A")</f>
        <v>9</v>
      </c>
      <c r="AI54">
        <f>+COUNTIF(F54:AE54,"b")</f>
        <v>17</v>
      </c>
      <c r="AJ54">
        <f>+COUNTIF(F54:AE54,"c")</f>
        <v>0</v>
      </c>
      <c r="AL54">
        <f>+$AG$5*AG54</f>
        <v>0</v>
      </c>
      <c r="AM54">
        <f>+$AH$5*AH54</f>
        <v>27</v>
      </c>
      <c r="AN54">
        <f>+$AI$5*AI54</f>
        <v>34</v>
      </c>
      <c r="AO54">
        <f>+$AJ$5*AJ54</f>
        <v>0</v>
      </c>
      <c r="AP54">
        <f>+SUM(AL54:AO54)</f>
        <v>61</v>
      </c>
    </row>
    <row r="55" spans="1:42" ht="15.75" hidden="1" customHeight="1" x14ac:dyDescent="0.3">
      <c r="A55" s="16"/>
      <c r="B55" s="55">
        <v>5</v>
      </c>
      <c r="C55" s="56" t="s">
        <v>66</v>
      </c>
      <c r="D55" s="55">
        <v>2</v>
      </c>
      <c r="E55" s="55" t="s">
        <v>20</v>
      </c>
      <c r="F55" s="18" t="s">
        <v>21</v>
      </c>
      <c r="G55" s="18" t="s">
        <v>21</v>
      </c>
      <c r="H55" s="18" t="s">
        <v>21</v>
      </c>
      <c r="I55" s="18" t="s">
        <v>21</v>
      </c>
      <c r="J55" s="18" t="s">
        <v>21</v>
      </c>
      <c r="K55" s="18" t="s">
        <v>21</v>
      </c>
      <c r="L55" s="18" t="s">
        <v>21</v>
      </c>
      <c r="M55" s="18" t="s">
        <v>21</v>
      </c>
      <c r="N55" s="18" t="s">
        <v>21</v>
      </c>
      <c r="O55" s="18" t="s">
        <v>20</v>
      </c>
      <c r="P55" s="18" t="s">
        <v>21</v>
      </c>
      <c r="Q55" s="18" t="s">
        <v>21</v>
      </c>
      <c r="R55" s="18" t="s">
        <v>21</v>
      </c>
      <c r="S55" s="18" t="s">
        <v>20</v>
      </c>
      <c r="T55" s="18" t="s">
        <v>21</v>
      </c>
      <c r="U55" s="18" t="s">
        <v>20</v>
      </c>
      <c r="V55" s="35" t="s">
        <v>20</v>
      </c>
      <c r="W55" s="35" t="s">
        <v>20</v>
      </c>
      <c r="X55" s="36" t="s">
        <v>20</v>
      </c>
      <c r="Y55" s="19" t="s">
        <v>20</v>
      </c>
      <c r="Z55" s="18" t="s">
        <v>20</v>
      </c>
      <c r="AA55" s="20" t="s">
        <v>21</v>
      </c>
      <c r="AB55" s="20" t="s">
        <v>21</v>
      </c>
      <c r="AC55" s="20" t="s">
        <v>23</v>
      </c>
      <c r="AD55" s="29" t="s">
        <v>21</v>
      </c>
      <c r="AE55" s="29" t="s">
        <v>21</v>
      </c>
      <c r="AG55">
        <f>+COUNTIF(F55:AE55,"AD")</f>
        <v>0</v>
      </c>
      <c r="AH55">
        <f>+COUNTIF(F55:AE55,"A")</f>
        <v>8</v>
      </c>
      <c r="AI55">
        <f>+COUNTIF(F55:AE55,"b")</f>
        <v>17</v>
      </c>
      <c r="AJ55">
        <f>+COUNTIF(F55:AE55,"c")</f>
        <v>1</v>
      </c>
      <c r="AL55">
        <f>+$AG$5*AG55</f>
        <v>0</v>
      </c>
      <c r="AM55">
        <f>+$AH$5*AH55</f>
        <v>24</v>
      </c>
      <c r="AN55">
        <f>+$AI$5*AI55</f>
        <v>34</v>
      </c>
      <c r="AO55">
        <f>+$AJ$5*AJ55</f>
        <v>1</v>
      </c>
      <c r="AP55">
        <f>+SUM(AL55:AO55)</f>
        <v>59</v>
      </c>
    </row>
    <row r="56" spans="1:42" ht="15.75" hidden="1" customHeight="1" x14ac:dyDescent="0.3">
      <c r="A56" s="16"/>
      <c r="B56" s="55">
        <v>15</v>
      </c>
      <c r="C56" s="56" t="s">
        <v>76</v>
      </c>
      <c r="D56" s="55">
        <v>2</v>
      </c>
      <c r="E56" s="55" t="s">
        <v>20</v>
      </c>
      <c r="F56" s="18" t="s">
        <v>20</v>
      </c>
      <c r="G56" s="18" t="s">
        <v>21</v>
      </c>
      <c r="H56" s="18" t="s">
        <v>21</v>
      </c>
      <c r="I56" s="18" t="s">
        <v>21</v>
      </c>
      <c r="J56" s="18" t="s">
        <v>20</v>
      </c>
      <c r="K56" s="18" t="s">
        <v>21</v>
      </c>
      <c r="L56" s="18" t="s">
        <v>21</v>
      </c>
      <c r="M56" s="18" t="s">
        <v>21</v>
      </c>
      <c r="N56" s="18" t="s">
        <v>21</v>
      </c>
      <c r="O56" s="18" t="s">
        <v>20</v>
      </c>
      <c r="P56" s="18" t="s">
        <v>21</v>
      </c>
      <c r="Q56" s="18" t="s">
        <v>21</v>
      </c>
      <c r="R56" s="18" t="s">
        <v>21</v>
      </c>
      <c r="S56" s="18" t="s">
        <v>20</v>
      </c>
      <c r="T56" s="18" t="s">
        <v>21</v>
      </c>
      <c r="U56" s="18" t="s">
        <v>21</v>
      </c>
      <c r="V56" s="37" t="s">
        <v>21</v>
      </c>
      <c r="W56" s="37" t="s">
        <v>20</v>
      </c>
      <c r="X56" s="37" t="s">
        <v>20</v>
      </c>
      <c r="Y56" s="18" t="s">
        <v>21</v>
      </c>
      <c r="Z56" s="18" t="s">
        <v>21</v>
      </c>
      <c r="AA56" s="20" t="s">
        <v>21</v>
      </c>
      <c r="AB56" s="20" t="s">
        <v>21</v>
      </c>
      <c r="AC56" s="20" t="s">
        <v>21</v>
      </c>
      <c r="AD56" s="29" t="s">
        <v>23</v>
      </c>
      <c r="AE56" s="29" t="s">
        <v>21</v>
      </c>
      <c r="AG56">
        <f>+COUNTIF(F56:AE56,"AD")</f>
        <v>0</v>
      </c>
      <c r="AH56">
        <f>+COUNTIF(F56:AE56,"A")</f>
        <v>6</v>
      </c>
      <c r="AI56">
        <f>+COUNTIF(F56:AE56,"b")</f>
        <v>19</v>
      </c>
      <c r="AJ56">
        <f>+COUNTIF(F56:AE56,"c")</f>
        <v>1</v>
      </c>
      <c r="AL56">
        <f>+$AG$5*AG56</f>
        <v>0</v>
      </c>
      <c r="AM56">
        <f>+$AH$5*AH56</f>
        <v>18</v>
      </c>
      <c r="AN56">
        <f>+$AI$5*AI56</f>
        <v>38</v>
      </c>
      <c r="AO56">
        <f>+$AJ$5*AJ56</f>
        <v>1</v>
      </c>
      <c r="AP56">
        <f>+SUM(AL56:AO56)</f>
        <v>57</v>
      </c>
    </row>
    <row r="57" spans="1:42" ht="15.75" hidden="1" customHeight="1" x14ac:dyDescent="0.3">
      <c r="A57" s="16"/>
      <c r="B57" s="55">
        <v>17</v>
      </c>
      <c r="C57" s="56" t="s">
        <v>78</v>
      </c>
      <c r="D57" s="55">
        <v>2</v>
      </c>
      <c r="E57" s="55" t="s">
        <v>20</v>
      </c>
      <c r="F57" s="18" t="s">
        <v>21</v>
      </c>
      <c r="G57" s="18" t="s">
        <v>21</v>
      </c>
      <c r="H57" s="18" t="s">
        <v>21</v>
      </c>
      <c r="I57" s="18" t="s">
        <v>21</v>
      </c>
      <c r="J57" s="18" t="s">
        <v>23</v>
      </c>
      <c r="K57" s="18" t="s">
        <v>21</v>
      </c>
      <c r="L57" s="18" t="s">
        <v>21</v>
      </c>
      <c r="M57" s="18" t="s">
        <v>21</v>
      </c>
      <c r="N57" s="18" t="s">
        <v>21</v>
      </c>
      <c r="O57" s="18" t="s">
        <v>20</v>
      </c>
      <c r="P57" s="18" t="s">
        <v>21</v>
      </c>
      <c r="Q57" s="18" t="s">
        <v>21</v>
      </c>
      <c r="R57" s="18" t="s">
        <v>21</v>
      </c>
      <c r="S57" s="18" t="s">
        <v>21</v>
      </c>
      <c r="T57" s="18" t="s">
        <v>21</v>
      </c>
      <c r="U57" s="18" t="s">
        <v>21</v>
      </c>
      <c r="V57" s="37" t="s">
        <v>20</v>
      </c>
      <c r="W57" s="37" t="s">
        <v>20</v>
      </c>
      <c r="X57" s="37" t="s">
        <v>20</v>
      </c>
      <c r="Y57" s="18" t="s">
        <v>20</v>
      </c>
      <c r="Z57" s="18" t="s">
        <v>20</v>
      </c>
      <c r="AA57" s="20" t="s">
        <v>23</v>
      </c>
      <c r="AB57" s="20" t="s">
        <v>23</v>
      </c>
      <c r="AC57" s="20" t="s">
        <v>21</v>
      </c>
      <c r="AD57" s="29" t="s">
        <v>21</v>
      </c>
      <c r="AE57" s="29" t="s">
        <v>21</v>
      </c>
      <c r="AG57">
        <f>+COUNTIF(F57:AE57,"AD")</f>
        <v>0</v>
      </c>
      <c r="AH57">
        <f>+COUNTIF(F57:AE57,"A")</f>
        <v>6</v>
      </c>
      <c r="AI57">
        <f>+COUNTIF(F57:AE57,"b")</f>
        <v>17</v>
      </c>
      <c r="AJ57">
        <f>+COUNTIF(F57:AE57,"c")</f>
        <v>3</v>
      </c>
      <c r="AL57">
        <f>+$AG$5*AG57</f>
        <v>0</v>
      </c>
      <c r="AM57">
        <f>+$AH$5*AH57</f>
        <v>18</v>
      </c>
      <c r="AN57">
        <f>+$AI$5*AI57</f>
        <v>34</v>
      </c>
      <c r="AO57">
        <f>+$AJ$5*AJ57</f>
        <v>3</v>
      </c>
      <c r="AP57">
        <f>+SUM(AL57:AO57)</f>
        <v>55</v>
      </c>
    </row>
    <row r="58" spans="1:42" ht="15.75" hidden="1" customHeight="1" x14ac:dyDescent="0.3">
      <c r="A58" s="16"/>
      <c r="B58" s="55">
        <v>14</v>
      </c>
      <c r="C58" s="56" t="s">
        <v>75</v>
      </c>
      <c r="D58" s="55">
        <v>2</v>
      </c>
      <c r="E58" s="55" t="s">
        <v>20</v>
      </c>
      <c r="F58" s="18" t="s">
        <v>20</v>
      </c>
      <c r="G58" s="18" t="s">
        <v>21</v>
      </c>
      <c r="H58" s="18" t="s">
        <v>21</v>
      </c>
      <c r="I58" s="18" t="s">
        <v>21</v>
      </c>
      <c r="J58" s="18" t="s">
        <v>21</v>
      </c>
      <c r="K58" s="18" t="s">
        <v>23</v>
      </c>
      <c r="L58" s="18" t="s">
        <v>20</v>
      </c>
      <c r="M58" s="18" t="s">
        <v>21</v>
      </c>
      <c r="N58" s="18" t="s">
        <v>21</v>
      </c>
      <c r="O58" s="18" t="s">
        <v>23</v>
      </c>
      <c r="P58" s="18" t="s">
        <v>20</v>
      </c>
      <c r="Q58" s="18" t="s">
        <v>20</v>
      </c>
      <c r="R58" s="18" t="s">
        <v>21</v>
      </c>
      <c r="S58" s="18" t="s">
        <v>21</v>
      </c>
      <c r="T58" s="18" t="s">
        <v>23</v>
      </c>
      <c r="U58" s="18" t="s">
        <v>21</v>
      </c>
      <c r="V58" s="37" t="s">
        <v>21</v>
      </c>
      <c r="W58" s="37" t="s">
        <v>20</v>
      </c>
      <c r="X58" s="37" t="s">
        <v>21</v>
      </c>
      <c r="Y58" s="18" t="s">
        <v>21</v>
      </c>
      <c r="Z58" s="18" t="s">
        <v>20</v>
      </c>
      <c r="AA58" s="20" t="s">
        <v>23</v>
      </c>
      <c r="AB58" s="20" t="s">
        <v>21</v>
      </c>
      <c r="AC58" s="20" t="s">
        <v>21</v>
      </c>
      <c r="AD58" s="29" t="s">
        <v>23</v>
      </c>
      <c r="AE58" s="29" t="s">
        <v>21</v>
      </c>
      <c r="AG58">
        <f>+COUNTIF(F58:AE58,"AD")</f>
        <v>0</v>
      </c>
      <c r="AH58">
        <f>+COUNTIF(F58:AE58,"A")</f>
        <v>6</v>
      </c>
      <c r="AI58">
        <f>+COUNTIF(F58:AE58,"b")</f>
        <v>15</v>
      </c>
      <c r="AJ58">
        <f>+COUNTIF(F58:AE58,"c")</f>
        <v>5</v>
      </c>
      <c r="AL58">
        <f>+$AG$5*AG58</f>
        <v>0</v>
      </c>
      <c r="AM58">
        <f>+$AH$5*AH58</f>
        <v>18</v>
      </c>
      <c r="AN58">
        <f>+$AI$5*AI58</f>
        <v>30</v>
      </c>
      <c r="AO58">
        <f>+$AJ$5*AJ58</f>
        <v>5</v>
      </c>
      <c r="AP58">
        <f>+SUM(AL58:AO58)</f>
        <v>53</v>
      </c>
    </row>
    <row r="59" spans="1:42" ht="15.75" hidden="1" customHeight="1" x14ac:dyDescent="0.3">
      <c r="A59" s="16"/>
      <c r="B59" s="55">
        <v>19</v>
      </c>
      <c r="C59" s="56" t="s">
        <v>80</v>
      </c>
      <c r="D59" s="55">
        <v>2</v>
      </c>
      <c r="E59" s="55" t="s">
        <v>20</v>
      </c>
      <c r="F59" s="18" t="s">
        <v>21</v>
      </c>
      <c r="G59" s="18" t="s">
        <v>20</v>
      </c>
      <c r="H59" s="18" t="s">
        <v>21</v>
      </c>
      <c r="I59" s="18" t="s">
        <v>21</v>
      </c>
      <c r="J59" s="18" t="s">
        <v>21</v>
      </c>
      <c r="K59" s="18" t="s">
        <v>23</v>
      </c>
      <c r="L59" s="18" t="s">
        <v>23</v>
      </c>
      <c r="M59" s="18" t="s">
        <v>21</v>
      </c>
      <c r="N59" s="18" t="s">
        <v>21</v>
      </c>
      <c r="O59" s="18" t="s">
        <v>20</v>
      </c>
      <c r="P59" s="18" t="s">
        <v>21</v>
      </c>
      <c r="Q59" s="18" t="s">
        <v>21</v>
      </c>
      <c r="R59" s="18" t="s">
        <v>23</v>
      </c>
      <c r="S59" s="18" t="s">
        <v>21</v>
      </c>
      <c r="T59" s="18" t="s">
        <v>21</v>
      </c>
      <c r="U59" s="18" t="s">
        <v>21</v>
      </c>
      <c r="V59" s="37" t="s">
        <v>21</v>
      </c>
      <c r="W59" s="37" t="s">
        <v>20</v>
      </c>
      <c r="X59" s="37" t="s">
        <v>20</v>
      </c>
      <c r="Y59" s="18" t="s">
        <v>20</v>
      </c>
      <c r="Z59" s="18" t="s">
        <v>20</v>
      </c>
      <c r="AA59" s="20" t="s">
        <v>23</v>
      </c>
      <c r="AB59" s="20" t="s">
        <v>21</v>
      </c>
      <c r="AC59" s="20" t="s">
        <v>21</v>
      </c>
      <c r="AD59" s="29" t="s">
        <v>23</v>
      </c>
      <c r="AE59" s="29" t="s">
        <v>21</v>
      </c>
      <c r="AG59">
        <f>+COUNTIF(F59:AE59,"AD")</f>
        <v>0</v>
      </c>
      <c r="AH59">
        <f>+COUNTIF(F59:AE59,"A")</f>
        <v>6</v>
      </c>
      <c r="AI59">
        <f>+COUNTIF(F59:AE59,"b")</f>
        <v>15</v>
      </c>
      <c r="AJ59">
        <f>+COUNTIF(F59:AE59,"c")</f>
        <v>5</v>
      </c>
      <c r="AL59">
        <f>+$AG$5*AG59</f>
        <v>0</v>
      </c>
      <c r="AM59">
        <f>+$AH$5*AH59</f>
        <v>18</v>
      </c>
      <c r="AN59">
        <f>+$AI$5*AI59</f>
        <v>30</v>
      </c>
      <c r="AO59">
        <f>+$AJ$5*AJ59</f>
        <v>5</v>
      </c>
      <c r="AP59">
        <f>+SUM(AL59:AO59)</f>
        <v>53</v>
      </c>
    </row>
    <row r="60" spans="1:42" ht="15.75" hidden="1" customHeight="1" x14ac:dyDescent="0.3">
      <c r="A60" s="16"/>
      <c r="B60" s="55">
        <v>9</v>
      </c>
      <c r="C60" s="56" t="s">
        <v>70</v>
      </c>
      <c r="D60" s="55">
        <v>2</v>
      </c>
      <c r="E60" s="55" t="s">
        <v>20</v>
      </c>
      <c r="F60" s="18" t="s">
        <v>21</v>
      </c>
      <c r="G60" s="18" t="s">
        <v>21</v>
      </c>
      <c r="H60" s="18" t="s">
        <v>21</v>
      </c>
      <c r="I60" s="18" t="s">
        <v>21</v>
      </c>
      <c r="J60" s="18" t="s">
        <v>21</v>
      </c>
      <c r="K60" s="18" t="s">
        <v>21</v>
      </c>
      <c r="L60" s="18" t="s">
        <v>21</v>
      </c>
      <c r="M60" s="18" t="s">
        <v>21</v>
      </c>
      <c r="N60" s="18" t="s">
        <v>21</v>
      </c>
      <c r="O60" s="18" t="s">
        <v>23</v>
      </c>
      <c r="P60" s="18" t="s">
        <v>21</v>
      </c>
      <c r="Q60" s="18" t="s">
        <v>21</v>
      </c>
      <c r="R60" s="18" t="s">
        <v>21</v>
      </c>
      <c r="S60" s="18" t="s">
        <v>23</v>
      </c>
      <c r="T60" s="18" t="s">
        <v>23</v>
      </c>
      <c r="U60" s="18" t="s">
        <v>20</v>
      </c>
      <c r="V60" s="37" t="s">
        <v>20</v>
      </c>
      <c r="W60" s="37" t="s">
        <v>20</v>
      </c>
      <c r="X60" s="37" t="s">
        <v>20</v>
      </c>
      <c r="Y60" s="18" t="s">
        <v>21</v>
      </c>
      <c r="Z60" s="18" t="s">
        <v>20</v>
      </c>
      <c r="AA60" s="20" t="s">
        <v>23</v>
      </c>
      <c r="AB60" s="20" t="s">
        <v>21</v>
      </c>
      <c r="AC60" s="20" t="s">
        <v>23</v>
      </c>
      <c r="AD60" s="29" t="s">
        <v>21</v>
      </c>
      <c r="AE60" s="29" t="s">
        <v>21</v>
      </c>
      <c r="AG60">
        <f>+COUNTIF(F60:AE60,"AD")</f>
        <v>0</v>
      </c>
      <c r="AH60">
        <f>+COUNTIF(F60:AE60,"A")</f>
        <v>5</v>
      </c>
      <c r="AI60">
        <f>+COUNTIF(F60:AE60,"b")</f>
        <v>16</v>
      </c>
      <c r="AJ60">
        <f>+COUNTIF(F60:AE60,"c")</f>
        <v>5</v>
      </c>
      <c r="AL60">
        <f>+$AG$5*AG60</f>
        <v>0</v>
      </c>
      <c r="AM60">
        <f>+$AH$5*AH60</f>
        <v>15</v>
      </c>
      <c r="AN60">
        <f>+$AI$5*AI60</f>
        <v>32</v>
      </c>
      <c r="AO60">
        <f>+$AJ$5*AJ60</f>
        <v>5</v>
      </c>
      <c r="AP60">
        <f>+SUM(AL60:AO60)</f>
        <v>52</v>
      </c>
    </row>
    <row r="61" spans="1:42" ht="15.75" hidden="1" customHeight="1" x14ac:dyDescent="0.3">
      <c r="A61" s="16"/>
      <c r="B61" s="55">
        <v>4</v>
      </c>
      <c r="C61" s="56" t="s">
        <v>65</v>
      </c>
      <c r="D61" s="55">
        <v>2</v>
      </c>
      <c r="E61" s="55" t="s">
        <v>20</v>
      </c>
      <c r="F61" s="18" t="s">
        <v>21</v>
      </c>
      <c r="G61" s="18" t="s">
        <v>23</v>
      </c>
      <c r="H61" s="18" t="s">
        <v>21</v>
      </c>
      <c r="I61" s="18" t="s">
        <v>21</v>
      </c>
      <c r="J61" s="18" t="s">
        <v>21</v>
      </c>
      <c r="K61" s="18" t="s">
        <v>23</v>
      </c>
      <c r="L61" s="18" t="s">
        <v>21</v>
      </c>
      <c r="M61" s="18" t="s">
        <v>21</v>
      </c>
      <c r="N61" s="18" t="s">
        <v>21</v>
      </c>
      <c r="O61" s="18" t="s">
        <v>23</v>
      </c>
      <c r="P61" s="18" t="s">
        <v>23</v>
      </c>
      <c r="Q61" s="18" t="s">
        <v>23</v>
      </c>
      <c r="R61" s="18" t="s">
        <v>21</v>
      </c>
      <c r="S61" s="18" t="s">
        <v>23</v>
      </c>
      <c r="T61" s="18" t="s">
        <v>23</v>
      </c>
      <c r="U61" s="18" t="s">
        <v>20</v>
      </c>
      <c r="V61" s="35" t="s">
        <v>20</v>
      </c>
      <c r="W61" s="35" t="s">
        <v>20</v>
      </c>
      <c r="X61" s="36" t="s">
        <v>20</v>
      </c>
      <c r="Y61" s="19" t="s">
        <v>20</v>
      </c>
      <c r="Z61" s="18" t="s">
        <v>20</v>
      </c>
      <c r="AA61" s="20" t="s">
        <v>21</v>
      </c>
      <c r="AB61" s="20" t="s">
        <v>21</v>
      </c>
      <c r="AC61" s="20" t="s">
        <v>21</v>
      </c>
      <c r="AD61" s="29" t="s">
        <v>21</v>
      </c>
      <c r="AE61" s="29" t="s">
        <v>21</v>
      </c>
      <c r="AG61">
        <f>+COUNTIF(F61:AE61,"AD")</f>
        <v>0</v>
      </c>
      <c r="AH61">
        <f>+COUNTIF(F61:AE61,"A")</f>
        <v>6</v>
      </c>
      <c r="AI61">
        <f>+COUNTIF(F61:AE61,"b")</f>
        <v>13</v>
      </c>
      <c r="AJ61">
        <f>+COUNTIF(F61:AE61,"c")</f>
        <v>7</v>
      </c>
      <c r="AL61">
        <f>+$AG$5*AG61</f>
        <v>0</v>
      </c>
      <c r="AM61">
        <f>+$AH$5*AH61</f>
        <v>18</v>
      </c>
      <c r="AN61">
        <f>+$AI$5*AI61</f>
        <v>26</v>
      </c>
      <c r="AO61">
        <f>+$AJ$5*AJ61</f>
        <v>7</v>
      </c>
      <c r="AP61">
        <f>+SUM(AL61:AO61)</f>
        <v>51</v>
      </c>
    </row>
    <row r="62" spans="1:42" ht="15.75" hidden="1" customHeight="1" x14ac:dyDescent="0.3">
      <c r="A62" s="16"/>
      <c r="B62" s="55">
        <v>3</v>
      </c>
      <c r="C62" s="56" t="s">
        <v>64</v>
      </c>
      <c r="D62" s="55">
        <v>2</v>
      </c>
      <c r="E62" s="55" t="s">
        <v>20</v>
      </c>
      <c r="F62" s="18" t="s">
        <v>21</v>
      </c>
      <c r="G62" s="18" t="s">
        <v>23</v>
      </c>
      <c r="H62" s="18" t="s">
        <v>21</v>
      </c>
      <c r="I62" s="18" t="s">
        <v>21</v>
      </c>
      <c r="J62" s="18" t="s">
        <v>20</v>
      </c>
      <c r="K62" s="18" t="s">
        <v>23</v>
      </c>
      <c r="L62" s="18" t="s">
        <v>21</v>
      </c>
      <c r="M62" s="18" t="s">
        <v>21</v>
      </c>
      <c r="N62" s="18" t="s">
        <v>21</v>
      </c>
      <c r="O62" s="18" t="s">
        <v>23</v>
      </c>
      <c r="P62" s="18" t="s">
        <v>21</v>
      </c>
      <c r="Q62" s="18" t="s">
        <v>20</v>
      </c>
      <c r="R62" s="18" t="s">
        <v>21</v>
      </c>
      <c r="S62" s="18" t="s">
        <v>23</v>
      </c>
      <c r="T62" s="18" t="s">
        <v>21</v>
      </c>
      <c r="U62" s="18" t="s">
        <v>20</v>
      </c>
      <c r="V62" s="35" t="s">
        <v>21</v>
      </c>
      <c r="W62" s="35" t="s">
        <v>21</v>
      </c>
      <c r="X62" s="36" t="s">
        <v>21</v>
      </c>
      <c r="Y62" s="19" t="s">
        <v>21</v>
      </c>
      <c r="Z62" s="18" t="s">
        <v>20</v>
      </c>
      <c r="AA62" s="20" t="s">
        <v>21</v>
      </c>
      <c r="AB62" s="20" t="s">
        <v>21</v>
      </c>
      <c r="AC62" s="20" t="s">
        <v>21</v>
      </c>
      <c r="AD62" s="29" t="s">
        <v>55</v>
      </c>
      <c r="AE62" s="29" t="s">
        <v>55</v>
      </c>
      <c r="AG62">
        <f>+COUNTIF(F62:AE62,"AD")</f>
        <v>0</v>
      </c>
      <c r="AH62">
        <f>+COUNTIF(F62:AE62,"A")</f>
        <v>4</v>
      </c>
      <c r="AI62">
        <f>+COUNTIF(F62:AE62,"b")</f>
        <v>16</v>
      </c>
      <c r="AJ62">
        <f>+COUNTIF(F62:AE62,"c")</f>
        <v>4</v>
      </c>
      <c r="AL62">
        <f>+$AG$5*AG62</f>
        <v>0</v>
      </c>
      <c r="AM62">
        <f>+$AH$5*AH62</f>
        <v>12</v>
      </c>
      <c r="AN62">
        <f>+$AI$5*AI62</f>
        <v>32</v>
      </c>
      <c r="AO62">
        <f>+$AJ$5*AJ62</f>
        <v>4</v>
      </c>
      <c r="AP62">
        <f>+SUM(AL62:AO62)</f>
        <v>48</v>
      </c>
    </row>
    <row r="63" spans="1:42" ht="15.75" hidden="1" customHeight="1" x14ac:dyDescent="0.3">
      <c r="A63" s="16"/>
      <c r="B63" s="55">
        <v>21</v>
      </c>
      <c r="C63" s="56" t="s">
        <v>82</v>
      </c>
      <c r="D63" s="55">
        <v>2</v>
      </c>
      <c r="E63" s="55" t="s">
        <v>20</v>
      </c>
      <c r="F63" s="18" t="s">
        <v>21</v>
      </c>
      <c r="G63" s="18" t="s">
        <v>20</v>
      </c>
      <c r="H63" s="18" t="s">
        <v>21</v>
      </c>
      <c r="I63" s="18" t="s">
        <v>21</v>
      </c>
      <c r="J63" s="18" t="s">
        <v>20</v>
      </c>
      <c r="K63" s="18" t="s">
        <v>21</v>
      </c>
      <c r="L63" s="18" t="s">
        <v>23</v>
      </c>
      <c r="M63" s="18" t="s">
        <v>21</v>
      </c>
      <c r="N63" s="18" t="s">
        <v>21</v>
      </c>
      <c r="O63" s="18" t="s">
        <v>23</v>
      </c>
      <c r="P63" s="18" t="s">
        <v>23</v>
      </c>
      <c r="Q63" s="18" t="s">
        <v>23</v>
      </c>
      <c r="R63" s="18" t="s">
        <v>21</v>
      </c>
      <c r="S63" s="18" t="s">
        <v>23</v>
      </c>
      <c r="T63" s="18" t="s">
        <v>23</v>
      </c>
      <c r="U63" s="18" t="s">
        <v>21</v>
      </c>
      <c r="V63" s="37" t="s">
        <v>20</v>
      </c>
      <c r="W63" s="37" t="s">
        <v>21</v>
      </c>
      <c r="X63" s="37" t="s">
        <v>20</v>
      </c>
      <c r="Y63" s="18" t="s">
        <v>21</v>
      </c>
      <c r="Z63" s="18" t="s">
        <v>21</v>
      </c>
      <c r="AA63" s="20" t="s">
        <v>23</v>
      </c>
      <c r="AB63" s="20" t="s">
        <v>21</v>
      </c>
      <c r="AC63" s="20" t="s">
        <v>21</v>
      </c>
      <c r="AD63" s="29" t="s">
        <v>23</v>
      </c>
      <c r="AE63" s="29" t="s">
        <v>21</v>
      </c>
      <c r="AG63">
        <f>+COUNTIF(F63:AE63,"AD")</f>
        <v>0</v>
      </c>
      <c r="AH63">
        <f>+COUNTIF(F63:AE63,"A")</f>
        <v>4</v>
      </c>
      <c r="AI63">
        <f>+COUNTIF(F63:AE63,"b")</f>
        <v>14</v>
      </c>
      <c r="AJ63">
        <f>+COUNTIF(F63:AE63,"c")</f>
        <v>8</v>
      </c>
      <c r="AL63">
        <f>+$AG$5*AG63</f>
        <v>0</v>
      </c>
      <c r="AM63">
        <f>+$AH$5*AH63</f>
        <v>12</v>
      </c>
      <c r="AN63">
        <f>+$AI$5*AI63</f>
        <v>28</v>
      </c>
      <c r="AO63">
        <f>+$AJ$5*AJ63</f>
        <v>8</v>
      </c>
      <c r="AP63">
        <f>+SUM(AL63:AO63)</f>
        <v>48</v>
      </c>
    </row>
    <row r="64" spans="1:42" ht="15.75" hidden="1" customHeight="1" x14ac:dyDescent="0.3">
      <c r="A64" s="16"/>
      <c r="B64" s="55">
        <v>22</v>
      </c>
      <c r="C64" s="56" t="s">
        <v>83</v>
      </c>
      <c r="D64" s="55">
        <v>2</v>
      </c>
      <c r="E64" s="55" t="s">
        <v>20</v>
      </c>
      <c r="F64" s="18" t="s">
        <v>21</v>
      </c>
      <c r="G64" s="18" t="s">
        <v>23</v>
      </c>
      <c r="H64" s="18" t="s">
        <v>21</v>
      </c>
      <c r="I64" s="18" t="s">
        <v>21</v>
      </c>
      <c r="J64" s="18" t="s">
        <v>21</v>
      </c>
      <c r="K64" s="18" t="s">
        <v>21</v>
      </c>
      <c r="L64" s="18" t="s">
        <v>20</v>
      </c>
      <c r="M64" s="18" t="s">
        <v>21</v>
      </c>
      <c r="N64" s="18" t="s">
        <v>21</v>
      </c>
      <c r="O64" s="18" t="s">
        <v>23</v>
      </c>
      <c r="P64" s="18" t="s">
        <v>23</v>
      </c>
      <c r="Q64" s="18" t="s">
        <v>23</v>
      </c>
      <c r="R64" s="18" t="s">
        <v>21</v>
      </c>
      <c r="S64" s="18" t="s">
        <v>23</v>
      </c>
      <c r="T64" s="18" t="s">
        <v>23</v>
      </c>
      <c r="U64" s="18" t="s">
        <v>21</v>
      </c>
      <c r="V64" s="37" t="s">
        <v>20</v>
      </c>
      <c r="W64" s="37" t="s">
        <v>20</v>
      </c>
      <c r="X64" s="37" t="s">
        <v>20</v>
      </c>
      <c r="Y64" s="18" t="s">
        <v>21</v>
      </c>
      <c r="Z64" s="18" t="s">
        <v>21</v>
      </c>
      <c r="AA64" s="20" t="s">
        <v>23</v>
      </c>
      <c r="AB64" s="20" t="s">
        <v>21</v>
      </c>
      <c r="AC64" s="20" t="s">
        <v>21</v>
      </c>
      <c r="AD64" s="29" t="s">
        <v>23</v>
      </c>
      <c r="AE64" s="29" t="s">
        <v>21</v>
      </c>
      <c r="AG64">
        <f>+COUNTIF(F64:AE64,"AD")</f>
        <v>0</v>
      </c>
      <c r="AH64">
        <f>+COUNTIF(F64:AE64,"A")</f>
        <v>4</v>
      </c>
      <c r="AI64">
        <f>+COUNTIF(F64:AE64,"b")</f>
        <v>14</v>
      </c>
      <c r="AJ64">
        <f>+COUNTIF(F64:AE64,"c")</f>
        <v>8</v>
      </c>
      <c r="AL64">
        <f>+$AG$5*AG64</f>
        <v>0</v>
      </c>
      <c r="AM64">
        <f>+$AH$5*AH64</f>
        <v>12</v>
      </c>
      <c r="AN64">
        <f>+$AI$5*AI64</f>
        <v>28</v>
      </c>
      <c r="AO64">
        <f>+$AJ$5*AJ64</f>
        <v>8</v>
      </c>
      <c r="AP64">
        <f>+SUM(AL64:AO64)</f>
        <v>48</v>
      </c>
    </row>
    <row r="65" spans="1:42" ht="15.75" hidden="1" customHeight="1" x14ac:dyDescent="0.3">
      <c r="A65" s="16"/>
      <c r="B65" s="55">
        <v>24</v>
      </c>
      <c r="C65" s="56" t="s">
        <v>85</v>
      </c>
      <c r="D65" s="55">
        <v>2</v>
      </c>
      <c r="E65" s="55" t="s">
        <v>20</v>
      </c>
      <c r="F65" s="18" t="s">
        <v>21</v>
      </c>
      <c r="G65" s="18" t="s">
        <v>23</v>
      </c>
      <c r="H65" s="18" t="s">
        <v>21</v>
      </c>
      <c r="I65" s="18" t="s">
        <v>21</v>
      </c>
      <c r="J65" s="18" t="s">
        <v>21</v>
      </c>
      <c r="K65" s="18" t="s">
        <v>21</v>
      </c>
      <c r="L65" s="18" t="s">
        <v>23</v>
      </c>
      <c r="M65" s="18" t="s">
        <v>21</v>
      </c>
      <c r="N65" s="18" t="s">
        <v>21</v>
      </c>
      <c r="O65" s="18" t="s">
        <v>23</v>
      </c>
      <c r="P65" s="18" t="s">
        <v>21</v>
      </c>
      <c r="Q65" s="18" t="s">
        <v>21</v>
      </c>
      <c r="R65" s="18" t="s">
        <v>21</v>
      </c>
      <c r="S65" s="18" t="s">
        <v>23</v>
      </c>
      <c r="T65" s="18" t="s">
        <v>21</v>
      </c>
      <c r="U65" s="18" t="s">
        <v>21</v>
      </c>
      <c r="V65" s="37" t="s">
        <v>21</v>
      </c>
      <c r="W65" s="37" t="s">
        <v>20</v>
      </c>
      <c r="X65" s="37" t="s">
        <v>20</v>
      </c>
      <c r="Y65" s="18" t="s">
        <v>21</v>
      </c>
      <c r="Z65" s="18" t="s">
        <v>21</v>
      </c>
      <c r="AA65" s="20" t="s">
        <v>21</v>
      </c>
      <c r="AB65" s="20" t="s">
        <v>21</v>
      </c>
      <c r="AC65" s="20" t="s">
        <v>23</v>
      </c>
      <c r="AD65" s="29" t="s">
        <v>23</v>
      </c>
      <c r="AE65" s="29" t="s">
        <v>21</v>
      </c>
      <c r="AG65">
        <f>+COUNTIF(F65:AE65,"AD")</f>
        <v>0</v>
      </c>
      <c r="AH65">
        <f>+COUNTIF(F65:AE65,"A")</f>
        <v>2</v>
      </c>
      <c r="AI65">
        <f>+COUNTIF(F65:AE65,"b")</f>
        <v>18</v>
      </c>
      <c r="AJ65">
        <f>+COUNTIF(F65:AE65,"c")</f>
        <v>6</v>
      </c>
      <c r="AL65">
        <f>+$AG$5*AG65</f>
        <v>0</v>
      </c>
      <c r="AM65">
        <f>+$AH$5*AH65</f>
        <v>6</v>
      </c>
      <c r="AN65">
        <f>+$AI$5*AI65</f>
        <v>36</v>
      </c>
      <c r="AO65">
        <f>+$AJ$5*AJ65</f>
        <v>6</v>
      </c>
      <c r="AP65">
        <f>+SUM(AL65:AO65)</f>
        <v>48</v>
      </c>
    </row>
    <row r="66" spans="1:42" ht="15.75" hidden="1" customHeight="1" x14ac:dyDescent="0.3">
      <c r="A66" s="16"/>
      <c r="B66" s="55">
        <v>12</v>
      </c>
      <c r="C66" s="56" t="s">
        <v>73</v>
      </c>
      <c r="D66" s="55">
        <v>2</v>
      </c>
      <c r="E66" s="55" t="s">
        <v>20</v>
      </c>
      <c r="F66" s="18" t="s">
        <v>20</v>
      </c>
      <c r="G66" s="18" t="s">
        <v>21</v>
      </c>
      <c r="H66" s="18" t="s">
        <v>21</v>
      </c>
      <c r="I66" s="18" t="s">
        <v>21</v>
      </c>
      <c r="J66" s="18" t="s">
        <v>21</v>
      </c>
      <c r="K66" s="18" t="s">
        <v>21</v>
      </c>
      <c r="L66" s="18" t="s">
        <v>21</v>
      </c>
      <c r="M66" s="18" t="s">
        <v>21</v>
      </c>
      <c r="N66" s="18" t="s">
        <v>21</v>
      </c>
      <c r="O66" s="18" t="s">
        <v>23</v>
      </c>
      <c r="P66" s="18" t="s">
        <v>23</v>
      </c>
      <c r="Q66" s="18" t="s">
        <v>23</v>
      </c>
      <c r="R66" s="18" t="s">
        <v>21</v>
      </c>
      <c r="S66" s="18" t="s">
        <v>23</v>
      </c>
      <c r="T66" s="18" t="s">
        <v>23</v>
      </c>
      <c r="U66" s="18" t="s">
        <v>21</v>
      </c>
      <c r="V66" s="37" t="s">
        <v>21</v>
      </c>
      <c r="W66" s="37" t="s">
        <v>21</v>
      </c>
      <c r="X66" s="37" t="s">
        <v>21</v>
      </c>
      <c r="Y66" s="18" t="s">
        <v>21</v>
      </c>
      <c r="Z66" s="18" t="s">
        <v>21</v>
      </c>
      <c r="AA66" s="20" t="s">
        <v>23</v>
      </c>
      <c r="AB66" s="20" t="s">
        <v>21</v>
      </c>
      <c r="AC66" s="20" t="s">
        <v>23</v>
      </c>
      <c r="AD66" s="29" t="s">
        <v>23</v>
      </c>
      <c r="AE66" s="29" t="s">
        <v>21</v>
      </c>
      <c r="AG66">
        <f>+COUNTIF(F66:AE66,"AD")</f>
        <v>0</v>
      </c>
      <c r="AH66">
        <f>+COUNTIF(F66:AE66,"A")</f>
        <v>1</v>
      </c>
      <c r="AI66">
        <f>+COUNTIF(F66:AE66,"b")</f>
        <v>17</v>
      </c>
      <c r="AJ66">
        <f>+COUNTIF(F66:AE66,"c")</f>
        <v>8</v>
      </c>
      <c r="AL66">
        <f>+$AG$5*AG66</f>
        <v>0</v>
      </c>
      <c r="AM66">
        <f>+$AH$5*AH66</f>
        <v>3</v>
      </c>
      <c r="AN66">
        <f>+$AI$5*AI66</f>
        <v>34</v>
      </c>
      <c r="AO66">
        <f>+$AJ$5*AJ66</f>
        <v>8</v>
      </c>
      <c r="AP66">
        <f>+SUM(AL66:AO66)</f>
        <v>45</v>
      </c>
    </row>
    <row r="67" spans="1:42" ht="15.75" hidden="1" customHeight="1" thickBot="1" x14ac:dyDescent="0.35">
      <c r="A67" s="16"/>
      <c r="B67" s="57">
        <v>13</v>
      </c>
      <c r="C67" s="58" t="s">
        <v>74</v>
      </c>
      <c r="D67" s="57">
        <v>2</v>
      </c>
      <c r="E67" s="57" t="s">
        <v>20</v>
      </c>
      <c r="F67" s="21" t="s">
        <v>21</v>
      </c>
      <c r="G67" s="21" t="s">
        <v>21</v>
      </c>
      <c r="H67" s="21" t="s">
        <v>21</v>
      </c>
      <c r="I67" s="21" t="s">
        <v>21</v>
      </c>
      <c r="J67" s="21" t="s">
        <v>21</v>
      </c>
      <c r="K67" s="21" t="s">
        <v>23</v>
      </c>
      <c r="L67" s="21" t="s">
        <v>21</v>
      </c>
      <c r="M67" s="21" t="s">
        <v>21</v>
      </c>
      <c r="N67" s="21" t="s">
        <v>21</v>
      </c>
      <c r="O67" s="21" t="s">
        <v>23</v>
      </c>
      <c r="P67" s="21" t="s">
        <v>23</v>
      </c>
      <c r="Q67" s="21" t="s">
        <v>23</v>
      </c>
      <c r="R67" s="21" t="s">
        <v>23</v>
      </c>
      <c r="S67" s="21" t="s">
        <v>23</v>
      </c>
      <c r="T67" s="21" t="s">
        <v>23</v>
      </c>
      <c r="U67" s="21" t="s">
        <v>21</v>
      </c>
      <c r="V67" s="38" t="s">
        <v>20</v>
      </c>
      <c r="W67" s="38" t="s">
        <v>20</v>
      </c>
      <c r="X67" s="38" t="s">
        <v>20</v>
      </c>
      <c r="Y67" s="21" t="s">
        <v>21</v>
      </c>
      <c r="Z67" s="21" t="s">
        <v>21</v>
      </c>
      <c r="AA67" s="23" t="s">
        <v>21</v>
      </c>
      <c r="AB67" s="23" t="s">
        <v>23</v>
      </c>
      <c r="AC67" s="23" t="s">
        <v>23</v>
      </c>
      <c r="AD67" s="31" t="s">
        <v>23</v>
      </c>
      <c r="AE67" s="31" t="s">
        <v>21</v>
      </c>
      <c r="AG67">
        <f>+COUNTIF(F67:AE67,"AD")</f>
        <v>0</v>
      </c>
      <c r="AH67">
        <f>+COUNTIF(F67:AE67,"A")</f>
        <v>3</v>
      </c>
      <c r="AI67">
        <f>+COUNTIF(F67:AE67,"b")</f>
        <v>13</v>
      </c>
      <c r="AJ67">
        <f>+COUNTIF(F67:AE67,"c")</f>
        <v>10</v>
      </c>
      <c r="AL67">
        <f>+$AG$5*AG67</f>
        <v>0</v>
      </c>
      <c r="AM67">
        <f>+$AH$5*AH67</f>
        <v>9</v>
      </c>
      <c r="AN67">
        <f>+$AI$5*AI67</f>
        <v>26</v>
      </c>
      <c r="AO67">
        <f>+$AJ$5*AJ67</f>
        <v>10</v>
      </c>
      <c r="AP67">
        <f>+SUM(AL67:AO67)</f>
        <v>45</v>
      </c>
    </row>
    <row r="68" spans="1:42" ht="15.75" hidden="1" customHeight="1" x14ac:dyDescent="0.3">
      <c r="A68" s="16"/>
      <c r="B68" s="55">
        <v>1</v>
      </c>
      <c r="C68" s="60" t="s">
        <v>93</v>
      </c>
      <c r="D68" s="59">
        <v>2</v>
      </c>
      <c r="E68" s="59" t="s">
        <v>21</v>
      </c>
      <c r="F68" s="24" t="s">
        <v>20</v>
      </c>
      <c r="G68" s="24" t="s">
        <v>20</v>
      </c>
      <c r="H68" s="24" t="s">
        <v>20</v>
      </c>
      <c r="I68" s="24" t="s">
        <v>20</v>
      </c>
      <c r="J68" s="24" t="s">
        <v>20</v>
      </c>
      <c r="K68" s="24" t="s">
        <v>20</v>
      </c>
      <c r="L68" s="24" t="s">
        <v>39</v>
      </c>
      <c r="M68" s="24" t="s">
        <v>20</v>
      </c>
      <c r="N68" s="24" t="s">
        <v>20</v>
      </c>
      <c r="O68" s="24" t="s">
        <v>20</v>
      </c>
      <c r="P68" s="24" t="s">
        <v>20</v>
      </c>
      <c r="Q68" s="24" t="s">
        <v>20</v>
      </c>
      <c r="R68" s="24" t="s">
        <v>20</v>
      </c>
      <c r="S68" s="24" t="s">
        <v>20</v>
      </c>
      <c r="T68" s="24" t="s">
        <v>20</v>
      </c>
      <c r="U68" s="24" t="s">
        <v>20</v>
      </c>
      <c r="V68" s="39" t="s">
        <v>20</v>
      </c>
      <c r="W68" s="39" t="s">
        <v>20</v>
      </c>
      <c r="X68" s="39" t="s">
        <v>20</v>
      </c>
      <c r="Y68" s="24" t="s">
        <v>20</v>
      </c>
      <c r="Z68" s="24" t="s">
        <v>20</v>
      </c>
      <c r="AA68" s="27" t="s">
        <v>20</v>
      </c>
      <c r="AB68" s="27" t="s">
        <v>20</v>
      </c>
      <c r="AC68" s="27" t="s">
        <v>20</v>
      </c>
      <c r="AD68" s="24" t="s">
        <v>20</v>
      </c>
      <c r="AE68" s="24" t="s">
        <v>21</v>
      </c>
      <c r="AG68">
        <f>+COUNTIF(F68:AE68,"AD")</f>
        <v>1</v>
      </c>
      <c r="AH68">
        <f>+COUNTIF(F68:AE68,"A")</f>
        <v>24</v>
      </c>
      <c r="AI68">
        <f>+COUNTIF(F68:AE68,"b")</f>
        <v>1</v>
      </c>
      <c r="AJ68">
        <f>+COUNTIF(F68:AE68,"c")</f>
        <v>0</v>
      </c>
      <c r="AL68">
        <f>+$AG$5*AG68</f>
        <v>4</v>
      </c>
      <c r="AM68">
        <f>+$AH$5*AH68</f>
        <v>72</v>
      </c>
      <c r="AN68">
        <f>+$AI$5*AI68</f>
        <v>2</v>
      </c>
      <c r="AO68">
        <f>+$AJ$5*AJ68</f>
        <v>0</v>
      </c>
      <c r="AP68">
        <f>+SUM(AL68:AO68)</f>
        <v>78</v>
      </c>
    </row>
    <row r="69" spans="1:42" ht="15.75" hidden="1" customHeight="1" x14ac:dyDescent="0.3">
      <c r="A69" s="16"/>
      <c r="B69" s="55">
        <v>2</v>
      </c>
      <c r="C69" s="56" t="s">
        <v>99</v>
      </c>
      <c r="D69" s="55">
        <v>2</v>
      </c>
      <c r="E69" s="55" t="s">
        <v>21</v>
      </c>
      <c r="F69" s="18" t="s">
        <v>20</v>
      </c>
      <c r="G69" s="18" t="s">
        <v>20</v>
      </c>
      <c r="H69" s="18" t="s">
        <v>20</v>
      </c>
      <c r="I69" s="18" t="s">
        <v>20</v>
      </c>
      <c r="J69" s="18" t="s">
        <v>20</v>
      </c>
      <c r="K69" s="18" t="s">
        <v>20</v>
      </c>
      <c r="L69" s="18" t="s">
        <v>20</v>
      </c>
      <c r="M69" s="18" t="s">
        <v>21</v>
      </c>
      <c r="N69" s="18" t="s">
        <v>20</v>
      </c>
      <c r="O69" s="18" t="s">
        <v>20</v>
      </c>
      <c r="P69" s="18" t="s">
        <v>20</v>
      </c>
      <c r="Q69" s="18" t="s">
        <v>20</v>
      </c>
      <c r="R69" s="18" t="s">
        <v>20</v>
      </c>
      <c r="S69" s="18" t="s">
        <v>20</v>
      </c>
      <c r="T69" s="18" t="s">
        <v>20</v>
      </c>
      <c r="U69" s="18" t="s">
        <v>21</v>
      </c>
      <c r="V69" s="37" t="s">
        <v>20</v>
      </c>
      <c r="W69" s="37" t="s">
        <v>20</v>
      </c>
      <c r="X69" s="37" t="s">
        <v>20</v>
      </c>
      <c r="Y69" s="18" t="s">
        <v>20</v>
      </c>
      <c r="Z69" s="18" t="s">
        <v>20</v>
      </c>
      <c r="AA69" s="20" t="s">
        <v>21</v>
      </c>
      <c r="AB69" s="20" t="s">
        <v>21</v>
      </c>
      <c r="AC69" s="20" t="s">
        <v>21</v>
      </c>
      <c r="AD69" s="40" t="s">
        <v>23</v>
      </c>
      <c r="AE69" s="40" t="s">
        <v>21</v>
      </c>
      <c r="AG69">
        <f>+COUNTIF(F69:AE69,"AD")</f>
        <v>0</v>
      </c>
      <c r="AH69">
        <f>+COUNTIF(F69:AE69,"A")</f>
        <v>19</v>
      </c>
      <c r="AI69">
        <f>+COUNTIF(F69:AE69,"b")</f>
        <v>6</v>
      </c>
      <c r="AJ69">
        <f>+COUNTIF(F69:AE69,"c")</f>
        <v>1</v>
      </c>
      <c r="AL69">
        <f>+$AG$5*AG69</f>
        <v>0</v>
      </c>
      <c r="AM69">
        <f>+$AH$5*AH69</f>
        <v>57</v>
      </c>
      <c r="AN69">
        <f>+$AI$5*AI69</f>
        <v>12</v>
      </c>
      <c r="AO69">
        <f>+$AJ$5*AJ69</f>
        <v>1</v>
      </c>
      <c r="AP69">
        <f>+SUM(AL69:AO69)</f>
        <v>70</v>
      </c>
    </row>
    <row r="70" spans="1:42" ht="15.75" hidden="1" customHeight="1" x14ac:dyDescent="0.3">
      <c r="A70" s="16"/>
      <c r="B70" s="55">
        <v>3</v>
      </c>
      <c r="C70" s="56" t="s">
        <v>105</v>
      </c>
      <c r="D70" s="55">
        <v>2</v>
      </c>
      <c r="E70" s="55" t="s">
        <v>21</v>
      </c>
      <c r="F70" s="18" t="s">
        <v>20</v>
      </c>
      <c r="G70" s="18" t="s">
        <v>20</v>
      </c>
      <c r="H70" s="18" t="s">
        <v>20</v>
      </c>
      <c r="I70" s="18" t="s">
        <v>20</v>
      </c>
      <c r="J70" s="18" t="s">
        <v>20</v>
      </c>
      <c r="K70" s="18" t="s">
        <v>20</v>
      </c>
      <c r="L70" s="18" t="s">
        <v>21</v>
      </c>
      <c r="M70" s="18" t="s">
        <v>21</v>
      </c>
      <c r="N70" s="18" t="s">
        <v>20</v>
      </c>
      <c r="O70" s="18" t="s">
        <v>20</v>
      </c>
      <c r="P70" s="18" t="s">
        <v>23</v>
      </c>
      <c r="Q70" s="18" t="s">
        <v>23</v>
      </c>
      <c r="R70" s="18" t="s">
        <v>21</v>
      </c>
      <c r="S70" s="18" t="s">
        <v>21</v>
      </c>
      <c r="T70" s="18" t="s">
        <v>20</v>
      </c>
      <c r="U70" s="18" t="s">
        <v>21</v>
      </c>
      <c r="V70" s="37" t="s">
        <v>21</v>
      </c>
      <c r="W70" s="37" t="s">
        <v>20</v>
      </c>
      <c r="X70" s="37" t="s">
        <v>21</v>
      </c>
      <c r="Y70" s="18" t="s">
        <v>20</v>
      </c>
      <c r="Z70" s="18" t="s">
        <v>20</v>
      </c>
      <c r="AA70" s="20" t="s">
        <v>20</v>
      </c>
      <c r="AB70" s="20" t="s">
        <v>20</v>
      </c>
      <c r="AC70" s="20" t="s">
        <v>20</v>
      </c>
      <c r="AD70" s="18" t="s">
        <v>21</v>
      </c>
      <c r="AE70" s="18" t="s">
        <v>21</v>
      </c>
      <c r="AG70">
        <f>+COUNTIF(F70:AE70,"AD")</f>
        <v>0</v>
      </c>
      <c r="AH70">
        <f>+COUNTIF(F70:AE70,"A")</f>
        <v>15</v>
      </c>
      <c r="AI70">
        <f>+COUNTIF(F70:AE70,"b")</f>
        <v>9</v>
      </c>
      <c r="AJ70">
        <f>+COUNTIF(F70:AE70,"c")</f>
        <v>2</v>
      </c>
      <c r="AL70">
        <f>+$AG$5*AG70</f>
        <v>0</v>
      </c>
      <c r="AM70">
        <f>+$AH$5*AH70</f>
        <v>45</v>
      </c>
      <c r="AN70">
        <f>+$AI$5*AI70</f>
        <v>18</v>
      </c>
      <c r="AO70">
        <f>+$AJ$5*AJ70</f>
        <v>2</v>
      </c>
      <c r="AP70">
        <f>+SUM(AL70:AO70)</f>
        <v>65</v>
      </c>
    </row>
    <row r="71" spans="1:42" ht="15.75" hidden="1" customHeight="1" x14ac:dyDescent="0.3">
      <c r="A71" s="16"/>
      <c r="B71" s="55">
        <v>4</v>
      </c>
      <c r="C71" s="56" t="s">
        <v>98</v>
      </c>
      <c r="D71" s="55">
        <v>2</v>
      </c>
      <c r="E71" s="55" t="s">
        <v>21</v>
      </c>
      <c r="F71" s="18" t="s">
        <v>20</v>
      </c>
      <c r="G71" s="18" t="s">
        <v>21</v>
      </c>
      <c r="H71" s="18" t="s">
        <v>20</v>
      </c>
      <c r="I71" s="18" t="s">
        <v>21</v>
      </c>
      <c r="J71" s="18" t="s">
        <v>20</v>
      </c>
      <c r="K71" s="18" t="s">
        <v>20</v>
      </c>
      <c r="L71" s="18" t="s">
        <v>20</v>
      </c>
      <c r="M71" s="18" t="s">
        <v>21</v>
      </c>
      <c r="N71" s="18" t="s">
        <v>20</v>
      </c>
      <c r="O71" s="18" t="s">
        <v>21</v>
      </c>
      <c r="P71" s="18" t="s">
        <v>21</v>
      </c>
      <c r="Q71" s="18" t="s">
        <v>21</v>
      </c>
      <c r="R71" s="18" t="s">
        <v>21</v>
      </c>
      <c r="S71" s="18" t="s">
        <v>20</v>
      </c>
      <c r="T71" s="18" t="s">
        <v>20</v>
      </c>
      <c r="U71" s="18" t="s">
        <v>21</v>
      </c>
      <c r="V71" s="37" t="s">
        <v>21</v>
      </c>
      <c r="W71" s="37" t="s">
        <v>20</v>
      </c>
      <c r="X71" s="37" t="s">
        <v>21</v>
      </c>
      <c r="Y71" s="18" t="s">
        <v>21</v>
      </c>
      <c r="Z71" s="18" t="s">
        <v>21</v>
      </c>
      <c r="AA71" s="20" t="s">
        <v>21</v>
      </c>
      <c r="AB71" s="20" t="s">
        <v>20</v>
      </c>
      <c r="AC71" s="20" t="s">
        <v>20</v>
      </c>
      <c r="AD71" s="18" t="s">
        <v>21</v>
      </c>
      <c r="AE71" s="18" t="s">
        <v>21</v>
      </c>
      <c r="AG71">
        <f>+COUNTIF(F71:AE71,"AD")</f>
        <v>0</v>
      </c>
      <c r="AH71">
        <f>+COUNTIF(F71:AE71,"A")</f>
        <v>11</v>
      </c>
      <c r="AI71">
        <f>+COUNTIF(F71:AE71,"b")</f>
        <v>15</v>
      </c>
      <c r="AJ71">
        <f>+COUNTIF(F71:AE71,"c")</f>
        <v>0</v>
      </c>
      <c r="AL71">
        <f>+$AG$5*AG71</f>
        <v>0</v>
      </c>
      <c r="AM71">
        <f>+$AH$5*AH71</f>
        <v>33</v>
      </c>
      <c r="AN71">
        <f>+$AI$5*AI71</f>
        <v>30</v>
      </c>
      <c r="AO71">
        <f>+$AJ$5*AJ71</f>
        <v>0</v>
      </c>
      <c r="AP71">
        <f>+SUM(AL71:AO71)</f>
        <v>63</v>
      </c>
    </row>
    <row r="72" spans="1:42" ht="15.75" hidden="1" customHeight="1" x14ac:dyDescent="0.3">
      <c r="A72" s="16"/>
      <c r="B72" s="55">
        <v>5</v>
      </c>
      <c r="C72" s="56" t="s">
        <v>88</v>
      </c>
      <c r="D72" s="55">
        <v>2</v>
      </c>
      <c r="E72" s="55" t="s">
        <v>21</v>
      </c>
      <c r="F72" s="18" t="s">
        <v>20</v>
      </c>
      <c r="G72" s="18" t="s">
        <v>21</v>
      </c>
      <c r="H72" s="18" t="s">
        <v>20</v>
      </c>
      <c r="I72" s="18" t="s">
        <v>21</v>
      </c>
      <c r="J72" s="18" t="s">
        <v>20</v>
      </c>
      <c r="K72" s="18" t="s">
        <v>20</v>
      </c>
      <c r="L72" s="18" t="s">
        <v>20</v>
      </c>
      <c r="M72" s="18" t="s">
        <v>23</v>
      </c>
      <c r="N72" s="18" t="s">
        <v>21</v>
      </c>
      <c r="O72" s="18" t="s">
        <v>20</v>
      </c>
      <c r="P72" s="18" t="s">
        <v>21</v>
      </c>
      <c r="Q72" s="18" t="s">
        <v>21</v>
      </c>
      <c r="R72" s="18" t="s">
        <v>21</v>
      </c>
      <c r="S72" s="18" t="s">
        <v>20</v>
      </c>
      <c r="T72" s="18" t="s">
        <v>20</v>
      </c>
      <c r="U72" s="18" t="s">
        <v>20</v>
      </c>
      <c r="V72" s="37" t="s">
        <v>21</v>
      </c>
      <c r="W72" s="37" t="s">
        <v>21</v>
      </c>
      <c r="X72" s="37" t="s">
        <v>21</v>
      </c>
      <c r="Y72" s="18" t="s">
        <v>21</v>
      </c>
      <c r="Z72" s="18" t="s">
        <v>21</v>
      </c>
      <c r="AA72" s="20" t="s">
        <v>20</v>
      </c>
      <c r="AB72" s="20" t="s">
        <v>20</v>
      </c>
      <c r="AC72" s="20" t="s">
        <v>20</v>
      </c>
      <c r="AD72" s="18" t="s">
        <v>23</v>
      </c>
      <c r="AE72" s="18" t="s">
        <v>21</v>
      </c>
      <c r="AG72">
        <f>+COUNTIF(F72:AE72,"AD")</f>
        <v>0</v>
      </c>
      <c r="AH72">
        <f>+COUNTIF(F72:AE72,"A")</f>
        <v>12</v>
      </c>
      <c r="AI72">
        <f>+COUNTIF(F72:AE72,"b")</f>
        <v>12</v>
      </c>
      <c r="AJ72">
        <f>+COUNTIF(F72:AE72,"c")</f>
        <v>2</v>
      </c>
      <c r="AL72">
        <f>+$AG$5*AG72</f>
        <v>0</v>
      </c>
      <c r="AM72">
        <f>+$AH$5*AH72</f>
        <v>36</v>
      </c>
      <c r="AN72">
        <f>+$AI$5*AI72</f>
        <v>24</v>
      </c>
      <c r="AO72">
        <f>+$AJ$5*AJ72</f>
        <v>2</v>
      </c>
      <c r="AP72">
        <f>+SUM(AL72:AO72)</f>
        <v>62</v>
      </c>
    </row>
    <row r="73" spans="1:42" ht="15.75" hidden="1" customHeight="1" x14ac:dyDescent="0.3">
      <c r="A73" s="16"/>
      <c r="B73" s="55">
        <v>6</v>
      </c>
      <c r="C73" s="56" t="s">
        <v>97</v>
      </c>
      <c r="D73" s="55">
        <v>2</v>
      </c>
      <c r="E73" s="55" t="s">
        <v>21</v>
      </c>
      <c r="F73" s="18" t="s">
        <v>20</v>
      </c>
      <c r="G73" s="18" t="s">
        <v>21</v>
      </c>
      <c r="H73" s="18" t="s">
        <v>21</v>
      </c>
      <c r="I73" s="18" t="s">
        <v>21</v>
      </c>
      <c r="J73" s="18" t="s">
        <v>21</v>
      </c>
      <c r="K73" s="18" t="s">
        <v>21</v>
      </c>
      <c r="L73" s="18" t="s">
        <v>21</v>
      </c>
      <c r="M73" s="18" t="s">
        <v>20</v>
      </c>
      <c r="N73" s="18" t="s">
        <v>20</v>
      </c>
      <c r="O73" s="18" t="s">
        <v>20</v>
      </c>
      <c r="P73" s="18" t="s">
        <v>21</v>
      </c>
      <c r="Q73" s="18" t="s">
        <v>21</v>
      </c>
      <c r="R73" s="18" t="s">
        <v>21</v>
      </c>
      <c r="S73" s="18" t="s">
        <v>20</v>
      </c>
      <c r="T73" s="18" t="s">
        <v>20</v>
      </c>
      <c r="U73" s="18" t="s">
        <v>21</v>
      </c>
      <c r="V73" s="37" t="s">
        <v>21</v>
      </c>
      <c r="W73" s="37" t="s">
        <v>20</v>
      </c>
      <c r="X73" s="37" t="s">
        <v>20</v>
      </c>
      <c r="Y73" s="18" t="s">
        <v>20</v>
      </c>
      <c r="Z73" s="18" t="s">
        <v>20</v>
      </c>
      <c r="AA73" s="20" t="s">
        <v>23</v>
      </c>
      <c r="AB73" s="20" t="s">
        <v>21</v>
      </c>
      <c r="AC73" s="20" t="s">
        <v>21</v>
      </c>
      <c r="AD73" s="18" t="s">
        <v>20</v>
      </c>
      <c r="AE73" s="18" t="s">
        <v>21</v>
      </c>
      <c r="AG73">
        <f>+COUNTIF(F73:AE73,"AD")</f>
        <v>0</v>
      </c>
      <c r="AH73">
        <f>+COUNTIF(F73:AE73,"A")</f>
        <v>11</v>
      </c>
      <c r="AI73">
        <f>+COUNTIF(F73:AE73,"b")</f>
        <v>14</v>
      </c>
      <c r="AJ73">
        <f>+COUNTIF(F73:AE73,"c")</f>
        <v>1</v>
      </c>
      <c r="AL73">
        <f>+$AG$5*AG73</f>
        <v>0</v>
      </c>
      <c r="AM73">
        <f>+$AH$5*AH73</f>
        <v>33</v>
      </c>
      <c r="AN73">
        <f>+$AI$5*AI73</f>
        <v>28</v>
      </c>
      <c r="AO73">
        <f>+$AJ$5*AJ73</f>
        <v>1</v>
      </c>
      <c r="AP73">
        <f>+SUM(AL73:AO73)</f>
        <v>62</v>
      </c>
    </row>
    <row r="74" spans="1:42" ht="15.75" hidden="1" customHeight="1" x14ac:dyDescent="0.3">
      <c r="A74" s="16"/>
      <c r="B74" s="55">
        <v>7</v>
      </c>
      <c r="C74" s="56" t="s">
        <v>89</v>
      </c>
      <c r="D74" s="55">
        <v>2</v>
      </c>
      <c r="E74" s="55" t="s">
        <v>21</v>
      </c>
      <c r="F74" s="18" t="s">
        <v>20</v>
      </c>
      <c r="G74" s="18" t="s">
        <v>21</v>
      </c>
      <c r="H74" s="18" t="s">
        <v>21</v>
      </c>
      <c r="I74" s="18" t="s">
        <v>21</v>
      </c>
      <c r="J74" s="18" t="s">
        <v>21</v>
      </c>
      <c r="K74" s="18" t="s">
        <v>21</v>
      </c>
      <c r="L74" s="18" t="s">
        <v>21</v>
      </c>
      <c r="M74" s="18" t="s">
        <v>21</v>
      </c>
      <c r="N74" s="18" t="s">
        <v>20</v>
      </c>
      <c r="O74" s="18" t="s">
        <v>21</v>
      </c>
      <c r="P74" s="18" t="s">
        <v>20</v>
      </c>
      <c r="Q74" s="18" t="s">
        <v>20</v>
      </c>
      <c r="R74" s="18" t="s">
        <v>20</v>
      </c>
      <c r="S74" s="18" t="s">
        <v>20</v>
      </c>
      <c r="T74" s="18" t="s">
        <v>20</v>
      </c>
      <c r="U74" s="18" t="s">
        <v>21</v>
      </c>
      <c r="V74" s="37" t="s">
        <v>20</v>
      </c>
      <c r="W74" s="37" t="s">
        <v>21</v>
      </c>
      <c r="X74" s="37" t="s">
        <v>21</v>
      </c>
      <c r="Y74" s="18" t="s">
        <v>21</v>
      </c>
      <c r="Z74" s="18" t="s">
        <v>21</v>
      </c>
      <c r="AA74" s="20" t="s">
        <v>21</v>
      </c>
      <c r="AB74" s="20" t="s">
        <v>21</v>
      </c>
      <c r="AC74" s="20" t="s">
        <v>21</v>
      </c>
      <c r="AD74" s="18" t="s">
        <v>21</v>
      </c>
      <c r="AE74" s="18" t="s">
        <v>21</v>
      </c>
      <c r="AG74">
        <f>+COUNTIF(F74:AE74,"AD")</f>
        <v>0</v>
      </c>
      <c r="AH74">
        <f>+COUNTIF(F74:AE74,"A")</f>
        <v>8</v>
      </c>
      <c r="AI74">
        <f>+COUNTIF(F74:AE74,"b")</f>
        <v>18</v>
      </c>
      <c r="AJ74">
        <f>+COUNTIF(F74:AE74,"c")</f>
        <v>0</v>
      </c>
      <c r="AL74">
        <f>+$AG$5*AG74</f>
        <v>0</v>
      </c>
      <c r="AM74">
        <f>+$AH$5*AH74</f>
        <v>24</v>
      </c>
      <c r="AN74">
        <f>+$AI$5*AI74</f>
        <v>36</v>
      </c>
      <c r="AO74">
        <f>+$AJ$5*AJ74</f>
        <v>0</v>
      </c>
      <c r="AP74">
        <f>+SUM(AL74:AO74)</f>
        <v>60</v>
      </c>
    </row>
    <row r="75" spans="1:42" ht="15.75" hidden="1" customHeight="1" x14ac:dyDescent="0.3">
      <c r="A75" s="16"/>
      <c r="B75" s="55">
        <v>8</v>
      </c>
      <c r="C75" s="56" t="s">
        <v>90</v>
      </c>
      <c r="D75" s="55">
        <v>2</v>
      </c>
      <c r="E75" s="55" t="s">
        <v>21</v>
      </c>
      <c r="F75" s="18" t="s">
        <v>20</v>
      </c>
      <c r="G75" s="18" t="s">
        <v>20</v>
      </c>
      <c r="H75" s="18" t="s">
        <v>20</v>
      </c>
      <c r="I75" s="18" t="s">
        <v>20</v>
      </c>
      <c r="J75" s="18" t="s">
        <v>21</v>
      </c>
      <c r="K75" s="18" t="s">
        <v>20</v>
      </c>
      <c r="L75" s="18" t="s">
        <v>20</v>
      </c>
      <c r="M75" s="18" t="s">
        <v>21</v>
      </c>
      <c r="N75" s="18" t="s">
        <v>20</v>
      </c>
      <c r="O75" s="18" t="s">
        <v>20</v>
      </c>
      <c r="P75" s="18" t="s">
        <v>21</v>
      </c>
      <c r="Q75" s="18" t="s">
        <v>21</v>
      </c>
      <c r="R75" s="18" t="s">
        <v>21</v>
      </c>
      <c r="S75" s="18" t="s">
        <v>21</v>
      </c>
      <c r="T75" s="18" t="s">
        <v>20</v>
      </c>
      <c r="U75" s="18" t="s">
        <v>21</v>
      </c>
      <c r="V75" s="37" t="s">
        <v>21</v>
      </c>
      <c r="W75" s="37" t="s">
        <v>21</v>
      </c>
      <c r="X75" s="37" t="s">
        <v>21</v>
      </c>
      <c r="Y75" s="18" t="s">
        <v>21</v>
      </c>
      <c r="Z75" s="18" t="s">
        <v>20</v>
      </c>
      <c r="AA75" s="20" t="s">
        <v>21</v>
      </c>
      <c r="AB75" s="20" t="s">
        <v>23</v>
      </c>
      <c r="AC75" s="20" t="s">
        <v>21</v>
      </c>
      <c r="AD75" s="18" t="s">
        <v>23</v>
      </c>
      <c r="AE75" s="18" t="s">
        <v>21</v>
      </c>
      <c r="AG75">
        <f>+COUNTIF(F75:AE75,"AD")</f>
        <v>0</v>
      </c>
      <c r="AH75">
        <f>+COUNTIF(F75:AE75,"A")</f>
        <v>10</v>
      </c>
      <c r="AI75">
        <f>+COUNTIF(F75:AE75,"b")</f>
        <v>14</v>
      </c>
      <c r="AJ75">
        <f>+COUNTIF(F75:AE75,"c")</f>
        <v>2</v>
      </c>
      <c r="AL75">
        <f>+$AG$5*AG75</f>
        <v>0</v>
      </c>
      <c r="AM75">
        <f>+$AH$5*AH75</f>
        <v>30</v>
      </c>
      <c r="AN75">
        <f>+$AI$5*AI75</f>
        <v>28</v>
      </c>
      <c r="AO75">
        <f>+$AJ$5*AJ75</f>
        <v>2</v>
      </c>
      <c r="AP75">
        <f>+SUM(AL75:AO75)</f>
        <v>60</v>
      </c>
    </row>
    <row r="76" spans="1:42" ht="15.75" hidden="1" customHeight="1" x14ac:dyDescent="0.3">
      <c r="A76" s="16"/>
      <c r="B76" s="55">
        <v>9</v>
      </c>
      <c r="C76" s="56" t="s">
        <v>94</v>
      </c>
      <c r="D76" s="55">
        <v>2</v>
      </c>
      <c r="E76" s="55" t="s">
        <v>21</v>
      </c>
      <c r="F76" s="18" t="s">
        <v>20</v>
      </c>
      <c r="G76" s="18" t="s">
        <v>21</v>
      </c>
      <c r="H76" s="18" t="s">
        <v>21</v>
      </c>
      <c r="I76" s="18" t="s">
        <v>21</v>
      </c>
      <c r="J76" s="18" t="s">
        <v>21</v>
      </c>
      <c r="K76" s="18" t="s">
        <v>21</v>
      </c>
      <c r="L76" s="18" t="s">
        <v>21</v>
      </c>
      <c r="M76" s="18" t="s">
        <v>21</v>
      </c>
      <c r="N76" s="18" t="s">
        <v>21</v>
      </c>
      <c r="O76" s="18" t="s">
        <v>20</v>
      </c>
      <c r="P76" s="18" t="s">
        <v>21</v>
      </c>
      <c r="Q76" s="18" t="s">
        <v>21</v>
      </c>
      <c r="R76" s="18" t="s">
        <v>21</v>
      </c>
      <c r="S76" s="18" t="s">
        <v>21</v>
      </c>
      <c r="T76" s="18" t="s">
        <v>20</v>
      </c>
      <c r="U76" s="18" t="s">
        <v>20</v>
      </c>
      <c r="V76" s="37" t="s">
        <v>20</v>
      </c>
      <c r="W76" s="37" t="s">
        <v>20</v>
      </c>
      <c r="X76" s="37" t="s">
        <v>20</v>
      </c>
      <c r="Y76" s="18" t="s">
        <v>20</v>
      </c>
      <c r="Z76" s="18" t="s">
        <v>21</v>
      </c>
      <c r="AA76" s="20" t="s">
        <v>21</v>
      </c>
      <c r="AB76" s="20" t="s">
        <v>21</v>
      </c>
      <c r="AC76" s="20" t="s">
        <v>21</v>
      </c>
      <c r="AD76" s="18" t="s">
        <v>21</v>
      </c>
      <c r="AE76" s="18" t="s">
        <v>21</v>
      </c>
      <c r="AG76">
        <f>+COUNTIF(F76:AE76,"AD")</f>
        <v>0</v>
      </c>
      <c r="AH76">
        <f>+COUNTIF(F76:AE76,"A")</f>
        <v>8</v>
      </c>
      <c r="AI76">
        <f>+COUNTIF(F76:AE76,"b")</f>
        <v>18</v>
      </c>
      <c r="AJ76">
        <f>+COUNTIF(F76:AE76,"c")</f>
        <v>0</v>
      </c>
      <c r="AL76">
        <f>+$AG$5*AG76</f>
        <v>0</v>
      </c>
      <c r="AM76">
        <f>+$AH$5*AH76</f>
        <v>24</v>
      </c>
      <c r="AN76">
        <f>+$AI$5*AI76</f>
        <v>36</v>
      </c>
      <c r="AO76">
        <f>+$AJ$5*AJ76</f>
        <v>0</v>
      </c>
      <c r="AP76">
        <f>+SUM(AL76:AO76)</f>
        <v>60</v>
      </c>
    </row>
    <row r="77" spans="1:42" ht="15.75" hidden="1" customHeight="1" x14ac:dyDescent="0.3">
      <c r="A77" s="16"/>
      <c r="B77" s="55">
        <v>10</v>
      </c>
      <c r="C77" s="56" t="s">
        <v>91</v>
      </c>
      <c r="D77" s="55">
        <v>2</v>
      </c>
      <c r="E77" s="55" t="s">
        <v>21</v>
      </c>
      <c r="F77" s="18" t="s">
        <v>21</v>
      </c>
      <c r="G77" s="18" t="s">
        <v>21</v>
      </c>
      <c r="H77" s="18" t="s">
        <v>21</v>
      </c>
      <c r="I77" s="18" t="s">
        <v>21</v>
      </c>
      <c r="J77" s="18" t="s">
        <v>21</v>
      </c>
      <c r="K77" s="18" t="s">
        <v>21</v>
      </c>
      <c r="L77" s="18" t="s">
        <v>21</v>
      </c>
      <c r="M77" s="18" t="s">
        <v>20</v>
      </c>
      <c r="N77" s="18" t="s">
        <v>20</v>
      </c>
      <c r="O77" s="18" t="s">
        <v>21</v>
      </c>
      <c r="P77" s="18" t="s">
        <v>23</v>
      </c>
      <c r="Q77" s="18" t="s">
        <v>21</v>
      </c>
      <c r="R77" s="18" t="s">
        <v>21</v>
      </c>
      <c r="S77" s="18" t="s">
        <v>21</v>
      </c>
      <c r="T77" s="18" t="s">
        <v>20</v>
      </c>
      <c r="U77" s="18" t="s">
        <v>20</v>
      </c>
      <c r="V77" s="37" t="s">
        <v>20</v>
      </c>
      <c r="W77" s="37" t="s">
        <v>20</v>
      </c>
      <c r="X77" s="37" t="s">
        <v>20</v>
      </c>
      <c r="Y77" s="18" t="s">
        <v>21</v>
      </c>
      <c r="Z77" s="18" t="s">
        <v>20</v>
      </c>
      <c r="AA77" s="20" t="s">
        <v>21</v>
      </c>
      <c r="AB77" s="20" t="s">
        <v>21</v>
      </c>
      <c r="AC77" s="20" t="s">
        <v>21</v>
      </c>
      <c r="AD77" s="18" t="s">
        <v>21</v>
      </c>
      <c r="AE77" s="18" t="s">
        <v>21</v>
      </c>
      <c r="AG77">
        <f>+COUNTIF(F77:AE77,"AD")</f>
        <v>0</v>
      </c>
      <c r="AH77">
        <f>+COUNTIF(F77:AE77,"A")</f>
        <v>8</v>
      </c>
      <c r="AI77">
        <f>+COUNTIF(F77:AE77,"b")</f>
        <v>17</v>
      </c>
      <c r="AJ77">
        <f>+COUNTIF(F77:AE77,"c")</f>
        <v>1</v>
      </c>
      <c r="AL77">
        <f>+$AG$5*AG77</f>
        <v>0</v>
      </c>
      <c r="AM77">
        <f>+$AH$5*AH77</f>
        <v>24</v>
      </c>
      <c r="AN77">
        <f>+$AI$5*AI77</f>
        <v>34</v>
      </c>
      <c r="AO77">
        <f>+$AJ$5*AJ77</f>
        <v>1</v>
      </c>
      <c r="AP77">
        <f>+SUM(AL77:AO77)</f>
        <v>59</v>
      </c>
    </row>
    <row r="78" spans="1:42" ht="15.75" hidden="1" customHeight="1" x14ac:dyDescent="0.3">
      <c r="A78" s="16"/>
      <c r="B78" s="55">
        <v>11</v>
      </c>
      <c r="C78" s="56" t="s">
        <v>86</v>
      </c>
      <c r="D78" s="55">
        <v>2</v>
      </c>
      <c r="E78" s="55" t="s">
        <v>21</v>
      </c>
      <c r="F78" s="18" t="s">
        <v>21</v>
      </c>
      <c r="G78" s="18" t="s">
        <v>21</v>
      </c>
      <c r="H78" s="18" t="s">
        <v>21</v>
      </c>
      <c r="I78" s="18" t="s">
        <v>21</v>
      </c>
      <c r="J78" s="18" t="s">
        <v>21</v>
      </c>
      <c r="K78" s="18" t="s">
        <v>20</v>
      </c>
      <c r="L78" s="18" t="s">
        <v>20</v>
      </c>
      <c r="M78" s="18" t="s">
        <v>21</v>
      </c>
      <c r="N78" s="18" t="s">
        <v>21</v>
      </c>
      <c r="O78" s="18" t="s">
        <v>21</v>
      </c>
      <c r="P78" s="18" t="s">
        <v>21</v>
      </c>
      <c r="Q78" s="18" t="s">
        <v>21</v>
      </c>
      <c r="R78" s="18" t="s">
        <v>21</v>
      </c>
      <c r="S78" s="18" t="s">
        <v>21</v>
      </c>
      <c r="T78" s="18" t="s">
        <v>21</v>
      </c>
      <c r="U78" s="18" t="s">
        <v>21</v>
      </c>
      <c r="V78" s="37" t="s">
        <v>21</v>
      </c>
      <c r="W78" s="37" t="s">
        <v>20</v>
      </c>
      <c r="X78" s="37" t="s">
        <v>20</v>
      </c>
      <c r="Y78" s="18" t="s">
        <v>20</v>
      </c>
      <c r="Z78" s="18" t="s">
        <v>20</v>
      </c>
      <c r="AA78" s="20" t="s">
        <v>21</v>
      </c>
      <c r="AB78" s="20" t="s">
        <v>21</v>
      </c>
      <c r="AC78" s="20" t="s">
        <v>21</v>
      </c>
      <c r="AD78" s="18" t="s">
        <v>21</v>
      </c>
      <c r="AE78" s="18" t="s">
        <v>21</v>
      </c>
      <c r="AG78">
        <f>+COUNTIF(F78:AE78,"AD")</f>
        <v>0</v>
      </c>
      <c r="AH78">
        <f>+COUNTIF(F78:AE78,"A")</f>
        <v>6</v>
      </c>
      <c r="AI78">
        <f>+COUNTIF(F78:AE78,"b")</f>
        <v>20</v>
      </c>
      <c r="AJ78">
        <f>+COUNTIF(F78:AE78,"c")</f>
        <v>0</v>
      </c>
      <c r="AL78">
        <f>+$AG$5*AG78</f>
        <v>0</v>
      </c>
      <c r="AM78">
        <f>+$AH$5*AH78</f>
        <v>18</v>
      </c>
      <c r="AN78">
        <f>+$AI$5*AI78</f>
        <v>40</v>
      </c>
      <c r="AO78">
        <f>+$AJ$5*AJ78</f>
        <v>0</v>
      </c>
      <c r="AP78">
        <f>+SUM(AL78:AO78)</f>
        <v>58</v>
      </c>
    </row>
    <row r="79" spans="1:42" ht="15.75" hidden="1" customHeight="1" x14ac:dyDescent="0.3">
      <c r="A79" s="16"/>
      <c r="B79" s="55">
        <v>12</v>
      </c>
      <c r="C79" s="56" t="s">
        <v>103</v>
      </c>
      <c r="D79" s="55">
        <v>2</v>
      </c>
      <c r="E79" s="55" t="s">
        <v>21</v>
      </c>
      <c r="F79" s="18" t="s">
        <v>20</v>
      </c>
      <c r="G79" s="18" t="s">
        <v>21</v>
      </c>
      <c r="H79" s="18" t="s">
        <v>21</v>
      </c>
      <c r="I79" s="18" t="s">
        <v>20</v>
      </c>
      <c r="J79" s="18" t="s">
        <v>21</v>
      </c>
      <c r="K79" s="18" t="s">
        <v>20</v>
      </c>
      <c r="L79" s="18" t="s">
        <v>20</v>
      </c>
      <c r="M79" s="18" t="s">
        <v>23</v>
      </c>
      <c r="N79" s="18" t="s">
        <v>20</v>
      </c>
      <c r="O79" s="18" t="s">
        <v>20</v>
      </c>
      <c r="P79" s="18" t="s">
        <v>21</v>
      </c>
      <c r="Q79" s="18" t="s">
        <v>21</v>
      </c>
      <c r="R79" s="18" t="s">
        <v>21</v>
      </c>
      <c r="S79" s="18" t="s">
        <v>20</v>
      </c>
      <c r="T79" s="18" t="s">
        <v>21</v>
      </c>
      <c r="U79" s="18" t="s">
        <v>21</v>
      </c>
      <c r="V79" s="37" t="s">
        <v>21</v>
      </c>
      <c r="W79" s="37" t="s">
        <v>21</v>
      </c>
      <c r="X79" s="37" t="s">
        <v>21</v>
      </c>
      <c r="Y79" s="18" t="s">
        <v>23</v>
      </c>
      <c r="Z79" s="18" t="s">
        <v>21</v>
      </c>
      <c r="AA79" s="20" t="s">
        <v>21</v>
      </c>
      <c r="AB79" s="20" t="s">
        <v>20</v>
      </c>
      <c r="AC79" s="20" t="s">
        <v>20</v>
      </c>
      <c r="AD79" s="18" t="s">
        <v>23</v>
      </c>
      <c r="AE79" s="18" t="s">
        <v>21</v>
      </c>
      <c r="AG79">
        <f>+COUNTIF(F79:AE79,"AD")</f>
        <v>0</v>
      </c>
      <c r="AH79">
        <f>+COUNTIF(F79:AE79,"A")</f>
        <v>9</v>
      </c>
      <c r="AI79">
        <f>+COUNTIF(F79:AE79,"b")</f>
        <v>14</v>
      </c>
      <c r="AJ79">
        <f>+COUNTIF(F79:AE79,"c")</f>
        <v>3</v>
      </c>
      <c r="AL79">
        <f>+$AG$5*AG79</f>
        <v>0</v>
      </c>
      <c r="AM79">
        <f>+$AH$5*AH79</f>
        <v>27</v>
      </c>
      <c r="AN79">
        <f>+$AI$5*AI79</f>
        <v>28</v>
      </c>
      <c r="AO79">
        <f>+$AJ$5*AJ79</f>
        <v>3</v>
      </c>
      <c r="AP79">
        <f>+SUM(AL79:AO79)</f>
        <v>58</v>
      </c>
    </row>
    <row r="80" spans="1:42" ht="15.75" hidden="1" customHeight="1" x14ac:dyDescent="0.3">
      <c r="A80" s="16"/>
      <c r="B80" s="55">
        <v>13</v>
      </c>
      <c r="C80" s="56" t="s">
        <v>95</v>
      </c>
      <c r="D80" s="55">
        <v>2</v>
      </c>
      <c r="E80" s="55" t="s">
        <v>21</v>
      </c>
      <c r="F80" s="18" t="s">
        <v>21</v>
      </c>
      <c r="G80" s="18" t="s">
        <v>21</v>
      </c>
      <c r="H80" s="18" t="s">
        <v>21</v>
      </c>
      <c r="I80" s="18" t="s">
        <v>21</v>
      </c>
      <c r="J80" s="18" t="s">
        <v>21</v>
      </c>
      <c r="K80" s="18" t="s">
        <v>20</v>
      </c>
      <c r="L80" s="18" t="s">
        <v>20</v>
      </c>
      <c r="M80" s="18" t="s">
        <v>20</v>
      </c>
      <c r="N80" s="18" t="s">
        <v>21</v>
      </c>
      <c r="O80" s="18" t="s">
        <v>21</v>
      </c>
      <c r="P80" s="18" t="s">
        <v>21</v>
      </c>
      <c r="Q80" s="18" t="s">
        <v>21</v>
      </c>
      <c r="R80" s="18" t="s">
        <v>21</v>
      </c>
      <c r="S80" s="18" t="s">
        <v>21</v>
      </c>
      <c r="T80" s="18" t="s">
        <v>23</v>
      </c>
      <c r="U80" s="18" t="s">
        <v>21</v>
      </c>
      <c r="V80" s="37" t="s">
        <v>21</v>
      </c>
      <c r="W80" s="37" t="s">
        <v>20</v>
      </c>
      <c r="X80" s="37" t="s">
        <v>20</v>
      </c>
      <c r="Y80" s="18" t="s">
        <v>21</v>
      </c>
      <c r="Z80" s="18" t="s">
        <v>20</v>
      </c>
      <c r="AA80" s="20" t="s">
        <v>20</v>
      </c>
      <c r="AB80" s="20" t="s">
        <v>21</v>
      </c>
      <c r="AC80" s="20" t="s">
        <v>21</v>
      </c>
      <c r="AD80" s="18" t="s">
        <v>23</v>
      </c>
      <c r="AE80" s="18" t="s">
        <v>21</v>
      </c>
      <c r="AG80">
        <f>+COUNTIF(F80:AE80,"AD")</f>
        <v>0</v>
      </c>
      <c r="AH80">
        <f>+COUNTIF(F80:AE80,"A")</f>
        <v>7</v>
      </c>
      <c r="AI80">
        <f>+COUNTIF(F80:AE80,"b")</f>
        <v>17</v>
      </c>
      <c r="AJ80">
        <f>+COUNTIF(F80:AE80,"c")</f>
        <v>2</v>
      </c>
      <c r="AL80">
        <f>+$AG$5*AG80</f>
        <v>0</v>
      </c>
      <c r="AM80">
        <f>+$AH$5*AH80</f>
        <v>21</v>
      </c>
      <c r="AN80">
        <f>+$AI$5*AI80</f>
        <v>34</v>
      </c>
      <c r="AO80">
        <f>+$AJ$5*AJ80</f>
        <v>2</v>
      </c>
      <c r="AP80">
        <f>+SUM(AL80:AO80)</f>
        <v>57</v>
      </c>
    </row>
    <row r="81" spans="1:42" ht="15.75" hidden="1" customHeight="1" x14ac:dyDescent="0.3">
      <c r="A81" s="16"/>
      <c r="B81" s="55">
        <v>14</v>
      </c>
      <c r="C81" s="56" t="s">
        <v>96</v>
      </c>
      <c r="D81" s="55">
        <v>2</v>
      </c>
      <c r="E81" s="55" t="s">
        <v>21</v>
      </c>
      <c r="F81" s="18" t="s">
        <v>21</v>
      </c>
      <c r="G81" s="18" t="s">
        <v>23</v>
      </c>
      <c r="H81" s="18" t="s">
        <v>21</v>
      </c>
      <c r="I81" s="18" t="s">
        <v>21</v>
      </c>
      <c r="J81" s="18" t="s">
        <v>21</v>
      </c>
      <c r="K81" s="18" t="s">
        <v>21</v>
      </c>
      <c r="L81" s="18" t="s">
        <v>21</v>
      </c>
      <c r="M81" s="18" t="s">
        <v>20</v>
      </c>
      <c r="N81" s="18" t="s">
        <v>20</v>
      </c>
      <c r="O81" s="18" t="s">
        <v>20</v>
      </c>
      <c r="P81" s="18" t="s">
        <v>21</v>
      </c>
      <c r="Q81" s="18" t="s">
        <v>21</v>
      </c>
      <c r="R81" s="18" t="s">
        <v>21</v>
      </c>
      <c r="S81" s="18" t="s">
        <v>21</v>
      </c>
      <c r="T81" s="18" t="s">
        <v>20</v>
      </c>
      <c r="U81" s="18" t="s">
        <v>21</v>
      </c>
      <c r="V81" s="37" t="s">
        <v>21</v>
      </c>
      <c r="W81" s="37" t="s">
        <v>20</v>
      </c>
      <c r="X81" s="37" t="s">
        <v>20</v>
      </c>
      <c r="Y81" s="18" t="s">
        <v>20</v>
      </c>
      <c r="Z81" s="18" t="s">
        <v>20</v>
      </c>
      <c r="AA81" s="20" t="s">
        <v>23</v>
      </c>
      <c r="AB81" s="20" t="s">
        <v>21</v>
      </c>
      <c r="AC81" s="20" t="s">
        <v>21</v>
      </c>
      <c r="AD81" s="18" t="s">
        <v>23</v>
      </c>
      <c r="AE81" s="18" t="s">
        <v>21</v>
      </c>
      <c r="AG81">
        <f>+COUNTIF(F81:AE81,"AD")</f>
        <v>0</v>
      </c>
      <c r="AH81">
        <f>+COUNTIF(F81:AE81,"A")</f>
        <v>8</v>
      </c>
      <c r="AI81">
        <f>+COUNTIF(F81:AE81,"b")</f>
        <v>15</v>
      </c>
      <c r="AJ81">
        <f>+COUNTIF(F81:AE81,"c")</f>
        <v>3</v>
      </c>
      <c r="AL81">
        <f>+$AG$5*AG81</f>
        <v>0</v>
      </c>
      <c r="AM81">
        <f>+$AH$5*AH81</f>
        <v>24</v>
      </c>
      <c r="AN81">
        <f>+$AI$5*AI81</f>
        <v>30</v>
      </c>
      <c r="AO81">
        <f>+$AJ$5*AJ81</f>
        <v>3</v>
      </c>
      <c r="AP81">
        <f>+SUM(AL81:AO81)</f>
        <v>57</v>
      </c>
    </row>
    <row r="82" spans="1:42" ht="15.75" hidden="1" customHeight="1" x14ac:dyDescent="0.3">
      <c r="A82" s="16"/>
      <c r="B82" s="55">
        <v>15</v>
      </c>
      <c r="C82" s="56" t="s">
        <v>102</v>
      </c>
      <c r="D82" s="55">
        <v>2</v>
      </c>
      <c r="E82" s="55" t="s">
        <v>21</v>
      </c>
      <c r="F82" s="18" t="s">
        <v>20</v>
      </c>
      <c r="G82" s="18" t="s">
        <v>21</v>
      </c>
      <c r="H82" s="18" t="s">
        <v>21</v>
      </c>
      <c r="I82" s="18" t="s">
        <v>21</v>
      </c>
      <c r="J82" s="18" t="s">
        <v>21</v>
      </c>
      <c r="K82" s="18" t="s">
        <v>21</v>
      </c>
      <c r="L82" s="18" t="s">
        <v>21</v>
      </c>
      <c r="M82" s="18" t="s">
        <v>21</v>
      </c>
      <c r="N82" s="18" t="s">
        <v>20</v>
      </c>
      <c r="O82" s="18" t="s">
        <v>21</v>
      </c>
      <c r="P82" s="18" t="s">
        <v>23</v>
      </c>
      <c r="Q82" s="18" t="s">
        <v>23</v>
      </c>
      <c r="R82" s="18" t="s">
        <v>21</v>
      </c>
      <c r="S82" s="18" t="s">
        <v>21</v>
      </c>
      <c r="T82" s="18" t="s">
        <v>20</v>
      </c>
      <c r="U82" s="18" t="s">
        <v>21</v>
      </c>
      <c r="V82" s="37" t="s">
        <v>20</v>
      </c>
      <c r="W82" s="37" t="s">
        <v>20</v>
      </c>
      <c r="X82" s="37" t="s">
        <v>20</v>
      </c>
      <c r="Y82" s="18" t="s">
        <v>21</v>
      </c>
      <c r="Z82" s="18" t="s">
        <v>20</v>
      </c>
      <c r="AA82" s="20" t="s">
        <v>21</v>
      </c>
      <c r="AB82" s="20" t="s">
        <v>21</v>
      </c>
      <c r="AC82" s="20" t="s">
        <v>21</v>
      </c>
      <c r="AD82" s="18" t="s">
        <v>23</v>
      </c>
      <c r="AE82" s="18" t="s">
        <v>21</v>
      </c>
      <c r="AG82">
        <f>+COUNTIF(F82:AE82,"AD")</f>
        <v>0</v>
      </c>
      <c r="AH82">
        <f>+COUNTIF(F82:AE82,"A")</f>
        <v>7</v>
      </c>
      <c r="AI82">
        <f>+COUNTIF(F82:AE82,"b")</f>
        <v>16</v>
      </c>
      <c r="AJ82">
        <f>+COUNTIF(F82:AE82,"c")</f>
        <v>3</v>
      </c>
      <c r="AL82">
        <f>+$AG$5*AG82</f>
        <v>0</v>
      </c>
      <c r="AM82">
        <f>+$AH$5*AH82</f>
        <v>21</v>
      </c>
      <c r="AN82">
        <f>+$AI$5*AI82</f>
        <v>32</v>
      </c>
      <c r="AO82">
        <f>+$AJ$5*AJ82</f>
        <v>3</v>
      </c>
      <c r="AP82">
        <f>+SUM(AL82:AO82)</f>
        <v>56</v>
      </c>
    </row>
    <row r="83" spans="1:42" ht="15.75" hidden="1" customHeight="1" x14ac:dyDescent="0.3">
      <c r="A83" s="16"/>
      <c r="B83" s="55">
        <v>16</v>
      </c>
      <c r="C83" s="56" t="s">
        <v>100</v>
      </c>
      <c r="D83" s="55">
        <v>2</v>
      </c>
      <c r="E83" s="55" t="s">
        <v>21</v>
      </c>
      <c r="F83" s="18" t="s">
        <v>21</v>
      </c>
      <c r="G83" s="18" t="s">
        <v>21</v>
      </c>
      <c r="H83" s="18" t="s">
        <v>21</v>
      </c>
      <c r="I83" s="18" t="s">
        <v>21</v>
      </c>
      <c r="J83" s="18" t="s">
        <v>21</v>
      </c>
      <c r="K83" s="18" t="s">
        <v>21</v>
      </c>
      <c r="L83" s="18" t="s">
        <v>21</v>
      </c>
      <c r="M83" s="18" t="s">
        <v>21</v>
      </c>
      <c r="N83" s="18" t="s">
        <v>23</v>
      </c>
      <c r="O83" s="18" t="s">
        <v>21</v>
      </c>
      <c r="P83" s="18" t="s">
        <v>21</v>
      </c>
      <c r="Q83" s="18" t="s">
        <v>21</v>
      </c>
      <c r="R83" s="18" t="s">
        <v>21</v>
      </c>
      <c r="S83" s="18" t="s">
        <v>21</v>
      </c>
      <c r="T83" s="18" t="s">
        <v>20</v>
      </c>
      <c r="U83" s="18" t="s">
        <v>20</v>
      </c>
      <c r="V83" s="37" t="s">
        <v>21</v>
      </c>
      <c r="W83" s="37" t="s">
        <v>20</v>
      </c>
      <c r="X83" s="37" t="s">
        <v>21</v>
      </c>
      <c r="Y83" s="18" t="s">
        <v>20</v>
      </c>
      <c r="Z83" s="18" t="s">
        <v>21</v>
      </c>
      <c r="AA83" s="20" t="s">
        <v>21</v>
      </c>
      <c r="AB83" s="20" t="s">
        <v>21</v>
      </c>
      <c r="AC83" s="20" t="s">
        <v>21</v>
      </c>
      <c r="AD83" s="18" t="s">
        <v>21</v>
      </c>
      <c r="AE83" s="18" t="s">
        <v>21</v>
      </c>
      <c r="AG83">
        <f>+COUNTIF(F83:AE83,"AD")</f>
        <v>0</v>
      </c>
      <c r="AH83">
        <f>+COUNTIF(F83:AE83,"A")</f>
        <v>4</v>
      </c>
      <c r="AI83">
        <f>+COUNTIF(F83:AE83,"b")</f>
        <v>21</v>
      </c>
      <c r="AJ83">
        <f>+COUNTIF(F83:AE83,"c")</f>
        <v>1</v>
      </c>
      <c r="AL83">
        <f>+$AG$5*AG83</f>
        <v>0</v>
      </c>
      <c r="AM83">
        <f>+$AH$5*AH83</f>
        <v>12</v>
      </c>
      <c r="AN83">
        <f>+$AI$5*AI83</f>
        <v>42</v>
      </c>
      <c r="AO83">
        <f>+$AJ$5*AJ83</f>
        <v>1</v>
      </c>
      <c r="AP83">
        <f>+SUM(AL83:AO83)</f>
        <v>55</v>
      </c>
    </row>
    <row r="84" spans="1:42" ht="15.75" hidden="1" customHeight="1" x14ac:dyDescent="0.3">
      <c r="A84" s="16"/>
      <c r="B84" s="55">
        <v>17</v>
      </c>
      <c r="C84" s="56" t="s">
        <v>107</v>
      </c>
      <c r="D84" s="55">
        <v>2</v>
      </c>
      <c r="E84" s="55" t="s">
        <v>21</v>
      </c>
      <c r="F84" s="18" t="s">
        <v>21</v>
      </c>
      <c r="G84" s="18" t="s">
        <v>21</v>
      </c>
      <c r="H84" s="18" t="s">
        <v>23</v>
      </c>
      <c r="I84" s="18" t="s">
        <v>21</v>
      </c>
      <c r="J84" s="18" t="s">
        <v>20</v>
      </c>
      <c r="K84" s="18" t="s">
        <v>21</v>
      </c>
      <c r="L84" s="18" t="s">
        <v>21</v>
      </c>
      <c r="M84" s="18" t="s">
        <v>20</v>
      </c>
      <c r="N84" s="18" t="s">
        <v>21</v>
      </c>
      <c r="O84" s="18" t="s">
        <v>20</v>
      </c>
      <c r="P84" s="18" t="s">
        <v>21</v>
      </c>
      <c r="Q84" s="18" t="s">
        <v>21</v>
      </c>
      <c r="R84" s="18" t="s">
        <v>21</v>
      </c>
      <c r="S84" s="18" t="s">
        <v>20</v>
      </c>
      <c r="T84" s="18" t="s">
        <v>21</v>
      </c>
      <c r="U84" s="18" t="s">
        <v>21</v>
      </c>
      <c r="V84" s="37" t="s">
        <v>21</v>
      </c>
      <c r="W84" s="37" t="s">
        <v>21</v>
      </c>
      <c r="X84" s="37" t="s">
        <v>21</v>
      </c>
      <c r="Y84" s="18" t="s">
        <v>21</v>
      </c>
      <c r="Z84" s="18" t="s">
        <v>21</v>
      </c>
      <c r="AA84" s="20" t="s">
        <v>21</v>
      </c>
      <c r="AB84" s="20" t="s">
        <v>21</v>
      </c>
      <c r="AC84" s="20" t="s">
        <v>20</v>
      </c>
      <c r="AD84" s="18" t="s">
        <v>23</v>
      </c>
      <c r="AE84" s="18" t="s">
        <v>21</v>
      </c>
      <c r="AG84">
        <f>+COUNTIF(F84:AE84,"AD")</f>
        <v>0</v>
      </c>
      <c r="AH84">
        <f>+COUNTIF(F84:AE84,"A")</f>
        <v>5</v>
      </c>
      <c r="AI84">
        <f>+COUNTIF(F84:AE84,"b")</f>
        <v>19</v>
      </c>
      <c r="AJ84">
        <f>+COUNTIF(F84:AE84,"c")</f>
        <v>2</v>
      </c>
      <c r="AL84">
        <f>+$AG$5*AG84</f>
        <v>0</v>
      </c>
      <c r="AM84">
        <f>+$AH$5*AH84</f>
        <v>15</v>
      </c>
      <c r="AN84">
        <f>+$AI$5*AI84</f>
        <v>38</v>
      </c>
      <c r="AO84">
        <f>+$AJ$5*AJ84</f>
        <v>2</v>
      </c>
      <c r="AP84">
        <f>+SUM(AL84:AO84)</f>
        <v>55</v>
      </c>
    </row>
    <row r="85" spans="1:42" ht="15.75" hidden="1" customHeight="1" x14ac:dyDescent="0.3">
      <c r="A85" s="16"/>
      <c r="B85" s="55">
        <v>18</v>
      </c>
      <c r="C85" s="56" t="s">
        <v>92</v>
      </c>
      <c r="D85" s="55">
        <v>2</v>
      </c>
      <c r="E85" s="55" t="s">
        <v>21</v>
      </c>
      <c r="F85" s="18" t="s">
        <v>21</v>
      </c>
      <c r="G85" s="18" t="s">
        <v>23</v>
      </c>
      <c r="H85" s="18" t="s">
        <v>21</v>
      </c>
      <c r="I85" s="18" t="s">
        <v>21</v>
      </c>
      <c r="J85" s="18" t="s">
        <v>21</v>
      </c>
      <c r="K85" s="18" t="s">
        <v>20</v>
      </c>
      <c r="L85" s="18" t="s">
        <v>20</v>
      </c>
      <c r="M85" s="18" t="s">
        <v>21</v>
      </c>
      <c r="N85" s="18" t="s">
        <v>21</v>
      </c>
      <c r="O85" s="18" t="s">
        <v>21</v>
      </c>
      <c r="P85" s="18" t="s">
        <v>21</v>
      </c>
      <c r="Q85" s="18" t="s">
        <v>21</v>
      </c>
      <c r="R85" s="18" t="s">
        <v>21</v>
      </c>
      <c r="S85" s="18" t="s">
        <v>21</v>
      </c>
      <c r="T85" s="18" t="s">
        <v>21</v>
      </c>
      <c r="U85" s="18" t="s">
        <v>21</v>
      </c>
      <c r="V85" s="37" t="s">
        <v>20</v>
      </c>
      <c r="W85" s="37" t="s">
        <v>21</v>
      </c>
      <c r="X85" s="37" t="s">
        <v>21</v>
      </c>
      <c r="Y85" s="18" t="s">
        <v>21</v>
      </c>
      <c r="Z85" s="18" t="s">
        <v>20</v>
      </c>
      <c r="AA85" s="20" t="s">
        <v>21</v>
      </c>
      <c r="AB85" s="20" t="s">
        <v>21</v>
      </c>
      <c r="AC85" s="20" t="s">
        <v>21</v>
      </c>
      <c r="AD85" s="18" t="s">
        <v>23</v>
      </c>
      <c r="AE85" s="18" t="s">
        <v>21</v>
      </c>
      <c r="AG85">
        <f>+COUNTIF(F85:AE85,"AD")</f>
        <v>0</v>
      </c>
      <c r="AH85">
        <f>+COUNTIF(F85:AE85,"A")</f>
        <v>4</v>
      </c>
      <c r="AI85">
        <f>+COUNTIF(F85:AE85,"b")</f>
        <v>20</v>
      </c>
      <c r="AJ85">
        <f>+COUNTIF(F85:AE85,"c")</f>
        <v>2</v>
      </c>
      <c r="AL85">
        <f>+$AG$5*AG85</f>
        <v>0</v>
      </c>
      <c r="AM85">
        <f>+$AH$5*AH85</f>
        <v>12</v>
      </c>
      <c r="AN85">
        <f>+$AI$5*AI85</f>
        <v>40</v>
      </c>
      <c r="AO85">
        <f>+$AJ$5*AJ85</f>
        <v>2</v>
      </c>
      <c r="AP85">
        <f>+SUM(AL85:AO85)</f>
        <v>54</v>
      </c>
    </row>
    <row r="86" spans="1:42" ht="15.75" hidden="1" customHeight="1" x14ac:dyDescent="0.3">
      <c r="A86" s="16"/>
      <c r="B86" s="55">
        <v>19</v>
      </c>
      <c r="C86" s="56" t="s">
        <v>106</v>
      </c>
      <c r="D86" s="55">
        <v>2</v>
      </c>
      <c r="E86" s="55" t="s">
        <v>21</v>
      </c>
      <c r="F86" s="18" t="s">
        <v>21</v>
      </c>
      <c r="G86" s="18" t="s">
        <v>23</v>
      </c>
      <c r="H86" s="18" t="s">
        <v>21</v>
      </c>
      <c r="I86" s="18" t="s">
        <v>21</v>
      </c>
      <c r="J86" s="18" t="s">
        <v>20</v>
      </c>
      <c r="K86" s="18" t="s">
        <v>20</v>
      </c>
      <c r="L86" s="18" t="s">
        <v>20</v>
      </c>
      <c r="M86" s="18" t="s">
        <v>21</v>
      </c>
      <c r="N86" s="18" t="s">
        <v>21</v>
      </c>
      <c r="O86" s="18" t="s">
        <v>21</v>
      </c>
      <c r="P86" s="18" t="s">
        <v>21</v>
      </c>
      <c r="Q86" s="18" t="s">
        <v>21</v>
      </c>
      <c r="R86" s="18" t="s">
        <v>21</v>
      </c>
      <c r="S86" s="18" t="s">
        <v>23</v>
      </c>
      <c r="T86" s="18" t="s">
        <v>21</v>
      </c>
      <c r="U86" s="18" t="s">
        <v>20</v>
      </c>
      <c r="V86" s="37" t="s">
        <v>21</v>
      </c>
      <c r="W86" s="37" t="s">
        <v>21</v>
      </c>
      <c r="X86" s="37" t="s">
        <v>21</v>
      </c>
      <c r="Y86" s="18" t="s">
        <v>23</v>
      </c>
      <c r="Z86" s="18" t="s">
        <v>21</v>
      </c>
      <c r="AA86" s="20" t="s">
        <v>21</v>
      </c>
      <c r="AB86" s="20" t="s">
        <v>21</v>
      </c>
      <c r="AC86" s="20" t="s">
        <v>21</v>
      </c>
      <c r="AD86" s="18" t="s">
        <v>23</v>
      </c>
      <c r="AE86" s="18" t="s">
        <v>21</v>
      </c>
      <c r="AG86">
        <f>+COUNTIF(F86:AE86,"AD")</f>
        <v>0</v>
      </c>
      <c r="AH86">
        <f>+COUNTIF(F86:AE86,"A")</f>
        <v>4</v>
      </c>
      <c r="AI86">
        <f>+COUNTIF(F86:AE86,"b")</f>
        <v>18</v>
      </c>
      <c r="AJ86">
        <f>+COUNTIF(F86:AE86,"c")</f>
        <v>4</v>
      </c>
      <c r="AL86">
        <f>+$AG$5*AG86</f>
        <v>0</v>
      </c>
      <c r="AM86">
        <f>+$AH$5*AH86</f>
        <v>12</v>
      </c>
      <c r="AN86">
        <f>+$AI$5*AI86</f>
        <v>36</v>
      </c>
      <c r="AO86">
        <f>+$AJ$5*AJ86</f>
        <v>4</v>
      </c>
      <c r="AP86">
        <f>+SUM(AL86:AO86)</f>
        <v>52</v>
      </c>
    </row>
    <row r="87" spans="1:42" ht="15.75" hidden="1" customHeight="1" thickBot="1" x14ac:dyDescent="0.35">
      <c r="A87" s="16"/>
      <c r="B87" s="57">
        <v>20</v>
      </c>
      <c r="C87" s="56" t="s">
        <v>108</v>
      </c>
      <c r="D87" s="55">
        <v>2</v>
      </c>
      <c r="E87" s="55" t="s">
        <v>21</v>
      </c>
      <c r="F87" s="18" t="s">
        <v>21</v>
      </c>
      <c r="G87" s="18" t="s">
        <v>23</v>
      </c>
      <c r="H87" s="18" t="s">
        <v>21</v>
      </c>
      <c r="I87" s="18" t="s">
        <v>21</v>
      </c>
      <c r="J87" s="18" t="s">
        <v>20</v>
      </c>
      <c r="K87" s="18" t="s">
        <v>21</v>
      </c>
      <c r="L87" s="18" t="s">
        <v>21</v>
      </c>
      <c r="M87" s="18" t="s">
        <v>23</v>
      </c>
      <c r="N87" s="18" t="s">
        <v>21</v>
      </c>
      <c r="O87" s="18" t="s">
        <v>21</v>
      </c>
      <c r="P87" s="18" t="s">
        <v>23</v>
      </c>
      <c r="Q87" s="18" t="s">
        <v>21</v>
      </c>
      <c r="R87" s="17" t="s">
        <v>23</v>
      </c>
      <c r="S87" s="18" t="s">
        <v>23</v>
      </c>
      <c r="T87" s="18" t="s">
        <v>23</v>
      </c>
      <c r="U87" s="18" t="s">
        <v>21</v>
      </c>
      <c r="V87" s="37" t="s">
        <v>20</v>
      </c>
      <c r="W87" s="37" t="s">
        <v>20</v>
      </c>
      <c r="X87" s="37" t="s">
        <v>20</v>
      </c>
      <c r="Y87" s="18" t="s">
        <v>21</v>
      </c>
      <c r="Z87" s="18" t="s">
        <v>21</v>
      </c>
      <c r="AA87" s="20" t="s">
        <v>21</v>
      </c>
      <c r="AB87" s="20" t="s">
        <v>21</v>
      </c>
      <c r="AC87" s="20" t="s">
        <v>21</v>
      </c>
      <c r="AD87" s="18" t="s">
        <v>23</v>
      </c>
      <c r="AE87" s="18" t="s">
        <v>21</v>
      </c>
      <c r="AG87">
        <f>+COUNTIF(F87:AE87,"AD")</f>
        <v>0</v>
      </c>
      <c r="AH87">
        <f>+COUNTIF(F87:AE87,"A")</f>
        <v>4</v>
      </c>
      <c r="AI87">
        <f>+COUNTIF(F87:AE87,"b")</f>
        <v>15</v>
      </c>
      <c r="AJ87">
        <f>+COUNTIF(F87:AE87,"c")</f>
        <v>7</v>
      </c>
      <c r="AL87">
        <f>+$AG$5*AG87</f>
        <v>0</v>
      </c>
      <c r="AM87">
        <f>+$AH$5*AH87</f>
        <v>12</v>
      </c>
      <c r="AN87">
        <f>+$AI$5*AI87</f>
        <v>30</v>
      </c>
      <c r="AO87">
        <f>+$AJ$5*AJ87</f>
        <v>7</v>
      </c>
      <c r="AP87">
        <f>+SUM(AL87:AO87)</f>
        <v>49</v>
      </c>
    </row>
    <row r="88" spans="1:42" ht="15.75" hidden="1" customHeight="1" x14ac:dyDescent="0.3">
      <c r="A88" s="16"/>
      <c r="B88" s="55">
        <v>16</v>
      </c>
      <c r="C88" s="56" t="s">
        <v>101</v>
      </c>
      <c r="D88" s="55">
        <v>2</v>
      </c>
      <c r="E88" s="55" t="s">
        <v>21</v>
      </c>
      <c r="F88" s="18" t="s">
        <v>21</v>
      </c>
      <c r="G88" s="18" t="s">
        <v>23</v>
      </c>
      <c r="H88" s="18" t="s">
        <v>21</v>
      </c>
      <c r="I88" s="18" t="s">
        <v>21</v>
      </c>
      <c r="J88" s="18" t="s">
        <v>21</v>
      </c>
      <c r="K88" s="18" t="s">
        <v>21</v>
      </c>
      <c r="L88" s="18" t="s">
        <v>21</v>
      </c>
      <c r="M88" s="18" t="s">
        <v>21</v>
      </c>
      <c r="N88" s="18" t="s">
        <v>23</v>
      </c>
      <c r="O88" s="18" t="s">
        <v>21</v>
      </c>
      <c r="P88" s="18" t="s">
        <v>23</v>
      </c>
      <c r="Q88" s="18" t="s">
        <v>23</v>
      </c>
      <c r="R88" s="18" t="s">
        <v>21</v>
      </c>
      <c r="S88" s="18" t="s">
        <v>21</v>
      </c>
      <c r="T88" s="18" t="s">
        <v>21</v>
      </c>
      <c r="U88" s="18" t="s">
        <v>21</v>
      </c>
      <c r="V88" s="37" t="s">
        <v>21</v>
      </c>
      <c r="W88" s="37" t="s">
        <v>21</v>
      </c>
      <c r="X88" s="37" t="s">
        <v>21</v>
      </c>
      <c r="Y88" s="18" t="s">
        <v>23</v>
      </c>
      <c r="Z88" s="18" t="s">
        <v>20</v>
      </c>
      <c r="AA88" s="20" t="s">
        <v>21</v>
      </c>
      <c r="AB88" s="20" t="s">
        <v>21</v>
      </c>
      <c r="AC88" s="20" t="s">
        <v>21</v>
      </c>
      <c r="AD88" s="18" t="s">
        <v>23</v>
      </c>
      <c r="AE88" s="18" t="s">
        <v>21</v>
      </c>
      <c r="AG88">
        <f>+COUNTIF(F88:AE88,"AD")</f>
        <v>0</v>
      </c>
      <c r="AH88">
        <f>+COUNTIF(F88:AE88,"A")</f>
        <v>1</v>
      </c>
      <c r="AI88">
        <f>+COUNTIF(F88:AE88,"b")</f>
        <v>19</v>
      </c>
      <c r="AJ88">
        <f>+COUNTIF(F88:AE88,"c")</f>
        <v>6</v>
      </c>
      <c r="AL88">
        <f>+$AG$5*AG88</f>
        <v>0</v>
      </c>
      <c r="AM88">
        <f>+$AH$5*AH88</f>
        <v>3</v>
      </c>
      <c r="AN88">
        <f>+$AI$5*AI88</f>
        <v>38</v>
      </c>
      <c r="AO88">
        <f>+$AJ$5*AJ88</f>
        <v>6</v>
      </c>
      <c r="AP88">
        <f>+SUM(AL88:AO88)</f>
        <v>47</v>
      </c>
    </row>
    <row r="89" spans="1:42" ht="15.75" hidden="1" customHeight="1" x14ac:dyDescent="0.3">
      <c r="A89" s="16"/>
      <c r="B89" s="55">
        <v>2</v>
      </c>
      <c r="C89" s="56" t="s">
        <v>87</v>
      </c>
      <c r="D89" s="55">
        <v>2</v>
      </c>
      <c r="E89" s="55" t="s">
        <v>21</v>
      </c>
      <c r="F89" s="18" t="s">
        <v>21</v>
      </c>
      <c r="G89" s="18" t="s">
        <v>23</v>
      </c>
      <c r="H89" s="18" t="s">
        <v>21</v>
      </c>
      <c r="I89" s="18" t="s">
        <v>21</v>
      </c>
      <c r="J89" s="18" t="s">
        <v>21</v>
      </c>
      <c r="K89" s="18" t="s">
        <v>21</v>
      </c>
      <c r="L89" s="18" t="s">
        <v>21</v>
      </c>
      <c r="M89" s="18" t="s">
        <v>23</v>
      </c>
      <c r="N89" s="18" t="s">
        <v>21</v>
      </c>
      <c r="O89" s="18" t="s">
        <v>21</v>
      </c>
      <c r="P89" s="18" t="s">
        <v>23</v>
      </c>
      <c r="Q89" s="18" t="s">
        <v>21</v>
      </c>
      <c r="R89" s="18" t="s">
        <v>23</v>
      </c>
      <c r="S89" s="18" t="s">
        <v>23</v>
      </c>
      <c r="T89" s="18" t="s">
        <v>21</v>
      </c>
      <c r="U89" s="18" t="s">
        <v>21</v>
      </c>
      <c r="V89" s="37" t="s">
        <v>21</v>
      </c>
      <c r="W89" s="37" t="s">
        <v>21</v>
      </c>
      <c r="X89" s="37" t="s">
        <v>21</v>
      </c>
      <c r="Y89" s="18" t="s">
        <v>21</v>
      </c>
      <c r="Z89" s="18" t="s">
        <v>23</v>
      </c>
      <c r="AA89" s="20" t="s">
        <v>23</v>
      </c>
      <c r="AB89" s="20" t="s">
        <v>21</v>
      </c>
      <c r="AC89" s="20" t="s">
        <v>23</v>
      </c>
      <c r="AD89" s="18" t="s">
        <v>23</v>
      </c>
      <c r="AE89" s="18" t="s">
        <v>21</v>
      </c>
      <c r="AG89">
        <f>+COUNTIF(F89:AE89,"AD")</f>
        <v>0</v>
      </c>
      <c r="AH89">
        <f>+COUNTIF(F89:AE89,"A")</f>
        <v>0</v>
      </c>
      <c r="AI89">
        <f>+COUNTIF(F89:AE89,"b")</f>
        <v>17</v>
      </c>
      <c r="AJ89">
        <f>+COUNTIF(F89:AE89,"c")</f>
        <v>9</v>
      </c>
      <c r="AL89">
        <f>+$AG$5*AG89</f>
        <v>0</v>
      </c>
      <c r="AM89">
        <f>+$AH$5*AH89</f>
        <v>0</v>
      </c>
      <c r="AN89">
        <f>+$AI$5*AI89</f>
        <v>34</v>
      </c>
      <c r="AO89">
        <f>+$AJ$5*AJ89</f>
        <v>9</v>
      </c>
      <c r="AP89">
        <f>+SUM(AL89:AO89)</f>
        <v>43</v>
      </c>
    </row>
    <row r="90" spans="1:42" ht="15.75" hidden="1" customHeight="1" thickBot="1" x14ac:dyDescent="0.35">
      <c r="A90" s="16"/>
      <c r="B90" s="57">
        <v>19</v>
      </c>
      <c r="C90" s="58" t="s">
        <v>104</v>
      </c>
      <c r="D90" s="57">
        <v>2</v>
      </c>
      <c r="E90" s="57" t="s">
        <v>21</v>
      </c>
      <c r="F90" s="21" t="s">
        <v>21</v>
      </c>
      <c r="G90" s="21" t="s">
        <v>23</v>
      </c>
      <c r="H90" s="21" t="s">
        <v>21</v>
      </c>
      <c r="I90" s="21" t="s">
        <v>21</v>
      </c>
      <c r="J90" s="21" t="s">
        <v>21</v>
      </c>
      <c r="K90" s="21" t="s">
        <v>21</v>
      </c>
      <c r="L90" s="21" t="s">
        <v>21</v>
      </c>
      <c r="M90" s="21" t="s">
        <v>23</v>
      </c>
      <c r="N90" s="21" t="s">
        <v>23</v>
      </c>
      <c r="O90" s="21" t="s">
        <v>23</v>
      </c>
      <c r="P90" s="21" t="s">
        <v>23</v>
      </c>
      <c r="Q90" s="21" t="s">
        <v>21</v>
      </c>
      <c r="R90" s="21" t="s">
        <v>23</v>
      </c>
      <c r="S90" s="21" t="s">
        <v>21</v>
      </c>
      <c r="T90" s="21" t="s">
        <v>23</v>
      </c>
      <c r="U90" s="21" t="s">
        <v>21</v>
      </c>
      <c r="V90" s="38" t="s">
        <v>21</v>
      </c>
      <c r="W90" s="38" t="s">
        <v>21</v>
      </c>
      <c r="X90" s="38" t="s">
        <v>21</v>
      </c>
      <c r="Y90" s="21" t="s">
        <v>23</v>
      </c>
      <c r="Z90" s="21" t="s">
        <v>23</v>
      </c>
      <c r="AA90" s="23" t="s">
        <v>21</v>
      </c>
      <c r="AB90" s="23" t="s">
        <v>21</v>
      </c>
      <c r="AC90" s="23" t="s">
        <v>21</v>
      </c>
      <c r="AD90" s="21" t="s">
        <v>23</v>
      </c>
      <c r="AE90" s="21" t="s">
        <v>21</v>
      </c>
      <c r="AG90">
        <f>+COUNTIF(F90:AE90,"AD")</f>
        <v>0</v>
      </c>
      <c r="AH90">
        <f>+COUNTIF(F90:AE90,"A")</f>
        <v>0</v>
      </c>
      <c r="AI90">
        <f>+COUNTIF(F90:AE90,"b")</f>
        <v>16</v>
      </c>
      <c r="AJ90">
        <f>+COUNTIF(F90:AE90,"c")</f>
        <v>10</v>
      </c>
      <c r="AL90">
        <f>+$AG$5*AG90</f>
        <v>0</v>
      </c>
      <c r="AM90">
        <f>+$AH$5*AH90</f>
        <v>0</v>
      </c>
      <c r="AN90">
        <f>+$AI$5*AI90</f>
        <v>32</v>
      </c>
      <c r="AO90">
        <f>+$AJ$5*AJ90</f>
        <v>10</v>
      </c>
      <c r="AP90">
        <f>+SUM(AL90:AO90)</f>
        <v>42</v>
      </c>
    </row>
    <row r="91" spans="1:42" ht="15.75" hidden="1" customHeight="1" x14ac:dyDescent="0.3">
      <c r="A91" s="16"/>
      <c r="B91" s="59">
        <v>1</v>
      </c>
      <c r="C91" s="60" t="s">
        <v>109</v>
      </c>
      <c r="D91" s="59">
        <v>3</v>
      </c>
      <c r="E91" s="59" t="s">
        <v>20</v>
      </c>
      <c r="F91" s="24" t="s">
        <v>39</v>
      </c>
      <c r="G91" s="24" t="s">
        <v>39</v>
      </c>
      <c r="H91" s="24" t="s">
        <v>20</v>
      </c>
      <c r="I91" s="24" t="s">
        <v>39</v>
      </c>
      <c r="J91" s="42" t="s">
        <v>20</v>
      </c>
      <c r="K91" s="42" t="s">
        <v>39</v>
      </c>
      <c r="L91" s="42" t="s">
        <v>20</v>
      </c>
      <c r="M91" s="24" t="s">
        <v>20</v>
      </c>
      <c r="N91" s="24" t="s">
        <v>20</v>
      </c>
      <c r="O91" s="24" t="s">
        <v>20</v>
      </c>
      <c r="P91" s="24" t="s">
        <v>20</v>
      </c>
      <c r="Q91" s="24" t="s">
        <v>20</v>
      </c>
      <c r="R91" s="24" t="s">
        <v>20</v>
      </c>
      <c r="S91" s="24" t="s">
        <v>20</v>
      </c>
      <c r="T91" s="24" t="s">
        <v>20</v>
      </c>
      <c r="U91" s="24" t="s">
        <v>20</v>
      </c>
      <c r="V91" s="39" t="s">
        <v>21</v>
      </c>
      <c r="W91" s="39" t="s">
        <v>20</v>
      </c>
      <c r="X91" s="39" t="s">
        <v>21</v>
      </c>
      <c r="Y91" s="24" t="s">
        <v>39</v>
      </c>
      <c r="Z91" s="24" t="s">
        <v>39</v>
      </c>
      <c r="AA91" s="27" t="s">
        <v>20</v>
      </c>
      <c r="AB91" s="27" t="s">
        <v>20</v>
      </c>
      <c r="AC91" s="27" t="s">
        <v>20</v>
      </c>
      <c r="AD91" s="39" t="s">
        <v>20</v>
      </c>
      <c r="AE91" s="39" t="s">
        <v>21</v>
      </c>
      <c r="AG91">
        <f t="shared" ref="AG91:AG154" si="9">+COUNTIF(F91:AE91,"AD")</f>
        <v>6</v>
      </c>
      <c r="AH91">
        <f t="shared" ref="AH91:AH154" si="10">+COUNTIF(F91:AE91,"A")</f>
        <v>17</v>
      </c>
      <c r="AI91">
        <f t="shared" ref="AI91:AI154" si="11">+COUNTIF(F91:AE91,"b")</f>
        <v>3</v>
      </c>
      <c r="AJ91">
        <f t="shared" ref="AJ91:AJ154" si="12">+COUNTIF(F91:AE91,"c")</f>
        <v>0</v>
      </c>
      <c r="AL91">
        <f t="shared" ref="AL91:AL154" si="13">+$AG$5*AG91</f>
        <v>24</v>
      </c>
      <c r="AM91">
        <f t="shared" ref="AM91:AM154" si="14">+$AH$5*AH91</f>
        <v>51</v>
      </c>
      <c r="AN91">
        <f t="shared" ref="AN91:AN154" si="15">+$AI$5*AI91</f>
        <v>6</v>
      </c>
      <c r="AO91">
        <f t="shared" ref="AO91:AO154" si="16">+$AJ$5*AJ91</f>
        <v>0</v>
      </c>
      <c r="AP91">
        <f t="shared" ref="AP91:AP154" si="17">+SUM(AL91:AO91)</f>
        <v>81</v>
      </c>
    </row>
    <row r="92" spans="1:42" ht="15.75" hidden="1" customHeight="1" x14ac:dyDescent="0.3">
      <c r="A92" s="16"/>
      <c r="B92" s="55">
        <v>2</v>
      </c>
      <c r="C92" s="56" t="s">
        <v>110</v>
      </c>
      <c r="D92" s="55">
        <v>3</v>
      </c>
      <c r="E92" s="55" t="s">
        <v>20</v>
      </c>
      <c r="F92" s="18" t="s">
        <v>20</v>
      </c>
      <c r="G92" s="18" t="s">
        <v>20</v>
      </c>
      <c r="H92" s="18" t="s">
        <v>20</v>
      </c>
      <c r="I92" s="18" t="s">
        <v>39</v>
      </c>
      <c r="J92" s="43" t="s">
        <v>39</v>
      </c>
      <c r="K92" s="43" t="s">
        <v>39</v>
      </c>
      <c r="L92" s="43" t="s">
        <v>20</v>
      </c>
      <c r="M92" s="18" t="s">
        <v>20</v>
      </c>
      <c r="N92" s="18" t="s">
        <v>20</v>
      </c>
      <c r="O92" s="18" t="s">
        <v>20</v>
      </c>
      <c r="P92" s="18" t="s">
        <v>20</v>
      </c>
      <c r="Q92" s="18" t="s">
        <v>20</v>
      </c>
      <c r="R92" s="18" t="s">
        <v>20</v>
      </c>
      <c r="S92" s="18" t="s">
        <v>20</v>
      </c>
      <c r="T92" s="18" t="s">
        <v>20</v>
      </c>
      <c r="U92" s="18" t="s">
        <v>20</v>
      </c>
      <c r="V92" s="37" t="s">
        <v>20</v>
      </c>
      <c r="W92" s="37" t="s">
        <v>20</v>
      </c>
      <c r="X92" s="37" t="s">
        <v>20</v>
      </c>
      <c r="Y92" s="18" t="s">
        <v>20</v>
      </c>
      <c r="Z92" s="18" t="s">
        <v>20</v>
      </c>
      <c r="AA92" s="20" t="s">
        <v>20</v>
      </c>
      <c r="AB92" s="20" t="s">
        <v>20</v>
      </c>
      <c r="AC92" s="20" t="s">
        <v>20</v>
      </c>
      <c r="AD92" s="37" t="s">
        <v>21</v>
      </c>
      <c r="AE92" s="37" t="s">
        <v>21</v>
      </c>
      <c r="AG92">
        <f t="shared" si="9"/>
        <v>3</v>
      </c>
      <c r="AH92">
        <f t="shared" si="10"/>
        <v>21</v>
      </c>
      <c r="AI92">
        <f t="shared" si="11"/>
        <v>2</v>
      </c>
      <c r="AJ92">
        <f t="shared" si="12"/>
        <v>0</v>
      </c>
      <c r="AL92">
        <f t="shared" si="13"/>
        <v>12</v>
      </c>
      <c r="AM92">
        <f t="shared" si="14"/>
        <v>63</v>
      </c>
      <c r="AN92">
        <f t="shared" si="15"/>
        <v>4</v>
      </c>
      <c r="AO92">
        <f t="shared" si="16"/>
        <v>0</v>
      </c>
      <c r="AP92">
        <f t="shared" si="17"/>
        <v>79</v>
      </c>
    </row>
    <row r="93" spans="1:42" ht="15.75" hidden="1" customHeight="1" x14ac:dyDescent="0.3">
      <c r="A93" s="16"/>
      <c r="B93" s="55">
        <v>3</v>
      </c>
      <c r="C93" s="56" t="s">
        <v>111</v>
      </c>
      <c r="D93" s="55">
        <v>3</v>
      </c>
      <c r="E93" s="55" t="s">
        <v>20</v>
      </c>
      <c r="F93" s="18" t="s">
        <v>23</v>
      </c>
      <c r="G93" s="18" t="s">
        <v>21</v>
      </c>
      <c r="H93" s="18" t="s">
        <v>23</v>
      </c>
      <c r="I93" s="18" t="s">
        <v>23</v>
      </c>
      <c r="J93" s="43" t="s">
        <v>21</v>
      </c>
      <c r="K93" s="43" t="s">
        <v>20</v>
      </c>
      <c r="L93" s="43" t="s">
        <v>21</v>
      </c>
      <c r="M93" s="18" t="s">
        <v>21</v>
      </c>
      <c r="N93" s="18" t="s">
        <v>21</v>
      </c>
      <c r="O93" s="18" t="s">
        <v>21</v>
      </c>
      <c r="P93" s="18" t="s">
        <v>23</v>
      </c>
      <c r="Q93" s="18" t="s">
        <v>21</v>
      </c>
      <c r="R93" s="18" t="s">
        <v>21</v>
      </c>
      <c r="S93" s="18" t="s">
        <v>21</v>
      </c>
      <c r="T93" s="18" t="s">
        <v>21</v>
      </c>
      <c r="U93" s="18" t="s">
        <v>20</v>
      </c>
      <c r="V93" s="37" t="s">
        <v>20</v>
      </c>
      <c r="W93" s="37" t="s">
        <v>21</v>
      </c>
      <c r="X93" s="37" t="s">
        <v>21</v>
      </c>
      <c r="Y93" s="18" t="s">
        <v>21</v>
      </c>
      <c r="Z93" s="18" t="s">
        <v>20</v>
      </c>
      <c r="AA93" s="20" t="s">
        <v>21</v>
      </c>
      <c r="AB93" s="20" t="s">
        <v>21</v>
      </c>
      <c r="AC93" s="20" t="s">
        <v>21</v>
      </c>
      <c r="AD93" s="37" t="s">
        <v>23</v>
      </c>
      <c r="AE93" s="37" t="s">
        <v>21</v>
      </c>
      <c r="AG93">
        <f t="shared" si="9"/>
        <v>0</v>
      </c>
      <c r="AH93">
        <f t="shared" si="10"/>
        <v>4</v>
      </c>
      <c r="AI93">
        <f t="shared" si="11"/>
        <v>17</v>
      </c>
      <c r="AJ93">
        <f t="shared" si="12"/>
        <v>5</v>
      </c>
      <c r="AL93">
        <f t="shared" si="13"/>
        <v>0</v>
      </c>
      <c r="AM93">
        <f t="shared" si="14"/>
        <v>12</v>
      </c>
      <c r="AN93">
        <f t="shared" si="15"/>
        <v>34</v>
      </c>
      <c r="AO93">
        <f t="shared" si="16"/>
        <v>5</v>
      </c>
      <c r="AP93">
        <f t="shared" si="17"/>
        <v>51</v>
      </c>
    </row>
    <row r="94" spans="1:42" ht="15.75" hidden="1" customHeight="1" x14ac:dyDescent="0.3">
      <c r="A94" s="16"/>
      <c r="B94" s="55">
        <v>4</v>
      </c>
      <c r="C94" s="56" t="s">
        <v>112</v>
      </c>
      <c r="D94" s="55">
        <v>3</v>
      </c>
      <c r="E94" s="55" t="s">
        <v>20</v>
      </c>
      <c r="F94" s="18" t="s">
        <v>39</v>
      </c>
      <c r="G94" s="18" t="s">
        <v>20</v>
      </c>
      <c r="H94" s="18" t="s">
        <v>20</v>
      </c>
      <c r="I94" s="18" t="s">
        <v>20</v>
      </c>
      <c r="J94" s="43" t="s">
        <v>20</v>
      </c>
      <c r="K94" s="43" t="s">
        <v>39</v>
      </c>
      <c r="L94" s="43" t="s">
        <v>20</v>
      </c>
      <c r="M94" s="18" t="s">
        <v>20</v>
      </c>
      <c r="N94" s="18" t="s">
        <v>20</v>
      </c>
      <c r="O94" s="18" t="s">
        <v>20</v>
      </c>
      <c r="P94" s="18" t="s">
        <v>20</v>
      </c>
      <c r="Q94" s="18" t="s">
        <v>20</v>
      </c>
      <c r="R94" s="18" t="s">
        <v>20</v>
      </c>
      <c r="S94" s="18" t="s">
        <v>20</v>
      </c>
      <c r="T94" s="18" t="s">
        <v>20</v>
      </c>
      <c r="U94" s="18" t="s">
        <v>20</v>
      </c>
      <c r="V94" s="37" t="s">
        <v>20</v>
      </c>
      <c r="W94" s="37" t="s">
        <v>21</v>
      </c>
      <c r="X94" s="37" t="s">
        <v>20</v>
      </c>
      <c r="Y94" s="18" t="s">
        <v>20</v>
      </c>
      <c r="Z94" s="18" t="s">
        <v>20</v>
      </c>
      <c r="AA94" s="20" t="s">
        <v>20</v>
      </c>
      <c r="AB94" s="20" t="s">
        <v>20</v>
      </c>
      <c r="AC94" s="20" t="s">
        <v>20</v>
      </c>
      <c r="AD94" s="37" t="s">
        <v>20</v>
      </c>
      <c r="AE94" s="37" t="s">
        <v>21</v>
      </c>
      <c r="AG94">
        <f t="shared" si="9"/>
        <v>2</v>
      </c>
      <c r="AH94">
        <f t="shared" si="10"/>
        <v>22</v>
      </c>
      <c r="AI94">
        <f t="shared" si="11"/>
        <v>2</v>
      </c>
      <c r="AJ94">
        <f t="shared" si="12"/>
        <v>0</v>
      </c>
      <c r="AL94">
        <f t="shared" si="13"/>
        <v>8</v>
      </c>
      <c r="AM94">
        <f t="shared" si="14"/>
        <v>66</v>
      </c>
      <c r="AN94">
        <f t="shared" si="15"/>
        <v>4</v>
      </c>
      <c r="AO94">
        <f t="shared" si="16"/>
        <v>0</v>
      </c>
      <c r="AP94">
        <f t="shared" si="17"/>
        <v>78</v>
      </c>
    </row>
    <row r="95" spans="1:42" ht="15.75" hidden="1" customHeight="1" x14ac:dyDescent="0.3">
      <c r="A95" s="16"/>
      <c r="B95" s="55">
        <v>5</v>
      </c>
      <c r="C95" s="56" t="s">
        <v>113</v>
      </c>
      <c r="D95" s="55">
        <v>3</v>
      </c>
      <c r="E95" s="55" t="s">
        <v>20</v>
      </c>
      <c r="F95" s="18" t="s">
        <v>23</v>
      </c>
      <c r="G95" s="18" t="s">
        <v>23</v>
      </c>
      <c r="H95" s="18" t="s">
        <v>23</v>
      </c>
      <c r="I95" s="18" t="s">
        <v>23</v>
      </c>
      <c r="J95" s="43" t="s">
        <v>21</v>
      </c>
      <c r="K95" s="43" t="s">
        <v>21</v>
      </c>
      <c r="L95" s="43" t="s">
        <v>21</v>
      </c>
      <c r="M95" s="18" t="s">
        <v>21</v>
      </c>
      <c r="N95" s="18" t="s">
        <v>23</v>
      </c>
      <c r="O95" s="18" t="s">
        <v>23</v>
      </c>
      <c r="P95" s="18" t="s">
        <v>23</v>
      </c>
      <c r="Q95" s="18" t="s">
        <v>23</v>
      </c>
      <c r="R95" s="18" t="s">
        <v>21</v>
      </c>
      <c r="S95" s="18" t="s">
        <v>23</v>
      </c>
      <c r="T95" s="18" t="s">
        <v>23</v>
      </c>
      <c r="U95" s="18" t="s">
        <v>21</v>
      </c>
      <c r="V95" s="37" t="s">
        <v>21</v>
      </c>
      <c r="W95" s="37" t="s">
        <v>21</v>
      </c>
      <c r="X95" s="37" t="s">
        <v>21</v>
      </c>
      <c r="Y95" s="18" t="s">
        <v>23</v>
      </c>
      <c r="Z95" s="18" t="s">
        <v>21</v>
      </c>
      <c r="AA95" s="20" t="s">
        <v>21</v>
      </c>
      <c r="AB95" s="20" t="s">
        <v>21</v>
      </c>
      <c r="AC95" s="20" t="s">
        <v>21</v>
      </c>
      <c r="AD95" s="37" t="s">
        <v>23</v>
      </c>
      <c r="AE95" s="37" t="s">
        <v>21</v>
      </c>
      <c r="AG95">
        <f t="shared" si="9"/>
        <v>0</v>
      </c>
      <c r="AH95">
        <f t="shared" si="10"/>
        <v>0</v>
      </c>
      <c r="AI95">
        <f t="shared" si="11"/>
        <v>14</v>
      </c>
      <c r="AJ95">
        <f t="shared" si="12"/>
        <v>12</v>
      </c>
      <c r="AL95">
        <f t="shared" si="13"/>
        <v>0</v>
      </c>
      <c r="AM95">
        <f t="shared" si="14"/>
        <v>0</v>
      </c>
      <c r="AN95">
        <f t="shared" si="15"/>
        <v>28</v>
      </c>
      <c r="AO95">
        <f t="shared" si="16"/>
        <v>12</v>
      </c>
      <c r="AP95">
        <f t="shared" si="17"/>
        <v>40</v>
      </c>
    </row>
    <row r="96" spans="1:42" ht="15.75" hidden="1" customHeight="1" x14ac:dyDescent="0.3">
      <c r="A96" s="16"/>
      <c r="B96" s="55">
        <v>6</v>
      </c>
      <c r="C96" s="56" t="s">
        <v>114</v>
      </c>
      <c r="D96" s="55">
        <v>3</v>
      </c>
      <c r="E96" s="55" t="s">
        <v>20</v>
      </c>
      <c r="F96" s="18" t="s">
        <v>20</v>
      </c>
      <c r="G96" s="18" t="s">
        <v>20</v>
      </c>
      <c r="H96" s="18" t="s">
        <v>20</v>
      </c>
      <c r="I96" s="18" t="s">
        <v>20</v>
      </c>
      <c r="J96" s="43" t="s">
        <v>20</v>
      </c>
      <c r="K96" s="43" t="s">
        <v>20</v>
      </c>
      <c r="L96" s="43" t="s">
        <v>20</v>
      </c>
      <c r="M96" s="18" t="s">
        <v>21</v>
      </c>
      <c r="N96" s="18" t="s">
        <v>20</v>
      </c>
      <c r="O96" s="18" t="s">
        <v>20</v>
      </c>
      <c r="P96" s="18" t="s">
        <v>20</v>
      </c>
      <c r="Q96" s="18" t="s">
        <v>20</v>
      </c>
      <c r="R96" s="18" t="s">
        <v>21</v>
      </c>
      <c r="S96" s="18" t="s">
        <v>21</v>
      </c>
      <c r="T96" s="18" t="s">
        <v>20</v>
      </c>
      <c r="U96" s="18" t="s">
        <v>20</v>
      </c>
      <c r="V96" s="37" t="s">
        <v>21</v>
      </c>
      <c r="W96" s="37" t="s">
        <v>21</v>
      </c>
      <c r="X96" s="37" t="s">
        <v>20</v>
      </c>
      <c r="Y96" s="18" t="s">
        <v>21</v>
      </c>
      <c r="Z96" s="18" t="s">
        <v>20</v>
      </c>
      <c r="AA96" s="20" t="s">
        <v>20</v>
      </c>
      <c r="AB96" s="20" t="s">
        <v>21</v>
      </c>
      <c r="AC96" s="20" t="s">
        <v>21</v>
      </c>
      <c r="AD96" s="37" t="s">
        <v>23</v>
      </c>
      <c r="AE96" s="37" t="s">
        <v>21</v>
      </c>
      <c r="AG96">
        <f t="shared" si="9"/>
        <v>0</v>
      </c>
      <c r="AH96">
        <f t="shared" si="10"/>
        <v>16</v>
      </c>
      <c r="AI96">
        <f t="shared" si="11"/>
        <v>9</v>
      </c>
      <c r="AJ96">
        <f t="shared" si="12"/>
        <v>1</v>
      </c>
      <c r="AL96">
        <f t="shared" si="13"/>
        <v>0</v>
      </c>
      <c r="AM96">
        <f t="shared" si="14"/>
        <v>48</v>
      </c>
      <c r="AN96">
        <f t="shared" si="15"/>
        <v>18</v>
      </c>
      <c r="AO96">
        <f t="shared" si="16"/>
        <v>1</v>
      </c>
      <c r="AP96">
        <f t="shared" si="17"/>
        <v>67</v>
      </c>
    </row>
    <row r="97" spans="1:42" ht="15.75" hidden="1" customHeight="1" x14ac:dyDescent="0.3">
      <c r="A97" s="16"/>
      <c r="B97" s="55">
        <v>7</v>
      </c>
      <c r="C97" s="56" t="s">
        <v>115</v>
      </c>
      <c r="D97" s="55">
        <v>3</v>
      </c>
      <c r="E97" s="55" t="s">
        <v>20</v>
      </c>
      <c r="F97" s="18" t="s">
        <v>23</v>
      </c>
      <c r="G97" s="18" t="s">
        <v>23</v>
      </c>
      <c r="H97" s="18" t="s">
        <v>23</v>
      </c>
      <c r="I97" s="18" t="s">
        <v>23</v>
      </c>
      <c r="J97" s="43" t="s">
        <v>21</v>
      </c>
      <c r="K97" s="43" t="s">
        <v>21</v>
      </c>
      <c r="L97" s="43" t="s">
        <v>21</v>
      </c>
      <c r="M97" s="18" t="s">
        <v>20</v>
      </c>
      <c r="N97" s="18" t="s">
        <v>21</v>
      </c>
      <c r="O97" s="18" t="s">
        <v>21</v>
      </c>
      <c r="P97" s="18" t="s">
        <v>21</v>
      </c>
      <c r="Q97" s="18" t="s">
        <v>21</v>
      </c>
      <c r="R97" s="18" t="s">
        <v>21</v>
      </c>
      <c r="S97" s="18" t="s">
        <v>23</v>
      </c>
      <c r="T97" s="18" t="s">
        <v>23</v>
      </c>
      <c r="U97" s="18" t="s">
        <v>20</v>
      </c>
      <c r="V97" s="37" t="s">
        <v>20</v>
      </c>
      <c r="W97" s="37" t="s">
        <v>21</v>
      </c>
      <c r="X97" s="37" t="s">
        <v>21</v>
      </c>
      <c r="Y97" s="18" t="s">
        <v>23</v>
      </c>
      <c r="Z97" s="18" t="s">
        <v>21</v>
      </c>
      <c r="AA97" s="20" t="s">
        <v>21</v>
      </c>
      <c r="AB97" s="20" t="s">
        <v>20</v>
      </c>
      <c r="AC97" s="20" t="s">
        <v>21</v>
      </c>
      <c r="AD97" s="37" t="s">
        <v>23</v>
      </c>
      <c r="AE97" s="37" t="s">
        <v>21</v>
      </c>
      <c r="AG97">
        <f t="shared" si="9"/>
        <v>0</v>
      </c>
      <c r="AH97">
        <f t="shared" si="10"/>
        <v>4</v>
      </c>
      <c r="AI97">
        <f t="shared" si="11"/>
        <v>14</v>
      </c>
      <c r="AJ97">
        <f t="shared" si="12"/>
        <v>8</v>
      </c>
      <c r="AL97">
        <f t="shared" si="13"/>
        <v>0</v>
      </c>
      <c r="AM97">
        <f t="shared" si="14"/>
        <v>12</v>
      </c>
      <c r="AN97">
        <f t="shared" si="15"/>
        <v>28</v>
      </c>
      <c r="AO97">
        <f t="shared" si="16"/>
        <v>8</v>
      </c>
      <c r="AP97">
        <f t="shared" si="17"/>
        <v>48</v>
      </c>
    </row>
    <row r="98" spans="1:42" ht="15.75" hidden="1" customHeight="1" x14ac:dyDescent="0.3">
      <c r="A98" s="16"/>
      <c r="B98" s="55">
        <v>8</v>
      </c>
      <c r="C98" s="56" t="s">
        <v>116</v>
      </c>
      <c r="D98" s="55">
        <v>3</v>
      </c>
      <c r="E98" s="55" t="s">
        <v>20</v>
      </c>
      <c r="F98" s="18" t="s">
        <v>21</v>
      </c>
      <c r="G98" s="18" t="s">
        <v>21</v>
      </c>
      <c r="H98" s="18" t="s">
        <v>21</v>
      </c>
      <c r="I98" s="18" t="s">
        <v>21</v>
      </c>
      <c r="J98" s="43" t="s">
        <v>20</v>
      </c>
      <c r="K98" s="43" t="s">
        <v>20</v>
      </c>
      <c r="L98" s="43" t="s">
        <v>21</v>
      </c>
      <c r="M98" s="18" t="s">
        <v>20</v>
      </c>
      <c r="N98" s="18" t="s">
        <v>20</v>
      </c>
      <c r="O98" s="18" t="s">
        <v>21</v>
      </c>
      <c r="P98" s="18" t="s">
        <v>21</v>
      </c>
      <c r="Q98" s="18" t="s">
        <v>21</v>
      </c>
      <c r="R98" s="18" t="s">
        <v>21</v>
      </c>
      <c r="S98" s="18" t="s">
        <v>20</v>
      </c>
      <c r="T98" s="18" t="s">
        <v>20</v>
      </c>
      <c r="U98" s="18" t="s">
        <v>20</v>
      </c>
      <c r="V98" s="37" t="s">
        <v>20</v>
      </c>
      <c r="W98" s="37" t="s">
        <v>20</v>
      </c>
      <c r="X98" s="37" t="s">
        <v>20</v>
      </c>
      <c r="Y98" s="18" t="s">
        <v>21</v>
      </c>
      <c r="Z98" s="18" t="s">
        <v>21</v>
      </c>
      <c r="AA98" s="20" t="s">
        <v>21</v>
      </c>
      <c r="AB98" s="20" t="s">
        <v>21</v>
      </c>
      <c r="AC98" s="20" t="s">
        <v>20</v>
      </c>
      <c r="AD98" s="44" t="s">
        <v>21</v>
      </c>
      <c r="AE98" s="44" t="s">
        <v>21</v>
      </c>
      <c r="AG98">
        <f t="shared" si="9"/>
        <v>0</v>
      </c>
      <c r="AH98">
        <f t="shared" si="10"/>
        <v>11</v>
      </c>
      <c r="AI98">
        <f t="shared" si="11"/>
        <v>15</v>
      </c>
      <c r="AJ98">
        <f t="shared" si="12"/>
        <v>0</v>
      </c>
      <c r="AL98">
        <f t="shared" si="13"/>
        <v>0</v>
      </c>
      <c r="AM98">
        <f t="shared" si="14"/>
        <v>33</v>
      </c>
      <c r="AN98">
        <f t="shared" si="15"/>
        <v>30</v>
      </c>
      <c r="AO98">
        <f t="shared" si="16"/>
        <v>0</v>
      </c>
      <c r="AP98">
        <f t="shared" si="17"/>
        <v>63</v>
      </c>
    </row>
    <row r="99" spans="1:42" ht="15.75" hidden="1" customHeight="1" x14ac:dyDescent="0.3">
      <c r="A99" s="16"/>
      <c r="B99" s="55">
        <v>9</v>
      </c>
      <c r="C99" s="56" t="s">
        <v>117</v>
      </c>
      <c r="D99" s="55">
        <v>3</v>
      </c>
      <c r="E99" s="55" t="s">
        <v>20</v>
      </c>
      <c r="F99" s="18" t="s">
        <v>20</v>
      </c>
      <c r="G99" s="18" t="s">
        <v>20</v>
      </c>
      <c r="H99" s="18" t="s">
        <v>20</v>
      </c>
      <c r="I99" s="18" t="s">
        <v>20</v>
      </c>
      <c r="J99" s="43" t="s">
        <v>20</v>
      </c>
      <c r="K99" s="43" t="s">
        <v>39</v>
      </c>
      <c r="L99" s="43" t="s">
        <v>20</v>
      </c>
      <c r="M99" s="18" t="s">
        <v>20</v>
      </c>
      <c r="N99" s="18" t="s">
        <v>20</v>
      </c>
      <c r="O99" s="18" t="s">
        <v>20</v>
      </c>
      <c r="P99" s="18" t="s">
        <v>20</v>
      </c>
      <c r="Q99" s="18" t="s">
        <v>20</v>
      </c>
      <c r="R99" s="18" t="s">
        <v>20</v>
      </c>
      <c r="S99" s="18" t="s">
        <v>20</v>
      </c>
      <c r="T99" s="18" t="s">
        <v>20</v>
      </c>
      <c r="U99" s="18" t="s">
        <v>20</v>
      </c>
      <c r="V99" s="37" t="s">
        <v>20</v>
      </c>
      <c r="W99" s="37" t="s">
        <v>20</v>
      </c>
      <c r="X99" s="37" t="s">
        <v>20</v>
      </c>
      <c r="Y99" s="18" t="s">
        <v>20</v>
      </c>
      <c r="Z99" s="18" t="s">
        <v>39</v>
      </c>
      <c r="AA99" s="20" t="s">
        <v>20</v>
      </c>
      <c r="AB99" s="20" t="s">
        <v>20</v>
      </c>
      <c r="AC99" s="20" t="s">
        <v>20</v>
      </c>
      <c r="AD99" s="37" t="s">
        <v>21</v>
      </c>
      <c r="AE99" s="37" t="s">
        <v>21</v>
      </c>
      <c r="AG99">
        <f t="shared" si="9"/>
        <v>2</v>
      </c>
      <c r="AH99">
        <f t="shared" si="10"/>
        <v>22</v>
      </c>
      <c r="AI99">
        <f t="shared" si="11"/>
        <v>2</v>
      </c>
      <c r="AJ99">
        <f t="shared" si="12"/>
        <v>0</v>
      </c>
      <c r="AL99">
        <f t="shared" si="13"/>
        <v>8</v>
      </c>
      <c r="AM99">
        <f t="shared" si="14"/>
        <v>66</v>
      </c>
      <c r="AN99">
        <f t="shared" si="15"/>
        <v>4</v>
      </c>
      <c r="AO99">
        <f t="shared" si="16"/>
        <v>0</v>
      </c>
      <c r="AP99">
        <f t="shared" si="17"/>
        <v>78</v>
      </c>
    </row>
    <row r="100" spans="1:42" ht="15.75" hidden="1" customHeight="1" x14ac:dyDescent="0.3">
      <c r="A100" s="16"/>
      <c r="B100" s="55">
        <v>10</v>
      </c>
      <c r="C100" s="56" t="s">
        <v>118</v>
      </c>
      <c r="D100" s="55">
        <v>3</v>
      </c>
      <c r="E100" s="55" t="s">
        <v>20</v>
      </c>
      <c r="F100" s="18" t="s">
        <v>23</v>
      </c>
      <c r="G100" s="18" t="s">
        <v>23</v>
      </c>
      <c r="H100" s="18" t="s">
        <v>23</v>
      </c>
      <c r="I100" s="18" t="s">
        <v>23</v>
      </c>
      <c r="J100" s="43" t="s">
        <v>21</v>
      </c>
      <c r="K100" s="43" t="s">
        <v>21</v>
      </c>
      <c r="L100" s="43" t="s">
        <v>21</v>
      </c>
      <c r="M100" s="18" t="s">
        <v>21</v>
      </c>
      <c r="N100" s="18" t="s">
        <v>23</v>
      </c>
      <c r="O100" s="18" t="s">
        <v>21</v>
      </c>
      <c r="P100" s="18" t="s">
        <v>23</v>
      </c>
      <c r="Q100" s="18" t="s">
        <v>21</v>
      </c>
      <c r="R100" s="18" t="s">
        <v>21</v>
      </c>
      <c r="S100" s="18" t="s">
        <v>20</v>
      </c>
      <c r="T100" s="18" t="s">
        <v>20</v>
      </c>
      <c r="U100" s="18" t="s">
        <v>21</v>
      </c>
      <c r="V100" s="37" t="s">
        <v>20</v>
      </c>
      <c r="W100" s="37" t="s">
        <v>21</v>
      </c>
      <c r="X100" s="37" t="s">
        <v>20</v>
      </c>
      <c r="Y100" s="18" t="s">
        <v>20</v>
      </c>
      <c r="Z100" s="18" t="s">
        <v>20</v>
      </c>
      <c r="AA100" s="20" t="s">
        <v>21</v>
      </c>
      <c r="AB100" s="20" t="s">
        <v>21</v>
      </c>
      <c r="AC100" s="20" t="s">
        <v>21</v>
      </c>
      <c r="AD100" s="37" t="s">
        <v>21</v>
      </c>
      <c r="AE100" s="37" t="s">
        <v>21</v>
      </c>
      <c r="AG100">
        <f t="shared" si="9"/>
        <v>0</v>
      </c>
      <c r="AH100">
        <f t="shared" si="10"/>
        <v>6</v>
      </c>
      <c r="AI100">
        <f t="shared" si="11"/>
        <v>14</v>
      </c>
      <c r="AJ100">
        <f t="shared" si="12"/>
        <v>6</v>
      </c>
      <c r="AL100">
        <f t="shared" si="13"/>
        <v>0</v>
      </c>
      <c r="AM100">
        <f t="shared" si="14"/>
        <v>18</v>
      </c>
      <c r="AN100">
        <f t="shared" si="15"/>
        <v>28</v>
      </c>
      <c r="AO100">
        <f t="shared" si="16"/>
        <v>6</v>
      </c>
      <c r="AP100">
        <f t="shared" si="17"/>
        <v>52</v>
      </c>
    </row>
    <row r="101" spans="1:42" ht="15.75" hidden="1" customHeight="1" x14ac:dyDescent="0.3">
      <c r="A101" s="16"/>
      <c r="B101" s="55">
        <v>11</v>
      </c>
      <c r="C101" s="56" t="s">
        <v>119</v>
      </c>
      <c r="D101" s="55">
        <v>3</v>
      </c>
      <c r="E101" s="55" t="s">
        <v>20</v>
      </c>
      <c r="F101" s="18" t="s">
        <v>21</v>
      </c>
      <c r="G101" s="18" t="s">
        <v>21</v>
      </c>
      <c r="H101" s="18" t="s">
        <v>21</v>
      </c>
      <c r="I101" s="18" t="s">
        <v>21</v>
      </c>
      <c r="J101" s="43" t="s">
        <v>21</v>
      </c>
      <c r="K101" s="43" t="s">
        <v>21</v>
      </c>
      <c r="L101" s="43" t="s">
        <v>21</v>
      </c>
      <c r="M101" s="18" t="s">
        <v>21</v>
      </c>
      <c r="N101" s="18" t="s">
        <v>21</v>
      </c>
      <c r="O101" s="18" t="s">
        <v>21</v>
      </c>
      <c r="P101" s="18" t="s">
        <v>23</v>
      </c>
      <c r="Q101" s="18" t="s">
        <v>21</v>
      </c>
      <c r="R101" s="18" t="s">
        <v>21</v>
      </c>
      <c r="S101" s="18" t="s">
        <v>20</v>
      </c>
      <c r="T101" s="18" t="s">
        <v>20</v>
      </c>
      <c r="U101" s="18" t="s">
        <v>21</v>
      </c>
      <c r="V101" s="37" t="s">
        <v>20</v>
      </c>
      <c r="W101" s="37" t="s">
        <v>20</v>
      </c>
      <c r="X101" s="37" t="s">
        <v>20</v>
      </c>
      <c r="Y101" s="18" t="s">
        <v>21</v>
      </c>
      <c r="Z101" s="18" t="s">
        <v>21</v>
      </c>
      <c r="AA101" s="20" t="s">
        <v>21</v>
      </c>
      <c r="AB101" s="20" t="s">
        <v>21</v>
      </c>
      <c r="AC101" s="20" t="s">
        <v>21</v>
      </c>
      <c r="AD101" s="37" t="s">
        <v>23</v>
      </c>
      <c r="AE101" s="37" t="s">
        <v>21</v>
      </c>
      <c r="AG101">
        <f t="shared" si="9"/>
        <v>0</v>
      </c>
      <c r="AH101">
        <f t="shared" si="10"/>
        <v>5</v>
      </c>
      <c r="AI101">
        <f t="shared" si="11"/>
        <v>19</v>
      </c>
      <c r="AJ101">
        <f t="shared" si="12"/>
        <v>2</v>
      </c>
      <c r="AL101">
        <f t="shared" si="13"/>
        <v>0</v>
      </c>
      <c r="AM101">
        <f t="shared" si="14"/>
        <v>15</v>
      </c>
      <c r="AN101">
        <f t="shared" si="15"/>
        <v>38</v>
      </c>
      <c r="AO101">
        <f t="shared" si="16"/>
        <v>2</v>
      </c>
      <c r="AP101">
        <f t="shared" si="17"/>
        <v>55</v>
      </c>
    </row>
    <row r="102" spans="1:42" ht="15.75" hidden="1" customHeight="1" x14ac:dyDescent="0.3">
      <c r="A102" s="16"/>
      <c r="B102" s="55">
        <v>12</v>
      </c>
      <c r="C102" s="56" t="s">
        <v>120</v>
      </c>
      <c r="D102" s="55">
        <v>3</v>
      </c>
      <c r="E102" s="55" t="s">
        <v>20</v>
      </c>
      <c r="F102" s="18" t="s">
        <v>21</v>
      </c>
      <c r="G102" s="18" t="s">
        <v>23</v>
      </c>
      <c r="H102" s="18" t="s">
        <v>23</v>
      </c>
      <c r="I102" s="18" t="s">
        <v>21</v>
      </c>
      <c r="J102" s="43" t="s">
        <v>21</v>
      </c>
      <c r="K102" s="43" t="s">
        <v>20</v>
      </c>
      <c r="L102" s="43" t="s">
        <v>21</v>
      </c>
      <c r="M102" s="18" t="s">
        <v>21</v>
      </c>
      <c r="N102" s="18" t="s">
        <v>21</v>
      </c>
      <c r="O102" s="18" t="s">
        <v>20</v>
      </c>
      <c r="P102" s="18" t="s">
        <v>21</v>
      </c>
      <c r="Q102" s="18" t="s">
        <v>21</v>
      </c>
      <c r="R102" s="18" t="s">
        <v>21</v>
      </c>
      <c r="S102" s="18" t="s">
        <v>21</v>
      </c>
      <c r="T102" s="18" t="s">
        <v>20</v>
      </c>
      <c r="U102" s="18" t="s">
        <v>21</v>
      </c>
      <c r="V102" s="37" t="s">
        <v>20</v>
      </c>
      <c r="W102" s="37" t="s">
        <v>21</v>
      </c>
      <c r="X102" s="37" t="s">
        <v>20</v>
      </c>
      <c r="Y102" s="18" t="s">
        <v>20</v>
      </c>
      <c r="Z102" s="18" t="s">
        <v>20</v>
      </c>
      <c r="AA102" s="20" t="s">
        <v>20</v>
      </c>
      <c r="AB102" s="20" t="s">
        <v>21</v>
      </c>
      <c r="AC102" s="20" t="s">
        <v>20</v>
      </c>
      <c r="AD102" s="37" t="s">
        <v>23</v>
      </c>
      <c r="AE102" s="37" t="s">
        <v>21</v>
      </c>
      <c r="AG102">
        <f t="shared" si="9"/>
        <v>0</v>
      </c>
      <c r="AH102">
        <f t="shared" si="10"/>
        <v>9</v>
      </c>
      <c r="AI102">
        <f t="shared" si="11"/>
        <v>14</v>
      </c>
      <c r="AJ102">
        <f t="shared" si="12"/>
        <v>3</v>
      </c>
      <c r="AL102">
        <f t="shared" si="13"/>
        <v>0</v>
      </c>
      <c r="AM102">
        <f t="shared" si="14"/>
        <v>27</v>
      </c>
      <c r="AN102">
        <f t="shared" si="15"/>
        <v>28</v>
      </c>
      <c r="AO102">
        <f t="shared" si="16"/>
        <v>3</v>
      </c>
      <c r="AP102">
        <f t="shared" si="17"/>
        <v>58</v>
      </c>
    </row>
    <row r="103" spans="1:42" ht="15.75" hidden="1" customHeight="1" x14ac:dyDescent="0.3">
      <c r="A103" s="16"/>
      <c r="B103" s="55">
        <v>13</v>
      </c>
      <c r="C103" s="56" t="s">
        <v>121</v>
      </c>
      <c r="D103" s="55">
        <v>3</v>
      </c>
      <c r="E103" s="55" t="s">
        <v>20</v>
      </c>
      <c r="F103" s="18" t="s">
        <v>20</v>
      </c>
      <c r="G103" s="18" t="s">
        <v>20</v>
      </c>
      <c r="H103" s="18" t="s">
        <v>20</v>
      </c>
      <c r="I103" s="18" t="s">
        <v>20</v>
      </c>
      <c r="J103" s="43" t="s">
        <v>20</v>
      </c>
      <c r="K103" s="43" t="s">
        <v>21</v>
      </c>
      <c r="L103" s="43" t="s">
        <v>21</v>
      </c>
      <c r="M103" s="18" t="s">
        <v>21</v>
      </c>
      <c r="N103" s="18" t="s">
        <v>21</v>
      </c>
      <c r="O103" s="18" t="s">
        <v>20</v>
      </c>
      <c r="P103" s="18" t="s">
        <v>20</v>
      </c>
      <c r="Q103" s="18" t="s">
        <v>20</v>
      </c>
      <c r="R103" s="18" t="s">
        <v>20</v>
      </c>
      <c r="S103" s="18" t="s">
        <v>20</v>
      </c>
      <c r="T103" s="18" t="s">
        <v>20</v>
      </c>
      <c r="U103" s="18" t="s">
        <v>21</v>
      </c>
      <c r="V103" s="37" t="s">
        <v>20</v>
      </c>
      <c r="W103" s="37" t="s">
        <v>21</v>
      </c>
      <c r="X103" s="37" t="s">
        <v>20</v>
      </c>
      <c r="Y103" s="18" t="s">
        <v>21</v>
      </c>
      <c r="Z103" s="18" t="s">
        <v>20</v>
      </c>
      <c r="AA103" s="20" t="s">
        <v>20</v>
      </c>
      <c r="AB103" s="20" t="s">
        <v>21</v>
      </c>
      <c r="AC103" s="20" t="s">
        <v>20</v>
      </c>
      <c r="AD103" s="37" t="s">
        <v>21</v>
      </c>
      <c r="AE103" s="37" t="s">
        <v>21</v>
      </c>
      <c r="AG103">
        <f t="shared" si="9"/>
        <v>0</v>
      </c>
      <c r="AH103">
        <f t="shared" si="10"/>
        <v>16</v>
      </c>
      <c r="AI103">
        <f t="shared" si="11"/>
        <v>10</v>
      </c>
      <c r="AJ103">
        <f t="shared" si="12"/>
        <v>0</v>
      </c>
      <c r="AL103">
        <f t="shared" si="13"/>
        <v>0</v>
      </c>
      <c r="AM103">
        <f t="shared" si="14"/>
        <v>48</v>
      </c>
      <c r="AN103">
        <f t="shared" si="15"/>
        <v>20</v>
      </c>
      <c r="AO103">
        <f t="shared" si="16"/>
        <v>0</v>
      </c>
      <c r="AP103">
        <f t="shared" si="17"/>
        <v>68</v>
      </c>
    </row>
    <row r="104" spans="1:42" ht="15.75" hidden="1" customHeight="1" x14ac:dyDescent="0.3">
      <c r="A104" s="16"/>
      <c r="B104" s="55">
        <v>14</v>
      </c>
      <c r="C104" s="56" t="s">
        <v>122</v>
      </c>
      <c r="D104" s="55">
        <v>3</v>
      </c>
      <c r="E104" s="55" t="s">
        <v>20</v>
      </c>
      <c r="F104" s="18" t="s">
        <v>23</v>
      </c>
      <c r="G104" s="18" t="s">
        <v>23</v>
      </c>
      <c r="H104" s="18" t="s">
        <v>23</v>
      </c>
      <c r="I104" s="18" t="s">
        <v>23</v>
      </c>
      <c r="J104" s="43" t="s">
        <v>21</v>
      </c>
      <c r="K104" s="43" t="s">
        <v>23</v>
      </c>
      <c r="L104" s="43" t="s">
        <v>21</v>
      </c>
      <c r="M104" s="18" t="s">
        <v>21</v>
      </c>
      <c r="N104" s="18" t="s">
        <v>23</v>
      </c>
      <c r="O104" s="18" t="s">
        <v>23</v>
      </c>
      <c r="P104" s="18" t="s">
        <v>23</v>
      </c>
      <c r="Q104" s="18" t="s">
        <v>21</v>
      </c>
      <c r="R104" s="18" t="s">
        <v>23</v>
      </c>
      <c r="S104" s="18" t="s">
        <v>23</v>
      </c>
      <c r="T104" s="18" t="s">
        <v>23</v>
      </c>
      <c r="U104" s="18" t="s">
        <v>21</v>
      </c>
      <c r="V104" s="37" t="s">
        <v>20</v>
      </c>
      <c r="W104" s="37" t="s">
        <v>21</v>
      </c>
      <c r="X104" s="37" t="s">
        <v>20</v>
      </c>
      <c r="Y104" s="18" t="s">
        <v>21</v>
      </c>
      <c r="Z104" s="18" t="s">
        <v>23</v>
      </c>
      <c r="AA104" s="20" t="s">
        <v>23</v>
      </c>
      <c r="AB104" s="20" t="s">
        <v>23</v>
      </c>
      <c r="AC104" s="20" t="s">
        <v>21</v>
      </c>
      <c r="AD104" s="37" t="s">
        <v>21</v>
      </c>
      <c r="AE104" s="37" t="s">
        <v>21</v>
      </c>
      <c r="AG104">
        <f t="shared" si="9"/>
        <v>0</v>
      </c>
      <c r="AH104">
        <f t="shared" si="10"/>
        <v>2</v>
      </c>
      <c r="AI104">
        <f t="shared" si="11"/>
        <v>10</v>
      </c>
      <c r="AJ104">
        <f t="shared" si="12"/>
        <v>14</v>
      </c>
      <c r="AL104">
        <f t="shared" si="13"/>
        <v>0</v>
      </c>
      <c r="AM104">
        <f t="shared" si="14"/>
        <v>6</v>
      </c>
      <c r="AN104">
        <f t="shared" si="15"/>
        <v>20</v>
      </c>
      <c r="AO104">
        <f t="shared" si="16"/>
        <v>14</v>
      </c>
      <c r="AP104">
        <f t="shared" si="17"/>
        <v>40</v>
      </c>
    </row>
    <row r="105" spans="1:42" ht="15.75" hidden="1" customHeight="1" x14ac:dyDescent="0.3">
      <c r="A105" s="16"/>
      <c r="B105" s="55">
        <v>15</v>
      </c>
      <c r="C105" s="56" t="s">
        <v>123</v>
      </c>
      <c r="D105" s="55">
        <v>3</v>
      </c>
      <c r="E105" s="55" t="s">
        <v>20</v>
      </c>
      <c r="F105" s="18" t="s">
        <v>39</v>
      </c>
      <c r="G105" s="18" t="s">
        <v>39</v>
      </c>
      <c r="H105" s="18" t="s">
        <v>20</v>
      </c>
      <c r="I105" s="18" t="s">
        <v>39</v>
      </c>
      <c r="J105" s="43" t="s">
        <v>20</v>
      </c>
      <c r="K105" s="43" t="s">
        <v>20</v>
      </c>
      <c r="L105" s="43" t="s">
        <v>20</v>
      </c>
      <c r="M105" s="18" t="s">
        <v>20</v>
      </c>
      <c r="N105" s="18" t="s">
        <v>21</v>
      </c>
      <c r="O105" s="18" t="s">
        <v>20</v>
      </c>
      <c r="P105" s="18" t="s">
        <v>20</v>
      </c>
      <c r="Q105" s="18" t="s">
        <v>20</v>
      </c>
      <c r="R105" s="18" t="s">
        <v>20</v>
      </c>
      <c r="S105" s="18" t="s">
        <v>20</v>
      </c>
      <c r="T105" s="18" t="s">
        <v>20</v>
      </c>
      <c r="U105" s="18" t="s">
        <v>20</v>
      </c>
      <c r="V105" s="37" t="s">
        <v>20</v>
      </c>
      <c r="W105" s="37" t="s">
        <v>20</v>
      </c>
      <c r="X105" s="37" t="s">
        <v>20</v>
      </c>
      <c r="Y105" s="18" t="s">
        <v>20</v>
      </c>
      <c r="Z105" s="18" t="s">
        <v>21</v>
      </c>
      <c r="AA105" s="20" t="s">
        <v>20</v>
      </c>
      <c r="AB105" s="20" t="s">
        <v>20</v>
      </c>
      <c r="AC105" s="20" t="s">
        <v>20</v>
      </c>
      <c r="AD105" s="37" t="s">
        <v>20</v>
      </c>
      <c r="AE105" s="37" t="s">
        <v>21</v>
      </c>
      <c r="AG105">
        <f t="shared" si="9"/>
        <v>3</v>
      </c>
      <c r="AH105">
        <f t="shared" si="10"/>
        <v>20</v>
      </c>
      <c r="AI105">
        <f t="shared" si="11"/>
        <v>3</v>
      </c>
      <c r="AJ105">
        <f t="shared" si="12"/>
        <v>0</v>
      </c>
      <c r="AL105">
        <f t="shared" si="13"/>
        <v>12</v>
      </c>
      <c r="AM105">
        <f t="shared" si="14"/>
        <v>60</v>
      </c>
      <c r="AN105">
        <f t="shared" si="15"/>
        <v>6</v>
      </c>
      <c r="AO105">
        <f t="shared" si="16"/>
        <v>0</v>
      </c>
      <c r="AP105">
        <f t="shared" si="17"/>
        <v>78</v>
      </c>
    </row>
    <row r="106" spans="1:42" ht="15.75" hidden="1" customHeight="1" x14ac:dyDescent="0.3">
      <c r="A106" s="16"/>
      <c r="B106" s="55">
        <v>16</v>
      </c>
      <c r="C106" s="56" t="s">
        <v>124</v>
      </c>
      <c r="D106" s="55">
        <v>3</v>
      </c>
      <c r="E106" s="55" t="s">
        <v>20</v>
      </c>
      <c r="F106" s="18" t="s">
        <v>20</v>
      </c>
      <c r="G106" s="18" t="s">
        <v>20</v>
      </c>
      <c r="H106" s="18" t="s">
        <v>20</v>
      </c>
      <c r="I106" s="18" t="s">
        <v>20</v>
      </c>
      <c r="J106" s="43" t="s">
        <v>20</v>
      </c>
      <c r="K106" s="43" t="s">
        <v>20</v>
      </c>
      <c r="L106" s="43" t="s">
        <v>20</v>
      </c>
      <c r="M106" s="18" t="s">
        <v>20</v>
      </c>
      <c r="N106" s="18" t="s">
        <v>20</v>
      </c>
      <c r="O106" s="18" t="s">
        <v>20</v>
      </c>
      <c r="P106" s="18" t="s">
        <v>20</v>
      </c>
      <c r="Q106" s="18" t="s">
        <v>20</v>
      </c>
      <c r="R106" s="18" t="s">
        <v>20</v>
      </c>
      <c r="S106" s="18" t="s">
        <v>20</v>
      </c>
      <c r="T106" s="18" t="s">
        <v>20</v>
      </c>
      <c r="U106" s="18" t="s">
        <v>20</v>
      </c>
      <c r="V106" s="37" t="s">
        <v>20</v>
      </c>
      <c r="W106" s="37" t="s">
        <v>20</v>
      </c>
      <c r="X106" s="37" t="s">
        <v>20</v>
      </c>
      <c r="Y106" s="18" t="s">
        <v>20</v>
      </c>
      <c r="Z106" s="18" t="s">
        <v>20</v>
      </c>
      <c r="AA106" s="20" t="s">
        <v>20</v>
      </c>
      <c r="AB106" s="20" t="s">
        <v>20</v>
      </c>
      <c r="AC106" s="20" t="s">
        <v>20</v>
      </c>
      <c r="AD106" s="37" t="s">
        <v>20</v>
      </c>
      <c r="AE106" s="37" t="s">
        <v>21</v>
      </c>
      <c r="AG106">
        <f t="shared" si="9"/>
        <v>0</v>
      </c>
      <c r="AH106">
        <f t="shared" si="10"/>
        <v>25</v>
      </c>
      <c r="AI106">
        <f t="shared" si="11"/>
        <v>1</v>
      </c>
      <c r="AJ106">
        <f t="shared" si="12"/>
        <v>0</v>
      </c>
      <c r="AL106">
        <f t="shared" si="13"/>
        <v>0</v>
      </c>
      <c r="AM106">
        <f t="shared" si="14"/>
        <v>75</v>
      </c>
      <c r="AN106">
        <f t="shared" si="15"/>
        <v>2</v>
      </c>
      <c r="AO106">
        <f t="shared" si="16"/>
        <v>0</v>
      </c>
      <c r="AP106">
        <f t="shared" si="17"/>
        <v>77</v>
      </c>
    </row>
    <row r="107" spans="1:42" ht="15.75" hidden="1" customHeight="1" x14ac:dyDescent="0.3">
      <c r="A107" s="16"/>
      <c r="B107" s="55">
        <v>17</v>
      </c>
      <c r="C107" s="56" t="s">
        <v>125</v>
      </c>
      <c r="D107" s="55">
        <v>3</v>
      </c>
      <c r="E107" s="55" t="s">
        <v>20</v>
      </c>
      <c r="F107" s="18" t="s">
        <v>20</v>
      </c>
      <c r="G107" s="18" t="s">
        <v>20</v>
      </c>
      <c r="H107" s="18" t="s">
        <v>20</v>
      </c>
      <c r="I107" s="18" t="s">
        <v>20</v>
      </c>
      <c r="J107" s="43" t="s">
        <v>39</v>
      </c>
      <c r="K107" s="43" t="s">
        <v>20</v>
      </c>
      <c r="L107" s="43" t="s">
        <v>20</v>
      </c>
      <c r="M107" s="18" t="s">
        <v>20</v>
      </c>
      <c r="N107" s="18" t="s">
        <v>20</v>
      </c>
      <c r="O107" s="18" t="s">
        <v>20</v>
      </c>
      <c r="P107" s="18" t="s">
        <v>20</v>
      </c>
      <c r="Q107" s="18" t="s">
        <v>20</v>
      </c>
      <c r="R107" s="18" t="s">
        <v>20</v>
      </c>
      <c r="S107" s="18" t="s">
        <v>21</v>
      </c>
      <c r="T107" s="18" t="s">
        <v>20</v>
      </c>
      <c r="U107" s="18" t="s">
        <v>20</v>
      </c>
      <c r="V107" s="37" t="s">
        <v>21</v>
      </c>
      <c r="W107" s="37" t="s">
        <v>20</v>
      </c>
      <c r="X107" s="37" t="s">
        <v>21</v>
      </c>
      <c r="Y107" s="18" t="s">
        <v>20</v>
      </c>
      <c r="Z107" s="18" t="s">
        <v>20</v>
      </c>
      <c r="AA107" s="20" t="s">
        <v>20</v>
      </c>
      <c r="AB107" s="20" t="s">
        <v>20</v>
      </c>
      <c r="AC107" s="20" t="s">
        <v>20</v>
      </c>
      <c r="AD107" s="37" t="s">
        <v>20</v>
      </c>
      <c r="AE107" s="37" t="s">
        <v>21</v>
      </c>
      <c r="AG107">
        <f t="shared" si="9"/>
        <v>1</v>
      </c>
      <c r="AH107">
        <f t="shared" si="10"/>
        <v>21</v>
      </c>
      <c r="AI107">
        <f t="shared" si="11"/>
        <v>4</v>
      </c>
      <c r="AJ107">
        <f t="shared" si="12"/>
        <v>0</v>
      </c>
      <c r="AL107">
        <f t="shared" si="13"/>
        <v>4</v>
      </c>
      <c r="AM107">
        <f t="shared" si="14"/>
        <v>63</v>
      </c>
      <c r="AN107">
        <f t="shared" si="15"/>
        <v>8</v>
      </c>
      <c r="AO107">
        <f t="shared" si="16"/>
        <v>0</v>
      </c>
      <c r="AP107">
        <f t="shared" si="17"/>
        <v>75</v>
      </c>
    </row>
    <row r="108" spans="1:42" ht="15.75" hidden="1" customHeight="1" x14ac:dyDescent="0.3">
      <c r="A108" s="16"/>
      <c r="B108" s="55">
        <v>18</v>
      </c>
      <c r="C108" s="56" t="s">
        <v>126</v>
      </c>
      <c r="D108" s="55">
        <v>3</v>
      </c>
      <c r="E108" s="55" t="s">
        <v>20</v>
      </c>
      <c r="F108" s="18" t="s">
        <v>39</v>
      </c>
      <c r="G108" s="18" t="s">
        <v>20</v>
      </c>
      <c r="H108" s="18" t="s">
        <v>20</v>
      </c>
      <c r="I108" s="18" t="s">
        <v>20</v>
      </c>
      <c r="J108" s="43" t="s">
        <v>20</v>
      </c>
      <c r="K108" s="43" t="s">
        <v>20</v>
      </c>
      <c r="L108" s="43" t="s">
        <v>20</v>
      </c>
      <c r="M108" s="18" t="s">
        <v>20</v>
      </c>
      <c r="N108" s="18" t="s">
        <v>20</v>
      </c>
      <c r="O108" s="18" t="s">
        <v>20</v>
      </c>
      <c r="P108" s="18" t="s">
        <v>20</v>
      </c>
      <c r="Q108" s="18" t="s">
        <v>20</v>
      </c>
      <c r="R108" s="18" t="s">
        <v>20</v>
      </c>
      <c r="S108" s="18" t="s">
        <v>20</v>
      </c>
      <c r="T108" s="18" t="s">
        <v>20</v>
      </c>
      <c r="U108" s="18" t="s">
        <v>20</v>
      </c>
      <c r="V108" s="37" t="s">
        <v>20</v>
      </c>
      <c r="W108" s="37" t="s">
        <v>20</v>
      </c>
      <c r="X108" s="37" t="s">
        <v>20</v>
      </c>
      <c r="Y108" s="18" t="s">
        <v>21</v>
      </c>
      <c r="Z108" s="18" t="s">
        <v>20</v>
      </c>
      <c r="AA108" s="20" t="s">
        <v>20</v>
      </c>
      <c r="AB108" s="20" t="s">
        <v>20</v>
      </c>
      <c r="AC108" s="20" t="s">
        <v>20</v>
      </c>
      <c r="AD108" s="37" t="s">
        <v>20</v>
      </c>
      <c r="AE108" s="37" t="s">
        <v>21</v>
      </c>
      <c r="AG108">
        <f t="shared" si="9"/>
        <v>1</v>
      </c>
      <c r="AH108">
        <f t="shared" si="10"/>
        <v>23</v>
      </c>
      <c r="AI108">
        <f t="shared" si="11"/>
        <v>2</v>
      </c>
      <c r="AJ108">
        <f t="shared" si="12"/>
        <v>0</v>
      </c>
      <c r="AL108">
        <f t="shared" si="13"/>
        <v>4</v>
      </c>
      <c r="AM108">
        <f t="shared" si="14"/>
        <v>69</v>
      </c>
      <c r="AN108">
        <f t="shared" si="15"/>
        <v>4</v>
      </c>
      <c r="AO108">
        <f t="shared" si="16"/>
        <v>0</v>
      </c>
      <c r="AP108">
        <f t="shared" si="17"/>
        <v>77</v>
      </c>
    </row>
    <row r="109" spans="1:42" ht="15.75" hidden="1" customHeight="1" thickBot="1" x14ac:dyDescent="0.35">
      <c r="A109" s="16"/>
      <c r="B109" s="57">
        <v>19</v>
      </c>
      <c r="C109" s="58" t="s">
        <v>127</v>
      </c>
      <c r="D109" s="57">
        <v>3</v>
      </c>
      <c r="E109" s="57" t="s">
        <v>20</v>
      </c>
      <c r="F109" s="21" t="s">
        <v>21</v>
      </c>
      <c r="G109" s="21" t="s">
        <v>23</v>
      </c>
      <c r="H109" s="21" t="s">
        <v>23</v>
      </c>
      <c r="I109" s="21" t="s">
        <v>23</v>
      </c>
      <c r="J109" s="45" t="s">
        <v>21</v>
      </c>
      <c r="K109" s="45" t="s">
        <v>20</v>
      </c>
      <c r="L109" s="45" t="s">
        <v>21</v>
      </c>
      <c r="M109" s="21" t="s">
        <v>21</v>
      </c>
      <c r="N109" s="21" t="s">
        <v>21</v>
      </c>
      <c r="O109" s="21" t="s">
        <v>21</v>
      </c>
      <c r="P109" s="21" t="s">
        <v>21</v>
      </c>
      <c r="Q109" s="21" t="s">
        <v>21</v>
      </c>
      <c r="R109" s="21" t="s">
        <v>21</v>
      </c>
      <c r="S109" s="21" t="s">
        <v>20</v>
      </c>
      <c r="T109" s="21" t="s">
        <v>20</v>
      </c>
      <c r="U109" s="21" t="s">
        <v>20</v>
      </c>
      <c r="V109" s="38" t="s">
        <v>20</v>
      </c>
      <c r="W109" s="38" t="s">
        <v>21</v>
      </c>
      <c r="X109" s="38" t="s">
        <v>20</v>
      </c>
      <c r="Y109" s="21" t="s">
        <v>23</v>
      </c>
      <c r="Z109" s="21" t="s">
        <v>20</v>
      </c>
      <c r="AA109" s="23" t="s">
        <v>21</v>
      </c>
      <c r="AB109" s="23" t="s">
        <v>21</v>
      </c>
      <c r="AC109" s="23" t="s">
        <v>21</v>
      </c>
      <c r="AD109" s="38" t="s">
        <v>21</v>
      </c>
      <c r="AE109" s="38" t="s">
        <v>21</v>
      </c>
      <c r="AG109">
        <f t="shared" si="9"/>
        <v>0</v>
      </c>
      <c r="AH109">
        <f t="shared" si="10"/>
        <v>7</v>
      </c>
      <c r="AI109">
        <f t="shared" si="11"/>
        <v>15</v>
      </c>
      <c r="AJ109">
        <f t="shared" si="12"/>
        <v>4</v>
      </c>
      <c r="AL109">
        <f t="shared" si="13"/>
        <v>0</v>
      </c>
      <c r="AM109">
        <f t="shared" si="14"/>
        <v>21</v>
      </c>
      <c r="AN109">
        <f t="shared" si="15"/>
        <v>30</v>
      </c>
      <c r="AO109">
        <f t="shared" si="16"/>
        <v>4</v>
      </c>
      <c r="AP109">
        <f t="shared" si="17"/>
        <v>55</v>
      </c>
    </row>
    <row r="110" spans="1:42" ht="15.75" hidden="1" customHeight="1" x14ac:dyDescent="0.3">
      <c r="A110" s="16"/>
      <c r="B110" s="59">
        <v>1</v>
      </c>
      <c r="C110" s="60" t="s">
        <v>128</v>
      </c>
      <c r="D110" s="59">
        <v>3</v>
      </c>
      <c r="E110" s="59" t="s">
        <v>21</v>
      </c>
      <c r="F110" s="24" t="s">
        <v>21</v>
      </c>
      <c r="G110" s="24" t="s">
        <v>20</v>
      </c>
      <c r="H110" s="24" t="s">
        <v>20</v>
      </c>
      <c r="I110" s="24" t="s">
        <v>20</v>
      </c>
      <c r="J110" s="27" t="s">
        <v>20</v>
      </c>
      <c r="K110" s="27" t="s">
        <v>20</v>
      </c>
      <c r="L110" s="27" t="s">
        <v>21</v>
      </c>
      <c r="M110" s="24" t="s">
        <v>20</v>
      </c>
      <c r="N110" s="24" t="s">
        <v>20</v>
      </c>
      <c r="O110" s="24" t="s">
        <v>20</v>
      </c>
      <c r="P110" s="24" t="s">
        <v>21</v>
      </c>
      <c r="Q110" s="24" t="s">
        <v>21</v>
      </c>
      <c r="R110" s="24" t="s">
        <v>20</v>
      </c>
      <c r="S110" s="24" t="s">
        <v>20</v>
      </c>
      <c r="T110" s="24" t="s">
        <v>20</v>
      </c>
      <c r="U110" s="24" t="s">
        <v>20</v>
      </c>
      <c r="V110" s="39" t="s">
        <v>21</v>
      </c>
      <c r="W110" s="39" t="s">
        <v>20</v>
      </c>
      <c r="X110" s="39" t="s">
        <v>20</v>
      </c>
      <c r="Y110" s="24" t="s">
        <v>20</v>
      </c>
      <c r="Z110" s="24" t="s">
        <v>20</v>
      </c>
      <c r="AA110" s="27" t="s">
        <v>21</v>
      </c>
      <c r="AB110" s="27" t="s">
        <v>21</v>
      </c>
      <c r="AC110" s="27" t="s">
        <v>21</v>
      </c>
      <c r="AD110" s="39" t="s">
        <v>21</v>
      </c>
      <c r="AE110" s="39" t="s">
        <v>21</v>
      </c>
      <c r="AG110">
        <f t="shared" si="9"/>
        <v>0</v>
      </c>
      <c r="AH110">
        <f t="shared" si="10"/>
        <v>16</v>
      </c>
      <c r="AI110">
        <f t="shared" si="11"/>
        <v>10</v>
      </c>
      <c r="AJ110">
        <f t="shared" si="12"/>
        <v>0</v>
      </c>
      <c r="AL110">
        <f t="shared" si="13"/>
        <v>0</v>
      </c>
      <c r="AM110">
        <f t="shared" si="14"/>
        <v>48</v>
      </c>
      <c r="AN110">
        <f t="shared" si="15"/>
        <v>20</v>
      </c>
      <c r="AO110">
        <f t="shared" si="16"/>
        <v>0</v>
      </c>
      <c r="AP110">
        <f t="shared" si="17"/>
        <v>68</v>
      </c>
    </row>
    <row r="111" spans="1:42" ht="15.75" hidden="1" customHeight="1" x14ac:dyDescent="0.3">
      <c r="A111" s="16"/>
      <c r="B111" s="55">
        <v>2</v>
      </c>
      <c r="C111" s="56" t="s">
        <v>129</v>
      </c>
      <c r="D111" s="55">
        <v>3</v>
      </c>
      <c r="E111" s="55" t="s">
        <v>21</v>
      </c>
      <c r="F111" s="18" t="s">
        <v>21</v>
      </c>
      <c r="G111" s="18" t="s">
        <v>20</v>
      </c>
      <c r="H111" s="18" t="s">
        <v>20</v>
      </c>
      <c r="I111" s="18" t="s">
        <v>20</v>
      </c>
      <c r="J111" s="20" t="s">
        <v>20</v>
      </c>
      <c r="K111" s="20" t="s">
        <v>20</v>
      </c>
      <c r="L111" s="20" t="s">
        <v>21</v>
      </c>
      <c r="M111" s="18" t="s">
        <v>20</v>
      </c>
      <c r="N111" s="18" t="s">
        <v>20</v>
      </c>
      <c r="O111" s="18" t="s">
        <v>20</v>
      </c>
      <c r="P111" s="18" t="s">
        <v>21</v>
      </c>
      <c r="Q111" s="18" t="s">
        <v>20</v>
      </c>
      <c r="R111" s="18" t="s">
        <v>20</v>
      </c>
      <c r="S111" s="18" t="s">
        <v>21</v>
      </c>
      <c r="T111" s="18" t="s">
        <v>20</v>
      </c>
      <c r="U111" s="18" t="s">
        <v>20</v>
      </c>
      <c r="V111" s="37" t="s">
        <v>21</v>
      </c>
      <c r="W111" s="37" t="s">
        <v>20</v>
      </c>
      <c r="X111" s="37" t="s">
        <v>20</v>
      </c>
      <c r="Y111" s="18" t="s">
        <v>21</v>
      </c>
      <c r="Z111" s="18" t="s">
        <v>20</v>
      </c>
      <c r="AA111" s="20" t="s">
        <v>20</v>
      </c>
      <c r="AB111" s="20" t="s">
        <v>20</v>
      </c>
      <c r="AC111" s="20" t="s">
        <v>20</v>
      </c>
      <c r="AD111" s="37" t="s">
        <v>21</v>
      </c>
      <c r="AE111" s="37" t="s">
        <v>21</v>
      </c>
      <c r="AG111">
        <f t="shared" si="9"/>
        <v>0</v>
      </c>
      <c r="AH111">
        <f t="shared" si="10"/>
        <v>18</v>
      </c>
      <c r="AI111">
        <f t="shared" si="11"/>
        <v>8</v>
      </c>
      <c r="AJ111">
        <f t="shared" si="12"/>
        <v>0</v>
      </c>
      <c r="AL111">
        <f t="shared" si="13"/>
        <v>0</v>
      </c>
      <c r="AM111">
        <f t="shared" si="14"/>
        <v>54</v>
      </c>
      <c r="AN111">
        <f t="shared" si="15"/>
        <v>16</v>
      </c>
      <c r="AO111">
        <f t="shared" si="16"/>
        <v>0</v>
      </c>
      <c r="AP111">
        <f t="shared" si="17"/>
        <v>70</v>
      </c>
    </row>
    <row r="112" spans="1:42" ht="15.75" hidden="1" customHeight="1" x14ac:dyDescent="0.3">
      <c r="A112" s="16"/>
      <c r="B112" s="55">
        <v>3</v>
      </c>
      <c r="C112" s="56" t="s">
        <v>130</v>
      </c>
      <c r="D112" s="55">
        <v>3</v>
      </c>
      <c r="E112" s="55" t="s">
        <v>21</v>
      </c>
      <c r="F112" s="18" t="s">
        <v>20</v>
      </c>
      <c r="G112" s="18" t="s">
        <v>20</v>
      </c>
      <c r="H112" s="18" t="s">
        <v>20</v>
      </c>
      <c r="I112" s="18" t="s">
        <v>20</v>
      </c>
      <c r="J112" s="20" t="s">
        <v>20</v>
      </c>
      <c r="K112" s="20" t="s">
        <v>20</v>
      </c>
      <c r="L112" s="20" t="s">
        <v>21</v>
      </c>
      <c r="M112" s="18" t="s">
        <v>20</v>
      </c>
      <c r="N112" s="18" t="s">
        <v>20</v>
      </c>
      <c r="O112" s="18" t="s">
        <v>21</v>
      </c>
      <c r="P112" s="18" t="s">
        <v>20</v>
      </c>
      <c r="Q112" s="18" t="s">
        <v>20</v>
      </c>
      <c r="R112" s="18" t="s">
        <v>20</v>
      </c>
      <c r="S112" s="18" t="s">
        <v>20</v>
      </c>
      <c r="T112" s="18" t="s">
        <v>20</v>
      </c>
      <c r="U112" s="18" t="s">
        <v>20</v>
      </c>
      <c r="V112" s="37" t="s">
        <v>20</v>
      </c>
      <c r="W112" s="37" t="s">
        <v>20</v>
      </c>
      <c r="X112" s="37" t="s">
        <v>20</v>
      </c>
      <c r="Y112" s="18" t="s">
        <v>20</v>
      </c>
      <c r="Z112" s="18" t="s">
        <v>20</v>
      </c>
      <c r="AA112" s="20" t="s">
        <v>20</v>
      </c>
      <c r="AB112" s="20" t="s">
        <v>20</v>
      </c>
      <c r="AC112" s="20" t="s">
        <v>20</v>
      </c>
      <c r="AD112" s="37" t="s">
        <v>20</v>
      </c>
      <c r="AE112" s="37" t="s">
        <v>21</v>
      </c>
      <c r="AG112">
        <f t="shared" si="9"/>
        <v>0</v>
      </c>
      <c r="AH112">
        <f t="shared" si="10"/>
        <v>23</v>
      </c>
      <c r="AI112">
        <f t="shared" si="11"/>
        <v>3</v>
      </c>
      <c r="AJ112">
        <f t="shared" si="12"/>
        <v>0</v>
      </c>
      <c r="AL112">
        <f t="shared" si="13"/>
        <v>0</v>
      </c>
      <c r="AM112">
        <f t="shared" si="14"/>
        <v>69</v>
      </c>
      <c r="AN112">
        <f t="shared" si="15"/>
        <v>6</v>
      </c>
      <c r="AO112">
        <f t="shared" si="16"/>
        <v>0</v>
      </c>
      <c r="AP112">
        <f t="shared" si="17"/>
        <v>75</v>
      </c>
    </row>
    <row r="113" spans="1:42" ht="15.75" hidden="1" customHeight="1" x14ac:dyDescent="0.3">
      <c r="A113" s="16"/>
      <c r="B113" s="55">
        <v>4</v>
      </c>
      <c r="C113" s="56" t="s">
        <v>131</v>
      </c>
      <c r="D113" s="55">
        <v>3</v>
      </c>
      <c r="E113" s="55" t="s">
        <v>21</v>
      </c>
      <c r="F113" s="18" t="s">
        <v>21</v>
      </c>
      <c r="G113" s="18" t="s">
        <v>21</v>
      </c>
      <c r="H113" s="18" t="s">
        <v>21</v>
      </c>
      <c r="I113" s="18" t="s">
        <v>20</v>
      </c>
      <c r="J113" s="20" t="s">
        <v>20</v>
      </c>
      <c r="K113" s="20" t="s">
        <v>20</v>
      </c>
      <c r="L113" s="20" t="s">
        <v>20</v>
      </c>
      <c r="M113" s="18" t="s">
        <v>20</v>
      </c>
      <c r="N113" s="18" t="s">
        <v>20</v>
      </c>
      <c r="O113" s="18" t="s">
        <v>20</v>
      </c>
      <c r="P113" s="18" t="s">
        <v>20</v>
      </c>
      <c r="Q113" s="18" t="s">
        <v>21</v>
      </c>
      <c r="R113" s="18" t="s">
        <v>20</v>
      </c>
      <c r="S113" s="18" t="s">
        <v>20</v>
      </c>
      <c r="T113" s="18" t="s">
        <v>20</v>
      </c>
      <c r="U113" s="18" t="s">
        <v>20</v>
      </c>
      <c r="V113" s="37" t="s">
        <v>21</v>
      </c>
      <c r="W113" s="37" t="s">
        <v>20</v>
      </c>
      <c r="X113" s="37" t="s">
        <v>21</v>
      </c>
      <c r="Y113" s="18" t="s">
        <v>20</v>
      </c>
      <c r="Z113" s="18" t="s">
        <v>20</v>
      </c>
      <c r="AA113" s="20" t="s">
        <v>21</v>
      </c>
      <c r="AB113" s="20" t="s">
        <v>21</v>
      </c>
      <c r="AC113" s="20" t="s">
        <v>21</v>
      </c>
      <c r="AD113" s="37" t="s">
        <v>23</v>
      </c>
      <c r="AE113" s="37" t="s">
        <v>21</v>
      </c>
      <c r="AG113">
        <f t="shared" si="9"/>
        <v>0</v>
      </c>
      <c r="AH113">
        <f t="shared" si="10"/>
        <v>15</v>
      </c>
      <c r="AI113">
        <f t="shared" si="11"/>
        <v>10</v>
      </c>
      <c r="AJ113">
        <f t="shared" si="12"/>
        <v>1</v>
      </c>
      <c r="AL113">
        <f t="shared" si="13"/>
        <v>0</v>
      </c>
      <c r="AM113">
        <f t="shared" si="14"/>
        <v>45</v>
      </c>
      <c r="AN113">
        <f t="shared" si="15"/>
        <v>20</v>
      </c>
      <c r="AO113">
        <f t="shared" si="16"/>
        <v>1</v>
      </c>
      <c r="AP113">
        <f t="shared" si="17"/>
        <v>66</v>
      </c>
    </row>
    <row r="114" spans="1:42" ht="15.75" hidden="1" customHeight="1" x14ac:dyDescent="0.3">
      <c r="A114" s="16"/>
      <c r="B114" s="55">
        <v>5</v>
      </c>
      <c r="C114" s="56" t="s">
        <v>132</v>
      </c>
      <c r="D114" s="55">
        <v>3</v>
      </c>
      <c r="E114" s="55" t="s">
        <v>21</v>
      </c>
      <c r="F114" s="18" t="s">
        <v>21</v>
      </c>
      <c r="G114" s="18" t="s">
        <v>20</v>
      </c>
      <c r="H114" s="18" t="s">
        <v>21</v>
      </c>
      <c r="I114" s="18" t="s">
        <v>20</v>
      </c>
      <c r="J114" s="20" t="s">
        <v>39</v>
      </c>
      <c r="K114" s="20" t="s">
        <v>39</v>
      </c>
      <c r="L114" s="20" t="s">
        <v>20</v>
      </c>
      <c r="M114" s="18" t="s">
        <v>20</v>
      </c>
      <c r="N114" s="18" t="s">
        <v>20</v>
      </c>
      <c r="O114" s="18" t="s">
        <v>20</v>
      </c>
      <c r="P114" s="18" t="s">
        <v>21</v>
      </c>
      <c r="Q114" s="18" t="s">
        <v>20</v>
      </c>
      <c r="R114" s="18" t="s">
        <v>20</v>
      </c>
      <c r="S114" s="18" t="s">
        <v>20</v>
      </c>
      <c r="T114" s="18" t="s">
        <v>20</v>
      </c>
      <c r="U114" s="18" t="s">
        <v>20</v>
      </c>
      <c r="V114" s="37" t="s">
        <v>20</v>
      </c>
      <c r="W114" s="37" t="s">
        <v>20</v>
      </c>
      <c r="X114" s="37" t="s">
        <v>20</v>
      </c>
      <c r="Y114" s="18" t="s">
        <v>20</v>
      </c>
      <c r="Z114" s="18" t="s">
        <v>20</v>
      </c>
      <c r="AA114" s="20" t="s">
        <v>20</v>
      </c>
      <c r="AB114" s="20" t="s">
        <v>20</v>
      </c>
      <c r="AC114" s="20" t="s">
        <v>20</v>
      </c>
      <c r="AD114" s="29" t="s">
        <v>23</v>
      </c>
      <c r="AE114" s="29" t="s">
        <v>21</v>
      </c>
      <c r="AG114">
        <f t="shared" si="9"/>
        <v>2</v>
      </c>
      <c r="AH114">
        <f t="shared" si="10"/>
        <v>19</v>
      </c>
      <c r="AI114">
        <f t="shared" si="11"/>
        <v>4</v>
      </c>
      <c r="AJ114">
        <f t="shared" si="12"/>
        <v>1</v>
      </c>
      <c r="AL114">
        <f t="shared" si="13"/>
        <v>8</v>
      </c>
      <c r="AM114">
        <f t="shared" si="14"/>
        <v>57</v>
      </c>
      <c r="AN114">
        <f t="shared" si="15"/>
        <v>8</v>
      </c>
      <c r="AO114">
        <f t="shared" si="16"/>
        <v>1</v>
      </c>
      <c r="AP114">
        <f t="shared" si="17"/>
        <v>74</v>
      </c>
    </row>
    <row r="115" spans="1:42" ht="15.75" hidden="1" customHeight="1" x14ac:dyDescent="0.3">
      <c r="A115" s="16"/>
      <c r="B115" s="55">
        <v>6</v>
      </c>
      <c r="C115" s="56" t="s">
        <v>133</v>
      </c>
      <c r="D115" s="55">
        <v>3</v>
      </c>
      <c r="E115" s="55" t="s">
        <v>21</v>
      </c>
      <c r="F115" s="18" t="s">
        <v>20</v>
      </c>
      <c r="G115" s="18" t="s">
        <v>20</v>
      </c>
      <c r="H115" s="18" t="s">
        <v>20</v>
      </c>
      <c r="I115" s="18" t="s">
        <v>20</v>
      </c>
      <c r="J115" s="20" t="s">
        <v>20</v>
      </c>
      <c r="K115" s="20" t="s">
        <v>20</v>
      </c>
      <c r="L115" s="20" t="s">
        <v>20</v>
      </c>
      <c r="M115" s="18" t="s">
        <v>20</v>
      </c>
      <c r="N115" s="18" t="s">
        <v>20</v>
      </c>
      <c r="O115" s="18" t="s">
        <v>20</v>
      </c>
      <c r="P115" s="18" t="s">
        <v>21</v>
      </c>
      <c r="Q115" s="18" t="s">
        <v>20</v>
      </c>
      <c r="R115" s="18" t="s">
        <v>20</v>
      </c>
      <c r="S115" s="18" t="s">
        <v>20</v>
      </c>
      <c r="T115" s="18" t="s">
        <v>20</v>
      </c>
      <c r="U115" s="18" t="s">
        <v>20</v>
      </c>
      <c r="V115" s="37" t="s">
        <v>20</v>
      </c>
      <c r="W115" s="37" t="s">
        <v>20</v>
      </c>
      <c r="X115" s="37" t="s">
        <v>21</v>
      </c>
      <c r="Y115" s="18" t="s">
        <v>20</v>
      </c>
      <c r="Z115" s="18" t="s">
        <v>20</v>
      </c>
      <c r="AA115" s="20" t="s">
        <v>20</v>
      </c>
      <c r="AB115" s="20" t="s">
        <v>20</v>
      </c>
      <c r="AC115" s="20" t="s">
        <v>20</v>
      </c>
      <c r="AD115" s="29" t="s">
        <v>20</v>
      </c>
      <c r="AE115" s="29" t="s">
        <v>21</v>
      </c>
      <c r="AG115">
        <f t="shared" si="9"/>
        <v>0</v>
      </c>
      <c r="AH115">
        <f t="shared" si="10"/>
        <v>23</v>
      </c>
      <c r="AI115">
        <f t="shared" si="11"/>
        <v>3</v>
      </c>
      <c r="AJ115">
        <f t="shared" si="12"/>
        <v>0</v>
      </c>
      <c r="AL115">
        <f t="shared" si="13"/>
        <v>0</v>
      </c>
      <c r="AM115">
        <f t="shared" si="14"/>
        <v>69</v>
      </c>
      <c r="AN115">
        <f t="shared" si="15"/>
        <v>6</v>
      </c>
      <c r="AO115">
        <f t="shared" si="16"/>
        <v>0</v>
      </c>
      <c r="AP115">
        <f t="shared" si="17"/>
        <v>75</v>
      </c>
    </row>
    <row r="116" spans="1:42" ht="15.75" hidden="1" customHeight="1" x14ac:dyDescent="0.3">
      <c r="A116" s="16"/>
      <c r="B116" s="55">
        <v>7</v>
      </c>
      <c r="C116" s="56" t="s">
        <v>134</v>
      </c>
      <c r="D116" s="55">
        <v>3</v>
      </c>
      <c r="E116" s="55" t="s">
        <v>21</v>
      </c>
      <c r="F116" s="18" t="s">
        <v>23</v>
      </c>
      <c r="G116" s="18" t="s">
        <v>21</v>
      </c>
      <c r="H116" s="18" t="s">
        <v>23</v>
      </c>
      <c r="I116" s="18" t="s">
        <v>21</v>
      </c>
      <c r="J116" s="20" t="s">
        <v>21</v>
      </c>
      <c r="K116" s="20" t="s">
        <v>21</v>
      </c>
      <c r="L116" s="20" t="s">
        <v>21</v>
      </c>
      <c r="M116" s="18" t="s">
        <v>20</v>
      </c>
      <c r="N116" s="18" t="s">
        <v>20</v>
      </c>
      <c r="O116" s="18" t="s">
        <v>21</v>
      </c>
      <c r="P116" s="18" t="s">
        <v>21</v>
      </c>
      <c r="Q116" s="18" t="s">
        <v>23</v>
      </c>
      <c r="R116" s="18" t="s">
        <v>21</v>
      </c>
      <c r="S116" s="18" t="s">
        <v>20</v>
      </c>
      <c r="T116" s="18" t="s">
        <v>21</v>
      </c>
      <c r="U116" s="18" t="s">
        <v>20</v>
      </c>
      <c r="V116" s="37" t="s">
        <v>21</v>
      </c>
      <c r="W116" s="37" t="s">
        <v>21</v>
      </c>
      <c r="X116" s="37" t="s">
        <v>21</v>
      </c>
      <c r="Y116" s="18" t="s">
        <v>20</v>
      </c>
      <c r="Z116" s="18" t="s">
        <v>20</v>
      </c>
      <c r="AA116" s="20" t="s">
        <v>21</v>
      </c>
      <c r="AB116" s="20" t="s">
        <v>21</v>
      </c>
      <c r="AC116" s="20" t="s">
        <v>21</v>
      </c>
      <c r="AD116" s="29" t="s">
        <v>21</v>
      </c>
      <c r="AE116" s="29" t="s">
        <v>21</v>
      </c>
      <c r="AG116">
        <f t="shared" si="9"/>
        <v>0</v>
      </c>
      <c r="AH116">
        <f t="shared" si="10"/>
        <v>6</v>
      </c>
      <c r="AI116">
        <f t="shared" si="11"/>
        <v>17</v>
      </c>
      <c r="AJ116">
        <f t="shared" si="12"/>
        <v>3</v>
      </c>
      <c r="AL116">
        <f t="shared" si="13"/>
        <v>0</v>
      </c>
      <c r="AM116">
        <f t="shared" si="14"/>
        <v>18</v>
      </c>
      <c r="AN116">
        <f t="shared" si="15"/>
        <v>34</v>
      </c>
      <c r="AO116">
        <f t="shared" si="16"/>
        <v>3</v>
      </c>
      <c r="AP116">
        <f t="shared" si="17"/>
        <v>55</v>
      </c>
    </row>
    <row r="117" spans="1:42" ht="15.75" hidden="1" customHeight="1" x14ac:dyDescent="0.3">
      <c r="A117" s="16"/>
      <c r="B117" s="55">
        <v>8</v>
      </c>
      <c r="C117" s="56" t="s">
        <v>135</v>
      </c>
      <c r="D117" s="55">
        <v>3</v>
      </c>
      <c r="E117" s="55" t="s">
        <v>21</v>
      </c>
      <c r="F117" s="18" t="s">
        <v>21</v>
      </c>
      <c r="G117" s="18" t="s">
        <v>23</v>
      </c>
      <c r="H117" s="18" t="s">
        <v>21</v>
      </c>
      <c r="I117" s="18" t="s">
        <v>21</v>
      </c>
      <c r="J117" s="20" t="s">
        <v>20</v>
      </c>
      <c r="K117" s="20" t="s">
        <v>20</v>
      </c>
      <c r="L117" s="20" t="s">
        <v>21</v>
      </c>
      <c r="M117" s="18" t="s">
        <v>20</v>
      </c>
      <c r="N117" s="18" t="s">
        <v>21</v>
      </c>
      <c r="O117" s="18" t="s">
        <v>20</v>
      </c>
      <c r="P117" s="18" t="s">
        <v>21</v>
      </c>
      <c r="Q117" s="18" t="s">
        <v>21</v>
      </c>
      <c r="R117" s="18" t="s">
        <v>21</v>
      </c>
      <c r="S117" s="18" t="s">
        <v>20</v>
      </c>
      <c r="T117" s="18" t="s">
        <v>20</v>
      </c>
      <c r="U117" s="18" t="s">
        <v>20</v>
      </c>
      <c r="V117" s="37" t="s">
        <v>20</v>
      </c>
      <c r="W117" s="37" t="s">
        <v>21</v>
      </c>
      <c r="X117" s="37" t="s">
        <v>20</v>
      </c>
      <c r="Y117" s="18" t="s">
        <v>20</v>
      </c>
      <c r="Z117" s="18" t="s">
        <v>20</v>
      </c>
      <c r="AA117" s="20" t="s">
        <v>23</v>
      </c>
      <c r="AB117" s="20" t="s">
        <v>23</v>
      </c>
      <c r="AC117" s="20" t="s">
        <v>21</v>
      </c>
      <c r="AD117" s="29" t="s">
        <v>21</v>
      </c>
      <c r="AE117" s="29" t="s">
        <v>21</v>
      </c>
      <c r="AG117">
        <f t="shared" si="9"/>
        <v>0</v>
      </c>
      <c r="AH117">
        <f t="shared" si="10"/>
        <v>11</v>
      </c>
      <c r="AI117">
        <f t="shared" si="11"/>
        <v>12</v>
      </c>
      <c r="AJ117">
        <f t="shared" si="12"/>
        <v>3</v>
      </c>
      <c r="AL117">
        <f t="shared" si="13"/>
        <v>0</v>
      </c>
      <c r="AM117">
        <f t="shared" si="14"/>
        <v>33</v>
      </c>
      <c r="AN117">
        <f t="shared" si="15"/>
        <v>24</v>
      </c>
      <c r="AO117">
        <f t="shared" si="16"/>
        <v>3</v>
      </c>
      <c r="AP117">
        <f t="shared" si="17"/>
        <v>60</v>
      </c>
    </row>
    <row r="118" spans="1:42" ht="15.75" hidden="1" customHeight="1" x14ac:dyDescent="0.3">
      <c r="A118" s="16"/>
      <c r="B118" s="55">
        <v>9</v>
      </c>
      <c r="C118" s="56" t="s">
        <v>136</v>
      </c>
      <c r="D118" s="55">
        <v>3</v>
      </c>
      <c r="E118" s="55" t="s">
        <v>21</v>
      </c>
      <c r="F118" s="18" t="s">
        <v>23</v>
      </c>
      <c r="G118" s="18" t="s">
        <v>21</v>
      </c>
      <c r="H118" s="18" t="s">
        <v>23</v>
      </c>
      <c r="I118" s="18" t="s">
        <v>21</v>
      </c>
      <c r="J118" s="20" t="s">
        <v>20</v>
      </c>
      <c r="K118" s="20" t="s">
        <v>21</v>
      </c>
      <c r="L118" s="20" t="s">
        <v>21</v>
      </c>
      <c r="M118" s="18" t="s">
        <v>21</v>
      </c>
      <c r="N118" s="18" t="s">
        <v>21</v>
      </c>
      <c r="O118" s="18" t="s">
        <v>21</v>
      </c>
      <c r="P118" s="18" t="s">
        <v>23</v>
      </c>
      <c r="Q118" s="18" t="s">
        <v>20</v>
      </c>
      <c r="R118" s="18" t="s">
        <v>21</v>
      </c>
      <c r="S118" s="18" t="s">
        <v>21</v>
      </c>
      <c r="T118" s="18" t="s">
        <v>20</v>
      </c>
      <c r="U118" s="18" t="s">
        <v>20</v>
      </c>
      <c r="V118" s="37" t="s">
        <v>21</v>
      </c>
      <c r="W118" s="37" t="s">
        <v>21</v>
      </c>
      <c r="X118" s="37" t="s">
        <v>21</v>
      </c>
      <c r="Y118" s="18" t="s">
        <v>20</v>
      </c>
      <c r="Z118" s="18" t="s">
        <v>20</v>
      </c>
      <c r="AA118" s="20" t="s">
        <v>23</v>
      </c>
      <c r="AB118" s="20" t="s">
        <v>23</v>
      </c>
      <c r="AC118" s="20" t="s">
        <v>21</v>
      </c>
      <c r="AD118" s="29" t="s">
        <v>21</v>
      </c>
      <c r="AE118" s="29" t="s">
        <v>21</v>
      </c>
      <c r="AG118">
        <f t="shared" si="9"/>
        <v>0</v>
      </c>
      <c r="AH118">
        <f t="shared" si="10"/>
        <v>6</v>
      </c>
      <c r="AI118">
        <f t="shared" si="11"/>
        <v>15</v>
      </c>
      <c r="AJ118">
        <f t="shared" si="12"/>
        <v>5</v>
      </c>
      <c r="AL118">
        <f t="shared" si="13"/>
        <v>0</v>
      </c>
      <c r="AM118">
        <f t="shared" si="14"/>
        <v>18</v>
      </c>
      <c r="AN118">
        <f t="shared" si="15"/>
        <v>30</v>
      </c>
      <c r="AO118">
        <f t="shared" si="16"/>
        <v>5</v>
      </c>
      <c r="AP118">
        <f t="shared" si="17"/>
        <v>53</v>
      </c>
    </row>
    <row r="119" spans="1:42" ht="15.75" hidden="1" customHeight="1" x14ac:dyDescent="0.3">
      <c r="A119" s="16"/>
      <c r="B119" s="55">
        <v>10</v>
      </c>
      <c r="C119" s="56" t="s">
        <v>137</v>
      </c>
      <c r="D119" s="55">
        <v>3</v>
      </c>
      <c r="E119" s="55" t="s">
        <v>21</v>
      </c>
      <c r="F119" s="18" t="s">
        <v>39</v>
      </c>
      <c r="G119" s="18" t="s">
        <v>20</v>
      </c>
      <c r="H119" s="18" t="s">
        <v>20</v>
      </c>
      <c r="I119" s="18" t="s">
        <v>20</v>
      </c>
      <c r="J119" s="20" t="s">
        <v>20</v>
      </c>
      <c r="K119" s="20" t="s">
        <v>39</v>
      </c>
      <c r="L119" s="20" t="s">
        <v>20</v>
      </c>
      <c r="M119" s="18" t="s">
        <v>20</v>
      </c>
      <c r="N119" s="18" t="s">
        <v>20</v>
      </c>
      <c r="O119" s="18" t="s">
        <v>20</v>
      </c>
      <c r="P119" s="18" t="s">
        <v>21</v>
      </c>
      <c r="Q119" s="18" t="s">
        <v>20</v>
      </c>
      <c r="R119" s="18" t="s">
        <v>20</v>
      </c>
      <c r="S119" s="18" t="s">
        <v>20</v>
      </c>
      <c r="T119" s="18" t="s">
        <v>20</v>
      </c>
      <c r="U119" s="18" t="s">
        <v>20</v>
      </c>
      <c r="V119" s="37" t="s">
        <v>21</v>
      </c>
      <c r="W119" s="37" t="s">
        <v>20</v>
      </c>
      <c r="X119" s="37" t="s">
        <v>20</v>
      </c>
      <c r="Y119" s="18" t="s">
        <v>20</v>
      </c>
      <c r="Z119" s="18" t="s">
        <v>20</v>
      </c>
      <c r="AA119" s="20" t="s">
        <v>20</v>
      </c>
      <c r="AB119" s="20" t="s">
        <v>20</v>
      </c>
      <c r="AC119" s="20" t="s">
        <v>20</v>
      </c>
      <c r="AD119" s="29" t="s">
        <v>20</v>
      </c>
      <c r="AE119" s="29" t="s">
        <v>21</v>
      </c>
      <c r="AG119">
        <f t="shared" si="9"/>
        <v>2</v>
      </c>
      <c r="AH119">
        <f t="shared" si="10"/>
        <v>21</v>
      </c>
      <c r="AI119">
        <f t="shared" si="11"/>
        <v>3</v>
      </c>
      <c r="AJ119">
        <f t="shared" si="12"/>
        <v>0</v>
      </c>
      <c r="AL119">
        <f t="shared" si="13"/>
        <v>8</v>
      </c>
      <c r="AM119">
        <f t="shared" si="14"/>
        <v>63</v>
      </c>
      <c r="AN119">
        <f t="shared" si="15"/>
        <v>6</v>
      </c>
      <c r="AO119">
        <f t="shared" si="16"/>
        <v>0</v>
      </c>
      <c r="AP119">
        <f t="shared" si="17"/>
        <v>77</v>
      </c>
    </row>
    <row r="120" spans="1:42" ht="15.75" hidden="1" customHeight="1" x14ac:dyDescent="0.3">
      <c r="A120" s="16"/>
      <c r="B120" s="55">
        <v>11</v>
      </c>
      <c r="C120" s="56" t="s">
        <v>138</v>
      </c>
      <c r="D120" s="55">
        <v>3</v>
      </c>
      <c r="E120" s="55" t="s">
        <v>21</v>
      </c>
      <c r="F120" s="18" t="s">
        <v>21</v>
      </c>
      <c r="G120" s="18" t="s">
        <v>21</v>
      </c>
      <c r="H120" s="18" t="s">
        <v>21</v>
      </c>
      <c r="I120" s="18" t="s">
        <v>21</v>
      </c>
      <c r="J120" s="20" t="s">
        <v>21</v>
      </c>
      <c r="K120" s="20" t="s">
        <v>21</v>
      </c>
      <c r="L120" s="20" t="s">
        <v>21</v>
      </c>
      <c r="M120" s="18" t="s">
        <v>21</v>
      </c>
      <c r="N120" s="18" t="s">
        <v>21</v>
      </c>
      <c r="O120" s="18" t="s">
        <v>21</v>
      </c>
      <c r="P120" s="18" t="s">
        <v>21</v>
      </c>
      <c r="Q120" s="18" t="s">
        <v>21</v>
      </c>
      <c r="R120" s="18" t="s">
        <v>23</v>
      </c>
      <c r="S120" s="18" t="s">
        <v>23</v>
      </c>
      <c r="T120" s="18" t="s">
        <v>21</v>
      </c>
      <c r="U120" s="18" t="s">
        <v>20</v>
      </c>
      <c r="V120" s="37" t="s">
        <v>21</v>
      </c>
      <c r="W120" s="37" t="s">
        <v>20</v>
      </c>
      <c r="X120" s="37" t="s">
        <v>21</v>
      </c>
      <c r="Y120" s="18" t="s">
        <v>21</v>
      </c>
      <c r="Z120" s="18" t="s">
        <v>21</v>
      </c>
      <c r="AA120" s="20" t="s">
        <v>21</v>
      </c>
      <c r="AB120" s="20" t="s">
        <v>21</v>
      </c>
      <c r="AC120" s="20" t="s">
        <v>21</v>
      </c>
      <c r="AD120" s="29" t="s">
        <v>23</v>
      </c>
      <c r="AE120" s="29" t="s">
        <v>21</v>
      </c>
      <c r="AG120">
        <f t="shared" si="9"/>
        <v>0</v>
      </c>
      <c r="AH120">
        <f t="shared" si="10"/>
        <v>2</v>
      </c>
      <c r="AI120">
        <f t="shared" si="11"/>
        <v>21</v>
      </c>
      <c r="AJ120">
        <f t="shared" si="12"/>
        <v>3</v>
      </c>
      <c r="AL120">
        <f t="shared" si="13"/>
        <v>0</v>
      </c>
      <c r="AM120">
        <f t="shared" si="14"/>
        <v>6</v>
      </c>
      <c r="AN120">
        <f t="shared" si="15"/>
        <v>42</v>
      </c>
      <c r="AO120">
        <f t="shared" si="16"/>
        <v>3</v>
      </c>
      <c r="AP120">
        <f t="shared" si="17"/>
        <v>51</v>
      </c>
    </row>
    <row r="121" spans="1:42" ht="15.75" hidden="1" customHeight="1" x14ac:dyDescent="0.3">
      <c r="A121" s="16"/>
      <c r="B121" s="55">
        <v>12</v>
      </c>
      <c r="C121" s="56" t="s">
        <v>139</v>
      </c>
      <c r="D121" s="55">
        <v>3</v>
      </c>
      <c r="E121" s="55" t="s">
        <v>21</v>
      </c>
      <c r="F121" s="18" t="s">
        <v>20</v>
      </c>
      <c r="G121" s="18" t="s">
        <v>20</v>
      </c>
      <c r="H121" s="18" t="s">
        <v>20</v>
      </c>
      <c r="I121" s="18" t="s">
        <v>20</v>
      </c>
      <c r="J121" s="20" t="s">
        <v>20</v>
      </c>
      <c r="K121" s="20" t="s">
        <v>20</v>
      </c>
      <c r="L121" s="20" t="s">
        <v>20</v>
      </c>
      <c r="M121" s="18" t="s">
        <v>20</v>
      </c>
      <c r="N121" s="18" t="s">
        <v>20</v>
      </c>
      <c r="O121" s="18" t="s">
        <v>20</v>
      </c>
      <c r="P121" s="18" t="s">
        <v>21</v>
      </c>
      <c r="Q121" s="18" t="s">
        <v>20</v>
      </c>
      <c r="R121" s="18" t="s">
        <v>21</v>
      </c>
      <c r="S121" s="18" t="s">
        <v>21</v>
      </c>
      <c r="T121" s="18" t="s">
        <v>21</v>
      </c>
      <c r="U121" s="18" t="s">
        <v>20</v>
      </c>
      <c r="V121" s="37" t="s">
        <v>20</v>
      </c>
      <c r="W121" s="37" t="s">
        <v>20</v>
      </c>
      <c r="X121" s="37" t="s">
        <v>21</v>
      </c>
      <c r="Y121" s="18" t="s">
        <v>21</v>
      </c>
      <c r="Z121" s="18" t="s">
        <v>20</v>
      </c>
      <c r="AA121" s="20" t="s">
        <v>20</v>
      </c>
      <c r="AB121" s="20" t="s">
        <v>20</v>
      </c>
      <c r="AC121" s="20" t="s">
        <v>20</v>
      </c>
      <c r="AD121" s="29" t="s">
        <v>23</v>
      </c>
      <c r="AE121" s="29" t="s">
        <v>21</v>
      </c>
      <c r="AG121">
        <f t="shared" si="9"/>
        <v>0</v>
      </c>
      <c r="AH121">
        <f t="shared" si="10"/>
        <v>18</v>
      </c>
      <c r="AI121">
        <f t="shared" si="11"/>
        <v>7</v>
      </c>
      <c r="AJ121">
        <f t="shared" si="12"/>
        <v>1</v>
      </c>
      <c r="AL121">
        <f t="shared" si="13"/>
        <v>0</v>
      </c>
      <c r="AM121">
        <f t="shared" si="14"/>
        <v>54</v>
      </c>
      <c r="AN121">
        <f t="shared" si="15"/>
        <v>14</v>
      </c>
      <c r="AO121">
        <f t="shared" si="16"/>
        <v>1</v>
      </c>
      <c r="AP121">
        <f t="shared" si="17"/>
        <v>69</v>
      </c>
    </row>
    <row r="122" spans="1:42" ht="15.75" hidden="1" customHeight="1" x14ac:dyDescent="0.3">
      <c r="A122" s="16"/>
      <c r="B122" s="55">
        <v>13</v>
      </c>
      <c r="C122" s="56" t="s">
        <v>140</v>
      </c>
      <c r="D122" s="55">
        <v>3</v>
      </c>
      <c r="E122" s="55" t="s">
        <v>21</v>
      </c>
      <c r="F122" s="18" t="s">
        <v>20</v>
      </c>
      <c r="G122" s="18" t="s">
        <v>20</v>
      </c>
      <c r="H122" s="18" t="s">
        <v>20</v>
      </c>
      <c r="I122" s="18" t="s">
        <v>39</v>
      </c>
      <c r="J122" s="20" t="s">
        <v>20</v>
      </c>
      <c r="K122" s="20" t="s">
        <v>20</v>
      </c>
      <c r="L122" s="20" t="s">
        <v>20</v>
      </c>
      <c r="M122" s="18" t="s">
        <v>20</v>
      </c>
      <c r="N122" s="18" t="s">
        <v>20</v>
      </c>
      <c r="O122" s="18" t="s">
        <v>20</v>
      </c>
      <c r="P122" s="18" t="s">
        <v>21</v>
      </c>
      <c r="Q122" s="18" t="s">
        <v>21</v>
      </c>
      <c r="R122" s="18" t="s">
        <v>20</v>
      </c>
      <c r="S122" s="18" t="s">
        <v>20</v>
      </c>
      <c r="T122" s="18" t="s">
        <v>20</v>
      </c>
      <c r="U122" s="18" t="s">
        <v>20</v>
      </c>
      <c r="V122" s="37" t="s">
        <v>20</v>
      </c>
      <c r="W122" s="37" t="s">
        <v>20</v>
      </c>
      <c r="X122" s="37" t="s">
        <v>20</v>
      </c>
      <c r="Y122" s="18" t="s">
        <v>21</v>
      </c>
      <c r="Z122" s="18" t="s">
        <v>21</v>
      </c>
      <c r="AA122" s="20" t="s">
        <v>21</v>
      </c>
      <c r="AB122" s="20" t="s">
        <v>20</v>
      </c>
      <c r="AC122" s="20" t="s">
        <v>21</v>
      </c>
      <c r="AD122" s="29" t="s">
        <v>55</v>
      </c>
      <c r="AE122" s="29" t="s">
        <v>55</v>
      </c>
      <c r="AG122">
        <f t="shared" si="9"/>
        <v>1</v>
      </c>
      <c r="AH122">
        <f t="shared" si="10"/>
        <v>17</v>
      </c>
      <c r="AI122">
        <f t="shared" si="11"/>
        <v>6</v>
      </c>
      <c r="AJ122">
        <f t="shared" si="12"/>
        <v>0</v>
      </c>
      <c r="AL122">
        <f t="shared" si="13"/>
        <v>4</v>
      </c>
      <c r="AM122">
        <f t="shared" si="14"/>
        <v>51</v>
      </c>
      <c r="AN122">
        <f t="shared" si="15"/>
        <v>12</v>
      </c>
      <c r="AO122">
        <f t="shared" si="16"/>
        <v>0</v>
      </c>
      <c r="AP122">
        <f t="shared" si="17"/>
        <v>67</v>
      </c>
    </row>
    <row r="123" spans="1:42" ht="15.75" hidden="1" customHeight="1" x14ac:dyDescent="0.3">
      <c r="A123" s="16"/>
      <c r="B123" s="55">
        <v>14</v>
      </c>
      <c r="C123" s="56" t="s">
        <v>141</v>
      </c>
      <c r="D123" s="55">
        <v>3</v>
      </c>
      <c r="E123" s="55" t="s">
        <v>21</v>
      </c>
      <c r="F123" s="18" t="s">
        <v>21</v>
      </c>
      <c r="G123" s="18" t="s">
        <v>21</v>
      </c>
      <c r="H123" s="18" t="s">
        <v>20</v>
      </c>
      <c r="I123" s="18" t="s">
        <v>20</v>
      </c>
      <c r="J123" s="20" t="s">
        <v>20</v>
      </c>
      <c r="K123" s="20" t="s">
        <v>20</v>
      </c>
      <c r="L123" s="20" t="s">
        <v>21</v>
      </c>
      <c r="M123" s="18" t="s">
        <v>20</v>
      </c>
      <c r="N123" s="18" t="s">
        <v>20</v>
      </c>
      <c r="O123" s="18" t="s">
        <v>20</v>
      </c>
      <c r="P123" s="18" t="s">
        <v>23</v>
      </c>
      <c r="Q123" s="18" t="s">
        <v>21</v>
      </c>
      <c r="R123" s="18" t="s">
        <v>21</v>
      </c>
      <c r="S123" s="18" t="s">
        <v>20</v>
      </c>
      <c r="T123" s="18" t="s">
        <v>20</v>
      </c>
      <c r="U123" s="18" t="s">
        <v>21</v>
      </c>
      <c r="V123" s="37" t="s">
        <v>21</v>
      </c>
      <c r="W123" s="37" t="s">
        <v>20</v>
      </c>
      <c r="X123" s="37" t="s">
        <v>21</v>
      </c>
      <c r="Y123" s="18" t="s">
        <v>21</v>
      </c>
      <c r="Z123" s="18" t="s">
        <v>21</v>
      </c>
      <c r="AA123" s="20" t="s">
        <v>21</v>
      </c>
      <c r="AB123" s="20" t="s">
        <v>21</v>
      </c>
      <c r="AC123" s="20" t="s">
        <v>20</v>
      </c>
      <c r="AD123" s="29" t="s">
        <v>21</v>
      </c>
      <c r="AE123" s="29" t="s">
        <v>21</v>
      </c>
      <c r="AG123">
        <f t="shared" si="9"/>
        <v>0</v>
      </c>
      <c r="AH123">
        <f t="shared" si="10"/>
        <v>11</v>
      </c>
      <c r="AI123">
        <f t="shared" si="11"/>
        <v>14</v>
      </c>
      <c r="AJ123">
        <f t="shared" si="12"/>
        <v>1</v>
      </c>
      <c r="AL123">
        <f t="shared" si="13"/>
        <v>0</v>
      </c>
      <c r="AM123">
        <f t="shared" si="14"/>
        <v>33</v>
      </c>
      <c r="AN123">
        <f t="shared" si="15"/>
        <v>28</v>
      </c>
      <c r="AO123">
        <f t="shared" si="16"/>
        <v>1</v>
      </c>
      <c r="AP123">
        <f t="shared" si="17"/>
        <v>62</v>
      </c>
    </row>
    <row r="124" spans="1:42" ht="15.75" hidden="1" customHeight="1" x14ac:dyDescent="0.3">
      <c r="A124" s="16"/>
      <c r="B124" s="55">
        <v>15</v>
      </c>
      <c r="C124" s="56" t="s">
        <v>142</v>
      </c>
      <c r="D124" s="55">
        <v>3</v>
      </c>
      <c r="E124" s="55" t="s">
        <v>21</v>
      </c>
      <c r="F124" s="18" t="s">
        <v>23</v>
      </c>
      <c r="G124" s="18" t="s">
        <v>23</v>
      </c>
      <c r="H124" s="18" t="s">
        <v>23</v>
      </c>
      <c r="I124" s="18" t="s">
        <v>21</v>
      </c>
      <c r="J124" s="20" t="s">
        <v>21</v>
      </c>
      <c r="K124" s="20" t="s">
        <v>21</v>
      </c>
      <c r="L124" s="20" t="s">
        <v>21</v>
      </c>
      <c r="M124" s="18" t="s">
        <v>21</v>
      </c>
      <c r="N124" s="18" t="s">
        <v>21</v>
      </c>
      <c r="O124" s="18" t="s">
        <v>21</v>
      </c>
      <c r="P124" s="18" t="s">
        <v>23</v>
      </c>
      <c r="Q124" s="18" t="s">
        <v>21</v>
      </c>
      <c r="R124" s="18" t="s">
        <v>21</v>
      </c>
      <c r="S124" s="18" t="s">
        <v>23</v>
      </c>
      <c r="T124" s="18" t="s">
        <v>23</v>
      </c>
      <c r="U124" s="18" t="s">
        <v>20</v>
      </c>
      <c r="V124" s="37" t="s">
        <v>20</v>
      </c>
      <c r="W124" s="37" t="s">
        <v>20</v>
      </c>
      <c r="X124" s="37" t="s">
        <v>21</v>
      </c>
      <c r="Y124" s="18" t="s">
        <v>23</v>
      </c>
      <c r="Z124" s="18" t="s">
        <v>21</v>
      </c>
      <c r="AA124" s="20" t="s">
        <v>21</v>
      </c>
      <c r="AB124" s="20" t="s">
        <v>21</v>
      </c>
      <c r="AC124" s="20" t="s">
        <v>21</v>
      </c>
      <c r="AD124" s="29" t="s">
        <v>23</v>
      </c>
      <c r="AE124" s="29" t="s">
        <v>21</v>
      </c>
      <c r="AG124">
        <f t="shared" si="9"/>
        <v>0</v>
      </c>
      <c r="AH124">
        <f t="shared" si="10"/>
        <v>3</v>
      </c>
      <c r="AI124">
        <f t="shared" si="11"/>
        <v>15</v>
      </c>
      <c r="AJ124">
        <f t="shared" si="12"/>
        <v>8</v>
      </c>
      <c r="AL124">
        <f t="shared" si="13"/>
        <v>0</v>
      </c>
      <c r="AM124">
        <f t="shared" si="14"/>
        <v>9</v>
      </c>
      <c r="AN124">
        <f t="shared" si="15"/>
        <v>30</v>
      </c>
      <c r="AO124">
        <f t="shared" si="16"/>
        <v>8</v>
      </c>
      <c r="AP124">
        <f t="shared" si="17"/>
        <v>47</v>
      </c>
    </row>
    <row r="125" spans="1:42" ht="15.75" hidden="1" customHeight="1" x14ac:dyDescent="0.3">
      <c r="A125" s="16"/>
      <c r="B125" s="55">
        <v>16</v>
      </c>
      <c r="C125" s="56" t="s">
        <v>143</v>
      </c>
      <c r="D125" s="55">
        <v>3</v>
      </c>
      <c r="E125" s="55" t="s">
        <v>21</v>
      </c>
      <c r="F125" s="18" t="s">
        <v>23</v>
      </c>
      <c r="G125" s="18" t="s">
        <v>23</v>
      </c>
      <c r="H125" s="18" t="s">
        <v>21</v>
      </c>
      <c r="I125" s="18" t="s">
        <v>21</v>
      </c>
      <c r="J125" s="20" t="s">
        <v>21</v>
      </c>
      <c r="K125" s="20" t="s">
        <v>21</v>
      </c>
      <c r="L125" s="20" t="s">
        <v>21</v>
      </c>
      <c r="M125" s="18" t="s">
        <v>21</v>
      </c>
      <c r="N125" s="18" t="s">
        <v>20</v>
      </c>
      <c r="O125" s="18" t="s">
        <v>21</v>
      </c>
      <c r="P125" s="18" t="s">
        <v>21</v>
      </c>
      <c r="Q125" s="18" t="s">
        <v>20</v>
      </c>
      <c r="R125" s="18" t="s">
        <v>21</v>
      </c>
      <c r="S125" s="18" t="s">
        <v>23</v>
      </c>
      <c r="T125" s="18" t="s">
        <v>21</v>
      </c>
      <c r="U125" s="18" t="s">
        <v>20</v>
      </c>
      <c r="V125" s="37" t="s">
        <v>21</v>
      </c>
      <c r="W125" s="37" t="s">
        <v>20</v>
      </c>
      <c r="X125" s="37" t="s">
        <v>21</v>
      </c>
      <c r="Y125" s="18" t="s">
        <v>23</v>
      </c>
      <c r="Z125" s="18" t="s">
        <v>21</v>
      </c>
      <c r="AA125" s="20" t="s">
        <v>21</v>
      </c>
      <c r="AB125" s="20" t="s">
        <v>21</v>
      </c>
      <c r="AC125" s="20" t="s">
        <v>21</v>
      </c>
      <c r="AD125" s="29" t="s">
        <v>23</v>
      </c>
      <c r="AE125" s="29" t="s">
        <v>21</v>
      </c>
      <c r="AG125">
        <f t="shared" si="9"/>
        <v>0</v>
      </c>
      <c r="AH125">
        <f t="shared" si="10"/>
        <v>4</v>
      </c>
      <c r="AI125">
        <f t="shared" si="11"/>
        <v>17</v>
      </c>
      <c r="AJ125">
        <f t="shared" si="12"/>
        <v>5</v>
      </c>
      <c r="AL125">
        <f t="shared" si="13"/>
        <v>0</v>
      </c>
      <c r="AM125">
        <f t="shared" si="14"/>
        <v>12</v>
      </c>
      <c r="AN125">
        <f t="shared" si="15"/>
        <v>34</v>
      </c>
      <c r="AO125">
        <f t="shared" si="16"/>
        <v>5</v>
      </c>
      <c r="AP125">
        <f t="shared" si="17"/>
        <v>51</v>
      </c>
    </row>
    <row r="126" spans="1:42" ht="15.75" hidden="1" customHeight="1" x14ac:dyDescent="0.3">
      <c r="A126" s="16"/>
      <c r="B126" s="55">
        <v>17</v>
      </c>
      <c r="C126" s="56" t="s">
        <v>144</v>
      </c>
      <c r="D126" s="55">
        <v>3</v>
      </c>
      <c r="E126" s="55" t="s">
        <v>21</v>
      </c>
      <c r="F126" s="18" t="s">
        <v>21</v>
      </c>
      <c r="G126" s="18" t="s">
        <v>21</v>
      </c>
      <c r="H126" s="18" t="s">
        <v>21</v>
      </c>
      <c r="I126" s="18" t="s">
        <v>21</v>
      </c>
      <c r="J126" s="20" t="s">
        <v>21</v>
      </c>
      <c r="K126" s="20" t="s">
        <v>21</v>
      </c>
      <c r="L126" s="20" t="s">
        <v>21</v>
      </c>
      <c r="M126" s="18" t="s">
        <v>20</v>
      </c>
      <c r="N126" s="18" t="s">
        <v>20</v>
      </c>
      <c r="O126" s="18" t="s">
        <v>20</v>
      </c>
      <c r="P126" s="18" t="s">
        <v>21</v>
      </c>
      <c r="Q126" s="18" t="s">
        <v>21</v>
      </c>
      <c r="R126" s="18" t="s">
        <v>21</v>
      </c>
      <c r="S126" s="18" t="s">
        <v>20</v>
      </c>
      <c r="T126" s="18" t="s">
        <v>20</v>
      </c>
      <c r="U126" s="18" t="s">
        <v>20</v>
      </c>
      <c r="V126" s="37" t="s">
        <v>21</v>
      </c>
      <c r="W126" s="37" t="s">
        <v>20</v>
      </c>
      <c r="X126" s="37" t="s">
        <v>21</v>
      </c>
      <c r="Y126" s="18" t="s">
        <v>20</v>
      </c>
      <c r="Z126" s="18" t="s">
        <v>20</v>
      </c>
      <c r="AA126" s="20" t="s">
        <v>21</v>
      </c>
      <c r="AB126" s="20" t="s">
        <v>20</v>
      </c>
      <c r="AC126" s="20" t="s">
        <v>21</v>
      </c>
      <c r="AD126" s="29" t="s">
        <v>20</v>
      </c>
      <c r="AE126" s="29" t="s">
        <v>21</v>
      </c>
      <c r="AG126">
        <f t="shared" si="9"/>
        <v>0</v>
      </c>
      <c r="AH126">
        <f t="shared" si="10"/>
        <v>11</v>
      </c>
      <c r="AI126">
        <f t="shared" si="11"/>
        <v>15</v>
      </c>
      <c r="AJ126">
        <f t="shared" si="12"/>
        <v>0</v>
      </c>
      <c r="AL126">
        <f t="shared" si="13"/>
        <v>0</v>
      </c>
      <c r="AM126">
        <f t="shared" si="14"/>
        <v>33</v>
      </c>
      <c r="AN126">
        <f t="shared" si="15"/>
        <v>30</v>
      </c>
      <c r="AO126">
        <f t="shared" si="16"/>
        <v>0</v>
      </c>
      <c r="AP126">
        <f t="shared" si="17"/>
        <v>63</v>
      </c>
    </row>
    <row r="127" spans="1:42" ht="15.75" hidden="1" customHeight="1" x14ac:dyDescent="0.3">
      <c r="A127" s="16"/>
      <c r="B127" s="55">
        <v>18</v>
      </c>
      <c r="C127" s="56" t="s">
        <v>145</v>
      </c>
      <c r="D127" s="55">
        <v>3</v>
      </c>
      <c r="E127" s="55" t="s">
        <v>21</v>
      </c>
      <c r="F127" s="18" t="s">
        <v>21</v>
      </c>
      <c r="G127" s="18" t="s">
        <v>21</v>
      </c>
      <c r="H127" s="18" t="s">
        <v>20</v>
      </c>
      <c r="I127" s="18" t="s">
        <v>21</v>
      </c>
      <c r="J127" s="20" t="s">
        <v>20</v>
      </c>
      <c r="K127" s="20" t="s">
        <v>20</v>
      </c>
      <c r="L127" s="20" t="s">
        <v>20</v>
      </c>
      <c r="M127" s="18" t="s">
        <v>21</v>
      </c>
      <c r="N127" s="18" t="s">
        <v>20</v>
      </c>
      <c r="O127" s="18" t="s">
        <v>21</v>
      </c>
      <c r="P127" s="18" t="s">
        <v>21</v>
      </c>
      <c r="Q127" s="18" t="s">
        <v>21</v>
      </c>
      <c r="R127" s="18" t="s">
        <v>20</v>
      </c>
      <c r="S127" s="18" t="s">
        <v>20</v>
      </c>
      <c r="T127" s="18" t="s">
        <v>20</v>
      </c>
      <c r="U127" s="18" t="s">
        <v>20</v>
      </c>
      <c r="V127" s="37" t="s">
        <v>20</v>
      </c>
      <c r="W127" s="37" t="s">
        <v>20</v>
      </c>
      <c r="X127" s="37" t="s">
        <v>20</v>
      </c>
      <c r="Y127" s="18" t="s">
        <v>20</v>
      </c>
      <c r="Z127" s="18" t="s">
        <v>21</v>
      </c>
      <c r="AA127" s="20" t="s">
        <v>20</v>
      </c>
      <c r="AB127" s="20" t="s">
        <v>21</v>
      </c>
      <c r="AC127" s="20" t="s">
        <v>20</v>
      </c>
      <c r="AD127" s="29" t="s">
        <v>20</v>
      </c>
      <c r="AE127" s="29" t="s">
        <v>21</v>
      </c>
      <c r="AG127">
        <f t="shared" si="9"/>
        <v>0</v>
      </c>
      <c r="AH127">
        <f t="shared" si="10"/>
        <v>16</v>
      </c>
      <c r="AI127">
        <f t="shared" si="11"/>
        <v>10</v>
      </c>
      <c r="AJ127">
        <f t="shared" si="12"/>
        <v>0</v>
      </c>
      <c r="AL127">
        <f t="shared" si="13"/>
        <v>0</v>
      </c>
      <c r="AM127">
        <f t="shared" si="14"/>
        <v>48</v>
      </c>
      <c r="AN127">
        <f t="shared" si="15"/>
        <v>20</v>
      </c>
      <c r="AO127">
        <f t="shared" si="16"/>
        <v>0</v>
      </c>
      <c r="AP127">
        <f t="shared" si="17"/>
        <v>68</v>
      </c>
    </row>
    <row r="128" spans="1:42" ht="15.75" hidden="1" customHeight="1" x14ac:dyDescent="0.3">
      <c r="A128" s="16"/>
      <c r="B128" s="55">
        <v>19</v>
      </c>
      <c r="C128" s="56" t="s">
        <v>146</v>
      </c>
      <c r="D128" s="55">
        <v>3</v>
      </c>
      <c r="E128" s="55" t="s">
        <v>21</v>
      </c>
      <c r="F128" s="18" t="s">
        <v>21</v>
      </c>
      <c r="G128" s="18" t="s">
        <v>21</v>
      </c>
      <c r="H128" s="18" t="s">
        <v>21</v>
      </c>
      <c r="I128" s="18" t="s">
        <v>21</v>
      </c>
      <c r="J128" s="20" t="s">
        <v>21</v>
      </c>
      <c r="K128" s="20" t="s">
        <v>21</v>
      </c>
      <c r="L128" s="20" t="s">
        <v>21</v>
      </c>
      <c r="M128" s="18" t="s">
        <v>21</v>
      </c>
      <c r="N128" s="18" t="s">
        <v>20</v>
      </c>
      <c r="O128" s="18" t="s">
        <v>21</v>
      </c>
      <c r="P128" s="18" t="s">
        <v>21</v>
      </c>
      <c r="Q128" s="18" t="s">
        <v>21</v>
      </c>
      <c r="R128" s="18" t="s">
        <v>23</v>
      </c>
      <c r="S128" s="18" t="s">
        <v>21</v>
      </c>
      <c r="T128" s="18" t="s">
        <v>20</v>
      </c>
      <c r="U128" s="18" t="s">
        <v>21</v>
      </c>
      <c r="V128" s="37" t="s">
        <v>21</v>
      </c>
      <c r="W128" s="37" t="s">
        <v>20</v>
      </c>
      <c r="X128" s="37" t="s">
        <v>21</v>
      </c>
      <c r="Y128" s="18" t="s">
        <v>20</v>
      </c>
      <c r="Z128" s="18" t="s">
        <v>20</v>
      </c>
      <c r="AA128" s="20" t="s">
        <v>21</v>
      </c>
      <c r="AB128" s="20" t="s">
        <v>21</v>
      </c>
      <c r="AC128" s="20" t="s">
        <v>23</v>
      </c>
      <c r="AD128" s="29" t="s">
        <v>20</v>
      </c>
      <c r="AE128" s="29" t="s">
        <v>21</v>
      </c>
      <c r="AG128">
        <f t="shared" si="9"/>
        <v>0</v>
      </c>
      <c r="AH128">
        <f t="shared" si="10"/>
        <v>6</v>
      </c>
      <c r="AI128">
        <f t="shared" si="11"/>
        <v>18</v>
      </c>
      <c r="AJ128">
        <f t="shared" si="12"/>
        <v>2</v>
      </c>
      <c r="AL128">
        <f t="shared" si="13"/>
        <v>0</v>
      </c>
      <c r="AM128">
        <f t="shared" si="14"/>
        <v>18</v>
      </c>
      <c r="AN128">
        <f t="shared" si="15"/>
        <v>36</v>
      </c>
      <c r="AO128">
        <f t="shared" si="16"/>
        <v>2</v>
      </c>
      <c r="AP128">
        <f t="shared" si="17"/>
        <v>56</v>
      </c>
    </row>
    <row r="129" spans="1:42" ht="15.75" hidden="1" customHeight="1" x14ac:dyDescent="0.3">
      <c r="A129" s="16"/>
      <c r="B129" s="55">
        <v>20</v>
      </c>
      <c r="C129" s="56" t="s">
        <v>147</v>
      </c>
      <c r="D129" s="55">
        <v>3</v>
      </c>
      <c r="E129" s="55" t="s">
        <v>21</v>
      </c>
      <c r="F129" s="18" t="s">
        <v>20</v>
      </c>
      <c r="G129" s="18" t="s">
        <v>20</v>
      </c>
      <c r="H129" s="18" t="s">
        <v>20</v>
      </c>
      <c r="I129" s="18" t="s">
        <v>20</v>
      </c>
      <c r="J129" s="20" t="s">
        <v>21</v>
      </c>
      <c r="K129" s="20" t="s">
        <v>21</v>
      </c>
      <c r="L129" s="20" t="s">
        <v>21</v>
      </c>
      <c r="M129" s="18" t="s">
        <v>20</v>
      </c>
      <c r="N129" s="18" t="s">
        <v>20</v>
      </c>
      <c r="O129" s="18" t="s">
        <v>20</v>
      </c>
      <c r="P129" s="18" t="s">
        <v>21</v>
      </c>
      <c r="Q129" s="18" t="s">
        <v>20</v>
      </c>
      <c r="R129" s="18" t="s">
        <v>21</v>
      </c>
      <c r="S129" s="18" t="s">
        <v>20</v>
      </c>
      <c r="T129" s="18" t="s">
        <v>20</v>
      </c>
      <c r="U129" s="18" t="s">
        <v>20</v>
      </c>
      <c r="V129" s="37" t="s">
        <v>21</v>
      </c>
      <c r="W129" s="37" t="s">
        <v>20</v>
      </c>
      <c r="X129" s="37" t="s">
        <v>21</v>
      </c>
      <c r="Y129" s="18" t="s">
        <v>21</v>
      </c>
      <c r="Z129" s="18" t="s">
        <v>20</v>
      </c>
      <c r="AA129" s="20" t="s">
        <v>21</v>
      </c>
      <c r="AB129" s="20" t="s">
        <v>21</v>
      </c>
      <c r="AC129" s="20" t="s">
        <v>21</v>
      </c>
      <c r="AD129" s="29" t="s">
        <v>20</v>
      </c>
      <c r="AE129" s="29" t="s">
        <v>21</v>
      </c>
      <c r="AG129">
        <f t="shared" si="9"/>
        <v>0</v>
      </c>
      <c r="AH129">
        <f t="shared" si="10"/>
        <v>14</v>
      </c>
      <c r="AI129">
        <f t="shared" si="11"/>
        <v>12</v>
      </c>
      <c r="AJ129">
        <f t="shared" si="12"/>
        <v>0</v>
      </c>
      <c r="AL129">
        <f t="shared" si="13"/>
        <v>0</v>
      </c>
      <c r="AM129">
        <f t="shared" si="14"/>
        <v>42</v>
      </c>
      <c r="AN129">
        <f t="shared" si="15"/>
        <v>24</v>
      </c>
      <c r="AO129">
        <f t="shared" si="16"/>
        <v>0</v>
      </c>
      <c r="AP129">
        <f t="shared" si="17"/>
        <v>66</v>
      </c>
    </row>
    <row r="130" spans="1:42" ht="15.75" hidden="1" customHeight="1" thickBot="1" x14ac:dyDescent="0.35">
      <c r="A130" s="16"/>
      <c r="B130" s="57">
        <v>21</v>
      </c>
      <c r="C130" s="58" t="s">
        <v>148</v>
      </c>
      <c r="D130" s="57">
        <v>3</v>
      </c>
      <c r="E130" s="57" t="s">
        <v>21</v>
      </c>
      <c r="F130" s="21" t="s">
        <v>20</v>
      </c>
      <c r="G130" s="21" t="s">
        <v>20</v>
      </c>
      <c r="H130" s="21" t="s">
        <v>21</v>
      </c>
      <c r="I130" s="21" t="s">
        <v>20</v>
      </c>
      <c r="J130" s="23" t="s">
        <v>20</v>
      </c>
      <c r="K130" s="23" t="s">
        <v>20</v>
      </c>
      <c r="L130" s="23" t="s">
        <v>21</v>
      </c>
      <c r="M130" s="21" t="s">
        <v>21</v>
      </c>
      <c r="N130" s="21" t="s">
        <v>21</v>
      </c>
      <c r="O130" s="21" t="s">
        <v>21</v>
      </c>
      <c r="P130" s="21" t="s">
        <v>21</v>
      </c>
      <c r="Q130" s="21" t="s">
        <v>21</v>
      </c>
      <c r="R130" s="21" t="s">
        <v>21</v>
      </c>
      <c r="S130" s="21" t="s">
        <v>20</v>
      </c>
      <c r="T130" s="21" t="s">
        <v>20</v>
      </c>
      <c r="U130" s="21" t="s">
        <v>21</v>
      </c>
      <c r="V130" s="38" t="s">
        <v>21</v>
      </c>
      <c r="W130" s="38" t="s">
        <v>21</v>
      </c>
      <c r="X130" s="38" t="s">
        <v>21</v>
      </c>
      <c r="Y130" s="21" t="s">
        <v>20</v>
      </c>
      <c r="Z130" s="21" t="s">
        <v>20</v>
      </c>
      <c r="AA130" s="23" t="s">
        <v>21</v>
      </c>
      <c r="AB130" s="23" t="s">
        <v>21</v>
      </c>
      <c r="AC130" s="23" t="s">
        <v>21</v>
      </c>
      <c r="AD130" s="31" t="s">
        <v>20</v>
      </c>
      <c r="AE130" s="31" t="s">
        <v>21</v>
      </c>
      <c r="AG130">
        <f t="shared" si="9"/>
        <v>0</v>
      </c>
      <c r="AH130">
        <f t="shared" si="10"/>
        <v>10</v>
      </c>
      <c r="AI130">
        <f t="shared" si="11"/>
        <v>16</v>
      </c>
      <c r="AJ130">
        <f t="shared" si="12"/>
        <v>0</v>
      </c>
      <c r="AL130">
        <f t="shared" si="13"/>
        <v>0</v>
      </c>
      <c r="AM130">
        <f t="shared" si="14"/>
        <v>30</v>
      </c>
      <c r="AN130">
        <f t="shared" si="15"/>
        <v>32</v>
      </c>
      <c r="AO130">
        <f t="shared" si="16"/>
        <v>0</v>
      </c>
      <c r="AP130">
        <f t="shared" si="17"/>
        <v>62</v>
      </c>
    </row>
    <row r="131" spans="1:42" ht="15.75" customHeight="1" x14ac:dyDescent="0.3">
      <c r="A131" s="16"/>
      <c r="B131" s="55">
        <v>1</v>
      </c>
      <c r="C131" s="60" t="s">
        <v>167</v>
      </c>
      <c r="D131" s="59">
        <v>4</v>
      </c>
      <c r="E131" s="59" t="s">
        <v>20</v>
      </c>
      <c r="F131" s="24" t="s">
        <v>39</v>
      </c>
      <c r="G131" s="24" t="s">
        <v>39</v>
      </c>
      <c r="H131" s="24" t="s">
        <v>39</v>
      </c>
      <c r="I131" s="24" t="s">
        <v>39</v>
      </c>
      <c r="J131" s="42" t="s">
        <v>20</v>
      </c>
      <c r="K131" s="42" t="s">
        <v>20</v>
      </c>
      <c r="L131" s="42" t="s">
        <v>20</v>
      </c>
      <c r="M131" s="24" t="s">
        <v>20</v>
      </c>
      <c r="N131" s="24" t="s">
        <v>20</v>
      </c>
      <c r="O131" s="24" t="s">
        <v>20</v>
      </c>
      <c r="P131" s="24" t="s">
        <v>20</v>
      </c>
      <c r="Q131" s="24" t="s">
        <v>21</v>
      </c>
      <c r="R131" s="24" t="s">
        <v>20</v>
      </c>
      <c r="S131" s="24" t="s">
        <v>20</v>
      </c>
      <c r="T131" s="24" t="s">
        <v>20</v>
      </c>
      <c r="U131" s="24" t="s">
        <v>20</v>
      </c>
      <c r="V131" s="39" t="s">
        <v>20</v>
      </c>
      <c r="W131" s="39" t="s">
        <v>20</v>
      </c>
      <c r="X131" s="39" t="s">
        <v>20</v>
      </c>
      <c r="Y131" s="24" t="s">
        <v>20</v>
      </c>
      <c r="Z131" s="24" t="s">
        <v>20</v>
      </c>
      <c r="AA131" s="27" t="s">
        <v>20</v>
      </c>
      <c r="AB131" s="27" t="s">
        <v>20</v>
      </c>
      <c r="AC131" s="27" t="s">
        <v>20</v>
      </c>
      <c r="AD131" s="24" t="s">
        <v>20</v>
      </c>
      <c r="AE131" s="24" t="s">
        <v>21</v>
      </c>
      <c r="AG131">
        <f>+COUNTIF(F131:AE131,"AD")</f>
        <v>4</v>
      </c>
      <c r="AH131">
        <f>+COUNTIF(F131:AE131,"A")</f>
        <v>20</v>
      </c>
      <c r="AI131">
        <f>+COUNTIF(F131:AE131,"b")</f>
        <v>2</v>
      </c>
      <c r="AJ131">
        <f>+COUNTIF(F131:AE131,"c")</f>
        <v>0</v>
      </c>
      <c r="AL131">
        <f>+$AG$5*AG131</f>
        <v>16</v>
      </c>
      <c r="AM131">
        <f>+$AH$5*AH131</f>
        <v>60</v>
      </c>
      <c r="AN131">
        <f>+$AI$5*AI131</f>
        <v>4</v>
      </c>
      <c r="AO131">
        <f>+$AJ$5*AJ131</f>
        <v>0</v>
      </c>
      <c r="AP131" s="73">
        <f>+SUM(AL131:AO131)</f>
        <v>80</v>
      </c>
    </row>
    <row r="132" spans="1:42" ht="15.75" customHeight="1" x14ac:dyDescent="0.3">
      <c r="A132" s="16"/>
      <c r="B132" s="55">
        <v>2</v>
      </c>
      <c r="C132" s="56" t="s">
        <v>156</v>
      </c>
      <c r="D132" s="55">
        <v>4</v>
      </c>
      <c r="E132" s="55" t="s">
        <v>20</v>
      </c>
      <c r="F132" s="18" t="s">
        <v>20</v>
      </c>
      <c r="G132" s="18" t="s">
        <v>20</v>
      </c>
      <c r="H132" s="18" t="s">
        <v>20</v>
      </c>
      <c r="I132" s="18" t="s">
        <v>20</v>
      </c>
      <c r="J132" s="43" t="s">
        <v>39</v>
      </c>
      <c r="K132" s="43" t="s">
        <v>20</v>
      </c>
      <c r="L132" s="43" t="s">
        <v>20</v>
      </c>
      <c r="M132" s="18" t="s">
        <v>20</v>
      </c>
      <c r="N132" s="18" t="s">
        <v>20</v>
      </c>
      <c r="O132" s="18" t="s">
        <v>20</v>
      </c>
      <c r="P132" s="18" t="s">
        <v>20</v>
      </c>
      <c r="Q132" s="18" t="s">
        <v>20</v>
      </c>
      <c r="R132" s="18" t="s">
        <v>20</v>
      </c>
      <c r="S132" s="18" t="s">
        <v>20</v>
      </c>
      <c r="T132" s="18" t="s">
        <v>20</v>
      </c>
      <c r="U132" s="18" t="s">
        <v>21</v>
      </c>
      <c r="V132" s="37" t="s">
        <v>20</v>
      </c>
      <c r="W132" s="37" t="s">
        <v>20</v>
      </c>
      <c r="X132" s="37" t="s">
        <v>20</v>
      </c>
      <c r="Y132" s="18" t="s">
        <v>20</v>
      </c>
      <c r="Z132" s="18" t="s">
        <v>20</v>
      </c>
      <c r="AA132" s="20" t="s">
        <v>20</v>
      </c>
      <c r="AB132" s="20" t="s">
        <v>20</v>
      </c>
      <c r="AC132" s="20" t="s">
        <v>20</v>
      </c>
      <c r="AD132" s="29" t="s">
        <v>20</v>
      </c>
      <c r="AE132" s="29" t="s">
        <v>21</v>
      </c>
      <c r="AG132">
        <f>+COUNTIF(F132:AE132,"AD")</f>
        <v>1</v>
      </c>
      <c r="AH132">
        <f>+COUNTIF(F132:AE132,"A")</f>
        <v>23</v>
      </c>
      <c r="AI132">
        <f>+COUNTIF(F132:AE132,"b")</f>
        <v>2</v>
      </c>
      <c r="AJ132">
        <f>+COUNTIF(F132:AE132,"c")</f>
        <v>0</v>
      </c>
      <c r="AL132">
        <f>+$AG$5*AG132</f>
        <v>4</v>
      </c>
      <c r="AM132">
        <f>+$AH$5*AH132</f>
        <v>69</v>
      </c>
      <c r="AN132">
        <f>+$AI$5*AI132</f>
        <v>4</v>
      </c>
      <c r="AO132">
        <f>+$AJ$5*AJ132</f>
        <v>0</v>
      </c>
      <c r="AP132" s="73">
        <f>+SUM(AL132:AO132)</f>
        <v>77</v>
      </c>
    </row>
    <row r="133" spans="1:42" ht="15.75" customHeight="1" x14ac:dyDescent="0.3">
      <c r="A133" s="16"/>
      <c r="B133" s="55">
        <v>3</v>
      </c>
      <c r="C133" s="56" t="s">
        <v>150</v>
      </c>
      <c r="D133" s="55">
        <v>4</v>
      </c>
      <c r="E133" s="55" t="s">
        <v>20</v>
      </c>
      <c r="F133" s="18" t="s">
        <v>20</v>
      </c>
      <c r="G133" s="18" t="s">
        <v>20</v>
      </c>
      <c r="H133" s="18" t="s">
        <v>20</v>
      </c>
      <c r="I133" s="18" t="s">
        <v>20</v>
      </c>
      <c r="J133" s="43" t="s">
        <v>39</v>
      </c>
      <c r="K133" s="43" t="s">
        <v>20</v>
      </c>
      <c r="L133" s="43" t="s">
        <v>20</v>
      </c>
      <c r="M133" s="18" t="s">
        <v>21</v>
      </c>
      <c r="N133" s="18" t="s">
        <v>20</v>
      </c>
      <c r="O133" s="18" t="s">
        <v>20</v>
      </c>
      <c r="P133" s="18" t="s">
        <v>20</v>
      </c>
      <c r="Q133" s="18" t="s">
        <v>20</v>
      </c>
      <c r="R133" s="18" t="s">
        <v>20</v>
      </c>
      <c r="S133" s="18" t="s">
        <v>20</v>
      </c>
      <c r="T133" s="18" t="s">
        <v>20</v>
      </c>
      <c r="U133" s="18" t="s">
        <v>20</v>
      </c>
      <c r="V133" s="37" t="s">
        <v>20</v>
      </c>
      <c r="W133" s="37" t="s">
        <v>20</v>
      </c>
      <c r="X133" s="37" t="s">
        <v>20</v>
      </c>
      <c r="Y133" s="18" t="s">
        <v>20</v>
      </c>
      <c r="Z133" s="18" t="s">
        <v>21</v>
      </c>
      <c r="AA133" s="20" t="s">
        <v>20</v>
      </c>
      <c r="AB133" s="20" t="s">
        <v>20</v>
      </c>
      <c r="AC133" s="20" t="s">
        <v>21</v>
      </c>
      <c r="AD133" s="29" t="s">
        <v>20</v>
      </c>
      <c r="AE133" s="29" t="s">
        <v>21</v>
      </c>
      <c r="AG133">
        <f>+COUNTIF(F133:AE133,"AD")</f>
        <v>1</v>
      </c>
      <c r="AH133">
        <f>+COUNTIF(F133:AE133,"A")</f>
        <v>21</v>
      </c>
      <c r="AI133">
        <f>+COUNTIF(F133:AE133,"b")</f>
        <v>4</v>
      </c>
      <c r="AJ133">
        <f>+COUNTIF(F133:AE133,"c")</f>
        <v>0</v>
      </c>
      <c r="AL133">
        <f>+$AG$5*AG133</f>
        <v>4</v>
      </c>
      <c r="AM133">
        <f>+$AH$5*AH133</f>
        <v>63</v>
      </c>
      <c r="AN133">
        <f>+$AI$5*AI133</f>
        <v>8</v>
      </c>
      <c r="AO133">
        <f>+$AJ$5*AJ133</f>
        <v>0</v>
      </c>
      <c r="AP133" s="73">
        <f>+SUM(AL133:AO133)</f>
        <v>75</v>
      </c>
    </row>
    <row r="134" spans="1:42" ht="15.75" customHeight="1" x14ac:dyDescent="0.3">
      <c r="A134" s="16"/>
      <c r="B134" s="55">
        <v>4</v>
      </c>
      <c r="C134" s="56" t="s">
        <v>154</v>
      </c>
      <c r="D134" s="55">
        <v>4</v>
      </c>
      <c r="E134" s="55" t="s">
        <v>20</v>
      </c>
      <c r="F134" s="18" t="s">
        <v>20</v>
      </c>
      <c r="G134" s="18" t="s">
        <v>21</v>
      </c>
      <c r="H134" s="18" t="s">
        <v>21</v>
      </c>
      <c r="I134" s="18" t="s">
        <v>20</v>
      </c>
      <c r="J134" s="43" t="s">
        <v>20</v>
      </c>
      <c r="K134" s="43" t="s">
        <v>20</v>
      </c>
      <c r="L134" s="43" t="s">
        <v>20</v>
      </c>
      <c r="M134" s="18" t="s">
        <v>20</v>
      </c>
      <c r="N134" s="18" t="s">
        <v>20</v>
      </c>
      <c r="O134" s="18" t="s">
        <v>20</v>
      </c>
      <c r="P134" s="18" t="s">
        <v>20</v>
      </c>
      <c r="Q134" s="18" t="s">
        <v>21</v>
      </c>
      <c r="R134" s="18" t="s">
        <v>20</v>
      </c>
      <c r="S134" s="18" t="s">
        <v>20</v>
      </c>
      <c r="T134" s="18" t="s">
        <v>20</v>
      </c>
      <c r="U134" s="18" t="s">
        <v>20</v>
      </c>
      <c r="V134" s="37" t="s">
        <v>20</v>
      </c>
      <c r="W134" s="37" t="s">
        <v>20</v>
      </c>
      <c r="X134" s="37" t="s">
        <v>20</v>
      </c>
      <c r="Y134" s="18" t="s">
        <v>20</v>
      </c>
      <c r="Z134" s="18" t="s">
        <v>20</v>
      </c>
      <c r="AA134" s="20" t="s">
        <v>20</v>
      </c>
      <c r="AB134" s="20" t="s">
        <v>20</v>
      </c>
      <c r="AC134" s="20" t="s">
        <v>20</v>
      </c>
      <c r="AD134" s="29" t="s">
        <v>20</v>
      </c>
      <c r="AE134" s="29" t="s">
        <v>21</v>
      </c>
      <c r="AG134">
        <f>+COUNTIF(F134:AE134,"AD")</f>
        <v>0</v>
      </c>
      <c r="AH134">
        <f>+COUNTIF(F134:AE134,"A")</f>
        <v>22</v>
      </c>
      <c r="AI134">
        <f>+COUNTIF(F134:AE134,"b")</f>
        <v>4</v>
      </c>
      <c r="AJ134">
        <f>+COUNTIF(F134:AE134,"c")</f>
        <v>0</v>
      </c>
      <c r="AL134">
        <f>+$AG$5*AG134</f>
        <v>0</v>
      </c>
      <c r="AM134">
        <f>+$AH$5*AH134</f>
        <v>66</v>
      </c>
      <c r="AN134">
        <f>+$AI$5*AI134</f>
        <v>8</v>
      </c>
      <c r="AO134">
        <f>+$AJ$5*AJ134</f>
        <v>0</v>
      </c>
      <c r="AP134" s="73">
        <f>+SUM(AL134:AO134)</f>
        <v>74</v>
      </c>
    </row>
    <row r="135" spans="1:42" ht="15.75" customHeight="1" x14ac:dyDescent="0.3">
      <c r="A135" s="16"/>
      <c r="B135" s="55">
        <v>5</v>
      </c>
      <c r="C135" s="56" t="s">
        <v>162</v>
      </c>
      <c r="D135" s="55">
        <v>4</v>
      </c>
      <c r="E135" s="55" t="s">
        <v>20</v>
      </c>
      <c r="F135" s="18" t="s">
        <v>20</v>
      </c>
      <c r="G135" s="18" t="s">
        <v>20</v>
      </c>
      <c r="H135" s="18" t="s">
        <v>20</v>
      </c>
      <c r="I135" s="18" t="s">
        <v>20</v>
      </c>
      <c r="J135" s="43" t="s">
        <v>20</v>
      </c>
      <c r="K135" s="43" t="s">
        <v>20</v>
      </c>
      <c r="L135" s="43" t="s">
        <v>20</v>
      </c>
      <c r="M135" s="18" t="s">
        <v>20</v>
      </c>
      <c r="N135" s="18" t="s">
        <v>20</v>
      </c>
      <c r="O135" s="18" t="s">
        <v>20</v>
      </c>
      <c r="P135" s="18" t="s">
        <v>20</v>
      </c>
      <c r="Q135" s="18" t="s">
        <v>20</v>
      </c>
      <c r="R135" s="18" t="s">
        <v>21</v>
      </c>
      <c r="S135" s="18" t="s">
        <v>21</v>
      </c>
      <c r="T135" s="18" t="s">
        <v>20</v>
      </c>
      <c r="U135" s="18" t="s">
        <v>21</v>
      </c>
      <c r="V135" s="37" t="s">
        <v>20</v>
      </c>
      <c r="W135" s="37" t="s">
        <v>20</v>
      </c>
      <c r="X135" s="37" t="s">
        <v>20</v>
      </c>
      <c r="Y135" s="18" t="s">
        <v>20</v>
      </c>
      <c r="Z135" s="18" t="s">
        <v>20</v>
      </c>
      <c r="AA135" s="20" t="s">
        <v>21</v>
      </c>
      <c r="AB135" s="20" t="s">
        <v>20</v>
      </c>
      <c r="AC135" s="20" t="s">
        <v>20</v>
      </c>
      <c r="AD135" s="18" t="s">
        <v>20</v>
      </c>
      <c r="AE135" s="18" t="s">
        <v>21</v>
      </c>
      <c r="AG135">
        <f>+COUNTIF(F135:AE135,"AD")</f>
        <v>0</v>
      </c>
      <c r="AH135">
        <f>+COUNTIF(F135:AE135,"A")</f>
        <v>21</v>
      </c>
      <c r="AI135">
        <f>+COUNTIF(F135:AE135,"b")</f>
        <v>5</v>
      </c>
      <c r="AJ135">
        <f>+COUNTIF(F135:AE135,"c")</f>
        <v>0</v>
      </c>
      <c r="AL135">
        <f>+$AG$5*AG135</f>
        <v>0</v>
      </c>
      <c r="AM135">
        <f>+$AH$5*AH135</f>
        <v>63</v>
      </c>
      <c r="AN135">
        <f>+$AI$5*AI135</f>
        <v>10</v>
      </c>
      <c r="AO135">
        <f>+$AJ$5*AJ135</f>
        <v>0</v>
      </c>
      <c r="AP135" s="73">
        <f>+SUM(AL135:AO135)</f>
        <v>73</v>
      </c>
    </row>
    <row r="136" spans="1:42" ht="15.75" customHeight="1" x14ac:dyDescent="0.3">
      <c r="A136" s="16"/>
      <c r="B136" s="55">
        <v>6</v>
      </c>
      <c r="C136" s="56" t="s">
        <v>149</v>
      </c>
      <c r="D136" s="55">
        <v>4</v>
      </c>
      <c r="E136" s="55" t="s">
        <v>20</v>
      </c>
      <c r="F136" s="18" t="s">
        <v>20</v>
      </c>
      <c r="G136" s="18" t="s">
        <v>20</v>
      </c>
      <c r="H136" s="18" t="s">
        <v>20</v>
      </c>
      <c r="I136" s="18" t="s">
        <v>20</v>
      </c>
      <c r="J136" s="43" t="s">
        <v>20</v>
      </c>
      <c r="K136" s="43" t="s">
        <v>20</v>
      </c>
      <c r="L136" s="43" t="s">
        <v>21</v>
      </c>
      <c r="M136" s="18" t="s">
        <v>20</v>
      </c>
      <c r="N136" s="18" t="s">
        <v>20</v>
      </c>
      <c r="O136" s="18" t="s">
        <v>20</v>
      </c>
      <c r="P136" s="18" t="s">
        <v>20</v>
      </c>
      <c r="Q136" s="18" t="s">
        <v>20</v>
      </c>
      <c r="R136" s="18" t="s">
        <v>20</v>
      </c>
      <c r="S136" s="18" t="s">
        <v>20</v>
      </c>
      <c r="T136" s="18" t="s">
        <v>21</v>
      </c>
      <c r="U136" s="18" t="s">
        <v>21</v>
      </c>
      <c r="V136" s="37" t="s">
        <v>20</v>
      </c>
      <c r="W136" s="37" t="s">
        <v>20</v>
      </c>
      <c r="X136" s="37" t="s">
        <v>20</v>
      </c>
      <c r="Y136" s="18" t="s">
        <v>20</v>
      </c>
      <c r="Z136" s="18" t="s">
        <v>20</v>
      </c>
      <c r="AA136" s="20" t="s">
        <v>21</v>
      </c>
      <c r="AB136" s="20" t="s">
        <v>20</v>
      </c>
      <c r="AC136" s="20" t="s">
        <v>21</v>
      </c>
      <c r="AD136" s="29" t="s">
        <v>21</v>
      </c>
      <c r="AE136" s="29" t="s">
        <v>21</v>
      </c>
      <c r="AG136">
        <f>+COUNTIF(F136:AE136,"AD")</f>
        <v>0</v>
      </c>
      <c r="AH136">
        <f>+COUNTIF(F136:AE136,"A")</f>
        <v>19</v>
      </c>
      <c r="AI136">
        <f>+COUNTIF(F136:AE136,"b")</f>
        <v>7</v>
      </c>
      <c r="AJ136">
        <f>+COUNTIF(F136:AE136,"c")</f>
        <v>0</v>
      </c>
      <c r="AL136">
        <f>+$AG$5*AG136</f>
        <v>0</v>
      </c>
      <c r="AM136">
        <f>+$AH$5*AH136</f>
        <v>57</v>
      </c>
      <c r="AN136">
        <f>+$AI$5*AI136</f>
        <v>14</v>
      </c>
      <c r="AO136">
        <f>+$AJ$5*AJ136</f>
        <v>0</v>
      </c>
      <c r="AP136" s="73">
        <f>+SUM(AL136:AO136)</f>
        <v>71</v>
      </c>
    </row>
    <row r="137" spans="1:42" ht="15.75" customHeight="1" x14ac:dyDescent="0.3">
      <c r="A137" s="16"/>
      <c r="B137" s="55">
        <v>7</v>
      </c>
      <c r="C137" s="56" t="s">
        <v>163</v>
      </c>
      <c r="D137" s="55">
        <v>4</v>
      </c>
      <c r="E137" s="55" t="s">
        <v>20</v>
      </c>
      <c r="F137" s="18" t="s">
        <v>20</v>
      </c>
      <c r="G137" s="18" t="s">
        <v>21</v>
      </c>
      <c r="H137" s="18" t="s">
        <v>21</v>
      </c>
      <c r="I137" s="18" t="s">
        <v>20</v>
      </c>
      <c r="J137" s="43" t="s">
        <v>20</v>
      </c>
      <c r="K137" s="43" t="s">
        <v>20</v>
      </c>
      <c r="L137" s="43" t="s">
        <v>20</v>
      </c>
      <c r="M137" s="18" t="s">
        <v>21</v>
      </c>
      <c r="N137" s="18" t="s">
        <v>20</v>
      </c>
      <c r="O137" s="18" t="s">
        <v>20</v>
      </c>
      <c r="P137" s="18" t="s">
        <v>20</v>
      </c>
      <c r="Q137" s="18" t="s">
        <v>20</v>
      </c>
      <c r="R137" s="18" t="s">
        <v>20</v>
      </c>
      <c r="S137" s="18" t="s">
        <v>20</v>
      </c>
      <c r="T137" s="18" t="s">
        <v>20</v>
      </c>
      <c r="U137" s="18" t="s">
        <v>21</v>
      </c>
      <c r="V137" s="37" t="s">
        <v>20</v>
      </c>
      <c r="W137" s="37" t="s">
        <v>20</v>
      </c>
      <c r="X137" s="37" t="s">
        <v>20</v>
      </c>
      <c r="Y137" s="18" t="s">
        <v>20</v>
      </c>
      <c r="Z137" s="18" t="s">
        <v>21</v>
      </c>
      <c r="AA137" s="20" t="s">
        <v>21</v>
      </c>
      <c r="AB137" s="20" t="s">
        <v>20</v>
      </c>
      <c r="AC137" s="20" t="s">
        <v>20</v>
      </c>
      <c r="AD137" s="18" t="s">
        <v>20</v>
      </c>
      <c r="AE137" s="18" t="s">
        <v>21</v>
      </c>
      <c r="AG137">
        <f>+COUNTIF(F137:AE137,"AD")</f>
        <v>0</v>
      </c>
      <c r="AH137">
        <f>+COUNTIF(F137:AE137,"A")</f>
        <v>19</v>
      </c>
      <c r="AI137">
        <f>+COUNTIF(F137:AE137,"b")</f>
        <v>7</v>
      </c>
      <c r="AJ137">
        <f>+COUNTIF(F137:AE137,"c")</f>
        <v>0</v>
      </c>
      <c r="AL137">
        <f>+$AG$5*AG137</f>
        <v>0</v>
      </c>
      <c r="AM137">
        <f>+$AH$5*AH137</f>
        <v>57</v>
      </c>
      <c r="AN137">
        <f>+$AI$5*AI137</f>
        <v>14</v>
      </c>
      <c r="AO137">
        <f>+$AJ$5*AJ137</f>
        <v>0</v>
      </c>
      <c r="AP137" s="73">
        <f>+SUM(AL137:AO137)</f>
        <v>71</v>
      </c>
    </row>
    <row r="138" spans="1:42" ht="15.75" customHeight="1" x14ac:dyDescent="0.3">
      <c r="A138" s="16"/>
      <c r="B138" s="55">
        <v>8</v>
      </c>
      <c r="C138" s="56" t="s">
        <v>171</v>
      </c>
      <c r="D138" s="55">
        <v>4</v>
      </c>
      <c r="E138" s="55" t="s">
        <v>20</v>
      </c>
      <c r="F138" s="18" t="s">
        <v>20</v>
      </c>
      <c r="G138" s="18" t="s">
        <v>20</v>
      </c>
      <c r="H138" s="18" t="s">
        <v>20</v>
      </c>
      <c r="I138" s="18" t="s">
        <v>20</v>
      </c>
      <c r="J138" s="43" t="s">
        <v>20</v>
      </c>
      <c r="K138" s="43" t="s">
        <v>20</v>
      </c>
      <c r="L138" s="43" t="s">
        <v>20</v>
      </c>
      <c r="M138" s="18" t="s">
        <v>21</v>
      </c>
      <c r="N138" s="18" t="s">
        <v>20</v>
      </c>
      <c r="O138" s="18" t="s">
        <v>20</v>
      </c>
      <c r="P138" s="18" t="s">
        <v>21</v>
      </c>
      <c r="Q138" s="18" t="s">
        <v>21</v>
      </c>
      <c r="R138" s="18" t="s">
        <v>21</v>
      </c>
      <c r="S138" s="18" t="s">
        <v>20</v>
      </c>
      <c r="T138" s="18" t="s">
        <v>20</v>
      </c>
      <c r="U138" s="18" t="s">
        <v>20</v>
      </c>
      <c r="V138" s="46" t="s">
        <v>20</v>
      </c>
      <c r="W138" s="37" t="s">
        <v>20</v>
      </c>
      <c r="X138" s="46" t="s">
        <v>20</v>
      </c>
      <c r="Y138" s="18" t="s">
        <v>21</v>
      </c>
      <c r="Z138" s="18" t="s">
        <v>21</v>
      </c>
      <c r="AA138" s="20" t="s">
        <v>21</v>
      </c>
      <c r="AB138" s="20" t="s">
        <v>20</v>
      </c>
      <c r="AC138" s="20" t="s">
        <v>20</v>
      </c>
      <c r="AD138" s="18" t="s">
        <v>20</v>
      </c>
      <c r="AE138" s="18" t="s">
        <v>21</v>
      </c>
      <c r="AG138">
        <f>+COUNTIF(F138:AE138,"AD")</f>
        <v>0</v>
      </c>
      <c r="AH138">
        <f>+COUNTIF(F138:AE138,"A")</f>
        <v>18</v>
      </c>
      <c r="AI138">
        <f>+COUNTIF(F138:AE138,"b")</f>
        <v>8</v>
      </c>
      <c r="AJ138">
        <f>+COUNTIF(F138:AE138,"c")</f>
        <v>0</v>
      </c>
      <c r="AL138">
        <f>+$AG$5*AG138</f>
        <v>0</v>
      </c>
      <c r="AM138">
        <f>+$AH$5*AH138</f>
        <v>54</v>
      </c>
      <c r="AN138">
        <f>+$AI$5*AI138</f>
        <v>16</v>
      </c>
      <c r="AO138">
        <f>+$AJ$5*AJ138</f>
        <v>0</v>
      </c>
      <c r="AP138" s="73">
        <f>+SUM(AL138:AO138)</f>
        <v>70</v>
      </c>
    </row>
    <row r="139" spans="1:42" ht="15.75" customHeight="1" x14ac:dyDescent="0.3">
      <c r="A139" s="16"/>
      <c r="B139" s="55">
        <v>9</v>
      </c>
      <c r="C139" s="56" t="s">
        <v>169</v>
      </c>
      <c r="D139" s="55">
        <v>4</v>
      </c>
      <c r="E139" s="55" t="s">
        <v>20</v>
      </c>
      <c r="F139" s="18" t="s">
        <v>21</v>
      </c>
      <c r="G139" s="18" t="s">
        <v>21</v>
      </c>
      <c r="H139" s="18" t="s">
        <v>20</v>
      </c>
      <c r="I139" s="18" t="s">
        <v>20</v>
      </c>
      <c r="J139" s="43" t="s">
        <v>20</v>
      </c>
      <c r="K139" s="43" t="s">
        <v>20</v>
      </c>
      <c r="L139" s="43" t="s">
        <v>21</v>
      </c>
      <c r="M139" s="18" t="s">
        <v>21</v>
      </c>
      <c r="N139" s="18" t="s">
        <v>20</v>
      </c>
      <c r="O139" s="18" t="s">
        <v>20</v>
      </c>
      <c r="P139" s="18" t="s">
        <v>20</v>
      </c>
      <c r="Q139" s="18" t="s">
        <v>20</v>
      </c>
      <c r="R139" s="18" t="s">
        <v>20</v>
      </c>
      <c r="S139" s="18" t="s">
        <v>20</v>
      </c>
      <c r="T139" s="18" t="s">
        <v>20</v>
      </c>
      <c r="U139" s="18" t="s">
        <v>20</v>
      </c>
      <c r="V139" s="37" t="s">
        <v>20</v>
      </c>
      <c r="W139" s="37" t="s">
        <v>20</v>
      </c>
      <c r="X139" s="37" t="s">
        <v>20</v>
      </c>
      <c r="Y139" s="18" t="s">
        <v>21</v>
      </c>
      <c r="Z139" s="18" t="s">
        <v>21</v>
      </c>
      <c r="AA139" s="20" t="s">
        <v>20</v>
      </c>
      <c r="AB139" s="20" t="s">
        <v>20</v>
      </c>
      <c r="AC139" s="20" t="s">
        <v>21</v>
      </c>
      <c r="AD139" s="18" t="s">
        <v>21</v>
      </c>
      <c r="AE139" s="18" t="s">
        <v>21</v>
      </c>
      <c r="AG139">
        <f>+COUNTIF(F139:AE139,"AD")</f>
        <v>0</v>
      </c>
      <c r="AH139">
        <f>+COUNTIF(F139:AE139,"A")</f>
        <v>17</v>
      </c>
      <c r="AI139">
        <f>+COUNTIF(F139:AE139,"b")</f>
        <v>9</v>
      </c>
      <c r="AJ139">
        <f>+COUNTIF(F139:AE139,"c")</f>
        <v>0</v>
      </c>
      <c r="AL139">
        <f>+$AG$5*AG139</f>
        <v>0</v>
      </c>
      <c r="AM139">
        <f>+$AH$5*AH139</f>
        <v>51</v>
      </c>
      <c r="AN139">
        <f>+$AI$5*AI139</f>
        <v>18</v>
      </c>
      <c r="AO139">
        <f>+$AJ$5*AJ139</f>
        <v>0</v>
      </c>
      <c r="AP139" s="73">
        <f>+SUM(AL139:AO139)</f>
        <v>69</v>
      </c>
    </row>
    <row r="140" spans="1:42" ht="15.75" customHeight="1" x14ac:dyDescent="0.3">
      <c r="A140" s="16"/>
      <c r="B140" s="55">
        <v>10</v>
      </c>
      <c r="C140" s="56" t="s">
        <v>152</v>
      </c>
      <c r="D140" s="55">
        <v>4</v>
      </c>
      <c r="E140" s="55" t="s">
        <v>20</v>
      </c>
      <c r="F140" s="18" t="s">
        <v>21</v>
      </c>
      <c r="G140" s="18" t="s">
        <v>20</v>
      </c>
      <c r="H140" s="18" t="s">
        <v>21</v>
      </c>
      <c r="I140" s="18" t="s">
        <v>20</v>
      </c>
      <c r="J140" s="43" t="s">
        <v>20</v>
      </c>
      <c r="K140" s="43" t="s">
        <v>20</v>
      </c>
      <c r="L140" s="43" t="s">
        <v>21</v>
      </c>
      <c r="M140" s="18" t="s">
        <v>20</v>
      </c>
      <c r="N140" s="18" t="s">
        <v>20</v>
      </c>
      <c r="O140" s="18" t="s">
        <v>20</v>
      </c>
      <c r="P140" s="18" t="s">
        <v>21</v>
      </c>
      <c r="Q140" s="18" t="s">
        <v>21</v>
      </c>
      <c r="R140" s="18" t="s">
        <v>21</v>
      </c>
      <c r="S140" s="18" t="s">
        <v>20</v>
      </c>
      <c r="T140" s="18" t="s">
        <v>20</v>
      </c>
      <c r="U140" s="18" t="s">
        <v>21</v>
      </c>
      <c r="V140" s="37" t="s">
        <v>20</v>
      </c>
      <c r="W140" s="37" t="s">
        <v>20</v>
      </c>
      <c r="X140" s="37" t="s">
        <v>20</v>
      </c>
      <c r="Y140" s="18" t="s">
        <v>20</v>
      </c>
      <c r="Z140" s="18" t="s">
        <v>20</v>
      </c>
      <c r="AA140" s="20" t="s">
        <v>21</v>
      </c>
      <c r="AB140" s="20" t="s">
        <v>21</v>
      </c>
      <c r="AC140" s="20" t="s">
        <v>20</v>
      </c>
      <c r="AD140" s="47" t="s">
        <v>20</v>
      </c>
      <c r="AE140" s="47" t="s">
        <v>21</v>
      </c>
      <c r="AG140">
        <f>+COUNTIF(F140:AE140,"AD")</f>
        <v>0</v>
      </c>
      <c r="AH140">
        <f>+COUNTIF(F140:AE140,"A")</f>
        <v>16</v>
      </c>
      <c r="AI140">
        <f>+COUNTIF(F140:AE140,"b")</f>
        <v>10</v>
      </c>
      <c r="AJ140">
        <f>+COUNTIF(F140:AE140,"c")</f>
        <v>0</v>
      </c>
      <c r="AL140">
        <f>+$AG$5*AG140</f>
        <v>0</v>
      </c>
      <c r="AM140">
        <f>+$AH$5*AH140</f>
        <v>48</v>
      </c>
      <c r="AN140">
        <f>+$AI$5*AI140</f>
        <v>20</v>
      </c>
      <c r="AO140">
        <f>+$AJ$5*AJ140</f>
        <v>0</v>
      </c>
      <c r="AP140" s="73">
        <f>+SUM(AL140:AO140)</f>
        <v>68</v>
      </c>
    </row>
    <row r="141" spans="1:42" ht="15.75" customHeight="1" x14ac:dyDescent="0.3">
      <c r="A141" s="16"/>
      <c r="B141" s="55">
        <v>11</v>
      </c>
      <c r="C141" s="56" t="s">
        <v>153</v>
      </c>
      <c r="D141" s="55">
        <v>4</v>
      </c>
      <c r="E141" s="55" t="s">
        <v>20</v>
      </c>
      <c r="F141" s="18" t="s">
        <v>20</v>
      </c>
      <c r="G141" s="18" t="s">
        <v>21</v>
      </c>
      <c r="H141" s="18" t="s">
        <v>21</v>
      </c>
      <c r="I141" s="18" t="s">
        <v>20</v>
      </c>
      <c r="J141" s="43" t="s">
        <v>20</v>
      </c>
      <c r="K141" s="43" t="s">
        <v>20</v>
      </c>
      <c r="L141" s="43" t="s">
        <v>21</v>
      </c>
      <c r="M141" s="18" t="s">
        <v>21</v>
      </c>
      <c r="N141" s="18" t="s">
        <v>20</v>
      </c>
      <c r="O141" s="18" t="s">
        <v>20</v>
      </c>
      <c r="P141" s="18" t="s">
        <v>20</v>
      </c>
      <c r="Q141" s="18" t="s">
        <v>20</v>
      </c>
      <c r="R141" s="18" t="s">
        <v>20</v>
      </c>
      <c r="S141" s="18" t="s">
        <v>20</v>
      </c>
      <c r="T141" s="18" t="s">
        <v>20</v>
      </c>
      <c r="U141" s="18" t="s">
        <v>21</v>
      </c>
      <c r="V141" s="37" t="s">
        <v>20</v>
      </c>
      <c r="W141" s="37" t="s">
        <v>20</v>
      </c>
      <c r="X141" s="37" t="s">
        <v>20</v>
      </c>
      <c r="Y141" s="18" t="s">
        <v>20</v>
      </c>
      <c r="Z141" s="18" t="s">
        <v>21</v>
      </c>
      <c r="AA141" s="20" t="s">
        <v>21</v>
      </c>
      <c r="AB141" s="20" t="s">
        <v>20</v>
      </c>
      <c r="AC141" s="20" t="s">
        <v>20</v>
      </c>
      <c r="AD141" s="29" t="s">
        <v>23</v>
      </c>
      <c r="AE141" s="29" t="s">
        <v>21</v>
      </c>
      <c r="AG141">
        <f>+COUNTIF(F141:AE141,"AD")</f>
        <v>0</v>
      </c>
      <c r="AH141">
        <f>+COUNTIF(F141:AE141,"A")</f>
        <v>17</v>
      </c>
      <c r="AI141">
        <f>+COUNTIF(F141:AE141,"b")</f>
        <v>8</v>
      </c>
      <c r="AJ141">
        <f>+COUNTIF(F141:AE141,"c")</f>
        <v>1</v>
      </c>
      <c r="AL141">
        <f>+$AG$5*AG141</f>
        <v>0</v>
      </c>
      <c r="AM141">
        <f>+$AH$5*AH141</f>
        <v>51</v>
      </c>
      <c r="AN141">
        <f>+$AI$5*AI141</f>
        <v>16</v>
      </c>
      <c r="AO141">
        <f>+$AJ$5*AJ141</f>
        <v>1</v>
      </c>
      <c r="AP141" s="73">
        <f>+SUM(AL141:AO141)</f>
        <v>68</v>
      </c>
    </row>
    <row r="142" spans="1:42" ht="15.75" customHeight="1" x14ac:dyDescent="0.3">
      <c r="A142" s="16"/>
      <c r="B142" s="55">
        <v>12</v>
      </c>
      <c r="C142" s="56" t="s">
        <v>170</v>
      </c>
      <c r="D142" s="55">
        <v>4</v>
      </c>
      <c r="E142" s="55" t="s">
        <v>20</v>
      </c>
      <c r="F142" s="18" t="s">
        <v>20</v>
      </c>
      <c r="G142" s="18" t="s">
        <v>20</v>
      </c>
      <c r="H142" s="18" t="s">
        <v>20</v>
      </c>
      <c r="I142" s="18" t="s">
        <v>20</v>
      </c>
      <c r="J142" s="43" t="s">
        <v>20</v>
      </c>
      <c r="K142" s="43" t="s">
        <v>20</v>
      </c>
      <c r="L142" s="43" t="s">
        <v>21</v>
      </c>
      <c r="M142" s="18" t="s">
        <v>21</v>
      </c>
      <c r="N142" s="18" t="s">
        <v>20</v>
      </c>
      <c r="O142" s="18" t="s">
        <v>20</v>
      </c>
      <c r="P142" s="18" t="s">
        <v>21</v>
      </c>
      <c r="Q142" s="18" t="s">
        <v>21</v>
      </c>
      <c r="R142" s="18" t="s">
        <v>21</v>
      </c>
      <c r="S142" s="18" t="s">
        <v>20</v>
      </c>
      <c r="T142" s="18" t="s">
        <v>20</v>
      </c>
      <c r="U142" s="18" t="s">
        <v>21</v>
      </c>
      <c r="V142" s="37" t="s">
        <v>20</v>
      </c>
      <c r="W142" s="37" t="s">
        <v>20</v>
      </c>
      <c r="X142" s="37" t="s">
        <v>20</v>
      </c>
      <c r="Y142" s="18" t="s">
        <v>21</v>
      </c>
      <c r="Z142" s="18" t="s">
        <v>20</v>
      </c>
      <c r="AA142" s="20" t="s">
        <v>21</v>
      </c>
      <c r="AB142" s="20" t="s">
        <v>21</v>
      </c>
      <c r="AC142" s="20" t="s">
        <v>21</v>
      </c>
      <c r="AD142" s="18" t="s">
        <v>21</v>
      </c>
      <c r="AE142" s="18" t="s">
        <v>21</v>
      </c>
      <c r="AG142">
        <f>+COUNTIF(F142:AE142,"AD")</f>
        <v>0</v>
      </c>
      <c r="AH142">
        <f>+COUNTIF(F142:AE142,"A")</f>
        <v>14</v>
      </c>
      <c r="AI142">
        <f>+COUNTIF(F142:AE142,"b")</f>
        <v>12</v>
      </c>
      <c r="AJ142">
        <f>+COUNTIF(F142:AE142,"c")</f>
        <v>0</v>
      </c>
      <c r="AL142">
        <f>+$AG$5*AG142</f>
        <v>0</v>
      </c>
      <c r="AM142">
        <f>+$AH$5*AH142</f>
        <v>42</v>
      </c>
      <c r="AN142">
        <f>+$AI$5*AI142</f>
        <v>24</v>
      </c>
      <c r="AO142">
        <f>+$AJ$5*AJ142</f>
        <v>0</v>
      </c>
      <c r="AP142" s="73">
        <f>+SUM(AL142:AO142)</f>
        <v>66</v>
      </c>
    </row>
    <row r="143" spans="1:42" ht="15.75" customHeight="1" x14ac:dyDescent="0.3">
      <c r="A143" s="16"/>
      <c r="B143" s="55">
        <v>13</v>
      </c>
      <c r="C143" s="56" t="s">
        <v>157</v>
      </c>
      <c r="D143" s="55">
        <v>4</v>
      </c>
      <c r="E143" s="55" t="s">
        <v>20</v>
      </c>
      <c r="F143" s="18" t="s">
        <v>23</v>
      </c>
      <c r="G143" s="18" t="s">
        <v>21</v>
      </c>
      <c r="H143" s="18" t="s">
        <v>21</v>
      </c>
      <c r="I143" s="18" t="s">
        <v>21</v>
      </c>
      <c r="J143" s="43" t="s">
        <v>20</v>
      </c>
      <c r="K143" s="43" t="s">
        <v>20</v>
      </c>
      <c r="L143" s="43" t="s">
        <v>21</v>
      </c>
      <c r="M143" s="18" t="s">
        <v>20</v>
      </c>
      <c r="N143" s="18" t="s">
        <v>20</v>
      </c>
      <c r="O143" s="18" t="s">
        <v>20</v>
      </c>
      <c r="P143" s="18" t="s">
        <v>20</v>
      </c>
      <c r="Q143" s="18" t="s">
        <v>20</v>
      </c>
      <c r="R143" s="18" t="s">
        <v>20</v>
      </c>
      <c r="S143" s="18" t="s">
        <v>20</v>
      </c>
      <c r="T143" s="18" t="s">
        <v>20</v>
      </c>
      <c r="U143" s="18" t="s">
        <v>21</v>
      </c>
      <c r="V143" s="37" t="s">
        <v>20</v>
      </c>
      <c r="W143" s="37" t="s">
        <v>20</v>
      </c>
      <c r="X143" s="37" t="s">
        <v>20</v>
      </c>
      <c r="Y143" s="18" t="s">
        <v>20</v>
      </c>
      <c r="Z143" s="18" t="s">
        <v>21</v>
      </c>
      <c r="AA143" s="20" t="s">
        <v>21</v>
      </c>
      <c r="AB143" s="20" t="s">
        <v>21</v>
      </c>
      <c r="AC143" s="20" t="s">
        <v>23</v>
      </c>
      <c r="AD143" s="18" t="s">
        <v>20</v>
      </c>
      <c r="AE143" s="18" t="s">
        <v>21</v>
      </c>
      <c r="AG143">
        <f>+COUNTIF(F143:AE143,"AD")</f>
        <v>0</v>
      </c>
      <c r="AH143">
        <f>+COUNTIF(F143:AE143,"A")</f>
        <v>15</v>
      </c>
      <c r="AI143">
        <f>+COUNTIF(F143:AE143,"b")</f>
        <v>9</v>
      </c>
      <c r="AJ143">
        <f>+COUNTIF(F143:AE143,"c")</f>
        <v>2</v>
      </c>
      <c r="AL143">
        <f>+$AG$5*AG143</f>
        <v>0</v>
      </c>
      <c r="AM143">
        <f>+$AH$5*AH143</f>
        <v>45</v>
      </c>
      <c r="AN143">
        <f>+$AI$5*AI143</f>
        <v>18</v>
      </c>
      <c r="AO143">
        <f>+$AJ$5*AJ143</f>
        <v>2</v>
      </c>
      <c r="AP143" s="73">
        <f>+SUM(AL143:AO143)</f>
        <v>65</v>
      </c>
    </row>
    <row r="144" spans="1:42" ht="15.75" customHeight="1" x14ac:dyDescent="0.3">
      <c r="A144" s="16"/>
      <c r="B144" s="55">
        <v>14</v>
      </c>
      <c r="C144" s="56" t="s">
        <v>168</v>
      </c>
      <c r="D144" s="55">
        <v>4</v>
      </c>
      <c r="E144" s="55" t="s">
        <v>20</v>
      </c>
      <c r="F144" s="18" t="s">
        <v>21</v>
      </c>
      <c r="G144" s="18" t="s">
        <v>23</v>
      </c>
      <c r="H144" s="18" t="s">
        <v>21</v>
      </c>
      <c r="I144" s="18" t="s">
        <v>21</v>
      </c>
      <c r="J144" s="43" t="s">
        <v>20</v>
      </c>
      <c r="K144" s="43" t="s">
        <v>21</v>
      </c>
      <c r="L144" s="43" t="s">
        <v>21</v>
      </c>
      <c r="M144" s="18" t="s">
        <v>21</v>
      </c>
      <c r="N144" s="18" t="s">
        <v>20</v>
      </c>
      <c r="O144" s="18" t="s">
        <v>21</v>
      </c>
      <c r="P144" s="18" t="s">
        <v>20</v>
      </c>
      <c r="Q144" s="18" t="s">
        <v>21</v>
      </c>
      <c r="R144" s="18" t="s">
        <v>20</v>
      </c>
      <c r="S144" s="18" t="s">
        <v>20</v>
      </c>
      <c r="T144" s="18" t="s">
        <v>20</v>
      </c>
      <c r="U144" s="18" t="s">
        <v>20</v>
      </c>
      <c r="V144" s="37" t="s">
        <v>20</v>
      </c>
      <c r="W144" s="37" t="s">
        <v>20</v>
      </c>
      <c r="X144" s="37" t="s">
        <v>20</v>
      </c>
      <c r="Y144" s="18" t="s">
        <v>21</v>
      </c>
      <c r="Z144" s="18" t="s">
        <v>21</v>
      </c>
      <c r="AA144" s="20" t="s">
        <v>21</v>
      </c>
      <c r="AB144" s="20" t="s">
        <v>21</v>
      </c>
      <c r="AC144" s="20" t="s">
        <v>21</v>
      </c>
      <c r="AD144" s="18" t="s">
        <v>20</v>
      </c>
      <c r="AE144" s="18" t="s">
        <v>21</v>
      </c>
      <c r="AG144">
        <f>+COUNTIF(F144:AE144,"AD")</f>
        <v>0</v>
      </c>
      <c r="AH144">
        <f>+COUNTIF(F144:AE144,"A")</f>
        <v>11</v>
      </c>
      <c r="AI144">
        <f>+COUNTIF(F144:AE144,"b")</f>
        <v>14</v>
      </c>
      <c r="AJ144">
        <f>+COUNTIF(F144:AE144,"c")</f>
        <v>1</v>
      </c>
      <c r="AL144">
        <f>+$AG$5*AG144</f>
        <v>0</v>
      </c>
      <c r="AM144">
        <f>+$AH$5*AH144</f>
        <v>33</v>
      </c>
      <c r="AN144">
        <f>+$AI$5*AI144</f>
        <v>28</v>
      </c>
      <c r="AO144">
        <f>+$AJ$5*AJ144</f>
        <v>1</v>
      </c>
      <c r="AP144" s="73">
        <f>+SUM(AL144:AO144)</f>
        <v>62</v>
      </c>
    </row>
    <row r="145" spans="1:42" ht="15.75" customHeight="1" x14ac:dyDescent="0.3">
      <c r="A145" s="16"/>
      <c r="B145" s="55">
        <v>15</v>
      </c>
      <c r="C145" s="56" t="s">
        <v>158</v>
      </c>
      <c r="D145" s="55">
        <v>4</v>
      </c>
      <c r="E145" s="55" t="s">
        <v>20</v>
      </c>
      <c r="F145" s="18" t="s">
        <v>21</v>
      </c>
      <c r="G145" s="18" t="s">
        <v>23</v>
      </c>
      <c r="H145" s="18" t="s">
        <v>21</v>
      </c>
      <c r="I145" s="18" t="s">
        <v>23</v>
      </c>
      <c r="J145" s="43" t="s">
        <v>20</v>
      </c>
      <c r="K145" s="43" t="s">
        <v>21</v>
      </c>
      <c r="L145" s="43" t="s">
        <v>21</v>
      </c>
      <c r="M145" s="18" t="s">
        <v>21</v>
      </c>
      <c r="N145" s="18" t="s">
        <v>21</v>
      </c>
      <c r="O145" s="18" t="s">
        <v>20</v>
      </c>
      <c r="P145" s="18" t="s">
        <v>21</v>
      </c>
      <c r="Q145" s="18" t="s">
        <v>21</v>
      </c>
      <c r="R145" s="18" t="s">
        <v>21</v>
      </c>
      <c r="S145" s="18" t="s">
        <v>21</v>
      </c>
      <c r="T145" s="18" t="s">
        <v>20</v>
      </c>
      <c r="U145" s="18" t="s">
        <v>20</v>
      </c>
      <c r="V145" s="37" t="s">
        <v>20</v>
      </c>
      <c r="W145" s="37" t="s">
        <v>20</v>
      </c>
      <c r="X145" s="37" t="s">
        <v>20</v>
      </c>
      <c r="Y145" s="18" t="s">
        <v>20</v>
      </c>
      <c r="Z145" s="18" t="s">
        <v>21</v>
      </c>
      <c r="AA145" s="20" t="s">
        <v>20</v>
      </c>
      <c r="AB145" s="20" t="s">
        <v>20</v>
      </c>
      <c r="AC145" s="20" t="s">
        <v>20</v>
      </c>
      <c r="AD145" s="18" t="s">
        <v>23</v>
      </c>
      <c r="AE145" s="18" t="s">
        <v>21</v>
      </c>
      <c r="AG145">
        <f>+COUNTIF(F145:AE145,"AD")</f>
        <v>0</v>
      </c>
      <c r="AH145">
        <f>+COUNTIF(F145:AE145,"A")</f>
        <v>11</v>
      </c>
      <c r="AI145">
        <f>+COUNTIF(F145:AE145,"b")</f>
        <v>12</v>
      </c>
      <c r="AJ145">
        <f>+COUNTIF(F145:AE145,"c")</f>
        <v>3</v>
      </c>
      <c r="AL145">
        <f>+$AG$5*AG145</f>
        <v>0</v>
      </c>
      <c r="AM145">
        <f>+$AH$5*AH145</f>
        <v>33</v>
      </c>
      <c r="AN145">
        <f>+$AI$5*AI145</f>
        <v>24</v>
      </c>
      <c r="AO145">
        <f>+$AJ$5*AJ145</f>
        <v>3</v>
      </c>
      <c r="AP145" s="73">
        <f>+SUM(AL145:AO145)</f>
        <v>60</v>
      </c>
    </row>
    <row r="146" spans="1:42" ht="15.75" customHeight="1" x14ac:dyDescent="0.3">
      <c r="A146" s="16"/>
      <c r="B146" s="55">
        <v>16</v>
      </c>
      <c r="C146" s="56" t="s">
        <v>165</v>
      </c>
      <c r="D146" s="55">
        <v>4</v>
      </c>
      <c r="E146" s="55" t="s">
        <v>20</v>
      </c>
      <c r="F146" s="18" t="s">
        <v>23</v>
      </c>
      <c r="G146" s="18" t="s">
        <v>21</v>
      </c>
      <c r="H146" s="18" t="s">
        <v>21</v>
      </c>
      <c r="I146" s="18" t="s">
        <v>21</v>
      </c>
      <c r="J146" s="43" t="s">
        <v>20</v>
      </c>
      <c r="K146" s="43" t="s">
        <v>20</v>
      </c>
      <c r="L146" s="43" t="s">
        <v>21</v>
      </c>
      <c r="M146" s="18" t="s">
        <v>21</v>
      </c>
      <c r="N146" s="18" t="s">
        <v>21</v>
      </c>
      <c r="O146" s="18" t="s">
        <v>20</v>
      </c>
      <c r="P146" s="18" t="s">
        <v>21</v>
      </c>
      <c r="Q146" s="18" t="s">
        <v>21</v>
      </c>
      <c r="R146" s="18" t="s">
        <v>21</v>
      </c>
      <c r="S146" s="18" t="s">
        <v>20</v>
      </c>
      <c r="T146" s="18" t="s">
        <v>20</v>
      </c>
      <c r="U146" s="18" t="s">
        <v>21</v>
      </c>
      <c r="V146" s="37" t="s">
        <v>21</v>
      </c>
      <c r="W146" s="37" t="s">
        <v>21</v>
      </c>
      <c r="X146" s="37" t="s">
        <v>21</v>
      </c>
      <c r="Y146" s="18" t="s">
        <v>20</v>
      </c>
      <c r="Z146" s="18" t="s">
        <v>20</v>
      </c>
      <c r="AA146" s="20" t="s">
        <v>21</v>
      </c>
      <c r="AB146" s="20" t="s">
        <v>21</v>
      </c>
      <c r="AC146" s="20" t="s">
        <v>20</v>
      </c>
      <c r="AD146" s="18" t="s">
        <v>20</v>
      </c>
      <c r="AE146" s="18" t="s">
        <v>21</v>
      </c>
      <c r="AG146">
        <f>+COUNTIF(F146:AE146,"AD")</f>
        <v>0</v>
      </c>
      <c r="AH146">
        <f>+COUNTIF(F146:AE146,"A")</f>
        <v>9</v>
      </c>
      <c r="AI146">
        <f>+COUNTIF(F146:AE146,"b")</f>
        <v>16</v>
      </c>
      <c r="AJ146">
        <f>+COUNTIF(F146:AE146,"c")</f>
        <v>1</v>
      </c>
      <c r="AL146">
        <f>+$AG$5*AG146</f>
        <v>0</v>
      </c>
      <c r="AM146">
        <f>+$AH$5*AH146</f>
        <v>27</v>
      </c>
      <c r="AN146">
        <f>+$AI$5*AI146</f>
        <v>32</v>
      </c>
      <c r="AO146">
        <f>+$AJ$5*AJ146</f>
        <v>1</v>
      </c>
      <c r="AP146" s="73">
        <f>+SUM(AL146:AO146)</f>
        <v>60</v>
      </c>
    </row>
    <row r="147" spans="1:42" ht="15.75" customHeight="1" x14ac:dyDescent="0.3">
      <c r="A147" s="16"/>
      <c r="B147" s="55">
        <v>17</v>
      </c>
      <c r="C147" s="56" t="s">
        <v>151</v>
      </c>
      <c r="D147" s="55">
        <v>4</v>
      </c>
      <c r="E147" s="55" t="s">
        <v>20</v>
      </c>
      <c r="F147" s="18" t="s">
        <v>23</v>
      </c>
      <c r="G147" s="18" t="s">
        <v>21</v>
      </c>
      <c r="H147" s="18" t="s">
        <v>23</v>
      </c>
      <c r="I147" s="18" t="s">
        <v>21</v>
      </c>
      <c r="J147" s="43" t="s">
        <v>21</v>
      </c>
      <c r="K147" s="43" t="s">
        <v>21</v>
      </c>
      <c r="L147" s="43" t="s">
        <v>21</v>
      </c>
      <c r="M147" s="18" t="s">
        <v>21</v>
      </c>
      <c r="N147" s="18" t="s">
        <v>20</v>
      </c>
      <c r="O147" s="18" t="s">
        <v>20</v>
      </c>
      <c r="P147" s="18" t="s">
        <v>21</v>
      </c>
      <c r="Q147" s="18" t="s">
        <v>21</v>
      </c>
      <c r="R147" s="18" t="s">
        <v>21</v>
      </c>
      <c r="S147" s="18" t="s">
        <v>20</v>
      </c>
      <c r="T147" s="18" t="s">
        <v>20</v>
      </c>
      <c r="U147" s="18" t="s">
        <v>21</v>
      </c>
      <c r="V147" s="37" t="s">
        <v>20</v>
      </c>
      <c r="W147" s="46" t="s">
        <v>21</v>
      </c>
      <c r="X147" s="37" t="s">
        <v>20</v>
      </c>
      <c r="Y147" s="18" t="s">
        <v>21</v>
      </c>
      <c r="Z147" s="18" t="s">
        <v>23</v>
      </c>
      <c r="AA147" s="20" t="s">
        <v>21</v>
      </c>
      <c r="AB147" s="20" t="s">
        <v>21</v>
      </c>
      <c r="AC147" s="20" t="s">
        <v>21</v>
      </c>
      <c r="AD147" s="29" t="s">
        <v>21</v>
      </c>
      <c r="AE147" s="29" t="s">
        <v>21</v>
      </c>
      <c r="AG147">
        <f>+COUNTIF(F147:AE147,"AD")</f>
        <v>0</v>
      </c>
      <c r="AH147">
        <f>+COUNTIF(F147:AE147,"A")</f>
        <v>6</v>
      </c>
      <c r="AI147">
        <f>+COUNTIF(F147:AE147,"b")</f>
        <v>17</v>
      </c>
      <c r="AJ147">
        <f>+COUNTIF(F147:AE147,"c")</f>
        <v>3</v>
      </c>
      <c r="AL147">
        <f>+$AG$5*AG147</f>
        <v>0</v>
      </c>
      <c r="AM147">
        <f>+$AH$5*AH147</f>
        <v>18</v>
      </c>
      <c r="AN147">
        <f>+$AI$5*AI147</f>
        <v>34</v>
      </c>
      <c r="AO147">
        <f>+$AJ$5*AJ147</f>
        <v>3</v>
      </c>
      <c r="AP147" s="73">
        <f>+SUM(AL147:AO147)</f>
        <v>55</v>
      </c>
    </row>
    <row r="148" spans="1:42" ht="15.75" customHeight="1" x14ac:dyDescent="0.3">
      <c r="A148" s="16"/>
      <c r="B148" s="55">
        <v>18</v>
      </c>
      <c r="C148" s="56" t="s">
        <v>164</v>
      </c>
      <c r="D148" s="55">
        <v>4</v>
      </c>
      <c r="E148" s="55" t="s">
        <v>20</v>
      </c>
      <c r="F148" s="18" t="s">
        <v>23</v>
      </c>
      <c r="G148" s="18" t="s">
        <v>23</v>
      </c>
      <c r="H148" s="18" t="s">
        <v>23</v>
      </c>
      <c r="I148" s="18" t="s">
        <v>21</v>
      </c>
      <c r="J148" s="43" t="s">
        <v>21</v>
      </c>
      <c r="K148" s="43" t="s">
        <v>21</v>
      </c>
      <c r="L148" s="43" t="s">
        <v>21</v>
      </c>
      <c r="M148" s="18" t="s">
        <v>21</v>
      </c>
      <c r="N148" s="18" t="s">
        <v>20</v>
      </c>
      <c r="O148" s="18" t="s">
        <v>21</v>
      </c>
      <c r="P148" s="18" t="s">
        <v>20</v>
      </c>
      <c r="Q148" s="18" t="s">
        <v>20</v>
      </c>
      <c r="R148" s="18" t="s">
        <v>20</v>
      </c>
      <c r="S148" s="18" t="s">
        <v>21</v>
      </c>
      <c r="T148" s="18" t="s">
        <v>21</v>
      </c>
      <c r="U148" s="18" t="s">
        <v>21</v>
      </c>
      <c r="V148" s="37" t="s">
        <v>20</v>
      </c>
      <c r="W148" s="37" t="s">
        <v>20</v>
      </c>
      <c r="X148" s="37" t="s">
        <v>20</v>
      </c>
      <c r="Y148" s="18" t="s">
        <v>21</v>
      </c>
      <c r="Z148" s="18" t="s">
        <v>21</v>
      </c>
      <c r="AA148" s="20" t="s">
        <v>21</v>
      </c>
      <c r="AB148" s="20" t="s">
        <v>21</v>
      </c>
      <c r="AC148" s="20" t="s">
        <v>21</v>
      </c>
      <c r="AD148" s="18" t="s">
        <v>23</v>
      </c>
      <c r="AE148" s="18" t="s">
        <v>21</v>
      </c>
      <c r="AG148">
        <f>+COUNTIF(F148:AE148,"AD")</f>
        <v>0</v>
      </c>
      <c r="AH148">
        <f>+COUNTIF(F148:AE148,"A")</f>
        <v>7</v>
      </c>
      <c r="AI148">
        <f>+COUNTIF(F148:AE148,"b")</f>
        <v>15</v>
      </c>
      <c r="AJ148">
        <f>+COUNTIF(F148:AE148,"c")</f>
        <v>4</v>
      </c>
      <c r="AL148">
        <f>+$AG$5*AG148</f>
        <v>0</v>
      </c>
      <c r="AM148">
        <f>+$AH$5*AH148</f>
        <v>21</v>
      </c>
      <c r="AN148">
        <f>+$AI$5*AI148</f>
        <v>30</v>
      </c>
      <c r="AO148">
        <f>+$AJ$5*AJ148</f>
        <v>4</v>
      </c>
      <c r="AP148" s="73">
        <f>+SUM(AL148:AO148)</f>
        <v>55</v>
      </c>
    </row>
    <row r="149" spans="1:42" ht="15.75" customHeight="1" x14ac:dyDescent="0.3">
      <c r="A149" s="16"/>
      <c r="B149" s="55">
        <v>19</v>
      </c>
      <c r="C149" s="56" t="s">
        <v>166</v>
      </c>
      <c r="D149" s="55">
        <v>4</v>
      </c>
      <c r="E149" s="55" t="s">
        <v>20</v>
      </c>
      <c r="F149" s="18" t="s">
        <v>23</v>
      </c>
      <c r="G149" s="18" t="s">
        <v>23</v>
      </c>
      <c r="H149" s="18" t="s">
        <v>23</v>
      </c>
      <c r="I149" s="18" t="s">
        <v>23</v>
      </c>
      <c r="J149" s="43" t="s">
        <v>21</v>
      </c>
      <c r="K149" s="43" t="s">
        <v>21</v>
      </c>
      <c r="L149" s="43" t="s">
        <v>21</v>
      </c>
      <c r="M149" s="18" t="s">
        <v>21</v>
      </c>
      <c r="N149" s="18" t="s">
        <v>21</v>
      </c>
      <c r="O149" s="18" t="s">
        <v>21</v>
      </c>
      <c r="P149" s="18" t="s">
        <v>21</v>
      </c>
      <c r="Q149" s="18" t="s">
        <v>21</v>
      </c>
      <c r="R149" s="18" t="s">
        <v>21</v>
      </c>
      <c r="S149" s="18" t="s">
        <v>21</v>
      </c>
      <c r="T149" s="18" t="s">
        <v>20</v>
      </c>
      <c r="U149" s="18" t="s">
        <v>21</v>
      </c>
      <c r="V149" s="37" t="s">
        <v>20</v>
      </c>
      <c r="W149" s="37" t="s">
        <v>20</v>
      </c>
      <c r="X149" s="37" t="s">
        <v>20</v>
      </c>
      <c r="Y149" s="18" t="s">
        <v>20</v>
      </c>
      <c r="Z149" s="18" t="s">
        <v>21</v>
      </c>
      <c r="AA149" s="20" t="s">
        <v>21</v>
      </c>
      <c r="AB149" s="20" t="s">
        <v>20</v>
      </c>
      <c r="AC149" s="20" t="s">
        <v>21</v>
      </c>
      <c r="AD149" s="18" t="s">
        <v>21</v>
      </c>
      <c r="AE149" s="18" t="s">
        <v>21</v>
      </c>
      <c r="AG149">
        <f>+COUNTIF(F149:AE149,"AD")</f>
        <v>0</v>
      </c>
      <c r="AH149">
        <f>+COUNTIF(F149:AE149,"A")</f>
        <v>6</v>
      </c>
      <c r="AI149">
        <f>+COUNTIF(F149:AE149,"b")</f>
        <v>16</v>
      </c>
      <c r="AJ149">
        <f>+COUNTIF(F149:AE149,"c")</f>
        <v>4</v>
      </c>
      <c r="AL149">
        <f>+$AG$5*AG149</f>
        <v>0</v>
      </c>
      <c r="AM149">
        <f>+$AH$5*AH149</f>
        <v>18</v>
      </c>
      <c r="AN149">
        <f>+$AI$5*AI149</f>
        <v>32</v>
      </c>
      <c r="AO149">
        <f>+$AJ$5*AJ149</f>
        <v>4</v>
      </c>
      <c r="AP149" s="73">
        <f>+SUM(AL149:AO149)</f>
        <v>54</v>
      </c>
    </row>
    <row r="150" spans="1:42" ht="15.75" customHeight="1" thickBot="1" x14ac:dyDescent="0.35">
      <c r="A150" s="16"/>
      <c r="B150" s="57">
        <v>20</v>
      </c>
      <c r="C150" s="56" t="s">
        <v>159</v>
      </c>
      <c r="D150" s="55">
        <v>4</v>
      </c>
      <c r="E150" s="55" t="s">
        <v>20</v>
      </c>
      <c r="F150" s="18" t="s">
        <v>23</v>
      </c>
      <c r="G150" s="18" t="s">
        <v>23</v>
      </c>
      <c r="H150" s="18" t="s">
        <v>23</v>
      </c>
      <c r="I150" s="18" t="s">
        <v>21</v>
      </c>
      <c r="J150" s="43" t="s">
        <v>20</v>
      </c>
      <c r="K150" s="43" t="s">
        <v>21</v>
      </c>
      <c r="L150" s="43" t="s">
        <v>21</v>
      </c>
      <c r="M150" s="18" t="s">
        <v>21</v>
      </c>
      <c r="N150" s="18" t="s">
        <v>21</v>
      </c>
      <c r="O150" s="18" t="s">
        <v>21</v>
      </c>
      <c r="P150" s="18" t="s">
        <v>21</v>
      </c>
      <c r="Q150" s="18" t="s">
        <v>21</v>
      </c>
      <c r="R150" s="18" t="s">
        <v>21</v>
      </c>
      <c r="S150" s="18" t="s">
        <v>20</v>
      </c>
      <c r="T150" s="18" t="s">
        <v>21</v>
      </c>
      <c r="U150" s="18" t="s">
        <v>20</v>
      </c>
      <c r="V150" s="37" t="s">
        <v>20</v>
      </c>
      <c r="W150" s="37" t="s">
        <v>20</v>
      </c>
      <c r="X150" s="37" t="s">
        <v>20</v>
      </c>
      <c r="Y150" s="18" t="s">
        <v>21</v>
      </c>
      <c r="Z150" s="18" t="s">
        <v>21</v>
      </c>
      <c r="AA150" s="20" t="s">
        <v>21</v>
      </c>
      <c r="AB150" s="20" t="s">
        <v>21</v>
      </c>
      <c r="AC150" s="20" t="s">
        <v>23</v>
      </c>
      <c r="AD150" s="18" t="s">
        <v>23</v>
      </c>
      <c r="AE150" s="18" t="s">
        <v>21</v>
      </c>
      <c r="AG150">
        <f>+COUNTIF(F150:AE150,"AD")</f>
        <v>0</v>
      </c>
      <c r="AH150">
        <f>+COUNTIF(F150:AE150,"A")</f>
        <v>6</v>
      </c>
      <c r="AI150">
        <f>+COUNTIF(F150:AE150,"b")</f>
        <v>15</v>
      </c>
      <c r="AJ150">
        <f>+COUNTIF(F150:AE150,"c")</f>
        <v>5</v>
      </c>
      <c r="AL150">
        <f>+$AG$5*AG150</f>
        <v>0</v>
      </c>
      <c r="AM150">
        <f>+$AH$5*AH150</f>
        <v>18</v>
      </c>
      <c r="AN150">
        <f>+$AI$5*AI150</f>
        <v>30</v>
      </c>
      <c r="AO150">
        <f>+$AJ$5*AJ150</f>
        <v>5</v>
      </c>
      <c r="AP150" s="73">
        <f>+SUM(AL150:AO150)</f>
        <v>53</v>
      </c>
    </row>
    <row r="151" spans="1:42" ht="15.75" customHeight="1" x14ac:dyDescent="0.3">
      <c r="A151" s="16"/>
      <c r="B151" s="55">
        <v>21</v>
      </c>
      <c r="C151" s="56" t="s">
        <v>155</v>
      </c>
      <c r="D151" s="55">
        <v>4</v>
      </c>
      <c r="E151" s="55" t="s">
        <v>20</v>
      </c>
      <c r="F151" s="18" t="s">
        <v>21</v>
      </c>
      <c r="G151" s="18" t="s">
        <v>21</v>
      </c>
      <c r="H151" s="18" t="s">
        <v>23</v>
      </c>
      <c r="I151" s="18" t="s">
        <v>23</v>
      </c>
      <c r="J151" s="43" t="s">
        <v>20</v>
      </c>
      <c r="K151" s="43" t="s">
        <v>20</v>
      </c>
      <c r="L151" s="43" t="s">
        <v>20</v>
      </c>
      <c r="M151" s="18" t="s">
        <v>20</v>
      </c>
      <c r="N151" s="18" t="s">
        <v>21</v>
      </c>
      <c r="O151" s="18" t="s">
        <v>21</v>
      </c>
      <c r="P151" s="18" t="s">
        <v>23</v>
      </c>
      <c r="Q151" s="18" t="s">
        <v>21</v>
      </c>
      <c r="R151" s="18" t="s">
        <v>23</v>
      </c>
      <c r="S151" s="18" t="s">
        <v>21</v>
      </c>
      <c r="T151" s="18" t="s">
        <v>20</v>
      </c>
      <c r="U151" s="18" t="s">
        <v>21</v>
      </c>
      <c r="V151" s="37" t="s">
        <v>20</v>
      </c>
      <c r="W151" s="37" t="s">
        <v>21</v>
      </c>
      <c r="X151" s="37" t="s">
        <v>20</v>
      </c>
      <c r="Y151" s="18" t="s">
        <v>21</v>
      </c>
      <c r="Z151" s="18" t="s">
        <v>20</v>
      </c>
      <c r="AA151" s="20" t="s">
        <v>21</v>
      </c>
      <c r="AB151" s="20" t="s">
        <v>21</v>
      </c>
      <c r="AC151" s="20" t="s">
        <v>21</v>
      </c>
      <c r="AD151" s="29" t="s">
        <v>55</v>
      </c>
      <c r="AE151" s="29" t="s">
        <v>55</v>
      </c>
      <c r="AG151">
        <f>+COUNTIF(F151:AE151,"AD")</f>
        <v>0</v>
      </c>
      <c r="AH151">
        <f>+COUNTIF(F151:AE151,"A")</f>
        <v>8</v>
      </c>
      <c r="AI151">
        <f>+COUNTIF(F151:AE151,"b")</f>
        <v>12</v>
      </c>
      <c r="AJ151">
        <f>+COUNTIF(F151:AE151,"c")</f>
        <v>4</v>
      </c>
      <c r="AL151">
        <f>+$AG$5*AG151</f>
        <v>0</v>
      </c>
      <c r="AM151">
        <f>+$AH$5*AH151</f>
        <v>24</v>
      </c>
      <c r="AN151">
        <f>+$AI$5*AI151</f>
        <v>24</v>
      </c>
      <c r="AO151">
        <f>+$AJ$5*AJ151</f>
        <v>4</v>
      </c>
      <c r="AP151" s="73">
        <f>+SUM(AL151:AO151)</f>
        <v>52</v>
      </c>
    </row>
    <row r="152" spans="1:42" ht="15.75" customHeight="1" x14ac:dyDescent="0.3">
      <c r="A152" s="16"/>
      <c r="B152" s="55">
        <v>22</v>
      </c>
      <c r="C152" s="56" t="s">
        <v>161</v>
      </c>
      <c r="D152" s="55">
        <v>4</v>
      </c>
      <c r="E152" s="55" t="s">
        <v>20</v>
      </c>
      <c r="F152" s="18" t="s">
        <v>21</v>
      </c>
      <c r="G152" s="18" t="s">
        <v>21</v>
      </c>
      <c r="H152" s="18" t="s">
        <v>21</v>
      </c>
      <c r="I152" s="18" t="s">
        <v>21</v>
      </c>
      <c r="J152" s="43" t="s">
        <v>21</v>
      </c>
      <c r="K152" s="43" t="s">
        <v>21</v>
      </c>
      <c r="L152" s="43" t="s">
        <v>21</v>
      </c>
      <c r="M152" s="18" t="s">
        <v>23</v>
      </c>
      <c r="N152" s="18" t="s">
        <v>23</v>
      </c>
      <c r="O152" s="18" t="s">
        <v>21</v>
      </c>
      <c r="P152" s="18" t="s">
        <v>20</v>
      </c>
      <c r="Q152" s="18" t="s">
        <v>21</v>
      </c>
      <c r="R152" s="18" t="s">
        <v>21</v>
      </c>
      <c r="S152" s="18" t="s">
        <v>20</v>
      </c>
      <c r="T152" s="18" t="s">
        <v>21</v>
      </c>
      <c r="U152" s="18" t="s">
        <v>20</v>
      </c>
      <c r="V152" s="37" t="s">
        <v>21</v>
      </c>
      <c r="W152" s="37" t="s">
        <v>21</v>
      </c>
      <c r="X152" s="37" t="s">
        <v>21</v>
      </c>
      <c r="Y152" s="18" t="s">
        <v>21</v>
      </c>
      <c r="Z152" s="18" t="s">
        <v>21</v>
      </c>
      <c r="AA152" s="20" t="s">
        <v>21</v>
      </c>
      <c r="AB152" s="20" t="s">
        <v>21</v>
      </c>
      <c r="AC152" s="20" t="s">
        <v>23</v>
      </c>
      <c r="AD152" s="18" t="s">
        <v>23</v>
      </c>
      <c r="AE152" s="18" t="s">
        <v>21</v>
      </c>
      <c r="AG152">
        <f>+COUNTIF(F152:AE152,"AD")</f>
        <v>0</v>
      </c>
      <c r="AH152">
        <f>+COUNTIF(F152:AE152,"A")</f>
        <v>3</v>
      </c>
      <c r="AI152">
        <f>+COUNTIF(F152:AE152,"b")</f>
        <v>19</v>
      </c>
      <c r="AJ152">
        <f>+COUNTIF(F152:AE152,"c")</f>
        <v>4</v>
      </c>
      <c r="AL152">
        <f>+$AG$5*AG152</f>
        <v>0</v>
      </c>
      <c r="AM152">
        <f>+$AH$5*AH152</f>
        <v>9</v>
      </c>
      <c r="AN152">
        <f>+$AI$5*AI152</f>
        <v>38</v>
      </c>
      <c r="AO152">
        <f>+$AJ$5*AJ152</f>
        <v>4</v>
      </c>
      <c r="AP152" s="73">
        <f>+SUM(AL152:AO152)</f>
        <v>51</v>
      </c>
    </row>
    <row r="153" spans="1:42" ht="15.75" customHeight="1" thickBot="1" x14ac:dyDescent="0.35">
      <c r="A153" s="16"/>
      <c r="B153" s="57">
        <v>23</v>
      </c>
      <c r="C153" s="58" t="s">
        <v>160</v>
      </c>
      <c r="D153" s="57">
        <v>4</v>
      </c>
      <c r="E153" s="57" t="s">
        <v>20</v>
      </c>
      <c r="F153" s="21" t="s">
        <v>23</v>
      </c>
      <c r="G153" s="21" t="s">
        <v>23</v>
      </c>
      <c r="H153" s="21" t="s">
        <v>23</v>
      </c>
      <c r="I153" s="21" t="s">
        <v>21</v>
      </c>
      <c r="J153" s="45" t="s">
        <v>21</v>
      </c>
      <c r="K153" s="45" t="s">
        <v>21</v>
      </c>
      <c r="L153" s="45" t="s">
        <v>21</v>
      </c>
      <c r="M153" s="21" t="s">
        <v>21</v>
      </c>
      <c r="N153" s="21" t="s">
        <v>20</v>
      </c>
      <c r="O153" s="21" t="s">
        <v>21</v>
      </c>
      <c r="P153" s="21" t="s">
        <v>21</v>
      </c>
      <c r="Q153" s="21" t="s">
        <v>21</v>
      </c>
      <c r="R153" s="21" t="s">
        <v>21</v>
      </c>
      <c r="S153" s="21" t="s">
        <v>21</v>
      </c>
      <c r="T153" s="21" t="s">
        <v>21</v>
      </c>
      <c r="U153" s="21" t="s">
        <v>21</v>
      </c>
      <c r="V153" s="38" t="s">
        <v>20</v>
      </c>
      <c r="W153" s="38" t="s">
        <v>20</v>
      </c>
      <c r="X153" s="38" t="s">
        <v>21</v>
      </c>
      <c r="Y153" s="21" t="s">
        <v>21</v>
      </c>
      <c r="Z153" s="21" t="s">
        <v>21</v>
      </c>
      <c r="AA153" s="23" t="s">
        <v>21</v>
      </c>
      <c r="AB153" s="23" t="s">
        <v>21</v>
      </c>
      <c r="AC153" s="23" t="s">
        <v>23</v>
      </c>
      <c r="AD153" s="21" t="s">
        <v>23</v>
      </c>
      <c r="AE153" s="21" t="s">
        <v>21</v>
      </c>
      <c r="AG153">
        <f>+COUNTIF(F153:AE153,"AD")</f>
        <v>0</v>
      </c>
      <c r="AH153">
        <f>+COUNTIF(F153:AE153,"A")</f>
        <v>3</v>
      </c>
      <c r="AI153">
        <f>+COUNTIF(F153:AE153,"b")</f>
        <v>18</v>
      </c>
      <c r="AJ153">
        <f>+COUNTIF(F153:AE153,"c")</f>
        <v>5</v>
      </c>
      <c r="AL153">
        <f>+$AG$5*AG153</f>
        <v>0</v>
      </c>
      <c r="AM153">
        <f>+$AH$5*AH153</f>
        <v>9</v>
      </c>
      <c r="AN153">
        <f>+$AI$5*AI153</f>
        <v>36</v>
      </c>
      <c r="AO153">
        <f>+$AJ$5*AJ153</f>
        <v>5</v>
      </c>
      <c r="AP153" s="73">
        <f>+SUM(AL153:AO153)</f>
        <v>50</v>
      </c>
    </row>
    <row r="154" spans="1:42" ht="15.75" hidden="1" customHeight="1" x14ac:dyDescent="0.3">
      <c r="A154" s="16"/>
      <c r="B154" s="59">
        <v>1</v>
      </c>
      <c r="C154" s="60" t="s">
        <v>172</v>
      </c>
      <c r="D154" s="59">
        <v>4</v>
      </c>
      <c r="E154" s="59" t="s">
        <v>21</v>
      </c>
      <c r="F154" s="24" t="s">
        <v>23</v>
      </c>
      <c r="G154" s="24" t="s">
        <v>21</v>
      </c>
      <c r="H154" s="24" t="s">
        <v>23</v>
      </c>
      <c r="I154" s="24" t="s">
        <v>23</v>
      </c>
      <c r="J154" s="42" t="s">
        <v>20</v>
      </c>
      <c r="K154" s="42" t="s">
        <v>21</v>
      </c>
      <c r="L154" s="42" t="s">
        <v>21</v>
      </c>
      <c r="M154" s="24" t="s">
        <v>21</v>
      </c>
      <c r="N154" s="24" t="s">
        <v>20</v>
      </c>
      <c r="O154" s="24" t="s">
        <v>20</v>
      </c>
      <c r="P154" s="24" t="s">
        <v>20</v>
      </c>
      <c r="Q154" s="24" t="s">
        <v>21</v>
      </c>
      <c r="R154" s="24" t="s">
        <v>21</v>
      </c>
      <c r="S154" s="24" t="s">
        <v>21</v>
      </c>
      <c r="T154" s="24" t="s">
        <v>20</v>
      </c>
      <c r="U154" s="24" t="s">
        <v>20</v>
      </c>
      <c r="V154" s="39" t="s">
        <v>20</v>
      </c>
      <c r="W154" s="39" t="s">
        <v>20</v>
      </c>
      <c r="X154" s="39" t="s">
        <v>20</v>
      </c>
      <c r="Y154" s="24" t="s">
        <v>23</v>
      </c>
      <c r="Z154" s="24" t="s">
        <v>21</v>
      </c>
      <c r="AA154" s="27" t="s">
        <v>21</v>
      </c>
      <c r="AB154" s="27" t="s">
        <v>20</v>
      </c>
      <c r="AC154" s="27" t="s">
        <v>21</v>
      </c>
      <c r="AD154" s="24" t="s">
        <v>23</v>
      </c>
      <c r="AE154" s="24" t="s">
        <v>21</v>
      </c>
      <c r="AG154">
        <f t="shared" si="9"/>
        <v>0</v>
      </c>
      <c r="AH154">
        <f t="shared" si="10"/>
        <v>10</v>
      </c>
      <c r="AI154">
        <f t="shared" si="11"/>
        <v>11</v>
      </c>
      <c r="AJ154">
        <f t="shared" si="12"/>
        <v>5</v>
      </c>
      <c r="AL154">
        <f t="shared" si="13"/>
        <v>0</v>
      </c>
      <c r="AM154">
        <f t="shared" si="14"/>
        <v>30</v>
      </c>
      <c r="AN154">
        <f t="shared" si="15"/>
        <v>22</v>
      </c>
      <c r="AO154">
        <f t="shared" si="16"/>
        <v>5</v>
      </c>
      <c r="AP154">
        <f t="shared" si="17"/>
        <v>57</v>
      </c>
    </row>
    <row r="155" spans="1:42" ht="15.75" hidden="1" customHeight="1" x14ac:dyDescent="0.3">
      <c r="A155" s="16"/>
      <c r="B155" s="55">
        <v>2</v>
      </c>
      <c r="C155" s="56" t="s">
        <v>173</v>
      </c>
      <c r="D155" s="55">
        <v>4</v>
      </c>
      <c r="E155" s="55" t="s">
        <v>21</v>
      </c>
      <c r="F155" s="18" t="s">
        <v>21</v>
      </c>
      <c r="G155" s="18" t="s">
        <v>21</v>
      </c>
      <c r="H155" s="18" t="s">
        <v>21</v>
      </c>
      <c r="I155" s="18" t="s">
        <v>21</v>
      </c>
      <c r="J155" s="43" t="s">
        <v>21</v>
      </c>
      <c r="K155" s="43" t="s">
        <v>21</v>
      </c>
      <c r="L155" s="43" t="s">
        <v>21</v>
      </c>
      <c r="M155" s="18" t="s">
        <v>21</v>
      </c>
      <c r="N155" s="18" t="s">
        <v>20</v>
      </c>
      <c r="O155" s="18" t="s">
        <v>20</v>
      </c>
      <c r="P155" s="18" t="s">
        <v>21</v>
      </c>
      <c r="Q155" s="18" t="s">
        <v>21</v>
      </c>
      <c r="R155" s="18" t="s">
        <v>21</v>
      </c>
      <c r="S155" s="18" t="s">
        <v>20</v>
      </c>
      <c r="T155" s="18" t="s">
        <v>21</v>
      </c>
      <c r="U155" s="18" t="s">
        <v>21</v>
      </c>
      <c r="V155" s="37" t="s">
        <v>21</v>
      </c>
      <c r="W155" s="37" t="s">
        <v>20</v>
      </c>
      <c r="X155" s="37" t="s">
        <v>21</v>
      </c>
      <c r="Y155" s="18" t="s">
        <v>20</v>
      </c>
      <c r="Z155" s="18" t="s">
        <v>20</v>
      </c>
      <c r="AA155" s="20" t="s">
        <v>20</v>
      </c>
      <c r="AB155" s="20" t="s">
        <v>20</v>
      </c>
      <c r="AC155" s="20" t="s">
        <v>20</v>
      </c>
      <c r="AD155" s="18" t="s">
        <v>20</v>
      </c>
      <c r="AE155" s="18" t="s">
        <v>21</v>
      </c>
      <c r="AG155">
        <f t="shared" ref="AG155:AG218" si="18">+COUNTIF(F155:AE155,"AD")</f>
        <v>0</v>
      </c>
      <c r="AH155">
        <f t="shared" ref="AH155:AH218" si="19">+COUNTIF(F155:AE155,"A")</f>
        <v>10</v>
      </c>
      <c r="AI155">
        <f t="shared" ref="AI155:AI218" si="20">+COUNTIF(F155:AE155,"b")</f>
        <v>16</v>
      </c>
      <c r="AJ155">
        <f t="shared" ref="AJ155:AJ218" si="21">+COUNTIF(F155:AE155,"c")</f>
        <v>0</v>
      </c>
      <c r="AL155">
        <f t="shared" ref="AL155:AL218" si="22">+$AG$5*AG155</f>
        <v>0</v>
      </c>
      <c r="AM155">
        <f t="shared" ref="AM155:AM218" si="23">+$AH$5*AH155</f>
        <v>30</v>
      </c>
      <c r="AN155">
        <f t="shared" ref="AN155:AN218" si="24">+$AI$5*AI155</f>
        <v>32</v>
      </c>
      <c r="AO155">
        <f t="shared" ref="AO155:AO218" si="25">+$AJ$5*AJ155</f>
        <v>0</v>
      </c>
      <c r="AP155">
        <f t="shared" ref="AP155:AP218" si="26">+SUM(AL155:AO155)</f>
        <v>62</v>
      </c>
    </row>
    <row r="156" spans="1:42" ht="15.75" hidden="1" customHeight="1" x14ac:dyDescent="0.3">
      <c r="A156" s="16"/>
      <c r="B156" s="55">
        <v>3</v>
      </c>
      <c r="C156" s="56" t="s">
        <v>174</v>
      </c>
      <c r="D156" s="55">
        <v>4</v>
      </c>
      <c r="E156" s="55" t="s">
        <v>21</v>
      </c>
      <c r="F156" s="18" t="s">
        <v>39</v>
      </c>
      <c r="G156" s="18" t="s">
        <v>20</v>
      </c>
      <c r="H156" s="18" t="s">
        <v>39</v>
      </c>
      <c r="I156" s="18" t="s">
        <v>20</v>
      </c>
      <c r="J156" s="43" t="s">
        <v>20</v>
      </c>
      <c r="K156" s="43" t="s">
        <v>20</v>
      </c>
      <c r="L156" s="43" t="s">
        <v>20</v>
      </c>
      <c r="M156" s="18" t="s">
        <v>20</v>
      </c>
      <c r="N156" s="18" t="s">
        <v>20</v>
      </c>
      <c r="O156" s="18" t="s">
        <v>20</v>
      </c>
      <c r="P156" s="18" t="s">
        <v>20</v>
      </c>
      <c r="Q156" s="18" t="s">
        <v>20</v>
      </c>
      <c r="R156" s="18" t="s">
        <v>20</v>
      </c>
      <c r="S156" s="18" t="s">
        <v>20</v>
      </c>
      <c r="T156" s="18" t="s">
        <v>20</v>
      </c>
      <c r="U156" s="18" t="s">
        <v>20</v>
      </c>
      <c r="V156" s="37" t="s">
        <v>20</v>
      </c>
      <c r="W156" s="37" t="s">
        <v>20</v>
      </c>
      <c r="X156" s="37" t="s">
        <v>20</v>
      </c>
      <c r="Y156" s="18" t="s">
        <v>20</v>
      </c>
      <c r="Z156" s="18" t="s">
        <v>20</v>
      </c>
      <c r="AA156" s="20" t="s">
        <v>20</v>
      </c>
      <c r="AB156" s="20" t="s">
        <v>20</v>
      </c>
      <c r="AC156" s="20" t="s">
        <v>20</v>
      </c>
      <c r="AD156" s="18" t="s">
        <v>21</v>
      </c>
      <c r="AE156" s="18" t="s">
        <v>21</v>
      </c>
      <c r="AG156">
        <f t="shared" si="18"/>
        <v>2</v>
      </c>
      <c r="AH156">
        <f t="shared" si="19"/>
        <v>22</v>
      </c>
      <c r="AI156">
        <f t="shared" si="20"/>
        <v>2</v>
      </c>
      <c r="AJ156">
        <f t="shared" si="21"/>
        <v>0</v>
      </c>
      <c r="AL156">
        <f t="shared" si="22"/>
        <v>8</v>
      </c>
      <c r="AM156">
        <f t="shared" si="23"/>
        <v>66</v>
      </c>
      <c r="AN156">
        <f t="shared" si="24"/>
        <v>4</v>
      </c>
      <c r="AO156">
        <f t="shared" si="25"/>
        <v>0</v>
      </c>
      <c r="AP156">
        <f t="shared" si="26"/>
        <v>78</v>
      </c>
    </row>
    <row r="157" spans="1:42" ht="15.75" hidden="1" customHeight="1" x14ac:dyDescent="0.3">
      <c r="A157" s="16"/>
      <c r="B157" s="55">
        <v>4</v>
      </c>
      <c r="C157" s="56" t="s">
        <v>175</v>
      </c>
      <c r="D157" s="55">
        <v>4</v>
      </c>
      <c r="E157" s="55" t="s">
        <v>21</v>
      </c>
      <c r="F157" s="18" t="s">
        <v>20</v>
      </c>
      <c r="G157" s="18" t="s">
        <v>20</v>
      </c>
      <c r="H157" s="18" t="s">
        <v>20</v>
      </c>
      <c r="I157" s="18" t="s">
        <v>20</v>
      </c>
      <c r="J157" s="43" t="s">
        <v>20</v>
      </c>
      <c r="K157" s="43" t="s">
        <v>20</v>
      </c>
      <c r="L157" s="43" t="s">
        <v>21</v>
      </c>
      <c r="M157" s="18" t="s">
        <v>20</v>
      </c>
      <c r="N157" s="18" t="s">
        <v>20</v>
      </c>
      <c r="O157" s="18" t="s">
        <v>20</v>
      </c>
      <c r="P157" s="18" t="s">
        <v>21</v>
      </c>
      <c r="Q157" s="18" t="s">
        <v>21</v>
      </c>
      <c r="R157" s="18" t="s">
        <v>21</v>
      </c>
      <c r="S157" s="18" t="s">
        <v>21</v>
      </c>
      <c r="T157" s="18" t="s">
        <v>21</v>
      </c>
      <c r="U157" s="18" t="s">
        <v>21</v>
      </c>
      <c r="V157" s="37" t="s">
        <v>20</v>
      </c>
      <c r="W157" s="37" t="s">
        <v>20</v>
      </c>
      <c r="X157" s="37" t="s">
        <v>20</v>
      </c>
      <c r="Y157" s="18" t="s">
        <v>20</v>
      </c>
      <c r="Z157" s="18" t="s">
        <v>20</v>
      </c>
      <c r="AA157" s="20" t="s">
        <v>20</v>
      </c>
      <c r="AB157" s="20" t="s">
        <v>21</v>
      </c>
      <c r="AC157" s="20" t="s">
        <v>21</v>
      </c>
      <c r="AD157" s="18" t="s">
        <v>21</v>
      </c>
      <c r="AE157" s="18" t="s">
        <v>21</v>
      </c>
      <c r="AG157">
        <f t="shared" si="18"/>
        <v>0</v>
      </c>
      <c r="AH157">
        <f t="shared" si="19"/>
        <v>15</v>
      </c>
      <c r="AI157">
        <f t="shared" si="20"/>
        <v>11</v>
      </c>
      <c r="AJ157">
        <f t="shared" si="21"/>
        <v>0</v>
      </c>
      <c r="AL157">
        <f t="shared" si="22"/>
        <v>0</v>
      </c>
      <c r="AM157">
        <f t="shared" si="23"/>
        <v>45</v>
      </c>
      <c r="AN157">
        <f t="shared" si="24"/>
        <v>22</v>
      </c>
      <c r="AO157">
        <f t="shared" si="25"/>
        <v>0</v>
      </c>
      <c r="AP157">
        <f t="shared" si="26"/>
        <v>67</v>
      </c>
    </row>
    <row r="158" spans="1:42" ht="15.75" hidden="1" customHeight="1" x14ac:dyDescent="0.3">
      <c r="A158" s="16"/>
      <c r="B158" s="55">
        <v>5</v>
      </c>
      <c r="C158" s="56" t="s">
        <v>176</v>
      </c>
      <c r="D158" s="55">
        <v>4</v>
      </c>
      <c r="E158" s="55" t="s">
        <v>21</v>
      </c>
      <c r="F158" s="18" t="s">
        <v>39</v>
      </c>
      <c r="G158" s="18" t="s">
        <v>20</v>
      </c>
      <c r="H158" s="18" t="s">
        <v>20</v>
      </c>
      <c r="I158" s="18" t="s">
        <v>20</v>
      </c>
      <c r="J158" s="43" t="s">
        <v>20</v>
      </c>
      <c r="K158" s="43" t="s">
        <v>20</v>
      </c>
      <c r="L158" s="43" t="s">
        <v>20</v>
      </c>
      <c r="M158" s="18" t="s">
        <v>20</v>
      </c>
      <c r="N158" s="18" t="s">
        <v>20</v>
      </c>
      <c r="O158" s="18" t="s">
        <v>20</v>
      </c>
      <c r="P158" s="18" t="s">
        <v>20</v>
      </c>
      <c r="Q158" s="18" t="s">
        <v>20</v>
      </c>
      <c r="R158" s="18" t="s">
        <v>20</v>
      </c>
      <c r="S158" s="18" t="s">
        <v>20</v>
      </c>
      <c r="T158" s="18" t="s">
        <v>20</v>
      </c>
      <c r="U158" s="18" t="s">
        <v>20</v>
      </c>
      <c r="V158" s="37" t="s">
        <v>20</v>
      </c>
      <c r="W158" s="37" t="s">
        <v>20</v>
      </c>
      <c r="X158" s="37" t="s">
        <v>20</v>
      </c>
      <c r="Y158" s="18" t="s">
        <v>20</v>
      </c>
      <c r="Z158" s="18" t="s">
        <v>20</v>
      </c>
      <c r="AA158" s="20" t="s">
        <v>20</v>
      </c>
      <c r="AB158" s="20" t="s">
        <v>20</v>
      </c>
      <c r="AC158" s="20" t="s">
        <v>20</v>
      </c>
      <c r="AD158" s="18" t="s">
        <v>20</v>
      </c>
      <c r="AE158" s="18" t="s">
        <v>21</v>
      </c>
      <c r="AG158">
        <f t="shared" si="18"/>
        <v>1</v>
      </c>
      <c r="AH158">
        <f t="shared" si="19"/>
        <v>24</v>
      </c>
      <c r="AI158">
        <f t="shared" si="20"/>
        <v>1</v>
      </c>
      <c r="AJ158">
        <f t="shared" si="21"/>
        <v>0</v>
      </c>
      <c r="AL158">
        <f t="shared" si="22"/>
        <v>4</v>
      </c>
      <c r="AM158">
        <f t="shared" si="23"/>
        <v>72</v>
      </c>
      <c r="AN158">
        <f t="shared" si="24"/>
        <v>2</v>
      </c>
      <c r="AO158">
        <f t="shared" si="25"/>
        <v>0</v>
      </c>
      <c r="AP158">
        <f t="shared" si="26"/>
        <v>78</v>
      </c>
    </row>
    <row r="159" spans="1:42" ht="15.75" hidden="1" customHeight="1" x14ac:dyDescent="0.3">
      <c r="A159" s="16"/>
      <c r="B159" s="55">
        <v>6</v>
      </c>
      <c r="C159" s="56" t="s">
        <v>177</v>
      </c>
      <c r="D159" s="55">
        <v>4</v>
      </c>
      <c r="E159" s="55" t="s">
        <v>21</v>
      </c>
      <c r="F159" s="18" t="s">
        <v>20</v>
      </c>
      <c r="G159" s="18" t="s">
        <v>20</v>
      </c>
      <c r="H159" s="18" t="s">
        <v>20</v>
      </c>
      <c r="I159" s="18" t="s">
        <v>20</v>
      </c>
      <c r="J159" s="43" t="s">
        <v>20</v>
      </c>
      <c r="K159" s="43" t="s">
        <v>20</v>
      </c>
      <c r="L159" s="43" t="s">
        <v>20</v>
      </c>
      <c r="M159" s="18" t="s">
        <v>20</v>
      </c>
      <c r="N159" s="18" t="s">
        <v>20</v>
      </c>
      <c r="O159" s="18" t="s">
        <v>21</v>
      </c>
      <c r="P159" s="18" t="s">
        <v>21</v>
      </c>
      <c r="Q159" s="18" t="s">
        <v>21</v>
      </c>
      <c r="R159" s="18" t="s">
        <v>21</v>
      </c>
      <c r="S159" s="18" t="s">
        <v>20</v>
      </c>
      <c r="T159" s="18" t="s">
        <v>20</v>
      </c>
      <c r="U159" s="18" t="s">
        <v>21</v>
      </c>
      <c r="V159" s="37" t="s">
        <v>20</v>
      </c>
      <c r="W159" s="37" t="s">
        <v>20</v>
      </c>
      <c r="X159" s="37" t="s">
        <v>20</v>
      </c>
      <c r="Y159" s="18" t="s">
        <v>20</v>
      </c>
      <c r="Z159" s="18" t="s">
        <v>20</v>
      </c>
      <c r="AA159" s="20" t="s">
        <v>21</v>
      </c>
      <c r="AB159" s="20" t="s">
        <v>20</v>
      </c>
      <c r="AC159" s="20" t="s">
        <v>20</v>
      </c>
      <c r="AD159" s="18" t="s">
        <v>20</v>
      </c>
      <c r="AE159" s="18" t="s">
        <v>21</v>
      </c>
      <c r="AG159">
        <f t="shared" si="18"/>
        <v>0</v>
      </c>
      <c r="AH159">
        <f t="shared" si="19"/>
        <v>19</v>
      </c>
      <c r="AI159">
        <f t="shared" si="20"/>
        <v>7</v>
      </c>
      <c r="AJ159">
        <f t="shared" si="21"/>
        <v>0</v>
      </c>
      <c r="AL159">
        <f t="shared" si="22"/>
        <v>0</v>
      </c>
      <c r="AM159">
        <f t="shared" si="23"/>
        <v>57</v>
      </c>
      <c r="AN159">
        <f t="shared" si="24"/>
        <v>14</v>
      </c>
      <c r="AO159">
        <f t="shared" si="25"/>
        <v>0</v>
      </c>
      <c r="AP159">
        <f t="shared" si="26"/>
        <v>71</v>
      </c>
    </row>
    <row r="160" spans="1:42" ht="15.75" hidden="1" customHeight="1" x14ac:dyDescent="0.3">
      <c r="A160" s="16"/>
      <c r="B160" s="55">
        <v>7</v>
      </c>
      <c r="C160" s="56" t="s">
        <v>178</v>
      </c>
      <c r="D160" s="55">
        <v>4</v>
      </c>
      <c r="E160" s="55" t="s">
        <v>21</v>
      </c>
      <c r="F160" s="18" t="s">
        <v>21</v>
      </c>
      <c r="G160" s="18" t="s">
        <v>20</v>
      </c>
      <c r="H160" s="18" t="s">
        <v>20</v>
      </c>
      <c r="I160" s="18" t="s">
        <v>21</v>
      </c>
      <c r="J160" s="43" t="s">
        <v>20</v>
      </c>
      <c r="K160" s="43" t="s">
        <v>21</v>
      </c>
      <c r="L160" s="43" t="s">
        <v>21</v>
      </c>
      <c r="M160" s="18" t="s">
        <v>20</v>
      </c>
      <c r="N160" s="18" t="s">
        <v>20</v>
      </c>
      <c r="O160" s="18" t="s">
        <v>20</v>
      </c>
      <c r="P160" s="18" t="s">
        <v>21</v>
      </c>
      <c r="Q160" s="18" t="s">
        <v>21</v>
      </c>
      <c r="R160" s="18" t="s">
        <v>21</v>
      </c>
      <c r="S160" s="18" t="s">
        <v>20</v>
      </c>
      <c r="T160" s="18" t="s">
        <v>20</v>
      </c>
      <c r="U160" s="18" t="s">
        <v>21</v>
      </c>
      <c r="V160" s="37" t="s">
        <v>20</v>
      </c>
      <c r="W160" s="37" t="s">
        <v>20</v>
      </c>
      <c r="X160" s="37" t="s">
        <v>20</v>
      </c>
      <c r="Y160" s="18" t="s">
        <v>20</v>
      </c>
      <c r="Z160" s="18" t="s">
        <v>21</v>
      </c>
      <c r="AA160" s="20" t="s">
        <v>21</v>
      </c>
      <c r="AB160" s="20" t="s">
        <v>21</v>
      </c>
      <c r="AC160" s="20" t="s">
        <v>21</v>
      </c>
      <c r="AD160" s="18" t="s">
        <v>21</v>
      </c>
      <c r="AE160" s="18" t="s">
        <v>21</v>
      </c>
      <c r="AG160">
        <f t="shared" si="18"/>
        <v>0</v>
      </c>
      <c r="AH160">
        <f t="shared" si="19"/>
        <v>12</v>
      </c>
      <c r="AI160">
        <f t="shared" si="20"/>
        <v>14</v>
      </c>
      <c r="AJ160">
        <f t="shared" si="21"/>
        <v>0</v>
      </c>
      <c r="AL160">
        <f t="shared" si="22"/>
        <v>0</v>
      </c>
      <c r="AM160">
        <f t="shared" si="23"/>
        <v>36</v>
      </c>
      <c r="AN160">
        <f t="shared" si="24"/>
        <v>28</v>
      </c>
      <c r="AO160">
        <f t="shared" si="25"/>
        <v>0</v>
      </c>
      <c r="AP160">
        <f t="shared" si="26"/>
        <v>64</v>
      </c>
    </row>
    <row r="161" spans="1:42" ht="15.75" hidden="1" customHeight="1" x14ac:dyDescent="0.3">
      <c r="A161" s="16"/>
      <c r="B161" s="55">
        <v>8</v>
      </c>
      <c r="C161" s="56" t="s">
        <v>179</v>
      </c>
      <c r="D161" s="55">
        <v>4</v>
      </c>
      <c r="E161" s="55" t="s">
        <v>21</v>
      </c>
      <c r="F161" s="18" t="s">
        <v>20</v>
      </c>
      <c r="G161" s="18" t="s">
        <v>20</v>
      </c>
      <c r="H161" s="18" t="s">
        <v>20</v>
      </c>
      <c r="I161" s="18" t="s">
        <v>20</v>
      </c>
      <c r="J161" s="43" t="s">
        <v>20</v>
      </c>
      <c r="K161" s="43" t="s">
        <v>20</v>
      </c>
      <c r="L161" s="43" t="s">
        <v>20</v>
      </c>
      <c r="M161" s="18" t="s">
        <v>21</v>
      </c>
      <c r="N161" s="18" t="s">
        <v>20</v>
      </c>
      <c r="O161" s="18" t="s">
        <v>20</v>
      </c>
      <c r="P161" s="18" t="s">
        <v>21</v>
      </c>
      <c r="Q161" s="18" t="s">
        <v>21</v>
      </c>
      <c r="R161" s="18" t="s">
        <v>21</v>
      </c>
      <c r="S161" s="18" t="s">
        <v>21</v>
      </c>
      <c r="T161" s="18" t="s">
        <v>20</v>
      </c>
      <c r="U161" s="18" t="s">
        <v>20</v>
      </c>
      <c r="V161" s="37" t="s">
        <v>20</v>
      </c>
      <c r="W161" s="37" t="s">
        <v>20</v>
      </c>
      <c r="X161" s="37" t="s">
        <v>20</v>
      </c>
      <c r="Y161" s="18" t="s">
        <v>20</v>
      </c>
      <c r="Z161" s="18" t="s">
        <v>21</v>
      </c>
      <c r="AA161" s="20" t="s">
        <v>20</v>
      </c>
      <c r="AB161" s="20" t="s">
        <v>20</v>
      </c>
      <c r="AC161" s="20" t="s">
        <v>21</v>
      </c>
      <c r="AD161" s="18" t="s">
        <v>20</v>
      </c>
      <c r="AE161" s="18" t="s">
        <v>21</v>
      </c>
      <c r="AG161">
        <f t="shared" si="18"/>
        <v>0</v>
      </c>
      <c r="AH161">
        <f t="shared" si="19"/>
        <v>18</v>
      </c>
      <c r="AI161">
        <f t="shared" si="20"/>
        <v>8</v>
      </c>
      <c r="AJ161">
        <f t="shared" si="21"/>
        <v>0</v>
      </c>
      <c r="AL161">
        <f t="shared" si="22"/>
        <v>0</v>
      </c>
      <c r="AM161">
        <f t="shared" si="23"/>
        <v>54</v>
      </c>
      <c r="AN161">
        <f t="shared" si="24"/>
        <v>16</v>
      </c>
      <c r="AO161">
        <f t="shared" si="25"/>
        <v>0</v>
      </c>
      <c r="AP161">
        <f t="shared" si="26"/>
        <v>70</v>
      </c>
    </row>
    <row r="162" spans="1:42" ht="15.75" hidden="1" customHeight="1" x14ac:dyDescent="0.3">
      <c r="A162" s="16"/>
      <c r="B162" s="55">
        <v>9</v>
      </c>
      <c r="C162" s="56" t="s">
        <v>180</v>
      </c>
      <c r="D162" s="55">
        <v>4</v>
      </c>
      <c r="E162" s="55" t="s">
        <v>21</v>
      </c>
      <c r="F162" s="18" t="s">
        <v>21</v>
      </c>
      <c r="G162" s="18" t="s">
        <v>21</v>
      </c>
      <c r="H162" s="18" t="s">
        <v>21</v>
      </c>
      <c r="I162" s="18" t="s">
        <v>21</v>
      </c>
      <c r="J162" s="43" t="s">
        <v>20</v>
      </c>
      <c r="K162" s="43" t="s">
        <v>20</v>
      </c>
      <c r="L162" s="43" t="s">
        <v>20</v>
      </c>
      <c r="M162" s="18" t="s">
        <v>20</v>
      </c>
      <c r="N162" s="18" t="s">
        <v>20</v>
      </c>
      <c r="O162" s="18" t="s">
        <v>20</v>
      </c>
      <c r="P162" s="18" t="s">
        <v>21</v>
      </c>
      <c r="Q162" s="18" t="s">
        <v>21</v>
      </c>
      <c r="R162" s="18" t="s">
        <v>21</v>
      </c>
      <c r="S162" s="18" t="s">
        <v>20</v>
      </c>
      <c r="T162" s="18" t="s">
        <v>20</v>
      </c>
      <c r="U162" s="18" t="s">
        <v>21</v>
      </c>
      <c r="V162" s="37" t="s">
        <v>20</v>
      </c>
      <c r="W162" s="37" t="s">
        <v>20</v>
      </c>
      <c r="X162" s="37" t="s">
        <v>20</v>
      </c>
      <c r="Y162" s="18" t="s">
        <v>20</v>
      </c>
      <c r="Z162" s="18" t="s">
        <v>21</v>
      </c>
      <c r="AA162" s="20" t="s">
        <v>21</v>
      </c>
      <c r="AB162" s="20" t="s">
        <v>21</v>
      </c>
      <c r="AC162" s="20" t="s">
        <v>20</v>
      </c>
      <c r="AD162" s="18" t="s">
        <v>20</v>
      </c>
      <c r="AE162" s="18" t="s">
        <v>21</v>
      </c>
      <c r="AG162">
        <f t="shared" si="18"/>
        <v>0</v>
      </c>
      <c r="AH162">
        <f t="shared" si="19"/>
        <v>14</v>
      </c>
      <c r="AI162">
        <f t="shared" si="20"/>
        <v>12</v>
      </c>
      <c r="AJ162">
        <f t="shared" si="21"/>
        <v>0</v>
      </c>
      <c r="AL162">
        <f t="shared" si="22"/>
        <v>0</v>
      </c>
      <c r="AM162">
        <f t="shared" si="23"/>
        <v>42</v>
      </c>
      <c r="AN162">
        <f t="shared" si="24"/>
        <v>24</v>
      </c>
      <c r="AO162">
        <f t="shared" si="25"/>
        <v>0</v>
      </c>
      <c r="AP162">
        <f t="shared" si="26"/>
        <v>66</v>
      </c>
    </row>
    <row r="163" spans="1:42" ht="15.75" hidden="1" customHeight="1" x14ac:dyDescent="0.3">
      <c r="A163" s="16"/>
      <c r="B163" s="55">
        <v>10</v>
      </c>
      <c r="C163" s="56" t="s">
        <v>181</v>
      </c>
      <c r="D163" s="55">
        <v>4</v>
      </c>
      <c r="E163" s="55" t="s">
        <v>21</v>
      </c>
      <c r="F163" s="18" t="s">
        <v>21</v>
      </c>
      <c r="G163" s="18" t="s">
        <v>20</v>
      </c>
      <c r="H163" s="18" t="s">
        <v>21</v>
      </c>
      <c r="I163" s="18" t="s">
        <v>21</v>
      </c>
      <c r="J163" s="43" t="s">
        <v>20</v>
      </c>
      <c r="K163" s="43" t="s">
        <v>20</v>
      </c>
      <c r="L163" s="43" t="s">
        <v>21</v>
      </c>
      <c r="M163" s="18" t="s">
        <v>23</v>
      </c>
      <c r="N163" s="18" t="s">
        <v>20</v>
      </c>
      <c r="O163" s="18" t="s">
        <v>20</v>
      </c>
      <c r="P163" s="18" t="s">
        <v>21</v>
      </c>
      <c r="Q163" s="18" t="s">
        <v>21</v>
      </c>
      <c r="R163" s="18" t="s">
        <v>21</v>
      </c>
      <c r="S163" s="18" t="s">
        <v>20</v>
      </c>
      <c r="T163" s="18" t="s">
        <v>20</v>
      </c>
      <c r="U163" s="18" t="s">
        <v>21</v>
      </c>
      <c r="V163" s="37" t="s">
        <v>20</v>
      </c>
      <c r="W163" s="37" t="s">
        <v>20</v>
      </c>
      <c r="X163" s="37" t="s">
        <v>20</v>
      </c>
      <c r="Y163" s="18" t="s">
        <v>21</v>
      </c>
      <c r="Z163" s="18" t="s">
        <v>21</v>
      </c>
      <c r="AA163" s="20" t="s">
        <v>21</v>
      </c>
      <c r="AB163" s="20" t="s">
        <v>23</v>
      </c>
      <c r="AC163" s="20" t="s">
        <v>21</v>
      </c>
      <c r="AD163" s="18" t="s">
        <v>23</v>
      </c>
      <c r="AE163" s="18" t="s">
        <v>21</v>
      </c>
      <c r="AG163">
        <f t="shared" si="18"/>
        <v>0</v>
      </c>
      <c r="AH163">
        <f t="shared" si="19"/>
        <v>10</v>
      </c>
      <c r="AI163">
        <f t="shared" si="20"/>
        <v>13</v>
      </c>
      <c r="AJ163">
        <f t="shared" si="21"/>
        <v>3</v>
      </c>
      <c r="AL163">
        <f t="shared" si="22"/>
        <v>0</v>
      </c>
      <c r="AM163">
        <f t="shared" si="23"/>
        <v>30</v>
      </c>
      <c r="AN163">
        <f t="shared" si="24"/>
        <v>26</v>
      </c>
      <c r="AO163">
        <f t="shared" si="25"/>
        <v>3</v>
      </c>
      <c r="AP163">
        <f t="shared" si="26"/>
        <v>59</v>
      </c>
    </row>
    <row r="164" spans="1:42" ht="15.75" hidden="1" customHeight="1" x14ac:dyDescent="0.3">
      <c r="A164" s="16"/>
      <c r="B164" s="55">
        <v>11</v>
      </c>
      <c r="C164" s="56" t="s">
        <v>182</v>
      </c>
      <c r="D164" s="55">
        <v>4</v>
      </c>
      <c r="E164" s="55" t="s">
        <v>21</v>
      </c>
      <c r="F164" s="18" t="s">
        <v>23</v>
      </c>
      <c r="G164" s="18" t="s">
        <v>23</v>
      </c>
      <c r="H164" s="18" t="s">
        <v>23</v>
      </c>
      <c r="I164" s="18" t="s">
        <v>23</v>
      </c>
      <c r="J164" s="43" t="s">
        <v>21</v>
      </c>
      <c r="K164" s="43" t="s">
        <v>21</v>
      </c>
      <c r="L164" s="43" t="s">
        <v>21</v>
      </c>
      <c r="M164" s="18" t="s">
        <v>21</v>
      </c>
      <c r="N164" s="18" t="s">
        <v>20</v>
      </c>
      <c r="O164" s="18" t="s">
        <v>21</v>
      </c>
      <c r="P164" s="18" t="s">
        <v>23</v>
      </c>
      <c r="Q164" s="18" t="s">
        <v>21</v>
      </c>
      <c r="R164" s="18" t="s">
        <v>21</v>
      </c>
      <c r="S164" s="18" t="s">
        <v>21</v>
      </c>
      <c r="T164" s="18" t="s">
        <v>20</v>
      </c>
      <c r="U164" s="18" t="s">
        <v>20</v>
      </c>
      <c r="V164" s="37" t="s">
        <v>20</v>
      </c>
      <c r="W164" s="37" t="s">
        <v>21</v>
      </c>
      <c r="X164" s="37" t="s">
        <v>20</v>
      </c>
      <c r="Y164" s="18" t="s">
        <v>23</v>
      </c>
      <c r="Z164" s="18" t="s">
        <v>23</v>
      </c>
      <c r="AA164" s="20" t="s">
        <v>21</v>
      </c>
      <c r="AB164" s="20" t="s">
        <v>21</v>
      </c>
      <c r="AC164" s="20" t="s">
        <v>21</v>
      </c>
      <c r="AD164" s="18" t="s">
        <v>23</v>
      </c>
      <c r="AE164" s="18" t="s">
        <v>21</v>
      </c>
      <c r="AG164">
        <f t="shared" si="18"/>
        <v>0</v>
      </c>
      <c r="AH164">
        <f t="shared" si="19"/>
        <v>5</v>
      </c>
      <c r="AI164">
        <f t="shared" si="20"/>
        <v>13</v>
      </c>
      <c r="AJ164">
        <f t="shared" si="21"/>
        <v>8</v>
      </c>
      <c r="AL164">
        <f t="shared" si="22"/>
        <v>0</v>
      </c>
      <c r="AM164">
        <f t="shared" si="23"/>
        <v>15</v>
      </c>
      <c r="AN164">
        <f t="shared" si="24"/>
        <v>26</v>
      </c>
      <c r="AO164">
        <f t="shared" si="25"/>
        <v>8</v>
      </c>
      <c r="AP164">
        <f t="shared" si="26"/>
        <v>49</v>
      </c>
    </row>
    <row r="165" spans="1:42" ht="15.75" hidden="1" customHeight="1" x14ac:dyDescent="0.3">
      <c r="A165" s="16"/>
      <c r="B165" s="55">
        <v>12</v>
      </c>
      <c r="C165" s="56" t="s">
        <v>183</v>
      </c>
      <c r="D165" s="55">
        <v>4</v>
      </c>
      <c r="E165" s="55" t="s">
        <v>21</v>
      </c>
      <c r="F165" s="18" t="s">
        <v>21</v>
      </c>
      <c r="G165" s="18" t="s">
        <v>21</v>
      </c>
      <c r="H165" s="18" t="s">
        <v>21</v>
      </c>
      <c r="I165" s="18" t="s">
        <v>21</v>
      </c>
      <c r="J165" s="43" t="s">
        <v>20</v>
      </c>
      <c r="K165" s="43" t="s">
        <v>20</v>
      </c>
      <c r="L165" s="43" t="s">
        <v>21</v>
      </c>
      <c r="M165" s="18" t="s">
        <v>20</v>
      </c>
      <c r="N165" s="18" t="s">
        <v>20</v>
      </c>
      <c r="O165" s="18" t="s">
        <v>20</v>
      </c>
      <c r="P165" s="18" t="s">
        <v>21</v>
      </c>
      <c r="Q165" s="18" t="s">
        <v>21</v>
      </c>
      <c r="R165" s="18" t="s">
        <v>21</v>
      </c>
      <c r="S165" s="18" t="s">
        <v>20</v>
      </c>
      <c r="T165" s="18" t="s">
        <v>20</v>
      </c>
      <c r="U165" s="18" t="s">
        <v>20</v>
      </c>
      <c r="V165" s="49" t="s">
        <v>20</v>
      </c>
      <c r="W165" s="37" t="s">
        <v>20</v>
      </c>
      <c r="X165" s="37" t="s">
        <v>20</v>
      </c>
      <c r="Y165" s="18" t="s">
        <v>20</v>
      </c>
      <c r="Z165" s="18" t="s">
        <v>21</v>
      </c>
      <c r="AA165" s="20" t="s">
        <v>21</v>
      </c>
      <c r="AB165" s="20" t="s">
        <v>20</v>
      </c>
      <c r="AC165" s="20" t="s">
        <v>20</v>
      </c>
      <c r="AD165" s="29" t="s">
        <v>20</v>
      </c>
      <c r="AE165" s="29" t="s">
        <v>21</v>
      </c>
      <c r="AG165">
        <f t="shared" si="18"/>
        <v>0</v>
      </c>
      <c r="AH165">
        <f t="shared" si="19"/>
        <v>15</v>
      </c>
      <c r="AI165">
        <f t="shared" si="20"/>
        <v>11</v>
      </c>
      <c r="AJ165">
        <f t="shared" si="21"/>
        <v>0</v>
      </c>
      <c r="AL165">
        <f t="shared" si="22"/>
        <v>0</v>
      </c>
      <c r="AM165">
        <f t="shared" si="23"/>
        <v>45</v>
      </c>
      <c r="AN165">
        <f t="shared" si="24"/>
        <v>22</v>
      </c>
      <c r="AO165">
        <f t="shared" si="25"/>
        <v>0</v>
      </c>
      <c r="AP165">
        <f t="shared" si="26"/>
        <v>67</v>
      </c>
    </row>
    <row r="166" spans="1:42" ht="15.75" hidden="1" customHeight="1" x14ac:dyDescent="0.3">
      <c r="A166" s="16"/>
      <c r="B166" s="55">
        <v>13</v>
      </c>
      <c r="C166" s="56" t="s">
        <v>184</v>
      </c>
      <c r="D166" s="55">
        <v>4</v>
      </c>
      <c r="E166" s="55" t="s">
        <v>21</v>
      </c>
      <c r="F166" s="18" t="s">
        <v>21</v>
      </c>
      <c r="G166" s="18" t="s">
        <v>21</v>
      </c>
      <c r="H166" s="18" t="s">
        <v>23</v>
      </c>
      <c r="I166" s="18" t="s">
        <v>21</v>
      </c>
      <c r="J166" s="43" t="s">
        <v>20</v>
      </c>
      <c r="K166" s="43" t="s">
        <v>20</v>
      </c>
      <c r="L166" s="43" t="s">
        <v>21</v>
      </c>
      <c r="M166" s="18" t="s">
        <v>21</v>
      </c>
      <c r="N166" s="18" t="s">
        <v>20</v>
      </c>
      <c r="O166" s="18" t="s">
        <v>21</v>
      </c>
      <c r="P166" s="18" t="s">
        <v>21</v>
      </c>
      <c r="Q166" s="18" t="s">
        <v>21</v>
      </c>
      <c r="R166" s="18" t="s">
        <v>21</v>
      </c>
      <c r="S166" s="18" t="s">
        <v>23</v>
      </c>
      <c r="T166" s="18" t="s">
        <v>23</v>
      </c>
      <c r="U166" s="18" t="s">
        <v>20</v>
      </c>
      <c r="V166" s="49" t="s">
        <v>20</v>
      </c>
      <c r="W166" s="37" t="s">
        <v>21</v>
      </c>
      <c r="X166" s="37" t="s">
        <v>20</v>
      </c>
      <c r="Y166" s="18" t="s">
        <v>23</v>
      </c>
      <c r="Z166" s="18" t="s">
        <v>21</v>
      </c>
      <c r="AA166" s="20" t="s">
        <v>21</v>
      </c>
      <c r="AB166" s="20" t="s">
        <v>20</v>
      </c>
      <c r="AC166" s="20" t="s">
        <v>23</v>
      </c>
      <c r="AD166" s="29" t="s">
        <v>23</v>
      </c>
      <c r="AE166" s="29" t="s">
        <v>21</v>
      </c>
      <c r="AG166">
        <f t="shared" si="18"/>
        <v>0</v>
      </c>
      <c r="AH166">
        <f t="shared" si="19"/>
        <v>7</v>
      </c>
      <c r="AI166">
        <f t="shared" si="20"/>
        <v>13</v>
      </c>
      <c r="AJ166">
        <f t="shared" si="21"/>
        <v>6</v>
      </c>
      <c r="AL166">
        <f t="shared" si="22"/>
        <v>0</v>
      </c>
      <c r="AM166">
        <f t="shared" si="23"/>
        <v>21</v>
      </c>
      <c r="AN166">
        <f t="shared" si="24"/>
        <v>26</v>
      </c>
      <c r="AO166">
        <f t="shared" si="25"/>
        <v>6</v>
      </c>
      <c r="AP166">
        <f t="shared" si="26"/>
        <v>53</v>
      </c>
    </row>
    <row r="167" spans="1:42" ht="15.75" hidden="1" customHeight="1" x14ac:dyDescent="0.3">
      <c r="A167" s="16"/>
      <c r="B167" s="55">
        <v>14</v>
      </c>
      <c r="C167" s="56" t="s">
        <v>185</v>
      </c>
      <c r="D167" s="55">
        <v>4</v>
      </c>
      <c r="E167" s="55" t="s">
        <v>21</v>
      </c>
      <c r="F167" s="18" t="s">
        <v>21</v>
      </c>
      <c r="G167" s="18" t="s">
        <v>21</v>
      </c>
      <c r="H167" s="18" t="s">
        <v>21</v>
      </c>
      <c r="I167" s="18" t="s">
        <v>21</v>
      </c>
      <c r="J167" s="43" t="s">
        <v>20</v>
      </c>
      <c r="K167" s="43" t="s">
        <v>21</v>
      </c>
      <c r="L167" s="43" t="s">
        <v>21</v>
      </c>
      <c r="M167" s="18" t="s">
        <v>21</v>
      </c>
      <c r="N167" s="18" t="s">
        <v>21</v>
      </c>
      <c r="O167" s="18" t="s">
        <v>20</v>
      </c>
      <c r="P167" s="18" t="s">
        <v>21</v>
      </c>
      <c r="Q167" s="18" t="s">
        <v>21</v>
      </c>
      <c r="R167" s="18" t="s">
        <v>21</v>
      </c>
      <c r="S167" s="18" t="s">
        <v>20</v>
      </c>
      <c r="T167" s="18" t="s">
        <v>20</v>
      </c>
      <c r="U167" s="18" t="s">
        <v>21</v>
      </c>
      <c r="V167" s="49" t="s">
        <v>20</v>
      </c>
      <c r="W167" s="37" t="s">
        <v>20</v>
      </c>
      <c r="X167" s="37" t="s">
        <v>20</v>
      </c>
      <c r="Y167" s="18" t="s">
        <v>21</v>
      </c>
      <c r="Z167" s="18" t="s">
        <v>21</v>
      </c>
      <c r="AA167" s="20" t="s">
        <v>20</v>
      </c>
      <c r="AB167" s="20" t="s">
        <v>21</v>
      </c>
      <c r="AC167" s="20" t="s">
        <v>20</v>
      </c>
      <c r="AD167" s="29" t="s">
        <v>21</v>
      </c>
      <c r="AE167" s="29" t="s">
        <v>21</v>
      </c>
      <c r="AG167">
        <f t="shared" si="18"/>
        <v>0</v>
      </c>
      <c r="AH167">
        <f t="shared" si="19"/>
        <v>9</v>
      </c>
      <c r="AI167">
        <f t="shared" si="20"/>
        <v>17</v>
      </c>
      <c r="AJ167">
        <f t="shared" si="21"/>
        <v>0</v>
      </c>
      <c r="AL167">
        <f t="shared" si="22"/>
        <v>0</v>
      </c>
      <c r="AM167">
        <f t="shared" si="23"/>
        <v>27</v>
      </c>
      <c r="AN167">
        <f t="shared" si="24"/>
        <v>34</v>
      </c>
      <c r="AO167">
        <f t="shared" si="25"/>
        <v>0</v>
      </c>
      <c r="AP167">
        <f t="shared" si="26"/>
        <v>61</v>
      </c>
    </row>
    <row r="168" spans="1:42" ht="15.75" hidden="1" customHeight="1" x14ac:dyDescent="0.3">
      <c r="A168" s="16"/>
      <c r="B168" s="55">
        <v>15</v>
      </c>
      <c r="C168" s="56" t="s">
        <v>186</v>
      </c>
      <c r="D168" s="55">
        <v>4</v>
      </c>
      <c r="E168" s="55" t="s">
        <v>21</v>
      </c>
      <c r="F168" s="18" t="s">
        <v>20</v>
      </c>
      <c r="G168" s="18" t="s">
        <v>20</v>
      </c>
      <c r="H168" s="18" t="s">
        <v>20</v>
      </c>
      <c r="I168" s="18" t="s">
        <v>20</v>
      </c>
      <c r="J168" s="43" t="s">
        <v>20</v>
      </c>
      <c r="K168" s="43" t="s">
        <v>20</v>
      </c>
      <c r="L168" s="43" t="s">
        <v>20</v>
      </c>
      <c r="M168" s="18" t="s">
        <v>20</v>
      </c>
      <c r="N168" s="18" t="s">
        <v>20</v>
      </c>
      <c r="O168" s="18" t="s">
        <v>20</v>
      </c>
      <c r="P168" s="18" t="s">
        <v>20</v>
      </c>
      <c r="Q168" s="18" t="s">
        <v>20</v>
      </c>
      <c r="R168" s="18" t="s">
        <v>20</v>
      </c>
      <c r="S168" s="18" t="s">
        <v>20</v>
      </c>
      <c r="T168" s="18" t="s">
        <v>20</v>
      </c>
      <c r="U168" s="18" t="s">
        <v>20</v>
      </c>
      <c r="V168" s="49" t="s">
        <v>20</v>
      </c>
      <c r="W168" s="37" t="s">
        <v>20</v>
      </c>
      <c r="X168" s="37" t="s">
        <v>20</v>
      </c>
      <c r="Y168" s="18" t="s">
        <v>20</v>
      </c>
      <c r="Z168" s="18" t="s">
        <v>20</v>
      </c>
      <c r="AA168" s="20" t="s">
        <v>20</v>
      </c>
      <c r="AB168" s="20" t="s">
        <v>20</v>
      </c>
      <c r="AC168" s="20" t="s">
        <v>20</v>
      </c>
      <c r="AD168" s="29" t="s">
        <v>20</v>
      </c>
      <c r="AE168" s="29" t="s">
        <v>21</v>
      </c>
      <c r="AG168">
        <f t="shared" si="18"/>
        <v>0</v>
      </c>
      <c r="AH168">
        <f t="shared" si="19"/>
        <v>25</v>
      </c>
      <c r="AI168">
        <f t="shared" si="20"/>
        <v>1</v>
      </c>
      <c r="AJ168">
        <f t="shared" si="21"/>
        <v>0</v>
      </c>
      <c r="AL168">
        <f t="shared" si="22"/>
        <v>0</v>
      </c>
      <c r="AM168">
        <f t="shared" si="23"/>
        <v>75</v>
      </c>
      <c r="AN168">
        <f t="shared" si="24"/>
        <v>2</v>
      </c>
      <c r="AO168">
        <f t="shared" si="25"/>
        <v>0</v>
      </c>
      <c r="AP168">
        <f t="shared" si="26"/>
        <v>77</v>
      </c>
    </row>
    <row r="169" spans="1:42" ht="15.75" hidden="1" customHeight="1" x14ac:dyDescent="0.3">
      <c r="A169" s="16"/>
      <c r="B169" s="55">
        <v>16</v>
      </c>
      <c r="C169" s="56" t="s">
        <v>187</v>
      </c>
      <c r="D169" s="55">
        <v>4</v>
      </c>
      <c r="E169" s="55" t="s">
        <v>21</v>
      </c>
      <c r="F169" s="18" t="s">
        <v>21</v>
      </c>
      <c r="G169" s="18" t="s">
        <v>21</v>
      </c>
      <c r="H169" s="18" t="s">
        <v>21</v>
      </c>
      <c r="I169" s="18" t="s">
        <v>21</v>
      </c>
      <c r="J169" s="43" t="s">
        <v>20</v>
      </c>
      <c r="K169" s="43" t="s">
        <v>20</v>
      </c>
      <c r="L169" s="43" t="s">
        <v>21</v>
      </c>
      <c r="M169" s="18" t="s">
        <v>20</v>
      </c>
      <c r="N169" s="18" t="s">
        <v>20</v>
      </c>
      <c r="O169" s="18" t="s">
        <v>20</v>
      </c>
      <c r="P169" s="18" t="s">
        <v>21</v>
      </c>
      <c r="Q169" s="18" t="s">
        <v>21</v>
      </c>
      <c r="R169" s="18" t="s">
        <v>21</v>
      </c>
      <c r="S169" s="18" t="s">
        <v>21</v>
      </c>
      <c r="T169" s="18" t="s">
        <v>20</v>
      </c>
      <c r="U169" s="18" t="s">
        <v>21</v>
      </c>
      <c r="V169" s="49" t="s">
        <v>20</v>
      </c>
      <c r="W169" s="37" t="s">
        <v>20</v>
      </c>
      <c r="X169" s="37" t="s">
        <v>20</v>
      </c>
      <c r="Y169" s="18" t="s">
        <v>21</v>
      </c>
      <c r="Z169" s="18" t="s">
        <v>21</v>
      </c>
      <c r="AA169" s="20" t="s">
        <v>21</v>
      </c>
      <c r="AB169" s="20" t="s">
        <v>21</v>
      </c>
      <c r="AC169" s="20" t="s">
        <v>21</v>
      </c>
      <c r="AD169" s="29" t="s">
        <v>21</v>
      </c>
      <c r="AE169" s="29" t="s">
        <v>21</v>
      </c>
      <c r="AG169">
        <f t="shared" si="18"/>
        <v>0</v>
      </c>
      <c r="AH169">
        <f t="shared" si="19"/>
        <v>9</v>
      </c>
      <c r="AI169">
        <f t="shared" si="20"/>
        <v>17</v>
      </c>
      <c r="AJ169">
        <f t="shared" si="21"/>
        <v>0</v>
      </c>
      <c r="AL169">
        <f t="shared" si="22"/>
        <v>0</v>
      </c>
      <c r="AM169">
        <f t="shared" si="23"/>
        <v>27</v>
      </c>
      <c r="AN169">
        <f t="shared" si="24"/>
        <v>34</v>
      </c>
      <c r="AO169">
        <f t="shared" si="25"/>
        <v>0</v>
      </c>
      <c r="AP169">
        <f t="shared" si="26"/>
        <v>61</v>
      </c>
    </row>
    <row r="170" spans="1:42" ht="15.75" hidden="1" customHeight="1" x14ac:dyDescent="0.3">
      <c r="A170" s="16"/>
      <c r="B170" s="55">
        <v>17</v>
      </c>
      <c r="C170" s="56" t="s">
        <v>188</v>
      </c>
      <c r="D170" s="55">
        <v>4</v>
      </c>
      <c r="E170" s="55" t="s">
        <v>21</v>
      </c>
      <c r="F170" s="18" t="s">
        <v>21</v>
      </c>
      <c r="G170" s="18" t="s">
        <v>21</v>
      </c>
      <c r="H170" s="18" t="s">
        <v>21</v>
      </c>
      <c r="I170" s="18" t="s">
        <v>21</v>
      </c>
      <c r="J170" s="43" t="s">
        <v>20</v>
      </c>
      <c r="K170" s="43" t="s">
        <v>20</v>
      </c>
      <c r="L170" s="43" t="s">
        <v>21</v>
      </c>
      <c r="M170" s="18" t="s">
        <v>21</v>
      </c>
      <c r="N170" s="18" t="s">
        <v>20</v>
      </c>
      <c r="O170" s="18" t="s">
        <v>21</v>
      </c>
      <c r="P170" s="18" t="s">
        <v>21</v>
      </c>
      <c r="Q170" s="18" t="s">
        <v>21</v>
      </c>
      <c r="R170" s="18" t="s">
        <v>21</v>
      </c>
      <c r="S170" s="18" t="s">
        <v>23</v>
      </c>
      <c r="T170" s="18" t="s">
        <v>21</v>
      </c>
      <c r="U170" s="18" t="s">
        <v>20</v>
      </c>
      <c r="V170" s="49" t="s">
        <v>20</v>
      </c>
      <c r="W170" s="37" t="s">
        <v>20</v>
      </c>
      <c r="X170" s="37" t="s">
        <v>20</v>
      </c>
      <c r="Y170" s="18" t="s">
        <v>20</v>
      </c>
      <c r="Z170" s="18" t="s">
        <v>20</v>
      </c>
      <c r="AA170" s="20" t="s">
        <v>20</v>
      </c>
      <c r="AB170" s="20" t="s">
        <v>20</v>
      </c>
      <c r="AC170" s="20" t="s">
        <v>20</v>
      </c>
      <c r="AD170" s="29" t="s">
        <v>21</v>
      </c>
      <c r="AE170" s="29" t="s">
        <v>21</v>
      </c>
      <c r="AG170">
        <f t="shared" si="18"/>
        <v>0</v>
      </c>
      <c r="AH170">
        <f t="shared" si="19"/>
        <v>12</v>
      </c>
      <c r="AI170">
        <f t="shared" si="20"/>
        <v>13</v>
      </c>
      <c r="AJ170">
        <f t="shared" si="21"/>
        <v>1</v>
      </c>
      <c r="AL170">
        <f t="shared" si="22"/>
        <v>0</v>
      </c>
      <c r="AM170">
        <f t="shared" si="23"/>
        <v>36</v>
      </c>
      <c r="AN170">
        <f t="shared" si="24"/>
        <v>26</v>
      </c>
      <c r="AO170">
        <f t="shared" si="25"/>
        <v>1</v>
      </c>
      <c r="AP170">
        <f t="shared" si="26"/>
        <v>63</v>
      </c>
    </row>
    <row r="171" spans="1:42" ht="15.75" hidden="1" customHeight="1" x14ac:dyDescent="0.3">
      <c r="A171" s="16"/>
      <c r="B171" s="55">
        <v>18</v>
      </c>
      <c r="C171" s="56" t="s">
        <v>189</v>
      </c>
      <c r="D171" s="55">
        <v>4</v>
      </c>
      <c r="E171" s="55" t="s">
        <v>21</v>
      </c>
      <c r="F171" s="18" t="s">
        <v>23</v>
      </c>
      <c r="G171" s="18" t="s">
        <v>23</v>
      </c>
      <c r="H171" s="18" t="s">
        <v>23</v>
      </c>
      <c r="I171" s="18" t="s">
        <v>23</v>
      </c>
      <c r="J171" s="43" t="s">
        <v>20</v>
      </c>
      <c r="K171" s="43" t="s">
        <v>20</v>
      </c>
      <c r="L171" s="43" t="s">
        <v>21</v>
      </c>
      <c r="M171" s="18" t="s">
        <v>21</v>
      </c>
      <c r="N171" s="18" t="s">
        <v>21</v>
      </c>
      <c r="O171" s="18" t="s">
        <v>20</v>
      </c>
      <c r="P171" s="18" t="s">
        <v>21</v>
      </c>
      <c r="Q171" s="18" t="s">
        <v>21</v>
      </c>
      <c r="R171" s="18" t="s">
        <v>23</v>
      </c>
      <c r="S171" s="18" t="s">
        <v>21</v>
      </c>
      <c r="T171" s="18" t="s">
        <v>20</v>
      </c>
      <c r="U171" s="18" t="s">
        <v>21</v>
      </c>
      <c r="V171" s="49" t="s">
        <v>20</v>
      </c>
      <c r="W171" s="37" t="s">
        <v>21</v>
      </c>
      <c r="X171" s="37" t="s">
        <v>20</v>
      </c>
      <c r="Y171" s="18" t="s">
        <v>20</v>
      </c>
      <c r="Z171" s="18" t="s">
        <v>20</v>
      </c>
      <c r="AA171" s="20" t="s">
        <v>21</v>
      </c>
      <c r="AB171" s="20" t="s">
        <v>21</v>
      </c>
      <c r="AC171" s="20" t="s">
        <v>21</v>
      </c>
      <c r="AD171" s="29" t="s">
        <v>21</v>
      </c>
      <c r="AE171" s="29" t="s">
        <v>21</v>
      </c>
      <c r="AG171">
        <f t="shared" si="18"/>
        <v>0</v>
      </c>
      <c r="AH171">
        <f t="shared" si="19"/>
        <v>8</v>
      </c>
      <c r="AI171">
        <f t="shared" si="20"/>
        <v>13</v>
      </c>
      <c r="AJ171">
        <f t="shared" si="21"/>
        <v>5</v>
      </c>
      <c r="AL171">
        <f t="shared" si="22"/>
        <v>0</v>
      </c>
      <c r="AM171">
        <f t="shared" si="23"/>
        <v>24</v>
      </c>
      <c r="AN171">
        <f t="shared" si="24"/>
        <v>26</v>
      </c>
      <c r="AO171">
        <f t="shared" si="25"/>
        <v>5</v>
      </c>
      <c r="AP171">
        <f t="shared" si="26"/>
        <v>55</v>
      </c>
    </row>
    <row r="172" spans="1:42" ht="15.75" hidden="1" customHeight="1" x14ac:dyDescent="0.3">
      <c r="A172" s="16"/>
      <c r="B172" s="55">
        <v>19</v>
      </c>
      <c r="C172" s="56" t="s">
        <v>190</v>
      </c>
      <c r="D172" s="55">
        <v>4</v>
      </c>
      <c r="E172" s="55" t="s">
        <v>21</v>
      </c>
      <c r="F172" s="18" t="s">
        <v>23</v>
      </c>
      <c r="G172" s="18" t="s">
        <v>21</v>
      </c>
      <c r="H172" s="18" t="s">
        <v>21</v>
      </c>
      <c r="I172" s="18" t="s">
        <v>21</v>
      </c>
      <c r="J172" s="43" t="s">
        <v>20</v>
      </c>
      <c r="K172" s="43" t="s">
        <v>20</v>
      </c>
      <c r="L172" s="43" t="s">
        <v>21</v>
      </c>
      <c r="M172" s="18" t="s">
        <v>20</v>
      </c>
      <c r="N172" s="18" t="s">
        <v>20</v>
      </c>
      <c r="O172" s="18" t="s">
        <v>21</v>
      </c>
      <c r="P172" s="18" t="s">
        <v>21</v>
      </c>
      <c r="Q172" s="18" t="s">
        <v>21</v>
      </c>
      <c r="R172" s="18" t="s">
        <v>21</v>
      </c>
      <c r="S172" s="18" t="s">
        <v>20</v>
      </c>
      <c r="T172" s="18" t="s">
        <v>20</v>
      </c>
      <c r="U172" s="18" t="s">
        <v>21</v>
      </c>
      <c r="V172" s="49" t="s">
        <v>20</v>
      </c>
      <c r="W172" s="37" t="s">
        <v>20</v>
      </c>
      <c r="X172" s="37" t="s">
        <v>20</v>
      </c>
      <c r="Y172" s="18" t="s">
        <v>20</v>
      </c>
      <c r="Z172" s="18" t="s">
        <v>21</v>
      </c>
      <c r="AA172" s="20" t="s">
        <v>21</v>
      </c>
      <c r="AB172" s="20" t="s">
        <v>21</v>
      </c>
      <c r="AC172" s="20" t="s">
        <v>21</v>
      </c>
      <c r="AD172" s="29" t="s">
        <v>21</v>
      </c>
      <c r="AE172" s="29" t="s">
        <v>21</v>
      </c>
      <c r="AG172">
        <f t="shared" si="18"/>
        <v>0</v>
      </c>
      <c r="AH172">
        <f t="shared" si="19"/>
        <v>10</v>
      </c>
      <c r="AI172">
        <f t="shared" si="20"/>
        <v>15</v>
      </c>
      <c r="AJ172">
        <f t="shared" si="21"/>
        <v>1</v>
      </c>
      <c r="AL172">
        <f t="shared" si="22"/>
        <v>0</v>
      </c>
      <c r="AM172">
        <f t="shared" si="23"/>
        <v>30</v>
      </c>
      <c r="AN172">
        <f t="shared" si="24"/>
        <v>30</v>
      </c>
      <c r="AO172">
        <f t="shared" si="25"/>
        <v>1</v>
      </c>
      <c r="AP172">
        <f t="shared" si="26"/>
        <v>61</v>
      </c>
    </row>
    <row r="173" spans="1:42" ht="15.75" hidden="1" customHeight="1" x14ac:dyDescent="0.3">
      <c r="A173" s="16"/>
      <c r="B173" s="55">
        <v>20</v>
      </c>
      <c r="C173" s="56" t="s">
        <v>191</v>
      </c>
      <c r="D173" s="55">
        <v>4</v>
      </c>
      <c r="E173" s="55" t="s">
        <v>21</v>
      </c>
      <c r="F173" s="18" t="s">
        <v>20</v>
      </c>
      <c r="G173" s="18" t="s">
        <v>20</v>
      </c>
      <c r="H173" s="18" t="s">
        <v>20</v>
      </c>
      <c r="I173" s="18" t="s">
        <v>39</v>
      </c>
      <c r="J173" s="43" t="s">
        <v>20</v>
      </c>
      <c r="K173" s="43" t="s">
        <v>39</v>
      </c>
      <c r="L173" s="43" t="s">
        <v>20</v>
      </c>
      <c r="M173" s="18" t="s">
        <v>20</v>
      </c>
      <c r="N173" s="18" t="s">
        <v>20</v>
      </c>
      <c r="O173" s="18" t="s">
        <v>20</v>
      </c>
      <c r="P173" s="18" t="s">
        <v>20</v>
      </c>
      <c r="Q173" s="18" t="s">
        <v>20</v>
      </c>
      <c r="R173" s="18" t="s">
        <v>20</v>
      </c>
      <c r="S173" s="18" t="s">
        <v>20</v>
      </c>
      <c r="T173" s="18" t="s">
        <v>20</v>
      </c>
      <c r="U173" s="18" t="s">
        <v>20</v>
      </c>
      <c r="V173" s="50" t="s">
        <v>20</v>
      </c>
      <c r="W173" s="37" t="s">
        <v>20</v>
      </c>
      <c r="X173" s="37" t="s">
        <v>20</v>
      </c>
      <c r="Y173" s="18" t="s">
        <v>39</v>
      </c>
      <c r="Z173" s="18" t="s">
        <v>39</v>
      </c>
      <c r="AA173" s="20" t="s">
        <v>20</v>
      </c>
      <c r="AB173" s="20" t="s">
        <v>20</v>
      </c>
      <c r="AC173" s="20" t="s">
        <v>20</v>
      </c>
      <c r="AD173" s="29" t="s">
        <v>20</v>
      </c>
      <c r="AE173" s="29" t="s">
        <v>21</v>
      </c>
      <c r="AG173">
        <f t="shared" si="18"/>
        <v>4</v>
      </c>
      <c r="AH173">
        <f t="shared" si="19"/>
        <v>21</v>
      </c>
      <c r="AI173">
        <f t="shared" si="20"/>
        <v>1</v>
      </c>
      <c r="AJ173">
        <f t="shared" si="21"/>
        <v>0</v>
      </c>
      <c r="AL173">
        <f t="shared" si="22"/>
        <v>16</v>
      </c>
      <c r="AM173">
        <f t="shared" si="23"/>
        <v>63</v>
      </c>
      <c r="AN173">
        <f t="shared" si="24"/>
        <v>2</v>
      </c>
      <c r="AO173">
        <f t="shared" si="25"/>
        <v>0</v>
      </c>
      <c r="AP173">
        <f t="shared" si="26"/>
        <v>81</v>
      </c>
    </row>
    <row r="174" spans="1:42" ht="15.75" hidden="1" customHeight="1" x14ac:dyDescent="0.3">
      <c r="A174" s="16"/>
      <c r="B174" s="55">
        <v>21</v>
      </c>
      <c r="C174" s="56" t="s">
        <v>192</v>
      </c>
      <c r="D174" s="55">
        <v>4</v>
      </c>
      <c r="E174" s="55" t="s">
        <v>21</v>
      </c>
      <c r="F174" s="18" t="s">
        <v>21</v>
      </c>
      <c r="G174" s="18" t="s">
        <v>23</v>
      </c>
      <c r="H174" s="18" t="s">
        <v>23</v>
      </c>
      <c r="I174" s="18" t="s">
        <v>23</v>
      </c>
      <c r="J174" s="43" t="s">
        <v>20</v>
      </c>
      <c r="K174" s="43" t="s">
        <v>21</v>
      </c>
      <c r="L174" s="43" t="s">
        <v>21</v>
      </c>
      <c r="M174" s="18" t="s">
        <v>21</v>
      </c>
      <c r="N174" s="18" t="s">
        <v>21</v>
      </c>
      <c r="O174" s="18" t="s">
        <v>21</v>
      </c>
      <c r="P174" s="18" t="s">
        <v>21</v>
      </c>
      <c r="Q174" s="18" t="s">
        <v>21</v>
      </c>
      <c r="R174" s="18" t="s">
        <v>23</v>
      </c>
      <c r="S174" s="18" t="s">
        <v>21</v>
      </c>
      <c r="T174" s="18" t="s">
        <v>20</v>
      </c>
      <c r="U174" s="18" t="s">
        <v>20</v>
      </c>
      <c r="V174" s="49" t="s">
        <v>20</v>
      </c>
      <c r="W174" s="37" t="s">
        <v>20</v>
      </c>
      <c r="X174" s="37" t="s">
        <v>20</v>
      </c>
      <c r="Y174" s="18" t="s">
        <v>21</v>
      </c>
      <c r="Z174" s="18" t="s">
        <v>21</v>
      </c>
      <c r="AA174" s="20" t="s">
        <v>21</v>
      </c>
      <c r="AB174" s="20" t="s">
        <v>21</v>
      </c>
      <c r="AC174" s="20" t="s">
        <v>20</v>
      </c>
      <c r="AD174" s="29" t="s">
        <v>21</v>
      </c>
      <c r="AE174" s="29" t="s">
        <v>21</v>
      </c>
      <c r="AG174">
        <f t="shared" si="18"/>
        <v>0</v>
      </c>
      <c r="AH174">
        <f t="shared" si="19"/>
        <v>7</v>
      </c>
      <c r="AI174">
        <f t="shared" si="20"/>
        <v>15</v>
      </c>
      <c r="AJ174">
        <f t="shared" si="21"/>
        <v>4</v>
      </c>
      <c r="AL174">
        <f t="shared" si="22"/>
        <v>0</v>
      </c>
      <c r="AM174">
        <f t="shared" si="23"/>
        <v>21</v>
      </c>
      <c r="AN174">
        <f t="shared" si="24"/>
        <v>30</v>
      </c>
      <c r="AO174">
        <f t="shared" si="25"/>
        <v>4</v>
      </c>
      <c r="AP174">
        <f t="shared" si="26"/>
        <v>55</v>
      </c>
    </row>
    <row r="175" spans="1:42" ht="15.75" hidden="1" customHeight="1" x14ac:dyDescent="0.3">
      <c r="A175" s="16"/>
      <c r="B175" s="55">
        <v>22</v>
      </c>
      <c r="C175" s="56" t="s">
        <v>193</v>
      </c>
      <c r="D175" s="55">
        <v>4</v>
      </c>
      <c r="E175" s="55" t="s">
        <v>21</v>
      </c>
      <c r="F175" s="18" t="s">
        <v>20</v>
      </c>
      <c r="G175" s="18" t="s">
        <v>39</v>
      </c>
      <c r="H175" s="18" t="s">
        <v>39</v>
      </c>
      <c r="I175" s="18" t="s">
        <v>39</v>
      </c>
      <c r="J175" s="43" t="s">
        <v>20</v>
      </c>
      <c r="K175" s="43" t="s">
        <v>20</v>
      </c>
      <c r="L175" s="43" t="s">
        <v>20</v>
      </c>
      <c r="M175" s="18" t="s">
        <v>20</v>
      </c>
      <c r="N175" s="18" t="s">
        <v>20</v>
      </c>
      <c r="O175" s="18" t="s">
        <v>20</v>
      </c>
      <c r="P175" s="18" t="s">
        <v>20</v>
      </c>
      <c r="Q175" s="18" t="s">
        <v>21</v>
      </c>
      <c r="R175" s="18" t="s">
        <v>21</v>
      </c>
      <c r="S175" s="18" t="s">
        <v>20</v>
      </c>
      <c r="T175" s="18" t="s">
        <v>20</v>
      </c>
      <c r="U175" s="18" t="s">
        <v>20</v>
      </c>
      <c r="V175" s="49" t="s">
        <v>20</v>
      </c>
      <c r="W175" s="37" t="s">
        <v>20</v>
      </c>
      <c r="X175" s="37" t="s">
        <v>20</v>
      </c>
      <c r="Y175" s="18" t="s">
        <v>20</v>
      </c>
      <c r="Z175" s="18" t="s">
        <v>20</v>
      </c>
      <c r="AA175" s="20" t="s">
        <v>20</v>
      </c>
      <c r="AB175" s="20" t="s">
        <v>21</v>
      </c>
      <c r="AC175" s="20" t="s">
        <v>20</v>
      </c>
      <c r="AD175" s="29" t="s">
        <v>55</v>
      </c>
      <c r="AE175" s="29" t="s">
        <v>55</v>
      </c>
      <c r="AG175">
        <f t="shared" si="18"/>
        <v>3</v>
      </c>
      <c r="AH175">
        <f t="shared" si="19"/>
        <v>18</v>
      </c>
      <c r="AI175">
        <f t="shared" si="20"/>
        <v>3</v>
      </c>
      <c r="AJ175">
        <f t="shared" si="21"/>
        <v>0</v>
      </c>
      <c r="AL175">
        <f t="shared" si="22"/>
        <v>12</v>
      </c>
      <c r="AM175">
        <f t="shared" si="23"/>
        <v>54</v>
      </c>
      <c r="AN175">
        <f t="shared" si="24"/>
        <v>6</v>
      </c>
      <c r="AO175">
        <f t="shared" si="25"/>
        <v>0</v>
      </c>
      <c r="AP175">
        <f t="shared" si="26"/>
        <v>72</v>
      </c>
    </row>
    <row r="176" spans="1:42" ht="15.75" hidden="1" customHeight="1" x14ac:dyDescent="0.3">
      <c r="A176" s="16"/>
      <c r="B176" s="55">
        <v>23</v>
      </c>
      <c r="C176" s="56" t="s">
        <v>194</v>
      </c>
      <c r="D176" s="55">
        <v>4</v>
      </c>
      <c r="E176" s="55" t="s">
        <v>21</v>
      </c>
      <c r="F176" s="18" t="s">
        <v>20</v>
      </c>
      <c r="G176" s="18" t="s">
        <v>20</v>
      </c>
      <c r="H176" s="18" t="s">
        <v>20</v>
      </c>
      <c r="I176" s="18" t="s">
        <v>20</v>
      </c>
      <c r="J176" s="43" t="s">
        <v>20</v>
      </c>
      <c r="K176" s="43" t="s">
        <v>20</v>
      </c>
      <c r="L176" s="43" t="s">
        <v>21</v>
      </c>
      <c r="M176" s="18" t="s">
        <v>20</v>
      </c>
      <c r="N176" s="18" t="s">
        <v>21</v>
      </c>
      <c r="O176" s="18" t="s">
        <v>20</v>
      </c>
      <c r="P176" s="18" t="s">
        <v>20</v>
      </c>
      <c r="Q176" s="18" t="s">
        <v>20</v>
      </c>
      <c r="R176" s="18" t="s">
        <v>20</v>
      </c>
      <c r="S176" s="18" t="s">
        <v>20</v>
      </c>
      <c r="T176" s="18" t="s">
        <v>20</v>
      </c>
      <c r="U176" s="18" t="s">
        <v>20</v>
      </c>
      <c r="V176" s="49" t="s">
        <v>20</v>
      </c>
      <c r="W176" s="37" t="s">
        <v>20</v>
      </c>
      <c r="X176" s="37" t="s">
        <v>20</v>
      </c>
      <c r="Y176" s="18" t="s">
        <v>20</v>
      </c>
      <c r="Z176" s="18" t="s">
        <v>20</v>
      </c>
      <c r="AA176" s="20" t="s">
        <v>21</v>
      </c>
      <c r="AB176" s="20" t="s">
        <v>21</v>
      </c>
      <c r="AC176" s="20" t="s">
        <v>20</v>
      </c>
      <c r="AD176" s="29" t="s">
        <v>20</v>
      </c>
      <c r="AE176" s="29" t="s">
        <v>21</v>
      </c>
      <c r="AG176">
        <f t="shared" si="18"/>
        <v>0</v>
      </c>
      <c r="AH176">
        <f t="shared" si="19"/>
        <v>21</v>
      </c>
      <c r="AI176">
        <f t="shared" si="20"/>
        <v>5</v>
      </c>
      <c r="AJ176">
        <f t="shared" si="21"/>
        <v>0</v>
      </c>
      <c r="AL176">
        <f t="shared" si="22"/>
        <v>0</v>
      </c>
      <c r="AM176">
        <f t="shared" si="23"/>
        <v>63</v>
      </c>
      <c r="AN176">
        <f t="shared" si="24"/>
        <v>10</v>
      </c>
      <c r="AO176">
        <f t="shared" si="25"/>
        <v>0</v>
      </c>
      <c r="AP176">
        <f t="shared" si="26"/>
        <v>73</v>
      </c>
    </row>
    <row r="177" spans="1:42" ht="15.75" hidden="1" customHeight="1" x14ac:dyDescent="0.3">
      <c r="A177" s="16"/>
      <c r="B177" s="55">
        <v>24</v>
      </c>
      <c r="C177" s="56" t="s">
        <v>195</v>
      </c>
      <c r="D177" s="55">
        <v>4</v>
      </c>
      <c r="E177" s="55" t="s">
        <v>21</v>
      </c>
      <c r="F177" s="18" t="s">
        <v>20</v>
      </c>
      <c r="G177" s="18" t="s">
        <v>20</v>
      </c>
      <c r="H177" s="18" t="s">
        <v>20</v>
      </c>
      <c r="I177" s="18" t="s">
        <v>20</v>
      </c>
      <c r="J177" s="43" t="s">
        <v>20</v>
      </c>
      <c r="K177" s="43" t="s">
        <v>20</v>
      </c>
      <c r="L177" s="43" t="s">
        <v>20</v>
      </c>
      <c r="M177" s="18" t="s">
        <v>20</v>
      </c>
      <c r="N177" s="18" t="s">
        <v>20</v>
      </c>
      <c r="O177" s="18" t="s">
        <v>20</v>
      </c>
      <c r="P177" s="18" t="s">
        <v>21</v>
      </c>
      <c r="Q177" s="18" t="s">
        <v>21</v>
      </c>
      <c r="R177" s="18" t="s">
        <v>20</v>
      </c>
      <c r="S177" s="18" t="s">
        <v>20</v>
      </c>
      <c r="T177" s="18" t="s">
        <v>20</v>
      </c>
      <c r="U177" s="18" t="s">
        <v>20</v>
      </c>
      <c r="V177" s="49" t="s">
        <v>20</v>
      </c>
      <c r="W177" s="37" t="s">
        <v>20</v>
      </c>
      <c r="X177" s="37" t="s">
        <v>20</v>
      </c>
      <c r="Y177" s="18" t="s">
        <v>20</v>
      </c>
      <c r="Z177" s="18" t="s">
        <v>20</v>
      </c>
      <c r="AA177" s="20" t="s">
        <v>20</v>
      </c>
      <c r="AB177" s="20" t="s">
        <v>20</v>
      </c>
      <c r="AC177" s="20" t="s">
        <v>20</v>
      </c>
      <c r="AD177" s="29" t="s">
        <v>20</v>
      </c>
      <c r="AE177" s="29" t="s">
        <v>21</v>
      </c>
      <c r="AG177">
        <f t="shared" si="18"/>
        <v>0</v>
      </c>
      <c r="AH177">
        <f t="shared" si="19"/>
        <v>23</v>
      </c>
      <c r="AI177">
        <f t="shared" si="20"/>
        <v>3</v>
      </c>
      <c r="AJ177">
        <f t="shared" si="21"/>
        <v>0</v>
      </c>
      <c r="AL177">
        <f t="shared" si="22"/>
        <v>0</v>
      </c>
      <c r="AM177">
        <f t="shared" si="23"/>
        <v>69</v>
      </c>
      <c r="AN177">
        <f t="shared" si="24"/>
        <v>6</v>
      </c>
      <c r="AO177">
        <f t="shared" si="25"/>
        <v>0</v>
      </c>
      <c r="AP177">
        <f t="shared" si="26"/>
        <v>75</v>
      </c>
    </row>
    <row r="178" spans="1:42" ht="15.75" hidden="1" customHeight="1" thickBot="1" x14ac:dyDescent="0.35">
      <c r="A178" s="16"/>
      <c r="B178" s="57">
        <v>25</v>
      </c>
      <c r="C178" s="58" t="s">
        <v>196</v>
      </c>
      <c r="D178" s="57">
        <v>4</v>
      </c>
      <c r="E178" s="57" t="s">
        <v>21</v>
      </c>
      <c r="F178" s="21" t="s">
        <v>20</v>
      </c>
      <c r="G178" s="21" t="s">
        <v>20</v>
      </c>
      <c r="H178" s="21" t="s">
        <v>20</v>
      </c>
      <c r="I178" s="21" t="s">
        <v>20</v>
      </c>
      <c r="J178" s="45" t="s">
        <v>20</v>
      </c>
      <c r="K178" s="45" t="s">
        <v>39</v>
      </c>
      <c r="L178" s="45" t="s">
        <v>20</v>
      </c>
      <c r="M178" s="21" t="s">
        <v>20</v>
      </c>
      <c r="N178" s="21" t="s">
        <v>20</v>
      </c>
      <c r="O178" s="21" t="s">
        <v>20</v>
      </c>
      <c r="P178" s="21" t="s">
        <v>20</v>
      </c>
      <c r="Q178" s="21" t="s">
        <v>20</v>
      </c>
      <c r="R178" s="21" t="s">
        <v>20</v>
      </c>
      <c r="S178" s="21" t="s">
        <v>20</v>
      </c>
      <c r="T178" s="41" t="s">
        <v>20</v>
      </c>
      <c r="U178" s="21" t="s">
        <v>20</v>
      </c>
      <c r="V178" s="51" t="s">
        <v>20</v>
      </c>
      <c r="W178" s="38" t="s">
        <v>20</v>
      </c>
      <c r="X178" s="38" t="s">
        <v>20</v>
      </c>
      <c r="Y178" s="21" t="s">
        <v>20</v>
      </c>
      <c r="Z178" s="21" t="s">
        <v>21</v>
      </c>
      <c r="AA178" s="23" t="s">
        <v>20</v>
      </c>
      <c r="AB178" s="23" t="s">
        <v>21</v>
      </c>
      <c r="AC178" s="23" t="s">
        <v>20</v>
      </c>
      <c r="AD178" s="31" t="s">
        <v>20</v>
      </c>
      <c r="AE178" s="31" t="s">
        <v>21</v>
      </c>
      <c r="AG178">
        <f t="shared" si="18"/>
        <v>1</v>
      </c>
      <c r="AH178">
        <f t="shared" si="19"/>
        <v>22</v>
      </c>
      <c r="AI178">
        <f t="shared" si="20"/>
        <v>3</v>
      </c>
      <c r="AJ178">
        <f t="shared" si="21"/>
        <v>0</v>
      </c>
      <c r="AL178">
        <f t="shared" si="22"/>
        <v>4</v>
      </c>
      <c r="AM178">
        <f t="shared" si="23"/>
        <v>66</v>
      </c>
      <c r="AN178">
        <f t="shared" si="24"/>
        <v>6</v>
      </c>
      <c r="AO178">
        <f t="shared" si="25"/>
        <v>0</v>
      </c>
      <c r="AP178">
        <f t="shared" si="26"/>
        <v>76</v>
      </c>
    </row>
    <row r="179" spans="1:42" ht="15.75" hidden="1" customHeight="1" x14ac:dyDescent="0.3">
      <c r="A179" s="16"/>
      <c r="B179" s="59">
        <v>1</v>
      </c>
      <c r="C179" s="60" t="s">
        <v>197</v>
      </c>
      <c r="D179" s="59">
        <v>5</v>
      </c>
      <c r="E179" s="59" t="s">
        <v>20</v>
      </c>
      <c r="F179" s="24" t="s">
        <v>20</v>
      </c>
      <c r="G179" s="24" t="s">
        <v>20</v>
      </c>
      <c r="H179" s="24" t="s">
        <v>39</v>
      </c>
      <c r="I179" s="24" t="s">
        <v>39</v>
      </c>
      <c r="J179" s="42" t="s">
        <v>20</v>
      </c>
      <c r="K179" s="42" t="s">
        <v>20</v>
      </c>
      <c r="L179" s="42" t="s">
        <v>20</v>
      </c>
      <c r="M179" s="24" t="s">
        <v>20</v>
      </c>
      <c r="N179" s="24" t="s">
        <v>20</v>
      </c>
      <c r="O179" s="24" t="s">
        <v>20</v>
      </c>
      <c r="P179" s="24" t="s">
        <v>21</v>
      </c>
      <c r="Q179" s="24" t="s">
        <v>21</v>
      </c>
      <c r="R179" s="24" t="s">
        <v>21</v>
      </c>
      <c r="S179" s="24" t="s">
        <v>20</v>
      </c>
      <c r="T179" s="24" t="s">
        <v>21</v>
      </c>
      <c r="U179" s="24" t="s">
        <v>21</v>
      </c>
      <c r="V179" s="52" t="s">
        <v>20</v>
      </c>
      <c r="W179" s="39" t="s">
        <v>21</v>
      </c>
      <c r="X179" s="39" t="s">
        <v>21</v>
      </c>
      <c r="Y179" s="24" t="s">
        <v>20</v>
      </c>
      <c r="Z179" s="24" t="s">
        <v>20</v>
      </c>
      <c r="AA179" s="27" t="s">
        <v>20</v>
      </c>
      <c r="AB179" s="27" t="s">
        <v>20</v>
      </c>
      <c r="AC179" s="27" t="s">
        <v>21</v>
      </c>
      <c r="AD179" s="34" t="s">
        <v>20</v>
      </c>
      <c r="AE179" s="34" t="s">
        <v>21</v>
      </c>
      <c r="AG179">
        <f t="shared" si="18"/>
        <v>2</v>
      </c>
      <c r="AH179">
        <f t="shared" si="19"/>
        <v>15</v>
      </c>
      <c r="AI179">
        <f t="shared" si="20"/>
        <v>9</v>
      </c>
      <c r="AJ179">
        <f t="shared" si="21"/>
        <v>0</v>
      </c>
      <c r="AL179">
        <f t="shared" si="22"/>
        <v>8</v>
      </c>
      <c r="AM179">
        <f t="shared" si="23"/>
        <v>45</v>
      </c>
      <c r="AN179">
        <f t="shared" si="24"/>
        <v>18</v>
      </c>
      <c r="AO179">
        <f t="shared" si="25"/>
        <v>0</v>
      </c>
      <c r="AP179">
        <f t="shared" si="26"/>
        <v>71</v>
      </c>
    </row>
    <row r="180" spans="1:42" ht="15.75" hidden="1" customHeight="1" x14ac:dyDescent="0.3">
      <c r="A180" s="16"/>
      <c r="B180" s="55">
        <v>2</v>
      </c>
      <c r="C180" s="56" t="s">
        <v>198</v>
      </c>
      <c r="D180" s="55">
        <v>5</v>
      </c>
      <c r="E180" s="55" t="s">
        <v>20</v>
      </c>
      <c r="F180" s="18" t="s">
        <v>20</v>
      </c>
      <c r="G180" s="18" t="s">
        <v>20</v>
      </c>
      <c r="H180" s="18" t="s">
        <v>20</v>
      </c>
      <c r="I180" s="18" t="s">
        <v>20</v>
      </c>
      <c r="J180" s="43" t="s">
        <v>20</v>
      </c>
      <c r="K180" s="43" t="s">
        <v>20</v>
      </c>
      <c r="L180" s="43" t="s">
        <v>20</v>
      </c>
      <c r="M180" s="18" t="s">
        <v>20</v>
      </c>
      <c r="N180" s="18" t="s">
        <v>20</v>
      </c>
      <c r="O180" s="18" t="s">
        <v>20</v>
      </c>
      <c r="P180" s="18" t="s">
        <v>21</v>
      </c>
      <c r="Q180" s="18" t="s">
        <v>20</v>
      </c>
      <c r="R180" s="18" t="s">
        <v>20</v>
      </c>
      <c r="S180" s="18" t="s">
        <v>20</v>
      </c>
      <c r="T180" s="18" t="s">
        <v>21</v>
      </c>
      <c r="U180" s="18" t="s">
        <v>20</v>
      </c>
      <c r="V180" s="49" t="s">
        <v>20</v>
      </c>
      <c r="W180" s="37" t="s">
        <v>20</v>
      </c>
      <c r="X180" s="37" t="s">
        <v>20</v>
      </c>
      <c r="Y180" s="18" t="s">
        <v>21</v>
      </c>
      <c r="Z180" s="18" t="s">
        <v>20</v>
      </c>
      <c r="AA180" s="20" t="s">
        <v>21</v>
      </c>
      <c r="AB180" s="20" t="s">
        <v>20</v>
      </c>
      <c r="AC180" s="20" t="s">
        <v>20</v>
      </c>
      <c r="AD180" s="29" t="s">
        <v>20</v>
      </c>
      <c r="AE180" s="29" t="s">
        <v>21</v>
      </c>
      <c r="AG180">
        <f t="shared" si="18"/>
        <v>0</v>
      </c>
      <c r="AH180">
        <f t="shared" si="19"/>
        <v>21</v>
      </c>
      <c r="AI180">
        <f t="shared" si="20"/>
        <v>5</v>
      </c>
      <c r="AJ180">
        <f t="shared" si="21"/>
        <v>0</v>
      </c>
      <c r="AL180">
        <f t="shared" si="22"/>
        <v>0</v>
      </c>
      <c r="AM180">
        <f t="shared" si="23"/>
        <v>63</v>
      </c>
      <c r="AN180">
        <f t="shared" si="24"/>
        <v>10</v>
      </c>
      <c r="AO180">
        <f t="shared" si="25"/>
        <v>0</v>
      </c>
      <c r="AP180">
        <f t="shared" si="26"/>
        <v>73</v>
      </c>
    </row>
    <row r="181" spans="1:42" ht="15.75" hidden="1" customHeight="1" x14ac:dyDescent="0.3">
      <c r="A181" s="16"/>
      <c r="B181" s="55">
        <v>3</v>
      </c>
      <c r="C181" s="56" t="s">
        <v>199</v>
      </c>
      <c r="D181" s="55">
        <v>5</v>
      </c>
      <c r="E181" s="55" t="s">
        <v>20</v>
      </c>
      <c r="F181" s="18" t="s">
        <v>23</v>
      </c>
      <c r="G181" s="18" t="s">
        <v>23</v>
      </c>
      <c r="H181" s="18" t="s">
        <v>21</v>
      </c>
      <c r="I181" s="18" t="s">
        <v>21</v>
      </c>
      <c r="J181" s="43" t="s">
        <v>20</v>
      </c>
      <c r="K181" s="43" t="s">
        <v>20</v>
      </c>
      <c r="L181" s="43" t="s">
        <v>21</v>
      </c>
      <c r="M181" s="18" t="s">
        <v>20</v>
      </c>
      <c r="N181" s="18" t="s">
        <v>20</v>
      </c>
      <c r="O181" s="18" t="s">
        <v>20</v>
      </c>
      <c r="P181" s="18" t="s">
        <v>21</v>
      </c>
      <c r="Q181" s="18" t="s">
        <v>21</v>
      </c>
      <c r="R181" s="18" t="s">
        <v>20</v>
      </c>
      <c r="S181" s="18" t="s">
        <v>21</v>
      </c>
      <c r="T181" s="18" t="s">
        <v>20</v>
      </c>
      <c r="U181" s="18" t="s">
        <v>20</v>
      </c>
      <c r="V181" s="49" t="s">
        <v>20</v>
      </c>
      <c r="W181" s="37" t="s">
        <v>20</v>
      </c>
      <c r="X181" s="37" t="s">
        <v>20</v>
      </c>
      <c r="Y181" s="18" t="s">
        <v>20</v>
      </c>
      <c r="Z181" s="18" t="s">
        <v>20</v>
      </c>
      <c r="AA181" s="20" t="s">
        <v>21</v>
      </c>
      <c r="AB181" s="20" t="s">
        <v>21</v>
      </c>
      <c r="AC181" s="20" t="s">
        <v>21</v>
      </c>
      <c r="AD181" s="29" t="s">
        <v>20</v>
      </c>
      <c r="AE181" s="29" t="s">
        <v>21</v>
      </c>
      <c r="AG181">
        <f t="shared" si="18"/>
        <v>0</v>
      </c>
      <c r="AH181">
        <f t="shared" si="19"/>
        <v>14</v>
      </c>
      <c r="AI181">
        <f t="shared" si="20"/>
        <v>10</v>
      </c>
      <c r="AJ181">
        <f t="shared" si="21"/>
        <v>2</v>
      </c>
      <c r="AL181">
        <f t="shared" si="22"/>
        <v>0</v>
      </c>
      <c r="AM181">
        <f t="shared" si="23"/>
        <v>42</v>
      </c>
      <c r="AN181">
        <f t="shared" si="24"/>
        <v>20</v>
      </c>
      <c r="AO181">
        <f t="shared" si="25"/>
        <v>2</v>
      </c>
      <c r="AP181">
        <f t="shared" si="26"/>
        <v>64</v>
      </c>
    </row>
    <row r="182" spans="1:42" ht="15.75" hidden="1" customHeight="1" x14ac:dyDescent="0.3">
      <c r="A182" s="16"/>
      <c r="B182" s="55">
        <v>4</v>
      </c>
      <c r="C182" s="56" t="s">
        <v>200</v>
      </c>
      <c r="D182" s="55">
        <v>5</v>
      </c>
      <c r="E182" s="55" t="s">
        <v>20</v>
      </c>
      <c r="F182" s="18" t="s">
        <v>23</v>
      </c>
      <c r="G182" s="18" t="s">
        <v>23</v>
      </c>
      <c r="H182" s="18" t="s">
        <v>23</v>
      </c>
      <c r="I182" s="18" t="s">
        <v>23</v>
      </c>
      <c r="J182" s="43" t="s">
        <v>21</v>
      </c>
      <c r="K182" s="43" t="s">
        <v>21</v>
      </c>
      <c r="L182" s="43" t="s">
        <v>21</v>
      </c>
      <c r="M182" s="18" t="s">
        <v>21</v>
      </c>
      <c r="N182" s="18" t="s">
        <v>21</v>
      </c>
      <c r="O182" s="18" t="s">
        <v>20</v>
      </c>
      <c r="P182" s="18" t="s">
        <v>23</v>
      </c>
      <c r="Q182" s="18" t="s">
        <v>21</v>
      </c>
      <c r="R182" s="18" t="s">
        <v>21</v>
      </c>
      <c r="S182" s="18" t="s">
        <v>21</v>
      </c>
      <c r="T182" s="18" t="s">
        <v>21</v>
      </c>
      <c r="U182" s="18" t="s">
        <v>20</v>
      </c>
      <c r="V182" s="49" t="s">
        <v>20</v>
      </c>
      <c r="W182" s="37" t="s">
        <v>20</v>
      </c>
      <c r="X182" s="37" t="s">
        <v>20</v>
      </c>
      <c r="Y182" s="18" t="s">
        <v>20</v>
      </c>
      <c r="Z182" s="18" t="s">
        <v>20</v>
      </c>
      <c r="AA182" s="20" t="s">
        <v>21</v>
      </c>
      <c r="AB182" s="20" t="s">
        <v>21</v>
      </c>
      <c r="AC182" s="20" t="s">
        <v>21</v>
      </c>
      <c r="AD182" s="29" t="s">
        <v>21</v>
      </c>
      <c r="AE182" s="29" t="s">
        <v>21</v>
      </c>
      <c r="AG182">
        <f t="shared" si="18"/>
        <v>0</v>
      </c>
      <c r="AH182">
        <f t="shared" si="19"/>
        <v>7</v>
      </c>
      <c r="AI182">
        <f t="shared" si="20"/>
        <v>14</v>
      </c>
      <c r="AJ182">
        <f t="shared" si="21"/>
        <v>5</v>
      </c>
      <c r="AL182">
        <f t="shared" si="22"/>
        <v>0</v>
      </c>
      <c r="AM182">
        <f t="shared" si="23"/>
        <v>21</v>
      </c>
      <c r="AN182">
        <f t="shared" si="24"/>
        <v>28</v>
      </c>
      <c r="AO182">
        <f t="shared" si="25"/>
        <v>5</v>
      </c>
      <c r="AP182">
        <f t="shared" si="26"/>
        <v>54</v>
      </c>
    </row>
    <row r="183" spans="1:42" ht="15.75" hidden="1" customHeight="1" x14ac:dyDescent="0.3">
      <c r="A183" s="16"/>
      <c r="B183" s="55">
        <v>5</v>
      </c>
      <c r="C183" s="56" t="s">
        <v>201</v>
      </c>
      <c r="D183" s="55">
        <v>5</v>
      </c>
      <c r="E183" s="55" t="s">
        <v>20</v>
      </c>
      <c r="F183" s="18" t="s">
        <v>20</v>
      </c>
      <c r="G183" s="18" t="s">
        <v>20</v>
      </c>
      <c r="H183" s="18" t="s">
        <v>39</v>
      </c>
      <c r="I183" s="18" t="s">
        <v>39</v>
      </c>
      <c r="J183" s="43" t="s">
        <v>20</v>
      </c>
      <c r="K183" s="43" t="s">
        <v>20</v>
      </c>
      <c r="L183" s="43" t="s">
        <v>20</v>
      </c>
      <c r="M183" s="18" t="s">
        <v>20</v>
      </c>
      <c r="N183" s="18" t="s">
        <v>20</v>
      </c>
      <c r="O183" s="18" t="s">
        <v>20</v>
      </c>
      <c r="P183" s="18" t="s">
        <v>20</v>
      </c>
      <c r="Q183" s="18" t="s">
        <v>21</v>
      </c>
      <c r="R183" s="18" t="s">
        <v>21</v>
      </c>
      <c r="S183" s="18" t="s">
        <v>20</v>
      </c>
      <c r="T183" s="18" t="s">
        <v>21</v>
      </c>
      <c r="U183" s="18" t="s">
        <v>20</v>
      </c>
      <c r="V183" s="50" t="s">
        <v>20</v>
      </c>
      <c r="W183" s="37" t="s">
        <v>20</v>
      </c>
      <c r="X183" s="37" t="s">
        <v>20</v>
      </c>
      <c r="Y183" s="18" t="s">
        <v>20</v>
      </c>
      <c r="Z183" s="18" t="s">
        <v>20</v>
      </c>
      <c r="AA183" s="20" t="s">
        <v>21</v>
      </c>
      <c r="AB183" s="20" t="s">
        <v>21</v>
      </c>
      <c r="AC183" s="20" t="s">
        <v>21</v>
      </c>
      <c r="AD183" s="29" t="s">
        <v>20</v>
      </c>
      <c r="AE183" s="29" t="s">
        <v>21</v>
      </c>
      <c r="AG183">
        <f t="shared" si="18"/>
        <v>2</v>
      </c>
      <c r="AH183">
        <f t="shared" si="19"/>
        <v>17</v>
      </c>
      <c r="AI183">
        <f t="shared" si="20"/>
        <v>7</v>
      </c>
      <c r="AJ183">
        <f t="shared" si="21"/>
        <v>0</v>
      </c>
      <c r="AL183">
        <f t="shared" si="22"/>
        <v>8</v>
      </c>
      <c r="AM183">
        <f t="shared" si="23"/>
        <v>51</v>
      </c>
      <c r="AN183">
        <f t="shared" si="24"/>
        <v>14</v>
      </c>
      <c r="AO183">
        <f t="shared" si="25"/>
        <v>0</v>
      </c>
      <c r="AP183">
        <f t="shared" si="26"/>
        <v>73</v>
      </c>
    </row>
    <row r="184" spans="1:42" ht="15.75" hidden="1" customHeight="1" x14ac:dyDescent="0.3">
      <c r="A184" s="16"/>
      <c r="B184" s="55">
        <v>6</v>
      </c>
      <c r="C184" s="56" t="s">
        <v>202</v>
      </c>
      <c r="D184" s="55">
        <v>5</v>
      </c>
      <c r="E184" s="55" t="s">
        <v>20</v>
      </c>
      <c r="F184" s="18" t="s">
        <v>20</v>
      </c>
      <c r="G184" s="18" t="s">
        <v>20</v>
      </c>
      <c r="H184" s="18" t="s">
        <v>39</v>
      </c>
      <c r="I184" s="18" t="s">
        <v>39</v>
      </c>
      <c r="J184" s="43" t="s">
        <v>20</v>
      </c>
      <c r="K184" s="43" t="s">
        <v>20</v>
      </c>
      <c r="L184" s="43" t="s">
        <v>20</v>
      </c>
      <c r="M184" s="18" t="s">
        <v>20</v>
      </c>
      <c r="N184" s="18" t="s">
        <v>20</v>
      </c>
      <c r="O184" s="18" t="s">
        <v>20</v>
      </c>
      <c r="P184" s="18" t="s">
        <v>21</v>
      </c>
      <c r="Q184" s="18" t="s">
        <v>21</v>
      </c>
      <c r="R184" s="18" t="s">
        <v>21</v>
      </c>
      <c r="S184" s="18" t="s">
        <v>21</v>
      </c>
      <c r="T184" s="18" t="s">
        <v>20</v>
      </c>
      <c r="U184" s="18" t="s">
        <v>20</v>
      </c>
      <c r="V184" s="49" t="s">
        <v>20</v>
      </c>
      <c r="W184" s="37" t="s">
        <v>20</v>
      </c>
      <c r="X184" s="53" t="s">
        <v>20</v>
      </c>
      <c r="Y184" s="18" t="s">
        <v>20</v>
      </c>
      <c r="Z184" s="18" t="s">
        <v>20</v>
      </c>
      <c r="AA184" s="20" t="s">
        <v>20</v>
      </c>
      <c r="AB184" s="20" t="s">
        <v>20</v>
      </c>
      <c r="AC184" s="20" t="s">
        <v>20</v>
      </c>
      <c r="AD184" s="29" t="s">
        <v>20</v>
      </c>
      <c r="AE184" s="29" t="s">
        <v>21</v>
      </c>
      <c r="AG184">
        <f t="shared" si="18"/>
        <v>2</v>
      </c>
      <c r="AH184">
        <f t="shared" si="19"/>
        <v>19</v>
      </c>
      <c r="AI184">
        <f t="shared" si="20"/>
        <v>5</v>
      </c>
      <c r="AJ184">
        <f t="shared" si="21"/>
        <v>0</v>
      </c>
      <c r="AL184">
        <f t="shared" si="22"/>
        <v>8</v>
      </c>
      <c r="AM184">
        <f t="shared" si="23"/>
        <v>57</v>
      </c>
      <c r="AN184">
        <f t="shared" si="24"/>
        <v>10</v>
      </c>
      <c r="AO184">
        <f t="shared" si="25"/>
        <v>0</v>
      </c>
      <c r="AP184">
        <f t="shared" si="26"/>
        <v>75</v>
      </c>
    </row>
    <row r="185" spans="1:42" ht="15.75" hidden="1" customHeight="1" x14ac:dyDescent="0.3">
      <c r="A185" s="16"/>
      <c r="B185" s="55">
        <v>7</v>
      </c>
      <c r="C185" s="56" t="s">
        <v>203</v>
      </c>
      <c r="D185" s="55">
        <v>5</v>
      </c>
      <c r="E185" s="55" t="s">
        <v>20</v>
      </c>
      <c r="F185" s="18" t="s">
        <v>23</v>
      </c>
      <c r="G185" s="18" t="s">
        <v>21</v>
      </c>
      <c r="H185" s="18" t="s">
        <v>23</v>
      </c>
      <c r="I185" s="18" t="s">
        <v>21</v>
      </c>
      <c r="J185" s="43" t="s">
        <v>20</v>
      </c>
      <c r="K185" s="43" t="s">
        <v>20</v>
      </c>
      <c r="L185" s="43" t="s">
        <v>21</v>
      </c>
      <c r="M185" s="18" t="s">
        <v>21</v>
      </c>
      <c r="N185" s="18" t="s">
        <v>20</v>
      </c>
      <c r="O185" s="18" t="s">
        <v>20</v>
      </c>
      <c r="P185" s="18" t="s">
        <v>21</v>
      </c>
      <c r="Q185" s="18" t="s">
        <v>20</v>
      </c>
      <c r="R185" s="18" t="s">
        <v>20</v>
      </c>
      <c r="S185" s="18" t="s">
        <v>21</v>
      </c>
      <c r="T185" s="18" t="s">
        <v>21</v>
      </c>
      <c r="U185" s="18" t="s">
        <v>20</v>
      </c>
      <c r="V185" s="49" t="s">
        <v>20</v>
      </c>
      <c r="W185" s="37" t="s">
        <v>20</v>
      </c>
      <c r="X185" s="37" t="s">
        <v>20</v>
      </c>
      <c r="Y185" s="18" t="s">
        <v>20</v>
      </c>
      <c r="Z185" s="18" t="s">
        <v>21</v>
      </c>
      <c r="AA185" s="20" t="s">
        <v>21</v>
      </c>
      <c r="AB185" s="20" t="s">
        <v>20</v>
      </c>
      <c r="AC185" s="20" t="s">
        <v>21</v>
      </c>
      <c r="AD185" s="29" t="s">
        <v>20</v>
      </c>
      <c r="AE185" s="29" t="s">
        <v>21</v>
      </c>
      <c r="AG185">
        <f t="shared" si="18"/>
        <v>0</v>
      </c>
      <c r="AH185">
        <f t="shared" si="19"/>
        <v>13</v>
      </c>
      <c r="AI185">
        <f t="shared" si="20"/>
        <v>11</v>
      </c>
      <c r="AJ185">
        <f t="shared" si="21"/>
        <v>2</v>
      </c>
      <c r="AL185">
        <f t="shared" si="22"/>
        <v>0</v>
      </c>
      <c r="AM185">
        <f t="shared" si="23"/>
        <v>39</v>
      </c>
      <c r="AN185">
        <f t="shared" si="24"/>
        <v>22</v>
      </c>
      <c r="AO185">
        <f t="shared" si="25"/>
        <v>2</v>
      </c>
      <c r="AP185">
        <f t="shared" si="26"/>
        <v>63</v>
      </c>
    </row>
    <row r="186" spans="1:42" ht="15.75" hidden="1" customHeight="1" x14ac:dyDescent="0.3">
      <c r="A186" s="16"/>
      <c r="B186" s="55">
        <v>8</v>
      </c>
      <c r="C186" s="56" t="s">
        <v>204</v>
      </c>
      <c r="D186" s="55">
        <v>5</v>
      </c>
      <c r="E186" s="55" t="s">
        <v>20</v>
      </c>
      <c r="F186" s="18" t="s">
        <v>21</v>
      </c>
      <c r="G186" s="18" t="s">
        <v>21</v>
      </c>
      <c r="H186" s="18" t="s">
        <v>21</v>
      </c>
      <c r="I186" s="18" t="s">
        <v>21</v>
      </c>
      <c r="J186" s="43" t="s">
        <v>21</v>
      </c>
      <c r="K186" s="43" t="s">
        <v>21</v>
      </c>
      <c r="L186" s="43" t="s">
        <v>21</v>
      </c>
      <c r="M186" s="18" t="s">
        <v>21</v>
      </c>
      <c r="N186" s="18" t="s">
        <v>20</v>
      </c>
      <c r="O186" s="18" t="s">
        <v>20</v>
      </c>
      <c r="P186" s="18" t="s">
        <v>21</v>
      </c>
      <c r="Q186" s="18" t="s">
        <v>23</v>
      </c>
      <c r="R186" s="18" t="s">
        <v>21</v>
      </c>
      <c r="S186" s="18" t="s">
        <v>21</v>
      </c>
      <c r="T186" s="18" t="s">
        <v>21</v>
      </c>
      <c r="U186" s="18" t="s">
        <v>21</v>
      </c>
      <c r="V186" s="49" t="s">
        <v>21</v>
      </c>
      <c r="W186" s="37" t="s">
        <v>20</v>
      </c>
      <c r="X186" s="37" t="s">
        <v>20</v>
      </c>
      <c r="Y186" s="18" t="s">
        <v>21</v>
      </c>
      <c r="Z186" s="18" t="s">
        <v>21</v>
      </c>
      <c r="AA186" s="20" t="s">
        <v>21</v>
      </c>
      <c r="AB186" s="20" t="s">
        <v>21</v>
      </c>
      <c r="AC186" s="20" t="s">
        <v>21</v>
      </c>
      <c r="AD186" s="29" t="s">
        <v>21</v>
      </c>
      <c r="AE186" s="29" t="s">
        <v>21</v>
      </c>
      <c r="AG186">
        <f t="shared" si="18"/>
        <v>0</v>
      </c>
      <c r="AH186">
        <f t="shared" si="19"/>
        <v>4</v>
      </c>
      <c r="AI186">
        <f t="shared" si="20"/>
        <v>21</v>
      </c>
      <c r="AJ186">
        <f t="shared" si="21"/>
        <v>1</v>
      </c>
      <c r="AL186">
        <f t="shared" si="22"/>
        <v>0</v>
      </c>
      <c r="AM186">
        <f t="shared" si="23"/>
        <v>12</v>
      </c>
      <c r="AN186">
        <f t="shared" si="24"/>
        <v>42</v>
      </c>
      <c r="AO186">
        <f t="shared" si="25"/>
        <v>1</v>
      </c>
      <c r="AP186">
        <f t="shared" si="26"/>
        <v>55</v>
      </c>
    </row>
    <row r="187" spans="1:42" ht="15.75" hidden="1" customHeight="1" x14ac:dyDescent="0.3">
      <c r="A187" s="16"/>
      <c r="B187" s="55">
        <v>9</v>
      </c>
      <c r="C187" s="56" t="s">
        <v>205</v>
      </c>
      <c r="D187" s="55">
        <v>5</v>
      </c>
      <c r="E187" s="55" t="s">
        <v>20</v>
      </c>
      <c r="F187" s="18" t="s">
        <v>20</v>
      </c>
      <c r="G187" s="18" t="s">
        <v>20</v>
      </c>
      <c r="H187" s="18" t="s">
        <v>20</v>
      </c>
      <c r="I187" s="18" t="s">
        <v>20</v>
      </c>
      <c r="J187" s="43" t="s">
        <v>20</v>
      </c>
      <c r="K187" s="43" t="s">
        <v>20</v>
      </c>
      <c r="L187" s="43" t="s">
        <v>20</v>
      </c>
      <c r="M187" s="18" t="s">
        <v>20</v>
      </c>
      <c r="N187" s="18" t="s">
        <v>20</v>
      </c>
      <c r="O187" s="18" t="s">
        <v>20</v>
      </c>
      <c r="P187" s="18" t="s">
        <v>21</v>
      </c>
      <c r="Q187" s="18" t="s">
        <v>21</v>
      </c>
      <c r="R187" s="18" t="s">
        <v>20</v>
      </c>
      <c r="S187" s="18" t="s">
        <v>20</v>
      </c>
      <c r="T187" s="18" t="s">
        <v>21</v>
      </c>
      <c r="U187" s="18" t="s">
        <v>21</v>
      </c>
      <c r="V187" s="49" t="s">
        <v>20</v>
      </c>
      <c r="W187" s="37" t="s">
        <v>20</v>
      </c>
      <c r="X187" s="37" t="s">
        <v>20</v>
      </c>
      <c r="Y187" s="18" t="s">
        <v>20</v>
      </c>
      <c r="Z187" s="18" t="s">
        <v>20</v>
      </c>
      <c r="AA187" s="20" t="s">
        <v>20</v>
      </c>
      <c r="AB187" s="20" t="s">
        <v>20</v>
      </c>
      <c r="AC187" s="20" t="s">
        <v>20</v>
      </c>
      <c r="AD187" s="29" t="s">
        <v>20</v>
      </c>
      <c r="AE187" s="29" t="s">
        <v>21</v>
      </c>
      <c r="AG187">
        <f t="shared" si="18"/>
        <v>0</v>
      </c>
      <c r="AH187">
        <f t="shared" si="19"/>
        <v>21</v>
      </c>
      <c r="AI187">
        <f t="shared" si="20"/>
        <v>5</v>
      </c>
      <c r="AJ187">
        <f t="shared" si="21"/>
        <v>0</v>
      </c>
      <c r="AL187">
        <f t="shared" si="22"/>
        <v>0</v>
      </c>
      <c r="AM187">
        <f t="shared" si="23"/>
        <v>63</v>
      </c>
      <c r="AN187">
        <f t="shared" si="24"/>
        <v>10</v>
      </c>
      <c r="AO187">
        <f t="shared" si="25"/>
        <v>0</v>
      </c>
      <c r="AP187">
        <f t="shared" si="26"/>
        <v>73</v>
      </c>
    </row>
    <row r="188" spans="1:42" ht="15.75" hidden="1" customHeight="1" x14ac:dyDescent="0.3">
      <c r="A188" s="16"/>
      <c r="B188" s="55">
        <v>10</v>
      </c>
      <c r="C188" s="56" t="s">
        <v>206</v>
      </c>
      <c r="D188" s="55">
        <v>5</v>
      </c>
      <c r="E188" s="55" t="s">
        <v>20</v>
      </c>
      <c r="F188" s="18" t="s">
        <v>20</v>
      </c>
      <c r="G188" s="18" t="s">
        <v>20</v>
      </c>
      <c r="H188" s="18" t="s">
        <v>20</v>
      </c>
      <c r="I188" s="18" t="s">
        <v>20</v>
      </c>
      <c r="J188" s="43" t="s">
        <v>20</v>
      </c>
      <c r="K188" s="43" t="s">
        <v>20</v>
      </c>
      <c r="L188" s="43" t="s">
        <v>21</v>
      </c>
      <c r="M188" s="18" t="s">
        <v>20</v>
      </c>
      <c r="N188" s="18" t="s">
        <v>20</v>
      </c>
      <c r="O188" s="18" t="s">
        <v>20</v>
      </c>
      <c r="P188" s="18" t="s">
        <v>21</v>
      </c>
      <c r="Q188" s="18" t="s">
        <v>21</v>
      </c>
      <c r="R188" s="18" t="s">
        <v>20</v>
      </c>
      <c r="S188" s="18" t="s">
        <v>20</v>
      </c>
      <c r="T188" s="18" t="s">
        <v>21</v>
      </c>
      <c r="U188" s="18" t="s">
        <v>20</v>
      </c>
      <c r="V188" s="49" t="s">
        <v>20</v>
      </c>
      <c r="W188" s="37" t="s">
        <v>20</v>
      </c>
      <c r="X188" s="37" t="s">
        <v>21</v>
      </c>
      <c r="Y188" s="18" t="s">
        <v>20</v>
      </c>
      <c r="Z188" s="18" t="s">
        <v>20</v>
      </c>
      <c r="AA188" s="20" t="s">
        <v>39</v>
      </c>
      <c r="AB188" s="20" t="s">
        <v>20</v>
      </c>
      <c r="AC188" s="20" t="s">
        <v>20</v>
      </c>
      <c r="AD188" s="29" t="s">
        <v>20</v>
      </c>
      <c r="AE188" s="29" t="s">
        <v>21</v>
      </c>
      <c r="AG188">
        <f t="shared" si="18"/>
        <v>1</v>
      </c>
      <c r="AH188">
        <f t="shared" si="19"/>
        <v>19</v>
      </c>
      <c r="AI188">
        <f t="shared" si="20"/>
        <v>6</v>
      </c>
      <c r="AJ188">
        <f t="shared" si="21"/>
        <v>0</v>
      </c>
      <c r="AL188">
        <f t="shared" si="22"/>
        <v>4</v>
      </c>
      <c r="AM188">
        <f t="shared" si="23"/>
        <v>57</v>
      </c>
      <c r="AN188">
        <f t="shared" si="24"/>
        <v>12</v>
      </c>
      <c r="AO188">
        <f t="shared" si="25"/>
        <v>0</v>
      </c>
      <c r="AP188">
        <f t="shared" si="26"/>
        <v>73</v>
      </c>
    </row>
    <row r="189" spans="1:42" ht="15.75" hidden="1" customHeight="1" x14ac:dyDescent="0.3">
      <c r="A189" s="16"/>
      <c r="B189" s="55">
        <v>11</v>
      </c>
      <c r="C189" s="56" t="s">
        <v>207</v>
      </c>
      <c r="D189" s="55">
        <v>5</v>
      </c>
      <c r="E189" s="55" t="s">
        <v>20</v>
      </c>
      <c r="F189" s="18" t="s">
        <v>20</v>
      </c>
      <c r="G189" s="18" t="s">
        <v>20</v>
      </c>
      <c r="H189" s="18" t="s">
        <v>39</v>
      </c>
      <c r="I189" s="18" t="s">
        <v>20</v>
      </c>
      <c r="J189" s="43" t="s">
        <v>20</v>
      </c>
      <c r="K189" s="43" t="s">
        <v>20</v>
      </c>
      <c r="L189" s="43" t="s">
        <v>20</v>
      </c>
      <c r="M189" s="18" t="s">
        <v>20</v>
      </c>
      <c r="N189" s="18" t="s">
        <v>20</v>
      </c>
      <c r="O189" s="18" t="s">
        <v>20</v>
      </c>
      <c r="P189" s="18" t="s">
        <v>20</v>
      </c>
      <c r="Q189" s="18" t="s">
        <v>20</v>
      </c>
      <c r="R189" s="18" t="s">
        <v>21</v>
      </c>
      <c r="S189" s="18" t="s">
        <v>20</v>
      </c>
      <c r="T189" s="18" t="s">
        <v>21</v>
      </c>
      <c r="U189" s="18" t="s">
        <v>20</v>
      </c>
      <c r="V189" s="49" t="s">
        <v>20</v>
      </c>
      <c r="W189" s="37" t="s">
        <v>20</v>
      </c>
      <c r="X189" s="37" t="s">
        <v>20</v>
      </c>
      <c r="Y189" s="18" t="s">
        <v>20</v>
      </c>
      <c r="Z189" s="18" t="s">
        <v>20</v>
      </c>
      <c r="AA189" s="20" t="s">
        <v>20</v>
      </c>
      <c r="AB189" s="20" t="s">
        <v>20</v>
      </c>
      <c r="AC189" s="20" t="s">
        <v>21</v>
      </c>
      <c r="AD189" s="29" t="s">
        <v>20</v>
      </c>
      <c r="AE189" s="29" t="s">
        <v>21</v>
      </c>
      <c r="AG189">
        <f t="shared" si="18"/>
        <v>1</v>
      </c>
      <c r="AH189">
        <f t="shared" si="19"/>
        <v>21</v>
      </c>
      <c r="AI189">
        <f t="shared" si="20"/>
        <v>4</v>
      </c>
      <c r="AJ189">
        <f t="shared" si="21"/>
        <v>0</v>
      </c>
      <c r="AL189">
        <f t="shared" si="22"/>
        <v>4</v>
      </c>
      <c r="AM189">
        <f t="shared" si="23"/>
        <v>63</v>
      </c>
      <c r="AN189">
        <f t="shared" si="24"/>
        <v>8</v>
      </c>
      <c r="AO189">
        <f t="shared" si="25"/>
        <v>0</v>
      </c>
      <c r="AP189">
        <f t="shared" si="26"/>
        <v>75</v>
      </c>
    </row>
    <row r="190" spans="1:42" ht="15.75" hidden="1" customHeight="1" x14ac:dyDescent="0.3">
      <c r="A190" s="16"/>
      <c r="B190" s="55">
        <v>12</v>
      </c>
      <c r="C190" s="56" t="s">
        <v>208</v>
      </c>
      <c r="D190" s="55">
        <v>5</v>
      </c>
      <c r="E190" s="55" t="s">
        <v>20</v>
      </c>
      <c r="F190" s="18" t="s">
        <v>20</v>
      </c>
      <c r="G190" s="18" t="s">
        <v>39</v>
      </c>
      <c r="H190" s="18" t="s">
        <v>20</v>
      </c>
      <c r="I190" s="18" t="s">
        <v>39</v>
      </c>
      <c r="J190" s="43" t="s">
        <v>20</v>
      </c>
      <c r="K190" s="43" t="s">
        <v>39</v>
      </c>
      <c r="L190" s="43" t="s">
        <v>20</v>
      </c>
      <c r="M190" s="18" t="s">
        <v>20</v>
      </c>
      <c r="N190" s="18" t="s">
        <v>20</v>
      </c>
      <c r="O190" s="18" t="s">
        <v>20</v>
      </c>
      <c r="P190" s="18" t="s">
        <v>20</v>
      </c>
      <c r="Q190" s="18" t="s">
        <v>20</v>
      </c>
      <c r="R190" s="18" t="s">
        <v>20</v>
      </c>
      <c r="S190" s="18" t="s">
        <v>20</v>
      </c>
      <c r="T190" s="18" t="s">
        <v>20</v>
      </c>
      <c r="U190" s="18" t="s">
        <v>20</v>
      </c>
      <c r="V190" s="49" t="s">
        <v>20</v>
      </c>
      <c r="W190" s="37" t="s">
        <v>20</v>
      </c>
      <c r="X190" s="37" t="s">
        <v>20</v>
      </c>
      <c r="Y190" s="18" t="s">
        <v>39</v>
      </c>
      <c r="Z190" s="18" t="s">
        <v>39</v>
      </c>
      <c r="AA190" s="20" t="s">
        <v>20</v>
      </c>
      <c r="AB190" s="20" t="s">
        <v>20</v>
      </c>
      <c r="AC190" s="20" t="s">
        <v>20</v>
      </c>
      <c r="AD190" s="29" t="s">
        <v>20</v>
      </c>
      <c r="AE190" s="29" t="s">
        <v>21</v>
      </c>
      <c r="AG190">
        <f t="shared" si="18"/>
        <v>5</v>
      </c>
      <c r="AH190">
        <f t="shared" si="19"/>
        <v>20</v>
      </c>
      <c r="AI190">
        <f t="shared" si="20"/>
        <v>1</v>
      </c>
      <c r="AJ190">
        <f t="shared" si="21"/>
        <v>0</v>
      </c>
      <c r="AL190">
        <f t="shared" si="22"/>
        <v>20</v>
      </c>
      <c r="AM190">
        <f t="shared" si="23"/>
        <v>60</v>
      </c>
      <c r="AN190">
        <f t="shared" si="24"/>
        <v>2</v>
      </c>
      <c r="AO190">
        <f t="shared" si="25"/>
        <v>0</v>
      </c>
      <c r="AP190">
        <f t="shared" si="26"/>
        <v>82</v>
      </c>
    </row>
    <row r="191" spans="1:42" ht="15.75" hidden="1" customHeight="1" x14ac:dyDescent="0.3">
      <c r="A191" s="16"/>
      <c r="B191" s="55">
        <v>13</v>
      </c>
      <c r="C191" s="56" t="s">
        <v>209</v>
      </c>
      <c r="D191" s="55">
        <v>5</v>
      </c>
      <c r="E191" s="55" t="s">
        <v>20</v>
      </c>
      <c r="F191" s="18" t="s">
        <v>20</v>
      </c>
      <c r="G191" s="18" t="s">
        <v>20</v>
      </c>
      <c r="H191" s="18" t="s">
        <v>20</v>
      </c>
      <c r="I191" s="18" t="s">
        <v>20</v>
      </c>
      <c r="J191" s="43" t="s">
        <v>20</v>
      </c>
      <c r="K191" s="43" t="s">
        <v>20</v>
      </c>
      <c r="L191" s="43" t="s">
        <v>20</v>
      </c>
      <c r="M191" s="18" t="s">
        <v>20</v>
      </c>
      <c r="N191" s="18" t="s">
        <v>20</v>
      </c>
      <c r="O191" s="18" t="s">
        <v>20</v>
      </c>
      <c r="P191" s="18" t="s">
        <v>21</v>
      </c>
      <c r="Q191" s="18" t="s">
        <v>21</v>
      </c>
      <c r="R191" s="18" t="s">
        <v>20</v>
      </c>
      <c r="S191" s="18" t="s">
        <v>21</v>
      </c>
      <c r="T191" s="18" t="s">
        <v>21</v>
      </c>
      <c r="U191" s="18" t="s">
        <v>20</v>
      </c>
      <c r="V191" s="49" t="s">
        <v>20</v>
      </c>
      <c r="W191" s="37" t="s">
        <v>20</v>
      </c>
      <c r="X191" s="37" t="s">
        <v>20</v>
      </c>
      <c r="Y191" s="18" t="s">
        <v>20</v>
      </c>
      <c r="Z191" s="18" t="s">
        <v>39</v>
      </c>
      <c r="AA191" s="20" t="s">
        <v>39</v>
      </c>
      <c r="AB191" s="20" t="s">
        <v>20</v>
      </c>
      <c r="AC191" s="20" t="s">
        <v>39</v>
      </c>
      <c r="AD191" s="29" t="s">
        <v>20</v>
      </c>
      <c r="AE191" s="29" t="s">
        <v>21</v>
      </c>
      <c r="AG191">
        <f t="shared" si="18"/>
        <v>3</v>
      </c>
      <c r="AH191">
        <f t="shared" si="19"/>
        <v>18</v>
      </c>
      <c r="AI191">
        <f t="shared" si="20"/>
        <v>5</v>
      </c>
      <c r="AJ191">
        <f t="shared" si="21"/>
        <v>0</v>
      </c>
      <c r="AL191">
        <f t="shared" si="22"/>
        <v>12</v>
      </c>
      <c r="AM191">
        <f t="shared" si="23"/>
        <v>54</v>
      </c>
      <c r="AN191">
        <f t="shared" si="24"/>
        <v>10</v>
      </c>
      <c r="AO191">
        <f t="shared" si="25"/>
        <v>0</v>
      </c>
      <c r="AP191">
        <f t="shared" si="26"/>
        <v>76</v>
      </c>
    </row>
    <row r="192" spans="1:42" ht="15.75" hidden="1" customHeight="1" x14ac:dyDescent="0.3">
      <c r="A192" s="16"/>
      <c r="B192" s="55">
        <v>14</v>
      </c>
      <c r="C192" s="56" t="s">
        <v>210</v>
      </c>
      <c r="D192" s="55">
        <v>5</v>
      </c>
      <c r="E192" s="55" t="s">
        <v>20</v>
      </c>
      <c r="F192" s="18" t="s">
        <v>20</v>
      </c>
      <c r="G192" s="18" t="s">
        <v>20</v>
      </c>
      <c r="H192" s="18" t="s">
        <v>39</v>
      </c>
      <c r="I192" s="18" t="s">
        <v>20</v>
      </c>
      <c r="J192" s="43" t="s">
        <v>20</v>
      </c>
      <c r="K192" s="43" t="s">
        <v>39</v>
      </c>
      <c r="L192" s="43" t="s">
        <v>20</v>
      </c>
      <c r="M192" s="18" t="s">
        <v>21</v>
      </c>
      <c r="N192" s="18" t="s">
        <v>20</v>
      </c>
      <c r="O192" s="18" t="s">
        <v>20</v>
      </c>
      <c r="P192" s="18" t="s">
        <v>20</v>
      </c>
      <c r="Q192" s="18" t="s">
        <v>20</v>
      </c>
      <c r="R192" s="18" t="s">
        <v>20</v>
      </c>
      <c r="S192" s="18" t="s">
        <v>20</v>
      </c>
      <c r="T192" s="18" t="s">
        <v>21</v>
      </c>
      <c r="U192" s="18" t="s">
        <v>20</v>
      </c>
      <c r="V192" s="37" t="s">
        <v>20</v>
      </c>
      <c r="W192" s="37" t="s">
        <v>20</v>
      </c>
      <c r="X192" s="37" t="s">
        <v>20</v>
      </c>
      <c r="Y192" s="18" t="s">
        <v>20</v>
      </c>
      <c r="Z192" s="18" t="s">
        <v>39</v>
      </c>
      <c r="AA192" s="20" t="s">
        <v>21</v>
      </c>
      <c r="AB192" s="20" t="s">
        <v>20</v>
      </c>
      <c r="AC192" s="20" t="s">
        <v>20</v>
      </c>
      <c r="AD192" s="18" t="s">
        <v>20</v>
      </c>
      <c r="AE192" s="18" t="s">
        <v>21</v>
      </c>
      <c r="AG192">
        <f t="shared" si="18"/>
        <v>3</v>
      </c>
      <c r="AH192">
        <f t="shared" si="19"/>
        <v>19</v>
      </c>
      <c r="AI192">
        <f t="shared" si="20"/>
        <v>4</v>
      </c>
      <c r="AJ192">
        <f t="shared" si="21"/>
        <v>0</v>
      </c>
      <c r="AL192">
        <f t="shared" si="22"/>
        <v>12</v>
      </c>
      <c r="AM192">
        <f t="shared" si="23"/>
        <v>57</v>
      </c>
      <c r="AN192">
        <f t="shared" si="24"/>
        <v>8</v>
      </c>
      <c r="AO192">
        <f t="shared" si="25"/>
        <v>0</v>
      </c>
      <c r="AP192">
        <f t="shared" si="26"/>
        <v>77</v>
      </c>
    </row>
    <row r="193" spans="1:42" ht="15.75" hidden="1" customHeight="1" x14ac:dyDescent="0.3">
      <c r="A193" s="16"/>
      <c r="B193" s="55">
        <v>15</v>
      </c>
      <c r="C193" s="56" t="s">
        <v>211</v>
      </c>
      <c r="D193" s="55">
        <v>5</v>
      </c>
      <c r="E193" s="55" t="s">
        <v>20</v>
      </c>
      <c r="F193" s="18" t="s">
        <v>21</v>
      </c>
      <c r="G193" s="18" t="s">
        <v>21</v>
      </c>
      <c r="H193" s="18" t="s">
        <v>21</v>
      </c>
      <c r="I193" s="18" t="s">
        <v>21</v>
      </c>
      <c r="J193" s="43" t="s">
        <v>20</v>
      </c>
      <c r="K193" s="43" t="s">
        <v>20</v>
      </c>
      <c r="L193" s="43" t="s">
        <v>21</v>
      </c>
      <c r="M193" s="18" t="s">
        <v>20</v>
      </c>
      <c r="N193" s="18" t="s">
        <v>21</v>
      </c>
      <c r="O193" s="18" t="s">
        <v>20</v>
      </c>
      <c r="P193" s="18" t="s">
        <v>20</v>
      </c>
      <c r="Q193" s="18" t="s">
        <v>21</v>
      </c>
      <c r="R193" s="18" t="s">
        <v>21</v>
      </c>
      <c r="S193" s="18" t="s">
        <v>21</v>
      </c>
      <c r="T193" s="18" t="s">
        <v>21</v>
      </c>
      <c r="U193" s="18" t="s">
        <v>20</v>
      </c>
      <c r="V193" s="37" t="s">
        <v>20</v>
      </c>
      <c r="W193" s="37" t="s">
        <v>20</v>
      </c>
      <c r="X193" s="37" t="s">
        <v>20</v>
      </c>
      <c r="Y193" s="18" t="s">
        <v>21</v>
      </c>
      <c r="Z193" s="18" t="s">
        <v>21</v>
      </c>
      <c r="AA193" s="20" t="s">
        <v>21</v>
      </c>
      <c r="AB193" s="20" t="s">
        <v>21</v>
      </c>
      <c r="AC193" s="20" t="s">
        <v>20</v>
      </c>
      <c r="AD193" s="18" t="s">
        <v>20</v>
      </c>
      <c r="AE193" s="18" t="s">
        <v>21</v>
      </c>
      <c r="AG193">
        <f t="shared" si="18"/>
        <v>0</v>
      </c>
      <c r="AH193">
        <f t="shared" si="19"/>
        <v>11</v>
      </c>
      <c r="AI193">
        <f t="shared" si="20"/>
        <v>15</v>
      </c>
      <c r="AJ193">
        <f t="shared" si="21"/>
        <v>0</v>
      </c>
      <c r="AL193">
        <f t="shared" si="22"/>
        <v>0</v>
      </c>
      <c r="AM193">
        <f t="shared" si="23"/>
        <v>33</v>
      </c>
      <c r="AN193">
        <f t="shared" si="24"/>
        <v>30</v>
      </c>
      <c r="AO193">
        <f t="shared" si="25"/>
        <v>0</v>
      </c>
      <c r="AP193">
        <f t="shared" si="26"/>
        <v>63</v>
      </c>
    </row>
    <row r="194" spans="1:42" ht="15.75" hidden="1" customHeight="1" x14ac:dyDescent="0.3">
      <c r="A194" s="16"/>
      <c r="B194" s="55">
        <v>16</v>
      </c>
      <c r="C194" s="56" t="s">
        <v>212</v>
      </c>
      <c r="D194" s="55">
        <v>5</v>
      </c>
      <c r="E194" s="55" t="s">
        <v>20</v>
      </c>
      <c r="F194" s="18" t="s">
        <v>20</v>
      </c>
      <c r="G194" s="18" t="s">
        <v>20</v>
      </c>
      <c r="H194" s="18" t="s">
        <v>39</v>
      </c>
      <c r="I194" s="18" t="s">
        <v>39</v>
      </c>
      <c r="J194" s="43" t="s">
        <v>20</v>
      </c>
      <c r="K194" s="43" t="s">
        <v>20</v>
      </c>
      <c r="L194" s="43" t="s">
        <v>20</v>
      </c>
      <c r="M194" s="18" t="s">
        <v>20</v>
      </c>
      <c r="N194" s="18" t="s">
        <v>20</v>
      </c>
      <c r="O194" s="18" t="s">
        <v>20</v>
      </c>
      <c r="P194" s="18" t="s">
        <v>21</v>
      </c>
      <c r="Q194" s="18" t="s">
        <v>21</v>
      </c>
      <c r="R194" s="18" t="s">
        <v>21</v>
      </c>
      <c r="S194" s="18" t="s">
        <v>20</v>
      </c>
      <c r="T194" s="18" t="s">
        <v>21</v>
      </c>
      <c r="U194" s="18" t="s">
        <v>20</v>
      </c>
      <c r="V194" s="37" t="s">
        <v>20</v>
      </c>
      <c r="W194" s="37" t="s">
        <v>20</v>
      </c>
      <c r="X194" s="37" t="s">
        <v>20</v>
      </c>
      <c r="Y194" s="18" t="s">
        <v>20</v>
      </c>
      <c r="Z194" s="18" t="s">
        <v>20</v>
      </c>
      <c r="AA194" s="20" t="s">
        <v>20</v>
      </c>
      <c r="AB194" s="20" t="s">
        <v>20</v>
      </c>
      <c r="AC194" s="20" t="s">
        <v>20</v>
      </c>
      <c r="AD194" s="18" t="s">
        <v>20</v>
      </c>
      <c r="AE194" s="18" t="s">
        <v>21</v>
      </c>
      <c r="AG194">
        <f t="shared" si="18"/>
        <v>2</v>
      </c>
      <c r="AH194">
        <f t="shared" si="19"/>
        <v>19</v>
      </c>
      <c r="AI194">
        <f t="shared" si="20"/>
        <v>5</v>
      </c>
      <c r="AJ194">
        <f t="shared" si="21"/>
        <v>0</v>
      </c>
      <c r="AL194">
        <f t="shared" si="22"/>
        <v>8</v>
      </c>
      <c r="AM194">
        <f t="shared" si="23"/>
        <v>57</v>
      </c>
      <c r="AN194">
        <f t="shared" si="24"/>
        <v>10</v>
      </c>
      <c r="AO194">
        <f t="shared" si="25"/>
        <v>0</v>
      </c>
      <c r="AP194">
        <f t="shared" si="26"/>
        <v>75</v>
      </c>
    </row>
    <row r="195" spans="1:42" ht="15.75" hidden="1" customHeight="1" x14ac:dyDescent="0.3">
      <c r="A195" s="16"/>
      <c r="B195" s="55">
        <v>17</v>
      </c>
      <c r="C195" s="56" t="s">
        <v>213</v>
      </c>
      <c r="D195" s="55">
        <v>5</v>
      </c>
      <c r="E195" s="55" t="s">
        <v>20</v>
      </c>
      <c r="F195" s="18" t="s">
        <v>23</v>
      </c>
      <c r="G195" s="18" t="s">
        <v>23</v>
      </c>
      <c r="H195" s="18" t="s">
        <v>23</v>
      </c>
      <c r="I195" s="18" t="s">
        <v>23</v>
      </c>
      <c r="J195" s="43" t="s">
        <v>21</v>
      </c>
      <c r="K195" s="43" t="s">
        <v>21</v>
      </c>
      <c r="L195" s="43" t="s">
        <v>21</v>
      </c>
      <c r="M195" s="18" t="s">
        <v>21</v>
      </c>
      <c r="N195" s="18" t="s">
        <v>21</v>
      </c>
      <c r="O195" s="18" t="s">
        <v>20</v>
      </c>
      <c r="P195" s="18" t="s">
        <v>23</v>
      </c>
      <c r="Q195" s="18" t="s">
        <v>21</v>
      </c>
      <c r="R195" s="18" t="s">
        <v>23</v>
      </c>
      <c r="S195" s="18" t="s">
        <v>21</v>
      </c>
      <c r="T195" s="18" t="s">
        <v>23</v>
      </c>
      <c r="U195" s="18" t="s">
        <v>20</v>
      </c>
      <c r="V195" s="37" t="s">
        <v>21</v>
      </c>
      <c r="W195" s="37" t="s">
        <v>21</v>
      </c>
      <c r="X195" s="37" t="s">
        <v>21</v>
      </c>
      <c r="Y195" s="18" t="s">
        <v>21</v>
      </c>
      <c r="Z195" s="18" t="s">
        <v>21</v>
      </c>
      <c r="AA195" s="20" t="s">
        <v>23</v>
      </c>
      <c r="AB195" s="20" t="s">
        <v>21</v>
      </c>
      <c r="AC195" s="20" t="s">
        <v>23</v>
      </c>
      <c r="AD195" s="18" t="s">
        <v>23</v>
      </c>
      <c r="AE195" s="18" t="s">
        <v>21</v>
      </c>
      <c r="AG195">
        <f t="shared" si="18"/>
        <v>0</v>
      </c>
      <c r="AH195">
        <f t="shared" si="19"/>
        <v>2</v>
      </c>
      <c r="AI195">
        <f t="shared" si="20"/>
        <v>14</v>
      </c>
      <c r="AJ195">
        <f t="shared" si="21"/>
        <v>10</v>
      </c>
      <c r="AL195">
        <f t="shared" si="22"/>
        <v>0</v>
      </c>
      <c r="AM195">
        <f t="shared" si="23"/>
        <v>6</v>
      </c>
      <c r="AN195">
        <f t="shared" si="24"/>
        <v>28</v>
      </c>
      <c r="AO195">
        <f t="shared" si="25"/>
        <v>10</v>
      </c>
      <c r="AP195">
        <f t="shared" si="26"/>
        <v>44</v>
      </c>
    </row>
    <row r="196" spans="1:42" ht="15.75" hidden="1" customHeight="1" x14ac:dyDescent="0.3">
      <c r="A196" s="16"/>
      <c r="B196" s="55">
        <v>18</v>
      </c>
      <c r="C196" s="56" t="s">
        <v>214</v>
      </c>
      <c r="D196" s="55">
        <v>5</v>
      </c>
      <c r="E196" s="55" t="s">
        <v>20</v>
      </c>
      <c r="F196" s="18" t="s">
        <v>20</v>
      </c>
      <c r="G196" s="18" t="s">
        <v>20</v>
      </c>
      <c r="H196" s="18" t="s">
        <v>20</v>
      </c>
      <c r="I196" s="18" t="s">
        <v>20</v>
      </c>
      <c r="J196" s="43" t="s">
        <v>20</v>
      </c>
      <c r="K196" s="43" t="s">
        <v>20</v>
      </c>
      <c r="L196" s="43" t="s">
        <v>21</v>
      </c>
      <c r="M196" s="18" t="s">
        <v>20</v>
      </c>
      <c r="N196" s="18" t="s">
        <v>20</v>
      </c>
      <c r="O196" s="18" t="s">
        <v>20</v>
      </c>
      <c r="P196" s="18" t="s">
        <v>21</v>
      </c>
      <c r="Q196" s="18" t="s">
        <v>20</v>
      </c>
      <c r="R196" s="18" t="s">
        <v>21</v>
      </c>
      <c r="S196" s="18" t="s">
        <v>21</v>
      </c>
      <c r="T196" s="18" t="s">
        <v>21</v>
      </c>
      <c r="U196" s="18" t="s">
        <v>20</v>
      </c>
      <c r="V196" s="37" t="s">
        <v>20</v>
      </c>
      <c r="W196" s="37" t="s">
        <v>20</v>
      </c>
      <c r="X196" s="37" t="s">
        <v>20</v>
      </c>
      <c r="Y196" s="18" t="s">
        <v>20</v>
      </c>
      <c r="Z196" s="18" t="s">
        <v>20</v>
      </c>
      <c r="AA196" s="20" t="s">
        <v>20</v>
      </c>
      <c r="AB196" s="20" t="s">
        <v>20</v>
      </c>
      <c r="AC196" s="20" t="s">
        <v>20</v>
      </c>
      <c r="AD196" s="18" t="s">
        <v>20</v>
      </c>
      <c r="AE196" s="18" t="s">
        <v>21</v>
      </c>
      <c r="AG196">
        <f t="shared" si="18"/>
        <v>0</v>
      </c>
      <c r="AH196">
        <f t="shared" si="19"/>
        <v>20</v>
      </c>
      <c r="AI196">
        <f t="shared" si="20"/>
        <v>6</v>
      </c>
      <c r="AJ196">
        <f t="shared" si="21"/>
        <v>0</v>
      </c>
      <c r="AL196">
        <f t="shared" si="22"/>
        <v>0</v>
      </c>
      <c r="AM196">
        <f t="shared" si="23"/>
        <v>60</v>
      </c>
      <c r="AN196">
        <f t="shared" si="24"/>
        <v>12</v>
      </c>
      <c r="AO196">
        <f t="shared" si="25"/>
        <v>0</v>
      </c>
      <c r="AP196">
        <f t="shared" si="26"/>
        <v>72</v>
      </c>
    </row>
    <row r="197" spans="1:42" ht="15.75" hidden="1" customHeight="1" x14ac:dyDescent="0.3">
      <c r="A197" s="16"/>
      <c r="B197" s="55">
        <v>19</v>
      </c>
      <c r="C197" s="56" t="s">
        <v>215</v>
      </c>
      <c r="D197" s="55">
        <v>5</v>
      </c>
      <c r="E197" s="55" t="s">
        <v>20</v>
      </c>
      <c r="F197" s="18" t="s">
        <v>20</v>
      </c>
      <c r="G197" s="18" t="s">
        <v>20</v>
      </c>
      <c r="H197" s="18" t="s">
        <v>20</v>
      </c>
      <c r="I197" s="18" t="s">
        <v>20</v>
      </c>
      <c r="J197" s="43" t="s">
        <v>20</v>
      </c>
      <c r="K197" s="43" t="s">
        <v>20</v>
      </c>
      <c r="L197" s="43" t="s">
        <v>20</v>
      </c>
      <c r="M197" s="18" t="s">
        <v>20</v>
      </c>
      <c r="N197" s="18" t="s">
        <v>20</v>
      </c>
      <c r="O197" s="18" t="s">
        <v>20</v>
      </c>
      <c r="P197" s="18" t="s">
        <v>21</v>
      </c>
      <c r="Q197" s="18" t="s">
        <v>21</v>
      </c>
      <c r="R197" s="18" t="s">
        <v>21</v>
      </c>
      <c r="S197" s="18" t="s">
        <v>21</v>
      </c>
      <c r="T197" s="18" t="s">
        <v>21</v>
      </c>
      <c r="U197" s="18" t="s">
        <v>21</v>
      </c>
      <c r="V197" s="37" t="s">
        <v>21</v>
      </c>
      <c r="W197" s="37" t="s">
        <v>20</v>
      </c>
      <c r="X197" s="37" t="s">
        <v>20</v>
      </c>
      <c r="Y197" s="18" t="s">
        <v>21</v>
      </c>
      <c r="Z197" s="18" t="s">
        <v>20</v>
      </c>
      <c r="AA197" s="20" t="s">
        <v>20</v>
      </c>
      <c r="AB197" s="20" t="s">
        <v>20</v>
      </c>
      <c r="AC197" s="20" t="s">
        <v>20</v>
      </c>
      <c r="AD197" s="18" t="s">
        <v>55</v>
      </c>
      <c r="AE197" s="18" t="s">
        <v>55</v>
      </c>
      <c r="AG197">
        <f t="shared" si="18"/>
        <v>0</v>
      </c>
      <c r="AH197">
        <f t="shared" si="19"/>
        <v>16</v>
      </c>
      <c r="AI197">
        <f t="shared" si="20"/>
        <v>8</v>
      </c>
      <c r="AJ197">
        <f t="shared" si="21"/>
        <v>0</v>
      </c>
      <c r="AL197">
        <f t="shared" si="22"/>
        <v>0</v>
      </c>
      <c r="AM197">
        <f t="shared" si="23"/>
        <v>48</v>
      </c>
      <c r="AN197">
        <f t="shared" si="24"/>
        <v>16</v>
      </c>
      <c r="AO197">
        <f t="shared" si="25"/>
        <v>0</v>
      </c>
      <c r="AP197">
        <f t="shared" si="26"/>
        <v>64</v>
      </c>
    </row>
    <row r="198" spans="1:42" ht="15.75" hidden="1" customHeight="1" x14ac:dyDescent="0.3">
      <c r="A198" s="16"/>
      <c r="B198" s="55">
        <v>20</v>
      </c>
      <c r="C198" s="56" t="s">
        <v>216</v>
      </c>
      <c r="D198" s="55">
        <v>5</v>
      </c>
      <c r="E198" s="55" t="s">
        <v>20</v>
      </c>
      <c r="F198" s="18" t="s">
        <v>39</v>
      </c>
      <c r="G198" s="18" t="s">
        <v>20</v>
      </c>
      <c r="H198" s="18" t="s">
        <v>20</v>
      </c>
      <c r="I198" s="18" t="s">
        <v>39</v>
      </c>
      <c r="J198" s="43" t="s">
        <v>20</v>
      </c>
      <c r="K198" s="43" t="s">
        <v>20</v>
      </c>
      <c r="L198" s="43" t="s">
        <v>20</v>
      </c>
      <c r="M198" s="18" t="s">
        <v>20</v>
      </c>
      <c r="N198" s="18" t="s">
        <v>20</v>
      </c>
      <c r="O198" s="18" t="s">
        <v>20</v>
      </c>
      <c r="P198" s="18" t="s">
        <v>21</v>
      </c>
      <c r="Q198" s="18" t="s">
        <v>20</v>
      </c>
      <c r="R198" s="18" t="s">
        <v>20</v>
      </c>
      <c r="S198" s="18" t="s">
        <v>21</v>
      </c>
      <c r="T198" s="18" t="s">
        <v>21</v>
      </c>
      <c r="U198" s="18" t="s">
        <v>20</v>
      </c>
      <c r="V198" s="37" t="s">
        <v>20</v>
      </c>
      <c r="W198" s="37" t="s">
        <v>20</v>
      </c>
      <c r="X198" s="37" t="s">
        <v>20</v>
      </c>
      <c r="Y198" s="18" t="s">
        <v>20</v>
      </c>
      <c r="Z198" s="18" t="s">
        <v>20</v>
      </c>
      <c r="AA198" s="20" t="s">
        <v>20</v>
      </c>
      <c r="AB198" s="20" t="s">
        <v>20</v>
      </c>
      <c r="AC198" s="20" t="s">
        <v>20</v>
      </c>
      <c r="AD198" s="18" t="s">
        <v>20</v>
      </c>
      <c r="AE198" s="18" t="s">
        <v>21</v>
      </c>
      <c r="AG198">
        <f t="shared" si="18"/>
        <v>2</v>
      </c>
      <c r="AH198">
        <f t="shared" si="19"/>
        <v>20</v>
      </c>
      <c r="AI198">
        <f t="shared" si="20"/>
        <v>4</v>
      </c>
      <c r="AJ198">
        <f t="shared" si="21"/>
        <v>0</v>
      </c>
      <c r="AL198">
        <f t="shared" si="22"/>
        <v>8</v>
      </c>
      <c r="AM198">
        <f t="shared" si="23"/>
        <v>60</v>
      </c>
      <c r="AN198">
        <f t="shared" si="24"/>
        <v>8</v>
      </c>
      <c r="AO198">
        <f t="shared" si="25"/>
        <v>0</v>
      </c>
      <c r="AP198">
        <f t="shared" si="26"/>
        <v>76</v>
      </c>
    </row>
    <row r="199" spans="1:42" ht="15.75" hidden="1" customHeight="1" x14ac:dyDescent="0.3">
      <c r="A199" s="16"/>
      <c r="B199" s="55">
        <v>21</v>
      </c>
      <c r="C199" s="56" t="s">
        <v>217</v>
      </c>
      <c r="D199" s="55">
        <v>5</v>
      </c>
      <c r="E199" s="55" t="s">
        <v>20</v>
      </c>
      <c r="F199" s="18" t="s">
        <v>20</v>
      </c>
      <c r="G199" s="18" t="s">
        <v>20</v>
      </c>
      <c r="H199" s="18" t="s">
        <v>39</v>
      </c>
      <c r="I199" s="18" t="s">
        <v>20</v>
      </c>
      <c r="J199" s="43" t="s">
        <v>20</v>
      </c>
      <c r="K199" s="43" t="s">
        <v>20</v>
      </c>
      <c r="L199" s="43" t="s">
        <v>20</v>
      </c>
      <c r="M199" s="18" t="s">
        <v>21</v>
      </c>
      <c r="N199" s="18" t="s">
        <v>20</v>
      </c>
      <c r="O199" s="18" t="s">
        <v>20</v>
      </c>
      <c r="P199" s="18" t="s">
        <v>21</v>
      </c>
      <c r="Q199" s="18" t="s">
        <v>21</v>
      </c>
      <c r="R199" s="18" t="s">
        <v>21</v>
      </c>
      <c r="S199" s="18" t="s">
        <v>20</v>
      </c>
      <c r="T199" s="18" t="s">
        <v>21</v>
      </c>
      <c r="U199" s="18" t="s">
        <v>20</v>
      </c>
      <c r="V199" s="37" t="s">
        <v>20</v>
      </c>
      <c r="W199" s="37" t="s">
        <v>20</v>
      </c>
      <c r="X199" s="37" t="s">
        <v>20</v>
      </c>
      <c r="Y199" s="18" t="s">
        <v>20</v>
      </c>
      <c r="Z199" s="18" t="s">
        <v>20</v>
      </c>
      <c r="AA199" s="20" t="s">
        <v>20</v>
      </c>
      <c r="AB199" s="20" t="s">
        <v>20</v>
      </c>
      <c r="AC199" s="20" t="s">
        <v>20</v>
      </c>
      <c r="AD199" s="18" t="s">
        <v>20</v>
      </c>
      <c r="AE199" s="18" t="s">
        <v>21</v>
      </c>
      <c r="AG199">
        <f t="shared" si="18"/>
        <v>1</v>
      </c>
      <c r="AH199">
        <f t="shared" si="19"/>
        <v>19</v>
      </c>
      <c r="AI199">
        <f t="shared" si="20"/>
        <v>6</v>
      </c>
      <c r="AJ199">
        <f t="shared" si="21"/>
        <v>0</v>
      </c>
      <c r="AL199">
        <f t="shared" si="22"/>
        <v>4</v>
      </c>
      <c r="AM199">
        <f t="shared" si="23"/>
        <v>57</v>
      </c>
      <c r="AN199">
        <f t="shared" si="24"/>
        <v>12</v>
      </c>
      <c r="AO199">
        <f t="shared" si="25"/>
        <v>0</v>
      </c>
      <c r="AP199">
        <f t="shared" si="26"/>
        <v>73</v>
      </c>
    </row>
    <row r="200" spans="1:42" ht="15.75" hidden="1" customHeight="1" x14ac:dyDescent="0.3">
      <c r="A200" s="16"/>
      <c r="B200" s="55">
        <v>22</v>
      </c>
      <c r="C200" s="56" t="s">
        <v>218</v>
      </c>
      <c r="D200" s="55">
        <v>5</v>
      </c>
      <c r="E200" s="55" t="s">
        <v>20</v>
      </c>
      <c r="F200" s="18" t="s">
        <v>23</v>
      </c>
      <c r="G200" s="18" t="s">
        <v>23</v>
      </c>
      <c r="H200" s="18" t="s">
        <v>21</v>
      </c>
      <c r="I200" s="18" t="s">
        <v>21</v>
      </c>
      <c r="J200" s="43" t="s">
        <v>20</v>
      </c>
      <c r="K200" s="43" t="s">
        <v>20</v>
      </c>
      <c r="L200" s="43" t="s">
        <v>21</v>
      </c>
      <c r="M200" s="18" t="s">
        <v>20</v>
      </c>
      <c r="N200" s="18" t="s">
        <v>20</v>
      </c>
      <c r="O200" s="18" t="s">
        <v>20</v>
      </c>
      <c r="P200" s="18" t="s">
        <v>21</v>
      </c>
      <c r="Q200" s="18" t="s">
        <v>21</v>
      </c>
      <c r="R200" s="18" t="s">
        <v>21</v>
      </c>
      <c r="S200" s="18" t="s">
        <v>21</v>
      </c>
      <c r="T200" s="18" t="s">
        <v>21</v>
      </c>
      <c r="U200" s="18" t="s">
        <v>20</v>
      </c>
      <c r="V200" s="37" t="s">
        <v>21</v>
      </c>
      <c r="W200" s="37" t="s">
        <v>21</v>
      </c>
      <c r="X200" s="37" t="s">
        <v>21</v>
      </c>
      <c r="Y200" s="18" t="s">
        <v>20</v>
      </c>
      <c r="Z200" s="18" t="s">
        <v>20</v>
      </c>
      <c r="AA200" s="20" t="s">
        <v>20</v>
      </c>
      <c r="AB200" s="20" t="s">
        <v>20</v>
      </c>
      <c r="AC200" s="20" t="s">
        <v>20</v>
      </c>
      <c r="AD200" s="40" t="s">
        <v>20</v>
      </c>
      <c r="AE200" s="40" t="s">
        <v>21</v>
      </c>
      <c r="AG200">
        <f t="shared" si="18"/>
        <v>0</v>
      </c>
      <c r="AH200">
        <f t="shared" si="19"/>
        <v>12</v>
      </c>
      <c r="AI200">
        <f t="shared" si="20"/>
        <v>12</v>
      </c>
      <c r="AJ200">
        <f t="shared" si="21"/>
        <v>2</v>
      </c>
      <c r="AL200">
        <f t="shared" si="22"/>
        <v>0</v>
      </c>
      <c r="AM200">
        <f t="shared" si="23"/>
        <v>36</v>
      </c>
      <c r="AN200">
        <f t="shared" si="24"/>
        <v>24</v>
      </c>
      <c r="AO200">
        <f t="shared" si="25"/>
        <v>2</v>
      </c>
      <c r="AP200">
        <f t="shared" si="26"/>
        <v>62</v>
      </c>
    </row>
    <row r="201" spans="1:42" ht="15.75" hidden="1" customHeight="1" x14ac:dyDescent="0.3">
      <c r="A201" s="16"/>
      <c r="B201" s="55">
        <v>23</v>
      </c>
      <c r="C201" s="56" t="s">
        <v>219</v>
      </c>
      <c r="D201" s="55">
        <v>5</v>
      </c>
      <c r="E201" s="55" t="s">
        <v>20</v>
      </c>
      <c r="F201" s="18" t="s">
        <v>23</v>
      </c>
      <c r="G201" s="18" t="s">
        <v>23</v>
      </c>
      <c r="H201" s="18" t="s">
        <v>23</v>
      </c>
      <c r="I201" s="18" t="s">
        <v>21</v>
      </c>
      <c r="J201" s="43" t="s">
        <v>20</v>
      </c>
      <c r="K201" s="43" t="s">
        <v>20</v>
      </c>
      <c r="L201" s="43" t="s">
        <v>21</v>
      </c>
      <c r="M201" s="18" t="s">
        <v>20</v>
      </c>
      <c r="N201" s="18" t="s">
        <v>21</v>
      </c>
      <c r="O201" s="18" t="s">
        <v>20</v>
      </c>
      <c r="P201" s="18" t="s">
        <v>21</v>
      </c>
      <c r="Q201" s="18" t="s">
        <v>23</v>
      </c>
      <c r="R201" s="18" t="s">
        <v>21</v>
      </c>
      <c r="S201" s="18" t="s">
        <v>21</v>
      </c>
      <c r="T201" s="18" t="s">
        <v>21</v>
      </c>
      <c r="U201" s="18" t="s">
        <v>20</v>
      </c>
      <c r="V201" s="37" t="s">
        <v>20</v>
      </c>
      <c r="W201" s="37" t="s">
        <v>21</v>
      </c>
      <c r="X201" s="37" t="s">
        <v>20</v>
      </c>
      <c r="Y201" s="18" t="s">
        <v>21</v>
      </c>
      <c r="Z201" s="18" t="s">
        <v>20</v>
      </c>
      <c r="AA201" s="20" t="s">
        <v>23</v>
      </c>
      <c r="AB201" s="20" t="s">
        <v>21</v>
      </c>
      <c r="AC201" s="20" t="s">
        <v>21</v>
      </c>
      <c r="AD201" s="18" t="s">
        <v>23</v>
      </c>
      <c r="AE201" s="18" t="s">
        <v>21</v>
      </c>
      <c r="AG201">
        <f t="shared" si="18"/>
        <v>0</v>
      </c>
      <c r="AH201">
        <f t="shared" si="19"/>
        <v>8</v>
      </c>
      <c r="AI201">
        <f t="shared" si="20"/>
        <v>12</v>
      </c>
      <c r="AJ201">
        <f t="shared" si="21"/>
        <v>6</v>
      </c>
      <c r="AL201">
        <f t="shared" si="22"/>
        <v>0</v>
      </c>
      <c r="AM201">
        <f t="shared" si="23"/>
        <v>24</v>
      </c>
      <c r="AN201">
        <f t="shared" si="24"/>
        <v>24</v>
      </c>
      <c r="AO201">
        <f t="shared" si="25"/>
        <v>6</v>
      </c>
      <c r="AP201">
        <f t="shared" si="26"/>
        <v>54</v>
      </c>
    </row>
    <row r="202" spans="1:42" ht="15.75" hidden="1" customHeight="1" x14ac:dyDescent="0.3">
      <c r="A202" s="16"/>
      <c r="B202" s="55">
        <v>24</v>
      </c>
      <c r="C202" s="56" t="s">
        <v>220</v>
      </c>
      <c r="D202" s="55">
        <v>5</v>
      </c>
      <c r="E202" s="55" t="s">
        <v>20</v>
      </c>
      <c r="F202" s="18" t="s">
        <v>39</v>
      </c>
      <c r="G202" s="18" t="s">
        <v>20</v>
      </c>
      <c r="H202" s="18" t="s">
        <v>20</v>
      </c>
      <c r="I202" s="18" t="s">
        <v>39</v>
      </c>
      <c r="J202" s="43" t="s">
        <v>20</v>
      </c>
      <c r="K202" s="43" t="s">
        <v>20</v>
      </c>
      <c r="L202" s="43" t="s">
        <v>20</v>
      </c>
      <c r="M202" s="18" t="s">
        <v>20</v>
      </c>
      <c r="N202" s="18" t="s">
        <v>20</v>
      </c>
      <c r="O202" s="18" t="s">
        <v>20</v>
      </c>
      <c r="P202" s="18" t="s">
        <v>21</v>
      </c>
      <c r="Q202" s="18" t="s">
        <v>20</v>
      </c>
      <c r="R202" s="18" t="s">
        <v>20</v>
      </c>
      <c r="S202" s="18" t="s">
        <v>21</v>
      </c>
      <c r="T202" s="18" t="s">
        <v>21</v>
      </c>
      <c r="U202" s="18" t="s">
        <v>20</v>
      </c>
      <c r="V202" s="37" t="s">
        <v>20</v>
      </c>
      <c r="W202" s="37" t="s">
        <v>20</v>
      </c>
      <c r="X202" s="37" t="s">
        <v>20</v>
      </c>
      <c r="Y202" s="18" t="s">
        <v>20</v>
      </c>
      <c r="Z202" s="18" t="s">
        <v>20</v>
      </c>
      <c r="AA202" s="20" t="s">
        <v>20</v>
      </c>
      <c r="AB202" s="20" t="s">
        <v>20</v>
      </c>
      <c r="AC202" s="20" t="s">
        <v>20</v>
      </c>
      <c r="AD202" s="18" t="s">
        <v>20</v>
      </c>
      <c r="AE202" s="18" t="s">
        <v>21</v>
      </c>
      <c r="AG202">
        <f t="shared" si="18"/>
        <v>2</v>
      </c>
      <c r="AH202">
        <f t="shared" si="19"/>
        <v>20</v>
      </c>
      <c r="AI202">
        <f t="shared" si="20"/>
        <v>4</v>
      </c>
      <c r="AJ202">
        <f t="shared" si="21"/>
        <v>0</v>
      </c>
      <c r="AL202">
        <f t="shared" si="22"/>
        <v>8</v>
      </c>
      <c r="AM202">
        <f t="shared" si="23"/>
        <v>60</v>
      </c>
      <c r="AN202">
        <f t="shared" si="24"/>
        <v>8</v>
      </c>
      <c r="AO202">
        <f t="shared" si="25"/>
        <v>0</v>
      </c>
      <c r="AP202">
        <f t="shared" si="26"/>
        <v>76</v>
      </c>
    </row>
    <row r="203" spans="1:42" ht="15.75" hidden="1" customHeight="1" x14ac:dyDescent="0.3">
      <c r="A203" s="16"/>
      <c r="B203" s="55">
        <v>25</v>
      </c>
      <c r="C203" s="56" t="s">
        <v>221</v>
      </c>
      <c r="D203" s="55">
        <v>5</v>
      </c>
      <c r="E203" s="55" t="s">
        <v>20</v>
      </c>
      <c r="F203" s="18" t="s">
        <v>23</v>
      </c>
      <c r="G203" s="18" t="s">
        <v>23</v>
      </c>
      <c r="H203" s="18" t="s">
        <v>23</v>
      </c>
      <c r="I203" s="18" t="s">
        <v>23</v>
      </c>
      <c r="J203" s="43" t="s">
        <v>20</v>
      </c>
      <c r="K203" s="43" t="s">
        <v>20</v>
      </c>
      <c r="L203" s="43" t="s">
        <v>21</v>
      </c>
      <c r="M203" s="18" t="s">
        <v>20</v>
      </c>
      <c r="N203" s="18" t="s">
        <v>20</v>
      </c>
      <c r="O203" s="18" t="s">
        <v>20</v>
      </c>
      <c r="P203" s="18" t="s">
        <v>21</v>
      </c>
      <c r="Q203" s="18" t="s">
        <v>23</v>
      </c>
      <c r="R203" s="18" t="s">
        <v>23</v>
      </c>
      <c r="S203" s="18" t="s">
        <v>21</v>
      </c>
      <c r="T203" s="18" t="s">
        <v>23</v>
      </c>
      <c r="U203" s="18" t="s">
        <v>20</v>
      </c>
      <c r="V203" s="37" t="s">
        <v>20</v>
      </c>
      <c r="W203" s="37" t="s">
        <v>20</v>
      </c>
      <c r="X203" s="37" t="s">
        <v>20</v>
      </c>
      <c r="Y203" s="18" t="s">
        <v>20</v>
      </c>
      <c r="Z203" s="18" t="s">
        <v>20</v>
      </c>
      <c r="AA203" s="20" t="s">
        <v>21</v>
      </c>
      <c r="AB203" s="20" t="s">
        <v>21</v>
      </c>
      <c r="AC203" s="20" t="s">
        <v>20</v>
      </c>
      <c r="AD203" s="18" t="s">
        <v>20</v>
      </c>
      <c r="AE203" s="18" t="s">
        <v>21</v>
      </c>
      <c r="AG203">
        <f t="shared" si="18"/>
        <v>0</v>
      </c>
      <c r="AH203">
        <f t="shared" si="19"/>
        <v>13</v>
      </c>
      <c r="AI203">
        <f t="shared" si="20"/>
        <v>6</v>
      </c>
      <c r="AJ203">
        <f t="shared" si="21"/>
        <v>7</v>
      </c>
      <c r="AL203">
        <f t="shared" si="22"/>
        <v>0</v>
      </c>
      <c r="AM203">
        <f t="shared" si="23"/>
        <v>39</v>
      </c>
      <c r="AN203">
        <f t="shared" si="24"/>
        <v>12</v>
      </c>
      <c r="AO203">
        <f t="shared" si="25"/>
        <v>7</v>
      </c>
      <c r="AP203">
        <f t="shared" si="26"/>
        <v>58</v>
      </c>
    </row>
    <row r="204" spans="1:42" ht="15.75" hidden="1" customHeight="1" x14ac:dyDescent="0.3">
      <c r="A204" s="16"/>
      <c r="B204" s="55">
        <v>26</v>
      </c>
      <c r="C204" s="56" t="s">
        <v>222</v>
      </c>
      <c r="D204" s="55">
        <v>5</v>
      </c>
      <c r="E204" s="55" t="s">
        <v>20</v>
      </c>
      <c r="F204" s="18" t="s">
        <v>21</v>
      </c>
      <c r="G204" s="18" t="s">
        <v>21</v>
      </c>
      <c r="H204" s="18" t="s">
        <v>21</v>
      </c>
      <c r="I204" s="18" t="s">
        <v>21</v>
      </c>
      <c r="J204" s="43" t="s">
        <v>21</v>
      </c>
      <c r="K204" s="43" t="s">
        <v>21</v>
      </c>
      <c r="L204" s="43" t="s">
        <v>21</v>
      </c>
      <c r="M204" s="18" t="s">
        <v>20</v>
      </c>
      <c r="N204" s="18" t="s">
        <v>20</v>
      </c>
      <c r="O204" s="18" t="s">
        <v>20</v>
      </c>
      <c r="P204" s="18" t="s">
        <v>20</v>
      </c>
      <c r="Q204" s="18" t="s">
        <v>21</v>
      </c>
      <c r="R204" s="18" t="s">
        <v>23</v>
      </c>
      <c r="S204" s="18" t="s">
        <v>21</v>
      </c>
      <c r="T204" s="18" t="s">
        <v>21</v>
      </c>
      <c r="U204" s="18" t="s">
        <v>20</v>
      </c>
      <c r="V204" s="37" t="s">
        <v>20</v>
      </c>
      <c r="W204" s="37" t="s">
        <v>20</v>
      </c>
      <c r="X204" s="37" t="s">
        <v>20</v>
      </c>
      <c r="Y204" s="18" t="s">
        <v>20</v>
      </c>
      <c r="Z204" s="18" t="s">
        <v>20</v>
      </c>
      <c r="AA204" s="20" t="s">
        <v>21</v>
      </c>
      <c r="AB204" s="20" t="s">
        <v>21</v>
      </c>
      <c r="AC204" s="20" t="s">
        <v>20</v>
      </c>
      <c r="AD204" s="40" t="s">
        <v>20</v>
      </c>
      <c r="AE204" s="40" t="s">
        <v>21</v>
      </c>
      <c r="AG204">
        <f t="shared" si="18"/>
        <v>0</v>
      </c>
      <c r="AH204">
        <f t="shared" si="19"/>
        <v>12</v>
      </c>
      <c r="AI204">
        <f t="shared" si="20"/>
        <v>13</v>
      </c>
      <c r="AJ204">
        <f t="shared" si="21"/>
        <v>1</v>
      </c>
      <c r="AL204">
        <f t="shared" si="22"/>
        <v>0</v>
      </c>
      <c r="AM204">
        <f t="shared" si="23"/>
        <v>36</v>
      </c>
      <c r="AN204">
        <f t="shared" si="24"/>
        <v>26</v>
      </c>
      <c r="AO204">
        <f t="shared" si="25"/>
        <v>1</v>
      </c>
      <c r="AP204">
        <f t="shared" si="26"/>
        <v>63</v>
      </c>
    </row>
    <row r="205" spans="1:42" ht="15.75" hidden="1" customHeight="1" x14ac:dyDescent="0.3">
      <c r="A205" s="16"/>
      <c r="B205" s="55">
        <v>27</v>
      </c>
      <c r="C205" s="56" t="s">
        <v>223</v>
      </c>
      <c r="D205" s="55">
        <v>5</v>
      </c>
      <c r="E205" s="55" t="s">
        <v>20</v>
      </c>
      <c r="F205" s="18" t="s">
        <v>20</v>
      </c>
      <c r="G205" s="18" t="s">
        <v>20</v>
      </c>
      <c r="H205" s="18" t="s">
        <v>20</v>
      </c>
      <c r="I205" s="18" t="s">
        <v>20</v>
      </c>
      <c r="J205" s="43" t="s">
        <v>20</v>
      </c>
      <c r="K205" s="43" t="s">
        <v>20</v>
      </c>
      <c r="L205" s="43" t="s">
        <v>20</v>
      </c>
      <c r="M205" s="18" t="s">
        <v>20</v>
      </c>
      <c r="N205" s="18" t="s">
        <v>20</v>
      </c>
      <c r="O205" s="18" t="s">
        <v>20</v>
      </c>
      <c r="P205" s="18" t="s">
        <v>20</v>
      </c>
      <c r="Q205" s="18" t="s">
        <v>21</v>
      </c>
      <c r="R205" s="18" t="s">
        <v>21</v>
      </c>
      <c r="S205" s="18" t="s">
        <v>20</v>
      </c>
      <c r="T205" s="18" t="s">
        <v>21</v>
      </c>
      <c r="U205" s="18" t="s">
        <v>21</v>
      </c>
      <c r="V205" s="37" t="s">
        <v>20</v>
      </c>
      <c r="W205" s="37" t="s">
        <v>20</v>
      </c>
      <c r="X205" s="37" t="s">
        <v>20</v>
      </c>
      <c r="Y205" s="18" t="s">
        <v>20</v>
      </c>
      <c r="Z205" s="18" t="s">
        <v>20</v>
      </c>
      <c r="AA205" s="20" t="s">
        <v>20</v>
      </c>
      <c r="AB205" s="20" t="s">
        <v>20</v>
      </c>
      <c r="AC205" s="20" t="s">
        <v>20</v>
      </c>
      <c r="AD205" s="18" t="s">
        <v>20</v>
      </c>
      <c r="AE205" s="18" t="s">
        <v>21</v>
      </c>
      <c r="AG205">
        <f t="shared" si="18"/>
        <v>0</v>
      </c>
      <c r="AH205">
        <f t="shared" si="19"/>
        <v>21</v>
      </c>
      <c r="AI205">
        <f t="shared" si="20"/>
        <v>5</v>
      </c>
      <c r="AJ205">
        <f t="shared" si="21"/>
        <v>0</v>
      </c>
      <c r="AL205">
        <f t="shared" si="22"/>
        <v>0</v>
      </c>
      <c r="AM205">
        <f t="shared" si="23"/>
        <v>63</v>
      </c>
      <c r="AN205">
        <f t="shared" si="24"/>
        <v>10</v>
      </c>
      <c r="AO205">
        <f t="shared" si="25"/>
        <v>0</v>
      </c>
      <c r="AP205">
        <f t="shared" si="26"/>
        <v>73</v>
      </c>
    </row>
    <row r="206" spans="1:42" ht="15.75" hidden="1" customHeight="1" thickBot="1" x14ac:dyDescent="0.35">
      <c r="A206" s="16"/>
      <c r="B206" s="57">
        <v>28</v>
      </c>
      <c r="C206" s="58" t="s">
        <v>224</v>
      </c>
      <c r="D206" s="57">
        <v>5</v>
      </c>
      <c r="E206" s="57" t="s">
        <v>20</v>
      </c>
      <c r="F206" s="21" t="s">
        <v>20</v>
      </c>
      <c r="G206" s="21" t="s">
        <v>20</v>
      </c>
      <c r="H206" s="21" t="s">
        <v>20</v>
      </c>
      <c r="I206" s="21" t="s">
        <v>20</v>
      </c>
      <c r="J206" s="45" t="s">
        <v>20</v>
      </c>
      <c r="K206" s="45" t="s">
        <v>20</v>
      </c>
      <c r="L206" s="45" t="s">
        <v>21</v>
      </c>
      <c r="M206" s="21" t="s">
        <v>20</v>
      </c>
      <c r="N206" s="21" t="s">
        <v>20</v>
      </c>
      <c r="O206" s="21" t="s">
        <v>20</v>
      </c>
      <c r="P206" s="21" t="s">
        <v>21</v>
      </c>
      <c r="Q206" s="21" t="s">
        <v>21</v>
      </c>
      <c r="R206" s="21" t="s">
        <v>21</v>
      </c>
      <c r="S206" s="21" t="s">
        <v>20</v>
      </c>
      <c r="T206" s="21" t="s">
        <v>21</v>
      </c>
      <c r="U206" s="21" t="s">
        <v>20</v>
      </c>
      <c r="V206" s="38" t="s">
        <v>20</v>
      </c>
      <c r="W206" s="38" t="s">
        <v>20</v>
      </c>
      <c r="X206" s="38" t="s">
        <v>21</v>
      </c>
      <c r="Y206" s="21" t="s">
        <v>20</v>
      </c>
      <c r="Z206" s="21" t="s">
        <v>20</v>
      </c>
      <c r="AA206" s="23" t="s">
        <v>20</v>
      </c>
      <c r="AB206" s="23" t="s">
        <v>20</v>
      </c>
      <c r="AC206" s="23" t="s">
        <v>20</v>
      </c>
      <c r="AD206" s="21" t="s">
        <v>20</v>
      </c>
      <c r="AE206" s="21" t="s">
        <v>21</v>
      </c>
      <c r="AG206">
        <f t="shared" si="18"/>
        <v>0</v>
      </c>
      <c r="AH206">
        <f t="shared" si="19"/>
        <v>19</v>
      </c>
      <c r="AI206">
        <f t="shared" si="20"/>
        <v>7</v>
      </c>
      <c r="AJ206">
        <f t="shared" si="21"/>
        <v>0</v>
      </c>
      <c r="AL206">
        <f t="shared" si="22"/>
        <v>0</v>
      </c>
      <c r="AM206">
        <f t="shared" si="23"/>
        <v>57</v>
      </c>
      <c r="AN206">
        <f t="shared" si="24"/>
        <v>14</v>
      </c>
      <c r="AO206">
        <f t="shared" si="25"/>
        <v>0</v>
      </c>
      <c r="AP206">
        <f t="shared" si="26"/>
        <v>71</v>
      </c>
    </row>
    <row r="207" spans="1:42" ht="15.75" hidden="1" customHeight="1" x14ac:dyDescent="0.3">
      <c r="A207" s="16"/>
      <c r="B207" s="59">
        <v>1</v>
      </c>
      <c r="C207" s="60" t="s">
        <v>225</v>
      </c>
      <c r="D207" s="59">
        <v>5</v>
      </c>
      <c r="E207" s="59" t="s">
        <v>21</v>
      </c>
      <c r="F207" s="24" t="s">
        <v>21</v>
      </c>
      <c r="G207" s="24" t="s">
        <v>20</v>
      </c>
      <c r="H207" s="24" t="s">
        <v>21</v>
      </c>
      <c r="I207" s="24" t="s">
        <v>21</v>
      </c>
      <c r="J207" s="24" t="s">
        <v>20</v>
      </c>
      <c r="K207" s="24" t="s">
        <v>20</v>
      </c>
      <c r="L207" s="24" t="s">
        <v>20</v>
      </c>
      <c r="M207" s="24" t="s">
        <v>20</v>
      </c>
      <c r="N207" s="24" t="s">
        <v>20</v>
      </c>
      <c r="O207" s="24" t="s">
        <v>20</v>
      </c>
      <c r="P207" s="24" t="s">
        <v>21</v>
      </c>
      <c r="Q207" s="24" t="s">
        <v>21</v>
      </c>
      <c r="R207" s="24" t="s">
        <v>21</v>
      </c>
      <c r="S207" s="24" t="s">
        <v>20</v>
      </c>
      <c r="T207" s="24" t="s">
        <v>21</v>
      </c>
      <c r="U207" s="24" t="s">
        <v>20</v>
      </c>
      <c r="V207" s="39" t="s">
        <v>20</v>
      </c>
      <c r="W207" s="39" t="s">
        <v>20</v>
      </c>
      <c r="X207" s="39" t="s">
        <v>20</v>
      </c>
      <c r="Y207" s="24" t="s">
        <v>20</v>
      </c>
      <c r="Z207" s="24" t="s">
        <v>20</v>
      </c>
      <c r="AA207" s="27" t="s">
        <v>20</v>
      </c>
      <c r="AB207" s="27" t="s">
        <v>20</v>
      </c>
      <c r="AC207" s="27" t="s">
        <v>21</v>
      </c>
      <c r="AD207" s="24" t="s">
        <v>20</v>
      </c>
      <c r="AE207" s="24" t="s">
        <v>21</v>
      </c>
      <c r="AG207">
        <f t="shared" si="18"/>
        <v>0</v>
      </c>
      <c r="AH207">
        <f t="shared" si="19"/>
        <v>17</v>
      </c>
      <c r="AI207">
        <f t="shared" si="20"/>
        <v>9</v>
      </c>
      <c r="AJ207">
        <f t="shared" si="21"/>
        <v>0</v>
      </c>
      <c r="AL207">
        <f t="shared" si="22"/>
        <v>0</v>
      </c>
      <c r="AM207">
        <f t="shared" si="23"/>
        <v>51</v>
      </c>
      <c r="AN207">
        <f t="shared" si="24"/>
        <v>18</v>
      </c>
      <c r="AO207">
        <f t="shared" si="25"/>
        <v>0</v>
      </c>
      <c r="AP207">
        <f t="shared" si="26"/>
        <v>69</v>
      </c>
    </row>
    <row r="208" spans="1:42" ht="15.75" hidden="1" customHeight="1" x14ac:dyDescent="0.3">
      <c r="A208" s="16"/>
      <c r="B208" s="55">
        <v>2</v>
      </c>
      <c r="C208" s="56" t="s">
        <v>226</v>
      </c>
      <c r="D208" s="55">
        <v>5</v>
      </c>
      <c r="E208" s="55" t="s">
        <v>21</v>
      </c>
      <c r="F208" s="18" t="s">
        <v>21</v>
      </c>
      <c r="G208" s="18" t="s">
        <v>21</v>
      </c>
      <c r="H208" s="18" t="s">
        <v>21</v>
      </c>
      <c r="I208" s="18" t="s">
        <v>20</v>
      </c>
      <c r="J208" s="18" t="s">
        <v>21</v>
      </c>
      <c r="K208" s="18" t="s">
        <v>21</v>
      </c>
      <c r="L208" s="18" t="s">
        <v>21</v>
      </c>
      <c r="M208" s="18" t="s">
        <v>20</v>
      </c>
      <c r="N208" s="18" t="s">
        <v>21</v>
      </c>
      <c r="O208" s="18" t="s">
        <v>21</v>
      </c>
      <c r="P208" s="18" t="s">
        <v>21</v>
      </c>
      <c r="Q208" s="18" t="s">
        <v>23</v>
      </c>
      <c r="R208" s="18" t="s">
        <v>23</v>
      </c>
      <c r="S208" s="18" t="s">
        <v>21</v>
      </c>
      <c r="T208" s="18" t="s">
        <v>21</v>
      </c>
      <c r="U208" s="18" t="s">
        <v>21</v>
      </c>
      <c r="V208" s="37" t="s">
        <v>20</v>
      </c>
      <c r="W208" s="37" t="s">
        <v>21</v>
      </c>
      <c r="X208" s="37" t="s">
        <v>20</v>
      </c>
      <c r="Y208" s="18" t="s">
        <v>21</v>
      </c>
      <c r="Z208" s="18" t="s">
        <v>20</v>
      </c>
      <c r="AA208" s="20" t="s">
        <v>21</v>
      </c>
      <c r="AB208" s="20" t="s">
        <v>21</v>
      </c>
      <c r="AC208" s="20" t="s">
        <v>23</v>
      </c>
      <c r="AD208" s="18" t="s">
        <v>23</v>
      </c>
      <c r="AE208" s="18" t="s">
        <v>21</v>
      </c>
      <c r="AG208">
        <f t="shared" si="18"/>
        <v>0</v>
      </c>
      <c r="AH208">
        <f t="shared" si="19"/>
        <v>5</v>
      </c>
      <c r="AI208">
        <f t="shared" si="20"/>
        <v>17</v>
      </c>
      <c r="AJ208">
        <f t="shared" si="21"/>
        <v>4</v>
      </c>
      <c r="AL208">
        <f t="shared" si="22"/>
        <v>0</v>
      </c>
      <c r="AM208">
        <f t="shared" si="23"/>
        <v>15</v>
      </c>
      <c r="AN208">
        <f t="shared" si="24"/>
        <v>34</v>
      </c>
      <c r="AO208">
        <f t="shared" si="25"/>
        <v>4</v>
      </c>
      <c r="AP208">
        <f t="shared" si="26"/>
        <v>53</v>
      </c>
    </row>
    <row r="209" spans="1:42" ht="15.75" hidden="1" customHeight="1" x14ac:dyDescent="0.3">
      <c r="A209" s="16"/>
      <c r="B209" s="55">
        <v>3</v>
      </c>
      <c r="C209" s="56" t="s">
        <v>227</v>
      </c>
      <c r="D209" s="55">
        <v>5</v>
      </c>
      <c r="E209" s="55" t="s">
        <v>21</v>
      </c>
      <c r="F209" s="18" t="s">
        <v>21</v>
      </c>
      <c r="G209" s="18" t="s">
        <v>23</v>
      </c>
      <c r="H209" s="18" t="s">
        <v>21</v>
      </c>
      <c r="I209" s="18" t="s">
        <v>20</v>
      </c>
      <c r="J209" s="18" t="s">
        <v>21</v>
      </c>
      <c r="K209" s="18" t="s">
        <v>21</v>
      </c>
      <c r="L209" s="18" t="s">
        <v>20</v>
      </c>
      <c r="M209" s="18" t="s">
        <v>20</v>
      </c>
      <c r="N209" s="18" t="s">
        <v>21</v>
      </c>
      <c r="O209" s="18" t="s">
        <v>21</v>
      </c>
      <c r="P209" s="18" t="s">
        <v>21</v>
      </c>
      <c r="Q209" s="18" t="s">
        <v>23</v>
      </c>
      <c r="R209" s="18" t="s">
        <v>21</v>
      </c>
      <c r="S209" s="18" t="s">
        <v>21</v>
      </c>
      <c r="T209" s="18" t="s">
        <v>21</v>
      </c>
      <c r="U209" s="18" t="s">
        <v>20</v>
      </c>
      <c r="V209" s="37" t="s">
        <v>20</v>
      </c>
      <c r="W209" s="37" t="s">
        <v>21</v>
      </c>
      <c r="X209" s="37" t="s">
        <v>20</v>
      </c>
      <c r="Y209" s="18" t="s">
        <v>21</v>
      </c>
      <c r="Z209" s="18" t="s">
        <v>20</v>
      </c>
      <c r="AA209" s="20" t="s">
        <v>21</v>
      </c>
      <c r="AB209" s="20" t="s">
        <v>21</v>
      </c>
      <c r="AC209" s="20" t="s">
        <v>21</v>
      </c>
      <c r="AD209" s="18" t="s">
        <v>21</v>
      </c>
      <c r="AE209" s="18" t="s">
        <v>21</v>
      </c>
      <c r="AG209">
        <f t="shared" si="18"/>
        <v>0</v>
      </c>
      <c r="AH209">
        <f t="shared" si="19"/>
        <v>7</v>
      </c>
      <c r="AI209">
        <f t="shared" si="20"/>
        <v>17</v>
      </c>
      <c r="AJ209">
        <f t="shared" si="21"/>
        <v>2</v>
      </c>
      <c r="AL209">
        <f t="shared" si="22"/>
        <v>0</v>
      </c>
      <c r="AM209">
        <f t="shared" si="23"/>
        <v>21</v>
      </c>
      <c r="AN209">
        <f t="shared" si="24"/>
        <v>34</v>
      </c>
      <c r="AO209">
        <f t="shared" si="25"/>
        <v>2</v>
      </c>
      <c r="AP209">
        <f t="shared" si="26"/>
        <v>57</v>
      </c>
    </row>
    <row r="210" spans="1:42" ht="15.75" hidden="1" customHeight="1" x14ac:dyDescent="0.3">
      <c r="A210" s="16"/>
      <c r="B210" s="55">
        <v>4</v>
      </c>
      <c r="C210" s="56" t="s">
        <v>228</v>
      </c>
      <c r="D210" s="55">
        <v>5</v>
      </c>
      <c r="E210" s="55" t="s">
        <v>21</v>
      </c>
      <c r="F210" s="18" t="s">
        <v>20</v>
      </c>
      <c r="G210" s="18" t="s">
        <v>20</v>
      </c>
      <c r="H210" s="18" t="s">
        <v>20</v>
      </c>
      <c r="I210" s="18" t="s">
        <v>20</v>
      </c>
      <c r="J210" s="18" t="s">
        <v>21</v>
      </c>
      <c r="K210" s="18" t="s">
        <v>20</v>
      </c>
      <c r="L210" s="18" t="s">
        <v>20</v>
      </c>
      <c r="M210" s="18" t="s">
        <v>20</v>
      </c>
      <c r="N210" s="18" t="s">
        <v>20</v>
      </c>
      <c r="O210" s="18" t="s">
        <v>20</v>
      </c>
      <c r="P210" s="18" t="s">
        <v>21</v>
      </c>
      <c r="Q210" s="18" t="s">
        <v>21</v>
      </c>
      <c r="R210" s="18" t="s">
        <v>21</v>
      </c>
      <c r="S210" s="18" t="s">
        <v>20</v>
      </c>
      <c r="T210" s="18" t="s">
        <v>21</v>
      </c>
      <c r="U210" s="18" t="s">
        <v>20</v>
      </c>
      <c r="V210" s="37" t="s">
        <v>20</v>
      </c>
      <c r="W210" s="37" t="s">
        <v>20</v>
      </c>
      <c r="X210" s="37" t="s">
        <v>20</v>
      </c>
      <c r="Y210" s="18" t="s">
        <v>20</v>
      </c>
      <c r="Z210" s="18" t="s">
        <v>20</v>
      </c>
      <c r="AA210" s="20" t="s">
        <v>20</v>
      </c>
      <c r="AB210" s="20" t="s">
        <v>20</v>
      </c>
      <c r="AC210" s="20" t="s">
        <v>20</v>
      </c>
      <c r="AD210" s="18" t="s">
        <v>20</v>
      </c>
      <c r="AE210" s="18" t="s">
        <v>21</v>
      </c>
      <c r="AG210">
        <f t="shared" si="18"/>
        <v>0</v>
      </c>
      <c r="AH210">
        <f t="shared" si="19"/>
        <v>20</v>
      </c>
      <c r="AI210">
        <f t="shared" si="20"/>
        <v>6</v>
      </c>
      <c r="AJ210">
        <f t="shared" si="21"/>
        <v>0</v>
      </c>
      <c r="AL210">
        <f t="shared" si="22"/>
        <v>0</v>
      </c>
      <c r="AM210">
        <f t="shared" si="23"/>
        <v>60</v>
      </c>
      <c r="AN210">
        <f t="shared" si="24"/>
        <v>12</v>
      </c>
      <c r="AO210">
        <f t="shared" si="25"/>
        <v>0</v>
      </c>
      <c r="AP210">
        <f t="shared" si="26"/>
        <v>72</v>
      </c>
    </row>
    <row r="211" spans="1:42" ht="15.75" hidden="1" customHeight="1" x14ac:dyDescent="0.3">
      <c r="A211" s="16"/>
      <c r="B211" s="55">
        <v>5</v>
      </c>
      <c r="C211" s="56" t="s">
        <v>229</v>
      </c>
      <c r="D211" s="55">
        <v>5</v>
      </c>
      <c r="E211" s="55" t="s">
        <v>21</v>
      </c>
      <c r="F211" s="18" t="s">
        <v>20</v>
      </c>
      <c r="G211" s="18" t="s">
        <v>21</v>
      </c>
      <c r="H211" s="18" t="s">
        <v>20</v>
      </c>
      <c r="I211" s="18" t="s">
        <v>20</v>
      </c>
      <c r="J211" s="18" t="s">
        <v>21</v>
      </c>
      <c r="K211" s="18" t="s">
        <v>21</v>
      </c>
      <c r="L211" s="18" t="s">
        <v>20</v>
      </c>
      <c r="M211" s="18" t="s">
        <v>20</v>
      </c>
      <c r="N211" s="18" t="s">
        <v>20</v>
      </c>
      <c r="O211" s="18" t="s">
        <v>20</v>
      </c>
      <c r="P211" s="18" t="s">
        <v>21</v>
      </c>
      <c r="Q211" s="18" t="s">
        <v>20</v>
      </c>
      <c r="R211" s="18" t="s">
        <v>21</v>
      </c>
      <c r="S211" s="18" t="s">
        <v>20</v>
      </c>
      <c r="T211" s="18" t="s">
        <v>21</v>
      </c>
      <c r="U211" s="18" t="s">
        <v>20</v>
      </c>
      <c r="V211" s="37" t="s">
        <v>20</v>
      </c>
      <c r="W211" s="37" t="s">
        <v>21</v>
      </c>
      <c r="X211" s="37" t="s">
        <v>20</v>
      </c>
      <c r="Y211" s="18" t="s">
        <v>21</v>
      </c>
      <c r="Z211" s="18" t="s">
        <v>20</v>
      </c>
      <c r="AA211" s="20" t="s">
        <v>20</v>
      </c>
      <c r="AB211" s="20" t="s">
        <v>20</v>
      </c>
      <c r="AC211" s="20" t="s">
        <v>20</v>
      </c>
      <c r="AD211" s="18" t="s">
        <v>20</v>
      </c>
      <c r="AE211" s="18" t="s">
        <v>21</v>
      </c>
      <c r="AG211">
        <f t="shared" si="18"/>
        <v>0</v>
      </c>
      <c r="AH211">
        <f t="shared" si="19"/>
        <v>17</v>
      </c>
      <c r="AI211">
        <f t="shared" si="20"/>
        <v>9</v>
      </c>
      <c r="AJ211">
        <f t="shared" si="21"/>
        <v>0</v>
      </c>
      <c r="AL211">
        <f t="shared" si="22"/>
        <v>0</v>
      </c>
      <c r="AM211">
        <f t="shared" si="23"/>
        <v>51</v>
      </c>
      <c r="AN211">
        <f t="shared" si="24"/>
        <v>18</v>
      </c>
      <c r="AO211">
        <f t="shared" si="25"/>
        <v>0</v>
      </c>
      <c r="AP211">
        <f t="shared" si="26"/>
        <v>69</v>
      </c>
    </row>
    <row r="212" spans="1:42" ht="15.75" hidden="1" customHeight="1" x14ac:dyDescent="0.3">
      <c r="A212" s="16"/>
      <c r="B212" s="55">
        <v>6</v>
      </c>
      <c r="C212" s="56" t="s">
        <v>230</v>
      </c>
      <c r="D212" s="55">
        <v>5</v>
      </c>
      <c r="E212" s="55" t="s">
        <v>21</v>
      </c>
      <c r="F212" s="18" t="s">
        <v>21</v>
      </c>
      <c r="G212" s="18" t="s">
        <v>21</v>
      </c>
      <c r="H212" s="18" t="s">
        <v>21</v>
      </c>
      <c r="I212" s="18" t="s">
        <v>20</v>
      </c>
      <c r="J212" s="18" t="s">
        <v>21</v>
      </c>
      <c r="K212" s="18" t="s">
        <v>21</v>
      </c>
      <c r="L212" s="18" t="s">
        <v>21</v>
      </c>
      <c r="M212" s="18" t="s">
        <v>20</v>
      </c>
      <c r="N212" s="18" t="s">
        <v>20</v>
      </c>
      <c r="O212" s="18" t="s">
        <v>20</v>
      </c>
      <c r="P212" s="18" t="s">
        <v>21</v>
      </c>
      <c r="Q212" s="18" t="s">
        <v>23</v>
      </c>
      <c r="R212" s="18" t="s">
        <v>23</v>
      </c>
      <c r="S212" s="18" t="s">
        <v>21</v>
      </c>
      <c r="T212" s="18" t="s">
        <v>21</v>
      </c>
      <c r="U212" s="18" t="s">
        <v>20</v>
      </c>
      <c r="V212" s="37" t="s">
        <v>20</v>
      </c>
      <c r="W212" s="37" t="s">
        <v>20</v>
      </c>
      <c r="X212" s="37" t="s">
        <v>20</v>
      </c>
      <c r="Y212" s="18" t="s">
        <v>21</v>
      </c>
      <c r="Z212" s="18" t="s">
        <v>20</v>
      </c>
      <c r="AA212" s="20" t="s">
        <v>20</v>
      </c>
      <c r="AB212" s="20" t="s">
        <v>20</v>
      </c>
      <c r="AC212" s="20" t="s">
        <v>20</v>
      </c>
      <c r="AD212" s="29" t="s">
        <v>23</v>
      </c>
      <c r="AE212" s="29" t="s">
        <v>21</v>
      </c>
      <c r="AG212">
        <f t="shared" si="18"/>
        <v>0</v>
      </c>
      <c r="AH212">
        <f t="shared" si="19"/>
        <v>12</v>
      </c>
      <c r="AI212">
        <f t="shared" si="20"/>
        <v>11</v>
      </c>
      <c r="AJ212">
        <f t="shared" si="21"/>
        <v>3</v>
      </c>
      <c r="AL212">
        <f t="shared" si="22"/>
        <v>0</v>
      </c>
      <c r="AM212">
        <f t="shared" si="23"/>
        <v>36</v>
      </c>
      <c r="AN212">
        <f t="shared" si="24"/>
        <v>22</v>
      </c>
      <c r="AO212">
        <f t="shared" si="25"/>
        <v>3</v>
      </c>
      <c r="AP212">
        <f t="shared" si="26"/>
        <v>61</v>
      </c>
    </row>
    <row r="213" spans="1:42" ht="15.75" hidden="1" customHeight="1" x14ac:dyDescent="0.3">
      <c r="A213" s="16"/>
      <c r="B213" s="55">
        <v>7</v>
      </c>
      <c r="C213" s="56" t="s">
        <v>231</v>
      </c>
      <c r="D213" s="55">
        <v>5</v>
      </c>
      <c r="E213" s="55" t="s">
        <v>21</v>
      </c>
      <c r="F213" s="18" t="s">
        <v>21</v>
      </c>
      <c r="G213" s="18" t="s">
        <v>21</v>
      </c>
      <c r="H213" s="18" t="s">
        <v>21</v>
      </c>
      <c r="I213" s="18" t="s">
        <v>21</v>
      </c>
      <c r="J213" s="18" t="s">
        <v>21</v>
      </c>
      <c r="K213" s="18" t="s">
        <v>21</v>
      </c>
      <c r="L213" s="18" t="s">
        <v>21</v>
      </c>
      <c r="M213" s="18" t="s">
        <v>20</v>
      </c>
      <c r="N213" s="18" t="s">
        <v>21</v>
      </c>
      <c r="O213" s="18" t="s">
        <v>20</v>
      </c>
      <c r="P213" s="18" t="s">
        <v>21</v>
      </c>
      <c r="Q213" s="18" t="s">
        <v>23</v>
      </c>
      <c r="R213" s="18" t="s">
        <v>21</v>
      </c>
      <c r="S213" s="18" t="s">
        <v>21</v>
      </c>
      <c r="T213" s="18" t="s">
        <v>21</v>
      </c>
      <c r="U213" s="18" t="s">
        <v>21</v>
      </c>
      <c r="V213" s="37" t="s">
        <v>21</v>
      </c>
      <c r="W213" s="37" t="s">
        <v>21</v>
      </c>
      <c r="X213" s="37" t="s">
        <v>21</v>
      </c>
      <c r="Y213" s="18" t="s">
        <v>20</v>
      </c>
      <c r="Z213" s="18" t="s">
        <v>20</v>
      </c>
      <c r="AA213" s="20" t="s">
        <v>21</v>
      </c>
      <c r="AB213" s="20" t="s">
        <v>21</v>
      </c>
      <c r="AC213" s="20" t="s">
        <v>21</v>
      </c>
      <c r="AD213" s="29" t="s">
        <v>23</v>
      </c>
      <c r="AE213" s="29" t="s">
        <v>21</v>
      </c>
      <c r="AG213">
        <f t="shared" si="18"/>
        <v>0</v>
      </c>
      <c r="AH213">
        <f t="shared" si="19"/>
        <v>4</v>
      </c>
      <c r="AI213">
        <f t="shared" si="20"/>
        <v>20</v>
      </c>
      <c r="AJ213">
        <f t="shared" si="21"/>
        <v>2</v>
      </c>
      <c r="AL213">
        <f t="shared" si="22"/>
        <v>0</v>
      </c>
      <c r="AM213">
        <f t="shared" si="23"/>
        <v>12</v>
      </c>
      <c r="AN213">
        <f t="shared" si="24"/>
        <v>40</v>
      </c>
      <c r="AO213">
        <f t="shared" si="25"/>
        <v>2</v>
      </c>
      <c r="AP213">
        <f t="shared" si="26"/>
        <v>54</v>
      </c>
    </row>
    <row r="214" spans="1:42" ht="15.75" hidden="1" customHeight="1" x14ac:dyDescent="0.3">
      <c r="A214" s="16"/>
      <c r="B214" s="55">
        <v>8</v>
      </c>
      <c r="C214" s="56" t="s">
        <v>232</v>
      </c>
      <c r="D214" s="55">
        <v>5</v>
      </c>
      <c r="E214" s="55" t="s">
        <v>21</v>
      </c>
      <c r="F214" s="18" t="s">
        <v>21</v>
      </c>
      <c r="G214" s="18" t="s">
        <v>23</v>
      </c>
      <c r="H214" s="18" t="s">
        <v>21</v>
      </c>
      <c r="I214" s="18" t="s">
        <v>20</v>
      </c>
      <c r="J214" s="18" t="s">
        <v>23</v>
      </c>
      <c r="K214" s="18" t="s">
        <v>20</v>
      </c>
      <c r="L214" s="18" t="s">
        <v>20</v>
      </c>
      <c r="M214" s="18" t="s">
        <v>20</v>
      </c>
      <c r="N214" s="18" t="s">
        <v>20</v>
      </c>
      <c r="O214" s="18" t="s">
        <v>20</v>
      </c>
      <c r="P214" s="18" t="s">
        <v>23</v>
      </c>
      <c r="Q214" s="18" t="s">
        <v>21</v>
      </c>
      <c r="R214" s="18" t="s">
        <v>21</v>
      </c>
      <c r="S214" s="18" t="s">
        <v>23</v>
      </c>
      <c r="T214" s="18" t="s">
        <v>21</v>
      </c>
      <c r="U214" s="18" t="s">
        <v>20</v>
      </c>
      <c r="V214" s="37" t="s">
        <v>20</v>
      </c>
      <c r="W214" s="37" t="s">
        <v>21</v>
      </c>
      <c r="X214" s="37" t="s">
        <v>20</v>
      </c>
      <c r="Y214" s="18" t="s">
        <v>20</v>
      </c>
      <c r="Z214" s="18" t="s">
        <v>20</v>
      </c>
      <c r="AA214" s="20" t="s">
        <v>20</v>
      </c>
      <c r="AB214" s="20" t="s">
        <v>20</v>
      </c>
      <c r="AC214" s="20" t="s">
        <v>20</v>
      </c>
      <c r="AD214" s="29" t="s">
        <v>23</v>
      </c>
      <c r="AE214" s="29" t="s">
        <v>21</v>
      </c>
      <c r="AG214">
        <f t="shared" si="18"/>
        <v>0</v>
      </c>
      <c r="AH214">
        <f t="shared" si="19"/>
        <v>14</v>
      </c>
      <c r="AI214">
        <f t="shared" si="20"/>
        <v>7</v>
      </c>
      <c r="AJ214">
        <f t="shared" si="21"/>
        <v>5</v>
      </c>
      <c r="AL214">
        <f t="shared" si="22"/>
        <v>0</v>
      </c>
      <c r="AM214">
        <f t="shared" si="23"/>
        <v>42</v>
      </c>
      <c r="AN214">
        <f t="shared" si="24"/>
        <v>14</v>
      </c>
      <c r="AO214">
        <f t="shared" si="25"/>
        <v>5</v>
      </c>
      <c r="AP214">
        <f t="shared" si="26"/>
        <v>61</v>
      </c>
    </row>
    <row r="215" spans="1:42" ht="15.75" hidden="1" customHeight="1" x14ac:dyDescent="0.3">
      <c r="A215" s="16"/>
      <c r="B215" s="55">
        <v>9</v>
      </c>
      <c r="C215" s="56" t="s">
        <v>233</v>
      </c>
      <c r="D215" s="55">
        <v>5</v>
      </c>
      <c r="E215" s="55" t="s">
        <v>21</v>
      </c>
      <c r="F215" s="18" t="s">
        <v>20</v>
      </c>
      <c r="G215" s="18" t="s">
        <v>20</v>
      </c>
      <c r="H215" s="18" t="s">
        <v>20</v>
      </c>
      <c r="I215" s="18" t="s">
        <v>20</v>
      </c>
      <c r="J215" s="18" t="s">
        <v>21</v>
      </c>
      <c r="K215" s="18" t="s">
        <v>21</v>
      </c>
      <c r="L215" s="18" t="s">
        <v>21</v>
      </c>
      <c r="M215" s="18" t="s">
        <v>20</v>
      </c>
      <c r="N215" s="18" t="s">
        <v>20</v>
      </c>
      <c r="O215" s="18" t="s">
        <v>20</v>
      </c>
      <c r="P215" s="18" t="s">
        <v>21</v>
      </c>
      <c r="Q215" s="18" t="s">
        <v>21</v>
      </c>
      <c r="R215" s="18" t="s">
        <v>20</v>
      </c>
      <c r="S215" s="18" t="s">
        <v>20</v>
      </c>
      <c r="T215" s="18" t="s">
        <v>21</v>
      </c>
      <c r="U215" s="18" t="s">
        <v>20</v>
      </c>
      <c r="V215" s="37" t="s">
        <v>20</v>
      </c>
      <c r="W215" s="37" t="s">
        <v>20</v>
      </c>
      <c r="X215" s="37" t="s">
        <v>20</v>
      </c>
      <c r="Y215" s="18" t="s">
        <v>20</v>
      </c>
      <c r="Z215" s="18" t="s">
        <v>20</v>
      </c>
      <c r="AA215" s="20" t="s">
        <v>20</v>
      </c>
      <c r="AB215" s="20" t="s">
        <v>20</v>
      </c>
      <c r="AC215" s="20" t="s">
        <v>20</v>
      </c>
      <c r="AD215" s="29" t="s">
        <v>20</v>
      </c>
      <c r="AE215" s="29" t="s">
        <v>21</v>
      </c>
      <c r="AG215">
        <f t="shared" si="18"/>
        <v>0</v>
      </c>
      <c r="AH215">
        <f t="shared" si="19"/>
        <v>19</v>
      </c>
      <c r="AI215">
        <f t="shared" si="20"/>
        <v>7</v>
      </c>
      <c r="AJ215">
        <f t="shared" si="21"/>
        <v>0</v>
      </c>
      <c r="AL215">
        <f t="shared" si="22"/>
        <v>0</v>
      </c>
      <c r="AM215">
        <f t="shared" si="23"/>
        <v>57</v>
      </c>
      <c r="AN215">
        <f t="shared" si="24"/>
        <v>14</v>
      </c>
      <c r="AO215">
        <f t="shared" si="25"/>
        <v>0</v>
      </c>
      <c r="AP215">
        <f t="shared" si="26"/>
        <v>71</v>
      </c>
    </row>
    <row r="216" spans="1:42" ht="15.75" hidden="1" customHeight="1" x14ac:dyDescent="0.3">
      <c r="A216" s="16"/>
      <c r="B216" s="55">
        <v>10</v>
      </c>
      <c r="C216" s="56" t="s">
        <v>234</v>
      </c>
      <c r="D216" s="55">
        <v>5</v>
      </c>
      <c r="E216" s="55" t="s">
        <v>21</v>
      </c>
      <c r="F216" s="18" t="s">
        <v>20</v>
      </c>
      <c r="G216" s="18" t="s">
        <v>20</v>
      </c>
      <c r="H216" s="18" t="s">
        <v>21</v>
      </c>
      <c r="I216" s="18" t="s">
        <v>20</v>
      </c>
      <c r="J216" s="18" t="s">
        <v>20</v>
      </c>
      <c r="K216" s="18" t="s">
        <v>21</v>
      </c>
      <c r="L216" s="18" t="s">
        <v>20</v>
      </c>
      <c r="M216" s="18" t="s">
        <v>20</v>
      </c>
      <c r="N216" s="18" t="s">
        <v>20</v>
      </c>
      <c r="O216" s="18" t="s">
        <v>20</v>
      </c>
      <c r="P216" s="18" t="s">
        <v>21</v>
      </c>
      <c r="Q216" s="18" t="s">
        <v>21</v>
      </c>
      <c r="R216" s="18" t="s">
        <v>21</v>
      </c>
      <c r="S216" s="18" t="s">
        <v>20</v>
      </c>
      <c r="T216" s="18" t="s">
        <v>21</v>
      </c>
      <c r="U216" s="18" t="s">
        <v>20</v>
      </c>
      <c r="V216" s="37" t="s">
        <v>20</v>
      </c>
      <c r="W216" s="37" t="s">
        <v>20</v>
      </c>
      <c r="X216" s="37" t="s">
        <v>20</v>
      </c>
      <c r="Y216" s="18" t="s">
        <v>20</v>
      </c>
      <c r="Z216" s="18" t="s">
        <v>20</v>
      </c>
      <c r="AA216" s="20" t="s">
        <v>20</v>
      </c>
      <c r="AB216" s="20" t="s">
        <v>20</v>
      </c>
      <c r="AC216" s="20" t="s">
        <v>20</v>
      </c>
      <c r="AD216" s="29" t="s">
        <v>20</v>
      </c>
      <c r="AE216" s="29" t="s">
        <v>21</v>
      </c>
      <c r="AG216">
        <f t="shared" si="18"/>
        <v>0</v>
      </c>
      <c r="AH216">
        <f t="shared" si="19"/>
        <v>19</v>
      </c>
      <c r="AI216">
        <f t="shared" si="20"/>
        <v>7</v>
      </c>
      <c r="AJ216">
        <f t="shared" si="21"/>
        <v>0</v>
      </c>
      <c r="AL216">
        <f t="shared" si="22"/>
        <v>0</v>
      </c>
      <c r="AM216">
        <f t="shared" si="23"/>
        <v>57</v>
      </c>
      <c r="AN216">
        <f t="shared" si="24"/>
        <v>14</v>
      </c>
      <c r="AO216">
        <f t="shared" si="25"/>
        <v>0</v>
      </c>
      <c r="AP216">
        <f t="shared" si="26"/>
        <v>71</v>
      </c>
    </row>
    <row r="217" spans="1:42" ht="15.75" hidden="1" customHeight="1" x14ac:dyDescent="0.3">
      <c r="A217" s="16"/>
      <c r="B217" s="55">
        <v>11</v>
      </c>
      <c r="C217" s="56" t="s">
        <v>235</v>
      </c>
      <c r="D217" s="55">
        <v>5</v>
      </c>
      <c r="E217" s="55" t="s">
        <v>21</v>
      </c>
      <c r="F217" s="18" t="s">
        <v>21</v>
      </c>
      <c r="G217" s="18" t="s">
        <v>21</v>
      </c>
      <c r="H217" s="18" t="s">
        <v>21</v>
      </c>
      <c r="I217" s="18" t="s">
        <v>21</v>
      </c>
      <c r="J217" s="18" t="s">
        <v>21</v>
      </c>
      <c r="K217" s="18" t="s">
        <v>21</v>
      </c>
      <c r="L217" s="18" t="s">
        <v>20</v>
      </c>
      <c r="M217" s="18" t="s">
        <v>20</v>
      </c>
      <c r="N217" s="18" t="s">
        <v>20</v>
      </c>
      <c r="O217" s="18" t="s">
        <v>20</v>
      </c>
      <c r="P217" s="18" t="s">
        <v>21</v>
      </c>
      <c r="Q217" s="18" t="s">
        <v>21</v>
      </c>
      <c r="R217" s="18" t="s">
        <v>21</v>
      </c>
      <c r="S217" s="18" t="s">
        <v>20</v>
      </c>
      <c r="T217" s="18" t="s">
        <v>20</v>
      </c>
      <c r="U217" s="18" t="s">
        <v>21</v>
      </c>
      <c r="V217" s="37" t="s">
        <v>20</v>
      </c>
      <c r="W217" s="37" t="s">
        <v>21</v>
      </c>
      <c r="X217" s="37" t="s">
        <v>20</v>
      </c>
      <c r="Y217" s="18" t="s">
        <v>20</v>
      </c>
      <c r="Z217" s="18" t="s">
        <v>21</v>
      </c>
      <c r="AA217" s="20" t="s">
        <v>20</v>
      </c>
      <c r="AB217" s="20" t="s">
        <v>20</v>
      </c>
      <c r="AC217" s="20" t="s">
        <v>20</v>
      </c>
      <c r="AD217" s="29" t="s">
        <v>20</v>
      </c>
      <c r="AE217" s="29" t="s">
        <v>21</v>
      </c>
      <c r="AG217">
        <f t="shared" si="18"/>
        <v>0</v>
      </c>
      <c r="AH217">
        <f t="shared" si="19"/>
        <v>13</v>
      </c>
      <c r="AI217">
        <f t="shared" si="20"/>
        <v>13</v>
      </c>
      <c r="AJ217">
        <f t="shared" si="21"/>
        <v>0</v>
      </c>
      <c r="AL217">
        <f t="shared" si="22"/>
        <v>0</v>
      </c>
      <c r="AM217">
        <f t="shared" si="23"/>
        <v>39</v>
      </c>
      <c r="AN217">
        <f t="shared" si="24"/>
        <v>26</v>
      </c>
      <c r="AO217">
        <f t="shared" si="25"/>
        <v>0</v>
      </c>
      <c r="AP217">
        <f t="shared" si="26"/>
        <v>65</v>
      </c>
    </row>
    <row r="218" spans="1:42" ht="15.75" hidden="1" customHeight="1" x14ac:dyDescent="0.3">
      <c r="A218" s="16"/>
      <c r="B218" s="55">
        <v>12</v>
      </c>
      <c r="C218" s="56" t="s">
        <v>236</v>
      </c>
      <c r="D218" s="55">
        <v>5</v>
      </c>
      <c r="E218" s="55" t="s">
        <v>21</v>
      </c>
      <c r="F218" s="18" t="s">
        <v>21</v>
      </c>
      <c r="G218" s="18" t="s">
        <v>21</v>
      </c>
      <c r="H218" s="18" t="s">
        <v>21</v>
      </c>
      <c r="I218" s="18" t="s">
        <v>20</v>
      </c>
      <c r="J218" s="18" t="s">
        <v>21</v>
      </c>
      <c r="K218" s="18" t="s">
        <v>21</v>
      </c>
      <c r="L218" s="18" t="s">
        <v>20</v>
      </c>
      <c r="M218" s="18" t="s">
        <v>20</v>
      </c>
      <c r="N218" s="18" t="s">
        <v>20</v>
      </c>
      <c r="O218" s="18" t="s">
        <v>20</v>
      </c>
      <c r="P218" s="18" t="s">
        <v>23</v>
      </c>
      <c r="Q218" s="18" t="s">
        <v>23</v>
      </c>
      <c r="R218" s="18" t="s">
        <v>23</v>
      </c>
      <c r="S218" s="18" t="s">
        <v>21</v>
      </c>
      <c r="T218" s="18" t="s">
        <v>21</v>
      </c>
      <c r="U218" s="18" t="s">
        <v>20</v>
      </c>
      <c r="V218" s="37" t="s">
        <v>20</v>
      </c>
      <c r="W218" s="37" t="s">
        <v>20</v>
      </c>
      <c r="X218" s="37" t="s">
        <v>20</v>
      </c>
      <c r="Y218" s="18" t="s">
        <v>20</v>
      </c>
      <c r="Z218" s="18" t="s">
        <v>20</v>
      </c>
      <c r="AA218" s="20" t="s">
        <v>20</v>
      </c>
      <c r="AB218" s="20" t="s">
        <v>20</v>
      </c>
      <c r="AC218" s="20" t="s">
        <v>20</v>
      </c>
      <c r="AD218" s="29" t="s">
        <v>23</v>
      </c>
      <c r="AE218" s="29" t="s">
        <v>21</v>
      </c>
      <c r="AG218">
        <f t="shared" si="18"/>
        <v>0</v>
      </c>
      <c r="AH218">
        <f t="shared" si="19"/>
        <v>14</v>
      </c>
      <c r="AI218">
        <f t="shared" si="20"/>
        <v>8</v>
      </c>
      <c r="AJ218">
        <f t="shared" si="21"/>
        <v>4</v>
      </c>
      <c r="AL218">
        <f t="shared" si="22"/>
        <v>0</v>
      </c>
      <c r="AM218">
        <f t="shared" si="23"/>
        <v>42</v>
      </c>
      <c r="AN218">
        <f t="shared" si="24"/>
        <v>16</v>
      </c>
      <c r="AO218">
        <f t="shared" si="25"/>
        <v>4</v>
      </c>
      <c r="AP218">
        <f t="shared" si="26"/>
        <v>62</v>
      </c>
    </row>
    <row r="219" spans="1:42" ht="15.75" hidden="1" customHeight="1" x14ac:dyDescent="0.3">
      <c r="A219" s="16"/>
      <c r="B219" s="55">
        <v>13</v>
      </c>
      <c r="C219" s="56" t="s">
        <v>237</v>
      </c>
      <c r="D219" s="55">
        <v>5</v>
      </c>
      <c r="E219" s="55" t="s">
        <v>21</v>
      </c>
      <c r="F219" s="18" t="s">
        <v>21</v>
      </c>
      <c r="G219" s="18" t="s">
        <v>21</v>
      </c>
      <c r="H219" s="18" t="s">
        <v>21</v>
      </c>
      <c r="I219" s="18" t="s">
        <v>21</v>
      </c>
      <c r="J219" s="18" t="s">
        <v>20</v>
      </c>
      <c r="K219" s="18" t="s">
        <v>20</v>
      </c>
      <c r="L219" s="18" t="s">
        <v>20</v>
      </c>
      <c r="M219" s="18" t="s">
        <v>20</v>
      </c>
      <c r="N219" s="18" t="s">
        <v>21</v>
      </c>
      <c r="O219" s="18" t="s">
        <v>20</v>
      </c>
      <c r="P219" s="18" t="s">
        <v>23</v>
      </c>
      <c r="Q219" s="18" t="s">
        <v>21</v>
      </c>
      <c r="R219" s="18" t="s">
        <v>21</v>
      </c>
      <c r="S219" s="18" t="s">
        <v>20</v>
      </c>
      <c r="T219" s="18" t="s">
        <v>21</v>
      </c>
      <c r="U219" s="18" t="s">
        <v>21</v>
      </c>
      <c r="V219" s="37" t="s">
        <v>20</v>
      </c>
      <c r="W219" s="37" t="s">
        <v>20</v>
      </c>
      <c r="X219" s="37" t="s">
        <v>20</v>
      </c>
      <c r="Y219" s="18" t="s">
        <v>20</v>
      </c>
      <c r="Z219" s="18" t="s">
        <v>20</v>
      </c>
      <c r="AA219" s="20" t="s">
        <v>21</v>
      </c>
      <c r="AB219" s="20" t="s">
        <v>20</v>
      </c>
      <c r="AC219" s="20" t="s">
        <v>21</v>
      </c>
      <c r="AD219" s="29" t="s">
        <v>21</v>
      </c>
      <c r="AE219" s="29" t="s">
        <v>21</v>
      </c>
      <c r="AG219">
        <f t="shared" ref="AG219:AG252" si="27">+COUNTIF(F219:AE219,"AD")</f>
        <v>0</v>
      </c>
      <c r="AH219">
        <f t="shared" ref="AH219:AH252" si="28">+COUNTIF(F219:AE219,"A")</f>
        <v>12</v>
      </c>
      <c r="AI219">
        <f t="shared" ref="AI219:AI252" si="29">+COUNTIF(F219:AE219,"b")</f>
        <v>13</v>
      </c>
      <c r="AJ219">
        <f t="shared" ref="AJ219:AJ252" si="30">+COUNTIF(F219:AE219,"c")</f>
        <v>1</v>
      </c>
      <c r="AL219">
        <f t="shared" ref="AL219:AL252" si="31">+$AG$5*AG219</f>
        <v>0</v>
      </c>
      <c r="AM219">
        <f t="shared" ref="AM219:AM252" si="32">+$AH$5*AH219</f>
        <v>36</v>
      </c>
      <c r="AN219">
        <f t="shared" ref="AN219:AN252" si="33">+$AI$5*AI219</f>
        <v>26</v>
      </c>
      <c r="AO219">
        <f t="shared" ref="AO219:AO252" si="34">+$AJ$5*AJ219</f>
        <v>1</v>
      </c>
      <c r="AP219">
        <f t="shared" ref="AP219:AP232" si="35">+SUM(AL219:AO219)</f>
        <v>63</v>
      </c>
    </row>
    <row r="220" spans="1:42" ht="15.75" hidden="1" customHeight="1" x14ac:dyDescent="0.3">
      <c r="A220" s="16"/>
      <c r="B220" s="55">
        <v>14</v>
      </c>
      <c r="C220" s="56" t="s">
        <v>238</v>
      </c>
      <c r="D220" s="55">
        <v>5</v>
      </c>
      <c r="E220" s="55" t="s">
        <v>21</v>
      </c>
      <c r="F220" s="18" t="s">
        <v>21</v>
      </c>
      <c r="G220" s="18" t="s">
        <v>21</v>
      </c>
      <c r="H220" s="18" t="s">
        <v>23</v>
      </c>
      <c r="I220" s="18" t="s">
        <v>21</v>
      </c>
      <c r="J220" s="18" t="s">
        <v>23</v>
      </c>
      <c r="K220" s="18" t="s">
        <v>21</v>
      </c>
      <c r="L220" s="18" t="s">
        <v>21</v>
      </c>
      <c r="M220" s="18" t="s">
        <v>21</v>
      </c>
      <c r="N220" s="18" t="s">
        <v>21</v>
      </c>
      <c r="O220" s="18" t="s">
        <v>20</v>
      </c>
      <c r="P220" s="18" t="s">
        <v>21</v>
      </c>
      <c r="Q220" s="18" t="s">
        <v>23</v>
      </c>
      <c r="R220" s="18" t="s">
        <v>21</v>
      </c>
      <c r="S220" s="18" t="s">
        <v>21</v>
      </c>
      <c r="T220" s="18" t="s">
        <v>21</v>
      </c>
      <c r="U220" s="18" t="s">
        <v>20</v>
      </c>
      <c r="V220" s="37" t="s">
        <v>21</v>
      </c>
      <c r="W220" s="37" t="s">
        <v>20</v>
      </c>
      <c r="X220" s="37" t="s">
        <v>20</v>
      </c>
      <c r="Y220" s="18" t="s">
        <v>20</v>
      </c>
      <c r="Z220" s="18" t="s">
        <v>21</v>
      </c>
      <c r="AA220" s="20" t="s">
        <v>23</v>
      </c>
      <c r="AB220" s="20" t="s">
        <v>23</v>
      </c>
      <c r="AC220" s="20" t="s">
        <v>21</v>
      </c>
      <c r="AD220" s="29" t="s">
        <v>20</v>
      </c>
      <c r="AE220" s="29" t="s">
        <v>21</v>
      </c>
      <c r="AG220">
        <f t="shared" si="27"/>
        <v>0</v>
      </c>
      <c r="AH220">
        <f t="shared" si="28"/>
        <v>6</v>
      </c>
      <c r="AI220">
        <f t="shared" si="29"/>
        <v>15</v>
      </c>
      <c r="AJ220">
        <f t="shared" si="30"/>
        <v>5</v>
      </c>
      <c r="AL220">
        <f t="shared" si="31"/>
        <v>0</v>
      </c>
      <c r="AM220">
        <f t="shared" si="32"/>
        <v>18</v>
      </c>
      <c r="AN220">
        <f t="shared" si="33"/>
        <v>30</v>
      </c>
      <c r="AO220">
        <f t="shared" si="34"/>
        <v>5</v>
      </c>
      <c r="AP220">
        <f t="shared" si="35"/>
        <v>53</v>
      </c>
    </row>
    <row r="221" spans="1:42" ht="15.75" hidden="1" customHeight="1" x14ac:dyDescent="0.3">
      <c r="A221" s="16"/>
      <c r="B221" s="55">
        <v>15</v>
      </c>
      <c r="C221" s="56" t="s">
        <v>239</v>
      </c>
      <c r="D221" s="55">
        <v>5</v>
      </c>
      <c r="E221" s="55" t="s">
        <v>21</v>
      </c>
      <c r="F221" s="18" t="s">
        <v>21</v>
      </c>
      <c r="G221" s="18" t="s">
        <v>23</v>
      </c>
      <c r="H221" s="18" t="s">
        <v>21</v>
      </c>
      <c r="I221" s="18" t="s">
        <v>21</v>
      </c>
      <c r="J221" s="18" t="s">
        <v>21</v>
      </c>
      <c r="K221" s="18" t="s">
        <v>20</v>
      </c>
      <c r="L221" s="18" t="s">
        <v>20</v>
      </c>
      <c r="M221" s="18" t="s">
        <v>20</v>
      </c>
      <c r="N221" s="18" t="s">
        <v>21</v>
      </c>
      <c r="O221" s="18" t="s">
        <v>20</v>
      </c>
      <c r="P221" s="18" t="s">
        <v>21</v>
      </c>
      <c r="Q221" s="18" t="s">
        <v>21</v>
      </c>
      <c r="R221" s="18" t="s">
        <v>21</v>
      </c>
      <c r="S221" s="18" t="s">
        <v>20</v>
      </c>
      <c r="T221" s="18" t="s">
        <v>20</v>
      </c>
      <c r="U221" s="18" t="s">
        <v>21</v>
      </c>
      <c r="V221" s="37" t="s">
        <v>20</v>
      </c>
      <c r="W221" s="37" t="s">
        <v>20</v>
      </c>
      <c r="X221" s="37" t="s">
        <v>20</v>
      </c>
      <c r="Y221" s="18" t="s">
        <v>21</v>
      </c>
      <c r="Z221" s="18" t="s">
        <v>21</v>
      </c>
      <c r="AA221" s="20" t="s">
        <v>21</v>
      </c>
      <c r="AB221" s="20" t="s">
        <v>21</v>
      </c>
      <c r="AC221" s="20" t="s">
        <v>21</v>
      </c>
      <c r="AD221" s="29" t="s">
        <v>20</v>
      </c>
      <c r="AE221" s="29" t="s">
        <v>21</v>
      </c>
      <c r="AG221">
        <f t="shared" si="27"/>
        <v>0</v>
      </c>
      <c r="AH221">
        <f t="shared" si="28"/>
        <v>10</v>
      </c>
      <c r="AI221">
        <f t="shared" si="29"/>
        <v>15</v>
      </c>
      <c r="AJ221">
        <f t="shared" si="30"/>
        <v>1</v>
      </c>
      <c r="AL221">
        <f t="shared" si="31"/>
        <v>0</v>
      </c>
      <c r="AM221">
        <f t="shared" si="32"/>
        <v>30</v>
      </c>
      <c r="AN221">
        <f t="shared" si="33"/>
        <v>30</v>
      </c>
      <c r="AO221">
        <f t="shared" si="34"/>
        <v>1</v>
      </c>
      <c r="AP221">
        <f t="shared" si="35"/>
        <v>61</v>
      </c>
    </row>
    <row r="222" spans="1:42" ht="15.75" hidden="1" customHeight="1" x14ac:dyDescent="0.3">
      <c r="A222" s="16"/>
      <c r="B222" s="55">
        <v>16</v>
      </c>
      <c r="C222" s="56" t="s">
        <v>240</v>
      </c>
      <c r="D222" s="55">
        <v>5</v>
      </c>
      <c r="E222" s="55" t="s">
        <v>21</v>
      </c>
      <c r="F222" s="18" t="s">
        <v>20</v>
      </c>
      <c r="G222" s="18" t="s">
        <v>20</v>
      </c>
      <c r="H222" s="18" t="s">
        <v>21</v>
      </c>
      <c r="I222" s="18" t="s">
        <v>20</v>
      </c>
      <c r="J222" s="18" t="s">
        <v>21</v>
      </c>
      <c r="K222" s="18" t="s">
        <v>21</v>
      </c>
      <c r="L222" s="18" t="s">
        <v>20</v>
      </c>
      <c r="M222" s="18" t="s">
        <v>20</v>
      </c>
      <c r="N222" s="18" t="s">
        <v>20</v>
      </c>
      <c r="O222" s="18" t="s">
        <v>20</v>
      </c>
      <c r="P222" s="18" t="s">
        <v>21</v>
      </c>
      <c r="Q222" s="18" t="s">
        <v>20</v>
      </c>
      <c r="R222" s="18" t="s">
        <v>21</v>
      </c>
      <c r="S222" s="18" t="s">
        <v>21</v>
      </c>
      <c r="T222" s="18" t="s">
        <v>21</v>
      </c>
      <c r="U222" s="18" t="s">
        <v>20</v>
      </c>
      <c r="V222" s="37" t="s">
        <v>20</v>
      </c>
      <c r="W222" s="37" t="s">
        <v>20</v>
      </c>
      <c r="X222" s="37" t="s">
        <v>20</v>
      </c>
      <c r="Y222" s="18" t="s">
        <v>20</v>
      </c>
      <c r="Z222" s="18" t="s">
        <v>21</v>
      </c>
      <c r="AA222" s="20" t="s">
        <v>21</v>
      </c>
      <c r="AB222" s="20" t="s">
        <v>20</v>
      </c>
      <c r="AC222" s="20" t="s">
        <v>20</v>
      </c>
      <c r="AD222" s="29" t="s">
        <v>20</v>
      </c>
      <c r="AE222" s="29" t="s">
        <v>21</v>
      </c>
      <c r="AG222">
        <f t="shared" si="27"/>
        <v>0</v>
      </c>
      <c r="AH222">
        <f t="shared" si="28"/>
        <v>16</v>
      </c>
      <c r="AI222">
        <f t="shared" si="29"/>
        <v>10</v>
      </c>
      <c r="AJ222">
        <f t="shared" si="30"/>
        <v>0</v>
      </c>
      <c r="AL222">
        <f t="shared" si="31"/>
        <v>0</v>
      </c>
      <c r="AM222">
        <f t="shared" si="32"/>
        <v>48</v>
      </c>
      <c r="AN222">
        <f t="shared" si="33"/>
        <v>20</v>
      </c>
      <c r="AO222">
        <f t="shared" si="34"/>
        <v>0</v>
      </c>
      <c r="AP222">
        <f t="shared" si="35"/>
        <v>68</v>
      </c>
    </row>
    <row r="223" spans="1:42" ht="15.75" hidden="1" customHeight="1" x14ac:dyDescent="0.3">
      <c r="A223" s="16"/>
      <c r="B223" s="55">
        <v>17</v>
      </c>
      <c r="C223" s="56" t="s">
        <v>241</v>
      </c>
      <c r="D223" s="55">
        <v>5</v>
      </c>
      <c r="E223" s="55" t="s">
        <v>21</v>
      </c>
      <c r="F223" s="18" t="s">
        <v>21</v>
      </c>
      <c r="G223" s="18" t="s">
        <v>23</v>
      </c>
      <c r="H223" s="18" t="s">
        <v>21</v>
      </c>
      <c r="I223" s="18" t="s">
        <v>21</v>
      </c>
      <c r="J223" s="18" t="s">
        <v>21</v>
      </c>
      <c r="K223" s="18" t="s">
        <v>21</v>
      </c>
      <c r="L223" s="18" t="s">
        <v>21</v>
      </c>
      <c r="M223" s="18" t="s">
        <v>21</v>
      </c>
      <c r="N223" s="18" t="s">
        <v>21</v>
      </c>
      <c r="O223" s="18" t="s">
        <v>21</v>
      </c>
      <c r="P223" s="18" t="s">
        <v>21</v>
      </c>
      <c r="Q223" s="18" t="s">
        <v>23</v>
      </c>
      <c r="R223" s="18" t="s">
        <v>21</v>
      </c>
      <c r="S223" s="18" t="s">
        <v>21</v>
      </c>
      <c r="T223" s="18" t="s">
        <v>21</v>
      </c>
      <c r="U223" s="18" t="s">
        <v>21</v>
      </c>
      <c r="V223" s="37" t="s">
        <v>20</v>
      </c>
      <c r="W223" s="37" t="s">
        <v>21</v>
      </c>
      <c r="X223" s="37" t="s">
        <v>20</v>
      </c>
      <c r="Y223" s="18" t="s">
        <v>20</v>
      </c>
      <c r="Z223" s="18" t="s">
        <v>21</v>
      </c>
      <c r="AA223" s="20" t="s">
        <v>20</v>
      </c>
      <c r="AB223" s="20" t="s">
        <v>21</v>
      </c>
      <c r="AC223" s="20" t="s">
        <v>21</v>
      </c>
      <c r="AD223" s="29" t="s">
        <v>23</v>
      </c>
      <c r="AE223" s="29" t="s">
        <v>21</v>
      </c>
      <c r="AG223">
        <f t="shared" si="27"/>
        <v>0</v>
      </c>
      <c r="AH223">
        <f t="shared" si="28"/>
        <v>4</v>
      </c>
      <c r="AI223">
        <f t="shared" si="29"/>
        <v>19</v>
      </c>
      <c r="AJ223">
        <f t="shared" si="30"/>
        <v>3</v>
      </c>
      <c r="AL223">
        <f t="shared" si="31"/>
        <v>0</v>
      </c>
      <c r="AM223">
        <f t="shared" si="32"/>
        <v>12</v>
      </c>
      <c r="AN223">
        <f t="shared" si="33"/>
        <v>38</v>
      </c>
      <c r="AO223">
        <f t="shared" si="34"/>
        <v>3</v>
      </c>
      <c r="AP223">
        <f t="shared" si="35"/>
        <v>53</v>
      </c>
    </row>
    <row r="224" spans="1:42" ht="15.75" hidden="1" customHeight="1" x14ac:dyDescent="0.3">
      <c r="A224" s="16"/>
      <c r="B224" s="55">
        <v>18</v>
      </c>
      <c r="C224" s="56" t="s">
        <v>242</v>
      </c>
      <c r="D224" s="55">
        <v>5</v>
      </c>
      <c r="E224" s="55" t="s">
        <v>21</v>
      </c>
      <c r="F224" s="18" t="s">
        <v>20</v>
      </c>
      <c r="G224" s="18" t="s">
        <v>20</v>
      </c>
      <c r="H224" s="18" t="s">
        <v>21</v>
      </c>
      <c r="I224" s="18" t="s">
        <v>21</v>
      </c>
      <c r="J224" s="18" t="s">
        <v>20</v>
      </c>
      <c r="K224" s="18" t="s">
        <v>20</v>
      </c>
      <c r="L224" s="18" t="s">
        <v>21</v>
      </c>
      <c r="M224" s="18" t="s">
        <v>20</v>
      </c>
      <c r="N224" s="18" t="s">
        <v>20</v>
      </c>
      <c r="O224" s="18" t="s">
        <v>20</v>
      </c>
      <c r="P224" s="18" t="s">
        <v>21</v>
      </c>
      <c r="Q224" s="18" t="s">
        <v>21</v>
      </c>
      <c r="R224" s="18" t="s">
        <v>21</v>
      </c>
      <c r="S224" s="18" t="s">
        <v>20</v>
      </c>
      <c r="T224" s="18" t="s">
        <v>20</v>
      </c>
      <c r="U224" s="18" t="s">
        <v>20</v>
      </c>
      <c r="V224" s="37" t="s">
        <v>20</v>
      </c>
      <c r="W224" s="37" t="s">
        <v>20</v>
      </c>
      <c r="X224" s="37" t="s">
        <v>20</v>
      </c>
      <c r="Y224" s="18" t="s">
        <v>20</v>
      </c>
      <c r="Z224" s="18" t="s">
        <v>20</v>
      </c>
      <c r="AA224" s="20" t="s">
        <v>21</v>
      </c>
      <c r="AB224" s="20" t="s">
        <v>20</v>
      </c>
      <c r="AC224" s="20" t="s">
        <v>20</v>
      </c>
      <c r="AD224" s="29" t="s">
        <v>20</v>
      </c>
      <c r="AE224" s="29" t="s">
        <v>21</v>
      </c>
      <c r="AG224">
        <f t="shared" si="27"/>
        <v>0</v>
      </c>
      <c r="AH224">
        <f t="shared" si="28"/>
        <v>18</v>
      </c>
      <c r="AI224">
        <f t="shared" si="29"/>
        <v>8</v>
      </c>
      <c r="AJ224">
        <f t="shared" si="30"/>
        <v>0</v>
      </c>
      <c r="AL224">
        <f t="shared" si="31"/>
        <v>0</v>
      </c>
      <c r="AM224">
        <f t="shared" si="32"/>
        <v>54</v>
      </c>
      <c r="AN224">
        <f t="shared" si="33"/>
        <v>16</v>
      </c>
      <c r="AO224">
        <f t="shared" si="34"/>
        <v>0</v>
      </c>
      <c r="AP224">
        <f t="shared" si="35"/>
        <v>70</v>
      </c>
    </row>
    <row r="225" spans="1:42" ht="15.75" hidden="1" customHeight="1" x14ac:dyDescent="0.3">
      <c r="A225" s="16"/>
      <c r="B225" s="55">
        <v>19</v>
      </c>
      <c r="C225" s="56" t="s">
        <v>243</v>
      </c>
      <c r="D225" s="55">
        <v>5</v>
      </c>
      <c r="E225" s="55" t="s">
        <v>21</v>
      </c>
      <c r="F225" s="18" t="s">
        <v>20</v>
      </c>
      <c r="G225" s="18" t="s">
        <v>20</v>
      </c>
      <c r="H225" s="18" t="s">
        <v>20</v>
      </c>
      <c r="I225" s="18" t="s">
        <v>20</v>
      </c>
      <c r="J225" s="18" t="s">
        <v>20</v>
      </c>
      <c r="K225" s="18" t="s">
        <v>20</v>
      </c>
      <c r="L225" s="18" t="s">
        <v>20</v>
      </c>
      <c r="M225" s="18" t="s">
        <v>20</v>
      </c>
      <c r="N225" s="18" t="s">
        <v>20</v>
      </c>
      <c r="O225" s="18" t="s">
        <v>20</v>
      </c>
      <c r="P225" s="18" t="s">
        <v>20</v>
      </c>
      <c r="Q225" s="18" t="s">
        <v>20</v>
      </c>
      <c r="R225" s="18" t="s">
        <v>20</v>
      </c>
      <c r="S225" s="18" t="s">
        <v>20</v>
      </c>
      <c r="T225" s="18" t="s">
        <v>20</v>
      </c>
      <c r="U225" s="18" t="s">
        <v>20</v>
      </c>
      <c r="V225" s="37" t="s">
        <v>20</v>
      </c>
      <c r="W225" s="37" t="s">
        <v>20</v>
      </c>
      <c r="X225" s="37" t="s">
        <v>20</v>
      </c>
      <c r="Y225" s="18" t="s">
        <v>20</v>
      </c>
      <c r="Z225" s="18" t="s">
        <v>20</v>
      </c>
      <c r="AA225" s="20" t="s">
        <v>20</v>
      </c>
      <c r="AB225" s="20" t="s">
        <v>20</v>
      </c>
      <c r="AC225" s="20" t="s">
        <v>20</v>
      </c>
      <c r="AD225" s="29" t="s">
        <v>20</v>
      </c>
      <c r="AE225" s="29" t="s">
        <v>21</v>
      </c>
      <c r="AG225">
        <f t="shared" si="27"/>
        <v>0</v>
      </c>
      <c r="AH225">
        <f t="shared" si="28"/>
        <v>25</v>
      </c>
      <c r="AI225">
        <f t="shared" si="29"/>
        <v>1</v>
      </c>
      <c r="AJ225">
        <f t="shared" si="30"/>
        <v>0</v>
      </c>
      <c r="AL225">
        <f t="shared" si="31"/>
        <v>0</v>
      </c>
      <c r="AM225">
        <f t="shared" si="32"/>
        <v>75</v>
      </c>
      <c r="AN225">
        <f t="shared" si="33"/>
        <v>2</v>
      </c>
      <c r="AO225">
        <f t="shared" si="34"/>
        <v>0</v>
      </c>
      <c r="AP225">
        <f t="shared" si="35"/>
        <v>77</v>
      </c>
    </row>
    <row r="226" spans="1:42" ht="15.75" hidden="1" customHeight="1" x14ac:dyDescent="0.3">
      <c r="A226" s="16"/>
      <c r="B226" s="55">
        <v>20</v>
      </c>
      <c r="C226" s="56" t="s">
        <v>244</v>
      </c>
      <c r="D226" s="55">
        <v>5</v>
      </c>
      <c r="E226" s="55" t="s">
        <v>21</v>
      </c>
      <c r="F226" s="18" t="s">
        <v>20</v>
      </c>
      <c r="G226" s="18" t="s">
        <v>21</v>
      </c>
      <c r="H226" s="18" t="s">
        <v>21</v>
      </c>
      <c r="I226" s="18" t="s">
        <v>21</v>
      </c>
      <c r="J226" s="18" t="s">
        <v>21</v>
      </c>
      <c r="K226" s="18" t="s">
        <v>20</v>
      </c>
      <c r="L226" s="18" t="s">
        <v>20</v>
      </c>
      <c r="M226" s="18" t="s">
        <v>20</v>
      </c>
      <c r="N226" s="18" t="s">
        <v>21</v>
      </c>
      <c r="O226" s="18" t="s">
        <v>20</v>
      </c>
      <c r="P226" s="18" t="s">
        <v>21</v>
      </c>
      <c r="Q226" s="18" t="s">
        <v>21</v>
      </c>
      <c r="R226" s="18" t="s">
        <v>21</v>
      </c>
      <c r="S226" s="18" t="s">
        <v>20</v>
      </c>
      <c r="T226" s="18" t="s">
        <v>21</v>
      </c>
      <c r="U226" s="18" t="s">
        <v>21</v>
      </c>
      <c r="V226" s="37" t="s">
        <v>20</v>
      </c>
      <c r="W226" s="37" t="s">
        <v>21</v>
      </c>
      <c r="X226" s="37" t="s">
        <v>20</v>
      </c>
      <c r="Y226" s="18" t="s">
        <v>20</v>
      </c>
      <c r="Z226" s="18" t="s">
        <v>20</v>
      </c>
      <c r="AA226" s="20" t="s">
        <v>20</v>
      </c>
      <c r="AB226" s="20" t="s">
        <v>20</v>
      </c>
      <c r="AC226" s="20" t="s">
        <v>20</v>
      </c>
      <c r="AD226" s="29" t="s">
        <v>20</v>
      </c>
      <c r="AE226" s="29" t="s">
        <v>21</v>
      </c>
      <c r="AG226">
        <f t="shared" si="27"/>
        <v>0</v>
      </c>
      <c r="AH226">
        <f t="shared" si="28"/>
        <v>14</v>
      </c>
      <c r="AI226">
        <f t="shared" si="29"/>
        <v>12</v>
      </c>
      <c r="AJ226">
        <f t="shared" si="30"/>
        <v>0</v>
      </c>
      <c r="AL226">
        <f t="shared" si="31"/>
        <v>0</v>
      </c>
      <c r="AM226">
        <f t="shared" si="32"/>
        <v>42</v>
      </c>
      <c r="AN226">
        <f t="shared" si="33"/>
        <v>24</v>
      </c>
      <c r="AO226">
        <f t="shared" si="34"/>
        <v>0</v>
      </c>
      <c r="AP226">
        <f t="shared" si="35"/>
        <v>66</v>
      </c>
    </row>
    <row r="227" spans="1:42" ht="15.75" hidden="1" customHeight="1" x14ac:dyDescent="0.3">
      <c r="A227" s="16"/>
      <c r="B227" s="55">
        <v>21</v>
      </c>
      <c r="C227" s="56" t="s">
        <v>245</v>
      </c>
      <c r="D227" s="55">
        <v>5</v>
      </c>
      <c r="E227" s="55" t="s">
        <v>21</v>
      </c>
      <c r="F227" s="18" t="s">
        <v>39</v>
      </c>
      <c r="G227" s="18" t="s">
        <v>20</v>
      </c>
      <c r="H227" s="18" t="s">
        <v>20</v>
      </c>
      <c r="I227" s="18" t="s">
        <v>20</v>
      </c>
      <c r="J227" s="18" t="s">
        <v>20</v>
      </c>
      <c r="K227" s="18" t="s">
        <v>39</v>
      </c>
      <c r="L227" s="18" t="s">
        <v>39</v>
      </c>
      <c r="M227" s="18" t="s">
        <v>20</v>
      </c>
      <c r="N227" s="18" t="s">
        <v>20</v>
      </c>
      <c r="O227" s="18" t="s">
        <v>20</v>
      </c>
      <c r="P227" s="18" t="s">
        <v>20</v>
      </c>
      <c r="Q227" s="18" t="s">
        <v>20</v>
      </c>
      <c r="R227" s="18" t="s">
        <v>20</v>
      </c>
      <c r="S227" s="18" t="s">
        <v>20</v>
      </c>
      <c r="T227" s="18" t="s">
        <v>20</v>
      </c>
      <c r="U227" s="18" t="s">
        <v>20</v>
      </c>
      <c r="V227" s="37" t="s">
        <v>20</v>
      </c>
      <c r="W227" s="37" t="s">
        <v>20</v>
      </c>
      <c r="X227" s="37" t="s">
        <v>20</v>
      </c>
      <c r="Y227" s="18" t="s">
        <v>39</v>
      </c>
      <c r="Z227" s="18" t="s">
        <v>39</v>
      </c>
      <c r="AA227" s="20" t="s">
        <v>20</v>
      </c>
      <c r="AB227" s="20" t="s">
        <v>20</v>
      </c>
      <c r="AC227" s="20" t="s">
        <v>20</v>
      </c>
      <c r="AD227" s="29" t="s">
        <v>20</v>
      </c>
      <c r="AE227" s="29" t="s">
        <v>21</v>
      </c>
      <c r="AG227">
        <f t="shared" si="27"/>
        <v>5</v>
      </c>
      <c r="AH227">
        <f t="shared" si="28"/>
        <v>20</v>
      </c>
      <c r="AI227">
        <f t="shared" si="29"/>
        <v>1</v>
      </c>
      <c r="AJ227">
        <f t="shared" si="30"/>
        <v>0</v>
      </c>
      <c r="AL227">
        <f t="shared" si="31"/>
        <v>20</v>
      </c>
      <c r="AM227">
        <f t="shared" si="32"/>
        <v>60</v>
      </c>
      <c r="AN227">
        <f t="shared" si="33"/>
        <v>2</v>
      </c>
      <c r="AO227">
        <f t="shared" si="34"/>
        <v>0</v>
      </c>
      <c r="AP227">
        <f t="shared" si="35"/>
        <v>82</v>
      </c>
    </row>
    <row r="228" spans="1:42" ht="15.75" hidden="1" customHeight="1" x14ac:dyDescent="0.3">
      <c r="A228" s="16"/>
      <c r="B228" s="55">
        <v>22</v>
      </c>
      <c r="C228" s="56" t="s">
        <v>246</v>
      </c>
      <c r="D228" s="55">
        <v>5</v>
      </c>
      <c r="E228" s="55" t="s">
        <v>21</v>
      </c>
      <c r="F228" s="18" t="s">
        <v>21</v>
      </c>
      <c r="G228" s="18" t="s">
        <v>21</v>
      </c>
      <c r="H228" s="18" t="s">
        <v>21</v>
      </c>
      <c r="I228" s="18" t="s">
        <v>21</v>
      </c>
      <c r="J228" s="18" t="s">
        <v>21</v>
      </c>
      <c r="K228" s="18" t="s">
        <v>20</v>
      </c>
      <c r="L228" s="18" t="s">
        <v>20</v>
      </c>
      <c r="M228" s="18" t="s">
        <v>20</v>
      </c>
      <c r="N228" s="18" t="s">
        <v>20</v>
      </c>
      <c r="O228" s="18" t="s">
        <v>20</v>
      </c>
      <c r="P228" s="18" t="s">
        <v>21</v>
      </c>
      <c r="Q228" s="18" t="s">
        <v>21</v>
      </c>
      <c r="R228" s="18" t="s">
        <v>23</v>
      </c>
      <c r="S228" s="18" t="s">
        <v>21</v>
      </c>
      <c r="T228" s="18" t="s">
        <v>21</v>
      </c>
      <c r="U228" s="18" t="s">
        <v>20</v>
      </c>
      <c r="V228" s="37" t="s">
        <v>20</v>
      </c>
      <c r="W228" s="37" t="s">
        <v>20</v>
      </c>
      <c r="X228" s="37" t="s">
        <v>20</v>
      </c>
      <c r="Y228" s="18" t="s">
        <v>21</v>
      </c>
      <c r="Z228" s="18" t="s">
        <v>20</v>
      </c>
      <c r="AA228" s="20" t="s">
        <v>21</v>
      </c>
      <c r="AB228" s="20" t="s">
        <v>21</v>
      </c>
      <c r="AC228" s="20" t="s">
        <v>21</v>
      </c>
      <c r="AD228" s="47" t="s">
        <v>23</v>
      </c>
      <c r="AE228" s="47" t="s">
        <v>21</v>
      </c>
      <c r="AG228">
        <f t="shared" si="27"/>
        <v>0</v>
      </c>
      <c r="AH228">
        <f t="shared" si="28"/>
        <v>10</v>
      </c>
      <c r="AI228">
        <f t="shared" si="29"/>
        <v>14</v>
      </c>
      <c r="AJ228">
        <f t="shared" si="30"/>
        <v>2</v>
      </c>
      <c r="AL228">
        <f t="shared" si="31"/>
        <v>0</v>
      </c>
      <c r="AM228">
        <f t="shared" si="32"/>
        <v>30</v>
      </c>
      <c r="AN228">
        <f t="shared" si="33"/>
        <v>28</v>
      </c>
      <c r="AO228">
        <f t="shared" si="34"/>
        <v>2</v>
      </c>
      <c r="AP228">
        <f t="shared" si="35"/>
        <v>60</v>
      </c>
    </row>
    <row r="229" spans="1:42" ht="15.75" hidden="1" customHeight="1" x14ac:dyDescent="0.3">
      <c r="A229" s="16"/>
      <c r="B229" s="55">
        <v>23</v>
      </c>
      <c r="C229" s="56" t="s">
        <v>247</v>
      </c>
      <c r="D229" s="55">
        <v>5</v>
      </c>
      <c r="E229" s="55" t="s">
        <v>21</v>
      </c>
      <c r="F229" s="18" t="s">
        <v>21</v>
      </c>
      <c r="G229" s="18" t="s">
        <v>21</v>
      </c>
      <c r="H229" s="18" t="s">
        <v>21</v>
      </c>
      <c r="I229" s="18" t="s">
        <v>20</v>
      </c>
      <c r="J229" s="18" t="s">
        <v>20</v>
      </c>
      <c r="K229" s="18" t="s">
        <v>20</v>
      </c>
      <c r="L229" s="18" t="s">
        <v>20</v>
      </c>
      <c r="M229" s="18" t="s">
        <v>20</v>
      </c>
      <c r="N229" s="18" t="s">
        <v>21</v>
      </c>
      <c r="O229" s="18" t="s">
        <v>20</v>
      </c>
      <c r="P229" s="18" t="s">
        <v>21</v>
      </c>
      <c r="Q229" s="18" t="s">
        <v>21</v>
      </c>
      <c r="R229" s="18" t="s">
        <v>20</v>
      </c>
      <c r="S229" s="18" t="s">
        <v>21</v>
      </c>
      <c r="T229" s="18" t="s">
        <v>21</v>
      </c>
      <c r="U229" s="18" t="s">
        <v>21</v>
      </c>
      <c r="V229" s="37" t="s">
        <v>20</v>
      </c>
      <c r="W229" s="37" t="s">
        <v>20</v>
      </c>
      <c r="X229" s="37" t="s">
        <v>20</v>
      </c>
      <c r="Y229" s="18" t="s">
        <v>20</v>
      </c>
      <c r="Z229" s="18" t="s">
        <v>21</v>
      </c>
      <c r="AA229" s="20" t="s">
        <v>20</v>
      </c>
      <c r="AB229" s="20" t="s">
        <v>20</v>
      </c>
      <c r="AC229" s="20" t="s">
        <v>20</v>
      </c>
      <c r="AD229" s="29" t="s">
        <v>20</v>
      </c>
      <c r="AE229" s="29" t="s">
        <v>21</v>
      </c>
      <c r="AG229">
        <f t="shared" si="27"/>
        <v>0</v>
      </c>
      <c r="AH229">
        <f t="shared" si="28"/>
        <v>15</v>
      </c>
      <c r="AI229">
        <f t="shared" si="29"/>
        <v>11</v>
      </c>
      <c r="AJ229">
        <f t="shared" si="30"/>
        <v>0</v>
      </c>
      <c r="AL229">
        <f t="shared" si="31"/>
        <v>0</v>
      </c>
      <c r="AM229">
        <f t="shared" si="32"/>
        <v>45</v>
      </c>
      <c r="AN229">
        <f t="shared" si="33"/>
        <v>22</v>
      </c>
      <c r="AO229">
        <f t="shared" si="34"/>
        <v>0</v>
      </c>
      <c r="AP229">
        <f t="shared" si="35"/>
        <v>67</v>
      </c>
    </row>
    <row r="230" spans="1:42" ht="15.75" hidden="1" customHeight="1" x14ac:dyDescent="0.3">
      <c r="A230" s="16"/>
      <c r="B230" s="55">
        <v>24</v>
      </c>
      <c r="C230" s="56" t="s">
        <v>248</v>
      </c>
      <c r="D230" s="55">
        <v>5</v>
      </c>
      <c r="E230" s="55" t="s">
        <v>21</v>
      </c>
      <c r="F230" s="18" t="s">
        <v>20</v>
      </c>
      <c r="G230" s="18" t="s">
        <v>20</v>
      </c>
      <c r="H230" s="18" t="s">
        <v>20</v>
      </c>
      <c r="I230" s="18" t="s">
        <v>20</v>
      </c>
      <c r="J230" s="18" t="s">
        <v>20</v>
      </c>
      <c r="K230" s="18" t="s">
        <v>20</v>
      </c>
      <c r="L230" s="18" t="s">
        <v>39</v>
      </c>
      <c r="M230" s="18" t="s">
        <v>20</v>
      </c>
      <c r="N230" s="18" t="s">
        <v>20</v>
      </c>
      <c r="O230" s="18" t="s">
        <v>20</v>
      </c>
      <c r="P230" s="18" t="s">
        <v>20</v>
      </c>
      <c r="Q230" s="18" t="s">
        <v>21</v>
      </c>
      <c r="R230" s="18" t="s">
        <v>21</v>
      </c>
      <c r="S230" s="18" t="s">
        <v>20</v>
      </c>
      <c r="T230" s="18" t="s">
        <v>20</v>
      </c>
      <c r="U230" s="18" t="s">
        <v>20</v>
      </c>
      <c r="V230" s="37" t="s">
        <v>20</v>
      </c>
      <c r="W230" s="37" t="s">
        <v>21</v>
      </c>
      <c r="X230" s="37" t="s">
        <v>20</v>
      </c>
      <c r="Y230" s="18" t="s">
        <v>20</v>
      </c>
      <c r="Z230" s="18" t="s">
        <v>20</v>
      </c>
      <c r="AA230" s="20" t="s">
        <v>20</v>
      </c>
      <c r="AB230" s="20" t="s">
        <v>21</v>
      </c>
      <c r="AC230" s="20" t="s">
        <v>20</v>
      </c>
      <c r="AD230" s="29" t="s">
        <v>20</v>
      </c>
      <c r="AE230" s="29" t="s">
        <v>21</v>
      </c>
      <c r="AG230">
        <f t="shared" si="27"/>
        <v>1</v>
      </c>
      <c r="AH230">
        <f t="shared" si="28"/>
        <v>20</v>
      </c>
      <c r="AI230">
        <f t="shared" si="29"/>
        <v>5</v>
      </c>
      <c r="AJ230">
        <f t="shared" si="30"/>
        <v>0</v>
      </c>
      <c r="AL230">
        <f t="shared" si="31"/>
        <v>4</v>
      </c>
      <c r="AM230">
        <f t="shared" si="32"/>
        <v>60</v>
      </c>
      <c r="AN230">
        <f t="shared" si="33"/>
        <v>10</v>
      </c>
      <c r="AO230">
        <f t="shared" si="34"/>
        <v>0</v>
      </c>
      <c r="AP230">
        <f t="shared" si="35"/>
        <v>74</v>
      </c>
    </row>
    <row r="231" spans="1:42" ht="15.75" hidden="1" customHeight="1" x14ac:dyDescent="0.3">
      <c r="A231" s="16"/>
      <c r="B231" s="55">
        <v>25</v>
      </c>
      <c r="C231" s="56" t="s">
        <v>249</v>
      </c>
      <c r="D231" s="55">
        <v>5</v>
      </c>
      <c r="E231" s="55" t="s">
        <v>21</v>
      </c>
      <c r="F231" s="18" t="s">
        <v>21</v>
      </c>
      <c r="G231" s="18" t="s">
        <v>21</v>
      </c>
      <c r="H231" s="17" t="s">
        <v>21</v>
      </c>
      <c r="I231" s="18" t="s">
        <v>21</v>
      </c>
      <c r="J231" s="18" t="s">
        <v>21</v>
      </c>
      <c r="K231" s="18" t="s">
        <v>21</v>
      </c>
      <c r="L231" s="18" t="s">
        <v>21</v>
      </c>
      <c r="M231" s="18" t="s">
        <v>20</v>
      </c>
      <c r="N231" s="18" t="s">
        <v>21</v>
      </c>
      <c r="O231" s="18" t="s">
        <v>20</v>
      </c>
      <c r="P231" s="18" t="s">
        <v>21</v>
      </c>
      <c r="Q231" s="18" t="s">
        <v>21</v>
      </c>
      <c r="R231" s="18" t="s">
        <v>21</v>
      </c>
      <c r="S231" s="18" t="s">
        <v>21</v>
      </c>
      <c r="T231" s="18" t="s">
        <v>20</v>
      </c>
      <c r="U231" s="18" t="s">
        <v>21</v>
      </c>
      <c r="V231" s="37" t="s">
        <v>21</v>
      </c>
      <c r="W231" s="37" t="s">
        <v>21</v>
      </c>
      <c r="X231" s="37" t="s">
        <v>21</v>
      </c>
      <c r="Y231" s="18" t="s">
        <v>20</v>
      </c>
      <c r="Z231" s="18" t="s">
        <v>21</v>
      </c>
      <c r="AA231" s="20" t="s">
        <v>21</v>
      </c>
      <c r="AB231" s="20" t="s">
        <v>21</v>
      </c>
      <c r="AC231" s="20" t="s">
        <v>21</v>
      </c>
      <c r="AD231" s="29" t="s">
        <v>21</v>
      </c>
      <c r="AE231" s="29" t="s">
        <v>21</v>
      </c>
      <c r="AG231">
        <f t="shared" si="27"/>
        <v>0</v>
      </c>
      <c r="AH231">
        <f t="shared" si="28"/>
        <v>4</v>
      </c>
      <c r="AI231">
        <f t="shared" si="29"/>
        <v>22</v>
      </c>
      <c r="AJ231">
        <f t="shared" si="30"/>
        <v>0</v>
      </c>
      <c r="AL231">
        <f t="shared" si="31"/>
        <v>0</v>
      </c>
      <c r="AM231">
        <f t="shared" si="32"/>
        <v>12</v>
      </c>
      <c r="AN231">
        <f t="shared" si="33"/>
        <v>44</v>
      </c>
      <c r="AO231">
        <f t="shared" si="34"/>
        <v>0</v>
      </c>
      <c r="AP231">
        <f t="shared" si="35"/>
        <v>56</v>
      </c>
    </row>
    <row r="232" spans="1:42" ht="15.75" hidden="1" customHeight="1" thickBot="1" x14ac:dyDescent="0.35">
      <c r="A232" s="16"/>
      <c r="B232" s="57">
        <v>26</v>
      </c>
      <c r="C232" s="58" t="s">
        <v>250</v>
      </c>
      <c r="D232" s="57">
        <v>5</v>
      </c>
      <c r="E232" s="57" t="s">
        <v>21</v>
      </c>
      <c r="F232" s="21" t="s">
        <v>39</v>
      </c>
      <c r="G232" s="21" t="s">
        <v>20</v>
      </c>
      <c r="H232" s="41" t="s">
        <v>20</v>
      </c>
      <c r="I232" s="21" t="s">
        <v>20</v>
      </c>
      <c r="J232" s="21" t="s">
        <v>20</v>
      </c>
      <c r="K232" s="21" t="s">
        <v>20</v>
      </c>
      <c r="L232" s="21" t="s">
        <v>20</v>
      </c>
      <c r="M232" s="21" t="s">
        <v>20</v>
      </c>
      <c r="N232" s="21" t="s">
        <v>20</v>
      </c>
      <c r="O232" s="21" t="s">
        <v>20</v>
      </c>
      <c r="P232" s="21" t="s">
        <v>21</v>
      </c>
      <c r="Q232" s="21" t="s">
        <v>20</v>
      </c>
      <c r="R232" s="21" t="s">
        <v>20</v>
      </c>
      <c r="S232" s="21" t="s">
        <v>20</v>
      </c>
      <c r="T232" s="21" t="s">
        <v>20</v>
      </c>
      <c r="U232" s="21" t="s">
        <v>20</v>
      </c>
      <c r="V232" s="38" t="s">
        <v>20</v>
      </c>
      <c r="W232" s="38" t="s">
        <v>20</v>
      </c>
      <c r="X232" s="38" t="s">
        <v>20</v>
      </c>
      <c r="Y232" s="21" t="s">
        <v>20</v>
      </c>
      <c r="Z232" s="21" t="s">
        <v>20</v>
      </c>
      <c r="AA232" s="23" t="s">
        <v>20</v>
      </c>
      <c r="AB232" s="23" t="s">
        <v>20</v>
      </c>
      <c r="AC232" s="23" t="s">
        <v>20</v>
      </c>
      <c r="AD232" s="31" t="s">
        <v>20</v>
      </c>
      <c r="AE232" s="31" t="s">
        <v>21</v>
      </c>
      <c r="AG232">
        <f t="shared" si="27"/>
        <v>1</v>
      </c>
      <c r="AH232">
        <f t="shared" si="28"/>
        <v>23</v>
      </c>
      <c r="AI232">
        <f t="shared" si="29"/>
        <v>2</v>
      </c>
      <c r="AJ232">
        <f t="shared" si="30"/>
        <v>0</v>
      </c>
      <c r="AL232">
        <f t="shared" si="31"/>
        <v>4</v>
      </c>
      <c r="AM232">
        <f t="shared" si="32"/>
        <v>69</v>
      </c>
      <c r="AN232">
        <f t="shared" si="33"/>
        <v>4</v>
      </c>
      <c r="AO232">
        <f t="shared" si="34"/>
        <v>0</v>
      </c>
      <c r="AP232">
        <f t="shared" si="35"/>
        <v>77</v>
      </c>
    </row>
    <row r="233" spans="1:42" ht="15.75" customHeight="1" x14ac:dyDescent="0.3">
      <c r="B233" s="54"/>
    </row>
    <row r="234" spans="1:42" ht="15.75" customHeight="1" x14ac:dyDescent="0.3"/>
    <row r="235" spans="1:42" ht="15.75" customHeight="1" x14ac:dyDescent="0.3"/>
    <row r="236" spans="1:42" ht="15.75" customHeight="1" x14ac:dyDescent="0.3"/>
    <row r="237" spans="1:42" ht="15.75" customHeight="1" x14ac:dyDescent="0.3"/>
    <row r="238" spans="1:42" ht="15.75" customHeight="1" x14ac:dyDescent="0.3"/>
    <row r="239" spans="1:42" ht="15.75" customHeight="1" x14ac:dyDescent="0.3"/>
    <row r="240" spans="1:42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  <row r="1041" ht="15.75" customHeight="1" x14ac:dyDescent="0.3"/>
    <row r="1042" ht="15.75" customHeight="1" x14ac:dyDescent="0.3"/>
    <row r="1043" ht="15.75" customHeight="1" x14ac:dyDescent="0.3"/>
    <row r="1044" ht="15.75" customHeight="1" x14ac:dyDescent="0.3"/>
    <row r="1045" ht="15.75" customHeight="1" x14ac:dyDescent="0.3"/>
    <row r="1046" ht="15.75" customHeight="1" x14ac:dyDescent="0.3"/>
    <row r="1047" ht="15.75" customHeight="1" x14ac:dyDescent="0.3"/>
    <row r="1048" ht="15.75" customHeight="1" x14ac:dyDescent="0.3"/>
    <row r="1049" ht="15.75" customHeight="1" x14ac:dyDescent="0.3"/>
    <row r="1050" ht="15.75" customHeight="1" x14ac:dyDescent="0.3"/>
    <row r="1051" ht="15.75" customHeight="1" x14ac:dyDescent="0.3"/>
    <row r="1052" ht="15.75" customHeight="1" x14ac:dyDescent="0.3"/>
    <row r="1053" ht="15.75" customHeight="1" x14ac:dyDescent="0.3"/>
    <row r="1054" ht="15.75" customHeight="1" x14ac:dyDescent="0.3"/>
    <row r="1055" ht="15.75" customHeight="1" x14ac:dyDescent="0.3"/>
    <row r="1056" ht="15.75" customHeight="1" x14ac:dyDescent="0.3"/>
    <row r="1057" ht="15.75" customHeight="1" x14ac:dyDescent="0.3"/>
    <row r="1058" ht="15.75" customHeight="1" x14ac:dyDescent="0.3"/>
    <row r="1059" ht="15.75" customHeight="1" x14ac:dyDescent="0.3"/>
    <row r="1060" ht="15.75" customHeight="1" x14ac:dyDescent="0.3"/>
    <row r="1061" ht="15.75" customHeight="1" x14ac:dyDescent="0.3"/>
    <row r="1062" ht="15.75" customHeight="1" x14ac:dyDescent="0.3"/>
    <row r="1063" ht="15.75" customHeight="1" x14ac:dyDescent="0.3"/>
    <row r="1064" ht="15.75" customHeight="1" x14ac:dyDescent="0.3"/>
    <row r="1065" ht="15.75" customHeight="1" x14ac:dyDescent="0.3"/>
    <row r="1066" ht="15.75" customHeight="1" x14ac:dyDescent="0.3"/>
    <row r="1067" ht="15.75" customHeight="1" x14ac:dyDescent="0.3"/>
    <row r="1068" ht="15.75" customHeight="1" x14ac:dyDescent="0.3"/>
    <row r="1069" ht="15.75" customHeight="1" x14ac:dyDescent="0.3"/>
    <row r="1070" ht="15.75" customHeight="1" x14ac:dyDescent="0.3"/>
    <row r="1071" ht="15.75" customHeight="1" x14ac:dyDescent="0.3"/>
    <row r="1072" ht="15.75" customHeight="1" x14ac:dyDescent="0.3"/>
    <row r="1073" ht="15.75" customHeight="1" x14ac:dyDescent="0.3"/>
    <row r="1074" ht="15.75" customHeight="1" x14ac:dyDescent="0.3"/>
    <row r="1075" ht="15.75" customHeight="1" x14ac:dyDescent="0.3"/>
    <row r="1076" ht="15.75" customHeight="1" x14ac:dyDescent="0.3"/>
    <row r="1077" ht="15.75" customHeight="1" x14ac:dyDescent="0.3"/>
    <row r="1078" ht="15.75" customHeight="1" x14ac:dyDescent="0.3"/>
    <row r="1079" ht="15.75" customHeight="1" x14ac:dyDescent="0.3"/>
    <row r="1080" ht="15.75" customHeight="1" x14ac:dyDescent="0.3"/>
    <row r="1081" ht="15.75" customHeight="1" x14ac:dyDescent="0.3"/>
    <row r="1082" ht="15.75" customHeight="1" x14ac:dyDescent="0.3"/>
    <row r="1083" ht="15.75" customHeight="1" x14ac:dyDescent="0.3"/>
    <row r="1084" ht="15.75" customHeight="1" x14ac:dyDescent="0.3"/>
    <row r="1085" ht="15.75" customHeight="1" x14ac:dyDescent="0.3"/>
    <row r="1086" ht="15.75" customHeight="1" x14ac:dyDescent="0.3"/>
    <row r="1087" ht="15.75" customHeight="1" x14ac:dyDescent="0.3"/>
    <row r="1088" ht="15.75" customHeight="1" x14ac:dyDescent="0.3"/>
    <row r="1089" ht="15.75" customHeight="1" x14ac:dyDescent="0.3"/>
    <row r="1090" ht="15.75" customHeight="1" x14ac:dyDescent="0.3"/>
    <row r="1091" ht="15.75" customHeight="1" x14ac:dyDescent="0.3"/>
    <row r="1092" ht="15.75" customHeight="1" x14ac:dyDescent="0.3"/>
    <row r="1093" ht="15.75" customHeight="1" x14ac:dyDescent="0.3"/>
    <row r="1094" ht="15.75" customHeight="1" x14ac:dyDescent="0.3"/>
    <row r="1095" ht="15.75" customHeight="1" x14ac:dyDescent="0.3"/>
    <row r="1096" ht="15.75" customHeight="1" x14ac:dyDescent="0.3"/>
    <row r="1097" ht="15.75" customHeight="1" x14ac:dyDescent="0.3"/>
    <row r="1098" ht="15.75" customHeight="1" x14ac:dyDescent="0.3"/>
    <row r="1099" ht="15.75" customHeight="1" x14ac:dyDescent="0.3"/>
    <row r="1100" ht="15.75" customHeight="1" x14ac:dyDescent="0.3"/>
    <row r="1101" ht="15.75" customHeight="1" x14ac:dyDescent="0.3"/>
    <row r="1102" ht="15.75" customHeight="1" x14ac:dyDescent="0.3"/>
    <row r="1103" ht="15.75" customHeight="1" x14ac:dyDescent="0.3"/>
    <row r="1104" ht="15.75" customHeight="1" x14ac:dyDescent="0.3"/>
    <row r="1105" ht="15.75" customHeight="1" x14ac:dyDescent="0.3"/>
    <row r="1106" ht="15.75" customHeight="1" x14ac:dyDescent="0.3"/>
    <row r="1107" ht="15.75" customHeight="1" x14ac:dyDescent="0.3"/>
    <row r="1108" ht="15.75" customHeight="1" x14ac:dyDescent="0.3"/>
    <row r="1109" ht="15.75" customHeight="1" x14ac:dyDescent="0.3"/>
    <row r="1110" ht="15.75" customHeight="1" x14ac:dyDescent="0.3"/>
    <row r="1111" ht="15.75" customHeight="1" x14ac:dyDescent="0.3"/>
    <row r="1112" ht="15.75" customHeight="1" x14ac:dyDescent="0.3"/>
    <row r="1113" ht="15.75" customHeight="1" x14ac:dyDescent="0.3"/>
    <row r="1114" ht="15.75" customHeight="1" x14ac:dyDescent="0.3"/>
    <row r="1115" ht="15.75" customHeight="1" x14ac:dyDescent="0.3"/>
    <row r="1116" ht="15.75" customHeight="1" x14ac:dyDescent="0.3"/>
    <row r="1117" ht="15.75" customHeight="1" x14ac:dyDescent="0.3"/>
    <row r="1118" ht="15.75" customHeight="1" x14ac:dyDescent="0.3"/>
    <row r="1119" ht="15.75" customHeight="1" x14ac:dyDescent="0.3"/>
    <row r="1120" ht="15.75" customHeight="1" x14ac:dyDescent="0.3"/>
    <row r="1121" ht="15.75" customHeight="1" x14ac:dyDescent="0.3"/>
    <row r="1122" ht="15.75" customHeight="1" x14ac:dyDescent="0.3"/>
    <row r="1123" ht="15.75" customHeight="1" x14ac:dyDescent="0.3"/>
    <row r="1124" ht="15.75" customHeight="1" x14ac:dyDescent="0.3"/>
    <row r="1125" ht="15.75" customHeight="1" x14ac:dyDescent="0.3"/>
    <row r="1126" ht="15.75" customHeight="1" x14ac:dyDescent="0.3"/>
  </sheetData>
  <autoFilter ref="A5:AP232" xr:uid="{D4C9ACFA-7634-4244-A829-726CE84E67E1}">
    <filterColumn colId="3">
      <filters>
        <filter val="4"/>
      </filters>
    </filterColumn>
    <filterColumn colId="4">
      <filters>
        <filter val="A"/>
      </filters>
    </filterColumn>
    <sortState xmlns:xlrd2="http://schemas.microsoft.com/office/spreadsheetml/2017/richdata2" ref="A131:AP153">
      <sortCondition descending="1" ref="AP5:AP232"/>
    </sortState>
  </autoFilter>
  <mergeCells count="11">
    <mergeCell ref="AD4:AE4"/>
    <mergeCell ref="C2:AE2"/>
    <mergeCell ref="C3:AE3"/>
    <mergeCell ref="F4:I4"/>
    <mergeCell ref="J4:L4"/>
    <mergeCell ref="M4:O4"/>
    <mergeCell ref="P4:R4"/>
    <mergeCell ref="S4:T4"/>
    <mergeCell ref="V4:X4"/>
    <mergeCell ref="Y4:Z4"/>
    <mergeCell ref="AA4:AC4"/>
  </mergeCells>
  <conditionalFormatting sqref="F6:AE232">
    <cfRule type="cellIs" dxfId="15" priority="1" operator="equal">
      <formula>"AD"</formula>
    </cfRule>
    <cfRule type="cellIs" dxfId="14" priority="2" operator="equal">
      <formula>"A"</formula>
    </cfRule>
    <cfRule type="cellIs" dxfId="13" priority="3" operator="equal">
      <formula>"B"</formula>
    </cfRule>
    <cfRule type="cellIs" dxfId="12" priority="4" operator="equal">
      <formula>"C"</formula>
    </cfRule>
  </conditionalFormatting>
  <dataValidations count="2">
    <dataValidation type="list" allowBlank="1" showInputMessage="1" showErrorMessage="1" sqref="AA6:AC232 J110:L130" xr:uid="{9CD252F6-3677-4574-BD11-E94B2289048F}">
      <formula1>"A,AD,B,C"</formula1>
    </dataValidation>
    <dataValidation type="list" allowBlank="1" showInputMessage="1" showErrorMessage="1" sqref="Q6:R26 T6:X26 AD229:AE232 F6:L26 AD27:AE80 F27:X48 AD82:AE97 AD135:AE199 AD201:AE203 AD205:AE227 AD99:AE133 Z27:Z48 F49:I232 J131:L232 J49:L109 M49:Z232" xr:uid="{1CF507FB-055F-4698-A519-1AF083998B87}">
      <formula1>"AD,A,B,C"</formula1>
    </dataValidation>
  </dataValidations>
  <pageMargins left="0.7" right="0.7" top="0.75" bottom="0.75" header="0" footer="0"/>
  <pageSetup paperSize="9" scale="67" orientation="landscape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45D7E-B75B-4CA0-AEE6-C4DC6E742203}">
  <sheetPr filterMode="1">
    <pageSetUpPr fitToPage="1"/>
  </sheetPr>
  <dimension ref="A2:AP1126"/>
  <sheetViews>
    <sheetView zoomScaleNormal="100" workbookViewId="0">
      <pane xSplit="3" ySplit="5" topLeftCell="D6" activePane="bottomRight" state="frozen"/>
      <selection pane="topRight" activeCell="C1" sqref="C1"/>
      <selection pane="bottomLeft" activeCell="A6" sqref="A6"/>
      <selection pane="bottomRight" activeCell="F4" sqref="F4:AE4"/>
    </sheetView>
  </sheetViews>
  <sheetFormatPr baseColWidth="10" defaultColWidth="14.44140625" defaultRowHeight="15" customHeight="1" x14ac:dyDescent="0.3"/>
  <cols>
    <col min="1" max="1" width="4" bestFit="1" customWidth="1"/>
    <col min="2" max="2" width="4.109375" customWidth="1"/>
    <col min="3" max="3" width="38.5546875" customWidth="1"/>
    <col min="4" max="4" width="5" customWidth="1"/>
    <col min="5" max="5" width="6.6640625" customWidth="1"/>
    <col min="6" max="31" width="5" customWidth="1"/>
    <col min="32" max="32" width="2" hidden="1" customWidth="1"/>
    <col min="33" max="36" width="3.44140625" hidden="1" customWidth="1"/>
    <col min="37" max="37" width="1.44140625" style="65" hidden="1" customWidth="1"/>
    <col min="38" max="40" width="3" hidden="1" customWidth="1"/>
    <col min="41" max="41" width="2" hidden="1" customWidth="1"/>
    <col min="42" max="42" width="5.21875" bestFit="1" customWidth="1"/>
  </cols>
  <sheetData>
    <row r="2" spans="1:42" ht="34.799999999999997" customHeight="1" x14ac:dyDescent="0.3">
      <c r="C2" s="77" t="s">
        <v>253</v>
      </c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9"/>
    </row>
    <row r="3" spans="1:42" ht="26.25" customHeight="1" x14ac:dyDescent="0.3">
      <c r="C3" s="74" t="s">
        <v>252</v>
      </c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6"/>
    </row>
    <row r="4" spans="1:42" ht="21" customHeight="1" x14ac:dyDescent="0.3">
      <c r="C4" s="7"/>
      <c r="D4" s="8"/>
      <c r="E4" s="8"/>
      <c r="F4" s="80" t="s">
        <v>2</v>
      </c>
      <c r="G4" s="81"/>
      <c r="H4" s="81"/>
      <c r="I4" s="82"/>
      <c r="J4" s="80" t="s">
        <v>3</v>
      </c>
      <c r="K4" s="81"/>
      <c r="L4" s="82"/>
      <c r="M4" s="80" t="s">
        <v>4</v>
      </c>
      <c r="N4" s="81"/>
      <c r="O4" s="82"/>
      <c r="P4" s="80" t="s">
        <v>5</v>
      </c>
      <c r="Q4" s="81"/>
      <c r="R4" s="82"/>
      <c r="S4" s="83" t="s">
        <v>6</v>
      </c>
      <c r="T4" s="84"/>
      <c r="U4" s="86" t="s">
        <v>7</v>
      </c>
      <c r="V4" s="80" t="s">
        <v>8</v>
      </c>
      <c r="W4" s="81"/>
      <c r="X4" s="82"/>
      <c r="Y4" s="80" t="s">
        <v>9</v>
      </c>
      <c r="Z4" s="82"/>
      <c r="AA4" s="83" t="s">
        <v>10</v>
      </c>
      <c r="AB4" s="85"/>
      <c r="AC4" s="84"/>
      <c r="AD4" s="80" t="s">
        <v>11</v>
      </c>
      <c r="AE4" s="82"/>
    </row>
    <row r="5" spans="1:42" ht="27" customHeight="1" x14ac:dyDescent="0.3">
      <c r="B5" s="12"/>
      <c r="C5" s="13" t="s">
        <v>12</v>
      </c>
      <c r="D5" s="14" t="s">
        <v>13</v>
      </c>
      <c r="E5" s="15" t="s">
        <v>14</v>
      </c>
      <c r="F5" s="15" t="s">
        <v>15</v>
      </c>
      <c r="G5" s="15" t="s">
        <v>16</v>
      </c>
      <c r="H5" s="15" t="s">
        <v>17</v>
      </c>
      <c r="I5" s="15" t="s">
        <v>18</v>
      </c>
      <c r="J5" s="15" t="s">
        <v>15</v>
      </c>
      <c r="K5" s="15" t="s">
        <v>16</v>
      </c>
      <c r="L5" s="15" t="s">
        <v>17</v>
      </c>
      <c r="M5" s="15" t="s">
        <v>15</v>
      </c>
      <c r="N5" s="15" t="s">
        <v>16</v>
      </c>
      <c r="O5" s="15" t="s">
        <v>17</v>
      </c>
      <c r="P5" s="15" t="s">
        <v>15</v>
      </c>
      <c r="Q5" s="15" t="s">
        <v>16</v>
      </c>
      <c r="R5" s="15" t="s">
        <v>17</v>
      </c>
      <c r="S5" s="15" t="s">
        <v>15</v>
      </c>
      <c r="T5" s="15" t="s">
        <v>16</v>
      </c>
      <c r="U5" s="15" t="s">
        <v>15</v>
      </c>
      <c r="V5" s="15" t="s">
        <v>15</v>
      </c>
      <c r="W5" s="15" t="s">
        <v>16</v>
      </c>
      <c r="X5" s="15" t="s">
        <v>17</v>
      </c>
      <c r="Y5" s="15" t="s">
        <v>15</v>
      </c>
      <c r="Z5" s="15" t="s">
        <v>16</v>
      </c>
      <c r="AA5" s="15" t="s">
        <v>15</v>
      </c>
      <c r="AB5" s="15" t="s">
        <v>16</v>
      </c>
      <c r="AC5" s="15" t="s">
        <v>17</v>
      </c>
      <c r="AD5" s="15" t="s">
        <v>15</v>
      </c>
      <c r="AE5" s="15" t="s">
        <v>16</v>
      </c>
      <c r="AG5" s="68">
        <v>4</v>
      </c>
      <c r="AH5" s="68">
        <v>3</v>
      </c>
      <c r="AI5" s="68">
        <v>2</v>
      </c>
      <c r="AJ5" s="68">
        <v>1</v>
      </c>
      <c r="AK5" s="66"/>
      <c r="AL5" s="67" t="s">
        <v>39</v>
      </c>
      <c r="AM5" s="67" t="s">
        <v>20</v>
      </c>
      <c r="AN5" s="67" t="s">
        <v>21</v>
      </c>
      <c r="AO5" s="67" t="s">
        <v>23</v>
      </c>
      <c r="AP5" s="67" t="s">
        <v>251</v>
      </c>
    </row>
    <row r="6" spans="1:42" ht="14.4" hidden="1" x14ac:dyDescent="0.3">
      <c r="A6" s="16"/>
      <c r="B6" s="55">
        <v>17</v>
      </c>
      <c r="C6" s="56" t="s">
        <v>38</v>
      </c>
      <c r="D6" s="55">
        <v>1</v>
      </c>
      <c r="E6" s="55" t="s">
        <v>20</v>
      </c>
      <c r="F6" s="18" t="s">
        <v>20</v>
      </c>
      <c r="G6" s="18" t="s">
        <v>20</v>
      </c>
      <c r="H6" s="18" t="s">
        <v>21</v>
      </c>
      <c r="I6" s="18" t="s">
        <v>20</v>
      </c>
      <c r="J6" s="18" t="s">
        <v>20</v>
      </c>
      <c r="K6" s="18" t="s">
        <v>20</v>
      </c>
      <c r="L6" s="18" t="s">
        <v>20</v>
      </c>
      <c r="M6" s="19" t="s">
        <v>20</v>
      </c>
      <c r="N6" s="19" t="s">
        <v>21</v>
      </c>
      <c r="O6" s="19" t="s">
        <v>20</v>
      </c>
      <c r="P6" s="19" t="s">
        <v>20</v>
      </c>
      <c r="Q6" s="18" t="s">
        <v>20</v>
      </c>
      <c r="R6" s="18" t="s">
        <v>21</v>
      </c>
      <c r="S6" s="19" t="s">
        <v>20</v>
      </c>
      <c r="T6" s="18" t="s">
        <v>20</v>
      </c>
      <c r="U6" s="18" t="s">
        <v>20</v>
      </c>
      <c r="V6" s="18" t="s">
        <v>20</v>
      </c>
      <c r="W6" s="18" t="s">
        <v>20</v>
      </c>
      <c r="X6" s="18" t="s">
        <v>20</v>
      </c>
      <c r="Y6" s="19" t="s">
        <v>20</v>
      </c>
      <c r="Z6" s="19" t="s">
        <v>20</v>
      </c>
      <c r="AA6" s="20" t="s">
        <v>20</v>
      </c>
      <c r="AB6" s="20" t="s">
        <v>39</v>
      </c>
      <c r="AC6" s="20" t="s">
        <v>20</v>
      </c>
      <c r="AD6" s="19" t="s">
        <v>20</v>
      </c>
      <c r="AE6" s="19" t="s">
        <v>21</v>
      </c>
      <c r="AG6">
        <f>+COUNTIF(F6:AE6,"AD")</f>
        <v>1</v>
      </c>
      <c r="AH6">
        <f>+COUNTIF(F6:AE6,"A")</f>
        <v>21</v>
      </c>
      <c r="AI6">
        <f>+COUNTIF(F6:AE6,"b")</f>
        <v>4</v>
      </c>
      <c r="AJ6">
        <f>+COUNTIF(F6:AE6,"c")</f>
        <v>0</v>
      </c>
      <c r="AL6">
        <f>+$AG$5*AG6</f>
        <v>4</v>
      </c>
      <c r="AM6">
        <f>+$AH$5*AH6</f>
        <v>63</v>
      </c>
      <c r="AN6">
        <f>+$AI$5*AI6</f>
        <v>8</v>
      </c>
      <c r="AO6">
        <f>+$AJ$5*AJ6</f>
        <v>0</v>
      </c>
      <c r="AP6">
        <f>+SUM(AL6:AO6)</f>
        <v>75</v>
      </c>
    </row>
    <row r="7" spans="1:42" ht="14.4" hidden="1" x14ac:dyDescent="0.3">
      <c r="A7" s="16"/>
      <c r="B7" s="55">
        <v>3</v>
      </c>
      <c r="C7" s="56" t="s">
        <v>24</v>
      </c>
      <c r="D7" s="55">
        <v>1</v>
      </c>
      <c r="E7" s="55" t="s">
        <v>20</v>
      </c>
      <c r="F7" s="18" t="s">
        <v>20</v>
      </c>
      <c r="G7" s="18" t="s">
        <v>20</v>
      </c>
      <c r="H7" s="18" t="s">
        <v>20</v>
      </c>
      <c r="I7" s="18" t="s">
        <v>20</v>
      </c>
      <c r="J7" s="18" t="s">
        <v>20</v>
      </c>
      <c r="K7" s="18" t="s">
        <v>20</v>
      </c>
      <c r="L7" s="18" t="s">
        <v>20</v>
      </c>
      <c r="M7" s="19" t="s">
        <v>20</v>
      </c>
      <c r="N7" s="19" t="s">
        <v>20</v>
      </c>
      <c r="O7" s="19" t="s">
        <v>20</v>
      </c>
      <c r="P7" s="19" t="s">
        <v>20</v>
      </c>
      <c r="Q7" s="18" t="s">
        <v>20</v>
      </c>
      <c r="R7" s="18" t="s">
        <v>21</v>
      </c>
      <c r="S7" s="19" t="s">
        <v>20</v>
      </c>
      <c r="T7" s="18" t="s">
        <v>20</v>
      </c>
      <c r="U7" s="18" t="s">
        <v>20</v>
      </c>
      <c r="V7" s="18" t="s">
        <v>20</v>
      </c>
      <c r="W7" s="18" t="s">
        <v>20</v>
      </c>
      <c r="X7" s="18" t="s">
        <v>20</v>
      </c>
      <c r="Y7" s="19" t="s">
        <v>20</v>
      </c>
      <c r="Z7" s="19" t="s">
        <v>20</v>
      </c>
      <c r="AA7" s="20" t="s">
        <v>20</v>
      </c>
      <c r="AB7" s="20" t="s">
        <v>21</v>
      </c>
      <c r="AC7" s="20" t="s">
        <v>21</v>
      </c>
      <c r="AD7" s="19" t="s">
        <v>20</v>
      </c>
      <c r="AE7" s="19" t="s">
        <v>21</v>
      </c>
      <c r="AG7">
        <f>+COUNTIF(F7:AE7,"AD")</f>
        <v>0</v>
      </c>
      <c r="AH7">
        <f>+COUNTIF(F7:AE7,"A")</f>
        <v>22</v>
      </c>
      <c r="AI7">
        <f>+COUNTIF(F7:AE7,"b")</f>
        <v>4</v>
      </c>
      <c r="AJ7">
        <f>+COUNTIF(F7:AE7,"c")</f>
        <v>0</v>
      </c>
      <c r="AL7">
        <f>+$AG$5*AG7</f>
        <v>0</v>
      </c>
      <c r="AM7">
        <f>+$AH$5*AH7</f>
        <v>66</v>
      </c>
      <c r="AN7">
        <f>+$AI$5*AI7</f>
        <v>8</v>
      </c>
      <c r="AO7">
        <f>+$AJ$5*AJ7</f>
        <v>0</v>
      </c>
      <c r="AP7">
        <f>+SUM(AL7:AO7)</f>
        <v>74</v>
      </c>
    </row>
    <row r="8" spans="1:42" ht="14.4" hidden="1" x14ac:dyDescent="0.3">
      <c r="A8" s="16"/>
      <c r="B8" s="55">
        <v>7</v>
      </c>
      <c r="C8" s="56" t="s">
        <v>28</v>
      </c>
      <c r="D8" s="55">
        <v>1</v>
      </c>
      <c r="E8" s="55" t="s">
        <v>20</v>
      </c>
      <c r="F8" s="18" t="s">
        <v>20</v>
      </c>
      <c r="G8" s="18" t="s">
        <v>20</v>
      </c>
      <c r="H8" s="18" t="s">
        <v>21</v>
      </c>
      <c r="I8" s="18" t="s">
        <v>20</v>
      </c>
      <c r="J8" s="18" t="s">
        <v>20</v>
      </c>
      <c r="K8" s="18" t="s">
        <v>20</v>
      </c>
      <c r="L8" s="18" t="s">
        <v>20</v>
      </c>
      <c r="M8" s="19" t="s">
        <v>20</v>
      </c>
      <c r="N8" s="19" t="s">
        <v>20</v>
      </c>
      <c r="O8" s="19" t="s">
        <v>20</v>
      </c>
      <c r="P8" s="19" t="s">
        <v>20</v>
      </c>
      <c r="Q8" s="18" t="s">
        <v>20</v>
      </c>
      <c r="R8" s="18" t="s">
        <v>20</v>
      </c>
      <c r="S8" s="19" t="s">
        <v>20</v>
      </c>
      <c r="T8" s="18" t="s">
        <v>20</v>
      </c>
      <c r="U8" s="18" t="s">
        <v>21</v>
      </c>
      <c r="V8" s="18" t="s">
        <v>20</v>
      </c>
      <c r="W8" s="18" t="s">
        <v>20</v>
      </c>
      <c r="X8" s="18" t="s">
        <v>20</v>
      </c>
      <c r="Y8" s="19" t="s">
        <v>20</v>
      </c>
      <c r="Z8" s="19" t="s">
        <v>20</v>
      </c>
      <c r="AA8" s="20" t="s">
        <v>20</v>
      </c>
      <c r="AB8" s="20" t="s">
        <v>21</v>
      </c>
      <c r="AC8" s="20" t="s">
        <v>20</v>
      </c>
      <c r="AD8" s="19" t="s">
        <v>21</v>
      </c>
      <c r="AE8" s="19" t="s">
        <v>21</v>
      </c>
      <c r="AG8">
        <f>+COUNTIF(F8:AE8,"AD")</f>
        <v>0</v>
      </c>
      <c r="AH8">
        <f>+COUNTIF(F8:AE8,"A")</f>
        <v>21</v>
      </c>
      <c r="AI8">
        <f>+COUNTIF(F8:AE8,"b")</f>
        <v>5</v>
      </c>
      <c r="AJ8">
        <f>+COUNTIF(F8:AE8,"c")</f>
        <v>0</v>
      </c>
      <c r="AL8">
        <f>+$AG$5*AG8</f>
        <v>0</v>
      </c>
      <c r="AM8">
        <f>+$AH$5*AH8</f>
        <v>63</v>
      </c>
      <c r="AN8">
        <f>+$AI$5*AI8</f>
        <v>10</v>
      </c>
      <c r="AO8">
        <f>+$AJ$5*AJ8</f>
        <v>0</v>
      </c>
      <c r="AP8">
        <f>+SUM(AL8:AO8)</f>
        <v>73</v>
      </c>
    </row>
    <row r="9" spans="1:42" ht="14.4" hidden="1" x14ac:dyDescent="0.3">
      <c r="A9" s="16"/>
      <c r="B9" s="55">
        <v>16</v>
      </c>
      <c r="C9" s="56" t="s">
        <v>37</v>
      </c>
      <c r="D9" s="55">
        <v>1</v>
      </c>
      <c r="E9" s="55" t="s">
        <v>20</v>
      </c>
      <c r="F9" s="18" t="s">
        <v>21</v>
      </c>
      <c r="G9" s="18" t="s">
        <v>21</v>
      </c>
      <c r="H9" s="18" t="s">
        <v>21</v>
      </c>
      <c r="I9" s="18" t="s">
        <v>21</v>
      </c>
      <c r="J9" s="18" t="s">
        <v>20</v>
      </c>
      <c r="K9" s="18" t="s">
        <v>20</v>
      </c>
      <c r="L9" s="18" t="s">
        <v>20</v>
      </c>
      <c r="M9" s="19" t="s">
        <v>20</v>
      </c>
      <c r="N9" s="19" t="s">
        <v>20</v>
      </c>
      <c r="O9" s="19" t="s">
        <v>20</v>
      </c>
      <c r="P9" s="19" t="s">
        <v>20</v>
      </c>
      <c r="Q9" s="18" t="s">
        <v>20</v>
      </c>
      <c r="R9" s="18" t="s">
        <v>20</v>
      </c>
      <c r="S9" s="19" t="s">
        <v>20</v>
      </c>
      <c r="T9" s="18" t="s">
        <v>20</v>
      </c>
      <c r="U9" s="18" t="s">
        <v>20</v>
      </c>
      <c r="V9" s="18" t="s">
        <v>20</v>
      </c>
      <c r="W9" s="18" t="s">
        <v>20</v>
      </c>
      <c r="X9" s="18" t="s">
        <v>20</v>
      </c>
      <c r="Y9" s="19" t="s">
        <v>20</v>
      </c>
      <c r="Z9" s="19" t="s">
        <v>20</v>
      </c>
      <c r="AA9" s="20" t="s">
        <v>20</v>
      </c>
      <c r="AB9" s="20" t="s">
        <v>21</v>
      </c>
      <c r="AC9" s="20" t="s">
        <v>20</v>
      </c>
      <c r="AD9" s="19" t="s">
        <v>20</v>
      </c>
      <c r="AE9" s="19" t="s">
        <v>21</v>
      </c>
      <c r="AG9">
        <f>+COUNTIF(F9:AE9,"AD")</f>
        <v>0</v>
      </c>
      <c r="AH9">
        <f>+COUNTIF(F9:AE9,"A")</f>
        <v>20</v>
      </c>
      <c r="AI9">
        <f>+COUNTIF(F9:AE9,"b")</f>
        <v>6</v>
      </c>
      <c r="AJ9">
        <f>+COUNTIF(F9:AE9,"c")</f>
        <v>0</v>
      </c>
      <c r="AL9">
        <f>+$AG$5*AG9</f>
        <v>0</v>
      </c>
      <c r="AM9">
        <f>+$AH$5*AH9</f>
        <v>60</v>
      </c>
      <c r="AN9">
        <f>+$AI$5*AI9</f>
        <v>12</v>
      </c>
      <c r="AO9">
        <f>+$AJ$5*AJ9</f>
        <v>0</v>
      </c>
      <c r="AP9">
        <f>+SUM(AL9:AO9)</f>
        <v>72</v>
      </c>
    </row>
    <row r="10" spans="1:42" ht="14.4" hidden="1" x14ac:dyDescent="0.3">
      <c r="A10" s="16"/>
      <c r="B10" s="55">
        <v>1</v>
      </c>
      <c r="C10" s="56" t="s">
        <v>19</v>
      </c>
      <c r="D10" s="55">
        <v>1</v>
      </c>
      <c r="E10" s="55" t="s">
        <v>20</v>
      </c>
      <c r="F10" s="17" t="s">
        <v>20</v>
      </c>
      <c r="G10" s="18" t="s">
        <v>20</v>
      </c>
      <c r="H10" s="18" t="s">
        <v>21</v>
      </c>
      <c r="I10" s="18" t="s">
        <v>20</v>
      </c>
      <c r="J10" s="18" t="s">
        <v>20</v>
      </c>
      <c r="K10" s="18" t="s">
        <v>20</v>
      </c>
      <c r="L10" s="18" t="s">
        <v>20</v>
      </c>
      <c r="M10" s="19" t="s">
        <v>20</v>
      </c>
      <c r="N10" s="19" t="s">
        <v>20</v>
      </c>
      <c r="O10" s="19" t="s">
        <v>20</v>
      </c>
      <c r="P10" s="19" t="s">
        <v>20</v>
      </c>
      <c r="Q10" s="18" t="s">
        <v>21</v>
      </c>
      <c r="R10" s="18" t="s">
        <v>21</v>
      </c>
      <c r="S10" s="19" t="s">
        <v>20</v>
      </c>
      <c r="T10" s="18" t="s">
        <v>20</v>
      </c>
      <c r="U10" s="18" t="s">
        <v>20</v>
      </c>
      <c r="V10" s="18" t="s">
        <v>20</v>
      </c>
      <c r="W10" s="18" t="s">
        <v>20</v>
      </c>
      <c r="X10" s="18" t="s">
        <v>20</v>
      </c>
      <c r="Y10" s="19" t="s">
        <v>21</v>
      </c>
      <c r="Z10" s="19" t="s">
        <v>20</v>
      </c>
      <c r="AA10" s="20" t="s">
        <v>21</v>
      </c>
      <c r="AB10" s="20" t="s">
        <v>21</v>
      </c>
      <c r="AC10" s="20" t="s">
        <v>20</v>
      </c>
      <c r="AD10" s="19" t="s">
        <v>20</v>
      </c>
      <c r="AE10" s="19" t="s">
        <v>21</v>
      </c>
      <c r="AG10">
        <f>+COUNTIF(F10:AE10,"AD")</f>
        <v>0</v>
      </c>
      <c r="AH10">
        <f>+COUNTIF(F10:AE10,"A")</f>
        <v>19</v>
      </c>
      <c r="AI10">
        <f>+COUNTIF(F10:AE10,"b")</f>
        <v>7</v>
      </c>
      <c r="AJ10">
        <f>+COUNTIF(F10:AE10,"c")</f>
        <v>0</v>
      </c>
      <c r="AL10">
        <f>+$AG$5*AG10</f>
        <v>0</v>
      </c>
      <c r="AM10">
        <f>+$AH$5*AH10</f>
        <v>57</v>
      </c>
      <c r="AN10">
        <f>+$AI$5*AI10</f>
        <v>14</v>
      </c>
      <c r="AO10">
        <f>+$AJ$5*AJ10</f>
        <v>0</v>
      </c>
      <c r="AP10">
        <f>+SUM(AL10:AO10)</f>
        <v>71</v>
      </c>
    </row>
    <row r="11" spans="1:42" ht="14.4" hidden="1" x14ac:dyDescent="0.3">
      <c r="A11" s="16"/>
      <c r="B11" s="55">
        <v>6</v>
      </c>
      <c r="C11" s="56" t="s">
        <v>27</v>
      </c>
      <c r="D11" s="55">
        <v>1</v>
      </c>
      <c r="E11" s="55" t="s">
        <v>20</v>
      </c>
      <c r="F11" s="18" t="s">
        <v>20</v>
      </c>
      <c r="G11" s="18" t="s">
        <v>20</v>
      </c>
      <c r="H11" s="18" t="s">
        <v>20</v>
      </c>
      <c r="I11" s="18" t="s">
        <v>20</v>
      </c>
      <c r="J11" s="18" t="s">
        <v>20</v>
      </c>
      <c r="K11" s="18" t="s">
        <v>20</v>
      </c>
      <c r="L11" s="18" t="s">
        <v>20</v>
      </c>
      <c r="M11" s="19" t="s">
        <v>20</v>
      </c>
      <c r="N11" s="19" t="s">
        <v>20</v>
      </c>
      <c r="O11" s="19" t="s">
        <v>20</v>
      </c>
      <c r="P11" s="19" t="s">
        <v>20</v>
      </c>
      <c r="Q11" s="18" t="s">
        <v>21</v>
      </c>
      <c r="R11" s="18" t="s">
        <v>21</v>
      </c>
      <c r="S11" s="19" t="s">
        <v>20</v>
      </c>
      <c r="T11" s="18" t="s">
        <v>21</v>
      </c>
      <c r="U11" s="18" t="s">
        <v>21</v>
      </c>
      <c r="V11" s="18" t="s">
        <v>21</v>
      </c>
      <c r="W11" s="18" t="s">
        <v>20</v>
      </c>
      <c r="X11" s="18" t="s">
        <v>20</v>
      </c>
      <c r="Y11" s="19" t="s">
        <v>20</v>
      </c>
      <c r="Z11" s="19" t="s">
        <v>21</v>
      </c>
      <c r="AA11" s="20" t="s">
        <v>21</v>
      </c>
      <c r="AB11" s="20" t="s">
        <v>21</v>
      </c>
      <c r="AC11" s="20" t="s">
        <v>21</v>
      </c>
      <c r="AD11" s="19" t="s">
        <v>21</v>
      </c>
      <c r="AE11" s="19" t="s">
        <v>21</v>
      </c>
      <c r="AG11">
        <f>+COUNTIF(F11:AE11,"AD")</f>
        <v>0</v>
      </c>
      <c r="AH11">
        <f>+COUNTIF(F11:AE11,"A")</f>
        <v>15</v>
      </c>
      <c r="AI11">
        <f>+COUNTIF(F11:AE11,"b")</f>
        <v>11</v>
      </c>
      <c r="AJ11">
        <f>+COUNTIF(F11:AE11,"c")</f>
        <v>0</v>
      </c>
      <c r="AL11">
        <f>+$AG$5*AG11</f>
        <v>0</v>
      </c>
      <c r="AM11">
        <f>+$AH$5*AH11</f>
        <v>45</v>
      </c>
      <c r="AN11">
        <f>+$AI$5*AI11</f>
        <v>22</v>
      </c>
      <c r="AO11">
        <f>+$AJ$5*AJ11</f>
        <v>0</v>
      </c>
      <c r="AP11">
        <f>+SUM(AL11:AO11)</f>
        <v>67</v>
      </c>
    </row>
    <row r="12" spans="1:42" ht="14.4" hidden="1" x14ac:dyDescent="0.3">
      <c r="A12" s="16"/>
      <c r="B12" s="55">
        <v>4</v>
      </c>
      <c r="C12" s="56" t="s">
        <v>25</v>
      </c>
      <c r="D12" s="55">
        <v>1</v>
      </c>
      <c r="E12" s="55" t="s">
        <v>20</v>
      </c>
      <c r="F12" s="18" t="s">
        <v>20</v>
      </c>
      <c r="G12" s="18" t="s">
        <v>21</v>
      </c>
      <c r="H12" s="18" t="s">
        <v>21</v>
      </c>
      <c r="I12" s="18" t="s">
        <v>21</v>
      </c>
      <c r="J12" s="18" t="s">
        <v>20</v>
      </c>
      <c r="K12" s="18" t="s">
        <v>20</v>
      </c>
      <c r="L12" s="18" t="s">
        <v>20</v>
      </c>
      <c r="M12" s="19" t="s">
        <v>21</v>
      </c>
      <c r="N12" s="19" t="s">
        <v>21</v>
      </c>
      <c r="O12" s="19" t="s">
        <v>20</v>
      </c>
      <c r="P12" s="19" t="s">
        <v>20</v>
      </c>
      <c r="Q12" s="18" t="s">
        <v>20</v>
      </c>
      <c r="R12" s="18" t="s">
        <v>21</v>
      </c>
      <c r="S12" s="19" t="s">
        <v>20</v>
      </c>
      <c r="T12" s="18" t="s">
        <v>21</v>
      </c>
      <c r="U12" s="18" t="s">
        <v>20</v>
      </c>
      <c r="V12" s="18" t="s">
        <v>21</v>
      </c>
      <c r="W12" s="18" t="s">
        <v>20</v>
      </c>
      <c r="X12" s="18" t="s">
        <v>20</v>
      </c>
      <c r="Y12" s="19" t="s">
        <v>21</v>
      </c>
      <c r="Z12" s="19" t="s">
        <v>20</v>
      </c>
      <c r="AA12" s="20" t="s">
        <v>21</v>
      </c>
      <c r="AB12" s="20" t="s">
        <v>21</v>
      </c>
      <c r="AC12" s="20" t="s">
        <v>21</v>
      </c>
      <c r="AD12" s="19" t="s">
        <v>20</v>
      </c>
      <c r="AE12" s="19" t="s">
        <v>21</v>
      </c>
      <c r="AG12">
        <f>+COUNTIF(F12:AE12,"AD")</f>
        <v>0</v>
      </c>
      <c r="AH12">
        <f>+COUNTIF(F12:AE12,"A")</f>
        <v>13</v>
      </c>
      <c r="AI12">
        <f>+COUNTIF(F12:AE12,"b")</f>
        <v>13</v>
      </c>
      <c r="AJ12">
        <f>+COUNTIF(F12:AE12,"c")</f>
        <v>0</v>
      </c>
      <c r="AL12">
        <f>+$AG$5*AG12</f>
        <v>0</v>
      </c>
      <c r="AM12">
        <f>+$AH$5*AH12</f>
        <v>39</v>
      </c>
      <c r="AN12">
        <f>+$AI$5*AI12</f>
        <v>26</v>
      </c>
      <c r="AO12">
        <f>+$AJ$5*AJ12</f>
        <v>0</v>
      </c>
      <c r="AP12">
        <f>+SUM(AL12:AO12)</f>
        <v>65</v>
      </c>
    </row>
    <row r="13" spans="1:42" ht="14.4" hidden="1" x14ac:dyDescent="0.3">
      <c r="A13" s="16"/>
      <c r="B13" s="55">
        <v>5</v>
      </c>
      <c r="C13" s="56" t="s">
        <v>26</v>
      </c>
      <c r="D13" s="55">
        <v>1</v>
      </c>
      <c r="E13" s="55" t="s">
        <v>20</v>
      </c>
      <c r="F13" s="18" t="s">
        <v>21</v>
      </c>
      <c r="G13" s="18" t="s">
        <v>21</v>
      </c>
      <c r="H13" s="18" t="s">
        <v>21</v>
      </c>
      <c r="I13" s="18" t="s">
        <v>21</v>
      </c>
      <c r="J13" s="18" t="s">
        <v>20</v>
      </c>
      <c r="K13" s="18" t="s">
        <v>20</v>
      </c>
      <c r="L13" s="18" t="s">
        <v>20</v>
      </c>
      <c r="M13" s="19" t="s">
        <v>20</v>
      </c>
      <c r="N13" s="19" t="s">
        <v>21</v>
      </c>
      <c r="O13" s="19" t="s">
        <v>20</v>
      </c>
      <c r="P13" s="19" t="s">
        <v>21</v>
      </c>
      <c r="Q13" s="18" t="s">
        <v>21</v>
      </c>
      <c r="R13" s="18" t="s">
        <v>21</v>
      </c>
      <c r="S13" s="19" t="s">
        <v>20</v>
      </c>
      <c r="T13" s="18" t="s">
        <v>21</v>
      </c>
      <c r="U13" s="18" t="s">
        <v>21</v>
      </c>
      <c r="V13" s="18" t="s">
        <v>20</v>
      </c>
      <c r="W13" s="18" t="s">
        <v>21</v>
      </c>
      <c r="X13" s="18" t="s">
        <v>20</v>
      </c>
      <c r="Y13" s="19" t="s">
        <v>21</v>
      </c>
      <c r="Z13" s="19" t="s">
        <v>20</v>
      </c>
      <c r="AA13" s="20" t="s">
        <v>21</v>
      </c>
      <c r="AB13" s="20" t="s">
        <v>21</v>
      </c>
      <c r="AC13" s="20" t="s">
        <v>23</v>
      </c>
      <c r="AD13" s="19" t="s">
        <v>21</v>
      </c>
      <c r="AE13" s="19" t="s">
        <v>21</v>
      </c>
      <c r="AG13">
        <f>+COUNTIF(F13:AE13,"AD")</f>
        <v>0</v>
      </c>
      <c r="AH13">
        <f>+COUNTIF(F13:AE13,"A")</f>
        <v>9</v>
      </c>
      <c r="AI13">
        <f>+COUNTIF(F13:AE13,"b")</f>
        <v>16</v>
      </c>
      <c r="AJ13">
        <f>+COUNTIF(F13:AE13,"c")</f>
        <v>1</v>
      </c>
      <c r="AL13">
        <f>+$AG$5*AG13</f>
        <v>0</v>
      </c>
      <c r="AM13">
        <f>+$AH$5*AH13</f>
        <v>27</v>
      </c>
      <c r="AN13">
        <f>+$AI$5*AI13</f>
        <v>32</v>
      </c>
      <c r="AO13">
        <f>+$AJ$5*AJ13</f>
        <v>1</v>
      </c>
      <c r="AP13">
        <f>+SUM(AL13:AO13)</f>
        <v>60</v>
      </c>
    </row>
    <row r="14" spans="1:42" ht="14.4" hidden="1" x14ac:dyDescent="0.3">
      <c r="A14" s="16"/>
      <c r="B14" s="55">
        <v>9</v>
      </c>
      <c r="C14" s="56" t="s">
        <v>30</v>
      </c>
      <c r="D14" s="55">
        <v>1</v>
      </c>
      <c r="E14" s="55" t="s">
        <v>20</v>
      </c>
      <c r="F14" s="18" t="s">
        <v>21</v>
      </c>
      <c r="G14" s="18" t="s">
        <v>21</v>
      </c>
      <c r="H14" s="18" t="s">
        <v>23</v>
      </c>
      <c r="I14" s="18" t="s">
        <v>21</v>
      </c>
      <c r="J14" s="18" t="s">
        <v>20</v>
      </c>
      <c r="K14" s="18" t="s">
        <v>20</v>
      </c>
      <c r="L14" s="18" t="s">
        <v>20</v>
      </c>
      <c r="M14" s="19" t="s">
        <v>20</v>
      </c>
      <c r="N14" s="19" t="s">
        <v>21</v>
      </c>
      <c r="O14" s="19" t="s">
        <v>20</v>
      </c>
      <c r="P14" s="19" t="s">
        <v>21</v>
      </c>
      <c r="Q14" s="18" t="s">
        <v>21</v>
      </c>
      <c r="R14" s="18" t="s">
        <v>21</v>
      </c>
      <c r="S14" s="19" t="s">
        <v>21</v>
      </c>
      <c r="T14" s="18" t="s">
        <v>20</v>
      </c>
      <c r="U14" s="18" t="s">
        <v>21</v>
      </c>
      <c r="V14" s="18" t="s">
        <v>21</v>
      </c>
      <c r="W14" s="18" t="s">
        <v>20</v>
      </c>
      <c r="X14" s="18" t="s">
        <v>20</v>
      </c>
      <c r="Y14" s="19" t="s">
        <v>21</v>
      </c>
      <c r="Z14" s="19" t="s">
        <v>20</v>
      </c>
      <c r="AA14" s="20" t="s">
        <v>21</v>
      </c>
      <c r="AB14" s="20" t="s">
        <v>21</v>
      </c>
      <c r="AC14" s="20" t="s">
        <v>23</v>
      </c>
      <c r="AD14" s="19" t="s">
        <v>20</v>
      </c>
      <c r="AE14" s="19" t="s">
        <v>21</v>
      </c>
      <c r="AG14">
        <f>+COUNTIF(F14:AE14,"AD")</f>
        <v>0</v>
      </c>
      <c r="AH14">
        <f>+COUNTIF(F14:AE14,"A")</f>
        <v>10</v>
      </c>
      <c r="AI14">
        <f>+COUNTIF(F14:AE14,"b")</f>
        <v>14</v>
      </c>
      <c r="AJ14">
        <f>+COUNTIF(F14:AE14,"c")</f>
        <v>2</v>
      </c>
      <c r="AL14">
        <f>+$AG$5*AG14</f>
        <v>0</v>
      </c>
      <c r="AM14">
        <f>+$AH$5*AH14</f>
        <v>30</v>
      </c>
      <c r="AN14">
        <f>+$AI$5*AI14</f>
        <v>28</v>
      </c>
      <c r="AO14">
        <f>+$AJ$5*AJ14</f>
        <v>2</v>
      </c>
      <c r="AP14">
        <f>+SUM(AL14:AO14)</f>
        <v>60</v>
      </c>
    </row>
    <row r="15" spans="1:42" ht="14.4" hidden="1" x14ac:dyDescent="0.3">
      <c r="A15" s="16"/>
      <c r="B15" s="55">
        <v>11</v>
      </c>
      <c r="C15" s="56" t="s">
        <v>32</v>
      </c>
      <c r="D15" s="55">
        <v>1</v>
      </c>
      <c r="E15" s="55" t="s">
        <v>20</v>
      </c>
      <c r="F15" s="18" t="s">
        <v>21</v>
      </c>
      <c r="G15" s="18" t="s">
        <v>21</v>
      </c>
      <c r="H15" s="18" t="s">
        <v>21</v>
      </c>
      <c r="I15" s="18" t="s">
        <v>21</v>
      </c>
      <c r="J15" s="18" t="s">
        <v>20</v>
      </c>
      <c r="K15" s="18" t="s">
        <v>20</v>
      </c>
      <c r="L15" s="18" t="s">
        <v>20</v>
      </c>
      <c r="M15" s="19" t="s">
        <v>21</v>
      </c>
      <c r="N15" s="19" t="s">
        <v>21</v>
      </c>
      <c r="O15" s="19" t="s">
        <v>20</v>
      </c>
      <c r="P15" s="19" t="s">
        <v>21</v>
      </c>
      <c r="Q15" s="18" t="s">
        <v>21</v>
      </c>
      <c r="R15" s="18" t="s">
        <v>23</v>
      </c>
      <c r="S15" s="19" t="s">
        <v>21</v>
      </c>
      <c r="T15" s="18" t="s">
        <v>20</v>
      </c>
      <c r="U15" s="18" t="s">
        <v>21</v>
      </c>
      <c r="V15" s="18" t="s">
        <v>20</v>
      </c>
      <c r="W15" s="18" t="s">
        <v>21</v>
      </c>
      <c r="X15" s="18" t="s">
        <v>20</v>
      </c>
      <c r="Y15" s="19" t="s">
        <v>20</v>
      </c>
      <c r="Z15" s="19" t="s">
        <v>20</v>
      </c>
      <c r="AA15" s="20" t="s">
        <v>21</v>
      </c>
      <c r="AB15" s="20" t="s">
        <v>21</v>
      </c>
      <c r="AC15" s="20" t="s">
        <v>23</v>
      </c>
      <c r="AD15" s="19" t="s">
        <v>21</v>
      </c>
      <c r="AE15" s="19" t="s">
        <v>21</v>
      </c>
      <c r="AG15">
        <f>+COUNTIF(F15:AE15,"AD")</f>
        <v>0</v>
      </c>
      <c r="AH15">
        <f>+COUNTIF(F15:AE15,"A")</f>
        <v>9</v>
      </c>
      <c r="AI15">
        <f>+COUNTIF(F15:AE15,"b")</f>
        <v>15</v>
      </c>
      <c r="AJ15">
        <f>+COUNTIF(F15:AE15,"c")</f>
        <v>2</v>
      </c>
      <c r="AL15">
        <f>+$AG$5*AG15</f>
        <v>0</v>
      </c>
      <c r="AM15">
        <f>+$AH$5*AH15</f>
        <v>27</v>
      </c>
      <c r="AN15">
        <f>+$AI$5*AI15</f>
        <v>30</v>
      </c>
      <c r="AO15">
        <f>+$AJ$5*AJ15</f>
        <v>2</v>
      </c>
      <c r="AP15">
        <f>+SUM(AL15:AO15)</f>
        <v>59</v>
      </c>
    </row>
    <row r="16" spans="1:42" ht="14.4" hidden="1" x14ac:dyDescent="0.3">
      <c r="A16" s="16"/>
      <c r="B16" s="55">
        <v>15</v>
      </c>
      <c r="C16" s="56" t="s">
        <v>36</v>
      </c>
      <c r="D16" s="55">
        <v>1</v>
      </c>
      <c r="E16" s="55" t="s">
        <v>20</v>
      </c>
      <c r="F16" s="18" t="s">
        <v>21</v>
      </c>
      <c r="G16" s="18" t="s">
        <v>21</v>
      </c>
      <c r="H16" s="18" t="s">
        <v>21</v>
      </c>
      <c r="I16" s="18" t="s">
        <v>21</v>
      </c>
      <c r="J16" s="18" t="s">
        <v>21</v>
      </c>
      <c r="K16" s="18" t="s">
        <v>21</v>
      </c>
      <c r="L16" s="18" t="s">
        <v>21</v>
      </c>
      <c r="M16" s="19" t="s">
        <v>20</v>
      </c>
      <c r="N16" s="19" t="s">
        <v>21</v>
      </c>
      <c r="O16" s="19" t="s">
        <v>20</v>
      </c>
      <c r="P16" s="19" t="s">
        <v>21</v>
      </c>
      <c r="Q16" s="18" t="s">
        <v>21</v>
      </c>
      <c r="R16" s="18" t="s">
        <v>21</v>
      </c>
      <c r="S16" s="19" t="s">
        <v>20</v>
      </c>
      <c r="T16" s="18" t="s">
        <v>21</v>
      </c>
      <c r="U16" s="18" t="s">
        <v>21</v>
      </c>
      <c r="V16" s="18" t="s">
        <v>21</v>
      </c>
      <c r="W16" s="18" t="s">
        <v>20</v>
      </c>
      <c r="X16" s="18" t="s">
        <v>20</v>
      </c>
      <c r="Y16" s="19" t="s">
        <v>20</v>
      </c>
      <c r="Z16" s="19" t="s">
        <v>20</v>
      </c>
      <c r="AA16" s="20" t="s">
        <v>21</v>
      </c>
      <c r="AB16" s="20" t="s">
        <v>21</v>
      </c>
      <c r="AC16" s="20" t="s">
        <v>23</v>
      </c>
      <c r="AD16" s="19" t="s">
        <v>20</v>
      </c>
      <c r="AE16" s="19" t="s">
        <v>21</v>
      </c>
      <c r="AG16">
        <f>+COUNTIF(F16:AE16,"AD")</f>
        <v>0</v>
      </c>
      <c r="AH16">
        <f>+COUNTIF(F16:AE16,"A")</f>
        <v>8</v>
      </c>
      <c r="AI16">
        <f>+COUNTIF(F16:AE16,"b")</f>
        <v>17</v>
      </c>
      <c r="AJ16">
        <f>+COUNTIF(F16:AE16,"c")</f>
        <v>1</v>
      </c>
      <c r="AL16">
        <f>+$AG$5*AG16</f>
        <v>0</v>
      </c>
      <c r="AM16">
        <f>+$AH$5*AH16</f>
        <v>24</v>
      </c>
      <c r="AN16">
        <f>+$AI$5*AI16</f>
        <v>34</v>
      </c>
      <c r="AO16">
        <f>+$AJ$5*AJ16</f>
        <v>1</v>
      </c>
      <c r="AP16">
        <f>+SUM(AL16:AO16)</f>
        <v>59</v>
      </c>
    </row>
    <row r="17" spans="1:42" ht="14.4" hidden="1" x14ac:dyDescent="0.3">
      <c r="A17" s="16"/>
      <c r="B17" s="55">
        <v>10</v>
      </c>
      <c r="C17" s="56" t="s">
        <v>31</v>
      </c>
      <c r="D17" s="55">
        <v>1</v>
      </c>
      <c r="E17" s="55" t="s">
        <v>20</v>
      </c>
      <c r="F17" s="18" t="s">
        <v>21</v>
      </c>
      <c r="G17" s="18" t="s">
        <v>21</v>
      </c>
      <c r="H17" s="18" t="s">
        <v>21</v>
      </c>
      <c r="I17" s="18" t="s">
        <v>21</v>
      </c>
      <c r="J17" s="18" t="s">
        <v>21</v>
      </c>
      <c r="K17" s="18" t="s">
        <v>21</v>
      </c>
      <c r="L17" s="18" t="s">
        <v>21</v>
      </c>
      <c r="M17" s="19" t="s">
        <v>21</v>
      </c>
      <c r="N17" s="19" t="s">
        <v>21</v>
      </c>
      <c r="O17" s="19" t="s">
        <v>20</v>
      </c>
      <c r="P17" s="19" t="s">
        <v>21</v>
      </c>
      <c r="Q17" s="18" t="s">
        <v>21</v>
      </c>
      <c r="R17" s="18" t="s">
        <v>21</v>
      </c>
      <c r="S17" s="19" t="s">
        <v>20</v>
      </c>
      <c r="T17" s="18" t="s">
        <v>21</v>
      </c>
      <c r="U17" s="18" t="s">
        <v>21</v>
      </c>
      <c r="V17" s="18" t="s">
        <v>20</v>
      </c>
      <c r="W17" s="18" t="s">
        <v>20</v>
      </c>
      <c r="X17" s="18" t="s">
        <v>20</v>
      </c>
      <c r="Y17" s="19" t="s">
        <v>21</v>
      </c>
      <c r="Z17" s="19" t="s">
        <v>20</v>
      </c>
      <c r="AA17" s="20" t="s">
        <v>21</v>
      </c>
      <c r="AB17" s="20" t="s">
        <v>21</v>
      </c>
      <c r="AC17" s="20" t="s">
        <v>23</v>
      </c>
      <c r="AD17" s="19" t="s">
        <v>21</v>
      </c>
      <c r="AE17" s="19" t="s">
        <v>21</v>
      </c>
      <c r="AG17">
        <f>+COUNTIF(F17:AE17,"AD")</f>
        <v>0</v>
      </c>
      <c r="AH17">
        <f>+COUNTIF(F17:AE17,"A")</f>
        <v>6</v>
      </c>
      <c r="AI17">
        <f>+COUNTIF(F17:AE17,"b")</f>
        <v>19</v>
      </c>
      <c r="AJ17">
        <f>+COUNTIF(F17:AE17,"c")</f>
        <v>1</v>
      </c>
      <c r="AL17">
        <f>+$AG$5*AG17</f>
        <v>0</v>
      </c>
      <c r="AM17">
        <f>+$AH$5*AH17</f>
        <v>18</v>
      </c>
      <c r="AN17">
        <f>+$AI$5*AI17</f>
        <v>38</v>
      </c>
      <c r="AO17">
        <f>+$AJ$5*AJ17</f>
        <v>1</v>
      </c>
      <c r="AP17">
        <f>+SUM(AL17:AO17)</f>
        <v>57</v>
      </c>
    </row>
    <row r="18" spans="1:42" ht="14.4" hidden="1" x14ac:dyDescent="0.3">
      <c r="A18" s="16"/>
      <c r="B18" s="55">
        <v>18</v>
      </c>
      <c r="C18" s="56" t="s">
        <v>40</v>
      </c>
      <c r="D18" s="55">
        <v>1</v>
      </c>
      <c r="E18" s="55" t="s">
        <v>20</v>
      </c>
      <c r="F18" s="18" t="s">
        <v>21</v>
      </c>
      <c r="G18" s="18" t="s">
        <v>21</v>
      </c>
      <c r="H18" s="18" t="s">
        <v>21</v>
      </c>
      <c r="I18" s="18" t="s">
        <v>21</v>
      </c>
      <c r="J18" s="18" t="s">
        <v>21</v>
      </c>
      <c r="K18" s="18" t="s">
        <v>21</v>
      </c>
      <c r="L18" s="18" t="s">
        <v>21</v>
      </c>
      <c r="M18" s="19" t="s">
        <v>21</v>
      </c>
      <c r="N18" s="19" t="s">
        <v>21</v>
      </c>
      <c r="O18" s="19" t="s">
        <v>20</v>
      </c>
      <c r="P18" s="19" t="s">
        <v>21</v>
      </c>
      <c r="Q18" s="18" t="s">
        <v>21</v>
      </c>
      <c r="R18" s="18" t="s">
        <v>21</v>
      </c>
      <c r="S18" s="19" t="s">
        <v>23</v>
      </c>
      <c r="T18" s="18" t="s">
        <v>23</v>
      </c>
      <c r="U18" s="18" t="s">
        <v>20</v>
      </c>
      <c r="V18" s="18" t="s">
        <v>21</v>
      </c>
      <c r="W18" s="18" t="s">
        <v>20</v>
      </c>
      <c r="X18" s="18" t="s">
        <v>20</v>
      </c>
      <c r="Y18" s="19" t="s">
        <v>20</v>
      </c>
      <c r="Z18" s="19" t="s">
        <v>20</v>
      </c>
      <c r="AA18" s="20" t="s">
        <v>21</v>
      </c>
      <c r="AB18" s="20" t="s">
        <v>21</v>
      </c>
      <c r="AC18" s="20" t="s">
        <v>23</v>
      </c>
      <c r="AD18" s="19" t="s">
        <v>21</v>
      </c>
      <c r="AE18" s="19" t="s">
        <v>21</v>
      </c>
      <c r="AG18">
        <f>+COUNTIF(F18:AE18,"AD")</f>
        <v>0</v>
      </c>
      <c r="AH18">
        <f>+COUNTIF(F18:AE18,"A")</f>
        <v>6</v>
      </c>
      <c r="AI18">
        <f>+COUNTIF(F18:AE18,"b")</f>
        <v>17</v>
      </c>
      <c r="AJ18">
        <f>+COUNTIF(F18:AE18,"c")</f>
        <v>3</v>
      </c>
      <c r="AL18">
        <f>+$AG$5*AG18</f>
        <v>0</v>
      </c>
      <c r="AM18">
        <f>+$AH$5*AH18</f>
        <v>18</v>
      </c>
      <c r="AN18">
        <f>+$AI$5*AI18</f>
        <v>34</v>
      </c>
      <c r="AO18">
        <f>+$AJ$5*AJ18</f>
        <v>3</v>
      </c>
      <c r="AP18">
        <f>+SUM(AL18:AO18)</f>
        <v>55</v>
      </c>
    </row>
    <row r="19" spans="1:42" ht="14.4" hidden="1" x14ac:dyDescent="0.3">
      <c r="A19" s="16"/>
      <c r="B19" s="55">
        <v>13</v>
      </c>
      <c r="C19" s="56" t="s">
        <v>34</v>
      </c>
      <c r="D19" s="55">
        <v>1</v>
      </c>
      <c r="E19" s="55" t="s">
        <v>20</v>
      </c>
      <c r="F19" s="18" t="s">
        <v>21</v>
      </c>
      <c r="G19" s="18" t="s">
        <v>21</v>
      </c>
      <c r="H19" s="18" t="s">
        <v>23</v>
      </c>
      <c r="I19" s="18" t="s">
        <v>21</v>
      </c>
      <c r="J19" s="18" t="s">
        <v>21</v>
      </c>
      <c r="K19" s="18" t="s">
        <v>21</v>
      </c>
      <c r="L19" s="18" t="s">
        <v>21</v>
      </c>
      <c r="M19" s="19" t="s">
        <v>21</v>
      </c>
      <c r="N19" s="19" t="s">
        <v>21</v>
      </c>
      <c r="O19" s="19" t="s">
        <v>21</v>
      </c>
      <c r="P19" s="19" t="s">
        <v>21</v>
      </c>
      <c r="Q19" s="18" t="s">
        <v>21</v>
      </c>
      <c r="R19" s="18" t="s">
        <v>21</v>
      </c>
      <c r="S19" s="19" t="s">
        <v>23</v>
      </c>
      <c r="T19" s="18" t="s">
        <v>23</v>
      </c>
      <c r="U19" s="18" t="s">
        <v>21</v>
      </c>
      <c r="V19" s="18" t="s">
        <v>21</v>
      </c>
      <c r="W19" s="18" t="s">
        <v>21</v>
      </c>
      <c r="X19" s="18" t="s">
        <v>20</v>
      </c>
      <c r="Y19" s="19" t="s">
        <v>20</v>
      </c>
      <c r="Z19" s="19" t="s">
        <v>20</v>
      </c>
      <c r="AA19" s="20" t="s">
        <v>21</v>
      </c>
      <c r="AB19" s="20" t="s">
        <v>21</v>
      </c>
      <c r="AC19" s="20" t="s">
        <v>23</v>
      </c>
      <c r="AD19" s="19" t="s">
        <v>21</v>
      </c>
      <c r="AE19" s="19" t="s">
        <v>21</v>
      </c>
      <c r="AG19">
        <f>+COUNTIF(F19:AE19,"AD")</f>
        <v>0</v>
      </c>
      <c r="AH19">
        <f>+COUNTIF(F19:AE19,"A")</f>
        <v>3</v>
      </c>
      <c r="AI19">
        <f>+COUNTIF(F19:AE19,"b")</f>
        <v>19</v>
      </c>
      <c r="AJ19">
        <f>+COUNTIF(F19:AE19,"c")</f>
        <v>4</v>
      </c>
      <c r="AL19">
        <f>+$AG$5*AG19</f>
        <v>0</v>
      </c>
      <c r="AM19">
        <f>+$AH$5*AH19</f>
        <v>9</v>
      </c>
      <c r="AN19">
        <f>+$AI$5*AI19</f>
        <v>38</v>
      </c>
      <c r="AO19">
        <f>+$AJ$5*AJ19</f>
        <v>4</v>
      </c>
      <c r="AP19">
        <f>+SUM(AL19:AO19)</f>
        <v>51</v>
      </c>
    </row>
    <row r="20" spans="1:42" ht="14.4" hidden="1" x14ac:dyDescent="0.3">
      <c r="A20" s="16"/>
      <c r="B20" s="55">
        <v>14</v>
      </c>
      <c r="C20" s="56" t="s">
        <v>35</v>
      </c>
      <c r="D20" s="55">
        <v>1</v>
      </c>
      <c r="E20" s="55" t="s">
        <v>20</v>
      </c>
      <c r="F20" s="18" t="s">
        <v>21</v>
      </c>
      <c r="G20" s="18" t="s">
        <v>23</v>
      </c>
      <c r="H20" s="18" t="s">
        <v>21</v>
      </c>
      <c r="I20" s="18" t="s">
        <v>21</v>
      </c>
      <c r="J20" s="18" t="s">
        <v>21</v>
      </c>
      <c r="K20" s="18" t="s">
        <v>21</v>
      </c>
      <c r="L20" s="18" t="s">
        <v>21</v>
      </c>
      <c r="M20" s="19" t="s">
        <v>21</v>
      </c>
      <c r="N20" s="19" t="s">
        <v>21</v>
      </c>
      <c r="O20" s="19" t="s">
        <v>21</v>
      </c>
      <c r="P20" s="19" t="s">
        <v>21</v>
      </c>
      <c r="Q20" s="18" t="s">
        <v>21</v>
      </c>
      <c r="R20" s="18" t="s">
        <v>21</v>
      </c>
      <c r="S20" s="19" t="s">
        <v>23</v>
      </c>
      <c r="T20" s="18" t="s">
        <v>23</v>
      </c>
      <c r="U20" s="18" t="s">
        <v>21</v>
      </c>
      <c r="V20" s="18" t="s">
        <v>20</v>
      </c>
      <c r="W20" s="18" t="s">
        <v>21</v>
      </c>
      <c r="X20" s="18" t="s">
        <v>20</v>
      </c>
      <c r="Y20" s="19" t="s">
        <v>21</v>
      </c>
      <c r="Z20" s="19" t="s">
        <v>20</v>
      </c>
      <c r="AA20" s="20" t="s">
        <v>21</v>
      </c>
      <c r="AB20" s="20" t="s">
        <v>23</v>
      </c>
      <c r="AC20" s="20" t="s">
        <v>23</v>
      </c>
      <c r="AD20" s="19" t="s">
        <v>21</v>
      </c>
      <c r="AE20" s="19" t="s">
        <v>21</v>
      </c>
      <c r="AG20">
        <f>+COUNTIF(F20:AE20,"AD")</f>
        <v>0</v>
      </c>
      <c r="AH20">
        <f>+COUNTIF(F20:AE20,"A")</f>
        <v>3</v>
      </c>
      <c r="AI20">
        <f>+COUNTIF(F20:AE20,"b")</f>
        <v>18</v>
      </c>
      <c r="AJ20">
        <f>+COUNTIF(F20:AE20,"c")</f>
        <v>5</v>
      </c>
      <c r="AL20">
        <f>+$AG$5*AG20</f>
        <v>0</v>
      </c>
      <c r="AM20">
        <f>+$AH$5*AH20</f>
        <v>9</v>
      </c>
      <c r="AN20">
        <f>+$AI$5*AI20</f>
        <v>36</v>
      </c>
      <c r="AO20">
        <f>+$AJ$5*AJ20</f>
        <v>5</v>
      </c>
      <c r="AP20">
        <f>+SUM(AL20:AO20)</f>
        <v>50</v>
      </c>
    </row>
    <row r="21" spans="1:42" ht="14.4" hidden="1" x14ac:dyDescent="0.3">
      <c r="A21" s="16"/>
      <c r="B21" s="55">
        <v>8</v>
      </c>
      <c r="C21" s="56" t="s">
        <v>29</v>
      </c>
      <c r="D21" s="55">
        <v>1</v>
      </c>
      <c r="E21" s="55" t="s">
        <v>20</v>
      </c>
      <c r="F21" s="18" t="s">
        <v>21</v>
      </c>
      <c r="G21" s="18" t="s">
        <v>23</v>
      </c>
      <c r="H21" s="18" t="s">
        <v>21</v>
      </c>
      <c r="I21" s="18" t="s">
        <v>21</v>
      </c>
      <c r="J21" s="18" t="s">
        <v>21</v>
      </c>
      <c r="K21" s="18" t="s">
        <v>21</v>
      </c>
      <c r="L21" s="18" t="s">
        <v>21</v>
      </c>
      <c r="M21" s="19" t="s">
        <v>21</v>
      </c>
      <c r="N21" s="19" t="s">
        <v>21</v>
      </c>
      <c r="O21" s="19" t="s">
        <v>21</v>
      </c>
      <c r="P21" s="19" t="s">
        <v>21</v>
      </c>
      <c r="Q21" s="18" t="s">
        <v>21</v>
      </c>
      <c r="R21" s="18" t="s">
        <v>21</v>
      </c>
      <c r="S21" s="19" t="s">
        <v>23</v>
      </c>
      <c r="T21" s="18" t="s">
        <v>21</v>
      </c>
      <c r="U21" s="18" t="s">
        <v>21</v>
      </c>
      <c r="V21" s="18" t="s">
        <v>20</v>
      </c>
      <c r="W21" s="18" t="s">
        <v>21</v>
      </c>
      <c r="X21" s="18" t="s">
        <v>20</v>
      </c>
      <c r="Y21" s="19" t="s">
        <v>21</v>
      </c>
      <c r="Z21" s="19" t="s">
        <v>21</v>
      </c>
      <c r="AA21" s="20" t="s">
        <v>21</v>
      </c>
      <c r="AB21" s="20" t="s">
        <v>23</v>
      </c>
      <c r="AC21" s="20" t="s">
        <v>23</v>
      </c>
      <c r="AD21" s="19" t="s">
        <v>23</v>
      </c>
      <c r="AE21" s="19" t="s">
        <v>21</v>
      </c>
      <c r="AG21">
        <f>+COUNTIF(F21:AE21,"AD")</f>
        <v>0</v>
      </c>
      <c r="AH21">
        <f>+COUNTIF(F21:AE21,"A")</f>
        <v>2</v>
      </c>
      <c r="AI21">
        <f>+COUNTIF(F21:AE21,"b")</f>
        <v>19</v>
      </c>
      <c r="AJ21">
        <f>+COUNTIF(F21:AE21,"c")</f>
        <v>5</v>
      </c>
      <c r="AL21">
        <f>+$AG$5*AG21</f>
        <v>0</v>
      </c>
      <c r="AM21">
        <f>+$AH$5*AH21</f>
        <v>6</v>
      </c>
      <c r="AN21">
        <f>+$AI$5*AI21</f>
        <v>38</v>
      </c>
      <c r="AO21">
        <f>+$AJ$5*AJ21</f>
        <v>5</v>
      </c>
      <c r="AP21">
        <f>+SUM(AL21:AO21)</f>
        <v>49</v>
      </c>
    </row>
    <row r="22" spans="1:42" ht="15.75" hidden="1" customHeight="1" x14ac:dyDescent="0.3">
      <c r="A22" s="16"/>
      <c r="B22" s="55">
        <v>12</v>
      </c>
      <c r="C22" s="56" t="s">
        <v>33</v>
      </c>
      <c r="D22" s="55">
        <v>1</v>
      </c>
      <c r="E22" s="55" t="s">
        <v>20</v>
      </c>
      <c r="F22" s="18" t="s">
        <v>21</v>
      </c>
      <c r="G22" s="18" t="s">
        <v>21</v>
      </c>
      <c r="H22" s="18" t="s">
        <v>21</v>
      </c>
      <c r="I22" s="18" t="s">
        <v>23</v>
      </c>
      <c r="J22" s="18" t="s">
        <v>21</v>
      </c>
      <c r="K22" s="18" t="s">
        <v>21</v>
      </c>
      <c r="L22" s="18" t="s">
        <v>21</v>
      </c>
      <c r="M22" s="19" t="s">
        <v>21</v>
      </c>
      <c r="N22" s="19" t="s">
        <v>21</v>
      </c>
      <c r="O22" s="19" t="s">
        <v>21</v>
      </c>
      <c r="P22" s="19" t="s">
        <v>21</v>
      </c>
      <c r="Q22" s="18" t="s">
        <v>21</v>
      </c>
      <c r="R22" s="18" t="s">
        <v>21</v>
      </c>
      <c r="S22" s="19" t="s">
        <v>23</v>
      </c>
      <c r="T22" s="18" t="s">
        <v>23</v>
      </c>
      <c r="U22" s="18" t="s">
        <v>21</v>
      </c>
      <c r="V22" s="18" t="s">
        <v>21</v>
      </c>
      <c r="W22" s="18" t="s">
        <v>21</v>
      </c>
      <c r="X22" s="18" t="s">
        <v>20</v>
      </c>
      <c r="Y22" s="19" t="s">
        <v>20</v>
      </c>
      <c r="Z22" s="19" t="s">
        <v>20</v>
      </c>
      <c r="AA22" s="20" t="s">
        <v>23</v>
      </c>
      <c r="AB22" s="20" t="s">
        <v>23</v>
      </c>
      <c r="AC22" s="20" t="s">
        <v>23</v>
      </c>
      <c r="AD22" s="19" t="s">
        <v>23</v>
      </c>
      <c r="AE22" s="19" t="s">
        <v>21</v>
      </c>
      <c r="AG22">
        <f>+COUNTIF(F22:AE22,"AD")</f>
        <v>0</v>
      </c>
      <c r="AH22">
        <f>+COUNTIF(F22:AE22,"A")</f>
        <v>3</v>
      </c>
      <c r="AI22">
        <f>+COUNTIF(F22:AE22,"b")</f>
        <v>16</v>
      </c>
      <c r="AJ22">
        <f>+COUNTIF(F22:AE22,"c")</f>
        <v>7</v>
      </c>
      <c r="AL22">
        <f>+$AG$5*AG22</f>
        <v>0</v>
      </c>
      <c r="AM22">
        <f>+$AH$5*AH22</f>
        <v>9</v>
      </c>
      <c r="AN22">
        <f>+$AI$5*AI22</f>
        <v>32</v>
      </c>
      <c r="AO22">
        <f>+$AJ$5*AJ22</f>
        <v>7</v>
      </c>
      <c r="AP22">
        <f>+SUM(AL22:AO22)</f>
        <v>48</v>
      </c>
    </row>
    <row r="23" spans="1:42" ht="15.75" hidden="1" customHeight="1" thickBot="1" x14ac:dyDescent="0.35">
      <c r="A23" s="16"/>
      <c r="B23" s="57">
        <v>2</v>
      </c>
      <c r="C23" s="58" t="s">
        <v>22</v>
      </c>
      <c r="D23" s="57">
        <v>1</v>
      </c>
      <c r="E23" s="57" t="s">
        <v>20</v>
      </c>
      <c r="F23" s="21" t="s">
        <v>21</v>
      </c>
      <c r="G23" s="21" t="s">
        <v>23</v>
      </c>
      <c r="H23" s="21" t="s">
        <v>21</v>
      </c>
      <c r="I23" s="21" t="s">
        <v>21</v>
      </c>
      <c r="J23" s="21" t="s">
        <v>21</v>
      </c>
      <c r="K23" s="21" t="s">
        <v>21</v>
      </c>
      <c r="L23" s="21" t="s">
        <v>21</v>
      </c>
      <c r="M23" s="22" t="s">
        <v>21</v>
      </c>
      <c r="N23" s="22" t="s">
        <v>21</v>
      </c>
      <c r="O23" s="22" t="s">
        <v>23</v>
      </c>
      <c r="P23" s="22" t="s">
        <v>21</v>
      </c>
      <c r="Q23" s="21" t="s">
        <v>21</v>
      </c>
      <c r="R23" s="21" t="s">
        <v>21</v>
      </c>
      <c r="S23" s="22" t="s">
        <v>23</v>
      </c>
      <c r="T23" s="21" t="s">
        <v>23</v>
      </c>
      <c r="U23" s="21" t="s">
        <v>21</v>
      </c>
      <c r="V23" s="21" t="s">
        <v>21</v>
      </c>
      <c r="W23" s="21" t="s">
        <v>21</v>
      </c>
      <c r="X23" s="21" t="s">
        <v>20</v>
      </c>
      <c r="Y23" s="22" t="s">
        <v>21</v>
      </c>
      <c r="Z23" s="22" t="s">
        <v>20</v>
      </c>
      <c r="AA23" s="23" t="s">
        <v>23</v>
      </c>
      <c r="AB23" s="23" t="s">
        <v>23</v>
      </c>
      <c r="AC23" s="23" t="s">
        <v>23</v>
      </c>
      <c r="AD23" s="22" t="s">
        <v>23</v>
      </c>
      <c r="AE23" s="22" t="s">
        <v>21</v>
      </c>
      <c r="AG23">
        <f>+COUNTIF(F23:AE23,"AD")</f>
        <v>0</v>
      </c>
      <c r="AH23">
        <f>+COUNTIF(F23:AE23,"A")</f>
        <v>2</v>
      </c>
      <c r="AI23">
        <f>+COUNTIF(F23:AE23,"b")</f>
        <v>16</v>
      </c>
      <c r="AJ23">
        <f>+COUNTIF(F23:AE23,"c")</f>
        <v>8</v>
      </c>
      <c r="AL23">
        <f>+$AG$5*AG23</f>
        <v>0</v>
      </c>
      <c r="AM23">
        <f>+$AH$5*AH23</f>
        <v>6</v>
      </c>
      <c r="AN23">
        <f>+$AI$5*AI23</f>
        <v>32</v>
      </c>
      <c r="AO23">
        <f>+$AJ$5*AJ23</f>
        <v>8</v>
      </c>
      <c r="AP23">
        <f>+SUM(AL23:AO23)</f>
        <v>46</v>
      </c>
    </row>
    <row r="24" spans="1:42" ht="15.75" hidden="1" customHeight="1" x14ac:dyDescent="0.3">
      <c r="A24" s="16"/>
      <c r="B24" s="59">
        <v>1</v>
      </c>
      <c r="C24" s="60" t="s">
        <v>41</v>
      </c>
      <c r="D24" s="59">
        <v>1</v>
      </c>
      <c r="E24" s="59" t="s">
        <v>21</v>
      </c>
      <c r="F24" s="24" t="s">
        <v>39</v>
      </c>
      <c r="G24" s="24" t="s">
        <v>20</v>
      </c>
      <c r="H24" s="24" t="s">
        <v>20</v>
      </c>
      <c r="I24" s="24" t="s">
        <v>20</v>
      </c>
      <c r="J24" s="24" t="s">
        <v>20</v>
      </c>
      <c r="K24" s="24" t="s">
        <v>20</v>
      </c>
      <c r="L24" s="24" t="s">
        <v>20</v>
      </c>
      <c r="M24" s="25" t="s">
        <v>20</v>
      </c>
      <c r="N24" s="25" t="s">
        <v>20</v>
      </c>
      <c r="O24" s="25" t="s">
        <v>20</v>
      </c>
      <c r="P24" s="25" t="s">
        <v>20</v>
      </c>
      <c r="Q24" s="24" t="s">
        <v>20</v>
      </c>
      <c r="R24" s="24" t="s">
        <v>20</v>
      </c>
      <c r="S24" s="25" t="s">
        <v>20</v>
      </c>
      <c r="T24" s="24" t="s">
        <v>20</v>
      </c>
      <c r="U24" s="24" t="s">
        <v>20</v>
      </c>
      <c r="V24" s="24" t="s">
        <v>20</v>
      </c>
      <c r="W24" s="24" t="s">
        <v>20</v>
      </c>
      <c r="X24" s="24" t="s">
        <v>20</v>
      </c>
      <c r="Y24" s="25" t="s">
        <v>20</v>
      </c>
      <c r="Z24" s="25" t="s">
        <v>20</v>
      </c>
      <c r="AA24" s="26" t="s">
        <v>20</v>
      </c>
      <c r="AB24" s="26" t="s">
        <v>20</v>
      </c>
      <c r="AC24" s="27" t="s">
        <v>20</v>
      </c>
      <c r="AD24" s="25" t="s">
        <v>20</v>
      </c>
      <c r="AE24" s="25" t="s">
        <v>21</v>
      </c>
      <c r="AG24">
        <f t="shared" ref="AG24:AG87" si="0">+COUNTIF(F24:AE24,"AD")</f>
        <v>1</v>
      </c>
      <c r="AH24">
        <f t="shared" ref="AH24:AH87" si="1">+COUNTIF(F24:AE24,"A")</f>
        <v>24</v>
      </c>
      <c r="AI24">
        <f t="shared" ref="AI24:AI87" si="2">+COUNTIF(F24:AE24,"b")</f>
        <v>1</v>
      </c>
      <c r="AJ24">
        <f t="shared" ref="AJ24:AJ87" si="3">+COUNTIF(F24:AE24,"c")</f>
        <v>0</v>
      </c>
      <c r="AL24">
        <f t="shared" ref="AL24:AL87" si="4">+$AG$5*AG24</f>
        <v>4</v>
      </c>
      <c r="AM24">
        <f t="shared" ref="AM24:AM87" si="5">+$AH$5*AH24</f>
        <v>72</v>
      </c>
      <c r="AN24">
        <f t="shared" ref="AN24:AN87" si="6">+$AI$5*AI24</f>
        <v>2</v>
      </c>
      <c r="AO24">
        <f t="shared" ref="AO24:AO87" si="7">+$AJ$5*AJ24</f>
        <v>0</v>
      </c>
      <c r="AP24">
        <f t="shared" ref="AP24:AP43" si="8">+SUM(AL24:AO24)</f>
        <v>78</v>
      </c>
    </row>
    <row r="25" spans="1:42" ht="15.75" hidden="1" customHeight="1" x14ac:dyDescent="0.3">
      <c r="A25" s="16"/>
      <c r="B25" s="55">
        <v>2</v>
      </c>
      <c r="C25" s="56" t="s">
        <v>42</v>
      </c>
      <c r="D25" s="55">
        <v>1</v>
      </c>
      <c r="E25" s="55" t="s">
        <v>21</v>
      </c>
      <c r="F25" s="18" t="s">
        <v>21</v>
      </c>
      <c r="G25" s="18" t="s">
        <v>21</v>
      </c>
      <c r="H25" s="18" t="s">
        <v>21</v>
      </c>
      <c r="I25" s="18" t="s">
        <v>21</v>
      </c>
      <c r="J25" s="18" t="s">
        <v>20</v>
      </c>
      <c r="K25" s="18" t="s">
        <v>21</v>
      </c>
      <c r="L25" s="18" t="s">
        <v>21</v>
      </c>
      <c r="M25" s="19" t="s">
        <v>20</v>
      </c>
      <c r="N25" s="19" t="s">
        <v>20</v>
      </c>
      <c r="O25" s="19" t="s">
        <v>20</v>
      </c>
      <c r="P25" s="19" t="s">
        <v>20</v>
      </c>
      <c r="Q25" s="18" t="s">
        <v>20</v>
      </c>
      <c r="R25" s="18" t="s">
        <v>21</v>
      </c>
      <c r="S25" s="19" t="s">
        <v>20</v>
      </c>
      <c r="T25" s="18" t="s">
        <v>20</v>
      </c>
      <c r="U25" s="18" t="s">
        <v>21</v>
      </c>
      <c r="V25" s="18" t="s">
        <v>20</v>
      </c>
      <c r="W25" s="18" t="s">
        <v>20</v>
      </c>
      <c r="X25" s="18" t="s">
        <v>20</v>
      </c>
      <c r="Y25" s="19" t="s">
        <v>20</v>
      </c>
      <c r="Z25" s="19" t="s">
        <v>20</v>
      </c>
      <c r="AA25" s="28" t="s">
        <v>20</v>
      </c>
      <c r="AB25" s="28" t="s">
        <v>21</v>
      </c>
      <c r="AC25" s="20" t="s">
        <v>20</v>
      </c>
      <c r="AD25" s="19" t="s">
        <v>20</v>
      </c>
      <c r="AE25" s="19" t="s">
        <v>21</v>
      </c>
      <c r="AG25">
        <f t="shared" si="0"/>
        <v>0</v>
      </c>
      <c r="AH25">
        <f t="shared" si="1"/>
        <v>16</v>
      </c>
      <c r="AI25">
        <f t="shared" si="2"/>
        <v>10</v>
      </c>
      <c r="AJ25">
        <f t="shared" si="3"/>
        <v>0</v>
      </c>
      <c r="AL25">
        <f t="shared" si="4"/>
        <v>0</v>
      </c>
      <c r="AM25">
        <f t="shared" si="5"/>
        <v>48</v>
      </c>
      <c r="AN25">
        <f t="shared" si="6"/>
        <v>20</v>
      </c>
      <c r="AO25">
        <f t="shared" si="7"/>
        <v>0</v>
      </c>
      <c r="AP25">
        <f t="shared" si="8"/>
        <v>68</v>
      </c>
    </row>
    <row r="26" spans="1:42" ht="15.75" hidden="1" customHeight="1" x14ac:dyDescent="0.3">
      <c r="A26" s="16"/>
      <c r="B26" s="55">
        <v>3</v>
      </c>
      <c r="C26" s="56" t="s">
        <v>43</v>
      </c>
      <c r="D26" s="55">
        <v>1</v>
      </c>
      <c r="E26" s="55" t="s">
        <v>21</v>
      </c>
      <c r="F26" s="18" t="s">
        <v>21</v>
      </c>
      <c r="G26" s="18" t="s">
        <v>20</v>
      </c>
      <c r="H26" s="18" t="s">
        <v>21</v>
      </c>
      <c r="I26" s="18" t="s">
        <v>21</v>
      </c>
      <c r="J26" s="18" t="s">
        <v>21</v>
      </c>
      <c r="K26" s="18" t="s">
        <v>20</v>
      </c>
      <c r="L26" s="18" t="s">
        <v>21</v>
      </c>
      <c r="M26" s="19" t="s">
        <v>20</v>
      </c>
      <c r="N26" s="19" t="s">
        <v>20</v>
      </c>
      <c r="O26" s="19" t="s">
        <v>20</v>
      </c>
      <c r="P26" s="19" t="s">
        <v>20</v>
      </c>
      <c r="Q26" s="18" t="s">
        <v>21</v>
      </c>
      <c r="R26" s="18" t="s">
        <v>21</v>
      </c>
      <c r="S26" s="19" t="s">
        <v>20</v>
      </c>
      <c r="T26" s="18" t="s">
        <v>20</v>
      </c>
      <c r="U26" s="18" t="s">
        <v>21</v>
      </c>
      <c r="V26" s="18" t="s">
        <v>20</v>
      </c>
      <c r="W26" s="18" t="s">
        <v>20</v>
      </c>
      <c r="X26" s="18" t="s">
        <v>20</v>
      </c>
      <c r="Y26" s="19" t="s">
        <v>20</v>
      </c>
      <c r="Z26" s="19" t="s">
        <v>20</v>
      </c>
      <c r="AA26" s="28" t="s">
        <v>20</v>
      </c>
      <c r="AB26" s="28" t="s">
        <v>21</v>
      </c>
      <c r="AC26" s="20" t="s">
        <v>21</v>
      </c>
      <c r="AD26" s="19" t="s">
        <v>20</v>
      </c>
      <c r="AE26" s="19" t="s">
        <v>21</v>
      </c>
      <c r="AG26">
        <f t="shared" si="0"/>
        <v>0</v>
      </c>
      <c r="AH26">
        <f t="shared" si="1"/>
        <v>15</v>
      </c>
      <c r="AI26">
        <f t="shared" si="2"/>
        <v>11</v>
      </c>
      <c r="AJ26">
        <f t="shared" si="3"/>
        <v>0</v>
      </c>
      <c r="AL26">
        <f t="shared" si="4"/>
        <v>0</v>
      </c>
      <c r="AM26">
        <f t="shared" si="5"/>
        <v>45</v>
      </c>
      <c r="AN26">
        <f t="shared" si="6"/>
        <v>22</v>
      </c>
      <c r="AO26">
        <f t="shared" si="7"/>
        <v>0</v>
      </c>
      <c r="AP26">
        <f t="shared" si="8"/>
        <v>67</v>
      </c>
    </row>
    <row r="27" spans="1:42" ht="15.75" hidden="1" customHeight="1" x14ac:dyDescent="0.3">
      <c r="A27" s="16"/>
      <c r="B27" s="55">
        <v>4</v>
      </c>
      <c r="C27" s="56" t="s">
        <v>44</v>
      </c>
      <c r="D27" s="55">
        <v>1</v>
      </c>
      <c r="E27" s="55" t="s">
        <v>21</v>
      </c>
      <c r="F27" s="18" t="s">
        <v>20</v>
      </c>
      <c r="G27" s="18" t="s">
        <v>20</v>
      </c>
      <c r="H27" s="18" t="s">
        <v>20</v>
      </c>
      <c r="I27" s="18" t="s">
        <v>20</v>
      </c>
      <c r="J27" s="18" t="s">
        <v>21</v>
      </c>
      <c r="K27" s="18" t="s">
        <v>21</v>
      </c>
      <c r="L27" s="18" t="s">
        <v>21</v>
      </c>
      <c r="M27" s="18" t="s">
        <v>21</v>
      </c>
      <c r="N27" s="18" t="s">
        <v>20</v>
      </c>
      <c r="O27" s="18" t="s">
        <v>20</v>
      </c>
      <c r="P27" s="18" t="s">
        <v>21</v>
      </c>
      <c r="Q27" s="18" t="s">
        <v>21</v>
      </c>
      <c r="R27" s="18" t="s">
        <v>21</v>
      </c>
      <c r="S27" s="18" t="s">
        <v>20</v>
      </c>
      <c r="T27" s="18" t="s">
        <v>20</v>
      </c>
      <c r="U27" s="18" t="s">
        <v>21</v>
      </c>
      <c r="V27" s="18" t="s">
        <v>20</v>
      </c>
      <c r="W27" s="18" t="s">
        <v>20</v>
      </c>
      <c r="X27" s="18" t="s">
        <v>20</v>
      </c>
      <c r="Y27" s="19" t="s">
        <v>21</v>
      </c>
      <c r="Z27" s="18" t="s">
        <v>20</v>
      </c>
      <c r="AA27" s="28" t="s">
        <v>21</v>
      </c>
      <c r="AB27" s="28" t="s">
        <v>21</v>
      </c>
      <c r="AC27" s="20" t="s">
        <v>21</v>
      </c>
      <c r="AD27" s="29" t="s">
        <v>21</v>
      </c>
      <c r="AE27" s="29" t="s">
        <v>21</v>
      </c>
      <c r="AG27">
        <f t="shared" si="0"/>
        <v>0</v>
      </c>
      <c r="AH27">
        <f t="shared" si="1"/>
        <v>12</v>
      </c>
      <c r="AI27">
        <f t="shared" si="2"/>
        <v>14</v>
      </c>
      <c r="AJ27">
        <f t="shared" si="3"/>
        <v>0</v>
      </c>
      <c r="AL27">
        <f t="shared" si="4"/>
        <v>0</v>
      </c>
      <c r="AM27">
        <f t="shared" si="5"/>
        <v>36</v>
      </c>
      <c r="AN27">
        <f t="shared" si="6"/>
        <v>28</v>
      </c>
      <c r="AO27">
        <f t="shared" si="7"/>
        <v>0</v>
      </c>
      <c r="AP27">
        <f t="shared" si="8"/>
        <v>64</v>
      </c>
    </row>
    <row r="28" spans="1:42" ht="15.75" hidden="1" customHeight="1" x14ac:dyDescent="0.3">
      <c r="A28" s="16"/>
      <c r="B28" s="55">
        <v>5</v>
      </c>
      <c r="C28" s="56" t="s">
        <v>45</v>
      </c>
      <c r="D28" s="55">
        <v>1</v>
      </c>
      <c r="E28" s="55" t="s">
        <v>21</v>
      </c>
      <c r="F28" s="18" t="s">
        <v>21</v>
      </c>
      <c r="G28" s="18" t="s">
        <v>21</v>
      </c>
      <c r="H28" s="18" t="s">
        <v>20</v>
      </c>
      <c r="I28" s="18" t="s">
        <v>21</v>
      </c>
      <c r="J28" s="18" t="s">
        <v>21</v>
      </c>
      <c r="K28" s="18" t="s">
        <v>21</v>
      </c>
      <c r="L28" s="18" t="s">
        <v>21</v>
      </c>
      <c r="M28" s="18" t="s">
        <v>20</v>
      </c>
      <c r="N28" s="18" t="s">
        <v>21</v>
      </c>
      <c r="O28" s="18" t="s">
        <v>20</v>
      </c>
      <c r="P28" s="18" t="s">
        <v>21</v>
      </c>
      <c r="Q28" s="18" t="s">
        <v>21</v>
      </c>
      <c r="R28" s="18" t="s">
        <v>21</v>
      </c>
      <c r="S28" s="18" t="s">
        <v>20</v>
      </c>
      <c r="T28" s="18" t="s">
        <v>20</v>
      </c>
      <c r="U28" s="18" t="s">
        <v>21</v>
      </c>
      <c r="V28" s="18" t="s">
        <v>20</v>
      </c>
      <c r="W28" s="18" t="s">
        <v>20</v>
      </c>
      <c r="X28" s="18" t="s">
        <v>20</v>
      </c>
      <c r="Y28" s="19" t="s">
        <v>21</v>
      </c>
      <c r="Z28" s="18" t="s">
        <v>20</v>
      </c>
      <c r="AA28" s="28" t="s">
        <v>20</v>
      </c>
      <c r="AB28" s="28" t="s">
        <v>20</v>
      </c>
      <c r="AC28" s="20" t="s">
        <v>21</v>
      </c>
      <c r="AD28" s="29" t="s">
        <v>21</v>
      </c>
      <c r="AE28" s="29" t="s">
        <v>21</v>
      </c>
      <c r="AG28">
        <f t="shared" si="0"/>
        <v>0</v>
      </c>
      <c r="AH28">
        <f t="shared" si="1"/>
        <v>11</v>
      </c>
      <c r="AI28">
        <f t="shared" si="2"/>
        <v>15</v>
      </c>
      <c r="AJ28">
        <f t="shared" si="3"/>
        <v>0</v>
      </c>
      <c r="AL28">
        <f t="shared" si="4"/>
        <v>0</v>
      </c>
      <c r="AM28">
        <f t="shared" si="5"/>
        <v>33</v>
      </c>
      <c r="AN28">
        <f t="shared" si="6"/>
        <v>30</v>
      </c>
      <c r="AO28">
        <f t="shared" si="7"/>
        <v>0</v>
      </c>
      <c r="AP28">
        <f t="shared" si="8"/>
        <v>63</v>
      </c>
    </row>
    <row r="29" spans="1:42" ht="15.75" hidden="1" customHeight="1" x14ac:dyDescent="0.3">
      <c r="A29" s="16"/>
      <c r="B29" s="55">
        <v>6</v>
      </c>
      <c r="C29" s="56" t="s">
        <v>46</v>
      </c>
      <c r="D29" s="55">
        <v>1</v>
      </c>
      <c r="E29" s="55" t="s">
        <v>21</v>
      </c>
      <c r="F29" s="18" t="s">
        <v>20</v>
      </c>
      <c r="G29" s="18" t="s">
        <v>20</v>
      </c>
      <c r="H29" s="18" t="s">
        <v>21</v>
      </c>
      <c r="I29" s="18" t="s">
        <v>20</v>
      </c>
      <c r="J29" s="18" t="s">
        <v>21</v>
      </c>
      <c r="K29" s="18" t="s">
        <v>20</v>
      </c>
      <c r="L29" s="18" t="s">
        <v>21</v>
      </c>
      <c r="M29" s="18" t="s">
        <v>20</v>
      </c>
      <c r="N29" s="18" t="s">
        <v>21</v>
      </c>
      <c r="O29" s="18" t="s">
        <v>20</v>
      </c>
      <c r="P29" s="18" t="s">
        <v>21</v>
      </c>
      <c r="Q29" s="18" t="s">
        <v>21</v>
      </c>
      <c r="R29" s="18" t="s">
        <v>21</v>
      </c>
      <c r="S29" s="18" t="s">
        <v>21</v>
      </c>
      <c r="T29" s="18" t="s">
        <v>20</v>
      </c>
      <c r="U29" s="18" t="s">
        <v>21</v>
      </c>
      <c r="V29" s="18" t="s">
        <v>20</v>
      </c>
      <c r="W29" s="18" t="s">
        <v>20</v>
      </c>
      <c r="X29" s="18" t="s">
        <v>20</v>
      </c>
      <c r="Y29" s="19" t="s">
        <v>20</v>
      </c>
      <c r="Z29" s="18" t="s">
        <v>20</v>
      </c>
      <c r="AA29" s="28" t="s">
        <v>20</v>
      </c>
      <c r="AB29" s="28" t="s">
        <v>20</v>
      </c>
      <c r="AC29" s="20" t="s">
        <v>20</v>
      </c>
      <c r="AD29" s="29" t="s">
        <v>21</v>
      </c>
      <c r="AE29" s="29" t="s">
        <v>21</v>
      </c>
      <c r="AG29">
        <f t="shared" si="0"/>
        <v>0</v>
      </c>
      <c r="AH29">
        <f t="shared" si="1"/>
        <v>15</v>
      </c>
      <c r="AI29">
        <f t="shared" si="2"/>
        <v>11</v>
      </c>
      <c r="AJ29">
        <f t="shared" si="3"/>
        <v>0</v>
      </c>
      <c r="AL29">
        <f t="shared" si="4"/>
        <v>0</v>
      </c>
      <c r="AM29">
        <f t="shared" si="5"/>
        <v>45</v>
      </c>
      <c r="AN29">
        <f t="shared" si="6"/>
        <v>22</v>
      </c>
      <c r="AO29">
        <f t="shared" si="7"/>
        <v>0</v>
      </c>
      <c r="AP29">
        <f t="shared" si="8"/>
        <v>67</v>
      </c>
    </row>
    <row r="30" spans="1:42" ht="15.75" hidden="1" customHeight="1" x14ac:dyDescent="0.3">
      <c r="A30" s="16"/>
      <c r="B30" s="55">
        <v>7</v>
      </c>
      <c r="C30" s="56" t="s">
        <v>47</v>
      </c>
      <c r="D30" s="55">
        <v>1</v>
      </c>
      <c r="E30" s="55" t="s">
        <v>21</v>
      </c>
      <c r="F30" s="18" t="s">
        <v>21</v>
      </c>
      <c r="G30" s="18" t="s">
        <v>21</v>
      </c>
      <c r="H30" s="18" t="s">
        <v>20</v>
      </c>
      <c r="I30" s="18" t="s">
        <v>21</v>
      </c>
      <c r="J30" s="18" t="s">
        <v>20</v>
      </c>
      <c r="K30" s="18" t="s">
        <v>20</v>
      </c>
      <c r="L30" s="18" t="s">
        <v>21</v>
      </c>
      <c r="M30" s="18" t="s">
        <v>20</v>
      </c>
      <c r="N30" s="18" t="s">
        <v>21</v>
      </c>
      <c r="O30" s="18" t="s">
        <v>20</v>
      </c>
      <c r="P30" s="18" t="s">
        <v>20</v>
      </c>
      <c r="Q30" s="18" t="s">
        <v>21</v>
      </c>
      <c r="R30" s="18" t="s">
        <v>20</v>
      </c>
      <c r="S30" s="18" t="s">
        <v>20</v>
      </c>
      <c r="T30" s="18" t="s">
        <v>20</v>
      </c>
      <c r="U30" s="18" t="s">
        <v>21</v>
      </c>
      <c r="V30" s="18" t="s">
        <v>20</v>
      </c>
      <c r="W30" s="18" t="s">
        <v>20</v>
      </c>
      <c r="X30" s="18" t="s">
        <v>21</v>
      </c>
      <c r="Y30" s="19" t="s">
        <v>20</v>
      </c>
      <c r="Z30" s="18" t="s">
        <v>20</v>
      </c>
      <c r="AA30" s="28" t="s">
        <v>20</v>
      </c>
      <c r="AB30" s="28" t="s">
        <v>20</v>
      </c>
      <c r="AC30" s="20" t="s">
        <v>20</v>
      </c>
      <c r="AD30" s="29" t="s">
        <v>21</v>
      </c>
      <c r="AE30" s="29" t="s">
        <v>21</v>
      </c>
      <c r="AG30">
        <f t="shared" si="0"/>
        <v>0</v>
      </c>
      <c r="AH30">
        <f t="shared" si="1"/>
        <v>16</v>
      </c>
      <c r="AI30">
        <f t="shared" si="2"/>
        <v>10</v>
      </c>
      <c r="AJ30">
        <f t="shared" si="3"/>
        <v>0</v>
      </c>
      <c r="AL30">
        <f t="shared" si="4"/>
        <v>0</v>
      </c>
      <c r="AM30">
        <f t="shared" si="5"/>
        <v>48</v>
      </c>
      <c r="AN30">
        <f t="shared" si="6"/>
        <v>20</v>
      </c>
      <c r="AO30">
        <f t="shared" si="7"/>
        <v>0</v>
      </c>
      <c r="AP30">
        <f t="shared" si="8"/>
        <v>68</v>
      </c>
    </row>
    <row r="31" spans="1:42" ht="15.75" hidden="1" customHeight="1" x14ac:dyDescent="0.3">
      <c r="A31" s="16"/>
      <c r="B31" s="55">
        <v>8</v>
      </c>
      <c r="C31" s="56" t="s">
        <v>48</v>
      </c>
      <c r="D31" s="55">
        <v>1</v>
      </c>
      <c r="E31" s="55" t="s">
        <v>21</v>
      </c>
      <c r="F31" s="18" t="s">
        <v>20</v>
      </c>
      <c r="G31" s="18" t="s">
        <v>21</v>
      </c>
      <c r="H31" s="18" t="s">
        <v>21</v>
      </c>
      <c r="I31" s="18" t="s">
        <v>21</v>
      </c>
      <c r="J31" s="18" t="s">
        <v>20</v>
      </c>
      <c r="K31" s="18" t="s">
        <v>21</v>
      </c>
      <c r="L31" s="18" t="s">
        <v>21</v>
      </c>
      <c r="M31" s="18" t="s">
        <v>20</v>
      </c>
      <c r="N31" s="18" t="s">
        <v>21</v>
      </c>
      <c r="O31" s="18" t="s">
        <v>21</v>
      </c>
      <c r="P31" s="18" t="s">
        <v>21</v>
      </c>
      <c r="Q31" s="18" t="s">
        <v>21</v>
      </c>
      <c r="R31" s="18" t="s">
        <v>21</v>
      </c>
      <c r="S31" s="18" t="s">
        <v>20</v>
      </c>
      <c r="T31" s="18" t="s">
        <v>20</v>
      </c>
      <c r="U31" s="18" t="s">
        <v>20</v>
      </c>
      <c r="V31" s="18" t="s">
        <v>21</v>
      </c>
      <c r="W31" s="18" t="s">
        <v>20</v>
      </c>
      <c r="X31" s="18" t="s">
        <v>21</v>
      </c>
      <c r="Y31" s="19" t="s">
        <v>21</v>
      </c>
      <c r="Z31" s="18" t="s">
        <v>20</v>
      </c>
      <c r="AA31" s="28" t="s">
        <v>20</v>
      </c>
      <c r="AB31" s="28" t="s">
        <v>20</v>
      </c>
      <c r="AC31" s="20" t="s">
        <v>20</v>
      </c>
      <c r="AD31" s="29" t="s">
        <v>20</v>
      </c>
      <c r="AE31" s="29" t="s">
        <v>21</v>
      </c>
      <c r="AG31">
        <f t="shared" si="0"/>
        <v>0</v>
      </c>
      <c r="AH31">
        <f t="shared" si="1"/>
        <v>12</v>
      </c>
      <c r="AI31">
        <f t="shared" si="2"/>
        <v>14</v>
      </c>
      <c r="AJ31">
        <f t="shared" si="3"/>
        <v>0</v>
      </c>
      <c r="AL31">
        <f t="shared" si="4"/>
        <v>0</v>
      </c>
      <c r="AM31">
        <f t="shared" si="5"/>
        <v>36</v>
      </c>
      <c r="AN31">
        <f t="shared" si="6"/>
        <v>28</v>
      </c>
      <c r="AO31">
        <f t="shared" si="7"/>
        <v>0</v>
      </c>
      <c r="AP31">
        <f t="shared" si="8"/>
        <v>64</v>
      </c>
    </row>
    <row r="32" spans="1:42" ht="15.75" hidden="1" customHeight="1" x14ac:dyDescent="0.3">
      <c r="A32" s="16"/>
      <c r="B32" s="55">
        <v>9</v>
      </c>
      <c r="C32" s="56" t="s">
        <v>49</v>
      </c>
      <c r="D32" s="55">
        <v>1</v>
      </c>
      <c r="E32" s="55" t="s">
        <v>21</v>
      </c>
      <c r="F32" s="18" t="s">
        <v>20</v>
      </c>
      <c r="G32" s="18" t="s">
        <v>21</v>
      </c>
      <c r="H32" s="18" t="s">
        <v>21</v>
      </c>
      <c r="I32" s="18" t="s">
        <v>21</v>
      </c>
      <c r="J32" s="18" t="s">
        <v>21</v>
      </c>
      <c r="K32" s="18" t="s">
        <v>21</v>
      </c>
      <c r="L32" s="18" t="s">
        <v>20</v>
      </c>
      <c r="M32" s="18" t="s">
        <v>20</v>
      </c>
      <c r="N32" s="18" t="s">
        <v>20</v>
      </c>
      <c r="O32" s="18" t="s">
        <v>20</v>
      </c>
      <c r="P32" s="18" t="s">
        <v>20</v>
      </c>
      <c r="Q32" s="18" t="s">
        <v>20</v>
      </c>
      <c r="R32" s="18" t="s">
        <v>20</v>
      </c>
      <c r="S32" s="18" t="s">
        <v>20</v>
      </c>
      <c r="T32" s="18" t="s">
        <v>20</v>
      </c>
      <c r="U32" s="18" t="s">
        <v>21</v>
      </c>
      <c r="V32" s="18" t="s">
        <v>20</v>
      </c>
      <c r="W32" s="18" t="s">
        <v>20</v>
      </c>
      <c r="X32" s="18" t="s">
        <v>20</v>
      </c>
      <c r="Y32" s="19" t="s">
        <v>20</v>
      </c>
      <c r="Z32" s="18" t="s">
        <v>20</v>
      </c>
      <c r="AA32" s="28" t="s">
        <v>21</v>
      </c>
      <c r="AB32" s="28" t="s">
        <v>21</v>
      </c>
      <c r="AC32" s="20" t="s">
        <v>21</v>
      </c>
      <c r="AD32" s="29" t="s">
        <v>21</v>
      </c>
      <c r="AE32" s="29" t="s">
        <v>21</v>
      </c>
      <c r="AG32">
        <f t="shared" si="0"/>
        <v>0</v>
      </c>
      <c r="AH32">
        <f t="shared" si="1"/>
        <v>15</v>
      </c>
      <c r="AI32">
        <f t="shared" si="2"/>
        <v>11</v>
      </c>
      <c r="AJ32">
        <f t="shared" si="3"/>
        <v>0</v>
      </c>
      <c r="AL32">
        <f t="shared" si="4"/>
        <v>0</v>
      </c>
      <c r="AM32">
        <f t="shared" si="5"/>
        <v>45</v>
      </c>
      <c r="AN32">
        <f t="shared" si="6"/>
        <v>22</v>
      </c>
      <c r="AO32">
        <f t="shared" si="7"/>
        <v>0</v>
      </c>
      <c r="AP32">
        <f t="shared" si="8"/>
        <v>67</v>
      </c>
    </row>
    <row r="33" spans="1:42" ht="15.75" hidden="1" customHeight="1" x14ac:dyDescent="0.3">
      <c r="A33" s="16"/>
      <c r="B33" s="55">
        <v>10</v>
      </c>
      <c r="C33" s="56" t="s">
        <v>50</v>
      </c>
      <c r="D33" s="55">
        <v>1</v>
      </c>
      <c r="E33" s="55" t="s">
        <v>21</v>
      </c>
      <c r="F33" s="18" t="s">
        <v>20</v>
      </c>
      <c r="G33" s="18" t="s">
        <v>21</v>
      </c>
      <c r="H33" s="18" t="s">
        <v>20</v>
      </c>
      <c r="I33" s="18" t="s">
        <v>21</v>
      </c>
      <c r="J33" s="18" t="s">
        <v>21</v>
      </c>
      <c r="K33" s="18" t="s">
        <v>21</v>
      </c>
      <c r="L33" s="18" t="s">
        <v>21</v>
      </c>
      <c r="M33" s="18" t="s">
        <v>20</v>
      </c>
      <c r="N33" s="18" t="s">
        <v>20</v>
      </c>
      <c r="O33" s="18" t="s">
        <v>20</v>
      </c>
      <c r="P33" s="18" t="s">
        <v>21</v>
      </c>
      <c r="Q33" s="18" t="s">
        <v>20</v>
      </c>
      <c r="R33" s="18" t="s">
        <v>21</v>
      </c>
      <c r="S33" s="18" t="s">
        <v>20</v>
      </c>
      <c r="T33" s="18" t="s">
        <v>20</v>
      </c>
      <c r="U33" s="18" t="s">
        <v>20</v>
      </c>
      <c r="V33" s="18" t="s">
        <v>20</v>
      </c>
      <c r="W33" s="18" t="s">
        <v>20</v>
      </c>
      <c r="X33" s="18" t="s">
        <v>20</v>
      </c>
      <c r="Y33" s="19" t="s">
        <v>20</v>
      </c>
      <c r="Z33" s="18" t="s">
        <v>20</v>
      </c>
      <c r="AA33" s="28" t="s">
        <v>21</v>
      </c>
      <c r="AB33" s="28" t="s">
        <v>21</v>
      </c>
      <c r="AC33" s="20" t="s">
        <v>20</v>
      </c>
      <c r="AD33" s="29" t="s">
        <v>20</v>
      </c>
      <c r="AE33" s="29" t="s">
        <v>21</v>
      </c>
      <c r="AG33">
        <f t="shared" si="0"/>
        <v>0</v>
      </c>
      <c r="AH33">
        <f t="shared" si="1"/>
        <v>16</v>
      </c>
      <c r="AI33">
        <f t="shared" si="2"/>
        <v>10</v>
      </c>
      <c r="AJ33">
        <f t="shared" si="3"/>
        <v>0</v>
      </c>
      <c r="AL33">
        <f t="shared" si="4"/>
        <v>0</v>
      </c>
      <c r="AM33">
        <f t="shared" si="5"/>
        <v>48</v>
      </c>
      <c r="AN33">
        <f t="shared" si="6"/>
        <v>20</v>
      </c>
      <c r="AO33">
        <f t="shared" si="7"/>
        <v>0</v>
      </c>
      <c r="AP33">
        <f t="shared" si="8"/>
        <v>68</v>
      </c>
    </row>
    <row r="34" spans="1:42" ht="15.75" hidden="1" customHeight="1" x14ac:dyDescent="0.3">
      <c r="A34" s="16"/>
      <c r="B34" s="55">
        <v>11</v>
      </c>
      <c r="C34" s="56" t="s">
        <v>51</v>
      </c>
      <c r="D34" s="55">
        <v>1</v>
      </c>
      <c r="E34" s="55" t="s">
        <v>21</v>
      </c>
      <c r="F34" s="18" t="s">
        <v>39</v>
      </c>
      <c r="G34" s="18" t="s">
        <v>20</v>
      </c>
      <c r="H34" s="18" t="s">
        <v>20</v>
      </c>
      <c r="I34" s="18" t="s">
        <v>20</v>
      </c>
      <c r="J34" s="18" t="s">
        <v>20</v>
      </c>
      <c r="K34" s="18" t="s">
        <v>20</v>
      </c>
      <c r="L34" s="18" t="s">
        <v>20</v>
      </c>
      <c r="M34" s="18" t="s">
        <v>20</v>
      </c>
      <c r="N34" s="18" t="s">
        <v>20</v>
      </c>
      <c r="O34" s="18" t="s">
        <v>20</v>
      </c>
      <c r="P34" s="18" t="s">
        <v>20</v>
      </c>
      <c r="Q34" s="18" t="s">
        <v>20</v>
      </c>
      <c r="R34" s="18" t="s">
        <v>20</v>
      </c>
      <c r="S34" s="18" t="s">
        <v>20</v>
      </c>
      <c r="T34" s="18" t="s">
        <v>20</v>
      </c>
      <c r="U34" s="18" t="s">
        <v>20</v>
      </c>
      <c r="V34" s="18" t="s">
        <v>20</v>
      </c>
      <c r="W34" s="18" t="s">
        <v>20</v>
      </c>
      <c r="X34" s="18" t="s">
        <v>21</v>
      </c>
      <c r="Y34" s="19" t="s">
        <v>20</v>
      </c>
      <c r="Z34" s="18" t="s">
        <v>20</v>
      </c>
      <c r="AA34" s="28" t="s">
        <v>20</v>
      </c>
      <c r="AB34" s="28" t="s">
        <v>20</v>
      </c>
      <c r="AC34" s="20" t="s">
        <v>20</v>
      </c>
      <c r="AD34" s="29" t="s">
        <v>20</v>
      </c>
      <c r="AE34" s="29" t="s">
        <v>21</v>
      </c>
      <c r="AG34">
        <f t="shared" si="0"/>
        <v>1</v>
      </c>
      <c r="AH34">
        <f t="shared" si="1"/>
        <v>23</v>
      </c>
      <c r="AI34">
        <f t="shared" si="2"/>
        <v>2</v>
      </c>
      <c r="AJ34">
        <f t="shared" si="3"/>
        <v>0</v>
      </c>
      <c r="AL34">
        <f t="shared" si="4"/>
        <v>4</v>
      </c>
      <c r="AM34">
        <f t="shared" si="5"/>
        <v>69</v>
      </c>
      <c r="AN34">
        <f t="shared" si="6"/>
        <v>4</v>
      </c>
      <c r="AO34">
        <f t="shared" si="7"/>
        <v>0</v>
      </c>
      <c r="AP34">
        <f t="shared" si="8"/>
        <v>77</v>
      </c>
    </row>
    <row r="35" spans="1:42" ht="15.75" hidden="1" customHeight="1" x14ac:dyDescent="0.3">
      <c r="A35" s="16"/>
      <c r="B35" s="55">
        <v>12</v>
      </c>
      <c r="C35" s="56" t="s">
        <v>52</v>
      </c>
      <c r="D35" s="55">
        <v>1</v>
      </c>
      <c r="E35" s="55" t="s">
        <v>21</v>
      </c>
      <c r="F35" s="18" t="s">
        <v>20</v>
      </c>
      <c r="G35" s="18" t="s">
        <v>21</v>
      </c>
      <c r="H35" s="18" t="s">
        <v>20</v>
      </c>
      <c r="I35" s="18" t="s">
        <v>21</v>
      </c>
      <c r="J35" s="18" t="s">
        <v>20</v>
      </c>
      <c r="K35" s="18" t="s">
        <v>21</v>
      </c>
      <c r="L35" s="18" t="s">
        <v>21</v>
      </c>
      <c r="M35" s="18" t="s">
        <v>20</v>
      </c>
      <c r="N35" s="18" t="s">
        <v>20</v>
      </c>
      <c r="O35" s="18" t="s">
        <v>20</v>
      </c>
      <c r="P35" s="18" t="s">
        <v>20</v>
      </c>
      <c r="Q35" s="18" t="s">
        <v>20</v>
      </c>
      <c r="R35" s="18" t="s">
        <v>20</v>
      </c>
      <c r="S35" s="18" t="s">
        <v>20</v>
      </c>
      <c r="T35" s="18" t="s">
        <v>20</v>
      </c>
      <c r="U35" s="18" t="s">
        <v>20</v>
      </c>
      <c r="V35" s="18" t="s">
        <v>21</v>
      </c>
      <c r="W35" s="18" t="s">
        <v>20</v>
      </c>
      <c r="X35" s="18" t="s">
        <v>21</v>
      </c>
      <c r="Y35" s="19" t="s">
        <v>21</v>
      </c>
      <c r="Z35" s="18" t="s">
        <v>20</v>
      </c>
      <c r="AA35" s="28" t="s">
        <v>21</v>
      </c>
      <c r="AB35" s="28" t="s">
        <v>21</v>
      </c>
      <c r="AC35" s="20" t="s">
        <v>21</v>
      </c>
      <c r="AD35" s="29" t="s">
        <v>21</v>
      </c>
      <c r="AE35" s="29" t="s">
        <v>21</v>
      </c>
      <c r="AG35">
        <f t="shared" si="0"/>
        <v>0</v>
      </c>
      <c r="AH35">
        <f t="shared" si="1"/>
        <v>14</v>
      </c>
      <c r="AI35">
        <f t="shared" si="2"/>
        <v>12</v>
      </c>
      <c r="AJ35">
        <f t="shared" si="3"/>
        <v>0</v>
      </c>
      <c r="AL35">
        <f t="shared" si="4"/>
        <v>0</v>
      </c>
      <c r="AM35">
        <f t="shared" si="5"/>
        <v>42</v>
      </c>
      <c r="AN35">
        <f t="shared" si="6"/>
        <v>24</v>
      </c>
      <c r="AO35">
        <f t="shared" si="7"/>
        <v>0</v>
      </c>
      <c r="AP35">
        <f t="shared" si="8"/>
        <v>66</v>
      </c>
    </row>
    <row r="36" spans="1:42" ht="15.75" hidden="1" customHeight="1" x14ac:dyDescent="0.3">
      <c r="A36" s="16"/>
      <c r="B36" s="55">
        <v>13</v>
      </c>
      <c r="C36" s="56" t="s">
        <v>53</v>
      </c>
      <c r="D36" s="55">
        <v>1</v>
      </c>
      <c r="E36" s="55" t="s">
        <v>21</v>
      </c>
      <c r="F36" s="18" t="s">
        <v>21</v>
      </c>
      <c r="G36" s="18" t="s">
        <v>20</v>
      </c>
      <c r="H36" s="18" t="s">
        <v>21</v>
      </c>
      <c r="I36" s="18" t="s">
        <v>21</v>
      </c>
      <c r="J36" s="18" t="s">
        <v>20</v>
      </c>
      <c r="K36" s="18" t="s">
        <v>21</v>
      </c>
      <c r="L36" s="18" t="s">
        <v>21</v>
      </c>
      <c r="M36" s="18" t="s">
        <v>21</v>
      </c>
      <c r="N36" s="18" t="s">
        <v>20</v>
      </c>
      <c r="O36" s="18" t="s">
        <v>20</v>
      </c>
      <c r="P36" s="18" t="s">
        <v>21</v>
      </c>
      <c r="Q36" s="18" t="s">
        <v>21</v>
      </c>
      <c r="R36" s="18" t="s">
        <v>21</v>
      </c>
      <c r="S36" s="18" t="s">
        <v>21</v>
      </c>
      <c r="T36" s="18" t="s">
        <v>20</v>
      </c>
      <c r="U36" s="18" t="s">
        <v>20</v>
      </c>
      <c r="V36" s="18" t="s">
        <v>20</v>
      </c>
      <c r="W36" s="18" t="s">
        <v>20</v>
      </c>
      <c r="X36" s="18" t="s">
        <v>20</v>
      </c>
      <c r="Y36" s="19" t="s">
        <v>20</v>
      </c>
      <c r="Z36" s="18" t="s">
        <v>20</v>
      </c>
      <c r="AA36" s="28" t="s">
        <v>20</v>
      </c>
      <c r="AB36" s="28" t="s">
        <v>20</v>
      </c>
      <c r="AC36" s="20" t="s">
        <v>21</v>
      </c>
      <c r="AD36" s="29" t="s">
        <v>21</v>
      </c>
      <c r="AE36" s="29" t="s">
        <v>21</v>
      </c>
      <c r="AG36">
        <f t="shared" si="0"/>
        <v>0</v>
      </c>
      <c r="AH36">
        <f t="shared" si="1"/>
        <v>13</v>
      </c>
      <c r="AI36">
        <f t="shared" si="2"/>
        <v>13</v>
      </c>
      <c r="AJ36">
        <f t="shared" si="3"/>
        <v>0</v>
      </c>
      <c r="AL36">
        <f t="shared" si="4"/>
        <v>0</v>
      </c>
      <c r="AM36">
        <f t="shared" si="5"/>
        <v>39</v>
      </c>
      <c r="AN36">
        <f t="shared" si="6"/>
        <v>26</v>
      </c>
      <c r="AO36">
        <f t="shared" si="7"/>
        <v>0</v>
      </c>
      <c r="AP36">
        <f t="shared" si="8"/>
        <v>65</v>
      </c>
    </row>
    <row r="37" spans="1:42" ht="15.75" hidden="1" customHeight="1" x14ac:dyDescent="0.3">
      <c r="A37" s="16"/>
      <c r="B37" s="55">
        <v>14</v>
      </c>
      <c r="C37" s="56" t="s">
        <v>54</v>
      </c>
      <c r="D37" s="55">
        <v>1</v>
      </c>
      <c r="E37" s="55" t="s">
        <v>21</v>
      </c>
      <c r="F37" s="18" t="s">
        <v>20</v>
      </c>
      <c r="G37" s="18" t="s">
        <v>20</v>
      </c>
      <c r="H37" s="18" t="s">
        <v>20</v>
      </c>
      <c r="I37" s="18" t="s">
        <v>20</v>
      </c>
      <c r="J37" s="18" t="s">
        <v>20</v>
      </c>
      <c r="K37" s="18" t="s">
        <v>20</v>
      </c>
      <c r="L37" s="18" t="s">
        <v>20</v>
      </c>
      <c r="M37" s="18" t="s">
        <v>20</v>
      </c>
      <c r="N37" s="18" t="s">
        <v>20</v>
      </c>
      <c r="O37" s="18" t="s">
        <v>20</v>
      </c>
      <c r="P37" s="18" t="s">
        <v>20</v>
      </c>
      <c r="Q37" s="18" t="s">
        <v>20</v>
      </c>
      <c r="R37" s="18" t="s">
        <v>20</v>
      </c>
      <c r="S37" s="18" t="s">
        <v>20</v>
      </c>
      <c r="T37" s="18" t="s">
        <v>20</v>
      </c>
      <c r="U37" s="18" t="s">
        <v>20</v>
      </c>
      <c r="V37" s="18" t="s">
        <v>21</v>
      </c>
      <c r="W37" s="18" t="s">
        <v>21</v>
      </c>
      <c r="X37" s="18" t="s">
        <v>20</v>
      </c>
      <c r="Y37" s="19" t="s">
        <v>21</v>
      </c>
      <c r="Z37" s="18" t="s">
        <v>20</v>
      </c>
      <c r="AA37" s="28" t="s">
        <v>20</v>
      </c>
      <c r="AB37" s="28" t="s">
        <v>20</v>
      </c>
      <c r="AC37" s="20" t="s">
        <v>20</v>
      </c>
      <c r="AD37" s="29" t="s">
        <v>55</v>
      </c>
      <c r="AE37" s="29" t="s">
        <v>55</v>
      </c>
      <c r="AG37">
        <f t="shared" si="0"/>
        <v>0</v>
      </c>
      <c r="AH37">
        <f t="shared" si="1"/>
        <v>21</v>
      </c>
      <c r="AI37">
        <f t="shared" si="2"/>
        <v>3</v>
      </c>
      <c r="AJ37">
        <f t="shared" si="3"/>
        <v>0</v>
      </c>
      <c r="AL37">
        <f t="shared" si="4"/>
        <v>0</v>
      </c>
      <c r="AM37">
        <f t="shared" si="5"/>
        <v>63</v>
      </c>
      <c r="AN37">
        <f t="shared" si="6"/>
        <v>6</v>
      </c>
      <c r="AO37">
        <f t="shared" si="7"/>
        <v>0</v>
      </c>
      <c r="AP37">
        <f t="shared" si="8"/>
        <v>69</v>
      </c>
    </row>
    <row r="38" spans="1:42" ht="15.75" hidden="1" customHeight="1" x14ac:dyDescent="0.3">
      <c r="A38" s="16"/>
      <c r="B38" s="55">
        <v>15</v>
      </c>
      <c r="C38" s="56" t="s">
        <v>56</v>
      </c>
      <c r="D38" s="55">
        <v>1</v>
      </c>
      <c r="E38" s="55" t="s">
        <v>21</v>
      </c>
      <c r="F38" s="18" t="s">
        <v>20</v>
      </c>
      <c r="G38" s="18" t="s">
        <v>21</v>
      </c>
      <c r="H38" s="18" t="s">
        <v>21</v>
      </c>
      <c r="I38" s="18" t="s">
        <v>20</v>
      </c>
      <c r="J38" s="18" t="s">
        <v>21</v>
      </c>
      <c r="K38" s="18" t="s">
        <v>21</v>
      </c>
      <c r="L38" s="18" t="s">
        <v>21</v>
      </c>
      <c r="M38" s="18" t="s">
        <v>20</v>
      </c>
      <c r="N38" s="18" t="s">
        <v>20</v>
      </c>
      <c r="O38" s="18" t="s">
        <v>20</v>
      </c>
      <c r="P38" s="18" t="s">
        <v>21</v>
      </c>
      <c r="Q38" s="18" t="s">
        <v>21</v>
      </c>
      <c r="R38" s="18" t="s">
        <v>21</v>
      </c>
      <c r="S38" s="18" t="s">
        <v>23</v>
      </c>
      <c r="T38" s="18" t="s">
        <v>21</v>
      </c>
      <c r="U38" s="18" t="s">
        <v>20</v>
      </c>
      <c r="V38" s="18" t="s">
        <v>20</v>
      </c>
      <c r="W38" s="18" t="s">
        <v>20</v>
      </c>
      <c r="X38" s="18" t="s">
        <v>20</v>
      </c>
      <c r="Y38" s="19" t="s">
        <v>23</v>
      </c>
      <c r="Z38" s="18" t="s">
        <v>21</v>
      </c>
      <c r="AA38" s="28" t="s">
        <v>20</v>
      </c>
      <c r="AB38" s="28" t="s">
        <v>20</v>
      </c>
      <c r="AC38" s="20" t="s">
        <v>21</v>
      </c>
      <c r="AD38" s="29" t="s">
        <v>21</v>
      </c>
      <c r="AE38" s="29" t="s">
        <v>21</v>
      </c>
      <c r="AG38">
        <f t="shared" si="0"/>
        <v>0</v>
      </c>
      <c r="AH38">
        <f t="shared" si="1"/>
        <v>11</v>
      </c>
      <c r="AI38">
        <f t="shared" si="2"/>
        <v>13</v>
      </c>
      <c r="AJ38">
        <f t="shared" si="3"/>
        <v>2</v>
      </c>
      <c r="AL38">
        <f t="shared" si="4"/>
        <v>0</v>
      </c>
      <c r="AM38">
        <f t="shared" si="5"/>
        <v>33</v>
      </c>
      <c r="AN38">
        <f t="shared" si="6"/>
        <v>26</v>
      </c>
      <c r="AO38">
        <f t="shared" si="7"/>
        <v>2</v>
      </c>
      <c r="AP38">
        <f t="shared" si="8"/>
        <v>61</v>
      </c>
    </row>
    <row r="39" spans="1:42" ht="15.75" hidden="1" customHeight="1" x14ac:dyDescent="0.3">
      <c r="A39" s="16"/>
      <c r="B39" s="55">
        <v>16</v>
      </c>
      <c r="C39" s="56" t="s">
        <v>57</v>
      </c>
      <c r="D39" s="55">
        <v>1</v>
      </c>
      <c r="E39" s="55" t="s">
        <v>21</v>
      </c>
      <c r="F39" s="18" t="s">
        <v>20</v>
      </c>
      <c r="G39" s="18" t="s">
        <v>21</v>
      </c>
      <c r="H39" s="18" t="s">
        <v>21</v>
      </c>
      <c r="I39" s="18" t="s">
        <v>21</v>
      </c>
      <c r="J39" s="18" t="s">
        <v>20</v>
      </c>
      <c r="K39" s="18" t="s">
        <v>21</v>
      </c>
      <c r="L39" s="18" t="s">
        <v>21</v>
      </c>
      <c r="M39" s="18" t="s">
        <v>21</v>
      </c>
      <c r="N39" s="18" t="s">
        <v>21</v>
      </c>
      <c r="O39" s="18" t="s">
        <v>20</v>
      </c>
      <c r="P39" s="18" t="s">
        <v>21</v>
      </c>
      <c r="Q39" s="18" t="s">
        <v>21</v>
      </c>
      <c r="R39" s="18" t="s">
        <v>21</v>
      </c>
      <c r="S39" s="18" t="s">
        <v>21</v>
      </c>
      <c r="T39" s="18" t="s">
        <v>21</v>
      </c>
      <c r="U39" s="18" t="s">
        <v>21</v>
      </c>
      <c r="V39" s="18" t="s">
        <v>20</v>
      </c>
      <c r="W39" s="18" t="s">
        <v>20</v>
      </c>
      <c r="X39" s="18" t="s">
        <v>21</v>
      </c>
      <c r="Y39" s="19" t="s">
        <v>20</v>
      </c>
      <c r="Z39" s="18" t="s">
        <v>20</v>
      </c>
      <c r="AA39" s="28" t="s">
        <v>20</v>
      </c>
      <c r="AB39" s="28" t="s">
        <v>20</v>
      </c>
      <c r="AC39" s="20" t="s">
        <v>21</v>
      </c>
      <c r="AD39" s="29" t="s">
        <v>21</v>
      </c>
      <c r="AE39" s="29" t="s">
        <v>21</v>
      </c>
      <c r="AG39">
        <f t="shared" si="0"/>
        <v>0</v>
      </c>
      <c r="AH39">
        <f t="shared" si="1"/>
        <v>9</v>
      </c>
      <c r="AI39">
        <f t="shared" si="2"/>
        <v>17</v>
      </c>
      <c r="AJ39">
        <f t="shared" si="3"/>
        <v>0</v>
      </c>
      <c r="AL39">
        <f t="shared" si="4"/>
        <v>0</v>
      </c>
      <c r="AM39">
        <f t="shared" si="5"/>
        <v>27</v>
      </c>
      <c r="AN39">
        <f t="shared" si="6"/>
        <v>34</v>
      </c>
      <c r="AO39">
        <f t="shared" si="7"/>
        <v>0</v>
      </c>
      <c r="AP39">
        <f t="shared" si="8"/>
        <v>61</v>
      </c>
    </row>
    <row r="40" spans="1:42" ht="15.75" hidden="1" customHeight="1" x14ac:dyDescent="0.3">
      <c r="A40" s="16"/>
      <c r="B40" s="55">
        <v>17</v>
      </c>
      <c r="C40" s="56" t="s">
        <v>58</v>
      </c>
      <c r="D40" s="55">
        <v>1</v>
      </c>
      <c r="E40" s="55" t="s">
        <v>21</v>
      </c>
      <c r="F40" s="18" t="s">
        <v>21</v>
      </c>
      <c r="G40" s="18" t="s">
        <v>21</v>
      </c>
      <c r="H40" s="18" t="s">
        <v>21</v>
      </c>
      <c r="I40" s="18" t="s">
        <v>21</v>
      </c>
      <c r="J40" s="18" t="s">
        <v>20</v>
      </c>
      <c r="K40" s="18" t="s">
        <v>21</v>
      </c>
      <c r="L40" s="18" t="s">
        <v>21</v>
      </c>
      <c r="M40" s="18" t="s">
        <v>21</v>
      </c>
      <c r="N40" s="18" t="s">
        <v>20</v>
      </c>
      <c r="O40" s="18" t="s">
        <v>20</v>
      </c>
      <c r="P40" s="18" t="s">
        <v>21</v>
      </c>
      <c r="Q40" s="18" t="s">
        <v>21</v>
      </c>
      <c r="R40" s="18" t="s">
        <v>21</v>
      </c>
      <c r="S40" s="18" t="s">
        <v>20</v>
      </c>
      <c r="T40" s="18" t="s">
        <v>21</v>
      </c>
      <c r="U40" s="18" t="s">
        <v>20</v>
      </c>
      <c r="V40" s="18" t="s">
        <v>20</v>
      </c>
      <c r="W40" s="18" t="s">
        <v>20</v>
      </c>
      <c r="X40" s="18" t="s">
        <v>20</v>
      </c>
      <c r="Y40" s="19" t="s">
        <v>21</v>
      </c>
      <c r="Z40" s="18" t="s">
        <v>20</v>
      </c>
      <c r="AA40" s="28" t="s">
        <v>20</v>
      </c>
      <c r="AB40" s="28" t="s">
        <v>20</v>
      </c>
      <c r="AC40" s="20" t="s">
        <v>21</v>
      </c>
      <c r="AD40" s="29" t="s">
        <v>21</v>
      </c>
      <c r="AE40" s="29" t="s">
        <v>21</v>
      </c>
      <c r="AG40">
        <f t="shared" si="0"/>
        <v>0</v>
      </c>
      <c r="AH40">
        <f t="shared" si="1"/>
        <v>11</v>
      </c>
      <c r="AI40">
        <f t="shared" si="2"/>
        <v>15</v>
      </c>
      <c r="AJ40">
        <f t="shared" si="3"/>
        <v>0</v>
      </c>
      <c r="AL40">
        <f t="shared" si="4"/>
        <v>0</v>
      </c>
      <c r="AM40">
        <f t="shared" si="5"/>
        <v>33</v>
      </c>
      <c r="AN40">
        <f t="shared" si="6"/>
        <v>30</v>
      </c>
      <c r="AO40">
        <f t="shared" si="7"/>
        <v>0</v>
      </c>
      <c r="AP40">
        <f t="shared" si="8"/>
        <v>63</v>
      </c>
    </row>
    <row r="41" spans="1:42" ht="15.75" hidden="1" customHeight="1" x14ac:dyDescent="0.3">
      <c r="A41" s="16"/>
      <c r="B41" s="55">
        <v>18</v>
      </c>
      <c r="C41" s="56" t="s">
        <v>59</v>
      </c>
      <c r="D41" s="55">
        <v>1</v>
      </c>
      <c r="E41" s="55" t="s">
        <v>21</v>
      </c>
      <c r="F41" s="18" t="s">
        <v>20</v>
      </c>
      <c r="G41" s="18" t="s">
        <v>21</v>
      </c>
      <c r="H41" s="18" t="s">
        <v>21</v>
      </c>
      <c r="I41" s="18" t="s">
        <v>21</v>
      </c>
      <c r="J41" s="18" t="s">
        <v>21</v>
      </c>
      <c r="K41" s="18" t="s">
        <v>21</v>
      </c>
      <c r="L41" s="18" t="s">
        <v>21</v>
      </c>
      <c r="M41" s="18" t="s">
        <v>20</v>
      </c>
      <c r="N41" s="18" t="s">
        <v>20</v>
      </c>
      <c r="O41" s="18" t="s">
        <v>20</v>
      </c>
      <c r="P41" s="18" t="s">
        <v>20</v>
      </c>
      <c r="Q41" s="18" t="s">
        <v>21</v>
      </c>
      <c r="R41" s="18" t="s">
        <v>20</v>
      </c>
      <c r="S41" s="18" t="s">
        <v>20</v>
      </c>
      <c r="T41" s="18" t="s">
        <v>20</v>
      </c>
      <c r="U41" s="18" t="s">
        <v>21</v>
      </c>
      <c r="V41" s="18" t="s">
        <v>21</v>
      </c>
      <c r="W41" s="18" t="s">
        <v>20</v>
      </c>
      <c r="X41" s="18" t="s">
        <v>20</v>
      </c>
      <c r="Y41" s="19" t="s">
        <v>21</v>
      </c>
      <c r="Z41" s="18" t="s">
        <v>20</v>
      </c>
      <c r="AA41" s="28" t="s">
        <v>20</v>
      </c>
      <c r="AB41" s="28" t="s">
        <v>20</v>
      </c>
      <c r="AC41" s="20" t="s">
        <v>21</v>
      </c>
      <c r="AD41" s="29" t="s">
        <v>20</v>
      </c>
      <c r="AE41" s="29" t="s">
        <v>21</v>
      </c>
      <c r="AG41">
        <f t="shared" si="0"/>
        <v>0</v>
      </c>
      <c r="AH41">
        <f t="shared" si="1"/>
        <v>14</v>
      </c>
      <c r="AI41">
        <f t="shared" si="2"/>
        <v>12</v>
      </c>
      <c r="AJ41">
        <f t="shared" si="3"/>
        <v>0</v>
      </c>
      <c r="AL41">
        <f t="shared" si="4"/>
        <v>0</v>
      </c>
      <c r="AM41">
        <f t="shared" si="5"/>
        <v>42</v>
      </c>
      <c r="AN41">
        <f t="shared" si="6"/>
        <v>24</v>
      </c>
      <c r="AO41">
        <f t="shared" si="7"/>
        <v>0</v>
      </c>
      <c r="AP41">
        <f t="shared" si="8"/>
        <v>66</v>
      </c>
    </row>
    <row r="42" spans="1:42" ht="15.75" hidden="1" customHeight="1" x14ac:dyDescent="0.3">
      <c r="A42" s="16"/>
      <c r="B42" s="55">
        <v>19</v>
      </c>
      <c r="C42" s="56" t="s">
        <v>60</v>
      </c>
      <c r="D42" s="55">
        <v>1</v>
      </c>
      <c r="E42" s="55" t="s">
        <v>21</v>
      </c>
      <c r="F42" s="18" t="s">
        <v>20</v>
      </c>
      <c r="G42" s="18" t="s">
        <v>21</v>
      </c>
      <c r="H42" s="18" t="s">
        <v>21</v>
      </c>
      <c r="I42" s="18" t="s">
        <v>21</v>
      </c>
      <c r="J42" s="18" t="s">
        <v>21</v>
      </c>
      <c r="K42" s="18" t="s">
        <v>21</v>
      </c>
      <c r="L42" s="18" t="s">
        <v>21</v>
      </c>
      <c r="M42" s="18" t="s">
        <v>21</v>
      </c>
      <c r="N42" s="18" t="s">
        <v>20</v>
      </c>
      <c r="O42" s="18" t="s">
        <v>20</v>
      </c>
      <c r="P42" s="18" t="s">
        <v>21</v>
      </c>
      <c r="Q42" s="18" t="s">
        <v>21</v>
      </c>
      <c r="R42" s="18" t="s">
        <v>21</v>
      </c>
      <c r="S42" s="18" t="s">
        <v>20</v>
      </c>
      <c r="T42" s="18" t="s">
        <v>21</v>
      </c>
      <c r="U42" s="18" t="s">
        <v>20</v>
      </c>
      <c r="V42" s="18" t="s">
        <v>21</v>
      </c>
      <c r="W42" s="18" t="s">
        <v>20</v>
      </c>
      <c r="X42" s="18" t="s">
        <v>20</v>
      </c>
      <c r="Y42" s="19" t="s">
        <v>20</v>
      </c>
      <c r="Z42" s="18" t="s">
        <v>20</v>
      </c>
      <c r="AA42" s="28" t="s">
        <v>21</v>
      </c>
      <c r="AB42" s="28" t="s">
        <v>23</v>
      </c>
      <c r="AC42" s="20" t="s">
        <v>21</v>
      </c>
      <c r="AD42" s="29" t="s">
        <v>21</v>
      </c>
      <c r="AE42" s="29" t="s">
        <v>21</v>
      </c>
      <c r="AG42">
        <f t="shared" si="0"/>
        <v>0</v>
      </c>
      <c r="AH42">
        <f t="shared" si="1"/>
        <v>9</v>
      </c>
      <c r="AI42">
        <f t="shared" si="2"/>
        <v>16</v>
      </c>
      <c r="AJ42">
        <f t="shared" si="3"/>
        <v>1</v>
      </c>
      <c r="AL42">
        <f t="shared" si="4"/>
        <v>0</v>
      </c>
      <c r="AM42">
        <f t="shared" si="5"/>
        <v>27</v>
      </c>
      <c r="AN42">
        <f t="shared" si="6"/>
        <v>32</v>
      </c>
      <c r="AO42">
        <f t="shared" si="7"/>
        <v>1</v>
      </c>
      <c r="AP42">
        <f t="shared" si="8"/>
        <v>60</v>
      </c>
    </row>
    <row r="43" spans="1:42" ht="15.75" hidden="1" customHeight="1" thickBot="1" x14ac:dyDescent="0.35">
      <c r="A43" s="16"/>
      <c r="B43" s="57">
        <v>20</v>
      </c>
      <c r="C43" s="58" t="s">
        <v>61</v>
      </c>
      <c r="D43" s="57">
        <v>1</v>
      </c>
      <c r="E43" s="57" t="s">
        <v>21</v>
      </c>
      <c r="F43" s="21" t="s">
        <v>20</v>
      </c>
      <c r="G43" s="21" t="s">
        <v>21</v>
      </c>
      <c r="H43" s="21" t="s">
        <v>20</v>
      </c>
      <c r="I43" s="21" t="s">
        <v>21</v>
      </c>
      <c r="J43" s="21" t="s">
        <v>21</v>
      </c>
      <c r="K43" s="21" t="s">
        <v>21</v>
      </c>
      <c r="L43" s="21" t="s">
        <v>21</v>
      </c>
      <c r="M43" s="21" t="s">
        <v>20</v>
      </c>
      <c r="N43" s="21" t="s">
        <v>20</v>
      </c>
      <c r="O43" s="21" t="s">
        <v>20</v>
      </c>
      <c r="P43" s="21" t="s">
        <v>21</v>
      </c>
      <c r="Q43" s="21" t="s">
        <v>21</v>
      </c>
      <c r="R43" s="21" t="s">
        <v>21</v>
      </c>
      <c r="S43" s="21" t="s">
        <v>23</v>
      </c>
      <c r="T43" s="21" t="s">
        <v>21</v>
      </c>
      <c r="U43" s="21" t="s">
        <v>21</v>
      </c>
      <c r="V43" s="21" t="s">
        <v>20</v>
      </c>
      <c r="W43" s="21" t="s">
        <v>20</v>
      </c>
      <c r="X43" s="21" t="s">
        <v>20</v>
      </c>
      <c r="Y43" s="22" t="s">
        <v>21</v>
      </c>
      <c r="Z43" s="21" t="s">
        <v>20</v>
      </c>
      <c r="AA43" s="30" t="s">
        <v>20</v>
      </c>
      <c r="AB43" s="30" t="s">
        <v>20</v>
      </c>
      <c r="AC43" s="23" t="s">
        <v>21</v>
      </c>
      <c r="AD43" s="31" t="s">
        <v>21</v>
      </c>
      <c r="AE43" s="31" t="s">
        <v>21</v>
      </c>
      <c r="AG43">
        <f t="shared" si="0"/>
        <v>0</v>
      </c>
      <c r="AH43">
        <f t="shared" si="1"/>
        <v>11</v>
      </c>
      <c r="AI43">
        <f t="shared" si="2"/>
        <v>14</v>
      </c>
      <c r="AJ43">
        <f t="shared" si="3"/>
        <v>1</v>
      </c>
      <c r="AL43">
        <f t="shared" si="4"/>
        <v>0</v>
      </c>
      <c r="AM43">
        <f t="shared" si="5"/>
        <v>33</v>
      </c>
      <c r="AN43">
        <f t="shared" si="6"/>
        <v>28</v>
      </c>
      <c r="AO43">
        <f t="shared" si="7"/>
        <v>1</v>
      </c>
      <c r="AP43">
        <f t="shared" si="8"/>
        <v>62</v>
      </c>
    </row>
    <row r="44" spans="1:42" ht="15.75" hidden="1" customHeight="1" x14ac:dyDescent="0.3">
      <c r="A44" s="16"/>
      <c r="B44" s="59">
        <v>18</v>
      </c>
      <c r="C44" s="60" t="s">
        <v>79</v>
      </c>
      <c r="D44" s="59">
        <v>2</v>
      </c>
      <c r="E44" s="59" t="s">
        <v>20</v>
      </c>
      <c r="F44" s="24" t="s">
        <v>20</v>
      </c>
      <c r="G44" s="24" t="s">
        <v>20</v>
      </c>
      <c r="H44" s="24" t="s">
        <v>20</v>
      </c>
      <c r="I44" s="24" t="s">
        <v>20</v>
      </c>
      <c r="J44" s="24" t="s">
        <v>20</v>
      </c>
      <c r="K44" s="24" t="s">
        <v>20</v>
      </c>
      <c r="L44" s="24" t="s">
        <v>20</v>
      </c>
      <c r="M44" s="24" t="s">
        <v>20</v>
      </c>
      <c r="N44" s="24" t="s">
        <v>20</v>
      </c>
      <c r="O44" s="24" t="s">
        <v>20</v>
      </c>
      <c r="P44" s="24" t="s">
        <v>20</v>
      </c>
      <c r="Q44" s="24" t="s">
        <v>20</v>
      </c>
      <c r="R44" s="24" t="s">
        <v>20</v>
      </c>
      <c r="S44" s="24" t="s">
        <v>20</v>
      </c>
      <c r="T44" s="24" t="s">
        <v>20</v>
      </c>
      <c r="U44" s="24" t="s">
        <v>20</v>
      </c>
      <c r="V44" s="39" t="s">
        <v>20</v>
      </c>
      <c r="W44" s="39" t="s">
        <v>20</v>
      </c>
      <c r="X44" s="39" t="s">
        <v>20</v>
      </c>
      <c r="Y44" s="24" t="s">
        <v>39</v>
      </c>
      <c r="Z44" s="24" t="s">
        <v>39</v>
      </c>
      <c r="AA44" s="27" t="s">
        <v>20</v>
      </c>
      <c r="AB44" s="27" t="s">
        <v>20</v>
      </c>
      <c r="AC44" s="27" t="s">
        <v>20</v>
      </c>
      <c r="AD44" s="34" t="s">
        <v>20</v>
      </c>
      <c r="AE44" s="34" t="s">
        <v>21</v>
      </c>
      <c r="AG44">
        <f>+COUNTIF(F44:AE44,"AD")</f>
        <v>2</v>
      </c>
      <c r="AH44">
        <f>+COUNTIF(F44:AE44,"A")</f>
        <v>23</v>
      </c>
      <c r="AI44">
        <f>+COUNTIF(F44:AE44,"b")</f>
        <v>1</v>
      </c>
      <c r="AJ44">
        <f>+COUNTIF(F44:AE44,"c")</f>
        <v>0</v>
      </c>
      <c r="AL44">
        <f>+$AG$5*AG44</f>
        <v>8</v>
      </c>
      <c r="AM44">
        <f>+$AH$5*AH44</f>
        <v>69</v>
      </c>
      <c r="AN44">
        <f>+$AI$5*AI44</f>
        <v>2</v>
      </c>
      <c r="AO44">
        <f>+$AJ$5*AJ44</f>
        <v>0</v>
      </c>
      <c r="AP44">
        <f>+SUM(AL44:AO44)</f>
        <v>79</v>
      </c>
    </row>
    <row r="45" spans="1:42" ht="15.75" hidden="1" customHeight="1" x14ac:dyDescent="0.3">
      <c r="A45" s="16"/>
      <c r="B45" s="55">
        <v>23</v>
      </c>
      <c r="C45" s="56" t="s">
        <v>84</v>
      </c>
      <c r="D45" s="55">
        <v>2</v>
      </c>
      <c r="E45" s="55" t="s">
        <v>20</v>
      </c>
      <c r="F45" s="18" t="s">
        <v>20</v>
      </c>
      <c r="G45" s="18" t="s">
        <v>20</v>
      </c>
      <c r="H45" s="18" t="s">
        <v>20</v>
      </c>
      <c r="I45" s="18" t="s">
        <v>20</v>
      </c>
      <c r="J45" s="18" t="s">
        <v>20</v>
      </c>
      <c r="K45" s="18" t="s">
        <v>20</v>
      </c>
      <c r="L45" s="18" t="s">
        <v>20</v>
      </c>
      <c r="M45" s="18" t="s">
        <v>20</v>
      </c>
      <c r="N45" s="18" t="s">
        <v>20</v>
      </c>
      <c r="O45" s="18" t="s">
        <v>20</v>
      </c>
      <c r="P45" s="18" t="s">
        <v>20</v>
      </c>
      <c r="Q45" s="18" t="s">
        <v>20</v>
      </c>
      <c r="R45" s="18" t="s">
        <v>20</v>
      </c>
      <c r="S45" s="18" t="s">
        <v>20</v>
      </c>
      <c r="T45" s="18" t="s">
        <v>20</v>
      </c>
      <c r="U45" s="18" t="s">
        <v>20</v>
      </c>
      <c r="V45" s="37" t="s">
        <v>20</v>
      </c>
      <c r="W45" s="37" t="s">
        <v>20</v>
      </c>
      <c r="X45" s="37" t="s">
        <v>20</v>
      </c>
      <c r="Y45" s="18" t="s">
        <v>20</v>
      </c>
      <c r="Z45" s="18" t="s">
        <v>20</v>
      </c>
      <c r="AA45" s="20" t="s">
        <v>20</v>
      </c>
      <c r="AB45" s="20" t="s">
        <v>20</v>
      </c>
      <c r="AC45" s="20" t="s">
        <v>20</v>
      </c>
      <c r="AD45" s="29" t="s">
        <v>20</v>
      </c>
      <c r="AE45" s="29" t="s">
        <v>21</v>
      </c>
      <c r="AG45">
        <f>+COUNTIF(F45:AE45,"AD")</f>
        <v>0</v>
      </c>
      <c r="AH45">
        <f>+COUNTIF(F45:AE45,"A")</f>
        <v>25</v>
      </c>
      <c r="AI45">
        <f>+COUNTIF(F45:AE45,"b")</f>
        <v>1</v>
      </c>
      <c r="AJ45">
        <f>+COUNTIF(F45:AE45,"c")</f>
        <v>0</v>
      </c>
      <c r="AL45">
        <f>+$AG$5*AG45</f>
        <v>0</v>
      </c>
      <c r="AM45">
        <f>+$AH$5*AH45</f>
        <v>75</v>
      </c>
      <c r="AN45">
        <f>+$AI$5*AI45</f>
        <v>2</v>
      </c>
      <c r="AO45">
        <f>+$AJ$5*AJ45</f>
        <v>0</v>
      </c>
      <c r="AP45">
        <f>+SUM(AL45:AO45)</f>
        <v>77</v>
      </c>
    </row>
    <row r="46" spans="1:42" ht="15.75" hidden="1" customHeight="1" x14ac:dyDescent="0.3">
      <c r="A46" s="16"/>
      <c r="B46" s="55">
        <v>6</v>
      </c>
      <c r="C46" s="56" t="s">
        <v>67</v>
      </c>
      <c r="D46" s="55">
        <v>2</v>
      </c>
      <c r="E46" s="55" t="s">
        <v>20</v>
      </c>
      <c r="F46" s="18" t="s">
        <v>20</v>
      </c>
      <c r="G46" s="18" t="s">
        <v>21</v>
      </c>
      <c r="H46" s="18" t="s">
        <v>20</v>
      </c>
      <c r="I46" s="18" t="s">
        <v>20</v>
      </c>
      <c r="J46" s="18" t="s">
        <v>20</v>
      </c>
      <c r="K46" s="18" t="s">
        <v>20</v>
      </c>
      <c r="L46" s="18" t="s">
        <v>20</v>
      </c>
      <c r="M46" s="18" t="s">
        <v>20</v>
      </c>
      <c r="N46" s="18" t="s">
        <v>20</v>
      </c>
      <c r="O46" s="18" t="s">
        <v>20</v>
      </c>
      <c r="P46" s="18" t="s">
        <v>20</v>
      </c>
      <c r="Q46" s="18" t="s">
        <v>20</v>
      </c>
      <c r="R46" s="18" t="s">
        <v>20</v>
      </c>
      <c r="S46" s="18" t="s">
        <v>20</v>
      </c>
      <c r="T46" s="18" t="s">
        <v>20</v>
      </c>
      <c r="U46" s="18" t="s">
        <v>20</v>
      </c>
      <c r="V46" s="37" t="s">
        <v>20</v>
      </c>
      <c r="W46" s="37" t="s">
        <v>20</v>
      </c>
      <c r="X46" s="37" t="s">
        <v>20</v>
      </c>
      <c r="Y46" s="18" t="s">
        <v>20</v>
      </c>
      <c r="Z46" s="18" t="s">
        <v>20</v>
      </c>
      <c r="AA46" s="20" t="s">
        <v>20</v>
      </c>
      <c r="AB46" s="20" t="s">
        <v>20</v>
      </c>
      <c r="AC46" s="20" t="s">
        <v>20</v>
      </c>
      <c r="AD46" s="29" t="s">
        <v>20</v>
      </c>
      <c r="AE46" s="29" t="s">
        <v>21</v>
      </c>
      <c r="AG46">
        <f>+COUNTIF(F46:AE46,"AD")</f>
        <v>0</v>
      </c>
      <c r="AH46">
        <f>+COUNTIF(F46:AE46,"A")</f>
        <v>24</v>
      </c>
      <c r="AI46">
        <f>+COUNTIF(F46:AE46,"b")</f>
        <v>2</v>
      </c>
      <c r="AJ46">
        <f>+COUNTIF(F46:AE46,"c")</f>
        <v>0</v>
      </c>
      <c r="AL46">
        <f>+$AG$5*AG46</f>
        <v>0</v>
      </c>
      <c r="AM46">
        <f>+$AH$5*AH46</f>
        <v>72</v>
      </c>
      <c r="AN46">
        <f>+$AI$5*AI46</f>
        <v>4</v>
      </c>
      <c r="AO46">
        <f>+$AJ$5*AJ46</f>
        <v>0</v>
      </c>
      <c r="AP46">
        <f>+SUM(AL46:AO46)</f>
        <v>76</v>
      </c>
    </row>
    <row r="47" spans="1:42" ht="15.75" hidden="1" customHeight="1" x14ac:dyDescent="0.3">
      <c r="A47" s="16"/>
      <c r="B47" s="55">
        <v>8</v>
      </c>
      <c r="C47" s="56" t="s">
        <v>69</v>
      </c>
      <c r="D47" s="55">
        <v>2</v>
      </c>
      <c r="E47" s="55" t="s">
        <v>20</v>
      </c>
      <c r="F47" s="18" t="s">
        <v>21</v>
      </c>
      <c r="G47" s="18" t="s">
        <v>21</v>
      </c>
      <c r="H47" s="18" t="s">
        <v>21</v>
      </c>
      <c r="I47" s="18" t="s">
        <v>21</v>
      </c>
      <c r="J47" s="18" t="s">
        <v>20</v>
      </c>
      <c r="K47" s="18" t="s">
        <v>20</v>
      </c>
      <c r="L47" s="18" t="s">
        <v>20</v>
      </c>
      <c r="M47" s="18" t="s">
        <v>21</v>
      </c>
      <c r="N47" s="18" t="s">
        <v>20</v>
      </c>
      <c r="O47" s="18" t="s">
        <v>20</v>
      </c>
      <c r="P47" s="18" t="s">
        <v>20</v>
      </c>
      <c r="Q47" s="18" t="s">
        <v>20</v>
      </c>
      <c r="R47" s="18" t="s">
        <v>20</v>
      </c>
      <c r="S47" s="18" t="s">
        <v>20</v>
      </c>
      <c r="T47" s="18" t="s">
        <v>20</v>
      </c>
      <c r="U47" s="18" t="s">
        <v>21</v>
      </c>
      <c r="V47" s="37" t="s">
        <v>20</v>
      </c>
      <c r="W47" s="37" t="s">
        <v>20</v>
      </c>
      <c r="X47" s="37" t="s">
        <v>20</v>
      </c>
      <c r="Y47" s="18" t="s">
        <v>20</v>
      </c>
      <c r="Z47" s="18" t="s">
        <v>20</v>
      </c>
      <c r="AA47" s="20" t="s">
        <v>20</v>
      </c>
      <c r="AB47" s="20" t="s">
        <v>20</v>
      </c>
      <c r="AC47" s="20" t="s">
        <v>20</v>
      </c>
      <c r="AD47" s="29" t="s">
        <v>21</v>
      </c>
      <c r="AE47" s="29" t="s">
        <v>21</v>
      </c>
      <c r="AG47">
        <f>+COUNTIF(F47:AE47,"AD")</f>
        <v>0</v>
      </c>
      <c r="AH47">
        <f>+COUNTIF(F47:AE47,"A")</f>
        <v>18</v>
      </c>
      <c r="AI47">
        <f>+COUNTIF(F47:AE47,"b")</f>
        <v>8</v>
      </c>
      <c r="AJ47">
        <f>+COUNTIF(F47:AE47,"c")</f>
        <v>0</v>
      </c>
      <c r="AL47">
        <f>+$AG$5*AG47</f>
        <v>0</v>
      </c>
      <c r="AM47">
        <f>+$AH$5*AH47</f>
        <v>54</v>
      </c>
      <c r="AN47">
        <f>+$AI$5*AI47</f>
        <v>16</v>
      </c>
      <c r="AO47">
        <f>+$AJ$5*AJ47</f>
        <v>0</v>
      </c>
      <c r="AP47">
        <f>+SUM(AL47:AO47)</f>
        <v>70</v>
      </c>
    </row>
    <row r="48" spans="1:42" ht="15.75" hidden="1" customHeight="1" x14ac:dyDescent="0.3">
      <c r="A48" s="16"/>
      <c r="B48" s="55">
        <v>11</v>
      </c>
      <c r="C48" s="56" t="s">
        <v>72</v>
      </c>
      <c r="D48" s="55">
        <v>2</v>
      </c>
      <c r="E48" s="55" t="s">
        <v>20</v>
      </c>
      <c r="F48" s="18" t="s">
        <v>20</v>
      </c>
      <c r="G48" s="18" t="s">
        <v>20</v>
      </c>
      <c r="H48" s="18" t="s">
        <v>20</v>
      </c>
      <c r="I48" s="18" t="s">
        <v>20</v>
      </c>
      <c r="J48" s="18" t="s">
        <v>20</v>
      </c>
      <c r="K48" s="18" t="s">
        <v>20</v>
      </c>
      <c r="L48" s="18" t="s">
        <v>20</v>
      </c>
      <c r="M48" s="18" t="s">
        <v>20</v>
      </c>
      <c r="N48" s="18" t="s">
        <v>20</v>
      </c>
      <c r="O48" s="18" t="s">
        <v>20</v>
      </c>
      <c r="P48" s="18" t="s">
        <v>20</v>
      </c>
      <c r="Q48" s="18" t="s">
        <v>20</v>
      </c>
      <c r="R48" s="18" t="s">
        <v>20</v>
      </c>
      <c r="S48" s="18" t="s">
        <v>20</v>
      </c>
      <c r="T48" s="18" t="s">
        <v>21</v>
      </c>
      <c r="U48" s="18" t="s">
        <v>20</v>
      </c>
      <c r="V48" s="37" t="s">
        <v>21</v>
      </c>
      <c r="W48" s="37" t="s">
        <v>20</v>
      </c>
      <c r="X48" s="37" t="s">
        <v>21</v>
      </c>
      <c r="Y48" s="18" t="s">
        <v>20</v>
      </c>
      <c r="Z48" s="18" t="s">
        <v>20</v>
      </c>
      <c r="AA48" s="20" t="s">
        <v>20</v>
      </c>
      <c r="AB48" s="20" t="s">
        <v>20</v>
      </c>
      <c r="AC48" s="20" t="s">
        <v>20</v>
      </c>
      <c r="AD48" s="29" t="s">
        <v>55</v>
      </c>
      <c r="AE48" s="29" t="s">
        <v>55</v>
      </c>
      <c r="AG48">
        <f>+COUNTIF(F48:AE48,"AD")</f>
        <v>0</v>
      </c>
      <c r="AH48">
        <f>+COUNTIF(F48:AE48,"A")</f>
        <v>21</v>
      </c>
      <c r="AI48">
        <f>+COUNTIF(F48:AE48,"b")</f>
        <v>3</v>
      </c>
      <c r="AJ48">
        <f>+COUNTIF(F48:AE48,"c")</f>
        <v>0</v>
      </c>
      <c r="AL48">
        <f>+$AG$5*AG48</f>
        <v>0</v>
      </c>
      <c r="AM48">
        <f>+$AH$5*AH48</f>
        <v>63</v>
      </c>
      <c r="AN48">
        <f>+$AI$5*AI48</f>
        <v>6</v>
      </c>
      <c r="AO48">
        <f>+$AJ$5*AJ48</f>
        <v>0</v>
      </c>
      <c r="AP48">
        <f>+SUM(AL48:AO48)</f>
        <v>69</v>
      </c>
    </row>
    <row r="49" spans="1:42" ht="15.75" hidden="1" customHeight="1" x14ac:dyDescent="0.3">
      <c r="A49" s="16"/>
      <c r="B49" s="55">
        <v>20</v>
      </c>
      <c r="C49" s="56" t="s">
        <v>81</v>
      </c>
      <c r="D49" s="55">
        <v>2</v>
      </c>
      <c r="E49" s="55" t="s">
        <v>20</v>
      </c>
      <c r="F49" s="18" t="s">
        <v>21</v>
      </c>
      <c r="G49" s="18" t="s">
        <v>21</v>
      </c>
      <c r="H49" s="18" t="s">
        <v>21</v>
      </c>
      <c r="I49" s="18" t="s">
        <v>21</v>
      </c>
      <c r="J49" s="18" t="s">
        <v>20</v>
      </c>
      <c r="K49" s="18" t="s">
        <v>21</v>
      </c>
      <c r="L49" s="18" t="s">
        <v>20</v>
      </c>
      <c r="M49" s="18" t="s">
        <v>20</v>
      </c>
      <c r="N49" s="18" t="s">
        <v>20</v>
      </c>
      <c r="O49" s="18" t="s">
        <v>20</v>
      </c>
      <c r="P49" s="18" t="s">
        <v>20</v>
      </c>
      <c r="Q49" s="18" t="s">
        <v>20</v>
      </c>
      <c r="R49" s="18" t="s">
        <v>20</v>
      </c>
      <c r="S49" s="18" t="s">
        <v>20</v>
      </c>
      <c r="T49" s="18" t="s">
        <v>21</v>
      </c>
      <c r="U49" s="18" t="s">
        <v>20</v>
      </c>
      <c r="V49" s="37" t="s">
        <v>20</v>
      </c>
      <c r="W49" s="37" t="s">
        <v>20</v>
      </c>
      <c r="X49" s="37" t="s">
        <v>21</v>
      </c>
      <c r="Y49" s="18" t="s">
        <v>20</v>
      </c>
      <c r="Z49" s="18" t="s">
        <v>20</v>
      </c>
      <c r="AA49" s="20" t="s">
        <v>20</v>
      </c>
      <c r="AB49" s="20" t="s">
        <v>20</v>
      </c>
      <c r="AC49" s="20" t="s">
        <v>20</v>
      </c>
      <c r="AD49" s="29" t="s">
        <v>21</v>
      </c>
      <c r="AE49" s="29" t="s">
        <v>21</v>
      </c>
      <c r="AG49">
        <f>+COUNTIF(F49:AE49,"AD")</f>
        <v>0</v>
      </c>
      <c r="AH49">
        <f>+COUNTIF(F49:AE49,"A")</f>
        <v>17</v>
      </c>
      <c r="AI49">
        <f>+COUNTIF(F49:AE49,"b")</f>
        <v>9</v>
      </c>
      <c r="AJ49">
        <f>+COUNTIF(F49:AE49,"c")</f>
        <v>0</v>
      </c>
      <c r="AL49">
        <f>+$AG$5*AG49</f>
        <v>0</v>
      </c>
      <c r="AM49">
        <f>+$AH$5*AH49</f>
        <v>51</v>
      </c>
      <c r="AN49">
        <f>+$AI$5*AI49</f>
        <v>18</v>
      </c>
      <c r="AO49">
        <f>+$AJ$5*AJ49</f>
        <v>0</v>
      </c>
      <c r="AP49">
        <f>+SUM(AL49:AO49)</f>
        <v>69</v>
      </c>
    </row>
    <row r="50" spans="1:42" ht="15.75" hidden="1" customHeight="1" x14ac:dyDescent="0.3">
      <c r="A50" s="16"/>
      <c r="B50" s="55">
        <v>2</v>
      </c>
      <c r="C50" s="56" t="s">
        <v>63</v>
      </c>
      <c r="D50" s="55">
        <v>2</v>
      </c>
      <c r="E50" s="55" t="s">
        <v>20</v>
      </c>
      <c r="F50" s="18" t="s">
        <v>21</v>
      </c>
      <c r="G50" s="18" t="s">
        <v>21</v>
      </c>
      <c r="H50" s="18" t="s">
        <v>23</v>
      </c>
      <c r="I50" s="18" t="s">
        <v>21</v>
      </c>
      <c r="J50" s="18" t="s">
        <v>21</v>
      </c>
      <c r="K50" s="18" t="s">
        <v>23</v>
      </c>
      <c r="L50" s="18" t="s">
        <v>23</v>
      </c>
      <c r="M50" s="18" t="s">
        <v>20</v>
      </c>
      <c r="N50" s="18" t="s">
        <v>20</v>
      </c>
      <c r="O50" s="18" t="s">
        <v>20</v>
      </c>
      <c r="P50" s="18" t="s">
        <v>20</v>
      </c>
      <c r="Q50" s="18" t="s">
        <v>20</v>
      </c>
      <c r="R50" s="18" t="s">
        <v>20</v>
      </c>
      <c r="S50" s="18" t="s">
        <v>21</v>
      </c>
      <c r="T50" s="18" t="s">
        <v>20</v>
      </c>
      <c r="U50" s="18" t="s">
        <v>20</v>
      </c>
      <c r="V50" s="35" t="s">
        <v>20</v>
      </c>
      <c r="W50" s="35" t="s">
        <v>20</v>
      </c>
      <c r="X50" s="36" t="s">
        <v>20</v>
      </c>
      <c r="Y50" s="19" t="s">
        <v>20</v>
      </c>
      <c r="Z50" s="18" t="s">
        <v>20</v>
      </c>
      <c r="AA50" s="20" t="s">
        <v>21</v>
      </c>
      <c r="AB50" s="20" t="s">
        <v>21</v>
      </c>
      <c r="AC50" s="20" t="s">
        <v>21</v>
      </c>
      <c r="AD50" s="29" t="s">
        <v>20</v>
      </c>
      <c r="AE50" s="29" t="s">
        <v>21</v>
      </c>
      <c r="AG50">
        <f>+COUNTIF(F50:AE50,"AD")</f>
        <v>0</v>
      </c>
      <c r="AH50">
        <f>+COUNTIF(F50:AE50,"A")</f>
        <v>14</v>
      </c>
      <c r="AI50">
        <f>+COUNTIF(F50:AE50,"b")</f>
        <v>9</v>
      </c>
      <c r="AJ50">
        <f>+COUNTIF(F50:AE50,"c")</f>
        <v>3</v>
      </c>
      <c r="AL50">
        <f>+$AG$5*AG50</f>
        <v>0</v>
      </c>
      <c r="AM50">
        <f>+$AH$5*AH50</f>
        <v>42</v>
      </c>
      <c r="AN50">
        <f>+$AI$5*AI50</f>
        <v>18</v>
      </c>
      <c r="AO50">
        <f>+$AJ$5*AJ50</f>
        <v>3</v>
      </c>
      <c r="AP50">
        <f>+SUM(AL50:AO50)</f>
        <v>63</v>
      </c>
    </row>
    <row r="51" spans="1:42" ht="15.75" hidden="1" customHeight="1" x14ac:dyDescent="0.3">
      <c r="A51" s="16"/>
      <c r="B51" s="55">
        <v>7</v>
      </c>
      <c r="C51" s="56" t="s">
        <v>68</v>
      </c>
      <c r="D51" s="55">
        <v>2</v>
      </c>
      <c r="E51" s="55" t="s">
        <v>20</v>
      </c>
      <c r="F51" s="18" t="s">
        <v>21</v>
      </c>
      <c r="G51" s="18" t="s">
        <v>21</v>
      </c>
      <c r="H51" s="18" t="s">
        <v>21</v>
      </c>
      <c r="I51" s="18" t="s">
        <v>21</v>
      </c>
      <c r="J51" s="18" t="s">
        <v>20</v>
      </c>
      <c r="K51" s="18" t="s">
        <v>21</v>
      </c>
      <c r="L51" s="18" t="s">
        <v>21</v>
      </c>
      <c r="M51" s="18" t="s">
        <v>21</v>
      </c>
      <c r="N51" s="18" t="s">
        <v>20</v>
      </c>
      <c r="O51" s="18" t="s">
        <v>23</v>
      </c>
      <c r="P51" s="18" t="s">
        <v>21</v>
      </c>
      <c r="Q51" s="18" t="s">
        <v>21</v>
      </c>
      <c r="R51" s="18" t="s">
        <v>21</v>
      </c>
      <c r="S51" s="18" t="s">
        <v>21</v>
      </c>
      <c r="T51" s="18" t="s">
        <v>20</v>
      </c>
      <c r="U51" s="18" t="s">
        <v>20</v>
      </c>
      <c r="V51" s="37" t="s">
        <v>20</v>
      </c>
      <c r="W51" s="37" t="s">
        <v>20</v>
      </c>
      <c r="X51" s="37" t="s">
        <v>20</v>
      </c>
      <c r="Y51" s="18" t="s">
        <v>20</v>
      </c>
      <c r="Z51" s="18" t="s">
        <v>20</v>
      </c>
      <c r="AA51" s="20" t="s">
        <v>20</v>
      </c>
      <c r="AB51" s="20" t="s">
        <v>20</v>
      </c>
      <c r="AC51" s="20" t="s">
        <v>20</v>
      </c>
      <c r="AD51" s="29" t="s">
        <v>21</v>
      </c>
      <c r="AE51" s="29" t="s">
        <v>21</v>
      </c>
      <c r="AG51">
        <f>+COUNTIF(F51:AE51,"AD")</f>
        <v>0</v>
      </c>
      <c r="AH51">
        <f>+COUNTIF(F51:AE51,"A")</f>
        <v>12</v>
      </c>
      <c r="AI51">
        <f>+COUNTIF(F51:AE51,"b")</f>
        <v>13</v>
      </c>
      <c r="AJ51">
        <f>+COUNTIF(F51:AE51,"c")</f>
        <v>1</v>
      </c>
      <c r="AL51">
        <f>+$AG$5*AG51</f>
        <v>0</v>
      </c>
      <c r="AM51">
        <f>+$AH$5*AH51</f>
        <v>36</v>
      </c>
      <c r="AN51">
        <f>+$AI$5*AI51</f>
        <v>26</v>
      </c>
      <c r="AO51">
        <f>+$AJ$5*AJ51</f>
        <v>1</v>
      </c>
      <c r="AP51">
        <f>+SUM(AL51:AO51)</f>
        <v>63</v>
      </c>
    </row>
    <row r="52" spans="1:42" ht="15.75" hidden="1" customHeight="1" x14ac:dyDescent="0.3">
      <c r="A52" s="16"/>
      <c r="B52" s="55">
        <v>16</v>
      </c>
      <c r="C52" s="56" t="s">
        <v>77</v>
      </c>
      <c r="D52" s="55">
        <v>2</v>
      </c>
      <c r="E52" s="55" t="s">
        <v>20</v>
      </c>
      <c r="F52" s="18" t="s">
        <v>21</v>
      </c>
      <c r="G52" s="18" t="s">
        <v>21</v>
      </c>
      <c r="H52" s="18" t="s">
        <v>21</v>
      </c>
      <c r="I52" s="18" t="s">
        <v>21</v>
      </c>
      <c r="J52" s="18" t="s">
        <v>21</v>
      </c>
      <c r="K52" s="18" t="s">
        <v>21</v>
      </c>
      <c r="L52" s="18" t="s">
        <v>21</v>
      </c>
      <c r="M52" s="18" t="s">
        <v>20</v>
      </c>
      <c r="N52" s="18" t="s">
        <v>20</v>
      </c>
      <c r="O52" s="18" t="s">
        <v>20</v>
      </c>
      <c r="P52" s="18" t="s">
        <v>21</v>
      </c>
      <c r="Q52" s="18" t="s">
        <v>21</v>
      </c>
      <c r="R52" s="18" t="s">
        <v>21</v>
      </c>
      <c r="S52" s="18" t="s">
        <v>20</v>
      </c>
      <c r="T52" s="18" t="s">
        <v>20</v>
      </c>
      <c r="U52" s="18" t="s">
        <v>21</v>
      </c>
      <c r="V52" s="37" t="s">
        <v>20</v>
      </c>
      <c r="W52" s="37" t="s">
        <v>20</v>
      </c>
      <c r="X52" s="37" t="s">
        <v>20</v>
      </c>
      <c r="Y52" s="18" t="s">
        <v>20</v>
      </c>
      <c r="Z52" s="18" t="s">
        <v>20</v>
      </c>
      <c r="AA52" s="20" t="s">
        <v>21</v>
      </c>
      <c r="AB52" s="20" t="s">
        <v>21</v>
      </c>
      <c r="AC52" s="20" t="s">
        <v>21</v>
      </c>
      <c r="AD52" s="29" t="s">
        <v>21</v>
      </c>
      <c r="AE52" s="29" t="s">
        <v>21</v>
      </c>
      <c r="AG52">
        <f>+COUNTIF(F52:AE52,"AD")</f>
        <v>0</v>
      </c>
      <c r="AH52">
        <f>+COUNTIF(F52:AE52,"A")</f>
        <v>10</v>
      </c>
      <c r="AI52">
        <f>+COUNTIF(F52:AE52,"b")</f>
        <v>16</v>
      </c>
      <c r="AJ52">
        <f>+COUNTIF(F52:AE52,"c")</f>
        <v>0</v>
      </c>
      <c r="AL52">
        <f>+$AG$5*AG52</f>
        <v>0</v>
      </c>
      <c r="AM52">
        <f>+$AH$5*AH52</f>
        <v>30</v>
      </c>
      <c r="AN52">
        <f>+$AI$5*AI52</f>
        <v>32</v>
      </c>
      <c r="AO52">
        <f>+$AJ$5*AJ52</f>
        <v>0</v>
      </c>
      <c r="AP52">
        <f>+SUM(AL52:AO52)</f>
        <v>62</v>
      </c>
    </row>
    <row r="53" spans="1:42" ht="15.75" hidden="1" customHeight="1" x14ac:dyDescent="0.3">
      <c r="A53" s="16"/>
      <c r="B53" s="55">
        <v>1</v>
      </c>
      <c r="C53" s="56" t="s">
        <v>62</v>
      </c>
      <c r="D53" s="55">
        <v>2</v>
      </c>
      <c r="E53" s="55" t="s">
        <v>20</v>
      </c>
      <c r="F53" s="18" t="s">
        <v>21</v>
      </c>
      <c r="G53" s="18" t="s">
        <v>23</v>
      </c>
      <c r="H53" s="18" t="s">
        <v>21</v>
      </c>
      <c r="I53" s="18" t="s">
        <v>21</v>
      </c>
      <c r="J53" s="18" t="s">
        <v>21</v>
      </c>
      <c r="K53" s="18" t="s">
        <v>21</v>
      </c>
      <c r="L53" s="18" t="s">
        <v>20</v>
      </c>
      <c r="M53" s="18" t="s">
        <v>20</v>
      </c>
      <c r="N53" s="18" t="s">
        <v>20</v>
      </c>
      <c r="O53" s="18" t="s">
        <v>21</v>
      </c>
      <c r="P53" s="18" t="s">
        <v>21</v>
      </c>
      <c r="Q53" s="18" t="s">
        <v>21</v>
      </c>
      <c r="R53" s="18" t="s">
        <v>21</v>
      </c>
      <c r="S53" s="18" t="s">
        <v>20</v>
      </c>
      <c r="T53" s="18" t="s">
        <v>21</v>
      </c>
      <c r="U53" s="18" t="s">
        <v>20</v>
      </c>
      <c r="V53" s="35" t="s">
        <v>20</v>
      </c>
      <c r="W53" s="35" t="s">
        <v>20</v>
      </c>
      <c r="X53" s="36" t="s">
        <v>20</v>
      </c>
      <c r="Y53" s="19" t="s">
        <v>20</v>
      </c>
      <c r="Z53" s="18" t="s">
        <v>20</v>
      </c>
      <c r="AA53" s="20" t="s">
        <v>21</v>
      </c>
      <c r="AB53" s="20" t="s">
        <v>21</v>
      </c>
      <c r="AC53" s="20" t="s">
        <v>21</v>
      </c>
      <c r="AD53" s="29" t="s">
        <v>21</v>
      </c>
      <c r="AE53" s="29" t="s">
        <v>21</v>
      </c>
      <c r="AG53">
        <f>+COUNTIF(F53:AE53,"AD")</f>
        <v>0</v>
      </c>
      <c r="AH53">
        <f>+COUNTIF(F53:AE53,"A")</f>
        <v>10</v>
      </c>
      <c r="AI53">
        <f>+COUNTIF(F53:AE53,"b")</f>
        <v>15</v>
      </c>
      <c r="AJ53">
        <f>+COUNTIF(F53:AE53,"c")</f>
        <v>1</v>
      </c>
      <c r="AL53">
        <f>+$AG$5*AG53</f>
        <v>0</v>
      </c>
      <c r="AM53">
        <f>+$AH$5*AH53</f>
        <v>30</v>
      </c>
      <c r="AN53">
        <f>+$AI$5*AI53</f>
        <v>30</v>
      </c>
      <c r="AO53">
        <f>+$AJ$5*AJ53</f>
        <v>1</v>
      </c>
      <c r="AP53">
        <f>+SUM(AL53:AO53)</f>
        <v>61</v>
      </c>
    </row>
    <row r="54" spans="1:42" ht="15.75" hidden="1" customHeight="1" x14ac:dyDescent="0.3">
      <c r="A54" s="16"/>
      <c r="B54" s="55">
        <v>10</v>
      </c>
      <c r="C54" s="56" t="s">
        <v>71</v>
      </c>
      <c r="D54" s="55">
        <v>2</v>
      </c>
      <c r="E54" s="55" t="s">
        <v>20</v>
      </c>
      <c r="F54" s="18" t="s">
        <v>21</v>
      </c>
      <c r="G54" s="18" t="s">
        <v>21</v>
      </c>
      <c r="H54" s="18" t="s">
        <v>21</v>
      </c>
      <c r="I54" s="18" t="s">
        <v>21</v>
      </c>
      <c r="J54" s="18" t="s">
        <v>20</v>
      </c>
      <c r="K54" s="18" t="s">
        <v>21</v>
      </c>
      <c r="L54" s="18" t="s">
        <v>21</v>
      </c>
      <c r="M54" s="18" t="s">
        <v>21</v>
      </c>
      <c r="N54" s="18" t="s">
        <v>21</v>
      </c>
      <c r="O54" s="18" t="s">
        <v>20</v>
      </c>
      <c r="P54" s="18" t="s">
        <v>21</v>
      </c>
      <c r="Q54" s="18" t="s">
        <v>21</v>
      </c>
      <c r="R54" s="18" t="s">
        <v>21</v>
      </c>
      <c r="S54" s="18" t="s">
        <v>21</v>
      </c>
      <c r="T54" s="18" t="s">
        <v>20</v>
      </c>
      <c r="U54" s="18" t="s">
        <v>20</v>
      </c>
      <c r="V54" s="37" t="s">
        <v>20</v>
      </c>
      <c r="W54" s="37" t="s">
        <v>20</v>
      </c>
      <c r="X54" s="37" t="s">
        <v>20</v>
      </c>
      <c r="Y54" s="18" t="s">
        <v>20</v>
      </c>
      <c r="Z54" s="18" t="s">
        <v>21</v>
      </c>
      <c r="AA54" s="20" t="s">
        <v>20</v>
      </c>
      <c r="AB54" s="20" t="s">
        <v>21</v>
      </c>
      <c r="AC54" s="20" t="s">
        <v>21</v>
      </c>
      <c r="AD54" s="29" t="s">
        <v>21</v>
      </c>
      <c r="AE54" s="29" t="s">
        <v>21</v>
      </c>
      <c r="AG54">
        <f>+COUNTIF(F54:AE54,"AD")</f>
        <v>0</v>
      </c>
      <c r="AH54">
        <f>+COUNTIF(F54:AE54,"A")</f>
        <v>9</v>
      </c>
      <c r="AI54">
        <f>+COUNTIF(F54:AE54,"b")</f>
        <v>17</v>
      </c>
      <c r="AJ54">
        <f>+COUNTIF(F54:AE54,"c")</f>
        <v>0</v>
      </c>
      <c r="AL54">
        <f>+$AG$5*AG54</f>
        <v>0</v>
      </c>
      <c r="AM54">
        <f>+$AH$5*AH54</f>
        <v>27</v>
      </c>
      <c r="AN54">
        <f>+$AI$5*AI54</f>
        <v>34</v>
      </c>
      <c r="AO54">
        <f>+$AJ$5*AJ54</f>
        <v>0</v>
      </c>
      <c r="AP54">
        <f>+SUM(AL54:AO54)</f>
        <v>61</v>
      </c>
    </row>
    <row r="55" spans="1:42" ht="15.75" hidden="1" customHeight="1" x14ac:dyDescent="0.3">
      <c r="A55" s="16"/>
      <c r="B55" s="55">
        <v>5</v>
      </c>
      <c r="C55" s="56" t="s">
        <v>66</v>
      </c>
      <c r="D55" s="55">
        <v>2</v>
      </c>
      <c r="E55" s="55" t="s">
        <v>20</v>
      </c>
      <c r="F55" s="18" t="s">
        <v>21</v>
      </c>
      <c r="G55" s="18" t="s">
        <v>21</v>
      </c>
      <c r="H55" s="18" t="s">
        <v>21</v>
      </c>
      <c r="I55" s="18" t="s">
        <v>21</v>
      </c>
      <c r="J55" s="18" t="s">
        <v>21</v>
      </c>
      <c r="K55" s="18" t="s">
        <v>21</v>
      </c>
      <c r="L55" s="18" t="s">
        <v>21</v>
      </c>
      <c r="M55" s="18" t="s">
        <v>21</v>
      </c>
      <c r="N55" s="18" t="s">
        <v>21</v>
      </c>
      <c r="O55" s="18" t="s">
        <v>20</v>
      </c>
      <c r="P55" s="18" t="s">
        <v>21</v>
      </c>
      <c r="Q55" s="18" t="s">
        <v>21</v>
      </c>
      <c r="R55" s="18" t="s">
        <v>21</v>
      </c>
      <c r="S55" s="18" t="s">
        <v>20</v>
      </c>
      <c r="T55" s="18" t="s">
        <v>21</v>
      </c>
      <c r="U55" s="18" t="s">
        <v>20</v>
      </c>
      <c r="V55" s="35" t="s">
        <v>20</v>
      </c>
      <c r="W55" s="35" t="s">
        <v>20</v>
      </c>
      <c r="X55" s="36" t="s">
        <v>20</v>
      </c>
      <c r="Y55" s="19" t="s">
        <v>20</v>
      </c>
      <c r="Z55" s="18" t="s">
        <v>20</v>
      </c>
      <c r="AA55" s="20" t="s">
        <v>21</v>
      </c>
      <c r="AB55" s="20" t="s">
        <v>21</v>
      </c>
      <c r="AC55" s="20" t="s">
        <v>23</v>
      </c>
      <c r="AD55" s="29" t="s">
        <v>21</v>
      </c>
      <c r="AE55" s="29" t="s">
        <v>21</v>
      </c>
      <c r="AG55">
        <f>+COUNTIF(F55:AE55,"AD")</f>
        <v>0</v>
      </c>
      <c r="AH55">
        <f>+COUNTIF(F55:AE55,"A")</f>
        <v>8</v>
      </c>
      <c r="AI55">
        <f>+COUNTIF(F55:AE55,"b")</f>
        <v>17</v>
      </c>
      <c r="AJ55">
        <f>+COUNTIF(F55:AE55,"c")</f>
        <v>1</v>
      </c>
      <c r="AL55">
        <f>+$AG$5*AG55</f>
        <v>0</v>
      </c>
      <c r="AM55">
        <f>+$AH$5*AH55</f>
        <v>24</v>
      </c>
      <c r="AN55">
        <f>+$AI$5*AI55</f>
        <v>34</v>
      </c>
      <c r="AO55">
        <f>+$AJ$5*AJ55</f>
        <v>1</v>
      </c>
      <c r="AP55">
        <f>+SUM(AL55:AO55)</f>
        <v>59</v>
      </c>
    </row>
    <row r="56" spans="1:42" ht="15.75" hidden="1" customHeight="1" x14ac:dyDescent="0.3">
      <c r="A56" s="16"/>
      <c r="B56" s="55">
        <v>15</v>
      </c>
      <c r="C56" s="56" t="s">
        <v>76</v>
      </c>
      <c r="D56" s="55">
        <v>2</v>
      </c>
      <c r="E56" s="55" t="s">
        <v>20</v>
      </c>
      <c r="F56" s="18" t="s">
        <v>20</v>
      </c>
      <c r="G56" s="18" t="s">
        <v>21</v>
      </c>
      <c r="H56" s="18" t="s">
        <v>21</v>
      </c>
      <c r="I56" s="18" t="s">
        <v>21</v>
      </c>
      <c r="J56" s="18" t="s">
        <v>20</v>
      </c>
      <c r="K56" s="18" t="s">
        <v>21</v>
      </c>
      <c r="L56" s="18" t="s">
        <v>21</v>
      </c>
      <c r="M56" s="18" t="s">
        <v>21</v>
      </c>
      <c r="N56" s="18" t="s">
        <v>21</v>
      </c>
      <c r="O56" s="18" t="s">
        <v>20</v>
      </c>
      <c r="P56" s="18" t="s">
        <v>21</v>
      </c>
      <c r="Q56" s="18" t="s">
        <v>21</v>
      </c>
      <c r="R56" s="18" t="s">
        <v>21</v>
      </c>
      <c r="S56" s="18" t="s">
        <v>20</v>
      </c>
      <c r="T56" s="18" t="s">
        <v>21</v>
      </c>
      <c r="U56" s="18" t="s">
        <v>21</v>
      </c>
      <c r="V56" s="37" t="s">
        <v>21</v>
      </c>
      <c r="W56" s="37" t="s">
        <v>20</v>
      </c>
      <c r="X56" s="37" t="s">
        <v>20</v>
      </c>
      <c r="Y56" s="18" t="s">
        <v>21</v>
      </c>
      <c r="Z56" s="18" t="s">
        <v>21</v>
      </c>
      <c r="AA56" s="20" t="s">
        <v>21</v>
      </c>
      <c r="AB56" s="20" t="s">
        <v>21</v>
      </c>
      <c r="AC56" s="20" t="s">
        <v>21</v>
      </c>
      <c r="AD56" s="29" t="s">
        <v>23</v>
      </c>
      <c r="AE56" s="29" t="s">
        <v>21</v>
      </c>
      <c r="AG56">
        <f>+COUNTIF(F56:AE56,"AD")</f>
        <v>0</v>
      </c>
      <c r="AH56">
        <f>+COUNTIF(F56:AE56,"A")</f>
        <v>6</v>
      </c>
      <c r="AI56">
        <f>+COUNTIF(F56:AE56,"b")</f>
        <v>19</v>
      </c>
      <c r="AJ56">
        <f>+COUNTIF(F56:AE56,"c")</f>
        <v>1</v>
      </c>
      <c r="AL56">
        <f>+$AG$5*AG56</f>
        <v>0</v>
      </c>
      <c r="AM56">
        <f>+$AH$5*AH56</f>
        <v>18</v>
      </c>
      <c r="AN56">
        <f>+$AI$5*AI56</f>
        <v>38</v>
      </c>
      <c r="AO56">
        <f>+$AJ$5*AJ56</f>
        <v>1</v>
      </c>
      <c r="AP56">
        <f>+SUM(AL56:AO56)</f>
        <v>57</v>
      </c>
    </row>
    <row r="57" spans="1:42" ht="15.75" hidden="1" customHeight="1" x14ac:dyDescent="0.3">
      <c r="A57" s="16"/>
      <c r="B57" s="55">
        <v>17</v>
      </c>
      <c r="C57" s="56" t="s">
        <v>78</v>
      </c>
      <c r="D57" s="55">
        <v>2</v>
      </c>
      <c r="E57" s="55" t="s">
        <v>20</v>
      </c>
      <c r="F57" s="18" t="s">
        <v>21</v>
      </c>
      <c r="G57" s="18" t="s">
        <v>21</v>
      </c>
      <c r="H57" s="18" t="s">
        <v>21</v>
      </c>
      <c r="I57" s="18" t="s">
        <v>21</v>
      </c>
      <c r="J57" s="18" t="s">
        <v>23</v>
      </c>
      <c r="K57" s="18" t="s">
        <v>21</v>
      </c>
      <c r="L57" s="18" t="s">
        <v>21</v>
      </c>
      <c r="M57" s="18" t="s">
        <v>21</v>
      </c>
      <c r="N57" s="18" t="s">
        <v>21</v>
      </c>
      <c r="O57" s="18" t="s">
        <v>20</v>
      </c>
      <c r="P57" s="18" t="s">
        <v>21</v>
      </c>
      <c r="Q57" s="18" t="s">
        <v>21</v>
      </c>
      <c r="R57" s="18" t="s">
        <v>21</v>
      </c>
      <c r="S57" s="18" t="s">
        <v>21</v>
      </c>
      <c r="T57" s="18" t="s">
        <v>21</v>
      </c>
      <c r="U57" s="18" t="s">
        <v>21</v>
      </c>
      <c r="V57" s="37" t="s">
        <v>20</v>
      </c>
      <c r="W57" s="37" t="s">
        <v>20</v>
      </c>
      <c r="X57" s="37" t="s">
        <v>20</v>
      </c>
      <c r="Y57" s="18" t="s">
        <v>20</v>
      </c>
      <c r="Z57" s="18" t="s">
        <v>20</v>
      </c>
      <c r="AA57" s="20" t="s">
        <v>23</v>
      </c>
      <c r="AB57" s="20" t="s">
        <v>23</v>
      </c>
      <c r="AC57" s="20" t="s">
        <v>21</v>
      </c>
      <c r="AD57" s="29" t="s">
        <v>21</v>
      </c>
      <c r="AE57" s="29" t="s">
        <v>21</v>
      </c>
      <c r="AG57">
        <f>+COUNTIF(F57:AE57,"AD")</f>
        <v>0</v>
      </c>
      <c r="AH57">
        <f>+COUNTIF(F57:AE57,"A")</f>
        <v>6</v>
      </c>
      <c r="AI57">
        <f>+COUNTIF(F57:AE57,"b")</f>
        <v>17</v>
      </c>
      <c r="AJ57">
        <f>+COUNTIF(F57:AE57,"c")</f>
        <v>3</v>
      </c>
      <c r="AL57">
        <f>+$AG$5*AG57</f>
        <v>0</v>
      </c>
      <c r="AM57">
        <f>+$AH$5*AH57</f>
        <v>18</v>
      </c>
      <c r="AN57">
        <f>+$AI$5*AI57</f>
        <v>34</v>
      </c>
      <c r="AO57">
        <f>+$AJ$5*AJ57</f>
        <v>3</v>
      </c>
      <c r="AP57">
        <f>+SUM(AL57:AO57)</f>
        <v>55</v>
      </c>
    </row>
    <row r="58" spans="1:42" ht="15.75" hidden="1" customHeight="1" x14ac:dyDescent="0.3">
      <c r="A58" s="16"/>
      <c r="B58" s="55">
        <v>14</v>
      </c>
      <c r="C58" s="56" t="s">
        <v>75</v>
      </c>
      <c r="D58" s="55">
        <v>2</v>
      </c>
      <c r="E58" s="55" t="s">
        <v>20</v>
      </c>
      <c r="F58" s="18" t="s">
        <v>20</v>
      </c>
      <c r="G58" s="18" t="s">
        <v>21</v>
      </c>
      <c r="H58" s="18" t="s">
        <v>21</v>
      </c>
      <c r="I58" s="18" t="s">
        <v>21</v>
      </c>
      <c r="J58" s="18" t="s">
        <v>21</v>
      </c>
      <c r="K58" s="18" t="s">
        <v>23</v>
      </c>
      <c r="L58" s="18" t="s">
        <v>20</v>
      </c>
      <c r="M58" s="18" t="s">
        <v>21</v>
      </c>
      <c r="N58" s="18" t="s">
        <v>21</v>
      </c>
      <c r="O58" s="18" t="s">
        <v>23</v>
      </c>
      <c r="P58" s="18" t="s">
        <v>20</v>
      </c>
      <c r="Q58" s="18" t="s">
        <v>20</v>
      </c>
      <c r="R58" s="18" t="s">
        <v>21</v>
      </c>
      <c r="S58" s="18" t="s">
        <v>21</v>
      </c>
      <c r="T58" s="18" t="s">
        <v>23</v>
      </c>
      <c r="U58" s="18" t="s">
        <v>21</v>
      </c>
      <c r="V58" s="37" t="s">
        <v>21</v>
      </c>
      <c r="W58" s="37" t="s">
        <v>20</v>
      </c>
      <c r="X58" s="37" t="s">
        <v>21</v>
      </c>
      <c r="Y58" s="18" t="s">
        <v>21</v>
      </c>
      <c r="Z58" s="18" t="s">
        <v>20</v>
      </c>
      <c r="AA58" s="20" t="s">
        <v>23</v>
      </c>
      <c r="AB58" s="20" t="s">
        <v>21</v>
      </c>
      <c r="AC58" s="20" t="s">
        <v>21</v>
      </c>
      <c r="AD58" s="29" t="s">
        <v>23</v>
      </c>
      <c r="AE58" s="29" t="s">
        <v>21</v>
      </c>
      <c r="AG58">
        <f>+COUNTIF(F58:AE58,"AD")</f>
        <v>0</v>
      </c>
      <c r="AH58">
        <f>+COUNTIF(F58:AE58,"A")</f>
        <v>6</v>
      </c>
      <c r="AI58">
        <f>+COUNTIF(F58:AE58,"b")</f>
        <v>15</v>
      </c>
      <c r="AJ58">
        <f>+COUNTIF(F58:AE58,"c")</f>
        <v>5</v>
      </c>
      <c r="AL58">
        <f>+$AG$5*AG58</f>
        <v>0</v>
      </c>
      <c r="AM58">
        <f>+$AH$5*AH58</f>
        <v>18</v>
      </c>
      <c r="AN58">
        <f>+$AI$5*AI58</f>
        <v>30</v>
      </c>
      <c r="AO58">
        <f>+$AJ$5*AJ58</f>
        <v>5</v>
      </c>
      <c r="AP58">
        <f>+SUM(AL58:AO58)</f>
        <v>53</v>
      </c>
    </row>
    <row r="59" spans="1:42" ht="15.75" hidden="1" customHeight="1" x14ac:dyDescent="0.3">
      <c r="A59" s="16"/>
      <c r="B59" s="55">
        <v>19</v>
      </c>
      <c r="C59" s="56" t="s">
        <v>80</v>
      </c>
      <c r="D59" s="55">
        <v>2</v>
      </c>
      <c r="E59" s="55" t="s">
        <v>20</v>
      </c>
      <c r="F59" s="18" t="s">
        <v>21</v>
      </c>
      <c r="G59" s="18" t="s">
        <v>20</v>
      </c>
      <c r="H59" s="18" t="s">
        <v>21</v>
      </c>
      <c r="I59" s="18" t="s">
        <v>21</v>
      </c>
      <c r="J59" s="18" t="s">
        <v>21</v>
      </c>
      <c r="K59" s="18" t="s">
        <v>23</v>
      </c>
      <c r="L59" s="18" t="s">
        <v>23</v>
      </c>
      <c r="M59" s="18" t="s">
        <v>21</v>
      </c>
      <c r="N59" s="18" t="s">
        <v>21</v>
      </c>
      <c r="O59" s="18" t="s">
        <v>20</v>
      </c>
      <c r="P59" s="18" t="s">
        <v>21</v>
      </c>
      <c r="Q59" s="18" t="s">
        <v>21</v>
      </c>
      <c r="R59" s="18" t="s">
        <v>23</v>
      </c>
      <c r="S59" s="18" t="s">
        <v>21</v>
      </c>
      <c r="T59" s="18" t="s">
        <v>21</v>
      </c>
      <c r="U59" s="18" t="s">
        <v>21</v>
      </c>
      <c r="V59" s="37" t="s">
        <v>21</v>
      </c>
      <c r="W59" s="37" t="s">
        <v>20</v>
      </c>
      <c r="X59" s="37" t="s">
        <v>20</v>
      </c>
      <c r="Y59" s="18" t="s">
        <v>20</v>
      </c>
      <c r="Z59" s="18" t="s">
        <v>20</v>
      </c>
      <c r="AA59" s="20" t="s">
        <v>23</v>
      </c>
      <c r="AB59" s="20" t="s">
        <v>21</v>
      </c>
      <c r="AC59" s="20" t="s">
        <v>21</v>
      </c>
      <c r="AD59" s="29" t="s">
        <v>23</v>
      </c>
      <c r="AE59" s="29" t="s">
        <v>21</v>
      </c>
      <c r="AG59">
        <f>+COUNTIF(F59:AE59,"AD")</f>
        <v>0</v>
      </c>
      <c r="AH59">
        <f>+COUNTIF(F59:AE59,"A")</f>
        <v>6</v>
      </c>
      <c r="AI59">
        <f>+COUNTIF(F59:AE59,"b")</f>
        <v>15</v>
      </c>
      <c r="AJ59">
        <f>+COUNTIF(F59:AE59,"c")</f>
        <v>5</v>
      </c>
      <c r="AL59">
        <f>+$AG$5*AG59</f>
        <v>0</v>
      </c>
      <c r="AM59">
        <f>+$AH$5*AH59</f>
        <v>18</v>
      </c>
      <c r="AN59">
        <f>+$AI$5*AI59</f>
        <v>30</v>
      </c>
      <c r="AO59">
        <f>+$AJ$5*AJ59</f>
        <v>5</v>
      </c>
      <c r="AP59">
        <f>+SUM(AL59:AO59)</f>
        <v>53</v>
      </c>
    </row>
    <row r="60" spans="1:42" ht="15.75" hidden="1" customHeight="1" x14ac:dyDescent="0.3">
      <c r="A60" s="16"/>
      <c r="B60" s="55">
        <v>9</v>
      </c>
      <c r="C60" s="56" t="s">
        <v>70</v>
      </c>
      <c r="D60" s="55">
        <v>2</v>
      </c>
      <c r="E60" s="55" t="s">
        <v>20</v>
      </c>
      <c r="F60" s="18" t="s">
        <v>21</v>
      </c>
      <c r="G60" s="18" t="s">
        <v>21</v>
      </c>
      <c r="H60" s="18" t="s">
        <v>21</v>
      </c>
      <c r="I60" s="18" t="s">
        <v>21</v>
      </c>
      <c r="J60" s="18" t="s">
        <v>21</v>
      </c>
      <c r="K60" s="18" t="s">
        <v>21</v>
      </c>
      <c r="L60" s="18" t="s">
        <v>21</v>
      </c>
      <c r="M60" s="18" t="s">
        <v>21</v>
      </c>
      <c r="N60" s="18" t="s">
        <v>21</v>
      </c>
      <c r="O60" s="18" t="s">
        <v>23</v>
      </c>
      <c r="P60" s="18" t="s">
        <v>21</v>
      </c>
      <c r="Q60" s="18" t="s">
        <v>21</v>
      </c>
      <c r="R60" s="18" t="s">
        <v>21</v>
      </c>
      <c r="S60" s="18" t="s">
        <v>23</v>
      </c>
      <c r="T60" s="18" t="s">
        <v>23</v>
      </c>
      <c r="U60" s="18" t="s">
        <v>20</v>
      </c>
      <c r="V60" s="37" t="s">
        <v>20</v>
      </c>
      <c r="W60" s="37" t="s">
        <v>20</v>
      </c>
      <c r="X60" s="37" t="s">
        <v>20</v>
      </c>
      <c r="Y60" s="18" t="s">
        <v>21</v>
      </c>
      <c r="Z60" s="18" t="s">
        <v>20</v>
      </c>
      <c r="AA60" s="20" t="s">
        <v>23</v>
      </c>
      <c r="AB60" s="20" t="s">
        <v>21</v>
      </c>
      <c r="AC60" s="20" t="s">
        <v>23</v>
      </c>
      <c r="AD60" s="29" t="s">
        <v>21</v>
      </c>
      <c r="AE60" s="29" t="s">
        <v>21</v>
      </c>
      <c r="AG60">
        <f>+COUNTIF(F60:AE60,"AD")</f>
        <v>0</v>
      </c>
      <c r="AH60">
        <f>+COUNTIF(F60:AE60,"A")</f>
        <v>5</v>
      </c>
      <c r="AI60">
        <f>+COUNTIF(F60:AE60,"b")</f>
        <v>16</v>
      </c>
      <c r="AJ60">
        <f>+COUNTIF(F60:AE60,"c")</f>
        <v>5</v>
      </c>
      <c r="AL60">
        <f>+$AG$5*AG60</f>
        <v>0</v>
      </c>
      <c r="AM60">
        <f>+$AH$5*AH60</f>
        <v>15</v>
      </c>
      <c r="AN60">
        <f>+$AI$5*AI60</f>
        <v>32</v>
      </c>
      <c r="AO60">
        <f>+$AJ$5*AJ60</f>
        <v>5</v>
      </c>
      <c r="AP60">
        <f>+SUM(AL60:AO60)</f>
        <v>52</v>
      </c>
    </row>
    <row r="61" spans="1:42" ht="15.75" hidden="1" customHeight="1" x14ac:dyDescent="0.3">
      <c r="A61" s="16"/>
      <c r="B61" s="55">
        <v>4</v>
      </c>
      <c r="C61" s="56" t="s">
        <v>65</v>
      </c>
      <c r="D61" s="55">
        <v>2</v>
      </c>
      <c r="E61" s="55" t="s">
        <v>20</v>
      </c>
      <c r="F61" s="18" t="s">
        <v>21</v>
      </c>
      <c r="G61" s="18" t="s">
        <v>23</v>
      </c>
      <c r="H61" s="18" t="s">
        <v>21</v>
      </c>
      <c r="I61" s="18" t="s">
        <v>21</v>
      </c>
      <c r="J61" s="18" t="s">
        <v>21</v>
      </c>
      <c r="K61" s="18" t="s">
        <v>23</v>
      </c>
      <c r="L61" s="18" t="s">
        <v>21</v>
      </c>
      <c r="M61" s="18" t="s">
        <v>21</v>
      </c>
      <c r="N61" s="18" t="s">
        <v>21</v>
      </c>
      <c r="O61" s="18" t="s">
        <v>23</v>
      </c>
      <c r="P61" s="18" t="s">
        <v>23</v>
      </c>
      <c r="Q61" s="18" t="s">
        <v>23</v>
      </c>
      <c r="R61" s="18" t="s">
        <v>21</v>
      </c>
      <c r="S61" s="18" t="s">
        <v>23</v>
      </c>
      <c r="T61" s="18" t="s">
        <v>23</v>
      </c>
      <c r="U61" s="18" t="s">
        <v>20</v>
      </c>
      <c r="V61" s="35" t="s">
        <v>20</v>
      </c>
      <c r="W61" s="35" t="s">
        <v>20</v>
      </c>
      <c r="X61" s="36" t="s">
        <v>20</v>
      </c>
      <c r="Y61" s="19" t="s">
        <v>20</v>
      </c>
      <c r="Z61" s="18" t="s">
        <v>20</v>
      </c>
      <c r="AA61" s="20" t="s">
        <v>21</v>
      </c>
      <c r="AB61" s="20" t="s">
        <v>21</v>
      </c>
      <c r="AC61" s="20" t="s">
        <v>21</v>
      </c>
      <c r="AD61" s="29" t="s">
        <v>21</v>
      </c>
      <c r="AE61" s="29" t="s">
        <v>21</v>
      </c>
      <c r="AG61">
        <f>+COUNTIF(F61:AE61,"AD")</f>
        <v>0</v>
      </c>
      <c r="AH61">
        <f>+COUNTIF(F61:AE61,"A")</f>
        <v>6</v>
      </c>
      <c r="AI61">
        <f>+COUNTIF(F61:AE61,"b")</f>
        <v>13</v>
      </c>
      <c r="AJ61">
        <f>+COUNTIF(F61:AE61,"c")</f>
        <v>7</v>
      </c>
      <c r="AL61">
        <f>+$AG$5*AG61</f>
        <v>0</v>
      </c>
      <c r="AM61">
        <f>+$AH$5*AH61</f>
        <v>18</v>
      </c>
      <c r="AN61">
        <f>+$AI$5*AI61</f>
        <v>26</v>
      </c>
      <c r="AO61">
        <f>+$AJ$5*AJ61</f>
        <v>7</v>
      </c>
      <c r="AP61">
        <f>+SUM(AL61:AO61)</f>
        <v>51</v>
      </c>
    </row>
    <row r="62" spans="1:42" ht="15.75" hidden="1" customHeight="1" x14ac:dyDescent="0.3">
      <c r="A62" s="16"/>
      <c r="B62" s="55">
        <v>3</v>
      </c>
      <c r="C62" s="56" t="s">
        <v>64</v>
      </c>
      <c r="D62" s="55">
        <v>2</v>
      </c>
      <c r="E62" s="55" t="s">
        <v>20</v>
      </c>
      <c r="F62" s="18" t="s">
        <v>21</v>
      </c>
      <c r="G62" s="18" t="s">
        <v>23</v>
      </c>
      <c r="H62" s="18" t="s">
        <v>21</v>
      </c>
      <c r="I62" s="18" t="s">
        <v>21</v>
      </c>
      <c r="J62" s="18" t="s">
        <v>20</v>
      </c>
      <c r="K62" s="18" t="s">
        <v>23</v>
      </c>
      <c r="L62" s="18" t="s">
        <v>21</v>
      </c>
      <c r="M62" s="18" t="s">
        <v>21</v>
      </c>
      <c r="N62" s="18" t="s">
        <v>21</v>
      </c>
      <c r="O62" s="18" t="s">
        <v>23</v>
      </c>
      <c r="P62" s="18" t="s">
        <v>21</v>
      </c>
      <c r="Q62" s="18" t="s">
        <v>20</v>
      </c>
      <c r="R62" s="18" t="s">
        <v>21</v>
      </c>
      <c r="S62" s="18" t="s">
        <v>23</v>
      </c>
      <c r="T62" s="18" t="s">
        <v>21</v>
      </c>
      <c r="U62" s="18" t="s">
        <v>20</v>
      </c>
      <c r="V62" s="35" t="s">
        <v>21</v>
      </c>
      <c r="W62" s="35" t="s">
        <v>21</v>
      </c>
      <c r="X62" s="36" t="s">
        <v>21</v>
      </c>
      <c r="Y62" s="19" t="s">
        <v>21</v>
      </c>
      <c r="Z62" s="18" t="s">
        <v>20</v>
      </c>
      <c r="AA62" s="20" t="s">
        <v>21</v>
      </c>
      <c r="AB62" s="20" t="s">
        <v>21</v>
      </c>
      <c r="AC62" s="20" t="s">
        <v>21</v>
      </c>
      <c r="AD62" s="29" t="s">
        <v>55</v>
      </c>
      <c r="AE62" s="29" t="s">
        <v>55</v>
      </c>
      <c r="AG62">
        <f>+COUNTIF(F62:AE62,"AD")</f>
        <v>0</v>
      </c>
      <c r="AH62">
        <f>+COUNTIF(F62:AE62,"A")</f>
        <v>4</v>
      </c>
      <c r="AI62">
        <f>+COUNTIF(F62:AE62,"b")</f>
        <v>16</v>
      </c>
      <c r="AJ62">
        <f>+COUNTIF(F62:AE62,"c")</f>
        <v>4</v>
      </c>
      <c r="AL62">
        <f>+$AG$5*AG62</f>
        <v>0</v>
      </c>
      <c r="AM62">
        <f>+$AH$5*AH62</f>
        <v>12</v>
      </c>
      <c r="AN62">
        <f>+$AI$5*AI62</f>
        <v>32</v>
      </c>
      <c r="AO62">
        <f>+$AJ$5*AJ62</f>
        <v>4</v>
      </c>
      <c r="AP62">
        <f>+SUM(AL62:AO62)</f>
        <v>48</v>
      </c>
    </row>
    <row r="63" spans="1:42" ht="15.75" hidden="1" customHeight="1" x14ac:dyDescent="0.3">
      <c r="A63" s="16"/>
      <c r="B63" s="55">
        <v>21</v>
      </c>
      <c r="C63" s="56" t="s">
        <v>82</v>
      </c>
      <c r="D63" s="55">
        <v>2</v>
      </c>
      <c r="E63" s="55" t="s">
        <v>20</v>
      </c>
      <c r="F63" s="18" t="s">
        <v>21</v>
      </c>
      <c r="G63" s="18" t="s">
        <v>20</v>
      </c>
      <c r="H63" s="18" t="s">
        <v>21</v>
      </c>
      <c r="I63" s="18" t="s">
        <v>21</v>
      </c>
      <c r="J63" s="18" t="s">
        <v>20</v>
      </c>
      <c r="K63" s="18" t="s">
        <v>21</v>
      </c>
      <c r="L63" s="18" t="s">
        <v>23</v>
      </c>
      <c r="M63" s="18" t="s">
        <v>21</v>
      </c>
      <c r="N63" s="18" t="s">
        <v>21</v>
      </c>
      <c r="O63" s="18" t="s">
        <v>23</v>
      </c>
      <c r="P63" s="18" t="s">
        <v>23</v>
      </c>
      <c r="Q63" s="18" t="s">
        <v>23</v>
      </c>
      <c r="R63" s="18" t="s">
        <v>21</v>
      </c>
      <c r="S63" s="18" t="s">
        <v>23</v>
      </c>
      <c r="T63" s="18" t="s">
        <v>23</v>
      </c>
      <c r="U63" s="18" t="s">
        <v>21</v>
      </c>
      <c r="V63" s="37" t="s">
        <v>20</v>
      </c>
      <c r="W63" s="37" t="s">
        <v>21</v>
      </c>
      <c r="X63" s="37" t="s">
        <v>20</v>
      </c>
      <c r="Y63" s="18" t="s">
        <v>21</v>
      </c>
      <c r="Z63" s="18" t="s">
        <v>21</v>
      </c>
      <c r="AA63" s="20" t="s">
        <v>23</v>
      </c>
      <c r="AB63" s="20" t="s">
        <v>21</v>
      </c>
      <c r="AC63" s="20" t="s">
        <v>21</v>
      </c>
      <c r="AD63" s="29" t="s">
        <v>23</v>
      </c>
      <c r="AE63" s="29" t="s">
        <v>21</v>
      </c>
      <c r="AG63">
        <f>+COUNTIF(F63:AE63,"AD")</f>
        <v>0</v>
      </c>
      <c r="AH63">
        <f>+COUNTIF(F63:AE63,"A")</f>
        <v>4</v>
      </c>
      <c r="AI63">
        <f>+COUNTIF(F63:AE63,"b")</f>
        <v>14</v>
      </c>
      <c r="AJ63">
        <f>+COUNTIF(F63:AE63,"c")</f>
        <v>8</v>
      </c>
      <c r="AL63">
        <f>+$AG$5*AG63</f>
        <v>0</v>
      </c>
      <c r="AM63">
        <f>+$AH$5*AH63</f>
        <v>12</v>
      </c>
      <c r="AN63">
        <f>+$AI$5*AI63</f>
        <v>28</v>
      </c>
      <c r="AO63">
        <f>+$AJ$5*AJ63</f>
        <v>8</v>
      </c>
      <c r="AP63">
        <f>+SUM(AL63:AO63)</f>
        <v>48</v>
      </c>
    </row>
    <row r="64" spans="1:42" ht="15.75" hidden="1" customHeight="1" x14ac:dyDescent="0.3">
      <c r="A64" s="16"/>
      <c r="B64" s="55">
        <v>22</v>
      </c>
      <c r="C64" s="56" t="s">
        <v>83</v>
      </c>
      <c r="D64" s="55">
        <v>2</v>
      </c>
      <c r="E64" s="55" t="s">
        <v>20</v>
      </c>
      <c r="F64" s="18" t="s">
        <v>21</v>
      </c>
      <c r="G64" s="18" t="s">
        <v>23</v>
      </c>
      <c r="H64" s="18" t="s">
        <v>21</v>
      </c>
      <c r="I64" s="18" t="s">
        <v>21</v>
      </c>
      <c r="J64" s="18" t="s">
        <v>21</v>
      </c>
      <c r="K64" s="18" t="s">
        <v>21</v>
      </c>
      <c r="L64" s="18" t="s">
        <v>20</v>
      </c>
      <c r="M64" s="18" t="s">
        <v>21</v>
      </c>
      <c r="N64" s="18" t="s">
        <v>21</v>
      </c>
      <c r="O64" s="18" t="s">
        <v>23</v>
      </c>
      <c r="P64" s="18" t="s">
        <v>23</v>
      </c>
      <c r="Q64" s="18" t="s">
        <v>23</v>
      </c>
      <c r="R64" s="18" t="s">
        <v>21</v>
      </c>
      <c r="S64" s="18" t="s">
        <v>23</v>
      </c>
      <c r="T64" s="18" t="s">
        <v>23</v>
      </c>
      <c r="U64" s="18" t="s">
        <v>21</v>
      </c>
      <c r="V64" s="37" t="s">
        <v>20</v>
      </c>
      <c r="W64" s="37" t="s">
        <v>20</v>
      </c>
      <c r="X64" s="37" t="s">
        <v>20</v>
      </c>
      <c r="Y64" s="18" t="s">
        <v>21</v>
      </c>
      <c r="Z64" s="18" t="s">
        <v>21</v>
      </c>
      <c r="AA64" s="20" t="s">
        <v>23</v>
      </c>
      <c r="AB64" s="20" t="s">
        <v>21</v>
      </c>
      <c r="AC64" s="20" t="s">
        <v>21</v>
      </c>
      <c r="AD64" s="29" t="s">
        <v>23</v>
      </c>
      <c r="AE64" s="29" t="s">
        <v>21</v>
      </c>
      <c r="AG64">
        <f>+COUNTIF(F64:AE64,"AD")</f>
        <v>0</v>
      </c>
      <c r="AH64">
        <f>+COUNTIF(F64:AE64,"A")</f>
        <v>4</v>
      </c>
      <c r="AI64">
        <f>+COUNTIF(F64:AE64,"b")</f>
        <v>14</v>
      </c>
      <c r="AJ64">
        <f>+COUNTIF(F64:AE64,"c")</f>
        <v>8</v>
      </c>
      <c r="AL64">
        <f>+$AG$5*AG64</f>
        <v>0</v>
      </c>
      <c r="AM64">
        <f>+$AH$5*AH64</f>
        <v>12</v>
      </c>
      <c r="AN64">
        <f>+$AI$5*AI64</f>
        <v>28</v>
      </c>
      <c r="AO64">
        <f>+$AJ$5*AJ64</f>
        <v>8</v>
      </c>
      <c r="AP64">
        <f>+SUM(AL64:AO64)</f>
        <v>48</v>
      </c>
    </row>
    <row r="65" spans="1:42" ht="15.75" hidden="1" customHeight="1" x14ac:dyDescent="0.3">
      <c r="A65" s="16"/>
      <c r="B65" s="55">
        <v>24</v>
      </c>
      <c r="C65" s="56" t="s">
        <v>85</v>
      </c>
      <c r="D65" s="55">
        <v>2</v>
      </c>
      <c r="E65" s="55" t="s">
        <v>20</v>
      </c>
      <c r="F65" s="18" t="s">
        <v>21</v>
      </c>
      <c r="G65" s="18" t="s">
        <v>23</v>
      </c>
      <c r="H65" s="18" t="s">
        <v>21</v>
      </c>
      <c r="I65" s="18" t="s">
        <v>21</v>
      </c>
      <c r="J65" s="18" t="s">
        <v>21</v>
      </c>
      <c r="K65" s="18" t="s">
        <v>21</v>
      </c>
      <c r="L65" s="18" t="s">
        <v>23</v>
      </c>
      <c r="M65" s="18" t="s">
        <v>21</v>
      </c>
      <c r="N65" s="18" t="s">
        <v>21</v>
      </c>
      <c r="O65" s="18" t="s">
        <v>23</v>
      </c>
      <c r="P65" s="18" t="s">
        <v>21</v>
      </c>
      <c r="Q65" s="18" t="s">
        <v>21</v>
      </c>
      <c r="R65" s="18" t="s">
        <v>21</v>
      </c>
      <c r="S65" s="18" t="s">
        <v>23</v>
      </c>
      <c r="T65" s="18" t="s">
        <v>21</v>
      </c>
      <c r="U65" s="18" t="s">
        <v>21</v>
      </c>
      <c r="V65" s="37" t="s">
        <v>21</v>
      </c>
      <c r="W65" s="37" t="s">
        <v>20</v>
      </c>
      <c r="X65" s="37" t="s">
        <v>20</v>
      </c>
      <c r="Y65" s="18" t="s">
        <v>21</v>
      </c>
      <c r="Z65" s="18" t="s">
        <v>21</v>
      </c>
      <c r="AA65" s="20" t="s">
        <v>21</v>
      </c>
      <c r="AB65" s="20" t="s">
        <v>21</v>
      </c>
      <c r="AC65" s="20" t="s">
        <v>23</v>
      </c>
      <c r="AD65" s="29" t="s">
        <v>23</v>
      </c>
      <c r="AE65" s="29" t="s">
        <v>21</v>
      </c>
      <c r="AG65">
        <f>+COUNTIF(F65:AE65,"AD")</f>
        <v>0</v>
      </c>
      <c r="AH65">
        <f>+COUNTIF(F65:AE65,"A")</f>
        <v>2</v>
      </c>
      <c r="AI65">
        <f>+COUNTIF(F65:AE65,"b")</f>
        <v>18</v>
      </c>
      <c r="AJ65">
        <f>+COUNTIF(F65:AE65,"c")</f>
        <v>6</v>
      </c>
      <c r="AL65">
        <f>+$AG$5*AG65</f>
        <v>0</v>
      </c>
      <c r="AM65">
        <f>+$AH$5*AH65</f>
        <v>6</v>
      </c>
      <c r="AN65">
        <f>+$AI$5*AI65</f>
        <v>36</v>
      </c>
      <c r="AO65">
        <f>+$AJ$5*AJ65</f>
        <v>6</v>
      </c>
      <c r="AP65">
        <f>+SUM(AL65:AO65)</f>
        <v>48</v>
      </c>
    </row>
    <row r="66" spans="1:42" ht="15.75" hidden="1" customHeight="1" x14ac:dyDescent="0.3">
      <c r="A66" s="16"/>
      <c r="B66" s="55">
        <v>12</v>
      </c>
      <c r="C66" s="56" t="s">
        <v>73</v>
      </c>
      <c r="D66" s="55">
        <v>2</v>
      </c>
      <c r="E66" s="55" t="s">
        <v>20</v>
      </c>
      <c r="F66" s="18" t="s">
        <v>20</v>
      </c>
      <c r="G66" s="18" t="s">
        <v>21</v>
      </c>
      <c r="H66" s="18" t="s">
        <v>21</v>
      </c>
      <c r="I66" s="18" t="s">
        <v>21</v>
      </c>
      <c r="J66" s="18" t="s">
        <v>21</v>
      </c>
      <c r="K66" s="18" t="s">
        <v>21</v>
      </c>
      <c r="L66" s="18" t="s">
        <v>21</v>
      </c>
      <c r="M66" s="18" t="s">
        <v>21</v>
      </c>
      <c r="N66" s="18" t="s">
        <v>21</v>
      </c>
      <c r="O66" s="18" t="s">
        <v>23</v>
      </c>
      <c r="P66" s="18" t="s">
        <v>23</v>
      </c>
      <c r="Q66" s="18" t="s">
        <v>23</v>
      </c>
      <c r="R66" s="18" t="s">
        <v>21</v>
      </c>
      <c r="S66" s="18" t="s">
        <v>23</v>
      </c>
      <c r="T66" s="18" t="s">
        <v>23</v>
      </c>
      <c r="U66" s="18" t="s">
        <v>21</v>
      </c>
      <c r="V66" s="37" t="s">
        <v>21</v>
      </c>
      <c r="W66" s="37" t="s">
        <v>21</v>
      </c>
      <c r="X66" s="37" t="s">
        <v>21</v>
      </c>
      <c r="Y66" s="18" t="s">
        <v>21</v>
      </c>
      <c r="Z66" s="18" t="s">
        <v>21</v>
      </c>
      <c r="AA66" s="20" t="s">
        <v>23</v>
      </c>
      <c r="AB66" s="20" t="s">
        <v>21</v>
      </c>
      <c r="AC66" s="20" t="s">
        <v>23</v>
      </c>
      <c r="AD66" s="29" t="s">
        <v>23</v>
      </c>
      <c r="AE66" s="29" t="s">
        <v>21</v>
      </c>
      <c r="AG66">
        <f>+COUNTIF(F66:AE66,"AD")</f>
        <v>0</v>
      </c>
      <c r="AH66">
        <f>+COUNTIF(F66:AE66,"A")</f>
        <v>1</v>
      </c>
      <c r="AI66">
        <f>+COUNTIF(F66:AE66,"b")</f>
        <v>17</v>
      </c>
      <c r="AJ66">
        <f>+COUNTIF(F66:AE66,"c")</f>
        <v>8</v>
      </c>
      <c r="AL66">
        <f>+$AG$5*AG66</f>
        <v>0</v>
      </c>
      <c r="AM66">
        <f>+$AH$5*AH66</f>
        <v>3</v>
      </c>
      <c r="AN66">
        <f>+$AI$5*AI66</f>
        <v>34</v>
      </c>
      <c r="AO66">
        <f>+$AJ$5*AJ66</f>
        <v>8</v>
      </c>
      <c r="AP66">
        <f>+SUM(AL66:AO66)</f>
        <v>45</v>
      </c>
    </row>
    <row r="67" spans="1:42" ht="15.75" hidden="1" customHeight="1" thickBot="1" x14ac:dyDescent="0.35">
      <c r="A67" s="16"/>
      <c r="B67" s="57">
        <v>13</v>
      </c>
      <c r="C67" s="58" t="s">
        <v>74</v>
      </c>
      <c r="D67" s="57">
        <v>2</v>
      </c>
      <c r="E67" s="57" t="s">
        <v>20</v>
      </c>
      <c r="F67" s="21" t="s">
        <v>21</v>
      </c>
      <c r="G67" s="21" t="s">
        <v>21</v>
      </c>
      <c r="H67" s="21" t="s">
        <v>21</v>
      </c>
      <c r="I67" s="21" t="s">
        <v>21</v>
      </c>
      <c r="J67" s="21" t="s">
        <v>21</v>
      </c>
      <c r="K67" s="21" t="s">
        <v>23</v>
      </c>
      <c r="L67" s="21" t="s">
        <v>21</v>
      </c>
      <c r="M67" s="21" t="s">
        <v>21</v>
      </c>
      <c r="N67" s="21" t="s">
        <v>21</v>
      </c>
      <c r="O67" s="21" t="s">
        <v>23</v>
      </c>
      <c r="P67" s="21" t="s">
        <v>23</v>
      </c>
      <c r="Q67" s="21" t="s">
        <v>23</v>
      </c>
      <c r="R67" s="21" t="s">
        <v>23</v>
      </c>
      <c r="S67" s="21" t="s">
        <v>23</v>
      </c>
      <c r="T67" s="21" t="s">
        <v>23</v>
      </c>
      <c r="U67" s="21" t="s">
        <v>21</v>
      </c>
      <c r="V67" s="38" t="s">
        <v>20</v>
      </c>
      <c r="W67" s="38" t="s">
        <v>20</v>
      </c>
      <c r="X67" s="38" t="s">
        <v>20</v>
      </c>
      <c r="Y67" s="21" t="s">
        <v>21</v>
      </c>
      <c r="Z67" s="21" t="s">
        <v>21</v>
      </c>
      <c r="AA67" s="23" t="s">
        <v>21</v>
      </c>
      <c r="AB67" s="23" t="s">
        <v>23</v>
      </c>
      <c r="AC67" s="23" t="s">
        <v>23</v>
      </c>
      <c r="AD67" s="31" t="s">
        <v>23</v>
      </c>
      <c r="AE67" s="31" t="s">
        <v>21</v>
      </c>
      <c r="AG67">
        <f>+COUNTIF(F67:AE67,"AD")</f>
        <v>0</v>
      </c>
      <c r="AH67">
        <f>+COUNTIF(F67:AE67,"A")</f>
        <v>3</v>
      </c>
      <c r="AI67">
        <f>+COUNTIF(F67:AE67,"b")</f>
        <v>13</v>
      </c>
      <c r="AJ67">
        <f>+COUNTIF(F67:AE67,"c")</f>
        <v>10</v>
      </c>
      <c r="AL67">
        <f>+$AG$5*AG67</f>
        <v>0</v>
      </c>
      <c r="AM67">
        <f>+$AH$5*AH67</f>
        <v>9</v>
      </c>
      <c r="AN67">
        <f>+$AI$5*AI67</f>
        <v>26</v>
      </c>
      <c r="AO67">
        <f>+$AJ$5*AJ67</f>
        <v>10</v>
      </c>
      <c r="AP67">
        <f>+SUM(AL67:AO67)</f>
        <v>45</v>
      </c>
    </row>
    <row r="68" spans="1:42" ht="15.75" hidden="1" customHeight="1" x14ac:dyDescent="0.3">
      <c r="A68" s="16"/>
      <c r="B68" s="55">
        <v>1</v>
      </c>
      <c r="C68" s="60" t="s">
        <v>93</v>
      </c>
      <c r="D68" s="59">
        <v>2</v>
      </c>
      <c r="E68" s="59" t="s">
        <v>21</v>
      </c>
      <c r="F68" s="24" t="s">
        <v>20</v>
      </c>
      <c r="G68" s="24" t="s">
        <v>20</v>
      </c>
      <c r="H68" s="24" t="s">
        <v>20</v>
      </c>
      <c r="I68" s="24" t="s">
        <v>20</v>
      </c>
      <c r="J68" s="24" t="s">
        <v>20</v>
      </c>
      <c r="K68" s="24" t="s">
        <v>20</v>
      </c>
      <c r="L68" s="24" t="s">
        <v>39</v>
      </c>
      <c r="M68" s="24" t="s">
        <v>20</v>
      </c>
      <c r="N68" s="24" t="s">
        <v>20</v>
      </c>
      <c r="O68" s="24" t="s">
        <v>20</v>
      </c>
      <c r="P68" s="24" t="s">
        <v>20</v>
      </c>
      <c r="Q68" s="24" t="s">
        <v>20</v>
      </c>
      <c r="R68" s="24" t="s">
        <v>20</v>
      </c>
      <c r="S68" s="24" t="s">
        <v>20</v>
      </c>
      <c r="T68" s="24" t="s">
        <v>20</v>
      </c>
      <c r="U68" s="24" t="s">
        <v>20</v>
      </c>
      <c r="V68" s="39" t="s">
        <v>20</v>
      </c>
      <c r="W68" s="39" t="s">
        <v>20</v>
      </c>
      <c r="X68" s="39" t="s">
        <v>20</v>
      </c>
      <c r="Y68" s="24" t="s">
        <v>20</v>
      </c>
      <c r="Z68" s="24" t="s">
        <v>20</v>
      </c>
      <c r="AA68" s="27" t="s">
        <v>20</v>
      </c>
      <c r="AB68" s="27" t="s">
        <v>20</v>
      </c>
      <c r="AC68" s="27" t="s">
        <v>20</v>
      </c>
      <c r="AD68" s="24" t="s">
        <v>20</v>
      </c>
      <c r="AE68" s="24" t="s">
        <v>21</v>
      </c>
      <c r="AG68">
        <f>+COUNTIF(F68:AE68,"AD")</f>
        <v>1</v>
      </c>
      <c r="AH68">
        <f>+COUNTIF(F68:AE68,"A")</f>
        <v>24</v>
      </c>
      <c r="AI68">
        <f>+COUNTIF(F68:AE68,"b")</f>
        <v>1</v>
      </c>
      <c r="AJ68">
        <f>+COUNTIF(F68:AE68,"c")</f>
        <v>0</v>
      </c>
      <c r="AL68">
        <f>+$AG$5*AG68</f>
        <v>4</v>
      </c>
      <c r="AM68">
        <f>+$AH$5*AH68</f>
        <v>72</v>
      </c>
      <c r="AN68">
        <f>+$AI$5*AI68</f>
        <v>2</v>
      </c>
      <c r="AO68">
        <f>+$AJ$5*AJ68</f>
        <v>0</v>
      </c>
      <c r="AP68">
        <f>+SUM(AL68:AO68)</f>
        <v>78</v>
      </c>
    </row>
    <row r="69" spans="1:42" ht="15.75" hidden="1" customHeight="1" x14ac:dyDescent="0.3">
      <c r="A69" s="16"/>
      <c r="B69" s="55">
        <v>2</v>
      </c>
      <c r="C69" s="56" t="s">
        <v>99</v>
      </c>
      <c r="D69" s="55">
        <v>2</v>
      </c>
      <c r="E69" s="55" t="s">
        <v>21</v>
      </c>
      <c r="F69" s="18" t="s">
        <v>20</v>
      </c>
      <c r="G69" s="18" t="s">
        <v>20</v>
      </c>
      <c r="H69" s="18" t="s">
        <v>20</v>
      </c>
      <c r="I69" s="18" t="s">
        <v>20</v>
      </c>
      <c r="J69" s="18" t="s">
        <v>20</v>
      </c>
      <c r="K69" s="18" t="s">
        <v>20</v>
      </c>
      <c r="L69" s="18" t="s">
        <v>20</v>
      </c>
      <c r="M69" s="18" t="s">
        <v>21</v>
      </c>
      <c r="N69" s="18" t="s">
        <v>20</v>
      </c>
      <c r="O69" s="18" t="s">
        <v>20</v>
      </c>
      <c r="P69" s="18" t="s">
        <v>20</v>
      </c>
      <c r="Q69" s="18" t="s">
        <v>20</v>
      </c>
      <c r="R69" s="18" t="s">
        <v>20</v>
      </c>
      <c r="S69" s="18" t="s">
        <v>20</v>
      </c>
      <c r="T69" s="18" t="s">
        <v>20</v>
      </c>
      <c r="U69" s="18" t="s">
        <v>21</v>
      </c>
      <c r="V69" s="37" t="s">
        <v>20</v>
      </c>
      <c r="W69" s="37" t="s">
        <v>20</v>
      </c>
      <c r="X69" s="37" t="s">
        <v>20</v>
      </c>
      <c r="Y69" s="18" t="s">
        <v>20</v>
      </c>
      <c r="Z69" s="18" t="s">
        <v>20</v>
      </c>
      <c r="AA69" s="20" t="s">
        <v>21</v>
      </c>
      <c r="AB69" s="20" t="s">
        <v>21</v>
      </c>
      <c r="AC69" s="20" t="s">
        <v>21</v>
      </c>
      <c r="AD69" s="40" t="s">
        <v>23</v>
      </c>
      <c r="AE69" s="40" t="s">
        <v>21</v>
      </c>
      <c r="AG69">
        <f>+COUNTIF(F69:AE69,"AD")</f>
        <v>0</v>
      </c>
      <c r="AH69">
        <f>+COUNTIF(F69:AE69,"A")</f>
        <v>19</v>
      </c>
      <c r="AI69">
        <f>+COUNTIF(F69:AE69,"b")</f>
        <v>6</v>
      </c>
      <c r="AJ69">
        <f>+COUNTIF(F69:AE69,"c")</f>
        <v>1</v>
      </c>
      <c r="AL69">
        <f>+$AG$5*AG69</f>
        <v>0</v>
      </c>
      <c r="AM69">
        <f>+$AH$5*AH69</f>
        <v>57</v>
      </c>
      <c r="AN69">
        <f>+$AI$5*AI69</f>
        <v>12</v>
      </c>
      <c r="AO69">
        <f>+$AJ$5*AJ69</f>
        <v>1</v>
      </c>
      <c r="AP69">
        <f>+SUM(AL69:AO69)</f>
        <v>70</v>
      </c>
    </row>
    <row r="70" spans="1:42" ht="15.75" hidden="1" customHeight="1" x14ac:dyDescent="0.3">
      <c r="A70" s="16"/>
      <c r="B70" s="55">
        <v>3</v>
      </c>
      <c r="C70" s="56" t="s">
        <v>105</v>
      </c>
      <c r="D70" s="55">
        <v>2</v>
      </c>
      <c r="E70" s="55" t="s">
        <v>21</v>
      </c>
      <c r="F70" s="18" t="s">
        <v>20</v>
      </c>
      <c r="G70" s="18" t="s">
        <v>20</v>
      </c>
      <c r="H70" s="18" t="s">
        <v>20</v>
      </c>
      <c r="I70" s="18" t="s">
        <v>20</v>
      </c>
      <c r="J70" s="18" t="s">
        <v>20</v>
      </c>
      <c r="K70" s="18" t="s">
        <v>20</v>
      </c>
      <c r="L70" s="18" t="s">
        <v>21</v>
      </c>
      <c r="M70" s="18" t="s">
        <v>21</v>
      </c>
      <c r="N70" s="18" t="s">
        <v>20</v>
      </c>
      <c r="O70" s="18" t="s">
        <v>20</v>
      </c>
      <c r="P70" s="18" t="s">
        <v>23</v>
      </c>
      <c r="Q70" s="18" t="s">
        <v>23</v>
      </c>
      <c r="R70" s="18" t="s">
        <v>21</v>
      </c>
      <c r="S70" s="18" t="s">
        <v>21</v>
      </c>
      <c r="T70" s="18" t="s">
        <v>20</v>
      </c>
      <c r="U70" s="18" t="s">
        <v>21</v>
      </c>
      <c r="V70" s="37" t="s">
        <v>21</v>
      </c>
      <c r="W70" s="37" t="s">
        <v>20</v>
      </c>
      <c r="X70" s="37" t="s">
        <v>21</v>
      </c>
      <c r="Y70" s="18" t="s">
        <v>20</v>
      </c>
      <c r="Z70" s="18" t="s">
        <v>20</v>
      </c>
      <c r="AA70" s="20" t="s">
        <v>20</v>
      </c>
      <c r="AB70" s="20" t="s">
        <v>20</v>
      </c>
      <c r="AC70" s="20" t="s">
        <v>20</v>
      </c>
      <c r="AD70" s="18" t="s">
        <v>21</v>
      </c>
      <c r="AE70" s="18" t="s">
        <v>21</v>
      </c>
      <c r="AG70">
        <f>+COUNTIF(F70:AE70,"AD")</f>
        <v>0</v>
      </c>
      <c r="AH70">
        <f>+COUNTIF(F70:AE70,"A")</f>
        <v>15</v>
      </c>
      <c r="AI70">
        <f>+COUNTIF(F70:AE70,"b")</f>
        <v>9</v>
      </c>
      <c r="AJ70">
        <f>+COUNTIF(F70:AE70,"c")</f>
        <v>2</v>
      </c>
      <c r="AL70">
        <f>+$AG$5*AG70</f>
        <v>0</v>
      </c>
      <c r="AM70">
        <f>+$AH$5*AH70</f>
        <v>45</v>
      </c>
      <c r="AN70">
        <f>+$AI$5*AI70</f>
        <v>18</v>
      </c>
      <c r="AO70">
        <f>+$AJ$5*AJ70</f>
        <v>2</v>
      </c>
      <c r="AP70">
        <f>+SUM(AL70:AO70)</f>
        <v>65</v>
      </c>
    </row>
    <row r="71" spans="1:42" ht="15.75" hidden="1" customHeight="1" x14ac:dyDescent="0.3">
      <c r="A71" s="16"/>
      <c r="B71" s="55">
        <v>4</v>
      </c>
      <c r="C71" s="56" t="s">
        <v>98</v>
      </c>
      <c r="D71" s="55">
        <v>2</v>
      </c>
      <c r="E71" s="55" t="s">
        <v>21</v>
      </c>
      <c r="F71" s="18" t="s">
        <v>20</v>
      </c>
      <c r="G71" s="18" t="s">
        <v>21</v>
      </c>
      <c r="H71" s="18" t="s">
        <v>20</v>
      </c>
      <c r="I71" s="18" t="s">
        <v>21</v>
      </c>
      <c r="J71" s="18" t="s">
        <v>20</v>
      </c>
      <c r="K71" s="18" t="s">
        <v>20</v>
      </c>
      <c r="L71" s="18" t="s">
        <v>20</v>
      </c>
      <c r="M71" s="18" t="s">
        <v>21</v>
      </c>
      <c r="N71" s="18" t="s">
        <v>20</v>
      </c>
      <c r="O71" s="18" t="s">
        <v>21</v>
      </c>
      <c r="P71" s="18" t="s">
        <v>21</v>
      </c>
      <c r="Q71" s="18" t="s">
        <v>21</v>
      </c>
      <c r="R71" s="18" t="s">
        <v>21</v>
      </c>
      <c r="S71" s="18" t="s">
        <v>20</v>
      </c>
      <c r="T71" s="18" t="s">
        <v>20</v>
      </c>
      <c r="U71" s="18" t="s">
        <v>21</v>
      </c>
      <c r="V71" s="37" t="s">
        <v>21</v>
      </c>
      <c r="W71" s="37" t="s">
        <v>20</v>
      </c>
      <c r="X71" s="37" t="s">
        <v>21</v>
      </c>
      <c r="Y71" s="18" t="s">
        <v>21</v>
      </c>
      <c r="Z71" s="18" t="s">
        <v>21</v>
      </c>
      <c r="AA71" s="20" t="s">
        <v>21</v>
      </c>
      <c r="AB71" s="20" t="s">
        <v>20</v>
      </c>
      <c r="AC71" s="20" t="s">
        <v>20</v>
      </c>
      <c r="AD71" s="18" t="s">
        <v>21</v>
      </c>
      <c r="AE71" s="18" t="s">
        <v>21</v>
      </c>
      <c r="AG71">
        <f>+COUNTIF(F71:AE71,"AD")</f>
        <v>0</v>
      </c>
      <c r="AH71">
        <f>+COUNTIF(F71:AE71,"A")</f>
        <v>11</v>
      </c>
      <c r="AI71">
        <f>+COUNTIF(F71:AE71,"b")</f>
        <v>15</v>
      </c>
      <c r="AJ71">
        <f>+COUNTIF(F71:AE71,"c")</f>
        <v>0</v>
      </c>
      <c r="AL71">
        <f>+$AG$5*AG71</f>
        <v>0</v>
      </c>
      <c r="AM71">
        <f>+$AH$5*AH71</f>
        <v>33</v>
      </c>
      <c r="AN71">
        <f>+$AI$5*AI71</f>
        <v>30</v>
      </c>
      <c r="AO71">
        <f>+$AJ$5*AJ71</f>
        <v>0</v>
      </c>
      <c r="AP71">
        <f>+SUM(AL71:AO71)</f>
        <v>63</v>
      </c>
    </row>
    <row r="72" spans="1:42" ht="15.75" hidden="1" customHeight="1" x14ac:dyDescent="0.3">
      <c r="A72" s="16"/>
      <c r="B72" s="55">
        <v>5</v>
      </c>
      <c r="C72" s="56" t="s">
        <v>88</v>
      </c>
      <c r="D72" s="55">
        <v>2</v>
      </c>
      <c r="E72" s="55" t="s">
        <v>21</v>
      </c>
      <c r="F72" s="18" t="s">
        <v>20</v>
      </c>
      <c r="G72" s="18" t="s">
        <v>21</v>
      </c>
      <c r="H72" s="18" t="s">
        <v>20</v>
      </c>
      <c r="I72" s="18" t="s">
        <v>21</v>
      </c>
      <c r="J72" s="18" t="s">
        <v>20</v>
      </c>
      <c r="K72" s="18" t="s">
        <v>20</v>
      </c>
      <c r="L72" s="18" t="s">
        <v>20</v>
      </c>
      <c r="M72" s="18" t="s">
        <v>23</v>
      </c>
      <c r="N72" s="18" t="s">
        <v>21</v>
      </c>
      <c r="O72" s="18" t="s">
        <v>20</v>
      </c>
      <c r="P72" s="18" t="s">
        <v>21</v>
      </c>
      <c r="Q72" s="18" t="s">
        <v>21</v>
      </c>
      <c r="R72" s="18" t="s">
        <v>21</v>
      </c>
      <c r="S72" s="18" t="s">
        <v>20</v>
      </c>
      <c r="T72" s="18" t="s">
        <v>20</v>
      </c>
      <c r="U72" s="18" t="s">
        <v>20</v>
      </c>
      <c r="V72" s="37" t="s">
        <v>21</v>
      </c>
      <c r="W72" s="37" t="s">
        <v>21</v>
      </c>
      <c r="X72" s="37" t="s">
        <v>21</v>
      </c>
      <c r="Y72" s="18" t="s">
        <v>21</v>
      </c>
      <c r="Z72" s="18" t="s">
        <v>21</v>
      </c>
      <c r="AA72" s="20" t="s">
        <v>20</v>
      </c>
      <c r="AB72" s="20" t="s">
        <v>20</v>
      </c>
      <c r="AC72" s="20" t="s">
        <v>20</v>
      </c>
      <c r="AD72" s="18" t="s">
        <v>23</v>
      </c>
      <c r="AE72" s="18" t="s">
        <v>21</v>
      </c>
      <c r="AG72">
        <f>+COUNTIF(F72:AE72,"AD")</f>
        <v>0</v>
      </c>
      <c r="AH72">
        <f>+COUNTIF(F72:AE72,"A")</f>
        <v>12</v>
      </c>
      <c r="AI72">
        <f>+COUNTIF(F72:AE72,"b")</f>
        <v>12</v>
      </c>
      <c r="AJ72">
        <f>+COUNTIF(F72:AE72,"c")</f>
        <v>2</v>
      </c>
      <c r="AL72">
        <f>+$AG$5*AG72</f>
        <v>0</v>
      </c>
      <c r="AM72">
        <f>+$AH$5*AH72</f>
        <v>36</v>
      </c>
      <c r="AN72">
        <f>+$AI$5*AI72</f>
        <v>24</v>
      </c>
      <c r="AO72">
        <f>+$AJ$5*AJ72</f>
        <v>2</v>
      </c>
      <c r="AP72">
        <f>+SUM(AL72:AO72)</f>
        <v>62</v>
      </c>
    </row>
    <row r="73" spans="1:42" ht="15.75" hidden="1" customHeight="1" x14ac:dyDescent="0.3">
      <c r="A73" s="16"/>
      <c r="B73" s="55">
        <v>6</v>
      </c>
      <c r="C73" s="56" t="s">
        <v>97</v>
      </c>
      <c r="D73" s="55">
        <v>2</v>
      </c>
      <c r="E73" s="55" t="s">
        <v>21</v>
      </c>
      <c r="F73" s="18" t="s">
        <v>20</v>
      </c>
      <c r="G73" s="18" t="s">
        <v>21</v>
      </c>
      <c r="H73" s="18" t="s">
        <v>21</v>
      </c>
      <c r="I73" s="18" t="s">
        <v>21</v>
      </c>
      <c r="J73" s="18" t="s">
        <v>21</v>
      </c>
      <c r="K73" s="18" t="s">
        <v>21</v>
      </c>
      <c r="L73" s="18" t="s">
        <v>21</v>
      </c>
      <c r="M73" s="18" t="s">
        <v>20</v>
      </c>
      <c r="N73" s="18" t="s">
        <v>20</v>
      </c>
      <c r="O73" s="18" t="s">
        <v>20</v>
      </c>
      <c r="P73" s="18" t="s">
        <v>21</v>
      </c>
      <c r="Q73" s="18" t="s">
        <v>21</v>
      </c>
      <c r="R73" s="18" t="s">
        <v>21</v>
      </c>
      <c r="S73" s="18" t="s">
        <v>20</v>
      </c>
      <c r="T73" s="18" t="s">
        <v>20</v>
      </c>
      <c r="U73" s="18" t="s">
        <v>21</v>
      </c>
      <c r="V73" s="37" t="s">
        <v>21</v>
      </c>
      <c r="W73" s="37" t="s">
        <v>20</v>
      </c>
      <c r="X73" s="37" t="s">
        <v>20</v>
      </c>
      <c r="Y73" s="18" t="s">
        <v>20</v>
      </c>
      <c r="Z73" s="18" t="s">
        <v>20</v>
      </c>
      <c r="AA73" s="20" t="s">
        <v>23</v>
      </c>
      <c r="AB73" s="20" t="s">
        <v>21</v>
      </c>
      <c r="AC73" s="20" t="s">
        <v>21</v>
      </c>
      <c r="AD73" s="18" t="s">
        <v>20</v>
      </c>
      <c r="AE73" s="18" t="s">
        <v>21</v>
      </c>
      <c r="AG73">
        <f>+COUNTIF(F73:AE73,"AD")</f>
        <v>0</v>
      </c>
      <c r="AH73">
        <f>+COUNTIF(F73:AE73,"A")</f>
        <v>11</v>
      </c>
      <c r="AI73">
        <f>+COUNTIF(F73:AE73,"b")</f>
        <v>14</v>
      </c>
      <c r="AJ73">
        <f>+COUNTIF(F73:AE73,"c")</f>
        <v>1</v>
      </c>
      <c r="AL73">
        <f>+$AG$5*AG73</f>
        <v>0</v>
      </c>
      <c r="AM73">
        <f>+$AH$5*AH73</f>
        <v>33</v>
      </c>
      <c r="AN73">
        <f>+$AI$5*AI73</f>
        <v>28</v>
      </c>
      <c r="AO73">
        <f>+$AJ$5*AJ73</f>
        <v>1</v>
      </c>
      <c r="AP73">
        <f>+SUM(AL73:AO73)</f>
        <v>62</v>
      </c>
    </row>
    <row r="74" spans="1:42" ht="15.75" hidden="1" customHeight="1" x14ac:dyDescent="0.3">
      <c r="A74" s="16"/>
      <c r="B74" s="55">
        <v>7</v>
      </c>
      <c r="C74" s="56" t="s">
        <v>89</v>
      </c>
      <c r="D74" s="55">
        <v>2</v>
      </c>
      <c r="E74" s="55" t="s">
        <v>21</v>
      </c>
      <c r="F74" s="18" t="s">
        <v>20</v>
      </c>
      <c r="G74" s="18" t="s">
        <v>21</v>
      </c>
      <c r="H74" s="18" t="s">
        <v>21</v>
      </c>
      <c r="I74" s="18" t="s">
        <v>21</v>
      </c>
      <c r="J74" s="18" t="s">
        <v>21</v>
      </c>
      <c r="K74" s="18" t="s">
        <v>21</v>
      </c>
      <c r="L74" s="18" t="s">
        <v>21</v>
      </c>
      <c r="M74" s="18" t="s">
        <v>21</v>
      </c>
      <c r="N74" s="18" t="s">
        <v>20</v>
      </c>
      <c r="O74" s="18" t="s">
        <v>21</v>
      </c>
      <c r="P74" s="18" t="s">
        <v>20</v>
      </c>
      <c r="Q74" s="18" t="s">
        <v>20</v>
      </c>
      <c r="R74" s="18" t="s">
        <v>20</v>
      </c>
      <c r="S74" s="18" t="s">
        <v>20</v>
      </c>
      <c r="T74" s="18" t="s">
        <v>20</v>
      </c>
      <c r="U74" s="18" t="s">
        <v>21</v>
      </c>
      <c r="V74" s="37" t="s">
        <v>20</v>
      </c>
      <c r="W74" s="37" t="s">
        <v>21</v>
      </c>
      <c r="X74" s="37" t="s">
        <v>21</v>
      </c>
      <c r="Y74" s="18" t="s">
        <v>21</v>
      </c>
      <c r="Z74" s="18" t="s">
        <v>21</v>
      </c>
      <c r="AA74" s="20" t="s">
        <v>21</v>
      </c>
      <c r="AB74" s="20" t="s">
        <v>21</v>
      </c>
      <c r="AC74" s="20" t="s">
        <v>21</v>
      </c>
      <c r="AD74" s="18" t="s">
        <v>21</v>
      </c>
      <c r="AE74" s="18" t="s">
        <v>21</v>
      </c>
      <c r="AG74">
        <f>+COUNTIF(F74:AE74,"AD")</f>
        <v>0</v>
      </c>
      <c r="AH74">
        <f>+COUNTIF(F74:AE74,"A")</f>
        <v>8</v>
      </c>
      <c r="AI74">
        <f>+COUNTIF(F74:AE74,"b")</f>
        <v>18</v>
      </c>
      <c r="AJ74">
        <f>+COUNTIF(F74:AE74,"c")</f>
        <v>0</v>
      </c>
      <c r="AL74">
        <f>+$AG$5*AG74</f>
        <v>0</v>
      </c>
      <c r="AM74">
        <f>+$AH$5*AH74</f>
        <v>24</v>
      </c>
      <c r="AN74">
        <f>+$AI$5*AI74</f>
        <v>36</v>
      </c>
      <c r="AO74">
        <f>+$AJ$5*AJ74</f>
        <v>0</v>
      </c>
      <c r="AP74">
        <f>+SUM(AL74:AO74)</f>
        <v>60</v>
      </c>
    </row>
    <row r="75" spans="1:42" ht="15.75" hidden="1" customHeight="1" x14ac:dyDescent="0.3">
      <c r="A75" s="16"/>
      <c r="B75" s="55">
        <v>8</v>
      </c>
      <c r="C75" s="56" t="s">
        <v>90</v>
      </c>
      <c r="D75" s="55">
        <v>2</v>
      </c>
      <c r="E75" s="55" t="s">
        <v>21</v>
      </c>
      <c r="F75" s="18" t="s">
        <v>20</v>
      </c>
      <c r="G75" s="18" t="s">
        <v>20</v>
      </c>
      <c r="H75" s="18" t="s">
        <v>20</v>
      </c>
      <c r="I75" s="18" t="s">
        <v>20</v>
      </c>
      <c r="J75" s="18" t="s">
        <v>21</v>
      </c>
      <c r="K75" s="18" t="s">
        <v>20</v>
      </c>
      <c r="L75" s="18" t="s">
        <v>20</v>
      </c>
      <c r="M75" s="18" t="s">
        <v>21</v>
      </c>
      <c r="N75" s="18" t="s">
        <v>20</v>
      </c>
      <c r="O75" s="18" t="s">
        <v>20</v>
      </c>
      <c r="P75" s="18" t="s">
        <v>21</v>
      </c>
      <c r="Q75" s="18" t="s">
        <v>21</v>
      </c>
      <c r="R75" s="18" t="s">
        <v>21</v>
      </c>
      <c r="S75" s="18" t="s">
        <v>21</v>
      </c>
      <c r="T75" s="18" t="s">
        <v>20</v>
      </c>
      <c r="U75" s="18" t="s">
        <v>21</v>
      </c>
      <c r="V75" s="37" t="s">
        <v>21</v>
      </c>
      <c r="W75" s="37" t="s">
        <v>21</v>
      </c>
      <c r="X75" s="37" t="s">
        <v>21</v>
      </c>
      <c r="Y75" s="18" t="s">
        <v>21</v>
      </c>
      <c r="Z75" s="18" t="s">
        <v>20</v>
      </c>
      <c r="AA75" s="20" t="s">
        <v>21</v>
      </c>
      <c r="AB75" s="20" t="s">
        <v>23</v>
      </c>
      <c r="AC75" s="20" t="s">
        <v>21</v>
      </c>
      <c r="AD75" s="18" t="s">
        <v>23</v>
      </c>
      <c r="AE75" s="18" t="s">
        <v>21</v>
      </c>
      <c r="AG75">
        <f>+COUNTIF(F75:AE75,"AD")</f>
        <v>0</v>
      </c>
      <c r="AH75">
        <f>+COUNTIF(F75:AE75,"A")</f>
        <v>10</v>
      </c>
      <c r="AI75">
        <f>+COUNTIF(F75:AE75,"b")</f>
        <v>14</v>
      </c>
      <c r="AJ75">
        <f>+COUNTIF(F75:AE75,"c")</f>
        <v>2</v>
      </c>
      <c r="AL75">
        <f>+$AG$5*AG75</f>
        <v>0</v>
      </c>
      <c r="AM75">
        <f>+$AH$5*AH75</f>
        <v>30</v>
      </c>
      <c r="AN75">
        <f>+$AI$5*AI75</f>
        <v>28</v>
      </c>
      <c r="AO75">
        <f>+$AJ$5*AJ75</f>
        <v>2</v>
      </c>
      <c r="AP75">
        <f>+SUM(AL75:AO75)</f>
        <v>60</v>
      </c>
    </row>
    <row r="76" spans="1:42" ht="15.75" hidden="1" customHeight="1" x14ac:dyDescent="0.3">
      <c r="A76" s="16"/>
      <c r="B76" s="55">
        <v>9</v>
      </c>
      <c r="C76" s="56" t="s">
        <v>94</v>
      </c>
      <c r="D76" s="55">
        <v>2</v>
      </c>
      <c r="E76" s="55" t="s">
        <v>21</v>
      </c>
      <c r="F76" s="18" t="s">
        <v>20</v>
      </c>
      <c r="G76" s="18" t="s">
        <v>21</v>
      </c>
      <c r="H76" s="18" t="s">
        <v>21</v>
      </c>
      <c r="I76" s="18" t="s">
        <v>21</v>
      </c>
      <c r="J76" s="18" t="s">
        <v>21</v>
      </c>
      <c r="K76" s="18" t="s">
        <v>21</v>
      </c>
      <c r="L76" s="18" t="s">
        <v>21</v>
      </c>
      <c r="M76" s="18" t="s">
        <v>21</v>
      </c>
      <c r="N76" s="18" t="s">
        <v>21</v>
      </c>
      <c r="O76" s="18" t="s">
        <v>20</v>
      </c>
      <c r="P76" s="18" t="s">
        <v>21</v>
      </c>
      <c r="Q76" s="18" t="s">
        <v>21</v>
      </c>
      <c r="R76" s="18" t="s">
        <v>21</v>
      </c>
      <c r="S76" s="18" t="s">
        <v>21</v>
      </c>
      <c r="T76" s="18" t="s">
        <v>20</v>
      </c>
      <c r="U76" s="18" t="s">
        <v>20</v>
      </c>
      <c r="V76" s="37" t="s">
        <v>20</v>
      </c>
      <c r="W76" s="37" t="s">
        <v>20</v>
      </c>
      <c r="X76" s="37" t="s">
        <v>20</v>
      </c>
      <c r="Y76" s="18" t="s">
        <v>20</v>
      </c>
      <c r="Z76" s="18" t="s">
        <v>21</v>
      </c>
      <c r="AA76" s="20" t="s">
        <v>21</v>
      </c>
      <c r="AB76" s="20" t="s">
        <v>21</v>
      </c>
      <c r="AC76" s="20" t="s">
        <v>21</v>
      </c>
      <c r="AD76" s="18" t="s">
        <v>21</v>
      </c>
      <c r="AE76" s="18" t="s">
        <v>21</v>
      </c>
      <c r="AG76">
        <f>+COUNTIF(F76:AE76,"AD")</f>
        <v>0</v>
      </c>
      <c r="AH76">
        <f>+COUNTIF(F76:AE76,"A")</f>
        <v>8</v>
      </c>
      <c r="AI76">
        <f>+COUNTIF(F76:AE76,"b")</f>
        <v>18</v>
      </c>
      <c r="AJ76">
        <f>+COUNTIF(F76:AE76,"c")</f>
        <v>0</v>
      </c>
      <c r="AL76">
        <f>+$AG$5*AG76</f>
        <v>0</v>
      </c>
      <c r="AM76">
        <f>+$AH$5*AH76</f>
        <v>24</v>
      </c>
      <c r="AN76">
        <f>+$AI$5*AI76</f>
        <v>36</v>
      </c>
      <c r="AO76">
        <f>+$AJ$5*AJ76</f>
        <v>0</v>
      </c>
      <c r="AP76">
        <f>+SUM(AL76:AO76)</f>
        <v>60</v>
      </c>
    </row>
    <row r="77" spans="1:42" ht="15.75" hidden="1" customHeight="1" x14ac:dyDescent="0.3">
      <c r="A77" s="16"/>
      <c r="B77" s="55">
        <v>10</v>
      </c>
      <c r="C77" s="56" t="s">
        <v>91</v>
      </c>
      <c r="D77" s="55">
        <v>2</v>
      </c>
      <c r="E77" s="55" t="s">
        <v>21</v>
      </c>
      <c r="F77" s="18" t="s">
        <v>21</v>
      </c>
      <c r="G77" s="18" t="s">
        <v>21</v>
      </c>
      <c r="H77" s="18" t="s">
        <v>21</v>
      </c>
      <c r="I77" s="18" t="s">
        <v>21</v>
      </c>
      <c r="J77" s="18" t="s">
        <v>21</v>
      </c>
      <c r="K77" s="18" t="s">
        <v>21</v>
      </c>
      <c r="L77" s="18" t="s">
        <v>21</v>
      </c>
      <c r="M77" s="18" t="s">
        <v>20</v>
      </c>
      <c r="N77" s="18" t="s">
        <v>20</v>
      </c>
      <c r="O77" s="18" t="s">
        <v>21</v>
      </c>
      <c r="P77" s="18" t="s">
        <v>23</v>
      </c>
      <c r="Q77" s="18" t="s">
        <v>21</v>
      </c>
      <c r="R77" s="18" t="s">
        <v>21</v>
      </c>
      <c r="S77" s="18" t="s">
        <v>21</v>
      </c>
      <c r="T77" s="18" t="s">
        <v>20</v>
      </c>
      <c r="U77" s="18" t="s">
        <v>20</v>
      </c>
      <c r="V77" s="37" t="s">
        <v>20</v>
      </c>
      <c r="W77" s="37" t="s">
        <v>20</v>
      </c>
      <c r="X77" s="37" t="s">
        <v>20</v>
      </c>
      <c r="Y77" s="18" t="s">
        <v>21</v>
      </c>
      <c r="Z77" s="18" t="s">
        <v>20</v>
      </c>
      <c r="AA77" s="20" t="s">
        <v>21</v>
      </c>
      <c r="AB77" s="20" t="s">
        <v>21</v>
      </c>
      <c r="AC77" s="20" t="s">
        <v>21</v>
      </c>
      <c r="AD77" s="18" t="s">
        <v>21</v>
      </c>
      <c r="AE77" s="18" t="s">
        <v>21</v>
      </c>
      <c r="AG77">
        <f>+COUNTIF(F77:AE77,"AD")</f>
        <v>0</v>
      </c>
      <c r="AH77">
        <f>+COUNTIF(F77:AE77,"A")</f>
        <v>8</v>
      </c>
      <c r="AI77">
        <f>+COUNTIF(F77:AE77,"b")</f>
        <v>17</v>
      </c>
      <c r="AJ77">
        <f>+COUNTIF(F77:AE77,"c")</f>
        <v>1</v>
      </c>
      <c r="AL77">
        <f>+$AG$5*AG77</f>
        <v>0</v>
      </c>
      <c r="AM77">
        <f>+$AH$5*AH77</f>
        <v>24</v>
      </c>
      <c r="AN77">
        <f>+$AI$5*AI77</f>
        <v>34</v>
      </c>
      <c r="AO77">
        <f>+$AJ$5*AJ77</f>
        <v>1</v>
      </c>
      <c r="AP77">
        <f>+SUM(AL77:AO77)</f>
        <v>59</v>
      </c>
    </row>
    <row r="78" spans="1:42" ht="15.75" hidden="1" customHeight="1" x14ac:dyDescent="0.3">
      <c r="A78" s="16"/>
      <c r="B78" s="55">
        <v>11</v>
      </c>
      <c r="C78" s="56" t="s">
        <v>86</v>
      </c>
      <c r="D78" s="55">
        <v>2</v>
      </c>
      <c r="E78" s="55" t="s">
        <v>21</v>
      </c>
      <c r="F78" s="18" t="s">
        <v>21</v>
      </c>
      <c r="G78" s="18" t="s">
        <v>21</v>
      </c>
      <c r="H78" s="18" t="s">
        <v>21</v>
      </c>
      <c r="I78" s="18" t="s">
        <v>21</v>
      </c>
      <c r="J78" s="18" t="s">
        <v>21</v>
      </c>
      <c r="K78" s="18" t="s">
        <v>20</v>
      </c>
      <c r="L78" s="18" t="s">
        <v>20</v>
      </c>
      <c r="M78" s="18" t="s">
        <v>21</v>
      </c>
      <c r="N78" s="18" t="s">
        <v>21</v>
      </c>
      <c r="O78" s="18" t="s">
        <v>21</v>
      </c>
      <c r="P78" s="18" t="s">
        <v>21</v>
      </c>
      <c r="Q78" s="18" t="s">
        <v>21</v>
      </c>
      <c r="R78" s="18" t="s">
        <v>21</v>
      </c>
      <c r="S78" s="18" t="s">
        <v>21</v>
      </c>
      <c r="T78" s="18" t="s">
        <v>21</v>
      </c>
      <c r="U78" s="18" t="s">
        <v>21</v>
      </c>
      <c r="V78" s="37" t="s">
        <v>21</v>
      </c>
      <c r="W78" s="37" t="s">
        <v>20</v>
      </c>
      <c r="X78" s="37" t="s">
        <v>20</v>
      </c>
      <c r="Y78" s="18" t="s">
        <v>20</v>
      </c>
      <c r="Z78" s="18" t="s">
        <v>20</v>
      </c>
      <c r="AA78" s="20" t="s">
        <v>21</v>
      </c>
      <c r="AB78" s="20" t="s">
        <v>21</v>
      </c>
      <c r="AC78" s="20" t="s">
        <v>21</v>
      </c>
      <c r="AD78" s="18" t="s">
        <v>21</v>
      </c>
      <c r="AE78" s="18" t="s">
        <v>21</v>
      </c>
      <c r="AG78">
        <f>+COUNTIF(F78:AE78,"AD")</f>
        <v>0</v>
      </c>
      <c r="AH78">
        <f>+COUNTIF(F78:AE78,"A")</f>
        <v>6</v>
      </c>
      <c r="AI78">
        <f>+COUNTIF(F78:AE78,"b")</f>
        <v>20</v>
      </c>
      <c r="AJ78">
        <f>+COUNTIF(F78:AE78,"c")</f>
        <v>0</v>
      </c>
      <c r="AL78">
        <f>+$AG$5*AG78</f>
        <v>0</v>
      </c>
      <c r="AM78">
        <f>+$AH$5*AH78</f>
        <v>18</v>
      </c>
      <c r="AN78">
        <f>+$AI$5*AI78</f>
        <v>40</v>
      </c>
      <c r="AO78">
        <f>+$AJ$5*AJ78</f>
        <v>0</v>
      </c>
      <c r="AP78">
        <f>+SUM(AL78:AO78)</f>
        <v>58</v>
      </c>
    </row>
    <row r="79" spans="1:42" ht="15.75" hidden="1" customHeight="1" x14ac:dyDescent="0.3">
      <c r="A79" s="16"/>
      <c r="B79" s="55">
        <v>12</v>
      </c>
      <c r="C79" s="56" t="s">
        <v>103</v>
      </c>
      <c r="D79" s="55">
        <v>2</v>
      </c>
      <c r="E79" s="55" t="s">
        <v>21</v>
      </c>
      <c r="F79" s="18" t="s">
        <v>20</v>
      </c>
      <c r="G79" s="18" t="s">
        <v>21</v>
      </c>
      <c r="H79" s="18" t="s">
        <v>21</v>
      </c>
      <c r="I79" s="18" t="s">
        <v>20</v>
      </c>
      <c r="J79" s="18" t="s">
        <v>21</v>
      </c>
      <c r="K79" s="18" t="s">
        <v>20</v>
      </c>
      <c r="L79" s="18" t="s">
        <v>20</v>
      </c>
      <c r="M79" s="18" t="s">
        <v>23</v>
      </c>
      <c r="N79" s="18" t="s">
        <v>20</v>
      </c>
      <c r="O79" s="18" t="s">
        <v>20</v>
      </c>
      <c r="P79" s="18" t="s">
        <v>21</v>
      </c>
      <c r="Q79" s="18" t="s">
        <v>21</v>
      </c>
      <c r="R79" s="18" t="s">
        <v>21</v>
      </c>
      <c r="S79" s="18" t="s">
        <v>20</v>
      </c>
      <c r="T79" s="18" t="s">
        <v>21</v>
      </c>
      <c r="U79" s="18" t="s">
        <v>21</v>
      </c>
      <c r="V79" s="37" t="s">
        <v>21</v>
      </c>
      <c r="W79" s="37" t="s">
        <v>21</v>
      </c>
      <c r="X79" s="37" t="s">
        <v>21</v>
      </c>
      <c r="Y79" s="18" t="s">
        <v>23</v>
      </c>
      <c r="Z79" s="18" t="s">
        <v>21</v>
      </c>
      <c r="AA79" s="20" t="s">
        <v>21</v>
      </c>
      <c r="AB79" s="20" t="s">
        <v>20</v>
      </c>
      <c r="AC79" s="20" t="s">
        <v>20</v>
      </c>
      <c r="AD79" s="18" t="s">
        <v>23</v>
      </c>
      <c r="AE79" s="18" t="s">
        <v>21</v>
      </c>
      <c r="AG79">
        <f>+COUNTIF(F79:AE79,"AD")</f>
        <v>0</v>
      </c>
      <c r="AH79">
        <f>+COUNTIF(F79:AE79,"A")</f>
        <v>9</v>
      </c>
      <c r="AI79">
        <f>+COUNTIF(F79:AE79,"b")</f>
        <v>14</v>
      </c>
      <c r="AJ79">
        <f>+COUNTIF(F79:AE79,"c")</f>
        <v>3</v>
      </c>
      <c r="AL79">
        <f>+$AG$5*AG79</f>
        <v>0</v>
      </c>
      <c r="AM79">
        <f>+$AH$5*AH79</f>
        <v>27</v>
      </c>
      <c r="AN79">
        <f>+$AI$5*AI79</f>
        <v>28</v>
      </c>
      <c r="AO79">
        <f>+$AJ$5*AJ79</f>
        <v>3</v>
      </c>
      <c r="AP79">
        <f>+SUM(AL79:AO79)</f>
        <v>58</v>
      </c>
    </row>
    <row r="80" spans="1:42" ht="15.75" hidden="1" customHeight="1" x14ac:dyDescent="0.3">
      <c r="A80" s="16"/>
      <c r="B80" s="55">
        <v>13</v>
      </c>
      <c r="C80" s="56" t="s">
        <v>95</v>
      </c>
      <c r="D80" s="55">
        <v>2</v>
      </c>
      <c r="E80" s="55" t="s">
        <v>21</v>
      </c>
      <c r="F80" s="18" t="s">
        <v>21</v>
      </c>
      <c r="G80" s="18" t="s">
        <v>21</v>
      </c>
      <c r="H80" s="18" t="s">
        <v>21</v>
      </c>
      <c r="I80" s="18" t="s">
        <v>21</v>
      </c>
      <c r="J80" s="18" t="s">
        <v>21</v>
      </c>
      <c r="K80" s="18" t="s">
        <v>20</v>
      </c>
      <c r="L80" s="18" t="s">
        <v>20</v>
      </c>
      <c r="M80" s="18" t="s">
        <v>20</v>
      </c>
      <c r="N80" s="18" t="s">
        <v>21</v>
      </c>
      <c r="O80" s="18" t="s">
        <v>21</v>
      </c>
      <c r="P80" s="18" t="s">
        <v>21</v>
      </c>
      <c r="Q80" s="18" t="s">
        <v>21</v>
      </c>
      <c r="R80" s="18" t="s">
        <v>21</v>
      </c>
      <c r="S80" s="18" t="s">
        <v>21</v>
      </c>
      <c r="T80" s="18" t="s">
        <v>23</v>
      </c>
      <c r="U80" s="18" t="s">
        <v>21</v>
      </c>
      <c r="V80" s="37" t="s">
        <v>21</v>
      </c>
      <c r="W80" s="37" t="s">
        <v>20</v>
      </c>
      <c r="X80" s="37" t="s">
        <v>20</v>
      </c>
      <c r="Y80" s="18" t="s">
        <v>21</v>
      </c>
      <c r="Z80" s="18" t="s">
        <v>20</v>
      </c>
      <c r="AA80" s="20" t="s">
        <v>20</v>
      </c>
      <c r="AB80" s="20" t="s">
        <v>21</v>
      </c>
      <c r="AC80" s="20" t="s">
        <v>21</v>
      </c>
      <c r="AD80" s="18" t="s">
        <v>23</v>
      </c>
      <c r="AE80" s="18" t="s">
        <v>21</v>
      </c>
      <c r="AG80">
        <f>+COUNTIF(F80:AE80,"AD")</f>
        <v>0</v>
      </c>
      <c r="AH80">
        <f>+COUNTIF(F80:AE80,"A")</f>
        <v>7</v>
      </c>
      <c r="AI80">
        <f>+COUNTIF(F80:AE80,"b")</f>
        <v>17</v>
      </c>
      <c r="AJ80">
        <f>+COUNTIF(F80:AE80,"c")</f>
        <v>2</v>
      </c>
      <c r="AL80">
        <f>+$AG$5*AG80</f>
        <v>0</v>
      </c>
      <c r="AM80">
        <f>+$AH$5*AH80</f>
        <v>21</v>
      </c>
      <c r="AN80">
        <f>+$AI$5*AI80</f>
        <v>34</v>
      </c>
      <c r="AO80">
        <f>+$AJ$5*AJ80</f>
        <v>2</v>
      </c>
      <c r="AP80">
        <f>+SUM(AL80:AO80)</f>
        <v>57</v>
      </c>
    </row>
    <row r="81" spans="1:42" ht="15.75" hidden="1" customHeight="1" x14ac:dyDescent="0.3">
      <c r="A81" s="16"/>
      <c r="B81" s="55">
        <v>14</v>
      </c>
      <c r="C81" s="56" t="s">
        <v>96</v>
      </c>
      <c r="D81" s="55">
        <v>2</v>
      </c>
      <c r="E81" s="55" t="s">
        <v>21</v>
      </c>
      <c r="F81" s="18" t="s">
        <v>21</v>
      </c>
      <c r="G81" s="18" t="s">
        <v>23</v>
      </c>
      <c r="H81" s="18" t="s">
        <v>21</v>
      </c>
      <c r="I81" s="18" t="s">
        <v>21</v>
      </c>
      <c r="J81" s="18" t="s">
        <v>21</v>
      </c>
      <c r="K81" s="18" t="s">
        <v>21</v>
      </c>
      <c r="L81" s="18" t="s">
        <v>21</v>
      </c>
      <c r="M81" s="18" t="s">
        <v>20</v>
      </c>
      <c r="N81" s="18" t="s">
        <v>20</v>
      </c>
      <c r="O81" s="18" t="s">
        <v>20</v>
      </c>
      <c r="P81" s="18" t="s">
        <v>21</v>
      </c>
      <c r="Q81" s="18" t="s">
        <v>21</v>
      </c>
      <c r="R81" s="18" t="s">
        <v>21</v>
      </c>
      <c r="S81" s="18" t="s">
        <v>21</v>
      </c>
      <c r="T81" s="18" t="s">
        <v>20</v>
      </c>
      <c r="U81" s="18" t="s">
        <v>21</v>
      </c>
      <c r="V81" s="37" t="s">
        <v>21</v>
      </c>
      <c r="W81" s="37" t="s">
        <v>20</v>
      </c>
      <c r="X81" s="37" t="s">
        <v>20</v>
      </c>
      <c r="Y81" s="18" t="s">
        <v>20</v>
      </c>
      <c r="Z81" s="18" t="s">
        <v>20</v>
      </c>
      <c r="AA81" s="20" t="s">
        <v>23</v>
      </c>
      <c r="AB81" s="20" t="s">
        <v>21</v>
      </c>
      <c r="AC81" s="20" t="s">
        <v>21</v>
      </c>
      <c r="AD81" s="18" t="s">
        <v>23</v>
      </c>
      <c r="AE81" s="18" t="s">
        <v>21</v>
      </c>
      <c r="AG81">
        <f>+COUNTIF(F81:AE81,"AD")</f>
        <v>0</v>
      </c>
      <c r="AH81">
        <f>+COUNTIF(F81:AE81,"A")</f>
        <v>8</v>
      </c>
      <c r="AI81">
        <f>+COUNTIF(F81:AE81,"b")</f>
        <v>15</v>
      </c>
      <c r="AJ81">
        <f>+COUNTIF(F81:AE81,"c")</f>
        <v>3</v>
      </c>
      <c r="AL81">
        <f>+$AG$5*AG81</f>
        <v>0</v>
      </c>
      <c r="AM81">
        <f>+$AH$5*AH81</f>
        <v>24</v>
      </c>
      <c r="AN81">
        <f>+$AI$5*AI81</f>
        <v>30</v>
      </c>
      <c r="AO81">
        <f>+$AJ$5*AJ81</f>
        <v>3</v>
      </c>
      <c r="AP81">
        <f>+SUM(AL81:AO81)</f>
        <v>57</v>
      </c>
    </row>
    <row r="82" spans="1:42" ht="15.75" hidden="1" customHeight="1" x14ac:dyDescent="0.3">
      <c r="A82" s="16"/>
      <c r="B82" s="55">
        <v>15</v>
      </c>
      <c r="C82" s="56" t="s">
        <v>102</v>
      </c>
      <c r="D82" s="55">
        <v>2</v>
      </c>
      <c r="E82" s="55" t="s">
        <v>21</v>
      </c>
      <c r="F82" s="18" t="s">
        <v>20</v>
      </c>
      <c r="G82" s="18" t="s">
        <v>21</v>
      </c>
      <c r="H82" s="18" t="s">
        <v>21</v>
      </c>
      <c r="I82" s="18" t="s">
        <v>21</v>
      </c>
      <c r="J82" s="18" t="s">
        <v>21</v>
      </c>
      <c r="K82" s="18" t="s">
        <v>21</v>
      </c>
      <c r="L82" s="18" t="s">
        <v>21</v>
      </c>
      <c r="M82" s="18" t="s">
        <v>21</v>
      </c>
      <c r="N82" s="18" t="s">
        <v>20</v>
      </c>
      <c r="O82" s="18" t="s">
        <v>21</v>
      </c>
      <c r="P82" s="18" t="s">
        <v>23</v>
      </c>
      <c r="Q82" s="18" t="s">
        <v>23</v>
      </c>
      <c r="R82" s="18" t="s">
        <v>21</v>
      </c>
      <c r="S82" s="18" t="s">
        <v>21</v>
      </c>
      <c r="T82" s="18" t="s">
        <v>20</v>
      </c>
      <c r="U82" s="18" t="s">
        <v>21</v>
      </c>
      <c r="V82" s="37" t="s">
        <v>20</v>
      </c>
      <c r="W82" s="37" t="s">
        <v>20</v>
      </c>
      <c r="X82" s="37" t="s">
        <v>20</v>
      </c>
      <c r="Y82" s="18" t="s">
        <v>21</v>
      </c>
      <c r="Z82" s="18" t="s">
        <v>20</v>
      </c>
      <c r="AA82" s="20" t="s">
        <v>21</v>
      </c>
      <c r="AB82" s="20" t="s">
        <v>21</v>
      </c>
      <c r="AC82" s="20" t="s">
        <v>21</v>
      </c>
      <c r="AD82" s="18" t="s">
        <v>23</v>
      </c>
      <c r="AE82" s="18" t="s">
        <v>21</v>
      </c>
      <c r="AG82">
        <f>+COUNTIF(F82:AE82,"AD")</f>
        <v>0</v>
      </c>
      <c r="AH82">
        <f>+COUNTIF(F82:AE82,"A")</f>
        <v>7</v>
      </c>
      <c r="AI82">
        <f>+COUNTIF(F82:AE82,"b")</f>
        <v>16</v>
      </c>
      <c r="AJ82">
        <f>+COUNTIF(F82:AE82,"c")</f>
        <v>3</v>
      </c>
      <c r="AL82">
        <f>+$AG$5*AG82</f>
        <v>0</v>
      </c>
      <c r="AM82">
        <f>+$AH$5*AH82</f>
        <v>21</v>
      </c>
      <c r="AN82">
        <f>+$AI$5*AI82</f>
        <v>32</v>
      </c>
      <c r="AO82">
        <f>+$AJ$5*AJ82</f>
        <v>3</v>
      </c>
      <c r="AP82">
        <f>+SUM(AL82:AO82)</f>
        <v>56</v>
      </c>
    </row>
    <row r="83" spans="1:42" ht="15.75" hidden="1" customHeight="1" x14ac:dyDescent="0.3">
      <c r="A83" s="16"/>
      <c r="B83" s="55">
        <v>16</v>
      </c>
      <c r="C83" s="56" t="s">
        <v>100</v>
      </c>
      <c r="D83" s="55">
        <v>2</v>
      </c>
      <c r="E83" s="55" t="s">
        <v>21</v>
      </c>
      <c r="F83" s="18" t="s">
        <v>21</v>
      </c>
      <c r="G83" s="18" t="s">
        <v>21</v>
      </c>
      <c r="H83" s="18" t="s">
        <v>21</v>
      </c>
      <c r="I83" s="18" t="s">
        <v>21</v>
      </c>
      <c r="J83" s="18" t="s">
        <v>21</v>
      </c>
      <c r="K83" s="18" t="s">
        <v>21</v>
      </c>
      <c r="L83" s="18" t="s">
        <v>21</v>
      </c>
      <c r="M83" s="18" t="s">
        <v>21</v>
      </c>
      <c r="N83" s="18" t="s">
        <v>23</v>
      </c>
      <c r="O83" s="18" t="s">
        <v>21</v>
      </c>
      <c r="P83" s="18" t="s">
        <v>21</v>
      </c>
      <c r="Q83" s="18" t="s">
        <v>21</v>
      </c>
      <c r="R83" s="18" t="s">
        <v>21</v>
      </c>
      <c r="S83" s="18" t="s">
        <v>21</v>
      </c>
      <c r="T83" s="18" t="s">
        <v>20</v>
      </c>
      <c r="U83" s="18" t="s">
        <v>20</v>
      </c>
      <c r="V83" s="37" t="s">
        <v>21</v>
      </c>
      <c r="W83" s="37" t="s">
        <v>20</v>
      </c>
      <c r="X83" s="37" t="s">
        <v>21</v>
      </c>
      <c r="Y83" s="18" t="s">
        <v>20</v>
      </c>
      <c r="Z83" s="18" t="s">
        <v>21</v>
      </c>
      <c r="AA83" s="20" t="s">
        <v>21</v>
      </c>
      <c r="AB83" s="20" t="s">
        <v>21</v>
      </c>
      <c r="AC83" s="20" t="s">
        <v>21</v>
      </c>
      <c r="AD83" s="18" t="s">
        <v>21</v>
      </c>
      <c r="AE83" s="18" t="s">
        <v>21</v>
      </c>
      <c r="AG83">
        <f>+COUNTIF(F83:AE83,"AD")</f>
        <v>0</v>
      </c>
      <c r="AH83">
        <f>+COUNTIF(F83:AE83,"A")</f>
        <v>4</v>
      </c>
      <c r="AI83">
        <f>+COUNTIF(F83:AE83,"b")</f>
        <v>21</v>
      </c>
      <c r="AJ83">
        <f>+COUNTIF(F83:AE83,"c")</f>
        <v>1</v>
      </c>
      <c r="AL83">
        <f>+$AG$5*AG83</f>
        <v>0</v>
      </c>
      <c r="AM83">
        <f>+$AH$5*AH83</f>
        <v>12</v>
      </c>
      <c r="AN83">
        <f>+$AI$5*AI83</f>
        <v>42</v>
      </c>
      <c r="AO83">
        <f>+$AJ$5*AJ83</f>
        <v>1</v>
      </c>
      <c r="AP83">
        <f>+SUM(AL83:AO83)</f>
        <v>55</v>
      </c>
    </row>
    <row r="84" spans="1:42" ht="15.75" hidden="1" customHeight="1" x14ac:dyDescent="0.3">
      <c r="A84" s="16"/>
      <c r="B84" s="55">
        <v>17</v>
      </c>
      <c r="C84" s="56" t="s">
        <v>107</v>
      </c>
      <c r="D84" s="55">
        <v>2</v>
      </c>
      <c r="E84" s="55" t="s">
        <v>21</v>
      </c>
      <c r="F84" s="18" t="s">
        <v>21</v>
      </c>
      <c r="G84" s="18" t="s">
        <v>21</v>
      </c>
      <c r="H84" s="18" t="s">
        <v>23</v>
      </c>
      <c r="I84" s="18" t="s">
        <v>21</v>
      </c>
      <c r="J84" s="18" t="s">
        <v>20</v>
      </c>
      <c r="K84" s="18" t="s">
        <v>21</v>
      </c>
      <c r="L84" s="18" t="s">
        <v>21</v>
      </c>
      <c r="M84" s="18" t="s">
        <v>20</v>
      </c>
      <c r="N84" s="18" t="s">
        <v>21</v>
      </c>
      <c r="O84" s="18" t="s">
        <v>20</v>
      </c>
      <c r="P84" s="18" t="s">
        <v>21</v>
      </c>
      <c r="Q84" s="18" t="s">
        <v>21</v>
      </c>
      <c r="R84" s="18" t="s">
        <v>21</v>
      </c>
      <c r="S84" s="18" t="s">
        <v>20</v>
      </c>
      <c r="T84" s="18" t="s">
        <v>21</v>
      </c>
      <c r="U84" s="18" t="s">
        <v>21</v>
      </c>
      <c r="V84" s="37" t="s">
        <v>21</v>
      </c>
      <c r="W84" s="37" t="s">
        <v>21</v>
      </c>
      <c r="X84" s="37" t="s">
        <v>21</v>
      </c>
      <c r="Y84" s="18" t="s">
        <v>21</v>
      </c>
      <c r="Z84" s="18" t="s">
        <v>21</v>
      </c>
      <c r="AA84" s="20" t="s">
        <v>21</v>
      </c>
      <c r="AB84" s="20" t="s">
        <v>21</v>
      </c>
      <c r="AC84" s="20" t="s">
        <v>20</v>
      </c>
      <c r="AD84" s="18" t="s">
        <v>23</v>
      </c>
      <c r="AE84" s="18" t="s">
        <v>21</v>
      </c>
      <c r="AG84">
        <f>+COUNTIF(F84:AE84,"AD")</f>
        <v>0</v>
      </c>
      <c r="AH84">
        <f>+COUNTIF(F84:AE84,"A")</f>
        <v>5</v>
      </c>
      <c r="AI84">
        <f>+COUNTIF(F84:AE84,"b")</f>
        <v>19</v>
      </c>
      <c r="AJ84">
        <f>+COUNTIF(F84:AE84,"c")</f>
        <v>2</v>
      </c>
      <c r="AL84">
        <f>+$AG$5*AG84</f>
        <v>0</v>
      </c>
      <c r="AM84">
        <f>+$AH$5*AH84</f>
        <v>15</v>
      </c>
      <c r="AN84">
        <f>+$AI$5*AI84</f>
        <v>38</v>
      </c>
      <c r="AO84">
        <f>+$AJ$5*AJ84</f>
        <v>2</v>
      </c>
      <c r="AP84">
        <f>+SUM(AL84:AO84)</f>
        <v>55</v>
      </c>
    </row>
    <row r="85" spans="1:42" ht="15.75" hidden="1" customHeight="1" x14ac:dyDescent="0.3">
      <c r="A85" s="16"/>
      <c r="B85" s="55">
        <v>18</v>
      </c>
      <c r="C85" s="56" t="s">
        <v>92</v>
      </c>
      <c r="D85" s="55">
        <v>2</v>
      </c>
      <c r="E85" s="55" t="s">
        <v>21</v>
      </c>
      <c r="F85" s="18" t="s">
        <v>21</v>
      </c>
      <c r="G85" s="18" t="s">
        <v>23</v>
      </c>
      <c r="H85" s="18" t="s">
        <v>21</v>
      </c>
      <c r="I85" s="18" t="s">
        <v>21</v>
      </c>
      <c r="J85" s="18" t="s">
        <v>21</v>
      </c>
      <c r="K85" s="18" t="s">
        <v>20</v>
      </c>
      <c r="L85" s="18" t="s">
        <v>20</v>
      </c>
      <c r="M85" s="18" t="s">
        <v>21</v>
      </c>
      <c r="N85" s="18" t="s">
        <v>21</v>
      </c>
      <c r="O85" s="18" t="s">
        <v>21</v>
      </c>
      <c r="P85" s="18" t="s">
        <v>21</v>
      </c>
      <c r="Q85" s="18" t="s">
        <v>21</v>
      </c>
      <c r="R85" s="18" t="s">
        <v>21</v>
      </c>
      <c r="S85" s="18" t="s">
        <v>21</v>
      </c>
      <c r="T85" s="18" t="s">
        <v>21</v>
      </c>
      <c r="U85" s="18" t="s">
        <v>21</v>
      </c>
      <c r="V85" s="37" t="s">
        <v>20</v>
      </c>
      <c r="W85" s="37" t="s">
        <v>21</v>
      </c>
      <c r="X85" s="37" t="s">
        <v>21</v>
      </c>
      <c r="Y85" s="18" t="s">
        <v>21</v>
      </c>
      <c r="Z85" s="18" t="s">
        <v>20</v>
      </c>
      <c r="AA85" s="20" t="s">
        <v>21</v>
      </c>
      <c r="AB85" s="20" t="s">
        <v>21</v>
      </c>
      <c r="AC85" s="20" t="s">
        <v>21</v>
      </c>
      <c r="AD85" s="18" t="s">
        <v>23</v>
      </c>
      <c r="AE85" s="18" t="s">
        <v>21</v>
      </c>
      <c r="AG85">
        <f>+COUNTIF(F85:AE85,"AD")</f>
        <v>0</v>
      </c>
      <c r="AH85">
        <f>+COUNTIF(F85:AE85,"A")</f>
        <v>4</v>
      </c>
      <c r="AI85">
        <f>+COUNTIF(F85:AE85,"b")</f>
        <v>20</v>
      </c>
      <c r="AJ85">
        <f>+COUNTIF(F85:AE85,"c")</f>
        <v>2</v>
      </c>
      <c r="AL85">
        <f>+$AG$5*AG85</f>
        <v>0</v>
      </c>
      <c r="AM85">
        <f>+$AH$5*AH85</f>
        <v>12</v>
      </c>
      <c r="AN85">
        <f>+$AI$5*AI85</f>
        <v>40</v>
      </c>
      <c r="AO85">
        <f>+$AJ$5*AJ85</f>
        <v>2</v>
      </c>
      <c r="AP85">
        <f>+SUM(AL85:AO85)</f>
        <v>54</v>
      </c>
    </row>
    <row r="86" spans="1:42" ht="15.75" hidden="1" customHeight="1" x14ac:dyDescent="0.3">
      <c r="A86" s="16"/>
      <c r="B86" s="55">
        <v>19</v>
      </c>
      <c r="C86" s="56" t="s">
        <v>106</v>
      </c>
      <c r="D86" s="55">
        <v>2</v>
      </c>
      <c r="E86" s="55" t="s">
        <v>21</v>
      </c>
      <c r="F86" s="18" t="s">
        <v>21</v>
      </c>
      <c r="G86" s="18" t="s">
        <v>23</v>
      </c>
      <c r="H86" s="18" t="s">
        <v>21</v>
      </c>
      <c r="I86" s="18" t="s">
        <v>21</v>
      </c>
      <c r="J86" s="18" t="s">
        <v>20</v>
      </c>
      <c r="K86" s="18" t="s">
        <v>20</v>
      </c>
      <c r="L86" s="18" t="s">
        <v>20</v>
      </c>
      <c r="M86" s="18" t="s">
        <v>21</v>
      </c>
      <c r="N86" s="18" t="s">
        <v>21</v>
      </c>
      <c r="O86" s="18" t="s">
        <v>21</v>
      </c>
      <c r="P86" s="18" t="s">
        <v>21</v>
      </c>
      <c r="Q86" s="18" t="s">
        <v>21</v>
      </c>
      <c r="R86" s="18" t="s">
        <v>21</v>
      </c>
      <c r="S86" s="18" t="s">
        <v>23</v>
      </c>
      <c r="T86" s="18" t="s">
        <v>21</v>
      </c>
      <c r="U86" s="18" t="s">
        <v>20</v>
      </c>
      <c r="V86" s="37" t="s">
        <v>21</v>
      </c>
      <c r="W86" s="37" t="s">
        <v>21</v>
      </c>
      <c r="X86" s="37" t="s">
        <v>21</v>
      </c>
      <c r="Y86" s="18" t="s">
        <v>23</v>
      </c>
      <c r="Z86" s="18" t="s">
        <v>21</v>
      </c>
      <c r="AA86" s="20" t="s">
        <v>21</v>
      </c>
      <c r="AB86" s="20" t="s">
        <v>21</v>
      </c>
      <c r="AC86" s="20" t="s">
        <v>21</v>
      </c>
      <c r="AD86" s="18" t="s">
        <v>23</v>
      </c>
      <c r="AE86" s="18" t="s">
        <v>21</v>
      </c>
      <c r="AG86">
        <f>+COUNTIF(F86:AE86,"AD")</f>
        <v>0</v>
      </c>
      <c r="AH86">
        <f>+COUNTIF(F86:AE86,"A")</f>
        <v>4</v>
      </c>
      <c r="AI86">
        <f>+COUNTIF(F86:AE86,"b")</f>
        <v>18</v>
      </c>
      <c r="AJ86">
        <f>+COUNTIF(F86:AE86,"c")</f>
        <v>4</v>
      </c>
      <c r="AL86">
        <f>+$AG$5*AG86</f>
        <v>0</v>
      </c>
      <c r="AM86">
        <f>+$AH$5*AH86</f>
        <v>12</v>
      </c>
      <c r="AN86">
        <f>+$AI$5*AI86</f>
        <v>36</v>
      </c>
      <c r="AO86">
        <f>+$AJ$5*AJ86</f>
        <v>4</v>
      </c>
      <c r="AP86">
        <f>+SUM(AL86:AO86)</f>
        <v>52</v>
      </c>
    </row>
    <row r="87" spans="1:42" ht="15.75" hidden="1" customHeight="1" thickBot="1" x14ac:dyDescent="0.35">
      <c r="A87" s="16"/>
      <c r="B87" s="57">
        <v>20</v>
      </c>
      <c r="C87" s="56" t="s">
        <v>108</v>
      </c>
      <c r="D87" s="55">
        <v>2</v>
      </c>
      <c r="E87" s="55" t="s">
        <v>21</v>
      </c>
      <c r="F87" s="18" t="s">
        <v>21</v>
      </c>
      <c r="G87" s="18" t="s">
        <v>23</v>
      </c>
      <c r="H87" s="18" t="s">
        <v>21</v>
      </c>
      <c r="I87" s="18" t="s">
        <v>21</v>
      </c>
      <c r="J87" s="18" t="s">
        <v>20</v>
      </c>
      <c r="K87" s="18" t="s">
        <v>21</v>
      </c>
      <c r="L87" s="18" t="s">
        <v>21</v>
      </c>
      <c r="M87" s="18" t="s">
        <v>23</v>
      </c>
      <c r="N87" s="18" t="s">
        <v>21</v>
      </c>
      <c r="O87" s="18" t="s">
        <v>21</v>
      </c>
      <c r="P87" s="18" t="s">
        <v>23</v>
      </c>
      <c r="Q87" s="18" t="s">
        <v>21</v>
      </c>
      <c r="R87" s="17" t="s">
        <v>23</v>
      </c>
      <c r="S87" s="18" t="s">
        <v>23</v>
      </c>
      <c r="T87" s="18" t="s">
        <v>23</v>
      </c>
      <c r="U87" s="18" t="s">
        <v>21</v>
      </c>
      <c r="V87" s="37" t="s">
        <v>20</v>
      </c>
      <c r="W87" s="37" t="s">
        <v>20</v>
      </c>
      <c r="X87" s="37" t="s">
        <v>20</v>
      </c>
      <c r="Y87" s="18" t="s">
        <v>21</v>
      </c>
      <c r="Z87" s="18" t="s">
        <v>21</v>
      </c>
      <c r="AA87" s="20" t="s">
        <v>21</v>
      </c>
      <c r="AB87" s="20" t="s">
        <v>21</v>
      </c>
      <c r="AC87" s="20" t="s">
        <v>21</v>
      </c>
      <c r="AD87" s="18" t="s">
        <v>23</v>
      </c>
      <c r="AE87" s="18" t="s">
        <v>21</v>
      </c>
      <c r="AG87">
        <f>+COUNTIF(F87:AE87,"AD")</f>
        <v>0</v>
      </c>
      <c r="AH87">
        <f>+COUNTIF(F87:AE87,"A")</f>
        <v>4</v>
      </c>
      <c r="AI87">
        <f>+COUNTIF(F87:AE87,"b")</f>
        <v>15</v>
      </c>
      <c r="AJ87">
        <f>+COUNTIF(F87:AE87,"c")</f>
        <v>7</v>
      </c>
      <c r="AL87">
        <f>+$AG$5*AG87</f>
        <v>0</v>
      </c>
      <c r="AM87">
        <f>+$AH$5*AH87</f>
        <v>12</v>
      </c>
      <c r="AN87">
        <f>+$AI$5*AI87</f>
        <v>30</v>
      </c>
      <c r="AO87">
        <f>+$AJ$5*AJ87</f>
        <v>7</v>
      </c>
      <c r="AP87">
        <f>+SUM(AL87:AO87)</f>
        <v>49</v>
      </c>
    </row>
    <row r="88" spans="1:42" ht="15.75" hidden="1" customHeight="1" x14ac:dyDescent="0.3">
      <c r="A88" s="16"/>
      <c r="B88" s="55">
        <v>16</v>
      </c>
      <c r="C88" s="56" t="s">
        <v>101</v>
      </c>
      <c r="D88" s="55">
        <v>2</v>
      </c>
      <c r="E88" s="55" t="s">
        <v>21</v>
      </c>
      <c r="F88" s="18" t="s">
        <v>21</v>
      </c>
      <c r="G88" s="18" t="s">
        <v>23</v>
      </c>
      <c r="H88" s="18" t="s">
        <v>21</v>
      </c>
      <c r="I88" s="18" t="s">
        <v>21</v>
      </c>
      <c r="J88" s="18" t="s">
        <v>21</v>
      </c>
      <c r="K88" s="18" t="s">
        <v>21</v>
      </c>
      <c r="L88" s="18" t="s">
        <v>21</v>
      </c>
      <c r="M88" s="18" t="s">
        <v>21</v>
      </c>
      <c r="N88" s="18" t="s">
        <v>23</v>
      </c>
      <c r="O88" s="18" t="s">
        <v>21</v>
      </c>
      <c r="P88" s="18" t="s">
        <v>23</v>
      </c>
      <c r="Q88" s="18" t="s">
        <v>23</v>
      </c>
      <c r="R88" s="18" t="s">
        <v>21</v>
      </c>
      <c r="S88" s="18" t="s">
        <v>21</v>
      </c>
      <c r="T88" s="18" t="s">
        <v>21</v>
      </c>
      <c r="U88" s="18" t="s">
        <v>21</v>
      </c>
      <c r="V88" s="37" t="s">
        <v>21</v>
      </c>
      <c r="W88" s="37" t="s">
        <v>21</v>
      </c>
      <c r="X88" s="37" t="s">
        <v>21</v>
      </c>
      <c r="Y88" s="18" t="s">
        <v>23</v>
      </c>
      <c r="Z88" s="18" t="s">
        <v>20</v>
      </c>
      <c r="AA88" s="20" t="s">
        <v>21</v>
      </c>
      <c r="AB88" s="20" t="s">
        <v>21</v>
      </c>
      <c r="AC88" s="20" t="s">
        <v>21</v>
      </c>
      <c r="AD88" s="18" t="s">
        <v>23</v>
      </c>
      <c r="AE88" s="18" t="s">
        <v>21</v>
      </c>
      <c r="AG88">
        <f>+COUNTIF(F88:AE88,"AD")</f>
        <v>0</v>
      </c>
      <c r="AH88">
        <f>+COUNTIF(F88:AE88,"A")</f>
        <v>1</v>
      </c>
      <c r="AI88">
        <f>+COUNTIF(F88:AE88,"b")</f>
        <v>19</v>
      </c>
      <c r="AJ88">
        <f>+COUNTIF(F88:AE88,"c")</f>
        <v>6</v>
      </c>
      <c r="AL88">
        <f>+$AG$5*AG88</f>
        <v>0</v>
      </c>
      <c r="AM88">
        <f>+$AH$5*AH88</f>
        <v>3</v>
      </c>
      <c r="AN88">
        <f>+$AI$5*AI88</f>
        <v>38</v>
      </c>
      <c r="AO88">
        <f>+$AJ$5*AJ88</f>
        <v>6</v>
      </c>
      <c r="AP88">
        <f>+SUM(AL88:AO88)</f>
        <v>47</v>
      </c>
    </row>
    <row r="89" spans="1:42" ht="15.75" hidden="1" customHeight="1" x14ac:dyDescent="0.3">
      <c r="A89" s="16"/>
      <c r="B89" s="55">
        <v>2</v>
      </c>
      <c r="C89" s="56" t="s">
        <v>87</v>
      </c>
      <c r="D89" s="55">
        <v>2</v>
      </c>
      <c r="E89" s="55" t="s">
        <v>21</v>
      </c>
      <c r="F89" s="18" t="s">
        <v>21</v>
      </c>
      <c r="G89" s="18" t="s">
        <v>23</v>
      </c>
      <c r="H89" s="18" t="s">
        <v>21</v>
      </c>
      <c r="I89" s="18" t="s">
        <v>21</v>
      </c>
      <c r="J89" s="18" t="s">
        <v>21</v>
      </c>
      <c r="K89" s="18" t="s">
        <v>21</v>
      </c>
      <c r="L89" s="18" t="s">
        <v>21</v>
      </c>
      <c r="M89" s="18" t="s">
        <v>23</v>
      </c>
      <c r="N89" s="18" t="s">
        <v>21</v>
      </c>
      <c r="O89" s="18" t="s">
        <v>21</v>
      </c>
      <c r="P89" s="18" t="s">
        <v>23</v>
      </c>
      <c r="Q89" s="18" t="s">
        <v>21</v>
      </c>
      <c r="R89" s="18" t="s">
        <v>23</v>
      </c>
      <c r="S89" s="18" t="s">
        <v>23</v>
      </c>
      <c r="T89" s="18" t="s">
        <v>21</v>
      </c>
      <c r="U89" s="18" t="s">
        <v>21</v>
      </c>
      <c r="V89" s="37" t="s">
        <v>21</v>
      </c>
      <c r="W89" s="37" t="s">
        <v>21</v>
      </c>
      <c r="X89" s="37" t="s">
        <v>21</v>
      </c>
      <c r="Y89" s="18" t="s">
        <v>21</v>
      </c>
      <c r="Z89" s="18" t="s">
        <v>23</v>
      </c>
      <c r="AA89" s="20" t="s">
        <v>23</v>
      </c>
      <c r="AB89" s="20" t="s">
        <v>21</v>
      </c>
      <c r="AC89" s="20" t="s">
        <v>23</v>
      </c>
      <c r="AD89" s="18" t="s">
        <v>23</v>
      </c>
      <c r="AE89" s="18" t="s">
        <v>21</v>
      </c>
      <c r="AG89">
        <f>+COUNTIF(F89:AE89,"AD")</f>
        <v>0</v>
      </c>
      <c r="AH89">
        <f>+COUNTIF(F89:AE89,"A")</f>
        <v>0</v>
      </c>
      <c r="AI89">
        <f>+COUNTIF(F89:AE89,"b")</f>
        <v>17</v>
      </c>
      <c r="AJ89">
        <f>+COUNTIF(F89:AE89,"c")</f>
        <v>9</v>
      </c>
      <c r="AL89">
        <f>+$AG$5*AG89</f>
        <v>0</v>
      </c>
      <c r="AM89">
        <f>+$AH$5*AH89</f>
        <v>0</v>
      </c>
      <c r="AN89">
        <f>+$AI$5*AI89</f>
        <v>34</v>
      </c>
      <c r="AO89">
        <f>+$AJ$5*AJ89</f>
        <v>9</v>
      </c>
      <c r="AP89">
        <f>+SUM(AL89:AO89)</f>
        <v>43</v>
      </c>
    </row>
    <row r="90" spans="1:42" ht="15.75" hidden="1" customHeight="1" thickBot="1" x14ac:dyDescent="0.35">
      <c r="A90" s="16"/>
      <c r="B90" s="57">
        <v>19</v>
      </c>
      <c r="C90" s="58" t="s">
        <v>104</v>
      </c>
      <c r="D90" s="57">
        <v>2</v>
      </c>
      <c r="E90" s="57" t="s">
        <v>21</v>
      </c>
      <c r="F90" s="21" t="s">
        <v>21</v>
      </c>
      <c r="G90" s="21" t="s">
        <v>23</v>
      </c>
      <c r="H90" s="21" t="s">
        <v>21</v>
      </c>
      <c r="I90" s="21" t="s">
        <v>21</v>
      </c>
      <c r="J90" s="21" t="s">
        <v>21</v>
      </c>
      <c r="K90" s="21" t="s">
        <v>21</v>
      </c>
      <c r="L90" s="21" t="s">
        <v>21</v>
      </c>
      <c r="M90" s="21" t="s">
        <v>23</v>
      </c>
      <c r="N90" s="21" t="s">
        <v>23</v>
      </c>
      <c r="O90" s="21" t="s">
        <v>23</v>
      </c>
      <c r="P90" s="21" t="s">
        <v>23</v>
      </c>
      <c r="Q90" s="21" t="s">
        <v>21</v>
      </c>
      <c r="R90" s="21" t="s">
        <v>23</v>
      </c>
      <c r="S90" s="21" t="s">
        <v>21</v>
      </c>
      <c r="T90" s="21" t="s">
        <v>23</v>
      </c>
      <c r="U90" s="21" t="s">
        <v>21</v>
      </c>
      <c r="V90" s="38" t="s">
        <v>21</v>
      </c>
      <c r="W90" s="38" t="s">
        <v>21</v>
      </c>
      <c r="X90" s="38" t="s">
        <v>21</v>
      </c>
      <c r="Y90" s="21" t="s">
        <v>23</v>
      </c>
      <c r="Z90" s="21" t="s">
        <v>23</v>
      </c>
      <c r="AA90" s="23" t="s">
        <v>21</v>
      </c>
      <c r="AB90" s="23" t="s">
        <v>21</v>
      </c>
      <c r="AC90" s="23" t="s">
        <v>21</v>
      </c>
      <c r="AD90" s="21" t="s">
        <v>23</v>
      </c>
      <c r="AE90" s="21" t="s">
        <v>21</v>
      </c>
      <c r="AG90">
        <f>+COUNTIF(F90:AE90,"AD")</f>
        <v>0</v>
      </c>
      <c r="AH90">
        <f>+COUNTIF(F90:AE90,"A")</f>
        <v>0</v>
      </c>
      <c r="AI90">
        <f>+COUNTIF(F90:AE90,"b")</f>
        <v>16</v>
      </c>
      <c r="AJ90">
        <f>+COUNTIF(F90:AE90,"c")</f>
        <v>10</v>
      </c>
      <c r="AL90">
        <f>+$AG$5*AG90</f>
        <v>0</v>
      </c>
      <c r="AM90">
        <f>+$AH$5*AH90</f>
        <v>0</v>
      </c>
      <c r="AN90">
        <f>+$AI$5*AI90</f>
        <v>32</v>
      </c>
      <c r="AO90">
        <f>+$AJ$5*AJ90</f>
        <v>10</v>
      </c>
      <c r="AP90">
        <f>+SUM(AL90:AO90)</f>
        <v>42</v>
      </c>
    </row>
    <row r="91" spans="1:42" ht="15.75" hidden="1" customHeight="1" x14ac:dyDescent="0.3">
      <c r="A91" s="16"/>
      <c r="B91" s="59">
        <v>1</v>
      </c>
      <c r="C91" s="60" t="s">
        <v>109</v>
      </c>
      <c r="D91" s="59">
        <v>3</v>
      </c>
      <c r="E91" s="59" t="s">
        <v>20</v>
      </c>
      <c r="F91" s="24" t="s">
        <v>39</v>
      </c>
      <c r="G91" s="24" t="s">
        <v>39</v>
      </c>
      <c r="H91" s="24" t="s">
        <v>20</v>
      </c>
      <c r="I91" s="24" t="s">
        <v>39</v>
      </c>
      <c r="J91" s="42" t="s">
        <v>20</v>
      </c>
      <c r="K91" s="42" t="s">
        <v>39</v>
      </c>
      <c r="L91" s="42" t="s">
        <v>20</v>
      </c>
      <c r="M91" s="24" t="s">
        <v>20</v>
      </c>
      <c r="N91" s="24" t="s">
        <v>20</v>
      </c>
      <c r="O91" s="24" t="s">
        <v>20</v>
      </c>
      <c r="P91" s="24" t="s">
        <v>20</v>
      </c>
      <c r="Q91" s="24" t="s">
        <v>20</v>
      </c>
      <c r="R91" s="24" t="s">
        <v>20</v>
      </c>
      <c r="S91" s="24" t="s">
        <v>20</v>
      </c>
      <c r="T91" s="24" t="s">
        <v>20</v>
      </c>
      <c r="U91" s="24" t="s">
        <v>20</v>
      </c>
      <c r="V91" s="39" t="s">
        <v>21</v>
      </c>
      <c r="W91" s="39" t="s">
        <v>20</v>
      </c>
      <c r="X91" s="39" t="s">
        <v>21</v>
      </c>
      <c r="Y91" s="24" t="s">
        <v>39</v>
      </c>
      <c r="Z91" s="24" t="s">
        <v>39</v>
      </c>
      <c r="AA91" s="27" t="s">
        <v>20</v>
      </c>
      <c r="AB91" s="27" t="s">
        <v>20</v>
      </c>
      <c r="AC91" s="27" t="s">
        <v>20</v>
      </c>
      <c r="AD91" s="39" t="s">
        <v>20</v>
      </c>
      <c r="AE91" s="39" t="s">
        <v>21</v>
      </c>
      <c r="AG91">
        <f t="shared" ref="AG91:AG154" si="9">+COUNTIF(F91:AE91,"AD")</f>
        <v>6</v>
      </c>
      <c r="AH91">
        <f t="shared" ref="AH91:AH154" si="10">+COUNTIF(F91:AE91,"A")</f>
        <v>17</v>
      </c>
      <c r="AI91">
        <f t="shared" ref="AI91:AI154" si="11">+COUNTIF(F91:AE91,"b")</f>
        <v>3</v>
      </c>
      <c r="AJ91">
        <f t="shared" ref="AJ91:AJ154" si="12">+COUNTIF(F91:AE91,"c")</f>
        <v>0</v>
      </c>
      <c r="AL91">
        <f t="shared" ref="AL91:AL154" si="13">+$AG$5*AG91</f>
        <v>24</v>
      </c>
      <c r="AM91">
        <f t="shared" ref="AM91:AM154" si="14">+$AH$5*AH91</f>
        <v>51</v>
      </c>
      <c r="AN91">
        <f t="shared" ref="AN91:AN154" si="15">+$AI$5*AI91</f>
        <v>6</v>
      </c>
      <c r="AO91">
        <f t="shared" ref="AO91:AO154" si="16">+$AJ$5*AJ91</f>
        <v>0</v>
      </c>
      <c r="AP91">
        <f t="shared" ref="AP91:AP154" si="17">+SUM(AL91:AO91)</f>
        <v>81</v>
      </c>
    </row>
    <row r="92" spans="1:42" ht="15.75" hidden="1" customHeight="1" x14ac:dyDescent="0.3">
      <c r="A92" s="16"/>
      <c r="B92" s="55">
        <v>2</v>
      </c>
      <c r="C92" s="56" t="s">
        <v>110</v>
      </c>
      <c r="D92" s="55">
        <v>3</v>
      </c>
      <c r="E92" s="55" t="s">
        <v>20</v>
      </c>
      <c r="F92" s="18" t="s">
        <v>20</v>
      </c>
      <c r="G92" s="18" t="s">
        <v>20</v>
      </c>
      <c r="H92" s="18" t="s">
        <v>20</v>
      </c>
      <c r="I92" s="18" t="s">
        <v>39</v>
      </c>
      <c r="J92" s="43" t="s">
        <v>39</v>
      </c>
      <c r="K92" s="43" t="s">
        <v>39</v>
      </c>
      <c r="L92" s="43" t="s">
        <v>20</v>
      </c>
      <c r="M92" s="18" t="s">
        <v>20</v>
      </c>
      <c r="N92" s="18" t="s">
        <v>20</v>
      </c>
      <c r="O92" s="18" t="s">
        <v>20</v>
      </c>
      <c r="P92" s="18" t="s">
        <v>20</v>
      </c>
      <c r="Q92" s="18" t="s">
        <v>20</v>
      </c>
      <c r="R92" s="18" t="s">
        <v>20</v>
      </c>
      <c r="S92" s="18" t="s">
        <v>20</v>
      </c>
      <c r="T92" s="18" t="s">
        <v>20</v>
      </c>
      <c r="U92" s="18" t="s">
        <v>20</v>
      </c>
      <c r="V92" s="37" t="s">
        <v>20</v>
      </c>
      <c r="W92" s="37" t="s">
        <v>20</v>
      </c>
      <c r="X92" s="37" t="s">
        <v>20</v>
      </c>
      <c r="Y92" s="18" t="s">
        <v>20</v>
      </c>
      <c r="Z92" s="18" t="s">
        <v>20</v>
      </c>
      <c r="AA92" s="20" t="s">
        <v>20</v>
      </c>
      <c r="AB92" s="20" t="s">
        <v>20</v>
      </c>
      <c r="AC92" s="20" t="s">
        <v>20</v>
      </c>
      <c r="AD92" s="37" t="s">
        <v>21</v>
      </c>
      <c r="AE92" s="37" t="s">
        <v>21</v>
      </c>
      <c r="AG92">
        <f t="shared" si="9"/>
        <v>3</v>
      </c>
      <c r="AH92">
        <f t="shared" si="10"/>
        <v>21</v>
      </c>
      <c r="AI92">
        <f t="shared" si="11"/>
        <v>2</v>
      </c>
      <c r="AJ92">
        <f t="shared" si="12"/>
        <v>0</v>
      </c>
      <c r="AL92">
        <f t="shared" si="13"/>
        <v>12</v>
      </c>
      <c r="AM92">
        <f t="shared" si="14"/>
        <v>63</v>
      </c>
      <c r="AN92">
        <f t="shared" si="15"/>
        <v>4</v>
      </c>
      <c r="AO92">
        <f t="shared" si="16"/>
        <v>0</v>
      </c>
      <c r="AP92">
        <f t="shared" si="17"/>
        <v>79</v>
      </c>
    </row>
    <row r="93" spans="1:42" ht="15.75" hidden="1" customHeight="1" x14ac:dyDescent="0.3">
      <c r="A93" s="16"/>
      <c r="B93" s="55">
        <v>3</v>
      </c>
      <c r="C93" s="56" t="s">
        <v>111</v>
      </c>
      <c r="D93" s="55">
        <v>3</v>
      </c>
      <c r="E93" s="55" t="s">
        <v>20</v>
      </c>
      <c r="F93" s="18" t="s">
        <v>23</v>
      </c>
      <c r="G93" s="18" t="s">
        <v>21</v>
      </c>
      <c r="H93" s="18" t="s">
        <v>23</v>
      </c>
      <c r="I93" s="18" t="s">
        <v>23</v>
      </c>
      <c r="J93" s="43" t="s">
        <v>21</v>
      </c>
      <c r="K93" s="43" t="s">
        <v>20</v>
      </c>
      <c r="L93" s="43" t="s">
        <v>21</v>
      </c>
      <c r="M93" s="18" t="s">
        <v>21</v>
      </c>
      <c r="N93" s="18" t="s">
        <v>21</v>
      </c>
      <c r="O93" s="18" t="s">
        <v>21</v>
      </c>
      <c r="P93" s="18" t="s">
        <v>23</v>
      </c>
      <c r="Q93" s="18" t="s">
        <v>21</v>
      </c>
      <c r="R93" s="18" t="s">
        <v>21</v>
      </c>
      <c r="S93" s="18" t="s">
        <v>21</v>
      </c>
      <c r="T93" s="18" t="s">
        <v>21</v>
      </c>
      <c r="U93" s="18" t="s">
        <v>20</v>
      </c>
      <c r="V93" s="37" t="s">
        <v>20</v>
      </c>
      <c r="W93" s="37" t="s">
        <v>21</v>
      </c>
      <c r="X93" s="37" t="s">
        <v>21</v>
      </c>
      <c r="Y93" s="18" t="s">
        <v>21</v>
      </c>
      <c r="Z93" s="18" t="s">
        <v>20</v>
      </c>
      <c r="AA93" s="20" t="s">
        <v>21</v>
      </c>
      <c r="AB93" s="20" t="s">
        <v>21</v>
      </c>
      <c r="AC93" s="20" t="s">
        <v>21</v>
      </c>
      <c r="AD93" s="37" t="s">
        <v>23</v>
      </c>
      <c r="AE93" s="37" t="s">
        <v>21</v>
      </c>
      <c r="AG93">
        <f t="shared" si="9"/>
        <v>0</v>
      </c>
      <c r="AH93">
        <f t="shared" si="10"/>
        <v>4</v>
      </c>
      <c r="AI93">
        <f t="shared" si="11"/>
        <v>17</v>
      </c>
      <c r="AJ93">
        <f t="shared" si="12"/>
        <v>5</v>
      </c>
      <c r="AL93">
        <f t="shared" si="13"/>
        <v>0</v>
      </c>
      <c r="AM93">
        <f t="shared" si="14"/>
        <v>12</v>
      </c>
      <c r="AN93">
        <f t="shared" si="15"/>
        <v>34</v>
      </c>
      <c r="AO93">
        <f t="shared" si="16"/>
        <v>5</v>
      </c>
      <c r="AP93">
        <f t="shared" si="17"/>
        <v>51</v>
      </c>
    </row>
    <row r="94" spans="1:42" ht="15.75" hidden="1" customHeight="1" x14ac:dyDescent="0.3">
      <c r="A94" s="16"/>
      <c r="B94" s="55">
        <v>4</v>
      </c>
      <c r="C94" s="56" t="s">
        <v>112</v>
      </c>
      <c r="D94" s="55">
        <v>3</v>
      </c>
      <c r="E94" s="55" t="s">
        <v>20</v>
      </c>
      <c r="F94" s="18" t="s">
        <v>39</v>
      </c>
      <c r="G94" s="18" t="s">
        <v>20</v>
      </c>
      <c r="H94" s="18" t="s">
        <v>20</v>
      </c>
      <c r="I94" s="18" t="s">
        <v>20</v>
      </c>
      <c r="J94" s="43" t="s">
        <v>20</v>
      </c>
      <c r="K94" s="43" t="s">
        <v>39</v>
      </c>
      <c r="L94" s="43" t="s">
        <v>20</v>
      </c>
      <c r="M94" s="18" t="s">
        <v>20</v>
      </c>
      <c r="N94" s="18" t="s">
        <v>20</v>
      </c>
      <c r="O94" s="18" t="s">
        <v>20</v>
      </c>
      <c r="P94" s="18" t="s">
        <v>20</v>
      </c>
      <c r="Q94" s="18" t="s">
        <v>20</v>
      </c>
      <c r="R94" s="18" t="s">
        <v>20</v>
      </c>
      <c r="S94" s="18" t="s">
        <v>20</v>
      </c>
      <c r="T94" s="18" t="s">
        <v>20</v>
      </c>
      <c r="U94" s="18" t="s">
        <v>20</v>
      </c>
      <c r="V94" s="37" t="s">
        <v>20</v>
      </c>
      <c r="W94" s="37" t="s">
        <v>21</v>
      </c>
      <c r="X94" s="37" t="s">
        <v>20</v>
      </c>
      <c r="Y94" s="18" t="s">
        <v>20</v>
      </c>
      <c r="Z94" s="18" t="s">
        <v>20</v>
      </c>
      <c r="AA94" s="20" t="s">
        <v>20</v>
      </c>
      <c r="AB94" s="20" t="s">
        <v>20</v>
      </c>
      <c r="AC94" s="20" t="s">
        <v>20</v>
      </c>
      <c r="AD94" s="37" t="s">
        <v>20</v>
      </c>
      <c r="AE94" s="37" t="s">
        <v>21</v>
      </c>
      <c r="AG94">
        <f t="shared" si="9"/>
        <v>2</v>
      </c>
      <c r="AH94">
        <f t="shared" si="10"/>
        <v>22</v>
      </c>
      <c r="AI94">
        <f t="shared" si="11"/>
        <v>2</v>
      </c>
      <c r="AJ94">
        <f t="shared" si="12"/>
        <v>0</v>
      </c>
      <c r="AL94">
        <f t="shared" si="13"/>
        <v>8</v>
      </c>
      <c r="AM94">
        <f t="shared" si="14"/>
        <v>66</v>
      </c>
      <c r="AN94">
        <f t="shared" si="15"/>
        <v>4</v>
      </c>
      <c r="AO94">
        <f t="shared" si="16"/>
        <v>0</v>
      </c>
      <c r="AP94">
        <f t="shared" si="17"/>
        <v>78</v>
      </c>
    </row>
    <row r="95" spans="1:42" ht="15.75" hidden="1" customHeight="1" x14ac:dyDescent="0.3">
      <c r="A95" s="16"/>
      <c r="B95" s="55">
        <v>5</v>
      </c>
      <c r="C95" s="56" t="s">
        <v>113</v>
      </c>
      <c r="D95" s="55">
        <v>3</v>
      </c>
      <c r="E95" s="55" t="s">
        <v>20</v>
      </c>
      <c r="F95" s="18" t="s">
        <v>23</v>
      </c>
      <c r="G95" s="18" t="s">
        <v>23</v>
      </c>
      <c r="H95" s="18" t="s">
        <v>23</v>
      </c>
      <c r="I95" s="18" t="s">
        <v>23</v>
      </c>
      <c r="J95" s="43" t="s">
        <v>21</v>
      </c>
      <c r="K95" s="43" t="s">
        <v>21</v>
      </c>
      <c r="L95" s="43" t="s">
        <v>21</v>
      </c>
      <c r="M95" s="18" t="s">
        <v>21</v>
      </c>
      <c r="N95" s="18" t="s">
        <v>23</v>
      </c>
      <c r="O95" s="18" t="s">
        <v>23</v>
      </c>
      <c r="P95" s="18" t="s">
        <v>23</v>
      </c>
      <c r="Q95" s="18" t="s">
        <v>23</v>
      </c>
      <c r="R95" s="18" t="s">
        <v>21</v>
      </c>
      <c r="S95" s="18" t="s">
        <v>23</v>
      </c>
      <c r="T95" s="18" t="s">
        <v>23</v>
      </c>
      <c r="U95" s="18" t="s">
        <v>21</v>
      </c>
      <c r="V95" s="37" t="s">
        <v>21</v>
      </c>
      <c r="W95" s="37" t="s">
        <v>21</v>
      </c>
      <c r="X95" s="37" t="s">
        <v>21</v>
      </c>
      <c r="Y95" s="18" t="s">
        <v>23</v>
      </c>
      <c r="Z95" s="18" t="s">
        <v>21</v>
      </c>
      <c r="AA95" s="20" t="s">
        <v>21</v>
      </c>
      <c r="AB95" s="20" t="s">
        <v>21</v>
      </c>
      <c r="AC95" s="20" t="s">
        <v>21</v>
      </c>
      <c r="AD95" s="37" t="s">
        <v>23</v>
      </c>
      <c r="AE95" s="37" t="s">
        <v>21</v>
      </c>
      <c r="AG95">
        <f t="shared" si="9"/>
        <v>0</v>
      </c>
      <c r="AH95">
        <f t="shared" si="10"/>
        <v>0</v>
      </c>
      <c r="AI95">
        <f t="shared" si="11"/>
        <v>14</v>
      </c>
      <c r="AJ95">
        <f t="shared" si="12"/>
        <v>12</v>
      </c>
      <c r="AL95">
        <f t="shared" si="13"/>
        <v>0</v>
      </c>
      <c r="AM95">
        <f t="shared" si="14"/>
        <v>0</v>
      </c>
      <c r="AN95">
        <f t="shared" si="15"/>
        <v>28</v>
      </c>
      <c r="AO95">
        <f t="shared" si="16"/>
        <v>12</v>
      </c>
      <c r="AP95">
        <f t="shared" si="17"/>
        <v>40</v>
      </c>
    </row>
    <row r="96" spans="1:42" ht="15.75" hidden="1" customHeight="1" x14ac:dyDescent="0.3">
      <c r="A96" s="16"/>
      <c r="B96" s="55">
        <v>6</v>
      </c>
      <c r="C96" s="56" t="s">
        <v>114</v>
      </c>
      <c r="D96" s="55">
        <v>3</v>
      </c>
      <c r="E96" s="55" t="s">
        <v>20</v>
      </c>
      <c r="F96" s="18" t="s">
        <v>20</v>
      </c>
      <c r="G96" s="18" t="s">
        <v>20</v>
      </c>
      <c r="H96" s="18" t="s">
        <v>20</v>
      </c>
      <c r="I96" s="18" t="s">
        <v>20</v>
      </c>
      <c r="J96" s="43" t="s">
        <v>20</v>
      </c>
      <c r="K96" s="43" t="s">
        <v>20</v>
      </c>
      <c r="L96" s="43" t="s">
        <v>20</v>
      </c>
      <c r="M96" s="18" t="s">
        <v>21</v>
      </c>
      <c r="N96" s="18" t="s">
        <v>20</v>
      </c>
      <c r="O96" s="18" t="s">
        <v>20</v>
      </c>
      <c r="P96" s="18" t="s">
        <v>20</v>
      </c>
      <c r="Q96" s="18" t="s">
        <v>20</v>
      </c>
      <c r="R96" s="18" t="s">
        <v>21</v>
      </c>
      <c r="S96" s="18" t="s">
        <v>21</v>
      </c>
      <c r="T96" s="18" t="s">
        <v>20</v>
      </c>
      <c r="U96" s="18" t="s">
        <v>20</v>
      </c>
      <c r="V96" s="37" t="s">
        <v>21</v>
      </c>
      <c r="W96" s="37" t="s">
        <v>21</v>
      </c>
      <c r="X96" s="37" t="s">
        <v>20</v>
      </c>
      <c r="Y96" s="18" t="s">
        <v>21</v>
      </c>
      <c r="Z96" s="18" t="s">
        <v>20</v>
      </c>
      <c r="AA96" s="20" t="s">
        <v>20</v>
      </c>
      <c r="AB96" s="20" t="s">
        <v>21</v>
      </c>
      <c r="AC96" s="20" t="s">
        <v>21</v>
      </c>
      <c r="AD96" s="37" t="s">
        <v>23</v>
      </c>
      <c r="AE96" s="37" t="s">
        <v>21</v>
      </c>
      <c r="AG96">
        <f t="shared" si="9"/>
        <v>0</v>
      </c>
      <c r="AH96">
        <f t="shared" si="10"/>
        <v>16</v>
      </c>
      <c r="AI96">
        <f t="shared" si="11"/>
        <v>9</v>
      </c>
      <c r="AJ96">
        <f t="shared" si="12"/>
        <v>1</v>
      </c>
      <c r="AL96">
        <f t="shared" si="13"/>
        <v>0</v>
      </c>
      <c r="AM96">
        <f t="shared" si="14"/>
        <v>48</v>
      </c>
      <c r="AN96">
        <f t="shared" si="15"/>
        <v>18</v>
      </c>
      <c r="AO96">
        <f t="shared" si="16"/>
        <v>1</v>
      </c>
      <c r="AP96">
        <f t="shared" si="17"/>
        <v>67</v>
      </c>
    </row>
    <row r="97" spans="1:42" ht="15.75" hidden="1" customHeight="1" x14ac:dyDescent="0.3">
      <c r="A97" s="16"/>
      <c r="B97" s="55">
        <v>7</v>
      </c>
      <c r="C97" s="56" t="s">
        <v>115</v>
      </c>
      <c r="D97" s="55">
        <v>3</v>
      </c>
      <c r="E97" s="55" t="s">
        <v>20</v>
      </c>
      <c r="F97" s="18" t="s">
        <v>23</v>
      </c>
      <c r="G97" s="18" t="s">
        <v>23</v>
      </c>
      <c r="H97" s="18" t="s">
        <v>23</v>
      </c>
      <c r="I97" s="18" t="s">
        <v>23</v>
      </c>
      <c r="J97" s="43" t="s">
        <v>21</v>
      </c>
      <c r="K97" s="43" t="s">
        <v>21</v>
      </c>
      <c r="L97" s="43" t="s">
        <v>21</v>
      </c>
      <c r="M97" s="18" t="s">
        <v>20</v>
      </c>
      <c r="N97" s="18" t="s">
        <v>21</v>
      </c>
      <c r="O97" s="18" t="s">
        <v>21</v>
      </c>
      <c r="P97" s="18" t="s">
        <v>21</v>
      </c>
      <c r="Q97" s="18" t="s">
        <v>21</v>
      </c>
      <c r="R97" s="18" t="s">
        <v>21</v>
      </c>
      <c r="S97" s="18" t="s">
        <v>23</v>
      </c>
      <c r="T97" s="18" t="s">
        <v>23</v>
      </c>
      <c r="U97" s="18" t="s">
        <v>20</v>
      </c>
      <c r="V97" s="37" t="s">
        <v>20</v>
      </c>
      <c r="W97" s="37" t="s">
        <v>21</v>
      </c>
      <c r="X97" s="37" t="s">
        <v>21</v>
      </c>
      <c r="Y97" s="18" t="s">
        <v>23</v>
      </c>
      <c r="Z97" s="18" t="s">
        <v>21</v>
      </c>
      <c r="AA97" s="20" t="s">
        <v>21</v>
      </c>
      <c r="AB97" s="20" t="s">
        <v>20</v>
      </c>
      <c r="AC97" s="20" t="s">
        <v>21</v>
      </c>
      <c r="AD97" s="37" t="s">
        <v>23</v>
      </c>
      <c r="AE97" s="37" t="s">
        <v>21</v>
      </c>
      <c r="AG97">
        <f t="shared" si="9"/>
        <v>0</v>
      </c>
      <c r="AH97">
        <f t="shared" si="10"/>
        <v>4</v>
      </c>
      <c r="AI97">
        <f t="shared" si="11"/>
        <v>14</v>
      </c>
      <c r="AJ97">
        <f t="shared" si="12"/>
        <v>8</v>
      </c>
      <c r="AL97">
        <f t="shared" si="13"/>
        <v>0</v>
      </c>
      <c r="AM97">
        <f t="shared" si="14"/>
        <v>12</v>
      </c>
      <c r="AN97">
        <f t="shared" si="15"/>
        <v>28</v>
      </c>
      <c r="AO97">
        <f t="shared" si="16"/>
        <v>8</v>
      </c>
      <c r="AP97">
        <f t="shared" si="17"/>
        <v>48</v>
      </c>
    </row>
    <row r="98" spans="1:42" ht="15.75" hidden="1" customHeight="1" x14ac:dyDescent="0.3">
      <c r="A98" s="16"/>
      <c r="B98" s="55">
        <v>8</v>
      </c>
      <c r="C98" s="56" t="s">
        <v>116</v>
      </c>
      <c r="D98" s="55">
        <v>3</v>
      </c>
      <c r="E98" s="55" t="s">
        <v>20</v>
      </c>
      <c r="F98" s="18" t="s">
        <v>21</v>
      </c>
      <c r="G98" s="18" t="s">
        <v>21</v>
      </c>
      <c r="H98" s="18" t="s">
        <v>21</v>
      </c>
      <c r="I98" s="18" t="s">
        <v>21</v>
      </c>
      <c r="J98" s="43" t="s">
        <v>20</v>
      </c>
      <c r="K98" s="43" t="s">
        <v>20</v>
      </c>
      <c r="L98" s="43" t="s">
        <v>21</v>
      </c>
      <c r="M98" s="18" t="s">
        <v>20</v>
      </c>
      <c r="N98" s="18" t="s">
        <v>20</v>
      </c>
      <c r="O98" s="18" t="s">
        <v>21</v>
      </c>
      <c r="P98" s="18" t="s">
        <v>21</v>
      </c>
      <c r="Q98" s="18" t="s">
        <v>21</v>
      </c>
      <c r="R98" s="18" t="s">
        <v>21</v>
      </c>
      <c r="S98" s="18" t="s">
        <v>20</v>
      </c>
      <c r="T98" s="18" t="s">
        <v>20</v>
      </c>
      <c r="U98" s="18" t="s">
        <v>20</v>
      </c>
      <c r="V98" s="37" t="s">
        <v>20</v>
      </c>
      <c r="W98" s="37" t="s">
        <v>20</v>
      </c>
      <c r="X98" s="37" t="s">
        <v>20</v>
      </c>
      <c r="Y98" s="18" t="s">
        <v>21</v>
      </c>
      <c r="Z98" s="18" t="s">
        <v>21</v>
      </c>
      <c r="AA98" s="20" t="s">
        <v>21</v>
      </c>
      <c r="AB98" s="20" t="s">
        <v>21</v>
      </c>
      <c r="AC98" s="20" t="s">
        <v>20</v>
      </c>
      <c r="AD98" s="44" t="s">
        <v>21</v>
      </c>
      <c r="AE98" s="44" t="s">
        <v>21</v>
      </c>
      <c r="AG98">
        <f t="shared" si="9"/>
        <v>0</v>
      </c>
      <c r="AH98">
        <f t="shared" si="10"/>
        <v>11</v>
      </c>
      <c r="AI98">
        <f t="shared" si="11"/>
        <v>15</v>
      </c>
      <c r="AJ98">
        <f t="shared" si="12"/>
        <v>0</v>
      </c>
      <c r="AL98">
        <f t="shared" si="13"/>
        <v>0</v>
      </c>
      <c r="AM98">
        <f t="shared" si="14"/>
        <v>33</v>
      </c>
      <c r="AN98">
        <f t="shared" si="15"/>
        <v>30</v>
      </c>
      <c r="AO98">
        <f t="shared" si="16"/>
        <v>0</v>
      </c>
      <c r="AP98">
        <f t="shared" si="17"/>
        <v>63</v>
      </c>
    </row>
    <row r="99" spans="1:42" ht="15.75" hidden="1" customHeight="1" x14ac:dyDescent="0.3">
      <c r="A99" s="16"/>
      <c r="B99" s="55">
        <v>9</v>
      </c>
      <c r="C99" s="56" t="s">
        <v>117</v>
      </c>
      <c r="D99" s="55">
        <v>3</v>
      </c>
      <c r="E99" s="55" t="s">
        <v>20</v>
      </c>
      <c r="F99" s="18" t="s">
        <v>20</v>
      </c>
      <c r="G99" s="18" t="s">
        <v>20</v>
      </c>
      <c r="H99" s="18" t="s">
        <v>20</v>
      </c>
      <c r="I99" s="18" t="s">
        <v>20</v>
      </c>
      <c r="J99" s="43" t="s">
        <v>20</v>
      </c>
      <c r="K99" s="43" t="s">
        <v>39</v>
      </c>
      <c r="L99" s="43" t="s">
        <v>20</v>
      </c>
      <c r="M99" s="18" t="s">
        <v>20</v>
      </c>
      <c r="N99" s="18" t="s">
        <v>20</v>
      </c>
      <c r="O99" s="18" t="s">
        <v>20</v>
      </c>
      <c r="P99" s="18" t="s">
        <v>20</v>
      </c>
      <c r="Q99" s="18" t="s">
        <v>20</v>
      </c>
      <c r="R99" s="18" t="s">
        <v>20</v>
      </c>
      <c r="S99" s="18" t="s">
        <v>20</v>
      </c>
      <c r="T99" s="18" t="s">
        <v>20</v>
      </c>
      <c r="U99" s="18" t="s">
        <v>20</v>
      </c>
      <c r="V99" s="37" t="s">
        <v>20</v>
      </c>
      <c r="W99" s="37" t="s">
        <v>20</v>
      </c>
      <c r="X99" s="37" t="s">
        <v>20</v>
      </c>
      <c r="Y99" s="18" t="s">
        <v>20</v>
      </c>
      <c r="Z99" s="18" t="s">
        <v>39</v>
      </c>
      <c r="AA99" s="20" t="s">
        <v>20</v>
      </c>
      <c r="AB99" s="20" t="s">
        <v>20</v>
      </c>
      <c r="AC99" s="20" t="s">
        <v>20</v>
      </c>
      <c r="AD99" s="37" t="s">
        <v>21</v>
      </c>
      <c r="AE99" s="37" t="s">
        <v>21</v>
      </c>
      <c r="AG99">
        <f t="shared" si="9"/>
        <v>2</v>
      </c>
      <c r="AH99">
        <f t="shared" si="10"/>
        <v>22</v>
      </c>
      <c r="AI99">
        <f t="shared" si="11"/>
        <v>2</v>
      </c>
      <c r="AJ99">
        <f t="shared" si="12"/>
        <v>0</v>
      </c>
      <c r="AL99">
        <f t="shared" si="13"/>
        <v>8</v>
      </c>
      <c r="AM99">
        <f t="shared" si="14"/>
        <v>66</v>
      </c>
      <c r="AN99">
        <f t="shared" si="15"/>
        <v>4</v>
      </c>
      <c r="AO99">
        <f t="shared" si="16"/>
        <v>0</v>
      </c>
      <c r="AP99">
        <f t="shared" si="17"/>
        <v>78</v>
      </c>
    </row>
    <row r="100" spans="1:42" ht="15.75" hidden="1" customHeight="1" x14ac:dyDescent="0.3">
      <c r="A100" s="16"/>
      <c r="B100" s="55">
        <v>10</v>
      </c>
      <c r="C100" s="56" t="s">
        <v>118</v>
      </c>
      <c r="D100" s="55">
        <v>3</v>
      </c>
      <c r="E100" s="55" t="s">
        <v>20</v>
      </c>
      <c r="F100" s="18" t="s">
        <v>23</v>
      </c>
      <c r="G100" s="18" t="s">
        <v>23</v>
      </c>
      <c r="H100" s="18" t="s">
        <v>23</v>
      </c>
      <c r="I100" s="18" t="s">
        <v>23</v>
      </c>
      <c r="J100" s="43" t="s">
        <v>21</v>
      </c>
      <c r="K100" s="43" t="s">
        <v>21</v>
      </c>
      <c r="L100" s="43" t="s">
        <v>21</v>
      </c>
      <c r="M100" s="18" t="s">
        <v>21</v>
      </c>
      <c r="N100" s="18" t="s">
        <v>23</v>
      </c>
      <c r="O100" s="18" t="s">
        <v>21</v>
      </c>
      <c r="P100" s="18" t="s">
        <v>23</v>
      </c>
      <c r="Q100" s="18" t="s">
        <v>21</v>
      </c>
      <c r="R100" s="18" t="s">
        <v>21</v>
      </c>
      <c r="S100" s="18" t="s">
        <v>20</v>
      </c>
      <c r="T100" s="18" t="s">
        <v>20</v>
      </c>
      <c r="U100" s="18" t="s">
        <v>21</v>
      </c>
      <c r="V100" s="37" t="s">
        <v>20</v>
      </c>
      <c r="W100" s="37" t="s">
        <v>21</v>
      </c>
      <c r="X100" s="37" t="s">
        <v>20</v>
      </c>
      <c r="Y100" s="18" t="s">
        <v>20</v>
      </c>
      <c r="Z100" s="18" t="s">
        <v>20</v>
      </c>
      <c r="AA100" s="20" t="s">
        <v>21</v>
      </c>
      <c r="AB100" s="20" t="s">
        <v>21</v>
      </c>
      <c r="AC100" s="20" t="s">
        <v>21</v>
      </c>
      <c r="AD100" s="37" t="s">
        <v>21</v>
      </c>
      <c r="AE100" s="37" t="s">
        <v>21</v>
      </c>
      <c r="AG100">
        <f t="shared" si="9"/>
        <v>0</v>
      </c>
      <c r="AH100">
        <f t="shared" si="10"/>
        <v>6</v>
      </c>
      <c r="AI100">
        <f t="shared" si="11"/>
        <v>14</v>
      </c>
      <c r="AJ100">
        <f t="shared" si="12"/>
        <v>6</v>
      </c>
      <c r="AL100">
        <f t="shared" si="13"/>
        <v>0</v>
      </c>
      <c r="AM100">
        <f t="shared" si="14"/>
        <v>18</v>
      </c>
      <c r="AN100">
        <f t="shared" si="15"/>
        <v>28</v>
      </c>
      <c r="AO100">
        <f t="shared" si="16"/>
        <v>6</v>
      </c>
      <c r="AP100">
        <f t="shared" si="17"/>
        <v>52</v>
      </c>
    </row>
    <row r="101" spans="1:42" ht="15.75" hidden="1" customHeight="1" x14ac:dyDescent="0.3">
      <c r="A101" s="16"/>
      <c r="B101" s="55">
        <v>11</v>
      </c>
      <c r="C101" s="56" t="s">
        <v>119</v>
      </c>
      <c r="D101" s="55">
        <v>3</v>
      </c>
      <c r="E101" s="55" t="s">
        <v>20</v>
      </c>
      <c r="F101" s="18" t="s">
        <v>21</v>
      </c>
      <c r="G101" s="18" t="s">
        <v>21</v>
      </c>
      <c r="H101" s="18" t="s">
        <v>21</v>
      </c>
      <c r="I101" s="18" t="s">
        <v>21</v>
      </c>
      <c r="J101" s="43" t="s">
        <v>21</v>
      </c>
      <c r="K101" s="43" t="s">
        <v>21</v>
      </c>
      <c r="L101" s="43" t="s">
        <v>21</v>
      </c>
      <c r="M101" s="18" t="s">
        <v>21</v>
      </c>
      <c r="N101" s="18" t="s">
        <v>21</v>
      </c>
      <c r="O101" s="18" t="s">
        <v>21</v>
      </c>
      <c r="P101" s="18" t="s">
        <v>23</v>
      </c>
      <c r="Q101" s="18" t="s">
        <v>21</v>
      </c>
      <c r="R101" s="18" t="s">
        <v>21</v>
      </c>
      <c r="S101" s="18" t="s">
        <v>20</v>
      </c>
      <c r="T101" s="18" t="s">
        <v>20</v>
      </c>
      <c r="U101" s="18" t="s">
        <v>21</v>
      </c>
      <c r="V101" s="37" t="s">
        <v>20</v>
      </c>
      <c r="W101" s="37" t="s">
        <v>20</v>
      </c>
      <c r="X101" s="37" t="s">
        <v>20</v>
      </c>
      <c r="Y101" s="18" t="s">
        <v>21</v>
      </c>
      <c r="Z101" s="18" t="s">
        <v>21</v>
      </c>
      <c r="AA101" s="20" t="s">
        <v>21</v>
      </c>
      <c r="AB101" s="20" t="s">
        <v>21</v>
      </c>
      <c r="AC101" s="20" t="s">
        <v>21</v>
      </c>
      <c r="AD101" s="37" t="s">
        <v>23</v>
      </c>
      <c r="AE101" s="37" t="s">
        <v>21</v>
      </c>
      <c r="AG101">
        <f t="shared" si="9"/>
        <v>0</v>
      </c>
      <c r="AH101">
        <f t="shared" si="10"/>
        <v>5</v>
      </c>
      <c r="AI101">
        <f t="shared" si="11"/>
        <v>19</v>
      </c>
      <c r="AJ101">
        <f t="shared" si="12"/>
        <v>2</v>
      </c>
      <c r="AL101">
        <f t="shared" si="13"/>
        <v>0</v>
      </c>
      <c r="AM101">
        <f t="shared" si="14"/>
        <v>15</v>
      </c>
      <c r="AN101">
        <f t="shared" si="15"/>
        <v>38</v>
      </c>
      <c r="AO101">
        <f t="shared" si="16"/>
        <v>2</v>
      </c>
      <c r="AP101">
        <f t="shared" si="17"/>
        <v>55</v>
      </c>
    </row>
    <row r="102" spans="1:42" ht="15.75" hidden="1" customHeight="1" x14ac:dyDescent="0.3">
      <c r="A102" s="16"/>
      <c r="B102" s="55">
        <v>12</v>
      </c>
      <c r="C102" s="56" t="s">
        <v>120</v>
      </c>
      <c r="D102" s="55">
        <v>3</v>
      </c>
      <c r="E102" s="55" t="s">
        <v>20</v>
      </c>
      <c r="F102" s="18" t="s">
        <v>21</v>
      </c>
      <c r="G102" s="18" t="s">
        <v>23</v>
      </c>
      <c r="H102" s="18" t="s">
        <v>23</v>
      </c>
      <c r="I102" s="18" t="s">
        <v>21</v>
      </c>
      <c r="J102" s="43" t="s">
        <v>21</v>
      </c>
      <c r="K102" s="43" t="s">
        <v>20</v>
      </c>
      <c r="L102" s="43" t="s">
        <v>21</v>
      </c>
      <c r="M102" s="18" t="s">
        <v>21</v>
      </c>
      <c r="N102" s="18" t="s">
        <v>21</v>
      </c>
      <c r="O102" s="18" t="s">
        <v>20</v>
      </c>
      <c r="P102" s="18" t="s">
        <v>21</v>
      </c>
      <c r="Q102" s="18" t="s">
        <v>21</v>
      </c>
      <c r="R102" s="18" t="s">
        <v>21</v>
      </c>
      <c r="S102" s="18" t="s">
        <v>21</v>
      </c>
      <c r="T102" s="18" t="s">
        <v>20</v>
      </c>
      <c r="U102" s="18" t="s">
        <v>21</v>
      </c>
      <c r="V102" s="37" t="s">
        <v>20</v>
      </c>
      <c r="W102" s="37" t="s">
        <v>21</v>
      </c>
      <c r="X102" s="37" t="s">
        <v>20</v>
      </c>
      <c r="Y102" s="18" t="s">
        <v>20</v>
      </c>
      <c r="Z102" s="18" t="s">
        <v>20</v>
      </c>
      <c r="AA102" s="20" t="s">
        <v>20</v>
      </c>
      <c r="AB102" s="20" t="s">
        <v>21</v>
      </c>
      <c r="AC102" s="20" t="s">
        <v>20</v>
      </c>
      <c r="AD102" s="37" t="s">
        <v>23</v>
      </c>
      <c r="AE102" s="37" t="s">
        <v>21</v>
      </c>
      <c r="AG102">
        <f t="shared" si="9"/>
        <v>0</v>
      </c>
      <c r="AH102">
        <f t="shared" si="10"/>
        <v>9</v>
      </c>
      <c r="AI102">
        <f t="shared" si="11"/>
        <v>14</v>
      </c>
      <c r="AJ102">
        <f t="shared" si="12"/>
        <v>3</v>
      </c>
      <c r="AL102">
        <f t="shared" si="13"/>
        <v>0</v>
      </c>
      <c r="AM102">
        <f t="shared" si="14"/>
        <v>27</v>
      </c>
      <c r="AN102">
        <f t="shared" si="15"/>
        <v>28</v>
      </c>
      <c r="AO102">
        <f t="shared" si="16"/>
        <v>3</v>
      </c>
      <c r="AP102">
        <f t="shared" si="17"/>
        <v>58</v>
      </c>
    </row>
    <row r="103" spans="1:42" ht="15.75" hidden="1" customHeight="1" x14ac:dyDescent="0.3">
      <c r="A103" s="16"/>
      <c r="B103" s="55">
        <v>13</v>
      </c>
      <c r="C103" s="56" t="s">
        <v>121</v>
      </c>
      <c r="D103" s="55">
        <v>3</v>
      </c>
      <c r="E103" s="55" t="s">
        <v>20</v>
      </c>
      <c r="F103" s="18" t="s">
        <v>20</v>
      </c>
      <c r="G103" s="18" t="s">
        <v>20</v>
      </c>
      <c r="H103" s="18" t="s">
        <v>20</v>
      </c>
      <c r="I103" s="18" t="s">
        <v>20</v>
      </c>
      <c r="J103" s="43" t="s">
        <v>20</v>
      </c>
      <c r="K103" s="43" t="s">
        <v>21</v>
      </c>
      <c r="L103" s="43" t="s">
        <v>21</v>
      </c>
      <c r="M103" s="18" t="s">
        <v>21</v>
      </c>
      <c r="N103" s="18" t="s">
        <v>21</v>
      </c>
      <c r="O103" s="18" t="s">
        <v>20</v>
      </c>
      <c r="P103" s="18" t="s">
        <v>20</v>
      </c>
      <c r="Q103" s="18" t="s">
        <v>20</v>
      </c>
      <c r="R103" s="18" t="s">
        <v>20</v>
      </c>
      <c r="S103" s="18" t="s">
        <v>20</v>
      </c>
      <c r="T103" s="18" t="s">
        <v>20</v>
      </c>
      <c r="U103" s="18" t="s">
        <v>21</v>
      </c>
      <c r="V103" s="37" t="s">
        <v>20</v>
      </c>
      <c r="W103" s="37" t="s">
        <v>21</v>
      </c>
      <c r="X103" s="37" t="s">
        <v>20</v>
      </c>
      <c r="Y103" s="18" t="s">
        <v>21</v>
      </c>
      <c r="Z103" s="18" t="s">
        <v>20</v>
      </c>
      <c r="AA103" s="20" t="s">
        <v>20</v>
      </c>
      <c r="AB103" s="20" t="s">
        <v>21</v>
      </c>
      <c r="AC103" s="20" t="s">
        <v>20</v>
      </c>
      <c r="AD103" s="37" t="s">
        <v>21</v>
      </c>
      <c r="AE103" s="37" t="s">
        <v>21</v>
      </c>
      <c r="AG103">
        <f t="shared" si="9"/>
        <v>0</v>
      </c>
      <c r="AH103">
        <f t="shared" si="10"/>
        <v>16</v>
      </c>
      <c r="AI103">
        <f t="shared" si="11"/>
        <v>10</v>
      </c>
      <c r="AJ103">
        <f t="shared" si="12"/>
        <v>0</v>
      </c>
      <c r="AL103">
        <f t="shared" si="13"/>
        <v>0</v>
      </c>
      <c r="AM103">
        <f t="shared" si="14"/>
        <v>48</v>
      </c>
      <c r="AN103">
        <f t="shared" si="15"/>
        <v>20</v>
      </c>
      <c r="AO103">
        <f t="shared" si="16"/>
        <v>0</v>
      </c>
      <c r="AP103">
        <f t="shared" si="17"/>
        <v>68</v>
      </c>
    </row>
    <row r="104" spans="1:42" ht="15.75" hidden="1" customHeight="1" x14ac:dyDescent="0.3">
      <c r="A104" s="16"/>
      <c r="B104" s="55">
        <v>14</v>
      </c>
      <c r="C104" s="56" t="s">
        <v>122</v>
      </c>
      <c r="D104" s="55">
        <v>3</v>
      </c>
      <c r="E104" s="55" t="s">
        <v>20</v>
      </c>
      <c r="F104" s="18" t="s">
        <v>23</v>
      </c>
      <c r="G104" s="18" t="s">
        <v>23</v>
      </c>
      <c r="H104" s="18" t="s">
        <v>23</v>
      </c>
      <c r="I104" s="18" t="s">
        <v>23</v>
      </c>
      <c r="J104" s="43" t="s">
        <v>21</v>
      </c>
      <c r="K104" s="43" t="s">
        <v>23</v>
      </c>
      <c r="L104" s="43" t="s">
        <v>21</v>
      </c>
      <c r="M104" s="18" t="s">
        <v>21</v>
      </c>
      <c r="N104" s="18" t="s">
        <v>23</v>
      </c>
      <c r="O104" s="18" t="s">
        <v>23</v>
      </c>
      <c r="P104" s="18" t="s">
        <v>23</v>
      </c>
      <c r="Q104" s="18" t="s">
        <v>21</v>
      </c>
      <c r="R104" s="18" t="s">
        <v>23</v>
      </c>
      <c r="S104" s="18" t="s">
        <v>23</v>
      </c>
      <c r="T104" s="18" t="s">
        <v>23</v>
      </c>
      <c r="U104" s="18" t="s">
        <v>21</v>
      </c>
      <c r="V104" s="37" t="s">
        <v>20</v>
      </c>
      <c r="W104" s="37" t="s">
        <v>21</v>
      </c>
      <c r="X104" s="37" t="s">
        <v>20</v>
      </c>
      <c r="Y104" s="18" t="s">
        <v>21</v>
      </c>
      <c r="Z104" s="18" t="s">
        <v>23</v>
      </c>
      <c r="AA104" s="20" t="s">
        <v>23</v>
      </c>
      <c r="AB104" s="20" t="s">
        <v>23</v>
      </c>
      <c r="AC104" s="20" t="s">
        <v>21</v>
      </c>
      <c r="AD104" s="37" t="s">
        <v>21</v>
      </c>
      <c r="AE104" s="37" t="s">
        <v>21</v>
      </c>
      <c r="AG104">
        <f t="shared" si="9"/>
        <v>0</v>
      </c>
      <c r="AH104">
        <f t="shared" si="10"/>
        <v>2</v>
      </c>
      <c r="AI104">
        <f t="shared" si="11"/>
        <v>10</v>
      </c>
      <c r="AJ104">
        <f t="shared" si="12"/>
        <v>14</v>
      </c>
      <c r="AL104">
        <f t="shared" si="13"/>
        <v>0</v>
      </c>
      <c r="AM104">
        <f t="shared" si="14"/>
        <v>6</v>
      </c>
      <c r="AN104">
        <f t="shared" si="15"/>
        <v>20</v>
      </c>
      <c r="AO104">
        <f t="shared" si="16"/>
        <v>14</v>
      </c>
      <c r="AP104">
        <f t="shared" si="17"/>
        <v>40</v>
      </c>
    </row>
    <row r="105" spans="1:42" ht="15.75" hidden="1" customHeight="1" x14ac:dyDescent="0.3">
      <c r="A105" s="16"/>
      <c r="B105" s="55">
        <v>15</v>
      </c>
      <c r="C105" s="56" t="s">
        <v>123</v>
      </c>
      <c r="D105" s="55">
        <v>3</v>
      </c>
      <c r="E105" s="55" t="s">
        <v>20</v>
      </c>
      <c r="F105" s="18" t="s">
        <v>39</v>
      </c>
      <c r="G105" s="18" t="s">
        <v>39</v>
      </c>
      <c r="H105" s="18" t="s">
        <v>20</v>
      </c>
      <c r="I105" s="18" t="s">
        <v>39</v>
      </c>
      <c r="J105" s="43" t="s">
        <v>20</v>
      </c>
      <c r="K105" s="43" t="s">
        <v>20</v>
      </c>
      <c r="L105" s="43" t="s">
        <v>20</v>
      </c>
      <c r="M105" s="18" t="s">
        <v>20</v>
      </c>
      <c r="N105" s="18" t="s">
        <v>21</v>
      </c>
      <c r="O105" s="18" t="s">
        <v>20</v>
      </c>
      <c r="P105" s="18" t="s">
        <v>20</v>
      </c>
      <c r="Q105" s="18" t="s">
        <v>20</v>
      </c>
      <c r="R105" s="18" t="s">
        <v>20</v>
      </c>
      <c r="S105" s="18" t="s">
        <v>20</v>
      </c>
      <c r="T105" s="18" t="s">
        <v>20</v>
      </c>
      <c r="U105" s="18" t="s">
        <v>20</v>
      </c>
      <c r="V105" s="37" t="s">
        <v>20</v>
      </c>
      <c r="W105" s="37" t="s">
        <v>20</v>
      </c>
      <c r="X105" s="37" t="s">
        <v>20</v>
      </c>
      <c r="Y105" s="18" t="s">
        <v>20</v>
      </c>
      <c r="Z105" s="18" t="s">
        <v>21</v>
      </c>
      <c r="AA105" s="20" t="s">
        <v>20</v>
      </c>
      <c r="AB105" s="20" t="s">
        <v>20</v>
      </c>
      <c r="AC105" s="20" t="s">
        <v>20</v>
      </c>
      <c r="AD105" s="37" t="s">
        <v>20</v>
      </c>
      <c r="AE105" s="37" t="s">
        <v>21</v>
      </c>
      <c r="AG105">
        <f t="shared" si="9"/>
        <v>3</v>
      </c>
      <c r="AH105">
        <f t="shared" si="10"/>
        <v>20</v>
      </c>
      <c r="AI105">
        <f t="shared" si="11"/>
        <v>3</v>
      </c>
      <c r="AJ105">
        <f t="shared" si="12"/>
        <v>0</v>
      </c>
      <c r="AL105">
        <f t="shared" si="13"/>
        <v>12</v>
      </c>
      <c r="AM105">
        <f t="shared" si="14"/>
        <v>60</v>
      </c>
      <c r="AN105">
        <f t="shared" si="15"/>
        <v>6</v>
      </c>
      <c r="AO105">
        <f t="shared" si="16"/>
        <v>0</v>
      </c>
      <c r="AP105">
        <f t="shared" si="17"/>
        <v>78</v>
      </c>
    </row>
    <row r="106" spans="1:42" ht="15.75" hidden="1" customHeight="1" x14ac:dyDescent="0.3">
      <c r="A106" s="16"/>
      <c r="B106" s="55">
        <v>16</v>
      </c>
      <c r="C106" s="56" t="s">
        <v>124</v>
      </c>
      <c r="D106" s="55">
        <v>3</v>
      </c>
      <c r="E106" s="55" t="s">
        <v>20</v>
      </c>
      <c r="F106" s="18" t="s">
        <v>20</v>
      </c>
      <c r="G106" s="18" t="s">
        <v>20</v>
      </c>
      <c r="H106" s="18" t="s">
        <v>20</v>
      </c>
      <c r="I106" s="18" t="s">
        <v>20</v>
      </c>
      <c r="J106" s="43" t="s">
        <v>20</v>
      </c>
      <c r="K106" s="43" t="s">
        <v>20</v>
      </c>
      <c r="L106" s="43" t="s">
        <v>20</v>
      </c>
      <c r="M106" s="18" t="s">
        <v>20</v>
      </c>
      <c r="N106" s="18" t="s">
        <v>20</v>
      </c>
      <c r="O106" s="18" t="s">
        <v>20</v>
      </c>
      <c r="P106" s="18" t="s">
        <v>20</v>
      </c>
      <c r="Q106" s="18" t="s">
        <v>20</v>
      </c>
      <c r="R106" s="18" t="s">
        <v>20</v>
      </c>
      <c r="S106" s="18" t="s">
        <v>20</v>
      </c>
      <c r="T106" s="18" t="s">
        <v>20</v>
      </c>
      <c r="U106" s="18" t="s">
        <v>20</v>
      </c>
      <c r="V106" s="37" t="s">
        <v>20</v>
      </c>
      <c r="W106" s="37" t="s">
        <v>20</v>
      </c>
      <c r="X106" s="37" t="s">
        <v>20</v>
      </c>
      <c r="Y106" s="18" t="s">
        <v>20</v>
      </c>
      <c r="Z106" s="18" t="s">
        <v>20</v>
      </c>
      <c r="AA106" s="20" t="s">
        <v>20</v>
      </c>
      <c r="AB106" s="20" t="s">
        <v>20</v>
      </c>
      <c r="AC106" s="20" t="s">
        <v>20</v>
      </c>
      <c r="AD106" s="37" t="s">
        <v>20</v>
      </c>
      <c r="AE106" s="37" t="s">
        <v>21</v>
      </c>
      <c r="AG106">
        <f t="shared" si="9"/>
        <v>0</v>
      </c>
      <c r="AH106">
        <f t="shared" si="10"/>
        <v>25</v>
      </c>
      <c r="AI106">
        <f t="shared" si="11"/>
        <v>1</v>
      </c>
      <c r="AJ106">
        <f t="shared" si="12"/>
        <v>0</v>
      </c>
      <c r="AL106">
        <f t="shared" si="13"/>
        <v>0</v>
      </c>
      <c r="AM106">
        <f t="shared" si="14"/>
        <v>75</v>
      </c>
      <c r="AN106">
        <f t="shared" si="15"/>
        <v>2</v>
      </c>
      <c r="AO106">
        <f t="shared" si="16"/>
        <v>0</v>
      </c>
      <c r="AP106">
        <f t="shared" si="17"/>
        <v>77</v>
      </c>
    </row>
    <row r="107" spans="1:42" ht="15.75" hidden="1" customHeight="1" x14ac:dyDescent="0.3">
      <c r="A107" s="16"/>
      <c r="B107" s="55">
        <v>17</v>
      </c>
      <c r="C107" s="56" t="s">
        <v>125</v>
      </c>
      <c r="D107" s="55">
        <v>3</v>
      </c>
      <c r="E107" s="55" t="s">
        <v>20</v>
      </c>
      <c r="F107" s="18" t="s">
        <v>20</v>
      </c>
      <c r="G107" s="18" t="s">
        <v>20</v>
      </c>
      <c r="H107" s="18" t="s">
        <v>20</v>
      </c>
      <c r="I107" s="18" t="s">
        <v>20</v>
      </c>
      <c r="J107" s="43" t="s">
        <v>39</v>
      </c>
      <c r="K107" s="43" t="s">
        <v>20</v>
      </c>
      <c r="L107" s="43" t="s">
        <v>20</v>
      </c>
      <c r="M107" s="18" t="s">
        <v>20</v>
      </c>
      <c r="N107" s="18" t="s">
        <v>20</v>
      </c>
      <c r="O107" s="18" t="s">
        <v>20</v>
      </c>
      <c r="P107" s="18" t="s">
        <v>20</v>
      </c>
      <c r="Q107" s="18" t="s">
        <v>20</v>
      </c>
      <c r="R107" s="18" t="s">
        <v>20</v>
      </c>
      <c r="S107" s="18" t="s">
        <v>21</v>
      </c>
      <c r="T107" s="18" t="s">
        <v>20</v>
      </c>
      <c r="U107" s="18" t="s">
        <v>20</v>
      </c>
      <c r="V107" s="37" t="s">
        <v>21</v>
      </c>
      <c r="W107" s="37" t="s">
        <v>20</v>
      </c>
      <c r="X107" s="37" t="s">
        <v>21</v>
      </c>
      <c r="Y107" s="18" t="s">
        <v>20</v>
      </c>
      <c r="Z107" s="18" t="s">
        <v>20</v>
      </c>
      <c r="AA107" s="20" t="s">
        <v>20</v>
      </c>
      <c r="AB107" s="20" t="s">
        <v>20</v>
      </c>
      <c r="AC107" s="20" t="s">
        <v>20</v>
      </c>
      <c r="AD107" s="37" t="s">
        <v>20</v>
      </c>
      <c r="AE107" s="37" t="s">
        <v>21</v>
      </c>
      <c r="AG107">
        <f t="shared" si="9"/>
        <v>1</v>
      </c>
      <c r="AH107">
        <f t="shared" si="10"/>
        <v>21</v>
      </c>
      <c r="AI107">
        <f t="shared" si="11"/>
        <v>4</v>
      </c>
      <c r="AJ107">
        <f t="shared" si="12"/>
        <v>0</v>
      </c>
      <c r="AL107">
        <f t="shared" si="13"/>
        <v>4</v>
      </c>
      <c r="AM107">
        <f t="shared" si="14"/>
        <v>63</v>
      </c>
      <c r="AN107">
        <f t="shared" si="15"/>
        <v>8</v>
      </c>
      <c r="AO107">
        <f t="shared" si="16"/>
        <v>0</v>
      </c>
      <c r="AP107">
        <f t="shared" si="17"/>
        <v>75</v>
      </c>
    </row>
    <row r="108" spans="1:42" ht="15.75" hidden="1" customHeight="1" x14ac:dyDescent="0.3">
      <c r="A108" s="16"/>
      <c r="B108" s="55">
        <v>18</v>
      </c>
      <c r="C108" s="56" t="s">
        <v>126</v>
      </c>
      <c r="D108" s="55">
        <v>3</v>
      </c>
      <c r="E108" s="55" t="s">
        <v>20</v>
      </c>
      <c r="F108" s="18" t="s">
        <v>39</v>
      </c>
      <c r="G108" s="18" t="s">
        <v>20</v>
      </c>
      <c r="H108" s="18" t="s">
        <v>20</v>
      </c>
      <c r="I108" s="18" t="s">
        <v>20</v>
      </c>
      <c r="J108" s="43" t="s">
        <v>20</v>
      </c>
      <c r="K108" s="43" t="s">
        <v>20</v>
      </c>
      <c r="L108" s="43" t="s">
        <v>20</v>
      </c>
      <c r="M108" s="18" t="s">
        <v>20</v>
      </c>
      <c r="N108" s="18" t="s">
        <v>20</v>
      </c>
      <c r="O108" s="18" t="s">
        <v>20</v>
      </c>
      <c r="P108" s="18" t="s">
        <v>20</v>
      </c>
      <c r="Q108" s="18" t="s">
        <v>20</v>
      </c>
      <c r="R108" s="18" t="s">
        <v>20</v>
      </c>
      <c r="S108" s="18" t="s">
        <v>20</v>
      </c>
      <c r="T108" s="18" t="s">
        <v>20</v>
      </c>
      <c r="U108" s="18" t="s">
        <v>20</v>
      </c>
      <c r="V108" s="37" t="s">
        <v>20</v>
      </c>
      <c r="W108" s="37" t="s">
        <v>20</v>
      </c>
      <c r="X108" s="37" t="s">
        <v>20</v>
      </c>
      <c r="Y108" s="18" t="s">
        <v>21</v>
      </c>
      <c r="Z108" s="18" t="s">
        <v>20</v>
      </c>
      <c r="AA108" s="20" t="s">
        <v>20</v>
      </c>
      <c r="AB108" s="20" t="s">
        <v>20</v>
      </c>
      <c r="AC108" s="20" t="s">
        <v>20</v>
      </c>
      <c r="AD108" s="37" t="s">
        <v>20</v>
      </c>
      <c r="AE108" s="37" t="s">
        <v>21</v>
      </c>
      <c r="AG108">
        <f t="shared" si="9"/>
        <v>1</v>
      </c>
      <c r="AH108">
        <f t="shared" si="10"/>
        <v>23</v>
      </c>
      <c r="AI108">
        <f t="shared" si="11"/>
        <v>2</v>
      </c>
      <c r="AJ108">
        <f t="shared" si="12"/>
        <v>0</v>
      </c>
      <c r="AL108">
        <f t="shared" si="13"/>
        <v>4</v>
      </c>
      <c r="AM108">
        <f t="shared" si="14"/>
        <v>69</v>
      </c>
      <c r="AN108">
        <f t="shared" si="15"/>
        <v>4</v>
      </c>
      <c r="AO108">
        <f t="shared" si="16"/>
        <v>0</v>
      </c>
      <c r="AP108">
        <f t="shared" si="17"/>
        <v>77</v>
      </c>
    </row>
    <row r="109" spans="1:42" ht="15.75" hidden="1" customHeight="1" thickBot="1" x14ac:dyDescent="0.35">
      <c r="A109" s="16"/>
      <c r="B109" s="57">
        <v>19</v>
      </c>
      <c r="C109" s="58" t="s">
        <v>127</v>
      </c>
      <c r="D109" s="57">
        <v>3</v>
      </c>
      <c r="E109" s="57" t="s">
        <v>20</v>
      </c>
      <c r="F109" s="21" t="s">
        <v>21</v>
      </c>
      <c r="G109" s="21" t="s">
        <v>23</v>
      </c>
      <c r="H109" s="21" t="s">
        <v>23</v>
      </c>
      <c r="I109" s="21" t="s">
        <v>23</v>
      </c>
      <c r="J109" s="45" t="s">
        <v>21</v>
      </c>
      <c r="K109" s="45" t="s">
        <v>20</v>
      </c>
      <c r="L109" s="45" t="s">
        <v>21</v>
      </c>
      <c r="M109" s="21" t="s">
        <v>21</v>
      </c>
      <c r="N109" s="21" t="s">
        <v>21</v>
      </c>
      <c r="O109" s="21" t="s">
        <v>21</v>
      </c>
      <c r="P109" s="21" t="s">
        <v>21</v>
      </c>
      <c r="Q109" s="21" t="s">
        <v>21</v>
      </c>
      <c r="R109" s="21" t="s">
        <v>21</v>
      </c>
      <c r="S109" s="21" t="s">
        <v>20</v>
      </c>
      <c r="T109" s="21" t="s">
        <v>20</v>
      </c>
      <c r="U109" s="21" t="s">
        <v>20</v>
      </c>
      <c r="V109" s="38" t="s">
        <v>20</v>
      </c>
      <c r="W109" s="38" t="s">
        <v>21</v>
      </c>
      <c r="X109" s="38" t="s">
        <v>20</v>
      </c>
      <c r="Y109" s="21" t="s">
        <v>23</v>
      </c>
      <c r="Z109" s="21" t="s">
        <v>20</v>
      </c>
      <c r="AA109" s="23" t="s">
        <v>21</v>
      </c>
      <c r="AB109" s="23" t="s">
        <v>21</v>
      </c>
      <c r="AC109" s="23" t="s">
        <v>21</v>
      </c>
      <c r="AD109" s="38" t="s">
        <v>21</v>
      </c>
      <c r="AE109" s="38" t="s">
        <v>21</v>
      </c>
      <c r="AG109">
        <f t="shared" si="9"/>
        <v>0</v>
      </c>
      <c r="AH109">
        <f t="shared" si="10"/>
        <v>7</v>
      </c>
      <c r="AI109">
        <f t="shared" si="11"/>
        <v>15</v>
      </c>
      <c r="AJ109">
        <f t="shared" si="12"/>
        <v>4</v>
      </c>
      <c r="AL109">
        <f t="shared" si="13"/>
        <v>0</v>
      </c>
      <c r="AM109">
        <f t="shared" si="14"/>
        <v>21</v>
      </c>
      <c r="AN109">
        <f t="shared" si="15"/>
        <v>30</v>
      </c>
      <c r="AO109">
        <f t="shared" si="16"/>
        <v>4</v>
      </c>
      <c r="AP109">
        <f t="shared" si="17"/>
        <v>55</v>
      </c>
    </row>
    <row r="110" spans="1:42" ht="15.75" hidden="1" customHeight="1" x14ac:dyDescent="0.3">
      <c r="A110" s="16"/>
      <c r="B110" s="59">
        <v>1</v>
      </c>
      <c r="C110" s="60" t="s">
        <v>128</v>
      </c>
      <c r="D110" s="59">
        <v>3</v>
      </c>
      <c r="E110" s="59" t="s">
        <v>21</v>
      </c>
      <c r="F110" s="24" t="s">
        <v>21</v>
      </c>
      <c r="G110" s="24" t="s">
        <v>20</v>
      </c>
      <c r="H110" s="24" t="s">
        <v>20</v>
      </c>
      <c r="I110" s="24" t="s">
        <v>20</v>
      </c>
      <c r="J110" s="27" t="s">
        <v>20</v>
      </c>
      <c r="K110" s="27" t="s">
        <v>20</v>
      </c>
      <c r="L110" s="27" t="s">
        <v>21</v>
      </c>
      <c r="M110" s="24" t="s">
        <v>20</v>
      </c>
      <c r="N110" s="24" t="s">
        <v>20</v>
      </c>
      <c r="O110" s="24" t="s">
        <v>20</v>
      </c>
      <c r="P110" s="24" t="s">
        <v>21</v>
      </c>
      <c r="Q110" s="24" t="s">
        <v>21</v>
      </c>
      <c r="R110" s="24" t="s">
        <v>20</v>
      </c>
      <c r="S110" s="24" t="s">
        <v>20</v>
      </c>
      <c r="T110" s="24" t="s">
        <v>20</v>
      </c>
      <c r="U110" s="24" t="s">
        <v>20</v>
      </c>
      <c r="V110" s="39" t="s">
        <v>21</v>
      </c>
      <c r="W110" s="39" t="s">
        <v>20</v>
      </c>
      <c r="X110" s="39" t="s">
        <v>20</v>
      </c>
      <c r="Y110" s="24" t="s">
        <v>20</v>
      </c>
      <c r="Z110" s="24" t="s">
        <v>20</v>
      </c>
      <c r="AA110" s="27" t="s">
        <v>21</v>
      </c>
      <c r="AB110" s="27" t="s">
        <v>21</v>
      </c>
      <c r="AC110" s="27" t="s">
        <v>21</v>
      </c>
      <c r="AD110" s="39" t="s">
        <v>21</v>
      </c>
      <c r="AE110" s="39" t="s">
        <v>21</v>
      </c>
      <c r="AG110">
        <f t="shared" si="9"/>
        <v>0</v>
      </c>
      <c r="AH110">
        <f t="shared" si="10"/>
        <v>16</v>
      </c>
      <c r="AI110">
        <f t="shared" si="11"/>
        <v>10</v>
      </c>
      <c r="AJ110">
        <f t="shared" si="12"/>
        <v>0</v>
      </c>
      <c r="AL110">
        <f t="shared" si="13"/>
        <v>0</v>
      </c>
      <c r="AM110">
        <f t="shared" si="14"/>
        <v>48</v>
      </c>
      <c r="AN110">
        <f t="shared" si="15"/>
        <v>20</v>
      </c>
      <c r="AO110">
        <f t="shared" si="16"/>
        <v>0</v>
      </c>
      <c r="AP110">
        <f t="shared" si="17"/>
        <v>68</v>
      </c>
    </row>
    <row r="111" spans="1:42" ht="15.75" hidden="1" customHeight="1" x14ac:dyDescent="0.3">
      <c r="A111" s="16"/>
      <c r="B111" s="55">
        <v>2</v>
      </c>
      <c r="C111" s="56" t="s">
        <v>129</v>
      </c>
      <c r="D111" s="55">
        <v>3</v>
      </c>
      <c r="E111" s="55" t="s">
        <v>21</v>
      </c>
      <c r="F111" s="18" t="s">
        <v>21</v>
      </c>
      <c r="G111" s="18" t="s">
        <v>20</v>
      </c>
      <c r="H111" s="18" t="s">
        <v>20</v>
      </c>
      <c r="I111" s="18" t="s">
        <v>20</v>
      </c>
      <c r="J111" s="20" t="s">
        <v>20</v>
      </c>
      <c r="K111" s="20" t="s">
        <v>20</v>
      </c>
      <c r="L111" s="20" t="s">
        <v>21</v>
      </c>
      <c r="M111" s="18" t="s">
        <v>20</v>
      </c>
      <c r="N111" s="18" t="s">
        <v>20</v>
      </c>
      <c r="O111" s="18" t="s">
        <v>20</v>
      </c>
      <c r="P111" s="18" t="s">
        <v>21</v>
      </c>
      <c r="Q111" s="18" t="s">
        <v>20</v>
      </c>
      <c r="R111" s="18" t="s">
        <v>20</v>
      </c>
      <c r="S111" s="18" t="s">
        <v>21</v>
      </c>
      <c r="T111" s="18" t="s">
        <v>20</v>
      </c>
      <c r="U111" s="18" t="s">
        <v>20</v>
      </c>
      <c r="V111" s="37" t="s">
        <v>21</v>
      </c>
      <c r="W111" s="37" t="s">
        <v>20</v>
      </c>
      <c r="X111" s="37" t="s">
        <v>20</v>
      </c>
      <c r="Y111" s="18" t="s">
        <v>21</v>
      </c>
      <c r="Z111" s="18" t="s">
        <v>20</v>
      </c>
      <c r="AA111" s="20" t="s">
        <v>20</v>
      </c>
      <c r="AB111" s="20" t="s">
        <v>20</v>
      </c>
      <c r="AC111" s="20" t="s">
        <v>20</v>
      </c>
      <c r="AD111" s="37" t="s">
        <v>21</v>
      </c>
      <c r="AE111" s="37" t="s">
        <v>21</v>
      </c>
      <c r="AG111">
        <f t="shared" si="9"/>
        <v>0</v>
      </c>
      <c r="AH111">
        <f t="shared" si="10"/>
        <v>18</v>
      </c>
      <c r="AI111">
        <f t="shared" si="11"/>
        <v>8</v>
      </c>
      <c r="AJ111">
        <f t="shared" si="12"/>
        <v>0</v>
      </c>
      <c r="AL111">
        <f t="shared" si="13"/>
        <v>0</v>
      </c>
      <c r="AM111">
        <f t="shared" si="14"/>
        <v>54</v>
      </c>
      <c r="AN111">
        <f t="shared" si="15"/>
        <v>16</v>
      </c>
      <c r="AO111">
        <f t="shared" si="16"/>
        <v>0</v>
      </c>
      <c r="AP111">
        <f t="shared" si="17"/>
        <v>70</v>
      </c>
    </row>
    <row r="112" spans="1:42" ht="15.75" hidden="1" customHeight="1" x14ac:dyDescent="0.3">
      <c r="A112" s="16"/>
      <c r="B112" s="55">
        <v>3</v>
      </c>
      <c r="C112" s="56" t="s">
        <v>130</v>
      </c>
      <c r="D112" s="55">
        <v>3</v>
      </c>
      <c r="E112" s="55" t="s">
        <v>21</v>
      </c>
      <c r="F112" s="18" t="s">
        <v>20</v>
      </c>
      <c r="G112" s="18" t="s">
        <v>20</v>
      </c>
      <c r="H112" s="18" t="s">
        <v>20</v>
      </c>
      <c r="I112" s="18" t="s">
        <v>20</v>
      </c>
      <c r="J112" s="20" t="s">
        <v>20</v>
      </c>
      <c r="K112" s="20" t="s">
        <v>20</v>
      </c>
      <c r="L112" s="20" t="s">
        <v>21</v>
      </c>
      <c r="M112" s="18" t="s">
        <v>20</v>
      </c>
      <c r="N112" s="18" t="s">
        <v>20</v>
      </c>
      <c r="O112" s="18" t="s">
        <v>21</v>
      </c>
      <c r="P112" s="18" t="s">
        <v>20</v>
      </c>
      <c r="Q112" s="18" t="s">
        <v>20</v>
      </c>
      <c r="R112" s="18" t="s">
        <v>20</v>
      </c>
      <c r="S112" s="18" t="s">
        <v>20</v>
      </c>
      <c r="T112" s="18" t="s">
        <v>20</v>
      </c>
      <c r="U112" s="18" t="s">
        <v>20</v>
      </c>
      <c r="V112" s="37" t="s">
        <v>20</v>
      </c>
      <c r="W112" s="37" t="s">
        <v>20</v>
      </c>
      <c r="X112" s="37" t="s">
        <v>20</v>
      </c>
      <c r="Y112" s="18" t="s">
        <v>20</v>
      </c>
      <c r="Z112" s="18" t="s">
        <v>20</v>
      </c>
      <c r="AA112" s="20" t="s">
        <v>20</v>
      </c>
      <c r="AB112" s="20" t="s">
        <v>20</v>
      </c>
      <c r="AC112" s="20" t="s">
        <v>20</v>
      </c>
      <c r="AD112" s="37" t="s">
        <v>20</v>
      </c>
      <c r="AE112" s="37" t="s">
        <v>21</v>
      </c>
      <c r="AG112">
        <f t="shared" si="9"/>
        <v>0</v>
      </c>
      <c r="AH112">
        <f t="shared" si="10"/>
        <v>23</v>
      </c>
      <c r="AI112">
        <f t="shared" si="11"/>
        <v>3</v>
      </c>
      <c r="AJ112">
        <f t="shared" si="12"/>
        <v>0</v>
      </c>
      <c r="AL112">
        <f t="shared" si="13"/>
        <v>0</v>
      </c>
      <c r="AM112">
        <f t="shared" si="14"/>
        <v>69</v>
      </c>
      <c r="AN112">
        <f t="shared" si="15"/>
        <v>6</v>
      </c>
      <c r="AO112">
        <f t="shared" si="16"/>
        <v>0</v>
      </c>
      <c r="AP112">
        <f t="shared" si="17"/>
        <v>75</v>
      </c>
    </row>
    <row r="113" spans="1:42" ht="15.75" hidden="1" customHeight="1" x14ac:dyDescent="0.3">
      <c r="A113" s="16"/>
      <c r="B113" s="55">
        <v>4</v>
      </c>
      <c r="C113" s="56" t="s">
        <v>131</v>
      </c>
      <c r="D113" s="55">
        <v>3</v>
      </c>
      <c r="E113" s="55" t="s">
        <v>21</v>
      </c>
      <c r="F113" s="18" t="s">
        <v>21</v>
      </c>
      <c r="G113" s="18" t="s">
        <v>21</v>
      </c>
      <c r="H113" s="18" t="s">
        <v>21</v>
      </c>
      <c r="I113" s="18" t="s">
        <v>20</v>
      </c>
      <c r="J113" s="20" t="s">
        <v>20</v>
      </c>
      <c r="K113" s="20" t="s">
        <v>20</v>
      </c>
      <c r="L113" s="20" t="s">
        <v>20</v>
      </c>
      <c r="M113" s="18" t="s">
        <v>20</v>
      </c>
      <c r="N113" s="18" t="s">
        <v>20</v>
      </c>
      <c r="O113" s="18" t="s">
        <v>20</v>
      </c>
      <c r="P113" s="18" t="s">
        <v>20</v>
      </c>
      <c r="Q113" s="18" t="s">
        <v>21</v>
      </c>
      <c r="R113" s="18" t="s">
        <v>20</v>
      </c>
      <c r="S113" s="18" t="s">
        <v>20</v>
      </c>
      <c r="T113" s="18" t="s">
        <v>20</v>
      </c>
      <c r="U113" s="18" t="s">
        <v>20</v>
      </c>
      <c r="V113" s="37" t="s">
        <v>21</v>
      </c>
      <c r="W113" s="37" t="s">
        <v>20</v>
      </c>
      <c r="X113" s="37" t="s">
        <v>21</v>
      </c>
      <c r="Y113" s="18" t="s">
        <v>20</v>
      </c>
      <c r="Z113" s="18" t="s">
        <v>20</v>
      </c>
      <c r="AA113" s="20" t="s">
        <v>21</v>
      </c>
      <c r="AB113" s="20" t="s">
        <v>21</v>
      </c>
      <c r="AC113" s="20" t="s">
        <v>21</v>
      </c>
      <c r="AD113" s="37" t="s">
        <v>23</v>
      </c>
      <c r="AE113" s="37" t="s">
        <v>21</v>
      </c>
      <c r="AG113">
        <f t="shared" si="9"/>
        <v>0</v>
      </c>
      <c r="AH113">
        <f t="shared" si="10"/>
        <v>15</v>
      </c>
      <c r="AI113">
        <f t="shared" si="11"/>
        <v>10</v>
      </c>
      <c r="AJ113">
        <f t="shared" si="12"/>
        <v>1</v>
      </c>
      <c r="AL113">
        <f t="shared" si="13"/>
        <v>0</v>
      </c>
      <c r="AM113">
        <f t="shared" si="14"/>
        <v>45</v>
      </c>
      <c r="AN113">
        <f t="shared" si="15"/>
        <v>20</v>
      </c>
      <c r="AO113">
        <f t="shared" si="16"/>
        <v>1</v>
      </c>
      <c r="AP113">
        <f t="shared" si="17"/>
        <v>66</v>
      </c>
    </row>
    <row r="114" spans="1:42" ht="15.75" hidden="1" customHeight="1" x14ac:dyDescent="0.3">
      <c r="A114" s="16"/>
      <c r="B114" s="55">
        <v>5</v>
      </c>
      <c r="C114" s="56" t="s">
        <v>132</v>
      </c>
      <c r="D114" s="55">
        <v>3</v>
      </c>
      <c r="E114" s="55" t="s">
        <v>21</v>
      </c>
      <c r="F114" s="18" t="s">
        <v>21</v>
      </c>
      <c r="G114" s="18" t="s">
        <v>20</v>
      </c>
      <c r="H114" s="18" t="s">
        <v>21</v>
      </c>
      <c r="I114" s="18" t="s">
        <v>20</v>
      </c>
      <c r="J114" s="20" t="s">
        <v>39</v>
      </c>
      <c r="K114" s="20" t="s">
        <v>39</v>
      </c>
      <c r="L114" s="20" t="s">
        <v>20</v>
      </c>
      <c r="M114" s="18" t="s">
        <v>20</v>
      </c>
      <c r="N114" s="18" t="s">
        <v>20</v>
      </c>
      <c r="O114" s="18" t="s">
        <v>20</v>
      </c>
      <c r="P114" s="18" t="s">
        <v>21</v>
      </c>
      <c r="Q114" s="18" t="s">
        <v>20</v>
      </c>
      <c r="R114" s="18" t="s">
        <v>20</v>
      </c>
      <c r="S114" s="18" t="s">
        <v>20</v>
      </c>
      <c r="T114" s="18" t="s">
        <v>20</v>
      </c>
      <c r="U114" s="18" t="s">
        <v>20</v>
      </c>
      <c r="V114" s="37" t="s">
        <v>20</v>
      </c>
      <c r="W114" s="37" t="s">
        <v>20</v>
      </c>
      <c r="X114" s="37" t="s">
        <v>20</v>
      </c>
      <c r="Y114" s="18" t="s">
        <v>20</v>
      </c>
      <c r="Z114" s="18" t="s">
        <v>20</v>
      </c>
      <c r="AA114" s="20" t="s">
        <v>20</v>
      </c>
      <c r="AB114" s="20" t="s">
        <v>20</v>
      </c>
      <c r="AC114" s="20" t="s">
        <v>20</v>
      </c>
      <c r="AD114" s="29" t="s">
        <v>23</v>
      </c>
      <c r="AE114" s="29" t="s">
        <v>21</v>
      </c>
      <c r="AG114">
        <f t="shared" si="9"/>
        <v>2</v>
      </c>
      <c r="AH114">
        <f t="shared" si="10"/>
        <v>19</v>
      </c>
      <c r="AI114">
        <f t="shared" si="11"/>
        <v>4</v>
      </c>
      <c r="AJ114">
        <f t="shared" si="12"/>
        <v>1</v>
      </c>
      <c r="AL114">
        <f t="shared" si="13"/>
        <v>8</v>
      </c>
      <c r="AM114">
        <f t="shared" si="14"/>
        <v>57</v>
      </c>
      <c r="AN114">
        <f t="shared" si="15"/>
        <v>8</v>
      </c>
      <c r="AO114">
        <f t="shared" si="16"/>
        <v>1</v>
      </c>
      <c r="AP114">
        <f t="shared" si="17"/>
        <v>74</v>
      </c>
    </row>
    <row r="115" spans="1:42" ht="15.75" hidden="1" customHeight="1" x14ac:dyDescent="0.3">
      <c r="A115" s="16"/>
      <c r="B115" s="55">
        <v>6</v>
      </c>
      <c r="C115" s="56" t="s">
        <v>133</v>
      </c>
      <c r="D115" s="55">
        <v>3</v>
      </c>
      <c r="E115" s="55" t="s">
        <v>21</v>
      </c>
      <c r="F115" s="18" t="s">
        <v>20</v>
      </c>
      <c r="G115" s="18" t="s">
        <v>20</v>
      </c>
      <c r="H115" s="18" t="s">
        <v>20</v>
      </c>
      <c r="I115" s="18" t="s">
        <v>20</v>
      </c>
      <c r="J115" s="20" t="s">
        <v>20</v>
      </c>
      <c r="K115" s="20" t="s">
        <v>20</v>
      </c>
      <c r="L115" s="20" t="s">
        <v>20</v>
      </c>
      <c r="M115" s="18" t="s">
        <v>20</v>
      </c>
      <c r="N115" s="18" t="s">
        <v>20</v>
      </c>
      <c r="O115" s="18" t="s">
        <v>20</v>
      </c>
      <c r="P115" s="18" t="s">
        <v>21</v>
      </c>
      <c r="Q115" s="18" t="s">
        <v>20</v>
      </c>
      <c r="R115" s="18" t="s">
        <v>20</v>
      </c>
      <c r="S115" s="18" t="s">
        <v>20</v>
      </c>
      <c r="T115" s="18" t="s">
        <v>20</v>
      </c>
      <c r="U115" s="18" t="s">
        <v>20</v>
      </c>
      <c r="V115" s="37" t="s">
        <v>20</v>
      </c>
      <c r="W115" s="37" t="s">
        <v>20</v>
      </c>
      <c r="X115" s="37" t="s">
        <v>21</v>
      </c>
      <c r="Y115" s="18" t="s">
        <v>20</v>
      </c>
      <c r="Z115" s="18" t="s">
        <v>20</v>
      </c>
      <c r="AA115" s="20" t="s">
        <v>20</v>
      </c>
      <c r="AB115" s="20" t="s">
        <v>20</v>
      </c>
      <c r="AC115" s="20" t="s">
        <v>20</v>
      </c>
      <c r="AD115" s="29" t="s">
        <v>20</v>
      </c>
      <c r="AE115" s="29" t="s">
        <v>21</v>
      </c>
      <c r="AG115">
        <f t="shared" si="9"/>
        <v>0</v>
      </c>
      <c r="AH115">
        <f t="shared" si="10"/>
        <v>23</v>
      </c>
      <c r="AI115">
        <f t="shared" si="11"/>
        <v>3</v>
      </c>
      <c r="AJ115">
        <f t="shared" si="12"/>
        <v>0</v>
      </c>
      <c r="AL115">
        <f t="shared" si="13"/>
        <v>0</v>
      </c>
      <c r="AM115">
        <f t="shared" si="14"/>
        <v>69</v>
      </c>
      <c r="AN115">
        <f t="shared" si="15"/>
        <v>6</v>
      </c>
      <c r="AO115">
        <f t="shared" si="16"/>
        <v>0</v>
      </c>
      <c r="AP115">
        <f t="shared" si="17"/>
        <v>75</v>
      </c>
    </row>
    <row r="116" spans="1:42" ht="15.75" hidden="1" customHeight="1" x14ac:dyDescent="0.3">
      <c r="A116" s="16"/>
      <c r="B116" s="55">
        <v>7</v>
      </c>
      <c r="C116" s="56" t="s">
        <v>134</v>
      </c>
      <c r="D116" s="55">
        <v>3</v>
      </c>
      <c r="E116" s="55" t="s">
        <v>21</v>
      </c>
      <c r="F116" s="18" t="s">
        <v>23</v>
      </c>
      <c r="G116" s="18" t="s">
        <v>21</v>
      </c>
      <c r="H116" s="18" t="s">
        <v>23</v>
      </c>
      <c r="I116" s="18" t="s">
        <v>21</v>
      </c>
      <c r="J116" s="20" t="s">
        <v>21</v>
      </c>
      <c r="K116" s="20" t="s">
        <v>21</v>
      </c>
      <c r="L116" s="20" t="s">
        <v>21</v>
      </c>
      <c r="M116" s="18" t="s">
        <v>20</v>
      </c>
      <c r="N116" s="18" t="s">
        <v>20</v>
      </c>
      <c r="O116" s="18" t="s">
        <v>21</v>
      </c>
      <c r="P116" s="18" t="s">
        <v>21</v>
      </c>
      <c r="Q116" s="18" t="s">
        <v>23</v>
      </c>
      <c r="R116" s="18" t="s">
        <v>21</v>
      </c>
      <c r="S116" s="18" t="s">
        <v>20</v>
      </c>
      <c r="T116" s="18" t="s">
        <v>21</v>
      </c>
      <c r="U116" s="18" t="s">
        <v>20</v>
      </c>
      <c r="V116" s="37" t="s">
        <v>21</v>
      </c>
      <c r="W116" s="37" t="s">
        <v>21</v>
      </c>
      <c r="X116" s="37" t="s">
        <v>21</v>
      </c>
      <c r="Y116" s="18" t="s">
        <v>20</v>
      </c>
      <c r="Z116" s="18" t="s">
        <v>20</v>
      </c>
      <c r="AA116" s="20" t="s">
        <v>21</v>
      </c>
      <c r="AB116" s="20" t="s">
        <v>21</v>
      </c>
      <c r="AC116" s="20" t="s">
        <v>21</v>
      </c>
      <c r="AD116" s="29" t="s">
        <v>21</v>
      </c>
      <c r="AE116" s="29" t="s">
        <v>21</v>
      </c>
      <c r="AG116">
        <f t="shared" si="9"/>
        <v>0</v>
      </c>
      <c r="AH116">
        <f t="shared" si="10"/>
        <v>6</v>
      </c>
      <c r="AI116">
        <f t="shared" si="11"/>
        <v>17</v>
      </c>
      <c r="AJ116">
        <f t="shared" si="12"/>
        <v>3</v>
      </c>
      <c r="AL116">
        <f t="shared" si="13"/>
        <v>0</v>
      </c>
      <c r="AM116">
        <f t="shared" si="14"/>
        <v>18</v>
      </c>
      <c r="AN116">
        <f t="shared" si="15"/>
        <v>34</v>
      </c>
      <c r="AO116">
        <f t="shared" si="16"/>
        <v>3</v>
      </c>
      <c r="AP116">
        <f t="shared" si="17"/>
        <v>55</v>
      </c>
    </row>
    <row r="117" spans="1:42" ht="15.75" hidden="1" customHeight="1" x14ac:dyDescent="0.3">
      <c r="A117" s="16"/>
      <c r="B117" s="55">
        <v>8</v>
      </c>
      <c r="C117" s="56" t="s">
        <v>135</v>
      </c>
      <c r="D117" s="55">
        <v>3</v>
      </c>
      <c r="E117" s="55" t="s">
        <v>21</v>
      </c>
      <c r="F117" s="18" t="s">
        <v>21</v>
      </c>
      <c r="G117" s="18" t="s">
        <v>23</v>
      </c>
      <c r="H117" s="18" t="s">
        <v>21</v>
      </c>
      <c r="I117" s="18" t="s">
        <v>21</v>
      </c>
      <c r="J117" s="20" t="s">
        <v>20</v>
      </c>
      <c r="K117" s="20" t="s">
        <v>20</v>
      </c>
      <c r="L117" s="20" t="s">
        <v>21</v>
      </c>
      <c r="M117" s="18" t="s">
        <v>20</v>
      </c>
      <c r="N117" s="18" t="s">
        <v>21</v>
      </c>
      <c r="O117" s="18" t="s">
        <v>20</v>
      </c>
      <c r="P117" s="18" t="s">
        <v>21</v>
      </c>
      <c r="Q117" s="18" t="s">
        <v>21</v>
      </c>
      <c r="R117" s="18" t="s">
        <v>21</v>
      </c>
      <c r="S117" s="18" t="s">
        <v>20</v>
      </c>
      <c r="T117" s="18" t="s">
        <v>20</v>
      </c>
      <c r="U117" s="18" t="s">
        <v>20</v>
      </c>
      <c r="V117" s="37" t="s">
        <v>20</v>
      </c>
      <c r="W117" s="37" t="s">
        <v>21</v>
      </c>
      <c r="X117" s="37" t="s">
        <v>20</v>
      </c>
      <c r="Y117" s="18" t="s">
        <v>20</v>
      </c>
      <c r="Z117" s="18" t="s">
        <v>20</v>
      </c>
      <c r="AA117" s="20" t="s">
        <v>23</v>
      </c>
      <c r="AB117" s="20" t="s">
        <v>23</v>
      </c>
      <c r="AC117" s="20" t="s">
        <v>21</v>
      </c>
      <c r="AD117" s="29" t="s">
        <v>21</v>
      </c>
      <c r="AE117" s="29" t="s">
        <v>21</v>
      </c>
      <c r="AG117">
        <f t="shared" si="9"/>
        <v>0</v>
      </c>
      <c r="AH117">
        <f t="shared" si="10"/>
        <v>11</v>
      </c>
      <c r="AI117">
        <f t="shared" si="11"/>
        <v>12</v>
      </c>
      <c r="AJ117">
        <f t="shared" si="12"/>
        <v>3</v>
      </c>
      <c r="AL117">
        <f t="shared" si="13"/>
        <v>0</v>
      </c>
      <c r="AM117">
        <f t="shared" si="14"/>
        <v>33</v>
      </c>
      <c r="AN117">
        <f t="shared" si="15"/>
        <v>24</v>
      </c>
      <c r="AO117">
        <f t="shared" si="16"/>
        <v>3</v>
      </c>
      <c r="AP117">
        <f t="shared" si="17"/>
        <v>60</v>
      </c>
    </row>
    <row r="118" spans="1:42" ht="15.75" hidden="1" customHeight="1" x14ac:dyDescent="0.3">
      <c r="A118" s="16"/>
      <c r="B118" s="55">
        <v>9</v>
      </c>
      <c r="C118" s="56" t="s">
        <v>136</v>
      </c>
      <c r="D118" s="55">
        <v>3</v>
      </c>
      <c r="E118" s="55" t="s">
        <v>21</v>
      </c>
      <c r="F118" s="18" t="s">
        <v>23</v>
      </c>
      <c r="G118" s="18" t="s">
        <v>21</v>
      </c>
      <c r="H118" s="18" t="s">
        <v>23</v>
      </c>
      <c r="I118" s="18" t="s">
        <v>21</v>
      </c>
      <c r="J118" s="20" t="s">
        <v>20</v>
      </c>
      <c r="K118" s="20" t="s">
        <v>21</v>
      </c>
      <c r="L118" s="20" t="s">
        <v>21</v>
      </c>
      <c r="M118" s="18" t="s">
        <v>21</v>
      </c>
      <c r="N118" s="18" t="s">
        <v>21</v>
      </c>
      <c r="O118" s="18" t="s">
        <v>21</v>
      </c>
      <c r="P118" s="18" t="s">
        <v>23</v>
      </c>
      <c r="Q118" s="18" t="s">
        <v>20</v>
      </c>
      <c r="R118" s="18" t="s">
        <v>21</v>
      </c>
      <c r="S118" s="18" t="s">
        <v>21</v>
      </c>
      <c r="T118" s="18" t="s">
        <v>20</v>
      </c>
      <c r="U118" s="18" t="s">
        <v>20</v>
      </c>
      <c r="V118" s="37" t="s">
        <v>21</v>
      </c>
      <c r="W118" s="37" t="s">
        <v>21</v>
      </c>
      <c r="X118" s="37" t="s">
        <v>21</v>
      </c>
      <c r="Y118" s="18" t="s">
        <v>20</v>
      </c>
      <c r="Z118" s="18" t="s">
        <v>20</v>
      </c>
      <c r="AA118" s="20" t="s">
        <v>23</v>
      </c>
      <c r="AB118" s="20" t="s">
        <v>23</v>
      </c>
      <c r="AC118" s="20" t="s">
        <v>21</v>
      </c>
      <c r="AD118" s="29" t="s">
        <v>21</v>
      </c>
      <c r="AE118" s="29" t="s">
        <v>21</v>
      </c>
      <c r="AG118">
        <f t="shared" si="9"/>
        <v>0</v>
      </c>
      <c r="AH118">
        <f t="shared" si="10"/>
        <v>6</v>
      </c>
      <c r="AI118">
        <f t="shared" si="11"/>
        <v>15</v>
      </c>
      <c r="AJ118">
        <f t="shared" si="12"/>
        <v>5</v>
      </c>
      <c r="AL118">
        <f t="shared" si="13"/>
        <v>0</v>
      </c>
      <c r="AM118">
        <f t="shared" si="14"/>
        <v>18</v>
      </c>
      <c r="AN118">
        <f t="shared" si="15"/>
        <v>30</v>
      </c>
      <c r="AO118">
        <f t="shared" si="16"/>
        <v>5</v>
      </c>
      <c r="AP118">
        <f t="shared" si="17"/>
        <v>53</v>
      </c>
    </row>
    <row r="119" spans="1:42" ht="15.75" hidden="1" customHeight="1" x14ac:dyDescent="0.3">
      <c r="A119" s="16"/>
      <c r="B119" s="55">
        <v>10</v>
      </c>
      <c r="C119" s="56" t="s">
        <v>137</v>
      </c>
      <c r="D119" s="55">
        <v>3</v>
      </c>
      <c r="E119" s="55" t="s">
        <v>21</v>
      </c>
      <c r="F119" s="18" t="s">
        <v>39</v>
      </c>
      <c r="G119" s="18" t="s">
        <v>20</v>
      </c>
      <c r="H119" s="18" t="s">
        <v>20</v>
      </c>
      <c r="I119" s="18" t="s">
        <v>20</v>
      </c>
      <c r="J119" s="20" t="s">
        <v>20</v>
      </c>
      <c r="K119" s="20" t="s">
        <v>39</v>
      </c>
      <c r="L119" s="20" t="s">
        <v>20</v>
      </c>
      <c r="M119" s="18" t="s">
        <v>20</v>
      </c>
      <c r="N119" s="18" t="s">
        <v>20</v>
      </c>
      <c r="O119" s="18" t="s">
        <v>20</v>
      </c>
      <c r="P119" s="18" t="s">
        <v>21</v>
      </c>
      <c r="Q119" s="18" t="s">
        <v>20</v>
      </c>
      <c r="R119" s="18" t="s">
        <v>20</v>
      </c>
      <c r="S119" s="18" t="s">
        <v>20</v>
      </c>
      <c r="T119" s="18" t="s">
        <v>20</v>
      </c>
      <c r="U119" s="18" t="s">
        <v>20</v>
      </c>
      <c r="V119" s="37" t="s">
        <v>21</v>
      </c>
      <c r="W119" s="37" t="s">
        <v>20</v>
      </c>
      <c r="X119" s="37" t="s">
        <v>20</v>
      </c>
      <c r="Y119" s="18" t="s">
        <v>20</v>
      </c>
      <c r="Z119" s="18" t="s">
        <v>20</v>
      </c>
      <c r="AA119" s="20" t="s">
        <v>20</v>
      </c>
      <c r="AB119" s="20" t="s">
        <v>20</v>
      </c>
      <c r="AC119" s="20" t="s">
        <v>20</v>
      </c>
      <c r="AD119" s="29" t="s">
        <v>20</v>
      </c>
      <c r="AE119" s="29" t="s">
        <v>21</v>
      </c>
      <c r="AG119">
        <f t="shared" si="9"/>
        <v>2</v>
      </c>
      <c r="AH119">
        <f t="shared" si="10"/>
        <v>21</v>
      </c>
      <c r="AI119">
        <f t="shared" si="11"/>
        <v>3</v>
      </c>
      <c r="AJ119">
        <f t="shared" si="12"/>
        <v>0</v>
      </c>
      <c r="AL119">
        <f t="shared" si="13"/>
        <v>8</v>
      </c>
      <c r="AM119">
        <f t="shared" si="14"/>
        <v>63</v>
      </c>
      <c r="AN119">
        <f t="shared" si="15"/>
        <v>6</v>
      </c>
      <c r="AO119">
        <f t="shared" si="16"/>
        <v>0</v>
      </c>
      <c r="AP119">
        <f t="shared" si="17"/>
        <v>77</v>
      </c>
    </row>
    <row r="120" spans="1:42" ht="15.75" hidden="1" customHeight="1" x14ac:dyDescent="0.3">
      <c r="A120" s="16"/>
      <c r="B120" s="55">
        <v>11</v>
      </c>
      <c r="C120" s="56" t="s">
        <v>138</v>
      </c>
      <c r="D120" s="55">
        <v>3</v>
      </c>
      <c r="E120" s="55" t="s">
        <v>21</v>
      </c>
      <c r="F120" s="18" t="s">
        <v>21</v>
      </c>
      <c r="G120" s="18" t="s">
        <v>21</v>
      </c>
      <c r="H120" s="18" t="s">
        <v>21</v>
      </c>
      <c r="I120" s="18" t="s">
        <v>21</v>
      </c>
      <c r="J120" s="20" t="s">
        <v>21</v>
      </c>
      <c r="K120" s="20" t="s">
        <v>21</v>
      </c>
      <c r="L120" s="20" t="s">
        <v>21</v>
      </c>
      <c r="M120" s="18" t="s">
        <v>21</v>
      </c>
      <c r="N120" s="18" t="s">
        <v>21</v>
      </c>
      <c r="O120" s="18" t="s">
        <v>21</v>
      </c>
      <c r="P120" s="18" t="s">
        <v>21</v>
      </c>
      <c r="Q120" s="18" t="s">
        <v>21</v>
      </c>
      <c r="R120" s="18" t="s">
        <v>23</v>
      </c>
      <c r="S120" s="18" t="s">
        <v>23</v>
      </c>
      <c r="T120" s="18" t="s">
        <v>21</v>
      </c>
      <c r="U120" s="18" t="s">
        <v>20</v>
      </c>
      <c r="V120" s="37" t="s">
        <v>21</v>
      </c>
      <c r="W120" s="37" t="s">
        <v>20</v>
      </c>
      <c r="X120" s="37" t="s">
        <v>21</v>
      </c>
      <c r="Y120" s="18" t="s">
        <v>21</v>
      </c>
      <c r="Z120" s="18" t="s">
        <v>21</v>
      </c>
      <c r="AA120" s="20" t="s">
        <v>21</v>
      </c>
      <c r="AB120" s="20" t="s">
        <v>21</v>
      </c>
      <c r="AC120" s="20" t="s">
        <v>21</v>
      </c>
      <c r="AD120" s="29" t="s">
        <v>23</v>
      </c>
      <c r="AE120" s="29" t="s">
        <v>21</v>
      </c>
      <c r="AG120">
        <f t="shared" si="9"/>
        <v>0</v>
      </c>
      <c r="AH120">
        <f t="shared" si="10"/>
        <v>2</v>
      </c>
      <c r="AI120">
        <f t="shared" si="11"/>
        <v>21</v>
      </c>
      <c r="AJ120">
        <f t="shared" si="12"/>
        <v>3</v>
      </c>
      <c r="AL120">
        <f t="shared" si="13"/>
        <v>0</v>
      </c>
      <c r="AM120">
        <f t="shared" si="14"/>
        <v>6</v>
      </c>
      <c r="AN120">
        <f t="shared" si="15"/>
        <v>42</v>
      </c>
      <c r="AO120">
        <f t="shared" si="16"/>
        <v>3</v>
      </c>
      <c r="AP120">
        <f t="shared" si="17"/>
        <v>51</v>
      </c>
    </row>
    <row r="121" spans="1:42" ht="15.75" hidden="1" customHeight="1" x14ac:dyDescent="0.3">
      <c r="A121" s="16"/>
      <c r="B121" s="55">
        <v>12</v>
      </c>
      <c r="C121" s="56" t="s">
        <v>139</v>
      </c>
      <c r="D121" s="55">
        <v>3</v>
      </c>
      <c r="E121" s="55" t="s">
        <v>21</v>
      </c>
      <c r="F121" s="18" t="s">
        <v>20</v>
      </c>
      <c r="G121" s="18" t="s">
        <v>20</v>
      </c>
      <c r="H121" s="18" t="s">
        <v>20</v>
      </c>
      <c r="I121" s="18" t="s">
        <v>20</v>
      </c>
      <c r="J121" s="20" t="s">
        <v>20</v>
      </c>
      <c r="K121" s="20" t="s">
        <v>20</v>
      </c>
      <c r="L121" s="20" t="s">
        <v>20</v>
      </c>
      <c r="M121" s="18" t="s">
        <v>20</v>
      </c>
      <c r="N121" s="18" t="s">
        <v>20</v>
      </c>
      <c r="O121" s="18" t="s">
        <v>20</v>
      </c>
      <c r="P121" s="18" t="s">
        <v>21</v>
      </c>
      <c r="Q121" s="18" t="s">
        <v>20</v>
      </c>
      <c r="R121" s="18" t="s">
        <v>21</v>
      </c>
      <c r="S121" s="18" t="s">
        <v>21</v>
      </c>
      <c r="T121" s="18" t="s">
        <v>21</v>
      </c>
      <c r="U121" s="18" t="s">
        <v>20</v>
      </c>
      <c r="V121" s="37" t="s">
        <v>20</v>
      </c>
      <c r="W121" s="37" t="s">
        <v>20</v>
      </c>
      <c r="X121" s="37" t="s">
        <v>21</v>
      </c>
      <c r="Y121" s="18" t="s">
        <v>21</v>
      </c>
      <c r="Z121" s="18" t="s">
        <v>20</v>
      </c>
      <c r="AA121" s="20" t="s">
        <v>20</v>
      </c>
      <c r="AB121" s="20" t="s">
        <v>20</v>
      </c>
      <c r="AC121" s="20" t="s">
        <v>20</v>
      </c>
      <c r="AD121" s="29" t="s">
        <v>23</v>
      </c>
      <c r="AE121" s="29" t="s">
        <v>21</v>
      </c>
      <c r="AG121">
        <f t="shared" si="9"/>
        <v>0</v>
      </c>
      <c r="AH121">
        <f t="shared" si="10"/>
        <v>18</v>
      </c>
      <c r="AI121">
        <f t="shared" si="11"/>
        <v>7</v>
      </c>
      <c r="AJ121">
        <f t="shared" si="12"/>
        <v>1</v>
      </c>
      <c r="AL121">
        <f t="shared" si="13"/>
        <v>0</v>
      </c>
      <c r="AM121">
        <f t="shared" si="14"/>
        <v>54</v>
      </c>
      <c r="AN121">
        <f t="shared" si="15"/>
        <v>14</v>
      </c>
      <c r="AO121">
        <f t="shared" si="16"/>
        <v>1</v>
      </c>
      <c r="AP121">
        <f t="shared" si="17"/>
        <v>69</v>
      </c>
    </row>
    <row r="122" spans="1:42" ht="15.75" hidden="1" customHeight="1" x14ac:dyDescent="0.3">
      <c r="A122" s="16"/>
      <c r="B122" s="55">
        <v>13</v>
      </c>
      <c r="C122" s="56" t="s">
        <v>140</v>
      </c>
      <c r="D122" s="55">
        <v>3</v>
      </c>
      <c r="E122" s="55" t="s">
        <v>21</v>
      </c>
      <c r="F122" s="18" t="s">
        <v>20</v>
      </c>
      <c r="G122" s="18" t="s">
        <v>20</v>
      </c>
      <c r="H122" s="18" t="s">
        <v>20</v>
      </c>
      <c r="I122" s="18" t="s">
        <v>39</v>
      </c>
      <c r="J122" s="20" t="s">
        <v>20</v>
      </c>
      <c r="K122" s="20" t="s">
        <v>20</v>
      </c>
      <c r="L122" s="20" t="s">
        <v>20</v>
      </c>
      <c r="M122" s="18" t="s">
        <v>20</v>
      </c>
      <c r="N122" s="18" t="s">
        <v>20</v>
      </c>
      <c r="O122" s="18" t="s">
        <v>20</v>
      </c>
      <c r="P122" s="18" t="s">
        <v>21</v>
      </c>
      <c r="Q122" s="18" t="s">
        <v>21</v>
      </c>
      <c r="R122" s="18" t="s">
        <v>20</v>
      </c>
      <c r="S122" s="18" t="s">
        <v>20</v>
      </c>
      <c r="T122" s="18" t="s">
        <v>20</v>
      </c>
      <c r="U122" s="18" t="s">
        <v>20</v>
      </c>
      <c r="V122" s="37" t="s">
        <v>20</v>
      </c>
      <c r="W122" s="37" t="s">
        <v>20</v>
      </c>
      <c r="X122" s="37" t="s">
        <v>20</v>
      </c>
      <c r="Y122" s="18" t="s">
        <v>21</v>
      </c>
      <c r="Z122" s="18" t="s">
        <v>21</v>
      </c>
      <c r="AA122" s="20" t="s">
        <v>21</v>
      </c>
      <c r="AB122" s="20" t="s">
        <v>20</v>
      </c>
      <c r="AC122" s="20" t="s">
        <v>21</v>
      </c>
      <c r="AD122" s="29" t="s">
        <v>55</v>
      </c>
      <c r="AE122" s="29" t="s">
        <v>55</v>
      </c>
      <c r="AG122">
        <f t="shared" si="9"/>
        <v>1</v>
      </c>
      <c r="AH122">
        <f t="shared" si="10"/>
        <v>17</v>
      </c>
      <c r="AI122">
        <f t="shared" si="11"/>
        <v>6</v>
      </c>
      <c r="AJ122">
        <f t="shared" si="12"/>
        <v>0</v>
      </c>
      <c r="AL122">
        <f t="shared" si="13"/>
        <v>4</v>
      </c>
      <c r="AM122">
        <f t="shared" si="14"/>
        <v>51</v>
      </c>
      <c r="AN122">
        <f t="shared" si="15"/>
        <v>12</v>
      </c>
      <c r="AO122">
        <f t="shared" si="16"/>
        <v>0</v>
      </c>
      <c r="AP122">
        <f t="shared" si="17"/>
        <v>67</v>
      </c>
    </row>
    <row r="123" spans="1:42" ht="15.75" hidden="1" customHeight="1" x14ac:dyDescent="0.3">
      <c r="A123" s="16"/>
      <c r="B123" s="55">
        <v>14</v>
      </c>
      <c r="C123" s="56" t="s">
        <v>141</v>
      </c>
      <c r="D123" s="55">
        <v>3</v>
      </c>
      <c r="E123" s="55" t="s">
        <v>21</v>
      </c>
      <c r="F123" s="18" t="s">
        <v>21</v>
      </c>
      <c r="G123" s="18" t="s">
        <v>21</v>
      </c>
      <c r="H123" s="18" t="s">
        <v>20</v>
      </c>
      <c r="I123" s="18" t="s">
        <v>20</v>
      </c>
      <c r="J123" s="20" t="s">
        <v>20</v>
      </c>
      <c r="K123" s="20" t="s">
        <v>20</v>
      </c>
      <c r="L123" s="20" t="s">
        <v>21</v>
      </c>
      <c r="M123" s="18" t="s">
        <v>20</v>
      </c>
      <c r="N123" s="18" t="s">
        <v>20</v>
      </c>
      <c r="O123" s="18" t="s">
        <v>20</v>
      </c>
      <c r="P123" s="18" t="s">
        <v>23</v>
      </c>
      <c r="Q123" s="18" t="s">
        <v>21</v>
      </c>
      <c r="R123" s="18" t="s">
        <v>21</v>
      </c>
      <c r="S123" s="18" t="s">
        <v>20</v>
      </c>
      <c r="T123" s="18" t="s">
        <v>20</v>
      </c>
      <c r="U123" s="18" t="s">
        <v>21</v>
      </c>
      <c r="V123" s="37" t="s">
        <v>21</v>
      </c>
      <c r="W123" s="37" t="s">
        <v>20</v>
      </c>
      <c r="X123" s="37" t="s">
        <v>21</v>
      </c>
      <c r="Y123" s="18" t="s">
        <v>21</v>
      </c>
      <c r="Z123" s="18" t="s">
        <v>21</v>
      </c>
      <c r="AA123" s="20" t="s">
        <v>21</v>
      </c>
      <c r="AB123" s="20" t="s">
        <v>21</v>
      </c>
      <c r="AC123" s="20" t="s">
        <v>20</v>
      </c>
      <c r="AD123" s="29" t="s">
        <v>21</v>
      </c>
      <c r="AE123" s="29" t="s">
        <v>21</v>
      </c>
      <c r="AG123">
        <f t="shared" si="9"/>
        <v>0</v>
      </c>
      <c r="AH123">
        <f t="shared" si="10"/>
        <v>11</v>
      </c>
      <c r="AI123">
        <f t="shared" si="11"/>
        <v>14</v>
      </c>
      <c r="AJ123">
        <f t="shared" si="12"/>
        <v>1</v>
      </c>
      <c r="AL123">
        <f t="shared" si="13"/>
        <v>0</v>
      </c>
      <c r="AM123">
        <f t="shared" si="14"/>
        <v>33</v>
      </c>
      <c r="AN123">
        <f t="shared" si="15"/>
        <v>28</v>
      </c>
      <c r="AO123">
        <f t="shared" si="16"/>
        <v>1</v>
      </c>
      <c r="AP123">
        <f t="shared" si="17"/>
        <v>62</v>
      </c>
    </row>
    <row r="124" spans="1:42" ht="15.75" hidden="1" customHeight="1" x14ac:dyDescent="0.3">
      <c r="A124" s="16"/>
      <c r="B124" s="55">
        <v>15</v>
      </c>
      <c r="C124" s="56" t="s">
        <v>142</v>
      </c>
      <c r="D124" s="55">
        <v>3</v>
      </c>
      <c r="E124" s="55" t="s">
        <v>21</v>
      </c>
      <c r="F124" s="18" t="s">
        <v>23</v>
      </c>
      <c r="G124" s="18" t="s">
        <v>23</v>
      </c>
      <c r="H124" s="18" t="s">
        <v>23</v>
      </c>
      <c r="I124" s="18" t="s">
        <v>21</v>
      </c>
      <c r="J124" s="20" t="s">
        <v>21</v>
      </c>
      <c r="K124" s="20" t="s">
        <v>21</v>
      </c>
      <c r="L124" s="20" t="s">
        <v>21</v>
      </c>
      <c r="M124" s="18" t="s">
        <v>21</v>
      </c>
      <c r="N124" s="18" t="s">
        <v>21</v>
      </c>
      <c r="O124" s="18" t="s">
        <v>21</v>
      </c>
      <c r="P124" s="18" t="s">
        <v>23</v>
      </c>
      <c r="Q124" s="18" t="s">
        <v>21</v>
      </c>
      <c r="R124" s="18" t="s">
        <v>21</v>
      </c>
      <c r="S124" s="18" t="s">
        <v>23</v>
      </c>
      <c r="T124" s="18" t="s">
        <v>23</v>
      </c>
      <c r="U124" s="18" t="s">
        <v>20</v>
      </c>
      <c r="V124" s="37" t="s">
        <v>20</v>
      </c>
      <c r="W124" s="37" t="s">
        <v>20</v>
      </c>
      <c r="X124" s="37" t="s">
        <v>21</v>
      </c>
      <c r="Y124" s="18" t="s">
        <v>23</v>
      </c>
      <c r="Z124" s="18" t="s">
        <v>21</v>
      </c>
      <c r="AA124" s="20" t="s">
        <v>21</v>
      </c>
      <c r="AB124" s="20" t="s">
        <v>21</v>
      </c>
      <c r="AC124" s="20" t="s">
        <v>21</v>
      </c>
      <c r="AD124" s="29" t="s">
        <v>23</v>
      </c>
      <c r="AE124" s="29" t="s">
        <v>21</v>
      </c>
      <c r="AG124">
        <f t="shared" si="9"/>
        <v>0</v>
      </c>
      <c r="AH124">
        <f t="shared" si="10"/>
        <v>3</v>
      </c>
      <c r="AI124">
        <f t="shared" si="11"/>
        <v>15</v>
      </c>
      <c r="AJ124">
        <f t="shared" si="12"/>
        <v>8</v>
      </c>
      <c r="AL124">
        <f t="shared" si="13"/>
        <v>0</v>
      </c>
      <c r="AM124">
        <f t="shared" si="14"/>
        <v>9</v>
      </c>
      <c r="AN124">
        <f t="shared" si="15"/>
        <v>30</v>
      </c>
      <c r="AO124">
        <f t="shared" si="16"/>
        <v>8</v>
      </c>
      <c r="AP124">
        <f t="shared" si="17"/>
        <v>47</v>
      </c>
    </row>
    <row r="125" spans="1:42" ht="15.75" hidden="1" customHeight="1" x14ac:dyDescent="0.3">
      <c r="A125" s="16"/>
      <c r="B125" s="55">
        <v>16</v>
      </c>
      <c r="C125" s="56" t="s">
        <v>143</v>
      </c>
      <c r="D125" s="55">
        <v>3</v>
      </c>
      <c r="E125" s="55" t="s">
        <v>21</v>
      </c>
      <c r="F125" s="18" t="s">
        <v>23</v>
      </c>
      <c r="G125" s="18" t="s">
        <v>23</v>
      </c>
      <c r="H125" s="18" t="s">
        <v>21</v>
      </c>
      <c r="I125" s="18" t="s">
        <v>21</v>
      </c>
      <c r="J125" s="20" t="s">
        <v>21</v>
      </c>
      <c r="K125" s="20" t="s">
        <v>21</v>
      </c>
      <c r="L125" s="20" t="s">
        <v>21</v>
      </c>
      <c r="M125" s="18" t="s">
        <v>21</v>
      </c>
      <c r="N125" s="18" t="s">
        <v>20</v>
      </c>
      <c r="O125" s="18" t="s">
        <v>21</v>
      </c>
      <c r="P125" s="18" t="s">
        <v>21</v>
      </c>
      <c r="Q125" s="18" t="s">
        <v>20</v>
      </c>
      <c r="R125" s="18" t="s">
        <v>21</v>
      </c>
      <c r="S125" s="18" t="s">
        <v>23</v>
      </c>
      <c r="T125" s="18" t="s">
        <v>21</v>
      </c>
      <c r="U125" s="18" t="s">
        <v>20</v>
      </c>
      <c r="V125" s="37" t="s">
        <v>21</v>
      </c>
      <c r="W125" s="37" t="s">
        <v>20</v>
      </c>
      <c r="X125" s="37" t="s">
        <v>21</v>
      </c>
      <c r="Y125" s="18" t="s">
        <v>23</v>
      </c>
      <c r="Z125" s="18" t="s">
        <v>21</v>
      </c>
      <c r="AA125" s="20" t="s">
        <v>21</v>
      </c>
      <c r="AB125" s="20" t="s">
        <v>21</v>
      </c>
      <c r="AC125" s="20" t="s">
        <v>21</v>
      </c>
      <c r="AD125" s="29" t="s">
        <v>23</v>
      </c>
      <c r="AE125" s="29" t="s">
        <v>21</v>
      </c>
      <c r="AG125">
        <f t="shared" si="9"/>
        <v>0</v>
      </c>
      <c r="AH125">
        <f t="shared" si="10"/>
        <v>4</v>
      </c>
      <c r="AI125">
        <f t="shared" si="11"/>
        <v>17</v>
      </c>
      <c r="AJ125">
        <f t="shared" si="12"/>
        <v>5</v>
      </c>
      <c r="AL125">
        <f t="shared" si="13"/>
        <v>0</v>
      </c>
      <c r="AM125">
        <f t="shared" si="14"/>
        <v>12</v>
      </c>
      <c r="AN125">
        <f t="shared" si="15"/>
        <v>34</v>
      </c>
      <c r="AO125">
        <f t="shared" si="16"/>
        <v>5</v>
      </c>
      <c r="AP125">
        <f t="shared" si="17"/>
        <v>51</v>
      </c>
    </row>
    <row r="126" spans="1:42" ht="15.75" hidden="1" customHeight="1" x14ac:dyDescent="0.3">
      <c r="A126" s="16"/>
      <c r="B126" s="55">
        <v>17</v>
      </c>
      <c r="C126" s="56" t="s">
        <v>144</v>
      </c>
      <c r="D126" s="55">
        <v>3</v>
      </c>
      <c r="E126" s="55" t="s">
        <v>21</v>
      </c>
      <c r="F126" s="18" t="s">
        <v>21</v>
      </c>
      <c r="G126" s="18" t="s">
        <v>21</v>
      </c>
      <c r="H126" s="18" t="s">
        <v>21</v>
      </c>
      <c r="I126" s="18" t="s">
        <v>21</v>
      </c>
      <c r="J126" s="20" t="s">
        <v>21</v>
      </c>
      <c r="K126" s="20" t="s">
        <v>21</v>
      </c>
      <c r="L126" s="20" t="s">
        <v>21</v>
      </c>
      <c r="M126" s="18" t="s">
        <v>20</v>
      </c>
      <c r="N126" s="18" t="s">
        <v>20</v>
      </c>
      <c r="O126" s="18" t="s">
        <v>20</v>
      </c>
      <c r="P126" s="18" t="s">
        <v>21</v>
      </c>
      <c r="Q126" s="18" t="s">
        <v>21</v>
      </c>
      <c r="R126" s="18" t="s">
        <v>21</v>
      </c>
      <c r="S126" s="18" t="s">
        <v>20</v>
      </c>
      <c r="T126" s="18" t="s">
        <v>20</v>
      </c>
      <c r="U126" s="18" t="s">
        <v>20</v>
      </c>
      <c r="V126" s="37" t="s">
        <v>21</v>
      </c>
      <c r="W126" s="37" t="s">
        <v>20</v>
      </c>
      <c r="X126" s="37" t="s">
        <v>21</v>
      </c>
      <c r="Y126" s="18" t="s">
        <v>20</v>
      </c>
      <c r="Z126" s="18" t="s">
        <v>20</v>
      </c>
      <c r="AA126" s="20" t="s">
        <v>21</v>
      </c>
      <c r="AB126" s="20" t="s">
        <v>20</v>
      </c>
      <c r="AC126" s="20" t="s">
        <v>21</v>
      </c>
      <c r="AD126" s="29" t="s">
        <v>20</v>
      </c>
      <c r="AE126" s="29" t="s">
        <v>21</v>
      </c>
      <c r="AG126">
        <f t="shared" si="9"/>
        <v>0</v>
      </c>
      <c r="AH126">
        <f t="shared" si="10"/>
        <v>11</v>
      </c>
      <c r="AI126">
        <f t="shared" si="11"/>
        <v>15</v>
      </c>
      <c r="AJ126">
        <f t="shared" si="12"/>
        <v>0</v>
      </c>
      <c r="AL126">
        <f t="shared" si="13"/>
        <v>0</v>
      </c>
      <c r="AM126">
        <f t="shared" si="14"/>
        <v>33</v>
      </c>
      <c r="AN126">
        <f t="shared" si="15"/>
        <v>30</v>
      </c>
      <c r="AO126">
        <f t="shared" si="16"/>
        <v>0</v>
      </c>
      <c r="AP126">
        <f t="shared" si="17"/>
        <v>63</v>
      </c>
    </row>
    <row r="127" spans="1:42" ht="15.75" hidden="1" customHeight="1" x14ac:dyDescent="0.3">
      <c r="A127" s="16"/>
      <c r="B127" s="55">
        <v>18</v>
      </c>
      <c r="C127" s="56" t="s">
        <v>145</v>
      </c>
      <c r="D127" s="55">
        <v>3</v>
      </c>
      <c r="E127" s="55" t="s">
        <v>21</v>
      </c>
      <c r="F127" s="18" t="s">
        <v>21</v>
      </c>
      <c r="G127" s="18" t="s">
        <v>21</v>
      </c>
      <c r="H127" s="18" t="s">
        <v>20</v>
      </c>
      <c r="I127" s="18" t="s">
        <v>21</v>
      </c>
      <c r="J127" s="20" t="s">
        <v>20</v>
      </c>
      <c r="K127" s="20" t="s">
        <v>20</v>
      </c>
      <c r="L127" s="20" t="s">
        <v>20</v>
      </c>
      <c r="M127" s="18" t="s">
        <v>21</v>
      </c>
      <c r="N127" s="18" t="s">
        <v>20</v>
      </c>
      <c r="O127" s="18" t="s">
        <v>21</v>
      </c>
      <c r="P127" s="18" t="s">
        <v>21</v>
      </c>
      <c r="Q127" s="18" t="s">
        <v>21</v>
      </c>
      <c r="R127" s="18" t="s">
        <v>20</v>
      </c>
      <c r="S127" s="18" t="s">
        <v>20</v>
      </c>
      <c r="T127" s="18" t="s">
        <v>20</v>
      </c>
      <c r="U127" s="18" t="s">
        <v>20</v>
      </c>
      <c r="V127" s="37" t="s">
        <v>20</v>
      </c>
      <c r="W127" s="37" t="s">
        <v>20</v>
      </c>
      <c r="X127" s="37" t="s">
        <v>20</v>
      </c>
      <c r="Y127" s="18" t="s">
        <v>20</v>
      </c>
      <c r="Z127" s="18" t="s">
        <v>21</v>
      </c>
      <c r="AA127" s="20" t="s">
        <v>20</v>
      </c>
      <c r="AB127" s="20" t="s">
        <v>21</v>
      </c>
      <c r="AC127" s="20" t="s">
        <v>20</v>
      </c>
      <c r="AD127" s="29" t="s">
        <v>20</v>
      </c>
      <c r="AE127" s="29" t="s">
        <v>21</v>
      </c>
      <c r="AG127">
        <f t="shared" si="9"/>
        <v>0</v>
      </c>
      <c r="AH127">
        <f t="shared" si="10"/>
        <v>16</v>
      </c>
      <c r="AI127">
        <f t="shared" si="11"/>
        <v>10</v>
      </c>
      <c r="AJ127">
        <f t="shared" si="12"/>
        <v>0</v>
      </c>
      <c r="AL127">
        <f t="shared" si="13"/>
        <v>0</v>
      </c>
      <c r="AM127">
        <f t="shared" si="14"/>
        <v>48</v>
      </c>
      <c r="AN127">
        <f t="shared" si="15"/>
        <v>20</v>
      </c>
      <c r="AO127">
        <f t="shared" si="16"/>
        <v>0</v>
      </c>
      <c r="AP127">
        <f t="shared" si="17"/>
        <v>68</v>
      </c>
    </row>
    <row r="128" spans="1:42" ht="15.75" hidden="1" customHeight="1" x14ac:dyDescent="0.3">
      <c r="A128" s="16"/>
      <c r="B128" s="55">
        <v>19</v>
      </c>
      <c r="C128" s="56" t="s">
        <v>146</v>
      </c>
      <c r="D128" s="55">
        <v>3</v>
      </c>
      <c r="E128" s="55" t="s">
        <v>21</v>
      </c>
      <c r="F128" s="18" t="s">
        <v>21</v>
      </c>
      <c r="G128" s="18" t="s">
        <v>21</v>
      </c>
      <c r="H128" s="18" t="s">
        <v>21</v>
      </c>
      <c r="I128" s="18" t="s">
        <v>21</v>
      </c>
      <c r="J128" s="20" t="s">
        <v>21</v>
      </c>
      <c r="K128" s="20" t="s">
        <v>21</v>
      </c>
      <c r="L128" s="20" t="s">
        <v>21</v>
      </c>
      <c r="M128" s="18" t="s">
        <v>21</v>
      </c>
      <c r="N128" s="18" t="s">
        <v>20</v>
      </c>
      <c r="O128" s="18" t="s">
        <v>21</v>
      </c>
      <c r="P128" s="18" t="s">
        <v>21</v>
      </c>
      <c r="Q128" s="18" t="s">
        <v>21</v>
      </c>
      <c r="R128" s="18" t="s">
        <v>23</v>
      </c>
      <c r="S128" s="18" t="s">
        <v>21</v>
      </c>
      <c r="T128" s="18" t="s">
        <v>20</v>
      </c>
      <c r="U128" s="18" t="s">
        <v>21</v>
      </c>
      <c r="V128" s="37" t="s">
        <v>21</v>
      </c>
      <c r="W128" s="37" t="s">
        <v>20</v>
      </c>
      <c r="X128" s="37" t="s">
        <v>21</v>
      </c>
      <c r="Y128" s="18" t="s">
        <v>20</v>
      </c>
      <c r="Z128" s="18" t="s">
        <v>20</v>
      </c>
      <c r="AA128" s="20" t="s">
        <v>21</v>
      </c>
      <c r="AB128" s="20" t="s">
        <v>21</v>
      </c>
      <c r="AC128" s="20" t="s">
        <v>23</v>
      </c>
      <c r="AD128" s="29" t="s">
        <v>20</v>
      </c>
      <c r="AE128" s="29" t="s">
        <v>21</v>
      </c>
      <c r="AG128">
        <f t="shared" si="9"/>
        <v>0</v>
      </c>
      <c r="AH128">
        <f t="shared" si="10"/>
        <v>6</v>
      </c>
      <c r="AI128">
        <f t="shared" si="11"/>
        <v>18</v>
      </c>
      <c r="AJ128">
        <f t="shared" si="12"/>
        <v>2</v>
      </c>
      <c r="AL128">
        <f t="shared" si="13"/>
        <v>0</v>
      </c>
      <c r="AM128">
        <f t="shared" si="14"/>
        <v>18</v>
      </c>
      <c r="AN128">
        <f t="shared" si="15"/>
        <v>36</v>
      </c>
      <c r="AO128">
        <f t="shared" si="16"/>
        <v>2</v>
      </c>
      <c r="AP128">
        <f t="shared" si="17"/>
        <v>56</v>
      </c>
    </row>
    <row r="129" spans="1:42" ht="15.75" hidden="1" customHeight="1" x14ac:dyDescent="0.3">
      <c r="A129" s="16"/>
      <c r="B129" s="55">
        <v>20</v>
      </c>
      <c r="C129" s="56" t="s">
        <v>147</v>
      </c>
      <c r="D129" s="55">
        <v>3</v>
      </c>
      <c r="E129" s="55" t="s">
        <v>21</v>
      </c>
      <c r="F129" s="18" t="s">
        <v>20</v>
      </c>
      <c r="G129" s="18" t="s">
        <v>20</v>
      </c>
      <c r="H129" s="18" t="s">
        <v>20</v>
      </c>
      <c r="I129" s="18" t="s">
        <v>20</v>
      </c>
      <c r="J129" s="20" t="s">
        <v>21</v>
      </c>
      <c r="K129" s="20" t="s">
        <v>21</v>
      </c>
      <c r="L129" s="20" t="s">
        <v>21</v>
      </c>
      <c r="M129" s="18" t="s">
        <v>20</v>
      </c>
      <c r="N129" s="18" t="s">
        <v>20</v>
      </c>
      <c r="O129" s="18" t="s">
        <v>20</v>
      </c>
      <c r="P129" s="18" t="s">
        <v>21</v>
      </c>
      <c r="Q129" s="18" t="s">
        <v>20</v>
      </c>
      <c r="R129" s="18" t="s">
        <v>21</v>
      </c>
      <c r="S129" s="18" t="s">
        <v>20</v>
      </c>
      <c r="T129" s="18" t="s">
        <v>20</v>
      </c>
      <c r="U129" s="18" t="s">
        <v>20</v>
      </c>
      <c r="V129" s="37" t="s">
        <v>21</v>
      </c>
      <c r="W129" s="37" t="s">
        <v>20</v>
      </c>
      <c r="X129" s="37" t="s">
        <v>21</v>
      </c>
      <c r="Y129" s="18" t="s">
        <v>21</v>
      </c>
      <c r="Z129" s="18" t="s">
        <v>20</v>
      </c>
      <c r="AA129" s="20" t="s">
        <v>21</v>
      </c>
      <c r="AB129" s="20" t="s">
        <v>21</v>
      </c>
      <c r="AC129" s="20" t="s">
        <v>21</v>
      </c>
      <c r="AD129" s="29" t="s">
        <v>20</v>
      </c>
      <c r="AE129" s="29" t="s">
        <v>21</v>
      </c>
      <c r="AG129">
        <f t="shared" si="9"/>
        <v>0</v>
      </c>
      <c r="AH129">
        <f t="shared" si="10"/>
        <v>14</v>
      </c>
      <c r="AI129">
        <f t="shared" si="11"/>
        <v>12</v>
      </c>
      <c r="AJ129">
        <f t="shared" si="12"/>
        <v>0</v>
      </c>
      <c r="AL129">
        <f t="shared" si="13"/>
        <v>0</v>
      </c>
      <c r="AM129">
        <f t="shared" si="14"/>
        <v>42</v>
      </c>
      <c r="AN129">
        <f t="shared" si="15"/>
        <v>24</v>
      </c>
      <c r="AO129">
        <f t="shared" si="16"/>
        <v>0</v>
      </c>
      <c r="AP129">
        <f t="shared" si="17"/>
        <v>66</v>
      </c>
    </row>
    <row r="130" spans="1:42" ht="15.75" hidden="1" customHeight="1" thickBot="1" x14ac:dyDescent="0.35">
      <c r="A130" s="16"/>
      <c r="B130" s="57">
        <v>21</v>
      </c>
      <c r="C130" s="58" t="s">
        <v>148</v>
      </c>
      <c r="D130" s="57">
        <v>3</v>
      </c>
      <c r="E130" s="57" t="s">
        <v>21</v>
      </c>
      <c r="F130" s="21" t="s">
        <v>20</v>
      </c>
      <c r="G130" s="21" t="s">
        <v>20</v>
      </c>
      <c r="H130" s="21" t="s">
        <v>21</v>
      </c>
      <c r="I130" s="21" t="s">
        <v>20</v>
      </c>
      <c r="J130" s="23" t="s">
        <v>20</v>
      </c>
      <c r="K130" s="23" t="s">
        <v>20</v>
      </c>
      <c r="L130" s="23" t="s">
        <v>21</v>
      </c>
      <c r="M130" s="21" t="s">
        <v>21</v>
      </c>
      <c r="N130" s="21" t="s">
        <v>21</v>
      </c>
      <c r="O130" s="21" t="s">
        <v>21</v>
      </c>
      <c r="P130" s="21" t="s">
        <v>21</v>
      </c>
      <c r="Q130" s="21" t="s">
        <v>21</v>
      </c>
      <c r="R130" s="21" t="s">
        <v>21</v>
      </c>
      <c r="S130" s="21" t="s">
        <v>20</v>
      </c>
      <c r="T130" s="21" t="s">
        <v>20</v>
      </c>
      <c r="U130" s="21" t="s">
        <v>21</v>
      </c>
      <c r="V130" s="38" t="s">
        <v>21</v>
      </c>
      <c r="W130" s="38" t="s">
        <v>21</v>
      </c>
      <c r="X130" s="38" t="s">
        <v>21</v>
      </c>
      <c r="Y130" s="21" t="s">
        <v>20</v>
      </c>
      <c r="Z130" s="21" t="s">
        <v>20</v>
      </c>
      <c r="AA130" s="23" t="s">
        <v>21</v>
      </c>
      <c r="AB130" s="23" t="s">
        <v>21</v>
      </c>
      <c r="AC130" s="23" t="s">
        <v>21</v>
      </c>
      <c r="AD130" s="31" t="s">
        <v>20</v>
      </c>
      <c r="AE130" s="31" t="s">
        <v>21</v>
      </c>
      <c r="AG130">
        <f t="shared" si="9"/>
        <v>0</v>
      </c>
      <c r="AH130">
        <f t="shared" si="10"/>
        <v>10</v>
      </c>
      <c r="AI130">
        <f t="shared" si="11"/>
        <v>16</v>
      </c>
      <c r="AJ130">
        <f t="shared" si="12"/>
        <v>0</v>
      </c>
      <c r="AL130">
        <f t="shared" si="13"/>
        <v>0</v>
      </c>
      <c r="AM130">
        <f t="shared" si="14"/>
        <v>30</v>
      </c>
      <c r="AN130">
        <f t="shared" si="15"/>
        <v>32</v>
      </c>
      <c r="AO130">
        <f t="shared" si="16"/>
        <v>0</v>
      </c>
      <c r="AP130">
        <f t="shared" si="17"/>
        <v>62</v>
      </c>
    </row>
    <row r="131" spans="1:42" ht="15.75" hidden="1" customHeight="1" x14ac:dyDescent="0.3">
      <c r="A131" s="16"/>
      <c r="B131" s="59">
        <v>19</v>
      </c>
      <c r="C131" s="60" t="s">
        <v>167</v>
      </c>
      <c r="D131" s="59">
        <v>4</v>
      </c>
      <c r="E131" s="59" t="s">
        <v>20</v>
      </c>
      <c r="F131" s="24" t="s">
        <v>39</v>
      </c>
      <c r="G131" s="24" t="s">
        <v>39</v>
      </c>
      <c r="H131" s="24" t="s">
        <v>39</v>
      </c>
      <c r="I131" s="24" t="s">
        <v>39</v>
      </c>
      <c r="J131" s="42" t="s">
        <v>20</v>
      </c>
      <c r="K131" s="42" t="s">
        <v>20</v>
      </c>
      <c r="L131" s="42" t="s">
        <v>20</v>
      </c>
      <c r="M131" s="24" t="s">
        <v>20</v>
      </c>
      <c r="N131" s="24" t="s">
        <v>20</v>
      </c>
      <c r="O131" s="24" t="s">
        <v>20</v>
      </c>
      <c r="P131" s="24" t="s">
        <v>20</v>
      </c>
      <c r="Q131" s="24" t="s">
        <v>21</v>
      </c>
      <c r="R131" s="24" t="s">
        <v>20</v>
      </c>
      <c r="S131" s="24" t="s">
        <v>20</v>
      </c>
      <c r="T131" s="24" t="s">
        <v>20</v>
      </c>
      <c r="U131" s="24" t="s">
        <v>20</v>
      </c>
      <c r="V131" s="39" t="s">
        <v>20</v>
      </c>
      <c r="W131" s="39" t="s">
        <v>20</v>
      </c>
      <c r="X131" s="39" t="s">
        <v>20</v>
      </c>
      <c r="Y131" s="24" t="s">
        <v>20</v>
      </c>
      <c r="Z131" s="24" t="s">
        <v>20</v>
      </c>
      <c r="AA131" s="27" t="s">
        <v>20</v>
      </c>
      <c r="AB131" s="27" t="s">
        <v>20</v>
      </c>
      <c r="AC131" s="27" t="s">
        <v>20</v>
      </c>
      <c r="AD131" s="24" t="s">
        <v>20</v>
      </c>
      <c r="AE131" s="24" t="s">
        <v>21</v>
      </c>
      <c r="AG131">
        <f>+COUNTIF(F131:AE131,"AD")</f>
        <v>4</v>
      </c>
      <c r="AH131">
        <f>+COUNTIF(F131:AE131,"A")</f>
        <v>20</v>
      </c>
      <c r="AI131">
        <f>+COUNTIF(F131:AE131,"b")</f>
        <v>2</v>
      </c>
      <c r="AJ131">
        <f>+COUNTIF(F131:AE131,"c")</f>
        <v>0</v>
      </c>
      <c r="AL131">
        <f>+$AG$5*AG131</f>
        <v>16</v>
      </c>
      <c r="AM131">
        <f>+$AH$5*AH131</f>
        <v>60</v>
      </c>
      <c r="AN131">
        <f>+$AI$5*AI131</f>
        <v>4</v>
      </c>
      <c r="AO131">
        <f>+$AJ$5*AJ131</f>
        <v>0</v>
      </c>
      <c r="AP131">
        <f>+SUM(AL131:AO131)</f>
        <v>80</v>
      </c>
    </row>
    <row r="132" spans="1:42" ht="15.75" hidden="1" customHeight="1" x14ac:dyDescent="0.3">
      <c r="A132" s="16"/>
      <c r="B132" s="55">
        <v>8</v>
      </c>
      <c r="C132" s="56" t="s">
        <v>156</v>
      </c>
      <c r="D132" s="55">
        <v>4</v>
      </c>
      <c r="E132" s="55" t="s">
        <v>20</v>
      </c>
      <c r="F132" s="18" t="s">
        <v>20</v>
      </c>
      <c r="G132" s="18" t="s">
        <v>20</v>
      </c>
      <c r="H132" s="18" t="s">
        <v>20</v>
      </c>
      <c r="I132" s="18" t="s">
        <v>20</v>
      </c>
      <c r="J132" s="43" t="s">
        <v>39</v>
      </c>
      <c r="K132" s="43" t="s">
        <v>20</v>
      </c>
      <c r="L132" s="43" t="s">
        <v>20</v>
      </c>
      <c r="M132" s="18" t="s">
        <v>20</v>
      </c>
      <c r="N132" s="18" t="s">
        <v>20</v>
      </c>
      <c r="O132" s="18" t="s">
        <v>20</v>
      </c>
      <c r="P132" s="18" t="s">
        <v>20</v>
      </c>
      <c r="Q132" s="18" t="s">
        <v>20</v>
      </c>
      <c r="R132" s="18" t="s">
        <v>20</v>
      </c>
      <c r="S132" s="18" t="s">
        <v>20</v>
      </c>
      <c r="T132" s="18" t="s">
        <v>20</v>
      </c>
      <c r="U132" s="18" t="s">
        <v>21</v>
      </c>
      <c r="V132" s="37" t="s">
        <v>20</v>
      </c>
      <c r="W132" s="37" t="s">
        <v>20</v>
      </c>
      <c r="X132" s="37" t="s">
        <v>20</v>
      </c>
      <c r="Y132" s="18" t="s">
        <v>20</v>
      </c>
      <c r="Z132" s="18" t="s">
        <v>20</v>
      </c>
      <c r="AA132" s="20" t="s">
        <v>20</v>
      </c>
      <c r="AB132" s="20" t="s">
        <v>20</v>
      </c>
      <c r="AC132" s="20" t="s">
        <v>20</v>
      </c>
      <c r="AD132" s="29" t="s">
        <v>20</v>
      </c>
      <c r="AE132" s="29" t="s">
        <v>21</v>
      </c>
      <c r="AG132">
        <f>+COUNTIF(F132:AE132,"AD")</f>
        <v>1</v>
      </c>
      <c r="AH132">
        <f>+COUNTIF(F132:AE132,"A")</f>
        <v>23</v>
      </c>
      <c r="AI132">
        <f>+COUNTIF(F132:AE132,"b")</f>
        <v>2</v>
      </c>
      <c r="AJ132">
        <f>+COUNTIF(F132:AE132,"c")</f>
        <v>0</v>
      </c>
      <c r="AL132">
        <f>+$AG$5*AG132</f>
        <v>4</v>
      </c>
      <c r="AM132">
        <f>+$AH$5*AH132</f>
        <v>69</v>
      </c>
      <c r="AN132">
        <f>+$AI$5*AI132</f>
        <v>4</v>
      </c>
      <c r="AO132">
        <f>+$AJ$5*AJ132</f>
        <v>0</v>
      </c>
      <c r="AP132">
        <f>+SUM(AL132:AO132)</f>
        <v>77</v>
      </c>
    </row>
    <row r="133" spans="1:42" ht="15.75" hidden="1" customHeight="1" x14ac:dyDescent="0.3">
      <c r="A133" s="16"/>
      <c r="B133" s="55">
        <v>2</v>
      </c>
      <c r="C133" s="56" t="s">
        <v>150</v>
      </c>
      <c r="D133" s="55">
        <v>4</v>
      </c>
      <c r="E133" s="55" t="s">
        <v>20</v>
      </c>
      <c r="F133" s="18" t="s">
        <v>20</v>
      </c>
      <c r="G133" s="18" t="s">
        <v>20</v>
      </c>
      <c r="H133" s="18" t="s">
        <v>20</v>
      </c>
      <c r="I133" s="18" t="s">
        <v>20</v>
      </c>
      <c r="J133" s="43" t="s">
        <v>39</v>
      </c>
      <c r="K133" s="43" t="s">
        <v>20</v>
      </c>
      <c r="L133" s="43" t="s">
        <v>20</v>
      </c>
      <c r="M133" s="18" t="s">
        <v>21</v>
      </c>
      <c r="N133" s="18" t="s">
        <v>20</v>
      </c>
      <c r="O133" s="18" t="s">
        <v>20</v>
      </c>
      <c r="P133" s="18" t="s">
        <v>20</v>
      </c>
      <c r="Q133" s="18" t="s">
        <v>20</v>
      </c>
      <c r="R133" s="18" t="s">
        <v>20</v>
      </c>
      <c r="S133" s="18" t="s">
        <v>20</v>
      </c>
      <c r="T133" s="18" t="s">
        <v>20</v>
      </c>
      <c r="U133" s="18" t="s">
        <v>20</v>
      </c>
      <c r="V133" s="37" t="s">
        <v>20</v>
      </c>
      <c r="W133" s="37" t="s">
        <v>20</v>
      </c>
      <c r="X133" s="37" t="s">
        <v>20</v>
      </c>
      <c r="Y133" s="18" t="s">
        <v>20</v>
      </c>
      <c r="Z133" s="18" t="s">
        <v>21</v>
      </c>
      <c r="AA133" s="20" t="s">
        <v>20</v>
      </c>
      <c r="AB133" s="20" t="s">
        <v>20</v>
      </c>
      <c r="AC133" s="20" t="s">
        <v>21</v>
      </c>
      <c r="AD133" s="29" t="s">
        <v>20</v>
      </c>
      <c r="AE133" s="29" t="s">
        <v>21</v>
      </c>
      <c r="AG133">
        <f>+COUNTIF(F133:AE133,"AD")</f>
        <v>1</v>
      </c>
      <c r="AH133">
        <f>+COUNTIF(F133:AE133,"A")</f>
        <v>21</v>
      </c>
      <c r="AI133">
        <f>+COUNTIF(F133:AE133,"b")</f>
        <v>4</v>
      </c>
      <c r="AJ133">
        <f>+COUNTIF(F133:AE133,"c")</f>
        <v>0</v>
      </c>
      <c r="AL133">
        <f>+$AG$5*AG133</f>
        <v>4</v>
      </c>
      <c r="AM133">
        <f>+$AH$5*AH133</f>
        <v>63</v>
      </c>
      <c r="AN133">
        <f>+$AI$5*AI133</f>
        <v>8</v>
      </c>
      <c r="AO133">
        <f>+$AJ$5*AJ133</f>
        <v>0</v>
      </c>
      <c r="AP133">
        <f>+SUM(AL133:AO133)</f>
        <v>75</v>
      </c>
    </row>
    <row r="134" spans="1:42" ht="15.75" hidden="1" customHeight="1" x14ac:dyDescent="0.3">
      <c r="A134" s="16"/>
      <c r="B134" s="55">
        <v>6</v>
      </c>
      <c r="C134" s="56" t="s">
        <v>154</v>
      </c>
      <c r="D134" s="55">
        <v>4</v>
      </c>
      <c r="E134" s="55" t="s">
        <v>20</v>
      </c>
      <c r="F134" s="18" t="s">
        <v>20</v>
      </c>
      <c r="G134" s="18" t="s">
        <v>21</v>
      </c>
      <c r="H134" s="18" t="s">
        <v>21</v>
      </c>
      <c r="I134" s="18" t="s">
        <v>20</v>
      </c>
      <c r="J134" s="43" t="s">
        <v>20</v>
      </c>
      <c r="K134" s="43" t="s">
        <v>20</v>
      </c>
      <c r="L134" s="43" t="s">
        <v>20</v>
      </c>
      <c r="M134" s="18" t="s">
        <v>20</v>
      </c>
      <c r="N134" s="18" t="s">
        <v>20</v>
      </c>
      <c r="O134" s="18" t="s">
        <v>20</v>
      </c>
      <c r="P134" s="18" t="s">
        <v>20</v>
      </c>
      <c r="Q134" s="18" t="s">
        <v>21</v>
      </c>
      <c r="R134" s="18" t="s">
        <v>20</v>
      </c>
      <c r="S134" s="18" t="s">
        <v>20</v>
      </c>
      <c r="T134" s="18" t="s">
        <v>20</v>
      </c>
      <c r="U134" s="18" t="s">
        <v>20</v>
      </c>
      <c r="V134" s="37" t="s">
        <v>20</v>
      </c>
      <c r="W134" s="37" t="s">
        <v>20</v>
      </c>
      <c r="X134" s="37" t="s">
        <v>20</v>
      </c>
      <c r="Y134" s="18" t="s">
        <v>20</v>
      </c>
      <c r="Z134" s="18" t="s">
        <v>20</v>
      </c>
      <c r="AA134" s="20" t="s">
        <v>20</v>
      </c>
      <c r="AB134" s="20" t="s">
        <v>20</v>
      </c>
      <c r="AC134" s="20" t="s">
        <v>20</v>
      </c>
      <c r="AD134" s="29" t="s">
        <v>20</v>
      </c>
      <c r="AE134" s="29" t="s">
        <v>21</v>
      </c>
      <c r="AG134">
        <f>+COUNTIF(F134:AE134,"AD")</f>
        <v>0</v>
      </c>
      <c r="AH134">
        <f>+COUNTIF(F134:AE134,"A")</f>
        <v>22</v>
      </c>
      <c r="AI134">
        <f>+COUNTIF(F134:AE134,"b")</f>
        <v>4</v>
      </c>
      <c r="AJ134">
        <f>+COUNTIF(F134:AE134,"c")</f>
        <v>0</v>
      </c>
      <c r="AL134">
        <f>+$AG$5*AG134</f>
        <v>0</v>
      </c>
      <c r="AM134">
        <f>+$AH$5*AH134</f>
        <v>66</v>
      </c>
      <c r="AN134">
        <f>+$AI$5*AI134</f>
        <v>8</v>
      </c>
      <c r="AO134">
        <f>+$AJ$5*AJ134</f>
        <v>0</v>
      </c>
      <c r="AP134">
        <f>+SUM(AL134:AO134)</f>
        <v>74</v>
      </c>
    </row>
    <row r="135" spans="1:42" ht="15.75" hidden="1" customHeight="1" x14ac:dyDescent="0.3">
      <c r="A135" s="16"/>
      <c r="B135" s="55">
        <v>14</v>
      </c>
      <c r="C135" s="56" t="s">
        <v>162</v>
      </c>
      <c r="D135" s="55">
        <v>4</v>
      </c>
      <c r="E135" s="55" t="s">
        <v>20</v>
      </c>
      <c r="F135" s="18" t="s">
        <v>20</v>
      </c>
      <c r="G135" s="18" t="s">
        <v>20</v>
      </c>
      <c r="H135" s="18" t="s">
        <v>20</v>
      </c>
      <c r="I135" s="18" t="s">
        <v>20</v>
      </c>
      <c r="J135" s="43" t="s">
        <v>20</v>
      </c>
      <c r="K135" s="43" t="s">
        <v>20</v>
      </c>
      <c r="L135" s="43" t="s">
        <v>20</v>
      </c>
      <c r="M135" s="18" t="s">
        <v>20</v>
      </c>
      <c r="N135" s="18" t="s">
        <v>20</v>
      </c>
      <c r="O135" s="18" t="s">
        <v>20</v>
      </c>
      <c r="P135" s="18" t="s">
        <v>20</v>
      </c>
      <c r="Q135" s="18" t="s">
        <v>20</v>
      </c>
      <c r="R135" s="18" t="s">
        <v>21</v>
      </c>
      <c r="S135" s="18" t="s">
        <v>21</v>
      </c>
      <c r="T135" s="18" t="s">
        <v>20</v>
      </c>
      <c r="U135" s="18" t="s">
        <v>21</v>
      </c>
      <c r="V135" s="37" t="s">
        <v>20</v>
      </c>
      <c r="W135" s="37" t="s">
        <v>20</v>
      </c>
      <c r="X135" s="37" t="s">
        <v>20</v>
      </c>
      <c r="Y135" s="18" t="s">
        <v>20</v>
      </c>
      <c r="Z135" s="18" t="s">
        <v>20</v>
      </c>
      <c r="AA135" s="20" t="s">
        <v>21</v>
      </c>
      <c r="AB135" s="20" t="s">
        <v>20</v>
      </c>
      <c r="AC135" s="20" t="s">
        <v>20</v>
      </c>
      <c r="AD135" s="18" t="s">
        <v>20</v>
      </c>
      <c r="AE135" s="18" t="s">
        <v>21</v>
      </c>
      <c r="AG135">
        <f>+COUNTIF(F135:AE135,"AD")</f>
        <v>0</v>
      </c>
      <c r="AH135">
        <f>+COUNTIF(F135:AE135,"A")</f>
        <v>21</v>
      </c>
      <c r="AI135">
        <f>+COUNTIF(F135:AE135,"b")</f>
        <v>5</v>
      </c>
      <c r="AJ135">
        <f>+COUNTIF(F135:AE135,"c")</f>
        <v>0</v>
      </c>
      <c r="AL135">
        <f>+$AG$5*AG135</f>
        <v>0</v>
      </c>
      <c r="AM135">
        <f>+$AH$5*AH135</f>
        <v>63</v>
      </c>
      <c r="AN135">
        <f>+$AI$5*AI135</f>
        <v>10</v>
      </c>
      <c r="AO135">
        <f>+$AJ$5*AJ135</f>
        <v>0</v>
      </c>
      <c r="AP135">
        <f>+SUM(AL135:AO135)</f>
        <v>73</v>
      </c>
    </row>
    <row r="136" spans="1:42" ht="15.75" hidden="1" customHeight="1" x14ac:dyDescent="0.3">
      <c r="A136" s="16"/>
      <c r="B136" s="55">
        <v>1</v>
      </c>
      <c r="C136" s="56" t="s">
        <v>149</v>
      </c>
      <c r="D136" s="55">
        <v>4</v>
      </c>
      <c r="E136" s="55" t="s">
        <v>20</v>
      </c>
      <c r="F136" s="18" t="s">
        <v>20</v>
      </c>
      <c r="G136" s="18" t="s">
        <v>20</v>
      </c>
      <c r="H136" s="18" t="s">
        <v>20</v>
      </c>
      <c r="I136" s="18" t="s">
        <v>20</v>
      </c>
      <c r="J136" s="43" t="s">
        <v>20</v>
      </c>
      <c r="K136" s="43" t="s">
        <v>20</v>
      </c>
      <c r="L136" s="43" t="s">
        <v>21</v>
      </c>
      <c r="M136" s="18" t="s">
        <v>20</v>
      </c>
      <c r="N136" s="18" t="s">
        <v>20</v>
      </c>
      <c r="O136" s="18" t="s">
        <v>20</v>
      </c>
      <c r="P136" s="18" t="s">
        <v>20</v>
      </c>
      <c r="Q136" s="18" t="s">
        <v>20</v>
      </c>
      <c r="R136" s="18" t="s">
        <v>20</v>
      </c>
      <c r="S136" s="18" t="s">
        <v>20</v>
      </c>
      <c r="T136" s="18" t="s">
        <v>21</v>
      </c>
      <c r="U136" s="18" t="s">
        <v>21</v>
      </c>
      <c r="V136" s="37" t="s">
        <v>20</v>
      </c>
      <c r="W136" s="37" t="s">
        <v>20</v>
      </c>
      <c r="X136" s="37" t="s">
        <v>20</v>
      </c>
      <c r="Y136" s="18" t="s">
        <v>20</v>
      </c>
      <c r="Z136" s="18" t="s">
        <v>20</v>
      </c>
      <c r="AA136" s="20" t="s">
        <v>21</v>
      </c>
      <c r="AB136" s="20" t="s">
        <v>20</v>
      </c>
      <c r="AC136" s="20" t="s">
        <v>21</v>
      </c>
      <c r="AD136" s="29" t="s">
        <v>21</v>
      </c>
      <c r="AE136" s="29" t="s">
        <v>21</v>
      </c>
      <c r="AG136">
        <f>+COUNTIF(F136:AE136,"AD")</f>
        <v>0</v>
      </c>
      <c r="AH136">
        <f>+COUNTIF(F136:AE136,"A")</f>
        <v>19</v>
      </c>
      <c r="AI136">
        <f>+COUNTIF(F136:AE136,"b")</f>
        <v>7</v>
      </c>
      <c r="AJ136">
        <f>+COUNTIF(F136:AE136,"c")</f>
        <v>0</v>
      </c>
      <c r="AL136">
        <f>+$AG$5*AG136</f>
        <v>0</v>
      </c>
      <c r="AM136">
        <f>+$AH$5*AH136</f>
        <v>57</v>
      </c>
      <c r="AN136">
        <f>+$AI$5*AI136</f>
        <v>14</v>
      </c>
      <c r="AO136">
        <f>+$AJ$5*AJ136</f>
        <v>0</v>
      </c>
      <c r="AP136">
        <f>+SUM(AL136:AO136)</f>
        <v>71</v>
      </c>
    </row>
    <row r="137" spans="1:42" ht="15.75" hidden="1" customHeight="1" x14ac:dyDescent="0.3">
      <c r="A137" s="16"/>
      <c r="B137" s="55">
        <v>15</v>
      </c>
      <c r="C137" s="56" t="s">
        <v>163</v>
      </c>
      <c r="D137" s="55">
        <v>4</v>
      </c>
      <c r="E137" s="55" t="s">
        <v>20</v>
      </c>
      <c r="F137" s="18" t="s">
        <v>20</v>
      </c>
      <c r="G137" s="18" t="s">
        <v>21</v>
      </c>
      <c r="H137" s="18" t="s">
        <v>21</v>
      </c>
      <c r="I137" s="18" t="s">
        <v>20</v>
      </c>
      <c r="J137" s="43" t="s">
        <v>20</v>
      </c>
      <c r="K137" s="43" t="s">
        <v>20</v>
      </c>
      <c r="L137" s="43" t="s">
        <v>20</v>
      </c>
      <c r="M137" s="18" t="s">
        <v>21</v>
      </c>
      <c r="N137" s="18" t="s">
        <v>20</v>
      </c>
      <c r="O137" s="18" t="s">
        <v>20</v>
      </c>
      <c r="P137" s="18" t="s">
        <v>20</v>
      </c>
      <c r="Q137" s="18" t="s">
        <v>20</v>
      </c>
      <c r="R137" s="18" t="s">
        <v>20</v>
      </c>
      <c r="S137" s="18" t="s">
        <v>20</v>
      </c>
      <c r="T137" s="18" t="s">
        <v>20</v>
      </c>
      <c r="U137" s="18" t="s">
        <v>21</v>
      </c>
      <c r="V137" s="37" t="s">
        <v>20</v>
      </c>
      <c r="W137" s="37" t="s">
        <v>20</v>
      </c>
      <c r="X137" s="37" t="s">
        <v>20</v>
      </c>
      <c r="Y137" s="18" t="s">
        <v>20</v>
      </c>
      <c r="Z137" s="18" t="s">
        <v>21</v>
      </c>
      <c r="AA137" s="20" t="s">
        <v>21</v>
      </c>
      <c r="AB137" s="20" t="s">
        <v>20</v>
      </c>
      <c r="AC137" s="20" t="s">
        <v>20</v>
      </c>
      <c r="AD137" s="18" t="s">
        <v>20</v>
      </c>
      <c r="AE137" s="18" t="s">
        <v>21</v>
      </c>
      <c r="AG137">
        <f>+COUNTIF(F137:AE137,"AD")</f>
        <v>0</v>
      </c>
      <c r="AH137">
        <f>+COUNTIF(F137:AE137,"A")</f>
        <v>19</v>
      </c>
      <c r="AI137">
        <f>+COUNTIF(F137:AE137,"b")</f>
        <v>7</v>
      </c>
      <c r="AJ137">
        <f>+COUNTIF(F137:AE137,"c")</f>
        <v>0</v>
      </c>
      <c r="AL137">
        <f>+$AG$5*AG137</f>
        <v>0</v>
      </c>
      <c r="AM137">
        <f>+$AH$5*AH137</f>
        <v>57</v>
      </c>
      <c r="AN137">
        <f>+$AI$5*AI137</f>
        <v>14</v>
      </c>
      <c r="AO137">
        <f>+$AJ$5*AJ137</f>
        <v>0</v>
      </c>
      <c r="AP137">
        <f>+SUM(AL137:AO137)</f>
        <v>71</v>
      </c>
    </row>
    <row r="138" spans="1:42" ht="15.75" hidden="1" customHeight="1" x14ac:dyDescent="0.3">
      <c r="A138" s="16"/>
      <c r="B138" s="55">
        <v>23</v>
      </c>
      <c r="C138" s="56" t="s">
        <v>171</v>
      </c>
      <c r="D138" s="55">
        <v>4</v>
      </c>
      <c r="E138" s="55" t="s">
        <v>20</v>
      </c>
      <c r="F138" s="18" t="s">
        <v>20</v>
      </c>
      <c r="G138" s="18" t="s">
        <v>20</v>
      </c>
      <c r="H138" s="18" t="s">
        <v>20</v>
      </c>
      <c r="I138" s="18" t="s">
        <v>20</v>
      </c>
      <c r="J138" s="43" t="s">
        <v>20</v>
      </c>
      <c r="K138" s="43" t="s">
        <v>20</v>
      </c>
      <c r="L138" s="43" t="s">
        <v>20</v>
      </c>
      <c r="M138" s="18" t="s">
        <v>21</v>
      </c>
      <c r="N138" s="18" t="s">
        <v>20</v>
      </c>
      <c r="O138" s="18" t="s">
        <v>20</v>
      </c>
      <c r="P138" s="18" t="s">
        <v>21</v>
      </c>
      <c r="Q138" s="18" t="s">
        <v>21</v>
      </c>
      <c r="R138" s="18" t="s">
        <v>21</v>
      </c>
      <c r="S138" s="18" t="s">
        <v>20</v>
      </c>
      <c r="T138" s="18" t="s">
        <v>20</v>
      </c>
      <c r="U138" s="18" t="s">
        <v>20</v>
      </c>
      <c r="V138" s="46" t="s">
        <v>20</v>
      </c>
      <c r="W138" s="37" t="s">
        <v>20</v>
      </c>
      <c r="X138" s="46" t="s">
        <v>20</v>
      </c>
      <c r="Y138" s="18" t="s">
        <v>21</v>
      </c>
      <c r="Z138" s="18" t="s">
        <v>21</v>
      </c>
      <c r="AA138" s="20" t="s">
        <v>21</v>
      </c>
      <c r="AB138" s="20" t="s">
        <v>20</v>
      </c>
      <c r="AC138" s="20" t="s">
        <v>20</v>
      </c>
      <c r="AD138" s="18" t="s">
        <v>20</v>
      </c>
      <c r="AE138" s="18" t="s">
        <v>21</v>
      </c>
      <c r="AG138">
        <f>+COUNTIF(F138:AE138,"AD")</f>
        <v>0</v>
      </c>
      <c r="AH138">
        <f>+COUNTIF(F138:AE138,"A")</f>
        <v>18</v>
      </c>
      <c r="AI138">
        <f>+COUNTIF(F138:AE138,"b")</f>
        <v>8</v>
      </c>
      <c r="AJ138">
        <f>+COUNTIF(F138:AE138,"c")</f>
        <v>0</v>
      </c>
      <c r="AL138">
        <f>+$AG$5*AG138</f>
        <v>0</v>
      </c>
      <c r="AM138">
        <f>+$AH$5*AH138</f>
        <v>54</v>
      </c>
      <c r="AN138">
        <f>+$AI$5*AI138</f>
        <v>16</v>
      </c>
      <c r="AO138">
        <f>+$AJ$5*AJ138</f>
        <v>0</v>
      </c>
      <c r="AP138">
        <f>+SUM(AL138:AO138)</f>
        <v>70</v>
      </c>
    </row>
    <row r="139" spans="1:42" ht="15.75" hidden="1" customHeight="1" x14ac:dyDescent="0.3">
      <c r="A139" s="16"/>
      <c r="B139" s="55">
        <v>21</v>
      </c>
      <c r="C139" s="56" t="s">
        <v>169</v>
      </c>
      <c r="D139" s="55">
        <v>4</v>
      </c>
      <c r="E139" s="55" t="s">
        <v>20</v>
      </c>
      <c r="F139" s="18" t="s">
        <v>21</v>
      </c>
      <c r="G139" s="18" t="s">
        <v>21</v>
      </c>
      <c r="H139" s="18" t="s">
        <v>20</v>
      </c>
      <c r="I139" s="18" t="s">
        <v>20</v>
      </c>
      <c r="J139" s="43" t="s">
        <v>20</v>
      </c>
      <c r="K139" s="43" t="s">
        <v>20</v>
      </c>
      <c r="L139" s="43" t="s">
        <v>21</v>
      </c>
      <c r="M139" s="18" t="s">
        <v>21</v>
      </c>
      <c r="N139" s="18" t="s">
        <v>20</v>
      </c>
      <c r="O139" s="18" t="s">
        <v>20</v>
      </c>
      <c r="P139" s="18" t="s">
        <v>20</v>
      </c>
      <c r="Q139" s="18" t="s">
        <v>20</v>
      </c>
      <c r="R139" s="18" t="s">
        <v>20</v>
      </c>
      <c r="S139" s="18" t="s">
        <v>20</v>
      </c>
      <c r="T139" s="18" t="s">
        <v>20</v>
      </c>
      <c r="U139" s="18" t="s">
        <v>20</v>
      </c>
      <c r="V139" s="37" t="s">
        <v>20</v>
      </c>
      <c r="W139" s="37" t="s">
        <v>20</v>
      </c>
      <c r="X139" s="37" t="s">
        <v>20</v>
      </c>
      <c r="Y139" s="18" t="s">
        <v>21</v>
      </c>
      <c r="Z139" s="18" t="s">
        <v>21</v>
      </c>
      <c r="AA139" s="20" t="s">
        <v>20</v>
      </c>
      <c r="AB139" s="20" t="s">
        <v>20</v>
      </c>
      <c r="AC139" s="20" t="s">
        <v>21</v>
      </c>
      <c r="AD139" s="18" t="s">
        <v>21</v>
      </c>
      <c r="AE139" s="18" t="s">
        <v>21</v>
      </c>
      <c r="AG139">
        <f>+COUNTIF(F139:AE139,"AD")</f>
        <v>0</v>
      </c>
      <c r="AH139">
        <f>+COUNTIF(F139:AE139,"A")</f>
        <v>17</v>
      </c>
      <c r="AI139">
        <f>+COUNTIF(F139:AE139,"b")</f>
        <v>9</v>
      </c>
      <c r="AJ139">
        <f>+COUNTIF(F139:AE139,"c")</f>
        <v>0</v>
      </c>
      <c r="AL139">
        <f>+$AG$5*AG139</f>
        <v>0</v>
      </c>
      <c r="AM139">
        <f>+$AH$5*AH139</f>
        <v>51</v>
      </c>
      <c r="AN139">
        <f>+$AI$5*AI139</f>
        <v>18</v>
      </c>
      <c r="AO139">
        <f>+$AJ$5*AJ139</f>
        <v>0</v>
      </c>
      <c r="AP139">
        <f>+SUM(AL139:AO139)</f>
        <v>69</v>
      </c>
    </row>
    <row r="140" spans="1:42" ht="15.75" hidden="1" customHeight="1" x14ac:dyDescent="0.3">
      <c r="A140" s="16"/>
      <c r="B140" s="55">
        <v>4</v>
      </c>
      <c r="C140" s="56" t="s">
        <v>152</v>
      </c>
      <c r="D140" s="55">
        <v>4</v>
      </c>
      <c r="E140" s="55" t="s">
        <v>20</v>
      </c>
      <c r="F140" s="18" t="s">
        <v>21</v>
      </c>
      <c r="G140" s="18" t="s">
        <v>20</v>
      </c>
      <c r="H140" s="18" t="s">
        <v>21</v>
      </c>
      <c r="I140" s="18" t="s">
        <v>20</v>
      </c>
      <c r="J140" s="43" t="s">
        <v>20</v>
      </c>
      <c r="K140" s="43" t="s">
        <v>20</v>
      </c>
      <c r="L140" s="43" t="s">
        <v>21</v>
      </c>
      <c r="M140" s="18" t="s">
        <v>20</v>
      </c>
      <c r="N140" s="18" t="s">
        <v>20</v>
      </c>
      <c r="O140" s="18" t="s">
        <v>20</v>
      </c>
      <c r="P140" s="18" t="s">
        <v>21</v>
      </c>
      <c r="Q140" s="18" t="s">
        <v>21</v>
      </c>
      <c r="R140" s="18" t="s">
        <v>21</v>
      </c>
      <c r="S140" s="18" t="s">
        <v>20</v>
      </c>
      <c r="T140" s="18" t="s">
        <v>20</v>
      </c>
      <c r="U140" s="18" t="s">
        <v>21</v>
      </c>
      <c r="V140" s="37" t="s">
        <v>20</v>
      </c>
      <c r="W140" s="37" t="s">
        <v>20</v>
      </c>
      <c r="X140" s="37" t="s">
        <v>20</v>
      </c>
      <c r="Y140" s="18" t="s">
        <v>20</v>
      </c>
      <c r="Z140" s="18" t="s">
        <v>20</v>
      </c>
      <c r="AA140" s="20" t="s">
        <v>21</v>
      </c>
      <c r="AB140" s="20" t="s">
        <v>21</v>
      </c>
      <c r="AC140" s="20" t="s">
        <v>20</v>
      </c>
      <c r="AD140" s="47" t="s">
        <v>20</v>
      </c>
      <c r="AE140" s="47" t="s">
        <v>21</v>
      </c>
      <c r="AG140">
        <f>+COUNTIF(F140:AE140,"AD")</f>
        <v>0</v>
      </c>
      <c r="AH140">
        <f>+COUNTIF(F140:AE140,"A")</f>
        <v>16</v>
      </c>
      <c r="AI140">
        <f>+COUNTIF(F140:AE140,"b")</f>
        <v>10</v>
      </c>
      <c r="AJ140">
        <f>+COUNTIF(F140:AE140,"c")</f>
        <v>0</v>
      </c>
      <c r="AL140">
        <f>+$AG$5*AG140</f>
        <v>0</v>
      </c>
      <c r="AM140">
        <f>+$AH$5*AH140</f>
        <v>48</v>
      </c>
      <c r="AN140">
        <f>+$AI$5*AI140</f>
        <v>20</v>
      </c>
      <c r="AO140">
        <f>+$AJ$5*AJ140</f>
        <v>0</v>
      </c>
      <c r="AP140">
        <f>+SUM(AL140:AO140)</f>
        <v>68</v>
      </c>
    </row>
    <row r="141" spans="1:42" ht="15.75" hidden="1" customHeight="1" x14ac:dyDescent="0.3">
      <c r="A141" s="16"/>
      <c r="B141" s="55">
        <v>5</v>
      </c>
      <c r="C141" s="56" t="s">
        <v>153</v>
      </c>
      <c r="D141" s="55">
        <v>4</v>
      </c>
      <c r="E141" s="55" t="s">
        <v>20</v>
      </c>
      <c r="F141" s="18" t="s">
        <v>20</v>
      </c>
      <c r="G141" s="18" t="s">
        <v>21</v>
      </c>
      <c r="H141" s="18" t="s">
        <v>21</v>
      </c>
      <c r="I141" s="18" t="s">
        <v>20</v>
      </c>
      <c r="J141" s="43" t="s">
        <v>20</v>
      </c>
      <c r="K141" s="43" t="s">
        <v>20</v>
      </c>
      <c r="L141" s="43" t="s">
        <v>21</v>
      </c>
      <c r="M141" s="18" t="s">
        <v>21</v>
      </c>
      <c r="N141" s="18" t="s">
        <v>20</v>
      </c>
      <c r="O141" s="18" t="s">
        <v>20</v>
      </c>
      <c r="P141" s="18" t="s">
        <v>20</v>
      </c>
      <c r="Q141" s="18" t="s">
        <v>20</v>
      </c>
      <c r="R141" s="18" t="s">
        <v>20</v>
      </c>
      <c r="S141" s="18" t="s">
        <v>20</v>
      </c>
      <c r="T141" s="18" t="s">
        <v>20</v>
      </c>
      <c r="U141" s="18" t="s">
        <v>21</v>
      </c>
      <c r="V141" s="37" t="s">
        <v>20</v>
      </c>
      <c r="W141" s="37" t="s">
        <v>20</v>
      </c>
      <c r="X141" s="37" t="s">
        <v>20</v>
      </c>
      <c r="Y141" s="18" t="s">
        <v>20</v>
      </c>
      <c r="Z141" s="18" t="s">
        <v>21</v>
      </c>
      <c r="AA141" s="20" t="s">
        <v>21</v>
      </c>
      <c r="AB141" s="20" t="s">
        <v>20</v>
      </c>
      <c r="AC141" s="20" t="s">
        <v>20</v>
      </c>
      <c r="AD141" s="29" t="s">
        <v>23</v>
      </c>
      <c r="AE141" s="29" t="s">
        <v>21</v>
      </c>
      <c r="AG141">
        <f>+COUNTIF(F141:AE141,"AD")</f>
        <v>0</v>
      </c>
      <c r="AH141">
        <f>+COUNTIF(F141:AE141,"A")</f>
        <v>17</v>
      </c>
      <c r="AI141">
        <f>+COUNTIF(F141:AE141,"b")</f>
        <v>8</v>
      </c>
      <c r="AJ141">
        <f>+COUNTIF(F141:AE141,"c")</f>
        <v>1</v>
      </c>
      <c r="AL141">
        <f>+$AG$5*AG141</f>
        <v>0</v>
      </c>
      <c r="AM141">
        <f>+$AH$5*AH141</f>
        <v>51</v>
      </c>
      <c r="AN141">
        <f>+$AI$5*AI141</f>
        <v>16</v>
      </c>
      <c r="AO141">
        <f>+$AJ$5*AJ141</f>
        <v>1</v>
      </c>
      <c r="AP141">
        <f>+SUM(AL141:AO141)</f>
        <v>68</v>
      </c>
    </row>
    <row r="142" spans="1:42" ht="15.75" hidden="1" customHeight="1" x14ac:dyDescent="0.3">
      <c r="A142" s="16"/>
      <c r="B142" s="55">
        <v>22</v>
      </c>
      <c r="C142" s="56" t="s">
        <v>170</v>
      </c>
      <c r="D142" s="55">
        <v>4</v>
      </c>
      <c r="E142" s="55" t="s">
        <v>20</v>
      </c>
      <c r="F142" s="18" t="s">
        <v>20</v>
      </c>
      <c r="G142" s="18" t="s">
        <v>20</v>
      </c>
      <c r="H142" s="18" t="s">
        <v>20</v>
      </c>
      <c r="I142" s="18" t="s">
        <v>20</v>
      </c>
      <c r="J142" s="43" t="s">
        <v>20</v>
      </c>
      <c r="K142" s="43" t="s">
        <v>20</v>
      </c>
      <c r="L142" s="43" t="s">
        <v>21</v>
      </c>
      <c r="M142" s="18" t="s">
        <v>21</v>
      </c>
      <c r="N142" s="18" t="s">
        <v>20</v>
      </c>
      <c r="O142" s="18" t="s">
        <v>20</v>
      </c>
      <c r="P142" s="18" t="s">
        <v>21</v>
      </c>
      <c r="Q142" s="18" t="s">
        <v>21</v>
      </c>
      <c r="R142" s="18" t="s">
        <v>21</v>
      </c>
      <c r="S142" s="18" t="s">
        <v>20</v>
      </c>
      <c r="T142" s="18" t="s">
        <v>20</v>
      </c>
      <c r="U142" s="18" t="s">
        <v>21</v>
      </c>
      <c r="V142" s="37" t="s">
        <v>20</v>
      </c>
      <c r="W142" s="37" t="s">
        <v>20</v>
      </c>
      <c r="X142" s="37" t="s">
        <v>20</v>
      </c>
      <c r="Y142" s="18" t="s">
        <v>21</v>
      </c>
      <c r="Z142" s="18" t="s">
        <v>20</v>
      </c>
      <c r="AA142" s="20" t="s">
        <v>21</v>
      </c>
      <c r="AB142" s="20" t="s">
        <v>21</v>
      </c>
      <c r="AC142" s="20" t="s">
        <v>21</v>
      </c>
      <c r="AD142" s="18" t="s">
        <v>21</v>
      </c>
      <c r="AE142" s="18" t="s">
        <v>21</v>
      </c>
      <c r="AG142">
        <f>+COUNTIF(F142:AE142,"AD")</f>
        <v>0</v>
      </c>
      <c r="AH142">
        <f>+COUNTIF(F142:AE142,"A")</f>
        <v>14</v>
      </c>
      <c r="AI142">
        <f>+COUNTIF(F142:AE142,"b")</f>
        <v>12</v>
      </c>
      <c r="AJ142">
        <f>+COUNTIF(F142:AE142,"c")</f>
        <v>0</v>
      </c>
      <c r="AL142">
        <f>+$AG$5*AG142</f>
        <v>0</v>
      </c>
      <c r="AM142">
        <f>+$AH$5*AH142</f>
        <v>42</v>
      </c>
      <c r="AN142">
        <f>+$AI$5*AI142</f>
        <v>24</v>
      </c>
      <c r="AO142">
        <f>+$AJ$5*AJ142</f>
        <v>0</v>
      </c>
      <c r="AP142">
        <f>+SUM(AL142:AO142)</f>
        <v>66</v>
      </c>
    </row>
    <row r="143" spans="1:42" ht="15.75" hidden="1" customHeight="1" x14ac:dyDescent="0.3">
      <c r="A143" s="16"/>
      <c r="B143" s="55">
        <v>9</v>
      </c>
      <c r="C143" s="56" t="s">
        <v>157</v>
      </c>
      <c r="D143" s="55">
        <v>4</v>
      </c>
      <c r="E143" s="55" t="s">
        <v>20</v>
      </c>
      <c r="F143" s="18" t="s">
        <v>23</v>
      </c>
      <c r="G143" s="18" t="s">
        <v>21</v>
      </c>
      <c r="H143" s="18" t="s">
        <v>21</v>
      </c>
      <c r="I143" s="18" t="s">
        <v>21</v>
      </c>
      <c r="J143" s="43" t="s">
        <v>20</v>
      </c>
      <c r="K143" s="43" t="s">
        <v>20</v>
      </c>
      <c r="L143" s="43" t="s">
        <v>21</v>
      </c>
      <c r="M143" s="18" t="s">
        <v>20</v>
      </c>
      <c r="N143" s="18" t="s">
        <v>20</v>
      </c>
      <c r="O143" s="18" t="s">
        <v>20</v>
      </c>
      <c r="P143" s="18" t="s">
        <v>20</v>
      </c>
      <c r="Q143" s="18" t="s">
        <v>20</v>
      </c>
      <c r="R143" s="18" t="s">
        <v>20</v>
      </c>
      <c r="S143" s="18" t="s">
        <v>20</v>
      </c>
      <c r="T143" s="18" t="s">
        <v>20</v>
      </c>
      <c r="U143" s="18" t="s">
        <v>21</v>
      </c>
      <c r="V143" s="37" t="s">
        <v>20</v>
      </c>
      <c r="W143" s="37" t="s">
        <v>20</v>
      </c>
      <c r="X143" s="37" t="s">
        <v>20</v>
      </c>
      <c r="Y143" s="18" t="s">
        <v>20</v>
      </c>
      <c r="Z143" s="18" t="s">
        <v>21</v>
      </c>
      <c r="AA143" s="20" t="s">
        <v>21</v>
      </c>
      <c r="AB143" s="20" t="s">
        <v>21</v>
      </c>
      <c r="AC143" s="20" t="s">
        <v>23</v>
      </c>
      <c r="AD143" s="18" t="s">
        <v>20</v>
      </c>
      <c r="AE143" s="18" t="s">
        <v>21</v>
      </c>
      <c r="AG143">
        <f>+COUNTIF(F143:AE143,"AD")</f>
        <v>0</v>
      </c>
      <c r="AH143">
        <f>+COUNTIF(F143:AE143,"A")</f>
        <v>15</v>
      </c>
      <c r="AI143">
        <f>+COUNTIF(F143:AE143,"b")</f>
        <v>9</v>
      </c>
      <c r="AJ143">
        <f>+COUNTIF(F143:AE143,"c")</f>
        <v>2</v>
      </c>
      <c r="AL143">
        <f>+$AG$5*AG143</f>
        <v>0</v>
      </c>
      <c r="AM143">
        <f>+$AH$5*AH143</f>
        <v>45</v>
      </c>
      <c r="AN143">
        <f>+$AI$5*AI143</f>
        <v>18</v>
      </c>
      <c r="AO143">
        <f>+$AJ$5*AJ143</f>
        <v>2</v>
      </c>
      <c r="AP143">
        <f>+SUM(AL143:AO143)</f>
        <v>65</v>
      </c>
    </row>
    <row r="144" spans="1:42" ht="15.75" hidden="1" customHeight="1" x14ac:dyDescent="0.3">
      <c r="A144" s="16"/>
      <c r="B144" s="55">
        <v>20</v>
      </c>
      <c r="C144" s="56" t="s">
        <v>168</v>
      </c>
      <c r="D144" s="55">
        <v>4</v>
      </c>
      <c r="E144" s="55" t="s">
        <v>20</v>
      </c>
      <c r="F144" s="18" t="s">
        <v>21</v>
      </c>
      <c r="G144" s="18" t="s">
        <v>23</v>
      </c>
      <c r="H144" s="18" t="s">
        <v>21</v>
      </c>
      <c r="I144" s="18" t="s">
        <v>21</v>
      </c>
      <c r="J144" s="43" t="s">
        <v>20</v>
      </c>
      <c r="K144" s="43" t="s">
        <v>21</v>
      </c>
      <c r="L144" s="43" t="s">
        <v>21</v>
      </c>
      <c r="M144" s="18" t="s">
        <v>21</v>
      </c>
      <c r="N144" s="18" t="s">
        <v>20</v>
      </c>
      <c r="O144" s="18" t="s">
        <v>21</v>
      </c>
      <c r="P144" s="18" t="s">
        <v>20</v>
      </c>
      <c r="Q144" s="18" t="s">
        <v>21</v>
      </c>
      <c r="R144" s="18" t="s">
        <v>20</v>
      </c>
      <c r="S144" s="18" t="s">
        <v>20</v>
      </c>
      <c r="T144" s="18" t="s">
        <v>20</v>
      </c>
      <c r="U144" s="18" t="s">
        <v>20</v>
      </c>
      <c r="V144" s="37" t="s">
        <v>20</v>
      </c>
      <c r="W144" s="37" t="s">
        <v>20</v>
      </c>
      <c r="X144" s="37" t="s">
        <v>20</v>
      </c>
      <c r="Y144" s="18" t="s">
        <v>21</v>
      </c>
      <c r="Z144" s="18" t="s">
        <v>21</v>
      </c>
      <c r="AA144" s="20" t="s">
        <v>21</v>
      </c>
      <c r="AB144" s="20" t="s">
        <v>21</v>
      </c>
      <c r="AC144" s="20" t="s">
        <v>21</v>
      </c>
      <c r="AD144" s="18" t="s">
        <v>20</v>
      </c>
      <c r="AE144" s="18" t="s">
        <v>21</v>
      </c>
      <c r="AG144">
        <f>+COUNTIF(F144:AE144,"AD")</f>
        <v>0</v>
      </c>
      <c r="AH144">
        <f>+COUNTIF(F144:AE144,"A")</f>
        <v>11</v>
      </c>
      <c r="AI144">
        <f>+COUNTIF(F144:AE144,"b")</f>
        <v>14</v>
      </c>
      <c r="AJ144">
        <f>+COUNTIF(F144:AE144,"c")</f>
        <v>1</v>
      </c>
      <c r="AL144">
        <f>+$AG$5*AG144</f>
        <v>0</v>
      </c>
      <c r="AM144">
        <f>+$AH$5*AH144</f>
        <v>33</v>
      </c>
      <c r="AN144">
        <f>+$AI$5*AI144</f>
        <v>28</v>
      </c>
      <c r="AO144">
        <f>+$AJ$5*AJ144</f>
        <v>1</v>
      </c>
      <c r="AP144">
        <f>+SUM(AL144:AO144)</f>
        <v>62</v>
      </c>
    </row>
    <row r="145" spans="1:42" ht="15.75" hidden="1" customHeight="1" x14ac:dyDescent="0.3">
      <c r="A145" s="16"/>
      <c r="B145" s="55">
        <v>10</v>
      </c>
      <c r="C145" s="56" t="s">
        <v>158</v>
      </c>
      <c r="D145" s="55">
        <v>4</v>
      </c>
      <c r="E145" s="55" t="s">
        <v>20</v>
      </c>
      <c r="F145" s="18" t="s">
        <v>21</v>
      </c>
      <c r="G145" s="18" t="s">
        <v>23</v>
      </c>
      <c r="H145" s="18" t="s">
        <v>21</v>
      </c>
      <c r="I145" s="18" t="s">
        <v>23</v>
      </c>
      <c r="J145" s="43" t="s">
        <v>20</v>
      </c>
      <c r="K145" s="43" t="s">
        <v>21</v>
      </c>
      <c r="L145" s="43" t="s">
        <v>21</v>
      </c>
      <c r="M145" s="18" t="s">
        <v>21</v>
      </c>
      <c r="N145" s="18" t="s">
        <v>21</v>
      </c>
      <c r="O145" s="18" t="s">
        <v>20</v>
      </c>
      <c r="P145" s="18" t="s">
        <v>21</v>
      </c>
      <c r="Q145" s="18" t="s">
        <v>21</v>
      </c>
      <c r="R145" s="18" t="s">
        <v>21</v>
      </c>
      <c r="S145" s="18" t="s">
        <v>21</v>
      </c>
      <c r="T145" s="18" t="s">
        <v>20</v>
      </c>
      <c r="U145" s="18" t="s">
        <v>20</v>
      </c>
      <c r="V145" s="37" t="s">
        <v>20</v>
      </c>
      <c r="W145" s="37" t="s">
        <v>20</v>
      </c>
      <c r="X145" s="37" t="s">
        <v>20</v>
      </c>
      <c r="Y145" s="18" t="s">
        <v>20</v>
      </c>
      <c r="Z145" s="18" t="s">
        <v>21</v>
      </c>
      <c r="AA145" s="20" t="s">
        <v>20</v>
      </c>
      <c r="AB145" s="20" t="s">
        <v>20</v>
      </c>
      <c r="AC145" s="20" t="s">
        <v>20</v>
      </c>
      <c r="AD145" s="18" t="s">
        <v>23</v>
      </c>
      <c r="AE145" s="18" t="s">
        <v>21</v>
      </c>
      <c r="AG145">
        <f>+COUNTIF(F145:AE145,"AD")</f>
        <v>0</v>
      </c>
      <c r="AH145">
        <f>+COUNTIF(F145:AE145,"A")</f>
        <v>11</v>
      </c>
      <c r="AI145">
        <f>+COUNTIF(F145:AE145,"b")</f>
        <v>12</v>
      </c>
      <c r="AJ145">
        <f>+COUNTIF(F145:AE145,"c")</f>
        <v>3</v>
      </c>
      <c r="AL145">
        <f>+$AG$5*AG145</f>
        <v>0</v>
      </c>
      <c r="AM145">
        <f>+$AH$5*AH145</f>
        <v>33</v>
      </c>
      <c r="AN145">
        <f>+$AI$5*AI145</f>
        <v>24</v>
      </c>
      <c r="AO145">
        <f>+$AJ$5*AJ145</f>
        <v>3</v>
      </c>
      <c r="AP145">
        <f>+SUM(AL145:AO145)</f>
        <v>60</v>
      </c>
    </row>
    <row r="146" spans="1:42" ht="15.75" hidden="1" customHeight="1" x14ac:dyDescent="0.3">
      <c r="A146" s="16"/>
      <c r="B146" s="55">
        <v>17</v>
      </c>
      <c r="C146" s="56" t="s">
        <v>165</v>
      </c>
      <c r="D146" s="55">
        <v>4</v>
      </c>
      <c r="E146" s="55" t="s">
        <v>20</v>
      </c>
      <c r="F146" s="18" t="s">
        <v>23</v>
      </c>
      <c r="G146" s="18" t="s">
        <v>21</v>
      </c>
      <c r="H146" s="18" t="s">
        <v>21</v>
      </c>
      <c r="I146" s="18" t="s">
        <v>21</v>
      </c>
      <c r="J146" s="43" t="s">
        <v>20</v>
      </c>
      <c r="K146" s="43" t="s">
        <v>20</v>
      </c>
      <c r="L146" s="43" t="s">
        <v>21</v>
      </c>
      <c r="M146" s="18" t="s">
        <v>21</v>
      </c>
      <c r="N146" s="18" t="s">
        <v>21</v>
      </c>
      <c r="O146" s="18" t="s">
        <v>20</v>
      </c>
      <c r="P146" s="18" t="s">
        <v>21</v>
      </c>
      <c r="Q146" s="18" t="s">
        <v>21</v>
      </c>
      <c r="R146" s="18" t="s">
        <v>21</v>
      </c>
      <c r="S146" s="18" t="s">
        <v>20</v>
      </c>
      <c r="T146" s="18" t="s">
        <v>20</v>
      </c>
      <c r="U146" s="18" t="s">
        <v>21</v>
      </c>
      <c r="V146" s="37" t="s">
        <v>21</v>
      </c>
      <c r="W146" s="37" t="s">
        <v>21</v>
      </c>
      <c r="X146" s="37" t="s">
        <v>21</v>
      </c>
      <c r="Y146" s="18" t="s">
        <v>20</v>
      </c>
      <c r="Z146" s="18" t="s">
        <v>20</v>
      </c>
      <c r="AA146" s="20" t="s">
        <v>21</v>
      </c>
      <c r="AB146" s="20" t="s">
        <v>21</v>
      </c>
      <c r="AC146" s="20" t="s">
        <v>20</v>
      </c>
      <c r="AD146" s="18" t="s">
        <v>20</v>
      </c>
      <c r="AE146" s="18" t="s">
        <v>21</v>
      </c>
      <c r="AG146">
        <f>+COUNTIF(F146:AE146,"AD")</f>
        <v>0</v>
      </c>
      <c r="AH146">
        <f>+COUNTIF(F146:AE146,"A")</f>
        <v>9</v>
      </c>
      <c r="AI146">
        <f>+COUNTIF(F146:AE146,"b")</f>
        <v>16</v>
      </c>
      <c r="AJ146">
        <f>+COUNTIF(F146:AE146,"c")</f>
        <v>1</v>
      </c>
      <c r="AL146">
        <f>+$AG$5*AG146</f>
        <v>0</v>
      </c>
      <c r="AM146">
        <f>+$AH$5*AH146</f>
        <v>27</v>
      </c>
      <c r="AN146">
        <f>+$AI$5*AI146</f>
        <v>32</v>
      </c>
      <c r="AO146">
        <f>+$AJ$5*AJ146</f>
        <v>1</v>
      </c>
      <c r="AP146">
        <f>+SUM(AL146:AO146)</f>
        <v>60</v>
      </c>
    </row>
    <row r="147" spans="1:42" ht="15.75" hidden="1" customHeight="1" x14ac:dyDescent="0.3">
      <c r="A147" s="16"/>
      <c r="B147" s="55">
        <v>3</v>
      </c>
      <c r="C147" s="56" t="s">
        <v>151</v>
      </c>
      <c r="D147" s="55">
        <v>4</v>
      </c>
      <c r="E147" s="55" t="s">
        <v>20</v>
      </c>
      <c r="F147" s="18" t="s">
        <v>23</v>
      </c>
      <c r="G147" s="18" t="s">
        <v>21</v>
      </c>
      <c r="H147" s="18" t="s">
        <v>23</v>
      </c>
      <c r="I147" s="18" t="s">
        <v>21</v>
      </c>
      <c r="J147" s="43" t="s">
        <v>21</v>
      </c>
      <c r="K147" s="43" t="s">
        <v>21</v>
      </c>
      <c r="L147" s="43" t="s">
        <v>21</v>
      </c>
      <c r="M147" s="18" t="s">
        <v>21</v>
      </c>
      <c r="N147" s="18" t="s">
        <v>20</v>
      </c>
      <c r="O147" s="18" t="s">
        <v>20</v>
      </c>
      <c r="P147" s="18" t="s">
        <v>21</v>
      </c>
      <c r="Q147" s="18" t="s">
        <v>21</v>
      </c>
      <c r="R147" s="18" t="s">
        <v>21</v>
      </c>
      <c r="S147" s="18" t="s">
        <v>20</v>
      </c>
      <c r="T147" s="18" t="s">
        <v>20</v>
      </c>
      <c r="U147" s="18" t="s">
        <v>21</v>
      </c>
      <c r="V147" s="37" t="s">
        <v>20</v>
      </c>
      <c r="W147" s="46" t="s">
        <v>21</v>
      </c>
      <c r="X147" s="37" t="s">
        <v>20</v>
      </c>
      <c r="Y147" s="18" t="s">
        <v>21</v>
      </c>
      <c r="Z147" s="18" t="s">
        <v>23</v>
      </c>
      <c r="AA147" s="20" t="s">
        <v>21</v>
      </c>
      <c r="AB147" s="20" t="s">
        <v>21</v>
      </c>
      <c r="AC147" s="20" t="s">
        <v>21</v>
      </c>
      <c r="AD147" s="29" t="s">
        <v>21</v>
      </c>
      <c r="AE147" s="29" t="s">
        <v>21</v>
      </c>
      <c r="AG147">
        <f>+COUNTIF(F147:AE147,"AD")</f>
        <v>0</v>
      </c>
      <c r="AH147">
        <f>+COUNTIF(F147:AE147,"A")</f>
        <v>6</v>
      </c>
      <c r="AI147">
        <f>+COUNTIF(F147:AE147,"b")</f>
        <v>17</v>
      </c>
      <c r="AJ147">
        <f>+COUNTIF(F147:AE147,"c")</f>
        <v>3</v>
      </c>
      <c r="AL147">
        <f>+$AG$5*AG147</f>
        <v>0</v>
      </c>
      <c r="AM147">
        <f>+$AH$5*AH147</f>
        <v>18</v>
      </c>
      <c r="AN147">
        <f>+$AI$5*AI147</f>
        <v>34</v>
      </c>
      <c r="AO147">
        <f>+$AJ$5*AJ147</f>
        <v>3</v>
      </c>
      <c r="AP147">
        <f>+SUM(AL147:AO147)</f>
        <v>55</v>
      </c>
    </row>
    <row r="148" spans="1:42" ht="15.75" hidden="1" customHeight="1" x14ac:dyDescent="0.3">
      <c r="A148" s="16"/>
      <c r="B148" s="55">
        <v>16</v>
      </c>
      <c r="C148" s="56" t="s">
        <v>164</v>
      </c>
      <c r="D148" s="55">
        <v>4</v>
      </c>
      <c r="E148" s="55" t="s">
        <v>20</v>
      </c>
      <c r="F148" s="18" t="s">
        <v>23</v>
      </c>
      <c r="G148" s="18" t="s">
        <v>23</v>
      </c>
      <c r="H148" s="18" t="s">
        <v>23</v>
      </c>
      <c r="I148" s="18" t="s">
        <v>21</v>
      </c>
      <c r="J148" s="43" t="s">
        <v>21</v>
      </c>
      <c r="K148" s="43" t="s">
        <v>21</v>
      </c>
      <c r="L148" s="43" t="s">
        <v>21</v>
      </c>
      <c r="M148" s="18" t="s">
        <v>21</v>
      </c>
      <c r="N148" s="18" t="s">
        <v>20</v>
      </c>
      <c r="O148" s="18" t="s">
        <v>21</v>
      </c>
      <c r="P148" s="18" t="s">
        <v>20</v>
      </c>
      <c r="Q148" s="18" t="s">
        <v>20</v>
      </c>
      <c r="R148" s="18" t="s">
        <v>20</v>
      </c>
      <c r="S148" s="18" t="s">
        <v>21</v>
      </c>
      <c r="T148" s="18" t="s">
        <v>21</v>
      </c>
      <c r="U148" s="18" t="s">
        <v>21</v>
      </c>
      <c r="V148" s="37" t="s">
        <v>20</v>
      </c>
      <c r="W148" s="37" t="s">
        <v>20</v>
      </c>
      <c r="X148" s="37" t="s">
        <v>20</v>
      </c>
      <c r="Y148" s="18" t="s">
        <v>21</v>
      </c>
      <c r="Z148" s="18" t="s">
        <v>21</v>
      </c>
      <c r="AA148" s="20" t="s">
        <v>21</v>
      </c>
      <c r="AB148" s="20" t="s">
        <v>21</v>
      </c>
      <c r="AC148" s="20" t="s">
        <v>21</v>
      </c>
      <c r="AD148" s="18" t="s">
        <v>23</v>
      </c>
      <c r="AE148" s="18" t="s">
        <v>21</v>
      </c>
      <c r="AG148">
        <f>+COUNTIF(F148:AE148,"AD")</f>
        <v>0</v>
      </c>
      <c r="AH148">
        <f>+COUNTIF(F148:AE148,"A")</f>
        <v>7</v>
      </c>
      <c r="AI148">
        <f>+COUNTIF(F148:AE148,"b")</f>
        <v>15</v>
      </c>
      <c r="AJ148">
        <f>+COUNTIF(F148:AE148,"c")</f>
        <v>4</v>
      </c>
      <c r="AL148">
        <f>+$AG$5*AG148</f>
        <v>0</v>
      </c>
      <c r="AM148">
        <f>+$AH$5*AH148</f>
        <v>21</v>
      </c>
      <c r="AN148">
        <f>+$AI$5*AI148</f>
        <v>30</v>
      </c>
      <c r="AO148">
        <f>+$AJ$5*AJ148</f>
        <v>4</v>
      </c>
      <c r="AP148">
        <f>+SUM(AL148:AO148)</f>
        <v>55</v>
      </c>
    </row>
    <row r="149" spans="1:42" ht="15.75" hidden="1" customHeight="1" x14ac:dyDescent="0.3">
      <c r="A149" s="16"/>
      <c r="B149" s="55">
        <v>18</v>
      </c>
      <c r="C149" s="56" t="s">
        <v>166</v>
      </c>
      <c r="D149" s="55">
        <v>4</v>
      </c>
      <c r="E149" s="55" t="s">
        <v>20</v>
      </c>
      <c r="F149" s="18" t="s">
        <v>23</v>
      </c>
      <c r="G149" s="18" t="s">
        <v>23</v>
      </c>
      <c r="H149" s="18" t="s">
        <v>23</v>
      </c>
      <c r="I149" s="18" t="s">
        <v>23</v>
      </c>
      <c r="J149" s="43" t="s">
        <v>21</v>
      </c>
      <c r="K149" s="43" t="s">
        <v>21</v>
      </c>
      <c r="L149" s="43" t="s">
        <v>21</v>
      </c>
      <c r="M149" s="18" t="s">
        <v>21</v>
      </c>
      <c r="N149" s="18" t="s">
        <v>21</v>
      </c>
      <c r="O149" s="18" t="s">
        <v>21</v>
      </c>
      <c r="P149" s="18" t="s">
        <v>21</v>
      </c>
      <c r="Q149" s="18" t="s">
        <v>21</v>
      </c>
      <c r="R149" s="18" t="s">
        <v>21</v>
      </c>
      <c r="S149" s="18" t="s">
        <v>21</v>
      </c>
      <c r="T149" s="18" t="s">
        <v>20</v>
      </c>
      <c r="U149" s="18" t="s">
        <v>21</v>
      </c>
      <c r="V149" s="37" t="s">
        <v>20</v>
      </c>
      <c r="W149" s="37" t="s">
        <v>20</v>
      </c>
      <c r="X149" s="37" t="s">
        <v>20</v>
      </c>
      <c r="Y149" s="18" t="s">
        <v>20</v>
      </c>
      <c r="Z149" s="18" t="s">
        <v>21</v>
      </c>
      <c r="AA149" s="20" t="s">
        <v>21</v>
      </c>
      <c r="AB149" s="20" t="s">
        <v>20</v>
      </c>
      <c r="AC149" s="20" t="s">
        <v>21</v>
      </c>
      <c r="AD149" s="18" t="s">
        <v>21</v>
      </c>
      <c r="AE149" s="18" t="s">
        <v>21</v>
      </c>
      <c r="AG149">
        <f>+COUNTIF(F149:AE149,"AD")</f>
        <v>0</v>
      </c>
      <c r="AH149">
        <f>+COUNTIF(F149:AE149,"A")</f>
        <v>6</v>
      </c>
      <c r="AI149">
        <f>+COUNTIF(F149:AE149,"b")</f>
        <v>16</v>
      </c>
      <c r="AJ149">
        <f>+COUNTIF(F149:AE149,"c")</f>
        <v>4</v>
      </c>
      <c r="AL149">
        <f>+$AG$5*AG149</f>
        <v>0</v>
      </c>
      <c r="AM149">
        <f>+$AH$5*AH149</f>
        <v>18</v>
      </c>
      <c r="AN149">
        <f>+$AI$5*AI149</f>
        <v>32</v>
      </c>
      <c r="AO149">
        <f>+$AJ$5*AJ149</f>
        <v>4</v>
      </c>
      <c r="AP149">
        <f>+SUM(AL149:AO149)</f>
        <v>54</v>
      </c>
    </row>
    <row r="150" spans="1:42" ht="15.75" hidden="1" customHeight="1" x14ac:dyDescent="0.3">
      <c r="A150" s="16"/>
      <c r="B150" s="55">
        <v>11</v>
      </c>
      <c r="C150" s="56" t="s">
        <v>159</v>
      </c>
      <c r="D150" s="55">
        <v>4</v>
      </c>
      <c r="E150" s="55" t="s">
        <v>20</v>
      </c>
      <c r="F150" s="18" t="s">
        <v>23</v>
      </c>
      <c r="G150" s="18" t="s">
        <v>23</v>
      </c>
      <c r="H150" s="18" t="s">
        <v>23</v>
      </c>
      <c r="I150" s="18" t="s">
        <v>21</v>
      </c>
      <c r="J150" s="43" t="s">
        <v>20</v>
      </c>
      <c r="K150" s="43" t="s">
        <v>21</v>
      </c>
      <c r="L150" s="43" t="s">
        <v>21</v>
      </c>
      <c r="M150" s="18" t="s">
        <v>21</v>
      </c>
      <c r="N150" s="18" t="s">
        <v>21</v>
      </c>
      <c r="O150" s="18" t="s">
        <v>21</v>
      </c>
      <c r="P150" s="18" t="s">
        <v>21</v>
      </c>
      <c r="Q150" s="18" t="s">
        <v>21</v>
      </c>
      <c r="R150" s="18" t="s">
        <v>21</v>
      </c>
      <c r="S150" s="18" t="s">
        <v>20</v>
      </c>
      <c r="T150" s="18" t="s">
        <v>21</v>
      </c>
      <c r="U150" s="18" t="s">
        <v>20</v>
      </c>
      <c r="V150" s="37" t="s">
        <v>20</v>
      </c>
      <c r="W150" s="37" t="s">
        <v>20</v>
      </c>
      <c r="X150" s="37" t="s">
        <v>20</v>
      </c>
      <c r="Y150" s="18" t="s">
        <v>21</v>
      </c>
      <c r="Z150" s="18" t="s">
        <v>21</v>
      </c>
      <c r="AA150" s="20" t="s">
        <v>21</v>
      </c>
      <c r="AB150" s="20" t="s">
        <v>21</v>
      </c>
      <c r="AC150" s="20" t="s">
        <v>23</v>
      </c>
      <c r="AD150" s="18" t="s">
        <v>23</v>
      </c>
      <c r="AE150" s="18" t="s">
        <v>21</v>
      </c>
      <c r="AG150">
        <f>+COUNTIF(F150:AE150,"AD")</f>
        <v>0</v>
      </c>
      <c r="AH150">
        <f>+COUNTIF(F150:AE150,"A")</f>
        <v>6</v>
      </c>
      <c r="AI150">
        <f>+COUNTIF(F150:AE150,"b")</f>
        <v>15</v>
      </c>
      <c r="AJ150">
        <f>+COUNTIF(F150:AE150,"c")</f>
        <v>5</v>
      </c>
      <c r="AL150">
        <f>+$AG$5*AG150</f>
        <v>0</v>
      </c>
      <c r="AM150">
        <f>+$AH$5*AH150</f>
        <v>18</v>
      </c>
      <c r="AN150">
        <f>+$AI$5*AI150</f>
        <v>30</v>
      </c>
      <c r="AO150">
        <f>+$AJ$5*AJ150</f>
        <v>5</v>
      </c>
      <c r="AP150">
        <f>+SUM(AL150:AO150)</f>
        <v>53</v>
      </c>
    </row>
    <row r="151" spans="1:42" ht="15.75" hidden="1" customHeight="1" x14ac:dyDescent="0.3">
      <c r="A151" s="16"/>
      <c r="B151" s="55">
        <v>7</v>
      </c>
      <c r="C151" s="56" t="s">
        <v>155</v>
      </c>
      <c r="D151" s="55">
        <v>4</v>
      </c>
      <c r="E151" s="55" t="s">
        <v>20</v>
      </c>
      <c r="F151" s="18" t="s">
        <v>21</v>
      </c>
      <c r="G151" s="18" t="s">
        <v>21</v>
      </c>
      <c r="H151" s="18" t="s">
        <v>23</v>
      </c>
      <c r="I151" s="18" t="s">
        <v>23</v>
      </c>
      <c r="J151" s="43" t="s">
        <v>20</v>
      </c>
      <c r="K151" s="43" t="s">
        <v>20</v>
      </c>
      <c r="L151" s="43" t="s">
        <v>20</v>
      </c>
      <c r="M151" s="18" t="s">
        <v>20</v>
      </c>
      <c r="N151" s="18" t="s">
        <v>21</v>
      </c>
      <c r="O151" s="18" t="s">
        <v>21</v>
      </c>
      <c r="P151" s="18" t="s">
        <v>23</v>
      </c>
      <c r="Q151" s="18" t="s">
        <v>21</v>
      </c>
      <c r="R151" s="18" t="s">
        <v>23</v>
      </c>
      <c r="S151" s="18" t="s">
        <v>21</v>
      </c>
      <c r="T151" s="18" t="s">
        <v>20</v>
      </c>
      <c r="U151" s="18" t="s">
        <v>21</v>
      </c>
      <c r="V151" s="37" t="s">
        <v>20</v>
      </c>
      <c r="W151" s="37" t="s">
        <v>21</v>
      </c>
      <c r="X151" s="37" t="s">
        <v>20</v>
      </c>
      <c r="Y151" s="18" t="s">
        <v>21</v>
      </c>
      <c r="Z151" s="18" t="s">
        <v>20</v>
      </c>
      <c r="AA151" s="20" t="s">
        <v>21</v>
      </c>
      <c r="AB151" s="20" t="s">
        <v>21</v>
      </c>
      <c r="AC151" s="20" t="s">
        <v>21</v>
      </c>
      <c r="AD151" s="29" t="s">
        <v>55</v>
      </c>
      <c r="AE151" s="29" t="s">
        <v>55</v>
      </c>
      <c r="AG151">
        <f>+COUNTIF(F151:AE151,"AD")</f>
        <v>0</v>
      </c>
      <c r="AH151">
        <f>+COUNTIF(F151:AE151,"A")</f>
        <v>8</v>
      </c>
      <c r="AI151">
        <f>+COUNTIF(F151:AE151,"b")</f>
        <v>12</v>
      </c>
      <c r="AJ151">
        <f>+COUNTIF(F151:AE151,"c")</f>
        <v>4</v>
      </c>
      <c r="AL151">
        <f>+$AG$5*AG151</f>
        <v>0</v>
      </c>
      <c r="AM151">
        <f>+$AH$5*AH151</f>
        <v>24</v>
      </c>
      <c r="AN151">
        <f>+$AI$5*AI151</f>
        <v>24</v>
      </c>
      <c r="AO151">
        <f>+$AJ$5*AJ151</f>
        <v>4</v>
      </c>
      <c r="AP151">
        <f>+SUM(AL151:AO151)</f>
        <v>52</v>
      </c>
    </row>
    <row r="152" spans="1:42" ht="15.75" hidden="1" customHeight="1" x14ac:dyDescent="0.3">
      <c r="A152" s="16"/>
      <c r="B152" s="55">
        <v>13</v>
      </c>
      <c r="C152" s="56" t="s">
        <v>161</v>
      </c>
      <c r="D152" s="55">
        <v>4</v>
      </c>
      <c r="E152" s="55" t="s">
        <v>20</v>
      </c>
      <c r="F152" s="18" t="s">
        <v>21</v>
      </c>
      <c r="G152" s="18" t="s">
        <v>21</v>
      </c>
      <c r="H152" s="18" t="s">
        <v>21</v>
      </c>
      <c r="I152" s="18" t="s">
        <v>21</v>
      </c>
      <c r="J152" s="43" t="s">
        <v>21</v>
      </c>
      <c r="K152" s="43" t="s">
        <v>21</v>
      </c>
      <c r="L152" s="43" t="s">
        <v>21</v>
      </c>
      <c r="M152" s="18" t="s">
        <v>23</v>
      </c>
      <c r="N152" s="18" t="s">
        <v>23</v>
      </c>
      <c r="O152" s="18" t="s">
        <v>21</v>
      </c>
      <c r="P152" s="18" t="s">
        <v>20</v>
      </c>
      <c r="Q152" s="18" t="s">
        <v>21</v>
      </c>
      <c r="R152" s="18" t="s">
        <v>21</v>
      </c>
      <c r="S152" s="18" t="s">
        <v>20</v>
      </c>
      <c r="T152" s="18" t="s">
        <v>21</v>
      </c>
      <c r="U152" s="18" t="s">
        <v>20</v>
      </c>
      <c r="V152" s="37" t="s">
        <v>21</v>
      </c>
      <c r="W152" s="37" t="s">
        <v>21</v>
      </c>
      <c r="X152" s="37" t="s">
        <v>21</v>
      </c>
      <c r="Y152" s="18" t="s">
        <v>21</v>
      </c>
      <c r="Z152" s="18" t="s">
        <v>21</v>
      </c>
      <c r="AA152" s="20" t="s">
        <v>21</v>
      </c>
      <c r="AB152" s="20" t="s">
        <v>21</v>
      </c>
      <c r="AC152" s="20" t="s">
        <v>23</v>
      </c>
      <c r="AD152" s="18" t="s">
        <v>23</v>
      </c>
      <c r="AE152" s="18" t="s">
        <v>21</v>
      </c>
      <c r="AG152">
        <f>+COUNTIF(F152:AE152,"AD")</f>
        <v>0</v>
      </c>
      <c r="AH152">
        <f>+COUNTIF(F152:AE152,"A")</f>
        <v>3</v>
      </c>
      <c r="AI152">
        <f>+COUNTIF(F152:AE152,"b")</f>
        <v>19</v>
      </c>
      <c r="AJ152">
        <f>+COUNTIF(F152:AE152,"c")</f>
        <v>4</v>
      </c>
      <c r="AL152">
        <f>+$AG$5*AG152</f>
        <v>0</v>
      </c>
      <c r="AM152">
        <f>+$AH$5*AH152</f>
        <v>9</v>
      </c>
      <c r="AN152">
        <f>+$AI$5*AI152</f>
        <v>38</v>
      </c>
      <c r="AO152">
        <f>+$AJ$5*AJ152</f>
        <v>4</v>
      </c>
      <c r="AP152">
        <f>+SUM(AL152:AO152)</f>
        <v>51</v>
      </c>
    </row>
    <row r="153" spans="1:42" ht="15.75" hidden="1" customHeight="1" thickBot="1" x14ac:dyDescent="0.35">
      <c r="A153" s="16"/>
      <c r="B153" s="57">
        <v>12</v>
      </c>
      <c r="C153" s="58" t="s">
        <v>160</v>
      </c>
      <c r="D153" s="57">
        <v>4</v>
      </c>
      <c r="E153" s="57" t="s">
        <v>20</v>
      </c>
      <c r="F153" s="21" t="s">
        <v>23</v>
      </c>
      <c r="G153" s="21" t="s">
        <v>23</v>
      </c>
      <c r="H153" s="21" t="s">
        <v>23</v>
      </c>
      <c r="I153" s="21" t="s">
        <v>21</v>
      </c>
      <c r="J153" s="45" t="s">
        <v>21</v>
      </c>
      <c r="K153" s="45" t="s">
        <v>21</v>
      </c>
      <c r="L153" s="45" t="s">
        <v>21</v>
      </c>
      <c r="M153" s="21" t="s">
        <v>21</v>
      </c>
      <c r="N153" s="21" t="s">
        <v>20</v>
      </c>
      <c r="O153" s="21" t="s">
        <v>21</v>
      </c>
      <c r="P153" s="21" t="s">
        <v>21</v>
      </c>
      <c r="Q153" s="21" t="s">
        <v>21</v>
      </c>
      <c r="R153" s="21" t="s">
        <v>21</v>
      </c>
      <c r="S153" s="21" t="s">
        <v>21</v>
      </c>
      <c r="T153" s="21" t="s">
        <v>21</v>
      </c>
      <c r="U153" s="21" t="s">
        <v>21</v>
      </c>
      <c r="V153" s="38" t="s">
        <v>20</v>
      </c>
      <c r="W153" s="38" t="s">
        <v>20</v>
      </c>
      <c r="X153" s="38" t="s">
        <v>21</v>
      </c>
      <c r="Y153" s="21" t="s">
        <v>21</v>
      </c>
      <c r="Z153" s="21" t="s">
        <v>21</v>
      </c>
      <c r="AA153" s="23" t="s">
        <v>21</v>
      </c>
      <c r="AB153" s="23" t="s">
        <v>21</v>
      </c>
      <c r="AC153" s="23" t="s">
        <v>23</v>
      </c>
      <c r="AD153" s="21" t="s">
        <v>23</v>
      </c>
      <c r="AE153" s="21" t="s">
        <v>21</v>
      </c>
      <c r="AG153">
        <f>+COUNTIF(F153:AE153,"AD")</f>
        <v>0</v>
      </c>
      <c r="AH153">
        <f>+COUNTIF(F153:AE153,"A")</f>
        <v>3</v>
      </c>
      <c r="AI153">
        <f>+COUNTIF(F153:AE153,"b")</f>
        <v>18</v>
      </c>
      <c r="AJ153">
        <f>+COUNTIF(F153:AE153,"c")</f>
        <v>5</v>
      </c>
      <c r="AL153">
        <f>+$AG$5*AG153</f>
        <v>0</v>
      </c>
      <c r="AM153">
        <f>+$AH$5*AH153</f>
        <v>9</v>
      </c>
      <c r="AN153">
        <f>+$AI$5*AI153</f>
        <v>36</v>
      </c>
      <c r="AO153">
        <f>+$AJ$5*AJ153</f>
        <v>5</v>
      </c>
      <c r="AP153">
        <f>+SUM(AL153:AO153)</f>
        <v>50</v>
      </c>
    </row>
    <row r="154" spans="1:42" ht="15.75" customHeight="1" x14ac:dyDescent="0.3">
      <c r="A154" s="16"/>
      <c r="B154" s="55">
        <v>1</v>
      </c>
      <c r="C154" s="60" t="s">
        <v>191</v>
      </c>
      <c r="D154" s="59">
        <v>4</v>
      </c>
      <c r="E154" s="59" t="s">
        <v>21</v>
      </c>
      <c r="F154" s="24" t="s">
        <v>20</v>
      </c>
      <c r="G154" s="24" t="s">
        <v>20</v>
      </c>
      <c r="H154" s="24" t="s">
        <v>20</v>
      </c>
      <c r="I154" s="24" t="s">
        <v>39</v>
      </c>
      <c r="J154" s="42" t="s">
        <v>20</v>
      </c>
      <c r="K154" s="42" t="s">
        <v>39</v>
      </c>
      <c r="L154" s="42" t="s">
        <v>20</v>
      </c>
      <c r="M154" s="24" t="s">
        <v>20</v>
      </c>
      <c r="N154" s="24" t="s">
        <v>20</v>
      </c>
      <c r="O154" s="24" t="s">
        <v>20</v>
      </c>
      <c r="P154" s="24" t="s">
        <v>20</v>
      </c>
      <c r="Q154" s="24" t="s">
        <v>20</v>
      </c>
      <c r="R154" s="24" t="s">
        <v>20</v>
      </c>
      <c r="S154" s="24" t="s">
        <v>20</v>
      </c>
      <c r="T154" s="24" t="s">
        <v>20</v>
      </c>
      <c r="U154" s="24" t="s">
        <v>20</v>
      </c>
      <c r="V154" s="70" t="s">
        <v>20</v>
      </c>
      <c r="W154" s="39" t="s">
        <v>20</v>
      </c>
      <c r="X154" s="39" t="s">
        <v>20</v>
      </c>
      <c r="Y154" s="24" t="s">
        <v>39</v>
      </c>
      <c r="Z154" s="24" t="s">
        <v>39</v>
      </c>
      <c r="AA154" s="27" t="s">
        <v>20</v>
      </c>
      <c r="AB154" s="27" t="s">
        <v>20</v>
      </c>
      <c r="AC154" s="27" t="s">
        <v>20</v>
      </c>
      <c r="AD154" s="34" t="s">
        <v>20</v>
      </c>
      <c r="AE154" s="34" t="s">
        <v>21</v>
      </c>
      <c r="AG154">
        <f>+COUNTIF(F154:AE154,"AD")</f>
        <v>4</v>
      </c>
      <c r="AH154">
        <f>+COUNTIF(F154:AE154,"A")</f>
        <v>21</v>
      </c>
      <c r="AI154">
        <f>+COUNTIF(F154:AE154,"b")</f>
        <v>1</v>
      </c>
      <c r="AJ154">
        <f>+COUNTIF(F154:AE154,"c")</f>
        <v>0</v>
      </c>
      <c r="AL154">
        <f>+$AG$5*AG154</f>
        <v>16</v>
      </c>
      <c r="AM154">
        <f>+$AH$5*AH154</f>
        <v>63</v>
      </c>
      <c r="AN154">
        <f>+$AI$5*AI154</f>
        <v>2</v>
      </c>
      <c r="AO154">
        <f>+$AJ$5*AJ154</f>
        <v>0</v>
      </c>
      <c r="AP154" s="73">
        <f>+SUM(AL154:AO154)</f>
        <v>81</v>
      </c>
    </row>
    <row r="155" spans="1:42" ht="15.75" customHeight="1" x14ac:dyDescent="0.3">
      <c r="A155" s="16"/>
      <c r="B155" s="55">
        <v>2</v>
      </c>
      <c r="C155" s="56" t="s">
        <v>174</v>
      </c>
      <c r="D155" s="55">
        <v>4</v>
      </c>
      <c r="E155" s="55" t="s">
        <v>21</v>
      </c>
      <c r="F155" s="18" t="s">
        <v>39</v>
      </c>
      <c r="G155" s="18" t="s">
        <v>20</v>
      </c>
      <c r="H155" s="18" t="s">
        <v>39</v>
      </c>
      <c r="I155" s="18" t="s">
        <v>20</v>
      </c>
      <c r="J155" s="43" t="s">
        <v>20</v>
      </c>
      <c r="K155" s="43" t="s">
        <v>20</v>
      </c>
      <c r="L155" s="43" t="s">
        <v>20</v>
      </c>
      <c r="M155" s="18" t="s">
        <v>20</v>
      </c>
      <c r="N155" s="18" t="s">
        <v>20</v>
      </c>
      <c r="O155" s="18" t="s">
        <v>20</v>
      </c>
      <c r="P155" s="18" t="s">
        <v>20</v>
      </c>
      <c r="Q155" s="18" t="s">
        <v>20</v>
      </c>
      <c r="R155" s="18" t="s">
        <v>20</v>
      </c>
      <c r="S155" s="18" t="s">
        <v>20</v>
      </c>
      <c r="T155" s="18" t="s">
        <v>20</v>
      </c>
      <c r="U155" s="18" t="s">
        <v>20</v>
      </c>
      <c r="V155" s="37" t="s">
        <v>20</v>
      </c>
      <c r="W155" s="37" t="s">
        <v>20</v>
      </c>
      <c r="X155" s="37" t="s">
        <v>20</v>
      </c>
      <c r="Y155" s="18" t="s">
        <v>20</v>
      </c>
      <c r="Z155" s="18" t="s">
        <v>20</v>
      </c>
      <c r="AA155" s="20" t="s">
        <v>20</v>
      </c>
      <c r="AB155" s="20" t="s">
        <v>20</v>
      </c>
      <c r="AC155" s="20" t="s">
        <v>20</v>
      </c>
      <c r="AD155" s="18" t="s">
        <v>21</v>
      </c>
      <c r="AE155" s="18" t="s">
        <v>21</v>
      </c>
      <c r="AG155">
        <f>+COUNTIF(F155:AE155,"AD")</f>
        <v>2</v>
      </c>
      <c r="AH155">
        <f>+COUNTIF(F155:AE155,"A")</f>
        <v>22</v>
      </c>
      <c r="AI155">
        <f>+COUNTIF(F155:AE155,"b")</f>
        <v>2</v>
      </c>
      <c r="AJ155">
        <f>+COUNTIF(F155:AE155,"c")</f>
        <v>0</v>
      </c>
      <c r="AL155">
        <f>+$AG$5*AG155</f>
        <v>8</v>
      </c>
      <c r="AM155">
        <f>+$AH$5*AH155</f>
        <v>66</v>
      </c>
      <c r="AN155">
        <f>+$AI$5*AI155</f>
        <v>4</v>
      </c>
      <c r="AO155">
        <f>+$AJ$5*AJ155</f>
        <v>0</v>
      </c>
      <c r="AP155" s="73">
        <f>+SUM(AL155:AO155)</f>
        <v>78</v>
      </c>
    </row>
    <row r="156" spans="1:42" ht="15.75" customHeight="1" x14ac:dyDescent="0.3">
      <c r="A156" s="16"/>
      <c r="B156" s="55">
        <v>3</v>
      </c>
      <c r="C156" s="56" t="s">
        <v>176</v>
      </c>
      <c r="D156" s="55">
        <v>4</v>
      </c>
      <c r="E156" s="55" t="s">
        <v>21</v>
      </c>
      <c r="F156" s="18" t="s">
        <v>39</v>
      </c>
      <c r="G156" s="18" t="s">
        <v>20</v>
      </c>
      <c r="H156" s="18" t="s">
        <v>20</v>
      </c>
      <c r="I156" s="18" t="s">
        <v>20</v>
      </c>
      <c r="J156" s="43" t="s">
        <v>20</v>
      </c>
      <c r="K156" s="43" t="s">
        <v>20</v>
      </c>
      <c r="L156" s="43" t="s">
        <v>20</v>
      </c>
      <c r="M156" s="18" t="s">
        <v>20</v>
      </c>
      <c r="N156" s="18" t="s">
        <v>20</v>
      </c>
      <c r="O156" s="18" t="s">
        <v>20</v>
      </c>
      <c r="P156" s="18" t="s">
        <v>20</v>
      </c>
      <c r="Q156" s="18" t="s">
        <v>20</v>
      </c>
      <c r="R156" s="18" t="s">
        <v>20</v>
      </c>
      <c r="S156" s="18" t="s">
        <v>20</v>
      </c>
      <c r="T156" s="18" t="s">
        <v>20</v>
      </c>
      <c r="U156" s="18" t="s">
        <v>20</v>
      </c>
      <c r="V156" s="37" t="s">
        <v>20</v>
      </c>
      <c r="W156" s="37" t="s">
        <v>20</v>
      </c>
      <c r="X156" s="37" t="s">
        <v>20</v>
      </c>
      <c r="Y156" s="18" t="s">
        <v>20</v>
      </c>
      <c r="Z156" s="18" t="s">
        <v>20</v>
      </c>
      <c r="AA156" s="20" t="s">
        <v>20</v>
      </c>
      <c r="AB156" s="20" t="s">
        <v>20</v>
      </c>
      <c r="AC156" s="20" t="s">
        <v>20</v>
      </c>
      <c r="AD156" s="18" t="s">
        <v>20</v>
      </c>
      <c r="AE156" s="18" t="s">
        <v>21</v>
      </c>
      <c r="AG156">
        <f>+COUNTIF(F156:AE156,"AD")</f>
        <v>1</v>
      </c>
      <c r="AH156">
        <f>+COUNTIF(F156:AE156,"A")</f>
        <v>24</v>
      </c>
      <c r="AI156">
        <f>+COUNTIF(F156:AE156,"b")</f>
        <v>1</v>
      </c>
      <c r="AJ156">
        <f>+COUNTIF(F156:AE156,"c")</f>
        <v>0</v>
      </c>
      <c r="AL156">
        <f>+$AG$5*AG156</f>
        <v>4</v>
      </c>
      <c r="AM156">
        <f>+$AH$5*AH156</f>
        <v>72</v>
      </c>
      <c r="AN156">
        <f>+$AI$5*AI156</f>
        <v>2</v>
      </c>
      <c r="AO156">
        <f>+$AJ$5*AJ156</f>
        <v>0</v>
      </c>
      <c r="AP156" s="73">
        <f>+SUM(AL156:AO156)</f>
        <v>78</v>
      </c>
    </row>
    <row r="157" spans="1:42" ht="15.75" customHeight="1" x14ac:dyDescent="0.3">
      <c r="A157" s="16"/>
      <c r="B157" s="55">
        <v>4</v>
      </c>
      <c r="C157" s="56" t="s">
        <v>186</v>
      </c>
      <c r="D157" s="55">
        <v>4</v>
      </c>
      <c r="E157" s="55" t="s">
        <v>21</v>
      </c>
      <c r="F157" s="18" t="s">
        <v>20</v>
      </c>
      <c r="G157" s="18" t="s">
        <v>20</v>
      </c>
      <c r="H157" s="18" t="s">
        <v>20</v>
      </c>
      <c r="I157" s="18" t="s">
        <v>20</v>
      </c>
      <c r="J157" s="43" t="s">
        <v>20</v>
      </c>
      <c r="K157" s="43" t="s">
        <v>20</v>
      </c>
      <c r="L157" s="43" t="s">
        <v>20</v>
      </c>
      <c r="M157" s="18" t="s">
        <v>20</v>
      </c>
      <c r="N157" s="18" t="s">
        <v>20</v>
      </c>
      <c r="O157" s="18" t="s">
        <v>20</v>
      </c>
      <c r="P157" s="18" t="s">
        <v>20</v>
      </c>
      <c r="Q157" s="18" t="s">
        <v>20</v>
      </c>
      <c r="R157" s="18" t="s">
        <v>20</v>
      </c>
      <c r="S157" s="18" t="s">
        <v>20</v>
      </c>
      <c r="T157" s="18" t="s">
        <v>20</v>
      </c>
      <c r="U157" s="18" t="s">
        <v>20</v>
      </c>
      <c r="V157" s="49" t="s">
        <v>20</v>
      </c>
      <c r="W157" s="37" t="s">
        <v>20</v>
      </c>
      <c r="X157" s="37" t="s">
        <v>20</v>
      </c>
      <c r="Y157" s="18" t="s">
        <v>20</v>
      </c>
      <c r="Z157" s="18" t="s">
        <v>20</v>
      </c>
      <c r="AA157" s="20" t="s">
        <v>20</v>
      </c>
      <c r="AB157" s="20" t="s">
        <v>20</v>
      </c>
      <c r="AC157" s="20" t="s">
        <v>20</v>
      </c>
      <c r="AD157" s="29" t="s">
        <v>20</v>
      </c>
      <c r="AE157" s="29" t="s">
        <v>21</v>
      </c>
      <c r="AG157">
        <f>+COUNTIF(F157:AE157,"AD")</f>
        <v>0</v>
      </c>
      <c r="AH157">
        <f>+COUNTIF(F157:AE157,"A")</f>
        <v>25</v>
      </c>
      <c r="AI157">
        <f>+COUNTIF(F157:AE157,"b")</f>
        <v>1</v>
      </c>
      <c r="AJ157">
        <f>+COUNTIF(F157:AE157,"c")</f>
        <v>0</v>
      </c>
      <c r="AL157">
        <f>+$AG$5*AG157</f>
        <v>0</v>
      </c>
      <c r="AM157">
        <f>+$AH$5*AH157</f>
        <v>75</v>
      </c>
      <c r="AN157">
        <f>+$AI$5*AI157</f>
        <v>2</v>
      </c>
      <c r="AO157">
        <f>+$AJ$5*AJ157</f>
        <v>0</v>
      </c>
      <c r="AP157" s="73">
        <f>+SUM(AL157:AO157)</f>
        <v>77</v>
      </c>
    </row>
    <row r="158" spans="1:42" ht="15.75" customHeight="1" x14ac:dyDescent="0.3">
      <c r="A158" s="16"/>
      <c r="B158" s="55">
        <v>5</v>
      </c>
      <c r="C158" s="56" t="s">
        <v>196</v>
      </c>
      <c r="D158" s="55">
        <v>4</v>
      </c>
      <c r="E158" s="55" t="s">
        <v>21</v>
      </c>
      <c r="F158" s="18" t="s">
        <v>20</v>
      </c>
      <c r="G158" s="18" t="s">
        <v>20</v>
      </c>
      <c r="H158" s="18" t="s">
        <v>20</v>
      </c>
      <c r="I158" s="18" t="s">
        <v>20</v>
      </c>
      <c r="J158" s="43" t="s">
        <v>20</v>
      </c>
      <c r="K158" s="43" t="s">
        <v>39</v>
      </c>
      <c r="L158" s="43" t="s">
        <v>20</v>
      </c>
      <c r="M158" s="18" t="s">
        <v>20</v>
      </c>
      <c r="N158" s="18" t="s">
        <v>20</v>
      </c>
      <c r="O158" s="18" t="s">
        <v>20</v>
      </c>
      <c r="P158" s="18" t="s">
        <v>20</v>
      </c>
      <c r="Q158" s="18" t="s">
        <v>20</v>
      </c>
      <c r="R158" s="18" t="s">
        <v>20</v>
      </c>
      <c r="S158" s="18" t="s">
        <v>20</v>
      </c>
      <c r="T158" s="17" t="s">
        <v>20</v>
      </c>
      <c r="U158" s="18" t="s">
        <v>20</v>
      </c>
      <c r="V158" s="49" t="s">
        <v>20</v>
      </c>
      <c r="W158" s="37" t="s">
        <v>20</v>
      </c>
      <c r="X158" s="37" t="s">
        <v>20</v>
      </c>
      <c r="Y158" s="18" t="s">
        <v>20</v>
      </c>
      <c r="Z158" s="18" t="s">
        <v>21</v>
      </c>
      <c r="AA158" s="20" t="s">
        <v>20</v>
      </c>
      <c r="AB158" s="20" t="s">
        <v>21</v>
      </c>
      <c r="AC158" s="20" t="s">
        <v>20</v>
      </c>
      <c r="AD158" s="29" t="s">
        <v>20</v>
      </c>
      <c r="AE158" s="29" t="s">
        <v>21</v>
      </c>
      <c r="AG158">
        <f>+COUNTIF(F158:AE158,"AD")</f>
        <v>1</v>
      </c>
      <c r="AH158">
        <f>+COUNTIF(F158:AE158,"A")</f>
        <v>22</v>
      </c>
      <c r="AI158">
        <f>+COUNTIF(F158:AE158,"b")</f>
        <v>3</v>
      </c>
      <c r="AJ158">
        <f>+COUNTIF(F158:AE158,"c")</f>
        <v>0</v>
      </c>
      <c r="AL158">
        <f>+$AG$5*AG158</f>
        <v>4</v>
      </c>
      <c r="AM158">
        <f>+$AH$5*AH158</f>
        <v>66</v>
      </c>
      <c r="AN158">
        <f>+$AI$5*AI158</f>
        <v>6</v>
      </c>
      <c r="AO158">
        <f>+$AJ$5*AJ158</f>
        <v>0</v>
      </c>
      <c r="AP158" s="73">
        <f>+SUM(AL158:AO158)</f>
        <v>76</v>
      </c>
    </row>
    <row r="159" spans="1:42" ht="15.75" customHeight="1" x14ac:dyDescent="0.3">
      <c r="A159" s="16"/>
      <c r="B159" s="55">
        <v>6</v>
      </c>
      <c r="C159" s="56" t="s">
        <v>195</v>
      </c>
      <c r="D159" s="55">
        <v>4</v>
      </c>
      <c r="E159" s="55" t="s">
        <v>21</v>
      </c>
      <c r="F159" s="18" t="s">
        <v>20</v>
      </c>
      <c r="G159" s="18" t="s">
        <v>20</v>
      </c>
      <c r="H159" s="18" t="s">
        <v>20</v>
      </c>
      <c r="I159" s="18" t="s">
        <v>20</v>
      </c>
      <c r="J159" s="43" t="s">
        <v>20</v>
      </c>
      <c r="K159" s="43" t="s">
        <v>20</v>
      </c>
      <c r="L159" s="43" t="s">
        <v>20</v>
      </c>
      <c r="M159" s="18" t="s">
        <v>20</v>
      </c>
      <c r="N159" s="18" t="s">
        <v>20</v>
      </c>
      <c r="O159" s="18" t="s">
        <v>20</v>
      </c>
      <c r="P159" s="18" t="s">
        <v>21</v>
      </c>
      <c r="Q159" s="18" t="s">
        <v>21</v>
      </c>
      <c r="R159" s="18" t="s">
        <v>20</v>
      </c>
      <c r="S159" s="18" t="s">
        <v>20</v>
      </c>
      <c r="T159" s="18" t="s">
        <v>20</v>
      </c>
      <c r="U159" s="18" t="s">
        <v>20</v>
      </c>
      <c r="V159" s="49" t="s">
        <v>20</v>
      </c>
      <c r="W159" s="37" t="s">
        <v>20</v>
      </c>
      <c r="X159" s="37" t="s">
        <v>20</v>
      </c>
      <c r="Y159" s="18" t="s">
        <v>20</v>
      </c>
      <c r="Z159" s="18" t="s">
        <v>20</v>
      </c>
      <c r="AA159" s="20" t="s">
        <v>20</v>
      </c>
      <c r="AB159" s="20" t="s">
        <v>20</v>
      </c>
      <c r="AC159" s="20" t="s">
        <v>20</v>
      </c>
      <c r="AD159" s="29" t="s">
        <v>20</v>
      </c>
      <c r="AE159" s="29" t="s">
        <v>21</v>
      </c>
      <c r="AG159">
        <f>+COUNTIF(F159:AE159,"AD")</f>
        <v>0</v>
      </c>
      <c r="AH159">
        <f>+COUNTIF(F159:AE159,"A")</f>
        <v>23</v>
      </c>
      <c r="AI159">
        <f>+COUNTIF(F159:AE159,"b")</f>
        <v>3</v>
      </c>
      <c r="AJ159">
        <f>+COUNTIF(F159:AE159,"c")</f>
        <v>0</v>
      </c>
      <c r="AL159">
        <f>+$AG$5*AG159</f>
        <v>0</v>
      </c>
      <c r="AM159">
        <f>+$AH$5*AH159</f>
        <v>69</v>
      </c>
      <c r="AN159">
        <f>+$AI$5*AI159</f>
        <v>6</v>
      </c>
      <c r="AO159">
        <f>+$AJ$5*AJ159</f>
        <v>0</v>
      </c>
      <c r="AP159" s="73">
        <f>+SUM(AL159:AO159)</f>
        <v>75</v>
      </c>
    </row>
    <row r="160" spans="1:42" ht="15.75" customHeight="1" x14ac:dyDescent="0.3">
      <c r="A160" s="16"/>
      <c r="B160" s="55">
        <v>7</v>
      </c>
      <c r="C160" s="56" t="s">
        <v>194</v>
      </c>
      <c r="D160" s="55">
        <v>4</v>
      </c>
      <c r="E160" s="55" t="s">
        <v>21</v>
      </c>
      <c r="F160" s="18" t="s">
        <v>20</v>
      </c>
      <c r="G160" s="18" t="s">
        <v>20</v>
      </c>
      <c r="H160" s="18" t="s">
        <v>20</v>
      </c>
      <c r="I160" s="18" t="s">
        <v>20</v>
      </c>
      <c r="J160" s="43" t="s">
        <v>20</v>
      </c>
      <c r="K160" s="43" t="s">
        <v>20</v>
      </c>
      <c r="L160" s="43" t="s">
        <v>21</v>
      </c>
      <c r="M160" s="18" t="s">
        <v>20</v>
      </c>
      <c r="N160" s="18" t="s">
        <v>21</v>
      </c>
      <c r="O160" s="18" t="s">
        <v>20</v>
      </c>
      <c r="P160" s="18" t="s">
        <v>20</v>
      </c>
      <c r="Q160" s="18" t="s">
        <v>20</v>
      </c>
      <c r="R160" s="18" t="s">
        <v>20</v>
      </c>
      <c r="S160" s="18" t="s">
        <v>20</v>
      </c>
      <c r="T160" s="18" t="s">
        <v>20</v>
      </c>
      <c r="U160" s="18" t="s">
        <v>20</v>
      </c>
      <c r="V160" s="49" t="s">
        <v>20</v>
      </c>
      <c r="W160" s="37" t="s">
        <v>20</v>
      </c>
      <c r="X160" s="37" t="s">
        <v>20</v>
      </c>
      <c r="Y160" s="18" t="s">
        <v>20</v>
      </c>
      <c r="Z160" s="18" t="s">
        <v>20</v>
      </c>
      <c r="AA160" s="20" t="s">
        <v>21</v>
      </c>
      <c r="AB160" s="20" t="s">
        <v>21</v>
      </c>
      <c r="AC160" s="20" t="s">
        <v>20</v>
      </c>
      <c r="AD160" s="29" t="s">
        <v>20</v>
      </c>
      <c r="AE160" s="29" t="s">
        <v>21</v>
      </c>
      <c r="AG160">
        <f>+COUNTIF(F160:AE160,"AD")</f>
        <v>0</v>
      </c>
      <c r="AH160">
        <f>+COUNTIF(F160:AE160,"A")</f>
        <v>21</v>
      </c>
      <c r="AI160">
        <f>+COUNTIF(F160:AE160,"b")</f>
        <v>5</v>
      </c>
      <c r="AJ160">
        <f>+COUNTIF(F160:AE160,"c")</f>
        <v>0</v>
      </c>
      <c r="AL160">
        <f>+$AG$5*AG160</f>
        <v>0</v>
      </c>
      <c r="AM160">
        <f>+$AH$5*AH160</f>
        <v>63</v>
      </c>
      <c r="AN160">
        <f>+$AI$5*AI160</f>
        <v>10</v>
      </c>
      <c r="AO160">
        <f>+$AJ$5*AJ160</f>
        <v>0</v>
      </c>
      <c r="AP160" s="73">
        <f>+SUM(AL160:AO160)</f>
        <v>73</v>
      </c>
    </row>
    <row r="161" spans="1:42" ht="15.75" customHeight="1" x14ac:dyDescent="0.3">
      <c r="A161" s="16"/>
      <c r="B161" s="55">
        <v>8</v>
      </c>
      <c r="C161" s="56" t="s">
        <v>193</v>
      </c>
      <c r="D161" s="55">
        <v>4</v>
      </c>
      <c r="E161" s="55" t="s">
        <v>21</v>
      </c>
      <c r="F161" s="18" t="s">
        <v>20</v>
      </c>
      <c r="G161" s="18" t="s">
        <v>39</v>
      </c>
      <c r="H161" s="18" t="s">
        <v>39</v>
      </c>
      <c r="I161" s="18" t="s">
        <v>39</v>
      </c>
      <c r="J161" s="43" t="s">
        <v>20</v>
      </c>
      <c r="K161" s="43" t="s">
        <v>20</v>
      </c>
      <c r="L161" s="43" t="s">
        <v>20</v>
      </c>
      <c r="M161" s="18" t="s">
        <v>20</v>
      </c>
      <c r="N161" s="18" t="s">
        <v>20</v>
      </c>
      <c r="O161" s="18" t="s">
        <v>20</v>
      </c>
      <c r="P161" s="18" t="s">
        <v>20</v>
      </c>
      <c r="Q161" s="18" t="s">
        <v>21</v>
      </c>
      <c r="R161" s="18" t="s">
        <v>21</v>
      </c>
      <c r="S161" s="18" t="s">
        <v>20</v>
      </c>
      <c r="T161" s="18" t="s">
        <v>20</v>
      </c>
      <c r="U161" s="18" t="s">
        <v>20</v>
      </c>
      <c r="V161" s="49" t="s">
        <v>20</v>
      </c>
      <c r="W161" s="37" t="s">
        <v>20</v>
      </c>
      <c r="X161" s="37" t="s">
        <v>20</v>
      </c>
      <c r="Y161" s="18" t="s">
        <v>20</v>
      </c>
      <c r="Z161" s="18" t="s">
        <v>20</v>
      </c>
      <c r="AA161" s="20" t="s">
        <v>20</v>
      </c>
      <c r="AB161" s="20" t="s">
        <v>21</v>
      </c>
      <c r="AC161" s="20" t="s">
        <v>20</v>
      </c>
      <c r="AD161" s="29" t="s">
        <v>55</v>
      </c>
      <c r="AE161" s="29" t="s">
        <v>55</v>
      </c>
      <c r="AG161">
        <f>+COUNTIF(F161:AE161,"AD")</f>
        <v>3</v>
      </c>
      <c r="AH161">
        <f>+COUNTIF(F161:AE161,"A")</f>
        <v>18</v>
      </c>
      <c r="AI161">
        <f>+COUNTIF(F161:AE161,"b")</f>
        <v>3</v>
      </c>
      <c r="AJ161">
        <f>+COUNTIF(F161:AE161,"c")</f>
        <v>0</v>
      </c>
      <c r="AL161">
        <f>+$AG$5*AG161</f>
        <v>12</v>
      </c>
      <c r="AM161">
        <f>+$AH$5*AH161</f>
        <v>54</v>
      </c>
      <c r="AN161">
        <f>+$AI$5*AI161</f>
        <v>6</v>
      </c>
      <c r="AO161">
        <f>+$AJ$5*AJ161</f>
        <v>0</v>
      </c>
      <c r="AP161" s="73">
        <f>+SUM(AL161:AO161)</f>
        <v>72</v>
      </c>
    </row>
    <row r="162" spans="1:42" ht="15.75" customHeight="1" x14ac:dyDescent="0.3">
      <c r="A162" s="16"/>
      <c r="B162" s="55">
        <v>9</v>
      </c>
      <c r="C162" s="56" t="s">
        <v>177</v>
      </c>
      <c r="D162" s="55">
        <v>4</v>
      </c>
      <c r="E162" s="55" t="s">
        <v>21</v>
      </c>
      <c r="F162" s="18" t="s">
        <v>20</v>
      </c>
      <c r="G162" s="18" t="s">
        <v>20</v>
      </c>
      <c r="H162" s="18" t="s">
        <v>20</v>
      </c>
      <c r="I162" s="18" t="s">
        <v>20</v>
      </c>
      <c r="J162" s="43" t="s">
        <v>20</v>
      </c>
      <c r="K162" s="43" t="s">
        <v>20</v>
      </c>
      <c r="L162" s="43" t="s">
        <v>20</v>
      </c>
      <c r="M162" s="18" t="s">
        <v>20</v>
      </c>
      <c r="N162" s="18" t="s">
        <v>20</v>
      </c>
      <c r="O162" s="18" t="s">
        <v>21</v>
      </c>
      <c r="P162" s="18" t="s">
        <v>21</v>
      </c>
      <c r="Q162" s="18" t="s">
        <v>21</v>
      </c>
      <c r="R162" s="18" t="s">
        <v>21</v>
      </c>
      <c r="S162" s="18" t="s">
        <v>20</v>
      </c>
      <c r="T162" s="18" t="s">
        <v>20</v>
      </c>
      <c r="U162" s="18" t="s">
        <v>21</v>
      </c>
      <c r="V162" s="37" t="s">
        <v>20</v>
      </c>
      <c r="W162" s="37" t="s">
        <v>20</v>
      </c>
      <c r="X162" s="37" t="s">
        <v>20</v>
      </c>
      <c r="Y162" s="18" t="s">
        <v>20</v>
      </c>
      <c r="Z162" s="18" t="s">
        <v>20</v>
      </c>
      <c r="AA162" s="20" t="s">
        <v>21</v>
      </c>
      <c r="AB162" s="20" t="s">
        <v>20</v>
      </c>
      <c r="AC162" s="20" t="s">
        <v>20</v>
      </c>
      <c r="AD162" s="18" t="s">
        <v>20</v>
      </c>
      <c r="AE162" s="18" t="s">
        <v>21</v>
      </c>
      <c r="AG162">
        <f>+COUNTIF(F162:AE162,"AD")</f>
        <v>0</v>
      </c>
      <c r="AH162">
        <f>+COUNTIF(F162:AE162,"A")</f>
        <v>19</v>
      </c>
      <c r="AI162">
        <f>+COUNTIF(F162:AE162,"b")</f>
        <v>7</v>
      </c>
      <c r="AJ162">
        <f>+COUNTIF(F162:AE162,"c")</f>
        <v>0</v>
      </c>
      <c r="AL162">
        <f>+$AG$5*AG162</f>
        <v>0</v>
      </c>
      <c r="AM162">
        <f>+$AH$5*AH162</f>
        <v>57</v>
      </c>
      <c r="AN162">
        <f>+$AI$5*AI162</f>
        <v>14</v>
      </c>
      <c r="AO162">
        <f>+$AJ$5*AJ162</f>
        <v>0</v>
      </c>
      <c r="AP162" s="73">
        <f>+SUM(AL162:AO162)</f>
        <v>71</v>
      </c>
    </row>
    <row r="163" spans="1:42" ht="15.75" customHeight="1" x14ac:dyDescent="0.3">
      <c r="A163" s="16"/>
      <c r="B163" s="55">
        <v>10</v>
      </c>
      <c r="C163" s="56" t="s">
        <v>179</v>
      </c>
      <c r="D163" s="55">
        <v>4</v>
      </c>
      <c r="E163" s="55" t="s">
        <v>21</v>
      </c>
      <c r="F163" s="18" t="s">
        <v>20</v>
      </c>
      <c r="G163" s="18" t="s">
        <v>20</v>
      </c>
      <c r="H163" s="18" t="s">
        <v>20</v>
      </c>
      <c r="I163" s="18" t="s">
        <v>20</v>
      </c>
      <c r="J163" s="43" t="s">
        <v>20</v>
      </c>
      <c r="K163" s="43" t="s">
        <v>20</v>
      </c>
      <c r="L163" s="43" t="s">
        <v>20</v>
      </c>
      <c r="M163" s="18" t="s">
        <v>21</v>
      </c>
      <c r="N163" s="18" t="s">
        <v>20</v>
      </c>
      <c r="O163" s="18" t="s">
        <v>20</v>
      </c>
      <c r="P163" s="18" t="s">
        <v>21</v>
      </c>
      <c r="Q163" s="18" t="s">
        <v>21</v>
      </c>
      <c r="R163" s="18" t="s">
        <v>21</v>
      </c>
      <c r="S163" s="18" t="s">
        <v>21</v>
      </c>
      <c r="T163" s="18" t="s">
        <v>20</v>
      </c>
      <c r="U163" s="18" t="s">
        <v>20</v>
      </c>
      <c r="V163" s="37" t="s">
        <v>20</v>
      </c>
      <c r="W163" s="37" t="s">
        <v>20</v>
      </c>
      <c r="X163" s="37" t="s">
        <v>20</v>
      </c>
      <c r="Y163" s="18" t="s">
        <v>20</v>
      </c>
      <c r="Z163" s="18" t="s">
        <v>21</v>
      </c>
      <c r="AA163" s="20" t="s">
        <v>20</v>
      </c>
      <c r="AB163" s="20" t="s">
        <v>20</v>
      </c>
      <c r="AC163" s="20" t="s">
        <v>21</v>
      </c>
      <c r="AD163" s="18" t="s">
        <v>20</v>
      </c>
      <c r="AE163" s="18" t="s">
        <v>21</v>
      </c>
      <c r="AG163">
        <f>+COUNTIF(F163:AE163,"AD")</f>
        <v>0</v>
      </c>
      <c r="AH163">
        <f>+COUNTIF(F163:AE163,"A")</f>
        <v>18</v>
      </c>
      <c r="AI163">
        <f>+COUNTIF(F163:AE163,"b")</f>
        <v>8</v>
      </c>
      <c r="AJ163">
        <f>+COUNTIF(F163:AE163,"c")</f>
        <v>0</v>
      </c>
      <c r="AL163">
        <f>+$AG$5*AG163</f>
        <v>0</v>
      </c>
      <c r="AM163">
        <f>+$AH$5*AH163</f>
        <v>54</v>
      </c>
      <c r="AN163">
        <f>+$AI$5*AI163</f>
        <v>16</v>
      </c>
      <c r="AO163">
        <f>+$AJ$5*AJ163</f>
        <v>0</v>
      </c>
      <c r="AP163" s="73">
        <f>+SUM(AL163:AO163)</f>
        <v>70</v>
      </c>
    </row>
    <row r="164" spans="1:42" ht="15.75" customHeight="1" x14ac:dyDescent="0.3">
      <c r="A164" s="16"/>
      <c r="B164" s="55">
        <v>11</v>
      </c>
      <c r="C164" s="56" t="s">
        <v>175</v>
      </c>
      <c r="D164" s="55">
        <v>4</v>
      </c>
      <c r="E164" s="55" t="s">
        <v>21</v>
      </c>
      <c r="F164" s="18" t="s">
        <v>20</v>
      </c>
      <c r="G164" s="18" t="s">
        <v>20</v>
      </c>
      <c r="H164" s="18" t="s">
        <v>20</v>
      </c>
      <c r="I164" s="18" t="s">
        <v>20</v>
      </c>
      <c r="J164" s="43" t="s">
        <v>20</v>
      </c>
      <c r="K164" s="43" t="s">
        <v>20</v>
      </c>
      <c r="L164" s="43" t="s">
        <v>21</v>
      </c>
      <c r="M164" s="18" t="s">
        <v>20</v>
      </c>
      <c r="N164" s="18" t="s">
        <v>20</v>
      </c>
      <c r="O164" s="18" t="s">
        <v>20</v>
      </c>
      <c r="P164" s="18" t="s">
        <v>21</v>
      </c>
      <c r="Q164" s="18" t="s">
        <v>21</v>
      </c>
      <c r="R164" s="18" t="s">
        <v>21</v>
      </c>
      <c r="S164" s="18" t="s">
        <v>21</v>
      </c>
      <c r="T164" s="18" t="s">
        <v>21</v>
      </c>
      <c r="U164" s="18" t="s">
        <v>21</v>
      </c>
      <c r="V164" s="37" t="s">
        <v>20</v>
      </c>
      <c r="W164" s="37" t="s">
        <v>20</v>
      </c>
      <c r="X164" s="37" t="s">
        <v>20</v>
      </c>
      <c r="Y164" s="18" t="s">
        <v>20</v>
      </c>
      <c r="Z164" s="18" t="s">
        <v>20</v>
      </c>
      <c r="AA164" s="20" t="s">
        <v>20</v>
      </c>
      <c r="AB164" s="20" t="s">
        <v>21</v>
      </c>
      <c r="AC164" s="20" t="s">
        <v>21</v>
      </c>
      <c r="AD164" s="18" t="s">
        <v>21</v>
      </c>
      <c r="AE164" s="18" t="s">
        <v>21</v>
      </c>
      <c r="AG164">
        <f>+COUNTIF(F164:AE164,"AD")</f>
        <v>0</v>
      </c>
      <c r="AH164">
        <f>+COUNTIF(F164:AE164,"A")</f>
        <v>15</v>
      </c>
      <c r="AI164">
        <f>+COUNTIF(F164:AE164,"b")</f>
        <v>11</v>
      </c>
      <c r="AJ164">
        <f>+COUNTIF(F164:AE164,"c")</f>
        <v>0</v>
      </c>
      <c r="AL164">
        <f>+$AG$5*AG164</f>
        <v>0</v>
      </c>
      <c r="AM164">
        <f>+$AH$5*AH164</f>
        <v>45</v>
      </c>
      <c r="AN164">
        <f>+$AI$5*AI164</f>
        <v>22</v>
      </c>
      <c r="AO164">
        <f>+$AJ$5*AJ164</f>
        <v>0</v>
      </c>
      <c r="AP164" s="73">
        <f>+SUM(AL164:AO164)</f>
        <v>67</v>
      </c>
    </row>
    <row r="165" spans="1:42" ht="15.75" customHeight="1" x14ac:dyDescent="0.3">
      <c r="A165" s="16"/>
      <c r="B165" s="55">
        <v>12</v>
      </c>
      <c r="C165" s="56" t="s">
        <v>183</v>
      </c>
      <c r="D165" s="55">
        <v>4</v>
      </c>
      <c r="E165" s="55" t="s">
        <v>21</v>
      </c>
      <c r="F165" s="18" t="s">
        <v>21</v>
      </c>
      <c r="G165" s="18" t="s">
        <v>21</v>
      </c>
      <c r="H165" s="18" t="s">
        <v>21</v>
      </c>
      <c r="I165" s="18" t="s">
        <v>21</v>
      </c>
      <c r="J165" s="43" t="s">
        <v>20</v>
      </c>
      <c r="K165" s="43" t="s">
        <v>20</v>
      </c>
      <c r="L165" s="43" t="s">
        <v>21</v>
      </c>
      <c r="M165" s="18" t="s">
        <v>20</v>
      </c>
      <c r="N165" s="18" t="s">
        <v>20</v>
      </c>
      <c r="O165" s="18" t="s">
        <v>20</v>
      </c>
      <c r="P165" s="18" t="s">
        <v>21</v>
      </c>
      <c r="Q165" s="18" t="s">
        <v>21</v>
      </c>
      <c r="R165" s="18" t="s">
        <v>21</v>
      </c>
      <c r="S165" s="18" t="s">
        <v>20</v>
      </c>
      <c r="T165" s="18" t="s">
        <v>20</v>
      </c>
      <c r="U165" s="18" t="s">
        <v>20</v>
      </c>
      <c r="V165" s="49" t="s">
        <v>20</v>
      </c>
      <c r="W165" s="37" t="s">
        <v>20</v>
      </c>
      <c r="X165" s="37" t="s">
        <v>20</v>
      </c>
      <c r="Y165" s="18" t="s">
        <v>20</v>
      </c>
      <c r="Z165" s="18" t="s">
        <v>21</v>
      </c>
      <c r="AA165" s="20" t="s">
        <v>21</v>
      </c>
      <c r="AB165" s="20" t="s">
        <v>20</v>
      </c>
      <c r="AC165" s="20" t="s">
        <v>20</v>
      </c>
      <c r="AD165" s="29" t="s">
        <v>20</v>
      </c>
      <c r="AE165" s="29" t="s">
        <v>21</v>
      </c>
      <c r="AG165">
        <f>+COUNTIF(F165:AE165,"AD")</f>
        <v>0</v>
      </c>
      <c r="AH165">
        <f>+COUNTIF(F165:AE165,"A")</f>
        <v>15</v>
      </c>
      <c r="AI165">
        <f>+COUNTIF(F165:AE165,"b")</f>
        <v>11</v>
      </c>
      <c r="AJ165">
        <f>+COUNTIF(F165:AE165,"c")</f>
        <v>0</v>
      </c>
      <c r="AL165">
        <f>+$AG$5*AG165</f>
        <v>0</v>
      </c>
      <c r="AM165">
        <f>+$AH$5*AH165</f>
        <v>45</v>
      </c>
      <c r="AN165">
        <f>+$AI$5*AI165</f>
        <v>22</v>
      </c>
      <c r="AO165">
        <f>+$AJ$5*AJ165</f>
        <v>0</v>
      </c>
      <c r="AP165" s="73">
        <f>+SUM(AL165:AO165)</f>
        <v>67</v>
      </c>
    </row>
    <row r="166" spans="1:42" ht="15.75" customHeight="1" x14ac:dyDescent="0.3">
      <c r="A166" s="16"/>
      <c r="B166" s="55">
        <v>13</v>
      </c>
      <c r="C166" s="56" t="s">
        <v>180</v>
      </c>
      <c r="D166" s="55">
        <v>4</v>
      </c>
      <c r="E166" s="55" t="s">
        <v>21</v>
      </c>
      <c r="F166" s="18" t="s">
        <v>21</v>
      </c>
      <c r="G166" s="18" t="s">
        <v>21</v>
      </c>
      <c r="H166" s="18" t="s">
        <v>21</v>
      </c>
      <c r="I166" s="18" t="s">
        <v>21</v>
      </c>
      <c r="J166" s="43" t="s">
        <v>20</v>
      </c>
      <c r="K166" s="43" t="s">
        <v>20</v>
      </c>
      <c r="L166" s="43" t="s">
        <v>20</v>
      </c>
      <c r="M166" s="18" t="s">
        <v>20</v>
      </c>
      <c r="N166" s="18" t="s">
        <v>20</v>
      </c>
      <c r="O166" s="18" t="s">
        <v>20</v>
      </c>
      <c r="P166" s="18" t="s">
        <v>21</v>
      </c>
      <c r="Q166" s="18" t="s">
        <v>21</v>
      </c>
      <c r="R166" s="18" t="s">
        <v>21</v>
      </c>
      <c r="S166" s="18" t="s">
        <v>20</v>
      </c>
      <c r="T166" s="18" t="s">
        <v>20</v>
      </c>
      <c r="U166" s="18" t="s">
        <v>21</v>
      </c>
      <c r="V166" s="37" t="s">
        <v>20</v>
      </c>
      <c r="W166" s="37" t="s">
        <v>20</v>
      </c>
      <c r="X166" s="37" t="s">
        <v>20</v>
      </c>
      <c r="Y166" s="18" t="s">
        <v>20</v>
      </c>
      <c r="Z166" s="18" t="s">
        <v>21</v>
      </c>
      <c r="AA166" s="20" t="s">
        <v>21</v>
      </c>
      <c r="AB166" s="20" t="s">
        <v>21</v>
      </c>
      <c r="AC166" s="20" t="s">
        <v>20</v>
      </c>
      <c r="AD166" s="18" t="s">
        <v>20</v>
      </c>
      <c r="AE166" s="18" t="s">
        <v>21</v>
      </c>
      <c r="AG166">
        <f>+COUNTIF(F166:AE166,"AD")</f>
        <v>0</v>
      </c>
      <c r="AH166">
        <f>+COUNTIF(F166:AE166,"A")</f>
        <v>14</v>
      </c>
      <c r="AI166">
        <f>+COUNTIF(F166:AE166,"b")</f>
        <v>12</v>
      </c>
      <c r="AJ166">
        <f>+COUNTIF(F166:AE166,"c")</f>
        <v>0</v>
      </c>
      <c r="AL166">
        <f>+$AG$5*AG166</f>
        <v>0</v>
      </c>
      <c r="AM166">
        <f>+$AH$5*AH166</f>
        <v>42</v>
      </c>
      <c r="AN166">
        <f>+$AI$5*AI166</f>
        <v>24</v>
      </c>
      <c r="AO166">
        <f>+$AJ$5*AJ166</f>
        <v>0</v>
      </c>
      <c r="AP166" s="73">
        <f>+SUM(AL166:AO166)</f>
        <v>66</v>
      </c>
    </row>
    <row r="167" spans="1:42" ht="15.75" customHeight="1" x14ac:dyDescent="0.3">
      <c r="A167" s="16"/>
      <c r="B167" s="55">
        <v>14</v>
      </c>
      <c r="C167" s="56" t="s">
        <v>178</v>
      </c>
      <c r="D167" s="55">
        <v>4</v>
      </c>
      <c r="E167" s="55" t="s">
        <v>21</v>
      </c>
      <c r="F167" s="18" t="s">
        <v>21</v>
      </c>
      <c r="G167" s="18" t="s">
        <v>20</v>
      </c>
      <c r="H167" s="18" t="s">
        <v>20</v>
      </c>
      <c r="I167" s="18" t="s">
        <v>21</v>
      </c>
      <c r="J167" s="43" t="s">
        <v>20</v>
      </c>
      <c r="K167" s="43" t="s">
        <v>21</v>
      </c>
      <c r="L167" s="43" t="s">
        <v>21</v>
      </c>
      <c r="M167" s="18" t="s">
        <v>20</v>
      </c>
      <c r="N167" s="18" t="s">
        <v>20</v>
      </c>
      <c r="O167" s="18" t="s">
        <v>20</v>
      </c>
      <c r="P167" s="18" t="s">
        <v>21</v>
      </c>
      <c r="Q167" s="18" t="s">
        <v>21</v>
      </c>
      <c r="R167" s="18" t="s">
        <v>21</v>
      </c>
      <c r="S167" s="18" t="s">
        <v>20</v>
      </c>
      <c r="T167" s="18" t="s">
        <v>20</v>
      </c>
      <c r="U167" s="18" t="s">
        <v>21</v>
      </c>
      <c r="V167" s="37" t="s">
        <v>20</v>
      </c>
      <c r="W167" s="37" t="s">
        <v>20</v>
      </c>
      <c r="X167" s="37" t="s">
        <v>20</v>
      </c>
      <c r="Y167" s="18" t="s">
        <v>20</v>
      </c>
      <c r="Z167" s="18" t="s">
        <v>21</v>
      </c>
      <c r="AA167" s="20" t="s">
        <v>21</v>
      </c>
      <c r="AB167" s="20" t="s">
        <v>21</v>
      </c>
      <c r="AC167" s="20" t="s">
        <v>21</v>
      </c>
      <c r="AD167" s="18" t="s">
        <v>21</v>
      </c>
      <c r="AE167" s="18" t="s">
        <v>21</v>
      </c>
      <c r="AG167">
        <f>+COUNTIF(F167:AE167,"AD")</f>
        <v>0</v>
      </c>
      <c r="AH167">
        <f>+COUNTIF(F167:AE167,"A")</f>
        <v>12</v>
      </c>
      <c r="AI167">
        <f>+COUNTIF(F167:AE167,"b")</f>
        <v>14</v>
      </c>
      <c r="AJ167">
        <f>+COUNTIF(F167:AE167,"c")</f>
        <v>0</v>
      </c>
      <c r="AL167">
        <f>+$AG$5*AG167</f>
        <v>0</v>
      </c>
      <c r="AM167">
        <f>+$AH$5*AH167</f>
        <v>36</v>
      </c>
      <c r="AN167">
        <f>+$AI$5*AI167</f>
        <v>28</v>
      </c>
      <c r="AO167">
        <f>+$AJ$5*AJ167</f>
        <v>0</v>
      </c>
      <c r="AP167" s="73">
        <f>+SUM(AL167:AO167)</f>
        <v>64</v>
      </c>
    </row>
    <row r="168" spans="1:42" ht="15.75" customHeight="1" x14ac:dyDescent="0.3">
      <c r="A168" s="16"/>
      <c r="B168" s="55">
        <v>15</v>
      </c>
      <c r="C168" s="56" t="s">
        <v>188</v>
      </c>
      <c r="D168" s="55">
        <v>4</v>
      </c>
      <c r="E168" s="55" t="s">
        <v>21</v>
      </c>
      <c r="F168" s="18" t="s">
        <v>21</v>
      </c>
      <c r="G168" s="18" t="s">
        <v>21</v>
      </c>
      <c r="H168" s="18" t="s">
        <v>21</v>
      </c>
      <c r="I168" s="18" t="s">
        <v>21</v>
      </c>
      <c r="J168" s="43" t="s">
        <v>20</v>
      </c>
      <c r="K168" s="43" t="s">
        <v>20</v>
      </c>
      <c r="L168" s="43" t="s">
        <v>21</v>
      </c>
      <c r="M168" s="18" t="s">
        <v>21</v>
      </c>
      <c r="N168" s="18" t="s">
        <v>20</v>
      </c>
      <c r="O168" s="18" t="s">
        <v>21</v>
      </c>
      <c r="P168" s="18" t="s">
        <v>21</v>
      </c>
      <c r="Q168" s="18" t="s">
        <v>21</v>
      </c>
      <c r="R168" s="18" t="s">
        <v>21</v>
      </c>
      <c r="S168" s="18" t="s">
        <v>23</v>
      </c>
      <c r="T168" s="18" t="s">
        <v>21</v>
      </c>
      <c r="U168" s="18" t="s">
        <v>20</v>
      </c>
      <c r="V168" s="49" t="s">
        <v>20</v>
      </c>
      <c r="W168" s="37" t="s">
        <v>20</v>
      </c>
      <c r="X168" s="37" t="s">
        <v>20</v>
      </c>
      <c r="Y168" s="18" t="s">
        <v>20</v>
      </c>
      <c r="Z168" s="18" t="s">
        <v>20</v>
      </c>
      <c r="AA168" s="20" t="s">
        <v>20</v>
      </c>
      <c r="AB168" s="20" t="s">
        <v>20</v>
      </c>
      <c r="AC168" s="20" t="s">
        <v>20</v>
      </c>
      <c r="AD168" s="29" t="s">
        <v>21</v>
      </c>
      <c r="AE168" s="29" t="s">
        <v>21</v>
      </c>
      <c r="AG168">
        <f>+COUNTIF(F168:AE168,"AD")</f>
        <v>0</v>
      </c>
      <c r="AH168">
        <f>+COUNTIF(F168:AE168,"A")</f>
        <v>12</v>
      </c>
      <c r="AI168">
        <f>+COUNTIF(F168:AE168,"b")</f>
        <v>13</v>
      </c>
      <c r="AJ168">
        <f>+COUNTIF(F168:AE168,"c")</f>
        <v>1</v>
      </c>
      <c r="AL168">
        <f>+$AG$5*AG168</f>
        <v>0</v>
      </c>
      <c r="AM168">
        <f>+$AH$5*AH168</f>
        <v>36</v>
      </c>
      <c r="AN168">
        <f>+$AI$5*AI168</f>
        <v>26</v>
      </c>
      <c r="AO168">
        <f>+$AJ$5*AJ168</f>
        <v>1</v>
      </c>
      <c r="AP168" s="73">
        <f>+SUM(AL168:AO168)</f>
        <v>63</v>
      </c>
    </row>
    <row r="169" spans="1:42" ht="15.75" customHeight="1" x14ac:dyDescent="0.3">
      <c r="A169" s="16"/>
      <c r="B169" s="55">
        <v>16</v>
      </c>
      <c r="C169" s="56" t="s">
        <v>173</v>
      </c>
      <c r="D169" s="55">
        <v>4</v>
      </c>
      <c r="E169" s="55" t="s">
        <v>21</v>
      </c>
      <c r="F169" s="18" t="s">
        <v>21</v>
      </c>
      <c r="G169" s="18" t="s">
        <v>21</v>
      </c>
      <c r="H169" s="18" t="s">
        <v>21</v>
      </c>
      <c r="I169" s="18" t="s">
        <v>21</v>
      </c>
      <c r="J169" s="43" t="s">
        <v>21</v>
      </c>
      <c r="K169" s="43" t="s">
        <v>21</v>
      </c>
      <c r="L169" s="43" t="s">
        <v>21</v>
      </c>
      <c r="M169" s="18" t="s">
        <v>21</v>
      </c>
      <c r="N169" s="18" t="s">
        <v>20</v>
      </c>
      <c r="O169" s="18" t="s">
        <v>20</v>
      </c>
      <c r="P169" s="18" t="s">
        <v>21</v>
      </c>
      <c r="Q169" s="18" t="s">
        <v>21</v>
      </c>
      <c r="R169" s="18" t="s">
        <v>21</v>
      </c>
      <c r="S169" s="18" t="s">
        <v>20</v>
      </c>
      <c r="T169" s="18" t="s">
        <v>21</v>
      </c>
      <c r="U169" s="18" t="s">
        <v>21</v>
      </c>
      <c r="V169" s="37" t="s">
        <v>21</v>
      </c>
      <c r="W169" s="37" t="s">
        <v>20</v>
      </c>
      <c r="X169" s="37" t="s">
        <v>21</v>
      </c>
      <c r="Y169" s="18" t="s">
        <v>20</v>
      </c>
      <c r="Z169" s="18" t="s">
        <v>20</v>
      </c>
      <c r="AA169" s="20" t="s">
        <v>20</v>
      </c>
      <c r="AB169" s="20" t="s">
        <v>20</v>
      </c>
      <c r="AC169" s="20" t="s">
        <v>20</v>
      </c>
      <c r="AD169" s="18" t="s">
        <v>20</v>
      </c>
      <c r="AE169" s="18" t="s">
        <v>21</v>
      </c>
      <c r="AG169">
        <f>+COUNTIF(F169:AE169,"AD")</f>
        <v>0</v>
      </c>
      <c r="AH169">
        <f>+COUNTIF(F169:AE169,"A")</f>
        <v>10</v>
      </c>
      <c r="AI169">
        <f>+COUNTIF(F169:AE169,"b")</f>
        <v>16</v>
      </c>
      <c r="AJ169">
        <f>+COUNTIF(F169:AE169,"c")</f>
        <v>0</v>
      </c>
      <c r="AL169">
        <f>+$AG$5*AG169</f>
        <v>0</v>
      </c>
      <c r="AM169">
        <f>+$AH$5*AH169</f>
        <v>30</v>
      </c>
      <c r="AN169">
        <f>+$AI$5*AI169</f>
        <v>32</v>
      </c>
      <c r="AO169">
        <f>+$AJ$5*AJ169</f>
        <v>0</v>
      </c>
      <c r="AP169" s="73">
        <f>+SUM(AL169:AO169)</f>
        <v>62</v>
      </c>
    </row>
    <row r="170" spans="1:42" ht="15.75" customHeight="1" x14ac:dyDescent="0.3">
      <c r="A170" s="16"/>
      <c r="B170" s="55">
        <v>17</v>
      </c>
      <c r="C170" s="56" t="s">
        <v>185</v>
      </c>
      <c r="D170" s="55">
        <v>4</v>
      </c>
      <c r="E170" s="55" t="s">
        <v>21</v>
      </c>
      <c r="F170" s="18" t="s">
        <v>21</v>
      </c>
      <c r="G170" s="18" t="s">
        <v>21</v>
      </c>
      <c r="H170" s="18" t="s">
        <v>21</v>
      </c>
      <c r="I170" s="18" t="s">
        <v>21</v>
      </c>
      <c r="J170" s="43" t="s">
        <v>20</v>
      </c>
      <c r="K170" s="43" t="s">
        <v>21</v>
      </c>
      <c r="L170" s="43" t="s">
        <v>21</v>
      </c>
      <c r="M170" s="18" t="s">
        <v>21</v>
      </c>
      <c r="N170" s="18" t="s">
        <v>21</v>
      </c>
      <c r="O170" s="18" t="s">
        <v>20</v>
      </c>
      <c r="P170" s="18" t="s">
        <v>21</v>
      </c>
      <c r="Q170" s="18" t="s">
        <v>21</v>
      </c>
      <c r="R170" s="18" t="s">
        <v>21</v>
      </c>
      <c r="S170" s="18" t="s">
        <v>20</v>
      </c>
      <c r="T170" s="18" t="s">
        <v>20</v>
      </c>
      <c r="U170" s="18" t="s">
        <v>21</v>
      </c>
      <c r="V170" s="49" t="s">
        <v>20</v>
      </c>
      <c r="W170" s="37" t="s">
        <v>20</v>
      </c>
      <c r="X170" s="37" t="s">
        <v>20</v>
      </c>
      <c r="Y170" s="18" t="s">
        <v>21</v>
      </c>
      <c r="Z170" s="18" t="s">
        <v>21</v>
      </c>
      <c r="AA170" s="20" t="s">
        <v>20</v>
      </c>
      <c r="AB170" s="20" t="s">
        <v>21</v>
      </c>
      <c r="AC170" s="20" t="s">
        <v>20</v>
      </c>
      <c r="AD170" s="29" t="s">
        <v>21</v>
      </c>
      <c r="AE170" s="29" t="s">
        <v>21</v>
      </c>
      <c r="AG170">
        <f>+COUNTIF(F170:AE170,"AD")</f>
        <v>0</v>
      </c>
      <c r="AH170">
        <f>+COUNTIF(F170:AE170,"A")</f>
        <v>9</v>
      </c>
      <c r="AI170">
        <f>+COUNTIF(F170:AE170,"b")</f>
        <v>17</v>
      </c>
      <c r="AJ170">
        <f>+COUNTIF(F170:AE170,"c")</f>
        <v>0</v>
      </c>
      <c r="AL170">
        <f>+$AG$5*AG170</f>
        <v>0</v>
      </c>
      <c r="AM170">
        <f>+$AH$5*AH170</f>
        <v>27</v>
      </c>
      <c r="AN170">
        <f>+$AI$5*AI170</f>
        <v>34</v>
      </c>
      <c r="AO170">
        <f>+$AJ$5*AJ170</f>
        <v>0</v>
      </c>
      <c r="AP170" s="73">
        <f>+SUM(AL170:AO170)</f>
        <v>61</v>
      </c>
    </row>
    <row r="171" spans="1:42" ht="15.75" customHeight="1" x14ac:dyDescent="0.3">
      <c r="A171" s="16"/>
      <c r="B171" s="55">
        <v>18</v>
      </c>
      <c r="C171" s="56" t="s">
        <v>187</v>
      </c>
      <c r="D171" s="55">
        <v>4</v>
      </c>
      <c r="E171" s="55" t="s">
        <v>21</v>
      </c>
      <c r="F171" s="18" t="s">
        <v>21</v>
      </c>
      <c r="G171" s="18" t="s">
        <v>21</v>
      </c>
      <c r="H171" s="18" t="s">
        <v>21</v>
      </c>
      <c r="I171" s="18" t="s">
        <v>21</v>
      </c>
      <c r="J171" s="43" t="s">
        <v>20</v>
      </c>
      <c r="K171" s="43" t="s">
        <v>20</v>
      </c>
      <c r="L171" s="43" t="s">
        <v>21</v>
      </c>
      <c r="M171" s="18" t="s">
        <v>20</v>
      </c>
      <c r="N171" s="18" t="s">
        <v>20</v>
      </c>
      <c r="O171" s="18" t="s">
        <v>20</v>
      </c>
      <c r="P171" s="18" t="s">
        <v>21</v>
      </c>
      <c r="Q171" s="18" t="s">
        <v>21</v>
      </c>
      <c r="R171" s="18" t="s">
        <v>21</v>
      </c>
      <c r="S171" s="18" t="s">
        <v>21</v>
      </c>
      <c r="T171" s="18" t="s">
        <v>20</v>
      </c>
      <c r="U171" s="18" t="s">
        <v>21</v>
      </c>
      <c r="V171" s="49" t="s">
        <v>20</v>
      </c>
      <c r="W171" s="37" t="s">
        <v>20</v>
      </c>
      <c r="X171" s="37" t="s">
        <v>20</v>
      </c>
      <c r="Y171" s="18" t="s">
        <v>21</v>
      </c>
      <c r="Z171" s="18" t="s">
        <v>21</v>
      </c>
      <c r="AA171" s="20" t="s">
        <v>21</v>
      </c>
      <c r="AB171" s="20" t="s">
        <v>21</v>
      </c>
      <c r="AC171" s="20" t="s">
        <v>21</v>
      </c>
      <c r="AD171" s="29" t="s">
        <v>21</v>
      </c>
      <c r="AE171" s="29" t="s">
        <v>21</v>
      </c>
      <c r="AG171">
        <f>+COUNTIF(F171:AE171,"AD")</f>
        <v>0</v>
      </c>
      <c r="AH171">
        <f>+COUNTIF(F171:AE171,"A")</f>
        <v>9</v>
      </c>
      <c r="AI171">
        <f>+COUNTIF(F171:AE171,"b")</f>
        <v>17</v>
      </c>
      <c r="AJ171">
        <f>+COUNTIF(F171:AE171,"c")</f>
        <v>0</v>
      </c>
      <c r="AL171">
        <f>+$AG$5*AG171</f>
        <v>0</v>
      </c>
      <c r="AM171">
        <f>+$AH$5*AH171</f>
        <v>27</v>
      </c>
      <c r="AN171">
        <f>+$AI$5*AI171</f>
        <v>34</v>
      </c>
      <c r="AO171">
        <f>+$AJ$5*AJ171</f>
        <v>0</v>
      </c>
      <c r="AP171" s="73">
        <f>+SUM(AL171:AO171)</f>
        <v>61</v>
      </c>
    </row>
    <row r="172" spans="1:42" ht="15.75" customHeight="1" x14ac:dyDescent="0.3">
      <c r="A172" s="16"/>
      <c r="B172" s="55">
        <v>19</v>
      </c>
      <c r="C172" s="56" t="s">
        <v>190</v>
      </c>
      <c r="D172" s="55">
        <v>4</v>
      </c>
      <c r="E172" s="55" t="s">
        <v>21</v>
      </c>
      <c r="F172" s="18" t="s">
        <v>23</v>
      </c>
      <c r="G172" s="18" t="s">
        <v>21</v>
      </c>
      <c r="H172" s="18" t="s">
        <v>21</v>
      </c>
      <c r="I172" s="18" t="s">
        <v>21</v>
      </c>
      <c r="J172" s="43" t="s">
        <v>20</v>
      </c>
      <c r="K172" s="43" t="s">
        <v>20</v>
      </c>
      <c r="L172" s="43" t="s">
        <v>21</v>
      </c>
      <c r="M172" s="18" t="s">
        <v>20</v>
      </c>
      <c r="N172" s="18" t="s">
        <v>20</v>
      </c>
      <c r="O172" s="18" t="s">
        <v>21</v>
      </c>
      <c r="P172" s="18" t="s">
        <v>21</v>
      </c>
      <c r="Q172" s="18" t="s">
        <v>21</v>
      </c>
      <c r="R172" s="18" t="s">
        <v>21</v>
      </c>
      <c r="S172" s="18" t="s">
        <v>20</v>
      </c>
      <c r="T172" s="18" t="s">
        <v>20</v>
      </c>
      <c r="U172" s="18" t="s">
        <v>21</v>
      </c>
      <c r="V172" s="49" t="s">
        <v>20</v>
      </c>
      <c r="W172" s="37" t="s">
        <v>20</v>
      </c>
      <c r="X172" s="37" t="s">
        <v>20</v>
      </c>
      <c r="Y172" s="18" t="s">
        <v>20</v>
      </c>
      <c r="Z172" s="18" t="s">
        <v>21</v>
      </c>
      <c r="AA172" s="20" t="s">
        <v>21</v>
      </c>
      <c r="AB172" s="20" t="s">
        <v>21</v>
      </c>
      <c r="AC172" s="20" t="s">
        <v>21</v>
      </c>
      <c r="AD172" s="29" t="s">
        <v>21</v>
      </c>
      <c r="AE172" s="29" t="s">
        <v>21</v>
      </c>
      <c r="AG172">
        <f>+COUNTIF(F172:AE172,"AD")</f>
        <v>0</v>
      </c>
      <c r="AH172">
        <f>+COUNTIF(F172:AE172,"A")</f>
        <v>10</v>
      </c>
      <c r="AI172">
        <f>+COUNTIF(F172:AE172,"b")</f>
        <v>15</v>
      </c>
      <c r="AJ172">
        <f>+COUNTIF(F172:AE172,"c")</f>
        <v>1</v>
      </c>
      <c r="AL172">
        <f>+$AG$5*AG172</f>
        <v>0</v>
      </c>
      <c r="AM172">
        <f>+$AH$5*AH172</f>
        <v>30</v>
      </c>
      <c r="AN172">
        <f>+$AI$5*AI172</f>
        <v>30</v>
      </c>
      <c r="AO172">
        <f>+$AJ$5*AJ172</f>
        <v>1</v>
      </c>
      <c r="AP172" s="73">
        <f>+SUM(AL172:AO172)</f>
        <v>61</v>
      </c>
    </row>
    <row r="173" spans="1:42" ht="15.75" customHeight="1" thickBot="1" x14ac:dyDescent="0.35">
      <c r="A173" s="16"/>
      <c r="B173" s="57">
        <v>20</v>
      </c>
      <c r="C173" s="56" t="s">
        <v>181</v>
      </c>
      <c r="D173" s="55">
        <v>4</v>
      </c>
      <c r="E173" s="55" t="s">
        <v>21</v>
      </c>
      <c r="F173" s="18" t="s">
        <v>21</v>
      </c>
      <c r="G173" s="18" t="s">
        <v>20</v>
      </c>
      <c r="H173" s="18" t="s">
        <v>21</v>
      </c>
      <c r="I173" s="18" t="s">
        <v>21</v>
      </c>
      <c r="J173" s="43" t="s">
        <v>20</v>
      </c>
      <c r="K173" s="43" t="s">
        <v>20</v>
      </c>
      <c r="L173" s="43" t="s">
        <v>21</v>
      </c>
      <c r="M173" s="18" t="s">
        <v>23</v>
      </c>
      <c r="N173" s="18" t="s">
        <v>20</v>
      </c>
      <c r="O173" s="18" t="s">
        <v>20</v>
      </c>
      <c r="P173" s="18" t="s">
        <v>21</v>
      </c>
      <c r="Q173" s="18" t="s">
        <v>21</v>
      </c>
      <c r="R173" s="18" t="s">
        <v>21</v>
      </c>
      <c r="S173" s="18" t="s">
        <v>20</v>
      </c>
      <c r="T173" s="18" t="s">
        <v>20</v>
      </c>
      <c r="U173" s="18" t="s">
        <v>21</v>
      </c>
      <c r="V173" s="37" t="s">
        <v>20</v>
      </c>
      <c r="W173" s="37" t="s">
        <v>20</v>
      </c>
      <c r="X173" s="37" t="s">
        <v>20</v>
      </c>
      <c r="Y173" s="18" t="s">
        <v>21</v>
      </c>
      <c r="Z173" s="18" t="s">
        <v>21</v>
      </c>
      <c r="AA173" s="20" t="s">
        <v>21</v>
      </c>
      <c r="AB173" s="20" t="s">
        <v>23</v>
      </c>
      <c r="AC173" s="20" t="s">
        <v>21</v>
      </c>
      <c r="AD173" s="18" t="s">
        <v>23</v>
      </c>
      <c r="AE173" s="18" t="s">
        <v>21</v>
      </c>
      <c r="AG173">
        <f>+COUNTIF(F173:AE173,"AD")</f>
        <v>0</v>
      </c>
      <c r="AH173">
        <f>+COUNTIF(F173:AE173,"A")</f>
        <v>10</v>
      </c>
      <c r="AI173">
        <f>+COUNTIF(F173:AE173,"b")</f>
        <v>13</v>
      </c>
      <c r="AJ173">
        <f>+COUNTIF(F173:AE173,"c")</f>
        <v>3</v>
      </c>
      <c r="AL173">
        <f>+$AG$5*AG173</f>
        <v>0</v>
      </c>
      <c r="AM173">
        <f>+$AH$5*AH173</f>
        <v>30</v>
      </c>
      <c r="AN173">
        <f>+$AI$5*AI173</f>
        <v>26</v>
      </c>
      <c r="AO173">
        <f>+$AJ$5*AJ173</f>
        <v>3</v>
      </c>
      <c r="AP173" s="73">
        <f>+SUM(AL173:AO173)</f>
        <v>59</v>
      </c>
    </row>
    <row r="174" spans="1:42" ht="15.75" customHeight="1" x14ac:dyDescent="0.3">
      <c r="A174" s="16"/>
      <c r="B174" s="55">
        <v>21</v>
      </c>
      <c r="C174" s="56" t="s">
        <v>172</v>
      </c>
      <c r="D174" s="55">
        <v>4</v>
      </c>
      <c r="E174" s="55" t="s">
        <v>21</v>
      </c>
      <c r="F174" s="18" t="s">
        <v>23</v>
      </c>
      <c r="G174" s="18" t="s">
        <v>21</v>
      </c>
      <c r="H174" s="18" t="s">
        <v>23</v>
      </c>
      <c r="I174" s="18" t="s">
        <v>23</v>
      </c>
      <c r="J174" s="43" t="s">
        <v>20</v>
      </c>
      <c r="K174" s="43" t="s">
        <v>21</v>
      </c>
      <c r="L174" s="43" t="s">
        <v>21</v>
      </c>
      <c r="M174" s="18" t="s">
        <v>21</v>
      </c>
      <c r="N174" s="18" t="s">
        <v>20</v>
      </c>
      <c r="O174" s="18" t="s">
        <v>20</v>
      </c>
      <c r="P174" s="18" t="s">
        <v>20</v>
      </c>
      <c r="Q174" s="18" t="s">
        <v>21</v>
      </c>
      <c r="R174" s="18" t="s">
        <v>21</v>
      </c>
      <c r="S174" s="18" t="s">
        <v>21</v>
      </c>
      <c r="T174" s="18" t="s">
        <v>20</v>
      </c>
      <c r="U174" s="18" t="s">
        <v>20</v>
      </c>
      <c r="V174" s="37" t="s">
        <v>20</v>
      </c>
      <c r="W174" s="37" t="s">
        <v>20</v>
      </c>
      <c r="X174" s="37" t="s">
        <v>20</v>
      </c>
      <c r="Y174" s="18" t="s">
        <v>23</v>
      </c>
      <c r="Z174" s="18" t="s">
        <v>21</v>
      </c>
      <c r="AA174" s="20" t="s">
        <v>21</v>
      </c>
      <c r="AB174" s="20" t="s">
        <v>20</v>
      </c>
      <c r="AC174" s="20" t="s">
        <v>21</v>
      </c>
      <c r="AD174" s="18" t="s">
        <v>23</v>
      </c>
      <c r="AE174" s="18" t="s">
        <v>21</v>
      </c>
      <c r="AG174">
        <f>+COUNTIF(F174:AE174,"AD")</f>
        <v>0</v>
      </c>
      <c r="AH174">
        <f>+COUNTIF(F174:AE174,"A")</f>
        <v>10</v>
      </c>
      <c r="AI174">
        <f>+COUNTIF(F174:AE174,"b")</f>
        <v>11</v>
      </c>
      <c r="AJ174">
        <f>+COUNTIF(F174:AE174,"c")</f>
        <v>5</v>
      </c>
      <c r="AL174">
        <f>+$AG$5*AG174</f>
        <v>0</v>
      </c>
      <c r="AM174">
        <f>+$AH$5*AH174</f>
        <v>30</v>
      </c>
      <c r="AN174">
        <f>+$AI$5*AI174</f>
        <v>22</v>
      </c>
      <c r="AO174">
        <f>+$AJ$5*AJ174</f>
        <v>5</v>
      </c>
      <c r="AP174" s="73">
        <f>+SUM(AL174:AO174)</f>
        <v>57</v>
      </c>
    </row>
    <row r="175" spans="1:42" ht="15.75" customHeight="1" x14ac:dyDescent="0.3">
      <c r="A175" s="16"/>
      <c r="B175" s="55">
        <v>22</v>
      </c>
      <c r="C175" s="56" t="s">
        <v>189</v>
      </c>
      <c r="D175" s="55">
        <v>4</v>
      </c>
      <c r="E175" s="55" t="s">
        <v>21</v>
      </c>
      <c r="F175" s="18" t="s">
        <v>23</v>
      </c>
      <c r="G175" s="18" t="s">
        <v>23</v>
      </c>
      <c r="H175" s="18" t="s">
        <v>23</v>
      </c>
      <c r="I175" s="18" t="s">
        <v>23</v>
      </c>
      <c r="J175" s="43" t="s">
        <v>20</v>
      </c>
      <c r="K175" s="43" t="s">
        <v>20</v>
      </c>
      <c r="L175" s="43" t="s">
        <v>21</v>
      </c>
      <c r="M175" s="18" t="s">
        <v>21</v>
      </c>
      <c r="N175" s="18" t="s">
        <v>21</v>
      </c>
      <c r="O175" s="18" t="s">
        <v>20</v>
      </c>
      <c r="P175" s="18" t="s">
        <v>21</v>
      </c>
      <c r="Q175" s="18" t="s">
        <v>21</v>
      </c>
      <c r="R175" s="18" t="s">
        <v>23</v>
      </c>
      <c r="S175" s="18" t="s">
        <v>21</v>
      </c>
      <c r="T175" s="18" t="s">
        <v>20</v>
      </c>
      <c r="U175" s="18" t="s">
        <v>21</v>
      </c>
      <c r="V175" s="49" t="s">
        <v>20</v>
      </c>
      <c r="W175" s="37" t="s">
        <v>21</v>
      </c>
      <c r="X175" s="37" t="s">
        <v>20</v>
      </c>
      <c r="Y175" s="18" t="s">
        <v>20</v>
      </c>
      <c r="Z175" s="18" t="s">
        <v>20</v>
      </c>
      <c r="AA175" s="20" t="s">
        <v>21</v>
      </c>
      <c r="AB175" s="20" t="s">
        <v>21</v>
      </c>
      <c r="AC175" s="20" t="s">
        <v>21</v>
      </c>
      <c r="AD175" s="29" t="s">
        <v>21</v>
      </c>
      <c r="AE175" s="29" t="s">
        <v>21</v>
      </c>
      <c r="AG175">
        <f>+COUNTIF(F175:AE175,"AD")</f>
        <v>0</v>
      </c>
      <c r="AH175">
        <f>+COUNTIF(F175:AE175,"A")</f>
        <v>8</v>
      </c>
      <c r="AI175">
        <f>+COUNTIF(F175:AE175,"b")</f>
        <v>13</v>
      </c>
      <c r="AJ175">
        <f>+COUNTIF(F175:AE175,"c")</f>
        <v>5</v>
      </c>
      <c r="AL175">
        <f>+$AG$5*AG175</f>
        <v>0</v>
      </c>
      <c r="AM175">
        <f>+$AH$5*AH175</f>
        <v>24</v>
      </c>
      <c r="AN175">
        <f>+$AI$5*AI175</f>
        <v>26</v>
      </c>
      <c r="AO175">
        <f>+$AJ$5*AJ175</f>
        <v>5</v>
      </c>
      <c r="AP175" s="73">
        <f>+SUM(AL175:AO175)</f>
        <v>55</v>
      </c>
    </row>
    <row r="176" spans="1:42" ht="15.75" customHeight="1" thickBot="1" x14ac:dyDescent="0.35">
      <c r="A176" s="16"/>
      <c r="B176" s="57">
        <v>23</v>
      </c>
      <c r="C176" s="56" t="s">
        <v>192</v>
      </c>
      <c r="D176" s="55">
        <v>4</v>
      </c>
      <c r="E176" s="55" t="s">
        <v>21</v>
      </c>
      <c r="F176" s="18" t="s">
        <v>21</v>
      </c>
      <c r="G176" s="18" t="s">
        <v>23</v>
      </c>
      <c r="H176" s="18" t="s">
        <v>23</v>
      </c>
      <c r="I176" s="18" t="s">
        <v>23</v>
      </c>
      <c r="J176" s="43" t="s">
        <v>20</v>
      </c>
      <c r="K176" s="43" t="s">
        <v>21</v>
      </c>
      <c r="L176" s="43" t="s">
        <v>21</v>
      </c>
      <c r="M176" s="18" t="s">
        <v>21</v>
      </c>
      <c r="N176" s="18" t="s">
        <v>21</v>
      </c>
      <c r="O176" s="18" t="s">
        <v>21</v>
      </c>
      <c r="P176" s="18" t="s">
        <v>21</v>
      </c>
      <c r="Q176" s="18" t="s">
        <v>21</v>
      </c>
      <c r="R176" s="18" t="s">
        <v>23</v>
      </c>
      <c r="S176" s="18" t="s">
        <v>21</v>
      </c>
      <c r="T176" s="18" t="s">
        <v>20</v>
      </c>
      <c r="U176" s="18" t="s">
        <v>20</v>
      </c>
      <c r="V176" s="49" t="s">
        <v>20</v>
      </c>
      <c r="W176" s="37" t="s">
        <v>20</v>
      </c>
      <c r="X176" s="37" t="s">
        <v>20</v>
      </c>
      <c r="Y176" s="18" t="s">
        <v>21</v>
      </c>
      <c r="Z176" s="18" t="s">
        <v>21</v>
      </c>
      <c r="AA176" s="20" t="s">
        <v>21</v>
      </c>
      <c r="AB176" s="20" t="s">
        <v>21</v>
      </c>
      <c r="AC176" s="20" t="s">
        <v>20</v>
      </c>
      <c r="AD176" s="29" t="s">
        <v>21</v>
      </c>
      <c r="AE176" s="29" t="s">
        <v>21</v>
      </c>
      <c r="AG176">
        <f>+COUNTIF(F176:AE176,"AD")</f>
        <v>0</v>
      </c>
      <c r="AH176">
        <f>+COUNTIF(F176:AE176,"A")</f>
        <v>7</v>
      </c>
      <c r="AI176">
        <f>+COUNTIF(F176:AE176,"b")</f>
        <v>15</v>
      </c>
      <c r="AJ176">
        <f>+COUNTIF(F176:AE176,"c")</f>
        <v>4</v>
      </c>
      <c r="AL176">
        <f>+$AG$5*AG176</f>
        <v>0</v>
      </c>
      <c r="AM176">
        <f>+$AH$5*AH176</f>
        <v>21</v>
      </c>
      <c r="AN176">
        <f>+$AI$5*AI176</f>
        <v>30</v>
      </c>
      <c r="AO176">
        <f>+$AJ$5*AJ176</f>
        <v>4</v>
      </c>
      <c r="AP176" s="73">
        <f>+SUM(AL176:AO176)</f>
        <v>55</v>
      </c>
    </row>
    <row r="177" spans="1:42" ht="15.75" customHeight="1" x14ac:dyDescent="0.3">
      <c r="A177" s="16"/>
      <c r="B177" s="55">
        <v>24</v>
      </c>
      <c r="C177" s="56" t="s">
        <v>184</v>
      </c>
      <c r="D177" s="55">
        <v>4</v>
      </c>
      <c r="E177" s="55" t="s">
        <v>21</v>
      </c>
      <c r="F177" s="18" t="s">
        <v>21</v>
      </c>
      <c r="G177" s="18" t="s">
        <v>21</v>
      </c>
      <c r="H177" s="18" t="s">
        <v>23</v>
      </c>
      <c r="I177" s="18" t="s">
        <v>21</v>
      </c>
      <c r="J177" s="43" t="s">
        <v>20</v>
      </c>
      <c r="K177" s="43" t="s">
        <v>20</v>
      </c>
      <c r="L177" s="43" t="s">
        <v>21</v>
      </c>
      <c r="M177" s="18" t="s">
        <v>21</v>
      </c>
      <c r="N177" s="18" t="s">
        <v>20</v>
      </c>
      <c r="O177" s="18" t="s">
        <v>21</v>
      </c>
      <c r="P177" s="18" t="s">
        <v>21</v>
      </c>
      <c r="Q177" s="18" t="s">
        <v>21</v>
      </c>
      <c r="R177" s="18" t="s">
        <v>21</v>
      </c>
      <c r="S177" s="18" t="s">
        <v>23</v>
      </c>
      <c r="T177" s="18" t="s">
        <v>23</v>
      </c>
      <c r="U177" s="18" t="s">
        <v>20</v>
      </c>
      <c r="V177" s="49" t="s">
        <v>20</v>
      </c>
      <c r="W177" s="37" t="s">
        <v>21</v>
      </c>
      <c r="X177" s="37" t="s">
        <v>20</v>
      </c>
      <c r="Y177" s="18" t="s">
        <v>23</v>
      </c>
      <c r="Z177" s="18" t="s">
        <v>21</v>
      </c>
      <c r="AA177" s="20" t="s">
        <v>21</v>
      </c>
      <c r="AB177" s="20" t="s">
        <v>20</v>
      </c>
      <c r="AC177" s="20" t="s">
        <v>23</v>
      </c>
      <c r="AD177" s="29" t="s">
        <v>23</v>
      </c>
      <c r="AE177" s="29" t="s">
        <v>21</v>
      </c>
      <c r="AG177">
        <f>+COUNTIF(F177:AE177,"AD")</f>
        <v>0</v>
      </c>
      <c r="AH177">
        <f>+COUNTIF(F177:AE177,"A")</f>
        <v>7</v>
      </c>
      <c r="AI177">
        <f>+COUNTIF(F177:AE177,"b")</f>
        <v>13</v>
      </c>
      <c r="AJ177">
        <f>+COUNTIF(F177:AE177,"c")</f>
        <v>6</v>
      </c>
      <c r="AL177">
        <f>+$AG$5*AG177</f>
        <v>0</v>
      </c>
      <c r="AM177">
        <f>+$AH$5*AH177</f>
        <v>21</v>
      </c>
      <c r="AN177">
        <f>+$AI$5*AI177</f>
        <v>26</v>
      </c>
      <c r="AO177">
        <f>+$AJ$5*AJ177</f>
        <v>6</v>
      </c>
      <c r="AP177" s="73">
        <f>+SUM(AL177:AO177)</f>
        <v>53</v>
      </c>
    </row>
    <row r="178" spans="1:42" ht="15.75" customHeight="1" thickBot="1" x14ac:dyDescent="0.35">
      <c r="A178" s="16"/>
      <c r="B178" s="57">
        <v>25</v>
      </c>
      <c r="C178" s="58" t="s">
        <v>182</v>
      </c>
      <c r="D178" s="57">
        <v>4</v>
      </c>
      <c r="E178" s="57" t="s">
        <v>21</v>
      </c>
      <c r="F178" s="21" t="s">
        <v>23</v>
      </c>
      <c r="G178" s="21" t="s">
        <v>23</v>
      </c>
      <c r="H178" s="21" t="s">
        <v>23</v>
      </c>
      <c r="I178" s="21" t="s">
        <v>23</v>
      </c>
      <c r="J178" s="45" t="s">
        <v>21</v>
      </c>
      <c r="K178" s="45" t="s">
        <v>21</v>
      </c>
      <c r="L178" s="45" t="s">
        <v>21</v>
      </c>
      <c r="M178" s="21" t="s">
        <v>21</v>
      </c>
      <c r="N178" s="21" t="s">
        <v>20</v>
      </c>
      <c r="O178" s="21" t="s">
        <v>21</v>
      </c>
      <c r="P178" s="21" t="s">
        <v>23</v>
      </c>
      <c r="Q178" s="21" t="s">
        <v>21</v>
      </c>
      <c r="R178" s="21" t="s">
        <v>21</v>
      </c>
      <c r="S178" s="21" t="s">
        <v>21</v>
      </c>
      <c r="T178" s="21" t="s">
        <v>20</v>
      </c>
      <c r="U178" s="21" t="s">
        <v>20</v>
      </c>
      <c r="V178" s="38" t="s">
        <v>20</v>
      </c>
      <c r="W178" s="38" t="s">
        <v>21</v>
      </c>
      <c r="X178" s="38" t="s">
        <v>20</v>
      </c>
      <c r="Y178" s="21" t="s">
        <v>23</v>
      </c>
      <c r="Z178" s="21" t="s">
        <v>23</v>
      </c>
      <c r="AA178" s="23" t="s">
        <v>21</v>
      </c>
      <c r="AB178" s="23" t="s">
        <v>21</v>
      </c>
      <c r="AC178" s="23" t="s">
        <v>21</v>
      </c>
      <c r="AD178" s="21" t="s">
        <v>23</v>
      </c>
      <c r="AE178" s="21" t="s">
        <v>21</v>
      </c>
      <c r="AG178">
        <f>+COUNTIF(F178:AE178,"AD")</f>
        <v>0</v>
      </c>
      <c r="AH178">
        <f>+COUNTIF(F178:AE178,"A")</f>
        <v>5</v>
      </c>
      <c r="AI178">
        <f>+COUNTIF(F178:AE178,"b")</f>
        <v>13</v>
      </c>
      <c r="AJ178">
        <f>+COUNTIF(F178:AE178,"c")</f>
        <v>8</v>
      </c>
      <c r="AL178">
        <f>+$AG$5*AG178</f>
        <v>0</v>
      </c>
      <c r="AM178">
        <f>+$AH$5*AH178</f>
        <v>15</v>
      </c>
      <c r="AN178">
        <f>+$AI$5*AI178</f>
        <v>26</v>
      </c>
      <c r="AO178">
        <f>+$AJ$5*AJ178</f>
        <v>8</v>
      </c>
      <c r="AP178" s="73">
        <f>+SUM(AL178:AO178)</f>
        <v>49</v>
      </c>
    </row>
    <row r="179" spans="1:42" ht="15.75" hidden="1" customHeight="1" x14ac:dyDescent="0.3">
      <c r="A179" s="16"/>
      <c r="B179" s="59">
        <v>1</v>
      </c>
      <c r="C179" s="60" t="s">
        <v>197</v>
      </c>
      <c r="D179" s="59">
        <v>5</v>
      </c>
      <c r="E179" s="59" t="s">
        <v>20</v>
      </c>
      <c r="F179" s="24" t="s">
        <v>20</v>
      </c>
      <c r="G179" s="24" t="s">
        <v>20</v>
      </c>
      <c r="H179" s="24" t="s">
        <v>39</v>
      </c>
      <c r="I179" s="24" t="s">
        <v>39</v>
      </c>
      <c r="J179" s="42" t="s">
        <v>20</v>
      </c>
      <c r="K179" s="42" t="s">
        <v>20</v>
      </c>
      <c r="L179" s="42" t="s">
        <v>20</v>
      </c>
      <c r="M179" s="24" t="s">
        <v>20</v>
      </c>
      <c r="N179" s="24" t="s">
        <v>20</v>
      </c>
      <c r="O179" s="24" t="s">
        <v>20</v>
      </c>
      <c r="P179" s="24" t="s">
        <v>21</v>
      </c>
      <c r="Q179" s="24" t="s">
        <v>21</v>
      </c>
      <c r="R179" s="24" t="s">
        <v>21</v>
      </c>
      <c r="S179" s="24" t="s">
        <v>20</v>
      </c>
      <c r="T179" s="24" t="s">
        <v>21</v>
      </c>
      <c r="U179" s="24" t="s">
        <v>21</v>
      </c>
      <c r="V179" s="52" t="s">
        <v>20</v>
      </c>
      <c r="W179" s="39" t="s">
        <v>21</v>
      </c>
      <c r="X179" s="39" t="s">
        <v>21</v>
      </c>
      <c r="Y179" s="24" t="s">
        <v>20</v>
      </c>
      <c r="Z179" s="24" t="s">
        <v>20</v>
      </c>
      <c r="AA179" s="27" t="s">
        <v>20</v>
      </c>
      <c r="AB179" s="27" t="s">
        <v>20</v>
      </c>
      <c r="AC179" s="27" t="s">
        <v>21</v>
      </c>
      <c r="AD179" s="34" t="s">
        <v>20</v>
      </c>
      <c r="AE179" s="34" t="s">
        <v>21</v>
      </c>
      <c r="AG179">
        <f t="shared" ref="AG155:AG218" si="18">+COUNTIF(F179:AE179,"AD")</f>
        <v>2</v>
      </c>
      <c r="AH179">
        <f t="shared" ref="AH155:AH218" si="19">+COUNTIF(F179:AE179,"A")</f>
        <v>15</v>
      </c>
      <c r="AI179">
        <f t="shared" ref="AI155:AI218" si="20">+COUNTIF(F179:AE179,"b")</f>
        <v>9</v>
      </c>
      <c r="AJ179">
        <f t="shared" ref="AJ155:AJ218" si="21">+COUNTIF(F179:AE179,"c")</f>
        <v>0</v>
      </c>
      <c r="AL179">
        <f t="shared" ref="AL155:AL218" si="22">+$AG$5*AG179</f>
        <v>8</v>
      </c>
      <c r="AM179">
        <f t="shared" ref="AM155:AM218" si="23">+$AH$5*AH179</f>
        <v>45</v>
      </c>
      <c r="AN179">
        <f t="shared" ref="AN155:AN218" si="24">+$AI$5*AI179</f>
        <v>18</v>
      </c>
      <c r="AO179">
        <f t="shared" ref="AO155:AO218" si="25">+$AJ$5*AJ179</f>
        <v>0</v>
      </c>
      <c r="AP179">
        <f t="shared" ref="AP155:AP218" si="26">+SUM(AL179:AO179)</f>
        <v>71</v>
      </c>
    </row>
    <row r="180" spans="1:42" ht="15.75" hidden="1" customHeight="1" x14ac:dyDescent="0.3">
      <c r="A180" s="16"/>
      <c r="B180" s="55">
        <v>2</v>
      </c>
      <c r="C180" s="56" t="s">
        <v>198</v>
      </c>
      <c r="D180" s="55">
        <v>5</v>
      </c>
      <c r="E180" s="55" t="s">
        <v>20</v>
      </c>
      <c r="F180" s="18" t="s">
        <v>20</v>
      </c>
      <c r="G180" s="18" t="s">
        <v>20</v>
      </c>
      <c r="H180" s="18" t="s">
        <v>20</v>
      </c>
      <c r="I180" s="18" t="s">
        <v>20</v>
      </c>
      <c r="J180" s="43" t="s">
        <v>20</v>
      </c>
      <c r="K180" s="43" t="s">
        <v>20</v>
      </c>
      <c r="L180" s="43" t="s">
        <v>20</v>
      </c>
      <c r="M180" s="18" t="s">
        <v>20</v>
      </c>
      <c r="N180" s="18" t="s">
        <v>20</v>
      </c>
      <c r="O180" s="18" t="s">
        <v>20</v>
      </c>
      <c r="P180" s="18" t="s">
        <v>21</v>
      </c>
      <c r="Q180" s="18" t="s">
        <v>20</v>
      </c>
      <c r="R180" s="18" t="s">
        <v>20</v>
      </c>
      <c r="S180" s="18" t="s">
        <v>20</v>
      </c>
      <c r="T180" s="18" t="s">
        <v>21</v>
      </c>
      <c r="U180" s="18" t="s">
        <v>20</v>
      </c>
      <c r="V180" s="49" t="s">
        <v>20</v>
      </c>
      <c r="W180" s="37" t="s">
        <v>20</v>
      </c>
      <c r="X180" s="37" t="s">
        <v>20</v>
      </c>
      <c r="Y180" s="18" t="s">
        <v>21</v>
      </c>
      <c r="Z180" s="18" t="s">
        <v>20</v>
      </c>
      <c r="AA180" s="20" t="s">
        <v>21</v>
      </c>
      <c r="AB180" s="20" t="s">
        <v>20</v>
      </c>
      <c r="AC180" s="20" t="s">
        <v>20</v>
      </c>
      <c r="AD180" s="29" t="s">
        <v>20</v>
      </c>
      <c r="AE180" s="29" t="s">
        <v>21</v>
      </c>
      <c r="AG180">
        <f t="shared" si="18"/>
        <v>0</v>
      </c>
      <c r="AH180">
        <f t="shared" si="19"/>
        <v>21</v>
      </c>
      <c r="AI180">
        <f t="shared" si="20"/>
        <v>5</v>
      </c>
      <c r="AJ180">
        <f t="shared" si="21"/>
        <v>0</v>
      </c>
      <c r="AL180">
        <f t="shared" si="22"/>
        <v>0</v>
      </c>
      <c r="AM180">
        <f t="shared" si="23"/>
        <v>63</v>
      </c>
      <c r="AN180">
        <f t="shared" si="24"/>
        <v>10</v>
      </c>
      <c r="AO180">
        <f t="shared" si="25"/>
        <v>0</v>
      </c>
      <c r="AP180">
        <f t="shared" si="26"/>
        <v>73</v>
      </c>
    </row>
    <row r="181" spans="1:42" ht="15.75" hidden="1" customHeight="1" x14ac:dyDescent="0.3">
      <c r="A181" s="16"/>
      <c r="B181" s="55">
        <v>3</v>
      </c>
      <c r="C181" s="56" t="s">
        <v>199</v>
      </c>
      <c r="D181" s="55">
        <v>5</v>
      </c>
      <c r="E181" s="55" t="s">
        <v>20</v>
      </c>
      <c r="F181" s="18" t="s">
        <v>23</v>
      </c>
      <c r="G181" s="18" t="s">
        <v>23</v>
      </c>
      <c r="H181" s="18" t="s">
        <v>21</v>
      </c>
      <c r="I181" s="18" t="s">
        <v>21</v>
      </c>
      <c r="J181" s="43" t="s">
        <v>20</v>
      </c>
      <c r="K181" s="43" t="s">
        <v>20</v>
      </c>
      <c r="L181" s="43" t="s">
        <v>21</v>
      </c>
      <c r="M181" s="18" t="s">
        <v>20</v>
      </c>
      <c r="N181" s="18" t="s">
        <v>20</v>
      </c>
      <c r="O181" s="18" t="s">
        <v>20</v>
      </c>
      <c r="P181" s="18" t="s">
        <v>21</v>
      </c>
      <c r="Q181" s="18" t="s">
        <v>21</v>
      </c>
      <c r="R181" s="18" t="s">
        <v>20</v>
      </c>
      <c r="S181" s="18" t="s">
        <v>21</v>
      </c>
      <c r="T181" s="18" t="s">
        <v>20</v>
      </c>
      <c r="U181" s="18" t="s">
        <v>20</v>
      </c>
      <c r="V181" s="49" t="s">
        <v>20</v>
      </c>
      <c r="W181" s="37" t="s">
        <v>20</v>
      </c>
      <c r="X181" s="37" t="s">
        <v>20</v>
      </c>
      <c r="Y181" s="18" t="s">
        <v>20</v>
      </c>
      <c r="Z181" s="18" t="s">
        <v>20</v>
      </c>
      <c r="AA181" s="20" t="s">
        <v>21</v>
      </c>
      <c r="AB181" s="20" t="s">
        <v>21</v>
      </c>
      <c r="AC181" s="20" t="s">
        <v>21</v>
      </c>
      <c r="AD181" s="29" t="s">
        <v>20</v>
      </c>
      <c r="AE181" s="29" t="s">
        <v>21</v>
      </c>
      <c r="AG181">
        <f t="shared" si="18"/>
        <v>0</v>
      </c>
      <c r="AH181">
        <f t="shared" si="19"/>
        <v>14</v>
      </c>
      <c r="AI181">
        <f t="shared" si="20"/>
        <v>10</v>
      </c>
      <c r="AJ181">
        <f t="shared" si="21"/>
        <v>2</v>
      </c>
      <c r="AL181">
        <f t="shared" si="22"/>
        <v>0</v>
      </c>
      <c r="AM181">
        <f t="shared" si="23"/>
        <v>42</v>
      </c>
      <c r="AN181">
        <f t="shared" si="24"/>
        <v>20</v>
      </c>
      <c r="AO181">
        <f t="shared" si="25"/>
        <v>2</v>
      </c>
      <c r="AP181">
        <f t="shared" si="26"/>
        <v>64</v>
      </c>
    </row>
    <row r="182" spans="1:42" ht="15.75" hidden="1" customHeight="1" x14ac:dyDescent="0.3">
      <c r="A182" s="16"/>
      <c r="B182" s="55">
        <v>4</v>
      </c>
      <c r="C182" s="56" t="s">
        <v>200</v>
      </c>
      <c r="D182" s="55">
        <v>5</v>
      </c>
      <c r="E182" s="55" t="s">
        <v>20</v>
      </c>
      <c r="F182" s="18" t="s">
        <v>23</v>
      </c>
      <c r="G182" s="18" t="s">
        <v>23</v>
      </c>
      <c r="H182" s="18" t="s">
        <v>23</v>
      </c>
      <c r="I182" s="18" t="s">
        <v>23</v>
      </c>
      <c r="J182" s="43" t="s">
        <v>21</v>
      </c>
      <c r="K182" s="43" t="s">
        <v>21</v>
      </c>
      <c r="L182" s="43" t="s">
        <v>21</v>
      </c>
      <c r="M182" s="18" t="s">
        <v>21</v>
      </c>
      <c r="N182" s="18" t="s">
        <v>21</v>
      </c>
      <c r="O182" s="18" t="s">
        <v>20</v>
      </c>
      <c r="P182" s="18" t="s">
        <v>23</v>
      </c>
      <c r="Q182" s="18" t="s">
        <v>21</v>
      </c>
      <c r="R182" s="18" t="s">
        <v>21</v>
      </c>
      <c r="S182" s="18" t="s">
        <v>21</v>
      </c>
      <c r="T182" s="18" t="s">
        <v>21</v>
      </c>
      <c r="U182" s="18" t="s">
        <v>20</v>
      </c>
      <c r="V182" s="49" t="s">
        <v>20</v>
      </c>
      <c r="W182" s="37" t="s">
        <v>20</v>
      </c>
      <c r="X182" s="37" t="s">
        <v>20</v>
      </c>
      <c r="Y182" s="18" t="s">
        <v>20</v>
      </c>
      <c r="Z182" s="18" t="s">
        <v>20</v>
      </c>
      <c r="AA182" s="20" t="s">
        <v>21</v>
      </c>
      <c r="AB182" s="20" t="s">
        <v>21</v>
      </c>
      <c r="AC182" s="20" t="s">
        <v>21</v>
      </c>
      <c r="AD182" s="29" t="s">
        <v>21</v>
      </c>
      <c r="AE182" s="29" t="s">
        <v>21</v>
      </c>
      <c r="AG182">
        <f t="shared" si="18"/>
        <v>0</v>
      </c>
      <c r="AH182">
        <f t="shared" si="19"/>
        <v>7</v>
      </c>
      <c r="AI182">
        <f t="shared" si="20"/>
        <v>14</v>
      </c>
      <c r="AJ182">
        <f t="shared" si="21"/>
        <v>5</v>
      </c>
      <c r="AL182">
        <f t="shared" si="22"/>
        <v>0</v>
      </c>
      <c r="AM182">
        <f t="shared" si="23"/>
        <v>21</v>
      </c>
      <c r="AN182">
        <f t="shared" si="24"/>
        <v>28</v>
      </c>
      <c r="AO182">
        <f t="shared" si="25"/>
        <v>5</v>
      </c>
      <c r="AP182">
        <f t="shared" si="26"/>
        <v>54</v>
      </c>
    </row>
    <row r="183" spans="1:42" ht="15.75" hidden="1" customHeight="1" x14ac:dyDescent="0.3">
      <c r="A183" s="16"/>
      <c r="B183" s="55">
        <v>5</v>
      </c>
      <c r="C183" s="56" t="s">
        <v>201</v>
      </c>
      <c r="D183" s="55">
        <v>5</v>
      </c>
      <c r="E183" s="55" t="s">
        <v>20</v>
      </c>
      <c r="F183" s="18" t="s">
        <v>20</v>
      </c>
      <c r="G183" s="18" t="s">
        <v>20</v>
      </c>
      <c r="H183" s="18" t="s">
        <v>39</v>
      </c>
      <c r="I183" s="18" t="s">
        <v>39</v>
      </c>
      <c r="J183" s="43" t="s">
        <v>20</v>
      </c>
      <c r="K183" s="43" t="s">
        <v>20</v>
      </c>
      <c r="L183" s="43" t="s">
        <v>20</v>
      </c>
      <c r="M183" s="18" t="s">
        <v>20</v>
      </c>
      <c r="N183" s="18" t="s">
        <v>20</v>
      </c>
      <c r="O183" s="18" t="s">
        <v>20</v>
      </c>
      <c r="P183" s="18" t="s">
        <v>20</v>
      </c>
      <c r="Q183" s="18" t="s">
        <v>21</v>
      </c>
      <c r="R183" s="18" t="s">
        <v>21</v>
      </c>
      <c r="S183" s="18" t="s">
        <v>20</v>
      </c>
      <c r="T183" s="18" t="s">
        <v>21</v>
      </c>
      <c r="U183" s="18" t="s">
        <v>20</v>
      </c>
      <c r="V183" s="50" t="s">
        <v>20</v>
      </c>
      <c r="W183" s="37" t="s">
        <v>20</v>
      </c>
      <c r="X183" s="37" t="s">
        <v>20</v>
      </c>
      <c r="Y183" s="18" t="s">
        <v>20</v>
      </c>
      <c r="Z183" s="18" t="s">
        <v>20</v>
      </c>
      <c r="AA183" s="20" t="s">
        <v>21</v>
      </c>
      <c r="AB183" s="20" t="s">
        <v>21</v>
      </c>
      <c r="AC183" s="20" t="s">
        <v>21</v>
      </c>
      <c r="AD183" s="29" t="s">
        <v>20</v>
      </c>
      <c r="AE183" s="29" t="s">
        <v>21</v>
      </c>
      <c r="AG183">
        <f t="shared" si="18"/>
        <v>2</v>
      </c>
      <c r="AH183">
        <f t="shared" si="19"/>
        <v>17</v>
      </c>
      <c r="AI183">
        <f t="shared" si="20"/>
        <v>7</v>
      </c>
      <c r="AJ183">
        <f t="shared" si="21"/>
        <v>0</v>
      </c>
      <c r="AL183">
        <f t="shared" si="22"/>
        <v>8</v>
      </c>
      <c r="AM183">
        <f t="shared" si="23"/>
        <v>51</v>
      </c>
      <c r="AN183">
        <f t="shared" si="24"/>
        <v>14</v>
      </c>
      <c r="AO183">
        <f t="shared" si="25"/>
        <v>0</v>
      </c>
      <c r="AP183">
        <f t="shared" si="26"/>
        <v>73</v>
      </c>
    </row>
    <row r="184" spans="1:42" ht="15.75" hidden="1" customHeight="1" x14ac:dyDescent="0.3">
      <c r="A184" s="16"/>
      <c r="B184" s="55">
        <v>6</v>
      </c>
      <c r="C184" s="56" t="s">
        <v>202</v>
      </c>
      <c r="D184" s="55">
        <v>5</v>
      </c>
      <c r="E184" s="55" t="s">
        <v>20</v>
      </c>
      <c r="F184" s="18" t="s">
        <v>20</v>
      </c>
      <c r="G184" s="18" t="s">
        <v>20</v>
      </c>
      <c r="H184" s="18" t="s">
        <v>39</v>
      </c>
      <c r="I184" s="18" t="s">
        <v>39</v>
      </c>
      <c r="J184" s="43" t="s">
        <v>20</v>
      </c>
      <c r="K184" s="43" t="s">
        <v>20</v>
      </c>
      <c r="L184" s="43" t="s">
        <v>20</v>
      </c>
      <c r="M184" s="18" t="s">
        <v>20</v>
      </c>
      <c r="N184" s="18" t="s">
        <v>20</v>
      </c>
      <c r="O184" s="18" t="s">
        <v>20</v>
      </c>
      <c r="P184" s="18" t="s">
        <v>21</v>
      </c>
      <c r="Q184" s="18" t="s">
        <v>21</v>
      </c>
      <c r="R184" s="18" t="s">
        <v>21</v>
      </c>
      <c r="S184" s="18" t="s">
        <v>21</v>
      </c>
      <c r="T184" s="18" t="s">
        <v>20</v>
      </c>
      <c r="U184" s="18" t="s">
        <v>20</v>
      </c>
      <c r="V184" s="49" t="s">
        <v>20</v>
      </c>
      <c r="W184" s="37" t="s">
        <v>20</v>
      </c>
      <c r="X184" s="53" t="s">
        <v>20</v>
      </c>
      <c r="Y184" s="18" t="s">
        <v>20</v>
      </c>
      <c r="Z184" s="18" t="s">
        <v>20</v>
      </c>
      <c r="AA184" s="20" t="s">
        <v>20</v>
      </c>
      <c r="AB184" s="20" t="s">
        <v>20</v>
      </c>
      <c r="AC184" s="20" t="s">
        <v>20</v>
      </c>
      <c r="AD184" s="29" t="s">
        <v>20</v>
      </c>
      <c r="AE184" s="29" t="s">
        <v>21</v>
      </c>
      <c r="AG184">
        <f t="shared" si="18"/>
        <v>2</v>
      </c>
      <c r="AH184">
        <f t="shared" si="19"/>
        <v>19</v>
      </c>
      <c r="AI184">
        <f t="shared" si="20"/>
        <v>5</v>
      </c>
      <c r="AJ184">
        <f t="shared" si="21"/>
        <v>0</v>
      </c>
      <c r="AL184">
        <f t="shared" si="22"/>
        <v>8</v>
      </c>
      <c r="AM184">
        <f t="shared" si="23"/>
        <v>57</v>
      </c>
      <c r="AN184">
        <f t="shared" si="24"/>
        <v>10</v>
      </c>
      <c r="AO184">
        <f t="shared" si="25"/>
        <v>0</v>
      </c>
      <c r="AP184">
        <f t="shared" si="26"/>
        <v>75</v>
      </c>
    </row>
    <row r="185" spans="1:42" ht="15.75" hidden="1" customHeight="1" x14ac:dyDescent="0.3">
      <c r="A185" s="16"/>
      <c r="B185" s="55">
        <v>7</v>
      </c>
      <c r="C185" s="56" t="s">
        <v>203</v>
      </c>
      <c r="D185" s="55">
        <v>5</v>
      </c>
      <c r="E185" s="55" t="s">
        <v>20</v>
      </c>
      <c r="F185" s="18" t="s">
        <v>23</v>
      </c>
      <c r="G185" s="18" t="s">
        <v>21</v>
      </c>
      <c r="H185" s="18" t="s">
        <v>23</v>
      </c>
      <c r="I185" s="18" t="s">
        <v>21</v>
      </c>
      <c r="J185" s="43" t="s">
        <v>20</v>
      </c>
      <c r="K185" s="43" t="s">
        <v>20</v>
      </c>
      <c r="L185" s="43" t="s">
        <v>21</v>
      </c>
      <c r="M185" s="18" t="s">
        <v>21</v>
      </c>
      <c r="N185" s="18" t="s">
        <v>20</v>
      </c>
      <c r="O185" s="18" t="s">
        <v>20</v>
      </c>
      <c r="P185" s="18" t="s">
        <v>21</v>
      </c>
      <c r="Q185" s="18" t="s">
        <v>20</v>
      </c>
      <c r="R185" s="18" t="s">
        <v>20</v>
      </c>
      <c r="S185" s="18" t="s">
        <v>21</v>
      </c>
      <c r="T185" s="18" t="s">
        <v>21</v>
      </c>
      <c r="U185" s="18" t="s">
        <v>20</v>
      </c>
      <c r="V185" s="49" t="s">
        <v>20</v>
      </c>
      <c r="W185" s="37" t="s">
        <v>20</v>
      </c>
      <c r="X185" s="37" t="s">
        <v>20</v>
      </c>
      <c r="Y185" s="18" t="s">
        <v>20</v>
      </c>
      <c r="Z185" s="18" t="s">
        <v>21</v>
      </c>
      <c r="AA185" s="20" t="s">
        <v>21</v>
      </c>
      <c r="AB185" s="20" t="s">
        <v>20</v>
      </c>
      <c r="AC185" s="20" t="s">
        <v>21</v>
      </c>
      <c r="AD185" s="29" t="s">
        <v>20</v>
      </c>
      <c r="AE185" s="29" t="s">
        <v>21</v>
      </c>
      <c r="AG185">
        <f t="shared" si="18"/>
        <v>0</v>
      </c>
      <c r="AH185">
        <f t="shared" si="19"/>
        <v>13</v>
      </c>
      <c r="AI185">
        <f t="shared" si="20"/>
        <v>11</v>
      </c>
      <c r="AJ185">
        <f t="shared" si="21"/>
        <v>2</v>
      </c>
      <c r="AL185">
        <f t="shared" si="22"/>
        <v>0</v>
      </c>
      <c r="AM185">
        <f t="shared" si="23"/>
        <v>39</v>
      </c>
      <c r="AN185">
        <f t="shared" si="24"/>
        <v>22</v>
      </c>
      <c r="AO185">
        <f t="shared" si="25"/>
        <v>2</v>
      </c>
      <c r="AP185">
        <f t="shared" si="26"/>
        <v>63</v>
      </c>
    </row>
    <row r="186" spans="1:42" ht="15.75" hidden="1" customHeight="1" x14ac:dyDescent="0.3">
      <c r="A186" s="16"/>
      <c r="B186" s="55">
        <v>8</v>
      </c>
      <c r="C186" s="56" t="s">
        <v>204</v>
      </c>
      <c r="D186" s="55">
        <v>5</v>
      </c>
      <c r="E186" s="55" t="s">
        <v>20</v>
      </c>
      <c r="F186" s="18" t="s">
        <v>21</v>
      </c>
      <c r="G186" s="18" t="s">
        <v>21</v>
      </c>
      <c r="H186" s="18" t="s">
        <v>21</v>
      </c>
      <c r="I186" s="18" t="s">
        <v>21</v>
      </c>
      <c r="J186" s="43" t="s">
        <v>21</v>
      </c>
      <c r="K186" s="43" t="s">
        <v>21</v>
      </c>
      <c r="L186" s="43" t="s">
        <v>21</v>
      </c>
      <c r="M186" s="18" t="s">
        <v>21</v>
      </c>
      <c r="N186" s="18" t="s">
        <v>20</v>
      </c>
      <c r="O186" s="18" t="s">
        <v>20</v>
      </c>
      <c r="P186" s="18" t="s">
        <v>21</v>
      </c>
      <c r="Q186" s="18" t="s">
        <v>23</v>
      </c>
      <c r="R186" s="18" t="s">
        <v>21</v>
      </c>
      <c r="S186" s="18" t="s">
        <v>21</v>
      </c>
      <c r="T186" s="18" t="s">
        <v>21</v>
      </c>
      <c r="U186" s="18" t="s">
        <v>21</v>
      </c>
      <c r="V186" s="49" t="s">
        <v>21</v>
      </c>
      <c r="W186" s="37" t="s">
        <v>20</v>
      </c>
      <c r="X186" s="37" t="s">
        <v>20</v>
      </c>
      <c r="Y186" s="18" t="s">
        <v>21</v>
      </c>
      <c r="Z186" s="18" t="s">
        <v>21</v>
      </c>
      <c r="AA186" s="20" t="s">
        <v>21</v>
      </c>
      <c r="AB186" s="20" t="s">
        <v>21</v>
      </c>
      <c r="AC186" s="20" t="s">
        <v>21</v>
      </c>
      <c r="AD186" s="29" t="s">
        <v>21</v>
      </c>
      <c r="AE186" s="29" t="s">
        <v>21</v>
      </c>
      <c r="AG186">
        <f t="shared" si="18"/>
        <v>0</v>
      </c>
      <c r="AH186">
        <f t="shared" si="19"/>
        <v>4</v>
      </c>
      <c r="AI186">
        <f t="shared" si="20"/>
        <v>21</v>
      </c>
      <c r="AJ186">
        <f t="shared" si="21"/>
        <v>1</v>
      </c>
      <c r="AL186">
        <f t="shared" si="22"/>
        <v>0</v>
      </c>
      <c r="AM186">
        <f t="shared" si="23"/>
        <v>12</v>
      </c>
      <c r="AN186">
        <f t="shared" si="24"/>
        <v>42</v>
      </c>
      <c r="AO186">
        <f t="shared" si="25"/>
        <v>1</v>
      </c>
      <c r="AP186">
        <f t="shared" si="26"/>
        <v>55</v>
      </c>
    </row>
    <row r="187" spans="1:42" ht="15.75" hidden="1" customHeight="1" x14ac:dyDescent="0.3">
      <c r="A187" s="16"/>
      <c r="B187" s="55">
        <v>9</v>
      </c>
      <c r="C187" s="56" t="s">
        <v>205</v>
      </c>
      <c r="D187" s="55">
        <v>5</v>
      </c>
      <c r="E187" s="55" t="s">
        <v>20</v>
      </c>
      <c r="F187" s="18" t="s">
        <v>20</v>
      </c>
      <c r="G187" s="18" t="s">
        <v>20</v>
      </c>
      <c r="H187" s="18" t="s">
        <v>20</v>
      </c>
      <c r="I187" s="18" t="s">
        <v>20</v>
      </c>
      <c r="J187" s="43" t="s">
        <v>20</v>
      </c>
      <c r="K187" s="43" t="s">
        <v>20</v>
      </c>
      <c r="L187" s="43" t="s">
        <v>20</v>
      </c>
      <c r="M187" s="18" t="s">
        <v>20</v>
      </c>
      <c r="N187" s="18" t="s">
        <v>20</v>
      </c>
      <c r="O187" s="18" t="s">
        <v>20</v>
      </c>
      <c r="P187" s="18" t="s">
        <v>21</v>
      </c>
      <c r="Q187" s="18" t="s">
        <v>21</v>
      </c>
      <c r="R187" s="18" t="s">
        <v>20</v>
      </c>
      <c r="S187" s="18" t="s">
        <v>20</v>
      </c>
      <c r="T187" s="18" t="s">
        <v>21</v>
      </c>
      <c r="U187" s="18" t="s">
        <v>21</v>
      </c>
      <c r="V187" s="49" t="s">
        <v>20</v>
      </c>
      <c r="W187" s="37" t="s">
        <v>20</v>
      </c>
      <c r="X187" s="37" t="s">
        <v>20</v>
      </c>
      <c r="Y187" s="18" t="s">
        <v>20</v>
      </c>
      <c r="Z187" s="18" t="s">
        <v>20</v>
      </c>
      <c r="AA187" s="20" t="s">
        <v>20</v>
      </c>
      <c r="AB187" s="20" t="s">
        <v>20</v>
      </c>
      <c r="AC187" s="20" t="s">
        <v>20</v>
      </c>
      <c r="AD187" s="29" t="s">
        <v>20</v>
      </c>
      <c r="AE187" s="29" t="s">
        <v>21</v>
      </c>
      <c r="AG187">
        <f t="shared" si="18"/>
        <v>0</v>
      </c>
      <c r="AH187">
        <f t="shared" si="19"/>
        <v>21</v>
      </c>
      <c r="AI187">
        <f t="shared" si="20"/>
        <v>5</v>
      </c>
      <c r="AJ187">
        <f t="shared" si="21"/>
        <v>0</v>
      </c>
      <c r="AL187">
        <f t="shared" si="22"/>
        <v>0</v>
      </c>
      <c r="AM187">
        <f t="shared" si="23"/>
        <v>63</v>
      </c>
      <c r="AN187">
        <f t="shared" si="24"/>
        <v>10</v>
      </c>
      <c r="AO187">
        <f t="shared" si="25"/>
        <v>0</v>
      </c>
      <c r="AP187">
        <f t="shared" si="26"/>
        <v>73</v>
      </c>
    </row>
    <row r="188" spans="1:42" ht="15.75" hidden="1" customHeight="1" x14ac:dyDescent="0.3">
      <c r="A188" s="16"/>
      <c r="B188" s="55">
        <v>10</v>
      </c>
      <c r="C188" s="56" t="s">
        <v>206</v>
      </c>
      <c r="D188" s="55">
        <v>5</v>
      </c>
      <c r="E188" s="55" t="s">
        <v>20</v>
      </c>
      <c r="F188" s="18" t="s">
        <v>20</v>
      </c>
      <c r="G188" s="18" t="s">
        <v>20</v>
      </c>
      <c r="H188" s="18" t="s">
        <v>20</v>
      </c>
      <c r="I188" s="18" t="s">
        <v>20</v>
      </c>
      <c r="J188" s="43" t="s">
        <v>20</v>
      </c>
      <c r="K188" s="43" t="s">
        <v>20</v>
      </c>
      <c r="L188" s="43" t="s">
        <v>21</v>
      </c>
      <c r="M188" s="18" t="s">
        <v>20</v>
      </c>
      <c r="N188" s="18" t="s">
        <v>20</v>
      </c>
      <c r="O188" s="18" t="s">
        <v>20</v>
      </c>
      <c r="P188" s="18" t="s">
        <v>21</v>
      </c>
      <c r="Q188" s="18" t="s">
        <v>21</v>
      </c>
      <c r="R188" s="18" t="s">
        <v>20</v>
      </c>
      <c r="S188" s="18" t="s">
        <v>20</v>
      </c>
      <c r="T188" s="18" t="s">
        <v>21</v>
      </c>
      <c r="U188" s="18" t="s">
        <v>20</v>
      </c>
      <c r="V188" s="49" t="s">
        <v>20</v>
      </c>
      <c r="W188" s="37" t="s">
        <v>20</v>
      </c>
      <c r="X188" s="37" t="s">
        <v>21</v>
      </c>
      <c r="Y188" s="18" t="s">
        <v>20</v>
      </c>
      <c r="Z188" s="18" t="s">
        <v>20</v>
      </c>
      <c r="AA188" s="20" t="s">
        <v>39</v>
      </c>
      <c r="AB188" s="20" t="s">
        <v>20</v>
      </c>
      <c r="AC188" s="20" t="s">
        <v>20</v>
      </c>
      <c r="AD188" s="29" t="s">
        <v>20</v>
      </c>
      <c r="AE188" s="29" t="s">
        <v>21</v>
      </c>
      <c r="AG188">
        <f t="shared" si="18"/>
        <v>1</v>
      </c>
      <c r="AH188">
        <f t="shared" si="19"/>
        <v>19</v>
      </c>
      <c r="AI188">
        <f t="shared" si="20"/>
        <v>6</v>
      </c>
      <c r="AJ188">
        <f t="shared" si="21"/>
        <v>0</v>
      </c>
      <c r="AL188">
        <f t="shared" si="22"/>
        <v>4</v>
      </c>
      <c r="AM188">
        <f t="shared" si="23"/>
        <v>57</v>
      </c>
      <c r="AN188">
        <f t="shared" si="24"/>
        <v>12</v>
      </c>
      <c r="AO188">
        <f t="shared" si="25"/>
        <v>0</v>
      </c>
      <c r="AP188">
        <f t="shared" si="26"/>
        <v>73</v>
      </c>
    </row>
    <row r="189" spans="1:42" ht="15.75" hidden="1" customHeight="1" x14ac:dyDescent="0.3">
      <c r="A189" s="16"/>
      <c r="B189" s="55">
        <v>11</v>
      </c>
      <c r="C189" s="56" t="s">
        <v>207</v>
      </c>
      <c r="D189" s="55">
        <v>5</v>
      </c>
      <c r="E189" s="55" t="s">
        <v>20</v>
      </c>
      <c r="F189" s="18" t="s">
        <v>20</v>
      </c>
      <c r="G189" s="18" t="s">
        <v>20</v>
      </c>
      <c r="H189" s="18" t="s">
        <v>39</v>
      </c>
      <c r="I189" s="18" t="s">
        <v>20</v>
      </c>
      <c r="J189" s="43" t="s">
        <v>20</v>
      </c>
      <c r="K189" s="43" t="s">
        <v>20</v>
      </c>
      <c r="L189" s="43" t="s">
        <v>20</v>
      </c>
      <c r="M189" s="18" t="s">
        <v>20</v>
      </c>
      <c r="N189" s="18" t="s">
        <v>20</v>
      </c>
      <c r="O189" s="18" t="s">
        <v>20</v>
      </c>
      <c r="P189" s="18" t="s">
        <v>20</v>
      </c>
      <c r="Q189" s="18" t="s">
        <v>20</v>
      </c>
      <c r="R189" s="18" t="s">
        <v>21</v>
      </c>
      <c r="S189" s="18" t="s">
        <v>20</v>
      </c>
      <c r="T189" s="18" t="s">
        <v>21</v>
      </c>
      <c r="U189" s="18" t="s">
        <v>20</v>
      </c>
      <c r="V189" s="49" t="s">
        <v>20</v>
      </c>
      <c r="W189" s="37" t="s">
        <v>20</v>
      </c>
      <c r="X189" s="37" t="s">
        <v>20</v>
      </c>
      <c r="Y189" s="18" t="s">
        <v>20</v>
      </c>
      <c r="Z189" s="18" t="s">
        <v>20</v>
      </c>
      <c r="AA189" s="20" t="s">
        <v>20</v>
      </c>
      <c r="AB189" s="20" t="s">
        <v>20</v>
      </c>
      <c r="AC189" s="20" t="s">
        <v>21</v>
      </c>
      <c r="AD189" s="29" t="s">
        <v>20</v>
      </c>
      <c r="AE189" s="29" t="s">
        <v>21</v>
      </c>
      <c r="AG189">
        <f t="shared" si="18"/>
        <v>1</v>
      </c>
      <c r="AH189">
        <f t="shared" si="19"/>
        <v>21</v>
      </c>
      <c r="AI189">
        <f t="shared" si="20"/>
        <v>4</v>
      </c>
      <c r="AJ189">
        <f t="shared" si="21"/>
        <v>0</v>
      </c>
      <c r="AL189">
        <f t="shared" si="22"/>
        <v>4</v>
      </c>
      <c r="AM189">
        <f t="shared" si="23"/>
        <v>63</v>
      </c>
      <c r="AN189">
        <f t="shared" si="24"/>
        <v>8</v>
      </c>
      <c r="AO189">
        <f t="shared" si="25"/>
        <v>0</v>
      </c>
      <c r="AP189">
        <f t="shared" si="26"/>
        <v>75</v>
      </c>
    </row>
    <row r="190" spans="1:42" ht="15.75" hidden="1" customHeight="1" x14ac:dyDescent="0.3">
      <c r="A190" s="16"/>
      <c r="B190" s="55">
        <v>12</v>
      </c>
      <c r="C190" s="56" t="s">
        <v>208</v>
      </c>
      <c r="D190" s="55">
        <v>5</v>
      </c>
      <c r="E190" s="55" t="s">
        <v>20</v>
      </c>
      <c r="F190" s="18" t="s">
        <v>20</v>
      </c>
      <c r="G190" s="18" t="s">
        <v>39</v>
      </c>
      <c r="H190" s="18" t="s">
        <v>20</v>
      </c>
      <c r="I190" s="18" t="s">
        <v>39</v>
      </c>
      <c r="J190" s="43" t="s">
        <v>20</v>
      </c>
      <c r="K190" s="43" t="s">
        <v>39</v>
      </c>
      <c r="L190" s="43" t="s">
        <v>20</v>
      </c>
      <c r="M190" s="18" t="s">
        <v>20</v>
      </c>
      <c r="N190" s="18" t="s">
        <v>20</v>
      </c>
      <c r="O190" s="18" t="s">
        <v>20</v>
      </c>
      <c r="P190" s="18" t="s">
        <v>20</v>
      </c>
      <c r="Q190" s="18" t="s">
        <v>20</v>
      </c>
      <c r="R190" s="18" t="s">
        <v>20</v>
      </c>
      <c r="S190" s="18" t="s">
        <v>20</v>
      </c>
      <c r="T190" s="18" t="s">
        <v>20</v>
      </c>
      <c r="U190" s="18" t="s">
        <v>20</v>
      </c>
      <c r="V190" s="49" t="s">
        <v>20</v>
      </c>
      <c r="W190" s="37" t="s">
        <v>20</v>
      </c>
      <c r="X190" s="37" t="s">
        <v>20</v>
      </c>
      <c r="Y190" s="18" t="s">
        <v>39</v>
      </c>
      <c r="Z190" s="18" t="s">
        <v>39</v>
      </c>
      <c r="AA190" s="20" t="s">
        <v>20</v>
      </c>
      <c r="AB190" s="20" t="s">
        <v>20</v>
      </c>
      <c r="AC190" s="20" t="s">
        <v>20</v>
      </c>
      <c r="AD190" s="29" t="s">
        <v>20</v>
      </c>
      <c r="AE190" s="29" t="s">
        <v>21</v>
      </c>
      <c r="AG190">
        <f t="shared" si="18"/>
        <v>5</v>
      </c>
      <c r="AH190">
        <f t="shared" si="19"/>
        <v>20</v>
      </c>
      <c r="AI190">
        <f t="shared" si="20"/>
        <v>1</v>
      </c>
      <c r="AJ190">
        <f t="shared" si="21"/>
        <v>0</v>
      </c>
      <c r="AL190">
        <f t="shared" si="22"/>
        <v>20</v>
      </c>
      <c r="AM190">
        <f t="shared" si="23"/>
        <v>60</v>
      </c>
      <c r="AN190">
        <f t="shared" si="24"/>
        <v>2</v>
      </c>
      <c r="AO190">
        <f t="shared" si="25"/>
        <v>0</v>
      </c>
      <c r="AP190">
        <f t="shared" si="26"/>
        <v>82</v>
      </c>
    </row>
    <row r="191" spans="1:42" ht="15.75" hidden="1" customHeight="1" x14ac:dyDescent="0.3">
      <c r="A191" s="16"/>
      <c r="B191" s="55">
        <v>13</v>
      </c>
      <c r="C191" s="56" t="s">
        <v>209</v>
      </c>
      <c r="D191" s="55">
        <v>5</v>
      </c>
      <c r="E191" s="55" t="s">
        <v>20</v>
      </c>
      <c r="F191" s="18" t="s">
        <v>20</v>
      </c>
      <c r="G191" s="18" t="s">
        <v>20</v>
      </c>
      <c r="H191" s="18" t="s">
        <v>20</v>
      </c>
      <c r="I191" s="18" t="s">
        <v>20</v>
      </c>
      <c r="J191" s="43" t="s">
        <v>20</v>
      </c>
      <c r="K191" s="43" t="s">
        <v>20</v>
      </c>
      <c r="L191" s="43" t="s">
        <v>20</v>
      </c>
      <c r="M191" s="18" t="s">
        <v>20</v>
      </c>
      <c r="N191" s="18" t="s">
        <v>20</v>
      </c>
      <c r="O191" s="18" t="s">
        <v>20</v>
      </c>
      <c r="P191" s="18" t="s">
        <v>21</v>
      </c>
      <c r="Q191" s="18" t="s">
        <v>21</v>
      </c>
      <c r="R191" s="18" t="s">
        <v>20</v>
      </c>
      <c r="S191" s="18" t="s">
        <v>21</v>
      </c>
      <c r="T191" s="18" t="s">
        <v>21</v>
      </c>
      <c r="U191" s="18" t="s">
        <v>20</v>
      </c>
      <c r="V191" s="49" t="s">
        <v>20</v>
      </c>
      <c r="W191" s="37" t="s">
        <v>20</v>
      </c>
      <c r="X191" s="37" t="s">
        <v>20</v>
      </c>
      <c r="Y191" s="18" t="s">
        <v>20</v>
      </c>
      <c r="Z191" s="18" t="s">
        <v>39</v>
      </c>
      <c r="AA191" s="20" t="s">
        <v>39</v>
      </c>
      <c r="AB191" s="20" t="s">
        <v>20</v>
      </c>
      <c r="AC191" s="20" t="s">
        <v>39</v>
      </c>
      <c r="AD191" s="29" t="s">
        <v>20</v>
      </c>
      <c r="AE191" s="29" t="s">
        <v>21</v>
      </c>
      <c r="AG191">
        <f t="shared" si="18"/>
        <v>3</v>
      </c>
      <c r="AH191">
        <f t="shared" si="19"/>
        <v>18</v>
      </c>
      <c r="AI191">
        <f t="shared" si="20"/>
        <v>5</v>
      </c>
      <c r="AJ191">
        <f t="shared" si="21"/>
        <v>0</v>
      </c>
      <c r="AL191">
        <f t="shared" si="22"/>
        <v>12</v>
      </c>
      <c r="AM191">
        <f t="shared" si="23"/>
        <v>54</v>
      </c>
      <c r="AN191">
        <f t="shared" si="24"/>
        <v>10</v>
      </c>
      <c r="AO191">
        <f t="shared" si="25"/>
        <v>0</v>
      </c>
      <c r="AP191">
        <f t="shared" si="26"/>
        <v>76</v>
      </c>
    </row>
    <row r="192" spans="1:42" ht="15.75" hidden="1" customHeight="1" x14ac:dyDescent="0.3">
      <c r="A192" s="16"/>
      <c r="B192" s="55">
        <v>14</v>
      </c>
      <c r="C192" s="56" t="s">
        <v>210</v>
      </c>
      <c r="D192" s="55">
        <v>5</v>
      </c>
      <c r="E192" s="55" t="s">
        <v>20</v>
      </c>
      <c r="F192" s="18" t="s">
        <v>20</v>
      </c>
      <c r="G192" s="18" t="s">
        <v>20</v>
      </c>
      <c r="H192" s="18" t="s">
        <v>39</v>
      </c>
      <c r="I192" s="18" t="s">
        <v>20</v>
      </c>
      <c r="J192" s="43" t="s">
        <v>20</v>
      </c>
      <c r="K192" s="43" t="s">
        <v>39</v>
      </c>
      <c r="L192" s="43" t="s">
        <v>20</v>
      </c>
      <c r="M192" s="18" t="s">
        <v>21</v>
      </c>
      <c r="N192" s="18" t="s">
        <v>20</v>
      </c>
      <c r="O192" s="18" t="s">
        <v>20</v>
      </c>
      <c r="P192" s="18" t="s">
        <v>20</v>
      </c>
      <c r="Q192" s="18" t="s">
        <v>20</v>
      </c>
      <c r="R192" s="18" t="s">
        <v>20</v>
      </c>
      <c r="S192" s="18" t="s">
        <v>20</v>
      </c>
      <c r="T192" s="18" t="s">
        <v>21</v>
      </c>
      <c r="U192" s="18" t="s">
        <v>20</v>
      </c>
      <c r="V192" s="37" t="s">
        <v>20</v>
      </c>
      <c r="W192" s="37" t="s">
        <v>20</v>
      </c>
      <c r="X192" s="37" t="s">
        <v>20</v>
      </c>
      <c r="Y192" s="18" t="s">
        <v>20</v>
      </c>
      <c r="Z192" s="18" t="s">
        <v>39</v>
      </c>
      <c r="AA192" s="20" t="s">
        <v>21</v>
      </c>
      <c r="AB192" s="20" t="s">
        <v>20</v>
      </c>
      <c r="AC192" s="20" t="s">
        <v>20</v>
      </c>
      <c r="AD192" s="18" t="s">
        <v>20</v>
      </c>
      <c r="AE192" s="18" t="s">
        <v>21</v>
      </c>
      <c r="AG192">
        <f t="shared" si="18"/>
        <v>3</v>
      </c>
      <c r="AH192">
        <f t="shared" si="19"/>
        <v>19</v>
      </c>
      <c r="AI192">
        <f t="shared" si="20"/>
        <v>4</v>
      </c>
      <c r="AJ192">
        <f t="shared" si="21"/>
        <v>0</v>
      </c>
      <c r="AL192">
        <f t="shared" si="22"/>
        <v>12</v>
      </c>
      <c r="AM192">
        <f t="shared" si="23"/>
        <v>57</v>
      </c>
      <c r="AN192">
        <f t="shared" si="24"/>
        <v>8</v>
      </c>
      <c r="AO192">
        <f t="shared" si="25"/>
        <v>0</v>
      </c>
      <c r="AP192">
        <f t="shared" si="26"/>
        <v>77</v>
      </c>
    </row>
    <row r="193" spans="1:42" ht="15.75" hidden="1" customHeight="1" x14ac:dyDescent="0.3">
      <c r="A193" s="16"/>
      <c r="B193" s="55">
        <v>15</v>
      </c>
      <c r="C193" s="56" t="s">
        <v>211</v>
      </c>
      <c r="D193" s="55">
        <v>5</v>
      </c>
      <c r="E193" s="55" t="s">
        <v>20</v>
      </c>
      <c r="F193" s="18" t="s">
        <v>21</v>
      </c>
      <c r="G193" s="18" t="s">
        <v>21</v>
      </c>
      <c r="H193" s="18" t="s">
        <v>21</v>
      </c>
      <c r="I193" s="18" t="s">
        <v>21</v>
      </c>
      <c r="J193" s="43" t="s">
        <v>20</v>
      </c>
      <c r="K193" s="43" t="s">
        <v>20</v>
      </c>
      <c r="L193" s="43" t="s">
        <v>21</v>
      </c>
      <c r="M193" s="18" t="s">
        <v>20</v>
      </c>
      <c r="N193" s="18" t="s">
        <v>21</v>
      </c>
      <c r="O193" s="18" t="s">
        <v>20</v>
      </c>
      <c r="P193" s="18" t="s">
        <v>20</v>
      </c>
      <c r="Q193" s="18" t="s">
        <v>21</v>
      </c>
      <c r="R193" s="18" t="s">
        <v>21</v>
      </c>
      <c r="S193" s="18" t="s">
        <v>21</v>
      </c>
      <c r="T193" s="18" t="s">
        <v>21</v>
      </c>
      <c r="U193" s="18" t="s">
        <v>20</v>
      </c>
      <c r="V193" s="37" t="s">
        <v>20</v>
      </c>
      <c r="W193" s="37" t="s">
        <v>20</v>
      </c>
      <c r="X193" s="37" t="s">
        <v>20</v>
      </c>
      <c r="Y193" s="18" t="s">
        <v>21</v>
      </c>
      <c r="Z193" s="18" t="s">
        <v>21</v>
      </c>
      <c r="AA193" s="20" t="s">
        <v>21</v>
      </c>
      <c r="AB193" s="20" t="s">
        <v>21</v>
      </c>
      <c r="AC193" s="20" t="s">
        <v>20</v>
      </c>
      <c r="AD193" s="18" t="s">
        <v>20</v>
      </c>
      <c r="AE193" s="18" t="s">
        <v>21</v>
      </c>
      <c r="AG193">
        <f t="shared" si="18"/>
        <v>0</v>
      </c>
      <c r="AH193">
        <f t="shared" si="19"/>
        <v>11</v>
      </c>
      <c r="AI193">
        <f t="shared" si="20"/>
        <v>15</v>
      </c>
      <c r="AJ193">
        <f t="shared" si="21"/>
        <v>0</v>
      </c>
      <c r="AL193">
        <f t="shared" si="22"/>
        <v>0</v>
      </c>
      <c r="AM193">
        <f t="shared" si="23"/>
        <v>33</v>
      </c>
      <c r="AN193">
        <f t="shared" si="24"/>
        <v>30</v>
      </c>
      <c r="AO193">
        <f t="shared" si="25"/>
        <v>0</v>
      </c>
      <c r="AP193">
        <f t="shared" si="26"/>
        <v>63</v>
      </c>
    </row>
    <row r="194" spans="1:42" ht="15.75" hidden="1" customHeight="1" x14ac:dyDescent="0.3">
      <c r="A194" s="16"/>
      <c r="B194" s="55">
        <v>16</v>
      </c>
      <c r="C194" s="56" t="s">
        <v>212</v>
      </c>
      <c r="D194" s="55">
        <v>5</v>
      </c>
      <c r="E194" s="55" t="s">
        <v>20</v>
      </c>
      <c r="F194" s="18" t="s">
        <v>20</v>
      </c>
      <c r="G194" s="18" t="s">
        <v>20</v>
      </c>
      <c r="H194" s="18" t="s">
        <v>39</v>
      </c>
      <c r="I194" s="18" t="s">
        <v>39</v>
      </c>
      <c r="J194" s="43" t="s">
        <v>20</v>
      </c>
      <c r="K194" s="43" t="s">
        <v>20</v>
      </c>
      <c r="L194" s="43" t="s">
        <v>20</v>
      </c>
      <c r="M194" s="18" t="s">
        <v>20</v>
      </c>
      <c r="N194" s="18" t="s">
        <v>20</v>
      </c>
      <c r="O194" s="18" t="s">
        <v>20</v>
      </c>
      <c r="P194" s="18" t="s">
        <v>21</v>
      </c>
      <c r="Q194" s="18" t="s">
        <v>21</v>
      </c>
      <c r="R194" s="18" t="s">
        <v>21</v>
      </c>
      <c r="S194" s="18" t="s">
        <v>20</v>
      </c>
      <c r="T194" s="18" t="s">
        <v>21</v>
      </c>
      <c r="U194" s="18" t="s">
        <v>20</v>
      </c>
      <c r="V194" s="37" t="s">
        <v>20</v>
      </c>
      <c r="W194" s="37" t="s">
        <v>20</v>
      </c>
      <c r="X194" s="37" t="s">
        <v>20</v>
      </c>
      <c r="Y194" s="18" t="s">
        <v>20</v>
      </c>
      <c r="Z194" s="18" t="s">
        <v>20</v>
      </c>
      <c r="AA194" s="20" t="s">
        <v>20</v>
      </c>
      <c r="AB194" s="20" t="s">
        <v>20</v>
      </c>
      <c r="AC194" s="20" t="s">
        <v>20</v>
      </c>
      <c r="AD194" s="18" t="s">
        <v>20</v>
      </c>
      <c r="AE194" s="18" t="s">
        <v>21</v>
      </c>
      <c r="AG194">
        <f t="shared" si="18"/>
        <v>2</v>
      </c>
      <c r="AH194">
        <f t="shared" si="19"/>
        <v>19</v>
      </c>
      <c r="AI194">
        <f t="shared" si="20"/>
        <v>5</v>
      </c>
      <c r="AJ194">
        <f t="shared" si="21"/>
        <v>0</v>
      </c>
      <c r="AL194">
        <f t="shared" si="22"/>
        <v>8</v>
      </c>
      <c r="AM194">
        <f t="shared" si="23"/>
        <v>57</v>
      </c>
      <c r="AN194">
        <f t="shared" si="24"/>
        <v>10</v>
      </c>
      <c r="AO194">
        <f t="shared" si="25"/>
        <v>0</v>
      </c>
      <c r="AP194">
        <f t="shared" si="26"/>
        <v>75</v>
      </c>
    </row>
    <row r="195" spans="1:42" ht="15.75" hidden="1" customHeight="1" x14ac:dyDescent="0.3">
      <c r="A195" s="16"/>
      <c r="B195" s="55">
        <v>17</v>
      </c>
      <c r="C195" s="56" t="s">
        <v>213</v>
      </c>
      <c r="D195" s="55">
        <v>5</v>
      </c>
      <c r="E195" s="55" t="s">
        <v>20</v>
      </c>
      <c r="F195" s="18" t="s">
        <v>23</v>
      </c>
      <c r="G195" s="18" t="s">
        <v>23</v>
      </c>
      <c r="H195" s="18" t="s">
        <v>23</v>
      </c>
      <c r="I195" s="18" t="s">
        <v>23</v>
      </c>
      <c r="J195" s="43" t="s">
        <v>21</v>
      </c>
      <c r="K195" s="43" t="s">
        <v>21</v>
      </c>
      <c r="L195" s="43" t="s">
        <v>21</v>
      </c>
      <c r="M195" s="18" t="s">
        <v>21</v>
      </c>
      <c r="N195" s="18" t="s">
        <v>21</v>
      </c>
      <c r="O195" s="18" t="s">
        <v>20</v>
      </c>
      <c r="P195" s="18" t="s">
        <v>23</v>
      </c>
      <c r="Q195" s="18" t="s">
        <v>21</v>
      </c>
      <c r="R195" s="18" t="s">
        <v>23</v>
      </c>
      <c r="S195" s="18" t="s">
        <v>21</v>
      </c>
      <c r="T195" s="18" t="s">
        <v>23</v>
      </c>
      <c r="U195" s="18" t="s">
        <v>20</v>
      </c>
      <c r="V195" s="37" t="s">
        <v>21</v>
      </c>
      <c r="W195" s="37" t="s">
        <v>21</v>
      </c>
      <c r="X195" s="37" t="s">
        <v>21</v>
      </c>
      <c r="Y195" s="18" t="s">
        <v>21</v>
      </c>
      <c r="Z195" s="18" t="s">
        <v>21</v>
      </c>
      <c r="AA195" s="20" t="s">
        <v>23</v>
      </c>
      <c r="AB195" s="20" t="s">
        <v>21</v>
      </c>
      <c r="AC195" s="20" t="s">
        <v>23</v>
      </c>
      <c r="AD195" s="18" t="s">
        <v>23</v>
      </c>
      <c r="AE195" s="18" t="s">
        <v>21</v>
      </c>
      <c r="AG195">
        <f t="shared" si="18"/>
        <v>0</v>
      </c>
      <c r="AH195">
        <f t="shared" si="19"/>
        <v>2</v>
      </c>
      <c r="AI195">
        <f t="shared" si="20"/>
        <v>14</v>
      </c>
      <c r="AJ195">
        <f t="shared" si="21"/>
        <v>10</v>
      </c>
      <c r="AL195">
        <f t="shared" si="22"/>
        <v>0</v>
      </c>
      <c r="AM195">
        <f t="shared" si="23"/>
        <v>6</v>
      </c>
      <c r="AN195">
        <f t="shared" si="24"/>
        <v>28</v>
      </c>
      <c r="AO195">
        <f t="shared" si="25"/>
        <v>10</v>
      </c>
      <c r="AP195">
        <f t="shared" si="26"/>
        <v>44</v>
      </c>
    </row>
    <row r="196" spans="1:42" ht="15.75" hidden="1" customHeight="1" x14ac:dyDescent="0.3">
      <c r="A196" s="16"/>
      <c r="B196" s="55">
        <v>18</v>
      </c>
      <c r="C196" s="56" t="s">
        <v>214</v>
      </c>
      <c r="D196" s="55">
        <v>5</v>
      </c>
      <c r="E196" s="55" t="s">
        <v>20</v>
      </c>
      <c r="F196" s="18" t="s">
        <v>20</v>
      </c>
      <c r="G196" s="18" t="s">
        <v>20</v>
      </c>
      <c r="H196" s="18" t="s">
        <v>20</v>
      </c>
      <c r="I196" s="18" t="s">
        <v>20</v>
      </c>
      <c r="J196" s="43" t="s">
        <v>20</v>
      </c>
      <c r="K196" s="43" t="s">
        <v>20</v>
      </c>
      <c r="L196" s="43" t="s">
        <v>21</v>
      </c>
      <c r="M196" s="18" t="s">
        <v>20</v>
      </c>
      <c r="N196" s="18" t="s">
        <v>20</v>
      </c>
      <c r="O196" s="18" t="s">
        <v>20</v>
      </c>
      <c r="P196" s="18" t="s">
        <v>21</v>
      </c>
      <c r="Q196" s="18" t="s">
        <v>20</v>
      </c>
      <c r="R196" s="18" t="s">
        <v>21</v>
      </c>
      <c r="S196" s="18" t="s">
        <v>21</v>
      </c>
      <c r="T196" s="18" t="s">
        <v>21</v>
      </c>
      <c r="U196" s="18" t="s">
        <v>20</v>
      </c>
      <c r="V196" s="37" t="s">
        <v>20</v>
      </c>
      <c r="W196" s="37" t="s">
        <v>20</v>
      </c>
      <c r="X196" s="37" t="s">
        <v>20</v>
      </c>
      <c r="Y196" s="18" t="s">
        <v>20</v>
      </c>
      <c r="Z196" s="18" t="s">
        <v>20</v>
      </c>
      <c r="AA196" s="20" t="s">
        <v>20</v>
      </c>
      <c r="AB196" s="20" t="s">
        <v>20</v>
      </c>
      <c r="AC196" s="20" t="s">
        <v>20</v>
      </c>
      <c r="AD196" s="18" t="s">
        <v>20</v>
      </c>
      <c r="AE196" s="18" t="s">
        <v>21</v>
      </c>
      <c r="AG196">
        <f t="shared" si="18"/>
        <v>0</v>
      </c>
      <c r="AH196">
        <f t="shared" si="19"/>
        <v>20</v>
      </c>
      <c r="AI196">
        <f t="shared" si="20"/>
        <v>6</v>
      </c>
      <c r="AJ196">
        <f t="shared" si="21"/>
        <v>0</v>
      </c>
      <c r="AL196">
        <f t="shared" si="22"/>
        <v>0</v>
      </c>
      <c r="AM196">
        <f t="shared" si="23"/>
        <v>60</v>
      </c>
      <c r="AN196">
        <f t="shared" si="24"/>
        <v>12</v>
      </c>
      <c r="AO196">
        <f t="shared" si="25"/>
        <v>0</v>
      </c>
      <c r="AP196">
        <f t="shared" si="26"/>
        <v>72</v>
      </c>
    </row>
    <row r="197" spans="1:42" ht="15.75" hidden="1" customHeight="1" x14ac:dyDescent="0.3">
      <c r="A197" s="16"/>
      <c r="B197" s="55">
        <v>19</v>
      </c>
      <c r="C197" s="56" t="s">
        <v>215</v>
      </c>
      <c r="D197" s="55">
        <v>5</v>
      </c>
      <c r="E197" s="55" t="s">
        <v>20</v>
      </c>
      <c r="F197" s="18" t="s">
        <v>20</v>
      </c>
      <c r="G197" s="18" t="s">
        <v>20</v>
      </c>
      <c r="H197" s="18" t="s">
        <v>20</v>
      </c>
      <c r="I197" s="18" t="s">
        <v>20</v>
      </c>
      <c r="J197" s="43" t="s">
        <v>20</v>
      </c>
      <c r="K197" s="43" t="s">
        <v>20</v>
      </c>
      <c r="L197" s="43" t="s">
        <v>20</v>
      </c>
      <c r="M197" s="18" t="s">
        <v>20</v>
      </c>
      <c r="N197" s="18" t="s">
        <v>20</v>
      </c>
      <c r="O197" s="18" t="s">
        <v>20</v>
      </c>
      <c r="P197" s="18" t="s">
        <v>21</v>
      </c>
      <c r="Q197" s="18" t="s">
        <v>21</v>
      </c>
      <c r="R197" s="18" t="s">
        <v>21</v>
      </c>
      <c r="S197" s="18" t="s">
        <v>21</v>
      </c>
      <c r="T197" s="18" t="s">
        <v>21</v>
      </c>
      <c r="U197" s="18" t="s">
        <v>21</v>
      </c>
      <c r="V197" s="37" t="s">
        <v>21</v>
      </c>
      <c r="W197" s="37" t="s">
        <v>20</v>
      </c>
      <c r="X197" s="37" t="s">
        <v>20</v>
      </c>
      <c r="Y197" s="18" t="s">
        <v>21</v>
      </c>
      <c r="Z197" s="18" t="s">
        <v>20</v>
      </c>
      <c r="AA197" s="20" t="s">
        <v>20</v>
      </c>
      <c r="AB197" s="20" t="s">
        <v>20</v>
      </c>
      <c r="AC197" s="20" t="s">
        <v>20</v>
      </c>
      <c r="AD197" s="18" t="s">
        <v>55</v>
      </c>
      <c r="AE197" s="18" t="s">
        <v>55</v>
      </c>
      <c r="AG197">
        <f t="shared" si="18"/>
        <v>0</v>
      </c>
      <c r="AH197">
        <f t="shared" si="19"/>
        <v>16</v>
      </c>
      <c r="AI197">
        <f t="shared" si="20"/>
        <v>8</v>
      </c>
      <c r="AJ197">
        <f t="shared" si="21"/>
        <v>0</v>
      </c>
      <c r="AL197">
        <f t="shared" si="22"/>
        <v>0</v>
      </c>
      <c r="AM197">
        <f t="shared" si="23"/>
        <v>48</v>
      </c>
      <c r="AN197">
        <f t="shared" si="24"/>
        <v>16</v>
      </c>
      <c r="AO197">
        <f t="shared" si="25"/>
        <v>0</v>
      </c>
      <c r="AP197">
        <f t="shared" si="26"/>
        <v>64</v>
      </c>
    </row>
    <row r="198" spans="1:42" ht="15.75" hidden="1" customHeight="1" x14ac:dyDescent="0.3">
      <c r="A198" s="16"/>
      <c r="B198" s="55">
        <v>20</v>
      </c>
      <c r="C198" s="56" t="s">
        <v>216</v>
      </c>
      <c r="D198" s="55">
        <v>5</v>
      </c>
      <c r="E198" s="55" t="s">
        <v>20</v>
      </c>
      <c r="F198" s="18" t="s">
        <v>39</v>
      </c>
      <c r="G198" s="18" t="s">
        <v>20</v>
      </c>
      <c r="H198" s="18" t="s">
        <v>20</v>
      </c>
      <c r="I198" s="18" t="s">
        <v>39</v>
      </c>
      <c r="J198" s="43" t="s">
        <v>20</v>
      </c>
      <c r="K198" s="43" t="s">
        <v>20</v>
      </c>
      <c r="L198" s="43" t="s">
        <v>20</v>
      </c>
      <c r="M198" s="18" t="s">
        <v>20</v>
      </c>
      <c r="N198" s="18" t="s">
        <v>20</v>
      </c>
      <c r="O198" s="18" t="s">
        <v>20</v>
      </c>
      <c r="P198" s="18" t="s">
        <v>21</v>
      </c>
      <c r="Q198" s="18" t="s">
        <v>20</v>
      </c>
      <c r="R198" s="18" t="s">
        <v>20</v>
      </c>
      <c r="S198" s="18" t="s">
        <v>21</v>
      </c>
      <c r="T198" s="18" t="s">
        <v>21</v>
      </c>
      <c r="U198" s="18" t="s">
        <v>20</v>
      </c>
      <c r="V198" s="37" t="s">
        <v>20</v>
      </c>
      <c r="W198" s="37" t="s">
        <v>20</v>
      </c>
      <c r="X198" s="37" t="s">
        <v>20</v>
      </c>
      <c r="Y198" s="18" t="s">
        <v>20</v>
      </c>
      <c r="Z198" s="18" t="s">
        <v>20</v>
      </c>
      <c r="AA198" s="20" t="s">
        <v>20</v>
      </c>
      <c r="AB198" s="20" t="s">
        <v>20</v>
      </c>
      <c r="AC198" s="20" t="s">
        <v>20</v>
      </c>
      <c r="AD198" s="18" t="s">
        <v>20</v>
      </c>
      <c r="AE198" s="18" t="s">
        <v>21</v>
      </c>
      <c r="AG198">
        <f t="shared" si="18"/>
        <v>2</v>
      </c>
      <c r="AH198">
        <f t="shared" si="19"/>
        <v>20</v>
      </c>
      <c r="AI198">
        <f t="shared" si="20"/>
        <v>4</v>
      </c>
      <c r="AJ198">
        <f t="shared" si="21"/>
        <v>0</v>
      </c>
      <c r="AL198">
        <f t="shared" si="22"/>
        <v>8</v>
      </c>
      <c r="AM198">
        <f t="shared" si="23"/>
        <v>60</v>
      </c>
      <c r="AN198">
        <f t="shared" si="24"/>
        <v>8</v>
      </c>
      <c r="AO198">
        <f t="shared" si="25"/>
        <v>0</v>
      </c>
      <c r="AP198">
        <f t="shared" si="26"/>
        <v>76</v>
      </c>
    </row>
    <row r="199" spans="1:42" ht="15.75" hidden="1" customHeight="1" x14ac:dyDescent="0.3">
      <c r="A199" s="16"/>
      <c r="B199" s="55">
        <v>21</v>
      </c>
      <c r="C199" s="56" t="s">
        <v>217</v>
      </c>
      <c r="D199" s="55">
        <v>5</v>
      </c>
      <c r="E199" s="55" t="s">
        <v>20</v>
      </c>
      <c r="F199" s="18" t="s">
        <v>20</v>
      </c>
      <c r="G199" s="18" t="s">
        <v>20</v>
      </c>
      <c r="H199" s="18" t="s">
        <v>39</v>
      </c>
      <c r="I199" s="18" t="s">
        <v>20</v>
      </c>
      <c r="J199" s="43" t="s">
        <v>20</v>
      </c>
      <c r="K199" s="43" t="s">
        <v>20</v>
      </c>
      <c r="L199" s="43" t="s">
        <v>20</v>
      </c>
      <c r="M199" s="18" t="s">
        <v>21</v>
      </c>
      <c r="N199" s="18" t="s">
        <v>20</v>
      </c>
      <c r="O199" s="18" t="s">
        <v>20</v>
      </c>
      <c r="P199" s="18" t="s">
        <v>21</v>
      </c>
      <c r="Q199" s="18" t="s">
        <v>21</v>
      </c>
      <c r="R199" s="18" t="s">
        <v>21</v>
      </c>
      <c r="S199" s="18" t="s">
        <v>20</v>
      </c>
      <c r="T199" s="18" t="s">
        <v>21</v>
      </c>
      <c r="U199" s="18" t="s">
        <v>20</v>
      </c>
      <c r="V199" s="37" t="s">
        <v>20</v>
      </c>
      <c r="W199" s="37" t="s">
        <v>20</v>
      </c>
      <c r="X199" s="37" t="s">
        <v>20</v>
      </c>
      <c r="Y199" s="18" t="s">
        <v>20</v>
      </c>
      <c r="Z199" s="18" t="s">
        <v>20</v>
      </c>
      <c r="AA199" s="20" t="s">
        <v>20</v>
      </c>
      <c r="AB199" s="20" t="s">
        <v>20</v>
      </c>
      <c r="AC199" s="20" t="s">
        <v>20</v>
      </c>
      <c r="AD199" s="18" t="s">
        <v>20</v>
      </c>
      <c r="AE199" s="18" t="s">
        <v>21</v>
      </c>
      <c r="AG199">
        <f t="shared" si="18"/>
        <v>1</v>
      </c>
      <c r="AH199">
        <f t="shared" si="19"/>
        <v>19</v>
      </c>
      <c r="AI199">
        <f t="shared" si="20"/>
        <v>6</v>
      </c>
      <c r="AJ199">
        <f t="shared" si="21"/>
        <v>0</v>
      </c>
      <c r="AL199">
        <f t="shared" si="22"/>
        <v>4</v>
      </c>
      <c r="AM199">
        <f t="shared" si="23"/>
        <v>57</v>
      </c>
      <c r="AN199">
        <f t="shared" si="24"/>
        <v>12</v>
      </c>
      <c r="AO199">
        <f t="shared" si="25"/>
        <v>0</v>
      </c>
      <c r="AP199">
        <f t="shared" si="26"/>
        <v>73</v>
      </c>
    </row>
    <row r="200" spans="1:42" ht="15.75" hidden="1" customHeight="1" x14ac:dyDescent="0.3">
      <c r="A200" s="16"/>
      <c r="B200" s="55">
        <v>22</v>
      </c>
      <c r="C200" s="56" t="s">
        <v>218</v>
      </c>
      <c r="D200" s="55">
        <v>5</v>
      </c>
      <c r="E200" s="55" t="s">
        <v>20</v>
      </c>
      <c r="F200" s="18" t="s">
        <v>23</v>
      </c>
      <c r="G200" s="18" t="s">
        <v>23</v>
      </c>
      <c r="H200" s="18" t="s">
        <v>21</v>
      </c>
      <c r="I200" s="18" t="s">
        <v>21</v>
      </c>
      <c r="J200" s="43" t="s">
        <v>20</v>
      </c>
      <c r="K200" s="43" t="s">
        <v>20</v>
      </c>
      <c r="L200" s="43" t="s">
        <v>21</v>
      </c>
      <c r="M200" s="18" t="s">
        <v>20</v>
      </c>
      <c r="N200" s="18" t="s">
        <v>20</v>
      </c>
      <c r="O200" s="18" t="s">
        <v>20</v>
      </c>
      <c r="P200" s="18" t="s">
        <v>21</v>
      </c>
      <c r="Q200" s="18" t="s">
        <v>21</v>
      </c>
      <c r="R200" s="18" t="s">
        <v>21</v>
      </c>
      <c r="S200" s="18" t="s">
        <v>21</v>
      </c>
      <c r="T200" s="18" t="s">
        <v>21</v>
      </c>
      <c r="U200" s="18" t="s">
        <v>20</v>
      </c>
      <c r="V200" s="37" t="s">
        <v>21</v>
      </c>
      <c r="W200" s="37" t="s">
        <v>21</v>
      </c>
      <c r="X200" s="37" t="s">
        <v>21</v>
      </c>
      <c r="Y200" s="18" t="s">
        <v>20</v>
      </c>
      <c r="Z200" s="18" t="s">
        <v>20</v>
      </c>
      <c r="AA200" s="20" t="s">
        <v>20</v>
      </c>
      <c r="AB200" s="20" t="s">
        <v>20</v>
      </c>
      <c r="AC200" s="20" t="s">
        <v>20</v>
      </c>
      <c r="AD200" s="40" t="s">
        <v>20</v>
      </c>
      <c r="AE200" s="40" t="s">
        <v>21</v>
      </c>
      <c r="AG200">
        <f t="shared" si="18"/>
        <v>0</v>
      </c>
      <c r="AH200">
        <f t="shared" si="19"/>
        <v>12</v>
      </c>
      <c r="AI200">
        <f t="shared" si="20"/>
        <v>12</v>
      </c>
      <c r="AJ200">
        <f t="shared" si="21"/>
        <v>2</v>
      </c>
      <c r="AL200">
        <f t="shared" si="22"/>
        <v>0</v>
      </c>
      <c r="AM200">
        <f t="shared" si="23"/>
        <v>36</v>
      </c>
      <c r="AN200">
        <f t="shared" si="24"/>
        <v>24</v>
      </c>
      <c r="AO200">
        <f t="shared" si="25"/>
        <v>2</v>
      </c>
      <c r="AP200">
        <f t="shared" si="26"/>
        <v>62</v>
      </c>
    </row>
    <row r="201" spans="1:42" ht="15.75" hidden="1" customHeight="1" x14ac:dyDescent="0.3">
      <c r="A201" s="16"/>
      <c r="B201" s="55">
        <v>23</v>
      </c>
      <c r="C201" s="56" t="s">
        <v>219</v>
      </c>
      <c r="D201" s="55">
        <v>5</v>
      </c>
      <c r="E201" s="55" t="s">
        <v>20</v>
      </c>
      <c r="F201" s="18" t="s">
        <v>23</v>
      </c>
      <c r="G201" s="18" t="s">
        <v>23</v>
      </c>
      <c r="H201" s="18" t="s">
        <v>23</v>
      </c>
      <c r="I201" s="18" t="s">
        <v>21</v>
      </c>
      <c r="J201" s="43" t="s">
        <v>20</v>
      </c>
      <c r="K201" s="43" t="s">
        <v>20</v>
      </c>
      <c r="L201" s="43" t="s">
        <v>21</v>
      </c>
      <c r="M201" s="18" t="s">
        <v>20</v>
      </c>
      <c r="N201" s="18" t="s">
        <v>21</v>
      </c>
      <c r="O201" s="18" t="s">
        <v>20</v>
      </c>
      <c r="P201" s="18" t="s">
        <v>21</v>
      </c>
      <c r="Q201" s="18" t="s">
        <v>23</v>
      </c>
      <c r="R201" s="18" t="s">
        <v>21</v>
      </c>
      <c r="S201" s="18" t="s">
        <v>21</v>
      </c>
      <c r="T201" s="18" t="s">
        <v>21</v>
      </c>
      <c r="U201" s="18" t="s">
        <v>20</v>
      </c>
      <c r="V201" s="37" t="s">
        <v>20</v>
      </c>
      <c r="W201" s="37" t="s">
        <v>21</v>
      </c>
      <c r="X201" s="37" t="s">
        <v>20</v>
      </c>
      <c r="Y201" s="18" t="s">
        <v>21</v>
      </c>
      <c r="Z201" s="18" t="s">
        <v>20</v>
      </c>
      <c r="AA201" s="20" t="s">
        <v>23</v>
      </c>
      <c r="AB201" s="20" t="s">
        <v>21</v>
      </c>
      <c r="AC201" s="20" t="s">
        <v>21</v>
      </c>
      <c r="AD201" s="18" t="s">
        <v>23</v>
      </c>
      <c r="AE201" s="18" t="s">
        <v>21</v>
      </c>
      <c r="AG201">
        <f t="shared" si="18"/>
        <v>0</v>
      </c>
      <c r="AH201">
        <f t="shared" si="19"/>
        <v>8</v>
      </c>
      <c r="AI201">
        <f t="shared" si="20"/>
        <v>12</v>
      </c>
      <c r="AJ201">
        <f t="shared" si="21"/>
        <v>6</v>
      </c>
      <c r="AL201">
        <f t="shared" si="22"/>
        <v>0</v>
      </c>
      <c r="AM201">
        <f t="shared" si="23"/>
        <v>24</v>
      </c>
      <c r="AN201">
        <f t="shared" si="24"/>
        <v>24</v>
      </c>
      <c r="AO201">
        <f t="shared" si="25"/>
        <v>6</v>
      </c>
      <c r="AP201">
        <f t="shared" si="26"/>
        <v>54</v>
      </c>
    </row>
    <row r="202" spans="1:42" ht="15.75" hidden="1" customHeight="1" x14ac:dyDescent="0.3">
      <c r="A202" s="16"/>
      <c r="B202" s="55">
        <v>24</v>
      </c>
      <c r="C202" s="56" t="s">
        <v>220</v>
      </c>
      <c r="D202" s="55">
        <v>5</v>
      </c>
      <c r="E202" s="55" t="s">
        <v>20</v>
      </c>
      <c r="F202" s="18" t="s">
        <v>39</v>
      </c>
      <c r="G202" s="18" t="s">
        <v>20</v>
      </c>
      <c r="H202" s="18" t="s">
        <v>20</v>
      </c>
      <c r="I202" s="18" t="s">
        <v>39</v>
      </c>
      <c r="J202" s="43" t="s">
        <v>20</v>
      </c>
      <c r="K202" s="43" t="s">
        <v>20</v>
      </c>
      <c r="L202" s="43" t="s">
        <v>20</v>
      </c>
      <c r="M202" s="18" t="s">
        <v>20</v>
      </c>
      <c r="N202" s="18" t="s">
        <v>20</v>
      </c>
      <c r="O202" s="18" t="s">
        <v>20</v>
      </c>
      <c r="P202" s="18" t="s">
        <v>21</v>
      </c>
      <c r="Q202" s="18" t="s">
        <v>20</v>
      </c>
      <c r="R202" s="18" t="s">
        <v>20</v>
      </c>
      <c r="S202" s="18" t="s">
        <v>21</v>
      </c>
      <c r="T202" s="18" t="s">
        <v>21</v>
      </c>
      <c r="U202" s="18" t="s">
        <v>20</v>
      </c>
      <c r="V202" s="37" t="s">
        <v>20</v>
      </c>
      <c r="W202" s="37" t="s">
        <v>20</v>
      </c>
      <c r="X202" s="37" t="s">
        <v>20</v>
      </c>
      <c r="Y202" s="18" t="s">
        <v>20</v>
      </c>
      <c r="Z202" s="18" t="s">
        <v>20</v>
      </c>
      <c r="AA202" s="20" t="s">
        <v>20</v>
      </c>
      <c r="AB202" s="20" t="s">
        <v>20</v>
      </c>
      <c r="AC202" s="20" t="s">
        <v>20</v>
      </c>
      <c r="AD202" s="18" t="s">
        <v>20</v>
      </c>
      <c r="AE202" s="18" t="s">
        <v>21</v>
      </c>
      <c r="AG202">
        <f t="shared" si="18"/>
        <v>2</v>
      </c>
      <c r="AH202">
        <f t="shared" si="19"/>
        <v>20</v>
      </c>
      <c r="AI202">
        <f t="shared" si="20"/>
        <v>4</v>
      </c>
      <c r="AJ202">
        <f t="shared" si="21"/>
        <v>0</v>
      </c>
      <c r="AL202">
        <f t="shared" si="22"/>
        <v>8</v>
      </c>
      <c r="AM202">
        <f t="shared" si="23"/>
        <v>60</v>
      </c>
      <c r="AN202">
        <f t="shared" si="24"/>
        <v>8</v>
      </c>
      <c r="AO202">
        <f t="shared" si="25"/>
        <v>0</v>
      </c>
      <c r="AP202">
        <f t="shared" si="26"/>
        <v>76</v>
      </c>
    </row>
    <row r="203" spans="1:42" ht="15.75" hidden="1" customHeight="1" x14ac:dyDescent="0.3">
      <c r="A203" s="16"/>
      <c r="B203" s="55">
        <v>25</v>
      </c>
      <c r="C203" s="56" t="s">
        <v>221</v>
      </c>
      <c r="D203" s="55">
        <v>5</v>
      </c>
      <c r="E203" s="55" t="s">
        <v>20</v>
      </c>
      <c r="F203" s="18" t="s">
        <v>23</v>
      </c>
      <c r="G203" s="18" t="s">
        <v>23</v>
      </c>
      <c r="H203" s="18" t="s">
        <v>23</v>
      </c>
      <c r="I203" s="18" t="s">
        <v>23</v>
      </c>
      <c r="J203" s="43" t="s">
        <v>20</v>
      </c>
      <c r="K203" s="43" t="s">
        <v>20</v>
      </c>
      <c r="L203" s="43" t="s">
        <v>21</v>
      </c>
      <c r="M203" s="18" t="s">
        <v>20</v>
      </c>
      <c r="N203" s="18" t="s">
        <v>20</v>
      </c>
      <c r="O203" s="18" t="s">
        <v>20</v>
      </c>
      <c r="P203" s="18" t="s">
        <v>21</v>
      </c>
      <c r="Q203" s="18" t="s">
        <v>23</v>
      </c>
      <c r="R203" s="18" t="s">
        <v>23</v>
      </c>
      <c r="S203" s="18" t="s">
        <v>21</v>
      </c>
      <c r="T203" s="18" t="s">
        <v>23</v>
      </c>
      <c r="U203" s="18" t="s">
        <v>20</v>
      </c>
      <c r="V203" s="37" t="s">
        <v>20</v>
      </c>
      <c r="W203" s="37" t="s">
        <v>20</v>
      </c>
      <c r="X203" s="37" t="s">
        <v>20</v>
      </c>
      <c r="Y203" s="18" t="s">
        <v>20</v>
      </c>
      <c r="Z203" s="18" t="s">
        <v>20</v>
      </c>
      <c r="AA203" s="20" t="s">
        <v>21</v>
      </c>
      <c r="AB203" s="20" t="s">
        <v>21</v>
      </c>
      <c r="AC203" s="20" t="s">
        <v>20</v>
      </c>
      <c r="AD203" s="18" t="s">
        <v>20</v>
      </c>
      <c r="AE203" s="18" t="s">
        <v>21</v>
      </c>
      <c r="AG203">
        <f t="shared" si="18"/>
        <v>0</v>
      </c>
      <c r="AH203">
        <f t="shared" si="19"/>
        <v>13</v>
      </c>
      <c r="AI203">
        <f t="shared" si="20"/>
        <v>6</v>
      </c>
      <c r="AJ203">
        <f t="shared" si="21"/>
        <v>7</v>
      </c>
      <c r="AL203">
        <f t="shared" si="22"/>
        <v>0</v>
      </c>
      <c r="AM203">
        <f t="shared" si="23"/>
        <v>39</v>
      </c>
      <c r="AN203">
        <f t="shared" si="24"/>
        <v>12</v>
      </c>
      <c r="AO203">
        <f t="shared" si="25"/>
        <v>7</v>
      </c>
      <c r="AP203">
        <f t="shared" si="26"/>
        <v>58</v>
      </c>
    </row>
    <row r="204" spans="1:42" ht="15.75" hidden="1" customHeight="1" x14ac:dyDescent="0.3">
      <c r="A204" s="16"/>
      <c r="B204" s="55">
        <v>26</v>
      </c>
      <c r="C204" s="56" t="s">
        <v>222</v>
      </c>
      <c r="D204" s="55">
        <v>5</v>
      </c>
      <c r="E204" s="55" t="s">
        <v>20</v>
      </c>
      <c r="F204" s="18" t="s">
        <v>21</v>
      </c>
      <c r="G204" s="18" t="s">
        <v>21</v>
      </c>
      <c r="H204" s="18" t="s">
        <v>21</v>
      </c>
      <c r="I204" s="18" t="s">
        <v>21</v>
      </c>
      <c r="J204" s="43" t="s">
        <v>21</v>
      </c>
      <c r="K204" s="43" t="s">
        <v>21</v>
      </c>
      <c r="L204" s="43" t="s">
        <v>21</v>
      </c>
      <c r="M204" s="18" t="s">
        <v>20</v>
      </c>
      <c r="N204" s="18" t="s">
        <v>20</v>
      </c>
      <c r="O204" s="18" t="s">
        <v>20</v>
      </c>
      <c r="P204" s="18" t="s">
        <v>20</v>
      </c>
      <c r="Q204" s="18" t="s">
        <v>21</v>
      </c>
      <c r="R204" s="18" t="s">
        <v>23</v>
      </c>
      <c r="S204" s="18" t="s">
        <v>21</v>
      </c>
      <c r="T204" s="18" t="s">
        <v>21</v>
      </c>
      <c r="U204" s="18" t="s">
        <v>20</v>
      </c>
      <c r="V204" s="37" t="s">
        <v>20</v>
      </c>
      <c r="W204" s="37" t="s">
        <v>20</v>
      </c>
      <c r="X204" s="37" t="s">
        <v>20</v>
      </c>
      <c r="Y204" s="18" t="s">
        <v>20</v>
      </c>
      <c r="Z204" s="18" t="s">
        <v>20</v>
      </c>
      <c r="AA204" s="20" t="s">
        <v>21</v>
      </c>
      <c r="AB204" s="20" t="s">
        <v>21</v>
      </c>
      <c r="AC204" s="20" t="s">
        <v>20</v>
      </c>
      <c r="AD204" s="40" t="s">
        <v>20</v>
      </c>
      <c r="AE204" s="40" t="s">
        <v>21</v>
      </c>
      <c r="AG204">
        <f t="shared" si="18"/>
        <v>0</v>
      </c>
      <c r="AH204">
        <f t="shared" si="19"/>
        <v>12</v>
      </c>
      <c r="AI204">
        <f t="shared" si="20"/>
        <v>13</v>
      </c>
      <c r="AJ204">
        <f t="shared" si="21"/>
        <v>1</v>
      </c>
      <c r="AL204">
        <f t="shared" si="22"/>
        <v>0</v>
      </c>
      <c r="AM204">
        <f t="shared" si="23"/>
        <v>36</v>
      </c>
      <c r="AN204">
        <f t="shared" si="24"/>
        <v>26</v>
      </c>
      <c r="AO204">
        <f t="shared" si="25"/>
        <v>1</v>
      </c>
      <c r="AP204">
        <f t="shared" si="26"/>
        <v>63</v>
      </c>
    </row>
    <row r="205" spans="1:42" ht="15.75" hidden="1" customHeight="1" x14ac:dyDescent="0.3">
      <c r="A205" s="16"/>
      <c r="B205" s="55">
        <v>27</v>
      </c>
      <c r="C205" s="56" t="s">
        <v>223</v>
      </c>
      <c r="D205" s="55">
        <v>5</v>
      </c>
      <c r="E205" s="55" t="s">
        <v>20</v>
      </c>
      <c r="F205" s="18" t="s">
        <v>20</v>
      </c>
      <c r="G205" s="18" t="s">
        <v>20</v>
      </c>
      <c r="H205" s="18" t="s">
        <v>20</v>
      </c>
      <c r="I205" s="18" t="s">
        <v>20</v>
      </c>
      <c r="J205" s="43" t="s">
        <v>20</v>
      </c>
      <c r="K205" s="43" t="s">
        <v>20</v>
      </c>
      <c r="L205" s="43" t="s">
        <v>20</v>
      </c>
      <c r="M205" s="18" t="s">
        <v>20</v>
      </c>
      <c r="N205" s="18" t="s">
        <v>20</v>
      </c>
      <c r="O205" s="18" t="s">
        <v>20</v>
      </c>
      <c r="P205" s="18" t="s">
        <v>20</v>
      </c>
      <c r="Q205" s="18" t="s">
        <v>21</v>
      </c>
      <c r="R205" s="18" t="s">
        <v>21</v>
      </c>
      <c r="S205" s="18" t="s">
        <v>20</v>
      </c>
      <c r="T205" s="18" t="s">
        <v>21</v>
      </c>
      <c r="U205" s="18" t="s">
        <v>21</v>
      </c>
      <c r="V205" s="37" t="s">
        <v>20</v>
      </c>
      <c r="W205" s="37" t="s">
        <v>20</v>
      </c>
      <c r="X205" s="37" t="s">
        <v>20</v>
      </c>
      <c r="Y205" s="18" t="s">
        <v>20</v>
      </c>
      <c r="Z205" s="18" t="s">
        <v>20</v>
      </c>
      <c r="AA205" s="20" t="s">
        <v>20</v>
      </c>
      <c r="AB205" s="20" t="s">
        <v>20</v>
      </c>
      <c r="AC205" s="20" t="s">
        <v>20</v>
      </c>
      <c r="AD205" s="18" t="s">
        <v>20</v>
      </c>
      <c r="AE205" s="18" t="s">
        <v>21</v>
      </c>
      <c r="AG205">
        <f t="shared" si="18"/>
        <v>0</v>
      </c>
      <c r="AH205">
        <f t="shared" si="19"/>
        <v>21</v>
      </c>
      <c r="AI205">
        <f t="shared" si="20"/>
        <v>5</v>
      </c>
      <c r="AJ205">
        <f t="shared" si="21"/>
        <v>0</v>
      </c>
      <c r="AL205">
        <f t="shared" si="22"/>
        <v>0</v>
      </c>
      <c r="AM205">
        <f t="shared" si="23"/>
        <v>63</v>
      </c>
      <c r="AN205">
        <f t="shared" si="24"/>
        <v>10</v>
      </c>
      <c r="AO205">
        <f t="shared" si="25"/>
        <v>0</v>
      </c>
      <c r="AP205">
        <f t="shared" si="26"/>
        <v>73</v>
      </c>
    </row>
    <row r="206" spans="1:42" ht="15.75" hidden="1" customHeight="1" thickBot="1" x14ac:dyDescent="0.35">
      <c r="A206" s="16"/>
      <c r="B206" s="57">
        <v>28</v>
      </c>
      <c r="C206" s="58" t="s">
        <v>224</v>
      </c>
      <c r="D206" s="57">
        <v>5</v>
      </c>
      <c r="E206" s="57" t="s">
        <v>20</v>
      </c>
      <c r="F206" s="21" t="s">
        <v>20</v>
      </c>
      <c r="G206" s="21" t="s">
        <v>20</v>
      </c>
      <c r="H206" s="21" t="s">
        <v>20</v>
      </c>
      <c r="I206" s="21" t="s">
        <v>20</v>
      </c>
      <c r="J206" s="45" t="s">
        <v>20</v>
      </c>
      <c r="K206" s="45" t="s">
        <v>20</v>
      </c>
      <c r="L206" s="45" t="s">
        <v>21</v>
      </c>
      <c r="M206" s="21" t="s">
        <v>20</v>
      </c>
      <c r="N206" s="21" t="s">
        <v>20</v>
      </c>
      <c r="O206" s="21" t="s">
        <v>20</v>
      </c>
      <c r="P206" s="21" t="s">
        <v>21</v>
      </c>
      <c r="Q206" s="21" t="s">
        <v>21</v>
      </c>
      <c r="R206" s="21" t="s">
        <v>21</v>
      </c>
      <c r="S206" s="21" t="s">
        <v>20</v>
      </c>
      <c r="T206" s="21" t="s">
        <v>21</v>
      </c>
      <c r="U206" s="21" t="s">
        <v>20</v>
      </c>
      <c r="V206" s="38" t="s">
        <v>20</v>
      </c>
      <c r="W206" s="38" t="s">
        <v>20</v>
      </c>
      <c r="X206" s="38" t="s">
        <v>21</v>
      </c>
      <c r="Y206" s="21" t="s">
        <v>20</v>
      </c>
      <c r="Z206" s="21" t="s">
        <v>20</v>
      </c>
      <c r="AA206" s="23" t="s">
        <v>20</v>
      </c>
      <c r="AB206" s="23" t="s">
        <v>20</v>
      </c>
      <c r="AC206" s="23" t="s">
        <v>20</v>
      </c>
      <c r="AD206" s="21" t="s">
        <v>20</v>
      </c>
      <c r="AE206" s="21" t="s">
        <v>21</v>
      </c>
      <c r="AG206">
        <f t="shared" si="18"/>
        <v>0</v>
      </c>
      <c r="AH206">
        <f t="shared" si="19"/>
        <v>19</v>
      </c>
      <c r="AI206">
        <f t="shared" si="20"/>
        <v>7</v>
      </c>
      <c r="AJ206">
        <f t="shared" si="21"/>
        <v>0</v>
      </c>
      <c r="AL206">
        <f t="shared" si="22"/>
        <v>0</v>
      </c>
      <c r="AM206">
        <f t="shared" si="23"/>
        <v>57</v>
      </c>
      <c r="AN206">
        <f t="shared" si="24"/>
        <v>14</v>
      </c>
      <c r="AO206">
        <f t="shared" si="25"/>
        <v>0</v>
      </c>
      <c r="AP206">
        <f t="shared" si="26"/>
        <v>71</v>
      </c>
    </row>
    <row r="207" spans="1:42" ht="15.75" hidden="1" customHeight="1" x14ac:dyDescent="0.3">
      <c r="A207" s="16"/>
      <c r="B207" s="59">
        <v>1</v>
      </c>
      <c r="C207" s="60" t="s">
        <v>225</v>
      </c>
      <c r="D207" s="59">
        <v>5</v>
      </c>
      <c r="E207" s="59" t="s">
        <v>21</v>
      </c>
      <c r="F207" s="24" t="s">
        <v>21</v>
      </c>
      <c r="G207" s="24" t="s">
        <v>20</v>
      </c>
      <c r="H207" s="24" t="s">
        <v>21</v>
      </c>
      <c r="I207" s="24" t="s">
        <v>21</v>
      </c>
      <c r="J207" s="24" t="s">
        <v>20</v>
      </c>
      <c r="K207" s="24" t="s">
        <v>20</v>
      </c>
      <c r="L207" s="24" t="s">
        <v>20</v>
      </c>
      <c r="M207" s="24" t="s">
        <v>20</v>
      </c>
      <c r="N207" s="24" t="s">
        <v>20</v>
      </c>
      <c r="O207" s="24" t="s">
        <v>20</v>
      </c>
      <c r="P207" s="24" t="s">
        <v>21</v>
      </c>
      <c r="Q207" s="24" t="s">
        <v>21</v>
      </c>
      <c r="R207" s="24" t="s">
        <v>21</v>
      </c>
      <c r="S207" s="24" t="s">
        <v>20</v>
      </c>
      <c r="T207" s="24" t="s">
        <v>21</v>
      </c>
      <c r="U207" s="24" t="s">
        <v>20</v>
      </c>
      <c r="V207" s="39" t="s">
        <v>20</v>
      </c>
      <c r="W207" s="39" t="s">
        <v>20</v>
      </c>
      <c r="X207" s="39" t="s">
        <v>20</v>
      </c>
      <c r="Y207" s="24" t="s">
        <v>20</v>
      </c>
      <c r="Z207" s="24" t="s">
        <v>20</v>
      </c>
      <c r="AA207" s="27" t="s">
        <v>20</v>
      </c>
      <c r="AB207" s="27" t="s">
        <v>20</v>
      </c>
      <c r="AC207" s="27" t="s">
        <v>21</v>
      </c>
      <c r="AD207" s="24" t="s">
        <v>20</v>
      </c>
      <c r="AE207" s="24" t="s">
        <v>21</v>
      </c>
      <c r="AG207">
        <f t="shared" si="18"/>
        <v>0</v>
      </c>
      <c r="AH207">
        <f t="shared" si="19"/>
        <v>17</v>
      </c>
      <c r="AI207">
        <f t="shared" si="20"/>
        <v>9</v>
      </c>
      <c r="AJ207">
        <f t="shared" si="21"/>
        <v>0</v>
      </c>
      <c r="AL207">
        <f t="shared" si="22"/>
        <v>0</v>
      </c>
      <c r="AM207">
        <f t="shared" si="23"/>
        <v>51</v>
      </c>
      <c r="AN207">
        <f t="shared" si="24"/>
        <v>18</v>
      </c>
      <c r="AO207">
        <f t="shared" si="25"/>
        <v>0</v>
      </c>
      <c r="AP207">
        <f t="shared" si="26"/>
        <v>69</v>
      </c>
    </row>
    <row r="208" spans="1:42" ht="15.75" hidden="1" customHeight="1" x14ac:dyDescent="0.3">
      <c r="A208" s="16"/>
      <c r="B208" s="55">
        <v>2</v>
      </c>
      <c r="C208" s="56" t="s">
        <v>226</v>
      </c>
      <c r="D208" s="55">
        <v>5</v>
      </c>
      <c r="E208" s="55" t="s">
        <v>21</v>
      </c>
      <c r="F208" s="18" t="s">
        <v>21</v>
      </c>
      <c r="G208" s="18" t="s">
        <v>21</v>
      </c>
      <c r="H208" s="18" t="s">
        <v>21</v>
      </c>
      <c r="I208" s="18" t="s">
        <v>20</v>
      </c>
      <c r="J208" s="18" t="s">
        <v>21</v>
      </c>
      <c r="K208" s="18" t="s">
        <v>21</v>
      </c>
      <c r="L208" s="18" t="s">
        <v>21</v>
      </c>
      <c r="M208" s="18" t="s">
        <v>20</v>
      </c>
      <c r="N208" s="18" t="s">
        <v>21</v>
      </c>
      <c r="O208" s="18" t="s">
        <v>21</v>
      </c>
      <c r="P208" s="18" t="s">
        <v>21</v>
      </c>
      <c r="Q208" s="18" t="s">
        <v>23</v>
      </c>
      <c r="R208" s="18" t="s">
        <v>23</v>
      </c>
      <c r="S208" s="18" t="s">
        <v>21</v>
      </c>
      <c r="T208" s="18" t="s">
        <v>21</v>
      </c>
      <c r="U208" s="18" t="s">
        <v>21</v>
      </c>
      <c r="V208" s="37" t="s">
        <v>20</v>
      </c>
      <c r="W208" s="37" t="s">
        <v>21</v>
      </c>
      <c r="X208" s="37" t="s">
        <v>20</v>
      </c>
      <c r="Y208" s="18" t="s">
        <v>21</v>
      </c>
      <c r="Z208" s="18" t="s">
        <v>20</v>
      </c>
      <c r="AA208" s="20" t="s">
        <v>21</v>
      </c>
      <c r="AB208" s="20" t="s">
        <v>21</v>
      </c>
      <c r="AC208" s="20" t="s">
        <v>23</v>
      </c>
      <c r="AD208" s="18" t="s">
        <v>23</v>
      </c>
      <c r="AE208" s="18" t="s">
        <v>21</v>
      </c>
      <c r="AG208">
        <f t="shared" si="18"/>
        <v>0</v>
      </c>
      <c r="AH208">
        <f t="shared" si="19"/>
        <v>5</v>
      </c>
      <c r="AI208">
        <f t="shared" si="20"/>
        <v>17</v>
      </c>
      <c r="AJ208">
        <f t="shared" si="21"/>
        <v>4</v>
      </c>
      <c r="AL208">
        <f t="shared" si="22"/>
        <v>0</v>
      </c>
      <c r="AM208">
        <f t="shared" si="23"/>
        <v>15</v>
      </c>
      <c r="AN208">
        <f t="shared" si="24"/>
        <v>34</v>
      </c>
      <c r="AO208">
        <f t="shared" si="25"/>
        <v>4</v>
      </c>
      <c r="AP208">
        <f t="shared" si="26"/>
        <v>53</v>
      </c>
    </row>
    <row r="209" spans="1:42" ht="15.75" hidden="1" customHeight="1" x14ac:dyDescent="0.3">
      <c r="A209" s="16"/>
      <c r="B209" s="55">
        <v>3</v>
      </c>
      <c r="C209" s="56" t="s">
        <v>227</v>
      </c>
      <c r="D209" s="55">
        <v>5</v>
      </c>
      <c r="E209" s="55" t="s">
        <v>21</v>
      </c>
      <c r="F209" s="18" t="s">
        <v>21</v>
      </c>
      <c r="G209" s="18" t="s">
        <v>23</v>
      </c>
      <c r="H209" s="18" t="s">
        <v>21</v>
      </c>
      <c r="I209" s="18" t="s">
        <v>20</v>
      </c>
      <c r="J209" s="18" t="s">
        <v>21</v>
      </c>
      <c r="K209" s="18" t="s">
        <v>21</v>
      </c>
      <c r="L209" s="18" t="s">
        <v>20</v>
      </c>
      <c r="M209" s="18" t="s">
        <v>20</v>
      </c>
      <c r="N209" s="18" t="s">
        <v>21</v>
      </c>
      <c r="O209" s="18" t="s">
        <v>21</v>
      </c>
      <c r="P209" s="18" t="s">
        <v>21</v>
      </c>
      <c r="Q209" s="18" t="s">
        <v>23</v>
      </c>
      <c r="R209" s="18" t="s">
        <v>21</v>
      </c>
      <c r="S209" s="18" t="s">
        <v>21</v>
      </c>
      <c r="T209" s="18" t="s">
        <v>21</v>
      </c>
      <c r="U209" s="18" t="s">
        <v>20</v>
      </c>
      <c r="V209" s="37" t="s">
        <v>20</v>
      </c>
      <c r="W209" s="37" t="s">
        <v>21</v>
      </c>
      <c r="X209" s="37" t="s">
        <v>20</v>
      </c>
      <c r="Y209" s="18" t="s">
        <v>21</v>
      </c>
      <c r="Z209" s="18" t="s">
        <v>20</v>
      </c>
      <c r="AA209" s="20" t="s">
        <v>21</v>
      </c>
      <c r="AB209" s="20" t="s">
        <v>21</v>
      </c>
      <c r="AC209" s="20" t="s">
        <v>21</v>
      </c>
      <c r="AD209" s="18" t="s">
        <v>21</v>
      </c>
      <c r="AE209" s="18" t="s">
        <v>21</v>
      </c>
      <c r="AG209">
        <f t="shared" si="18"/>
        <v>0</v>
      </c>
      <c r="AH209">
        <f t="shared" si="19"/>
        <v>7</v>
      </c>
      <c r="AI209">
        <f t="shared" si="20"/>
        <v>17</v>
      </c>
      <c r="AJ209">
        <f t="shared" si="21"/>
        <v>2</v>
      </c>
      <c r="AL209">
        <f t="shared" si="22"/>
        <v>0</v>
      </c>
      <c r="AM209">
        <f t="shared" si="23"/>
        <v>21</v>
      </c>
      <c r="AN209">
        <f t="shared" si="24"/>
        <v>34</v>
      </c>
      <c r="AO209">
        <f t="shared" si="25"/>
        <v>2</v>
      </c>
      <c r="AP209">
        <f t="shared" si="26"/>
        <v>57</v>
      </c>
    </row>
    <row r="210" spans="1:42" ht="15.75" hidden="1" customHeight="1" x14ac:dyDescent="0.3">
      <c r="A210" s="16"/>
      <c r="B210" s="55">
        <v>4</v>
      </c>
      <c r="C210" s="56" t="s">
        <v>228</v>
      </c>
      <c r="D210" s="55">
        <v>5</v>
      </c>
      <c r="E210" s="55" t="s">
        <v>21</v>
      </c>
      <c r="F210" s="18" t="s">
        <v>20</v>
      </c>
      <c r="G210" s="18" t="s">
        <v>20</v>
      </c>
      <c r="H210" s="18" t="s">
        <v>20</v>
      </c>
      <c r="I210" s="18" t="s">
        <v>20</v>
      </c>
      <c r="J210" s="18" t="s">
        <v>21</v>
      </c>
      <c r="K210" s="18" t="s">
        <v>20</v>
      </c>
      <c r="L210" s="18" t="s">
        <v>20</v>
      </c>
      <c r="M210" s="18" t="s">
        <v>20</v>
      </c>
      <c r="N210" s="18" t="s">
        <v>20</v>
      </c>
      <c r="O210" s="18" t="s">
        <v>20</v>
      </c>
      <c r="P210" s="18" t="s">
        <v>21</v>
      </c>
      <c r="Q210" s="18" t="s">
        <v>21</v>
      </c>
      <c r="R210" s="18" t="s">
        <v>21</v>
      </c>
      <c r="S210" s="18" t="s">
        <v>20</v>
      </c>
      <c r="T210" s="18" t="s">
        <v>21</v>
      </c>
      <c r="U210" s="18" t="s">
        <v>20</v>
      </c>
      <c r="V210" s="37" t="s">
        <v>20</v>
      </c>
      <c r="W210" s="37" t="s">
        <v>20</v>
      </c>
      <c r="X210" s="37" t="s">
        <v>20</v>
      </c>
      <c r="Y210" s="18" t="s">
        <v>20</v>
      </c>
      <c r="Z210" s="18" t="s">
        <v>20</v>
      </c>
      <c r="AA210" s="20" t="s">
        <v>20</v>
      </c>
      <c r="AB210" s="20" t="s">
        <v>20</v>
      </c>
      <c r="AC210" s="20" t="s">
        <v>20</v>
      </c>
      <c r="AD210" s="18" t="s">
        <v>20</v>
      </c>
      <c r="AE210" s="18" t="s">
        <v>21</v>
      </c>
      <c r="AG210">
        <f t="shared" si="18"/>
        <v>0</v>
      </c>
      <c r="AH210">
        <f t="shared" si="19"/>
        <v>20</v>
      </c>
      <c r="AI210">
        <f t="shared" si="20"/>
        <v>6</v>
      </c>
      <c r="AJ210">
        <f t="shared" si="21"/>
        <v>0</v>
      </c>
      <c r="AL210">
        <f t="shared" si="22"/>
        <v>0</v>
      </c>
      <c r="AM210">
        <f t="shared" si="23"/>
        <v>60</v>
      </c>
      <c r="AN210">
        <f t="shared" si="24"/>
        <v>12</v>
      </c>
      <c r="AO210">
        <f t="shared" si="25"/>
        <v>0</v>
      </c>
      <c r="AP210">
        <f t="shared" si="26"/>
        <v>72</v>
      </c>
    </row>
    <row r="211" spans="1:42" ht="15.75" hidden="1" customHeight="1" x14ac:dyDescent="0.3">
      <c r="A211" s="16"/>
      <c r="B211" s="55">
        <v>5</v>
      </c>
      <c r="C211" s="56" t="s">
        <v>229</v>
      </c>
      <c r="D211" s="55">
        <v>5</v>
      </c>
      <c r="E211" s="55" t="s">
        <v>21</v>
      </c>
      <c r="F211" s="18" t="s">
        <v>20</v>
      </c>
      <c r="G211" s="18" t="s">
        <v>21</v>
      </c>
      <c r="H211" s="18" t="s">
        <v>20</v>
      </c>
      <c r="I211" s="18" t="s">
        <v>20</v>
      </c>
      <c r="J211" s="18" t="s">
        <v>21</v>
      </c>
      <c r="K211" s="18" t="s">
        <v>21</v>
      </c>
      <c r="L211" s="18" t="s">
        <v>20</v>
      </c>
      <c r="M211" s="18" t="s">
        <v>20</v>
      </c>
      <c r="N211" s="18" t="s">
        <v>20</v>
      </c>
      <c r="O211" s="18" t="s">
        <v>20</v>
      </c>
      <c r="P211" s="18" t="s">
        <v>21</v>
      </c>
      <c r="Q211" s="18" t="s">
        <v>20</v>
      </c>
      <c r="R211" s="18" t="s">
        <v>21</v>
      </c>
      <c r="S211" s="18" t="s">
        <v>20</v>
      </c>
      <c r="T211" s="18" t="s">
        <v>21</v>
      </c>
      <c r="U211" s="18" t="s">
        <v>20</v>
      </c>
      <c r="V211" s="37" t="s">
        <v>20</v>
      </c>
      <c r="W211" s="37" t="s">
        <v>21</v>
      </c>
      <c r="X211" s="37" t="s">
        <v>20</v>
      </c>
      <c r="Y211" s="18" t="s">
        <v>21</v>
      </c>
      <c r="Z211" s="18" t="s">
        <v>20</v>
      </c>
      <c r="AA211" s="20" t="s">
        <v>20</v>
      </c>
      <c r="AB211" s="20" t="s">
        <v>20</v>
      </c>
      <c r="AC211" s="20" t="s">
        <v>20</v>
      </c>
      <c r="AD211" s="18" t="s">
        <v>20</v>
      </c>
      <c r="AE211" s="18" t="s">
        <v>21</v>
      </c>
      <c r="AG211">
        <f t="shared" si="18"/>
        <v>0</v>
      </c>
      <c r="AH211">
        <f t="shared" si="19"/>
        <v>17</v>
      </c>
      <c r="AI211">
        <f t="shared" si="20"/>
        <v>9</v>
      </c>
      <c r="AJ211">
        <f t="shared" si="21"/>
        <v>0</v>
      </c>
      <c r="AL211">
        <f t="shared" si="22"/>
        <v>0</v>
      </c>
      <c r="AM211">
        <f t="shared" si="23"/>
        <v>51</v>
      </c>
      <c r="AN211">
        <f t="shared" si="24"/>
        <v>18</v>
      </c>
      <c r="AO211">
        <f t="shared" si="25"/>
        <v>0</v>
      </c>
      <c r="AP211">
        <f t="shared" si="26"/>
        <v>69</v>
      </c>
    </row>
    <row r="212" spans="1:42" ht="15.75" hidden="1" customHeight="1" x14ac:dyDescent="0.3">
      <c r="A212" s="16"/>
      <c r="B212" s="55">
        <v>6</v>
      </c>
      <c r="C212" s="56" t="s">
        <v>230</v>
      </c>
      <c r="D212" s="55">
        <v>5</v>
      </c>
      <c r="E212" s="55" t="s">
        <v>21</v>
      </c>
      <c r="F212" s="18" t="s">
        <v>21</v>
      </c>
      <c r="G212" s="18" t="s">
        <v>21</v>
      </c>
      <c r="H212" s="18" t="s">
        <v>21</v>
      </c>
      <c r="I212" s="18" t="s">
        <v>20</v>
      </c>
      <c r="J212" s="18" t="s">
        <v>21</v>
      </c>
      <c r="K212" s="18" t="s">
        <v>21</v>
      </c>
      <c r="L212" s="18" t="s">
        <v>21</v>
      </c>
      <c r="M212" s="18" t="s">
        <v>20</v>
      </c>
      <c r="N212" s="18" t="s">
        <v>20</v>
      </c>
      <c r="O212" s="18" t="s">
        <v>20</v>
      </c>
      <c r="P212" s="18" t="s">
        <v>21</v>
      </c>
      <c r="Q212" s="18" t="s">
        <v>23</v>
      </c>
      <c r="R212" s="18" t="s">
        <v>23</v>
      </c>
      <c r="S212" s="18" t="s">
        <v>21</v>
      </c>
      <c r="T212" s="18" t="s">
        <v>21</v>
      </c>
      <c r="U212" s="18" t="s">
        <v>20</v>
      </c>
      <c r="V212" s="37" t="s">
        <v>20</v>
      </c>
      <c r="W212" s="37" t="s">
        <v>20</v>
      </c>
      <c r="X212" s="37" t="s">
        <v>20</v>
      </c>
      <c r="Y212" s="18" t="s">
        <v>21</v>
      </c>
      <c r="Z212" s="18" t="s">
        <v>20</v>
      </c>
      <c r="AA212" s="20" t="s">
        <v>20</v>
      </c>
      <c r="AB212" s="20" t="s">
        <v>20</v>
      </c>
      <c r="AC212" s="20" t="s">
        <v>20</v>
      </c>
      <c r="AD212" s="29" t="s">
        <v>23</v>
      </c>
      <c r="AE212" s="29" t="s">
        <v>21</v>
      </c>
      <c r="AG212">
        <f t="shared" si="18"/>
        <v>0</v>
      </c>
      <c r="AH212">
        <f t="shared" si="19"/>
        <v>12</v>
      </c>
      <c r="AI212">
        <f t="shared" si="20"/>
        <v>11</v>
      </c>
      <c r="AJ212">
        <f t="shared" si="21"/>
        <v>3</v>
      </c>
      <c r="AL212">
        <f t="shared" si="22"/>
        <v>0</v>
      </c>
      <c r="AM212">
        <f t="shared" si="23"/>
        <v>36</v>
      </c>
      <c r="AN212">
        <f t="shared" si="24"/>
        <v>22</v>
      </c>
      <c r="AO212">
        <f t="shared" si="25"/>
        <v>3</v>
      </c>
      <c r="AP212">
        <f t="shared" si="26"/>
        <v>61</v>
      </c>
    </row>
    <row r="213" spans="1:42" ht="15.75" hidden="1" customHeight="1" x14ac:dyDescent="0.3">
      <c r="A213" s="16"/>
      <c r="B213" s="55">
        <v>7</v>
      </c>
      <c r="C213" s="56" t="s">
        <v>231</v>
      </c>
      <c r="D213" s="55">
        <v>5</v>
      </c>
      <c r="E213" s="55" t="s">
        <v>21</v>
      </c>
      <c r="F213" s="18" t="s">
        <v>21</v>
      </c>
      <c r="G213" s="18" t="s">
        <v>21</v>
      </c>
      <c r="H213" s="18" t="s">
        <v>21</v>
      </c>
      <c r="I213" s="18" t="s">
        <v>21</v>
      </c>
      <c r="J213" s="18" t="s">
        <v>21</v>
      </c>
      <c r="K213" s="18" t="s">
        <v>21</v>
      </c>
      <c r="L213" s="18" t="s">
        <v>21</v>
      </c>
      <c r="M213" s="18" t="s">
        <v>20</v>
      </c>
      <c r="N213" s="18" t="s">
        <v>21</v>
      </c>
      <c r="O213" s="18" t="s">
        <v>20</v>
      </c>
      <c r="P213" s="18" t="s">
        <v>21</v>
      </c>
      <c r="Q213" s="18" t="s">
        <v>23</v>
      </c>
      <c r="R213" s="18" t="s">
        <v>21</v>
      </c>
      <c r="S213" s="18" t="s">
        <v>21</v>
      </c>
      <c r="T213" s="18" t="s">
        <v>21</v>
      </c>
      <c r="U213" s="18" t="s">
        <v>21</v>
      </c>
      <c r="V213" s="37" t="s">
        <v>21</v>
      </c>
      <c r="W213" s="37" t="s">
        <v>21</v>
      </c>
      <c r="X213" s="37" t="s">
        <v>21</v>
      </c>
      <c r="Y213" s="18" t="s">
        <v>20</v>
      </c>
      <c r="Z213" s="18" t="s">
        <v>20</v>
      </c>
      <c r="AA213" s="20" t="s">
        <v>21</v>
      </c>
      <c r="AB213" s="20" t="s">
        <v>21</v>
      </c>
      <c r="AC213" s="20" t="s">
        <v>21</v>
      </c>
      <c r="AD213" s="29" t="s">
        <v>23</v>
      </c>
      <c r="AE213" s="29" t="s">
        <v>21</v>
      </c>
      <c r="AG213">
        <f t="shared" si="18"/>
        <v>0</v>
      </c>
      <c r="AH213">
        <f t="shared" si="19"/>
        <v>4</v>
      </c>
      <c r="AI213">
        <f t="shared" si="20"/>
        <v>20</v>
      </c>
      <c r="AJ213">
        <f t="shared" si="21"/>
        <v>2</v>
      </c>
      <c r="AL213">
        <f t="shared" si="22"/>
        <v>0</v>
      </c>
      <c r="AM213">
        <f t="shared" si="23"/>
        <v>12</v>
      </c>
      <c r="AN213">
        <f t="shared" si="24"/>
        <v>40</v>
      </c>
      <c r="AO213">
        <f t="shared" si="25"/>
        <v>2</v>
      </c>
      <c r="AP213">
        <f t="shared" si="26"/>
        <v>54</v>
      </c>
    </row>
    <row r="214" spans="1:42" ht="15.75" hidden="1" customHeight="1" x14ac:dyDescent="0.3">
      <c r="A214" s="16"/>
      <c r="B214" s="55">
        <v>8</v>
      </c>
      <c r="C214" s="56" t="s">
        <v>232</v>
      </c>
      <c r="D214" s="55">
        <v>5</v>
      </c>
      <c r="E214" s="55" t="s">
        <v>21</v>
      </c>
      <c r="F214" s="18" t="s">
        <v>21</v>
      </c>
      <c r="G214" s="18" t="s">
        <v>23</v>
      </c>
      <c r="H214" s="18" t="s">
        <v>21</v>
      </c>
      <c r="I214" s="18" t="s">
        <v>20</v>
      </c>
      <c r="J214" s="18" t="s">
        <v>23</v>
      </c>
      <c r="K214" s="18" t="s">
        <v>20</v>
      </c>
      <c r="L214" s="18" t="s">
        <v>20</v>
      </c>
      <c r="M214" s="18" t="s">
        <v>20</v>
      </c>
      <c r="N214" s="18" t="s">
        <v>20</v>
      </c>
      <c r="O214" s="18" t="s">
        <v>20</v>
      </c>
      <c r="P214" s="18" t="s">
        <v>23</v>
      </c>
      <c r="Q214" s="18" t="s">
        <v>21</v>
      </c>
      <c r="R214" s="18" t="s">
        <v>21</v>
      </c>
      <c r="S214" s="18" t="s">
        <v>23</v>
      </c>
      <c r="T214" s="18" t="s">
        <v>21</v>
      </c>
      <c r="U214" s="18" t="s">
        <v>20</v>
      </c>
      <c r="V214" s="37" t="s">
        <v>20</v>
      </c>
      <c r="W214" s="37" t="s">
        <v>21</v>
      </c>
      <c r="X214" s="37" t="s">
        <v>20</v>
      </c>
      <c r="Y214" s="18" t="s">
        <v>20</v>
      </c>
      <c r="Z214" s="18" t="s">
        <v>20</v>
      </c>
      <c r="AA214" s="20" t="s">
        <v>20</v>
      </c>
      <c r="AB214" s="20" t="s">
        <v>20</v>
      </c>
      <c r="AC214" s="20" t="s">
        <v>20</v>
      </c>
      <c r="AD214" s="29" t="s">
        <v>23</v>
      </c>
      <c r="AE214" s="29" t="s">
        <v>21</v>
      </c>
      <c r="AG214">
        <f t="shared" si="18"/>
        <v>0</v>
      </c>
      <c r="AH214">
        <f t="shared" si="19"/>
        <v>14</v>
      </c>
      <c r="AI214">
        <f t="shared" si="20"/>
        <v>7</v>
      </c>
      <c r="AJ214">
        <f t="shared" si="21"/>
        <v>5</v>
      </c>
      <c r="AL214">
        <f t="shared" si="22"/>
        <v>0</v>
      </c>
      <c r="AM214">
        <f t="shared" si="23"/>
        <v>42</v>
      </c>
      <c r="AN214">
        <f t="shared" si="24"/>
        <v>14</v>
      </c>
      <c r="AO214">
        <f t="shared" si="25"/>
        <v>5</v>
      </c>
      <c r="AP214">
        <f t="shared" si="26"/>
        <v>61</v>
      </c>
    </row>
    <row r="215" spans="1:42" ht="15.75" hidden="1" customHeight="1" x14ac:dyDescent="0.3">
      <c r="A215" s="16"/>
      <c r="B215" s="55">
        <v>9</v>
      </c>
      <c r="C215" s="56" t="s">
        <v>233</v>
      </c>
      <c r="D215" s="55">
        <v>5</v>
      </c>
      <c r="E215" s="55" t="s">
        <v>21</v>
      </c>
      <c r="F215" s="18" t="s">
        <v>20</v>
      </c>
      <c r="G215" s="18" t="s">
        <v>20</v>
      </c>
      <c r="H215" s="18" t="s">
        <v>20</v>
      </c>
      <c r="I215" s="18" t="s">
        <v>20</v>
      </c>
      <c r="J215" s="18" t="s">
        <v>21</v>
      </c>
      <c r="K215" s="18" t="s">
        <v>21</v>
      </c>
      <c r="L215" s="18" t="s">
        <v>21</v>
      </c>
      <c r="M215" s="18" t="s">
        <v>20</v>
      </c>
      <c r="N215" s="18" t="s">
        <v>20</v>
      </c>
      <c r="O215" s="18" t="s">
        <v>20</v>
      </c>
      <c r="P215" s="18" t="s">
        <v>21</v>
      </c>
      <c r="Q215" s="18" t="s">
        <v>21</v>
      </c>
      <c r="R215" s="18" t="s">
        <v>20</v>
      </c>
      <c r="S215" s="18" t="s">
        <v>20</v>
      </c>
      <c r="T215" s="18" t="s">
        <v>21</v>
      </c>
      <c r="U215" s="18" t="s">
        <v>20</v>
      </c>
      <c r="V215" s="37" t="s">
        <v>20</v>
      </c>
      <c r="W215" s="37" t="s">
        <v>20</v>
      </c>
      <c r="X215" s="37" t="s">
        <v>20</v>
      </c>
      <c r="Y215" s="18" t="s">
        <v>20</v>
      </c>
      <c r="Z215" s="18" t="s">
        <v>20</v>
      </c>
      <c r="AA215" s="20" t="s">
        <v>20</v>
      </c>
      <c r="AB215" s="20" t="s">
        <v>20</v>
      </c>
      <c r="AC215" s="20" t="s">
        <v>20</v>
      </c>
      <c r="AD215" s="29" t="s">
        <v>20</v>
      </c>
      <c r="AE215" s="29" t="s">
        <v>21</v>
      </c>
      <c r="AG215">
        <f t="shared" si="18"/>
        <v>0</v>
      </c>
      <c r="AH215">
        <f t="shared" si="19"/>
        <v>19</v>
      </c>
      <c r="AI215">
        <f t="shared" si="20"/>
        <v>7</v>
      </c>
      <c r="AJ215">
        <f t="shared" si="21"/>
        <v>0</v>
      </c>
      <c r="AL215">
        <f t="shared" si="22"/>
        <v>0</v>
      </c>
      <c r="AM215">
        <f t="shared" si="23"/>
        <v>57</v>
      </c>
      <c r="AN215">
        <f t="shared" si="24"/>
        <v>14</v>
      </c>
      <c r="AO215">
        <f t="shared" si="25"/>
        <v>0</v>
      </c>
      <c r="AP215">
        <f t="shared" si="26"/>
        <v>71</v>
      </c>
    </row>
    <row r="216" spans="1:42" ht="15.75" hidden="1" customHeight="1" x14ac:dyDescent="0.3">
      <c r="A216" s="16"/>
      <c r="B216" s="55">
        <v>10</v>
      </c>
      <c r="C216" s="56" t="s">
        <v>234</v>
      </c>
      <c r="D216" s="55">
        <v>5</v>
      </c>
      <c r="E216" s="55" t="s">
        <v>21</v>
      </c>
      <c r="F216" s="18" t="s">
        <v>20</v>
      </c>
      <c r="G216" s="18" t="s">
        <v>20</v>
      </c>
      <c r="H216" s="18" t="s">
        <v>21</v>
      </c>
      <c r="I216" s="18" t="s">
        <v>20</v>
      </c>
      <c r="J216" s="18" t="s">
        <v>20</v>
      </c>
      <c r="K216" s="18" t="s">
        <v>21</v>
      </c>
      <c r="L216" s="18" t="s">
        <v>20</v>
      </c>
      <c r="M216" s="18" t="s">
        <v>20</v>
      </c>
      <c r="N216" s="18" t="s">
        <v>20</v>
      </c>
      <c r="O216" s="18" t="s">
        <v>20</v>
      </c>
      <c r="P216" s="18" t="s">
        <v>21</v>
      </c>
      <c r="Q216" s="18" t="s">
        <v>21</v>
      </c>
      <c r="R216" s="18" t="s">
        <v>21</v>
      </c>
      <c r="S216" s="18" t="s">
        <v>20</v>
      </c>
      <c r="T216" s="18" t="s">
        <v>21</v>
      </c>
      <c r="U216" s="18" t="s">
        <v>20</v>
      </c>
      <c r="V216" s="37" t="s">
        <v>20</v>
      </c>
      <c r="W216" s="37" t="s">
        <v>20</v>
      </c>
      <c r="X216" s="37" t="s">
        <v>20</v>
      </c>
      <c r="Y216" s="18" t="s">
        <v>20</v>
      </c>
      <c r="Z216" s="18" t="s">
        <v>20</v>
      </c>
      <c r="AA216" s="20" t="s">
        <v>20</v>
      </c>
      <c r="AB216" s="20" t="s">
        <v>20</v>
      </c>
      <c r="AC216" s="20" t="s">
        <v>20</v>
      </c>
      <c r="AD216" s="29" t="s">
        <v>20</v>
      </c>
      <c r="AE216" s="29" t="s">
        <v>21</v>
      </c>
      <c r="AG216">
        <f t="shared" si="18"/>
        <v>0</v>
      </c>
      <c r="AH216">
        <f t="shared" si="19"/>
        <v>19</v>
      </c>
      <c r="AI216">
        <f t="shared" si="20"/>
        <v>7</v>
      </c>
      <c r="AJ216">
        <f t="shared" si="21"/>
        <v>0</v>
      </c>
      <c r="AL216">
        <f t="shared" si="22"/>
        <v>0</v>
      </c>
      <c r="AM216">
        <f t="shared" si="23"/>
        <v>57</v>
      </c>
      <c r="AN216">
        <f t="shared" si="24"/>
        <v>14</v>
      </c>
      <c r="AO216">
        <f t="shared" si="25"/>
        <v>0</v>
      </c>
      <c r="AP216">
        <f t="shared" si="26"/>
        <v>71</v>
      </c>
    </row>
    <row r="217" spans="1:42" ht="15.75" hidden="1" customHeight="1" x14ac:dyDescent="0.3">
      <c r="A217" s="16"/>
      <c r="B217" s="55">
        <v>11</v>
      </c>
      <c r="C217" s="56" t="s">
        <v>235</v>
      </c>
      <c r="D217" s="55">
        <v>5</v>
      </c>
      <c r="E217" s="55" t="s">
        <v>21</v>
      </c>
      <c r="F217" s="18" t="s">
        <v>21</v>
      </c>
      <c r="G217" s="18" t="s">
        <v>21</v>
      </c>
      <c r="H217" s="18" t="s">
        <v>21</v>
      </c>
      <c r="I217" s="18" t="s">
        <v>21</v>
      </c>
      <c r="J217" s="18" t="s">
        <v>21</v>
      </c>
      <c r="K217" s="18" t="s">
        <v>21</v>
      </c>
      <c r="L217" s="18" t="s">
        <v>20</v>
      </c>
      <c r="M217" s="18" t="s">
        <v>20</v>
      </c>
      <c r="N217" s="18" t="s">
        <v>20</v>
      </c>
      <c r="O217" s="18" t="s">
        <v>20</v>
      </c>
      <c r="P217" s="18" t="s">
        <v>21</v>
      </c>
      <c r="Q217" s="18" t="s">
        <v>21</v>
      </c>
      <c r="R217" s="18" t="s">
        <v>21</v>
      </c>
      <c r="S217" s="18" t="s">
        <v>20</v>
      </c>
      <c r="T217" s="18" t="s">
        <v>20</v>
      </c>
      <c r="U217" s="18" t="s">
        <v>21</v>
      </c>
      <c r="V217" s="37" t="s">
        <v>20</v>
      </c>
      <c r="W217" s="37" t="s">
        <v>21</v>
      </c>
      <c r="X217" s="37" t="s">
        <v>20</v>
      </c>
      <c r="Y217" s="18" t="s">
        <v>20</v>
      </c>
      <c r="Z217" s="18" t="s">
        <v>21</v>
      </c>
      <c r="AA217" s="20" t="s">
        <v>20</v>
      </c>
      <c r="AB217" s="20" t="s">
        <v>20</v>
      </c>
      <c r="AC217" s="20" t="s">
        <v>20</v>
      </c>
      <c r="AD217" s="29" t="s">
        <v>20</v>
      </c>
      <c r="AE217" s="29" t="s">
        <v>21</v>
      </c>
      <c r="AG217">
        <f t="shared" si="18"/>
        <v>0</v>
      </c>
      <c r="AH217">
        <f t="shared" si="19"/>
        <v>13</v>
      </c>
      <c r="AI217">
        <f t="shared" si="20"/>
        <v>13</v>
      </c>
      <c r="AJ217">
        <f t="shared" si="21"/>
        <v>0</v>
      </c>
      <c r="AL217">
        <f t="shared" si="22"/>
        <v>0</v>
      </c>
      <c r="AM217">
        <f t="shared" si="23"/>
        <v>39</v>
      </c>
      <c r="AN217">
        <f t="shared" si="24"/>
        <v>26</v>
      </c>
      <c r="AO217">
        <f t="shared" si="25"/>
        <v>0</v>
      </c>
      <c r="AP217">
        <f t="shared" si="26"/>
        <v>65</v>
      </c>
    </row>
    <row r="218" spans="1:42" ht="15.75" hidden="1" customHeight="1" x14ac:dyDescent="0.3">
      <c r="A218" s="16"/>
      <c r="B218" s="55">
        <v>12</v>
      </c>
      <c r="C218" s="56" t="s">
        <v>236</v>
      </c>
      <c r="D218" s="55">
        <v>5</v>
      </c>
      <c r="E218" s="55" t="s">
        <v>21</v>
      </c>
      <c r="F218" s="18" t="s">
        <v>21</v>
      </c>
      <c r="G218" s="18" t="s">
        <v>21</v>
      </c>
      <c r="H218" s="18" t="s">
        <v>21</v>
      </c>
      <c r="I218" s="18" t="s">
        <v>20</v>
      </c>
      <c r="J218" s="18" t="s">
        <v>21</v>
      </c>
      <c r="K218" s="18" t="s">
        <v>21</v>
      </c>
      <c r="L218" s="18" t="s">
        <v>20</v>
      </c>
      <c r="M218" s="18" t="s">
        <v>20</v>
      </c>
      <c r="N218" s="18" t="s">
        <v>20</v>
      </c>
      <c r="O218" s="18" t="s">
        <v>20</v>
      </c>
      <c r="P218" s="18" t="s">
        <v>23</v>
      </c>
      <c r="Q218" s="18" t="s">
        <v>23</v>
      </c>
      <c r="R218" s="18" t="s">
        <v>23</v>
      </c>
      <c r="S218" s="18" t="s">
        <v>21</v>
      </c>
      <c r="T218" s="18" t="s">
        <v>21</v>
      </c>
      <c r="U218" s="18" t="s">
        <v>20</v>
      </c>
      <c r="V218" s="37" t="s">
        <v>20</v>
      </c>
      <c r="W218" s="37" t="s">
        <v>20</v>
      </c>
      <c r="X218" s="37" t="s">
        <v>20</v>
      </c>
      <c r="Y218" s="18" t="s">
        <v>20</v>
      </c>
      <c r="Z218" s="18" t="s">
        <v>20</v>
      </c>
      <c r="AA218" s="20" t="s">
        <v>20</v>
      </c>
      <c r="AB218" s="20" t="s">
        <v>20</v>
      </c>
      <c r="AC218" s="20" t="s">
        <v>20</v>
      </c>
      <c r="AD218" s="29" t="s">
        <v>23</v>
      </c>
      <c r="AE218" s="29" t="s">
        <v>21</v>
      </c>
      <c r="AG218">
        <f t="shared" si="18"/>
        <v>0</v>
      </c>
      <c r="AH218">
        <f t="shared" si="19"/>
        <v>14</v>
      </c>
      <c r="AI218">
        <f t="shared" si="20"/>
        <v>8</v>
      </c>
      <c r="AJ218">
        <f t="shared" si="21"/>
        <v>4</v>
      </c>
      <c r="AL218">
        <f t="shared" si="22"/>
        <v>0</v>
      </c>
      <c r="AM218">
        <f t="shared" si="23"/>
        <v>42</v>
      </c>
      <c r="AN218">
        <f t="shared" si="24"/>
        <v>16</v>
      </c>
      <c r="AO218">
        <f t="shared" si="25"/>
        <v>4</v>
      </c>
      <c r="AP218">
        <f t="shared" si="26"/>
        <v>62</v>
      </c>
    </row>
    <row r="219" spans="1:42" ht="15.75" hidden="1" customHeight="1" x14ac:dyDescent="0.3">
      <c r="A219" s="16"/>
      <c r="B219" s="55">
        <v>13</v>
      </c>
      <c r="C219" s="56" t="s">
        <v>237</v>
      </c>
      <c r="D219" s="55">
        <v>5</v>
      </c>
      <c r="E219" s="55" t="s">
        <v>21</v>
      </c>
      <c r="F219" s="18" t="s">
        <v>21</v>
      </c>
      <c r="G219" s="18" t="s">
        <v>21</v>
      </c>
      <c r="H219" s="18" t="s">
        <v>21</v>
      </c>
      <c r="I219" s="18" t="s">
        <v>21</v>
      </c>
      <c r="J219" s="18" t="s">
        <v>20</v>
      </c>
      <c r="K219" s="18" t="s">
        <v>20</v>
      </c>
      <c r="L219" s="18" t="s">
        <v>20</v>
      </c>
      <c r="M219" s="18" t="s">
        <v>20</v>
      </c>
      <c r="N219" s="18" t="s">
        <v>21</v>
      </c>
      <c r="O219" s="18" t="s">
        <v>20</v>
      </c>
      <c r="P219" s="18" t="s">
        <v>23</v>
      </c>
      <c r="Q219" s="18" t="s">
        <v>21</v>
      </c>
      <c r="R219" s="18" t="s">
        <v>21</v>
      </c>
      <c r="S219" s="18" t="s">
        <v>20</v>
      </c>
      <c r="T219" s="18" t="s">
        <v>21</v>
      </c>
      <c r="U219" s="18" t="s">
        <v>21</v>
      </c>
      <c r="V219" s="37" t="s">
        <v>20</v>
      </c>
      <c r="W219" s="37" t="s">
        <v>20</v>
      </c>
      <c r="X219" s="37" t="s">
        <v>20</v>
      </c>
      <c r="Y219" s="18" t="s">
        <v>20</v>
      </c>
      <c r="Z219" s="18" t="s">
        <v>20</v>
      </c>
      <c r="AA219" s="20" t="s">
        <v>21</v>
      </c>
      <c r="AB219" s="20" t="s">
        <v>20</v>
      </c>
      <c r="AC219" s="20" t="s">
        <v>21</v>
      </c>
      <c r="AD219" s="29" t="s">
        <v>21</v>
      </c>
      <c r="AE219" s="29" t="s">
        <v>21</v>
      </c>
      <c r="AG219">
        <f t="shared" ref="AG219:AG252" si="27">+COUNTIF(F219:AE219,"AD")</f>
        <v>0</v>
      </c>
      <c r="AH219">
        <f t="shared" ref="AH219:AH252" si="28">+COUNTIF(F219:AE219,"A")</f>
        <v>12</v>
      </c>
      <c r="AI219">
        <f t="shared" ref="AI219:AI252" si="29">+COUNTIF(F219:AE219,"b")</f>
        <v>13</v>
      </c>
      <c r="AJ219">
        <f t="shared" ref="AJ219:AJ252" si="30">+COUNTIF(F219:AE219,"c")</f>
        <v>1</v>
      </c>
      <c r="AL219">
        <f t="shared" ref="AL219:AL252" si="31">+$AG$5*AG219</f>
        <v>0</v>
      </c>
      <c r="AM219">
        <f t="shared" ref="AM219:AM252" si="32">+$AH$5*AH219</f>
        <v>36</v>
      </c>
      <c r="AN219">
        <f t="shared" ref="AN219:AN252" si="33">+$AI$5*AI219</f>
        <v>26</v>
      </c>
      <c r="AO219">
        <f t="shared" ref="AO219:AO252" si="34">+$AJ$5*AJ219</f>
        <v>1</v>
      </c>
      <c r="AP219">
        <f t="shared" ref="AP219:AP232" si="35">+SUM(AL219:AO219)</f>
        <v>63</v>
      </c>
    </row>
    <row r="220" spans="1:42" ht="15.75" hidden="1" customHeight="1" x14ac:dyDescent="0.3">
      <c r="A220" s="16"/>
      <c r="B220" s="55">
        <v>14</v>
      </c>
      <c r="C220" s="56" t="s">
        <v>238</v>
      </c>
      <c r="D220" s="55">
        <v>5</v>
      </c>
      <c r="E220" s="55" t="s">
        <v>21</v>
      </c>
      <c r="F220" s="18" t="s">
        <v>21</v>
      </c>
      <c r="G220" s="18" t="s">
        <v>21</v>
      </c>
      <c r="H220" s="18" t="s">
        <v>23</v>
      </c>
      <c r="I220" s="18" t="s">
        <v>21</v>
      </c>
      <c r="J220" s="18" t="s">
        <v>23</v>
      </c>
      <c r="K220" s="18" t="s">
        <v>21</v>
      </c>
      <c r="L220" s="18" t="s">
        <v>21</v>
      </c>
      <c r="M220" s="18" t="s">
        <v>21</v>
      </c>
      <c r="N220" s="18" t="s">
        <v>21</v>
      </c>
      <c r="O220" s="18" t="s">
        <v>20</v>
      </c>
      <c r="P220" s="18" t="s">
        <v>21</v>
      </c>
      <c r="Q220" s="18" t="s">
        <v>23</v>
      </c>
      <c r="R220" s="18" t="s">
        <v>21</v>
      </c>
      <c r="S220" s="18" t="s">
        <v>21</v>
      </c>
      <c r="T220" s="18" t="s">
        <v>21</v>
      </c>
      <c r="U220" s="18" t="s">
        <v>20</v>
      </c>
      <c r="V220" s="37" t="s">
        <v>21</v>
      </c>
      <c r="W220" s="37" t="s">
        <v>20</v>
      </c>
      <c r="X220" s="37" t="s">
        <v>20</v>
      </c>
      <c r="Y220" s="18" t="s">
        <v>20</v>
      </c>
      <c r="Z220" s="18" t="s">
        <v>21</v>
      </c>
      <c r="AA220" s="20" t="s">
        <v>23</v>
      </c>
      <c r="AB220" s="20" t="s">
        <v>23</v>
      </c>
      <c r="AC220" s="20" t="s">
        <v>21</v>
      </c>
      <c r="AD220" s="29" t="s">
        <v>20</v>
      </c>
      <c r="AE220" s="29" t="s">
        <v>21</v>
      </c>
      <c r="AG220">
        <f t="shared" si="27"/>
        <v>0</v>
      </c>
      <c r="AH220">
        <f t="shared" si="28"/>
        <v>6</v>
      </c>
      <c r="AI220">
        <f t="shared" si="29"/>
        <v>15</v>
      </c>
      <c r="AJ220">
        <f t="shared" si="30"/>
        <v>5</v>
      </c>
      <c r="AL220">
        <f t="shared" si="31"/>
        <v>0</v>
      </c>
      <c r="AM220">
        <f t="shared" si="32"/>
        <v>18</v>
      </c>
      <c r="AN220">
        <f t="shared" si="33"/>
        <v>30</v>
      </c>
      <c r="AO220">
        <f t="shared" si="34"/>
        <v>5</v>
      </c>
      <c r="AP220">
        <f t="shared" si="35"/>
        <v>53</v>
      </c>
    </row>
    <row r="221" spans="1:42" ht="15.75" hidden="1" customHeight="1" x14ac:dyDescent="0.3">
      <c r="A221" s="16"/>
      <c r="B221" s="55">
        <v>15</v>
      </c>
      <c r="C221" s="56" t="s">
        <v>239</v>
      </c>
      <c r="D221" s="55">
        <v>5</v>
      </c>
      <c r="E221" s="55" t="s">
        <v>21</v>
      </c>
      <c r="F221" s="18" t="s">
        <v>21</v>
      </c>
      <c r="G221" s="18" t="s">
        <v>23</v>
      </c>
      <c r="H221" s="18" t="s">
        <v>21</v>
      </c>
      <c r="I221" s="18" t="s">
        <v>21</v>
      </c>
      <c r="J221" s="18" t="s">
        <v>21</v>
      </c>
      <c r="K221" s="18" t="s">
        <v>20</v>
      </c>
      <c r="L221" s="18" t="s">
        <v>20</v>
      </c>
      <c r="M221" s="18" t="s">
        <v>20</v>
      </c>
      <c r="N221" s="18" t="s">
        <v>21</v>
      </c>
      <c r="O221" s="18" t="s">
        <v>20</v>
      </c>
      <c r="P221" s="18" t="s">
        <v>21</v>
      </c>
      <c r="Q221" s="18" t="s">
        <v>21</v>
      </c>
      <c r="R221" s="18" t="s">
        <v>21</v>
      </c>
      <c r="S221" s="18" t="s">
        <v>20</v>
      </c>
      <c r="T221" s="18" t="s">
        <v>20</v>
      </c>
      <c r="U221" s="18" t="s">
        <v>21</v>
      </c>
      <c r="V221" s="37" t="s">
        <v>20</v>
      </c>
      <c r="W221" s="37" t="s">
        <v>20</v>
      </c>
      <c r="X221" s="37" t="s">
        <v>20</v>
      </c>
      <c r="Y221" s="18" t="s">
        <v>21</v>
      </c>
      <c r="Z221" s="18" t="s">
        <v>21</v>
      </c>
      <c r="AA221" s="20" t="s">
        <v>21</v>
      </c>
      <c r="AB221" s="20" t="s">
        <v>21</v>
      </c>
      <c r="AC221" s="20" t="s">
        <v>21</v>
      </c>
      <c r="AD221" s="29" t="s">
        <v>20</v>
      </c>
      <c r="AE221" s="29" t="s">
        <v>21</v>
      </c>
      <c r="AG221">
        <f t="shared" si="27"/>
        <v>0</v>
      </c>
      <c r="AH221">
        <f t="shared" si="28"/>
        <v>10</v>
      </c>
      <c r="AI221">
        <f t="shared" si="29"/>
        <v>15</v>
      </c>
      <c r="AJ221">
        <f t="shared" si="30"/>
        <v>1</v>
      </c>
      <c r="AL221">
        <f t="shared" si="31"/>
        <v>0</v>
      </c>
      <c r="AM221">
        <f t="shared" si="32"/>
        <v>30</v>
      </c>
      <c r="AN221">
        <f t="shared" si="33"/>
        <v>30</v>
      </c>
      <c r="AO221">
        <f t="shared" si="34"/>
        <v>1</v>
      </c>
      <c r="AP221">
        <f t="shared" si="35"/>
        <v>61</v>
      </c>
    </row>
    <row r="222" spans="1:42" ht="15.75" hidden="1" customHeight="1" x14ac:dyDescent="0.3">
      <c r="A222" s="16"/>
      <c r="B222" s="55">
        <v>16</v>
      </c>
      <c r="C222" s="56" t="s">
        <v>240</v>
      </c>
      <c r="D222" s="55">
        <v>5</v>
      </c>
      <c r="E222" s="55" t="s">
        <v>21</v>
      </c>
      <c r="F222" s="18" t="s">
        <v>20</v>
      </c>
      <c r="G222" s="18" t="s">
        <v>20</v>
      </c>
      <c r="H222" s="18" t="s">
        <v>21</v>
      </c>
      <c r="I222" s="18" t="s">
        <v>20</v>
      </c>
      <c r="J222" s="18" t="s">
        <v>21</v>
      </c>
      <c r="K222" s="18" t="s">
        <v>21</v>
      </c>
      <c r="L222" s="18" t="s">
        <v>20</v>
      </c>
      <c r="M222" s="18" t="s">
        <v>20</v>
      </c>
      <c r="N222" s="18" t="s">
        <v>20</v>
      </c>
      <c r="O222" s="18" t="s">
        <v>20</v>
      </c>
      <c r="P222" s="18" t="s">
        <v>21</v>
      </c>
      <c r="Q222" s="18" t="s">
        <v>20</v>
      </c>
      <c r="R222" s="18" t="s">
        <v>21</v>
      </c>
      <c r="S222" s="18" t="s">
        <v>21</v>
      </c>
      <c r="T222" s="18" t="s">
        <v>21</v>
      </c>
      <c r="U222" s="18" t="s">
        <v>20</v>
      </c>
      <c r="V222" s="37" t="s">
        <v>20</v>
      </c>
      <c r="W222" s="37" t="s">
        <v>20</v>
      </c>
      <c r="X222" s="37" t="s">
        <v>20</v>
      </c>
      <c r="Y222" s="18" t="s">
        <v>20</v>
      </c>
      <c r="Z222" s="18" t="s">
        <v>21</v>
      </c>
      <c r="AA222" s="20" t="s">
        <v>21</v>
      </c>
      <c r="AB222" s="20" t="s">
        <v>20</v>
      </c>
      <c r="AC222" s="20" t="s">
        <v>20</v>
      </c>
      <c r="AD222" s="29" t="s">
        <v>20</v>
      </c>
      <c r="AE222" s="29" t="s">
        <v>21</v>
      </c>
      <c r="AG222">
        <f t="shared" si="27"/>
        <v>0</v>
      </c>
      <c r="AH222">
        <f t="shared" si="28"/>
        <v>16</v>
      </c>
      <c r="AI222">
        <f t="shared" si="29"/>
        <v>10</v>
      </c>
      <c r="AJ222">
        <f t="shared" si="30"/>
        <v>0</v>
      </c>
      <c r="AL222">
        <f t="shared" si="31"/>
        <v>0</v>
      </c>
      <c r="AM222">
        <f t="shared" si="32"/>
        <v>48</v>
      </c>
      <c r="AN222">
        <f t="shared" si="33"/>
        <v>20</v>
      </c>
      <c r="AO222">
        <f t="shared" si="34"/>
        <v>0</v>
      </c>
      <c r="AP222">
        <f t="shared" si="35"/>
        <v>68</v>
      </c>
    </row>
    <row r="223" spans="1:42" ht="15.75" hidden="1" customHeight="1" x14ac:dyDescent="0.3">
      <c r="A223" s="16"/>
      <c r="B223" s="55">
        <v>17</v>
      </c>
      <c r="C223" s="56" t="s">
        <v>241</v>
      </c>
      <c r="D223" s="55">
        <v>5</v>
      </c>
      <c r="E223" s="55" t="s">
        <v>21</v>
      </c>
      <c r="F223" s="18" t="s">
        <v>21</v>
      </c>
      <c r="G223" s="18" t="s">
        <v>23</v>
      </c>
      <c r="H223" s="18" t="s">
        <v>21</v>
      </c>
      <c r="I223" s="18" t="s">
        <v>21</v>
      </c>
      <c r="J223" s="18" t="s">
        <v>21</v>
      </c>
      <c r="K223" s="18" t="s">
        <v>21</v>
      </c>
      <c r="L223" s="18" t="s">
        <v>21</v>
      </c>
      <c r="M223" s="18" t="s">
        <v>21</v>
      </c>
      <c r="N223" s="18" t="s">
        <v>21</v>
      </c>
      <c r="O223" s="18" t="s">
        <v>21</v>
      </c>
      <c r="P223" s="18" t="s">
        <v>21</v>
      </c>
      <c r="Q223" s="18" t="s">
        <v>23</v>
      </c>
      <c r="R223" s="18" t="s">
        <v>21</v>
      </c>
      <c r="S223" s="18" t="s">
        <v>21</v>
      </c>
      <c r="T223" s="18" t="s">
        <v>21</v>
      </c>
      <c r="U223" s="18" t="s">
        <v>21</v>
      </c>
      <c r="V223" s="37" t="s">
        <v>20</v>
      </c>
      <c r="W223" s="37" t="s">
        <v>21</v>
      </c>
      <c r="X223" s="37" t="s">
        <v>20</v>
      </c>
      <c r="Y223" s="18" t="s">
        <v>20</v>
      </c>
      <c r="Z223" s="18" t="s">
        <v>21</v>
      </c>
      <c r="AA223" s="20" t="s">
        <v>20</v>
      </c>
      <c r="AB223" s="20" t="s">
        <v>21</v>
      </c>
      <c r="AC223" s="20" t="s">
        <v>21</v>
      </c>
      <c r="AD223" s="29" t="s">
        <v>23</v>
      </c>
      <c r="AE223" s="29" t="s">
        <v>21</v>
      </c>
      <c r="AG223">
        <f t="shared" si="27"/>
        <v>0</v>
      </c>
      <c r="AH223">
        <f t="shared" si="28"/>
        <v>4</v>
      </c>
      <c r="AI223">
        <f t="shared" si="29"/>
        <v>19</v>
      </c>
      <c r="AJ223">
        <f t="shared" si="30"/>
        <v>3</v>
      </c>
      <c r="AL223">
        <f t="shared" si="31"/>
        <v>0</v>
      </c>
      <c r="AM223">
        <f t="shared" si="32"/>
        <v>12</v>
      </c>
      <c r="AN223">
        <f t="shared" si="33"/>
        <v>38</v>
      </c>
      <c r="AO223">
        <f t="shared" si="34"/>
        <v>3</v>
      </c>
      <c r="AP223">
        <f t="shared" si="35"/>
        <v>53</v>
      </c>
    </row>
    <row r="224" spans="1:42" ht="15.75" hidden="1" customHeight="1" x14ac:dyDescent="0.3">
      <c r="A224" s="16"/>
      <c r="B224" s="55">
        <v>18</v>
      </c>
      <c r="C224" s="56" t="s">
        <v>242</v>
      </c>
      <c r="D224" s="55">
        <v>5</v>
      </c>
      <c r="E224" s="55" t="s">
        <v>21</v>
      </c>
      <c r="F224" s="18" t="s">
        <v>20</v>
      </c>
      <c r="G224" s="18" t="s">
        <v>20</v>
      </c>
      <c r="H224" s="18" t="s">
        <v>21</v>
      </c>
      <c r="I224" s="18" t="s">
        <v>21</v>
      </c>
      <c r="J224" s="18" t="s">
        <v>20</v>
      </c>
      <c r="K224" s="18" t="s">
        <v>20</v>
      </c>
      <c r="L224" s="18" t="s">
        <v>21</v>
      </c>
      <c r="M224" s="18" t="s">
        <v>20</v>
      </c>
      <c r="N224" s="18" t="s">
        <v>20</v>
      </c>
      <c r="O224" s="18" t="s">
        <v>20</v>
      </c>
      <c r="P224" s="18" t="s">
        <v>21</v>
      </c>
      <c r="Q224" s="18" t="s">
        <v>21</v>
      </c>
      <c r="R224" s="18" t="s">
        <v>21</v>
      </c>
      <c r="S224" s="18" t="s">
        <v>20</v>
      </c>
      <c r="T224" s="18" t="s">
        <v>20</v>
      </c>
      <c r="U224" s="18" t="s">
        <v>20</v>
      </c>
      <c r="V224" s="37" t="s">
        <v>20</v>
      </c>
      <c r="W224" s="37" t="s">
        <v>20</v>
      </c>
      <c r="X224" s="37" t="s">
        <v>20</v>
      </c>
      <c r="Y224" s="18" t="s">
        <v>20</v>
      </c>
      <c r="Z224" s="18" t="s">
        <v>20</v>
      </c>
      <c r="AA224" s="20" t="s">
        <v>21</v>
      </c>
      <c r="AB224" s="20" t="s">
        <v>20</v>
      </c>
      <c r="AC224" s="20" t="s">
        <v>20</v>
      </c>
      <c r="AD224" s="29" t="s">
        <v>20</v>
      </c>
      <c r="AE224" s="29" t="s">
        <v>21</v>
      </c>
      <c r="AG224">
        <f t="shared" si="27"/>
        <v>0</v>
      </c>
      <c r="AH224">
        <f t="shared" si="28"/>
        <v>18</v>
      </c>
      <c r="AI224">
        <f t="shared" si="29"/>
        <v>8</v>
      </c>
      <c r="AJ224">
        <f t="shared" si="30"/>
        <v>0</v>
      </c>
      <c r="AL224">
        <f t="shared" si="31"/>
        <v>0</v>
      </c>
      <c r="AM224">
        <f t="shared" si="32"/>
        <v>54</v>
      </c>
      <c r="AN224">
        <f t="shared" si="33"/>
        <v>16</v>
      </c>
      <c r="AO224">
        <f t="shared" si="34"/>
        <v>0</v>
      </c>
      <c r="AP224">
        <f t="shared" si="35"/>
        <v>70</v>
      </c>
    </row>
    <row r="225" spans="1:42" ht="15.75" hidden="1" customHeight="1" x14ac:dyDescent="0.3">
      <c r="A225" s="16"/>
      <c r="B225" s="55">
        <v>19</v>
      </c>
      <c r="C225" s="56" t="s">
        <v>243</v>
      </c>
      <c r="D225" s="55">
        <v>5</v>
      </c>
      <c r="E225" s="55" t="s">
        <v>21</v>
      </c>
      <c r="F225" s="18" t="s">
        <v>20</v>
      </c>
      <c r="G225" s="18" t="s">
        <v>20</v>
      </c>
      <c r="H225" s="18" t="s">
        <v>20</v>
      </c>
      <c r="I225" s="18" t="s">
        <v>20</v>
      </c>
      <c r="J225" s="18" t="s">
        <v>20</v>
      </c>
      <c r="K225" s="18" t="s">
        <v>20</v>
      </c>
      <c r="L225" s="18" t="s">
        <v>20</v>
      </c>
      <c r="M225" s="18" t="s">
        <v>20</v>
      </c>
      <c r="N225" s="18" t="s">
        <v>20</v>
      </c>
      <c r="O225" s="18" t="s">
        <v>20</v>
      </c>
      <c r="P225" s="18" t="s">
        <v>20</v>
      </c>
      <c r="Q225" s="18" t="s">
        <v>20</v>
      </c>
      <c r="R225" s="18" t="s">
        <v>20</v>
      </c>
      <c r="S225" s="18" t="s">
        <v>20</v>
      </c>
      <c r="T225" s="18" t="s">
        <v>20</v>
      </c>
      <c r="U225" s="18" t="s">
        <v>20</v>
      </c>
      <c r="V225" s="37" t="s">
        <v>20</v>
      </c>
      <c r="W225" s="37" t="s">
        <v>20</v>
      </c>
      <c r="X225" s="37" t="s">
        <v>20</v>
      </c>
      <c r="Y225" s="18" t="s">
        <v>20</v>
      </c>
      <c r="Z225" s="18" t="s">
        <v>20</v>
      </c>
      <c r="AA225" s="20" t="s">
        <v>20</v>
      </c>
      <c r="AB225" s="20" t="s">
        <v>20</v>
      </c>
      <c r="AC225" s="20" t="s">
        <v>20</v>
      </c>
      <c r="AD225" s="29" t="s">
        <v>20</v>
      </c>
      <c r="AE225" s="29" t="s">
        <v>21</v>
      </c>
      <c r="AG225">
        <f t="shared" si="27"/>
        <v>0</v>
      </c>
      <c r="AH225">
        <f t="shared" si="28"/>
        <v>25</v>
      </c>
      <c r="AI225">
        <f t="shared" si="29"/>
        <v>1</v>
      </c>
      <c r="AJ225">
        <f t="shared" si="30"/>
        <v>0</v>
      </c>
      <c r="AL225">
        <f t="shared" si="31"/>
        <v>0</v>
      </c>
      <c r="AM225">
        <f t="shared" si="32"/>
        <v>75</v>
      </c>
      <c r="AN225">
        <f t="shared" si="33"/>
        <v>2</v>
      </c>
      <c r="AO225">
        <f t="shared" si="34"/>
        <v>0</v>
      </c>
      <c r="AP225">
        <f t="shared" si="35"/>
        <v>77</v>
      </c>
    </row>
    <row r="226" spans="1:42" ht="15.75" hidden="1" customHeight="1" x14ac:dyDescent="0.3">
      <c r="A226" s="16"/>
      <c r="B226" s="55">
        <v>20</v>
      </c>
      <c r="C226" s="56" t="s">
        <v>244</v>
      </c>
      <c r="D226" s="55">
        <v>5</v>
      </c>
      <c r="E226" s="55" t="s">
        <v>21</v>
      </c>
      <c r="F226" s="18" t="s">
        <v>20</v>
      </c>
      <c r="G226" s="18" t="s">
        <v>21</v>
      </c>
      <c r="H226" s="18" t="s">
        <v>21</v>
      </c>
      <c r="I226" s="18" t="s">
        <v>21</v>
      </c>
      <c r="J226" s="18" t="s">
        <v>21</v>
      </c>
      <c r="K226" s="18" t="s">
        <v>20</v>
      </c>
      <c r="L226" s="18" t="s">
        <v>20</v>
      </c>
      <c r="M226" s="18" t="s">
        <v>20</v>
      </c>
      <c r="N226" s="18" t="s">
        <v>21</v>
      </c>
      <c r="O226" s="18" t="s">
        <v>20</v>
      </c>
      <c r="P226" s="18" t="s">
        <v>21</v>
      </c>
      <c r="Q226" s="18" t="s">
        <v>21</v>
      </c>
      <c r="R226" s="18" t="s">
        <v>21</v>
      </c>
      <c r="S226" s="18" t="s">
        <v>20</v>
      </c>
      <c r="T226" s="18" t="s">
        <v>21</v>
      </c>
      <c r="U226" s="18" t="s">
        <v>21</v>
      </c>
      <c r="V226" s="37" t="s">
        <v>20</v>
      </c>
      <c r="W226" s="37" t="s">
        <v>21</v>
      </c>
      <c r="X226" s="37" t="s">
        <v>20</v>
      </c>
      <c r="Y226" s="18" t="s">
        <v>20</v>
      </c>
      <c r="Z226" s="18" t="s">
        <v>20</v>
      </c>
      <c r="AA226" s="20" t="s">
        <v>20</v>
      </c>
      <c r="AB226" s="20" t="s">
        <v>20</v>
      </c>
      <c r="AC226" s="20" t="s">
        <v>20</v>
      </c>
      <c r="AD226" s="29" t="s">
        <v>20</v>
      </c>
      <c r="AE226" s="29" t="s">
        <v>21</v>
      </c>
      <c r="AG226">
        <f t="shared" si="27"/>
        <v>0</v>
      </c>
      <c r="AH226">
        <f t="shared" si="28"/>
        <v>14</v>
      </c>
      <c r="AI226">
        <f t="shared" si="29"/>
        <v>12</v>
      </c>
      <c r="AJ226">
        <f t="shared" si="30"/>
        <v>0</v>
      </c>
      <c r="AL226">
        <f t="shared" si="31"/>
        <v>0</v>
      </c>
      <c r="AM226">
        <f t="shared" si="32"/>
        <v>42</v>
      </c>
      <c r="AN226">
        <f t="shared" si="33"/>
        <v>24</v>
      </c>
      <c r="AO226">
        <f t="shared" si="34"/>
        <v>0</v>
      </c>
      <c r="AP226">
        <f t="shared" si="35"/>
        <v>66</v>
      </c>
    </row>
    <row r="227" spans="1:42" ht="15.75" hidden="1" customHeight="1" x14ac:dyDescent="0.3">
      <c r="A227" s="16"/>
      <c r="B227" s="55">
        <v>21</v>
      </c>
      <c r="C227" s="56" t="s">
        <v>245</v>
      </c>
      <c r="D227" s="55">
        <v>5</v>
      </c>
      <c r="E227" s="55" t="s">
        <v>21</v>
      </c>
      <c r="F227" s="18" t="s">
        <v>39</v>
      </c>
      <c r="G227" s="18" t="s">
        <v>20</v>
      </c>
      <c r="H227" s="18" t="s">
        <v>20</v>
      </c>
      <c r="I227" s="18" t="s">
        <v>20</v>
      </c>
      <c r="J227" s="18" t="s">
        <v>20</v>
      </c>
      <c r="K227" s="18" t="s">
        <v>39</v>
      </c>
      <c r="L227" s="18" t="s">
        <v>39</v>
      </c>
      <c r="M227" s="18" t="s">
        <v>20</v>
      </c>
      <c r="N227" s="18" t="s">
        <v>20</v>
      </c>
      <c r="O227" s="18" t="s">
        <v>20</v>
      </c>
      <c r="P227" s="18" t="s">
        <v>20</v>
      </c>
      <c r="Q227" s="18" t="s">
        <v>20</v>
      </c>
      <c r="R227" s="18" t="s">
        <v>20</v>
      </c>
      <c r="S227" s="18" t="s">
        <v>20</v>
      </c>
      <c r="T227" s="18" t="s">
        <v>20</v>
      </c>
      <c r="U227" s="18" t="s">
        <v>20</v>
      </c>
      <c r="V227" s="37" t="s">
        <v>20</v>
      </c>
      <c r="W227" s="37" t="s">
        <v>20</v>
      </c>
      <c r="X227" s="37" t="s">
        <v>20</v>
      </c>
      <c r="Y227" s="18" t="s">
        <v>39</v>
      </c>
      <c r="Z227" s="18" t="s">
        <v>39</v>
      </c>
      <c r="AA227" s="20" t="s">
        <v>20</v>
      </c>
      <c r="AB227" s="20" t="s">
        <v>20</v>
      </c>
      <c r="AC227" s="20" t="s">
        <v>20</v>
      </c>
      <c r="AD227" s="29" t="s">
        <v>20</v>
      </c>
      <c r="AE227" s="29" t="s">
        <v>21</v>
      </c>
      <c r="AG227">
        <f t="shared" si="27"/>
        <v>5</v>
      </c>
      <c r="AH227">
        <f t="shared" si="28"/>
        <v>20</v>
      </c>
      <c r="AI227">
        <f t="shared" si="29"/>
        <v>1</v>
      </c>
      <c r="AJ227">
        <f t="shared" si="30"/>
        <v>0</v>
      </c>
      <c r="AL227">
        <f t="shared" si="31"/>
        <v>20</v>
      </c>
      <c r="AM227">
        <f t="shared" si="32"/>
        <v>60</v>
      </c>
      <c r="AN227">
        <f t="shared" si="33"/>
        <v>2</v>
      </c>
      <c r="AO227">
        <f t="shared" si="34"/>
        <v>0</v>
      </c>
      <c r="AP227">
        <f t="shared" si="35"/>
        <v>82</v>
      </c>
    </row>
    <row r="228" spans="1:42" ht="15.75" hidden="1" customHeight="1" x14ac:dyDescent="0.3">
      <c r="A228" s="16"/>
      <c r="B228" s="55">
        <v>22</v>
      </c>
      <c r="C228" s="56" t="s">
        <v>246</v>
      </c>
      <c r="D228" s="55">
        <v>5</v>
      </c>
      <c r="E228" s="55" t="s">
        <v>21</v>
      </c>
      <c r="F228" s="18" t="s">
        <v>21</v>
      </c>
      <c r="G228" s="18" t="s">
        <v>21</v>
      </c>
      <c r="H228" s="18" t="s">
        <v>21</v>
      </c>
      <c r="I228" s="18" t="s">
        <v>21</v>
      </c>
      <c r="J228" s="18" t="s">
        <v>21</v>
      </c>
      <c r="K228" s="18" t="s">
        <v>20</v>
      </c>
      <c r="L228" s="18" t="s">
        <v>20</v>
      </c>
      <c r="M228" s="18" t="s">
        <v>20</v>
      </c>
      <c r="N228" s="18" t="s">
        <v>20</v>
      </c>
      <c r="O228" s="18" t="s">
        <v>20</v>
      </c>
      <c r="P228" s="18" t="s">
        <v>21</v>
      </c>
      <c r="Q228" s="18" t="s">
        <v>21</v>
      </c>
      <c r="R228" s="18" t="s">
        <v>23</v>
      </c>
      <c r="S228" s="18" t="s">
        <v>21</v>
      </c>
      <c r="T228" s="18" t="s">
        <v>21</v>
      </c>
      <c r="U228" s="18" t="s">
        <v>20</v>
      </c>
      <c r="V228" s="37" t="s">
        <v>20</v>
      </c>
      <c r="W228" s="37" t="s">
        <v>20</v>
      </c>
      <c r="X228" s="37" t="s">
        <v>20</v>
      </c>
      <c r="Y228" s="18" t="s">
        <v>21</v>
      </c>
      <c r="Z228" s="18" t="s">
        <v>20</v>
      </c>
      <c r="AA228" s="20" t="s">
        <v>21</v>
      </c>
      <c r="AB228" s="20" t="s">
        <v>21</v>
      </c>
      <c r="AC228" s="20" t="s">
        <v>21</v>
      </c>
      <c r="AD228" s="47" t="s">
        <v>23</v>
      </c>
      <c r="AE228" s="47" t="s">
        <v>21</v>
      </c>
      <c r="AG228">
        <f t="shared" si="27"/>
        <v>0</v>
      </c>
      <c r="AH228">
        <f t="shared" si="28"/>
        <v>10</v>
      </c>
      <c r="AI228">
        <f t="shared" si="29"/>
        <v>14</v>
      </c>
      <c r="AJ228">
        <f t="shared" si="30"/>
        <v>2</v>
      </c>
      <c r="AL228">
        <f t="shared" si="31"/>
        <v>0</v>
      </c>
      <c r="AM228">
        <f t="shared" si="32"/>
        <v>30</v>
      </c>
      <c r="AN228">
        <f t="shared" si="33"/>
        <v>28</v>
      </c>
      <c r="AO228">
        <f t="shared" si="34"/>
        <v>2</v>
      </c>
      <c r="AP228">
        <f t="shared" si="35"/>
        <v>60</v>
      </c>
    </row>
    <row r="229" spans="1:42" ht="15.75" hidden="1" customHeight="1" x14ac:dyDescent="0.3">
      <c r="A229" s="16"/>
      <c r="B229" s="55">
        <v>23</v>
      </c>
      <c r="C229" s="56" t="s">
        <v>247</v>
      </c>
      <c r="D229" s="55">
        <v>5</v>
      </c>
      <c r="E229" s="55" t="s">
        <v>21</v>
      </c>
      <c r="F229" s="18" t="s">
        <v>21</v>
      </c>
      <c r="G229" s="18" t="s">
        <v>21</v>
      </c>
      <c r="H229" s="18" t="s">
        <v>21</v>
      </c>
      <c r="I229" s="18" t="s">
        <v>20</v>
      </c>
      <c r="J229" s="18" t="s">
        <v>20</v>
      </c>
      <c r="K229" s="18" t="s">
        <v>20</v>
      </c>
      <c r="L229" s="18" t="s">
        <v>20</v>
      </c>
      <c r="M229" s="18" t="s">
        <v>20</v>
      </c>
      <c r="N229" s="18" t="s">
        <v>21</v>
      </c>
      <c r="O229" s="18" t="s">
        <v>20</v>
      </c>
      <c r="P229" s="18" t="s">
        <v>21</v>
      </c>
      <c r="Q229" s="18" t="s">
        <v>21</v>
      </c>
      <c r="R229" s="18" t="s">
        <v>20</v>
      </c>
      <c r="S229" s="18" t="s">
        <v>21</v>
      </c>
      <c r="T229" s="18" t="s">
        <v>21</v>
      </c>
      <c r="U229" s="18" t="s">
        <v>21</v>
      </c>
      <c r="V229" s="37" t="s">
        <v>20</v>
      </c>
      <c r="W229" s="37" t="s">
        <v>20</v>
      </c>
      <c r="X229" s="37" t="s">
        <v>20</v>
      </c>
      <c r="Y229" s="18" t="s">
        <v>20</v>
      </c>
      <c r="Z229" s="18" t="s">
        <v>21</v>
      </c>
      <c r="AA229" s="20" t="s">
        <v>20</v>
      </c>
      <c r="AB229" s="20" t="s">
        <v>20</v>
      </c>
      <c r="AC229" s="20" t="s">
        <v>20</v>
      </c>
      <c r="AD229" s="29" t="s">
        <v>20</v>
      </c>
      <c r="AE229" s="29" t="s">
        <v>21</v>
      </c>
      <c r="AG229">
        <f t="shared" si="27"/>
        <v>0</v>
      </c>
      <c r="AH229">
        <f t="shared" si="28"/>
        <v>15</v>
      </c>
      <c r="AI229">
        <f t="shared" si="29"/>
        <v>11</v>
      </c>
      <c r="AJ229">
        <f t="shared" si="30"/>
        <v>0</v>
      </c>
      <c r="AL229">
        <f t="shared" si="31"/>
        <v>0</v>
      </c>
      <c r="AM229">
        <f t="shared" si="32"/>
        <v>45</v>
      </c>
      <c r="AN229">
        <f t="shared" si="33"/>
        <v>22</v>
      </c>
      <c r="AO229">
        <f t="shared" si="34"/>
        <v>0</v>
      </c>
      <c r="AP229">
        <f t="shared" si="35"/>
        <v>67</v>
      </c>
    </row>
    <row r="230" spans="1:42" ht="15.75" hidden="1" customHeight="1" x14ac:dyDescent="0.3">
      <c r="A230" s="16"/>
      <c r="B230" s="55">
        <v>24</v>
      </c>
      <c r="C230" s="56" t="s">
        <v>248</v>
      </c>
      <c r="D230" s="55">
        <v>5</v>
      </c>
      <c r="E230" s="55" t="s">
        <v>21</v>
      </c>
      <c r="F230" s="18" t="s">
        <v>20</v>
      </c>
      <c r="G230" s="18" t="s">
        <v>20</v>
      </c>
      <c r="H230" s="18" t="s">
        <v>20</v>
      </c>
      <c r="I230" s="18" t="s">
        <v>20</v>
      </c>
      <c r="J230" s="18" t="s">
        <v>20</v>
      </c>
      <c r="K230" s="18" t="s">
        <v>20</v>
      </c>
      <c r="L230" s="18" t="s">
        <v>39</v>
      </c>
      <c r="M230" s="18" t="s">
        <v>20</v>
      </c>
      <c r="N230" s="18" t="s">
        <v>20</v>
      </c>
      <c r="O230" s="18" t="s">
        <v>20</v>
      </c>
      <c r="P230" s="18" t="s">
        <v>20</v>
      </c>
      <c r="Q230" s="18" t="s">
        <v>21</v>
      </c>
      <c r="R230" s="18" t="s">
        <v>21</v>
      </c>
      <c r="S230" s="18" t="s">
        <v>20</v>
      </c>
      <c r="T230" s="18" t="s">
        <v>20</v>
      </c>
      <c r="U230" s="18" t="s">
        <v>20</v>
      </c>
      <c r="V230" s="37" t="s">
        <v>20</v>
      </c>
      <c r="W230" s="37" t="s">
        <v>21</v>
      </c>
      <c r="X230" s="37" t="s">
        <v>20</v>
      </c>
      <c r="Y230" s="18" t="s">
        <v>20</v>
      </c>
      <c r="Z230" s="18" t="s">
        <v>20</v>
      </c>
      <c r="AA230" s="20" t="s">
        <v>20</v>
      </c>
      <c r="AB230" s="20" t="s">
        <v>21</v>
      </c>
      <c r="AC230" s="20" t="s">
        <v>20</v>
      </c>
      <c r="AD230" s="29" t="s">
        <v>20</v>
      </c>
      <c r="AE230" s="29" t="s">
        <v>21</v>
      </c>
      <c r="AG230">
        <f t="shared" si="27"/>
        <v>1</v>
      </c>
      <c r="AH230">
        <f t="shared" si="28"/>
        <v>20</v>
      </c>
      <c r="AI230">
        <f t="shared" si="29"/>
        <v>5</v>
      </c>
      <c r="AJ230">
        <f t="shared" si="30"/>
        <v>0</v>
      </c>
      <c r="AL230">
        <f t="shared" si="31"/>
        <v>4</v>
      </c>
      <c r="AM230">
        <f t="shared" si="32"/>
        <v>60</v>
      </c>
      <c r="AN230">
        <f t="shared" si="33"/>
        <v>10</v>
      </c>
      <c r="AO230">
        <f t="shared" si="34"/>
        <v>0</v>
      </c>
      <c r="AP230">
        <f t="shared" si="35"/>
        <v>74</v>
      </c>
    </row>
    <row r="231" spans="1:42" ht="15.75" hidden="1" customHeight="1" x14ac:dyDescent="0.3">
      <c r="A231" s="16"/>
      <c r="B231" s="55">
        <v>25</v>
      </c>
      <c r="C231" s="56" t="s">
        <v>249</v>
      </c>
      <c r="D231" s="55">
        <v>5</v>
      </c>
      <c r="E231" s="55" t="s">
        <v>21</v>
      </c>
      <c r="F231" s="18" t="s">
        <v>21</v>
      </c>
      <c r="G231" s="18" t="s">
        <v>21</v>
      </c>
      <c r="H231" s="17" t="s">
        <v>21</v>
      </c>
      <c r="I231" s="18" t="s">
        <v>21</v>
      </c>
      <c r="J231" s="18" t="s">
        <v>21</v>
      </c>
      <c r="K231" s="18" t="s">
        <v>21</v>
      </c>
      <c r="L231" s="18" t="s">
        <v>21</v>
      </c>
      <c r="M231" s="18" t="s">
        <v>20</v>
      </c>
      <c r="N231" s="18" t="s">
        <v>21</v>
      </c>
      <c r="O231" s="18" t="s">
        <v>20</v>
      </c>
      <c r="P231" s="18" t="s">
        <v>21</v>
      </c>
      <c r="Q231" s="18" t="s">
        <v>21</v>
      </c>
      <c r="R231" s="18" t="s">
        <v>21</v>
      </c>
      <c r="S231" s="18" t="s">
        <v>21</v>
      </c>
      <c r="T231" s="18" t="s">
        <v>20</v>
      </c>
      <c r="U231" s="18" t="s">
        <v>21</v>
      </c>
      <c r="V231" s="37" t="s">
        <v>21</v>
      </c>
      <c r="W231" s="37" t="s">
        <v>21</v>
      </c>
      <c r="X231" s="37" t="s">
        <v>21</v>
      </c>
      <c r="Y231" s="18" t="s">
        <v>20</v>
      </c>
      <c r="Z231" s="18" t="s">
        <v>21</v>
      </c>
      <c r="AA231" s="20" t="s">
        <v>21</v>
      </c>
      <c r="AB231" s="20" t="s">
        <v>21</v>
      </c>
      <c r="AC231" s="20" t="s">
        <v>21</v>
      </c>
      <c r="AD231" s="29" t="s">
        <v>21</v>
      </c>
      <c r="AE231" s="29" t="s">
        <v>21</v>
      </c>
      <c r="AG231">
        <f t="shared" si="27"/>
        <v>0</v>
      </c>
      <c r="AH231">
        <f t="shared" si="28"/>
        <v>4</v>
      </c>
      <c r="AI231">
        <f t="shared" si="29"/>
        <v>22</v>
      </c>
      <c r="AJ231">
        <f t="shared" si="30"/>
        <v>0</v>
      </c>
      <c r="AL231">
        <f t="shared" si="31"/>
        <v>0</v>
      </c>
      <c r="AM231">
        <f t="shared" si="32"/>
        <v>12</v>
      </c>
      <c r="AN231">
        <f t="shared" si="33"/>
        <v>44</v>
      </c>
      <c r="AO231">
        <f t="shared" si="34"/>
        <v>0</v>
      </c>
      <c r="AP231">
        <f t="shared" si="35"/>
        <v>56</v>
      </c>
    </row>
    <row r="232" spans="1:42" ht="15.75" hidden="1" customHeight="1" thickBot="1" x14ac:dyDescent="0.35">
      <c r="A232" s="16"/>
      <c r="B232" s="57">
        <v>26</v>
      </c>
      <c r="C232" s="58" t="s">
        <v>250</v>
      </c>
      <c r="D232" s="57">
        <v>5</v>
      </c>
      <c r="E232" s="57" t="s">
        <v>21</v>
      </c>
      <c r="F232" s="21" t="s">
        <v>39</v>
      </c>
      <c r="G232" s="21" t="s">
        <v>20</v>
      </c>
      <c r="H232" s="41" t="s">
        <v>20</v>
      </c>
      <c r="I232" s="21" t="s">
        <v>20</v>
      </c>
      <c r="J232" s="21" t="s">
        <v>20</v>
      </c>
      <c r="K232" s="21" t="s">
        <v>20</v>
      </c>
      <c r="L232" s="21" t="s">
        <v>20</v>
      </c>
      <c r="M232" s="21" t="s">
        <v>20</v>
      </c>
      <c r="N232" s="21" t="s">
        <v>20</v>
      </c>
      <c r="O232" s="21" t="s">
        <v>20</v>
      </c>
      <c r="P232" s="21" t="s">
        <v>21</v>
      </c>
      <c r="Q232" s="21" t="s">
        <v>20</v>
      </c>
      <c r="R232" s="21" t="s">
        <v>20</v>
      </c>
      <c r="S232" s="21" t="s">
        <v>20</v>
      </c>
      <c r="T232" s="21" t="s">
        <v>20</v>
      </c>
      <c r="U232" s="21" t="s">
        <v>20</v>
      </c>
      <c r="V232" s="38" t="s">
        <v>20</v>
      </c>
      <c r="W232" s="38" t="s">
        <v>20</v>
      </c>
      <c r="X232" s="38" t="s">
        <v>20</v>
      </c>
      <c r="Y232" s="21" t="s">
        <v>20</v>
      </c>
      <c r="Z232" s="21" t="s">
        <v>20</v>
      </c>
      <c r="AA232" s="23" t="s">
        <v>20</v>
      </c>
      <c r="AB232" s="23" t="s">
        <v>20</v>
      </c>
      <c r="AC232" s="23" t="s">
        <v>20</v>
      </c>
      <c r="AD232" s="31" t="s">
        <v>20</v>
      </c>
      <c r="AE232" s="31" t="s">
        <v>21</v>
      </c>
      <c r="AG232">
        <f t="shared" si="27"/>
        <v>1</v>
      </c>
      <c r="AH232">
        <f t="shared" si="28"/>
        <v>23</v>
      </c>
      <c r="AI232">
        <f t="shared" si="29"/>
        <v>2</v>
      </c>
      <c r="AJ232">
        <f t="shared" si="30"/>
        <v>0</v>
      </c>
      <c r="AL232">
        <f t="shared" si="31"/>
        <v>4</v>
      </c>
      <c r="AM232">
        <f t="shared" si="32"/>
        <v>69</v>
      </c>
      <c r="AN232">
        <f t="shared" si="33"/>
        <v>4</v>
      </c>
      <c r="AO232">
        <f t="shared" si="34"/>
        <v>0</v>
      </c>
      <c r="AP232">
        <f t="shared" si="35"/>
        <v>77</v>
      </c>
    </row>
    <row r="233" spans="1:42" ht="15.75" customHeight="1" x14ac:dyDescent="0.3">
      <c r="B233" s="54"/>
    </row>
    <row r="234" spans="1:42" ht="15.75" customHeight="1" x14ac:dyDescent="0.3"/>
    <row r="235" spans="1:42" ht="15.75" customHeight="1" x14ac:dyDescent="0.3"/>
    <row r="236" spans="1:42" ht="15.75" customHeight="1" x14ac:dyDescent="0.3"/>
    <row r="237" spans="1:42" ht="15.75" customHeight="1" x14ac:dyDescent="0.3"/>
    <row r="238" spans="1:42" ht="15.75" customHeight="1" x14ac:dyDescent="0.3"/>
    <row r="239" spans="1:42" ht="15.75" customHeight="1" x14ac:dyDescent="0.3"/>
    <row r="240" spans="1:42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  <row r="1041" ht="15.75" customHeight="1" x14ac:dyDescent="0.3"/>
    <row r="1042" ht="15.75" customHeight="1" x14ac:dyDescent="0.3"/>
    <row r="1043" ht="15.75" customHeight="1" x14ac:dyDescent="0.3"/>
    <row r="1044" ht="15.75" customHeight="1" x14ac:dyDescent="0.3"/>
    <row r="1045" ht="15.75" customHeight="1" x14ac:dyDescent="0.3"/>
    <row r="1046" ht="15.75" customHeight="1" x14ac:dyDescent="0.3"/>
    <row r="1047" ht="15.75" customHeight="1" x14ac:dyDescent="0.3"/>
    <row r="1048" ht="15.75" customHeight="1" x14ac:dyDescent="0.3"/>
    <row r="1049" ht="15.75" customHeight="1" x14ac:dyDescent="0.3"/>
    <row r="1050" ht="15.75" customHeight="1" x14ac:dyDescent="0.3"/>
    <row r="1051" ht="15.75" customHeight="1" x14ac:dyDescent="0.3"/>
    <row r="1052" ht="15.75" customHeight="1" x14ac:dyDescent="0.3"/>
    <row r="1053" ht="15.75" customHeight="1" x14ac:dyDescent="0.3"/>
    <row r="1054" ht="15.75" customHeight="1" x14ac:dyDescent="0.3"/>
    <row r="1055" ht="15.75" customHeight="1" x14ac:dyDescent="0.3"/>
    <row r="1056" ht="15.75" customHeight="1" x14ac:dyDescent="0.3"/>
    <row r="1057" ht="15.75" customHeight="1" x14ac:dyDescent="0.3"/>
    <row r="1058" ht="15.75" customHeight="1" x14ac:dyDescent="0.3"/>
    <row r="1059" ht="15.75" customHeight="1" x14ac:dyDescent="0.3"/>
    <row r="1060" ht="15.75" customHeight="1" x14ac:dyDescent="0.3"/>
    <row r="1061" ht="15.75" customHeight="1" x14ac:dyDescent="0.3"/>
    <row r="1062" ht="15.75" customHeight="1" x14ac:dyDescent="0.3"/>
    <row r="1063" ht="15.75" customHeight="1" x14ac:dyDescent="0.3"/>
    <row r="1064" ht="15.75" customHeight="1" x14ac:dyDescent="0.3"/>
    <row r="1065" ht="15.75" customHeight="1" x14ac:dyDescent="0.3"/>
    <row r="1066" ht="15.75" customHeight="1" x14ac:dyDescent="0.3"/>
    <row r="1067" ht="15.75" customHeight="1" x14ac:dyDescent="0.3"/>
    <row r="1068" ht="15.75" customHeight="1" x14ac:dyDescent="0.3"/>
    <row r="1069" ht="15.75" customHeight="1" x14ac:dyDescent="0.3"/>
    <row r="1070" ht="15.75" customHeight="1" x14ac:dyDescent="0.3"/>
    <row r="1071" ht="15.75" customHeight="1" x14ac:dyDescent="0.3"/>
    <row r="1072" ht="15.75" customHeight="1" x14ac:dyDescent="0.3"/>
    <row r="1073" ht="15.75" customHeight="1" x14ac:dyDescent="0.3"/>
    <row r="1074" ht="15.75" customHeight="1" x14ac:dyDescent="0.3"/>
    <row r="1075" ht="15.75" customHeight="1" x14ac:dyDescent="0.3"/>
    <row r="1076" ht="15.75" customHeight="1" x14ac:dyDescent="0.3"/>
    <row r="1077" ht="15.75" customHeight="1" x14ac:dyDescent="0.3"/>
    <row r="1078" ht="15.75" customHeight="1" x14ac:dyDescent="0.3"/>
    <row r="1079" ht="15.75" customHeight="1" x14ac:dyDescent="0.3"/>
    <row r="1080" ht="15.75" customHeight="1" x14ac:dyDescent="0.3"/>
    <row r="1081" ht="15.75" customHeight="1" x14ac:dyDescent="0.3"/>
    <row r="1082" ht="15.75" customHeight="1" x14ac:dyDescent="0.3"/>
    <row r="1083" ht="15.75" customHeight="1" x14ac:dyDescent="0.3"/>
    <row r="1084" ht="15.75" customHeight="1" x14ac:dyDescent="0.3"/>
    <row r="1085" ht="15.75" customHeight="1" x14ac:dyDescent="0.3"/>
    <row r="1086" ht="15.75" customHeight="1" x14ac:dyDescent="0.3"/>
    <row r="1087" ht="15.75" customHeight="1" x14ac:dyDescent="0.3"/>
    <row r="1088" ht="15.75" customHeight="1" x14ac:dyDescent="0.3"/>
    <row r="1089" ht="15.75" customHeight="1" x14ac:dyDescent="0.3"/>
    <row r="1090" ht="15.75" customHeight="1" x14ac:dyDescent="0.3"/>
    <row r="1091" ht="15.75" customHeight="1" x14ac:dyDescent="0.3"/>
    <row r="1092" ht="15.75" customHeight="1" x14ac:dyDescent="0.3"/>
    <row r="1093" ht="15.75" customHeight="1" x14ac:dyDescent="0.3"/>
    <row r="1094" ht="15.75" customHeight="1" x14ac:dyDescent="0.3"/>
    <row r="1095" ht="15.75" customHeight="1" x14ac:dyDescent="0.3"/>
    <row r="1096" ht="15.75" customHeight="1" x14ac:dyDescent="0.3"/>
    <row r="1097" ht="15.75" customHeight="1" x14ac:dyDescent="0.3"/>
    <row r="1098" ht="15.75" customHeight="1" x14ac:dyDescent="0.3"/>
    <row r="1099" ht="15.75" customHeight="1" x14ac:dyDescent="0.3"/>
    <row r="1100" ht="15.75" customHeight="1" x14ac:dyDescent="0.3"/>
    <row r="1101" ht="15.75" customHeight="1" x14ac:dyDescent="0.3"/>
    <row r="1102" ht="15.75" customHeight="1" x14ac:dyDescent="0.3"/>
    <row r="1103" ht="15.75" customHeight="1" x14ac:dyDescent="0.3"/>
    <row r="1104" ht="15.75" customHeight="1" x14ac:dyDescent="0.3"/>
    <row r="1105" ht="15.75" customHeight="1" x14ac:dyDescent="0.3"/>
    <row r="1106" ht="15.75" customHeight="1" x14ac:dyDescent="0.3"/>
    <row r="1107" ht="15.75" customHeight="1" x14ac:dyDescent="0.3"/>
    <row r="1108" ht="15.75" customHeight="1" x14ac:dyDescent="0.3"/>
    <row r="1109" ht="15.75" customHeight="1" x14ac:dyDescent="0.3"/>
    <row r="1110" ht="15.75" customHeight="1" x14ac:dyDescent="0.3"/>
    <row r="1111" ht="15.75" customHeight="1" x14ac:dyDescent="0.3"/>
    <row r="1112" ht="15.75" customHeight="1" x14ac:dyDescent="0.3"/>
    <row r="1113" ht="15.75" customHeight="1" x14ac:dyDescent="0.3"/>
    <row r="1114" ht="15.75" customHeight="1" x14ac:dyDescent="0.3"/>
    <row r="1115" ht="15.75" customHeight="1" x14ac:dyDescent="0.3"/>
    <row r="1116" ht="15.75" customHeight="1" x14ac:dyDescent="0.3"/>
    <row r="1117" ht="15.75" customHeight="1" x14ac:dyDescent="0.3"/>
    <row r="1118" ht="15.75" customHeight="1" x14ac:dyDescent="0.3"/>
    <row r="1119" ht="15.75" customHeight="1" x14ac:dyDescent="0.3"/>
    <row r="1120" ht="15.75" customHeight="1" x14ac:dyDescent="0.3"/>
    <row r="1121" ht="15.75" customHeight="1" x14ac:dyDescent="0.3"/>
    <row r="1122" ht="15.75" customHeight="1" x14ac:dyDescent="0.3"/>
    <row r="1123" ht="15.75" customHeight="1" x14ac:dyDescent="0.3"/>
    <row r="1124" ht="15.75" customHeight="1" x14ac:dyDescent="0.3"/>
    <row r="1125" ht="15.75" customHeight="1" x14ac:dyDescent="0.3"/>
    <row r="1126" ht="15.75" customHeight="1" x14ac:dyDescent="0.3"/>
  </sheetData>
  <autoFilter ref="A5:AP232" xr:uid="{D4C9ACFA-7634-4244-A829-726CE84E67E1}">
    <filterColumn colId="3">
      <filters>
        <filter val="4"/>
      </filters>
    </filterColumn>
    <filterColumn colId="4">
      <filters>
        <filter val="B"/>
      </filters>
    </filterColumn>
    <sortState xmlns:xlrd2="http://schemas.microsoft.com/office/spreadsheetml/2017/richdata2" ref="A154:AP178">
      <sortCondition descending="1" ref="AP5:AP232"/>
    </sortState>
  </autoFilter>
  <mergeCells count="11">
    <mergeCell ref="AD4:AE4"/>
    <mergeCell ref="C2:AE2"/>
    <mergeCell ref="C3:AE3"/>
    <mergeCell ref="F4:I4"/>
    <mergeCell ref="J4:L4"/>
    <mergeCell ref="M4:O4"/>
    <mergeCell ref="P4:R4"/>
    <mergeCell ref="S4:T4"/>
    <mergeCell ref="V4:X4"/>
    <mergeCell ref="Y4:Z4"/>
    <mergeCell ref="AA4:AC4"/>
  </mergeCells>
  <conditionalFormatting sqref="F6:AE232">
    <cfRule type="cellIs" dxfId="11" priority="1" operator="equal">
      <formula>"AD"</formula>
    </cfRule>
    <cfRule type="cellIs" dxfId="10" priority="2" operator="equal">
      <formula>"A"</formula>
    </cfRule>
    <cfRule type="cellIs" dxfId="9" priority="3" operator="equal">
      <formula>"B"</formula>
    </cfRule>
    <cfRule type="cellIs" dxfId="8" priority="4" operator="equal">
      <formula>"C"</formula>
    </cfRule>
  </conditionalFormatting>
  <dataValidations count="2">
    <dataValidation type="list" allowBlank="1" showInputMessage="1" showErrorMessage="1" sqref="Q6:R26 T6:X26 AD229:AE232 F6:L26 AD27:AE80 F27:X48 AD82:AE97 AD135:AE199 AD201:AE203 AD205:AE227 AD99:AE133 Z27:Z48 F49:I232 J131:L232 J49:L109 M49:Z232" xr:uid="{898875DB-16DB-4CF2-8012-2DFCAAC98870}">
      <formula1>"AD,A,B,C"</formula1>
    </dataValidation>
    <dataValidation type="list" allowBlank="1" showInputMessage="1" showErrorMessage="1" sqref="AA6:AC232 J110:L130" xr:uid="{96788FFC-E28B-4CCE-92DD-227B6C5C89DE}">
      <formula1>"A,AD,B,C"</formula1>
    </dataValidation>
  </dataValidations>
  <pageMargins left="0.7" right="0.7" top="0.75" bottom="0.75" header="0" footer="0"/>
  <pageSetup paperSize="9" scale="67" orientation="landscape" horizont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CCA58-F76C-4AD4-BDAE-00670A4EAAFB}">
  <sheetPr filterMode="1">
    <pageSetUpPr fitToPage="1"/>
  </sheetPr>
  <dimension ref="A2:AP1126"/>
  <sheetViews>
    <sheetView tabSelected="1" zoomScaleNormal="100" workbookViewId="0">
      <pane xSplit="3" ySplit="5" topLeftCell="D179" activePane="bottomRight" state="frozen"/>
      <selection pane="topRight" activeCell="C1" sqref="C1"/>
      <selection pane="bottomLeft" activeCell="A6" sqref="A6"/>
      <selection pane="bottomRight" activeCell="AA180" sqref="AA180"/>
    </sheetView>
  </sheetViews>
  <sheetFormatPr baseColWidth="10" defaultColWidth="14.44140625" defaultRowHeight="15" customHeight="1" x14ac:dyDescent="0.3"/>
  <cols>
    <col min="1" max="1" width="4" bestFit="1" customWidth="1"/>
    <col min="2" max="2" width="4.109375" customWidth="1"/>
    <col min="3" max="3" width="38.5546875" customWidth="1"/>
    <col min="4" max="4" width="5" customWidth="1"/>
    <col min="5" max="5" width="6.6640625" customWidth="1"/>
    <col min="6" max="31" width="5" customWidth="1"/>
    <col min="32" max="32" width="2" hidden="1" customWidth="1"/>
    <col min="33" max="36" width="3.44140625" hidden="1" customWidth="1"/>
    <col min="37" max="37" width="1.44140625" style="65" hidden="1" customWidth="1"/>
    <col min="38" max="40" width="3" hidden="1" customWidth="1"/>
    <col min="41" max="41" width="2" hidden="1" customWidth="1"/>
    <col min="42" max="42" width="5.21875" bestFit="1" customWidth="1"/>
  </cols>
  <sheetData>
    <row r="2" spans="1:42" ht="34.799999999999997" customHeight="1" x14ac:dyDescent="0.3">
      <c r="C2" s="77" t="s">
        <v>253</v>
      </c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9"/>
    </row>
    <row r="3" spans="1:42" ht="26.25" customHeight="1" x14ac:dyDescent="0.3">
      <c r="C3" s="74" t="s">
        <v>252</v>
      </c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8"/>
    </row>
    <row r="4" spans="1:42" ht="18.600000000000001" customHeight="1" x14ac:dyDescent="0.3">
      <c r="C4" s="7"/>
      <c r="D4" s="8"/>
      <c r="E4" s="8"/>
      <c r="F4" s="80" t="s">
        <v>2</v>
      </c>
      <c r="G4" s="81"/>
      <c r="H4" s="81"/>
      <c r="I4" s="82"/>
      <c r="J4" s="80" t="s">
        <v>3</v>
      </c>
      <c r="K4" s="81"/>
      <c r="L4" s="82"/>
      <c r="M4" s="80" t="s">
        <v>4</v>
      </c>
      <c r="N4" s="81"/>
      <c r="O4" s="82"/>
      <c r="P4" s="80" t="s">
        <v>5</v>
      </c>
      <c r="Q4" s="81"/>
      <c r="R4" s="82"/>
      <c r="S4" s="83" t="s">
        <v>6</v>
      </c>
      <c r="T4" s="84"/>
      <c r="U4" s="86" t="s">
        <v>7</v>
      </c>
      <c r="V4" s="80" t="s">
        <v>8</v>
      </c>
      <c r="W4" s="81"/>
      <c r="X4" s="82"/>
      <c r="Y4" s="80" t="s">
        <v>9</v>
      </c>
      <c r="Z4" s="82"/>
      <c r="AA4" s="83" t="s">
        <v>10</v>
      </c>
      <c r="AB4" s="85"/>
      <c r="AC4" s="84"/>
      <c r="AD4" s="80" t="s">
        <v>11</v>
      </c>
      <c r="AE4" s="82"/>
    </row>
    <row r="5" spans="1:42" ht="27" customHeight="1" x14ac:dyDescent="0.3">
      <c r="B5" s="12"/>
      <c r="C5" s="13" t="s">
        <v>12</v>
      </c>
      <c r="D5" s="14" t="s">
        <v>13</v>
      </c>
      <c r="E5" s="15" t="s">
        <v>14</v>
      </c>
      <c r="F5" s="15" t="s">
        <v>15</v>
      </c>
      <c r="G5" s="15" t="s">
        <v>16</v>
      </c>
      <c r="H5" s="15" t="s">
        <v>17</v>
      </c>
      <c r="I5" s="15" t="s">
        <v>18</v>
      </c>
      <c r="J5" s="15" t="s">
        <v>15</v>
      </c>
      <c r="K5" s="15" t="s">
        <v>16</v>
      </c>
      <c r="L5" s="15" t="s">
        <v>17</v>
      </c>
      <c r="M5" s="15" t="s">
        <v>15</v>
      </c>
      <c r="N5" s="15" t="s">
        <v>16</v>
      </c>
      <c r="O5" s="15" t="s">
        <v>17</v>
      </c>
      <c r="P5" s="15" t="s">
        <v>15</v>
      </c>
      <c r="Q5" s="15" t="s">
        <v>16</v>
      </c>
      <c r="R5" s="15" t="s">
        <v>17</v>
      </c>
      <c r="S5" s="15" t="s">
        <v>15</v>
      </c>
      <c r="T5" s="15" t="s">
        <v>16</v>
      </c>
      <c r="U5" s="15" t="s">
        <v>15</v>
      </c>
      <c r="V5" s="15" t="s">
        <v>15</v>
      </c>
      <c r="W5" s="15" t="s">
        <v>16</v>
      </c>
      <c r="X5" s="15" t="s">
        <v>17</v>
      </c>
      <c r="Y5" s="15" t="s">
        <v>15</v>
      </c>
      <c r="Z5" s="15" t="s">
        <v>16</v>
      </c>
      <c r="AA5" s="15" t="s">
        <v>15</v>
      </c>
      <c r="AB5" s="15" t="s">
        <v>16</v>
      </c>
      <c r="AC5" s="15" t="s">
        <v>17</v>
      </c>
      <c r="AD5" s="15" t="s">
        <v>15</v>
      </c>
      <c r="AE5" s="15" t="s">
        <v>16</v>
      </c>
      <c r="AG5" s="68">
        <v>4</v>
      </c>
      <c r="AH5" s="68">
        <v>3</v>
      </c>
      <c r="AI5" s="68">
        <v>2</v>
      </c>
      <c r="AJ5" s="68">
        <v>1</v>
      </c>
      <c r="AK5" s="66"/>
      <c r="AL5" s="67" t="s">
        <v>39</v>
      </c>
      <c r="AM5" s="67" t="s">
        <v>20</v>
      </c>
      <c r="AN5" s="67" t="s">
        <v>21</v>
      </c>
      <c r="AO5" s="67" t="s">
        <v>23</v>
      </c>
      <c r="AP5" s="67" t="s">
        <v>251</v>
      </c>
    </row>
    <row r="6" spans="1:42" ht="14.4" hidden="1" x14ac:dyDescent="0.3">
      <c r="A6" s="16"/>
      <c r="B6" s="55">
        <v>17</v>
      </c>
      <c r="C6" s="56" t="s">
        <v>38</v>
      </c>
      <c r="D6" s="55">
        <v>1</v>
      </c>
      <c r="E6" s="55" t="s">
        <v>20</v>
      </c>
      <c r="F6" s="18" t="s">
        <v>20</v>
      </c>
      <c r="G6" s="18" t="s">
        <v>20</v>
      </c>
      <c r="H6" s="18" t="s">
        <v>21</v>
      </c>
      <c r="I6" s="18" t="s">
        <v>20</v>
      </c>
      <c r="J6" s="18" t="s">
        <v>20</v>
      </c>
      <c r="K6" s="18" t="s">
        <v>20</v>
      </c>
      <c r="L6" s="18" t="s">
        <v>20</v>
      </c>
      <c r="M6" s="19" t="s">
        <v>20</v>
      </c>
      <c r="N6" s="19" t="s">
        <v>21</v>
      </c>
      <c r="O6" s="19" t="s">
        <v>20</v>
      </c>
      <c r="P6" s="19" t="s">
        <v>20</v>
      </c>
      <c r="Q6" s="18" t="s">
        <v>20</v>
      </c>
      <c r="R6" s="18" t="s">
        <v>21</v>
      </c>
      <c r="S6" s="19" t="s">
        <v>20</v>
      </c>
      <c r="T6" s="18" t="s">
        <v>20</v>
      </c>
      <c r="U6" s="18" t="s">
        <v>20</v>
      </c>
      <c r="V6" s="18" t="s">
        <v>20</v>
      </c>
      <c r="W6" s="18" t="s">
        <v>20</v>
      </c>
      <c r="X6" s="18" t="s">
        <v>20</v>
      </c>
      <c r="Y6" s="19" t="s">
        <v>20</v>
      </c>
      <c r="Z6" s="19" t="s">
        <v>20</v>
      </c>
      <c r="AA6" s="20" t="s">
        <v>20</v>
      </c>
      <c r="AB6" s="20" t="s">
        <v>39</v>
      </c>
      <c r="AC6" s="20" t="s">
        <v>20</v>
      </c>
      <c r="AD6" s="19" t="s">
        <v>20</v>
      </c>
      <c r="AE6" s="19" t="s">
        <v>21</v>
      </c>
      <c r="AG6">
        <f>+COUNTIF(F6:AE6,"AD")</f>
        <v>1</v>
      </c>
      <c r="AH6">
        <f>+COUNTIF(F6:AE6,"A")</f>
        <v>21</v>
      </c>
      <c r="AI6">
        <f>+COUNTIF(F6:AE6,"b")</f>
        <v>4</v>
      </c>
      <c r="AJ6">
        <f>+COUNTIF(F6:AE6,"c")</f>
        <v>0</v>
      </c>
      <c r="AL6">
        <f>+$AG$5*AG6</f>
        <v>4</v>
      </c>
      <c r="AM6">
        <f>+$AH$5*AH6</f>
        <v>63</v>
      </c>
      <c r="AN6">
        <f>+$AI$5*AI6</f>
        <v>8</v>
      </c>
      <c r="AO6">
        <f>+$AJ$5*AJ6</f>
        <v>0</v>
      </c>
      <c r="AP6">
        <f>+SUM(AL6:AO6)</f>
        <v>75</v>
      </c>
    </row>
    <row r="7" spans="1:42" ht="14.4" hidden="1" x14ac:dyDescent="0.3">
      <c r="A7" s="16"/>
      <c r="B7" s="55">
        <v>3</v>
      </c>
      <c r="C7" s="56" t="s">
        <v>24</v>
      </c>
      <c r="D7" s="55">
        <v>1</v>
      </c>
      <c r="E7" s="55" t="s">
        <v>20</v>
      </c>
      <c r="F7" s="18" t="s">
        <v>20</v>
      </c>
      <c r="G7" s="18" t="s">
        <v>20</v>
      </c>
      <c r="H7" s="18" t="s">
        <v>20</v>
      </c>
      <c r="I7" s="18" t="s">
        <v>20</v>
      </c>
      <c r="J7" s="18" t="s">
        <v>20</v>
      </c>
      <c r="K7" s="18" t="s">
        <v>20</v>
      </c>
      <c r="L7" s="18" t="s">
        <v>20</v>
      </c>
      <c r="M7" s="19" t="s">
        <v>20</v>
      </c>
      <c r="N7" s="19" t="s">
        <v>20</v>
      </c>
      <c r="O7" s="19" t="s">
        <v>20</v>
      </c>
      <c r="P7" s="19" t="s">
        <v>20</v>
      </c>
      <c r="Q7" s="18" t="s">
        <v>20</v>
      </c>
      <c r="R7" s="18" t="s">
        <v>21</v>
      </c>
      <c r="S7" s="19" t="s">
        <v>20</v>
      </c>
      <c r="T7" s="18" t="s">
        <v>20</v>
      </c>
      <c r="U7" s="18" t="s">
        <v>20</v>
      </c>
      <c r="V7" s="18" t="s">
        <v>20</v>
      </c>
      <c r="W7" s="18" t="s">
        <v>20</v>
      </c>
      <c r="X7" s="18" t="s">
        <v>20</v>
      </c>
      <c r="Y7" s="19" t="s">
        <v>20</v>
      </c>
      <c r="Z7" s="19" t="s">
        <v>20</v>
      </c>
      <c r="AA7" s="20" t="s">
        <v>20</v>
      </c>
      <c r="AB7" s="20" t="s">
        <v>21</v>
      </c>
      <c r="AC7" s="20" t="s">
        <v>21</v>
      </c>
      <c r="AD7" s="19" t="s">
        <v>20</v>
      </c>
      <c r="AE7" s="19" t="s">
        <v>21</v>
      </c>
      <c r="AG7">
        <f>+COUNTIF(F7:AE7,"AD")</f>
        <v>0</v>
      </c>
      <c r="AH7">
        <f>+COUNTIF(F7:AE7,"A")</f>
        <v>22</v>
      </c>
      <c r="AI7">
        <f>+COUNTIF(F7:AE7,"b")</f>
        <v>4</v>
      </c>
      <c r="AJ7">
        <f>+COUNTIF(F7:AE7,"c")</f>
        <v>0</v>
      </c>
      <c r="AL7">
        <f>+$AG$5*AG7</f>
        <v>0</v>
      </c>
      <c r="AM7">
        <f>+$AH$5*AH7</f>
        <v>66</v>
      </c>
      <c r="AN7">
        <f>+$AI$5*AI7</f>
        <v>8</v>
      </c>
      <c r="AO7">
        <f>+$AJ$5*AJ7</f>
        <v>0</v>
      </c>
      <c r="AP7">
        <f>+SUM(AL7:AO7)</f>
        <v>74</v>
      </c>
    </row>
    <row r="8" spans="1:42" ht="14.4" hidden="1" x14ac:dyDescent="0.3">
      <c r="A8" s="16"/>
      <c r="B8" s="55">
        <v>7</v>
      </c>
      <c r="C8" s="56" t="s">
        <v>28</v>
      </c>
      <c r="D8" s="55">
        <v>1</v>
      </c>
      <c r="E8" s="55" t="s">
        <v>20</v>
      </c>
      <c r="F8" s="18" t="s">
        <v>20</v>
      </c>
      <c r="G8" s="18" t="s">
        <v>20</v>
      </c>
      <c r="H8" s="18" t="s">
        <v>21</v>
      </c>
      <c r="I8" s="18" t="s">
        <v>20</v>
      </c>
      <c r="J8" s="18" t="s">
        <v>20</v>
      </c>
      <c r="K8" s="18" t="s">
        <v>20</v>
      </c>
      <c r="L8" s="18" t="s">
        <v>20</v>
      </c>
      <c r="M8" s="19" t="s">
        <v>20</v>
      </c>
      <c r="N8" s="19" t="s">
        <v>20</v>
      </c>
      <c r="O8" s="19" t="s">
        <v>20</v>
      </c>
      <c r="P8" s="19" t="s">
        <v>20</v>
      </c>
      <c r="Q8" s="18" t="s">
        <v>20</v>
      </c>
      <c r="R8" s="18" t="s">
        <v>20</v>
      </c>
      <c r="S8" s="19" t="s">
        <v>20</v>
      </c>
      <c r="T8" s="18" t="s">
        <v>20</v>
      </c>
      <c r="U8" s="18" t="s">
        <v>21</v>
      </c>
      <c r="V8" s="18" t="s">
        <v>20</v>
      </c>
      <c r="W8" s="18" t="s">
        <v>20</v>
      </c>
      <c r="X8" s="18" t="s">
        <v>20</v>
      </c>
      <c r="Y8" s="19" t="s">
        <v>20</v>
      </c>
      <c r="Z8" s="19" t="s">
        <v>20</v>
      </c>
      <c r="AA8" s="20" t="s">
        <v>20</v>
      </c>
      <c r="AB8" s="20" t="s">
        <v>21</v>
      </c>
      <c r="AC8" s="20" t="s">
        <v>20</v>
      </c>
      <c r="AD8" s="19" t="s">
        <v>21</v>
      </c>
      <c r="AE8" s="19" t="s">
        <v>21</v>
      </c>
      <c r="AG8">
        <f>+COUNTIF(F8:AE8,"AD")</f>
        <v>0</v>
      </c>
      <c r="AH8">
        <f>+COUNTIF(F8:AE8,"A")</f>
        <v>21</v>
      </c>
      <c r="AI8">
        <f>+COUNTIF(F8:AE8,"b")</f>
        <v>5</v>
      </c>
      <c r="AJ8">
        <f>+COUNTIF(F8:AE8,"c")</f>
        <v>0</v>
      </c>
      <c r="AL8">
        <f>+$AG$5*AG8</f>
        <v>0</v>
      </c>
      <c r="AM8">
        <f>+$AH$5*AH8</f>
        <v>63</v>
      </c>
      <c r="AN8">
        <f>+$AI$5*AI8</f>
        <v>10</v>
      </c>
      <c r="AO8">
        <f>+$AJ$5*AJ8</f>
        <v>0</v>
      </c>
      <c r="AP8">
        <f>+SUM(AL8:AO8)</f>
        <v>73</v>
      </c>
    </row>
    <row r="9" spans="1:42" ht="14.4" hidden="1" x14ac:dyDescent="0.3">
      <c r="A9" s="16"/>
      <c r="B9" s="55">
        <v>16</v>
      </c>
      <c r="C9" s="56" t="s">
        <v>37</v>
      </c>
      <c r="D9" s="55">
        <v>1</v>
      </c>
      <c r="E9" s="55" t="s">
        <v>20</v>
      </c>
      <c r="F9" s="18" t="s">
        <v>21</v>
      </c>
      <c r="G9" s="18" t="s">
        <v>21</v>
      </c>
      <c r="H9" s="18" t="s">
        <v>21</v>
      </c>
      <c r="I9" s="18" t="s">
        <v>21</v>
      </c>
      <c r="J9" s="18" t="s">
        <v>20</v>
      </c>
      <c r="K9" s="18" t="s">
        <v>20</v>
      </c>
      <c r="L9" s="18" t="s">
        <v>20</v>
      </c>
      <c r="M9" s="19" t="s">
        <v>20</v>
      </c>
      <c r="N9" s="19" t="s">
        <v>20</v>
      </c>
      <c r="O9" s="19" t="s">
        <v>20</v>
      </c>
      <c r="P9" s="19" t="s">
        <v>20</v>
      </c>
      <c r="Q9" s="18" t="s">
        <v>20</v>
      </c>
      <c r="R9" s="18" t="s">
        <v>20</v>
      </c>
      <c r="S9" s="19" t="s">
        <v>20</v>
      </c>
      <c r="T9" s="18" t="s">
        <v>20</v>
      </c>
      <c r="U9" s="18" t="s">
        <v>20</v>
      </c>
      <c r="V9" s="18" t="s">
        <v>20</v>
      </c>
      <c r="W9" s="18" t="s">
        <v>20</v>
      </c>
      <c r="X9" s="18" t="s">
        <v>20</v>
      </c>
      <c r="Y9" s="19" t="s">
        <v>20</v>
      </c>
      <c r="Z9" s="19" t="s">
        <v>20</v>
      </c>
      <c r="AA9" s="20" t="s">
        <v>20</v>
      </c>
      <c r="AB9" s="20" t="s">
        <v>21</v>
      </c>
      <c r="AC9" s="20" t="s">
        <v>20</v>
      </c>
      <c r="AD9" s="19" t="s">
        <v>20</v>
      </c>
      <c r="AE9" s="19" t="s">
        <v>21</v>
      </c>
      <c r="AG9">
        <f>+COUNTIF(F9:AE9,"AD")</f>
        <v>0</v>
      </c>
      <c r="AH9">
        <f>+COUNTIF(F9:AE9,"A")</f>
        <v>20</v>
      </c>
      <c r="AI9">
        <f>+COUNTIF(F9:AE9,"b")</f>
        <v>6</v>
      </c>
      <c r="AJ9">
        <f>+COUNTIF(F9:AE9,"c")</f>
        <v>0</v>
      </c>
      <c r="AL9">
        <f>+$AG$5*AG9</f>
        <v>0</v>
      </c>
      <c r="AM9">
        <f>+$AH$5*AH9</f>
        <v>60</v>
      </c>
      <c r="AN9">
        <f>+$AI$5*AI9</f>
        <v>12</v>
      </c>
      <c r="AO9">
        <f>+$AJ$5*AJ9</f>
        <v>0</v>
      </c>
      <c r="AP9">
        <f>+SUM(AL9:AO9)</f>
        <v>72</v>
      </c>
    </row>
    <row r="10" spans="1:42" ht="14.4" hidden="1" x14ac:dyDescent="0.3">
      <c r="A10" s="16"/>
      <c r="B10" s="55">
        <v>1</v>
      </c>
      <c r="C10" s="56" t="s">
        <v>19</v>
      </c>
      <c r="D10" s="55">
        <v>1</v>
      </c>
      <c r="E10" s="55" t="s">
        <v>20</v>
      </c>
      <c r="F10" s="17" t="s">
        <v>20</v>
      </c>
      <c r="G10" s="18" t="s">
        <v>20</v>
      </c>
      <c r="H10" s="18" t="s">
        <v>21</v>
      </c>
      <c r="I10" s="18" t="s">
        <v>20</v>
      </c>
      <c r="J10" s="18" t="s">
        <v>20</v>
      </c>
      <c r="K10" s="18" t="s">
        <v>20</v>
      </c>
      <c r="L10" s="18" t="s">
        <v>20</v>
      </c>
      <c r="M10" s="19" t="s">
        <v>20</v>
      </c>
      <c r="N10" s="19" t="s">
        <v>20</v>
      </c>
      <c r="O10" s="19" t="s">
        <v>20</v>
      </c>
      <c r="P10" s="19" t="s">
        <v>20</v>
      </c>
      <c r="Q10" s="18" t="s">
        <v>21</v>
      </c>
      <c r="R10" s="18" t="s">
        <v>21</v>
      </c>
      <c r="S10" s="19" t="s">
        <v>20</v>
      </c>
      <c r="T10" s="18" t="s">
        <v>20</v>
      </c>
      <c r="U10" s="18" t="s">
        <v>20</v>
      </c>
      <c r="V10" s="18" t="s">
        <v>20</v>
      </c>
      <c r="W10" s="18" t="s">
        <v>20</v>
      </c>
      <c r="X10" s="18" t="s">
        <v>20</v>
      </c>
      <c r="Y10" s="19" t="s">
        <v>21</v>
      </c>
      <c r="Z10" s="19" t="s">
        <v>20</v>
      </c>
      <c r="AA10" s="20" t="s">
        <v>21</v>
      </c>
      <c r="AB10" s="20" t="s">
        <v>21</v>
      </c>
      <c r="AC10" s="20" t="s">
        <v>20</v>
      </c>
      <c r="AD10" s="19" t="s">
        <v>20</v>
      </c>
      <c r="AE10" s="19" t="s">
        <v>21</v>
      </c>
      <c r="AG10">
        <f>+COUNTIF(F10:AE10,"AD")</f>
        <v>0</v>
      </c>
      <c r="AH10">
        <f>+COUNTIF(F10:AE10,"A")</f>
        <v>19</v>
      </c>
      <c r="AI10">
        <f>+COUNTIF(F10:AE10,"b")</f>
        <v>7</v>
      </c>
      <c r="AJ10">
        <f>+COUNTIF(F10:AE10,"c")</f>
        <v>0</v>
      </c>
      <c r="AL10">
        <f>+$AG$5*AG10</f>
        <v>0</v>
      </c>
      <c r="AM10">
        <f>+$AH$5*AH10</f>
        <v>57</v>
      </c>
      <c r="AN10">
        <f>+$AI$5*AI10</f>
        <v>14</v>
      </c>
      <c r="AO10">
        <f>+$AJ$5*AJ10</f>
        <v>0</v>
      </c>
      <c r="AP10">
        <f>+SUM(AL10:AO10)</f>
        <v>71</v>
      </c>
    </row>
    <row r="11" spans="1:42" ht="14.4" hidden="1" x14ac:dyDescent="0.3">
      <c r="A11" s="16"/>
      <c r="B11" s="55">
        <v>6</v>
      </c>
      <c r="C11" s="56" t="s">
        <v>27</v>
      </c>
      <c r="D11" s="55">
        <v>1</v>
      </c>
      <c r="E11" s="55" t="s">
        <v>20</v>
      </c>
      <c r="F11" s="18" t="s">
        <v>20</v>
      </c>
      <c r="G11" s="18" t="s">
        <v>20</v>
      </c>
      <c r="H11" s="18" t="s">
        <v>20</v>
      </c>
      <c r="I11" s="18" t="s">
        <v>20</v>
      </c>
      <c r="J11" s="18" t="s">
        <v>20</v>
      </c>
      <c r="K11" s="18" t="s">
        <v>20</v>
      </c>
      <c r="L11" s="18" t="s">
        <v>20</v>
      </c>
      <c r="M11" s="19" t="s">
        <v>20</v>
      </c>
      <c r="N11" s="19" t="s">
        <v>20</v>
      </c>
      <c r="O11" s="19" t="s">
        <v>20</v>
      </c>
      <c r="P11" s="19" t="s">
        <v>20</v>
      </c>
      <c r="Q11" s="18" t="s">
        <v>21</v>
      </c>
      <c r="R11" s="18" t="s">
        <v>21</v>
      </c>
      <c r="S11" s="19" t="s">
        <v>20</v>
      </c>
      <c r="T11" s="18" t="s">
        <v>21</v>
      </c>
      <c r="U11" s="18" t="s">
        <v>21</v>
      </c>
      <c r="V11" s="18" t="s">
        <v>21</v>
      </c>
      <c r="W11" s="18" t="s">
        <v>20</v>
      </c>
      <c r="X11" s="18" t="s">
        <v>20</v>
      </c>
      <c r="Y11" s="19" t="s">
        <v>20</v>
      </c>
      <c r="Z11" s="19" t="s">
        <v>21</v>
      </c>
      <c r="AA11" s="20" t="s">
        <v>21</v>
      </c>
      <c r="AB11" s="20" t="s">
        <v>21</v>
      </c>
      <c r="AC11" s="20" t="s">
        <v>21</v>
      </c>
      <c r="AD11" s="19" t="s">
        <v>21</v>
      </c>
      <c r="AE11" s="19" t="s">
        <v>21</v>
      </c>
      <c r="AG11">
        <f>+COUNTIF(F11:AE11,"AD")</f>
        <v>0</v>
      </c>
      <c r="AH11">
        <f>+COUNTIF(F11:AE11,"A")</f>
        <v>15</v>
      </c>
      <c r="AI11">
        <f>+COUNTIF(F11:AE11,"b")</f>
        <v>11</v>
      </c>
      <c r="AJ11">
        <f>+COUNTIF(F11:AE11,"c")</f>
        <v>0</v>
      </c>
      <c r="AL11">
        <f>+$AG$5*AG11</f>
        <v>0</v>
      </c>
      <c r="AM11">
        <f>+$AH$5*AH11</f>
        <v>45</v>
      </c>
      <c r="AN11">
        <f>+$AI$5*AI11</f>
        <v>22</v>
      </c>
      <c r="AO11">
        <f>+$AJ$5*AJ11</f>
        <v>0</v>
      </c>
      <c r="AP11">
        <f>+SUM(AL11:AO11)</f>
        <v>67</v>
      </c>
    </row>
    <row r="12" spans="1:42" ht="14.4" hidden="1" x14ac:dyDescent="0.3">
      <c r="A12" s="16"/>
      <c r="B12" s="55">
        <v>4</v>
      </c>
      <c r="C12" s="56" t="s">
        <v>25</v>
      </c>
      <c r="D12" s="55">
        <v>1</v>
      </c>
      <c r="E12" s="55" t="s">
        <v>20</v>
      </c>
      <c r="F12" s="18" t="s">
        <v>20</v>
      </c>
      <c r="G12" s="18" t="s">
        <v>21</v>
      </c>
      <c r="H12" s="18" t="s">
        <v>21</v>
      </c>
      <c r="I12" s="18" t="s">
        <v>21</v>
      </c>
      <c r="J12" s="18" t="s">
        <v>20</v>
      </c>
      <c r="K12" s="18" t="s">
        <v>20</v>
      </c>
      <c r="L12" s="18" t="s">
        <v>20</v>
      </c>
      <c r="M12" s="19" t="s">
        <v>21</v>
      </c>
      <c r="N12" s="19" t="s">
        <v>21</v>
      </c>
      <c r="O12" s="19" t="s">
        <v>20</v>
      </c>
      <c r="P12" s="19" t="s">
        <v>20</v>
      </c>
      <c r="Q12" s="18" t="s">
        <v>20</v>
      </c>
      <c r="R12" s="18" t="s">
        <v>21</v>
      </c>
      <c r="S12" s="19" t="s">
        <v>20</v>
      </c>
      <c r="T12" s="18" t="s">
        <v>21</v>
      </c>
      <c r="U12" s="18" t="s">
        <v>20</v>
      </c>
      <c r="V12" s="18" t="s">
        <v>21</v>
      </c>
      <c r="W12" s="18" t="s">
        <v>20</v>
      </c>
      <c r="X12" s="18" t="s">
        <v>20</v>
      </c>
      <c r="Y12" s="19" t="s">
        <v>21</v>
      </c>
      <c r="Z12" s="19" t="s">
        <v>20</v>
      </c>
      <c r="AA12" s="20" t="s">
        <v>21</v>
      </c>
      <c r="AB12" s="20" t="s">
        <v>21</v>
      </c>
      <c r="AC12" s="20" t="s">
        <v>21</v>
      </c>
      <c r="AD12" s="19" t="s">
        <v>20</v>
      </c>
      <c r="AE12" s="19" t="s">
        <v>21</v>
      </c>
      <c r="AG12">
        <f>+COUNTIF(F12:AE12,"AD")</f>
        <v>0</v>
      </c>
      <c r="AH12">
        <f>+COUNTIF(F12:AE12,"A")</f>
        <v>13</v>
      </c>
      <c r="AI12">
        <f>+COUNTIF(F12:AE12,"b")</f>
        <v>13</v>
      </c>
      <c r="AJ12">
        <f>+COUNTIF(F12:AE12,"c")</f>
        <v>0</v>
      </c>
      <c r="AL12">
        <f>+$AG$5*AG12</f>
        <v>0</v>
      </c>
      <c r="AM12">
        <f>+$AH$5*AH12</f>
        <v>39</v>
      </c>
      <c r="AN12">
        <f>+$AI$5*AI12</f>
        <v>26</v>
      </c>
      <c r="AO12">
        <f>+$AJ$5*AJ12</f>
        <v>0</v>
      </c>
      <c r="AP12">
        <f>+SUM(AL12:AO12)</f>
        <v>65</v>
      </c>
    </row>
    <row r="13" spans="1:42" ht="14.4" hidden="1" x14ac:dyDescent="0.3">
      <c r="A13" s="16"/>
      <c r="B13" s="55">
        <v>5</v>
      </c>
      <c r="C13" s="56" t="s">
        <v>26</v>
      </c>
      <c r="D13" s="55">
        <v>1</v>
      </c>
      <c r="E13" s="55" t="s">
        <v>20</v>
      </c>
      <c r="F13" s="18" t="s">
        <v>21</v>
      </c>
      <c r="G13" s="18" t="s">
        <v>21</v>
      </c>
      <c r="H13" s="18" t="s">
        <v>21</v>
      </c>
      <c r="I13" s="18" t="s">
        <v>21</v>
      </c>
      <c r="J13" s="18" t="s">
        <v>20</v>
      </c>
      <c r="K13" s="18" t="s">
        <v>20</v>
      </c>
      <c r="L13" s="18" t="s">
        <v>20</v>
      </c>
      <c r="M13" s="19" t="s">
        <v>20</v>
      </c>
      <c r="N13" s="19" t="s">
        <v>21</v>
      </c>
      <c r="O13" s="19" t="s">
        <v>20</v>
      </c>
      <c r="P13" s="19" t="s">
        <v>21</v>
      </c>
      <c r="Q13" s="18" t="s">
        <v>21</v>
      </c>
      <c r="R13" s="18" t="s">
        <v>21</v>
      </c>
      <c r="S13" s="19" t="s">
        <v>20</v>
      </c>
      <c r="T13" s="18" t="s">
        <v>21</v>
      </c>
      <c r="U13" s="18" t="s">
        <v>21</v>
      </c>
      <c r="V13" s="18" t="s">
        <v>20</v>
      </c>
      <c r="W13" s="18" t="s">
        <v>21</v>
      </c>
      <c r="X13" s="18" t="s">
        <v>20</v>
      </c>
      <c r="Y13" s="19" t="s">
        <v>21</v>
      </c>
      <c r="Z13" s="19" t="s">
        <v>20</v>
      </c>
      <c r="AA13" s="20" t="s">
        <v>21</v>
      </c>
      <c r="AB13" s="20" t="s">
        <v>21</v>
      </c>
      <c r="AC13" s="20" t="s">
        <v>23</v>
      </c>
      <c r="AD13" s="19" t="s">
        <v>21</v>
      </c>
      <c r="AE13" s="19" t="s">
        <v>21</v>
      </c>
      <c r="AG13">
        <f>+COUNTIF(F13:AE13,"AD")</f>
        <v>0</v>
      </c>
      <c r="AH13">
        <f>+COUNTIF(F13:AE13,"A")</f>
        <v>9</v>
      </c>
      <c r="AI13">
        <f>+COUNTIF(F13:AE13,"b")</f>
        <v>16</v>
      </c>
      <c r="AJ13">
        <f>+COUNTIF(F13:AE13,"c")</f>
        <v>1</v>
      </c>
      <c r="AL13">
        <f>+$AG$5*AG13</f>
        <v>0</v>
      </c>
      <c r="AM13">
        <f>+$AH$5*AH13</f>
        <v>27</v>
      </c>
      <c r="AN13">
        <f>+$AI$5*AI13</f>
        <v>32</v>
      </c>
      <c r="AO13">
        <f>+$AJ$5*AJ13</f>
        <v>1</v>
      </c>
      <c r="AP13">
        <f>+SUM(AL13:AO13)</f>
        <v>60</v>
      </c>
    </row>
    <row r="14" spans="1:42" ht="14.4" hidden="1" x14ac:dyDescent="0.3">
      <c r="A14" s="16"/>
      <c r="B14" s="55">
        <v>9</v>
      </c>
      <c r="C14" s="56" t="s">
        <v>30</v>
      </c>
      <c r="D14" s="55">
        <v>1</v>
      </c>
      <c r="E14" s="55" t="s">
        <v>20</v>
      </c>
      <c r="F14" s="18" t="s">
        <v>21</v>
      </c>
      <c r="G14" s="18" t="s">
        <v>21</v>
      </c>
      <c r="H14" s="18" t="s">
        <v>23</v>
      </c>
      <c r="I14" s="18" t="s">
        <v>21</v>
      </c>
      <c r="J14" s="18" t="s">
        <v>20</v>
      </c>
      <c r="K14" s="18" t="s">
        <v>20</v>
      </c>
      <c r="L14" s="18" t="s">
        <v>20</v>
      </c>
      <c r="M14" s="19" t="s">
        <v>20</v>
      </c>
      <c r="N14" s="19" t="s">
        <v>21</v>
      </c>
      <c r="O14" s="19" t="s">
        <v>20</v>
      </c>
      <c r="P14" s="19" t="s">
        <v>21</v>
      </c>
      <c r="Q14" s="18" t="s">
        <v>21</v>
      </c>
      <c r="R14" s="18" t="s">
        <v>21</v>
      </c>
      <c r="S14" s="19" t="s">
        <v>21</v>
      </c>
      <c r="T14" s="18" t="s">
        <v>20</v>
      </c>
      <c r="U14" s="18" t="s">
        <v>21</v>
      </c>
      <c r="V14" s="18" t="s">
        <v>21</v>
      </c>
      <c r="W14" s="18" t="s">
        <v>20</v>
      </c>
      <c r="X14" s="18" t="s">
        <v>20</v>
      </c>
      <c r="Y14" s="19" t="s">
        <v>21</v>
      </c>
      <c r="Z14" s="19" t="s">
        <v>20</v>
      </c>
      <c r="AA14" s="20" t="s">
        <v>21</v>
      </c>
      <c r="AB14" s="20" t="s">
        <v>21</v>
      </c>
      <c r="AC14" s="20" t="s">
        <v>23</v>
      </c>
      <c r="AD14" s="19" t="s">
        <v>20</v>
      </c>
      <c r="AE14" s="19" t="s">
        <v>21</v>
      </c>
      <c r="AG14">
        <f>+COUNTIF(F14:AE14,"AD")</f>
        <v>0</v>
      </c>
      <c r="AH14">
        <f>+COUNTIF(F14:AE14,"A")</f>
        <v>10</v>
      </c>
      <c r="AI14">
        <f>+COUNTIF(F14:AE14,"b")</f>
        <v>14</v>
      </c>
      <c r="AJ14">
        <f>+COUNTIF(F14:AE14,"c")</f>
        <v>2</v>
      </c>
      <c r="AL14">
        <f>+$AG$5*AG14</f>
        <v>0</v>
      </c>
      <c r="AM14">
        <f>+$AH$5*AH14</f>
        <v>30</v>
      </c>
      <c r="AN14">
        <f>+$AI$5*AI14</f>
        <v>28</v>
      </c>
      <c r="AO14">
        <f>+$AJ$5*AJ14</f>
        <v>2</v>
      </c>
      <c r="AP14">
        <f>+SUM(AL14:AO14)</f>
        <v>60</v>
      </c>
    </row>
    <row r="15" spans="1:42" ht="14.4" hidden="1" x14ac:dyDescent="0.3">
      <c r="A15" s="16"/>
      <c r="B15" s="55">
        <v>11</v>
      </c>
      <c r="C15" s="56" t="s">
        <v>32</v>
      </c>
      <c r="D15" s="55">
        <v>1</v>
      </c>
      <c r="E15" s="55" t="s">
        <v>20</v>
      </c>
      <c r="F15" s="18" t="s">
        <v>21</v>
      </c>
      <c r="G15" s="18" t="s">
        <v>21</v>
      </c>
      <c r="H15" s="18" t="s">
        <v>21</v>
      </c>
      <c r="I15" s="18" t="s">
        <v>21</v>
      </c>
      <c r="J15" s="18" t="s">
        <v>20</v>
      </c>
      <c r="K15" s="18" t="s">
        <v>20</v>
      </c>
      <c r="L15" s="18" t="s">
        <v>20</v>
      </c>
      <c r="M15" s="19" t="s">
        <v>21</v>
      </c>
      <c r="N15" s="19" t="s">
        <v>21</v>
      </c>
      <c r="O15" s="19" t="s">
        <v>20</v>
      </c>
      <c r="P15" s="19" t="s">
        <v>21</v>
      </c>
      <c r="Q15" s="18" t="s">
        <v>21</v>
      </c>
      <c r="R15" s="18" t="s">
        <v>23</v>
      </c>
      <c r="S15" s="19" t="s">
        <v>21</v>
      </c>
      <c r="T15" s="18" t="s">
        <v>20</v>
      </c>
      <c r="U15" s="18" t="s">
        <v>21</v>
      </c>
      <c r="V15" s="18" t="s">
        <v>20</v>
      </c>
      <c r="W15" s="18" t="s">
        <v>21</v>
      </c>
      <c r="X15" s="18" t="s">
        <v>20</v>
      </c>
      <c r="Y15" s="19" t="s">
        <v>20</v>
      </c>
      <c r="Z15" s="19" t="s">
        <v>20</v>
      </c>
      <c r="AA15" s="20" t="s">
        <v>21</v>
      </c>
      <c r="AB15" s="20" t="s">
        <v>21</v>
      </c>
      <c r="AC15" s="20" t="s">
        <v>23</v>
      </c>
      <c r="AD15" s="19" t="s">
        <v>21</v>
      </c>
      <c r="AE15" s="19" t="s">
        <v>21</v>
      </c>
      <c r="AG15">
        <f>+COUNTIF(F15:AE15,"AD")</f>
        <v>0</v>
      </c>
      <c r="AH15">
        <f>+COUNTIF(F15:AE15,"A")</f>
        <v>9</v>
      </c>
      <c r="AI15">
        <f>+COUNTIF(F15:AE15,"b")</f>
        <v>15</v>
      </c>
      <c r="AJ15">
        <f>+COUNTIF(F15:AE15,"c")</f>
        <v>2</v>
      </c>
      <c r="AL15">
        <f>+$AG$5*AG15</f>
        <v>0</v>
      </c>
      <c r="AM15">
        <f>+$AH$5*AH15</f>
        <v>27</v>
      </c>
      <c r="AN15">
        <f>+$AI$5*AI15</f>
        <v>30</v>
      </c>
      <c r="AO15">
        <f>+$AJ$5*AJ15</f>
        <v>2</v>
      </c>
      <c r="AP15">
        <f>+SUM(AL15:AO15)</f>
        <v>59</v>
      </c>
    </row>
    <row r="16" spans="1:42" ht="14.4" hidden="1" x14ac:dyDescent="0.3">
      <c r="A16" s="16"/>
      <c r="B16" s="55">
        <v>15</v>
      </c>
      <c r="C16" s="56" t="s">
        <v>36</v>
      </c>
      <c r="D16" s="55">
        <v>1</v>
      </c>
      <c r="E16" s="55" t="s">
        <v>20</v>
      </c>
      <c r="F16" s="18" t="s">
        <v>21</v>
      </c>
      <c r="G16" s="18" t="s">
        <v>21</v>
      </c>
      <c r="H16" s="18" t="s">
        <v>21</v>
      </c>
      <c r="I16" s="18" t="s">
        <v>21</v>
      </c>
      <c r="J16" s="18" t="s">
        <v>21</v>
      </c>
      <c r="K16" s="18" t="s">
        <v>21</v>
      </c>
      <c r="L16" s="18" t="s">
        <v>21</v>
      </c>
      <c r="M16" s="19" t="s">
        <v>20</v>
      </c>
      <c r="N16" s="19" t="s">
        <v>21</v>
      </c>
      <c r="O16" s="19" t="s">
        <v>20</v>
      </c>
      <c r="P16" s="19" t="s">
        <v>21</v>
      </c>
      <c r="Q16" s="18" t="s">
        <v>21</v>
      </c>
      <c r="R16" s="18" t="s">
        <v>21</v>
      </c>
      <c r="S16" s="19" t="s">
        <v>20</v>
      </c>
      <c r="T16" s="18" t="s">
        <v>21</v>
      </c>
      <c r="U16" s="18" t="s">
        <v>21</v>
      </c>
      <c r="V16" s="18" t="s">
        <v>21</v>
      </c>
      <c r="W16" s="18" t="s">
        <v>20</v>
      </c>
      <c r="X16" s="18" t="s">
        <v>20</v>
      </c>
      <c r="Y16" s="19" t="s">
        <v>20</v>
      </c>
      <c r="Z16" s="19" t="s">
        <v>20</v>
      </c>
      <c r="AA16" s="20" t="s">
        <v>21</v>
      </c>
      <c r="AB16" s="20" t="s">
        <v>21</v>
      </c>
      <c r="AC16" s="20" t="s">
        <v>23</v>
      </c>
      <c r="AD16" s="19" t="s">
        <v>20</v>
      </c>
      <c r="AE16" s="19" t="s">
        <v>21</v>
      </c>
      <c r="AG16">
        <f>+COUNTIF(F16:AE16,"AD")</f>
        <v>0</v>
      </c>
      <c r="AH16">
        <f>+COUNTIF(F16:AE16,"A")</f>
        <v>8</v>
      </c>
      <c r="AI16">
        <f>+COUNTIF(F16:AE16,"b")</f>
        <v>17</v>
      </c>
      <c r="AJ16">
        <f>+COUNTIF(F16:AE16,"c")</f>
        <v>1</v>
      </c>
      <c r="AL16">
        <f>+$AG$5*AG16</f>
        <v>0</v>
      </c>
      <c r="AM16">
        <f>+$AH$5*AH16</f>
        <v>24</v>
      </c>
      <c r="AN16">
        <f>+$AI$5*AI16</f>
        <v>34</v>
      </c>
      <c r="AO16">
        <f>+$AJ$5*AJ16</f>
        <v>1</v>
      </c>
      <c r="AP16">
        <f>+SUM(AL16:AO16)</f>
        <v>59</v>
      </c>
    </row>
    <row r="17" spans="1:42" ht="14.4" hidden="1" x14ac:dyDescent="0.3">
      <c r="A17" s="16"/>
      <c r="B17" s="55">
        <v>10</v>
      </c>
      <c r="C17" s="56" t="s">
        <v>31</v>
      </c>
      <c r="D17" s="55">
        <v>1</v>
      </c>
      <c r="E17" s="55" t="s">
        <v>20</v>
      </c>
      <c r="F17" s="18" t="s">
        <v>21</v>
      </c>
      <c r="G17" s="18" t="s">
        <v>21</v>
      </c>
      <c r="H17" s="18" t="s">
        <v>21</v>
      </c>
      <c r="I17" s="18" t="s">
        <v>21</v>
      </c>
      <c r="J17" s="18" t="s">
        <v>21</v>
      </c>
      <c r="K17" s="18" t="s">
        <v>21</v>
      </c>
      <c r="L17" s="18" t="s">
        <v>21</v>
      </c>
      <c r="M17" s="19" t="s">
        <v>21</v>
      </c>
      <c r="N17" s="19" t="s">
        <v>21</v>
      </c>
      <c r="O17" s="19" t="s">
        <v>20</v>
      </c>
      <c r="P17" s="19" t="s">
        <v>21</v>
      </c>
      <c r="Q17" s="18" t="s">
        <v>21</v>
      </c>
      <c r="R17" s="18" t="s">
        <v>21</v>
      </c>
      <c r="S17" s="19" t="s">
        <v>20</v>
      </c>
      <c r="T17" s="18" t="s">
        <v>21</v>
      </c>
      <c r="U17" s="18" t="s">
        <v>21</v>
      </c>
      <c r="V17" s="18" t="s">
        <v>20</v>
      </c>
      <c r="W17" s="18" t="s">
        <v>20</v>
      </c>
      <c r="X17" s="18" t="s">
        <v>20</v>
      </c>
      <c r="Y17" s="19" t="s">
        <v>21</v>
      </c>
      <c r="Z17" s="19" t="s">
        <v>20</v>
      </c>
      <c r="AA17" s="20" t="s">
        <v>21</v>
      </c>
      <c r="AB17" s="20" t="s">
        <v>21</v>
      </c>
      <c r="AC17" s="20" t="s">
        <v>23</v>
      </c>
      <c r="AD17" s="19" t="s">
        <v>21</v>
      </c>
      <c r="AE17" s="19" t="s">
        <v>21</v>
      </c>
      <c r="AG17">
        <f>+COUNTIF(F17:AE17,"AD")</f>
        <v>0</v>
      </c>
      <c r="AH17">
        <f>+COUNTIF(F17:AE17,"A")</f>
        <v>6</v>
      </c>
      <c r="AI17">
        <f>+COUNTIF(F17:AE17,"b")</f>
        <v>19</v>
      </c>
      <c r="AJ17">
        <f>+COUNTIF(F17:AE17,"c")</f>
        <v>1</v>
      </c>
      <c r="AL17">
        <f>+$AG$5*AG17</f>
        <v>0</v>
      </c>
      <c r="AM17">
        <f>+$AH$5*AH17</f>
        <v>18</v>
      </c>
      <c r="AN17">
        <f>+$AI$5*AI17</f>
        <v>38</v>
      </c>
      <c r="AO17">
        <f>+$AJ$5*AJ17</f>
        <v>1</v>
      </c>
      <c r="AP17">
        <f>+SUM(AL17:AO17)</f>
        <v>57</v>
      </c>
    </row>
    <row r="18" spans="1:42" ht="14.4" hidden="1" x14ac:dyDescent="0.3">
      <c r="A18" s="16"/>
      <c r="B18" s="55">
        <v>18</v>
      </c>
      <c r="C18" s="56" t="s">
        <v>40</v>
      </c>
      <c r="D18" s="55">
        <v>1</v>
      </c>
      <c r="E18" s="55" t="s">
        <v>20</v>
      </c>
      <c r="F18" s="18" t="s">
        <v>21</v>
      </c>
      <c r="G18" s="18" t="s">
        <v>21</v>
      </c>
      <c r="H18" s="18" t="s">
        <v>21</v>
      </c>
      <c r="I18" s="18" t="s">
        <v>21</v>
      </c>
      <c r="J18" s="18" t="s">
        <v>21</v>
      </c>
      <c r="K18" s="18" t="s">
        <v>21</v>
      </c>
      <c r="L18" s="18" t="s">
        <v>21</v>
      </c>
      <c r="M18" s="19" t="s">
        <v>21</v>
      </c>
      <c r="N18" s="19" t="s">
        <v>21</v>
      </c>
      <c r="O18" s="19" t="s">
        <v>20</v>
      </c>
      <c r="P18" s="19" t="s">
        <v>21</v>
      </c>
      <c r="Q18" s="18" t="s">
        <v>21</v>
      </c>
      <c r="R18" s="18" t="s">
        <v>21</v>
      </c>
      <c r="S18" s="19" t="s">
        <v>23</v>
      </c>
      <c r="T18" s="18" t="s">
        <v>23</v>
      </c>
      <c r="U18" s="18" t="s">
        <v>20</v>
      </c>
      <c r="V18" s="18" t="s">
        <v>21</v>
      </c>
      <c r="W18" s="18" t="s">
        <v>20</v>
      </c>
      <c r="X18" s="18" t="s">
        <v>20</v>
      </c>
      <c r="Y18" s="19" t="s">
        <v>20</v>
      </c>
      <c r="Z18" s="19" t="s">
        <v>20</v>
      </c>
      <c r="AA18" s="20" t="s">
        <v>21</v>
      </c>
      <c r="AB18" s="20" t="s">
        <v>21</v>
      </c>
      <c r="AC18" s="20" t="s">
        <v>23</v>
      </c>
      <c r="AD18" s="19" t="s">
        <v>21</v>
      </c>
      <c r="AE18" s="19" t="s">
        <v>21</v>
      </c>
      <c r="AG18">
        <f>+COUNTIF(F18:AE18,"AD")</f>
        <v>0</v>
      </c>
      <c r="AH18">
        <f>+COUNTIF(F18:AE18,"A")</f>
        <v>6</v>
      </c>
      <c r="AI18">
        <f>+COUNTIF(F18:AE18,"b")</f>
        <v>17</v>
      </c>
      <c r="AJ18">
        <f>+COUNTIF(F18:AE18,"c")</f>
        <v>3</v>
      </c>
      <c r="AL18">
        <f>+$AG$5*AG18</f>
        <v>0</v>
      </c>
      <c r="AM18">
        <f>+$AH$5*AH18</f>
        <v>18</v>
      </c>
      <c r="AN18">
        <f>+$AI$5*AI18</f>
        <v>34</v>
      </c>
      <c r="AO18">
        <f>+$AJ$5*AJ18</f>
        <v>3</v>
      </c>
      <c r="AP18">
        <f>+SUM(AL18:AO18)</f>
        <v>55</v>
      </c>
    </row>
    <row r="19" spans="1:42" ht="14.4" hidden="1" x14ac:dyDescent="0.3">
      <c r="A19" s="16"/>
      <c r="B19" s="55">
        <v>13</v>
      </c>
      <c r="C19" s="56" t="s">
        <v>34</v>
      </c>
      <c r="D19" s="55">
        <v>1</v>
      </c>
      <c r="E19" s="55" t="s">
        <v>20</v>
      </c>
      <c r="F19" s="18" t="s">
        <v>21</v>
      </c>
      <c r="G19" s="18" t="s">
        <v>21</v>
      </c>
      <c r="H19" s="18" t="s">
        <v>23</v>
      </c>
      <c r="I19" s="18" t="s">
        <v>21</v>
      </c>
      <c r="J19" s="18" t="s">
        <v>21</v>
      </c>
      <c r="K19" s="18" t="s">
        <v>21</v>
      </c>
      <c r="L19" s="18" t="s">
        <v>21</v>
      </c>
      <c r="M19" s="19" t="s">
        <v>21</v>
      </c>
      <c r="N19" s="19" t="s">
        <v>21</v>
      </c>
      <c r="O19" s="19" t="s">
        <v>21</v>
      </c>
      <c r="P19" s="19" t="s">
        <v>21</v>
      </c>
      <c r="Q19" s="18" t="s">
        <v>21</v>
      </c>
      <c r="R19" s="18" t="s">
        <v>21</v>
      </c>
      <c r="S19" s="19" t="s">
        <v>23</v>
      </c>
      <c r="T19" s="18" t="s">
        <v>23</v>
      </c>
      <c r="U19" s="18" t="s">
        <v>21</v>
      </c>
      <c r="V19" s="18" t="s">
        <v>21</v>
      </c>
      <c r="W19" s="18" t="s">
        <v>21</v>
      </c>
      <c r="X19" s="18" t="s">
        <v>20</v>
      </c>
      <c r="Y19" s="19" t="s">
        <v>20</v>
      </c>
      <c r="Z19" s="19" t="s">
        <v>20</v>
      </c>
      <c r="AA19" s="20" t="s">
        <v>21</v>
      </c>
      <c r="AB19" s="20" t="s">
        <v>21</v>
      </c>
      <c r="AC19" s="20" t="s">
        <v>23</v>
      </c>
      <c r="AD19" s="19" t="s">
        <v>21</v>
      </c>
      <c r="AE19" s="19" t="s">
        <v>21</v>
      </c>
      <c r="AG19">
        <f>+COUNTIF(F19:AE19,"AD")</f>
        <v>0</v>
      </c>
      <c r="AH19">
        <f>+COUNTIF(F19:AE19,"A")</f>
        <v>3</v>
      </c>
      <c r="AI19">
        <f>+COUNTIF(F19:AE19,"b")</f>
        <v>19</v>
      </c>
      <c r="AJ19">
        <f>+COUNTIF(F19:AE19,"c")</f>
        <v>4</v>
      </c>
      <c r="AL19">
        <f>+$AG$5*AG19</f>
        <v>0</v>
      </c>
      <c r="AM19">
        <f>+$AH$5*AH19</f>
        <v>9</v>
      </c>
      <c r="AN19">
        <f>+$AI$5*AI19</f>
        <v>38</v>
      </c>
      <c r="AO19">
        <f>+$AJ$5*AJ19</f>
        <v>4</v>
      </c>
      <c r="AP19">
        <f>+SUM(AL19:AO19)</f>
        <v>51</v>
      </c>
    </row>
    <row r="20" spans="1:42" ht="14.4" hidden="1" x14ac:dyDescent="0.3">
      <c r="A20" s="16"/>
      <c r="B20" s="55">
        <v>14</v>
      </c>
      <c r="C20" s="56" t="s">
        <v>35</v>
      </c>
      <c r="D20" s="55">
        <v>1</v>
      </c>
      <c r="E20" s="55" t="s">
        <v>20</v>
      </c>
      <c r="F20" s="18" t="s">
        <v>21</v>
      </c>
      <c r="G20" s="18" t="s">
        <v>23</v>
      </c>
      <c r="H20" s="18" t="s">
        <v>21</v>
      </c>
      <c r="I20" s="18" t="s">
        <v>21</v>
      </c>
      <c r="J20" s="18" t="s">
        <v>21</v>
      </c>
      <c r="K20" s="18" t="s">
        <v>21</v>
      </c>
      <c r="L20" s="18" t="s">
        <v>21</v>
      </c>
      <c r="M20" s="19" t="s">
        <v>21</v>
      </c>
      <c r="N20" s="19" t="s">
        <v>21</v>
      </c>
      <c r="O20" s="19" t="s">
        <v>21</v>
      </c>
      <c r="P20" s="19" t="s">
        <v>21</v>
      </c>
      <c r="Q20" s="18" t="s">
        <v>21</v>
      </c>
      <c r="R20" s="18" t="s">
        <v>21</v>
      </c>
      <c r="S20" s="19" t="s">
        <v>23</v>
      </c>
      <c r="T20" s="18" t="s">
        <v>23</v>
      </c>
      <c r="U20" s="18" t="s">
        <v>21</v>
      </c>
      <c r="V20" s="18" t="s">
        <v>20</v>
      </c>
      <c r="W20" s="18" t="s">
        <v>21</v>
      </c>
      <c r="X20" s="18" t="s">
        <v>20</v>
      </c>
      <c r="Y20" s="19" t="s">
        <v>21</v>
      </c>
      <c r="Z20" s="19" t="s">
        <v>20</v>
      </c>
      <c r="AA20" s="20" t="s">
        <v>21</v>
      </c>
      <c r="AB20" s="20" t="s">
        <v>23</v>
      </c>
      <c r="AC20" s="20" t="s">
        <v>23</v>
      </c>
      <c r="AD20" s="19" t="s">
        <v>21</v>
      </c>
      <c r="AE20" s="19" t="s">
        <v>21</v>
      </c>
      <c r="AG20">
        <f>+COUNTIF(F20:AE20,"AD")</f>
        <v>0</v>
      </c>
      <c r="AH20">
        <f>+COUNTIF(F20:AE20,"A")</f>
        <v>3</v>
      </c>
      <c r="AI20">
        <f>+COUNTIF(F20:AE20,"b")</f>
        <v>18</v>
      </c>
      <c r="AJ20">
        <f>+COUNTIF(F20:AE20,"c")</f>
        <v>5</v>
      </c>
      <c r="AL20">
        <f>+$AG$5*AG20</f>
        <v>0</v>
      </c>
      <c r="AM20">
        <f>+$AH$5*AH20</f>
        <v>9</v>
      </c>
      <c r="AN20">
        <f>+$AI$5*AI20</f>
        <v>36</v>
      </c>
      <c r="AO20">
        <f>+$AJ$5*AJ20</f>
        <v>5</v>
      </c>
      <c r="AP20">
        <f>+SUM(AL20:AO20)</f>
        <v>50</v>
      </c>
    </row>
    <row r="21" spans="1:42" ht="14.4" hidden="1" x14ac:dyDescent="0.3">
      <c r="A21" s="16"/>
      <c r="B21" s="55">
        <v>8</v>
      </c>
      <c r="C21" s="56" t="s">
        <v>29</v>
      </c>
      <c r="D21" s="55">
        <v>1</v>
      </c>
      <c r="E21" s="55" t="s">
        <v>20</v>
      </c>
      <c r="F21" s="18" t="s">
        <v>21</v>
      </c>
      <c r="G21" s="18" t="s">
        <v>23</v>
      </c>
      <c r="H21" s="18" t="s">
        <v>21</v>
      </c>
      <c r="I21" s="18" t="s">
        <v>21</v>
      </c>
      <c r="J21" s="18" t="s">
        <v>21</v>
      </c>
      <c r="K21" s="18" t="s">
        <v>21</v>
      </c>
      <c r="L21" s="18" t="s">
        <v>21</v>
      </c>
      <c r="M21" s="19" t="s">
        <v>21</v>
      </c>
      <c r="N21" s="19" t="s">
        <v>21</v>
      </c>
      <c r="O21" s="19" t="s">
        <v>21</v>
      </c>
      <c r="P21" s="19" t="s">
        <v>21</v>
      </c>
      <c r="Q21" s="18" t="s">
        <v>21</v>
      </c>
      <c r="R21" s="18" t="s">
        <v>21</v>
      </c>
      <c r="S21" s="19" t="s">
        <v>23</v>
      </c>
      <c r="T21" s="18" t="s">
        <v>21</v>
      </c>
      <c r="U21" s="18" t="s">
        <v>21</v>
      </c>
      <c r="V21" s="18" t="s">
        <v>20</v>
      </c>
      <c r="W21" s="18" t="s">
        <v>21</v>
      </c>
      <c r="X21" s="18" t="s">
        <v>20</v>
      </c>
      <c r="Y21" s="19" t="s">
        <v>21</v>
      </c>
      <c r="Z21" s="19" t="s">
        <v>21</v>
      </c>
      <c r="AA21" s="20" t="s">
        <v>21</v>
      </c>
      <c r="AB21" s="20" t="s">
        <v>23</v>
      </c>
      <c r="AC21" s="20" t="s">
        <v>23</v>
      </c>
      <c r="AD21" s="19" t="s">
        <v>23</v>
      </c>
      <c r="AE21" s="19" t="s">
        <v>21</v>
      </c>
      <c r="AG21">
        <f>+COUNTIF(F21:AE21,"AD")</f>
        <v>0</v>
      </c>
      <c r="AH21">
        <f>+COUNTIF(F21:AE21,"A")</f>
        <v>2</v>
      </c>
      <c r="AI21">
        <f>+COUNTIF(F21:AE21,"b")</f>
        <v>19</v>
      </c>
      <c r="AJ21">
        <f>+COUNTIF(F21:AE21,"c")</f>
        <v>5</v>
      </c>
      <c r="AL21">
        <f>+$AG$5*AG21</f>
        <v>0</v>
      </c>
      <c r="AM21">
        <f>+$AH$5*AH21</f>
        <v>6</v>
      </c>
      <c r="AN21">
        <f>+$AI$5*AI21</f>
        <v>38</v>
      </c>
      <c r="AO21">
        <f>+$AJ$5*AJ21</f>
        <v>5</v>
      </c>
      <c r="AP21">
        <f>+SUM(AL21:AO21)</f>
        <v>49</v>
      </c>
    </row>
    <row r="22" spans="1:42" ht="15.75" hidden="1" customHeight="1" x14ac:dyDescent="0.3">
      <c r="A22" s="16"/>
      <c r="B22" s="55">
        <v>12</v>
      </c>
      <c r="C22" s="56" t="s">
        <v>33</v>
      </c>
      <c r="D22" s="55">
        <v>1</v>
      </c>
      <c r="E22" s="55" t="s">
        <v>20</v>
      </c>
      <c r="F22" s="18" t="s">
        <v>21</v>
      </c>
      <c r="G22" s="18" t="s">
        <v>21</v>
      </c>
      <c r="H22" s="18" t="s">
        <v>21</v>
      </c>
      <c r="I22" s="18" t="s">
        <v>23</v>
      </c>
      <c r="J22" s="18" t="s">
        <v>21</v>
      </c>
      <c r="K22" s="18" t="s">
        <v>21</v>
      </c>
      <c r="L22" s="18" t="s">
        <v>21</v>
      </c>
      <c r="M22" s="19" t="s">
        <v>21</v>
      </c>
      <c r="N22" s="19" t="s">
        <v>21</v>
      </c>
      <c r="O22" s="19" t="s">
        <v>21</v>
      </c>
      <c r="P22" s="19" t="s">
        <v>21</v>
      </c>
      <c r="Q22" s="18" t="s">
        <v>21</v>
      </c>
      <c r="R22" s="18" t="s">
        <v>21</v>
      </c>
      <c r="S22" s="19" t="s">
        <v>23</v>
      </c>
      <c r="T22" s="18" t="s">
        <v>23</v>
      </c>
      <c r="U22" s="18" t="s">
        <v>21</v>
      </c>
      <c r="V22" s="18" t="s">
        <v>21</v>
      </c>
      <c r="W22" s="18" t="s">
        <v>21</v>
      </c>
      <c r="X22" s="18" t="s">
        <v>20</v>
      </c>
      <c r="Y22" s="19" t="s">
        <v>20</v>
      </c>
      <c r="Z22" s="19" t="s">
        <v>20</v>
      </c>
      <c r="AA22" s="20" t="s">
        <v>23</v>
      </c>
      <c r="AB22" s="20" t="s">
        <v>23</v>
      </c>
      <c r="AC22" s="20" t="s">
        <v>23</v>
      </c>
      <c r="AD22" s="19" t="s">
        <v>23</v>
      </c>
      <c r="AE22" s="19" t="s">
        <v>21</v>
      </c>
      <c r="AG22">
        <f>+COUNTIF(F22:AE22,"AD")</f>
        <v>0</v>
      </c>
      <c r="AH22">
        <f>+COUNTIF(F22:AE22,"A")</f>
        <v>3</v>
      </c>
      <c r="AI22">
        <f>+COUNTIF(F22:AE22,"b")</f>
        <v>16</v>
      </c>
      <c r="AJ22">
        <f>+COUNTIF(F22:AE22,"c")</f>
        <v>7</v>
      </c>
      <c r="AL22">
        <f>+$AG$5*AG22</f>
        <v>0</v>
      </c>
      <c r="AM22">
        <f>+$AH$5*AH22</f>
        <v>9</v>
      </c>
      <c r="AN22">
        <f>+$AI$5*AI22</f>
        <v>32</v>
      </c>
      <c r="AO22">
        <f>+$AJ$5*AJ22</f>
        <v>7</v>
      </c>
      <c r="AP22">
        <f>+SUM(AL22:AO22)</f>
        <v>48</v>
      </c>
    </row>
    <row r="23" spans="1:42" ht="15.75" hidden="1" customHeight="1" thickBot="1" x14ac:dyDescent="0.35">
      <c r="A23" s="16"/>
      <c r="B23" s="57">
        <v>2</v>
      </c>
      <c r="C23" s="58" t="s">
        <v>22</v>
      </c>
      <c r="D23" s="57">
        <v>1</v>
      </c>
      <c r="E23" s="57" t="s">
        <v>20</v>
      </c>
      <c r="F23" s="21" t="s">
        <v>21</v>
      </c>
      <c r="G23" s="21" t="s">
        <v>23</v>
      </c>
      <c r="H23" s="21" t="s">
        <v>21</v>
      </c>
      <c r="I23" s="21" t="s">
        <v>21</v>
      </c>
      <c r="J23" s="21" t="s">
        <v>21</v>
      </c>
      <c r="K23" s="21" t="s">
        <v>21</v>
      </c>
      <c r="L23" s="21" t="s">
        <v>21</v>
      </c>
      <c r="M23" s="22" t="s">
        <v>21</v>
      </c>
      <c r="N23" s="22" t="s">
        <v>21</v>
      </c>
      <c r="O23" s="22" t="s">
        <v>23</v>
      </c>
      <c r="P23" s="22" t="s">
        <v>21</v>
      </c>
      <c r="Q23" s="21" t="s">
        <v>21</v>
      </c>
      <c r="R23" s="21" t="s">
        <v>21</v>
      </c>
      <c r="S23" s="22" t="s">
        <v>23</v>
      </c>
      <c r="T23" s="21" t="s">
        <v>23</v>
      </c>
      <c r="U23" s="21" t="s">
        <v>21</v>
      </c>
      <c r="V23" s="21" t="s">
        <v>21</v>
      </c>
      <c r="W23" s="21" t="s">
        <v>21</v>
      </c>
      <c r="X23" s="21" t="s">
        <v>20</v>
      </c>
      <c r="Y23" s="22" t="s">
        <v>21</v>
      </c>
      <c r="Z23" s="22" t="s">
        <v>20</v>
      </c>
      <c r="AA23" s="23" t="s">
        <v>23</v>
      </c>
      <c r="AB23" s="23" t="s">
        <v>23</v>
      </c>
      <c r="AC23" s="23" t="s">
        <v>23</v>
      </c>
      <c r="AD23" s="22" t="s">
        <v>23</v>
      </c>
      <c r="AE23" s="22" t="s">
        <v>21</v>
      </c>
      <c r="AG23">
        <f>+COUNTIF(F23:AE23,"AD")</f>
        <v>0</v>
      </c>
      <c r="AH23">
        <f>+COUNTIF(F23:AE23,"A")</f>
        <v>2</v>
      </c>
      <c r="AI23">
        <f>+COUNTIF(F23:AE23,"b")</f>
        <v>16</v>
      </c>
      <c r="AJ23">
        <f>+COUNTIF(F23:AE23,"c")</f>
        <v>8</v>
      </c>
      <c r="AL23">
        <f>+$AG$5*AG23</f>
        <v>0</v>
      </c>
      <c r="AM23">
        <f>+$AH$5*AH23</f>
        <v>6</v>
      </c>
      <c r="AN23">
        <f>+$AI$5*AI23</f>
        <v>32</v>
      </c>
      <c r="AO23">
        <f>+$AJ$5*AJ23</f>
        <v>8</v>
      </c>
      <c r="AP23">
        <f>+SUM(AL23:AO23)</f>
        <v>46</v>
      </c>
    </row>
    <row r="24" spans="1:42" ht="15.75" hidden="1" customHeight="1" x14ac:dyDescent="0.3">
      <c r="A24" s="16"/>
      <c r="B24" s="59">
        <v>1</v>
      </c>
      <c r="C24" s="60" t="s">
        <v>41</v>
      </c>
      <c r="D24" s="59">
        <v>1</v>
      </c>
      <c r="E24" s="59" t="s">
        <v>21</v>
      </c>
      <c r="F24" s="24" t="s">
        <v>39</v>
      </c>
      <c r="G24" s="24" t="s">
        <v>20</v>
      </c>
      <c r="H24" s="24" t="s">
        <v>20</v>
      </c>
      <c r="I24" s="24" t="s">
        <v>20</v>
      </c>
      <c r="J24" s="24" t="s">
        <v>20</v>
      </c>
      <c r="K24" s="24" t="s">
        <v>20</v>
      </c>
      <c r="L24" s="24" t="s">
        <v>20</v>
      </c>
      <c r="M24" s="25" t="s">
        <v>20</v>
      </c>
      <c r="N24" s="25" t="s">
        <v>20</v>
      </c>
      <c r="O24" s="25" t="s">
        <v>20</v>
      </c>
      <c r="P24" s="25" t="s">
        <v>20</v>
      </c>
      <c r="Q24" s="24" t="s">
        <v>20</v>
      </c>
      <c r="R24" s="24" t="s">
        <v>20</v>
      </c>
      <c r="S24" s="25" t="s">
        <v>20</v>
      </c>
      <c r="T24" s="24" t="s">
        <v>20</v>
      </c>
      <c r="U24" s="24" t="s">
        <v>20</v>
      </c>
      <c r="V24" s="24" t="s">
        <v>20</v>
      </c>
      <c r="W24" s="24" t="s">
        <v>20</v>
      </c>
      <c r="X24" s="24" t="s">
        <v>20</v>
      </c>
      <c r="Y24" s="25" t="s">
        <v>20</v>
      </c>
      <c r="Z24" s="25" t="s">
        <v>20</v>
      </c>
      <c r="AA24" s="26" t="s">
        <v>20</v>
      </c>
      <c r="AB24" s="26" t="s">
        <v>20</v>
      </c>
      <c r="AC24" s="27" t="s">
        <v>20</v>
      </c>
      <c r="AD24" s="25" t="s">
        <v>20</v>
      </c>
      <c r="AE24" s="25" t="s">
        <v>21</v>
      </c>
      <c r="AG24">
        <f t="shared" ref="AG24:AG87" si="0">+COUNTIF(F24:AE24,"AD")</f>
        <v>1</v>
      </c>
      <c r="AH24">
        <f t="shared" ref="AH24:AH87" si="1">+COUNTIF(F24:AE24,"A")</f>
        <v>24</v>
      </c>
      <c r="AI24">
        <f t="shared" ref="AI24:AI87" si="2">+COUNTIF(F24:AE24,"b")</f>
        <v>1</v>
      </c>
      <c r="AJ24">
        <f t="shared" ref="AJ24:AJ87" si="3">+COUNTIF(F24:AE24,"c")</f>
        <v>0</v>
      </c>
      <c r="AL24">
        <f t="shared" ref="AL24:AL87" si="4">+$AG$5*AG24</f>
        <v>4</v>
      </c>
      <c r="AM24">
        <f t="shared" ref="AM24:AM87" si="5">+$AH$5*AH24</f>
        <v>72</v>
      </c>
      <c r="AN24">
        <f t="shared" ref="AN24:AN87" si="6">+$AI$5*AI24</f>
        <v>2</v>
      </c>
      <c r="AO24">
        <f t="shared" ref="AO24:AO87" si="7">+$AJ$5*AJ24</f>
        <v>0</v>
      </c>
      <c r="AP24">
        <f t="shared" ref="AP24:AP43" si="8">+SUM(AL24:AO24)</f>
        <v>78</v>
      </c>
    </row>
    <row r="25" spans="1:42" ht="15.75" hidden="1" customHeight="1" x14ac:dyDescent="0.3">
      <c r="A25" s="16"/>
      <c r="B25" s="55">
        <v>2</v>
      </c>
      <c r="C25" s="56" t="s">
        <v>42</v>
      </c>
      <c r="D25" s="55">
        <v>1</v>
      </c>
      <c r="E25" s="55" t="s">
        <v>21</v>
      </c>
      <c r="F25" s="18" t="s">
        <v>21</v>
      </c>
      <c r="G25" s="18" t="s">
        <v>21</v>
      </c>
      <c r="H25" s="18" t="s">
        <v>21</v>
      </c>
      <c r="I25" s="18" t="s">
        <v>21</v>
      </c>
      <c r="J25" s="18" t="s">
        <v>20</v>
      </c>
      <c r="K25" s="18" t="s">
        <v>21</v>
      </c>
      <c r="L25" s="18" t="s">
        <v>21</v>
      </c>
      <c r="M25" s="19" t="s">
        <v>20</v>
      </c>
      <c r="N25" s="19" t="s">
        <v>20</v>
      </c>
      <c r="O25" s="19" t="s">
        <v>20</v>
      </c>
      <c r="P25" s="19" t="s">
        <v>20</v>
      </c>
      <c r="Q25" s="18" t="s">
        <v>20</v>
      </c>
      <c r="R25" s="18" t="s">
        <v>21</v>
      </c>
      <c r="S25" s="19" t="s">
        <v>20</v>
      </c>
      <c r="T25" s="18" t="s">
        <v>20</v>
      </c>
      <c r="U25" s="18" t="s">
        <v>21</v>
      </c>
      <c r="V25" s="18" t="s">
        <v>20</v>
      </c>
      <c r="W25" s="18" t="s">
        <v>20</v>
      </c>
      <c r="X25" s="18" t="s">
        <v>20</v>
      </c>
      <c r="Y25" s="19" t="s">
        <v>20</v>
      </c>
      <c r="Z25" s="19" t="s">
        <v>20</v>
      </c>
      <c r="AA25" s="28" t="s">
        <v>20</v>
      </c>
      <c r="AB25" s="28" t="s">
        <v>21</v>
      </c>
      <c r="AC25" s="20" t="s">
        <v>20</v>
      </c>
      <c r="AD25" s="19" t="s">
        <v>20</v>
      </c>
      <c r="AE25" s="19" t="s">
        <v>21</v>
      </c>
      <c r="AG25">
        <f t="shared" si="0"/>
        <v>0</v>
      </c>
      <c r="AH25">
        <f t="shared" si="1"/>
        <v>16</v>
      </c>
      <c r="AI25">
        <f t="shared" si="2"/>
        <v>10</v>
      </c>
      <c r="AJ25">
        <f t="shared" si="3"/>
        <v>0</v>
      </c>
      <c r="AL25">
        <f t="shared" si="4"/>
        <v>0</v>
      </c>
      <c r="AM25">
        <f t="shared" si="5"/>
        <v>48</v>
      </c>
      <c r="AN25">
        <f t="shared" si="6"/>
        <v>20</v>
      </c>
      <c r="AO25">
        <f t="shared" si="7"/>
        <v>0</v>
      </c>
      <c r="AP25">
        <f t="shared" si="8"/>
        <v>68</v>
      </c>
    </row>
    <row r="26" spans="1:42" ht="15.75" hidden="1" customHeight="1" x14ac:dyDescent="0.3">
      <c r="A26" s="16"/>
      <c r="B26" s="55">
        <v>3</v>
      </c>
      <c r="C26" s="56" t="s">
        <v>43</v>
      </c>
      <c r="D26" s="55">
        <v>1</v>
      </c>
      <c r="E26" s="55" t="s">
        <v>21</v>
      </c>
      <c r="F26" s="18" t="s">
        <v>21</v>
      </c>
      <c r="G26" s="18" t="s">
        <v>20</v>
      </c>
      <c r="H26" s="18" t="s">
        <v>21</v>
      </c>
      <c r="I26" s="18" t="s">
        <v>21</v>
      </c>
      <c r="J26" s="18" t="s">
        <v>21</v>
      </c>
      <c r="K26" s="18" t="s">
        <v>20</v>
      </c>
      <c r="L26" s="18" t="s">
        <v>21</v>
      </c>
      <c r="M26" s="19" t="s">
        <v>20</v>
      </c>
      <c r="N26" s="19" t="s">
        <v>20</v>
      </c>
      <c r="O26" s="19" t="s">
        <v>20</v>
      </c>
      <c r="P26" s="19" t="s">
        <v>20</v>
      </c>
      <c r="Q26" s="18" t="s">
        <v>21</v>
      </c>
      <c r="R26" s="18" t="s">
        <v>21</v>
      </c>
      <c r="S26" s="19" t="s">
        <v>20</v>
      </c>
      <c r="T26" s="18" t="s">
        <v>20</v>
      </c>
      <c r="U26" s="18" t="s">
        <v>21</v>
      </c>
      <c r="V26" s="18" t="s">
        <v>20</v>
      </c>
      <c r="W26" s="18" t="s">
        <v>20</v>
      </c>
      <c r="X26" s="18" t="s">
        <v>20</v>
      </c>
      <c r="Y26" s="19" t="s">
        <v>20</v>
      </c>
      <c r="Z26" s="19" t="s">
        <v>20</v>
      </c>
      <c r="AA26" s="28" t="s">
        <v>20</v>
      </c>
      <c r="AB26" s="28" t="s">
        <v>21</v>
      </c>
      <c r="AC26" s="20" t="s">
        <v>21</v>
      </c>
      <c r="AD26" s="19" t="s">
        <v>20</v>
      </c>
      <c r="AE26" s="19" t="s">
        <v>21</v>
      </c>
      <c r="AG26">
        <f t="shared" si="0"/>
        <v>0</v>
      </c>
      <c r="AH26">
        <f t="shared" si="1"/>
        <v>15</v>
      </c>
      <c r="AI26">
        <f t="shared" si="2"/>
        <v>11</v>
      </c>
      <c r="AJ26">
        <f t="shared" si="3"/>
        <v>0</v>
      </c>
      <c r="AL26">
        <f t="shared" si="4"/>
        <v>0</v>
      </c>
      <c r="AM26">
        <f t="shared" si="5"/>
        <v>45</v>
      </c>
      <c r="AN26">
        <f t="shared" si="6"/>
        <v>22</v>
      </c>
      <c r="AO26">
        <f t="shared" si="7"/>
        <v>0</v>
      </c>
      <c r="AP26">
        <f t="shared" si="8"/>
        <v>67</v>
      </c>
    </row>
    <row r="27" spans="1:42" ht="15.75" hidden="1" customHeight="1" x14ac:dyDescent="0.3">
      <c r="A27" s="16"/>
      <c r="B27" s="55">
        <v>4</v>
      </c>
      <c r="C27" s="56" t="s">
        <v>44</v>
      </c>
      <c r="D27" s="55">
        <v>1</v>
      </c>
      <c r="E27" s="55" t="s">
        <v>21</v>
      </c>
      <c r="F27" s="18" t="s">
        <v>20</v>
      </c>
      <c r="G27" s="18" t="s">
        <v>20</v>
      </c>
      <c r="H27" s="18" t="s">
        <v>20</v>
      </c>
      <c r="I27" s="18" t="s">
        <v>20</v>
      </c>
      <c r="J27" s="18" t="s">
        <v>21</v>
      </c>
      <c r="K27" s="18" t="s">
        <v>21</v>
      </c>
      <c r="L27" s="18" t="s">
        <v>21</v>
      </c>
      <c r="M27" s="18" t="s">
        <v>21</v>
      </c>
      <c r="N27" s="18" t="s">
        <v>20</v>
      </c>
      <c r="O27" s="18" t="s">
        <v>20</v>
      </c>
      <c r="P27" s="18" t="s">
        <v>21</v>
      </c>
      <c r="Q27" s="18" t="s">
        <v>21</v>
      </c>
      <c r="R27" s="18" t="s">
        <v>21</v>
      </c>
      <c r="S27" s="18" t="s">
        <v>20</v>
      </c>
      <c r="T27" s="18" t="s">
        <v>20</v>
      </c>
      <c r="U27" s="18" t="s">
        <v>21</v>
      </c>
      <c r="V27" s="18" t="s">
        <v>20</v>
      </c>
      <c r="W27" s="18" t="s">
        <v>20</v>
      </c>
      <c r="X27" s="18" t="s">
        <v>20</v>
      </c>
      <c r="Y27" s="19" t="s">
        <v>21</v>
      </c>
      <c r="Z27" s="18" t="s">
        <v>20</v>
      </c>
      <c r="AA27" s="28" t="s">
        <v>21</v>
      </c>
      <c r="AB27" s="28" t="s">
        <v>21</v>
      </c>
      <c r="AC27" s="20" t="s">
        <v>21</v>
      </c>
      <c r="AD27" s="29" t="s">
        <v>21</v>
      </c>
      <c r="AE27" s="29" t="s">
        <v>21</v>
      </c>
      <c r="AG27">
        <f t="shared" si="0"/>
        <v>0</v>
      </c>
      <c r="AH27">
        <f t="shared" si="1"/>
        <v>12</v>
      </c>
      <c r="AI27">
        <f t="shared" si="2"/>
        <v>14</v>
      </c>
      <c r="AJ27">
        <f t="shared" si="3"/>
        <v>0</v>
      </c>
      <c r="AL27">
        <f t="shared" si="4"/>
        <v>0</v>
      </c>
      <c r="AM27">
        <f t="shared" si="5"/>
        <v>36</v>
      </c>
      <c r="AN27">
        <f t="shared" si="6"/>
        <v>28</v>
      </c>
      <c r="AO27">
        <f t="shared" si="7"/>
        <v>0</v>
      </c>
      <c r="AP27">
        <f t="shared" si="8"/>
        <v>64</v>
      </c>
    </row>
    <row r="28" spans="1:42" ht="15.75" hidden="1" customHeight="1" x14ac:dyDescent="0.3">
      <c r="A28" s="16"/>
      <c r="B28" s="55">
        <v>5</v>
      </c>
      <c r="C28" s="56" t="s">
        <v>45</v>
      </c>
      <c r="D28" s="55">
        <v>1</v>
      </c>
      <c r="E28" s="55" t="s">
        <v>21</v>
      </c>
      <c r="F28" s="18" t="s">
        <v>21</v>
      </c>
      <c r="G28" s="18" t="s">
        <v>21</v>
      </c>
      <c r="H28" s="18" t="s">
        <v>20</v>
      </c>
      <c r="I28" s="18" t="s">
        <v>21</v>
      </c>
      <c r="J28" s="18" t="s">
        <v>21</v>
      </c>
      <c r="K28" s="18" t="s">
        <v>21</v>
      </c>
      <c r="L28" s="18" t="s">
        <v>21</v>
      </c>
      <c r="M28" s="18" t="s">
        <v>20</v>
      </c>
      <c r="N28" s="18" t="s">
        <v>21</v>
      </c>
      <c r="O28" s="18" t="s">
        <v>20</v>
      </c>
      <c r="P28" s="18" t="s">
        <v>21</v>
      </c>
      <c r="Q28" s="18" t="s">
        <v>21</v>
      </c>
      <c r="R28" s="18" t="s">
        <v>21</v>
      </c>
      <c r="S28" s="18" t="s">
        <v>20</v>
      </c>
      <c r="T28" s="18" t="s">
        <v>20</v>
      </c>
      <c r="U28" s="18" t="s">
        <v>21</v>
      </c>
      <c r="V28" s="18" t="s">
        <v>20</v>
      </c>
      <c r="W28" s="18" t="s">
        <v>20</v>
      </c>
      <c r="X28" s="18" t="s">
        <v>20</v>
      </c>
      <c r="Y28" s="19" t="s">
        <v>21</v>
      </c>
      <c r="Z28" s="18" t="s">
        <v>20</v>
      </c>
      <c r="AA28" s="28" t="s">
        <v>20</v>
      </c>
      <c r="AB28" s="28" t="s">
        <v>20</v>
      </c>
      <c r="AC28" s="20" t="s">
        <v>21</v>
      </c>
      <c r="AD28" s="29" t="s">
        <v>21</v>
      </c>
      <c r="AE28" s="29" t="s">
        <v>21</v>
      </c>
      <c r="AG28">
        <f t="shared" si="0"/>
        <v>0</v>
      </c>
      <c r="AH28">
        <f t="shared" si="1"/>
        <v>11</v>
      </c>
      <c r="AI28">
        <f t="shared" si="2"/>
        <v>15</v>
      </c>
      <c r="AJ28">
        <f t="shared" si="3"/>
        <v>0</v>
      </c>
      <c r="AL28">
        <f t="shared" si="4"/>
        <v>0</v>
      </c>
      <c r="AM28">
        <f t="shared" si="5"/>
        <v>33</v>
      </c>
      <c r="AN28">
        <f t="shared" si="6"/>
        <v>30</v>
      </c>
      <c r="AO28">
        <f t="shared" si="7"/>
        <v>0</v>
      </c>
      <c r="AP28">
        <f t="shared" si="8"/>
        <v>63</v>
      </c>
    </row>
    <row r="29" spans="1:42" ht="15.75" hidden="1" customHeight="1" x14ac:dyDescent="0.3">
      <c r="A29" s="16"/>
      <c r="B29" s="55">
        <v>6</v>
      </c>
      <c r="C29" s="56" t="s">
        <v>46</v>
      </c>
      <c r="D29" s="55">
        <v>1</v>
      </c>
      <c r="E29" s="55" t="s">
        <v>21</v>
      </c>
      <c r="F29" s="18" t="s">
        <v>20</v>
      </c>
      <c r="G29" s="18" t="s">
        <v>20</v>
      </c>
      <c r="H29" s="18" t="s">
        <v>21</v>
      </c>
      <c r="I29" s="18" t="s">
        <v>20</v>
      </c>
      <c r="J29" s="18" t="s">
        <v>21</v>
      </c>
      <c r="K29" s="18" t="s">
        <v>20</v>
      </c>
      <c r="L29" s="18" t="s">
        <v>21</v>
      </c>
      <c r="M29" s="18" t="s">
        <v>20</v>
      </c>
      <c r="N29" s="18" t="s">
        <v>21</v>
      </c>
      <c r="O29" s="18" t="s">
        <v>20</v>
      </c>
      <c r="P29" s="18" t="s">
        <v>21</v>
      </c>
      <c r="Q29" s="18" t="s">
        <v>21</v>
      </c>
      <c r="R29" s="18" t="s">
        <v>21</v>
      </c>
      <c r="S29" s="18" t="s">
        <v>21</v>
      </c>
      <c r="T29" s="18" t="s">
        <v>20</v>
      </c>
      <c r="U29" s="18" t="s">
        <v>21</v>
      </c>
      <c r="V29" s="18" t="s">
        <v>20</v>
      </c>
      <c r="W29" s="18" t="s">
        <v>20</v>
      </c>
      <c r="X29" s="18" t="s">
        <v>20</v>
      </c>
      <c r="Y29" s="19" t="s">
        <v>20</v>
      </c>
      <c r="Z29" s="18" t="s">
        <v>20</v>
      </c>
      <c r="AA29" s="28" t="s">
        <v>20</v>
      </c>
      <c r="AB29" s="28" t="s">
        <v>20</v>
      </c>
      <c r="AC29" s="20" t="s">
        <v>20</v>
      </c>
      <c r="AD29" s="29" t="s">
        <v>21</v>
      </c>
      <c r="AE29" s="29" t="s">
        <v>21</v>
      </c>
      <c r="AG29">
        <f t="shared" si="0"/>
        <v>0</v>
      </c>
      <c r="AH29">
        <f t="shared" si="1"/>
        <v>15</v>
      </c>
      <c r="AI29">
        <f t="shared" si="2"/>
        <v>11</v>
      </c>
      <c r="AJ29">
        <f t="shared" si="3"/>
        <v>0</v>
      </c>
      <c r="AL29">
        <f t="shared" si="4"/>
        <v>0</v>
      </c>
      <c r="AM29">
        <f t="shared" si="5"/>
        <v>45</v>
      </c>
      <c r="AN29">
        <f t="shared" si="6"/>
        <v>22</v>
      </c>
      <c r="AO29">
        <f t="shared" si="7"/>
        <v>0</v>
      </c>
      <c r="AP29">
        <f t="shared" si="8"/>
        <v>67</v>
      </c>
    </row>
    <row r="30" spans="1:42" ht="15.75" hidden="1" customHeight="1" x14ac:dyDescent="0.3">
      <c r="A30" s="16"/>
      <c r="B30" s="55">
        <v>7</v>
      </c>
      <c r="C30" s="56" t="s">
        <v>47</v>
      </c>
      <c r="D30" s="55">
        <v>1</v>
      </c>
      <c r="E30" s="55" t="s">
        <v>21</v>
      </c>
      <c r="F30" s="18" t="s">
        <v>21</v>
      </c>
      <c r="G30" s="18" t="s">
        <v>21</v>
      </c>
      <c r="H30" s="18" t="s">
        <v>20</v>
      </c>
      <c r="I30" s="18" t="s">
        <v>21</v>
      </c>
      <c r="J30" s="18" t="s">
        <v>20</v>
      </c>
      <c r="K30" s="18" t="s">
        <v>20</v>
      </c>
      <c r="L30" s="18" t="s">
        <v>21</v>
      </c>
      <c r="M30" s="18" t="s">
        <v>20</v>
      </c>
      <c r="N30" s="18" t="s">
        <v>21</v>
      </c>
      <c r="O30" s="18" t="s">
        <v>20</v>
      </c>
      <c r="P30" s="18" t="s">
        <v>20</v>
      </c>
      <c r="Q30" s="18" t="s">
        <v>21</v>
      </c>
      <c r="R30" s="18" t="s">
        <v>20</v>
      </c>
      <c r="S30" s="18" t="s">
        <v>20</v>
      </c>
      <c r="T30" s="18" t="s">
        <v>20</v>
      </c>
      <c r="U30" s="18" t="s">
        <v>21</v>
      </c>
      <c r="V30" s="18" t="s">
        <v>20</v>
      </c>
      <c r="W30" s="18" t="s">
        <v>20</v>
      </c>
      <c r="X30" s="18" t="s">
        <v>21</v>
      </c>
      <c r="Y30" s="19" t="s">
        <v>20</v>
      </c>
      <c r="Z30" s="18" t="s">
        <v>20</v>
      </c>
      <c r="AA30" s="28" t="s">
        <v>20</v>
      </c>
      <c r="AB30" s="28" t="s">
        <v>20</v>
      </c>
      <c r="AC30" s="20" t="s">
        <v>20</v>
      </c>
      <c r="AD30" s="29" t="s">
        <v>21</v>
      </c>
      <c r="AE30" s="29" t="s">
        <v>21</v>
      </c>
      <c r="AG30">
        <f t="shared" si="0"/>
        <v>0</v>
      </c>
      <c r="AH30">
        <f t="shared" si="1"/>
        <v>16</v>
      </c>
      <c r="AI30">
        <f t="shared" si="2"/>
        <v>10</v>
      </c>
      <c r="AJ30">
        <f t="shared" si="3"/>
        <v>0</v>
      </c>
      <c r="AL30">
        <f t="shared" si="4"/>
        <v>0</v>
      </c>
      <c r="AM30">
        <f t="shared" si="5"/>
        <v>48</v>
      </c>
      <c r="AN30">
        <f t="shared" si="6"/>
        <v>20</v>
      </c>
      <c r="AO30">
        <f t="shared" si="7"/>
        <v>0</v>
      </c>
      <c r="AP30">
        <f t="shared" si="8"/>
        <v>68</v>
      </c>
    </row>
    <row r="31" spans="1:42" ht="15.75" hidden="1" customHeight="1" x14ac:dyDescent="0.3">
      <c r="A31" s="16"/>
      <c r="B31" s="55">
        <v>8</v>
      </c>
      <c r="C31" s="56" t="s">
        <v>48</v>
      </c>
      <c r="D31" s="55">
        <v>1</v>
      </c>
      <c r="E31" s="55" t="s">
        <v>21</v>
      </c>
      <c r="F31" s="18" t="s">
        <v>20</v>
      </c>
      <c r="G31" s="18" t="s">
        <v>21</v>
      </c>
      <c r="H31" s="18" t="s">
        <v>21</v>
      </c>
      <c r="I31" s="18" t="s">
        <v>21</v>
      </c>
      <c r="J31" s="18" t="s">
        <v>20</v>
      </c>
      <c r="K31" s="18" t="s">
        <v>21</v>
      </c>
      <c r="L31" s="18" t="s">
        <v>21</v>
      </c>
      <c r="M31" s="18" t="s">
        <v>20</v>
      </c>
      <c r="N31" s="18" t="s">
        <v>21</v>
      </c>
      <c r="O31" s="18" t="s">
        <v>21</v>
      </c>
      <c r="P31" s="18" t="s">
        <v>21</v>
      </c>
      <c r="Q31" s="18" t="s">
        <v>21</v>
      </c>
      <c r="R31" s="18" t="s">
        <v>21</v>
      </c>
      <c r="S31" s="18" t="s">
        <v>20</v>
      </c>
      <c r="T31" s="18" t="s">
        <v>20</v>
      </c>
      <c r="U31" s="18" t="s">
        <v>20</v>
      </c>
      <c r="V31" s="18" t="s">
        <v>21</v>
      </c>
      <c r="W31" s="18" t="s">
        <v>20</v>
      </c>
      <c r="X31" s="18" t="s">
        <v>21</v>
      </c>
      <c r="Y31" s="19" t="s">
        <v>21</v>
      </c>
      <c r="Z31" s="18" t="s">
        <v>20</v>
      </c>
      <c r="AA31" s="28" t="s">
        <v>20</v>
      </c>
      <c r="AB31" s="28" t="s">
        <v>20</v>
      </c>
      <c r="AC31" s="20" t="s">
        <v>20</v>
      </c>
      <c r="AD31" s="29" t="s">
        <v>20</v>
      </c>
      <c r="AE31" s="29" t="s">
        <v>21</v>
      </c>
      <c r="AG31">
        <f t="shared" si="0"/>
        <v>0</v>
      </c>
      <c r="AH31">
        <f t="shared" si="1"/>
        <v>12</v>
      </c>
      <c r="AI31">
        <f t="shared" si="2"/>
        <v>14</v>
      </c>
      <c r="AJ31">
        <f t="shared" si="3"/>
        <v>0</v>
      </c>
      <c r="AL31">
        <f t="shared" si="4"/>
        <v>0</v>
      </c>
      <c r="AM31">
        <f t="shared" si="5"/>
        <v>36</v>
      </c>
      <c r="AN31">
        <f t="shared" si="6"/>
        <v>28</v>
      </c>
      <c r="AO31">
        <f t="shared" si="7"/>
        <v>0</v>
      </c>
      <c r="AP31">
        <f t="shared" si="8"/>
        <v>64</v>
      </c>
    </row>
    <row r="32" spans="1:42" ht="15.75" hidden="1" customHeight="1" x14ac:dyDescent="0.3">
      <c r="A32" s="16"/>
      <c r="B32" s="55">
        <v>9</v>
      </c>
      <c r="C32" s="56" t="s">
        <v>49</v>
      </c>
      <c r="D32" s="55">
        <v>1</v>
      </c>
      <c r="E32" s="55" t="s">
        <v>21</v>
      </c>
      <c r="F32" s="18" t="s">
        <v>20</v>
      </c>
      <c r="G32" s="18" t="s">
        <v>21</v>
      </c>
      <c r="H32" s="18" t="s">
        <v>21</v>
      </c>
      <c r="I32" s="18" t="s">
        <v>21</v>
      </c>
      <c r="J32" s="18" t="s">
        <v>21</v>
      </c>
      <c r="K32" s="18" t="s">
        <v>21</v>
      </c>
      <c r="L32" s="18" t="s">
        <v>20</v>
      </c>
      <c r="M32" s="18" t="s">
        <v>20</v>
      </c>
      <c r="N32" s="18" t="s">
        <v>20</v>
      </c>
      <c r="O32" s="18" t="s">
        <v>20</v>
      </c>
      <c r="P32" s="18" t="s">
        <v>20</v>
      </c>
      <c r="Q32" s="18" t="s">
        <v>20</v>
      </c>
      <c r="R32" s="18" t="s">
        <v>20</v>
      </c>
      <c r="S32" s="18" t="s">
        <v>20</v>
      </c>
      <c r="T32" s="18" t="s">
        <v>20</v>
      </c>
      <c r="U32" s="18" t="s">
        <v>21</v>
      </c>
      <c r="V32" s="18" t="s">
        <v>20</v>
      </c>
      <c r="W32" s="18" t="s">
        <v>20</v>
      </c>
      <c r="X32" s="18" t="s">
        <v>20</v>
      </c>
      <c r="Y32" s="19" t="s">
        <v>20</v>
      </c>
      <c r="Z32" s="18" t="s">
        <v>20</v>
      </c>
      <c r="AA32" s="28" t="s">
        <v>21</v>
      </c>
      <c r="AB32" s="28" t="s">
        <v>21</v>
      </c>
      <c r="AC32" s="20" t="s">
        <v>21</v>
      </c>
      <c r="AD32" s="29" t="s">
        <v>21</v>
      </c>
      <c r="AE32" s="29" t="s">
        <v>21</v>
      </c>
      <c r="AG32">
        <f t="shared" si="0"/>
        <v>0</v>
      </c>
      <c r="AH32">
        <f t="shared" si="1"/>
        <v>15</v>
      </c>
      <c r="AI32">
        <f t="shared" si="2"/>
        <v>11</v>
      </c>
      <c r="AJ32">
        <f t="shared" si="3"/>
        <v>0</v>
      </c>
      <c r="AL32">
        <f t="shared" si="4"/>
        <v>0</v>
      </c>
      <c r="AM32">
        <f t="shared" si="5"/>
        <v>45</v>
      </c>
      <c r="AN32">
        <f t="shared" si="6"/>
        <v>22</v>
      </c>
      <c r="AO32">
        <f t="shared" si="7"/>
        <v>0</v>
      </c>
      <c r="AP32">
        <f t="shared" si="8"/>
        <v>67</v>
      </c>
    </row>
    <row r="33" spans="1:42" ht="15.75" hidden="1" customHeight="1" x14ac:dyDescent="0.3">
      <c r="A33" s="16"/>
      <c r="B33" s="55">
        <v>10</v>
      </c>
      <c r="C33" s="56" t="s">
        <v>50</v>
      </c>
      <c r="D33" s="55">
        <v>1</v>
      </c>
      <c r="E33" s="55" t="s">
        <v>21</v>
      </c>
      <c r="F33" s="18" t="s">
        <v>20</v>
      </c>
      <c r="G33" s="18" t="s">
        <v>21</v>
      </c>
      <c r="H33" s="18" t="s">
        <v>20</v>
      </c>
      <c r="I33" s="18" t="s">
        <v>21</v>
      </c>
      <c r="J33" s="18" t="s">
        <v>21</v>
      </c>
      <c r="K33" s="18" t="s">
        <v>21</v>
      </c>
      <c r="L33" s="18" t="s">
        <v>21</v>
      </c>
      <c r="M33" s="18" t="s">
        <v>20</v>
      </c>
      <c r="N33" s="18" t="s">
        <v>20</v>
      </c>
      <c r="O33" s="18" t="s">
        <v>20</v>
      </c>
      <c r="P33" s="18" t="s">
        <v>21</v>
      </c>
      <c r="Q33" s="18" t="s">
        <v>20</v>
      </c>
      <c r="R33" s="18" t="s">
        <v>21</v>
      </c>
      <c r="S33" s="18" t="s">
        <v>20</v>
      </c>
      <c r="T33" s="18" t="s">
        <v>20</v>
      </c>
      <c r="U33" s="18" t="s">
        <v>20</v>
      </c>
      <c r="V33" s="18" t="s">
        <v>20</v>
      </c>
      <c r="W33" s="18" t="s">
        <v>20</v>
      </c>
      <c r="X33" s="18" t="s">
        <v>20</v>
      </c>
      <c r="Y33" s="19" t="s">
        <v>20</v>
      </c>
      <c r="Z33" s="18" t="s">
        <v>20</v>
      </c>
      <c r="AA33" s="28" t="s">
        <v>21</v>
      </c>
      <c r="AB33" s="28" t="s">
        <v>21</v>
      </c>
      <c r="AC33" s="20" t="s">
        <v>20</v>
      </c>
      <c r="AD33" s="29" t="s">
        <v>20</v>
      </c>
      <c r="AE33" s="29" t="s">
        <v>21</v>
      </c>
      <c r="AG33">
        <f t="shared" si="0"/>
        <v>0</v>
      </c>
      <c r="AH33">
        <f t="shared" si="1"/>
        <v>16</v>
      </c>
      <c r="AI33">
        <f t="shared" si="2"/>
        <v>10</v>
      </c>
      <c r="AJ33">
        <f t="shared" si="3"/>
        <v>0</v>
      </c>
      <c r="AL33">
        <f t="shared" si="4"/>
        <v>0</v>
      </c>
      <c r="AM33">
        <f t="shared" si="5"/>
        <v>48</v>
      </c>
      <c r="AN33">
        <f t="shared" si="6"/>
        <v>20</v>
      </c>
      <c r="AO33">
        <f t="shared" si="7"/>
        <v>0</v>
      </c>
      <c r="AP33">
        <f t="shared" si="8"/>
        <v>68</v>
      </c>
    </row>
    <row r="34" spans="1:42" ht="15.75" hidden="1" customHeight="1" x14ac:dyDescent="0.3">
      <c r="A34" s="16"/>
      <c r="B34" s="55">
        <v>11</v>
      </c>
      <c r="C34" s="56" t="s">
        <v>51</v>
      </c>
      <c r="D34" s="55">
        <v>1</v>
      </c>
      <c r="E34" s="55" t="s">
        <v>21</v>
      </c>
      <c r="F34" s="18" t="s">
        <v>39</v>
      </c>
      <c r="G34" s="18" t="s">
        <v>20</v>
      </c>
      <c r="H34" s="18" t="s">
        <v>20</v>
      </c>
      <c r="I34" s="18" t="s">
        <v>20</v>
      </c>
      <c r="J34" s="18" t="s">
        <v>20</v>
      </c>
      <c r="K34" s="18" t="s">
        <v>20</v>
      </c>
      <c r="L34" s="18" t="s">
        <v>20</v>
      </c>
      <c r="M34" s="18" t="s">
        <v>20</v>
      </c>
      <c r="N34" s="18" t="s">
        <v>20</v>
      </c>
      <c r="O34" s="18" t="s">
        <v>20</v>
      </c>
      <c r="P34" s="18" t="s">
        <v>20</v>
      </c>
      <c r="Q34" s="18" t="s">
        <v>20</v>
      </c>
      <c r="R34" s="18" t="s">
        <v>20</v>
      </c>
      <c r="S34" s="18" t="s">
        <v>20</v>
      </c>
      <c r="T34" s="18" t="s">
        <v>20</v>
      </c>
      <c r="U34" s="18" t="s">
        <v>20</v>
      </c>
      <c r="V34" s="18" t="s">
        <v>20</v>
      </c>
      <c r="W34" s="18" t="s">
        <v>20</v>
      </c>
      <c r="X34" s="18" t="s">
        <v>21</v>
      </c>
      <c r="Y34" s="19" t="s">
        <v>20</v>
      </c>
      <c r="Z34" s="18" t="s">
        <v>20</v>
      </c>
      <c r="AA34" s="28" t="s">
        <v>20</v>
      </c>
      <c r="AB34" s="28" t="s">
        <v>20</v>
      </c>
      <c r="AC34" s="20" t="s">
        <v>20</v>
      </c>
      <c r="AD34" s="29" t="s">
        <v>20</v>
      </c>
      <c r="AE34" s="29" t="s">
        <v>21</v>
      </c>
      <c r="AG34">
        <f t="shared" si="0"/>
        <v>1</v>
      </c>
      <c r="AH34">
        <f t="shared" si="1"/>
        <v>23</v>
      </c>
      <c r="AI34">
        <f t="shared" si="2"/>
        <v>2</v>
      </c>
      <c r="AJ34">
        <f t="shared" si="3"/>
        <v>0</v>
      </c>
      <c r="AL34">
        <f t="shared" si="4"/>
        <v>4</v>
      </c>
      <c r="AM34">
        <f t="shared" si="5"/>
        <v>69</v>
      </c>
      <c r="AN34">
        <f t="shared" si="6"/>
        <v>4</v>
      </c>
      <c r="AO34">
        <f t="shared" si="7"/>
        <v>0</v>
      </c>
      <c r="AP34">
        <f t="shared" si="8"/>
        <v>77</v>
      </c>
    </row>
    <row r="35" spans="1:42" ht="15.75" hidden="1" customHeight="1" x14ac:dyDescent="0.3">
      <c r="A35" s="16"/>
      <c r="B35" s="55">
        <v>12</v>
      </c>
      <c r="C35" s="56" t="s">
        <v>52</v>
      </c>
      <c r="D35" s="55">
        <v>1</v>
      </c>
      <c r="E35" s="55" t="s">
        <v>21</v>
      </c>
      <c r="F35" s="18" t="s">
        <v>20</v>
      </c>
      <c r="G35" s="18" t="s">
        <v>21</v>
      </c>
      <c r="H35" s="18" t="s">
        <v>20</v>
      </c>
      <c r="I35" s="18" t="s">
        <v>21</v>
      </c>
      <c r="J35" s="18" t="s">
        <v>20</v>
      </c>
      <c r="K35" s="18" t="s">
        <v>21</v>
      </c>
      <c r="L35" s="18" t="s">
        <v>21</v>
      </c>
      <c r="M35" s="18" t="s">
        <v>20</v>
      </c>
      <c r="N35" s="18" t="s">
        <v>20</v>
      </c>
      <c r="O35" s="18" t="s">
        <v>20</v>
      </c>
      <c r="P35" s="18" t="s">
        <v>20</v>
      </c>
      <c r="Q35" s="18" t="s">
        <v>20</v>
      </c>
      <c r="R35" s="18" t="s">
        <v>20</v>
      </c>
      <c r="S35" s="18" t="s">
        <v>20</v>
      </c>
      <c r="T35" s="18" t="s">
        <v>20</v>
      </c>
      <c r="U35" s="18" t="s">
        <v>20</v>
      </c>
      <c r="V35" s="18" t="s">
        <v>21</v>
      </c>
      <c r="W35" s="18" t="s">
        <v>20</v>
      </c>
      <c r="X35" s="18" t="s">
        <v>21</v>
      </c>
      <c r="Y35" s="19" t="s">
        <v>21</v>
      </c>
      <c r="Z35" s="18" t="s">
        <v>20</v>
      </c>
      <c r="AA35" s="28" t="s">
        <v>21</v>
      </c>
      <c r="AB35" s="28" t="s">
        <v>21</v>
      </c>
      <c r="AC35" s="20" t="s">
        <v>21</v>
      </c>
      <c r="AD35" s="29" t="s">
        <v>21</v>
      </c>
      <c r="AE35" s="29" t="s">
        <v>21</v>
      </c>
      <c r="AG35">
        <f t="shared" si="0"/>
        <v>0</v>
      </c>
      <c r="AH35">
        <f t="shared" si="1"/>
        <v>14</v>
      </c>
      <c r="AI35">
        <f t="shared" si="2"/>
        <v>12</v>
      </c>
      <c r="AJ35">
        <f t="shared" si="3"/>
        <v>0</v>
      </c>
      <c r="AL35">
        <f t="shared" si="4"/>
        <v>0</v>
      </c>
      <c r="AM35">
        <f t="shared" si="5"/>
        <v>42</v>
      </c>
      <c r="AN35">
        <f t="shared" si="6"/>
        <v>24</v>
      </c>
      <c r="AO35">
        <f t="shared" si="7"/>
        <v>0</v>
      </c>
      <c r="AP35">
        <f t="shared" si="8"/>
        <v>66</v>
      </c>
    </row>
    <row r="36" spans="1:42" ht="15.75" hidden="1" customHeight="1" x14ac:dyDescent="0.3">
      <c r="A36" s="16"/>
      <c r="B36" s="55">
        <v>13</v>
      </c>
      <c r="C36" s="56" t="s">
        <v>53</v>
      </c>
      <c r="D36" s="55">
        <v>1</v>
      </c>
      <c r="E36" s="55" t="s">
        <v>21</v>
      </c>
      <c r="F36" s="18" t="s">
        <v>21</v>
      </c>
      <c r="G36" s="18" t="s">
        <v>20</v>
      </c>
      <c r="H36" s="18" t="s">
        <v>21</v>
      </c>
      <c r="I36" s="18" t="s">
        <v>21</v>
      </c>
      <c r="J36" s="18" t="s">
        <v>20</v>
      </c>
      <c r="K36" s="18" t="s">
        <v>21</v>
      </c>
      <c r="L36" s="18" t="s">
        <v>21</v>
      </c>
      <c r="M36" s="18" t="s">
        <v>21</v>
      </c>
      <c r="N36" s="18" t="s">
        <v>20</v>
      </c>
      <c r="O36" s="18" t="s">
        <v>20</v>
      </c>
      <c r="P36" s="18" t="s">
        <v>21</v>
      </c>
      <c r="Q36" s="18" t="s">
        <v>21</v>
      </c>
      <c r="R36" s="18" t="s">
        <v>21</v>
      </c>
      <c r="S36" s="18" t="s">
        <v>21</v>
      </c>
      <c r="T36" s="18" t="s">
        <v>20</v>
      </c>
      <c r="U36" s="18" t="s">
        <v>20</v>
      </c>
      <c r="V36" s="18" t="s">
        <v>20</v>
      </c>
      <c r="W36" s="18" t="s">
        <v>20</v>
      </c>
      <c r="X36" s="18" t="s">
        <v>20</v>
      </c>
      <c r="Y36" s="19" t="s">
        <v>20</v>
      </c>
      <c r="Z36" s="18" t="s">
        <v>20</v>
      </c>
      <c r="AA36" s="28" t="s">
        <v>20</v>
      </c>
      <c r="AB36" s="28" t="s">
        <v>20</v>
      </c>
      <c r="AC36" s="20" t="s">
        <v>21</v>
      </c>
      <c r="AD36" s="29" t="s">
        <v>21</v>
      </c>
      <c r="AE36" s="29" t="s">
        <v>21</v>
      </c>
      <c r="AG36">
        <f t="shared" si="0"/>
        <v>0</v>
      </c>
      <c r="AH36">
        <f t="shared" si="1"/>
        <v>13</v>
      </c>
      <c r="AI36">
        <f t="shared" si="2"/>
        <v>13</v>
      </c>
      <c r="AJ36">
        <f t="shared" si="3"/>
        <v>0</v>
      </c>
      <c r="AL36">
        <f t="shared" si="4"/>
        <v>0</v>
      </c>
      <c r="AM36">
        <f t="shared" si="5"/>
        <v>39</v>
      </c>
      <c r="AN36">
        <f t="shared" si="6"/>
        <v>26</v>
      </c>
      <c r="AO36">
        <f t="shared" si="7"/>
        <v>0</v>
      </c>
      <c r="AP36">
        <f t="shared" si="8"/>
        <v>65</v>
      </c>
    </row>
    <row r="37" spans="1:42" ht="15.75" hidden="1" customHeight="1" x14ac:dyDescent="0.3">
      <c r="A37" s="16"/>
      <c r="B37" s="55">
        <v>14</v>
      </c>
      <c r="C37" s="56" t="s">
        <v>54</v>
      </c>
      <c r="D37" s="55">
        <v>1</v>
      </c>
      <c r="E37" s="55" t="s">
        <v>21</v>
      </c>
      <c r="F37" s="18" t="s">
        <v>20</v>
      </c>
      <c r="G37" s="18" t="s">
        <v>20</v>
      </c>
      <c r="H37" s="18" t="s">
        <v>20</v>
      </c>
      <c r="I37" s="18" t="s">
        <v>20</v>
      </c>
      <c r="J37" s="18" t="s">
        <v>20</v>
      </c>
      <c r="K37" s="18" t="s">
        <v>20</v>
      </c>
      <c r="L37" s="18" t="s">
        <v>20</v>
      </c>
      <c r="M37" s="18" t="s">
        <v>20</v>
      </c>
      <c r="N37" s="18" t="s">
        <v>20</v>
      </c>
      <c r="O37" s="18" t="s">
        <v>20</v>
      </c>
      <c r="P37" s="18" t="s">
        <v>20</v>
      </c>
      <c r="Q37" s="18" t="s">
        <v>20</v>
      </c>
      <c r="R37" s="18" t="s">
        <v>20</v>
      </c>
      <c r="S37" s="18" t="s">
        <v>20</v>
      </c>
      <c r="T37" s="18" t="s">
        <v>20</v>
      </c>
      <c r="U37" s="18" t="s">
        <v>20</v>
      </c>
      <c r="V37" s="18" t="s">
        <v>21</v>
      </c>
      <c r="W37" s="18" t="s">
        <v>21</v>
      </c>
      <c r="X37" s="18" t="s">
        <v>20</v>
      </c>
      <c r="Y37" s="19" t="s">
        <v>21</v>
      </c>
      <c r="Z37" s="18" t="s">
        <v>20</v>
      </c>
      <c r="AA37" s="28" t="s">
        <v>20</v>
      </c>
      <c r="AB37" s="28" t="s">
        <v>20</v>
      </c>
      <c r="AC37" s="20" t="s">
        <v>20</v>
      </c>
      <c r="AD37" s="29" t="s">
        <v>55</v>
      </c>
      <c r="AE37" s="29" t="s">
        <v>55</v>
      </c>
      <c r="AG37">
        <f t="shared" si="0"/>
        <v>0</v>
      </c>
      <c r="AH37">
        <f t="shared" si="1"/>
        <v>21</v>
      </c>
      <c r="AI37">
        <f t="shared" si="2"/>
        <v>3</v>
      </c>
      <c r="AJ37">
        <f t="shared" si="3"/>
        <v>0</v>
      </c>
      <c r="AL37">
        <f t="shared" si="4"/>
        <v>0</v>
      </c>
      <c r="AM37">
        <f t="shared" si="5"/>
        <v>63</v>
      </c>
      <c r="AN37">
        <f t="shared" si="6"/>
        <v>6</v>
      </c>
      <c r="AO37">
        <f t="shared" si="7"/>
        <v>0</v>
      </c>
      <c r="AP37">
        <f t="shared" si="8"/>
        <v>69</v>
      </c>
    </row>
    <row r="38" spans="1:42" ht="15.75" hidden="1" customHeight="1" x14ac:dyDescent="0.3">
      <c r="A38" s="16"/>
      <c r="B38" s="55">
        <v>15</v>
      </c>
      <c r="C38" s="56" t="s">
        <v>56</v>
      </c>
      <c r="D38" s="55">
        <v>1</v>
      </c>
      <c r="E38" s="55" t="s">
        <v>21</v>
      </c>
      <c r="F38" s="18" t="s">
        <v>20</v>
      </c>
      <c r="G38" s="18" t="s">
        <v>21</v>
      </c>
      <c r="H38" s="18" t="s">
        <v>21</v>
      </c>
      <c r="I38" s="18" t="s">
        <v>20</v>
      </c>
      <c r="J38" s="18" t="s">
        <v>21</v>
      </c>
      <c r="K38" s="18" t="s">
        <v>21</v>
      </c>
      <c r="L38" s="18" t="s">
        <v>21</v>
      </c>
      <c r="M38" s="18" t="s">
        <v>20</v>
      </c>
      <c r="N38" s="18" t="s">
        <v>20</v>
      </c>
      <c r="O38" s="18" t="s">
        <v>20</v>
      </c>
      <c r="P38" s="18" t="s">
        <v>21</v>
      </c>
      <c r="Q38" s="18" t="s">
        <v>21</v>
      </c>
      <c r="R38" s="18" t="s">
        <v>21</v>
      </c>
      <c r="S38" s="18" t="s">
        <v>23</v>
      </c>
      <c r="T38" s="18" t="s">
        <v>21</v>
      </c>
      <c r="U38" s="18" t="s">
        <v>20</v>
      </c>
      <c r="V38" s="18" t="s">
        <v>20</v>
      </c>
      <c r="W38" s="18" t="s">
        <v>20</v>
      </c>
      <c r="X38" s="18" t="s">
        <v>20</v>
      </c>
      <c r="Y38" s="19" t="s">
        <v>23</v>
      </c>
      <c r="Z38" s="18" t="s">
        <v>21</v>
      </c>
      <c r="AA38" s="28" t="s">
        <v>20</v>
      </c>
      <c r="AB38" s="28" t="s">
        <v>20</v>
      </c>
      <c r="AC38" s="20" t="s">
        <v>21</v>
      </c>
      <c r="AD38" s="29" t="s">
        <v>21</v>
      </c>
      <c r="AE38" s="29" t="s">
        <v>21</v>
      </c>
      <c r="AG38">
        <f t="shared" si="0"/>
        <v>0</v>
      </c>
      <c r="AH38">
        <f t="shared" si="1"/>
        <v>11</v>
      </c>
      <c r="AI38">
        <f t="shared" si="2"/>
        <v>13</v>
      </c>
      <c r="AJ38">
        <f t="shared" si="3"/>
        <v>2</v>
      </c>
      <c r="AL38">
        <f t="shared" si="4"/>
        <v>0</v>
      </c>
      <c r="AM38">
        <f t="shared" si="5"/>
        <v>33</v>
      </c>
      <c r="AN38">
        <f t="shared" si="6"/>
        <v>26</v>
      </c>
      <c r="AO38">
        <f t="shared" si="7"/>
        <v>2</v>
      </c>
      <c r="AP38">
        <f t="shared" si="8"/>
        <v>61</v>
      </c>
    </row>
    <row r="39" spans="1:42" ht="15.75" hidden="1" customHeight="1" x14ac:dyDescent="0.3">
      <c r="A39" s="16"/>
      <c r="B39" s="55">
        <v>16</v>
      </c>
      <c r="C39" s="56" t="s">
        <v>57</v>
      </c>
      <c r="D39" s="55">
        <v>1</v>
      </c>
      <c r="E39" s="55" t="s">
        <v>21</v>
      </c>
      <c r="F39" s="18" t="s">
        <v>20</v>
      </c>
      <c r="G39" s="18" t="s">
        <v>21</v>
      </c>
      <c r="H39" s="18" t="s">
        <v>21</v>
      </c>
      <c r="I39" s="18" t="s">
        <v>21</v>
      </c>
      <c r="J39" s="18" t="s">
        <v>20</v>
      </c>
      <c r="K39" s="18" t="s">
        <v>21</v>
      </c>
      <c r="L39" s="18" t="s">
        <v>21</v>
      </c>
      <c r="M39" s="18" t="s">
        <v>21</v>
      </c>
      <c r="N39" s="18" t="s">
        <v>21</v>
      </c>
      <c r="O39" s="18" t="s">
        <v>20</v>
      </c>
      <c r="P39" s="18" t="s">
        <v>21</v>
      </c>
      <c r="Q39" s="18" t="s">
        <v>21</v>
      </c>
      <c r="R39" s="18" t="s">
        <v>21</v>
      </c>
      <c r="S39" s="18" t="s">
        <v>21</v>
      </c>
      <c r="T39" s="18" t="s">
        <v>21</v>
      </c>
      <c r="U39" s="18" t="s">
        <v>21</v>
      </c>
      <c r="V39" s="18" t="s">
        <v>20</v>
      </c>
      <c r="W39" s="18" t="s">
        <v>20</v>
      </c>
      <c r="X39" s="18" t="s">
        <v>21</v>
      </c>
      <c r="Y39" s="19" t="s">
        <v>20</v>
      </c>
      <c r="Z39" s="18" t="s">
        <v>20</v>
      </c>
      <c r="AA39" s="28" t="s">
        <v>20</v>
      </c>
      <c r="AB39" s="28" t="s">
        <v>20</v>
      </c>
      <c r="AC39" s="20" t="s">
        <v>21</v>
      </c>
      <c r="AD39" s="29" t="s">
        <v>21</v>
      </c>
      <c r="AE39" s="29" t="s">
        <v>21</v>
      </c>
      <c r="AG39">
        <f t="shared" si="0"/>
        <v>0</v>
      </c>
      <c r="AH39">
        <f t="shared" si="1"/>
        <v>9</v>
      </c>
      <c r="AI39">
        <f t="shared" si="2"/>
        <v>17</v>
      </c>
      <c r="AJ39">
        <f t="shared" si="3"/>
        <v>0</v>
      </c>
      <c r="AL39">
        <f t="shared" si="4"/>
        <v>0</v>
      </c>
      <c r="AM39">
        <f t="shared" si="5"/>
        <v>27</v>
      </c>
      <c r="AN39">
        <f t="shared" si="6"/>
        <v>34</v>
      </c>
      <c r="AO39">
        <f t="shared" si="7"/>
        <v>0</v>
      </c>
      <c r="AP39">
        <f t="shared" si="8"/>
        <v>61</v>
      </c>
    </row>
    <row r="40" spans="1:42" ht="15.75" hidden="1" customHeight="1" x14ac:dyDescent="0.3">
      <c r="A40" s="16"/>
      <c r="B40" s="55">
        <v>17</v>
      </c>
      <c r="C40" s="56" t="s">
        <v>58</v>
      </c>
      <c r="D40" s="55">
        <v>1</v>
      </c>
      <c r="E40" s="55" t="s">
        <v>21</v>
      </c>
      <c r="F40" s="18" t="s">
        <v>21</v>
      </c>
      <c r="G40" s="18" t="s">
        <v>21</v>
      </c>
      <c r="H40" s="18" t="s">
        <v>21</v>
      </c>
      <c r="I40" s="18" t="s">
        <v>21</v>
      </c>
      <c r="J40" s="18" t="s">
        <v>20</v>
      </c>
      <c r="K40" s="18" t="s">
        <v>21</v>
      </c>
      <c r="L40" s="18" t="s">
        <v>21</v>
      </c>
      <c r="M40" s="18" t="s">
        <v>21</v>
      </c>
      <c r="N40" s="18" t="s">
        <v>20</v>
      </c>
      <c r="O40" s="18" t="s">
        <v>20</v>
      </c>
      <c r="P40" s="18" t="s">
        <v>21</v>
      </c>
      <c r="Q40" s="18" t="s">
        <v>21</v>
      </c>
      <c r="R40" s="18" t="s">
        <v>21</v>
      </c>
      <c r="S40" s="18" t="s">
        <v>20</v>
      </c>
      <c r="T40" s="18" t="s">
        <v>21</v>
      </c>
      <c r="U40" s="18" t="s">
        <v>20</v>
      </c>
      <c r="V40" s="18" t="s">
        <v>20</v>
      </c>
      <c r="W40" s="18" t="s">
        <v>20</v>
      </c>
      <c r="X40" s="18" t="s">
        <v>20</v>
      </c>
      <c r="Y40" s="19" t="s">
        <v>21</v>
      </c>
      <c r="Z40" s="18" t="s">
        <v>20</v>
      </c>
      <c r="AA40" s="28" t="s">
        <v>20</v>
      </c>
      <c r="AB40" s="28" t="s">
        <v>20</v>
      </c>
      <c r="AC40" s="20" t="s">
        <v>21</v>
      </c>
      <c r="AD40" s="29" t="s">
        <v>21</v>
      </c>
      <c r="AE40" s="29" t="s">
        <v>21</v>
      </c>
      <c r="AG40">
        <f t="shared" si="0"/>
        <v>0</v>
      </c>
      <c r="AH40">
        <f t="shared" si="1"/>
        <v>11</v>
      </c>
      <c r="AI40">
        <f t="shared" si="2"/>
        <v>15</v>
      </c>
      <c r="AJ40">
        <f t="shared" si="3"/>
        <v>0</v>
      </c>
      <c r="AL40">
        <f t="shared" si="4"/>
        <v>0</v>
      </c>
      <c r="AM40">
        <f t="shared" si="5"/>
        <v>33</v>
      </c>
      <c r="AN40">
        <f t="shared" si="6"/>
        <v>30</v>
      </c>
      <c r="AO40">
        <f t="shared" si="7"/>
        <v>0</v>
      </c>
      <c r="AP40">
        <f t="shared" si="8"/>
        <v>63</v>
      </c>
    </row>
    <row r="41" spans="1:42" ht="15.75" hidden="1" customHeight="1" x14ac:dyDescent="0.3">
      <c r="A41" s="16"/>
      <c r="B41" s="55">
        <v>18</v>
      </c>
      <c r="C41" s="56" t="s">
        <v>59</v>
      </c>
      <c r="D41" s="55">
        <v>1</v>
      </c>
      <c r="E41" s="55" t="s">
        <v>21</v>
      </c>
      <c r="F41" s="18" t="s">
        <v>20</v>
      </c>
      <c r="G41" s="18" t="s">
        <v>21</v>
      </c>
      <c r="H41" s="18" t="s">
        <v>21</v>
      </c>
      <c r="I41" s="18" t="s">
        <v>21</v>
      </c>
      <c r="J41" s="18" t="s">
        <v>21</v>
      </c>
      <c r="K41" s="18" t="s">
        <v>21</v>
      </c>
      <c r="L41" s="18" t="s">
        <v>21</v>
      </c>
      <c r="M41" s="18" t="s">
        <v>20</v>
      </c>
      <c r="N41" s="18" t="s">
        <v>20</v>
      </c>
      <c r="O41" s="18" t="s">
        <v>20</v>
      </c>
      <c r="P41" s="18" t="s">
        <v>20</v>
      </c>
      <c r="Q41" s="18" t="s">
        <v>21</v>
      </c>
      <c r="R41" s="18" t="s">
        <v>20</v>
      </c>
      <c r="S41" s="18" t="s">
        <v>20</v>
      </c>
      <c r="T41" s="18" t="s">
        <v>20</v>
      </c>
      <c r="U41" s="18" t="s">
        <v>21</v>
      </c>
      <c r="V41" s="18" t="s">
        <v>21</v>
      </c>
      <c r="W41" s="18" t="s">
        <v>20</v>
      </c>
      <c r="X41" s="18" t="s">
        <v>20</v>
      </c>
      <c r="Y41" s="19" t="s">
        <v>21</v>
      </c>
      <c r="Z41" s="18" t="s">
        <v>20</v>
      </c>
      <c r="AA41" s="28" t="s">
        <v>20</v>
      </c>
      <c r="AB41" s="28" t="s">
        <v>20</v>
      </c>
      <c r="AC41" s="20" t="s">
        <v>21</v>
      </c>
      <c r="AD41" s="29" t="s">
        <v>20</v>
      </c>
      <c r="AE41" s="29" t="s">
        <v>21</v>
      </c>
      <c r="AG41">
        <f t="shared" si="0"/>
        <v>0</v>
      </c>
      <c r="AH41">
        <f t="shared" si="1"/>
        <v>14</v>
      </c>
      <c r="AI41">
        <f t="shared" si="2"/>
        <v>12</v>
      </c>
      <c r="AJ41">
        <f t="shared" si="3"/>
        <v>0</v>
      </c>
      <c r="AL41">
        <f t="shared" si="4"/>
        <v>0</v>
      </c>
      <c r="AM41">
        <f t="shared" si="5"/>
        <v>42</v>
      </c>
      <c r="AN41">
        <f t="shared" si="6"/>
        <v>24</v>
      </c>
      <c r="AO41">
        <f t="shared" si="7"/>
        <v>0</v>
      </c>
      <c r="AP41">
        <f t="shared" si="8"/>
        <v>66</v>
      </c>
    </row>
    <row r="42" spans="1:42" ht="15.75" hidden="1" customHeight="1" x14ac:dyDescent="0.3">
      <c r="A42" s="16"/>
      <c r="B42" s="55">
        <v>19</v>
      </c>
      <c r="C42" s="56" t="s">
        <v>60</v>
      </c>
      <c r="D42" s="55">
        <v>1</v>
      </c>
      <c r="E42" s="55" t="s">
        <v>21</v>
      </c>
      <c r="F42" s="18" t="s">
        <v>20</v>
      </c>
      <c r="G42" s="18" t="s">
        <v>21</v>
      </c>
      <c r="H42" s="18" t="s">
        <v>21</v>
      </c>
      <c r="I42" s="18" t="s">
        <v>21</v>
      </c>
      <c r="J42" s="18" t="s">
        <v>21</v>
      </c>
      <c r="K42" s="18" t="s">
        <v>21</v>
      </c>
      <c r="L42" s="18" t="s">
        <v>21</v>
      </c>
      <c r="M42" s="18" t="s">
        <v>21</v>
      </c>
      <c r="N42" s="18" t="s">
        <v>20</v>
      </c>
      <c r="O42" s="18" t="s">
        <v>20</v>
      </c>
      <c r="P42" s="18" t="s">
        <v>21</v>
      </c>
      <c r="Q42" s="18" t="s">
        <v>21</v>
      </c>
      <c r="R42" s="18" t="s">
        <v>21</v>
      </c>
      <c r="S42" s="18" t="s">
        <v>20</v>
      </c>
      <c r="T42" s="18" t="s">
        <v>21</v>
      </c>
      <c r="U42" s="18" t="s">
        <v>20</v>
      </c>
      <c r="V42" s="18" t="s">
        <v>21</v>
      </c>
      <c r="W42" s="18" t="s">
        <v>20</v>
      </c>
      <c r="X42" s="18" t="s">
        <v>20</v>
      </c>
      <c r="Y42" s="19" t="s">
        <v>20</v>
      </c>
      <c r="Z42" s="18" t="s">
        <v>20</v>
      </c>
      <c r="AA42" s="28" t="s">
        <v>21</v>
      </c>
      <c r="AB42" s="28" t="s">
        <v>23</v>
      </c>
      <c r="AC42" s="20" t="s">
        <v>21</v>
      </c>
      <c r="AD42" s="29" t="s">
        <v>21</v>
      </c>
      <c r="AE42" s="29" t="s">
        <v>21</v>
      </c>
      <c r="AG42">
        <f t="shared" si="0"/>
        <v>0</v>
      </c>
      <c r="AH42">
        <f t="shared" si="1"/>
        <v>9</v>
      </c>
      <c r="AI42">
        <f t="shared" si="2"/>
        <v>16</v>
      </c>
      <c r="AJ42">
        <f t="shared" si="3"/>
        <v>1</v>
      </c>
      <c r="AL42">
        <f t="shared" si="4"/>
        <v>0</v>
      </c>
      <c r="AM42">
        <f t="shared" si="5"/>
        <v>27</v>
      </c>
      <c r="AN42">
        <f t="shared" si="6"/>
        <v>32</v>
      </c>
      <c r="AO42">
        <f t="shared" si="7"/>
        <v>1</v>
      </c>
      <c r="AP42">
        <f t="shared" si="8"/>
        <v>60</v>
      </c>
    </row>
    <row r="43" spans="1:42" ht="15.75" hidden="1" customHeight="1" thickBot="1" x14ac:dyDescent="0.35">
      <c r="A43" s="16"/>
      <c r="B43" s="57">
        <v>20</v>
      </c>
      <c r="C43" s="58" t="s">
        <v>61</v>
      </c>
      <c r="D43" s="57">
        <v>1</v>
      </c>
      <c r="E43" s="57" t="s">
        <v>21</v>
      </c>
      <c r="F43" s="21" t="s">
        <v>20</v>
      </c>
      <c r="G43" s="21" t="s">
        <v>21</v>
      </c>
      <c r="H43" s="21" t="s">
        <v>20</v>
      </c>
      <c r="I43" s="21" t="s">
        <v>21</v>
      </c>
      <c r="J43" s="21" t="s">
        <v>21</v>
      </c>
      <c r="K43" s="21" t="s">
        <v>21</v>
      </c>
      <c r="L43" s="21" t="s">
        <v>21</v>
      </c>
      <c r="M43" s="21" t="s">
        <v>20</v>
      </c>
      <c r="N43" s="21" t="s">
        <v>20</v>
      </c>
      <c r="O43" s="21" t="s">
        <v>20</v>
      </c>
      <c r="P43" s="21" t="s">
        <v>21</v>
      </c>
      <c r="Q43" s="21" t="s">
        <v>21</v>
      </c>
      <c r="R43" s="21" t="s">
        <v>21</v>
      </c>
      <c r="S43" s="21" t="s">
        <v>23</v>
      </c>
      <c r="T43" s="21" t="s">
        <v>21</v>
      </c>
      <c r="U43" s="21" t="s">
        <v>21</v>
      </c>
      <c r="V43" s="21" t="s">
        <v>20</v>
      </c>
      <c r="W43" s="21" t="s">
        <v>20</v>
      </c>
      <c r="X43" s="21" t="s">
        <v>20</v>
      </c>
      <c r="Y43" s="22" t="s">
        <v>21</v>
      </c>
      <c r="Z43" s="21" t="s">
        <v>20</v>
      </c>
      <c r="AA43" s="30" t="s">
        <v>20</v>
      </c>
      <c r="AB43" s="30" t="s">
        <v>20</v>
      </c>
      <c r="AC43" s="23" t="s">
        <v>21</v>
      </c>
      <c r="AD43" s="31" t="s">
        <v>21</v>
      </c>
      <c r="AE43" s="31" t="s">
        <v>21</v>
      </c>
      <c r="AG43">
        <f t="shared" si="0"/>
        <v>0</v>
      </c>
      <c r="AH43">
        <f t="shared" si="1"/>
        <v>11</v>
      </c>
      <c r="AI43">
        <f t="shared" si="2"/>
        <v>14</v>
      </c>
      <c r="AJ43">
        <f t="shared" si="3"/>
        <v>1</v>
      </c>
      <c r="AL43">
        <f t="shared" si="4"/>
        <v>0</v>
      </c>
      <c r="AM43">
        <f t="shared" si="5"/>
        <v>33</v>
      </c>
      <c r="AN43">
        <f t="shared" si="6"/>
        <v>28</v>
      </c>
      <c r="AO43">
        <f t="shared" si="7"/>
        <v>1</v>
      </c>
      <c r="AP43">
        <f t="shared" si="8"/>
        <v>62</v>
      </c>
    </row>
    <row r="44" spans="1:42" ht="15.75" hidden="1" customHeight="1" x14ac:dyDescent="0.3">
      <c r="A44" s="16"/>
      <c r="B44" s="59">
        <v>18</v>
      </c>
      <c r="C44" s="60" t="s">
        <v>79</v>
      </c>
      <c r="D44" s="59">
        <v>2</v>
      </c>
      <c r="E44" s="59" t="s">
        <v>20</v>
      </c>
      <c r="F44" s="24" t="s">
        <v>20</v>
      </c>
      <c r="G44" s="24" t="s">
        <v>20</v>
      </c>
      <c r="H44" s="24" t="s">
        <v>20</v>
      </c>
      <c r="I44" s="24" t="s">
        <v>20</v>
      </c>
      <c r="J44" s="24" t="s">
        <v>20</v>
      </c>
      <c r="K44" s="24" t="s">
        <v>20</v>
      </c>
      <c r="L44" s="24" t="s">
        <v>20</v>
      </c>
      <c r="M44" s="24" t="s">
        <v>20</v>
      </c>
      <c r="N44" s="24" t="s">
        <v>20</v>
      </c>
      <c r="O44" s="24" t="s">
        <v>20</v>
      </c>
      <c r="P44" s="24" t="s">
        <v>20</v>
      </c>
      <c r="Q44" s="24" t="s">
        <v>20</v>
      </c>
      <c r="R44" s="24" t="s">
        <v>20</v>
      </c>
      <c r="S44" s="24" t="s">
        <v>20</v>
      </c>
      <c r="T44" s="24" t="s">
        <v>20</v>
      </c>
      <c r="U44" s="24" t="s">
        <v>20</v>
      </c>
      <c r="V44" s="39" t="s">
        <v>20</v>
      </c>
      <c r="W44" s="39" t="s">
        <v>20</v>
      </c>
      <c r="X44" s="39" t="s">
        <v>20</v>
      </c>
      <c r="Y44" s="24" t="s">
        <v>39</v>
      </c>
      <c r="Z44" s="24" t="s">
        <v>39</v>
      </c>
      <c r="AA44" s="27" t="s">
        <v>20</v>
      </c>
      <c r="AB44" s="27" t="s">
        <v>20</v>
      </c>
      <c r="AC44" s="27" t="s">
        <v>20</v>
      </c>
      <c r="AD44" s="34" t="s">
        <v>20</v>
      </c>
      <c r="AE44" s="34" t="s">
        <v>21</v>
      </c>
      <c r="AG44">
        <f>+COUNTIF(F44:AE44,"AD")</f>
        <v>2</v>
      </c>
      <c r="AH44">
        <f>+COUNTIF(F44:AE44,"A")</f>
        <v>23</v>
      </c>
      <c r="AI44">
        <f>+COUNTIF(F44:AE44,"b")</f>
        <v>1</v>
      </c>
      <c r="AJ44">
        <f>+COUNTIF(F44:AE44,"c")</f>
        <v>0</v>
      </c>
      <c r="AL44">
        <f>+$AG$5*AG44</f>
        <v>8</v>
      </c>
      <c r="AM44">
        <f>+$AH$5*AH44</f>
        <v>69</v>
      </c>
      <c r="AN44">
        <f>+$AI$5*AI44</f>
        <v>2</v>
      </c>
      <c r="AO44">
        <f>+$AJ$5*AJ44</f>
        <v>0</v>
      </c>
      <c r="AP44">
        <f>+SUM(AL44:AO44)</f>
        <v>79</v>
      </c>
    </row>
    <row r="45" spans="1:42" ht="15.75" hidden="1" customHeight="1" x14ac:dyDescent="0.3">
      <c r="A45" s="16"/>
      <c r="B45" s="55">
        <v>23</v>
      </c>
      <c r="C45" s="56" t="s">
        <v>84</v>
      </c>
      <c r="D45" s="55">
        <v>2</v>
      </c>
      <c r="E45" s="55" t="s">
        <v>20</v>
      </c>
      <c r="F45" s="18" t="s">
        <v>20</v>
      </c>
      <c r="G45" s="18" t="s">
        <v>20</v>
      </c>
      <c r="H45" s="18" t="s">
        <v>20</v>
      </c>
      <c r="I45" s="18" t="s">
        <v>20</v>
      </c>
      <c r="J45" s="18" t="s">
        <v>20</v>
      </c>
      <c r="K45" s="18" t="s">
        <v>20</v>
      </c>
      <c r="L45" s="18" t="s">
        <v>20</v>
      </c>
      <c r="M45" s="18" t="s">
        <v>20</v>
      </c>
      <c r="N45" s="18" t="s">
        <v>20</v>
      </c>
      <c r="O45" s="18" t="s">
        <v>20</v>
      </c>
      <c r="P45" s="18" t="s">
        <v>20</v>
      </c>
      <c r="Q45" s="18" t="s">
        <v>20</v>
      </c>
      <c r="R45" s="18" t="s">
        <v>20</v>
      </c>
      <c r="S45" s="18" t="s">
        <v>20</v>
      </c>
      <c r="T45" s="18" t="s">
        <v>20</v>
      </c>
      <c r="U45" s="18" t="s">
        <v>20</v>
      </c>
      <c r="V45" s="37" t="s">
        <v>20</v>
      </c>
      <c r="W45" s="37" t="s">
        <v>20</v>
      </c>
      <c r="X45" s="37" t="s">
        <v>20</v>
      </c>
      <c r="Y45" s="18" t="s">
        <v>20</v>
      </c>
      <c r="Z45" s="18" t="s">
        <v>20</v>
      </c>
      <c r="AA45" s="20" t="s">
        <v>20</v>
      </c>
      <c r="AB45" s="20" t="s">
        <v>20</v>
      </c>
      <c r="AC45" s="20" t="s">
        <v>20</v>
      </c>
      <c r="AD45" s="29" t="s">
        <v>20</v>
      </c>
      <c r="AE45" s="29" t="s">
        <v>21</v>
      </c>
      <c r="AG45">
        <f>+COUNTIF(F45:AE45,"AD")</f>
        <v>0</v>
      </c>
      <c r="AH45">
        <f>+COUNTIF(F45:AE45,"A")</f>
        <v>25</v>
      </c>
      <c r="AI45">
        <f>+COUNTIF(F45:AE45,"b")</f>
        <v>1</v>
      </c>
      <c r="AJ45">
        <f>+COUNTIF(F45:AE45,"c")</f>
        <v>0</v>
      </c>
      <c r="AL45">
        <f>+$AG$5*AG45</f>
        <v>0</v>
      </c>
      <c r="AM45">
        <f>+$AH$5*AH45</f>
        <v>75</v>
      </c>
      <c r="AN45">
        <f>+$AI$5*AI45</f>
        <v>2</v>
      </c>
      <c r="AO45">
        <f>+$AJ$5*AJ45</f>
        <v>0</v>
      </c>
      <c r="AP45">
        <f>+SUM(AL45:AO45)</f>
        <v>77</v>
      </c>
    </row>
    <row r="46" spans="1:42" ht="15.75" hidden="1" customHeight="1" x14ac:dyDescent="0.3">
      <c r="A46" s="16"/>
      <c r="B46" s="55">
        <v>6</v>
      </c>
      <c r="C46" s="56" t="s">
        <v>67</v>
      </c>
      <c r="D46" s="55">
        <v>2</v>
      </c>
      <c r="E46" s="55" t="s">
        <v>20</v>
      </c>
      <c r="F46" s="18" t="s">
        <v>20</v>
      </c>
      <c r="G46" s="18" t="s">
        <v>21</v>
      </c>
      <c r="H46" s="18" t="s">
        <v>20</v>
      </c>
      <c r="I46" s="18" t="s">
        <v>20</v>
      </c>
      <c r="J46" s="18" t="s">
        <v>20</v>
      </c>
      <c r="K46" s="18" t="s">
        <v>20</v>
      </c>
      <c r="L46" s="18" t="s">
        <v>20</v>
      </c>
      <c r="M46" s="18" t="s">
        <v>20</v>
      </c>
      <c r="N46" s="18" t="s">
        <v>20</v>
      </c>
      <c r="O46" s="18" t="s">
        <v>20</v>
      </c>
      <c r="P46" s="18" t="s">
        <v>20</v>
      </c>
      <c r="Q46" s="18" t="s">
        <v>20</v>
      </c>
      <c r="R46" s="18" t="s">
        <v>20</v>
      </c>
      <c r="S46" s="18" t="s">
        <v>20</v>
      </c>
      <c r="T46" s="18" t="s">
        <v>20</v>
      </c>
      <c r="U46" s="18" t="s">
        <v>20</v>
      </c>
      <c r="V46" s="37" t="s">
        <v>20</v>
      </c>
      <c r="W46" s="37" t="s">
        <v>20</v>
      </c>
      <c r="X46" s="37" t="s">
        <v>20</v>
      </c>
      <c r="Y46" s="18" t="s">
        <v>20</v>
      </c>
      <c r="Z46" s="18" t="s">
        <v>20</v>
      </c>
      <c r="AA46" s="20" t="s">
        <v>20</v>
      </c>
      <c r="AB46" s="20" t="s">
        <v>20</v>
      </c>
      <c r="AC46" s="20" t="s">
        <v>20</v>
      </c>
      <c r="AD46" s="29" t="s">
        <v>20</v>
      </c>
      <c r="AE46" s="29" t="s">
        <v>21</v>
      </c>
      <c r="AG46">
        <f>+COUNTIF(F46:AE46,"AD")</f>
        <v>0</v>
      </c>
      <c r="AH46">
        <f>+COUNTIF(F46:AE46,"A")</f>
        <v>24</v>
      </c>
      <c r="AI46">
        <f>+COUNTIF(F46:AE46,"b")</f>
        <v>2</v>
      </c>
      <c r="AJ46">
        <f>+COUNTIF(F46:AE46,"c")</f>
        <v>0</v>
      </c>
      <c r="AL46">
        <f>+$AG$5*AG46</f>
        <v>0</v>
      </c>
      <c r="AM46">
        <f>+$AH$5*AH46</f>
        <v>72</v>
      </c>
      <c r="AN46">
        <f>+$AI$5*AI46</f>
        <v>4</v>
      </c>
      <c r="AO46">
        <f>+$AJ$5*AJ46</f>
        <v>0</v>
      </c>
      <c r="AP46">
        <f>+SUM(AL46:AO46)</f>
        <v>76</v>
      </c>
    </row>
    <row r="47" spans="1:42" ht="15.75" hidden="1" customHeight="1" x14ac:dyDescent="0.3">
      <c r="A47" s="16"/>
      <c r="B47" s="55">
        <v>8</v>
      </c>
      <c r="C47" s="56" t="s">
        <v>69</v>
      </c>
      <c r="D47" s="55">
        <v>2</v>
      </c>
      <c r="E47" s="55" t="s">
        <v>20</v>
      </c>
      <c r="F47" s="18" t="s">
        <v>21</v>
      </c>
      <c r="G47" s="18" t="s">
        <v>21</v>
      </c>
      <c r="H47" s="18" t="s">
        <v>21</v>
      </c>
      <c r="I47" s="18" t="s">
        <v>21</v>
      </c>
      <c r="J47" s="18" t="s">
        <v>20</v>
      </c>
      <c r="K47" s="18" t="s">
        <v>20</v>
      </c>
      <c r="L47" s="18" t="s">
        <v>20</v>
      </c>
      <c r="M47" s="18" t="s">
        <v>21</v>
      </c>
      <c r="N47" s="18" t="s">
        <v>20</v>
      </c>
      <c r="O47" s="18" t="s">
        <v>20</v>
      </c>
      <c r="P47" s="18" t="s">
        <v>20</v>
      </c>
      <c r="Q47" s="18" t="s">
        <v>20</v>
      </c>
      <c r="R47" s="18" t="s">
        <v>20</v>
      </c>
      <c r="S47" s="18" t="s">
        <v>20</v>
      </c>
      <c r="T47" s="18" t="s">
        <v>20</v>
      </c>
      <c r="U47" s="18" t="s">
        <v>21</v>
      </c>
      <c r="V47" s="37" t="s">
        <v>20</v>
      </c>
      <c r="W47" s="37" t="s">
        <v>20</v>
      </c>
      <c r="X47" s="37" t="s">
        <v>20</v>
      </c>
      <c r="Y47" s="18" t="s">
        <v>20</v>
      </c>
      <c r="Z47" s="18" t="s">
        <v>20</v>
      </c>
      <c r="AA47" s="20" t="s">
        <v>20</v>
      </c>
      <c r="AB47" s="20" t="s">
        <v>20</v>
      </c>
      <c r="AC47" s="20" t="s">
        <v>20</v>
      </c>
      <c r="AD47" s="29" t="s">
        <v>21</v>
      </c>
      <c r="AE47" s="29" t="s">
        <v>21</v>
      </c>
      <c r="AG47">
        <f>+COUNTIF(F47:AE47,"AD")</f>
        <v>0</v>
      </c>
      <c r="AH47">
        <f>+COUNTIF(F47:AE47,"A")</f>
        <v>18</v>
      </c>
      <c r="AI47">
        <f>+COUNTIF(F47:AE47,"b")</f>
        <v>8</v>
      </c>
      <c r="AJ47">
        <f>+COUNTIF(F47:AE47,"c")</f>
        <v>0</v>
      </c>
      <c r="AL47">
        <f>+$AG$5*AG47</f>
        <v>0</v>
      </c>
      <c r="AM47">
        <f>+$AH$5*AH47</f>
        <v>54</v>
      </c>
      <c r="AN47">
        <f>+$AI$5*AI47</f>
        <v>16</v>
      </c>
      <c r="AO47">
        <f>+$AJ$5*AJ47</f>
        <v>0</v>
      </c>
      <c r="AP47">
        <f>+SUM(AL47:AO47)</f>
        <v>70</v>
      </c>
    </row>
    <row r="48" spans="1:42" ht="15.75" hidden="1" customHeight="1" x14ac:dyDescent="0.3">
      <c r="A48" s="16"/>
      <c r="B48" s="55">
        <v>11</v>
      </c>
      <c r="C48" s="56" t="s">
        <v>72</v>
      </c>
      <c r="D48" s="55">
        <v>2</v>
      </c>
      <c r="E48" s="55" t="s">
        <v>20</v>
      </c>
      <c r="F48" s="18" t="s">
        <v>20</v>
      </c>
      <c r="G48" s="18" t="s">
        <v>20</v>
      </c>
      <c r="H48" s="18" t="s">
        <v>20</v>
      </c>
      <c r="I48" s="18" t="s">
        <v>20</v>
      </c>
      <c r="J48" s="18" t="s">
        <v>20</v>
      </c>
      <c r="K48" s="18" t="s">
        <v>20</v>
      </c>
      <c r="L48" s="18" t="s">
        <v>20</v>
      </c>
      <c r="M48" s="18" t="s">
        <v>20</v>
      </c>
      <c r="N48" s="18" t="s">
        <v>20</v>
      </c>
      <c r="O48" s="18" t="s">
        <v>20</v>
      </c>
      <c r="P48" s="18" t="s">
        <v>20</v>
      </c>
      <c r="Q48" s="18" t="s">
        <v>20</v>
      </c>
      <c r="R48" s="18" t="s">
        <v>20</v>
      </c>
      <c r="S48" s="18" t="s">
        <v>20</v>
      </c>
      <c r="T48" s="18" t="s">
        <v>21</v>
      </c>
      <c r="U48" s="18" t="s">
        <v>20</v>
      </c>
      <c r="V48" s="37" t="s">
        <v>21</v>
      </c>
      <c r="W48" s="37" t="s">
        <v>20</v>
      </c>
      <c r="X48" s="37" t="s">
        <v>21</v>
      </c>
      <c r="Y48" s="18" t="s">
        <v>20</v>
      </c>
      <c r="Z48" s="18" t="s">
        <v>20</v>
      </c>
      <c r="AA48" s="20" t="s">
        <v>20</v>
      </c>
      <c r="AB48" s="20" t="s">
        <v>20</v>
      </c>
      <c r="AC48" s="20" t="s">
        <v>20</v>
      </c>
      <c r="AD48" s="29" t="s">
        <v>55</v>
      </c>
      <c r="AE48" s="29" t="s">
        <v>55</v>
      </c>
      <c r="AG48">
        <f>+COUNTIF(F48:AE48,"AD")</f>
        <v>0</v>
      </c>
      <c r="AH48">
        <f>+COUNTIF(F48:AE48,"A")</f>
        <v>21</v>
      </c>
      <c r="AI48">
        <f>+COUNTIF(F48:AE48,"b")</f>
        <v>3</v>
      </c>
      <c r="AJ48">
        <f>+COUNTIF(F48:AE48,"c")</f>
        <v>0</v>
      </c>
      <c r="AL48">
        <f>+$AG$5*AG48</f>
        <v>0</v>
      </c>
      <c r="AM48">
        <f>+$AH$5*AH48</f>
        <v>63</v>
      </c>
      <c r="AN48">
        <f>+$AI$5*AI48</f>
        <v>6</v>
      </c>
      <c r="AO48">
        <f>+$AJ$5*AJ48</f>
        <v>0</v>
      </c>
      <c r="AP48">
        <f>+SUM(AL48:AO48)</f>
        <v>69</v>
      </c>
    </row>
    <row r="49" spans="1:42" ht="15.75" hidden="1" customHeight="1" x14ac:dyDescent="0.3">
      <c r="A49" s="16"/>
      <c r="B49" s="55">
        <v>20</v>
      </c>
      <c r="C49" s="56" t="s">
        <v>81</v>
      </c>
      <c r="D49" s="55">
        <v>2</v>
      </c>
      <c r="E49" s="55" t="s">
        <v>20</v>
      </c>
      <c r="F49" s="18" t="s">
        <v>21</v>
      </c>
      <c r="G49" s="18" t="s">
        <v>21</v>
      </c>
      <c r="H49" s="18" t="s">
        <v>21</v>
      </c>
      <c r="I49" s="18" t="s">
        <v>21</v>
      </c>
      <c r="J49" s="18" t="s">
        <v>20</v>
      </c>
      <c r="K49" s="18" t="s">
        <v>21</v>
      </c>
      <c r="L49" s="18" t="s">
        <v>20</v>
      </c>
      <c r="M49" s="18" t="s">
        <v>20</v>
      </c>
      <c r="N49" s="18" t="s">
        <v>20</v>
      </c>
      <c r="O49" s="18" t="s">
        <v>20</v>
      </c>
      <c r="P49" s="18" t="s">
        <v>20</v>
      </c>
      <c r="Q49" s="18" t="s">
        <v>20</v>
      </c>
      <c r="R49" s="18" t="s">
        <v>20</v>
      </c>
      <c r="S49" s="18" t="s">
        <v>20</v>
      </c>
      <c r="T49" s="18" t="s">
        <v>21</v>
      </c>
      <c r="U49" s="18" t="s">
        <v>20</v>
      </c>
      <c r="V49" s="37" t="s">
        <v>20</v>
      </c>
      <c r="W49" s="37" t="s">
        <v>20</v>
      </c>
      <c r="X49" s="37" t="s">
        <v>21</v>
      </c>
      <c r="Y49" s="18" t="s">
        <v>20</v>
      </c>
      <c r="Z49" s="18" t="s">
        <v>20</v>
      </c>
      <c r="AA49" s="20" t="s">
        <v>20</v>
      </c>
      <c r="AB49" s="20" t="s">
        <v>20</v>
      </c>
      <c r="AC49" s="20" t="s">
        <v>20</v>
      </c>
      <c r="AD49" s="29" t="s">
        <v>21</v>
      </c>
      <c r="AE49" s="29" t="s">
        <v>21</v>
      </c>
      <c r="AG49">
        <f>+COUNTIF(F49:AE49,"AD")</f>
        <v>0</v>
      </c>
      <c r="AH49">
        <f>+COUNTIF(F49:AE49,"A")</f>
        <v>17</v>
      </c>
      <c r="AI49">
        <f>+COUNTIF(F49:AE49,"b")</f>
        <v>9</v>
      </c>
      <c r="AJ49">
        <f>+COUNTIF(F49:AE49,"c")</f>
        <v>0</v>
      </c>
      <c r="AL49">
        <f>+$AG$5*AG49</f>
        <v>0</v>
      </c>
      <c r="AM49">
        <f>+$AH$5*AH49</f>
        <v>51</v>
      </c>
      <c r="AN49">
        <f>+$AI$5*AI49</f>
        <v>18</v>
      </c>
      <c r="AO49">
        <f>+$AJ$5*AJ49</f>
        <v>0</v>
      </c>
      <c r="AP49">
        <f>+SUM(AL49:AO49)</f>
        <v>69</v>
      </c>
    </row>
    <row r="50" spans="1:42" ht="15.75" hidden="1" customHeight="1" x14ac:dyDescent="0.3">
      <c r="A50" s="16"/>
      <c r="B50" s="55">
        <v>2</v>
      </c>
      <c r="C50" s="56" t="s">
        <v>63</v>
      </c>
      <c r="D50" s="55">
        <v>2</v>
      </c>
      <c r="E50" s="55" t="s">
        <v>20</v>
      </c>
      <c r="F50" s="18" t="s">
        <v>21</v>
      </c>
      <c r="G50" s="18" t="s">
        <v>21</v>
      </c>
      <c r="H50" s="18" t="s">
        <v>23</v>
      </c>
      <c r="I50" s="18" t="s">
        <v>21</v>
      </c>
      <c r="J50" s="18" t="s">
        <v>21</v>
      </c>
      <c r="K50" s="18" t="s">
        <v>23</v>
      </c>
      <c r="L50" s="18" t="s">
        <v>23</v>
      </c>
      <c r="M50" s="18" t="s">
        <v>20</v>
      </c>
      <c r="N50" s="18" t="s">
        <v>20</v>
      </c>
      <c r="O50" s="18" t="s">
        <v>20</v>
      </c>
      <c r="P50" s="18" t="s">
        <v>20</v>
      </c>
      <c r="Q50" s="18" t="s">
        <v>20</v>
      </c>
      <c r="R50" s="18" t="s">
        <v>20</v>
      </c>
      <c r="S50" s="18" t="s">
        <v>21</v>
      </c>
      <c r="T50" s="18" t="s">
        <v>20</v>
      </c>
      <c r="U50" s="18" t="s">
        <v>20</v>
      </c>
      <c r="V50" s="35" t="s">
        <v>20</v>
      </c>
      <c r="W50" s="35" t="s">
        <v>20</v>
      </c>
      <c r="X50" s="36" t="s">
        <v>20</v>
      </c>
      <c r="Y50" s="19" t="s">
        <v>20</v>
      </c>
      <c r="Z50" s="18" t="s">
        <v>20</v>
      </c>
      <c r="AA50" s="20" t="s">
        <v>21</v>
      </c>
      <c r="AB50" s="20" t="s">
        <v>21</v>
      </c>
      <c r="AC50" s="20" t="s">
        <v>21</v>
      </c>
      <c r="AD50" s="29" t="s">
        <v>20</v>
      </c>
      <c r="AE50" s="29" t="s">
        <v>21</v>
      </c>
      <c r="AG50">
        <f>+COUNTIF(F50:AE50,"AD")</f>
        <v>0</v>
      </c>
      <c r="AH50">
        <f>+COUNTIF(F50:AE50,"A")</f>
        <v>14</v>
      </c>
      <c r="AI50">
        <f>+COUNTIF(F50:AE50,"b")</f>
        <v>9</v>
      </c>
      <c r="AJ50">
        <f>+COUNTIF(F50:AE50,"c")</f>
        <v>3</v>
      </c>
      <c r="AL50">
        <f>+$AG$5*AG50</f>
        <v>0</v>
      </c>
      <c r="AM50">
        <f>+$AH$5*AH50</f>
        <v>42</v>
      </c>
      <c r="AN50">
        <f>+$AI$5*AI50</f>
        <v>18</v>
      </c>
      <c r="AO50">
        <f>+$AJ$5*AJ50</f>
        <v>3</v>
      </c>
      <c r="AP50">
        <f>+SUM(AL50:AO50)</f>
        <v>63</v>
      </c>
    </row>
    <row r="51" spans="1:42" ht="15.75" hidden="1" customHeight="1" x14ac:dyDescent="0.3">
      <c r="A51" s="16"/>
      <c r="B51" s="55">
        <v>7</v>
      </c>
      <c r="C51" s="56" t="s">
        <v>68</v>
      </c>
      <c r="D51" s="55">
        <v>2</v>
      </c>
      <c r="E51" s="55" t="s">
        <v>20</v>
      </c>
      <c r="F51" s="18" t="s">
        <v>21</v>
      </c>
      <c r="G51" s="18" t="s">
        <v>21</v>
      </c>
      <c r="H51" s="18" t="s">
        <v>21</v>
      </c>
      <c r="I51" s="18" t="s">
        <v>21</v>
      </c>
      <c r="J51" s="18" t="s">
        <v>20</v>
      </c>
      <c r="K51" s="18" t="s">
        <v>21</v>
      </c>
      <c r="L51" s="18" t="s">
        <v>21</v>
      </c>
      <c r="M51" s="18" t="s">
        <v>21</v>
      </c>
      <c r="N51" s="18" t="s">
        <v>20</v>
      </c>
      <c r="O51" s="18" t="s">
        <v>23</v>
      </c>
      <c r="P51" s="18" t="s">
        <v>21</v>
      </c>
      <c r="Q51" s="18" t="s">
        <v>21</v>
      </c>
      <c r="R51" s="18" t="s">
        <v>21</v>
      </c>
      <c r="S51" s="18" t="s">
        <v>21</v>
      </c>
      <c r="T51" s="18" t="s">
        <v>20</v>
      </c>
      <c r="U51" s="18" t="s">
        <v>20</v>
      </c>
      <c r="V51" s="37" t="s">
        <v>20</v>
      </c>
      <c r="W51" s="37" t="s">
        <v>20</v>
      </c>
      <c r="X51" s="37" t="s">
        <v>20</v>
      </c>
      <c r="Y51" s="18" t="s">
        <v>20</v>
      </c>
      <c r="Z51" s="18" t="s">
        <v>20</v>
      </c>
      <c r="AA51" s="20" t="s">
        <v>20</v>
      </c>
      <c r="AB51" s="20" t="s">
        <v>20</v>
      </c>
      <c r="AC51" s="20" t="s">
        <v>20</v>
      </c>
      <c r="AD51" s="29" t="s">
        <v>21</v>
      </c>
      <c r="AE51" s="29" t="s">
        <v>21</v>
      </c>
      <c r="AG51">
        <f>+COUNTIF(F51:AE51,"AD")</f>
        <v>0</v>
      </c>
      <c r="AH51">
        <f>+COUNTIF(F51:AE51,"A")</f>
        <v>12</v>
      </c>
      <c r="AI51">
        <f>+COUNTIF(F51:AE51,"b")</f>
        <v>13</v>
      </c>
      <c r="AJ51">
        <f>+COUNTIF(F51:AE51,"c")</f>
        <v>1</v>
      </c>
      <c r="AL51">
        <f>+$AG$5*AG51</f>
        <v>0</v>
      </c>
      <c r="AM51">
        <f>+$AH$5*AH51</f>
        <v>36</v>
      </c>
      <c r="AN51">
        <f>+$AI$5*AI51</f>
        <v>26</v>
      </c>
      <c r="AO51">
        <f>+$AJ$5*AJ51</f>
        <v>1</v>
      </c>
      <c r="AP51">
        <f>+SUM(AL51:AO51)</f>
        <v>63</v>
      </c>
    </row>
    <row r="52" spans="1:42" ht="15.75" hidden="1" customHeight="1" x14ac:dyDescent="0.3">
      <c r="A52" s="16"/>
      <c r="B52" s="55">
        <v>16</v>
      </c>
      <c r="C52" s="56" t="s">
        <v>77</v>
      </c>
      <c r="D52" s="55">
        <v>2</v>
      </c>
      <c r="E52" s="55" t="s">
        <v>20</v>
      </c>
      <c r="F52" s="18" t="s">
        <v>21</v>
      </c>
      <c r="G52" s="18" t="s">
        <v>21</v>
      </c>
      <c r="H52" s="18" t="s">
        <v>21</v>
      </c>
      <c r="I52" s="18" t="s">
        <v>21</v>
      </c>
      <c r="J52" s="18" t="s">
        <v>21</v>
      </c>
      <c r="K52" s="18" t="s">
        <v>21</v>
      </c>
      <c r="L52" s="18" t="s">
        <v>21</v>
      </c>
      <c r="M52" s="18" t="s">
        <v>20</v>
      </c>
      <c r="N52" s="18" t="s">
        <v>20</v>
      </c>
      <c r="O52" s="18" t="s">
        <v>20</v>
      </c>
      <c r="P52" s="18" t="s">
        <v>21</v>
      </c>
      <c r="Q52" s="18" t="s">
        <v>21</v>
      </c>
      <c r="R52" s="18" t="s">
        <v>21</v>
      </c>
      <c r="S52" s="18" t="s">
        <v>20</v>
      </c>
      <c r="T52" s="18" t="s">
        <v>20</v>
      </c>
      <c r="U52" s="18" t="s">
        <v>21</v>
      </c>
      <c r="V52" s="37" t="s">
        <v>20</v>
      </c>
      <c r="W52" s="37" t="s">
        <v>20</v>
      </c>
      <c r="X52" s="37" t="s">
        <v>20</v>
      </c>
      <c r="Y52" s="18" t="s">
        <v>20</v>
      </c>
      <c r="Z52" s="18" t="s">
        <v>20</v>
      </c>
      <c r="AA52" s="20" t="s">
        <v>21</v>
      </c>
      <c r="AB52" s="20" t="s">
        <v>21</v>
      </c>
      <c r="AC52" s="20" t="s">
        <v>21</v>
      </c>
      <c r="AD52" s="29" t="s">
        <v>21</v>
      </c>
      <c r="AE52" s="29" t="s">
        <v>21</v>
      </c>
      <c r="AG52">
        <f>+COUNTIF(F52:AE52,"AD")</f>
        <v>0</v>
      </c>
      <c r="AH52">
        <f>+COUNTIF(F52:AE52,"A")</f>
        <v>10</v>
      </c>
      <c r="AI52">
        <f>+COUNTIF(F52:AE52,"b")</f>
        <v>16</v>
      </c>
      <c r="AJ52">
        <f>+COUNTIF(F52:AE52,"c")</f>
        <v>0</v>
      </c>
      <c r="AL52">
        <f>+$AG$5*AG52</f>
        <v>0</v>
      </c>
      <c r="AM52">
        <f>+$AH$5*AH52</f>
        <v>30</v>
      </c>
      <c r="AN52">
        <f>+$AI$5*AI52</f>
        <v>32</v>
      </c>
      <c r="AO52">
        <f>+$AJ$5*AJ52</f>
        <v>0</v>
      </c>
      <c r="AP52">
        <f>+SUM(AL52:AO52)</f>
        <v>62</v>
      </c>
    </row>
    <row r="53" spans="1:42" ht="15.75" hidden="1" customHeight="1" x14ac:dyDescent="0.3">
      <c r="A53" s="16"/>
      <c r="B53" s="55">
        <v>1</v>
      </c>
      <c r="C53" s="56" t="s">
        <v>62</v>
      </c>
      <c r="D53" s="55">
        <v>2</v>
      </c>
      <c r="E53" s="55" t="s">
        <v>20</v>
      </c>
      <c r="F53" s="18" t="s">
        <v>21</v>
      </c>
      <c r="G53" s="18" t="s">
        <v>23</v>
      </c>
      <c r="H53" s="18" t="s">
        <v>21</v>
      </c>
      <c r="I53" s="18" t="s">
        <v>21</v>
      </c>
      <c r="J53" s="18" t="s">
        <v>21</v>
      </c>
      <c r="K53" s="18" t="s">
        <v>21</v>
      </c>
      <c r="L53" s="18" t="s">
        <v>20</v>
      </c>
      <c r="M53" s="18" t="s">
        <v>20</v>
      </c>
      <c r="N53" s="18" t="s">
        <v>20</v>
      </c>
      <c r="O53" s="18" t="s">
        <v>21</v>
      </c>
      <c r="P53" s="18" t="s">
        <v>21</v>
      </c>
      <c r="Q53" s="18" t="s">
        <v>21</v>
      </c>
      <c r="R53" s="18" t="s">
        <v>21</v>
      </c>
      <c r="S53" s="18" t="s">
        <v>20</v>
      </c>
      <c r="T53" s="18" t="s">
        <v>21</v>
      </c>
      <c r="U53" s="18" t="s">
        <v>20</v>
      </c>
      <c r="V53" s="35" t="s">
        <v>20</v>
      </c>
      <c r="W53" s="35" t="s">
        <v>20</v>
      </c>
      <c r="X53" s="36" t="s">
        <v>20</v>
      </c>
      <c r="Y53" s="19" t="s">
        <v>20</v>
      </c>
      <c r="Z53" s="18" t="s">
        <v>20</v>
      </c>
      <c r="AA53" s="20" t="s">
        <v>21</v>
      </c>
      <c r="AB53" s="20" t="s">
        <v>21</v>
      </c>
      <c r="AC53" s="20" t="s">
        <v>21</v>
      </c>
      <c r="AD53" s="29" t="s">
        <v>21</v>
      </c>
      <c r="AE53" s="29" t="s">
        <v>21</v>
      </c>
      <c r="AG53">
        <f>+COUNTIF(F53:AE53,"AD")</f>
        <v>0</v>
      </c>
      <c r="AH53">
        <f>+COUNTIF(F53:AE53,"A")</f>
        <v>10</v>
      </c>
      <c r="AI53">
        <f>+COUNTIF(F53:AE53,"b")</f>
        <v>15</v>
      </c>
      <c r="AJ53">
        <f>+COUNTIF(F53:AE53,"c")</f>
        <v>1</v>
      </c>
      <c r="AL53">
        <f>+$AG$5*AG53</f>
        <v>0</v>
      </c>
      <c r="AM53">
        <f>+$AH$5*AH53</f>
        <v>30</v>
      </c>
      <c r="AN53">
        <f>+$AI$5*AI53</f>
        <v>30</v>
      </c>
      <c r="AO53">
        <f>+$AJ$5*AJ53</f>
        <v>1</v>
      </c>
      <c r="AP53">
        <f>+SUM(AL53:AO53)</f>
        <v>61</v>
      </c>
    </row>
    <row r="54" spans="1:42" ht="15.75" hidden="1" customHeight="1" x14ac:dyDescent="0.3">
      <c r="A54" s="16"/>
      <c r="B54" s="55">
        <v>10</v>
      </c>
      <c r="C54" s="56" t="s">
        <v>71</v>
      </c>
      <c r="D54" s="55">
        <v>2</v>
      </c>
      <c r="E54" s="55" t="s">
        <v>20</v>
      </c>
      <c r="F54" s="18" t="s">
        <v>21</v>
      </c>
      <c r="G54" s="18" t="s">
        <v>21</v>
      </c>
      <c r="H54" s="18" t="s">
        <v>21</v>
      </c>
      <c r="I54" s="18" t="s">
        <v>21</v>
      </c>
      <c r="J54" s="18" t="s">
        <v>20</v>
      </c>
      <c r="K54" s="18" t="s">
        <v>21</v>
      </c>
      <c r="L54" s="18" t="s">
        <v>21</v>
      </c>
      <c r="M54" s="18" t="s">
        <v>21</v>
      </c>
      <c r="N54" s="18" t="s">
        <v>21</v>
      </c>
      <c r="O54" s="18" t="s">
        <v>20</v>
      </c>
      <c r="P54" s="18" t="s">
        <v>21</v>
      </c>
      <c r="Q54" s="18" t="s">
        <v>21</v>
      </c>
      <c r="R54" s="18" t="s">
        <v>21</v>
      </c>
      <c r="S54" s="18" t="s">
        <v>21</v>
      </c>
      <c r="T54" s="18" t="s">
        <v>20</v>
      </c>
      <c r="U54" s="18" t="s">
        <v>20</v>
      </c>
      <c r="V54" s="37" t="s">
        <v>20</v>
      </c>
      <c r="W54" s="37" t="s">
        <v>20</v>
      </c>
      <c r="X54" s="37" t="s">
        <v>20</v>
      </c>
      <c r="Y54" s="18" t="s">
        <v>20</v>
      </c>
      <c r="Z54" s="18" t="s">
        <v>21</v>
      </c>
      <c r="AA54" s="20" t="s">
        <v>20</v>
      </c>
      <c r="AB54" s="20" t="s">
        <v>21</v>
      </c>
      <c r="AC54" s="20" t="s">
        <v>21</v>
      </c>
      <c r="AD54" s="29" t="s">
        <v>21</v>
      </c>
      <c r="AE54" s="29" t="s">
        <v>21</v>
      </c>
      <c r="AG54">
        <f>+COUNTIF(F54:AE54,"AD")</f>
        <v>0</v>
      </c>
      <c r="AH54">
        <f>+COUNTIF(F54:AE54,"A")</f>
        <v>9</v>
      </c>
      <c r="AI54">
        <f>+COUNTIF(F54:AE54,"b")</f>
        <v>17</v>
      </c>
      <c r="AJ54">
        <f>+COUNTIF(F54:AE54,"c")</f>
        <v>0</v>
      </c>
      <c r="AL54">
        <f>+$AG$5*AG54</f>
        <v>0</v>
      </c>
      <c r="AM54">
        <f>+$AH$5*AH54</f>
        <v>27</v>
      </c>
      <c r="AN54">
        <f>+$AI$5*AI54</f>
        <v>34</v>
      </c>
      <c r="AO54">
        <f>+$AJ$5*AJ54</f>
        <v>0</v>
      </c>
      <c r="AP54">
        <f>+SUM(AL54:AO54)</f>
        <v>61</v>
      </c>
    </row>
    <row r="55" spans="1:42" ht="15.75" hidden="1" customHeight="1" x14ac:dyDescent="0.3">
      <c r="A55" s="16"/>
      <c r="B55" s="55">
        <v>5</v>
      </c>
      <c r="C55" s="56" t="s">
        <v>66</v>
      </c>
      <c r="D55" s="55">
        <v>2</v>
      </c>
      <c r="E55" s="55" t="s">
        <v>20</v>
      </c>
      <c r="F55" s="18" t="s">
        <v>21</v>
      </c>
      <c r="G55" s="18" t="s">
        <v>21</v>
      </c>
      <c r="H55" s="18" t="s">
        <v>21</v>
      </c>
      <c r="I55" s="18" t="s">
        <v>21</v>
      </c>
      <c r="J55" s="18" t="s">
        <v>21</v>
      </c>
      <c r="K55" s="18" t="s">
        <v>21</v>
      </c>
      <c r="L55" s="18" t="s">
        <v>21</v>
      </c>
      <c r="M55" s="18" t="s">
        <v>21</v>
      </c>
      <c r="N55" s="18" t="s">
        <v>21</v>
      </c>
      <c r="O55" s="18" t="s">
        <v>20</v>
      </c>
      <c r="P55" s="18" t="s">
        <v>21</v>
      </c>
      <c r="Q55" s="18" t="s">
        <v>21</v>
      </c>
      <c r="R55" s="18" t="s">
        <v>21</v>
      </c>
      <c r="S55" s="18" t="s">
        <v>20</v>
      </c>
      <c r="T55" s="18" t="s">
        <v>21</v>
      </c>
      <c r="U55" s="18" t="s">
        <v>20</v>
      </c>
      <c r="V55" s="35" t="s">
        <v>20</v>
      </c>
      <c r="W55" s="35" t="s">
        <v>20</v>
      </c>
      <c r="X55" s="36" t="s">
        <v>20</v>
      </c>
      <c r="Y55" s="19" t="s">
        <v>20</v>
      </c>
      <c r="Z55" s="18" t="s">
        <v>20</v>
      </c>
      <c r="AA55" s="20" t="s">
        <v>21</v>
      </c>
      <c r="AB55" s="20" t="s">
        <v>21</v>
      </c>
      <c r="AC55" s="20" t="s">
        <v>23</v>
      </c>
      <c r="AD55" s="29" t="s">
        <v>21</v>
      </c>
      <c r="AE55" s="29" t="s">
        <v>21</v>
      </c>
      <c r="AG55">
        <f>+COUNTIF(F55:AE55,"AD")</f>
        <v>0</v>
      </c>
      <c r="AH55">
        <f>+COUNTIF(F55:AE55,"A")</f>
        <v>8</v>
      </c>
      <c r="AI55">
        <f>+COUNTIF(F55:AE55,"b")</f>
        <v>17</v>
      </c>
      <c r="AJ55">
        <f>+COUNTIF(F55:AE55,"c")</f>
        <v>1</v>
      </c>
      <c r="AL55">
        <f>+$AG$5*AG55</f>
        <v>0</v>
      </c>
      <c r="AM55">
        <f>+$AH$5*AH55</f>
        <v>24</v>
      </c>
      <c r="AN55">
        <f>+$AI$5*AI55</f>
        <v>34</v>
      </c>
      <c r="AO55">
        <f>+$AJ$5*AJ55</f>
        <v>1</v>
      </c>
      <c r="AP55">
        <f>+SUM(AL55:AO55)</f>
        <v>59</v>
      </c>
    </row>
    <row r="56" spans="1:42" ht="15.75" hidden="1" customHeight="1" x14ac:dyDescent="0.3">
      <c r="A56" s="16"/>
      <c r="B56" s="55">
        <v>15</v>
      </c>
      <c r="C56" s="56" t="s">
        <v>76</v>
      </c>
      <c r="D56" s="55">
        <v>2</v>
      </c>
      <c r="E56" s="55" t="s">
        <v>20</v>
      </c>
      <c r="F56" s="18" t="s">
        <v>20</v>
      </c>
      <c r="G56" s="18" t="s">
        <v>21</v>
      </c>
      <c r="H56" s="18" t="s">
        <v>21</v>
      </c>
      <c r="I56" s="18" t="s">
        <v>21</v>
      </c>
      <c r="J56" s="18" t="s">
        <v>20</v>
      </c>
      <c r="K56" s="18" t="s">
        <v>21</v>
      </c>
      <c r="L56" s="18" t="s">
        <v>21</v>
      </c>
      <c r="M56" s="18" t="s">
        <v>21</v>
      </c>
      <c r="N56" s="18" t="s">
        <v>21</v>
      </c>
      <c r="O56" s="18" t="s">
        <v>20</v>
      </c>
      <c r="P56" s="18" t="s">
        <v>21</v>
      </c>
      <c r="Q56" s="18" t="s">
        <v>21</v>
      </c>
      <c r="R56" s="18" t="s">
        <v>21</v>
      </c>
      <c r="S56" s="18" t="s">
        <v>20</v>
      </c>
      <c r="T56" s="18" t="s">
        <v>21</v>
      </c>
      <c r="U56" s="18" t="s">
        <v>21</v>
      </c>
      <c r="V56" s="37" t="s">
        <v>21</v>
      </c>
      <c r="W56" s="37" t="s">
        <v>20</v>
      </c>
      <c r="X56" s="37" t="s">
        <v>20</v>
      </c>
      <c r="Y56" s="18" t="s">
        <v>21</v>
      </c>
      <c r="Z56" s="18" t="s">
        <v>21</v>
      </c>
      <c r="AA56" s="20" t="s">
        <v>21</v>
      </c>
      <c r="AB56" s="20" t="s">
        <v>21</v>
      </c>
      <c r="AC56" s="20" t="s">
        <v>21</v>
      </c>
      <c r="AD56" s="29" t="s">
        <v>23</v>
      </c>
      <c r="AE56" s="29" t="s">
        <v>21</v>
      </c>
      <c r="AG56">
        <f>+COUNTIF(F56:AE56,"AD")</f>
        <v>0</v>
      </c>
      <c r="AH56">
        <f>+COUNTIF(F56:AE56,"A")</f>
        <v>6</v>
      </c>
      <c r="AI56">
        <f>+COUNTIF(F56:AE56,"b")</f>
        <v>19</v>
      </c>
      <c r="AJ56">
        <f>+COUNTIF(F56:AE56,"c")</f>
        <v>1</v>
      </c>
      <c r="AL56">
        <f>+$AG$5*AG56</f>
        <v>0</v>
      </c>
      <c r="AM56">
        <f>+$AH$5*AH56</f>
        <v>18</v>
      </c>
      <c r="AN56">
        <f>+$AI$5*AI56</f>
        <v>38</v>
      </c>
      <c r="AO56">
        <f>+$AJ$5*AJ56</f>
        <v>1</v>
      </c>
      <c r="AP56">
        <f>+SUM(AL56:AO56)</f>
        <v>57</v>
      </c>
    </row>
    <row r="57" spans="1:42" ht="15.75" hidden="1" customHeight="1" x14ac:dyDescent="0.3">
      <c r="A57" s="16"/>
      <c r="B57" s="55">
        <v>17</v>
      </c>
      <c r="C57" s="56" t="s">
        <v>78</v>
      </c>
      <c r="D57" s="55">
        <v>2</v>
      </c>
      <c r="E57" s="55" t="s">
        <v>20</v>
      </c>
      <c r="F57" s="18" t="s">
        <v>21</v>
      </c>
      <c r="G57" s="18" t="s">
        <v>21</v>
      </c>
      <c r="H57" s="18" t="s">
        <v>21</v>
      </c>
      <c r="I57" s="18" t="s">
        <v>21</v>
      </c>
      <c r="J57" s="18" t="s">
        <v>23</v>
      </c>
      <c r="K57" s="18" t="s">
        <v>21</v>
      </c>
      <c r="L57" s="18" t="s">
        <v>21</v>
      </c>
      <c r="M57" s="18" t="s">
        <v>21</v>
      </c>
      <c r="N57" s="18" t="s">
        <v>21</v>
      </c>
      <c r="O57" s="18" t="s">
        <v>20</v>
      </c>
      <c r="P57" s="18" t="s">
        <v>21</v>
      </c>
      <c r="Q57" s="18" t="s">
        <v>21</v>
      </c>
      <c r="R57" s="18" t="s">
        <v>21</v>
      </c>
      <c r="S57" s="18" t="s">
        <v>21</v>
      </c>
      <c r="T57" s="18" t="s">
        <v>21</v>
      </c>
      <c r="U57" s="18" t="s">
        <v>21</v>
      </c>
      <c r="V57" s="37" t="s">
        <v>20</v>
      </c>
      <c r="W57" s="37" t="s">
        <v>20</v>
      </c>
      <c r="X57" s="37" t="s">
        <v>20</v>
      </c>
      <c r="Y57" s="18" t="s">
        <v>20</v>
      </c>
      <c r="Z57" s="18" t="s">
        <v>20</v>
      </c>
      <c r="AA57" s="20" t="s">
        <v>23</v>
      </c>
      <c r="AB57" s="20" t="s">
        <v>23</v>
      </c>
      <c r="AC57" s="20" t="s">
        <v>21</v>
      </c>
      <c r="AD57" s="29" t="s">
        <v>21</v>
      </c>
      <c r="AE57" s="29" t="s">
        <v>21</v>
      </c>
      <c r="AG57">
        <f>+COUNTIF(F57:AE57,"AD")</f>
        <v>0</v>
      </c>
      <c r="AH57">
        <f>+COUNTIF(F57:AE57,"A")</f>
        <v>6</v>
      </c>
      <c r="AI57">
        <f>+COUNTIF(F57:AE57,"b")</f>
        <v>17</v>
      </c>
      <c r="AJ57">
        <f>+COUNTIF(F57:AE57,"c")</f>
        <v>3</v>
      </c>
      <c r="AL57">
        <f>+$AG$5*AG57</f>
        <v>0</v>
      </c>
      <c r="AM57">
        <f>+$AH$5*AH57</f>
        <v>18</v>
      </c>
      <c r="AN57">
        <f>+$AI$5*AI57</f>
        <v>34</v>
      </c>
      <c r="AO57">
        <f>+$AJ$5*AJ57</f>
        <v>3</v>
      </c>
      <c r="AP57">
        <f>+SUM(AL57:AO57)</f>
        <v>55</v>
      </c>
    </row>
    <row r="58" spans="1:42" ht="15.75" hidden="1" customHeight="1" x14ac:dyDescent="0.3">
      <c r="A58" s="16"/>
      <c r="B58" s="55">
        <v>14</v>
      </c>
      <c r="C58" s="56" t="s">
        <v>75</v>
      </c>
      <c r="D58" s="55">
        <v>2</v>
      </c>
      <c r="E58" s="55" t="s">
        <v>20</v>
      </c>
      <c r="F58" s="18" t="s">
        <v>20</v>
      </c>
      <c r="G58" s="18" t="s">
        <v>21</v>
      </c>
      <c r="H58" s="18" t="s">
        <v>21</v>
      </c>
      <c r="I58" s="18" t="s">
        <v>21</v>
      </c>
      <c r="J58" s="18" t="s">
        <v>21</v>
      </c>
      <c r="K58" s="18" t="s">
        <v>23</v>
      </c>
      <c r="L58" s="18" t="s">
        <v>20</v>
      </c>
      <c r="M58" s="18" t="s">
        <v>21</v>
      </c>
      <c r="N58" s="18" t="s">
        <v>21</v>
      </c>
      <c r="O58" s="18" t="s">
        <v>23</v>
      </c>
      <c r="P58" s="18" t="s">
        <v>20</v>
      </c>
      <c r="Q58" s="18" t="s">
        <v>20</v>
      </c>
      <c r="R58" s="18" t="s">
        <v>21</v>
      </c>
      <c r="S58" s="18" t="s">
        <v>21</v>
      </c>
      <c r="T58" s="18" t="s">
        <v>23</v>
      </c>
      <c r="U58" s="18" t="s">
        <v>21</v>
      </c>
      <c r="V58" s="37" t="s">
        <v>21</v>
      </c>
      <c r="W58" s="37" t="s">
        <v>20</v>
      </c>
      <c r="X58" s="37" t="s">
        <v>21</v>
      </c>
      <c r="Y58" s="18" t="s">
        <v>21</v>
      </c>
      <c r="Z58" s="18" t="s">
        <v>20</v>
      </c>
      <c r="AA58" s="20" t="s">
        <v>23</v>
      </c>
      <c r="AB58" s="20" t="s">
        <v>21</v>
      </c>
      <c r="AC58" s="20" t="s">
        <v>21</v>
      </c>
      <c r="AD58" s="29" t="s">
        <v>23</v>
      </c>
      <c r="AE58" s="29" t="s">
        <v>21</v>
      </c>
      <c r="AG58">
        <f>+COUNTIF(F58:AE58,"AD")</f>
        <v>0</v>
      </c>
      <c r="AH58">
        <f>+COUNTIF(F58:AE58,"A")</f>
        <v>6</v>
      </c>
      <c r="AI58">
        <f>+COUNTIF(F58:AE58,"b")</f>
        <v>15</v>
      </c>
      <c r="AJ58">
        <f>+COUNTIF(F58:AE58,"c")</f>
        <v>5</v>
      </c>
      <c r="AL58">
        <f>+$AG$5*AG58</f>
        <v>0</v>
      </c>
      <c r="AM58">
        <f>+$AH$5*AH58</f>
        <v>18</v>
      </c>
      <c r="AN58">
        <f>+$AI$5*AI58</f>
        <v>30</v>
      </c>
      <c r="AO58">
        <f>+$AJ$5*AJ58</f>
        <v>5</v>
      </c>
      <c r="AP58">
        <f>+SUM(AL58:AO58)</f>
        <v>53</v>
      </c>
    </row>
    <row r="59" spans="1:42" ht="15.75" hidden="1" customHeight="1" x14ac:dyDescent="0.3">
      <c r="A59" s="16"/>
      <c r="B59" s="55">
        <v>19</v>
      </c>
      <c r="C59" s="56" t="s">
        <v>80</v>
      </c>
      <c r="D59" s="55">
        <v>2</v>
      </c>
      <c r="E59" s="55" t="s">
        <v>20</v>
      </c>
      <c r="F59" s="18" t="s">
        <v>21</v>
      </c>
      <c r="G59" s="18" t="s">
        <v>20</v>
      </c>
      <c r="H59" s="18" t="s">
        <v>21</v>
      </c>
      <c r="I59" s="18" t="s">
        <v>21</v>
      </c>
      <c r="J59" s="18" t="s">
        <v>21</v>
      </c>
      <c r="K59" s="18" t="s">
        <v>23</v>
      </c>
      <c r="L59" s="18" t="s">
        <v>23</v>
      </c>
      <c r="M59" s="18" t="s">
        <v>21</v>
      </c>
      <c r="N59" s="18" t="s">
        <v>21</v>
      </c>
      <c r="O59" s="18" t="s">
        <v>20</v>
      </c>
      <c r="P59" s="18" t="s">
        <v>21</v>
      </c>
      <c r="Q59" s="18" t="s">
        <v>21</v>
      </c>
      <c r="R59" s="18" t="s">
        <v>23</v>
      </c>
      <c r="S59" s="18" t="s">
        <v>21</v>
      </c>
      <c r="T59" s="18" t="s">
        <v>21</v>
      </c>
      <c r="U59" s="18" t="s">
        <v>21</v>
      </c>
      <c r="V59" s="37" t="s">
        <v>21</v>
      </c>
      <c r="W59" s="37" t="s">
        <v>20</v>
      </c>
      <c r="X59" s="37" t="s">
        <v>20</v>
      </c>
      <c r="Y59" s="18" t="s">
        <v>20</v>
      </c>
      <c r="Z59" s="18" t="s">
        <v>20</v>
      </c>
      <c r="AA59" s="20" t="s">
        <v>23</v>
      </c>
      <c r="AB59" s="20" t="s">
        <v>21</v>
      </c>
      <c r="AC59" s="20" t="s">
        <v>21</v>
      </c>
      <c r="AD59" s="29" t="s">
        <v>23</v>
      </c>
      <c r="AE59" s="29" t="s">
        <v>21</v>
      </c>
      <c r="AG59">
        <f>+COUNTIF(F59:AE59,"AD")</f>
        <v>0</v>
      </c>
      <c r="AH59">
        <f>+COUNTIF(F59:AE59,"A")</f>
        <v>6</v>
      </c>
      <c r="AI59">
        <f>+COUNTIF(F59:AE59,"b")</f>
        <v>15</v>
      </c>
      <c r="AJ59">
        <f>+COUNTIF(F59:AE59,"c")</f>
        <v>5</v>
      </c>
      <c r="AL59">
        <f>+$AG$5*AG59</f>
        <v>0</v>
      </c>
      <c r="AM59">
        <f>+$AH$5*AH59</f>
        <v>18</v>
      </c>
      <c r="AN59">
        <f>+$AI$5*AI59</f>
        <v>30</v>
      </c>
      <c r="AO59">
        <f>+$AJ$5*AJ59</f>
        <v>5</v>
      </c>
      <c r="AP59">
        <f>+SUM(AL59:AO59)</f>
        <v>53</v>
      </c>
    </row>
    <row r="60" spans="1:42" ht="15.75" hidden="1" customHeight="1" x14ac:dyDescent="0.3">
      <c r="A60" s="16"/>
      <c r="B60" s="55">
        <v>9</v>
      </c>
      <c r="C60" s="56" t="s">
        <v>70</v>
      </c>
      <c r="D60" s="55">
        <v>2</v>
      </c>
      <c r="E60" s="55" t="s">
        <v>20</v>
      </c>
      <c r="F60" s="18" t="s">
        <v>21</v>
      </c>
      <c r="G60" s="18" t="s">
        <v>21</v>
      </c>
      <c r="H60" s="18" t="s">
        <v>21</v>
      </c>
      <c r="I60" s="18" t="s">
        <v>21</v>
      </c>
      <c r="J60" s="18" t="s">
        <v>21</v>
      </c>
      <c r="K60" s="18" t="s">
        <v>21</v>
      </c>
      <c r="L60" s="18" t="s">
        <v>21</v>
      </c>
      <c r="M60" s="18" t="s">
        <v>21</v>
      </c>
      <c r="N60" s="18" t="s">
        <v>21</v>
      </c>
      <c r="O60" s="18" t="s">
        <v>23</v>
      </c>
      <c r="P60" s="18" t="s">
        <v>21</v>
      </c>
      <c r="Q60" s="18" t="s">
        <v>21</v>
      </c>
      <c r="R60" s="18" t="s">
        <v>21</v>
      </c>
      <c r="S60" s="18" t="s">
        <v>23</v>
      </c>
      <c r="T60" s="18" t="s">
        <v>23</v>
      </c>
      <c r="U60" s="18" t="s">
        <v>20</v>
      </c>
      <c r="V60" s="37" t="s">
        <v>20</v>
      </c>
      <c r="W60" s="37" t="s">
        <v>20</v>
      </c>
      <c r="X60" s="37" t="s">
        <v>20</v>
      </c>
      <c r="Y60" s="18" t="s">
        <v>21</v>
      </c>
      <c r="Z60" s="18" t="s">
        <v>20</v>
      </c>
      <c r="AA60" s="20" t="s">
        <v>23</v>
      </c>
      <c r="AB60" s="20" t="s">
        <v>21</v>
      </c>
      <c r="AC60" s="20" t="s">
        <v>23</v>
      </c>
      <c r="AD60" s="29" t="s">
        <v>21</v>
      </c>
      <c r="AE60" s="29" t="s">
        <v>21</v>
      </c>
      <c r="AG60">
        <f>+COUNTIF(F60:AE60,"AD")</f>
        <v>0</v>
      </c>
      <c r="AH60">
        <f>+COUNTIF(F60:AE60,"A")</f>
        <v>5</v>
      </c>
      <c r="AI60">
        <f>+COUNTIF(F60:AE60,"b")</f>
        <v>16</v>
      </c>
      <c r="AJ60">
        <f>+COUNTIF(F60:AE60,"c")</f>
        <v>5</v>
      </c>
      <c r="AL60">
        <f>+$AG$5*AG60</f>
        <v>0</v>
      </c>
      <c r="AM60">
        <f>+$AH$5*AH60</f>
        <v>15</v>
      </c>
      <c r="AN60">
        <f>+$AI$5*AI60</f>
        <v>32</v>
      </c>
      <c r="AO60">
        <f>+$AJ$5*AJ60</f>
        <v>5</v>
      </c>
      <c r="AP60">
        <f>+SUM(AL60:AO60)</f>
        <v>52</v>
      </c>
    </row>
    <row r="61" spans="1:42" ht="15.75" hidden="1" customHeight="1" x14ac:dyDescent="0.3">
      <c r="A61" s="16"/>
      <c r="B61" s="55">
        <v>4</v>
      </c>
      <c r="C61" s="56" t="s">
        <v>65</v>
      </c>
      <c r="D61" s="55">
        <v>2</v>
      </c>
      <c r="E61" s="55" t="s">
        <v>20</v>
      </c>
      <c r="F61" s="18" t="s">
        <v>21</v>
      </c>
      <c r="G61" s="18" t="s">
        <v>23</v>
      </c>
      <c r="H61" s="18" t="s">
        <v>21</v>
      </c>
      <c r="I61" s="18" t="s">
        <v>21</v>
      </c>
      <c r="J61" s="18" t="s">
        <v>21</v>
      </c>
      <c r="K61" s="18" t="s">
        <v>23</v>
      </c>
      <c r="L61" s="18" t="s">
        <v>21</v>
      </c>
      <c r="M61" s="18" t="s">
        <v>21</v>
      </c>
      <c r="N61" s="18" t="s">
        <v>21</v>
      </c>
      <c r="O61" s="18" t="s">
        <v>23</v>
      </c>
      <c r="P61" s="18" t="s">
        <v>23</v>
      </c>
      <c r="Q61" s="18" t="s">
        <v>23</v>
      </c>
      <c r="R61" s="18" t="s">
        <v>21</v>
      </c>
      <c r="S61" s="18" t="s">
        <v>23</v>
      </c>
      <c r="T61" s="18" t="s">
        <v>23</v>
      </c>
      <c r="U61" s="18" t="s">
        <v>20</v>
      </c>
      <c r="V61" s="35" t="s">
        <v>20</v>
      </c>
      <c r="W61" s="35" t="s">
        <v>20</v>
      </c>
      <c r="X61" s="36" t="s">
        <v>20</v>
      </c>
      <c r="Y61" s="19" t="s">
        <v>20</v>
      </c>
      <c r="Z61" s="18" t="s">
        <v>20</v>
      </c>
      <c r="AA61" s="20" t="s">
        <v>21</v>
      </c>
      <c r="AB61" s="20" t="s">
        <v>21</v>
      </c>
      <c r="AC61" s="20" t="s">
        <v>21</v>
      </c>
      <c r="AD61" s="29" t="s">
        <v>21</v>
      </c>
      <c r="AE61" s="29" t="s">
        <v>21</v>
      </c>
      <c r="AG61">
        <f>+COUNTIF(F61:AE61,"AD")</f>
        <v>0</v>
      </c>
      <c r="AH61">
        <f>+COUNTIF(F61:AE61,"A")</f>
        <v>6</v>
      </c>
      <c r="AI61">
        <f>+COUNTIF(F61:AE61,"b")</f>
        <v>13</v>
      </c>
      <c r="AJ61">
        <f>+COUNTIF(F61:AE61,"c")</f>
        <v>7</v>
      </c>
      <c r="AL61">
        <f>+$AG$5*AG61</f>
        <v>0</v>
      </c>
      <c r="AM61">
        <f>+$AH$5*AH61</f>
        <v>18</v>
      </c>
      <c r="AN61">
        <f>+$AI$5*AI61</f>
        <v>26</v>
      </c>
      <c r="AO61">
        <f>+$AJ$5*AJ61</f>
        <v>7</v>
      </c>
      <c r="AP61">
        <f>+SUM(AL61:AO61)</f>
        <v>51</v>
      </c>
    </row>
    <row r="62" spans="1:42" ht="15.75" hidden="1" customHeight="1" x14ac:dyDescent="0.3">
      <c r="A62" s="16"/>
      <c r="B62" s="55">
        <v>3</v>
      </c>
      <c r="C62" s="56" t="s">
        <v>64</v>
      </c>
      <c r="D62" s="55">
        <v>2</v>
      </c>
      <c r="E62" s="55" t="s">
        <v>20</v>
      </c>
      <c r="F62" s="18" t="s">
        <v>21</v>
      </c>
      <c r="G62" s="18" t="s">
        <v>23</v>
      </c>
      <c r="H62" s="18" t="s">
        <v>21</v>
      </c>
      <c r="I62" s="18" t="s">
        <v>21</v>
      </c>
      <c r="J62" s="18" t="s">
        <v>20</v>
      </c>
      <c r="K62" s="18" t="s">
        <v>23</v>
      </c>
      <c r="L62" s="18" t="s">
        <v>21</v>
      </c>
      <c r="M62" s="18" t="s">
        <v>21</v>
      </c>
      <c r="N62" s="18" t="s">
        <v>21</v>
      </c>
      <c r="O62" s="18" t="s">
        <v>23</v>
      </c>
      <c r="P62" s="18" t="s">
        <v>21</v>
      </c>
      <c r="Q62" s="18" t="s">
        <v>20</v>
      </c>
      <c r="R62" s="18" t="s">
        <v>21</v>
      </c>
      <c r="S62" s="18" t="s">
        <v>23</v>
      </c>
      <c r="T62" s="18" t="s">
        <v>21</v>
      </c>
      <c r="U62" s="18" t="s">
        <v>20</v>
      </c>
      <c r="V62" s="35" t="s">
        <v>21</v>
      </c>
      <c r="W62" s="35" t="s">
        <v>21</v>
      </c>
      <c r="X62" s="36" t="s">
        <v>21</v>
      </c>
      <c r="Y62" s="19" t="s">
        <v>21</v>
      </c>
      <c r="Z62" s="18" t="s">
        <v>20</v>
      </c>
      <c r="AA62" s="20" t="s">
        <v>21</v>
      </c>
      <c r="AB62" s="20" t="s">
        <v>21</v>
      </c>
      <c r="AC62" s="20" t="s">
        <v>21</v>
      </c>
      <c r="AD62" s="29" t="s">
        <v>55</v>
      </c>
      <c r="AE62" s="29" t="s">
        <v>55</v>
      </c>
      <c r="AG62">
        <f>+COUNTIF(F62:AE62,"AD")</f>
        <v>0</v>
      </c>
      <c r="AH62">
        <f>+COUNTIF(F62:AE62,"A")</f>
        <v>4</v>
      </c>
      <c r="AI62">
        <f>+COUNTIF(F62:AE62,"b")</f>
        <v>16</v>
      </c>
      <c r="AJ62">
        <f>+COUNTIF(F62:AE62,"c")</f>
        <v>4</v>
      </c>
      <c r="AL62">
        <f>+$AG$5*AG62</f>
        <v>0</v>
      </c>
      <c r="AM62">
        <f>+$AH$5*AH62</f>
        <v>12</v>
      </c>
      <c r="AN62">
        <f>+$AI$5*AI62</f>
        <v>32</v>
      </c>
      <c r="AO62">
        <f>+$AJ$5*AJ62</f>
        <v>4</v>
      </c>
      <c r="AP62">
        <f>+SUM(AL62:AO62)</f>
        <v>48</v>
      </c>
    </row>
    <row r="63" spans="1:42" ht="15.75" hidden="1" customHeight="1" x14ac:dyDescent="0.3">
      <c r="A63" s="16"/>
      <c r="B63" s="55">
        <v>21</v>
      </c>
      <c r="C63" s="56" t="s">
        <v>82</v>
      </c>
      <c r="D63" s="55">
        <v>2</v>
      </c>
      <c r="E63" s="55" t="s">
        <v>20</v>
      </c>
      <c r="F63" s="18" t="s">
        <v>21</v>
      </c>
      <c r="G63" s="18" t="s">
        <v>20</v>
      </c>
      <c r="H63" s="18" t="s">
        <v>21</v>
      </c>
      <c r="I63" s="18" t="s">
        <v>21</v>
      </c>
      <c r="J63" s="18" t="s">
        <v>20</v>
      </c>
      <c r="K63" s="18" t="s">
        <v>21</v>
      </c>
      <c r="L63" s="18" t="s">
        <v>23</v>
      </c>
      <c r="M63" s="18" t="s">
        <v>21</v>
      </c>
      <c r="N63" s="18" t="s">
        <v>21</v>
      </c>
      <c r="O63" s="18" t="s">
        <v>23</v>
      </c>
      <c r="P63" s="18" t="s">
        <v>23</v>
      </c>
      <c r="Q63" s="18" t="s">
        <v>23</v>
      </c>
      <c r="R63" s="18" t="s">
        <v>21</v>
      </c>
      <c r="S63" s="18" t="s">
        <v>23</v>
      </c>
      <c r="T63" s="18" t="s">
        <v>23</v>
      </c>
      <c r="U63" s="18" t="s">
        <v>21</v>
      </c>
      <c r="V63" s="37" t="s">
        <v>20</v>
      </c>
      <c r="W63" s="37" t="s">
        <v>21</v>
      </c>
      <c r="X63" s="37" t="s">
        <v>20</v>
      </c>
      <c r="Y63" s="18" t="s">
        <v>21</v>
      </c>
      <c r="Z63" s="18" t="s">
        <v>21</v>
      </c>
      <c r="AA63" s="20" t="s">
        <v>23</v>
      </c>
      <c r="AB63" s="20" t="s">
        <v>21</v>
      </c>
      <c r="AC63" s="20" t="s">
        <v>21</v>
      </c>
      <c r="AD63" s="29" t="s">
        <v>23</v>
      </c>
      <c r="AE63" s="29" t="s">
        <v>21</v>
      </c>
      <c r="AG63">
        <f>+COUNTIF(F63:AE63,"AD")</f>
        <v>0</v>
      </c>
      <c r="AH63">
        <f>+COUNTIF(F63:AE63,"A")</f>
        <v>4</v>
      </c>
      <c r="AI63">
        <f>+COUNTIF(F63:AE63,"b")</f>
        <v>14</v>
      </c>
      <c r="AJ63">
        <f>+COUNTIF(F63:AE63,"c")</f>
        <v>8</v>
      </c>
      <c r="AL63">
        <f>+$AG$5*AG63</f>
        <v>0</v>
      </c>
      <c r="AM63">
        <f>+$AH$5*AH63</f>
        <v>12</v>
      </c>
      <c r="AN63">
        <f>+$AI$5*AI63</f>
        <v>28</v>
      </c>
      <c r="AO63">
        <f>+$AJ$5*AJ63</f>
        <v>8</v>
      </c>
      <c r="AP63">
        <f>+SUM(AL63:AO63)</f>
        <v>48</v>
      </c>
    </row>
    <row r="64" spans="1:42" ht="15.75" hidden="1" customHeight="1" x14ac:dyDescent="0.3">
      <c r="A64" s="16"/>
      <c r="B64" s="55">
        <v>22</v>
      </c>
      <c r="C64" s="56" t="s">
        <v>83</v>
      </c>
      <c r="D64" s="55">
        <v>2</v>
      </c>
      <c r="E64" s="55" t="s">
        <v>20</v>
      </c>
      <c r="F64" s="18" t="s">
        <v>21</v>
      </c>
      <c r="G64" s="18" t="s">
        <v>23</v>
      </c>
      <c r="H64" s="18" t="s">
        <v>21</v>
      </c>
      <c r="I64" s="18" t="s">
        <v>21</v>
      </c>
      <c r="J64" s="18" t="s">
        <v>21</v>
      </c>
      <c r="K64" s="18" t="s">
        <v>21</v>
      </c>
      <c r="L64" s="18" t="s">
        <v>20</v>
      </c>
      <c r="M64" s="18" t="s">
        <v>21</v>
      </c>
      <c r="N64" s="18" t="s">
        <v>21</v>
      </c>
      <c r="O64" s="18" t="s">
        <v>23</v>
      </c>
      <c r="P64" s="18" t="s">
        <v>23</v>
      </c>
      <c r="Q64" s="18" t="s">
        <v>23</v>
      </c>
      <c r="R64" s="18" t="s">
        <v>21</v>
      </c>
      <c r="S64" s="18" t="s">
        <v>23</v>
      </c>
      <c r="T64" s="18" t="s">
        <v>23</v>
      </c>
      <c r="U64" s="18" t="s">
        <v>21</v>
      </c>
      <c r="V64" s="37" t="s">
        <v>20</v>
      </c>
      <c r="W64" s="37" t="s">
        <v>20</v>
      </c>
      <c r="X64" s="37" t="s">
        <v>20</v>
      </c>
      <c r="Y64" s="18" t="s">
        <v>21</v>
      </c>
      <c r="Z64" s="18" t="s">
        <v>21</v>
      </c>
      <c r="AA64" s="20" t="s">
        <v>23</v>
      </c>
      <c r="AB64" s="20" t="s">
        <v>21</v>
      </c>
      <c r="AC64" s="20" t="s">
        <v>21</v>
      </c>
      <c r="AD64" s="29" t="s">
        <v>23</v>
      </c>
      <c r="AE64" s="29" t="s">
        <v>21</v>
      </c>
      <c r="AG64">
        <f>+COUNTIF(F64:AE64,"AD")</f>
        <v>0</v>
      </c>
      <c r="AH64">
        <f>+COUNTIF(F64:AE64,"A")</f>
        <v>4</v>
      </c>
      <c r="AI64">
        <f>+COUNTIF(F64:AE64,"b")</f>
        <v>14</v>
      </c>
      <c r="AJ64">
        <f>+COUNTIF(F64:AE64,"c")</f>
        <v>8</v>
      </c>
      <c r="AL64">
        <f>+$AG$5*AG64</f>
        <v>0</v>
      </c>
      <c r="AM64">
        <f>+$AH$5*AH64</f>
        <v>12</v>
      </c>
      <c r="AN64">
        <f>+$AI$5*AI64</f>
        <v>28</v>
      </c>
      <c r="AO64">
        <f>+$AJ$5*AJ64</f>
        <v>8</v>
      </c>
      <c r="AP64">
        <f>+SUM(AL64:AO64)</f>
        <v>48</v>
      </c>
    </row>
    <row r="65" spans="1:42" ht="15.75" hidden="1" customHeight="1" x14ac:dyDescent="0.3">
      <c r="A65" s="16"/>
      <c r="B65" s="55">
        <v>24</v>
      </c>
      <c r="C65" s="56" t="s">
        <v>85</v>
      </c>
      <c r="D65" s="55">
        <v>2</v>
      </c>
      <c r="E65" s="55" t="s">
        <v>20</v>
      </c>
      <c r="F65" s="18" t="s">
        <v>21</v>
      </c>
      <c r="G65" s="18" t="s">
        <v>23</v>
      </c>
      <c r="H65" s="18" t="s">
        <v>21</v>
      </c>
      <c r="I65" s="18" t="s">
        <v>21</v>
      </c>
      <c r="J65" s="18" t="s">
        <v>21</v>
      </c>
      <c r="K65" s="18" t="s">
        <v>21</v>
      </c>
      <c r="L65" s="18" t="s">
        <v>23</v>
      </c>
      <c r="M65" s="18" t="s">
        <v>21</v>
      </c>
      <c r="N65" s="18" t="s">
        <v>21</v>
      </c>
      <c r="O65" s="18" t="s">
        <v>23</v>
      </c>
      <c r="P65" s="18" t="s">
        <v>21</v>
      </c>
      <c r="Q65" s="18" t="s">
        <v>21</v>
      </c>
      <c r="R65" s="18" t="s">
        <v>21</v>
      </c>
      <c r="S65" s="18" t="s">
        <v>23</v>
      </c>
      <c r="T65" s="18" t="s">
        <v>21</v>
      </c>
      <c r="U65" s="18" t="s">
        <v>21</v>
      </c>
      <c r="V65" s="37" t="s">
        <v>21</v>
      </c>
      <c r="W65" s="37" t="s">
        <v>20</v>
      </c>
      <c r="X65" s="37" t="s">
        <v>20</v>
      </c>
      <c r="Y65" s="18" t="s">
        <v>21</v>
      </c>
      <c r="Z65" s="18" t="s">
        <v>21</v>
      </c>
      <c r="AA65" s="20" t="s">
        <v>21</v>
      </c>
      <c r="AB65" s="20" t="s">
        <v>21</v>
      </c>
      <c r="AC65" s="20" t="s">
        <v>23</v>
      </c>
      <c r="AD65" s="29" t="s">
        <v>23</v>
      </c>
      <c r="AE65" s="29" t="s">
        <v>21</v>
      </c>
      <c r="AG65">
        <f>+COUNTIF(F65:AE65,"AD")</f>
        <v>0</v>
      </c>
      <c r="AH65">
        <f>+COUNTIF(F65:AE65,"A")</f>
        <v>2</v>
      </c>
      <c r="AI65">
        <f>+COUNTIF(F65:AE65,"b")</f>
        <v>18</v>
      </c>
      <c r="AJ65">
        <f>+COUNTIF(F65:AE65,"c")</f>
        <v>6</v>
      </c>
      <c r="AL65">
        <f>+$AG$5*AG65</f>
        <v>0</v>
      </c>
      <c r="AM65">
        <f>+$AH$5*AH65</f>
        <v>6</v>
      </c>
      <c r="AN65">
        <f>+$AI$5*AI65</f>
        <v>36</v>
      </c>
      <c r="AO65">
        <f>+$AJ$5*AJ65</f>
        <v>6</v>
      </c>
      <c r="AP65">
        <f>+SUM(AL65:AO65)</f>
        <v>48</v>
      </c>
    </row>
    <row r="66" spans="1:42" ht="15.75" hidden="1" customHeight="1" x14ac:dyDescent="0.3">
      <c r="A66" s="16"/>
      <c r="B66" s="55">
        <v>12</v>
      </c>
      <c r="C66" s="56" t="s">
        <v>73</v>
      </c>
      <c r="D66" s="55">
        <v>2</v>
      </c>
      <c r="E66" s="55" t="s">
        <v>20</v>
      </c>
      <c r="F66" s="18" t="s">
        <v>20</v>
      </c>
      <c r="G66" s="18" t="s">
        <v>21</v>
      </c>
      <c r="H66" s="18" t="s">
        <v>21</v>
      </c>
      <c r="I66" s="18" t="s">
        <v>21</v>
      </c>
      <c r="J66" s="18" t="s">
        <v>21</v>
      </c>
      <c r="K66" s="18" t="s">
        <v>21</v>
      </c>
      <c r="L66" s="18" t="s">
        <v>21</v>
      </c>
      <c r="M66" s="18" t="s">
        <v>21</v>
      </c>
      <c r="N66" s="18" t="s">
        <v>21</v>
      </c>
      <c r="O66" s="18" t="s">
        <v>23</v>
      </c>
      <c r="P66" s="18" t="s">
        <v>23</v>
      </c>
      <c r="Q66" s="18" t="s">
        <v>23</v>
      </c>
      <c r="R66" s="18" t="s">
        <v>21</v>
      </c>
      <c r="S66" s="18" t="s">
        <v>23</v>
      </c>
      <c r="T66" s="18" t="s">
        <v>23</v>
      </c>
      <c r="U66" s="18" t="s">
        <v>21</v>
      </c>
      <c r="V66" s="37" t="s">
        <v>21</v>
      </c>
      <c r="W66" s="37" t="s">
        <v>21</v>
      </c>
      <c r="X66" s="37" t="s">
        <v>21</v>
      </c>
      <c r="Y66" s="18" t="s">
        <v>21</v>
      </c>
      <c r="Z66" s="18" t="s">
        <v>21</v>
      </c>
      <c r="AA66" s="20" t="s">
        <v>23</v>
      </c>
      <c r="AB66" s="20" t="s">
        <v>21</v>
      </c>
      <c r="AC66" s="20" t="s">
        <v>23</v>
      </c>
      <c r="AD66" s="29" t="s">
        <v>23</v>
      </c>
      <c r="AE66" s="29" t="s">
        <v>21</v>
      </c>
      <c r="AG66">
        <f>+COUNTIF(F66:AE66,"AD")</f>
        <v>0</v>
      </c>
      <c r="AH66">
        <f>+COUNTIF(F66:AE66,"A")</f>
        <v>1</v>
      </c>
      <c r="AI66">
        <f>+COUNTIF(F66:AE66,"b")</f>
        <v>17</v>
      </c>
      <c r="AJ66">
        <f>+COUNTIF(F66:AE66,"c")</f>
        <v>8</v>
      </c>
      <c r="AL66">
        <f>+$AG$5*AG66</f>
        <v>0</v>
      </c>
      <c r="AM66">
        <f>+$AH$5*AH66</f>
        <v>3</v>
      </c>
      <c r="AN66">
        <f>+$AI$5*AI66</f>
        <v>34</v>
      </c>
      <c r="AO66">
        <f>+$AJ$5*AJ66</f>
        <v>8</v>
      </c>
      <c r="AP66">
        <f>+SUM(AL66:AO66)</f>
        <v>45</v>
      </c>
    </row>
    <row r="67" spans="1:42" ht="15.75" hidden="1" customHeight="1" thickBot="1" x14ac:dyDescent="0.35">
      <c r="A67" s="16"/>
      <c r="B67" s="57">
        <v>13</v>
      </c>
      <c r="C67" s="58" t="s">
        <v>74</v>
      </c>
      <c r="D67" s="57">
        <v>2</v>
      </c>
      <c r="E67" s="57" t="s">
        <v>20</v>
      </c>
      <c r="F67" s="21" t="s">
        <v>21</v>
      </c>
      <c r="G67" s="21" t="s">
        <v>21</v>
      </c>
      <c r="H67" s="21" t="s">
        <v>21</v>
      </c>
      <c r="I67" s="21" t="s">
        <v>21</v>
      </c>
      <c r="J67" s="21" t="s">
        <v>21</v>
      </c>
      <c r="K67" s="21" t="s">
        <v>23</v>
      </c>
      <c r="L67" s="21" t="s">
        <v>21</v>
      </c>
      <c r="M67" s="21" t="s">
        <v>21</v>
      </c>
      <c r="N67" s="21" t="s">
        <v>21</v>
      </c>
      <c r="O67" s="21" t="s">
        <v>23</v>
      </c>
      <c r="P67" s="21" t="s">
        <v>23</v>
      </c>
      <c r="Q67" s="21" t="s">
        <v>23</v>
      </c>
      <c r="R67" s="21" t="s">
        <v>23</v>
      </c>
      <c r="S67" s="21" t="s">
        <v>23</v>
      </c>
      <c r="T67" s="21" t="s">
        <v>23</v>
      </c>
      <c r="U67" s="21" t="s">
        <v>21</v>
      </c>
      <c r="V67" s="38" t="s">
        <v>20</v>
      </c>
      <c r="W67" s="38" t="s">
        <v>20</v>
      </c>
      <c r="X67" s="38" t="s">
        <v>20</v>
      </c>
      <c r="Y67" s="21" t="s">
        <v>21</v>
      </c>
      <c r="Z67" s="21" t="s">
        <v>21</v>
      </c>
      <c r="AA67" s="23" t="s">
        <v>21</v>
      </c>
      <c r="AB67" s="23" t="s">
        <v>23</v>
      </c>
      <c r="AC67" s="23" t="s">
        <v>23</v>
      </c>
      <c r="AD67" s="31" t="s">
        <v>23</v>
      </c>
      <c r="AE67" s="31" t="s">
        <v>21</v>
      </c>
      <c r="AG67">
        <f>+COUNTIF(F67:AE67,"AD")</f>
        <v>0</v>
      </c>
      <c r="AH67">
        <f>+COUNTIF(F67:AE67,"A")</f>
        <v>3</v>
      </c>
      <c r="AI67">
        <f>+COUNTIF(F67:AE67,"b")</f>
        <v>13</v>
      </c>
      <c r="AJ67">
        <f>+COUNTIF(F67:AE67,"c")</f>
        <v>10</v>
      </c>
      <c r="AL67">
        <f>+$AG$5*AG67</f>
        <v>0</v>
      </c>
      <c r="AM67">
        <f>+$AH$5*AH67</f>
        <v>9</v>
      </c>
      <c r="AN67">
        <f>+$AI$5*AI67</f>
        <v>26</v>
      </c>
      <c r="AO67">
        <f>+$AJ$5*AJ67</f>
        <v>10</v>
      </c>
      <c r="AP67">
        <f>+SUM(AL67:AO67)</f>
        <v>45</v>
      </c>
    </row>
    <row r="68" spans="1:42" ht="15.75" hidden="1" customHeight="1" x14ac:dyDescent="0.3">
      <c r="A68" s="16"/>
      <c r="B68" s="55">
        <v>1</v>
      </c>
      <c r="C68" s="60" t="s">
        <v>93</v>
      </c>
      <c r="D68" s="59">
        <v>2</v>
      </c>
      <c r="E68" s="59" t="s">
        <v>21</v>
      </c>
      <c r="F68" s="24" t="s">
        <v>20</v>
      </c>
      <c r="G68" s="24" t="s">
        <v>20</v>
      </c>
      <c r="H68" s="24" t="s">
        <v>20</v>
      </c>
      <c r="I68" s="24" t="s">
        <v>20</v>
      </c>
      <c r="J68" s="24" t="s">
        <v>20</v>
      </c>
      <c r="K68" s="24" t="s">
        <v>20</v>
      </c>
      <c r="L68" s="24" t="s">
        <v>39</v>
      </c>
      <c r="M68" s="24" t="s">
        <v>20</v>
      </c>
      <c r="N68" s="24" t="s">
        <v>20</v>
      </c>
      <c r="O68" s="24" t="s">
        <v>20</v>
      </c>
      <c r="P68" s="24" t="s">
        <v>20</v>
      </c>
      <c r="Q68" s="24" t="s">
        <v>20</v>
      </c>
      <c r="R68" s="24" t="s">
        <v>20</v>
      </c>
      <c r="S68" s="24" t="s">
        <v>20</v>
      </c>
      <c r="T68" s="24" t="s">
        <v>20</v>
      </c>
      <c r="U68" s="24" t="s">
        <v>20</v>
      </c>
      <c r="V68" s="39" t="s">
        <v>20</v>
      </c>
      <c r="W68" s="39" t="s">
        <v>20</v>
      </c>
      <c r="X68" s="39" t="s">
        <v>20</v>
      </c>
      <c r="Y68" s="24" t="s">
        <v>20</v>
      </c>
      <c r="Z68" s="24" t="s">
        <v>20</v>
      </c>
      <c r="AA68" s="27" t="s">
        <v>20</v>
      </c>
      <c r="AB68" s="27" t="s">
        <v>20</v>
      </c>
      <c r="AC68" s="27" t="s">
        <v>20</v>
      </c>
      <c r="AD68" s="24" t="s">
        <v>20</v>
      </c>
      <c r="AE68" s="24" t="s">
        <v>21</v>
      </c>
      <c r="AG68">
        <f>+COUNTIF(F68:AE68,"AD")</f>
        <v>1</v>
      </c>
      <c r="AH68">
        <f>+COUNTIF(F68:AE68,"A")</f>
        <v>24</v>
      </c>
      <c r="AI68">
        <f>+COUNTIF(F68:AE68,"b")</f>
        <v>1</v>
      </c>
      <c r="AJ68">
        <f>+COUNTIF(F68:AE68,"c")</f>
        <v>0</v>
      </c>
      <c r="AL68">
        <f>+$AG$5*AG68</f>
        <v>4</v>
      </c>
      <c r="AM68">
        <f>+$AH$5*AH68</f>
        <v>72</v>
      </c>
      <c r="AN68">
        <f>+$AI$5*AI68</f>
        <v>2</v>
      </c>
      <c r="AO68">
        <f>+$AJ$5*AJ68</f>
        <v>0</v>
      </c>
      <c r="AP68">
        <f>+SUM(AL68:AO68)</f>
        <v>78</v>
      </c>
    </row>
    <row r="69" spans="1:42" ht="15.75" hidden="1" customHeight="1" x14ac:dyDescent="0.3">
      <c r="A69" s="16"/>
      <c r="B69" s="55">
        <v>2</v>
      </c>
      <c r="C69" s="56" t="s">
        <v>99</v>
      </c>
      <c r="D69" s="55">
        <v>2</v>
      </c>
      <c r="E69" s="55" t="s">
        <v>21</v>
      </c>
      <c r="F69" s="18" t="s">
        <v>20</v>
      </c>
      <c r="G69" s="18" t="s">
        <v>20</v>
      </c>
      <c r="H69" s="18" t="s">
        <v>20</v>
      </c>
      <c r="I69" s="18" t="s">
        <v>20</v>
      </c>
      <c r="J69" s="18" t="s">
        <v>20</v>
      </c>
      <c r="K69" s="18" t="s">
        <v>20</v>
      </c>
      <c r="L69" s="18" t="s">
        <v>20</v>
      </c>
      <c r="M69" s="18" t="s">
        <v>21</v>
      </c>
      <c r="N69" s="18" t="s">
        <v>20</v>
      </c>
      <c r="O69" s="18" t="s">
        <v>20</v>
      </c>
      <c r="P69" s="18" t="s">
        <v>20</v>
      </c>
      <c r="Q69" s="18" t="s">
        <v>20</v>
      </c>
      <c r="R69" s="18" t="s">
        <v>20</v>
      </c>
      <c r="S69" s="18" t="s">
        <v>20</v>
      </c>
      <c r="T69" s="18" t="s">
        <v>20</v>
      </c>
      <c r="U69" s="18" t="s">
        <v>21</v>
      </c>
      <c r="V69" s="37" t="s">
        <v>20</v>
      </c>
      <c r="W69" s="37" t="s">
        <v>20</v>
      </c>
      <c r="X69" s="37" t="s">
        <v>20</v>
      </c>
      <c r="Y69" s="18" t="s">
        <v>20</v>
      </c>
      <c r="Z69" s="18" t="s">
        <v>20</v>
      </c>
      <c r="AA69" s="20" t="s">
        <v>21</v>
      </c>
      <c r="AB69" s="20" t="s">
        <v>21</v>
      </c>
      <c r="AC69" s="20" t="s">
        <v>21</v>
      </c>
      <c r="AD69" s="40" t="s">
        <v>23</v>
      </c>
      <c r="AE69" s="40" t="s">
        <v>21</v>
      </c>
      <c r="AG69">
        <f>+COUNTIF(F69:AE69,"AD")</f>
        <v>0</v>
      </c>
      <c r="AH69">
        <f>+COUNTIF(F69:AE69,"A")</f>
        <v>19</v>
      </c>
      <c r="AI69">
        <f>+COUNTIF(F69:AE69,"b")</f>
        <v>6</v>
      </c>
      <c r="AJ69">
        <f>+COUNTIF(F69:AE69,"c")</f>
        <v>1</v>
      </c>
      <c r="AL69">
        <f>+$AG$5*AG69</f>
        <v>0</v>
      </c>
      <c r="AM69">
        <f>+$AH$5*AH69</f>
        <v>57</v>
      </c>
      <c r="AN69">
        <f>+$AI$5*AI69</f>
        <v>12</v>
      </c>
      <c r="AO69">
        <f>+$AJ$5*AJ69</f>
        <v>1</v>
      </c>
      <c r="AP69">
        <f>+SUM(AL69:AO69)</f>
        <v>70</v>
      </c>
    </row>
    <row r="70" spans="1:42" ht="15.75" hidden="1" customHeight="1" x14ac:dyDescent="0.3">
      <c r="A70" s="16"/>
      <c r="B70" s="55">
        <v>3</v>
      </c>
      <c r="C70" s="56" t="s">
        <v>105</v>
      </c>
      <c r="D70" s="55">
        <v>2</v>
      </c>
      <c r="E70" s="55" t="s">
        <v>21</v>
      </c>
      <c r="F70" s="18" t="s">
        <v>20</v>
      </c>
      <c r="G70" s="18" t="s">
        <v>20</v>
      </c>
      <c r="H70" s="18" t="s">
        <v>20</v>
      </c>
      <c r="I70" s="18" t="s">
        <v>20</v>
      </c>
      <c r="J70" s="18" t="s">
        <v>20</v>
      </c>
      <c r="K70" s="18" t="s">
        <v>20</v>
      </c>
      <c r="L70" s="18" t="s">
        <v>21</v>
      </c>
      <c r="M70" s="18" t="s">
        <v>21</v>
      </c>
      <c r="N70" s="18" t="s">
        <v>20</v>
      </c>
      <c r="O70" s="18" t="s">
        <v>20</v>
      </c>
      <c r="P70" s="18" t="s">
        <v>23</v>
      </c>
      <c r="Q70" s="18" t="s">
        <v>23</v>
      </c>
      <c r="R70" s="18" t="s">
        <v>21</v>
      </c>
      <c r="S70" s="18" t="s">
        <v>21</v>
      </c>
      <c r="T70" s="18" t="s">
        <v>20</v>
      </c>
      <c r="U70" s="18" t="s">
        <v>21</v>
      </c>
      <c r="V70" s="37" t="s">
        <v>21</v>
      </c>
      <c r="W70" s="37" t="s">
        <v>20</v>
      </c>
      <c r="X70" s="37" t="s">
        <v>21</v>
      </c>
      <c r="Y70" s="18" t="s">
        <v>20</v>
      </c>
      <c r="Z70" s="18" t="s">
        <v>20</v>
      </c>
      <c r="AA70" s="20" t="s">
        <v>20</v>
      </c>
      <c r="AB70" s="20" t="s">
        <v>20</v>
      </c>
      <c r="AC70" s="20" t="s">
        <v>20</v>
      </c>
      <c r="AD70" s="18" t="s">
        <v>21</v>
      </c>
      <c r="AE70" s="18" t="s">
        <v>21</v>
      </c>
      <c r="AG70">
        <f>+COUNTIF(F70:AE70,"AD")</f>
        <v>0</v>
      </c>
      <c r="AH70">
        <f>+COUNTIF(F70:AE70,"A")</f>
        <v>15</v>
      </c>
      <c r="AI70">
        <f>+COUNTIF(F70:AE70,"b")</f>
        <v>9</v>
      </c>
      <c r="AJ70">
        <f>+COUNTIF(F70:AE70,"c")</f>
        <v>2</v>
      </c>
      <c r="AL70">
        <f>+$AG$5*AG70</f>
        <v>0</v>
      </c>
      <c r="AM70">
        <f>+$AH$5*AH70</f>
        <v>45</v>
      </c>
      <c r="AN70">
        <f>+$AI$5*AI70</f>
        <v>18</v>
      </c>
      <c r="AO70">
        <f>+$AJ$5*AJ70</f>
        <v>2</v>
      </c>
      <c r="AP70">
        <f>+SUM(AL70:AO70)</f>
        <v>65</v>
      </c>
    </row>
    <row r="71" spans="1:42" ht="15.75" hidden="1" customHeight="1" x14ac:dyDescent="0.3">
      <c r="A71" s="16"/>
      <c r="B71" s="55">
        <v>4</v>
      </c>
      <c r="C71" s="56" t="s">
        <v>98</v>
      </c>
      <c r="D71" s="55">
        <v>2</v>
      </c>
      <c r="E71" s="55" t="s">
        <v>21</v>
      </c>
      <c r="F71" s="18" t="s">
        <v>20</v>
      </c>
      <c r="G71" s="18" t="s">
        <v>21</v>
      </c>
      <c r="H71" s="18" t="s">
        <v>20</v>
      </c>
      <c r="I71" s="18" t="s">
        <v>21</v>
      </c>
      <c r="J71" s="18" t="s">
        <v>20</v>
      </c>
      <c r="K71" s="18" t="s">
        <v>20</v>
      </c>
      <c r="L71" s="18" t="s">
        <v>20</v>
      </c>
      <c r="M71" s="18" t="s">
        <v>21</v>
      </c>
      <c r="N71" s="18" t="s">
        <v>20</v>
      </c>
      <c r="O71" s="18" t="s">
        <v>21</v>
      </c>
      <c r="P71" s="18" t="s">
        <v>21</v>
      </c>
      <c r="Q71" s="18" t="s">
        <v>21</v>
      </c>
      <c r="R71" s="18" t="s">
        <v>21</v>
      </c>
      <c r="S71" s="18" t="s">
        <v>20</v>
      </c>
      <c r="T71" s="18" t="s">
        <v>20</v>
      </c>
      <c r="U71" s="18" t="s">
        <v>21</v>
      </c>
      <c r="V71" s="37" t="s">
        <v>21</v>
      </c>
      <c r="W71" s="37" t="s">
        <v>20</v>
      </c>
      <c r="X71" s="37" t="s">
        <v>21</v>
      </c>
      <c r="Y71" s="18" t="s">
        <v>21</v>
      </c>
      <c r="Z71" s="18" t="s">
        <v>21</v>
      </c>
      <c r="AA71" s="20" t="s">
        <v>21</v>
      </c>
      <c r="AB71" s="20" t="s">
        <v>20</v>
      </c>
      <c r="AC71" s="20" t="s">
        <v>20</v>
      </c>
      <c r="AD71" s="18" t="s">
        <v>21</v>
      </c>
      <c r="AE71" s="18" t="s">
        <v>21</v>
      </c>
      <c r="AG71">
        <f>+COUNTIF(F71:AE71,"AD")</f>
        <v>0</v>
      </c>
      <c r="AH71">
        <f>+COUNTIF(F71:AE71,"A")</f>
        <v>11</v>
      </c>
      <c r="AI71">
        <f>+COUNTIF(F71:AE71,"b")</f>
        <v>15</v>
      </c>
      <c r="AJ71">
        <f>+COUNTIF(F71:AE71,"c")</f>
        <v>0</v>
      </c>
      <c r="AL71">
        <f>+$AG$5*AG71</f>
        <v>0</v>
      </c>
      <c r="AM71">
        <f>+$AH$5*AH71</f>
        <v>33</v>
      </c>
      <c r="AN71">
        <f>+$AI$5*AI71</f>
        <v>30</v>
      </c>
      <c r="AO71">
        <f>+$AJ$5*AJ71</f>
        <v>0</v>
      </c>
      <c r="AP71">
        <f>+SUM(AL71:AO71)</f>
        <v>63</v>
      </c>
    </row>
    <row r="72" spans="1:42" ht="15.75" hidden="1" customHeight="1" x14ac:dyDescent="0.3">
      <c r="A72" s="16"/>
      <c r="B72" s="55">
        <v>5</v>
      </c>
      <c r="C72" s="56" t="s">
        <v>88</v>
      </c>
      <c r="D72" s="55">
        <v>2</v>
      </c>
      <c r="E72" s="55" t="s">
        <v>21</v>
      </c>
      <c r="F72" s="18" t="s">
        <v>20</v>
      </c>
      <c r="G72" s="18" t="s">
        <v>21</v>
      </c>
      <c r="H72" s="18" t="s">
        <v>20</v>
      </c>
      <c r="I72" s="18" t="s">
        <v>21</v>
      </c>
      <c r="J72" s="18" t="s">
        <v>20</v>
      </c>
      <c r="K72" s="18" t="s">
        <v>20</v>
      </c>
      <c r="L72" s="18" t="s">
        <v>20</v>
      </c>
      <c r="M72" s="18" t="s">
        <v>23</v>
      </c>
      <c r="N72" s="18" t="s">
        <v>21</v>
      </c>
      <c r="O72" s="18" t="s">
        <v>20</v>
      </c>
      <c r="P72" s="18" t="s">
        <v>21</v>
      </c>
      <c r="Q72" s="18" t="s">
        <v>21</v>
      </c>
      <c r="R72" s="18" t="s">
        <v>21</v>
      </c>
      <c r="S72" s="18" t="s">
        <v>20</v>
      </c>
      <c r="T72" s="18" t="s">
        <v>20</v>
      </c>
      <c r="U72" s="18" t="s">
        <v>20</v>
      </c>
      <c r="V72" s="37" t="s">
        <v>21</v>
      </c>
      <c r="W72" s="37" t="s">
        <v>21</v>
      </c>
      <c r="X72" s="37" t="s">
        <v>21</v>
      </c>
      <c r="Y72" s="18" t="s">
        <v>21</v>
      </c>
      <c r="Z72" s="18" t="s">
        <v>21</v>
      </c>
      <c r="AA72" s="20" t="s">
        <v>20</v>
      </c>
      <c r="AB72" s="20" t="s">
        <v>20</v>
      </c>
      <c r="AC72" s="20" t="s">
        <v>20</v>
      </c>
      <c r="AD72" s="18" t="s">
        <v>23</v>
      </c>
      <c r="AE72" s="18" t="s">
        <v>21</v>
      </c>
      <c r="AG72">
        <f>+COUNTIF(F72:AE72,"AD")</f>
        <v>0</v>
      </c>
      <c r="AH72">
        <f>+COUNTIF(F72:AE72,"A")</f>
        <v>12</v>
      </c>
      <c r="AI72">
        <f>+COUNTIF(F72:AE72,"b")</f>
        <v>12</v>
      </c>
      <c r="AJ72">
        <f>+COUNTIF(F72:AE72,"c")</f>
        <v>2</v>
      </c>
      <c r="AL72">
        <f>+$AG$5*AG72</f>
        <v>0</v>
      </c>
      <c r="AM72">
        <f>+$AH$5*AH72</f>
        <v>36</v>
      </c>
      <c r="AN72">
        <f>+$AI$5*AI72</f>
        <v>24</v>
      </c>
      <c r="AO72">
        <f>+$AJ$5*AJ72</f>
        <v>2</v>
      </c>
      <c r="AP72">
        <f>+SUM(AL72:AO72)</f>
        <v>62</v>
      </c>
    </row>
    <row r="73" spans="1:42" ht="15.75" hidden="1" customHeight="1" x14ac:dyDescent="0.3">
      <c r="A73" s="16"/>
      <c r="B73" s="55">
        <v>6</v>
      </c>
      <c r="C73" s="56" t="s">
        <v>97</v>
      </c>
      <c r="D73" s="55">
        <v>2</v>
      </c>
      <c r="E73" s="55" t="s">
        <v>21</v>
      </c>
      <c r="F73" s="18" t="s">
        <v>20</v>
      </c>
      <c r="G73" s="18" t="s">
        <v>21</v>
      </c>
      <c r="H73" s="18" t="s">
        <v>21</v>
      </c>
      <c r="I73" s="18" t="s">
        <v>21</v>
      </c>
      <c r="J73" s="18" t="s">
        <v>21</v>
      </c>
      <c r="K73" s="18" t="s">
        <v>21</v>
      </c>
      <c r="L73" s="18" t="s">
        <v>21</v>
      </c>
      <c r="M73" s="18" t="s">
        <v>20</v>
      </c>
      <c r="N73" s="18" t="s">
        <v>20</v>
      </c>
      <c r="O73" s="18" t="s">
        <v>20</v>
      </c>
      <c r="P73" s="18" t="s">
        <v>21</v>
      </c>
      <c r="Q73" s="18" t="s">
        <v>21</v>
      </c>
      <c r="R73" s="18" t="s">
        <v>21</v>
      </c>
      <c r="S73" s="18" t="s">
        <v>20</v>
      </c>
      <c r="T73" s="18" t="s">
        <v>20</v>
      </c>
      <c r="U73" s="18" t="s">
        <v>21</v>
      </c>
      <c r="V73" s="37" t="s">
        <v>21</v>
      </c>
      <c r="W73" s="37" t="s">
        <v>20</v>
      </c>
      <c r="X73" s="37" t="s">
        <v>20</v>
      </c>
      <c r="Y73" s="18" t="s">
        <v>20</v>
      </c>
      <c r="Z73" s="18" t="s">
        <v>20</v>
      </c>
      <c r="AA73" s="20" t="s">
        <v>23</v>
      </c>
      <c r="AB73" s="20" t="s">
        <v>21</v>
      </c>
      <c r="AC73" s="20" t="s">
        <v>21</v>
      </c>
      <c r="AD73" s="18" t="s">
        <v>20</v>
      </c>
      <c r="AE73" s="18" t="s">
        <v>21</v>
      </c>
      <c r="AG73">
        <f>+COUNTIF(F73:AE73,"AD")</f>
        <v>0</v>
      </c>
      <c r="AH73">
        <f>+COUNTIF(F73:AE73,"A")</f>
        <v>11</v>
      </c>
      <c r="AI73">
        <f>+COUNTIF(F73:AE73,"b")</f>
        <v>14</v>
      </c>
      <c r="AJ73">
        <f>+COUNTIF(F73:AE73,"c")</f>
        <v>1</v>
      </c>
      <c r="AL73">
        <f>+$AG$5*AG73</f>
        <v>0</v>
      </c>
      <c r="AM73">
        <f>+$AH$5*AH73</f>
        <v>33</v>
      </c>
      <c r="AN73">
        <f>+$AI$5*AI73</f>
        <v>28</v>
      </c>
      <c r="AO73">
        <f>+$AJ$5*AJ73</f>
        <v>1</v>
      </c>
      <c r="AP73">
        <f>+SUM(AL73:AO73)</f>
        <v>62</v>
      </c>
    </row>
    <row r="74" spans="1:42" ht="15.75" hidden="1" customHeight="1" x14ac:dyDescent="0.3">
      <c r="A74" s="16"/>
      <c r="B74" s="55">
        <v>7</v>
      </c>
      <c r="C74" s="56" t="s">
        <v>89</v>
      </c>
      <c r="D74" s="55">
        <v>2</v>
      </c>
      <c r="E74" s="55" t="s">
        <v>21</v>
      </c>
      <c r="F74" s="18" t="s">
        <v>20</v>
      </c>
      <c r="G74" s="18" t="s">
        <v>21</v>
      </c>
      <c r="H74" s="18" t="s">
        <v>21</v>
      </c>
      <c r="I74" s="18" t="s">
        <v>21</v>
      </c>
      <c r="J74" s="18" t="s">
        <v>21</v>
      </c>
      <c r="K74" s="18" t="s">
        <v>21</v>
      </c>
      <c r="L74" s="18" t="s">
        <v>21</v>
      </c>
      <c r="M74" s="18" t="s">
        <v>21</v>
      </c>
      <c r="N74" s="18" t="s">
        <v>20</v>
      </c>
      <c r="O74" s="18" t="s">
        <v>21</v>
      </c>
      <c r="P74" s="18" t="s">
        <v>20</v>
      </c>
      <c r="Q74" s="18" t="s">
        <v>20</v>
      </c>
      <c r="R74" s="18" t="s">
        <v>20</v>
      </c>
      <c r="S74" s="18" t="s">
        <v>20</v>
      </c>
      <c r="T74" s="18" t="s">
        <v>20</v>
      </c>
      <c r="U74" s="18" t="s">
        <v>21</v>
      </c>
      <c r="V74" s="37" t="s">
        <v>20</v>
      </c>
      <c r="W74" s="37" t="s">
        <v>21</v>
      </c>
      <c r="X74" s="37" t="s">
        <v>21</v>
      </c>
      <c r="Y74" s="18" t="s">
        <v>21</v>
      </c>
      <c r="Z74" s="18" t="s">
        <v>21</v>
      </c>
      <c r="AA74" s="20" t="s">
        <v>21</v>
      </c>
      <c r="AB74" s="20" t="s">
        <v>21</v>
      </c>
      <c r="AC74" s="20" t="s">
        <v>21</v>
      </c>
      <c r="AD74" s="18" t="s">
        <v>21</v>
      </c>
      <c r="AE74" s="18" t="s">
        <v>21</v>
      </c>
      <c r="AG74">
        <f>+COUNTIF(F74:AE74,"AD")</f>
        <v>0</v>
      </c>
      <c r="AH74">
        <f>+COUNTIF(F74:AE74,"A")</f>
        <v>8</v>
      </c>
      <c r="AI74">
        <f>+COUNTIF(F74:AE74,"b")</f>
        <v>18</v>
      </c>
      <c r="AJ74">
        <f>+COUNTIF(F74:AE74,"c")</f>
        <v>0</v>
      </c>
      <c r="AL74">
        <f>+$AG$5*AG74</f>
        <v>0</v>
      </c>
      <c r="AM74">
        <f>+$AH$5*AH74</f>
        <v>24</v>
      </c>
      <c r="AN74">
        <f>+$AI$5*AI74</f>
        <v>36</v>
      </c>
      <c r="AO74">
        <f>+$AJ$5*AJ74</f>
        <v>0</v>
      </c>
      <c r="AP74">
        <f>+SUM(AL74:AO74)</f>
        <v>60</v>
      </c>
    </row>
    <row r="75" spans="1:42" ht="15.75" hidden="1" customHeight="1" x14ac:dyDescent="0.3">
      <c r="A75" s="16"/>
      <c r="B75" s="55">
        <v>8</v>
      </c>
      <c r="C75" s="56" t="s">
        <v>90</v>
      </c>
      <c r="D75" s="55">
        <v>2</v>
      </c>
      <c r="E75" s="55" t="s">
        <v>21</v>
      </c>
      <c r="F75" s="18" t="s">
        <v>20</v>
      </c>
      <c r="G75" s="18" t="s">
        <v>20</v>
      </c>
      <c r="H75" s="18" t="s">
        <v>20</v>
      </c>
      <c r="I75" s="18" t="s">
        <v>20</v>
      </c>
      <c r="J75" s="18" t="s">
        <v>21</v>
      </c>
      <c r="K75" s="18" t="s">
        <v>20</v>
      </c>
      <c r="L75" s="18" t="s">
        <v>20</v>
      </c>
      <c r="M75" s="18" t="s">
        <v>21</v>
      </c>
      <c r="N75" s="18" t="s">
        <v>20</v>
      </c>
      <c r="O75" s="18" t="s">
        <v>20</v>
      </c>
      <c r="P75" s="18" t="s">
        <v>21</v>
      </c>
      <c r="Q75" s="18" t="s">
        <v>21</v>
      </c>
      <c r="R75" s="18" t="s">
        <v>21</v>
      </c>
      <c r="S75" s="18" t="s">
        <v>21</v>
      </c>
      <c r="T75" s="18" t="s">
        <v>20</v>
      </c>
      <c r="U75" s="18" t="s">
        <v>21</v>
      </c>
      <c r="V75" s="37" t="s">
        <v>21</v>
      </c>
      <c r="W75" s="37" t="s">
        <v>21</v>
      </c>
      <c r="X75" s="37" t="s">
        <v>21</v>
      </c>
      <c r="Y75" s="18" t="s">
        <v>21</v>
      </c>
      <c r="Z75" s="18" t="s">
        <v>20</v>
      </c>
      <c r="AA75" s="20" t="s">
        <v>21</v>
      </c>
      <c r="AB75" s="20" t="s">
        <v>23</v>
      </c>
      <c r="AC75" s="20" t="s">
        <v>21</v>
      </c>
      <c r="AD75" s="18" t="s">
        <v>23</v>
      </c>
      <c r="AE75" s="18" t="s">
        <v>21</v>
      </c>
      <c r="AG75">
        <f>+COUNTIF(F75:AE75,"AD")</f>
        <v>0</v>
      </c>
      <c r="AH75">
        <f>+COUNTIF(F75:AE75,"A")</f>
        <v>10</v>
      </c>
      <c r="AI75">
        <f>+COUNTIF(F75:AE75,"b")</f>
        <v>14</v>
      </c>
      <c r="AJ75">
        <f>+COUNTIF(F75:AE75,"c")</f>
        <v>2</v>
      </c>
      <c r="AL75">
        <f>+$AG$5*AG75</f>
        <v>0</v>
      </c>
      <c r="AM75">
        <f>+$AH$5*AH75</f>
        <v>30</v>
      </c>
      <c r="AN75">
        <f>+$AI$5*AI75</f>
        <v>28</v>
      </c>
      <c r="AO75">
        <f>+$AJ$5*AJ75</f>
        <v>2</v>
      </c>
      <c r="AP75">
        <f>+SUM(AL75:AO75)</f>
        <v>60</v>
      </c>
    </row>
    <row r="76" spans="1:42" ht="15.75" hidden="1" customHeight="1" x14ac:dyDescent="0.3">
      <c r="A76" s="16"/>
      <c r="B76" s="55">
        <v>9</v>
      </c>
      <c r="C76" s="56" t="s">
        <v>94</v>
      </c>
      <c r="D76" s="55">
        <v>2</v>
      </c>
      <c r="E76" s="55" t="s">
        <v>21</v>
      </c>
      <c r="F76" s="18" t="s">
        <v>20</v>
      </c>
      <c r="G76" s="18" t="s">
        <v>21</v>
      </c>
      <c r="H76" s="18" t="s">
        <v>21</v>
      </c>
      <c r="I76" s="18" t="s">
        <v>21</v>
      </c>
      <c r="J76" s="18" t="s">
        <v>21</v>
      </c>
      <c r="K76" s="18" t="s">
        <v>21</v>
      </c>
      <c r="L76" s="18" t="s">
        <v>21</v>
      </c>
      <c r="M76" s="18" t="s">
        <v>21</v>
      </c>
      <c r="N76" s="18" t="s">
        <v>21</v>
      </c>
      <c r="O76" s="18" t="s">
        <v>20</v>
      </c>
      <c r="P76" s="18" t="s">
        <v>21</v>
      </c>
      <c r="Q76" s="18" t="s">
        <v>21</v>
      </c>
      <c r="R76" s="18" t="s">
        <v>21</v>
      </c>
      <c r="S76" s="18" t="s">
        <v>21</v>
      </c>
      <c r="T76" s="18" t="s">
        <v>20</v>
      </c>
      <c r="U76" s="18" t="s">
        <v>20</v>
      </c>
      <c r="V76" s="37" t="s">
        <v>20</v>
      </c>
      <c r="W76" s="37" t="s">
        <v>20</v>
      </c>
      <c r="X76" s="37" t="s">
        <v>20</v>
      </c>
      <c r="Y76" s="18" t="s">
        <v>20</v>
      </c>
      <c r="Z76" s="18" t="s">
        <v>21</v>
      </c>
      <c r="AA76" s="20" t="s">
        <v>21</v>
      </c>
      <c r="AB76" s="20" t="s">
        <v>21</v>
      </c>
      <c r="AC76" s="20" t="s">
        <v>21</v>
      </c>
      <c r="AD76" s="18" t="s">
        <v>21</v>
      </c>
      <c r="AE76" s="18" t="s">
        <v>21</v>
      </c>
      <c r="AG76">
        <f>+COUNTIF(F76:AE76,"AD")</f>
        <v>0</v>
      </c>
      <c r="AH76">
        <f>+COUNTIF(F76:AE76,"A")</f>
        <v>8</v>
      </c>
      <c r="AI76">
        <f>+COUNTIF(F76:AE76,"b")</f>
        <v>18</v>
      </c>
      <c r="AJ76">
        <f>+COUNTIF(F76:AE76,"c")</f>
        <v>0</v>
      </c>
      <c r="AL76">
        <f>+$AG$5*AG76</f>
        <v>0</v>
      </c>
      <c r="AM76">
        <f>+$AH$5*AH76</f>
        <v>24</v>
      </c>
      <c r="AN76">
        <f>+$AI$5*AI76</f>
        <v>36</v>
      </c>
      <c r="AO76">
        <f>+$AJ$5*AJ76</f>
        <v>0</v>
      </c>
      <c r="AP76">
        <f>+SUM(AL76:AO76)</f>
        <v>60</v>
      </c>
    </row>
    <row r="77" spans="1:42" ht="15.75" hidden="1" customHeight="1" x14ac:dyDescent="0.3">
      <c r="A77" s="16"/>
      <c r="B77" s="55">
        <v>10</v>
      </c>
      <c r="C77" s="56" t="s">
        <v>91</v>
      </c>
      <c r="D77" s="55">
        <v>2</v>
      </c>
      <c r="E77" s="55" t="s">
        <v>21</v>
      </c>
      <c r="F77" s="18" t="s">
        <v>21</v>
      </c>
      <c r="G77" s="18" t="s">
        <v>21</v>
      </c>
      <c r="H77" s="18" t="s">
        <v>21</v>
      </c>
      <c r="I77" s="18" t="s">
        <v>21</v>
      </c>
      <c r="J77" s="18" t="s">
        <v>21</v>
      </c>
      <c r="K77" s="18" t="s">
        <v>21</v>
      </c>
      <c r="L77" s="18" t="s">
        <v>21</v>
      </c>
      <c r="M77" s="18" t="s">
        <v>20</v>
      </c>
      <c r="N77" s="18" t="s">
        <v>20</v>
      </c>
      <c r="O77" s="18" t="s">
        <v>21</v>
      </c>
      <c r="P77" s="18" t="s">
        <v>23</v>
      </c>
      <c r="Q77" s="18" t="s">
        <v>21</v>
      </c>
      <c r="R77" s="18" t="s">
        <v>21</v>
      </c>
      <c r="S77" s="18" t="s">
        <v>21</v>
      </c>
      <c r="T77" s="18" t="s">
        <v>20</v>
      </c>
      <c r="U77" s="18" t="s">
        <v>20</v>
      </c>
      <c r="V77" s="37" t="s">
        <v>20</v>
      </c>
      <c r="W77" s="37" t="s">
        <v>20</v>
      </c>
      <c r="X77" s="37" t="s">
        <v>20</v>
      </c>
      <c r="Y77" s="18" t="s">
        <v>21</v>
      </c>
      <c r="Z77" s="18" t="s">
        <v>20</v>
      </c>
      <c r="AA77" s="20" t="s">
        <v>21</v>
      </c>
      <c r="AB77" s="20" t="s">
        <v>21</v>
      </c>
      <c r="AC77" s="20" t="s">
        <v>21</v>
      </c>
      <c r="AD77" s="18" t="s">
        <v>21</v>
      </c>
      <c r="AE77" s="18" t="s">
        <v>21</v>
      </c>
      <c r="AG77">
        <f>+COUNTIF(F77:AE77,"AD")</f>
        <v>0</v>
      </c>
      <c r="AH77">
        <f>+COUNTIF(F77:AE77,"A")</f>
        <v>8</v>
      </c>
      <c r="AI77">
        <f>+COUNTIF(F77:AE77,"b")</f>
        <v>17</v>
      </c>
      <c r="AJ77">
        <f>+COUNTIF(F77:AE77,"c")</f>
        <v>1</v>
      </c>
      <c r="AL77">
        <f>+$AG$5*AG77</f>
        <v>0</v>
      </c>
      <c r="AM77">
        <f>+$AH$5*AH77</f>
        <v>24</v>
      </c>
      <c r="AN77">
        <f>+$AI$5*AI77</f>
        <v>34</v>
      </c>
      <c r="AO77">
        <f>+$AJ$5*AJ77</f>
        <v>1</v>
      </c>
      <c r="AP77">
        <f>+SUM(AL77:AO77)</f>
        <v>59</v>
      </c>
    </row>
    <row r="78" spans="1:42" ht="15.75" hidden="1" customHeight="1" x14ac:dyDescent="0.3">
      <c r="A78" s="16"/>
      <c r="B78" s="55">
        <v>11</v>
      </c>
      <c r="C78" s="56" t="s">
        <v>86</v>
      </c>
      <c r="D78" s="55">
        <v>2</v>
      </c>
      <c r="E78" s="55" t="s">
        <v>21</v>
      </c>
      <c r="F78" s="18" t="s">
        <v>21</v>
      </c>
      <c r="G78" s="18" t="s">
        <v>21</v>
      </c>
      <c r="H78" s="18" t="s">
        <v>21</v>
      </c>
      <c r="I78" s="18" t="s">
        <v>21</v>
      </c>
      <c r="J78" s="18" t="s">
        <v>21</v>
      </c>
      <c r="K78" s="18" t="s">
        <v>20</v>
      </c>
      <c r="L78" s="18" t="s">
        <v>20</v>
      </c>
      <c r="M78" s="18" t="s">
        <v>21</v>
      </c>
      <c r="N78" s="18" t="s">
        <v>21</v>
      </c>
      <c r="O78" s="18" t="s">
        <v>21</v>
      </c>
      <c r="P78" s="18" t="s">
        <v>21</v>
      </c>
      <c r="Q78" s="18" t="s">
        <v>21</v>
      </c>
      <c r="R78" s="18" t="s">
        <v>21</v>
      </c>
      <c r="S78" s="18" t="s">
        <v>21</v>
      </c>
      <c r="T78" s="18" t="s">
        <v>21</v>
      </c>
      <c r="U78" s="18" t="s">
        <v>21</v>
      </c>
      <c r="V78" s="37" t="s">
        <v>21</v>
      </c>
      <c r="W78" s="37" t="s">
        <v>20</v>
      </c>
      <c r="X78" s="37" t="s">
        <v>20</v>
      </c>
      <c r="Y78" s="18" t="s">
        <v>20</v>
      </c>
      <c r="Z78" s="18" t="s">
        <v>20</v>
      </c>
      <c r="AA78" s="20" t="s">
        <v>21</v>
      </c>
      <c r="AB78" s="20" t="s">
        <v>21</v>
      </c>
      <c r="AC78" s="20" t="s">
        <v>21</v>
      </c>
      <c r="AD78" s="18" t="s">
        <v>21</v>
      </c>
      <c r="AE78" s="18" t="s">
        <v>21</v>
      </c>
      <c r="AG78">
        <f>+COUNTIF(F78:AE78,"AD")</f>
        <v>0</v>
      </c>
      <c r="AH78">
        <f>+COUNTIF(F78:AE78,"A")</f>
        <v>6</v>
      </c>
      <c r="AI78">
        <f>+COUNTIF(F78:AE78,"b")</f>
        <v>20</v>
      </c>
      <c r="AJ78">
        <f>+COUNTIF(F78:AE78,"c")</f>
        <v>0</v>
      </c>
      <c r="AL78">
        <f>+$AG$5*AG78</f>
        <v>0</v>
      </c>
      <c r="AM78">
        <f>+$AH$5*AH78</f>
        <v>18</v>
      </c>
      <c r="AN78">
        <f>+$AI$5*AI78</f>
        <v>40</v>
      </c>
      <c r="AO78">
        <f>+$AJ$5*AJ78</f>
        <v>0</v>
      </c>
      <c r="AP78">
        <f>+SUM(AL78:AO78)</f>
        <v>58</v>
      </c>
    </row>
    <row r="79" spans="1:42" ht="15.75" hidden="1" customHeight="1" x14ac:dyDescent="0.3">
      <c r="A79" s="16"/>
      <c r="B79" s="55">
        <v>12</v>
      </c>
      <c r="C79" s="56" t="s">
        <v>103</v>
      </c>
      <c r="D79" s="55">
        <v>2</v>
      </c>
      <c r="E79" s="55" t="s">
        <v>21</v>
      </c>
      <c r="F79" s="18" t="s">
        <v>20</v>
      </c>
      <c r="G79" s="18" t="s">
        <v>21</v>
      </c>
      <c r="H79" s="18" t="s">
        <v>21</v>
      </c>
      <c r="I79" s="18" t="s">
        <v>20</v>
      </c>
      <c r="J79" s="18" t="s">
        <v>21</v>
      </c>
      <c r="K79" s="18" t="s">
        <v>20</v>
      </c>
      <c r="L79" s="18" t="s">
        <v>20</v>
      </c>
      <c r="M79" s="18" t="s">
        <v>23</v>
      </c>
      <c r="N79" s="18" t="s">
        <v>20</v>
      </c>
      <c r="O79" s="18" t="s">
        <v>20</v>
      </c>
      <c r="P79" s="18" t="s">
        <v>21</v>
      </c>
      <c r="Q79" s="18" t="s">
        <v>21</v>
      </c>
      <c r="R79" s="18" t="s">
        <v>21</v>
      </c>
      <c r="S79" s="18" t="s">
        <v>20</v>
      </c>
      <c r="T79" s="18" t="s">
        <v>21</v>
      </c>
      <c r="U79" s="18" t="s">
        <v>21</v>
      </c>
      <c r="V79" s="37" t="s">
        <v>21</v>
      </c>
      <c r="W79" s="37" t="s">
        <v>21</v>
      </c>
      <c r="X79" s="37" t="s">
        <v>21</v>
      </c>
      <c r="Y79" s="18" t="s">
        <v>23</v>
      </c>
      <c r="Z79" s="18" t="s">
        <v>21</v>
      </c>
      <c r="AA79" s="20" t="s">
        <v>21</v>
      </c>
      <c r="AB79" s="20" t="s">
        <v>20</v>
      </c>
      <c r="AC79" s="20" t="s">
        <v>20</v>
      </c>
      <c r="AD79" s="18" t="s">
        <v>23</v>
      </c>
      <c r="AE79" s="18" t="s">
        <v>21</v>
      </c>
      <c r="AG79">
        <f>+COUNTIF(F79:AE79,"AD")</f>
        <v>0</v>
      </c>
      <c r="AH79">
        <f>+COUNTIF(F79:AE79,"A")</f>
        <v>9</v>
      </c>
      <c r="AI79">
        <f>+COUNTIF(F79:AE79,"b")</f>
        <v>14</v>
      </c>
      <c r="AJ79">
        <f>+COUNTIF(F79:AE79,"c")</f>
        <v>3</v>
      </c>
      <c r="AL79">
        <f>+$AG$5*AG79</f>
        <v>0</v>
      </c>
      <c r="AM79">
        <f>+$AH$5*AH79</f>
        <v>27</v>
      </c>
      <c r="AN79">
        <f>+$AI$5*AI79</f>
        <v>28</v>
      </c>
      <c r="AO79">
        <f>+$AJ$5*AJ79</f>
        <v>3</v>
      </c>
      <c r="AP79">
        <f>+SUM(AL79:AO79)</f>
        <v>58</v>
      </c>
    </row>
    <row r="80" spans="1:42" ht="15.75" hidden="1" customHeight="1" x14ac:dyDescent="0.3">
      <c r="A80" s="16"/>
      <c r="B80" s="55">
        <v>13</v>
      </c>
      <c r="C80" s="56" t="s">
        <v>95</v>
      </c>
      <c r="D80" s="55">
        <v>2</v>
      </c>
      <c r="E80" s="55" t="s">
        <v>21</v>
      </c>
      <c r="F80" s="18" t="s">
        <v>21</v>
      </c>
      <c r="G80" s="18" t="s">
        <v>21</v>
      </c>
      <c r="H80" s="18" t="s">
        <v>21</v>
      </c>
      <c r="I80" s="18" t="s">
        <v>21</v>
      </c>
      <c r="J80" s="18" t="s">
        <v>21</v>
      </c>
      <c r="K80" s="18" t="s">
        <v>20</v>
      </c>
      <c r="L80" s="18" t="s">
        <v>20</v>
      </c>
      <c r="M80" s="18" t="s">
        <v>20</v>
      </c>
      <c r="N80" s="18" t="s">
        <v>21</v>
      </c>
      <c r="O80" s="18" t="s">
        <v>21</v>
      </c>
      <c r="P80" s="18" t="s">
        <v>21</v>
      </c>
      <c r="Q80" s="18" t="s">
        <v>21</v>
      </c>
      <c r="R80" s="18" t="s">
        <v>21</v>
      </c>
      <c r="S80" s="18" t="s">
        <v>21</v>
      </c>
      <c r="T80" s="18" t="s">
        <v>23</v>
      </c>
      <c r="U80" s="18" t="s">
        <v>21</v>
      </c>
      <c r="V80" s="37" t="s">
        <v>21</v>
      </c>
      <c r="W80" s="37" t="s">
        <v>20</v>
      </c>
      <c r="X80" s="37" t="s">
        <v>20</v>
      </c>
      <c r="Y80" s="18" t="s">
        <v>21</v>
      </c>
      <c r="Z80" s="18" t="s">
        <v>20</v>
      </c>
      <c r="AA80" s="20" t="s">
        <v>20</v>
      </c>
      <c r="AB80" s="20" t="s">
        <v>21</v>
      </c>
      <c r="AC80" s="20" t="s">
        <v>21</v>
      </c>
      <c r="AD80" s="18" t="s">
        <v>23</v>
      </c>
      <c r="AE80" s="18" t="s">
        <v>21</v>
      </c>
      <c r="AG80">
        <f>+COUNTIF(F80:AE80,"AD")</f>
        <v>0</v>
      </c>
      <c r="AH80">
        <f>+COUNTIF(F80:AE80,"A")</f>
        <v>7</v>
      </c>
      <c r="AI80">
        <f>+COUNTIF(F80:AE80,"b")</f>
        <v>17</v>
      </c>
      <c r="AJ80">
        <f>+COUNTIF(F80:AE80,"c")</f>
        <v>2</v>
      </c>
      <c r="AL80">
        <f>+$AG$5*AG80</f>
        <v>0</v>
      </c>
      <c r="AM80">
        <f>+$AH$5*AH80</f>
        <v>21</v>
      </c>
      <c r="AN80">
        <f>+$AI$5*AI80</f>
        <v>34</v>
      </c>
      <c r="AO80">
        <f>+$AJ$5*AJ80</f>
        <v>2</v>
      </c>
      <c r="AP80">
        <f>+SUM(AL80:AO80)</f>
        <v>57</v>
      </c>
    </row>
    <row r="81" spans="1:42" ht="15.75" hidden="1" customHeight="1" x14ac:dyDescent="0.3">
      <c r="A81" s="16"/>
      <c r="B81" s="55">
        <v>14</v>
      </c>
      <c r="C81" s="56" t="s">
        <v>96</v>
      </c>
      <c r="D81" s="55">
        <v>2</v>
      </c>
      <c r="E81" s="55" t="s">
        <v>21</v>
      </c>
      <c r="F81" s="18" t="s">
        <v>21</v>
      </c>
      <c r="G81" s="18" t="s">
        <v>23</v>
      </c>
      <c r="H81" s="18" t="s">
        <v>21</v>
      </c>
      <c r="I81" s="18" t="s">
        <v>21</v>
      </c>
      <c r="J81" s="18" t="s">
        <v>21</v>
      </c>
      <c r="K81" s="18" t="s">
        <v>21</v>
      </c>
      <c r="L81" s="18" t="s">
        <v>21</v>
      </c>
      <c r="M81" s="18" t="s">
        <v>20</v>
      </c>
      <c r="N81" s="18" t="s">
        <v>20</v>
      </c>
      <c r="O81" s="18" t="s">
        <v>20</v>
      </c>
      <c r="P81" s="18" t="s">
        <v>21</v>
      </c>
      <c r="Q81" s="18" t="s">
        <v>21</v>
      </c>
      <c r="R81" s="18" t="s">
        <v>21</v>
      </c>
      <c r="S81" s="18" t="s">
        <v>21</v>
      </c>
      <c r="T81" s="18" t="s">
        <v>20</v>
      </c>
      <c r="U81" s="18" t="s">
        <v>21</v>
      </c>
      <c r="V81" s="37" t="s">
        <v>21</v>
      </c>
      <c r="W81" s="37" t="s">
        <v>20</v>
      </c>
      <c r="X81" s="37" t="s">
        <v>20</v>
      </c>
      <c r="Y81" s="18" t="s">
        <v>20</v>
      </c>
      <c r="Z81" s="18" t="s">
        <v>20</v>
      </c>
      <c r="AA81" s="20" t="s">
        <v>23</v>
      </c>
      <c r="AB81" s="20" t="s">
        <v>21</v>
      </c>
      <c r="AC81" s="20" t="s">
        <v>21</v>
      </c>
      <c r="AD81" s="18" t="s">
        <v>23</v>
      </c>
      <c r="AE81" s="18" t="s">
        <v>21</v>
      </c>
      <c r="AG81">
        <f>+COUNTIF(F81:AE81,"AD")</f>
        <v>0</v>
      </c>
      <c r="AH81">
        <f>+COUNTIF(F81:AE81,"A")</f>
        <v>8</v>
      </c>
      <c r="AI81">
        <f>+COUNTIF(F81:AE81,"b")</f>
        <v>15</v>
      </c>
      <c r="AJ81">
        <f>+COUNTIF(F81:AE81,"c")</f>
        <v>3</v>
      </c>
      <c r="AL81">
        <f>+$AG$5*AG81</f>
        <v>0</v>
      </c>
      <c r="AM81">
        <f>+$AH$5*AH81</f>
        <v>24</v>
      </c>
      <c r="AN81">
        <f>+$AI$5*AI81</f>
        <v>30</v>
      </c>
      <c r="AO81">
        <f>+$AJ$5*AJ81</f>
        <v>3</v>
      </c>
      <c r="AP81">
        <f>+SUM(AL81:AO81)</f>
        <v>57</v>
      </c>
    </row>
    <row r="82" spans="1:42" ht="15.75" hidden="1" customHeight="1" x14ac:dyDescent="0.3">
      <c r="A82" s="16"/>
      <c r="B82" s="55">
        <v>15</v>
      </c>
      <c r="C82" s="56" t="s">
        <v>102</v>
      </c>
      <c r="D82" s="55">
        <v>2</v>
      </c>
      <c r="E82" s="55" t="s">
        <v>21</v>
      </c>
      <c r="F82" s="18" t="s">
        <v>20</v>
      </c>
      <c r="G82" s="18" t="s">
        <v>21</v>
      </c>
      <c r="H82" s="18" t="s">
        <v>21</v>
      </c>
      <c r="I82" s="18" t="s">
        <v>21</v>
      </c>
      <c r="J82" s="18" t="s">
        <v>21</v>
      </c>
      <c r="K82" s="18" t="s">
        <v>21</v>
      </c>
      <c r="L82" s="18" t="s">
        <v>21</v>
      </c>
      <c r="M82" s="18" t="s">
        <v>21</v>
      </c>
      <c r="N82" s="18" t="s">
        <v>20</v>
      </c>
      <c r="O82" s="18" t="s">
        <v>21</v>
      </c>
      <c r="P82" s="18" t="s">
        <v>23</v>
      </c>
      <c r="Q82" s="18" t="s">
        <v>23</v>
      </c>
      <c r="R82" s="18" t="s">
        <v>21</v>
      </c>
      <c r="S82" s="18" t="s">
        <v>21</v>
      </c>
      <c r="T82" s="18" t="s">
        <v>20</v>
      </c>
      <c r="U82" s="18" t="s">
        <v>21</v>
      </c>
      <c r="V82" s="37" t="s">
        <v>20</v>
      </c>
      <c r="W82" s="37" t="s">
        <v>20</v>
      </c>
      <c r="X82" s="37" t="s">
        <v>20</v>
      </c>
      <c r="Y82" s="18" t="s">
        <v>21</v>
      </c>
      <c r="Z82" s="18" t="s">
        <v>20</v>
      </c>
      <c r="AA82" s="20" t="s">
        <v>21</v>
      </c>
      <c r="AB82" s="20" t="s">
        <v>21</v>
      </c>
      <c r="AC82" s="20" t="s">
        <v>21</v>
      </c>
      <c r="AD82" s="18" t="s">
        <v>23</v>
      </c>
      <c r="AE82" s="18" t="s">
        <v>21</v>
      </c>
      <c r="AG82">
        <f>+COUNTIF(F82:AE82,"AD")</f>
        <v>0</v>
      </c>
      <c r="AH82">
        <f>+COUNTIF(F82:AE82,"A")</f>
        <v>7</v>
      </c>
      <c r="AI82">
        <f>+COUNTIF(F82:AE82,"b")</f>
        <v>16</v>
      </c>
      <c r="AJ82">
        <f>+COUNTIF(F82:AE82,"c")</f>
        <v>3</v>
      </c>
      <c r="AL82">
        <f>+$AG$5*AG82</f>
        <v>0</v>
      </c>
      <c r="AM82">
        <f>+$AH$5*AH82</f>
        <v>21</v>
      </c>
      <c r="AN82">
        <f>+$AI$5*AI82</f>
        <v>32</v>
      </c>
      <c r="AO82">
        <f>+$AJ$5*AJ82</f>
        <v>3</v>
      </c>
      <c r="AP82">
        <f>+SUM(AL82:AO82)</f>
        <v>56</v>
      </c>
    </row>
    <row r="83" spans="1:42" ht="15.75" hidden="1" customHeight="1" x14ac:dyDescent="0.3">
      <c r="A83" s="16"/>
      <c r="B83" s="55">
        <v>16</v>
      </c>
      <c r="C83" s="56" t="s">
        <v>100</v>
      </c>
      <c r="D83" s="55">
        <v>2</v>
      </c>
      <c r="E83" s="55" t="s">
        <v>21</v>
      </c>
      <c r="F83" s="18" t="s">
        <v>21</v>
      </c>
      <c r="G83" s="18" t="s">
        <v>21</v>
      </c>
      <c r="H83" s="18" t="s">
        <v>21</v>
      </c>
      <c r="I83" s="18" t="s">
        <v>21</v>
      </c>
      <c r="J83" s="18" t="s">
        <v>21</v>
      </c>
      <c r="K83" s="18" t="s">
        <v>21</v>
      </c>
      <c r="L83" s="18" t="s">
        <v>21</v>
      </c>
      <c r="M83" s="18" t="s">
        <v>21</v>
      </c>
      <c r="N83" s="18" t="s">
        <v>23</v>
      </c>
      <c r="O83" s="18" t="s">
        <v>21</v>
      </c>
      <c r="P83" s="18" t="s">
        <v>21</v>
      </c>
      <c r="Q83" s="18" t="s">
        <v>21</v>
      </c>
      <c r="R83" s="18" t="s">
        <v>21</v>
      </c>
      <c r="S83" s="18" t="s">
        <v>21</v>
      </c>
      <c r="T83" s="18" t="s">
        <v>20</v>
      </c>
      <c r="U83" s="18" t="s">
        <v>20</v>
      </c>
      <c r="V83" s="37" t="s">
        <v>21</v>
      </c>
      <c r="W83" s="37" t="s">
        <v>20</v>
      </c>
      <c r="X83" s="37" t="s">
        <v>21</v>
      </c>
      <c r="Y83" s="18" t="s">
        <v>20</v>
      </c>
      <c r="Z83" s="18" t="s">
        <v>21</v>
      </c>
      <c r="AA83" s="20" t="s">
        <v>21</v>
      </c>
      <c r="AB83" s="20" t="s">
        <v>21</v>
      </c>
      <c r="AC83" s="20" t="s">
        <v>21</v>
      </c>
      <c r="AD83" s="18" t="s">
        <v>21</v>
      </c>
      <c r="AE83" s="18" t="s">
        <v>21</v>
      </c>
      <c r="AG83">
        <f>+COUNTIF(F83:AE83,"AD")</f>
        <v>0</v>
      </c>
      <c r="AH83">
        <f>+COUNTIF(F83:AE83,"A")</f>
        <v>4</v>
      </c>
      <c r="AI83">
        <f>+COUNTIF(F83:AE83,"b")</f>
        <v>21</v>
      </c>
      <c r="AJ83">
        <f>+COUNTIF(F83:AE83,"c")</f>
        <v>1</v>
      </c>
      <c r="AL83">
        <f>+$AG$5*AG83</f>
        <v>0</v>
      </c>
      <c r="AM83">
        <f>+$AH$5*AH83</f>
        <v>12</v>
      </c>
      <c r="AN83">
        <f>+$AI$5*AI83</f>
        <v>42</v>
      </c>
      <c r="AO83">
        <f>+$AJ$5*AJ83</f>
        <v>1</v>
      </c>
      <c r="AP83">
        <f>+SUM(AL83:AO83)</f>
        <v>55</v>
      </c>
    </row>
    <row r="84" spans="1:42" ht="15.75" hidden="1" customHeight="1" x14ac:dyDescent="0.3">
      <c r="A84" s="16"/>
      <c r="B84" s="55">
        <v>17</v>
      </c>
      <c r="C84" s="56" t="s">
        <v>107</v>
      </c>
      <c r="D84" s="55">
        <v>2</v>
      </c>
      <c r="E84" s="55" t="s">
        <v>21</v>
      </c>
      <c r="F84" s="18" t="s">
        <v>21</v>
      </c>
      <c r="G84" s="18" t="s">
        <v>21</v>
      </c>
      <c r="H84" s="18" t="s">
        <v>23</v>
      </c>
      <c r="I84" s="18" t="s">
        <v>21</v>
      </c>
      <c r="J84" s="18" t="s">
        <v>20</v>
      </c>
      <c r="K84" s="18" t="s">
        <v>21</v>
      </c>
      <c r="L84" s="18" t="s">
        <v>21</v>
      </c>
      <c r="M84" s="18" t="s">
        <v>20</v>
      </c>
      <c r="N84" s="18" t="s">
        <v>21</v>
      </c>
      <c r="O84" s="18" t="s">
        <v>20</v>
      </c>
      <c r="P84" s="18" t="s">
        <v>21</v>
      </c>
      <c r="Q84" s="18" t="s">
        <v>21</v>
      </c>
      <c r="R84" s="18" t="s">
        <v>21</v>
      </c>
      <c r="S84" s="18" t="s">
        <v>20</v>
      </c>
      <c r="T84" s="18" t="s">
        <v>21</v>
      </c>
      <c r="U84" s="18" t="s">
        <v>21</v>
      </c>
      <c r="V84" s="37" t="s">
        <v>21</v>
      </c>
      <c r="W84" s="37" t="s">
        <v>21</v>
      </c>
      <c r="X84" s="37" t="s">
        <v>21</v>
      </c>
      <c r="Y84" s="18" t="s">
        <v>21</v>
      </c>
      <c r="Z84" s="18" t="s">
        <v>21</v>
      </c>
      <c r="AA84" s="20" t="s">
        <v>21</v>
      </c>
      <c r="AB84" s="20" t="s">
        <v>21</v>
      </c>
      <c r="AC84" s="20" t="s">
        <v>20</v>
      </c>
      <c r="AD84" s="18" t="s">
        <v>23</v>
      </c>
      <c r="AE84" s="18" t="s">
        <v>21</v>
      </c>
      <c r="AG84">
        <f>+COUNTIF(F84:AE84,"AD")</f>
        <v>0</v>
      </c>
      <c r="AH84">
        <f>+COUNTIF(F84:AE84,"A")</f>
        <v>5</v>
      </c>
      <c r="AI84">
        <f>+COUNTIF(F84:AE84,"b")</f>
        <v>19</v>
      </c>
      <c r="AJ84">
        <f>+COUNTIF(F84:AE84,"c")</f>
        <v>2</v>
      </c>
      <c r="AL84">
        <f>+$AG$5*AG84</f>
        <v>0</v>
      </c>
      <c r="AM84">
        <f>+$AH$5*AH84</f>
        <v>15</v>
      </c>
      <c r="AN84">
        <f>+$AI$5*AI84</f>
        <v>38</v>
      </c>
      <c r="AO84">
        <f>+$AJ$5*AJ84</f>
        <v>2</v>
      </c>
      <c r="AP84">
        <f>+SUM(AL84:AO84)</f>
        <v>55</v>
      </c>
    </row>
    <row r="85" spans="1:42" ht="15.75" hidden="1" customHeight="1" x14ac:dyDescent="0.3">
      <c r="A85" s="16"/>
      <c r="B85" s="55">
        <v>18</v>
      </c>
      <c r="C85" s="56" t="s">
        <v>92</v>
      </c>
      <c r="D85" s="55">
        <v>2</v>
      </c>
      <c r="E85" s="55" t="s">
        <v>21</v>
      </c>
      <c r="F85" s="18" t="s">
        <v>21</v>
      </c>
      <c r="G85" s="18" t="s">
        <v>23</v>
      </c>
      <c r="H85" s="18" t="s">
        <v>21</v>
      </c>
      <c r="I85" s="18" t="s">
        <v>21</v>
      </c>
      <c r="J85" s="18" t="s">
        <v>21</v>
      </c>
      <c r="K85" s="18" t="s">
        <v>20</v>
      </c>
      <c r="L85" s="18" t="s">
        <v>20</v>
      </c>
      <c r="M85" s="18" t="s">
        <v>21</v>
      </c>
      <c r="N85" s="18" t="s">
        <v>21</v>
      </c>
      <c r="O85" s="18" t="s">
        <v>21</v>
      </c>
      <c r="P85" s="18" t="s">
        <v>21</v>
      </c>
      <c r="Q85" s="18" t="s">
        <v>21</v>
      </c>
      <c r="R85" s="18" t="s">
        <v>21</v>
      </c>
      <c r="S85" s="18" t="s">
        <v>21</v>
      </c>
      <c r="T85" s="18" t="s">
        <v>21</v>
      </c>
      <c r="U85" s="18" t="s">
        <v>21</v>
      </c>
      <c r="V85" s="37" t="s">
        <v>20</v>
      </c>
      <c r="W85" s="37" t="s">
        <v>21</v>
      </c>
      <c r="X85" s="37" t="s">
        <v>21</v>
      </c>
      <c r="Y85" s="18" t="s">
        <v>21</v>
      </c>
      <c r="Z85" s="18" t="s">
        <v>20</v>
      </c>
      <c r="AA85" s="20" t="s">
        <v>21</v>
      </c>
      <c r="AB85" s="20" t="s">
        <v>21</v>
      </c>
      <c r="AC85" s="20" t="s">
        <v>21</v>
      </c>
      <c r="AD85" s="18" t="s">
        <v>23</v>
      </c>
      <c r="AE85" s="18" t="s">
        <v>21</v>
      </c>
      <c r="AG85">
        <f>+COUNTIF(F85:AE85,"AD")</f>
        <v>0</v>
      </c>
      <c r="AH85">
        <f>+COUNTIF(F85:AE85,"A")</f>
        <v>4</v>
      </c>
      <c r="AI85">
        <f>+COUNTIF(F85:AE85,"b")</f>
        <v>20</v>
      </c>
      <c r="AJ85">
        <f>+COUNTIF(F85:AE85,"c")</f>
        <v>2</v>
      </c>
      <c r="AL85">
        <f>+$AG$5*AG85</f>
        <v>0</v>
      </c>
      <c r="AM85">
        <f>+$AH$5*AH85</f>
        <v>12</v>
      </c>
      <c r="AN85">
        <f>+$AI$5*AI85</f>
        <v>40</v>
      </c>
      <c r="AO85">
        <f>+$AJ$5*AJ85</f>
        <v>2</v>
      </c>
      <c r="AP85">
        <f>+SUM(AL85:AO85)</f>
        <v>54</v>
      </c>
    </row>
    <row r="86" spans="1:42" ht="15.75" hidden="1" customHeight="1" x14ac:dyDescent="0.3">
      <c r="A86" s="16"/>
      <c r="B86" s="55">
        <v>19</v>
      </c>
      <c r="C86" s="56" t="s">
        <v>106</v>
      </c>
      <c r="D86" s="55">
        <v>2</v>
      </c>
      <c r="E86" s="55" t="s">
        <v>21</v>
      </c>
      <c r="F86" s="18" t="s">
        <v>21</v>
      </c>
      <c r="G86" s="18" t="s">
        <v>23</v>
      </c>
      <c r="H86" s="18" t="s">
        <v>21</v>
      </c>
      <c r="I86" s="18" t="s">
        <v>21</v>
      </c>
      <c r="J86" s="18" t="s">
        <v>20</v>
      </c>
      <c r="K86" s="18" t="s">
        <v>20</v>
      </c>
      <c r="L86" s="18" t="s">
        <v>20</v>
      </c>
      <c r="M86" s="18" t="s">
        <v>21</v>
      </c>
      <c r="N86" s="18" t="s">
        <v>21</v>
      </c>
      <c r="O86" s="18" t="s">
        <v>21</v>
      </c>
      <c r="P86" s="18" t="s">
        <v>21</v>
      </c>
      <c r="Q86" s="18" t="s">
        <v>21</v>
      </c>
      <c r="R86" s="18" t="s">
        <v>21</v>
      </c>
      <c r="S86" s="18" t="s">
        <v>23</v>
      </c>
      <c r="T86" s="18" t="s">
        <v>21</v>
      </c>
      <c r="U86" s="18" t="s">
        <v>20</v>
      </c>
      <c r="V86" s="37" t="s">
        <v>21</v>
      </c>
      <c r="W86" s="37" t="s">
        <v>21</v>
      </c>
      <c r="X86" s="37" t="s">
        <v>21</v>
      </c>
      <c r="Y86" s="18" t="s">
        <v>23</v>
      </c>
      <c r="Z86" s="18" t="s">
        <v>21</v>
      </c>
      <c r="AA86" s="20" t="s">
        <v>21</v>
      </c>
      <c r="AB86" s="20" t="s">
        <v>21</v>
      </c>
      <c r="AC86" s="20" t="s">
        <v>21</v>
      </c>
      <c r="AD86" s="18" t="s">
        <v>23</v>
      </c>
      <c r="AE86" s="18" t="s">
        <v>21</v>
      </c>
      <c r="AG86">
        <f>+COUNTIF(F86:AE86,"AD")</f>
        <v>0</v>
      </c>
      <c r="AH86">
        <f>+COUNTIF(F86:AE86,"A")</f>
        <v>4</v>
      </c>
      <c r="AI86">
        <f>+COUNTIF(F86:AE86,"b")</f>
        <v>18</v>
      </c>
      <c r="AJ86">
        <f>+COUNTIF(F86:AE86,"c")</f>
        <v>4</v>
      </c>
      <c r="AL86">
        <f>+$AG$5*AG86</f>
        <v>0</v>
      </c>
      <c r="AM86">
        <f>+$AH$5*AH86</f>
        <v>12</v>
      </c>
      <c r="AN86">
        <f>+$AI$5*AI86</f>
        <v>36</v>
      </c>
      <c r="AO86">
        <f>+$AJ$5*AJ86</f>
        <v>4</v>
      </c>
      <c r="AP86">
        <f>+SUM(AL86:AO86)</f>
        <v>52</v>
      </c>
    </row>
    <row r="87" spans="1:42" ht="15.75" hidden="1" customHeight="1" thickBot="1" x14ac:dyDescent="0.35">
      <c r="A87" s="16"/>
      <c r="B87" s="57">
        <v>20</v>
      </c>
      <c r="C87" s="56" t="s">
        <v>108</v>
      </c>
      <c r="D87" s="55">
        <v>2</v>
      </c>
      <c r="E87" s="55" t="s">
        <v>21</v>
      </c>
      <c r="F87" s="18" t="s">
        <v>21</v>
      </c>
      <c r="G87" s="18" t="s">
        <v>23</v>
      </c>
      <c r="H87" s="18" t="s">
        <v>21</v>
      </c>
      <c r="I87" s="18" t="s">
        <v>21</v>
      </c>
      <c r="J87" s="18" t="s">
        <v>20</v>
      </c>
      <c r="K87" s="18" t="s">
        <v>21</v>
      </c>
      <c r="L87" s="18" t="s">
        <v>21</v>
      </c>
      <c r="M87" s="18" t="s">
        <v>23</v>
      </c>
      <c r="N87" s="18" t="s">
        <v>21</v>
      </c>
      <c r="O87" s="18" t="s">
        <v>21</v>
      </c>
      <c r="P87" s="18" t="s">
        <v>23</v>
      </c>
      <c r="Q87" s="18" t="s">
        <v>21</v>
      </c>
      <c r="R87" s="17" t="s">
        <v>23</v>
      </c>
      <c r="S87" s="18" t="s">
        <v>23</v>
      </c>
      <c r="T87" s="18" t="s">
        <v>23</v>
      </c>
      <c r="U87" s="18" t="s">
        <v>21</v>
      </c>
      <c r="V87" s="37" t="s">
        <v>20</v>
      </c>
      <c r="W87" s="37" t="s">
        <v>20</v>
      </c>
      <c r="X87" s="37" t="s">
        <v>20</v>
      </c>
      <c r="Y87" s="18" t="s">
        <v>21</v>
      </c>
      <c r="Z87" s="18" t="s">
        <v>21</v>
      </c>
      <c r="AA87" s="20" t="s">
        <v>21</v>
      </c>
      <c r="AB87" s="20" t="s">
        <v>21</v>
      </c>
      <c r="AC87" s="20" t="s">
        <v>21</v>
      </c>
      <c r="AD87" s="18" t="s">
        <v>23</v>
      </c>
      <c r="AE87" s="18" t="s">
        <v>21</v>
      </c>
      <c r="AG87">
        <f>+COUNTIF(F87:AE87,"AD")</f>
        <v>0</v>
      </c>
      <c r="AH87">
        <f>+COUNTIF(F87:AE87,"A")</f>
        <v>4</v>
      </c>
      <c r="AI87">
        <f>+COUNTIF(F87:AE87,"b")</f>
        <v>15</v>
      </c>
      <c r="AJ87">
        <f>+COUNTIF(F87:AE87,"c")</f>
        <v>7</v>
      </c>
      <c r="AL87">
        <f>+$AG$5*AG87</f>
        <v>0</v>
      </c>
      <c r="AM87">
        <f>+$AH$5*AH87</f>
        <v>12</v>
      </c>
      <c r="AN87">
        <f>+$AI$5*AI87</f>
        <v>30</v>
      </c>
      <c r="AO87">
        <f>+$AJ$5*AJ87</f>
        <v>7</v>
      </c>
      <c r="AP87">
        <f>+SUM(AL87:AO87)</f>
        <v>49</v>
      </c>
    </row>
    <row r="88" spans="1:42" ht="15.75" hidden="1" customHeight="1" x14ac:dyDescent="0.3">
      <c r="A88" s="16"/>
      <c r="B88" s="55">
        <v>16</v>
      </c>
      <c r="C88" s="56" t="s">
        <v>101</v>
      </c>
      <c r="D88" s="55">
        <v>2</v>
      </c>
      <c r="E88" s="55" t="s">
        <v>21</v>
      </c>
      <c r="F88" s="18" t="s">
        <v>21</v>
      </c>
      <c r="G88" s="18" t="s">
        <v>23</v>
      </c>
      <c r="H88" s="18" t="s">
        <v>21</v>
      </c>
      <c r="I88" s="18" t="s">
        <v>21</v>
      </c>
      <c r="J88" s="18" t="s">
        <v>21</v>
      </c>
      <c r="K88" s="18" t="s">
        <v>21</v>
      </c>
      <c r="L88" s="18" t="s">
        <v>21</v>
      </c>
      <c r="M88" s="18" t="s">
        <v>21</v>
      </c>
      <c r="N88" s="18" t="s">
        <v>23</v>
      </c>
      <c r="O88" s="18" t="s">
        <v>21</v>
      </c>
      <c r="P88" s="18" t="s">
        <v>23</v>
      </c>
      <c r="Q88" s="18" t="s">
        <v>23</v>
      </c>
      <c r="R88" s="18" t="s">
        <v>21</v>
      </c>
      <c r="S88" s="18" t="s">
        <v>21</v>
      </c>
      <c r="T88" s="18" t="s">
        <v>21</v>
      </c>
      <c r="U88" s="18" t="s">
        <v>21</v>
      </c>
      <c r="V88" s="37" t="s">
        <v>21</v>
      </c>
      <c r="W88" s="37" t="s">
        <v>21</v>
      </c>
      <c r="X88" s="37" t="s">
        <v>21</v>
      </c>
      <c r="Y88" s="18" t="s">
        <v>23</v>
      </c>
      <c r="Z88" s="18" t="s">
        <v>20</v>
      </c>
      <c r="AA88" s="20" t="s">
        <v>21</v>
      </c>
      <c r="AB88" s="20" t="s">
        <v>21</v>
      </c>
      <c r="AC88" s="20" t="s">
        <v>21</v>
      </c>
      <c r="AD88" s="18" t="s">
        <v>23</v>
      </c>
      <c r="AE88" s="18" t="s">
        <v>21</v>
      </c>
      <c r="AG88">
        <f>+COUNTIF(F88:AE88,"AD")</f>
        <v>0</v>
      </c>
      <c r="AH88">
        <f>+COUNTIF(F88:AE88,"A")</f>
        <v>1</v>
      </c>
      <c r="AI88">
        <f>+COUNTIF(F88:AE88,"b")</f>
        <v>19</v>
      </c>
      <c r="AJ88">
        <f>+COUNTIF(F88:AE88,"c")</f>
        <v>6</v>
      </c>
      <c r="AL88">
        <f>+$AG$5*AG88</f>
        <v>0</v>
      </c>
      <c r="AM88">
        <f>+$AH$5*AH88</f>
        <v>3</v>
      </c>
      <c r="AN88">
        <f>+$AI$5*AI88</f>
        <v>38</v>
      </c>
      <c r="AO88">
        <f>+$AJ$5*AJ88</f>
        <v>6</v>
      </c>
      <c r="AP88">
        <f>+SUM(AL88:AO88)</f>
        <v>47</v>
      </c>
    </row>
    <row r="89" spans="1:42" ht="15.75" hidden="1" customHeight="1" x14ac:dyDescent="0.3">
      <c r="A89" s="16"/>
      <c r="B89" s="55">
        <v>2</v>
      </c>
      <c r="C89" s="56" t="s">
        <v>87</v>
      </c>
      <c r="D89" s="55">
        <v>2</v>
      </c>
      <c r="E89" s="55" t="s">
        <v>21</v>
      </c>
      <c r="F89" s="18" t="s">
        <v>21</v>
      </c>
      <c r="G89" s="18" t="s">
        <v>23</v>
      </c>
      <c r="H89" s="18" t="s">
        <v>21</v>
      </c>
      <c r="I89" s="18" t="s">
        <v>21</v>
      </c>
      <c r="J89" s="18" t="s">
        <v>21</v>
      </c>
      <c r="K89" s="18" t="s">
        <v>21</v>
      </c>
      <c r="L89" s="18" t="s">
        <v>21</v>
      </c>
      <c r="M89" s="18" t="s">
        <v>23</v>
      </c>
      <c r="N89" s="18" t="s">
        <v>21</v>
      </c>
      <c r="O89" s="18" t="s">
        <v>21</v>
      </c>
      <c r="P89" s="18" t="s">
        <v>23</v>
      </c>
      <c r="Q89" s="18" t="s">
        <v>21</v>
      </c>
      <c r="R89" s="18" t="s">
        <v>23</v>
      </c>
      <c r="S89" s="18" t="s">
        <v>23</v>
      </c>
      <c r="T89" s="18" t="s">
        <v>21</v>
      </c>
      <c r="U89" s="18" t="s">
        <v>21</v>
      </c>
      <c r="V89" s="37" t="s">
        <v>21</v>
      </c>
      <c r="W89" s="37" t="s">
        <v>21</v>
      </c>
      <c r="X89" s="37" t="s">
        <v>21</v>
      </c>
      <c r="Y89" s="18" t="s">
        <v>21</v>
      </c>
      <c r="Z89" s="18" t="s">
        <v>23</v>
      </c>
      <c r="AA89" s="20" t="s">
        <v>23</v>
      </c>
      <c r="AB89" s="20" t="s">
        <v>21</v>
      </c>
      <c r="AC89" s="20" t="s">
        <v>23</v>
      </c>
      <c r="AD89" s="18" t="s">
        <v>23</v>
      </c>
      <c r="AE89" s="18" t="s">
        <v>21</v>
      </c>
      <c r="AG89">
        <f>+COUNTIF(F89:AE89,"AD")</f>
        <v>0</v>
      </c>
      <c r="AH89">
        <f>+COUNTIF(F89:AE89,"A")</f>
        <v>0</v>
      </c>
      <c r="AI89">
        <f>+COUNTIF(F89:AE89,"b")</f>
        <v>17</v>
      </c>
      <c r="AJ89">
        <f>+COUNTIF(F89:AE89,"c")</f>
        <v>9</v>
      </c>
      <c r="AL89">
        <f>+$AG$5*AG89</f>
        <v>0</v>
      </c>
      <c r="AM89">
        <f>+$AH$5*AH89</f>
        <v>0</v>
      </c>
      <c r="AN89">
        <f>+$AI$5*AI89</f>
        <v>34</v>
      </c>
      <c r="AO89">
        <f>+$AJ$5*AJ89</f>
        <v>9</v>
      </c>
      <c r="AP89">
        <f>+SUM(AL89:AO89)</f>
        <v>43</v>
      </c>
    </row>
    <row r="90" spans="1:42" ht="15.75" hidden="1" customHeight="1" thickBot="1" x14ac:dyDescent="0.35">
      <c r="A90" s="16"/>
      <c r="B90" s="57">
        <v>19</v>
      </c>
      <c r="C90" s="58" t="s">
        <v>104</v>
      </c>
      <c r="D90" s="57">
        <v>2</v>
      </c>
      <c r="E90" s="57" t="s">
        <v>21</v>
      </c>
      <c r="F90" s="21" t="s">
        <v>21</v>
      </c>
      <c r="G90" s="21" t="s">
        <v>23</v>
      </c>
      <c r="H90" s="21" t="s">
        <v>21</v>
      </c>
      <c r="I90" s="21" t="s">
        <v>21</v>
      </c>
      <c r="J90" s="21" t="s">
        <v>21</v>
      </c>
      <c r="K90" s="21" t="s">
        <v>21</v>
      </c>
      <c r="L90" s="21" t="s">
        <v>21</v>
      </c>
      <c r="M90" s="21" t="s">
        <v>23</v>
      </c>
      <c r="N90" s="21" t="s">
        <v>23</v>
      </c>
      <c r="O90" s="21" t="s">
        <v>23</v>
      </c>
      <c r="P90" s="21" t="s">
        <v>23</v>
      </c>
      <c r="Q90" s="21" t="s">
        <v>21</v>
      </c>
      <c r="R90" s="21" t="s">
        <v>23</v>
      </c>
      <c r="S90" s="21" t="s">
        <v>21</v>
      </c>
      <c r="T90" s="21" t="s">
        <v>23</v>
      </c>
      <c r="U90" s="21" t="s">
        <v>21</v>
      </c>
      <c r="V90" s="38" t="s">
        <v>21</v>
      </c>
      <c r="W90" s="38" t="s">
        <v>21</v>
      </c>
      <c r="X90" s="38" t="s">
        <v>21</v>
      </c>
      <c r="Y90" s="21" t="s">
        <v>23</v>
      </c>
      <c r="Z90" s="21" t="s">
        <v>23</v>
      </c>
      <c r="AA90" s="23" t="s">
        <v>21</v>
      </c>
      <c r="AB90" s="23" t="s">
        <v>21</v>
      </c>
      <c r="AC90" s="23" t="s">
        <v>21</v>
      </c>
      <c r="AD90" s="21" t="s">
        <v>23</v>
      </c>
      <c r="AE90" s="21" t="s">
        <v>21</v>
      </c>
      <c r="AG90">
        <f>+COUNTIF(F90:AE90,"AD")</f>
        <v>0</v>
      </c>
      <c r="AH90">
        <f>+COUNTIF(F90:AE90,"A")</f>
        <v>0</v>
      </c>
      <c r="AI90">
        <f>+COUNTIF(F90:AE90,"b")</f>
        <v>16</v>
      </c>
      <c r="AJ90">
        <f>+COUNTIF(F90:AE90,"c")</f>
        <v>10</v>
      </c>
      <c r="AL90">
        <f>+$AG$5*AG90</f>
        <v>0</v>
      </c>
      <c r="AM90">
        <f>+$AH$5*AH90</f>
        <v>0</v>
      </c>
      <c r="AN90">
        <f>+$AI$5*AI90</f>
        <v>32</v>
      </c>
      <c r="AO90">
        <f>+$AJ$5*AJ90</f>
        <v>10</v>
      </c>
      <c r="AP90">
        <f>+SUM(AL90:AO90)</f>
        <v>42</v>
      </c>
    </row>
    <row r="91" spans="1:42" ht="15.75" hidden="1" customHeight="1" x14ac:dyDescent="0.3">
      <c r="A91" s="16"/>
      <c r="B91" s="59">
        <v>1</v>
      </c>
      <c r="C91" s="60" t="s">
        <v>109</v>
      </c>
      <c r="D91" s="59">
        <v>3</v>
      </c>
      <c r="E91" s="59" t="s">
        <v>20</v>
      </c>
      <c r="F91" s="24" t="s">
        <v>39</v>
      </c>
      <c r="G91" s="24" t="s">
        <v>39</v>
      </c>
      <c r="H91" s="24" t="s">
        <v>20</v>
      </c>
      <c r="I91" s="24" t="s">
        <v>39</v>
      </c>
      <c r="J91" s="42" t="s">
        <v>20</v>
      </c>
      <c r="K91" s="42" t="s">
        <v>39</v>
      </c>
      <c r="L91" s="42" t="s">
        <v>20</v>
      </c>
      <c r="M91" s="24" t="s">
        <v>20</v>
      </c>
      <c r="N91" s="24" t="s">
        <v>20</v>
      </c>
      <c r="O91" s="24" t="s">
        <v>20</v>
      </c>
      <c r="P91" s="24" t="s">
        <v>20</v>
      </c>
      <c r="Q91" s="24" t="s">
        <v>20</v>
      </c>
      <c r="R91" s="24" t="s">
        <v>20</v>
      </c>
      <c r="S91" s="24" t="s">
        <v>20</v>
      </c>
      <c r="T91" s="24" t="s">
        <v>20</v>
      </c>
      <c r="U91" s="24" t="s">
        <v>20</v>
      </c>
      <c r="V91" s="39" t="s">
        <v>21</v>
      </c>
      <c r="W91" s="39" t="s">
        <v>20</v>
      </c>
      <c r="X91" s="39" t="s">
        <v>21</v>
      </c>
      <c r="Y91" s="24" t="s">
        <v>39</v>
      </c>
      <c r="Z91" s="24" t="s">
        <v>39</v>
      </c>
      <c r="AA91" s="27" t="s">
        <v>20</v>
      </c>
      <c r="AB91" s="27" t="s">
        <v>20</v>
      </c>
      <c r="AC91" s="27" t="s">
        <v>20</v>
      </c>
      <c r="AD91" s="39" t="s">
        <v>20</v>
      </c>
      <c r="AE91" s="39" t="s">
        <v>21</v>
      </c>
      <c r="AG91">
        <f t="shared" ref="AG91:AG154" si="9">+COUNTIF(F91:AE91,"AD")</f>
        <v>6</v>
      </c>
      <c r="AH91">
        <f t="shared" ref="AH91:AH154" si="10">+COUNTIF(F91:AE91,"A")</f>
        <v>17</v>
      </c>
      <c r="AI91">
        <f t="shared" ref="AI91:AI154" si="11">+COUNTIF(F91:AE91,"b")</f>
        <v>3</v>
      </c>
      <c r="AJ91">
        <f t="shared" ref="AJ91:AJ154" si="12">+COUNTIF(F91:AE91,"c")</f>
        <v>0</v>
      </c>
      <c r="AL91">
        <f t="shared" ref="AL91:AL154" si="13">+$AG$5*AG91</f>
        <v>24</v>
      </c>
      <c r="AM91">
        <f t="shared" ref="AM91:AM154" si="14">+$AH$5*AH91</f>
        <v>51</v>
      </c>
      <c r="AN91">
        <f t="shared" ref="AN91:AN154" si="15">+$AI$5*AI91</f>
        <v>6</v>
      </c>
      <c r="AO91">
        <f t="shared" ref="AO91:AO154" si="16">+$AJ$5*AJ91</f>
        <v>0</v>
      </c>
      <c r="AP91">
        <f t="shared" ref="AP91:AP130" si="17">+SUM(AL91:AO91)</f>
        <v>81</v>
      </c>
    </row>
    <row r="92" spans="1:42" ht="15.75" hidden="1" customHeight="1" x14ac:dyDescent="0.3">
      <c r="A92" s="16"/>
      <c r="B92" s="55">
        <v>2</v>
      </c>
      <c r="C92" s="56" t="s">
        <v>110</v>
      </c>
      <c r="D92" s="55">
        <v>3</v>
      </c>
      <c r="E92" s="55" t="s">
        <v>20</v>
      </c>
      <c r="F92" s="18" t="s">
        <v>20</v>
      </c>
      <c r="G92" s="18" t="s">
        <v>20</v>
      </c>
      <c r="H92" s="18" t="s">
        <v>20</v>
      </c>
      <c r="I92" s="18" t="s">
        <v>39</v>
      </c>
      <c r="J92" s="43" t="s">
        <v>39</v>
      </c>
      <c r="K92" s="43" t="s">
        <v>39</v>
      </c>
      <c r="L92" s="43" t="s">
        <v>20</v>
      </c>
      <c r="M92" s="18" t="s">
        <v>20</v>
      </c>
      <c r="N92" s="18" t="s">
        <v>20</v>
      </c>
      <c r="O92" s="18" t="s">
        <v>20</v>
      </c>
      <c r="P92" s="18" t="s">
        <v>20</v>
      </c>
      <c r="Q92" s="18" t="s">
        <v>20</v>
      </c>
      <c r="R92" s="18" t="s">
        <v>20</v>
      </c>
      <c r="S92" s="18" t="s">
        <v>20</v>
      </c>
      <c r="T92" s="18" t="s">
        <v>20</v>
      </c>
      <c r="U92" s="18" t="s">
        <v>20</v>
      </c>
      <c r="V92" s="37" t="s">
        <v>20</v>
      </c>
      <c r="W92" s="37" t="s">
        <v>20</v>
      </c>
      <c r="X92" s="37" t="s">
        <v>20</v>
      </c>
      <c r="Y92" s="18" t="s">
        <v>20</v>
      </c>
      <c r="Z92" s="18" t="s">
        <v>20</v>
      </c>
      <c r="AA92" s="20" t="s">
        <v>20</v>
      </c>
      <c r="AB92" s="20" t="s">
        <v>20</v>
      </c>
      <c r="AC92" s="20" t="s">
        <v>20</v>
      </c>
      <c r="AD92" s="37" t="s">
        <v>21</v>
      </c>
      <c r="AE92" s="37" t="s">
        <v>21</v>
      </c>
      <c r="AG92">
        <f t="shared" si="9"/>
        <v>3</v>
      </c>
      <c r="AH92">
        <f t="shared" si="10"/>
        <v>21</v>
      </c>
      <c r="AI92">
        <f t="shared" si="11"/>
        <v>2</v>
      </c>
      <c r="AJ92">
        <f t="shared" si="12"/>
        <v>0</v>
      </c>
      <c r="AL92">
        <f t="shared" si="13"/>
        <v>12</v>
      </c>
      <c r="AM92">
        <f t="shared" si="14"/>
        <v>63</v>
      </c>
      <c r="AN92">
        <f t="shared" si="15"/>
        <v>4</v>
      </c>
      <c r="AO92">
        <f t="shared" si="16"/>
        <v>0</v>
      </c>
      <c r="AP92">
        <f t="shared" si="17"/>
        <v>79</v>
      </c>
    </row>
    <row r="93" spans="1:42" ht="15.75" hidden="1" customHeight="1" x14ac:dyDescent="0.3">
      <c r="A93" s="16"/>
      <c r="B93" s="55">
        <v>3</v>
      </c>
      <c r="C93" s="56" t="s">
        <v>111</v>
      </c>
      <c r="D93" s="55">
        <v>3</v>
      </c>
      <c r="E93" s="55" t="s">
        <v>20</v>
      </c>
      <c r="F93" s="18" t="s">
        <v>23</v>
      </c>
      <c r="G93" s="18" t="s">
        <v>21</v>
      </c>
      <c r="H93" s="18" t="s">
        <v>23</v>
      </c>
      <c r="I93" s="18" t="s">
        <v>23</v>
      </c>
      <c r="J93" s="43" t="s">
        <v>21</v>
      </c>
      <c r="K93" s="43" t="s">
        <v>20</v>
      </c>
      <c r="L93" s="43" t="s">
        <v>21</v>
      </c>
      <c r="M93" s="18" t="s">
        <v>21</v>
      </c>
      <c r="N93" s="18" t="s">
        <v>21</v>
      </c>
      <c r="O93" s="18" t="s">
        <v>21</v>
      </c>
      <c r="P93" s="18" t="s">
        <v>23</v>
      </c>
      <c r="Q93" s="18" t="s">
        <v>21</v>
      </c>
      <c r="R93" s="18" t="s">
        <v>21</v>
      </c>
      <c r="S93" s="18" t="s">
        <v>21</v>
      </c>
      <c r="T93" s="18" t="s">
        <v>21</v>
      </c>
      <c r="U93" s="18" t="s">
        <v>20</v>
      </c>
      <c r="V93" s="37" t="s">
        <v>20</v>
      </c>
      <c r="W93" s="37" t="s">
        <v>21</v>
      </c>
      <c r="X93" s="37" t="s">
        <v>21</v>
      </c>
      <c r="Y93" s="18" t="s">
        <v>21</v>
      </c>
      <c r="Z93" s="18" t="s">
        <v>20</v>
      </c>
      <c r="AA93" s="20" t="s">
        <v>21</v>
      </c>
      <c r="AB93" s="20" t="s">
        <v>21</v>
      </c>
      <c r="AC93" s="20" t="s">
        <v>21</v>
      </c>
      <c r="AD93" s="37" t="s">
        <v>23</v>
      </c>
      <c r="AE93" s="37" t="s">
        <v>21</v>
      </c>
      <c r="AG93">
        <f t="shared" si="9"/>
        <v>0</v>
      </c>
      <c r="AH93">
        <f t="shared" si="10"/>
        <v>4</v>
      </c>
      <c r="AI93">
        <f t="shared" si="11"/>
        <v>17</v>
      </c>
      <c r="AJ93">
        <f t="shared" si="12"/>
        <v>5</v>
      </c>
      <c r="AL93">
        <f t="shared" si="13"/>
        <v>0</v>
      </c>
      <c r="AM93">
        <f t="shared" si="14"/>
        <v>12</v>
      </c>
      <c r="AN93">
        <f t="shared" si="15"/>
        <v>34</v>
      </c>
      <c r="AO93">
        <f t="shared" si="16"/>
        <v>5</v>
      </c>
      <c r="AP93">
        <f t="shared" si="17"/>
        <v>51</v>
      </c>
    </row>
    <row r="94" spans="1:42" ht="15.75" hidden="1" customHeight="1" x14ac:dyDescent="0.3">
      <c r="A94" s="16"/>
      <c r="B94" s="55">
        <v>4</v>
      </c>
      <c r="C94" s="56" t="s">
        <v>112</v>
      </c>
      <c r="D94" s="55">
        <v>3</v>
      </c>
      <c r="E94" s="55" t="s">
        <v>20</v>
      </c>
      <c r="F94" s="18" t="s">
        <v>39</v>
      </c>
      <c r="G94" s="18" t="s">
        <v>20</v>
      </c>
      <c r="H94" s="18" t="s">
        <v>20</v>
      </c>
      <c r="I94" s="18" t="s">
        <v>20</v>
      </c>
      <c r="J94" s="43" t="s">
        <v>20</v>
      </c>
      <c r="K94" s="43" t="s">
        <v>39</v>
      </c>
      <c r="L94" s="43" t="s">
        <v>20</v>
      </c>
      <c r="M94" s="18" t="s">
        <v>20</v>
      </c>
      <c r="N94" s="18" t="s">
        <v>20</v>
      </c>
      <c r="O94" s="18" t="s">
        <v>20</v>
      </c>
      <c r="P94" s="18" t="s">
        <v>20</v>
      </c>
      <c r="Q94" s="18" t="s">
        <v>20</v>
      </c>
      <c r="R94" s="18" t="s">
        <v>20</v>
      </c>
      <c r="S94" s="18" t="s">
        <v>20</v>
      </c>
      <c r="T94" s="18" t="s">
        <v>20</v>
      </c>
      <c r="U94" s="18" t="s">
        <v>20</v>
      </c>
      <c r="V94" s="37" t="s">
        <v>20</v>
      </c>
      <c r="W94" s="37" t="s">
        <v>21</v>
      </c>
      <c r="X94" s="37" t="s">
        <v>20</v>
      </c>
      <c r="Y94" s="18" t="s">
        <v>20</v>
      </c>
      <c r="Z94" s="18" t="s">
        <v>20</v>
      </c>
      <c r="AA94" s="20" t="s">
        <v>20</v>
      </c>
      <c r="AB94" s="20" t="s">
        <v>20</v>
      </c>
      <c r="AC94" s="20" t="s">
        <v>20</v>
      </c>
      <c r="AD94" s="37" t="s">
        <v>20</v>
      </c>
      <c r="AE94" s="37" t="s">
        <v>21</v>
      </c>
      <c r="AG94">
        <f t="shared" si="9"/>
        <v>2</v>
      </c>
      <c r="AH94">
        <f t="shared" si="10"/>
        <v>22</v>
      </c>
      <c r="AI94">
        <f t="shared" si="11"/>
        <v>2</v>
      </c>
      <c r="AJ94">
        <f t="shared" si="12"/>
        <v>0</v>
      </c>
      <c r="AL94">
        <f t="shared" si="13"/>
        <v>8</v>
      </c>
      <c r="AM94">
        <f t="shared" si="14"/>
        <v>66</v>
      </c>
      <c r="AN94">
        <f t="shared" si="15"/>
        <v>4</v>
      </c>
      <c r="AO94">
        <f t="shared" si="16"/>
        <v>0</v>
      </c>
      <c r="AP94">
        <f t="shared" si="17"/>
        <v>78</v>
      </c>
    </row>
    <row r="95" spans="1:42" ht="15.75" hidden="1" customHeight="1" x14ac:dyDescent="0.3">
      <c r="A95" s="16"/>
      <c r="B95" s="55">
        <v>5</v>
      </c>
      <c r="C95" s="56" t="s">
        <v>113</v>
      </c>
      <c r="D95" s="55">
        <v>3</v>
      </c>
      <c r="E95" s="55" t="s">
        <v>20</v>
      </c>
      <c r="F95" s="18" t="s">
        <v>23</v>
      </c>
      <c r="G95" s="18" t="s">
        <v>23</v>
      </c>
      <c r="H95" s="18" t="s">
        <v>23</v>
      </c>
      <c r="I95" s="18" t="s">
        <v>23</v>
      </c>
      <c r="J95" s="43" t="s">
        <v>21</v>
      </c>
      <c r="K95" s="43" t="s">
        <v>21</v>
      </c>
      <c r="L95" s="43" t="s">
        <v>21</v>
      </c>
      <c r="M95" s="18" t="s">
        <v>21</v>
      </c>
      <c r="N95" s="18" t="s">
        <v>23</v>
      </c>
      <c r="O95" s="18" t="s">
        <v>23</v>
      </c>
      <c r="P95" s="18" t="s">
        <v>23</v>
      </c>
      <c r="Q95" s="18" t="s">
        <v>23</v>
      </c>
      <c r="R95" s="18" t="s">
        <v>21</v>
      </c>
      <c r="S95" s="18" t="s">
        <v>23</v>
      </c>
      <c r="T95" s="18" t="s">
        <v>23</v>
      </c>
      <c r="U95" s="18" t="s">
        <v>21</v>
      </c>
      <c r="V95" s="37" t="s">
        <v>21</v>
      </c>
      <c r="W95" s="37" t="s">
        <v>21</v>
      </c>
      <c r="X95" s="37" t="s">
        <v>21</v>
      </c>
      <c r="Y95" s="18" t="s">
        <v>23</v>
      </c>
      <c r="Z95" s="18" t="s">
        <v>21</v>
      </c>
      <c r="AA95" s="20" t="s">
        <v>21</v>
      </c>
      <c r="AB95" s="20" t="s">
        <v>21</v>
      </c>
      <c r="AC95" s="20" t="s">
        <v>21</v>
      </c>
      <c r="AD95" s="37" t="s">
        <v>23</v>
      </c>
      <c r="AE95" s="37" t="s">
        <v>21</v>
      </c>
      <c r="AG95">
        <f t="shared" si="9"/>
        <v>0</v>
      </c>
      <c r="AH95">
        <f t="shared" si="10"/>
        <v>0</v>
      </c>
      <c r="AI95">
        <f t="shared" si="11"/>
        <v>14</v>
      </c>
      <c r="AJ95">
        <f t="shared" si="12"/>
        <v>12</v>
      </c>
      <c r="AL95">
        <f t="shared" si="13"/>
        <v>0</v>
      </c>
      <c r="AM95">
        <f t="shared" si="14"/>
        <v>0</v>
      </c>
      <c r="AN95">
        <f t="shared" si="15"/>
        <v>28</v>
      </c>
      <c r="AO95">
        <f t="shared" si="16"/>
        <v>12</v>
      </c>
      <c r="AP95">
        <f t="shared" si="17"/>
        <v>40</v>
      </c>
    </row>
    <row r="96" spans="1:42" ht="15.75" hidden="1" customHeight="1" x14ac:dyDescent="0.3">
      <c r="A96" s="16"/>
      <c r="B96" s="55">
        <v>6</v>
      </c>
      <c r="C96" s="56" t="s">
        <v>114</v>
      </c>
      <c r="D96" s="55">
        <v>3</v>
      </c>
      <c r="E96" s="55" t="s">
        <v>20</v>
      </c>
      <c r="F96" s="18" t="s">
        <v>20</v>
      </c>
      <c r="G96" s="18" t="s">
        <v>20</v>
      </c>
      <c r="H96" s="18" t="s">
        <v>20</v>
      </c>
      <c r="I96" s="18" t="s">
        <v>20</v>
      </c>
      <c r="J96" s="43" t="s">
        <v>20</v>
      </c>
      <c r="K96" s="43" t="s">
        <v>20</v>
      </c>
      <c r="L96" s="43" t="s">
        <v>20</v>
      </c>
      <c r="M96" s="18" t="s">
        <v>21</v>
      </c>
      <c r="N96" s="18" t="s">
        <v>20</v>
      </c>
      <c r="O96" s="18" t="s">
        <v>20</v>
      </c>
      <c r="P96" s="18" t="s">
        <v>20</v>
      </c>
      <c r="Q96" s="18" t="s">
        <v>20</v>
      </c>
      <c r="R96" s="18" t="s">
        <v>21</v>
      </c>
      <c r="S96" s="18" t="s">
        <v>21</v>
      </c>
      <c r="T96" s="18" t="s">
        <v>20</v>
      </c>
      <c r="U96" s="18" t="s">
        <v>20</v>
      </c>
      <c r="V96" s="37" t="s">
        <v>21</v>
      </c>
      <c r="W96" s="37" t="s">
        <v>21</v>
      </c>
      <c r="X96" s="37" t="s">
        <v>20</v>
      </c>
      <c r="Y96" s="18" t="s">
        <v>21</v>
      </c>
      <c r="Z96" s="18" t="s">
        <v>20</v>
      </c>
      <c r="AA96" s="20" t="s">
        <v>20</v>
      </c>
      <c r="AB96" s="20" t="s">
        <v>21</v>
      </c>
      <c r="AC96" s="20" t="s">
        <v>21</v>
      </c>
      <c r="AD96" s="37" t="s">
        <v>23</v>
      </c>
      <c r="AE96" s="37" t="s">
        <v>21</v>
      </c>
      <c r="AG96">
        <f t="shared" si="9"/>
        <v>0</v>
      </c>
      <c r="AH96">
        <f t="shared" si="10"/>
        <v>16</v>
      </c>
      <c r="AI96">
        <f t="shared" si="11"/>
        <v>9</v>
      </c>
      <c r="AJ96">
        <f t="shared" si="12"/>
        <v>1</v>
      </c>
      <c r="AL96">
        <f t="shared" si="13"/>
        <v>0</v>
      </c>
      <c r="AM96">
        <f t="shared" si="14"/>
        <v>48</v>
      </c>
      <c r="AN96">
        <f t="shared" si="15"/>
        <v>18</v>
      </c>
      <c r="AO96">
        <f t="shared" si="16"/>
        <v>1</v>
      </c>
      <c r="AP96">
        <f t="shared" si="17"/>
        <v>67</v>
      </c>
    </row>
    <row r="97" spans="1:42" ht="15.75" hidden="1" customHeight="1" x14ac:dyDescent="0.3">
      <c r="A97" s="16"/>
      <c r="B97" s="55">
        <v>7</v>
      </c>
      <c r="C97" s="56" t="s">
        <v>115</v>
      </c>
      <c r="D97" s="55">
        <v>3</v>
      </c>
      <c r="E97" s="55" t="s">
        <v>20</v>
      </c>
      <c r="F97" s="18" t="s">
        <v>23</v>
      </c>
      <c r="G97" s="18" t="s">
        <v>23</v>
      </c>
      <c r="H97" s="18" t="s">
        <v>23</v>
      </c>
      <c r="I97" s="18" t="s">
        <v>23</v>
      </c>
      <c r="J97" s="43" t="s">
        <v>21</v>
      </c>
      <c r="K97" s="43" t="s">
        <v>21</v>
      </c>
      <c r="L97" s="43" t="s">
        <v>21</v>
      </c>
      <c r="M97" s="18" t="s">
        <v>20</v>
      </c>
      <c r="N97" s="18" t="s">
        <v>21</v>
      </c>
      <c r="O97" s="18" t="s">
        <v>21</v>
      </c>
      <c r="P97" s="18" t="s">
        <v>21</v>
      </c>
      <c r="Q97" s="18" t="s">
        <v>21</v>
      </c>
      <c r="R97" s="18" t="s">
        <v>21</v>
      </c>
      <c r="S97" s="18" t="s">
        <v>23</v>
      </c>
      <c r="T97" s="18" t="s">
        <v>23</v>
      </c>
      <c r="U97" s="18" t="s">
        <v>20</v>
      </c>
      <c r="V97" s="37" t="s">
        <v>20</v>
      </c>
      <c r="W97" s="37" t="s">
        <v>21</v>
      </c>
      <c r="X97" s="37" t="s">
        <v>21</v>
      </c>
      <c r="Y97" s="18" t="s">
        <v>23</v>
      </c>
      <c r="Z97" s="18" t="s">
        <v>21</v>
      </c>
      <c r="AA97" s="20" t="s">
        <v>21</v>
      </c>
      <c r="AB97" s="20" t="s">
        <v>20</v>
      </c>
      <c r="AC97" s="20" t="s">
        <v>21</v>
      </c>
      <c r="AD97" s="37" t="s">
        <v>23</v>
      </c>
      <c r="AE97" s="37" t="s">
        <v>21</v>
      </c>
      <c r="AG97">
        <f t="shared" si="9"/>
        <v>0</v>
      </c>
      <c r="AH97">
        <f t="shared" si="10"/>
        <v>4</v>
      </c>
      <c r="AI97">
        <f t="shared" si="11"/>
        <v>14</v>
      </c>
      <c r="AJ97">
        <f t="shared" si="12"/>
        <v>8</v>
      </c>
      <c r="AL97">
        <f t="shared" si="13"/>
        <v>0</v>
      </c>
      <c r="AM97">
        <f t="shared" si="14"/>
        <v>12</v>
      </c>
      <c r="AN97">
        <f t="shared" si="15"/>
        <v>28</v>
      </c>
      <c r="AO97">
        <f t="shared" si="16"/>
        <v>8</v>
      </c>
      <c r="AP97">
        <f t="shared" si="17"/>
        <v>48</v>
      </c>
    </row>
    <row r="98" spans="1:42" ht="15.75" hidden="1" customHeight="1" x14ac:dyDescent="0.3">
      <c r="A98" s="16"/>
      <c r="B98" s="55">
        <v>8</v>
      </c>
      <c r="C98" s="56" t="s">
        <v>116</v>
      </c>
      <c r="D98" s="55">
        <v>3</v>
      </c>
      <c r="E98" s="55" t="s">
        <v>20</v>
      </c>
      <c r="F98" s="18" t="s">
        <v>21</v>
      </c>
      <c r="G98" s="18" t="s">
        <v>21</v>
      </c>
      <c r="H98" s="18" t="s">
        <v>21</v>
      </c>
      <c r="I98" s="18" t="s">
        <v>21</v>
      </c>
      <c r="J98" s="43" t="s">
        <v>20</v>
      </c>
      <c r="K98" s="43" t="s">
        <v>20</v>
      </c>
      <c r="L98" s="43" t="s">
        <v>21</v>
      </c>
      <c r="M98" s="18" t="s">
        <v>20</v>
      </c>
      <c r="N98" s="18" t="s">
        <v>20</v>
      </c>
      <c r="O98" s="18" t="s">
        <v>21</v>
      </c>
      <c r="P98" s="18" t="s">
        <v>21</v>
      </c>
      <c r="Q98" s="18" t="s">
        <v>21</v>
      </c>
      <c r="R98" s="18" t="s">
        <v>21</v>
      </c>
      <c r="S98" s="18" t="s">
        <v>20</v>
      </c>
      <c r="T98" s="18" t="s">
        <v>20</v>
      </c>
      <c r="U98" s="18" t="s">
        <v>20</v>
      </c>
      <c r="V98" s="37" t="s">
        <v>20</v>
      </c>
      <c r="W98" s="37" t="s">
        <v>20</v>
      </c>
      <c r="X98" s="37" t="s">
        <v>20</v>
      </c>
      <c r="Y98" s="18" t="s">
        <v>21</v>
      </c>
      <c r="Z98" s="18" t="s">
        <v>21</v>
      </c>
      <c r="AA98" s="20" t="s">
        <v>21</v>
      </c>
      <c r="AB98" s="20" t="s">
        <v>21</v>
      </c>
      <c r="AC98" s="20" t="s">
        <v>20</v>
      </c>
      <c r="AD98" s="44" t="s">
        <v>21</v>
      </c>
      <c r="AE98" s="44" t="s">
        <v>21</v>
      </c>
      <c r="AG98">
        <f t="shared" si="9"/>
        <v>0</v>
      </c>
      <c r="AH98">
        <f t="shared" si="10"/>
        <v>11</v>
      </c>
      <c r="AI98">
        <f t="shared" si="11"/>
        <v>15</v>
      </c>
      <c r="AJ98">
        <f t="shared" si="12"/>
        <v>0</v>
      </c>
      <c r="AL98">
        <f t="shared" si="13"/>
        <v>0</v>
      </c>
      <c r="AM98">
        <f t="shared" si="14"/>
        <v>33</v>
      </c>
      <c r="AN98">
        <f t="shared" si="15"/>
        <v>30</v>
      </c>
      <c r="AO98">
        <f t="shared" si="16"/>
        <v>0</v>
      </c>
      <c r="AP98">
        <f t="shared" si="17"/>
        <v>63</v>
      </c>
    </row>
    <row r="99" spans="1:42" ht="15.75" hidden="1" customHeight="1" x14ac:dyDescent="0.3">
      <c r="A99" s="16"/>
      <c r="B99" s="55">
        <v>9</v>
      </c>
      <c r="C99" s="56" t="s">
        <v>117</v>
      </c>
      <c r="D99" s="55">
        <v>3</v>
      </c>
      <c r="E99" s="55" t="s">
        <v>20</v>
      </c>
      <c r="F99" s="18" t="s">
        <v>20</v>
      </c>
      <c r="G99" s="18" t="s">
        <v>20</v>
      </c>
      <c r="H99" s="18" t="s">
        <v>20</v>
      </c>
      <c r="I99" s="18" t="s">
        <v>20</v>
      </c>
      <c r="J99" s="43" t="s">
        <v>20</v>
      </c>
      <c r="K99" s="43" t="s">
        <v>39</v>
      </c>
      <c r="L99" s="43" t="s">
        <v>20</v>
      </c>
      <c r="M99" s="18" t="s">
        <v>20</v>
      </c>
      <c r="N99" s="18" t="s">
        <v>20</v>
      </c>
      <c r="O99" s="18" t="s">
        <v>20</v>
      </c>
      <c r="P99" s="18" t="s">
        <v>20</v>
      </c>
      <c r="Q99" s="18" t="s">
        <v>20</v>
      </c>
      <c r="R99" s="18" t="s">
        <v>20</v>
      </c>
      <c r="S99" s="18" t="s">
        <v>20</v>
      </c>
      <c r="T99" s="18" t="s">
        <v>20</v>
      </c>
      <c r="U99" s="18" t="s">
        <v>20</v>
      </c>
      <c r="V99" s="37" t="s">
        <v>20</v>
      </c>
      <c r="W99" s="37" t="s">
        <v>20</v>
      </c>
      <c r="X99" s="37" t="s">
        <v>20</v>
      </c>
      <c r="Y99" s="18" t="s">
        <v>20</v>
      </c>
      <c r="Z99" s="18" t="s">
        <v>39</v>
      </c>
      <c r="AA99" s="20" t="s">
        <v>20</v>
      </c>
      <c r="AB99" s="20" t="s">
        <v>20</v>
      </c>
      <c r="AC99" s="20" t="s">
        <v>20</v>
      </c>
      <c r="AD99" s="37" t="s">
        <v>21</v>
      </c>
      <c r="AE99" s="37" t="s">
        <v>21</v>
      </c>
      <c r="AG99">
        <f t="shared" si="9"/>
        <v>2</v>
      </c>
      <c r="AH99">
        <f t="shared" si="10"/>
        <v>22</v>
      </c>
      <c r="AI99">
        <f t="shared" si="11"/>
        <v>2</v>
      </c>
      <c r="AJ99">
        <f t="shared" si="12"/>
        <v>0</v>
      </c>
      <c r="AL99">
        <f t="shared" si="13"/>
        <v>8</v>
      </c>
      <c r="AM99">
        <f t="shared" si="14"/>
        <v>66</v>
      </c>
      <c r="AN99">
        <f t="shared" si="15"/>
        <v>4</v>
      </c>
      <c r="AO99">
        <f t="shared" si="16"/>
        <v>0</v>
      </c>
      <c r="AP99">
        <f t="shared" si="17"/>
        <v>78</v>
      </c>
    </row>
    <row r="100" spans="1:42" ht="15.75" hidden="1" customHeight="1" x14ac:dyDescent="0.3">
      <c r="A100" s="16"/>
      <c r="B100" s="55">
        <v>10</v>
      </c>
      <c r="C100" s="56" t="s">
        <v>118</v>
      </c>
      <c r="D100" s="55">
        <v>3</v>
      </c>
      <c r="E100" s="55" t="s">
        <v>20</v>
      </c>
      <c r="F100" s="18" t="s">
        <v>23</v>
      </c>
      <c r="G100" s="18" t="s">
        <v>23</v>
      </c>
      <c r="H100" s="18" t="s">
        <v>23</v>
      </c>
      <c r="I100" s="18" t="s">
        <v>23</v>
      </c>
      <c r="J100" s="43" t="s">
        <v>21</v>
      </c>
      <c r="K100" s="43" t="s">
        <v>21</v>
      </c>
      <c r="L100" s="43" t="s">
        <v>21</v>
      </c>
      <c r="M100" s="18" t="s">
        <v>21</v>
      </c>
      <c r="N100" s="18" t="s">
        <v>23</v>
      </c>
      <c r="O100" s="18" t="s">
        <v>21</v>
      </c>
      <c r="P100" s="18" t="s">
        <v>23</v>
      </c>
      <c r="Q100" s="18" t="s">
        <v>21</v>
      </c>
      <c r="R100" s="18" t="s">
        <v>21</v>
      </c>
      <c r="S100" s="18" t="s">
        <v>20</v>
      </c>
      <c r="T100" s="18" t="s">
        <v>20</v>
      </c>
      <c r="U100" s="18" t="s">
        <v>21</v>
      </c>
      <c r="V100" s="37" t="s">
        <v>20</v>
      </c>
      <c r="W100" s="37" t="s">
        <v>21</v>
      </c>
      <c r="X100" s="37" t="s">
        <v>20</v>
      </c>
      <c r="Y100" s="18" t="s">
        <v>20</v>
      </c>
      <c r="Z100" s="18" t="s">
        <v>20</v>
      </c>
      <c r="AA100" s="20" t="s">
        <v>21</v>
      </c>
      <c r="AB100" s="20" t="s">
        <v>21</v>
      </c>
      <c r="AC100" s="20" t="s">
        <v>21</v>
      </c>
      <c r="AD100" s="37" t="s">
        <v>21</v>
      </c>
      <c r="AE100" s="37" t="s">
        <v>21</v>
      </c>
      <c r="AG100">
        <f t="shared" si="9"/>
        <v>0</v>
      </c>
      <c r="AH100">
        <f t="shared" si="10"/>
        <v>6</v>
      </c>
      <c r="AI100">
        <f t="shared" si="11"/>
        <v>14</v>
      </c>
      <c r="AJ100">
        <f t="shared" si="12"/>
        <v>6</v>
      </c>
      <c r="AL100">
        <f t="shared" si="13"/>
        <v>0</v>
      </c>
      <c r="AM100">
        <f t="shared" si="14"/>
        <v>18</v>
      </c>
      <c r="AN100">
        <f t="shared" si="15"/>
        <v>28</v>
      </c>
      <c r="AO100">
        <f t="shared" si="16"/>
        <v>6</v>
      </c>
      <c r="AP100">
        <f t="shared" si="17"/>
        <v>52</v>
      </c>
    </row>
    <row r="101" spans="1:42" ht="15.75" hidden="1" customHeight="1" x14ac:dyDescent="0.3">
      <c r="A101" s="16"/>
      <c r="B101" s="55">
        <v>11</v>
      </c>
      <c r="C101" s="56" t="s">
        <v>119</v>
      </c>
      <c r="D101" s="55">
        <v>3</v>
      </c>
      <c r="E101" s="55" t="s">
        <v>20</v>
      </c>
      <c r="F101" s="18" t="s">
        <v>21</v>
      </c>
      <c r="G101" s="18" t="s">
        <v>21</v>
      </c>
      <c r="H101" s="18" t="s">
        <v>21</v>
      </c>
      <c r="I101" s="18" t="s">
        <v>21</v>
      </c>
      <c r="J101" s="43" t="s">
        <v>21</v>
      </c>
      <c r="K101" s="43" t="s">
        <v>21</v>
      </c>
      <c r="L101" s="43" t="s">
        <v>21</v>
      </c>
      <c r="M101" s="18" t="s">
        <v>21</v>
      </c>
      <c r="N101" s="18" t="s">
        <v>21</v>
      </c>
      <c r="O101" s="18" t="s">
        <v>21</v>
      </c>
      <c r="P101" s="18" t="s">
        <v>23</v>
      </c>
      <c r="Q101" s="18" t="s">
        <v>21</v>
      </c>
      <c r="R101" s="18" t="s">
        <v>21</v>
      </c>
      <c r="S101" s="18" t="s">
        <v>20</v>
      </c>
      <c r="T101" s="18" t="s">
        <v>20</v>
      </c>
      <c r="U101" s="18" t="s">
        <v>21</v>
      </c>
      <c r="V101" s="37" t="s">
        <v>20</v>
      </c>
      <c r="W101" s="37" t="s">
        <v>20</v>
      </c>
      <c r="X101" s="37" t="s">
        <v>20</v>
      </c>
      <c r="Y101" s="18" t="s">
        <v>21</v>
      </c>
      <c r="Z101" s="18" t="s">
        <v>21</v>
      </c>
      <c r="AA101" s="20" t="s">
        <v>21</v>
      </c>
      <c r="AB101" s="20" t="s">
        <v>21</v>
      </c>
      <c r="AC101" s="20" t="s">
        <v>21</v>
      </c>
      <c r="AD101" s="37" t="s">
        <v>23</v>
      </c>
      <c r="AE101" s="37" t="s">
        <v>21</v>
      </c>
      <c r="AG101">
        <f t="shared" si="9"/>
        <v>0</v>
      </c>
      <c r="AH101">
        <f t="shared" si="10"/>
        <v>5</v>
      </c>
      <c r="AI101">
        <f t="shared" si="11"/>
        <v>19</v>
      </c>
      <c r="AJ101">
        <f t="shared" si="12"/>
        <v>2</v>
      </c>
      <c r="AL101">
        <f t="shared" si="13"/>
        <v>0</v>
      </c>
      <c r="AM101">
        <f t="shared" si="14"/>
        <v>15</v>
      </c>
      <c r="AN101">
        <f t="shared" si="15"/>
        <v>38</v>
      </c>
      <c r="AO101">
        <f t="shared" si="16"/>
        <v>2</v>
      </c>
      <c r="AP101">
        <f t="shared" si="17"/>
        <v>55</v>
      </c>
    </row>
    <row r="102" spans="1:42" ht="15.75" hidden="1" customHeight="1" x14ac:dyDescent="0.3">
      <c r="A102" s="16"/>
      <c r="B102" s="55">
        <v>12</v>
      </c>
      <c r="C102" s="56" t="s">
        <v>120</v>
      </c>
      <c r="D102" s="55">
        <v>3</v>
      </c>
      <c r="E102" s="55" t="s">
        <v>20</v>
      </c>
      <c r="F102" s="18" t="s">
        <v>21</v>
      </c>
      <c r="G102" s="18" t="s">
        <v>23</v>
      </c>
      <c r="H102" s="18" t="s">
        <v>23</v>
      </c>
      <c r="I102" s="18" t="s">
        <v>21</v>
      </c>
      <c r="J102" s="43" t="s">
        <v>21</v>
      </c>
      <c r="K102" s="43" t="s">
        <v>20</v>
      </c>
      <c r="L102" s="43" t="s">
        <v>21</v>
      </c>
      <c r="M102" s="18" t="s">
        <v>21</v>
      </c>
      <c r="N102" s="18" t="s">
        <v>21</v>
      </c>
      <c r="O102" s="18" t="s">
        <v>20</v>
      </c>
      <c r="P102" s="18" t="s">
        <v>21</v>
      </c>
      <c r="Q102" s="18" t="s">
        <v>21</v>
      </c>
      <c r="R102" s="18" t="s">
        <v>21</v>
      </c>
      <c r="S102" s="18" t="s">
        <v>21</v>
      </c>
      <c r="T102" s="18" t="s">
        <v>20</v>
      </c>
      <c r="U102" s="18" t="s">
        <v>21</v>
      </c>
      <c r="V102" s="37" t="s">
        <v>20</v>
      </c>
      <c r="W102" s="37" t="s">
        <v>21</v>
      </c>
      <c r="X102" s="37" t="s">
        <v>20</v>
      </c>
      <c r="Y102" s="18" t="s">
        <v>20</v>
      </c>
      <c r="Z102" s="18" t="s">
        <v>20</v>
      </c>
      <c r="AA102" s="20" t="s">
        <v>20</v>
      </c>
      <c r="AB102" s="20" t="s">
        <v>21</v>
      </c>
      <c r="AC102" s="20" t="s">
        <v>20</v>
      </c>
      <c r="AD102" s="37" t="s">
        <v>23</v>
      </c>
      <c r="AE102" s="37" t="s">
        <v>21</v>
      </c>
      <c r="AG102">
        <f t="shared" si="9"/>
        <v>0</v>
      </c>
      <c r="AH102">
        <f t="shared" si="10"/>
        <v>9</v>
      </c>
      <c r="AI102">
        <f t="shared" si="11"/>
        <v>14</v>
      </c>
      <c r="AJ102">
        <f t="shared" si="12"/>
        <v>3</v>
      </c>
      <c r="AL102">
        <f t="shared" si="13"/>
        <v>0</v>
      </c>
      <c r="AM102">
        <f t="shared" si="14"/>
        <v>27</v>
      </c>
      <c r="AN102">
        <f t="shared" si="15"/>
        <v>28</v>
      </c>
      <c r="AO102">
        <f t="shared" si="16"/>
        <v>3</v>
      </c>
      <c r="AP102">
        <f t="shared" si="17"/>
        <v>58</v>
      </c>
    </row>
    <row r="103" spans="1:42" ht="15.75" hidden="1" customHeight="1" x14ac:dyDescent="0.3">
      <c r="A103" s="16"/>
      <c r="B103" s="55">
        <v>13</v>
      </c>
      <c r="C103" s="56" t="s">
        <v>121</v>
      </c>
      <c r="D103" s="55">
        <v>3</v>
      </c>
      <c r="E103" s="55" t="s">
        <v>20</v>
      </c>
      <c r="F103" s="18" t="s">
        <v>20</v>
      </c>
      <c r="G103" s="18" t="s">
        <v>20</v>
      </c>
      <c r="H103" s="18" t="s">
        <v>20</v>
      </c>
      <c r="I103" s="18" t="s">
        <v>20</v>
      </c>
      <c r="J103" s="43" t="s">
        <v>20</v>
      </c>
      <c r="K103" s="43" t="s">
        <v>21</v>
      </c>
      <c r="L103" s="43" t="s">
        <v>21</v>
      </c>
      <c r="M103" s="18" t="s">
        <v>21</v>
      </c>
      <c r="N103" s="18" t="s">
        <v>21</v>
      </c>
      <c r="O103" s="18" t="s">
        <v>20</v>
      </c>
      <c r="P103" s="18" t="s">
        <v>20</v>
      </c>
      <c r="Q103" s="18" t="s">
        <v>20</v>
      </c>
      <c r="R103" s="18" t="s">
        <v>20</v>
      </c>
      <c r="S103" s="18" t="s">
        <v>20</v>
      </c>
      <c r="T103" s="18" t="s">
        <v>20</v>
      </c>
      <c r="U103" s="18" t="s">
        <v>21</v>
      </c>
      <c r="V103" s="37" t="s">
        <v>20</v>
      </c>
      <c r="W103" s="37" t="s">
        <v>21</v>
      </c>
      <c r="X103" s="37" t="s">
        <v>20</v>
      </c>
      <c r="Y103" s="18" t="s">
        <v>21</v>
      </c>
      <c r="Z103" s="18" t="s">
        <v>20</v>
      </c>
      <c r="AA103" s="20" t="s">
        <v>20</v>
      </c>
      <c r="AB103" s="20" t="s">
        <v>21</v>
      </c>
      <c r="AC103" s="20" t="s">
        <v>20</v>
      </c>
      <c r="AD103" s="37" t="s">
        <v>21</v>
      </c>
      <c r="AE103" s="37" t="s">
        <v>21</v>
      </c>
      <c r="AG103">
        <f t="shared" si="9"/>
        <v>0</v>
      </c>
      <c r="AH103">
        <f t="shared" si="10"/>
        <v>16</v>
      </c>
      <c r="AI103">
        <f t="shared" si="11"/>
        <v>10</v>
      </c>
      <c r="AJ103">
        <f t="shared" si="12"/>
        <v>0</v>
      </c>
      <c r="AL103">
        <f t="shared" si="13"/>
        <v>0</v>
      </c>
      <c r="AM103">
        <f t="shared" si="14"/>
        <v>48</v>
      </c>
      <c r="AN103">
        <f t="shared" si="15"/>
        <v>20</v>
      </c>
      <c r="AO103">
        <f t="shared" si="16"/>
        <v>0</v>
      </c>
      <c r="AP103">
        <f t="shared" si="17"/>
        <v>68</v>
      </c>
    </row>
    <row r="104" spans="1:42" ht="15.75" hidden="1" customHeight="1" x14ac:dyDescent="0.3">
      <c r="A104" s="16"/>
      <c r="B104" s="55">
        <v>14</v>
      </c>
      <c r="C104" s="56" t="s">
        <v>122</v>
      </c>
      <c r="D104" s="55">
        <v>3</v>
      </c>
      <c r="E104" s="55" t="s">
        <v>20</v>
      </c>
      <c r="F104" s="18" t="s">
        <v>23</v>
      </c>
      <c r="G104" s="18" t="s">
        <v>23</v>
      </c>
      <c r="H104" s="18" t="s">
        <v>23</v>
      </c>
      <c r="I104" s="18" t="s">
        <v>23</v>
      </c>
      <c r="J104" s="43" t="s">
        <v>21</v>
      </c>
      <c r="K104" s="43" t="s">
        <v>23</v>
      </c>
      <c r="L104" s="43" t="s">
        <v>21</v>
      </c>
      <c r="M104" s="18" t="s">
        <v>21</v>
      </c>
      <c r="N104" s="18" t="s">
        <v>23</v>
      </c>
      <c r="O104" s="18" t="s">
        <v>23</v>
      </c>
      <c r="P104" s="18" t="s">
        <v>23</v>
      </c>
      <c r="Q104" s="18" t="s">
        <v>21</v>
      </c>
      <c r="R104" s="18" t="s">
        <v>23</v>
      </c>
      <c r="S104" s="18" t="s">
        <v>23</v>
      </c>
      <c r="T104" s="18" t="s">
        <v>23</v>
      </c>
      <c r="U104" s="18" t="s">
        <v>21</v>
      </c>
      <c r="V104" s="37" t="s">
        <v>20</v>
      </c>
      <c r="W104" s="37" t="s">
        <v>21</v>
      </c>
      <c r="X104" s="37" t="s">
        <v>20</v>
      </c>
      <c r="Y104" s="18" t="s">
        <v>21</v>
      </c>
      <c r="Z104" s="18" t="s">
        <v>23</v>
      </c>
      <c r="AA104" s="20" t="s">
        <v>23</v>
      </c>
      <c r="AB104" s="20" t="s">
        <v>23</v>
      </c>
      <c r="AC104" s="20" t="s">
        <v>21</v>
      </c>
      <c r="AD104" s="37" t="s">
        <v>21</v>
      </c>
      <c r="AE104" s="37" t="s">
        <v>21</v>
      </c>
      <c r="AG104">
        <f t="shared" si="9"/>
        <v>0</v>
      </c>
      <c r="AH104">
        <f t="shared" si="10"/>
        <v>2</v>
      </c>
      <c r="AI104">
        <f t="shared" si="11"/>
        <v>10</v>
      </c>
      <c r="AJ104">
        <f t="shared" si="12"/>
        <v>14</v>
      </c>
      <c r="AL104">
        <f t="shared" si="13"/>
        <v>0</v>
      </c>
      <c r="AM104">
        <f t="shared" si="14"/>
        <v>6</v>
      </c>
      <c r="AN104">
        <f t="shared" si="15"/>
        <v>20</v>
      </c>
      <c r="AO104">
        <f t="shared" si="16"/>
        <v>14</v>
      </c>
      <c r="AP104">
        <f t="shared" si="17"/>
        <v>40</v>
      </c>
    </row>
    <row r="105" spans="1:42" ht="15.75" hidden="1" customHeight="1" x14ac:dyDescent="0.3">
      <c r="A105" s="16"/>
      <c r="B105" s="55">
        <v>15</v>
      </c>
      <c r="C105" s="56" t="s">
        <v>123</v>
      </c>
      <c r="D105" s="55">
        <v>3</v>
      </c>
      <c r="E105" s="55" t="s">
        <v>20</v>
      </c>
      <c r="F105" s="18" t="s">
        <v>39</v>
      </c>
      <c r="G105" s="18" t="s">
        <v>39</v>
      </c>
      <c r="H105" s="18" t="s">
        <v>20</v>
      </c>
      <c r="I105" s="18" t="s">
        <v>39</v>
      </c>
      <c r="J105" s="43" t="s">
        <v>20</v>
      </c>
      <c r="K105" s="43" t="s">
        <v>20</v>
      </c>
      <c r="L105" s="43" t="s">
        <v>20</v>
      </c>
      <c r="M105" s="18" t="s">
        <v>20</v>
      </c>
      <c r="N105" s="18" t="s">
        <v>21</v>
      </c>
      <c r="O105" s="18" t="s">
        <v>20</v>
      </c>
      <c r="P105" s="18" t="s">
        <v>20</v>
      </c>
      <c r="Q105" s="18" t="s">
        <v>20</v>
      </c>
      <c r="R105" s="18" t="s">
        <v>20</v>
      </c>
      <c r="S105" s="18" t="s">
        <v>20</v>
      </c>
      <c r="T105" s="18" t="s">
        <v>20</v>
      </c>
      <c r="U105" s="18" t="s">
        <v>20</v>
      </c>
      <c r="V105" s="37" t="s">
        <v>20</v>
      </c>
      <c r="W105" s="37" t="s">
        <v>20</v>
      </c>
      <c r="X105" s="37" t="s">
        <v>20</v>
      </c>
      <c r="Y105" s="18" t="s">
        <v>20</v>
      </c>
      <c r="Z105" s="18" t="s">
        <v>21</v>
      </c>
      <c r="AA105" s="20" t="s">
        <v>20</v>
      </c>
      <c r="AB105" s="20" t="s">
        <v>20</v>
      </c>
      <c r="AC105" s="20" t="s">
        <v>20</v>
      </c>
      <c r="AD105" s="37" t="s">
        <v>20</v>
      </c>
      <c r="AE105" s="37" t="s">
        <v>21</v>
      </c>
      <c r="AG105">
        <f t="shared" si="9"/>
        <v>3</v>
      </c>
      <c r="AH105">
        <f t="shared" si="10"/>
        <v>20</v>
      </c>
      <c r="AI105">
        <f t="shared" si="11"/>
        <v>3</v>
      </c>
      <c r="AJ105">
        <f t="shared" si="12"/>
        <v>0</v>
      </c>
      <c r="AL105">
        <f t="shared" si="13"/>
        <v>12</v>
      </c>
      <c r="AM105">
        <f t="shared" si="14"/>
        <v>60</v>
      </c>
      <c r="AN105">
        <f t="shared" si="15"/>
        <v>6</v>
      </c>
      <c r="AO105">
        <f t="shared" si="16"/>
        <v>0</v>
      </c>
      <c r="AP105">
        <f t="shared" si="17"/>
        <v>78</v>
      </c>
    </row>
    <row r="106" spans="1:42" ht="15.75" hidden="1" customHeight="1" x14ac:dyDescent="0.3">
      <c r="A106" s="16"/>
      <c r="B106" s="55">
        <v>16</v>
      </c>
      <c r="C106" s="56" t="s">
        <v>124</v>
      </c>
      <c r="D106" s="55">
        <v>3</v>
      </c>
      <c r="E106" s="55" t="s">
        <v>20</v>
      </c>
      <c r="F106" s="18" t="s">
        <v>20</v>
      </c>
      <c r="G106" s="18" t="s">
        <v>20</v>
      </c>
      <c r="H106" s="18" t="s">
        <v>20</v>
      </c>
      <c r="I106" s="18" t="s">
        <v>20</v>
      </c>
      <c r="J106" s="43" t="s">
        <v>20</v>
      </c>
      <c r="K106" s="43" t="s">
        <v>20</v>
      </c>
      <c r="L106" s="43" t="s">
        <v>20</v>
      </c>
      <c r="M106" s="18" t="s">
        <v>20</v>
      </c>
      <c r="N106" s="18" t="s">
        <v>20</v>
      </c>
      <c r="O106" s="18" t="s">
        <v>20</v>
      </c>
      <c r="P106" s="18" t="s">
        <v>20</v>
      </c>
      <c r="Q106" s="18" t="s">
        <v>20</v>
      </c>
      <c r="R106" s="18" t="s">
        <v>20</v>
      </c>
      <c r="S106" s="18" t="s">
        <v>20</v>
      </c>
      <c r="T106" s="18" t="s">
        <v>20</v>
      </c>
      <c r="U106" s="18" t="s">
        <v>20</v>
      </c>
      <c r="V106" s="37" t="s">
        <v>20</v>
      </c>
      <c r="W106" s="37" t="s">
        <v>20</v>
      </c>
      <c r="X106" s="37" t="s">
        <v>20</v>
      </c>
      <c r="Y106" s="18" t="s">
        <v>20</v>
      </c>
      <c r="Z106" s="18" t="s">
        <v>20</v>
      </c>
      <c r="AA106" s="20" t="s">
        <v>20</v>
      </c>
      <c r="AB106" s="20" t="s">
        <v>20</v>
      </c>
      <c r="AC106" s="20" t="s">
        <v>20</v>
      </c>
      <c r="AD106" s="37" t="s">
        <v>20</v>
      </c>
      <c r="AE106" s="37" t="s">
        <v>21</v>
      </c>
      <c r="AG106">
        <f t="shared" si="9"/>
        <v>0</v>
      </c>
      <c r="AH106">
        <f t="shared" si="10"/>
        <v>25</v>
      </c>
      <c r="AI106">
        <f t="shared" si="11"/>
        <v>1</v>
      </c>
      <c r="AJ106">
        <f t="shared" si="12"/>
        <v>0</v>
      </c>
      <c r="AL106">
        <f t="shared" si="13"/>
        <v>0</v>
      </c>
      <c r="AM106">
        <f t="shared" si="14"/>
        <v>75</v>
      </c>
      <c r="AN106">
        <f t="shared" si="15"/>
        <v>2</v>
      </c>
      <c r="AO106">
        <f t="shared" si="16"/>
        <v>0</v>
      </c>
      <c r="AP106">
        <f t="shared" si="17"/>
        <v>77</v>
      </c>
    </row>
    <row r="107" spans="1:42" ht="15.75" hidden="1" customHeight="1" x14ac:dyDescent="0.3">
      <c r="A107" s="16"/>
      <c r="B107" s="55">
        <v>17</v>
      </c>
      <c r="C107" s="56" t="s">
        <v>125</v>
      </c>
      <c r="D107" s="55">
        <v>3</v>
      </c>
      <c r="E107" s="55" t="s">
        <v>20</v>
      </c>
      <c r="F107" s="18" t="s">
        <v>20</v>
      </c>
      <c r="G107" s="18" t="s">
        <v>20</v>
      </c>
      <c r="H107" s="18" t="s">
        <v>20</v>
      </c>
      <c r="I107" s="18" t="s">
        <v>20</v>
      </c>
      <c r="J107" s="43" t="s">
        <v>39</v>
      </c>
      <c r="K107" s="43" t="s">
        <v>20</v>
      </c>
      <c r="L107" s="43" t="s">
        <v>20</v>
      </c>
      <c r="M107" s="18" t="s">
        <v>20</v>
      </c>
      <c r="N107" s="18" t="s">
        <v>20</v>
      </c>
      <c r="O107" s="18" t="s">
        <v>20</v>
      </c>
      <c r="P107" s="18" t="s">
        <v>20</v>
      </c>
      <c r="Q107" s="18" t="s">
        <v>20</v>
      </c>
      <c r="R107" s="18" t="s">
        <v>20</v>
      </c>
      <c r="S107" s="18" t="s">
        <v>21</v>
      </c>
      <c r="T107" s="18" t="s">
        <v>20</v>
      </c>
      <c r="U107" s="18" t="s">
        <v>20</v>
      </c>
      <c r="V107" s="37" t="s">
        <v>21</v>
      </c>
      <c r="W107" s="37" t="s">
        <v>20</v>
      </c>
      <c r="X107" s="37" t="s">
        <v>21</v>
      </c>
      <c r="Y107" s="18" t="s">
        <v>20</v>
      </c>
      <c r="Z107" s="18" t="s">
        <v>20</v>
      </c>
      <c r="AA107" s="20" t="s">
        <v>20</v>
      </c>
      <c r="AB107" s="20" t="s">
        <v>20</v>
      </c>
      <c r="AC107" s="20" t="s">
        <v>20</v>
      </c>
      <c r="AD107" s="37" t="s">
        <v>20</v>
      </c>
      <c r="AE107" s="37" t="s">
        <v>21</v>
      </c>
      <c r="AG107">
        <f t="shared" si="9"/>
        <v>1</v>
      </c>
      <c r="AH107">
        <f t="shared" si="10"/>
        <v>21</v>
      </c>
      <c r="AI107">
        <f t="shared" si="11"/>
        <v>4</v>
      </c>
      <c r="AJ107">
        <f t="shared" si="12"/>
        <v>0</v>
      </c>
      <c r="AL107">
        <f t="shared" si="13"/>
        <v>4</v>
      </c>
      <c r="AM107">
        <f t="shared" si="14"/>
        <v>63</v>
      </c>
      <c r="AN107">
        <f t="shared" si="15"/>
        <v>8</v>
      </c>
      <c r="AO107">
        <f t="shared" si="16"/>
        <v>0</v>
      </c>
      <c r="AP107">
        <f t="shared" si="17"/>
        <v>75</v>
      </c>
    </row>
    <row r="108" spans="1:42" ht="15.75" hidden="1" customHeight="1" x14ac:dyDescent="0.3">
      <c r="A108" s="16"/>
      <c r="B108" s="55">
        <v>18</v>
      </c>
      <c r="C108" s="56" t="s">
        <v>126</v>
      </c>
      <c r="D108" s="55">
        <v>3</v>
      </c>
      <c r="E108" s="55" t="s">
        <v>20</v>
      </c>
      <c r="F108" s="18" t="s">
        <v>39</v>
      </c>
      <c r="G108" s="18" t="s">
        <v>20</v>
      </c>
      <c r="H108" s="18" t="s">
        <v>20</v>
      </c>
      <c r="I108" s="18" t="s">
        <v>20</v>
      </c>
      <c r="J108" s="43" t="s">
        <v>20</v>
      </c>
      <c r="K108" s="43" t="s">
        <v>20</v>
      </c>
      <c r="L108" s="43" t="s">
        <v>20</v>
      </c>
      <c r="M108" s="18" t="s">
        <v>20</v>
      </c>
      <c r="N108" s="18" t="s">
        <v>20</v>
      </c>
      <c r="O108" s="18" t="s">
        <v>20</v>
      </c>
      <c r="P108" s="18" t="s">
        <v>20</v>
      </c>
      <c r="Q108" s="18" t="s">
        <v>20</v>
      </c>
      <c r="R108" s="18" t="s">
        <v>20</v>
      </c>
      <c r="S108" s="18" t="s">
        <v>20</v>
      </c>
      <c r="T108" s="18" t="s">
        <v>20</v>
      </c>
      <c r="U108" s="18" t="s">
        <v>20</v>
      </c>
      <c r="V108" s="37" t="s">
        <v>20</v>
      </c>
      <c r="W108" s="37" t="s">
        <v>20</v>
      </c>
      <c r="X108" s="37" t="s">
        <v>20</v>
      </c>
      <c r="Y108" s="18" t="s">
        <v>21</v>
      </c>
      <c r="Z108" s="18" t="s">
        <v>20</v>
      </c>
      <c r="AA108" s="20" t="s">
        <v>20</v>
      </c>
      <c r="AB108" s="20" t="s">
        <v>20</v>
      </c>
      <c r="AC108" s="20" t="s">
        <v>20</v>
      </c>
      <c r="AD108" s="37" t="s">
        <v>20</v>
      </c>
      <c r="AE108" s="37" t="s">
        <v>21</v>
      </c>
      <c r="AG108">
        <f t="shared" si="9"/>
        <v>1</v>
      </c>
      <c r="AH108">
        <f t="shared" si="10"/>
        <v>23</v>
      </c>
      <c r="AI108">
        <f t="shared" si="11"/>
        <v>2</v>
      </c>
      <c r="AJ108">
        <f t="shared" si="12"/>
        <v>0</v>
      </c>
      <c r="AL108">
        <f t="shared" si="13"/>
        <v>4</v>
      </c>
      <c r="AM108">
        <f t="shared" si="14"/>
        <v>69</v>
      </c>
      <c r="AN108">
        <f t="shared" si="15"/>
        <v>4</v>
      </c>
      <c r="AO108">
        <f t="shared" si="16"/>
        <v>0</v>
      </c>
      <c r="AP108">
        <f t="shared" si="17"/>
        <v>77</v>
      </c>
    </row>
    <row r="109" spans="1:42" ht="15.75" hidden="1" customHeight="1" thickBot="1" x14ac:dyDescent="0.35">
      <c r="A109" s="16"/>
      <c r="B109" s="57">
        <v>19</v>
      </c>
      <c r="C109" s="58" t="s">
        <v>127</v>
      </c>
      <c r="D109" s="57">
        <v>3</v>
      </c>
      <c r="E109" s="57" t="s">
        <v>20</v>
      </c>
      <c r="F109" s="21" t="s">
        <v>21</v>
      </c>
      <c r="G109" s="21" t="s">
        <v>23</v>
      </c>
      <c r="H109" s="21" t="s">
        <v>23</v>
      </c>
      <c r="I109" s="21" t="s">
        <v>23</v>
      </c>
      <c r="J109" s="45" t="s">
        <v>21</v>
      </c>
      <c r="K109" s="45" t="s">
        <v>20</v>
      </c>
      <c r="L109" s="45" t="s">
        <v>21</v>
      </c>
      <c r="M109" s="21" t="s">
        <v>21</v>
      </c>
      <c r="N109" s="21" t="s">
        <v>21</v>
      </c>
      <c r="O109" s="21" t="s">
        <v>21</v>
      </c>
      <c r="P109" s="21" t="s">
        <v>21</v>
      </c>
      <c r="Q109" s="21" t="s">
        <v>21</v>
      </c>
      <c r="R109" s="21" t="s">
        <v>21</v>
      </c>
      <c r="S109" s="21" t="s">
        <v>20</v>
      </c>
      <c r="T109" s="21" t="s">
        <v>20</v>
      </c>
      <c r="U109" s="21" t="s">
        <v>20</v>
      </c>
      <c r="V109" s="38" t="s">
        <v>20</v>
      </c>
      <c r="W109" s="38" t="s">
        <v>21</v>
      </c>
      <c r="X109" s="38" t="s">
        <v>20</v>
      </c>
      <c r="Y109" s="21" t="s">
        <v>23</v>
      </c>
      <c r="Z109" s="21" t="s">
        <v>20</v>
      </c>
      <c r="AA109" s="23" t="s">
        <v>21</v>
      </c>
      <c r="AB109" s="23" t="s">
        <v>21</v>
      </c>
      <c r="AC109" s="23" t="s">
        <v>21</v>
      </c>
      <c r="AD109" s="38" t="s">
        <v>21</v>
      </c>
      <c r="AE109" s="38" t="s">
        <v>21</v>
      </c>
      <c r="AG109">
        <f t="shared" si="9"/>
        <v>0</v>
      </c>
      <c r="AH109">
        <f t="shared" si="10"/>
        <v>7</v>
      </c>
      <c r="AI109">
        <f t="shared" si="11"/>
        <v>15</v>
      </c>
      <c r="AJ109">
        <f t="shared" si="12"/>
        <v>4</v>
      </c>
      <c r="AL109">
        <f t="shared" si="13"/>
        <v>0</v>
      </c>
      <c r="AM109">
        <f t="shared" si="14"/>
        <v>21</v>
      </c>
      <c r="AN109">
        <f t="shared" si="15"/>
        <v>30</v>
      </c>
      <c r="AO109">
        <f t="shared" si="16"/>
        <v>4</v>
      </c>
      <c r="AP109">
        <f t="shared" si="17"/>
        <v>55</v>
      </c>
    </row>
    <row r="110" spans="1:42" ht="15.75" hidden="1" customHeight="1" x14ac:dyDescent="0.3">
      <c r="A110" s="16"/>
      <c r="B110" s="59">
        <v>1</v>
      </c>
      <c r="C110" s="60" t="s">
        <v>128</v>
      </c>
      <c r="D110" s="59">
        <v>3</v>
      </c>
      <c r="E110" s="59" t="s">
        <v>21</v>
      </c>
      <c r="F110" s="24" t="s">
        <v>21</v>
      </c>
      <c r="G110" s="24" t="s">
        <v>20</v>
      </c>
      <c r="H110" s="24" t="s">
        <v>20</v>
      </c>
      <c r="I110" s="24" t="s">
        <v>20</v>
      </c>
      <c r="J110" s="27" t="s">
        <v>20</v>
      </c>
      <c r="K110" s="27" t="s">
        <v>20</v>
      </c>
      <c r="L110" s="27" t="s">
        <v>21</v>
      </c>
      <c r="M110" s="24" t="s">
        <v>20</v>
      </c>
      <c r="N110" s="24" t="s">
        <v>20</v>
      </c>
      <c r="O110" s="24" t="s">
        <v>20</v>
      </c>
      <c r="P110" s="24" t="s">
        <v>21</v>
      </c>
      <c r="Q110" s="24" t="s">
        <v>21</v>
      </c>
      <c r="R110" s="24" t="s">
        <v>20</v>
      </c>
      <c r="S110" s="24" t="s">
        <v>20</v>
      </c>
      <c r="T110" s="24" t="s">
        <v>20</v>
      </c>
      <c r="U110" s="24" t="s">
        <v>20</v>
      </c>
      <c r="V110" s="39" t="s">
        <v>21</v>
      </c>
      <c r="W110" s="39" t="s">
        <v>20</v>
      </c>
      <c r="X110" s="39" t="s">
        <v>20</v>
      </c>
      <c r="Y110" s="24" t="s">
        <v>20</v>
      </c>
      <c r="Z110" s="24" t="s">
        <v>20</v>
      </c>
      <c r="AA110" s="27" t="s">
        <v>21</v>
      </c>
      <c r="AB110" s="27" t="s">
        <v>21</v>
      </c>
      <c r="AC110" s="27" t="s">
        <v>21</v>
      </c>
      <c r="AD110" s="39" t="s">
        <v>21</v>
      </c>
      <c r="AE110" s="39" t="s">
        <v>21</v>
      </c>
      <c r="AG110">
        <f t="shared" si="9"/>
        <v>0</v>
      </c>
      <c r="AH110">
        <f t="shared" si="10"/>
        <v>16</v>
      </c>
      <c r="AI110">
        <f t="shared" si="11"/>
        <v>10</v>
      </c>
      <c r="AJ110">
        <f t="shared" si="12"/>
        <v>0</v>
      </c>
      <c r="AL110">
        <f t="shared" si="13"/>
        <v>0</v>
      </c>
      <c r="AM110">
        <f t="shared" si="14"/>
        <v>48</v>
      </c>
      <c r="AN110">
        <f t="shared" si="15"/>
        <v>20</v>
      </c>
      <c r="AO110">
        <f t="shared" si="16"/>
        <v>0</v>
      </c>
      <c r="AP110">
        <f t="shared" si="17"/>
        <v>68</v>
      </c>
    </row>
    <row r="111" spans="1:42" ht="15.75" hidden="1" customHeight="1" x14ac:dyDescent="0.3">
      <c r="A111" s="16"/>
      <c r="B111" s="55">
        <v>2</v>
      </c>
      <c r="C111" s="56" t="s">
        <v>129</v>
      </c>
      <c r="D111" s="55">
        <v>3</v>
      </c>
      <c r="E111" s="55" t="s">
        <v>21</v>
      </c>
      <c r="F111" s="18" t="s">
        <v>21</v>
      </c>
      <c r="G111" s="18" t="s">
        <v>20</v>
      </c>
      <c r="H111" s="18" t="s">
        <v>20</v>
      </c>
      <c r="I111" s="18" t="s">
        <v>20</v>
      </c>
      <c r="J111" s="20" t="s">
        <v>20</v>
      </c>
      <c r="K111" s="20" t="s">
        <v>20</v>
      </c>
      <c r="L111" s="20" t="s">
        <v>21</v>
      </c>
      <c r="M111" s="18" t="s">
        <v>20</v>
      </c>
      <c r="N111" s="18" t="s">
        <v>20</v>
      </c>
      <c r="O111" s="18" t="s">
        <v>20</v>
      </c>
      <c r="P111" s="18" t="s">
        <v>21</v>
      </c>
      <c r="Q111" s="18" t="s">
        <v>20</v>
      </c>
      <c r="R111" s="18" t="s">
        <v>20</v>
      </c>
      <c r="S111" s="18" t="s">
        <v>21</v>
      </c>
      <c r="T111" s="18" t="s">
        <v>20</v>
      </c>
      <c r="U111" s="18" t="s">
        <v>20</v>
      </c>
      <c r="V111" s="37" t="s">
        <v>21</v>
      </c>
      <c r="W111" s="37" t="s">
        <v>20</v>
      </c>
      <c r="X111" s="37" t="s">
        <v>20</v>
      </c>
      <c r="Y111" s="18" t="s">
        <v>21</v>
      </c>
      <c r="Z111" s="18" t="s">
        <v>20</v>
      </c>
      <c r="AA111" s="20" t="s">
        <v>20</v>
      </c>
      <c r="AB111" s="20" t="s">
        <v>20</v>
      </c>
      <c r="AC111" s="20" t="s">
        <v>20</v>
      </c>
      <c r="AD111" s="37" t="s">
        <v>21</v>
      </c>
      <c r="AE111" s="37" t="s">
        <v>21</v>
      </c>
      <c r="AG111">
        <f t="shared" si="9"/>
        <v>0</v>
      </c>
      <c r="AH111">
        <f t="shared" si="10"/>
        <v>18</v>
      </c>
      <c r="AI111">
        <f t="shared" si="11"/>
        <v>8</v>
      </c>
      <c r="AJ111">
        <f t="shared" si="12"/>
        <v>0</v>
      </c>
      <c r="AL111">
        <f t="shared" si="13"/>
        <v>0</v>
      </c>
      <c r="AM111">
        <f t="shared" si="14"/>
        <v>54</v>
      </c>
      <c r="AN111">
        <f t="shared" si="15"/>
        <v>16</v>
      </c>
      <c r="AO111">
        <f t="shared" si="16"/>
        <v>0</v>
      </c>
      <c r="AP111">
        <f t="shared" si="17"/>
        <v>70</v>
      </c>
    </row>
    <row r="112" spans="1:42" ht="15.75" hidden="1" customHeight="1" x14ac:dyDescent="0.3">
      <c r="A112" s="16"/>
      <c r="B112" s="55">
        <v>3</v>
      </c>
      <c r="C112" s="56" t="s">
        <v>130</v>
      </c>
      <c r="D112" s="55">
        <v>3</v>
      </c>
      <c r="E112" s="55" t="s">
        <v>21</v>
      </c>
      <c r="F112" s="18" t="s">
        <v>20</v>
      </c>
      <c r="G112" s="18" t="s">
        <v>20</v>
      </c>
      <c r="H112" s="18" t="s">
        <v>20</v>
      </c>
      <c r="I112" s="18" t="s">
        <v>20</v>
      </c>
      <c r="J112" s="20" t="s">
        <v>20</v>
      </c>
      <c r="K112" s="20" t="s">
        <v>20</v>
      </c>
      <c r="L112" s="20" t="s">
        <v>21</v>
      </c>
      <c r="M112" s="18" t="s">
        <v>20</v>
      </c>
      <c r="N112" s="18" t="s">
        <v>20</v>
      </c>
      <c r="O112" s="18" t="s">
        <v>21</v>
      </c>
      <c r="P112" s="18" t="s">
        <v>20</v>
      </c>
      <c r="Q112" s="18" t="s">
        <v>20</v>
      </c>
      <c r="R112" s="18" t="s">
        <v>20</v>
      </c>
      <c r="S112" s="18" t="s">
        <v>20</v>
      </c>
      <c r="T112" s="18" t="s">
        <v>20</v>
      </c>
      <c r="U112" s="18" t="s">
        <v>20</v>
      </c>
      <c r="V112" s="37" t="s">
        <v>20</v>
      </c>
      <c r="W112" s="37" t="s">
        <v>20</v>
      </c>
      <c r="X112" s="37" t="s">
        <v>20</v>
      </c>
      <c r="Y112" s="18" t="s">
        <v>20</v>
      </c>
      <c r="Z112" s="18" t="s">
        <v>20</v>
      </c>
      <c r="AA112" s="20" t="s">
        <v>20</v>
      </c>
      <c r="AB112" s="20" t="s">
        <v>20</v>
      </c>
      <c r="AC112" s="20" t="s">
        <v>20</v>
      </c>
      <c r="AD112" s="37" t="s">
        <v>20</v>
      </c>
      <c r="AE112" s="37" t="s">
        <v>21</v>
      </c>
      <c r="AG112">
        <f t="shared" si="9"/>
        <v>0</v>
      </c>
      <c r="AH112">
        <f t="shared" si="10"/>
        <v>23</v>
      </c>
      <c r="AI112">
        <f t="shared" si="11"/>
        <v>3</v>
      </c>
      <c r="AJ112">
        <f t="shared" si="12"/>
        <v>0</v>
      </c>
      <c r="AL112">
        <f t="shared" si="13"/>
        <v>0</v>
      </c>
      <c r="AM112">
        <f t="shared" si="14"/>
        <v>69</v>
      </c>
      <c r="AN112">
        <f t="shared" si="15"/>
        <v>6</v>
      </c>
      <c r="AO112">
        <f t="shared" si="16"/>
        <v>0</v>
      </c>
      <c r="AP112">
        <f t="shared" si="17"/>
        <v>75</v>
      </c>
    </row>
    <row r="113" spans="1:42" ht="15.75" hidden="1" customHeight="1" x14ac:dyDescent="0.3">
      <c r="A113" s="16"/>
      <c r="B113" s="55">
        <v>4</v>
      </c>
      <c r="C113" s="56" t="s">
        <v>131</v>
      </c>
      <c r="D113" s="55">
        <v>3</v>
      </c>
      <c r="E113" s="55" t="s">
        <v>21</v>
      </c>
      <c r="F113" s="18" t="s">
        <v>21</v>
      </c>
      <c r="G113" s="18" t="s">
        <v>21</v>
      </c>
      <c r="H113" s="18" t="s">
        <v>21</v>
      </c>
      <c r="I113" s="18" t="s">
        <v>20</v>
      </c>
      <c r="J113" s="20" t="s">
        <v>20</v>
      </c>
      <c r="K113" s="20" t="s">
        <v>20</v>
      </c>
      <c r="L113" s="20" t="s">
        <v>20</v>
      </c>
      <c r="M113" s="18" t="s">
        <v>20</v>
      </c>
      <c r="N113" s="18" t="s">
        <v>20</v>
      </c>
      <c r="O113" s="18" t="s">
        <v>20</v>
      </c>
      <c r="P113" s="18" t="s">
        <v>20</v>
      </c>
      <c r="Q113" s="18" t="s">
        <v>21</v>
      </c>
      <c r="R113" s="18" t="s">
        <v>20</v>
      </c>
      <c r="S113" s="18" t="s">
        <v>20</v>
      </c>
      <c r="T113" s="18" t="s">
        <v>20</v>
      </c>
      <c r="U113" s="18" t="s">
        <v>20</v>
      </c>
      <c r="V113" s="37" t="s">
        <v>21</v>
      </c>
      <c r="W113" s="37" t="s">
        <v>20</v>
      </c>
      <c r="X113" s="37" t="s">
        <v>21</v>
      </c>
      <c r="Y113" s="18" t="s">
        <v>20</v>
      </c>
      <c r="Z113" s="18" t="s">
        <v>20</v>
      </c>
      <c r="AA113" s="20" t="s">
        <v>21</v>
      </c>
      <c r="AB113" s="20" t="s">
        <v>21</v>
      </c>
      <c r="AC113" s="20" t="s">
        <v>21</v>
      </c>
      <c r="AD113" s="37" t="s">
        <v>23</v>
      </c>
      <c r="AE113" s="37" t="s">
        <v>21</v>
      </c>
      <c r="AG113">
        <f t="shared" si="9"/>
        <v>0</v>
      </c>
      <c r="AH113">
        <f t="shared" si="10"/>
        <v>15</v>
      </c>
      <c r="AI113">
        <f t="shared" si="11"/>
        <v>10</v>
      </c>
      <c r="AJ113">
        <f t="shared" si="12"/>
        <v>1</v>
      </c>
      <c r="AL113">
        <f t="shared" si="13"/>
        <v>0</v>
      </c>
      <c r="AM113">
        <f t="shared" si="14"/>
        <v>45</v>
      </c>
      <c r="AN113">
        <f t="shared" si="15"/>
        <v>20</v>
      </c>
      <c r="AO113">
        <f t="shared" si="16"/>
        <v>1</v>
      </c>
      <c r="AP113">
        <f t="shared" si="17"/>
        <v>66</v>
      </c>
    </row>
    <row r="114" spans="1:42" ht="15.75" hidden="1" customHeight="1" x14ac:dyDescent="0.3">
      <c r="A114" s="16"/>
      <c r="B114" s="55">
        <v>5</v>
      </c>
      <c r="C114" s="56" t="s">
        <v>132</v>
      </c>
      <c r="D114" s="55">
        <v>3</v>
      </c>
      <c r="E114" s="55" t="s">
        <v>21</v>
      </c>
      <c r="F114" s="18" t="s">
        <v>21</v>
      </c>
      <c r="G114" s="18" t="s">
        <v>20</v>
      </c>
      <c r="H114" s="18" t="s">
        <v>21</v>
      </c>
      <c r="I114" s="18" t="s">
        <v>20</v>
      </c>
      <c r="J114" s="20" t="s">
        <v>39</v>
      </c>
      <c r="K114" s="20" t="s">
        <v>39</v>
      </c>
      <c r="L114" s="20" t="s">
        <v>20</v>
      </c>
      <c r="M114" s="18" t="s">
        <v>20</v>
      </c>
      <c r="N114" s="18" t="s">
        <v>20</v>
      </c>
      <c r="O114" s="18" t="s">
        <v>20</v>
      </c>
      <c r="P114" s="18" t="s">
        <v>21</v>
      </c>
      <c r="Q114" s="18" t="s">
        <v>20</v>
      </c>
      <c r="R114" s="18" t="s">
        <v>20</v>
      </c>
      <c r="S114" s="18" t="s">
        <v>20</v>
      </c>
      <c r="T114" s="18" t="s">
        <v>20</v>
      </c>
      <c r="U114" s="18" t="s">
        <v>20</v>
      </c>
      <c r="V114" s="37" t="s">
        <v>20</v>
      </c>
      <c r="W114" s="37" t="s">
        <v>20</v>
      </c>
      <c r="X114" s="37" t="s">
        <v>20</v>
      </c>
      <c r="Y114" s="18" t="s">
        <v>20</v>
      </c>
      <c r="Z114" s="18" t="s">
        <v>20</v>
      </c>
      <c r="AA114" s="20" t="s">
        <v>20</v>
      </c>
      <c r="AB114" s="20" t="s">
        <v>20</v>
      </c>
      <c r="AC114" s="20" t="s">
        <v>20</v>
      </c>
      <c r="AD114" s="29" t="s">
        <v>23</v>
      </c>
      <c r="AE114" s="29" t="s">
        <v>21</v>
      </c>
      <c r="AG114">
        <f t="shared" si="9"/>
        <v>2</v>
      </c>
      <c r="AH114">
        <f t="shared" si="10"/>
        <v>19</v>
      </c>
      <c r="AI114">
        <f t="shared" si="11"/>
        <v>4</v>
      </c>
      <c r="AJ114">
        <f t="shared" si="12"/>
        <v>1</v>
      </c>
      <c r="AL114">
        <f t="shared" si="13"/>
        <v>8</v>
      </c>
      <c r="AM114">
        <f t="shared" si="14"/>
        <v>57</v>
      </c>
      <c r="AN114">
        <f t="shared" si="15"/>
        <v>8</v>
      </c>
      <c r="AO114">
        <f t="shared" si="16"/>
        <v>1</v>
      </c>
      <c r="AP114">
        <f t="shared" si="17"/>
        <v>74</v>
      </c>
    </row>
    <row r="115" spans="1:42" ht="15.75" hidden="1" customHeight="1" x14ac:dyDescent="0.3">
      <c r="A115" s="16"/>
      <c r="B115" s="55">
        <v>6</v>
      </c>
      <c r="C115" s="56" t="s">
        <v>133</v>
      </c>
      <c r="D115" s="55">
        <v>3</v>
      </c>
      <c r="E115" s="55" t="s">
        <v>21</v>
      </c>
      <c r="F115" s="18" t="s">
        <v>20</v>
      </c>
      <c r="G115" s="18" t="s">
        <v>20</v>
      </c>
      <c r="H115" s="18" t="s">
        <v>20</v>
      </c>
      <c r="I115" s="18" t="s">
        <v>20</v>
      </c>
      <c r="J115" s="20" t="s">
        <v>20</v>
      </c>
      <c r="K115" s="20" t="s">
        <v>20</v>
      </c>
      <c r="L115" s="20" t="s">
        <v>20</v>
      </c>
      <c r="M115" s="18" t="s">
        <v>20</v>
      </c>
      <c r="N115" s="18" t="s">
        <v>20</v>
      </c>
      <c r="O115" s="18" t="s">
        <v>20</v>
      </c>
      <c r="P115" s="18" t="s">
        <v>21</v>
      </c>
      <c r="Q115" s="18" t="s">
        <v>20</v>
      </c>
      <c r="R115" s="18" t="s">
        <v>20</v>
      </c>
      <c r="S115" s="18" t="s">
        <v>20</v>
      </c>
      <c r="T115" s="18" t="s">
        <v>20</v>
      </c>
      <c r="U115" s="18" t="s">
        <v>20</v>
      </c>
      <c r="V115" s="37" t="s">
        <v>20</v>
      </c>
      <c r="W115" s="37" t="s">
        <v>20</v>
      </c>
      <c r="X115" s="37" t="s">
        <v>21</v>
      </c>
      <c r="Y115" s="18" t="s">
        <v>20</v>
      </c>
      <c r="Z115" s="18" t="s">
        <v>20</v>
      </c>
      <c r="AA115" s="20" t="s">
        <v>20</v>
      </c>
      <c r="AB115" s="20" t="s">
        <v>20</v>
      </c>
      <c r="AC115" s="20" t="s">
        <v>20</v>
      </c>
      <c r="AD115" s="29" t="s">
        <v>20</v>
      </c>
      <c r="AE115" s="29" t="s">
        <v>21</v>
      </c>
      <c r="AG115">
        <f t="shared" si="9"/>
        <v>0</v>
      </c>
      <c r="AH115">
        <f t="shared" si="10"/>
        <v>23</v>
      </c>
      <c r="AI115">
        <f t="shared" si="11"/>
        <v>3</v>
      </c>
      <c r="AJ115">
        <f t="shared" si="12"/>
        <v>0</v>
      </c>
      <c r="AL115">
        <f t="shared" si="13"/>
        <v>0</v>
      </c>
      <c r="AM115">
        <f t="shared" si="14"/>
        <v>69</v>
      </c>
      <c r="AN115">
        <f t="shared" si="15"/>
        <v>6</v>
      </c>
      <c r="AO115">
        <f t="shared" si="16"/>
        <v>0</v>
      </c>
      <c r="AP115">
        <f t="shared" si="17"/>
        <v>75</v>
      </c>
    </row>
    <row r="116" spans="1:42" ht="15.75" hidden="1" customHeight="1" x14ac:dyDescent="0.3">
      <c r="A116" s="16"/>
      <c r="B116" s="55">
        <v>7</v>
      </c>
      <c r="C116" s="56" t="s">
        <v>134</v>
      </c>
      <c r="D116" s="55">
        <v>3</v>
      </c>
      <c r="E116" s="55" t="s">
        <v>21</v>
      </c>
      <c r="F116" s="18" t="s">
        <v>23</v>
      </c>
      <c r="G116" s="18" t="s">
        <v>21</v>
      </c>
      <c r="H116" s="18" t="s">
        <v>23</v>
      </c>
      <c r="I116" s="18" t="s">
        <v>21</v>
      </c>
      <c r="J116" s="20" t="s">
        <v>21</v>
      </c>
      <c r="K116" s="20" t="s">
        <v>21</v>
      </c>
      <c r="L116" s="20" t="s">
        <v>21</v>
      </c>
      <c r="M116" s="18" t="s">
        <v>20</v>
      </c>
      <c r="N116" s="18" t="s">
        <v>20</v>
      </c>
      <c r="O116" s="18" t="s">
        <v>21</v>
      </c>
      <c r="P116" s="18" t="s">
        <v>21</v>
      </c>
      <c r="Q116" s="18" t="s">
        <v>23</v>
      </c>
      <c r="R116" s="18" t="s">
        <v>21</v>
      </c>
      <c r="S116" s="18" t="s">
        <v>20</v>
      </c>
      <c r="T116" s="18" t="s">
        <v>21</v>
      </c>
      <c r="U116" s="18" t="s">
        <v>20</v>
      </c>
      <c r="V116" s="37" t="s">
        <v>21</v>
      </c>
      <c r="W116" s="37" t="s">
        <v>21</v>
      </c>
      <c r="X116" s="37" t="s">
        <v>21</v>
      </c>
      <c r="Y116" s="18" t="s">
        <v>20</v>
      </c>
      <c r="Z116" s="18" t="s">
        <v>20</v>
      </c>
      <c r="AA116" s="20" t="s">
        <v>21</v>
      </c>
      <c r="AB116" s="20" t="s">
        <v>21</v>
      </c>
      <c r="AC116" s="20" t="s">
        <v>21</v>
      </c>
      <c r="AD116" s="29" t="s">
        <v>21</v>
      </c>
      <c r="AE116" s="29" t="s">
        <v>21</v>
      </c>
      <c r="AG116">
        <f t="shared" si="9"/>
        <v>0</v>
      </c>
      <c r="AH116">
        <f t="shared" si="10"/>
        <v>6</v>
      </c>
      <c r="AI116">
        <f t="shared" si="11"/>
        <v>17</v>
      </c>
      <c r="AJ116">
        <f t="shared" si="12"/>
        <v>3</v>
      </c>
      <c r="AL116">
        <f t="shared" si="13"/>
        <v>0</v>
      </c>
      <c r="AM116">
        <f t="shared" si="14"/>
        <v>18</v>
      </c>
      <c r="AN116">
        <f t="shared" si="15"/>
        <v>34</v>
      </c>
      <c r="AO116">
        <f t="shared" si="16"/>
        <v>3</v>
      </c>
      <c r="AP116">
        <f t="shared" si="17"/>
        <v>55</v>
      </c>
    </row>
    <row r="117" spans="1:42" ht="15.75" hidden="1" customHeight="1" x14ac:dyDescent="0.3">
      <c r="A117" s="16"/>
      <c r="B117" s="55">
        <v>8</v>
      </c>
      <c r="C117" s="56" t="s">
        <v>135</v>
      </c>
      <c r="D117" s="55">
        <v>3</v>
      </c>
      <c r="E117" s="55" t="s">
        <v>21</v>
      </c>
      <c r="F117" s="18" t="s">
        <v>21</v>
      </c>
      <c r="G117" s="18" t="s">
        <v>23</v>
      </c>
      <c r="H117" s="18" t="s">
        <v>21</v>
      </c>
      <c r="I117" s="18" t="s">
        <v>21</v>
      </c>
      <c r="J117" s="20" t="s">
        <v>20</v>
      </c>
      <c r="K117" s="20" t="s">
        <v>20</v>
      </c>
      <c r="L117" s="20" t="s">
        <v>21</v>
      </c>
      <c r="M117" s="18" t="s">
        <v>20</v>
      </c>
      <c r="N117" s="18" t="s">
        <v>21</v>
      </c>
      <c r="O117" s="18" t="s">
        <v>20</v>
      </c>
      <c r="P117" s="18" t="s">
        <v>21</v>
      </c>
      <c r="Q117" s="18" t="s">
        <v>21</v>
      </c>
      <c r="R117" s="18" t="s">
        <v>21</v>
      </c>
      <c r="S117" s="18" t="s">
        <v>20</v>
      </c>
      <c r="T117" s="18" t="s">
        <v>20</v>
      </c>
      <c r="U117" s="18" t="s">
        <v>20</v>
      </c>
      <c r="V117" s="37" t="s">
        <v>20</v>
      </c>
      <c r="W117" s="37" t="s">
        <v>21</v>
      </c>
      <c r="X117" s="37" t="s">
        <v>20</v>
      </c>
      <c r="Y117" s="18" t="s">
        <v>20</v>
      </c>
      <c r="Z117" s="18" t="s">
        <v>20</v>
      </c>
      <c r="AA117" s="20" t="s">
        <v>23</v>
      </c>
      <c r="AB117" s="20" t="s">
        <v>23</v>
      </c>
      <c r="AC117" s="20" t="s">
        <v>21</v>
      </c>
      <c r="AD117" s="29" t="s">
        <v>21</v>
      </c>
      <c r="AE117" s="29" t="s">
        <v>21</v>
      </c>
      <c r="AG117">
        <f t="shared" si="9"/>
        <v>0</v>
      </c>
      <c r="AH117">
        <f t="shared" si="10"/>
        <v>11</v>
      </c>
      <c r="AI117">
        <f t="shared" si="11"/>
        <v>12</v>
      </c>
      <c r="AJ117">
        <f t="shared" si="12"/>
        <v>3</v>
      </c>
      <c r="AL117">
        <f t="shared" si="13"/>
        <v>0</v>
      </c>
      <c r="AM117">
        <f t="shared" si="14"/>
        <v>33</v>
      </c>
      <c r="AN117">
        <f t="shared" si="15"/>
        <v>24</v>
      </c>
      <c r="AO117">
        <f t="shared" si="16"/>
        <v>3</v>
      </c>
      <c r="AP117">
        <f t="shared" si="17"/>
        <v>60</v>
      </c>
    </row>
    <row r="118" spans="1:42" ht="15.75" hidden="1" customHeight="1" x14ac:dyDescent="0.3">
      <c r="A118" s="16"/>
      <c r="B118" s="55">
        <v>9</v>
      </c>
      <c r="C118" s="56" t="s">
        <v>136</v>
      </c>
      <c r="D118" s="55">
        <v>3</v>
      </c>
      <c r="E118" s="55" t="s">
        <v>21</v>
      </c>
      <c r="F118" s="18" t="s">
        <v>23</v>
      </c>
      <c r="G118" s="18" t="s">
        <v>21</v>
      </c>
      <c r="H118" s="18" t="s">
        <v>23</v>
      </c>
      <c r="I118" s="18" t="s">
        <v>21</v>
      </c>
      <c r="J118" s="20" t="s">
        <v>20</v>
      </c>
      <c r="K118" s="20" t="s">
        <v>21</v>
      </c>
      <c r="L118" s="20" t="s">
        <v>21</v>
      </c>
      <c r="M118" s="18" t="s">
        <v>21</v>
      </c>
      <c r="N118" s="18" t="s">
        <v>21</v>
      </c>
      <c r="O118" s="18" t="s">
        <v>21</v>
      </c>
      <c r="P118" s="18" t="s">
        <v>23</v>
      </c>
      <c r="Q118" s="18" t="s">
        <v>20</v>
      </c>
      <c r="R118" s="18" t="s">
        <v>21</v>
      </c>
      <c r="S118" s="18" t="s">
        <v>21</v>
      </c>
      <c r="T118" s="18" t="s">
        <v>20</v>
      </c>
      <c r="U118" s="18" t="s">
        <v>20</v>
      </c>
      <c r="V118" s="37" t="s">
        <v>21</v>
      </c>
      <c r="W118" s="37" t="s">
        <v>21</v>
      </c>
      <c r="X118" s="37" t="s">
        <v>21</v>
      </c>
      <c r="Y118" s="18" t="s">
        <v>20</v>
      </c>
      <c r="Z118" s="18" t="s">
        <v>20</v>
      </c>
      <c r="AA118" s="20" t="s">
        <v>23</v>
      </c>
      <c r="AB118" s="20" t="s">
        <v>23</v>
      </c>
      <c r="AC118" s="20" t="s">
        <v>21</v>
      </c>
      <c r="AD118" s="29" t="s">
        <v>21</v>
      </c>
      <c r="AE118" s="29" t="s">
        <v>21</v>
      </c>
      <c r="AG118">
        <f t="shared" si="9"/>
        <v>0</v>
      </c>
      <c r="AH118">
        <f t="shared" si="10"/>
        <v>6</v>
      </c>
      <c r="AI118">
        <f t="shared" si="11"/>
        <v>15</v>
      </c>
      <c r="AJ118">
        <f t="shared" si="12"/>
        <v>5</v>
      </c>
      <c r="AL118">
        <f t="shared" si="13"/>
        <v>0</v>
      </c>
      <c r="AM118">
        <f t="shared" si="14"/>
        <v>18</v>
      </c>
      <c r="AN118">
        <f t="shared" si="15"/>
        <v>30</v>
      </c>
      <c r="AO118">
        <f t="shared" si="16"/>
        <v>5</v>
      </c>
      <c r="AP118">
        <f t="shared" si="17"/>
        <v>53</v>
      </c>
    </row>
    <row r="119" spans="1:42" ht="15.75" hidden="1" customHeight="1" x14ac:dyDescent="0.3">
      <c r="A119" s="16"/>
      <c r="B119" s="55">
        <v>10</v>
      </c>
      <c r="C119" s="56" t="s">
        <v>137</v>
      </c>
      <c r="D119" s="55">
        <v>3</v>
      </c>
      <c r="E119" s="55" t="s">
        <v>21</v>
      </c>
      <c r="F119" s="18" t="s">
        <v>39</v>
      </c>
      <c r="G119" s="18" t="s">
        <v>20</v>
      </c>
      <c r="H119" s="18" t="s">
        <v>20</v>
      </c>
      <c r="I119" s="18" t="s">
        <v>20</v>
      </c>
      <c r="J119" s="20" t="s">
        <v>20</v>
      </c>
      <c r="K119" s="20" t="s">
        <v>39</v>
      </c>
      <c r="L119" s="20" t="s">
        <v>20</v>
      </c>
      <c r="M119" s="18" t="s">
        <v>20</v>
      </c>
      <c r="N119" s="18" t="s">
        <v>20</v>
      </c>
      <c r="O119" s="18" t="s">
        <v>20</v>
      </c>
      <c r="P119" s="18" t="s">
        <v>21</v>
      </c>
      <c r="Q119" s="18" t="s">
        <v>20</v>
      </c>
      <c r="R119" s="18" t="s">
        <v>20</v>
      </c>
      <c r="S119" s="18" t="s">
        <v>20</v>
      </c>
      <c r="T119" s="18" t="s">
        <v>20</v>
      </c>
      <c r="U119" s="18" t="s">
        <v>20</v>
      </c>
      <c r="V119" s="37" t="s">
        <v>21</v>
      </c>
      <c r="W119" s="37" t="s">
        <v>20</v>
      </c>
      <c r="X119" s="37" t="s">
        <v>20</v>
      </c>
      <c r="Y119" s="18" t="s">
        <v>20</v>
      </c>
      <c r="Z119" s="18" t="s">
        <v>20</v>
      </c>
      <c r="AA119" s="20" t="s">
        <v>20</v>
      </c>
      <c r="AB119" s="20" t="s">
        <v>20</v>
      </c>
      <c r="AC119" s="20" t="s">
        <v>20</v>
      </c>
      <c r="AD119" s="29" t="s">
        <v>20</v>
      </c>
      <c r="AE119" s="29" t="s">
        <v>21</v>
      </c>
      <c r="AG119">
        <f t="shared" si="9"/>
        <v>2</v>
      </c>
      <c r="AH119">
        <f t="shared" si="10"/>
        <v>21</v>
      </c>
      <c r="AI119">
        <f t="shared" si="11"/>
        <v>3</v>
      </c>
      <c r="AJ119">
        <f t="shared" si="12"/>
        <v>0</v>
      </c>
      <c r="AL119">
        <f t="shared" si="13"/>
        <v>8</v>
      </c>
      <c r="AM119">
        <f t="shared" si="14"/>
        <v>63</v>
      </c>
      <c r="AN119">
        <f t="shared" si="15"/>
        <v>6</v>
      </c>
      <c r="AO119">
        <f t="shared" si="16"/>
        <v>0</v>
      </c>
      <c r="AP119">
        <f t="shared" si="17"/>
        <v>77</v>
      </c>
    </row>
    <row r="120" spans="1:42" ht="15.75" hidden="1" customHeight="1" x14ac:dyDescent="0.3">
      <c r="A120" s="16"/>
      <c r="B120" s="55">
        <v>11</v>
      </c>
      <c r="C120" s="56" t="s">
        <v>138</v>
      </c>
      <c r="D120" s="55">
        <v>3</v>
      </c>
      <c r="E120" s="55" t="s">
        <v>21</v>
      </c>
      <c r="F120" s="18" t="s">
        <v>21</v>
      </c>
      <c r="G120" s="18" t="s">
        <v>21</v>
      </c>
      <c r="H120" s="18" t="s">
        <v>21</v>
      </c>
      <c r="I120" s="18" t="s">
        <v>21</v>
      </c>
      <c r="J120" s="20" t="s">
        <v>21</v>
      </c>
      <c r="K120" s="20" t="s">
        <v>21</v>
      </c>
      <c r="L120" s="20" t="s">
        <v>21</v>
      </c>
      <c r="M120" s="18" t="s">
        <v>21</v>
      </c>
      <c r="N120" s="18" t="s">
        <v>21</v>
      </c>
      <c r="O120" s="18" t="s">
        <v>21</v>
      </c>
      <c r="P120" s="18" t="s">
        <v>21</v>
      </c>
      <c r="Q120" s="18" t="s">
        <v>21</v>
      </c>
      <c r="R120" s="18" t="s">
        <v>23</v>
      </c>
      <c r="S120" s="18" t="s">
        <v>23</v>
      </c>
      <c r="T120" s="18" t="s">
        <v>21</v>
      </c>
      <c r="U120" s="18" t="s">
        <v>20</v>
      </c>
      <c r="V120" s="37" t="s">
        <v>21</v>
      </c>
      <c r="W120" s="37" t="s">
        <v>20</v>
      </c>
      <c r="X120" s="37" t="s">
        <v>21</v>
      </c>
      <c r="Y120" s="18" t="s">
        <v>21</v>
      </c>
      <c r="Z120" s="18" t="s">
        <v>21</v>
      </c>
      <c r="AA120" s="20" t="s">
        <v>21</v>
      </c>
      <c r="AB120" s="20" t="s">
        <v>21</v>
      </c>
      <c r="AC120" s="20" t="s">
        <v>21</v>
      </c>
      <c r="AD120" s="29" t="s">
        <v>23</v>
      </c>
      <c r="AE120" s="29" t="s">
        <v>21</v>
      </c>
      <c r="AG120">
        <f t="shared" si="9"/>
        <v>0</v>
      </c>
      <c r="AH120">
        <f t="shared" si="10"/>
        <v>2</v>
      </c>
      <c r="AI120">
        <f t="shared" si="11"/>
        <v>21</v>
      </c>
      <c r="AJ120">
        <f t="shared" si="12"/>
        <v>3</v>
      </c>
      <c r="AL120">
        <f t="shared" si="13"/>
        <v>0</v>
      </c>
      <c r="AM120">
        <f t="shared" si="14"/>
        <v>6</v>
      </c>
      <c r="AN120">
        <f t="shared" si="15"/>
        <v>42</v>
      </c>
      <c r="AO120">
        <f t="shared" si="16"/>
        <v>3</v>
      </c>
      <c r="AP120">
        <f t="shared" si="17"/>
        <v>51</v>
      </c>
    </row>
    <row r="121" spans="1:42" ht="15.75" hidden="1" customHeight="1" x14ac:dyDescent="0.3">
      <c r="A121" s="16"/>
      <c r="B121" s="55">
        <v>12</v>
      </c>
      <c r="C121" s="56" t="s">
        <v>139</v>
      </c>
      <c r="D121" s="55">
        <v>3</v>
      </c>
      <c r="E121" s="55" t="s">
        <v>21</v>
      </c>
      <c r="F121" s="18" t="s">
        <v>20</v>
      </c>
      <c r="G121" s="18" t="s">
        <v>20</v>
      </c>
      <c r="H121" s="18" t="s">
        <v>20</v>
      </c>
      <c r="I121" s="18" t="s">
        <v>20</v>
      </c>
      <c r="J121" s="20" t="s">
        <v>20</v>
      </c>
      <c r="K121" s="20" t="s">
        <v>20</v>
      </c>
      <c r="L121" s="20" t="s">
        <v>20</v>
      </c>
      <c r="M121" s="18" t="s">
        <v>20</v>
      </c>
      <c r="N121" s="18" t="s">
        <v>20</v>
      </c>
      <c r="O121" s="18" t="s">
        <v>20</v>
      </c>
      <c r="P121" s="18" t="s">
        <v>21</v>
      </c>
      <c r="Q121" s="18" t="s">
        <v>20</v>
      </c>
      <c r="R121" s="18" t="s">
        <v>21</v>
      </c>
      <c r="S121" s="18" t="s">
        <v>21</v>
      </c>
      <c r="T121" s="18" t="s">
        <v>21</v>
      </c>
      <c r="U121" s="18" t="s">
        <v>20</v>
      </c>
      <c r="V121" s="37" t="s">
        <v>20</v>
      </c>
      <c r="W121" s="37" t="s">
        <v>20</v>
      </c>
      <c r="X121" s="37" t="s">
        <v>21</v>
      </c>
      <c r="Y121" s="18" t="s">
        <v>21</v>
      </c>
      <c r="Z121" s="18" t="s">
        <v>20</v>
      </c>
      <c r="AA121" s="20" t="s">
        <v>20</v>
      </c>
      <c r="AB121" s="20" t="s">
        <v>20</v>
      </c>
      <c r="AC121" s="20" t="s">
        <v>20</v>
      </c>
      <c r="AD121" s="29" t="s">
        <v>23</v>
      </c>
      <c r="AE121" s="29" t="s">
        <v>21</v>
      </c>
      <c r="AG121">
        <f t="shared" si="9"/>
        <v>0</v>
      </c>
      <c r="AH121">
        <f t="shared" si="10"/>
        <v>18</v>
      </c>
      <c r="AI121">
        <f t="shared" si="11"/>
        <v>7</v>
      </c>
      <c r="AJ121">
        <f t="shared" si="12"/>
        <v>1</v>
      </c>
      <c r="AL121">
        <f t="shared" si="13"/>
        <v>0</v>
      </c>
      <c r="AM121">
        <f t="shared" si="14"/>
        <v>54</v>
      </c>
      <c r="AN121">
        <f t="shared" si="15"/>
        <v>14</v>
      </c>
      <c r="AO121">
        <f t="shared" si="16"/>
        <v>1</v>
      </c>
      <c r="AP121">
        <f t="shared" si="17"/>
        <v>69</v>
      </c>
    </row>
    <row r="122" spans="1:42" ht="15.75" hidden="1" customHeight="1" x14ac:dyDescent="0.3">
      <c r="A122" s="16"/>
      <c r="B122" s="55">
        <v>13</v>
      </c>
      <c r="C122" s="56" t="s">
        <v>140</v>
      </c>
      <c r="D122" s="55">
        <v>3</v>
      </c>
      <c r="E122" s="55" t="s">
        <v>21</v>
      </c>
      <c r="F122" s="18" t="s">
        <v>20</v>
      </c>
      <c r="G122" s="18" t="s">
        <v>20</v>
      </c>
      <c r="H122" s="18" t="s">
        <v>20</v>
      </c>
      <c r="I122" s="18" t="s">
        <v>39</v>
      </c>
      <c r="J122" s="20" t="s">
        <v>20</v>
      </c>
      <c r="K122" s="20" t="s">
        <v>20</v>
      </c>
      <c r="L122" s="20" t="s">
        <v>20</v>
      </c>
      <c r="M122" s="18" t="s">
        <v>20</v>
      </c>
      <c r="N122" s="18" t="s">
        <v>20</v>
      </c>
      <c r="O122" s="18" t="s">
        <v>20</v>
      </c>
      <c r="P122" s="18" t="s">
        <v>21</v>
      </c>
      <c r="Q122" s="18" t="s">
        <v>21</v>
      </c>
      <c r="R122" s="18" t="s">
        <v>20</v>
      </c>
      <c r="S122" s="18" t="s">
        <v>20</v>
      </c>
      <c r="T122" s="18" t="s">
        <v>20</v>
      </c>
      <c r="U122" s="18" t="s">
        <v>20</v>
      </c>
      <c r="V122" s="37" t="s">
        <v>20</v>
      </c>
      <c r="W122" s="37" t="s">
        <v>20</v>
      </c>
      <c r="X122" s="37" t="s">
        <v>20</v>
      </c>
      <c r="Y122" s="18" t="s">
        <v>21</v>
      </c>
      <c r="Z122" s="18" t="s">
        <v>21</v>
      </c>
      <c r="AA122" s="20" t="s">
        <v>21</v>
      </c>
      <c r="AB122" s="20" t="s">
        <v>20</v>
      </c>
      <c r="AC122" s="20" t="s">
        <v>21</v>
      </c>
      <c r="AD122" s="29" t="s">
        <v>55</v>
      </c>
      <c r="AE122" s="29" t="s">
        <v>55</v>
      </c>
      <c r="AG122">
        <f t="shared" si="9"/>
        <v>1</v>
      </c>
      <c r="AH122">
        <f t="shared" si="10"/>
        <v>17</v>
      </c>
      <c r="AI122">
        <f t="shared" si="11"/>
        <v>6</v>
      </c>
      <c r="AJ122">
        <f t="shared" si="12"/>
        <v>0</v>
      </c>
      <c r="AL122">
        <f t="shared" si="13"/>
        <v>4</v>
      </c>
      <c r="AM122">
        <f t="shared" si="14"/>
        <v>51</v>
      </c>
      <c r="AN122">
        <f t="shared" si="15"/>
        <v>12</v>
      </c>
      <c r="AO122">
        <f t="shared" si="16"/>
        <v>0</v>
      </c>
      <c r="AP122">
        <f t="shared" si="17"/>
        <v>67</v>
      </c>
    </row>
    <row r="123" spans="1:42" ht="15.75" hidden="1" customHeight="1" x14ac:dyDescent="0.3">
      <c r="A123" s="16"/>
      <c r="B123" s="55">
        <v>14</v>
      </c>
      <c r="C123" s="56" t="s">
        <v>141</v>
      </c>
      <c r="D123" s="55">
        <v>3</v>
      </c>
      <c r="E123" s="55" t="s">
        <v>21</v>
      </c>
      <c r="F123" s="18" t="s">
        <v>21</v>
      </c>
      <c r="G123" s="18" t="s">
        <v>21</v>
      </c>
      <c r="H123" s="18" t="s">
        <v>20</v>
      </c>
      <c r="I123" s="18" t="s">
        <v>20</v>
      </c>
      <c r="J123" s="20" t="s">
        <v>20</v>
      </c>
      <c r="K123" s="20" t="s">
        <v>20</v>
      </c>
      <c r="L123" s="20" t="s">
        <v>21</v>
      </c>
      <c r="M123" s="18" t="s">
        <v>20</v>
      </c>
      <c r="N123" s="18" t="s">
        <v>20</v>
      </c>
      <c r="O123" s="18" t="s">
        <v>20</v>
      </c>
      <c r="P123" s="18" t="s">
        <v>23</v>
      </c>
      <c r="Q123" s="18" t="s">
        <v>21</v>
      </c>
      <c r="R123" s="18" t="s">
        <v>21</v>
      </c>
      <c r="S123" s="18" t="s">
        <v>20</v>
      </c>
      <c r="T123" s="18" t="s">
        <v>20</v>
      </c>
      <c r="U123" s="18" t="s">
        <v>21</v>
      </c>
      <c r="V123" s="37" t="s">
        <v>21</v>
      </c>
      <c r="W123" s="37" t="s">
        <v>20</v>
      </c>
      <c r="X123" s="37" t="s">
        <v>21</v>
      </c>
      <c r="Y123" s="18" t="s">
        <v>21</v>
      </c>
      <c r="Z123" s="18" t="s">
        <v>21</v>
      </c>
      <c r="AA123" s="20" t="s">
        <v>21</v>
      </c>
      <c r="AB123" s="20" t="s">
        <v>21</v>
      </c>
      <c r="AC123" s="20" t="s">
        <v>20</v>
      </c>
      <c r="AD123" s="29" t="s">
        <v>21</v>
      </c>
      <c r="AE123" s="29" t="s">
        <v>21</v>
      </c>
      <c r="AG123">
        <f t="shared" si="9"/>
        <v>0</v>
      </c>
      <c r="AH123">
        <f t="shared" si="10"/>
        <v>11</v>
      </c>
      <c r="AI123">
        <f t="shared" si="11"/>
        <v>14</v>
      </c>
      <c r="AJ123">
        <f t="shared" si="12"/>
        <v>1</v>
      </c>
      <c r="AL123">
        <f t="shared" si="13"/>
        <v>0</v>
      </c>
      <c r="AM123">
        <f t="shared" si="14"/>
        <v>33</v>
      </c>
      <c r="AN123">
        <f t="shared" si="15"/>
        <v>28</v>
      </c>
      <c r="AO123">
        <f t="shared" si="16"/>
        <v>1</v>
      </c>
      <c r="AP123">
        <f t="shared" si="17"/>
        <v>62</v>
      </c>
    </row>
    <row r="124" spans="1:42" ht="15.75" hidden="1" customHeight="1" x14ac:dyDescent="0.3">
      <c r="A124" s="16"/>
      <c r="B124" s="55">
        <v>15</v>
      </c>
      <c r="C124" s="56" t="s">
        <v>142</v>
      </c>
      <c r="D124" s="55">
        <v>3</v>
      </c>
      <c r="E124" s="55" t="s">
        <v>21</v>
      </c>
      <c r="F124" s="18" t="s">
        <v>23</v>
      </c>
      <c r="G124" s="18" t="s">
        <v>23</v>
      </c>
      <c r="H124" s="18" t="s">
        <v>23</v>
      </c>
      <c r="I124" s="18" t="s">
        <v>21</v>
      </c>
      <c r="J124" s="20" t="s">
        <v>21</v>
      </c>
      <c r="K124" s="20" t="s">
        <v>21</v>
      </c>
      <c r="L124" s="20" t="s">
        <v>21</v>
      </c>
      <c r="M124" s="18" t="s">
        <v>21</v>
      </c>
      <c r="N124" s="18" t="s">
        <v>21</v>
      </c>
      <c r="O124" s="18" t="s">
        <v>21</v>
      </c>
      <c r="P124" s="18" t="s">
        <v>23</v>
      </c>
      <c r="Q124" s="18" t="s">
        <v>21</v>
      </c>
      <c r="R124" s="18" t="s">
        <v>21</v>
      </c>
      <c r="S124" s="18" t="s">
        <v>23</v>
      </c>
      <c r="T124" s="18" t="s">
        <v>23</v>
      </c>
      <c r="U124" s="18" t="s">
        <v>20</v>
      </c>
      <c r="V124" s="37" t="s">
        <v>20</v>
      </c>
      <c r="W124" s="37" t="s">
        <v>20</v>
      </c>
      <c r="X124" s="37" t="s">
        <v>21</v>
      </c>
      <c r="Y124" s="18" t="s">
        <v>23</v>
      </c>
      <c r="Z124" s="18" t="s">
        <v>21</v>
      </c>
      <c r="AA124" s="20" t="s">
        <v>21</v>
      </c>
      <c r="AB124" s="20" t="s">
        <v>21</v>
      </c>
      <c r="AC124" s="20" t="s">
        <v>21</v>
      </c>
      <c r="AD124" s="29" t="s">
        <v>23</v>
      </c>
      <c r="AE124" s="29" t="s">
        <v>21</v>
      </c>
      <c r="AG124">
        <f t="shared" si="9"/>
        <v>0</v>
      </c>
      <c r="AH124">
        <f t="shared" si="10"/>
        <v>3</v>
      </c>
      <c r="AI124">
        <f t="shared" si="11"/>
        <v>15</v>
      </c>
      <c r="AJ124">
        <f t="shared" si="12"/>
        <v>8</v>
      </c>
      <c r="AL124">
        <f t="shared" si="13"/>
        <v>0</v>
      </c>
      <c r="AM124">
        <f t="shared" si="14"/>
        <v>9</v>
      </c>
      <c r="AN124">
        <f t="shared" si="15"/>
        <v>30</v>
      </c>
      <c r="AO124">
        <f t="shared" si="16"/>
        <v>8</v>
      </c>
      <c r="AP124">
        <f t="shared" si="17"/>
        <v>47</v>
      </c>
    </row>
    <row r="125" spans="1:42" ht="15.75" hidden="1" customHeight="1" x14ac:dyDescent="0.3">
      <c r="A125" s="16"/>
      <c r="B125" s="55">
        <v>16</v>
      </c>
      <c r="C125" s="56" t="s">
        <v>143</v>
      </c>
      <c r="D125" s="55">
        <v>3</v>
      </c>
      <c r="E125" s="55" t="s">
        <v>21</v>
      </c>
      <c r="F125" s="18" t="s">
        <v>23</v>
      </c>
      <c r="G125" s="18" t="s">
        <v>23</v>
      </c>
      <c r="H125" s="18" t="s">
        <v>21</v>
      </c>
      <c r="I125" s="18" t="s">
        <v>21</v>
      </c>
      <c r="J125" s="20" t="s">
        <v>21</v>
      </c>
      <c r="K125" s="20" t="s">
        <v>21</v>
      </c>
      <c r="L125" s="20" t="s">
        <v>21</v>
      </c>
      <c r="M125" s="18" t="s">
        <v>21</v>
      </c>
      <c r="N125" s="18" t="s">
        <v>20</v>
      </c>
      <c r="O125" s="18" t="s">
        <v>21</v>
      </c>
      <c r="P125" s="18" t="s">
        <v>21</v>
      </c>
      <c r="Q125" s="18" t="s">
        <v>20</v>
      </c>
      <c r="R125" s="18" t="s">
        <v>21</v>
      </c>
      <c r="S125" s="18" t="s">
        <v>23</v>
      </c>
      <c r="T125" s="18" t="s">
        <v>21</v>
      </c>
      <c r="U125" s="18" t="s">
        <v>20</v>
      </c>
      <c r="V125" s="37" t="s">
        <v>21</v>
      </c>
      <c r="W125" s="37" t="s">
        <v>20</v>
      </c>
      <c r="X125" s="37" t="s">
        <v>21</v>
      </c>
      <c r="Y125" s="18" t="s">
        <v>23</v>
      </c>
      <c r="Z125" s="18" t="s">
        <v>21</v>
      </c>
      <c r="AA125" s="20" t="s">
        <v>21</v>
      </c>
      <c r="AB125" s="20" t="s">
        <v>21</v>
      </c>
      <c r="AC125" s="20" t="s">
        <v>21</v>
      </c>
      <c r="AD125" s="29" t="s">
        <v>23</v>
      </c>
      <c r="AE125" s="29" t="s">
        <v>21</v>
      </c>
      <c r="AG125">
        <f t="shared" si="9"/>
        <v>0</v>
      </c>
      <c r="AH125">
        <f t="shared" si="10"/>
        <v>4</v>
      </c>
      <c r="AI125">
        <f t="shared" si="11"/>
        <v>17</v>
      </c>
      <c r="AJ125">
        <f t="shared" si="12"/>
        <v>5</v>
      </c>
      <c r="AL125">
        <f t="shared" si="13"/>
        <v>0</v>
      </c>
      <c r="AM125">
        <f t="shared" si="14"/>
        <v>12</v>
      </c>
      <c r="AN125">
        <f t="shared" si="15"/>
        <v>34</v>
      </c>
      <c r="AO125">
        <f t="shared" si="16"/>
        <v>5</v>
      </c>
      <c r="AP125">
        <f t="shared" si="17"/>
        <v>51</v>
      </c>
    </row>
    <row r="126" spans="1:42" ht="15.75" hidden="1" customHeight="1" x14ac:dyDescent="0.3">
      <c r="A126" s="16"/>
      <c r="B126" s="55">
        <v>17</v>
      </c>
      <c r="C126" s="56" t="s">
        <v>144</v>
      </c>
      <c r="D126" s="55">
        <v>3</v>
      </c>
      <c r="E126" s="55" t="s">
        <v>21</v>
      </c>
      <c r="F126" s="18" t="s">
        <v>21</v>
      </c>
      <c r="G126" s="18" t="s">
        <v>21</v>
      </c>
      <c r="H126" s="18" t="s">
        <v>21</v>
      </c>
      <c r="I126" s="18" t="s">
        <v>21</v>
      </c>
      <c r="J126" s="20" t="s">
        <v>21</v>
      </c>
      <c r="K126" s="20" t="s">
        <v>21</v>
      </c>
      <c r="L126" s="20" t="s">
        <v>21</v>
      </c>
      <c r="M126" s="18" t="s">
        <v>20</v>
      </c>
      <c r="N126" s="18" t="s">
        <v>20</v>
      </c>
      <c r="O126" s="18" t="s">
        <v>20</v>
      </c>
      <c r="P126" s="18" t="s">
        <v>21</v>
      </c>
      <c r="Q126" s="18" t="s">
        <v>21</v>
      </c>
      <c r="R126" s="18" t="s">
        <v>21</v>
      </c>
      <c r="S126" s="18" t="s">
        <v>20</v>
      </c>
      <c r="T126" s="18" t="s">
        <v>20</v>
      </c>
      <c r="U126" s="18" t="s">
        <v>20</v>
      </c>
      <c r="V126" s="37" t="s">
        <v>21</v>
      </c>
      <c r="W126" s="37" t="s">
        <v>20</v>
      </c>
      <c r="X126" s="37" t="s">
        <v>21</v>
      </c>
      <c r="Y126" s="18" t="s">
        <v>20</v>
      </c>
      <c r="Z126" s="18" t="s">
        <v>20</v>
      </c>
      <c r="AA126" s="20" t="s">
        <v>21</v>
      </c>
      <c r="AB126" s="20" t="s">
        <v>20</v>
      </c>
      <c r="AC126" s="20" t="s">
        <v>21</v>
      </c>
      <c r="AD126" s="29" t="s">
        <v>20</v>
      </c>
      <c r="AE126" s="29" t="s">
        <v>21</v>
      </c>
      <c r="AG126">
        <f t="shared" si="9"/>
        <v>0</v>
      </c>
      <c r="AH126">
        <f t="shared" si="10"/>
        <v>11</v>
      </c>
      <c r="AI126">
        <f t="shared" si="11"/>
        <v>15</v>
      </c>
      <c r="AJ126">
        <f t="shared" si="12"/>
        <v>0</v>
      </c>
      <c r="AL126">
        <f t="shared" si="13"/>
        <v>0</v>
      </c>
      <c r="AM126">
        <f t="shared" si="14"/>
        <v>33</v>
      </c>
      <c r="AN126">
        <f t="shared" si="15"/>
        <v>30</v>
      </c>
      <c r="AO126">
        <f t="shared" si="16"/>
        <v>0</v>
      </c>
      <c r="AP126">
        <f t="shared" si="17"/>
        <v>63</v>
      </c>
    </row>
    <row r="127" spans="1:42" ht="15.75" hidden="1" customHeight="1" x14ac:dyDescent="0.3">
      <c r="A127" s="16"/>
      <c r="B127" s="55">
        <v>18</v>
      </c>
      <c r="C127" s="56" t="s">
        <v>145</v>
      </c>
      <c r="D127" s="55">
        <v>3</v>
      </c>
      <c r="E127" s="55" t="s">
        <v>21</v>
      </c>
      <c r="F127" s="18" t="s">
        <v>21</v>
      </c>
      <c r="G127" s="18" t="s">
        <v>21</v>
      </c>
      <c r="H127" s="18" t="s">
        <v>20</v>
      </c>
      <c r="I127" s="18" t="s">
        <v>21</v>
      </c>
      <c r="J127" s="20" t="s">
        <v>20</v>
      </c>
      <c r="K127" s="20" t="s">
        <v>20</v>
      </c>
      <c r="L127" s="20" t="s">
        <v>20</v>
      </c>
      <c r="M127" s="18" t="s">
        <v>21</v>
      </c>
      <c r="N127" s="18" t="s">
        <v>20</v>
      </c>
      <c r="O127" s="18" t="s">
        <v>21</v>
      </c>
      <c r="P127" s="18" t="s">
        <v>21</v>
      </c>
      <c r="Q127" s="18" t="s">
        <v>21</v>
      </c>
      <c r="R127" s="18" t="s">
        <v>20</v>
      </c>
      <c r="S127" s="18" t="s">
        <v>20</v>
      </c>
      <c r="T127" s="18" t="s">
        <v>20</v>
      </c>
      <c r="U127" s="18" t="s">
        <v>20</v>
      </c>
      <c r="V127" s="37" t="s">
        <v>20</v>
      </c>
      <c r="W127" s="37" t="s">
        <v>20</v>
      </c>
      <c r="X127" s="37" t="s">
        <v>20</v>
      </c>
      <c r="Y127" s="18" t="s">
        <v>20</v>
      </c>
      <c r="Z127" s="18" t="s">
        <v>21</v>
      </c>
      <c r="AA127" s="20" t="s">
        <v>20</v>
      </c>
      <c r="AB127" s="20" t="s">
        <v>21</v>
      </c>
      <c r="AC127" s="20" t="s">
        <v>20</v>
      </c>
      <c r="AD127" s="29" t="s">
        <v>20</v>
      </c>
      <c r="AE127" s="29" t="s">
        <v>21</v>
      </c>
      <c r="AG127">
        <f t="shared" si="9"/>
        <v>0</v>
      </c>
      <c r="AH127">
        <f t="shared" si="10"/>
        <v>16</v>
      </c>
      <c r="AI127">
        <f t="shared" si="11"/>
        <v>10</v>
      </c>
      <c r="AJ127">
        <f t="shared" si="12"/>
        <v>0</v>
      </c>
      <c r="AL127">
        <f t="shared" si="13"/>
        <v>0</v>
      </c>
      <c r="AM127">
        <f t="shared" si="14"/>
        <v>48</v>
      </c>
      <c r="AN127">
        <f t="shared" si="15"/>
        <v>20</v>
      </c>
      <c r="AO127">
        <f t="shared" si="16"/>
        <v>0</v>
      </c>
      <c r="AP127">
        <f t="shared" si="17"/>
        <v>68</v>
      </c>
    </row>
    <row r="128" spans="1:42" ht="15.75" hidden="1" customHeight="1" x14ac:dyDescent="0.3">
      <c r="A128" s="16"/>
      <c r="B128" s="55">
        <v>19</v>
      </c>
      <c r="C128" s="56" t="s">
        <v>146</v>
      </c>
      <c r="D128" s="55">
        <v>3</v>
      </c>
      <c r="E128" s="55" t="s">
        <v>21</v>
      </c>
      <c r="F128" s="18" t="s">
        <v>21</v>
      </c>
      <c r="G128" s="18" t="s">
        <v>21</v>
      </c>
      <c r="H128" s="18" t="s">
        <v>21</v>
      </c>
      <c r="I128" s="18" t="s">
        <v>21</v>
      </c>
      <c r="J128" s="20" t="s">
        <v>21</v>
      </c>
      <c r="K128" s="20" t="s">
        <v>21</v>
      </c>
      <c r="L128" s="20" t="s">
        <v>21</v>
      </c>
      <c r="M128" s="18" t="s">
        <v>21</v>
      </c>
      <c r="N128" s="18" t="s">
        <v>20</v>
      </c>
      <c r="O128" s="18" t="s">
        <v>21</v>
      </c>
      <c r="P128" s="18" t="s">
        <v>21</v>
      </c>
      <c r="Q128" s="18" t="s">
        <v>21</v>
      </c>
      <c r="R128" s="18" t="s">
        <v>23</v>
      </c>
      <c r="S128" s="18" t="s">
        <v>21</v>
      </c>
      <c r="T128" s="18" t="s">
        <v>20</v>
      </c>
      <c r="U128" s="18" t="s">
        <v>21</v>
      </c>
      <c r="V128" s="37" t="s">
        <v>21</v>
      </c>
      <c r="W128" s="37" t="s">
        <v>20</v>
      </c>
      <c r="X128" s="37" t="s">
        <v>21</v>
      </c>
      <c r="Y128" s="18" t="s">
        <v>20</v>
      </c>
      <c r="Z128" s="18" t="s">
        <v>20</v>
      </c>
      <c r="AA128" s="20" t="s">
        <v>21</v>
      </c>
      <c r="AB128" s="20" t="s">
        <v>21</v>
      </c>
      <c r="AC128" s="20" t="s">
        <v>23</v>
      </c>
      <c r="AD128" s="29" t="s">
        <v>20</v>
      </c>
      <c r="AE128" s="29" t="s">
        <v>21</v>
      </c>
      <c r="AG128">
        <f t="shared" si="9"/>
        <v>0</v>
      </c>
      <c r="AH128">
        <f t="shared" si="10"/>
        <v>6</v>
      </c>
      <c r="AI128">
        <f t="shared" si="11"/>
        <v>18</v>
      </c>
      <c r="AJ128">
        <f t="shared" si="12"/>
        <v>2</v>
      </c>
      <c r="AL128">
        <f t="shared" si="13"/>
        <v>0</v>
      </c>
      <c r="AM128">
        <f t="shared" si="14"/>
        <v>18</v>
      </c>
      <c r="AN128">
        <f t="shared" si="15"/>
        <v>36</v>
      </c>
      <c r="AO128">
        <f t="shared" si="16"/>
        <v>2</v>
      </c>
      <c r="AP128">
        <f t="shared" si="17"/>
        <v>56</v>
      </c>
    </row>
    <row r="129" spans="1:42" ht="15.75" hidden="1" customHeight="1" x14ac:dyDescent="0.3">
      <c r="A129" s="16"/>
      <c r="B129" s="55">
        <v>20</v>
      </c>
      <c r="C129" s="56" t="s">
        <v>147</v>
      </c>
      <c r="D129" s="55">
        <v>3</v>
      </c>
      <c r="E129" s="55" t="s">
        <v>21</v>
      </c>
      <c r="F129" s="18" t="s">
        <v>20</v>
      </c>
      <c r="G129" s="18" t="s">
        <v>20</v>
      </c>
      <c r="H129" s="18" t="s">
        <v>20</v>
      </c>
      <c r="I129" s="18" t="s">
        <v>20</v>
      </c>
      <c r="J129" s="20" t="s">
        <v>21</v>
      </c>
      <c r="K129" s="20" t="s">
        <v>21</v>
      </c>
      <c r="L129" s="20" t="s">
        <v>21</v>
      </c>
      <c r="M129" s="18" t="s">
        <v>20</v>
      </c>
      <c r="N129" s="18" t="s">
        <v>20</v>
      </c>
      <c r="O129" s="18" t="s">
        <v>20</v>
      </c>
      <c r="P129" s="18" t="s">
        <v>21</v>
      </c>
      <c r="Q129" s="18" t="s">
        <v>20</v>
      </c>
      <c r="R129" s="18" t="s">
        <v>21</v>
      </c>
      <c r="S129" s="18" t="s">
        <v>20</v>
      </c>
      <c r="T129" s="18" t="s">
        <v>20</v>
      </c>
      <c r="U129" s="18" t="s">
        <v>20</v>
      </c>
      <c r="V129" s="37" t="s">
        <v>21</v>
      </c>
      <c r="W129" s="37" t="s">
        <v>20</v>
      </c>
      <c r="X129" s="37" t="s">
        <v>21</v>
      </c>
      <c r="Y129" s="18" t="s">
        <v>21</v>
      </c>
      <c r="Z129" s="18" t="s">
        <v>20</v>
      </c>
      <c r="AA129" s="20" t="s">
        <v>21</v>
      </c>
      <c r="AB129" s="20" t="s">
        <v>21</v>
      </c>
      <c r="AC129" s="20" t="s">
        <v>21</v>
      </c>
      <c r="AD129" s="29" t="s">
        <v>20</v>
      </c>
      <c r="AE129" s="29" t="s">
        <v>21</v>
      </c>
      <c r="AG129">
        <f t="shared" si="9"/>
        <v>0</v>
      </c>
      <c r="AH129">
        <f t="shared" si="10"/>
        <v>14</v>
      </c>
      <c r="AI129">
        <f t="shared" si="11"/>
        <v>12</v>
      </c>
      <c r="AJ129">
        <f t="shared" si="12"/>
        <v>0</v>
      </c>
      <c r="AL129">
        <f t="shared" si="13"/>
        <v>0</v>
      </c>
      <c r="AM129">
        <f t="shared" si="14"/>
        <v>42</v>
      </c>
      <c r="AN129">
        <f t="shared" si="15"/>
        <v>24</v>
      </c>
      <c r="AO129">
        <f t="shared" si="16"/>
        <v>0</v>
      </c>
      <c r="AP129">
        <f t="shared" si="17"/>
        <v>66</v>
      </c>
    </row>
    <row r="130" spans="1:42" ht="15.75" hidden="1" customHeight="1" thickBot="1" x14ac:dyDescent="0.35">
      <c r="A130" s="16"/>
      <c r="B130" s="57">
        <v>21</v>
      </c>
      <c r="C130" s="58" t="s">
        <v>148</v>
      </c>
      <c r="D130" s="57">
        <v>3</v>
      </c>
      <c r="E130" s="57" t="s">
        <v>21</v>
      </c>
      <c r="F130" s="21" t="s">
        <v>20</v>
      </c>
      <c r="G130" s="21" t="s">
        <v>20</v>
      </c>
      <c r="H130" s="21" t="s">
        <v>21</v>
      </c>
      <c r="I130" s="21" t="s">
        <v>20</v>
      </c>
      <c r="J130" s="23" t="s">
        <v>20</v>
      </c>
      <c r="K130" s="23" t="s">
        <v>20</v>
      </c>
      <c r="L130" s="23" t="s">
        <v>21</v>
      </c>
      <c r="M130" s="21" t="s">
        <v>21</v>
      </c>
      <c r="N130" s="21" t="s">
        <v>21</v>
      </c>
      <c r="O130" s="21" t="s">
        <v>21</v>
      </c>
      <c r="P130" s="21" t="s">
        <v>21</v>
      </c>
      <c r="Q130" s="21" t="s">
        <v>21</v>
      </c>
      <c r="R130" s="21" t="s">
        <v>21</v>
      </c>
      <c r="S130" s="21" t="s">
        <v>20</v>
      </c>
      <c r="T130" s="21" t="s">
        <v>20</v>
      </c>
      <c r="U130" s="21" t="s">
        <v>21</v>
      </c>
      <c r="V130" s="38" t="s">
        <v>21</v>
      </c>
      <c r="W130" s="38" t="s">
        <v>21</v>
      </c>
      <c r="X130" s="38" t="s">
        <v>21</v>
      </c>
      <c r="Y130" s="21" t="s">
        <v>20</v>
      </c>
      <c r="Z130" s="21" t="s">
        <v>20</v>
      </c>
      <c r="AA130" s="23" t="s">
        <v>21</v>
      </c>
      <c r="AB130" s="23" t="s">
        <v>21</v>
      </c>
      <c r="AC130" s="23" t="s">
        <v>21</v>
      </c>
      <c r="AD130" s="31" t="s">
        <v>20</v>
      </c>
      <c r="AE130" s="31" t="s">
        <v>21</v>
      </c>
      <c r="AG130">
        <f t="shared" si="9"/>
        <v>0</v>
      </c>
      <c r="AH130">
        <f t="shared" si="10"/>
        <v>10</v>
      </c>
      <c r="AI130">
        <f t="shared" si="11"/>
        <v>16</v>
      </c>
      <c r="AJ130">
        <f t="shared" si="12"/>
        <v>0</v>
      </c>
      <c r="AL130">
        <f t="shared" si="13"/>
        <v>0</v>
      </c>
      <c r="AM130">
        <f t="shared" si="14"/>
        <v>30</v>
      </c>
      <c r="AN130">
        <f t="shared" si="15"/>
        <v>32</v>
      </c>
      <c r="AO130">
        <f t="shared" si="16"/>
        <v>0</v>
      </c>
      <c r="AP130">
        <f t="shared" si="17"/>
        <v>62</v>
      </c>
    </row>
    <row r="131" spans="1:42" ht="15.75" hidden="1" customHeight="1" x14ac:dyDescent="0.3">
      <c r="A131" s="16"/>
      <c r="B131" s="59">
        <v>19</v>
      </c>
      <c r="C131" s="60" t="s">
        <v>167</v>
      </c>
      <c r="D131" s="59">
        <v>4</v>
      </c>
      <c r="E131" s="59" t="s">
        <v>20</v>
      </c>
      <c r="F131" s="24" t="s">
        <v>39</v>
      </c>
      <c r="G131" s="24" t="s">
        <v>39</v>
      </c>
      <c r="H131" s="24" t="s">
        <v>39</v>
      </c>
      <c r="I131" s="24" t="s">
        <v>39</v>
      </c>
      <c r="J131" s="42" t="s">
        <v>20</v>
      </c>
      <c r="K131" s="42" t="s">
        <v>20</v>
      </c>
      <c r="L131" s="42" t="s">
        <v>20</v>
      </c>
      <c r="M131" s="24" t="s">
        <v>20</v>
      </c>
      <c r="N131" s="24" t="s">
        <v>20</v>
      </c>
      <c r="O131" s="24" t="s">
        <v>20</v>
      </c>
      <c r="P131" s="24" t="s">
        <v>20</v>
      </c>
      <c r="Q131" s="24" t="s">
        <v>21</v>
      </c>
      <c r="R131" s="24" t="s">
        <v>20</v>
      </c>
      <c r="S131" s="24" t="s">
        <v>20</v>
      </c>
      <c r="T131" s="24" t="s">
        <v>20</v>
      </c>
      <c r="U131" s="24" t="s">
        <v>20</v>
      </c>
      <c r="V131" s="39" t="s">
        <v>20</v>
      </c>
      <c r="W131" s="39" t="s">
        <v>20</v>
      </c>
      <c r="X131" s="39" t="s">
        <v>20</v>
      </c>
      <c r="Y131" s="24" t="s">
        <v>20</v>
      </c>
      <c r="Z131" s="24" t="s">
        <v>20</v>
      </c>
      <c r="AA131" s="27" t="s">
        <v>20</v>
      </c>
      <c r="AB131" s="27" t="s">
        <v>20</v>
      </c>
      <c r="AC131" s="27" t="s">
        <v>20</v>
      </c>
      <c r="AD131" s="24" t="s">
        <v>20</v>
      </c>
      <c r="AE131" s="24" t="s">
        <v>21</v>
      </c>
      <c r="AG131">
        <f>+COUNTIF(F131:AE131,"AD")</f>
        <v>4</v>
      </c>
      <c r="AH131">
        <f>+COUNTIF(F131:AE131,"A")</f>
        <v>20</v>
      </c>
      <c r="AI131">
        <f>+COUNTIF(F131:AE131,"b")</f>
        <v>2</v>
      </c>
      <c r="AJ131">
        <f>+COUNTIF(F131:AE131,"c")</f>
        <v>0</v>
      </c>
      <c r="AL131">
        <f>+$AG$5*AG131</f>
        <v>16</v>
      </c>
      <c r="AM131">
        <f>+$AH$5*AH131</f>
        <v>60</v>
      </c>
      <c r="AN131">
        <f>+$AI$5*AI131</f>
        <v>4</v>
      </c>
      <c r="AO131">
        <f>+$AJ$5*AJ131</f>
        <v>0</v>
      </c>
      <c r="AP131">
        <f>+SUM(AL131:AO131)</f>
        <v>80</v>
      </c>
    </row>
    <row r="132" spans="1:42" ht="15.75" hidden="1" customHeight="1" x14ac:dyDescent="0.3">
      <c r="A132" s="16"/>
      <c r="B132" s="55">
        <v>8</v>
      </c>
      <c r="C132" s="56" t="s">
        <v>156</v>
      </c>
      <c r="D132" s="55">
        <v>4</v>
      </c>
      <c r="E132" s="55" t="s">
        <v>20</v>
      </c>
      <c r="F132" s="18" t="s">
        <v>20</v>
      </c>
      <c r="G132" s="18" t="s">
        <v>20</v>
      </c>
      <c r="H132" s="18" t="s">
        <v>20</v>
      </c>
      <c r="I132" s="18" t="s">
        <v>20</v>
      </c>
      <c r="J132" s="43" t="s">
        <v>39</v>
      </c>
      <c r="K132" s="43" t="s">
        <v>20</v>
      </c>
      <c r="L132" s="43" t="s">
        <v>20</v>
      </c>
      <c r="M132" s="18" t="s">
        <v>20</v>
      </c>
      <c r="N132" s="18" t="s">
        <v>20</v>
      </c>
      <c r="O132" s="18" t="s">
        <v>20</v>
      </c>
      <c r="P132" s="18" t="s">
        <v>20</v>
      </c>
      <c r="Q132" s="18" t="s">
        <v>20</v>
      </c>
      <c r="R132" s="18" t="s">
        <v>20</v>
      </c>
      <c r="S132" s="18" t="s">
        <v>20</v>
      </c>
      <c r="T132" s="18" t="s">
        <v>20</v>
      </c>
      <c r="U132" s="18" t="s">
        <v>21</v>
      </c>
      <c r="V132" s="37" t="s">
        <v>20</v>
      </c>
      <c r="W132" s="37" t="s">
        <v>20</v>
      </c>
      <c r="X132" s="37" t="s">
        <v>20</v>
      </c>
      <c r="Y132" s="18" t="s">
        <v>20</v>
      </c>
      <c r="Z132" s="18" t="s">
        <v>20</v>
      </c>
      <c r="AA132" s="20" t="s">
        <v>20</v>
      </c>
      <c r="AB132" s="20" t="s">
        <v>20</v>
      </c>
      <c r="AC132" s="20" t="s">
        <v>20</v>
      </c>
      <c r="AD132" s="29" t="s">
        <v>20</v>
      </c>
      <c r="AE132" s="29" t="s">
        <v>21</v>
      </c>
      <c r="AG132">
        <f>+COUNTIF(F132:AE132,"AD")</f>
        <v>1</v>
      </c>
      <c r="AH132">
        <f>+COUNTIF(F132:AE132,"A")</f>
        <v>23</v>
      </c>
      <c r="AI132">
        <f>+COUNTIF(F132:AE132,"b")</f>
        <v>2</v>
      </c>
      <c r="AJ132">
        <f>+COUNTIF(F132:AE132,"c")</f>
        <v>0</v>
      </c>
      <c r="AL132">
        <f>+$AG$5*AG132</f>
        <v>4</v>
      </c>
      <c r="AM132">
        <f>+$AH$5*AH132</f>
        <v>69</v>
      </c>
      <c r="AN132">
        <f>+$AI$5*AI132</f>
        <v>4</v>
      </c>
      <c r="AO132">
        <f>+$AJ$5*AJ132</f>
        <v>0</v>
      </c>
      <c r="AP132">
        <f>+SUM(AL132:AO132)</f>
        <v>77</v>
      </c>
    </row>
    <row r="133" spans="1:42" ht="15.75" hidden="1" customHeight="1" x14ac:dyDescent="0.3">
      <c r="A133" s="16"/>
      <c r="B133" s="55">
        <v>2</v>
      </c>
      <c r="C133" s="56" t="s">
        <v>150</v>
      </c>
      <c r="D133" s="55">
        <v>4</v>
      </c>
      <c r="E133" s="55" t="s">
        <v>20</v>
      </c>
      <c r="F133" s="18" t="s">
        <v>20</v>
      </c>
      <c r="G133" s="18" t="s">
        <v>20</v>
      </c>
      <c r="H133" s="18" t="s">
        <v>20</v>
      </c>
      <c r="I133" s="18" t="s">
        <v>20</v>
      </c>
      <c r="J133" s="43" t="s">
        <v>39</v>
      </c>
      <c r="K133" s="43" t="s">
        <v>20</v>
      </c>
      <c r="L133" s="43" t="s">
        <v>20</v>
      </c>
      <c r="M133" s="18" t="s">
        <v>21</v>
      </c>
      <c r="N133" s="18" t="s">
        <v>20</v>
      </c>
      <c r="O133" s="18" t="s">
        <v>20</v>
      </c>
      <c r="P133" s="18" t="s">
        <v>20</v>
      </c>
      <c r="Q133" s="18" t="s">
        <v>20</v>
      </c>
      <c r="R133" s="18" t="s">
        <v>20</v>
      </c>
      <c r="S133" s="18" t="s">
        <v>20</v>
      </c>
      <c r="T133" s="18" t="s">
        <v>20</v>
      </c>
      <c r="U133" s="18" t="s">
        <v>20</v>
      </c>
      <c r="V133" s="37" t="s">
        <v>20</v>
      </c>
      <c r="W133" s="37" t="s">
        <v>20</v>
      </c>
      <c r="X133" s="37" t="s">
        <v>20</v>
      </c>
      <c r="Y133" s="18" t="s">
        <v>20</v>
      </c>
      <c r="Z133" s="18" t="s">
        <v>21</v>
      </c>
      <c r="AA133" s="20" t="s">
        <v>20</v>
      </c>
      <c r="AB133" s="20" t="s">
        <v>20</v>
      </c>
      <c r="AC133" s="20" t="s">
        <v>21</v>
      </c>
      <c r="AD133" s="29" t="s">
        <v>20</v>
      </c>
      <c r="AE133" s="29" t="s">
        <v>21</v>
      </c>
      <c r="AG133">
        <f>+COUNTIF(F133:AE133,"AD")</f>
        <v>1</v>
      </c>
      <c r="AH133">
        <f>+COUNTIF(F133:AE133,"A")</f>
        <v>21</v>
      </c>
      <c r="AI133">
        <f>+COUNTIF(F133:AE133,"b")</f>
        <v>4</v>
      </c>
      <c r="AJ133">
        <f>+COUNTIF(F133:AE133,"c")</f>
        <v>0</v>
      </c>
      <c r="AL133">
        <f>+$AG$5*AG133</f>
        <v>4</v>
      </c>
      <c r="AM133">
        <f>+$AH$5*AH133</f>
        <v>63</v>
      </c>
      <c r="AN133">
        <f>+$AI$5*AI133</f>
        <v>8</v>
      </c>
      <c r="AO133">
        <f>+$AJ$5*AJ133</f>
        <v>0</v>
      </c>
      <c r="AP133">
        <f>+SUM(AL133:AO133)</f>
        <v>75</v>
      </c>
    </row>
    <row r="134" spans="1:42" ht="15.75" hidden="1" customHeight="1" x14ac:dyDescent="0.3">
      <c r="A134" s="16"/>
      <c r="B134" s="55">
        <v>6</v>
      </c>
      <c r="C134" s="56" t="s">
        <v>154</v>
      </c>
      <c r="D134" s="55">
        <v>4</v>
      </c>
      <c r="E134" s="55" t="s">
        <v>20</v>
      </c>
      <c r="F134" s="18" t="s">
        <v>20</v>
      </c>
      <c r="G134" s="18" t="s">
        <v>21</v>
      </c>
      <c r="H134" s="18" t="s">
        <v>21</v>
      </c>
      <c r="I134" s="18" t="s">
        <v>20</v>
      </c>
      <c r="J134" s="43" t="s">
        <v>20</v>
      </c>
      <c r="K134" s="43" t="s">
        <v>20</v>
      </c>
      <c r="L134" s="43" t="s">
        <v>20</v>
      </c>
      <c r="M134" s="18" t="s">
        <v>20</v>
      </c>
      <c r="N134" s="18" t="s">
        <v>20</v>
      </c>
      <c r="O134" s="18" t="s">
        <v>20</v>
      </c>
      <c r="P134" s="18" t="s">
        <v>20</v>
      </c>
      <c r="Q134" s="18" t="s">
        <v>21</v>
      </c>
      <c r="R134" s="18" t="s">
        <v>20</v>
      </c>
      <c r="S134" s="18" t="s">
        <v>20</v>
      </c>
      <c r="T134" s="18" t="s">
        <v>20</v>
      </c>
      <c r="U134" s="18" t="s">
        <v>20</v>
      </c>
      <c r="V134" s="37" t="s">
        <v>20</v>
      </c>
      <c r="W134" s="37" t="s">
        <v>20</v>
      </c>
      <c r="X134" s="37" t="s">
        <v>20</v>
      </c>
      <c r="Y134" s="18" t="s">
        <v>20</v>
      </c>
      <c r="Z134" s="18" t="s">
        <v>20</v>
      </c>
      <c r="AA134" s="20" t="s">
        <v>20</v>
      </c>
      <c r="AB134" s="20" t="s">
        <v>20</v>
      </c>
      <c r="AC134" s="20" t="s">
        <v>20</v>
      </c>
      <c r="AD134" s="29" t="s">
        <v>20</v>
      </c>
      <c r="AE134" s="29" t="s">
        <v>21</v>
      </c>
      <c r="AG134">
        <f>+COUNTIF(F134:AE134,"AD")</f>
        <v>0</v>
      </c>
      <c r="AH134">
        <f>+COUNTIF(F134:AE134,"A")</f>
        <v>22</v>
      </c>
      <c r="AI134">
        <f>+COUNTIF(F134:AE134,"b")</f>
        <v>4</v>
      </c>
      <c r="AJ134">
        <f>+COUNTIF(F134:AE134,"c")</f>
        <v>0</v>
      </c>
      <c r="AL134">
        <f>+$AG$5*AG134</f>
        <v>0</v>
      </c>
      <c r="AM134">
        <f>+$AH$5*AH134</f>
        <v>66</v>
      </c>
      <c r="AN134">
        <f>+$AI$5*AI134</f>
        <v>8</v>
      </c>
      <c r="AO134">
        <f>+$AJ$5*AJ134</f>
        <v>0</v>
      </c>
      <c r="AP134">
        <f>+SUM(AL134:AO134)</f>
        <v>74</v>
      </c>
    </row>
    <row r="135" spans="1:42" ht="15.75" hidden="1" customHeight="1" x14ac:dyDescent="0.3">
      <c r="A135" s="16"/>
      <c r="B135" s="55">
        <v>14</v>
      </c>
      <c r="C135" s="56" t="s">
        <v>162</v>
      </c>
      <c r="D135" s="55">
        <v>4</v>
      </c>
      <c r="E135" s="55" t="s">
        <v>20</v>
      </c>
      <c r="F135" s="18" t="s">
        <v>20</v>
      </c>
      <c r="G135" s="18" t="s">
        <v>20</v>
      </c>
      <c r="H135" s="18" t="s">
        <v>20</v>
      </c>
      <c r="I135" s="18" t="s">
        <v>20</v>
      </c>
      <c r="J135" s="43" t="s">
        <v>20</v>
      </c>
      <c r="K135" s="43" t="s">
        <v>20</v>
      </c>
      <c r="L135" s="43" t="s">
        <v>20</v>
      </c>
      <c r="M135" s="18" t="s">
        <v>20</v>
      </c>
      <c r="N135" s="18" t="s">
        <v>20</v>
      </c>
      <c r="O135" s="18" t="s">
        <v>20</v>
      </c>
      <c r="P135" s="18" t="s">
        <v>20</v>
      </c>
      <c r="Q135" s="18" t="s">
        <v>20</v>
      </c>
      <c r="R135" s="18" t="s">
        <v>21</v>
      </c>
      <c r="S135" s="18" t="s">
        <v>21</v>
      </c>
      <c r="T135" s="18" t="s">
        <v>20</v>
      </c>
      <c r="U135" s="18" t="s">
        <v>21</v>
      </c>
      <c r="V135" s="37" t="s">
        <v>20</v>
      </c>
      <c r="W135" s="37" t="s">
        <v>20</v>
      </c>
      <c r="X135" s="37" t="s">
        <v>20</v>
      </c>
      <c r="Y135" s="18" t="s">
        <v>20</v>
      </c>
      <c r="Z135" s="18" t="s">
        <v>20</v>
      </c>
      <c r="AA135" s="20" t="s">
        <v>21</v>
      </c>
      <c r="AB135" s="20" t="s">
        <v>20</v>
      </c>
      <c r="AC135" s="20" t="s">
        <v>20</v>
      </c>
      <c r="AD135" s="18" t="s">
        <v>20</v>
      </c>
      <c r="AE135" s="18" t="s">
        <v>21</v>
      </c>
      <c r="AG135">
        <f>+COUNTIF(F135:AE135,"AD")</f>
        <v>0</v>
      </c>
      <c r="AH135">
        <f>+COUNTIF(F135:AE135,"A")</f>
        <v>21</v>
      </c>
      <c r="AI135">
        <f>+COUNTIF(F135:AE135,"b")</f>
        <v>5</v>
      </c>
      <c r="AJ135">
        <f>+COUNTIF(F135:AE135,"c")</f>
        <v>0</v>
      </c>
      <c r="AL135">
        <f>+$AG$5*AG135</f>
        <v>0</v>
      </c>
      <c r="AM135">
        <f>+$AH$5*AH135</f>
        <v>63</v>
      </c>
      <c r="AN135">
        <f>+$AI$5*AI135</f>
        <v>10</v>
      </c>
      <c r="AO135">
        <f>+$AJ$5*AJ135</f>
        <v>0</v>
      </c>
      <c r="AP135">
        <f>+SUM(AL135:AO135)</f>
        <v>73</v>
      </c>
    </row>
    <row r="136" spans="1:42" ht="15.75" hidden="1" customHeight="1" x14ac:dyDescent="0.3">
      <c r="A136" s="16"/>
      <c r="B136" s="55">
        <v>1</v>
      </c>
      <c r="C136" s="56" t="s">
        <v>149</v>
      </c>
      <c r="D136" s="55">
        <v>4</v>
      </c>
      <c r="E136" s="55" t="s">
        <v>20</v>
      </c>
      <c r="F136" s="18" t="s">
        <v>20</v>
      </c>
      <c r="G136" s="18" t="s">
        <v>20</v>
      </c>
      <c r="H136" s="18" t="s">
        <v>20</v>
      </c>
      <c r="I136" s="18" t="s">
        <v>20</v>
      </c>
      <c r="J136" s="43" t="s">
        <v>20</v>
      </c>
      <c r="K136" s="43" t="s">
        <v>20</v>
      </c>
      <c r="L136" s="43" t="s">
        <v>21</v>
      </c>
      <c r="M136" s="18" t="s">
        <v>20</v>
      </c>
      <c r="N136" s="18" t="s">
        <v>20</v>
      </c>
      <c r="O136" s="18" t="s">
        <v>20</v>
      </c>
      <c r="P136" s="18" t="s">
        <v>20</v>
      </c>
      <c r="Q136" s="18" t="s">
        <v>20</v>
      </c>
      <c r="R136" s="18" t="s">
        <v>20</v>
      </c>
      <c r="S136" s="18" t="s">
        <v>20</v>
      </c>
      <c r="T136" s="18" t="s">
        <v>21</v>
      </c>
      <c r="U136" s="18" t="s">
        <v>21</v>
      </c>
      <c r="V136" s="37" t="s">
        <v>20</v>
      </c>
      <c r="W136" s="37" t="s">
        <v>20</v>
      </c>
      <c r="X136" s="37" t="s">
        <v>20</v>
      </c>
      <c r="Y136" s="18" t="s">
        <v>20</v>
      </c>
      <c r="Z136" s="18" t="s">
        <v>20</v>
      </c>
      <c r="AA136" s="20" t="s">
        <v>21</v>
      </c>
      <c r="AB136" s="20" t="s">
        <v>20</v>
      </c>
      <c r="AC136" s="20" t="s">
        <v>21</v>
      </c>
      <c r="AD136" s="29" t="s">
        <v>21</v>
      </c>
      <c r="AE136" s="29" t="s">
        <v>21</v>
      </c>
      <c r="AG136">
        <f>+COUNTIF(F136:AE136,"AD")</f>
        <v>0</v>
      </c>
      <c r="AH136">
        <f>+COUNTIF(F136:AE136,"A")</f>
        <v>19</v>
      </c>
      <c r="AI136">
        <f>+COUNTIF(F136:AE136,"b")</f>
        <v>7</v>
      </c>
      <c r="AJ136">
        <f>+COUNTIF(F136:AE136,"c")</f>
        <v>0</v>
      </c>
      <c r="AL136">
        <f>+$AG$5*AG136</f>
        <v>0</v>
      </c>
      <c r="AM136">
        <f>+$AH$5*AH136</f>
        <v>57</v>
      </c>
      <c r="AN136">
        <f>+$AI$5*AI136</f>
        <v>14</v>
      </c>
      <c r="AO136">
        <f>+$AJ$5*AJ136</f>
        <v>0</v>
      </c>
      <c r="AP136">
        <f>+SUM(AL136:AO136)</f>
        <v>71</v>
      </c>
    </row>
    <row r="137" spans="1:42" ht="15.75" hidden="1" customHeight="1" x14ac:dyDescent="0.3">
      <c r="A137" s="16"/>
      <c r="B137" s="55">
        <v>15</v>
      </c>
      <c r="C137" s="56" t="s">
        <v>163</v>
      </c>
      <c r="D137" s="55">
        <v>4</v>
      </c>
      <c r="E137" s="55" t="s">
        <v>20</v>
      </c>
      <c r="F137" s="18" t="s">
        <v>20</v>
      </c>
      <c r="G137" s="18" t="s">
        <v>21</v>
      </c>
      <c r="H137" s="18" t="s">
        <v>21</v>
      </c>
      <c r="I137" s="18" t="s">
        <v>20</v>
      </c>
      <c r="J137" s="43" t="s">
        <v>20</v>
      </c>
      <c r="K137" s="43" t="s">
        <v>20</v>
      </c>
      <c r="L137" s="43" t="s">
        <v>20</v>
      </c>
      <c r="M137" s="18" t="s">
        <v>21</v>
      </c>
      <c r="N137" s="18" t="s">
        <v>20</v>
      </c>
      <c r="O137" s="18" t="s">
        <v>20</v>
      </c>
      <c r="P137" s="18" t="s">
        <v>20</v>
      </c>
      <c r="Q137" s="18" t="s">
        <v>20</v>
      </c>
      <c r="R137" s="18" t="s">
        <v>20</v>
      </c>
      <c r="S137" s="18" t="s">
        <v>20</v>
      </c>
      <c r="T137" s="18" t="s">
        <v>20</v>
      </c>
      <c r="U137" s="18" t="s">
        <v>21</v>
      </c>
      <c r="V137" s="37" t="s">
        <v>20</v>
      </c>
      <c r="W137" s="37" t="s">
        <v>20</v>
      </c>
      <c r="X137" s="37" t="s">
        <v>20</v>
      </c>
      <c r="Y137" s="18" t="s">
        <v>20</v>
      </c>
      <c r="Z137" s="18" t="s">
        <v>21</v>
      </c>
      <c r="AA137" s="20" t="s">
        <v>21</v>
      </c>
      <c r="AB137" s="20" t="s">
        <v>20</v>
      </c>
      <c r="AC137" s="20" t="s">
        <v>20</v>
      </c>
      <c r="AD137" s="18" t="s">
        <v>20</v>
      </c>
      <c r="AE137" s="18" t="s">
        <v>21</v>
      </c>
      <c r="AG137">
        <f>+COUNTIF(F137:AE137,"AD")</f>
        <v>0</v>
      </c>
      <c r="AH137">
        <f>+COUNTIF(F137:AE137,"A")</f>
        <v>19</v>
      </c>
      <c r="AI137">
        <f>+COUNTIF(F137:AE137,"b")</f>
        <v>7</v>
      </c>
      <c r="AJ137">
        <f>+COUNTIF(F137:AE137,"c")</f>
        <v>0</v>
      </c>
      <c r="AL137">
        <f>+$AG$5*AG137</f>
        <v>0</v>
      </c>
      <c r="AM137">
        <f>+$AH$5*AH137</f>
        <v>57</v>
      </c>
      <c r="AN137">
        <f>+$AI$5*AI137</f>
        <v>14</v>
      </c>
      <c r="AO137">
        <f>+$AJ$5*AJ137</f>
        <v>0</v>
      </c>
      <c r="AP137">
        <f>+SUM(AL137:AO137)</f>
        <v>71</v>
      </c>
    </row>
    <row r="138" spans="1:42" ht="15.75" hidden="1" customHeight="1" x14ac:dyDescent="0.3">
      <c r="A138" s="16"/>
      <c r="B138" s="55">
        <v>23</v>
      </c>
      <c r="C138" s="56" t="s">
        <v>171</v>
      </c>
      <c r="D138" s="55">
        <v>4</v>
      </c>
      <c r="E138" s="55" t="s">
        <v>20</v>
      </c>
      <c r="F138" s="18" t="s">
        <v>20</v>
      </c>
      <c r="G138" s="18" t="s">
        <v>20</v>
      </c>
      <c r="H138" s="18" t="s">
        <v>20</v>
      </c>
      <c r="I138" s="18" t="s">
        <v>20</v>
      </c>
      <c r="J138" s="43" t="s">
        <v>20</v>
      </c>
      <c r="K138" s="43" t="s">
        <v>20</v>
      </c>
      <c r="L138" s="43" t="s">
        <v>20</v>
      </c>
      <c r="M138" s="18" t="s">
        <v>21</v>
      </c>
      <c r="N138" s="18" t="s">
        <v>20</v>
      </c>
      <c r="O138" s="18" t="s">
        <v>20</v>
      </c>
      <c r="P138" s="18" t="s">
        <v>21</v>
      </c>
      <c r="Q138" s="18" t="s">
        <v>21</v>
      </c>
      <c r="R138" s="18" t="s">
        <v>21</v>
      </c>
      <c r="S138" s="18" t="s">
        <v>20</v>
      </c>
      <c r="T138" s="18" t="s">
        <v>20</v>
      </c>
      <c r="U138" s="18" t="s">
        <v>20</v>
      </c>
      <c r="V138" s="46" t="s">
        <v>20</v>
      </c>
      <c r="W138" s="37" t="s">
        <v>20</v>
      </c>
      <c r="X138" s="46" t="s">
        <v>20</v>
      </c>
      <c r="Y138" s="18" t="s">
        <v>21</v>
      </c>
      <c r="Z138" s="18" t="s">
        <v>21</v>
      </c>
      <c r="AA138" s="20" t="s">
        <v>21</v>
      </c>
      <c r="AB138" s="20" t="s">
        <v>20</v>
      </c>
      <c r="AC138" s="20" t="s">
        <v>20</v>
      </c>
      <c r="AD138" s="18" t="s">
        <v>20</v>
      </c>
      <c r="AE138" s="18" t="s">
        <v>21</v>
      </c>
      <c r="AG138">
        <f>+COUNTIF(F138:AE138,"AD")</f>
        <v>0</v>
      </c>
      <c r="AH138">
        <f>+COUNTIF(F138:AE138,"A")</f>
        <v>18</v>
      </c>
      <c r="AI138">
        <f>+COUNTIF(F138:AE138,"b")</f>
        <v>8</v>
      </c>
      <c r="AJ138">
        <f>+COUNTIF(F138:AE138,"c")</f>
        <v>0</v>
      </c>
      <c r="AL138">
        <f>+$AG$5*AG138</f>
        <v>0</v>
      </c>
      <c r="AM138">
        <f>+$AH$5*AH138</f>
        <v>54</v>
      </c>
      <c r="AN138">
        <f>+$AI$5*AI138</f>
        <v>16</v>
      </c>
      <c r="AO138">
        <f>+$AJ$5*AJ138</f>
        <v>0</v>
      </c>
      <c r="AP138">
        <f>+SUM(AL138:AO138)</f>
        <v>70</v>
      </c>
    </row>
    <row r="139" spans="1:42" ht="15.75" hidden="1" customHeight="1" x14ac:dyDescent="0.3">
      <c r="A139" s="16"/>
      <c r="B139" s="55">
        <v>21</v>
      </c>
      <c r="C139" s="56" t="s">
        <v>169</v>
      </c>
      <c r="D139" s="55">
        <v>4</v>
      </c>
      <c r="E139" s="55" t="s">
        <v>20</v>
      </c>
      <c r="F139" s="18" t="s">
        <v>21</v>
      </c>
      <c r="G139" s="18" t="s">
        <v>21</v>
      </c>
      <c r="H139" s="18" t="s">
        <v>20</v>
      </c>
      <c r="I139" s="18" t="s">
        <v>20</v>
      </c>
      <c r="J139" s="43" t="s">
        <v>20</v>
      </c>
      <c r="K139" s="43" t="s">
        <v>20</v>
      </c>
      <c r="L139" s="43" t="s">
        <v>21</v>
      </c>
      <c r="M139" s="18" t="s">
        <v>21</v>
      </c>
      <c r="N139" s="18" t="s">
        <v>20</v>
      </c>
      <c r="O139" s="18" t="s">
        <v>20</v>
      </c>
      <c r="P139" s="18" t="s">
        <v>20</v>
      </c>
      <c r="Q139" s="18" t="s">
        <v>20</v>
      </c>
      <c r="R139" s="18" t="s">
        <v>20</v>
      </c>
      <c r="S139" s="18" t="s">
        <v>20</v>
      </c>
      <c r="T139" s="18" t="s">
        <v>20</v>
      </c>
      <c r="U139" s="18" t="s">
        <v>20</v>
      </c>
      <c r="V139" s="37" t="s">
        <v>20</v>
      </c>
      <c r="W139" s="37" t="s">
        <v>20</v>
      </c>
      <c r="X139" s="37" t="s">
        <v>20</v>
      </c>
      <c r="Y139" s="18" t="s">
        <v>21</v>
      </c>
      <c r="Z139" s="18" t="s">
        <v>21</v>
      </c>
      <c r="AA139" s="20" t="s">
        <v>20</v>
      </c>
      <c r="AB139" s="20" t="s">
        <v>20</v>
      </c>
      <c r="AC139" s="20" t="s">
        <v>21</v>
      </c>
      <c r="AD139" s="18" t="s">
        <v>21</v>
      </c>
      <c r="AE139" s="18" t="s">
        <v>21</v>
      </c>
      <c r="AG139">
        <f>+COUNTIF(F139:AE139,"AD")</f>
        <v>0</v>
      </c>
      <c r="AH139">
        <f>+COUNTIF(F139:AE139,"A")</f>
        <v>17</v>
      </c>
      <c r="AI139">
        <f>+COUNTIF(F139:AE139,"b")</f>
        <v>9</v>
      </c>
      <c r="AJ139">
        <f>+COUNTIF(F139:AE139,"c")</f>
        <v>0</v>
      </c>
      <c r="AL139">
        <f>+$AG$5*AG139</f>
        <v>0</v>
      </c>
      <c r="AM139">
        <f>+$AH$5*AH139</f>
        <v>51</v>
      </c>
      <c r="AN139">
        <f>+$AI$5*AI139</f>
        <v>18</v>
      </c>
      <c r="AO139">
        <f>+$AJ$5*AJ139</f>
        <v>0</v>
      </c>
      <c r="AP139">
        <f>+SUM(AL139:AO139)</f>
        <v>69</v>
      </c>
    </row>
    <row r="140" spans="1:42" ht="15.75" hidden="1" customHeight="1" x14ac:dyDescent="0.3">
      <c r="A140" s="16"/>
      <c r="B140" s="55">
        <v>4</v>
      </c>
      <c r="C140" s="56" t="s">
        <v>152</v>
      </c>
      <c r="D140" s="55">
        <v>4</v>
      </c>
      <c r="E140" s="55" t="s">
        <v>20</v>
      </c>
      <c r="F140" s="18" t="s">
        <v>21</v>
      </c>
      <c r="G140" s="18" t="s">
        <v>20</v>
      </c>
      <c r="H140" s="18" t="s">
        <v>21</v>
      </c>
      <c r="I140" s="18" t="s">
        <v>20</v>
      </c>
      <c r="J140" s="43" t="s">
        <v>20</v>
      </c>
      <c r="K140" s="43" t="s">
        <v>20</v>
      </c>
      <c r="L140" s="43" t="s">
        <v>21</v>
      </c>
      <c r="M140" s="18" t="s">
        <v>20</v>
      </c>
      <c r="N140" s="18" t="s">
        <v>20</v>
      </c>
      <c r="O140" s="18" t="s">
        <v>20</v>
      </c>
      <c r="P140" s="18" t="s">
        <v>21</v>
      </c>
      <c r="Q140" s="18" t="s">
        <v>21</v>
      </c>
      <c r="R140" s="18" t="s">
        <v>21</v>
      </c>
      <c r="S140" s="18" t="s">
        <v>20</v>
      </c>
      <c r="T140" s="18" t="s">
        <v>20</v>
      </c>
      <c r="U140" s="18" t="s">
        <v>21</v>
      </c>
      <c r="V140" s="37" t="s">
        <v>20</v>
      </c>
      <c r="W140" s="37" t="s">
        <v>20</v>
      </c>
      <c r="X140" s="37" t="s">
        <v>20</v>
      </c>
      <c r="Y140" s="18" t="s">
        <v>20</v>
      </c>
      <c r="Z140" s="18" t="s">
        <v>20</v>
      </c>
      <c r="AA140" s="20" t="s">
        <v>21</v>
      </c>
      <c r="AB140" s="20" t="s">
        <v>21</v>
      </c>
      <c r="AC140" s="20" t="s">
        <v>20</v>
      </c>
      <c r="AD140" s="47" t="s">
        <v>20</v>
      </c>
      <c r="AE140" s="47" t="s">
        <v>21</v>
      </c>
      <c r="AG140">
        <f>+COUNTIF(F140:AE140,"AD")</f>
        <v>0</v>
      </c>
      <c r="AH140">
        <f>+COUNTIF(F140:AE140,"A")</f>
        <v>16</v>
      </c>
      <c r="AI140">
        <f>+COUNTIF(F140:AE140,"b")</f>
        <v>10</v>
      </c>
      <c r="AJ140">
        <f>+COUNTIF(F140:AE140,"c")</f>
        <v>0</v>
      </c>
      <c r="AL140">
        <f>+$AG$5*AG140</f>
        <v>0</v>
      </c>
      <c r="AM140">
        <f>+$AH$5*AH140</f>
        <v>48</v>
      </c>
      <c r="AN140">
        <f>+$AI$5*AI140</f>
        <v>20</v>
      </c>
      <c r="AO140">
        <f>+$AJ$5*AJ140</f>
        <v>0</v>
      </c>
      <c r="AP140">
        <f>+SUM(AL140:AO140)</f>
        <v>68</v>
      </c>
    </row>
    <row r="141" spans="1:42" ht="15.75" hidden="1" customHeight="1" x14ac:dyDescent="0.3">
      <c r="A141" s="16"/>
      <c r="B141" s="55">
        <v>5</v>
      </c>
      <c r="C141" s="56" t="s">
        <v>153</v>
      </c>
      <c r="D141" s="55">
        <v>4</v>
      </c>
      <c r="E141" s="55" t="s">
        <v>20</v>
      </c>
      <c r="F141" s="18" t="s">
        <v>20</v>
      </c>
      <c r="G141" s="18" t="s">
        <v>21</v>
      </c>
      <c r="H141" s="18" t="s">
        <v>21</v>
      </c>
      <c r="I141" s="18" t="s">
        <v>20</v>
      </c>
      <c r="J141" s="43" t="s">
        <v>20</v>
      </c>
      <c r="K141" s="43" t="s">
        <v>20</v>
      </c>
      <c r="L141" s="43" t="s">
        <v>21</v>
      </c>
      <c r="M141" s="18" t="s">
        <v>21</v>
      </c>
      <c r="N141" s="18" t="s">
        <v>20</v>
      </c>
      <c r="O141" s="18" t="s">
        <v>20</v>
      </c>
      <c r="P141" s="18" t="s">
        <v>20</v>
      </c>
      <c r="Q141" s="18" t="s">
        <v>20</v>
      </c>
      <c r="R141" s="18" t="s">
        <v>20</v>
      </c>
      <c r="S141" s="18" t="s">
        <v>20</v>
      </c>
      <c r="T141" s="18" t="s">
        <v>20</v>
      </c>
      <c r="U141" s="18" t="s">
        <v>21</v>
      </c>
      <c r="V141" s="37" t="s">
        <v>20</v>
      </c>
      <c r="W141" s="37" t="s">
        <v>20</v>
      </c>
      <c r="X141" s="37" t="s">
        <v>20</v>
      </c>
      <c r="Y141" s="18" t="s">
        <v>20</v>
      </c>
      <c r="Z141" s="18" t="s">
        <v>21</v>
      </c>
      <c r="AA141" s="20" t="s">
        <v>21</v>
      </c>
      <c r="AB141" s="20" t="s">
        <v>20</v>
      </c>
      <c r="AC141" s="20" t="s">
        <v>20</v>
      </c>
      <c r="AD141" s="29" t="s">
        <v>23</v>
      </c>
      <c r="AE141" s="29" t="s">
        <v>21</v>
      </c>
      <c r="AG141">
        <f>+COUNTIF(F141:AE141,"AD")</f>
        <v>0</v>
      </c>
      <c r="AH141">
        <f>+COUNTIF(F141:AE141,"A")</f>
        <v>17</v>
      </c>
      <c r="AI141">
        <f>+COUNTIF(F141:AE141,"b")</f>
        <v>8</v>
      </c>
      <c r="AJ141">
        <f>+COUNTIF(F141:AE141,"c")</f>
        <v>1</v>
      </c>
      <c r="AL141">
        <f>+$AG$5*AG141</f>
        <v>0</v>
      </c>
      <c r="AM141">
        <f>+$AH$5*AH141</f>
        <v>51</v>
      </c>
      <c r="AN141">
        <f>+$AI$5*AI141</f>
        <v>16</v>
      </c>
      <c r="AO141">
        <f>+$AJ$5*AJ141</f>
        <v>1</v>
      </c>
      <c r="AP141">
        <f>+SUM(AL141:AO141)</f>
        <v>68</v>
      </c>
    </row>
    <row r="142" spans="1:42" ht="15.75" hidden="1" customHeight="1" x14ac:dyDescent="0.3">
      <c r="A142" s="16"/>
      <c r="B142" s="55">
        <v>22</v>
      </c>
      <c r="C142" s="56" t="s">
        <v>170</v>
      </c>
      <c r="D142" s="55">
        <v>4</v>
      </c>
      <c r="E142" s="55" t="s">
        <v>20</v>
      </c>
      <c r="F142" s="18" t="s">
        <v>20</v>
      </c>
      <c r="G142" s="18" t="s">
        <v>20</v>
      </c>
      <c r="H142" s="18" t="s">
        <v>20</v>
      </c>
      <c r="I142" s="18" t="s">
        <v>20</v>
      </c>
      <c r="J142" s="43" t="s">
        <v>20</v>
      </c>
      <c r="K142" s="43" t="s">
        <v>20</v>
      </c>
      <c r="L142" s="43" t="s">
        <v>21</v>
      </c>
      <c r="M142" s="18" t="s">
        <v>21</v>
      </c>
      <c r="N142" s="18" t="s">
        <v>20</v>
      </c>
      <c r="O142" s="18" t="s">
        <v>20</v>
      </c>
      <c r="P142" s="18" t="s">
        <v>21</v>
      </c>
      <c r="Q142" s="18" t="s">
        <v>21</v>
      </c>
      <c r="R142" s="18" t="s">
        <v>21</v>
      </c>
      <c r="S142" s="18" t="s">
        <v>20</v>
      </c>
      <c r="T142" s="18" t="s">
        <v>20</v>
      </c>
      <c r="U142" s="18" t="s">
        <v>21</v>
      </c>
      <c r="V142" s="37" t="s">
        <v>20</v>
      </c>
      <c r="W142" s="37" t="s">
        <v>20</v>
      </c>
      <c r="X142" s="37" t="s">
        <v>20</v>
      </c>
      <c r="Y142" s="18" t="s">
        <v>21</v>
      </c>
      <c r="Z142" s="18" t="s">
        <v>20</v>
      </c>
      <c r="AA142" s="20" t="s">
        <v>21</v>
      </c>
      <c r="AB142" s="20" t="s">
        <v>21</v>
      </c>
      <c r="AC142" s="20" t="s">
        <v>21</v>
      </c>
      <c r="AD142" s="18" t="s">
        <v>21</v>
      </c>
      <c r="AE142" s="18" t="s">
        <v>21</v>
      </c>
      <c r="AG142">
        <f>+COUNTIF(F142:AE142,"AD")</f>
        <v>0</v>
      </c>
      <c r="AH142">
        <f>+COUNTIF(F142:AE142,"A")</f>
        <v>14</v>
      </c>
      <c r="AI142">
        <f>+COUNTIF(F142:AE142,"b")</f>
        <v>12</v>
      </c>
      <c r="AJ142">
        <f>+COUNTIF(F142:AE142,"c")</f>
        <v>0</v>
      </c>
      <c r="AL142">
        <f>+$AG$5*AG142</f>
        <v>0</v>
      </c>
      <c r="AM142">
        <f>+$AH$5*AH142</f>
        <v>42</v>
      </c>
      <c r="AN142">
        <f>+$AI$5*AI142</f>
        <v>24</v>
      </c>
      <c r="AO142">
        <f>+$AJ$5*AJ142</f>
        <v>0</v>
      </c>
      <c r="AP142">
        <f>+SUM(AL142:AO142)</f>
        <v>66</v>
      </c>
    </row>
    <row r="143" spans="1:42" ht="15.75" hidden="1" customHeight="1" x14ac:dyDescent="0.3">
      <c r="A143" s="16"/>
      <c r="B143" s="55">
        <v>9</v>
      </c>
      <c r="C143" s="56" t="s">
        <v>157</v>
      </c>
      <c r="D143" s="55">
        <v>4</v>
      </c>
      <c r="E143" s="55" t="s">
        <v>20</v>
      </c>
      <c r="F143" s="18" t="s">
        <v>23</v>
      </c>
      <c r="G143" s="18" t="s">
        <v>21</v>
      </c>
      <c r="H143" s="18" t="s">
        <v>21</v>
      </c>
      <c r="I143" s="18" t="s">
        <v>21</v>
      </c>
      <c r="J143" s="43" t="s">
        <v>20</v>
      </c>
      <c r="K143" s="43" t="s">
        <v>20</v>
      </c>
      <c r="L143" s="43" t="s">
        <v>21</v>
      </c>
      <c r="M143" s="18" t="s">
        <v>20</v>
      </c>
      <c r="N143" s="18" t="s">
        <v>20</v>
      </c>
      <c r="O143" s="18" t="s">
        <v>20</v>
      </c>
      <c r="P143" s="18" t="s">
        <v>20</v>
      </c>
      <c r="Q143" s="18" t="s">
        <v>20</v>
      </c>
      <c r="R143" s="18" t="s">
        <v>20</v>
      </c>
      <c r="S143" s="18" t="s">
        <v>20</v>
      </c>
      <c r="T143" s="18" t="s">
        <v>20</v>
      </c>
      <c r="U143" s="18" t="s">
        <v>21</v>
      </c>
      <c r="V143" s="37" t="s">
        <v>20</v>
      </c>
      <c r="W143" s="37" t="s">
        <v>20</v>
      </c>
      <c r="X143" s="37" t="s">
        <v>20</v>
      </c>
      <c r="Y143" s="18" t="s">
        <v>20</v>
      </c>
      <c r="Z143" s="18" t="s">
        <v>21</v>
      </c>
      <c r="AA143" s="20" t="s">
        <v>21</v>
      </c>
      <c r="AB143" s="20" t="s">
        <v>21</v>
      </c>
      <c r="AC143" s="20" t="s">
        <v>23</v>
      </c>
      <c r="AD143" s="18" t="s">
        <v>20</v>
      </c>
      <c r="AE143" s="18" t="s">
        <v>21</v>
      </c>
      <c r="AG143">
        <f>+COUNTIF(F143:AE143,"AD")</f>
        <v>0</v>
      </c>
      <c r="AH143">
        <f>+COUNTIF(F143:AE143,"A")</f>
        <v>15</v>
      </c>
      <c r="AI143">
        <f>+COUNTIF(F143:AE143,"b")</f>
        <v>9</v>
      </c>
      <c r="AJ143">
        <f>+COUNTIF(F143:AE143,"c")</f>
        <v>2</v>
      </c>
      <c r="AL143">
        <f>+$AG$5*AG143</f>
        <v>0</v>
      </c>
      <c r="AM143">
        <f>+$AH$5*AH143</f>
        <v>45</v>
      </c>
      <c r="AN143">
        <f>+$AI$5*AI143</f>
        <v>18</v>
      </c>
      <c r="AO143">
        <f>+$AJ$5*AJ143</f>
        <v>2</v>
      </c>
      <c r="AP143">
        <f>+SUM(AL143:AO143)</f>
        <v>65</v>
      </c>
    </row>
    <row r="144" spans="1:42" ht="15.75" hidden="1" customHeight="1" x14ac:dyDescent="0.3">
      <c r="A144" s="16"/>
      <c r="B144" s="55">
        <v>20</v>
      </c>
      <c r="C144" s="56" t="s">
        <v>168</v>
      </c>
      <c r="D144" s="55">
        <v>4</v>
      </c>
      <c r="E144" s="55" t="s">
        <v>20</v>
      </c>
      <c r="F144" s="18" t="s">
        <v>21</v>
      </c>
      <c r="G144" s="18" t="s">
        <v>23</v>
      </c>
      <c r="H144" s="18" t="s">
        <v>21</v>
      </c>
      <c r="I144" s="18" t="s">
        <v>21</v>
      </c>
      <c r="J144" s="43" t="s">
        <v>20</v>
      </c>
      <c r="K144" s="43" t="s">
        <v>21</v>
      </c>
      <c r="L144" s="43" t="s">
        <v>21</v>
      </c>
      <c r="M144" s="18" t="s">
        <v>21</v>
      </c>
      <c r="N144" s="18" t="s">
        <v>20</v>
      </c>
      <c r="O144" s="18" t="s">
        <v>21</v>
      </c>
      <c r="P144" s="18" t="s">
        <v>20</v>
      </c>
      <c r="Q144" s="18" t="s">
        <v>21</v>
      </c>
      <c r="R144" s="18" t="s">
        <v>20</v>
      </c>
      <c r="S144" s="18" t="s">
        <v>20</v>
      </c>
      <c r="T144" s="18" t="s">
        <v>20</v>
      </c>
      <c r="U144" s="18" t="s">
        <v>20</v>
      </c>
      <c r="V144" s="37" t="s">
        <v>20</v>
      </c>
      <c r="W144" s="37" t="s">
        <v>20</v>
      </c>
      <c r="X144" s="37" t="s">
        <v>20</v>
      </c>
      <c r="Y144" s="18" t="s">
        <v>21</v>
      </c>
      <c r="Z144" s="18" t="s">
        <v>21</v>
      </c>
      <c r="AA144" s="20" t="s">
        <v>21</v>
      </c>
      <c r="AB144" s="20" t="s">
        <v>21</v>
      </c>
      <c r="AC144" s="20" t="s">
        <v>21</v>
      </c>
      <c r="AD144" s="18" t="s">
        <v>20</v>
      </c>
      <c r="AE144" s="18" t="s">
        <v>21</v>
      </c>
      <c r="AG144">
        <f>+COUNTIF(F144:AE144,"AD")</f>
        <v>0</v>
      </c>
      <c r="AH144">
        <f>+COUNTIF(F144:AE144,"A")</f>
        <v>11</v>
      </c>
      <c r="AI144">
        <f>+COUNTIF(F144:AE144,"b")</f>
        <v>14</v>
      </c>
      <c r="AJ144">
        <f>+COUNTIF(F144:AE144,"c")</f>
        <v>1</v>
      </c>
      <c r="AL144">
        <f>+$AG$5*AG144</f>
        <v>0</v>
      </c>
      <c r="AM144">
        <f>+$AH$5*AH144</f>
        <v>33</v>
      </c>
      <c r="AN144">
        <f>+$AI$5*AI144</f>
        <v>28</v>
      </c>
      <c r="AO144">
        <f>+$AJ$5*AJ144</f>
        <v>1</v>
      </c>
      <c r="AP144">
        <f>+SUM(AL144:AO144)</f>
        <v>62</v>
      </c>
    </row>
    <row r="145" spans="1:42" ht="15.75" hidden="1" customHeight="1" x14ac:dyDescent="0.3">
      <c r="A145" s="16"/>
      <c r="B145" s="55">
        <v>10</v>
      </c>
      <c r="C145" s="56" t="s">
        <v>158</v>
      </c>
      <c r="D145" s="55">
        <v>4</v>
      </c>
      <c r="E145" s="55" t="s">
        <v>20</v>
      </c>
      <c r="F145" s="18" t="s">
        <v>21</v>
      </c>
      <c r="G145" s="18" t="s">
        <v>23</v>
      </c>
      <c r="H145" s="18" t="s">
        <v>21</v>
      </c>
      <c r="I145" s="18" t="s">
        <v>23</v>
      </c>
      <c r="J145" s="43" t="s">
        <v>20</v>
      </c>
      <c r="K145" s="43" t="s">
        <v>21</v>
      </c>
      <c r="L145" s="43" t="s">
        <v>21</v>
      </c>
      <c r="M145" s="18" t="s">
        <v>21</v>
      </c>
      <c r="N145" s="18" t="s">
        <v>21</v>
      </c>
      <c r="O145" s="18" t="s">
        <v>20</v>
      </c>
      <c r="P145" s="18" t="s">
        <v>21</v>
      </c>
      <c r="Q145" s="18" t="s">
        <v>21</v>
      </c>
      <c r="R145" s="18" t="s">
        <v>21</v>
      </c>
      <c r="S145" s="18" t="s">
        <v>21</v>
      </c>
      <c r="T145" s="18" t="s">
        <v>20</v>
      </c>
      <c r="U145" s="18" t="s">
        <v>20</v>
      </c>
      <c r="V145" s="37" t="s">
        <v>20</v>
      </c>
      <c r="W145" s="37" t="s">
        <v>20</v>
      </c>
      <c r="X145" s="37" t="s">
        <v>20</v>
      </c>
      <c r="Y145" s="18" t="s">
        <v>20</v>
      </c>
      <c r="Z145" s="18" t="s">
        <v>21</v>
      </c>
      <c r="AA145" s="20" t="s">
        <v>20</v>
      </c>
      <c r="AB145" s="20" t="s">
        <v>20</v>
      </c>
      <c r="AC145" s="20" t="s">
        <v>20</v>
      </c>
      <c r="AD145" s="18" t="s">
        <v>23</v>
      </c>
      <c r="AE145" s="18" t="s">
        <v>21</v>
      </c>
      <c r="AG145">
        <f>+COUNTIF(F145:AE145,"AD")</f>
        <v>0</v>
      </c>
      <c r="AH145">
        <f>+COUNTIF(F145:AE145,"A")</f>
        <v>11</v>
      </c>
      <c r="AI145">
        <f>+COUNTIF(F145:AE145,"b")</f>
        <v>12</v>
      </c>
      <c r="AJ145">
        <f>+COUNTIF(F145:AE145,"c")</f>
        <v>3</v>
      </c>
      <c r="AL145">
        <f>+$AG$5*AG145</f>
        <v>0</v>
      </c>
      <c r="AM145">
        <f>+$AH$5*AH145</f>
        <v>33</v>
      </c>
      <c r="AN145">
        <f>+$AI$5*AI145</f>
        <v>24</v>
      </c>
      <c r="AO145">
        <f>+$AJ$5*AJ145</f>
        <v>3</v>
      </c>
      <c r="AP145">
        <f>+SUM(AL145:AO145)</f>
        <v>60</v>
      </c>
    </row>
    <row r="146" spans="1:42" ht="15.75" hidden="1" customHeight="1" x14ac:dyDescent="0.3">
      <c r="A146" s="16"/>
      <c r="B146" s="55">
        <v>17</v>
      </c>
      <c r="C146" s="56" t="s">
        <v>165</v>
      </c>
      <c r="D146" s="55">
        <v>4</v>
      </c>
      <c r="E146" s="55" t="s">
        <v>20</v>
      </c>
      <c r="F146" s="18" t="s">
        <v>23</v>
      </c>
      <c r="G146" s="18" t="s">
        <v>21</v>
      </c>
      <c r="H146" s="18" t="s">
        <v>21</v>
      </c>
      <c r="I146" s="18" t="s">
        <v>21</v>
      </c>
      <c r="J146" s="43" t="s">
        <v>20</v>
      </c>
      <c r="K146" s="43" t="s">
        <v>20</v>
      </c>
      <c r="L146" s="43" t="s">
        <v>21</v>
      </c>
      <c r="M146" s="18" t="s">
        <v>21</v>
      </c>
      <c r="N146" s="18" t="s">
        <v>21</v>
      </c>
      <c r="O146" s="18" t="s">
        <v>20</v>
      </c>
      <c r="P146" s="18" t="s">
        <v>21</v>
      </c>
      <c r="Q146" s="18" t="s">
        <v>21</v>
      </c>
      <c r="R146" s="18" t="s">
        <v>21</v>
      </c>
      <c r="S146" s="18" t="s">
        <v>20</v>
      </c>
      <c r="T146" s="18" t="s">
        <v>20</v>
      </c>
      <c r="U146" s="18" t="s">
        <v>21</v>
      </c>
      <c r="V146" s="37" t="s">
        <v>21</v>
      </c>
      <c r="W146" s="37" t="s">
        <v>21</v>
      </c>
      <c r="X146" s="37" t="s">
        <v>21</v>
      </c>
      <c r="Y146" s="18" t="s">
        <v>20</v>
      </c>
      <c r="Z146" s="18" t="s">
        <v>20</v>
      </c>
      <c r="AA146" s="20" t="s">
        <v>21</v>
      </c>
      <c r="AB146" s="20" t="s">
        <v>21</v>
      </c>
      <c r="AC146" s="20" t="s">
        <v>20</v>
      </c>
      <c r="AD146" s="18" t="s">
        <v>20</v>
      </c>
      <c r="AE146" s="18" t="s">
        <v>21</v>
      </c>
      <c r="AG146">
        <f>+COUNTIF(F146:AE146,"AD")</f>
        <v>0</v>
      </c>
      <c r="AH146">
        <f>+COUNTIF(F146:AE146,"A")</f>
        <v>9</v>
      </c>
      <c r="AI146">
        <f>+COUNTIF(F146:AE146,"b")</f>
        <v>16</v>
      </c>
      <c r="AJ146">
        <f>+COUNTIF(F146:AE146,"c")</f>
        <v>1</v>
      </c>
      <c r="AL146">
        <f>+$AG$5*AG146</f>
        <v>0</v>
      </c>
      <c r="AM146">
        <f>+$AH$5*AH146</f>
        <v>27</v>
      </c>
      <c r="AN146">
        <f>+$AI$5*AI146</f>
        <v>32</v>
      </c>
      <c r="AO146">
        <f>+$AJ$5*AJ146</f>
        <v>1</v>
      </c>
      <c r="AP146">
        <f>+SUM(AL146:AO146)</f>
        <v>60</v>
      </c>
    </row>
    <row r="147" spans="1:42" ht="15.75" hidden="1" customHeight="1" x14ac:dyDescent="0.3">
      <c r="A147" s="16"/>
      <c r="B147" s="55">
        <v>3</v>
      </c>
      <c r="C147" s="56" t="s">
        <v>151</v>
      </c>
      <c r="D147" s="55">
        <v>4</v>
      </c>
      <c r="E147" s="55" t="s">
        <v>20</v>
      </c>
      <c r="F147" s="18" t="s">
        <v>23</v>
      </c>
      <c r="G147" s="18" t="s">
        <v>21</v>
      </c>
      <c r="H147" s="18" t="s">
        <v>23</v>
      </c>
      <c r="I147" s="18" t="s">
        <v>21</v>
      </c>
      <c r="J147" s="43" t="s">
        <v>21</v>
      </c>
      <c r="K147" s="43" t="s">
        <v>21</v>
      </c>
      <c r="L147" s="43" t="s">
        <v>21</v>
      </c>
      <c r="M147" s="18" t="s">
        <v>21</v>
      </c>
      <c r="N147" s="18" t="s">
        <v>20</v>
      </c>
      <c r="O147" s="18" t="s">
        <v>20</v>
      </c>
      <c r="P147" s="18" t="s">
        <v>21</v>
      </c>
      <c r="Q147" s="18" t="s">
        <v>21</v>
      </c>
      <c r="R147" s="18" t="s">
        <v>21</v>
      </c>
      <c r="S147" s="18" t="s">
        <v>20</v>
      </c>
      <c r="T147" s="18" t="s">
        <v>20</v>
      </c>
      <c r="U147" s="18" t="s">
        <v>21</v>
      </c>
      <c r="V147" s="37" t="s">
        <v>20</v>
      </c>
      <c r="W147" s="46" t="s">
        <v>21</v>
      </c>
      <c r="X147" s="37" t="s">
        <v>20</v>
      </c>
      <c r="Y147" s="18" t="s">
        <v>21</v>
      </c>
      <c r="Z147" s="18" t="s">
        <v>23</v>
      </c>
      <c r="AA147" s="20" t="s">
        <v>21</v>
      </c>
      <c r="AB147" s="20" t="s">
        <v>21</v>
      </c>
      <c r="AC147" s="20" t="s">
        <v>21</v>
      </c>
      <c r="AD147" s="29" t="s">
        <v>21</v>
      </c>
      <c r="AE147" s="29" t="s">
        <v>21</v>
      </c>
      <c r="AG147">
        <f>+COUNTIF(F147:AE147,"AD")</f>
        <v>0</v>
      </c>
      <c r="AH147">
        <f>+COUNTIF(F147:AE147,"A")</f>
        <v>6</v>
      </c>
      <c r="AI147">
        <f>+COUNTIF(F147:AE147,"b")</f>
        <v>17</v>
      </c>
      <c r="AJ147">
        <f>+COUNTIF(F147:AE147,"c")</f>
        <v>3</v>
      </c>
      <c r="AL147">
        <f>+$AG$5*AG147</f>
        <v>0</v>
      </c>
      <c r="AM147">
        <f>+$AH$5*AH147</f>
        <v>18</v>
      </c>
      <c r="AN147">
        <f>+$AI$5*AI147</f>
        <v>34</v>
      </c>
      <c r="AO147">
        <f>+$AJ$5*AJ147</f>
        <v>3</v>
      </c>
      <c r="AP147">
        <f>+SUM(AL147:AO147)</f>
        <v>55</v>
      </c>
    </row>
    <row r="148" spans="1:42" ht="15.75" hidden="1" customHeight="1" x14ac:dyDescent="0.3">
      <c r="A148" s="16"/>
      <c r="B148" s="55">
        <v>16</v>
      </c>
      <c r="C148" s="56" t="s">
        <v>164</v>
      </c>
      <c r="D148" s="55">
        <v>4</v>
      </c>
      <c r="E148" s="55" t="s">
        <v>20</v>
      </c>
      <c r="F148" s="18" t="s">
        <v>23</v>
      </c>
      <c r="G148" s="18" t="s">
        <v>23</v>
      </c>
      <c r="H148" s="18" t="s">
        <v>23</v>
      </c>
      <c r="I148" s="18" t="s">
        <v>21</v>
      </c>
      <c r="J148" s="43" t="s">
        <v>21</v>
      </c>
      <c r="K148" s="43" t="s">
        <v>21</v>
      </c>
      <c r="L148" s="43" t="s">
        <v>21</v>
      </c>
      <c r="M148" s="18" t="s">
        <v>21</v>
      </c>
      <c r="N148" s="18" t="s">
        <v>20</v>
      </c>
      <c r="O148" s="18" t="s">
        <v>21</v>
      </c>
      <c r="P148" s="18" t="s">
        <v>20</v>
      </c>
      <c r="Q148" s="18" t="s">
        <v>20</v>
      </c>
      <c r="R148" s="18" t="s">
        <v>20</v>
      </c>
      <c r="S148" s="18" t="s">
        <v>21</v>
      </c>
      <c r="T148" s="18" t="s">
        <v>21</v>
      </c>
      <c r="U148" s="18" t="s">
        <v>21</v>
      </c>
      <c r="V148" s="37" t="s">
        <v>20</v>
      </c>
      <c r="W148" s="37" t="s">
        <v>20</v>
      </c>
      <c r="X148" s="37" t="s">
        <v>20</v>
      </c>
      <c r="Y148" s="18" t="s">
        <v>21</v>
      </c>
      <c r="Z148" s="18" t="s">
        <v>21</v>
      </c>
      <c r="AA148" s="20" t="s">
        <v>21</v>
      </c>
      <c r="AB148" s="20" t="s">
        <v>21</v>
      </c>
      <c r="AC148" s="20" t="s">
        <v>21</v>
      </c>
      <c r="AD148" s="18" t="s">
        <v>23</v>
      </c>
      <c r="AE148" s="18" t="s">
        <v>21</v>
      </c>
      <c r="AG148">
        <f>+COUNTIF(F148:AE148,"AD")</f>
        <v>0</v>
      </c>
      <c r="AH148">
        <f>+COUNTIF(F148:AE148,"A")</f>
        <v>7</v>
      </c>
      <c r="AI148">
        <f>+COUNTIF(F148:AE148,"b")</f>
        <v>15</v>
      </c>
      <c r="AJ148">
        <f>+COUNTIF(F148:AE148,"c")</f>
        <v>4</v>
      </c>
      <c r="AL148">
        <f>+$AG$5*AG148</f>
        <v>0</v>
      </c>
      <c r="AM148">
        <f>+$AH$5*AH148</f>
        <v>21</v>
      </c>
      <c r="AN148">
        <f>+$AI$5*AI148</f>
        <v>30</v>
      </c>
      <c r="AO148">
        <f>+$AJ$5*AJ148</f>
        <v>4</v>
      </c>
      <c r="AP148">
        <f>+SUM(AL148:AO148)</f>
        <v>55</v>
      </c>
    </row>
    <row r="149" spans="1:42" ht="15.75" hidden="1" customHeight="1" x14ac:dyDescent="0.3">
      <c r="A149" s="16"/>
      <c r="B149" s="55">
        <v>18</v>
      </c>
      <c r="C149" s="56" t="s">
        <v>166</v>
      </c>
      <c r="D149" s="55">
        <v>4</v>
      </c>
      <c r="E149" s="55" t="s">
        <v>20</v>
      </c>
      <c r="F149" s="18" t="s">
        <v>23</v>
      </c>
      <c r="G149" s="18" t="s">
        <v>23</v>
      </c>
      <c r="H149" s="18" t="s">
        <v>23</v>
      </c>
      <c r="I149" s="18" t="s">
        <v>23</v>
      </c>
      <c r="J149" s="43" t="s">
        <v>21</v>
      </c>
      <c r="K149" s="43" t="s">
        <v>21</v>
      </c>
      <c r="L149" s="43" t="s">
        <v>21</v>
      </c>
      <c r="M149" s="18" t="s">
        <v>21</v>
      </c>
      <c r="N149" s="18" t="s">
        <v>21</v>
      </c>
      <c r="O149" s="18" t="s">
        <v>21</v>
      </c>
      <c r="P149" s="18" t="s">
        <v>21</v>
      </c>
      <c r="Q149" s="18" t="s">
        <v>21</v>
      </c>
      <c r="R149" s="18" t="s">
        <v>21</v>
      </c>
      <c r="S149" s="18" t="s">
        <v>21</v>
      </c>
      <c r="T149" s="18" t="s">
        <v>20</v>
      </c>
      <c r="U149" s="18" t="s">
        <v>21</v>
      </c>
      <c r="V149" s="37" t="s">
        <v>20</v>
      </c>
      <c r="W149" s="37" t="s">
        <v>20</v>
      </c>
      <c r="X149" s="37" t="s">
        <v>20</v>
      </c>
      <c r="Y149" s="18" t="s">
        <v>20</v>
      </c>
      <c r="Z149" s="18" t="s">
        <v>21</v>
      </c>
      <c r="AA149" s="20" t="s">
        <v>21</v>
      </c>
      <c r="AB149" s="20" t="s">
        <v>20</v>
      </c>
      <c r="AC149" s="20" t="s">
        <v>21</v>
      </c>
      <c r="AD149" s="18" t="s">
        <v>21</v>
      </c>
      <c r="AE149" s="18" t="s">
        <v>21</v>
      </c>
      <c r="AG149">
        <f>+COUNTIF(F149:AE149,"AD")</f>
        <v>0</v>
      </c>
      <c r="AH149">
        <f>+COUNTIF(F149:AE149,"A")</f>
        <v>6</v>
      </c>
      <c r="AI149">
        <f>+COUNTIF(F149:AE149,"b")</f>
        <v>16</v>
      </c>
      <c r="AJ149">
        <f>+COUNTIF(F149:AE149,"c")</f>
        <v>4</v>
      </c>
      <c r="AL149">
        <f>+$AG$5*AG149</f>
        <v>0</v>
      </c>
      <c r="AM149">
        <f>+$AH$5*AH149</f>
        <v>18</v>
      </c>
      <c r="AN149">
        <f>+$AI$5*AI149</f>
        <v>32</v>
      </c>
      <c r="AO149">
        <f>+$AJ$5*AJ149</f>
        <v>4</v>
      </c>
      <c r="AP149">
        <f>+SUM(AL149:AO149)</f>
        <v>54</v>
      </c>
    </row>
    <row r="150" spans="1:42" ht="15.75" hidden="1" customHeight="1" x14ac:dyDescent="0.3">
      <c r="A150" s="16"/>
      <c r="B150" s="55">
        <v>11</v>
      </c>
      <c r="C150" s="56" t="s">
        <v>159</v>
      </c>
      <c r="D150" s="55">
        <v>4</v>
      </c>
      <c r="E150" s="55" t="s">
        <v>20</v>
      </c>
      <c r="F150" s="18" t="s">
        <v>23</v>
      </c>
      <c r="G150" s="18" t="s">
        <v>23</v>
      </c>
      <c r="H150" s="18" t="s">
        <v>23</v>
      </c>
      <c r="I150" s="18" t="s">
        <v>21</v>
      </c>
      <c r="J150" s="43" t="s">
        <v>20</v>
      </c>
      <c r="K150" s="43" t="s">
        <v>21</v>
      </c>
      <c r="L150" s="43" t="s">
        <v>21</v>
      </c>
      <c r="M150" s="18" t="s">
        <v>21</v>
      </c>
      <c r="N150" s="18" t="s">
        <v>21</v>
      </c>
      <c r="O150" s="18" t="s">
        <v>21</v>
      </c>
      <c r="P150" s="18" t="s">
        <v>21</v>
      </c>
      <c r="Q150" s="18" t="s">
        <v>21</v>
      </c>
      <c r="R150" s="18" t="s">
        <v>21</v>
      </c>
      <c r="S150" s="18" t="s">
        <v>20</v>
      </c>
      <c r="T150" s="18" t="s">
        <v>21</v>
      </c>
      <c r="U150" s="18" t="s">
        <v>20</v>
      </c>
      <c r="V150" s="37" t="s">
        <v>20</v>
      </c>
      <c r="W150" s="37" t="s">
        <v>20</v>
      </c>
      <c r="X150" s="37" t="s">
        <v>20</v>
      </c>
      <c r="Y150" s="18" t="s">
        <v>21</v>
      </c>
      <c r="Z150" s="18" t="s">
        <v>21</v>
      </c>
      <c r="AA150" s="20" t="s">
        <v>21</v>
      </c>
      <c r="AB150" s="20" t="s">
        <v>21</v>
      </c>
      <c r="AC150" s="20" t="s">
        <v>23</v>
      </c>
      <c r="AD150" s="18" t="s">
        <v>23</v>
      </c>
      <c r="AE150" s="18" t="s">
        <v>21</v>
      </c>
      <c r="AG150">
        <f>+COUNTIF(F150:AE150,"AD")</f>
        <v>0</v>
      </c>
      <c r="AH150">
        <f>+COUNTIF(F150:AE150,"A")</f>
        <v>6</v>
      </c>
      <c r="AI150">
        <f>+COUNTIF(F150:AE150,"b")</f>
        <v>15</v>
      </c>
      <c r="AJ150">
        <f>+COUNTIF(F150:AE150,"c")</f>
        <v>5</v>
      </c>
      <c r="AL150">
        <f>+$AG$5*AG150</f>
        <v>0</v>
      </c>
      <c r="AM150">
        <f>+$AH$5*AH150</f>
        <v>18</v>
      </c>
      <c r="AN150">
        <f>+$AI$5*AI150</f>
        <v>30</v>
      </c>
      <c r="AO150">
        <f>+$AJ$5*AJ150</f>
        <v>5</v>
      </c>
      <c r="AP150">
        <f>+SUM(AL150:AO150)</f>
        <v>53</v>
      </c>
    </row>
    <row r="151" spans="1:42" ht="15.75" hidden="1" customHeight="1" x14ac:dyDescent="0.3">
      <c r="A151" s="16"/>
      <c r="B151" s="55">
        <v>7</v>
      </c>
      <c r="C151" s="56" t="s">
        <v>155</v>
      </c>
      <c r="D151" s="55">
        <v>4</v>
      </c>
      <c r="E151" s="55" t="s">
        <v>20</v>
      </c>
      <c r="F151" s="18" t="s">
        <v>21</v>
      </c>
      <c r="G151" s="18" t="s">
        <v>21</v>
      </c>
      <c r="H151" s="18" t="s">
        <v>23</v>
      </c>
      <c r="I151" s="18" t="s">
        <v>23</v>
      </c>
      <c r="J151" s="43" t="s">
        <v>20</v>
      </c>
      <c r="K151" s="43" t="s">
        <v>20</v>
      </c>
      <c r="L151" s="43" t="s">
        <v>20</v>
      </c>
      <c r="M151" s="18" t="s">
        <v>20</v>
      </c>
      <c r="N151" s="18" t="s">
        <v>21</v>
      </c>
      <c r="O151" s="18" t="s">
        <v>21</v>
      </c>
      <c r="P151" s="18" t="s">
        <v>23</v>
      </c>
      <c r="Q151" s="18" t="s">
        <v>21</v>
      </c>
      <c r="R151" s="18" t="s">
        <v>23</v>
      </c>
      <c r="S151" s="18" t="s">
        <v>21</v>
      </c>
      <c r="T151" s="18" t="s">
        <v>20</v>
      </c>
      <c r="U151" s="18" t="s">
        <v>21</v>
      </c>
      <c r="V151" s="37" t="s">
        <v>20</v>
      </c>
      <c r="W151" s="37" t="s">
        <v>21</v>
      </c>
      <c r="X151" s="37" t="s">
        <v>20</v>
      </c>
      <c r="Y151" s="18" t="s">
        <v>21</v>
      </c>
      <c r="Z151" s="18" t="s">
        <v>20</v>
      </c>
      <c r="AA151" s="20" t="s">
        <v>21</v>
      </c>
      <c r="AB151" s="20" t="s">
        <v>21</v>
      </c>
      <c r="AC151" s="20" t="s">
        <v>21</v>
      </c>
      <c r="AD151" s="29" t="s">
        <v>55</v>
      </c>
      <c r="AE151" s="29" t="s">
        <v>55</v>
      </c>
      <c r="AG151">
        <f>+COUNTIF(F151:AE151,"AD")</f>
        <v>0</v>
      </c>
      <c r="AH151">
        <f>+COUNTIF(F151:AE151,"A")</f>
        <v>8</v>
      </c>
      <c r="AI151">
        <f>+COUNTIF(F151:AE151,"b")</f>
        <v>12</v>
      </c>
      <c r="AJ151">
        <f>+COUNTIF(F151:AE151,"c")</f>
        <v>4</v>
      </c>
      <c r="AL151">
        <f>+$AG$5*AG151</f>
        <v>0</v>
      </c>
      <c r="AM151">
        <f>+$AH$5*AH151</f>
        <v>24</v>
      </c>
      <c r="AN151">
        <f>+$AI$5*AI151</f>
        <v>24</v>
      </c>
      <c r="AO151">
        <f>+$AJ$5*AJ151</f>
        <v>4</v>
      </c>
      <c r="AP151">
        <f>+SUM(AL151:AO151)</f>
        <v>52</v>
      </c>
    </row>
    <row r="152" spans="1:42" ht="15.75" hidden="1" customHeight="1" x14ac:dyDescent="0.3">
      <c r="A152" s="16"/>
      <c r="B152" s="55">
        <v>13</v>
      </c>
      <c r="C152" s="56" t="s">
        <v>161</v>
      </c>
      <c r="D152" s="55">
        <v>4</v>
      </c>
      <c r="E152" s="55" t="s">
        <v>20</v>
      </c>
      <c r="F152" s="18" t="s">
        <v>21</v>
      </c>
      <c r="G152" s="18" t="s">
        <v>21</v>
      </c>
      <c r="H152" s="18" t="s">
        <v>21</v>
      </c>
      <c r="I152" s="18" t="s">
        <v>21</v>
      </c>
      <c r="J152" s="43" t="s">
        <v>21</v>
      </c>
      <c r="K152" s="43" t="s">
        <v>21</v>
      </c>
      <c r="L152" s="43" t="s">
        <v>21</v>
      </c>
      <c r="M152" s="18" t="s">
        <v>23</v>
      </c>
      <c r="N152" s="18" t="s">
        <v>23</v>
      </c>
      <c r="O152" s="18" t="s">
        <v>21</v>
      </c>
      <c r="P152" s="18" t="s">
        <v>20</v>
      </c>
      <c r="Q152" s="18" t="s">
        <v>21</v>
      </c>
      <c r="R152" s="18" t="s">
        <v>21</v>
      </c>
      <c r="S152" s="18" t="s">
        <v>20</v>
      </c>
      <c r="T152" s="18" t="s">
        <v>21</v>
      </c>
      <c r="U152" s="18" t="s">
        <v>20</v>
      </c>
      <c r="V152" s="37" t="s">
        <v>21</v>
      </c>
      <c r="W152" s="37" t="s">
        <v>21</v>
      </c>
      <c r="X152" s="37" t="s">
        <v>21</v>
      </c>
      <c r="Y152" s="18" t="s">
        <v>21</v>
      </c>
      <c r="Z152" s="18" t="s">
        <v>21</v>
      </c>
      <c r="AA152" s="20" t="s">
        <v>21</v>
      </c>
      <c r="AB152" s="20" t="s">
        <v>21</v>
      </c>
      <c r="AC152" s="20" t="s">
        <v>23</v>
      </c>
      <c r="AD152" s="18" t="s">
        <v>23</v>
      </c>
      <c r="AE152" s="18" t="s">
        <v>21</v>
      </c>
      <c r="AG152">
        <f>+COUNTIF(F152:AE152,"AD")</f>
        <v>0</v>
      </c>
      <c r="AH152">
        <f>+COUNTIF(F152:AE152,"A")</f>
        <v>3</v>
      </c>
      <c r="AI152">
        <f>+COUNTIF(F152:AE152,"b")</f>
        <v>19</v>
      </c>
      <c r="AJ152">
        <f>+COUNTIF(F152:AE152,"c")</f>
        <v>4</v>
      </c>
      <c r="AL152">
        <f>+$AG$5*AG152</f>
        <v>0</v>
      </c>
      <c r="AM152">
        <f>+$AH$5*AH152</f>
        <v>9</v>
      </c>
      <c r="AN152">
        <f>+$AI$5*AI152</f>
        <v>38</v>
      </c>
      <c r="AO152">
        <f>+$AJ$5*AJ152</f>
        <v>4</v>
      </c>
      <c r="AP152">
        <f>+SUM(AL152:AO152)</f>
        <v>51</v>
      </c>
    </row>
    <row r="153" spans="1:42" ht="15.75" hidden="1" customHeight="1" thickBot="1" x14ac:dyDescent="0.35">
      <c r="A153" s="16"/>
      <c r="B153" s="57">
        <v>12</v>
      </c>
      <c r="C153" s="58" t="s">
        <v>160</v>
      </c>
      <c r="D153" s="57">
        <v>4</v>
      </c>
      <c r="E153" s="57" t="s">
        <v>20</v>
      </c>
      <c r="F153" s="21" t="s">
        <v>23</v>
      </c>
      <c r="G153" s="21" t="s">
        <v>23</v>
      </c>
      <c r="H153" s="21" t="s">
        <v>23</v>
      </c>
      <c r="I153" s="21" t="s">
        <v>21</v>
      </c>
      <c r="J153" s="45" t="s">
        <v>21</v>
      </c>
      <c r="K153" s="45" t="s">
        <v>21</v>
      </c>
      <c r="L153" s="45" t="s">
        <v>21</v>
      </c>
      <c r="M153" s="21" t="s">
        <v>21</v>
      </c>
      <c r="N153" s="21" t="s">
        <v>20</v>
      </c>
      <c r="O153" s="21" t="s">
        <v>21</v>
      </c>
      <c r="P153" s="21" t="s">
        <v>21</v>
      </c>
      <c r="Q153" s="21" t="s">
        <v>21</v>
      </c>
      <c r="R153" s="21" t="s">
        <v>21</v>
      </c>
      <c r="S153" s="21" t="s">
        <v>21</v>
      </c>
      <c r="T153" s="21" t="s">
        <v>21</v>
      </c>
      <c r="U153" s="21" t="s">
        <v>21</v>
      </c>
      <c r="V153" s="38" t="s">
        <v>20</v>
      </c>
      <c r="W153" s="38" t="s">
        <v>20</v>
      </c>
      <c r="X153" s="38" t="s">
        <v>21</v>
      </c>
      <c r="Y153" s="21" t="s">
        <v>21</v>
      </c>
      <c r="Z153" s="21" t="s">
        <v>21</v>
      </c>
      <c r="AA153" s="23" t="s">
        <v>21</v>
      </c>
      <c r="AB153" s="23" t="s">
        <v>21</v>
      </c>
      <c r="AC153" s="23" t="s">
        <v>23</v>
      </c>
      <c r="AD153" s="21" t="s">
        <v>23</v>
      </c>
      <c r="AE153" s="21" t="s">
        <v>21</v>
      </c>
      <c r="AG153">
        <f>+COUNTIF(F153:AE153,"AD")</f>
        <v>0</v>
      </c>
      <c r="AH153">
        <f>+COUNTIF(F153:AE153,"A")</f>
        <v>3</v>
      </c>
      <c r="AI153">
        <f>+COUNTIF(F153:AE153,"b")</f>
        <v>18</v>
      </c>
      <c r="AJ153">
        <f>+COUNTIF(F153:AE153,"c")</f>
        <v>5</v>
      </c>
      <c r="AL153">
        <f>+$AG$5*AG153</f>
        <v>0</v>
      </c>
      <c r="AM153">
        <f>+$AH$5*AH153</f>
        <v>9</v>
      </c>
      <c r="AN153">
        <f>+$AI$5*AI153</f>
        <v>36</v>
      </c>
      <c r="AO153">
        <f>+$AJ$5*AJ153</f>
        <v>5</v>
      </c>
      <c r="AP153">
        <f>+SUM(AL153:AO153)</f>
        <v>50</v>
      </c>
    </row>
    <row r="154" spans="1:42" ht="15.75" hidden="1" customHeight="1" x14ac:dyDescent="0.3">
      <c r="A154" s="16"/>
      <c r="B154" s="59">
        <v>20</v>
      </c>
      <c r="C154" s="60" t="s">
        <v>191</v>
      </c>
      <c r="D154" s="59">
        <v>4</v>
      </c>
      <c r="E154" s="59" t="s">
        <v>21</v>
      </c>
      <c r="F154" s="24" t="s">
        <v>20</v>
      </c>
      <c r="G154" s="24" t="s">
        <v>20</v>
      </c>
      <c r="H154" s="24" t="s">
        <v>20</v>
      </c>
      <c r="I154" s="24" t="s">
        <v>39</v>
      </c>
      <c r="J154" s="42" t="s">
        <v>20</v>
      </c>
      <c r="K154" s="42" t="s">
        <v>39</v>
      </c>
      <c r="L154" s="42" t="s">
        <v>20</v>
      </c>
      <c r="M154" s="24" t="s">
        <v>20</v>
      </c>
      <c r="N154" s="24" t="s">
        <v>20</v>
      </c>
      <c r="O154" s="24" t="s">
        <v>20</v>
      </c>
      <c r="P154" s="24" t="s">
        <v>20</v>
      </c>
      <c r="Q154" s="24" t="s">
        <v>20</v>
      </c>
      <c r="R154" s="24" t="s">
        <v>20</v>
      </c>
      <c r="S154" s="24" t="s">
        <v>20</v>
      </c>
      <c r="T154" s="24" t="s">
        <v>20</v>
      </c>
      <c r="U154" s="24" t="s">
        <v>20</v>
      </c>
      <c r="V154" s="70" t="s">
        <v>20</v>
      </c>
      <c r="W154" s="39" t="s">
        <v>20</v>
      </c>
      <c r="X154" s="39" t="s">
        <v>20</v>
      </c>
      <c r="Y154" s="24" t="s">
        <v>39</v>
      </c>
      <c r="Z154" s="24" t="s">
        <v>39</v>
      </c>
      <c r="AA154" s="27" t="s">
        <v>20</v>
      </c>
      <c r="AB154" s="27" t="s">
        <v>20</v>
      </c>
      <c r="AC154" s="27" t="s">
        <v>20</v>
      </c>
      <c r="AD154" s="34" t="s">
        <v>20</v>
      </c>
      <c r="AE154" s="34" t="s">
        <v>21</v>
      </c>
      <c r="AG154">
        <f>+COUNTIF(F154:AE154,"AD")</f>
        <v>4</v>
      </c>
      <c r="AH154">
        <f>+COUNTIF(F154:AE154,"A")</f>
        <v>21</v>
      </c>
      <c r="AI154">
        <f>+COUNTIF(F154:AE154,"b")</f>
        <v>1</v>
      </c>
      <c r="AJ154">
        <f>+COUNTIF(F154:AE154,"c")</f>
        <v>0</v>
      </c>
      <c r="AL154">
        <f>+$AG$5*AG154</f>
        <v>16</v>
      </c>
      <c r="AM154">
        <f>+$AH$5*AH154</f>
        <v>63</v>
      </c>
      <c r="AN154">
        <f>+$AI$5*AI154</f>
        <v>2</v>
      </c>
      <c r="AO154">
        <f>+$AJ$5*AJ154</f>
        <v>0</v>
      </c>
      <c r="AP154">
        <f>+SUM(AL154:AO154)</f>
        <v>81</v>
      </c>
    </row>
    <row r="155" spans="1:42" ht="15.75" hidden="1" customHeight="1" x14ac:dyDescent="0.3">
      <c r="A155" s="16"/>
      <c r="B155" s="55">
        <v>3</v>
      </c>
      <c r="C155" s="56" t="s">
        <v>174</v>
      </c>
      <c r="D155" s="55">
        <v>4</v>
      </c>
      <c r="E155" s="55" t="s">
        <v>21</v>
      </c>
      <c r="F155" s="18" t="s">
        <v>39</v>
      </c>
      <c r="G155" s="18" t="s">
        <v>20</v>
      </c>
      <c r="H155" s="18" t="s">
        <v>39</v>
      </c>
      <c r="I155" s="18" t="s">
        <v>20</v>
      </c>
      <c r="J155" s="43" t="s">
        <v>20</v>
      </c>
      <c r="K155" s="43" t="s">
        <v>20</v>
      </c>
      <c r="L155" s="43" t="s">
        <v>20</v>
      </c>
      <c r="M155" s="18" t="s">
        <v>20</v>
      </c>
      <c r="N155" s="18" t="s">
        <v>20</v>
      </c>
      <c r="O155" s="18" t="s">
        <v>20</v>
      </c>
      <c r="P155" s="18" t="s">
        <v>20</v>
      </c>
      <c r="Q155" s="18" t="s">
        <v>20</v>
      </c>
      <c r="R155" s="18" t="s">
        <v>20</v>
      </c>
      <c r="S155" s="18" t="s">
        <v>20</v>
      </c>
      <c r="T155" s="18" t="s">
        <v>20</v>
      </c>
      <c r="U155" s="18" t="s">
        <v>20</v>
      </c>
      <c r="V155" s="37" t="s">
        <v>20</v>
      </c>
      <c r="W155" s="37" t="s">
        <v>20</v>
      </c>
      <c r="X155" s="37" t="s">
        <v>20</v>
      </c>
      <c r="Y155" s="18" t="s">
        <v>20</v>
      </c>
      <c r="Z155" s="18" t="s">
        <v>20</v>
      </c>
      <c r="AA155" s="20" t="s">
        <v>20</v>
      </c>
      <c r="AB155" s="20" t="s">
        <v>20</v>
      </c>
      <c r="AC155" s="20" t="s">
        <v>20</v>
      </c>
      <c r="AD155" s="18" t="s">
        <v>21</v>
      </c>
      <c r="AE155" s="18" t="s">
        <v>21</v>
      </c>
      <c r="AG155">
        <f>+COUNTIF(F155:AE155,"AD")</f>
        <v>2</v>
      </c>
      <c r="AH155">
        <f>+COUNTIF(F155:AE155,"A")</f>
        <v>22</v>
      </c>
      <c r="AI155">
        <f>+COUNTIF(F155:AE155,"b")</f>
        <v>2</v>
      </c>
      <c r="AJ155">
        <f>+COUNTIF(F155:AE155,"c")</f>
        <v>0</v>
      </c>
      <c r="AL155">
        <f>+$AG$5*AG155</f>
        <v>8</v>
      </c>
      <c r="AM155">
        <f>+$AH$5*AH155</f>
        <v>66</v>
      </c>
      <c r="AN155">
        <f>+$AI$5*AI155</f>
        <v>4</v>
      </c>
      <c r="AO155">
        <f>+$AJ$5*AJ155</f>
        <v>0</v>
      </c>
      <c r="AP155">
        <f>+SUM(AL155:AO155)</f>
        <v>78</v>
      </c>
    </row>
    <row r="156" spans="1:42" ht="15.75" hidden="1" customHeight="1" x14ac:dyDescent="0.3">
      <c r="A156" s="16"/>
      <c r="B156" s="55">
        <v>5</v>
      </c>
      <c r="C156" s="56" t="s">
        <v>176</v>
      </c>
      <c r="D156" s="55">
        <v>4</v>
      </c>
      <c r="E156" s="55" t="s">
        <v>21</v>
      </c>
      <c r="F156" s="18" t="s">
        <v>39</v>
      </c>
      <c r="G156" s="18" t="s">
        <v>20</v>
      </c>
      <c r="H156" s="18" t="s">
        <v>20</v>
      </c>
      <c r="I156" s="18" t="s">
        <v>20</v>
      </c>
      <c r="J156" s="43" t="s">
        <v>20</v>
      </c>
      <c r="K156" s="43" t="s">
        <v>20</v>
      </c>
      <c r="L156" s="43" t="s">
        <v>20</v>
      </c>
      <c r="M156" s="18" t="s">
        <v>20</v>
      </c>
      <c r="N156" s="18" t="s">
        <v>20</v>
      </c>
      <c r="O156" s="18" t="s">
        <v>20</v>
      </c>
      <c r="P156" s="18" t="s">
        <v>20</v>
      </c>
      <c r="Q156" s="18" t="s">
        <v>20</v>
      </c>
      <c r="R156" s="18" t="s">
        <v>20</v>
      </c>
      <c r="S156" s="18" t="s">
        <v>20</v>
      </c>
      <c r="T156" s="18" t="s">
        <v>20</v>
      </c>
      <c r="U156" s="18" t="s">
        <v>20</v>
      </c>
      <c r="V156" s="37" t="s">
        <v>20</v>
      </c>
      <c r="W156" s="37" t="s">
        <v>20</v>
      </c>
      <c r="X156" s="37" t="s">
        <v>20</v>
      </c>
      <c r="Y156" s="18" t="s">
        <v>20</v>
      </c>
      <c r="Z156" s="18" t="s">
        <v>20</v>
      </c>
      <c r="AA156" s="20" t="s">
        <v>20</v>
      </c>
      <c r="AB156" s="20" t="s">
        <v>20</v>
      </c>
      <c r="AC156" s="20" t="s">
        <v>20</v>
      </c>
      <c r="AD156" s="18" t="s">
        <v>20</v>
      </c>
      <c r="AE156" s="18" t="s">
        <v>21</v>
      </c>
      <c r="AG156">
        <f>+COUNTIF(F156:AE156,"AD")</f>
        <v>1</v>
      </c>
      <c r="AH156">
        <f>+COUNTIF(F156:AE156,"A")</f>
        <v>24</v>
      </c>
      <c r="AI156">
        <f>+COUNTIF(F156:AE156,"b")</f>
        <v>1</v>
      </c>
      <c r="AJ156">
        <f>+COUNTIF(F156:AE156,"c")</f>
        <v>0</v>
      </c>
      <c r="AL156">
        <f>+$AG$5*AG156</f>
        <v>4</v>
      </c>
      <c r="AM156">
        <f>+$AH$5*AH156</f>
        <v>72</v>
      </c>
      <c r="AN156">
        <f>+$AI$5*AI156</f>
        <v>2</v>
      </c>
      <c r="AO156">
        <f>+$AJ$5*AJ156</f>
        <v>0</v>
      </c>
      <c r="AP156">
        <f>+SUM(AL156:AO156)</f>
        <v>78</v>
      </c>
    </row>
    <row r="157" spans="1:42" ht="15.75" hidden="1" customHeight="1" x14ac:dyDescent="0.3">
      <c r="A157" s="16"/>
      <c r="B157" s="55">
        <v>15</v>
      </c>
      <c r="C157" s="56" t="s">
        <v>186</v>
      </c>
      <c r="D157" s="55">
        <v>4</v>
      </c>
      <c r="E157" s="55" t="s">
        <v>21</v>
      </c>
      <c r="F157" s="18" t="s">
        <v>20</v>
      </c>
      <c r="G157" s="18" t="s">
        <v>20</v>
      </c>
      <c r="H157" s="18" t="s">
        <v>20</v>
      </c>
      <c r="I157" s="18" t="s">
        <v>20</v>
      </c>
      <c r="J157" s="43" t="s">
        <v>20</v>
      </c>
      <c r="K157" s="43" t="s">
        <v>20</v>
      </c>
      <c r="L157" s="43" t="s">
        <v>20</v>
      </c>
      <c r="M157" s="18" t="s">
        <v>20</v>
      </c>
      <c r="N157" s="18" t="s">
        <v>20</v>
      </c>
      <c r="O157" s="18" t="s">
        <v>20</v>
      </c>
      <c r="P157" s="18" t="s">
        <v>20</v>
      </c>
      <c r="Q157" s="18" t="s">
        <v>20</v>
      </c>
      <c r="R157" s="18" t="s">
        <v>20</v>
      </c>
      <c r="S157" s="18" t="s">
        <v>20</v>
      </c>
      <c r="T157" s="18" t="s">
        <v>20</v>
      </c>
      <c r="U157" s="18" t="s">
        <v>20</v>
      </c>
      <c r="V157" s="49" t="s">
        <v>20</v>
      </c>
      <c r="W157" s="37" t="s">
        <v>20</v>
      </c>
      <c r="X157" s="37" t="s">
        <v>20</v>
      </c>
      <c r="Y157" s="18" t="s">
        <v>20</v>
      </c>
      <c r="Z157" s="18" t="s">
        <v>20</v>
      </c>
      <c r="AA157" s="20" t="s">
        <v>20</v>
      </c>
      <c r="AB157" s="20" t="s">
        <v>20</v>
      </c>
      <c r="AC157" s="20" t="s">
        <v>20</v>
      </c>
      <c r="AD157" s="29" t="s">
        <v>20</v>
      </c>
      <c r="AE157" s="29" t="s">
        <v>21</v>
      </c>
      <c r="AG157">
        <f>+COUNTIF(F157:AE157,"AD")</f>
        <v>0</v>
      </c>
      <c r="AH157">
        <f>+COUNTIF(F157:AE157,"A")</f>
        <v>25</v>
      </c>
      <c r="AI157">
        <f>+COUNTIF(F157:AE157,"b")</f>
        <v>1</v>
      </c>
      <c r="AJ157">
        <f>+COUNTIF(F157:AE157,"c")</f>
        <v>0</v>
      </c>
      <c r="AL157">
        <f>+$AG$5*AG157</f>
        <v>0</v>
      </c>
      <c r="AM157">
        <f>+$AH$5*AH157</f>
        <v>75</v>
      </c>
      <c r="AN157">
        <f>+$AI$5*AI157</f>
        <v>2</v>
      </c>
      <c r="AO157">
        <f>+$AJ$5*AJ157</f>
        <v>0</v>
      </c>
      <c r="AP157">
        <f>+SUM(AL157:AO157)</f>
        <v>77</v>
      </c>
    </row>
    <row r="158" spans="1:42" ht="15.75" hidden="1" customHeight="1" x14ac:dyDescent="0.3">
      <c r="A158" s="16"/>
      <c r="B158" s="55">
        <v>25</v>
      </c>
      <c r="C158" s="56" t="s">
        <v>196</v>
      </c>
      <c r="D158" s="55">
        <v>4</v>
      </c>
      <c r="E158" s="55" t="s">
        <v>21</v>
      </c>
      <c r="F158" s="18" t="s">
        <v>20</v>
      </c>
      <c r="G158" s="18" t="s">
        <v>20</v>
      </c>
      <c r="H158" s="18" t="s">
        <v>20</v>
      </c>
      <c r="I158" s="18" t="s">
        <v>20</v>
      </c>
      <c r="J158" s="43" t="s">
        <v>20</v>
      </c>
      <c r="K158" s="43" t="s">
        <v>39</v>
      </c>
      <c r="L158" s="43" t="s">
        <v>20</v>
      </c>
      <c r="M158" s="18" t="s">
        <v>20</v>
      </c>
      <c r="N158" s="18" t="s">
        <v>20</v>
      </c>
      <c r="O158" s="18" t="s">
        <v>20</v>
      </c>
      <c r="P158" s="18" t="s">
        <v>20</v>
      </c>
      <c r="Q158" s="18" t="s">
        <v>20</v>
      </c>
      <c r="R158" s="18" t="s">
        <v>20</v>
      </c>
      <c r="S158" s="18" t="s">
        <v>20</v>
      </c>
      <c r="T158" s="17" t="s">
        <v>20</v>
      </c>
      <c r="U158" s="18" t="s">
        <v>20</v>
      </c>
      <c r="V158" s="49" t="s">
        <v>20</v>
      </c>
      <c r="W158" s="37" t="s">
        <v>20</v>
      </c>
      <c r="X158" s="37" t="s">
        <v>20</v>
      </c>
      <c r="Y158" s="18" t="s">
        <v>20</v>
      </c>
      <c r="Z158" s="18" t="s">
        <v>21</v>
      </c>
      <c r="AA158" s="20" t="s">
        <v>20</v>
      </c>
      <c r="AB158" s="20" t="s">
        <v>21</v>
      </c>
      <c r="AC158" s="20" t="s">
        <v>20</v>
      </c>
      <c r="AD158" s="29" t="s">
        <v>20</v>
      </c>
      <c r="AE158" s="29" t="s">
        <v>21</v>
      </c>
      <c r="AG158">
        <f>+COUNTIF(F158:AE158,"AD")</f>
        <v>1</v>
      </c>
      <c r="AH158">
        <f>+COUNTIF(F158:AE158,"A")</f>
        <v>22</v>
      </c>
      <c r="AI158">
        <f>+COUNTIF(F158:AE158,"b")</f>
        <v>3</v>
      </c>
      <c r="AJ158">
        <f>+COUNTIF(F158:AE158,"c")</f>
        <v>0</v>
      </c>
      <c r="AL158">
        <f>+$AG$5*AG158</f>
        <v>4</v>
      </c>
      <c r="AM158">
        <f>+$AH$5*AH158</f>
        <v>66</v>
      </c>
      <c r="AN158">
        <f>+$AI$5*AI158</f>
        <v>6</v>
      </c>
      <c r="AO158">
        <f>+$AJ$5*AJ158</f>
        <v>0</v>
      </c>
      <c r="AP158">
        <f>+SUM(AL158:AO158)</f>
        <v>76</v>
      </c>
    </row>
    <row r="159" spans="1:42" ht="15.75" hidden="1" customHeight="1" x14ac:dyDescent="0.3">
      <c r="A159" s="16"/>
      <c r="B159" s="55">
        <v>24</v>
      </c>
      <c r="C159" s="56" t="s">
        <v>195</v>
      </c>
      <c r="D159" s="55">
        <v>4</v>
      </c>
      <c r="E159" s="55" t="s">
        <v>21</v>
      </c>
      <c r="F159" s="18" t="s">
        <v>20</v>
      </c>
      <c r="G159" s="18" t="s">
        <v>20</v>
      </c>
      <c r="H159" s="18" t="s">
        <v>20</v>
      </c>
      <c r="I159" s="18" t="s">
        <v>20</v>
      </c>
      <c r="J159" s="43" t="s">
        <v>20</v>
      </c>
      <c r="K159" s="43" t="s">
        <v>20</v>
      </c>
      <c r="L159" s="43" t="s">
        <v>20</v>
      </c>
      <c r="M159" s="18" t="s">
        <v>20</v>
      </c>
      <c r="N159" s="18" t="s">
        <v>20</v>
      </c>
      <c r="O159" s="18" t="s">
        <v>20</v>
      </c>
      <c r="P159" s="18" t="s">
        <v>21</v>
      </c>
      <c r="Q159" s="18" t="s">
        <v>21</v>
      </c>
      <c r="R159" s="18" t="s">
        <v>20</v>
      </c>
      <c r="S159" s="18" t="s">
        <v>20</v>
      </c>
      <c r="T159" s="18" t="s">
        <v>20</v>
      </c>
      <c r="U159" s="18" t="s">
        <v>20</v>
      </c>
      <c r="V159" s="49" t="s">
        <v>20</v>
      </c>
      <c r="W159" s="37" t="s">
        <v>20</v>
      </c>
      <c r="X159" s="37" t="s">
        <v>20</v>
      </c>
      <c r="Y159" s="18" t="s">
        <v>20</v>
      </c>
      <c r="Z159" s="18" t="s">
        <v>20</v>
      </c>
      <c r="AA159" s="20" t="s">
        <v>20</v>
      </c>
      <c r="AB159" s="20" t="s">
        <v>20</v>
      </c>
      <c r="AC159" s="20" t="s">
        <v>20</v>
      </c>
      <c r="AD159" s="29" t="s">
        <v>20</v>
      </c>
      <c r="AE159" s="29" t="s">
        <v>21</v>
      </c>
      <c r="AG159">
        <f>+COUNTIF(F159:AE159,"AD")</f>
        <v>0</v>
      </c>
      <c r="AH159">
        <f>+COUNTIF(F159:AE159,"A")</f>
        <v>23</v>
      </c>
      <c r="AI159">
        <f>+COUNTIF(F159:AE159,"b")</f>
        <v>3</v>
      </c>
      <c r="AJ159">
        <f>+COUNTIF(F159:AE159,"c")</f>
        <v>0</v>
      </c>
      <c r="AL159">
        <f>+$AG$5*AG159</f>
        <v>0</v>
      </c>
      <c r="AM159">
        <f>+$AH$5*AH159</f>
        <v>69</v>
      </c>
      <c r="AN159">
        <f>+$AI$5*AI159</f>
        <v>6</v>
      </c>
      <c r="AO159">
        <f>+$AJ$5*AJ159</f>
        <v>0</v>
      </c>
      <c r="AP159">
        <f>+SUM(AL159:AO159)</f>
        <v>75</v>
      </c>
    </row>
    <row r="160" spans="1:42" ht="15.75" hidden="1" customHeight="1" x14ac:dyDescent="0.3">
      <c r="A160" s="16"/>
      <c r="B160" s="55">
        <v>23</v>
      </c>
      <c r="C160" s="56" t="s">
        <v>194</v>
      </c>
      <c r="D160" s="55">
        <v>4</v>
      </c>
      <c r="E160" s="55" t="s">
        <v>21</v>
      </c>
      <c r="F160" s="18" t="s">
        <v>20</v>
      </c>
      <c r="G160" s="18" t="s">
        <v>20</v>
      </c>
      <c r="H160" s="18" t="s">
        <v>20</v>
      </c>
      <c r="I160" s="18" t="s">
        <v>20</v>
      </c>
      <c r="J160" s="43" t="s">
        <v>20</v>
      </c>
      <c r="K160" s="43" t="s">
        <v>20</v>
      </c>
      <c r="L160" s="43" t="s">
        <v>21</v>
      </c>
      <c r="M160" s="18" t="s">
        <v>20</v>
      </c>
      <c r="N160" s="18" t="s">
        <v>21</v>
      </c>
      <c r="O160" s="18" t="s">
        <v>20</v>
      </c>
      <c r="P160" s="18" t="s">
        <v>20</v>
      </c>
      <c r="Q160" s="18" t="s">
        <v>20</v>
      </c>
      <c r="R160" s="18" t="s">
        <v>20</v>
      </c>
      <c r="S160" s="18" t="s">
        <v>20</v>
      </c>
      <c r="T160" s="18" t="s">
        <v>20</v>
      </c>
      <c r="U160" s="18" t="s">
        <v>20</v>
      </c>
      <c r="V160" s="49" t="s">
        <v>20</v>
      </c>
      <c r="W160" s="37" t="s">
        <v>20</v>
      </c>
      <c r="X160" s="37" t="s">
        <v>20</v>
      </c>
      <c r="Y160" s="18" t="s">
        <v>20</v>
      </c>
      <c r="Z160" s="18" t="s">
        <v>20</v>
      </c>
      <c r="AA160" s="20" t="s">
        <v>21</v>
      </c>
      <c r="AB160" s="20" t="s">
        <v>21</v>
      </c>
      <c r="AC160" s="20" t="s">
        <v>20</v>
      </c>
      <c r="AD160" s="29" t="s">
        <v>20</v>
      </c>
      <c r="AE160" s="29" t="s">
        <v>21</v>
      </c>
      <c r="AG160">
        <f>+COUNTIF(F160:AE160,"AD")</f>
        <v>0</v>
      </c>
      <c r="AH160">
        <f>+COUNTIF(F160:AE160,"A")</f>
        <v>21</v>
      </c>
      <c r="AI160">
        <f>+COUNTIF(F160:AE160,"b")</f>
        <v>5</v>
      </c>
      <c r="AJ160">
        <f>+COUNTIF(F160:AE160,"c")</f>
        <v>0</v>
      </c>
      <c r="AL160">
        <f>+$AG$5*AG160</f>
        <v>0</v>
      </c>
      <c r="AM160">
        <f>+$AH$5*AH160</f>
        <v>63</v>
      </c>
      <c r="AN160">
        <f>+$AI$5*AI160</f>
        <v>10</v>
      </c>
      <c r="AO160">
        <f>+$AJ$5*AJ160</f>
        <v>0</v>
      </c>
      <c r="AP160">
        <f>+SUM(AL160:AO160)</f>
        <v>73</v>
      </c>
    </row>
    <row r="161" spans="1:42" ht="15.75" hidden="1" customHeight="1" x14ac:dyDescent="0.3">
      <c r="A161" s="16"/>
      <c r="B161" s="55">
        <v>22</v>
      </c>
      <c r="C161" s="56" t="s">
        <v>193</v>
      </c>
      <c r="D161" s="55">
        <v>4</v>
      </c>
      <c r="E161" s="55" t="s">
        <v>21</v>
      </c>
      <c r="F161" s="18" t="s">
        <v>20</v>
      </c>
      <c r="G161" s="18" t="s">
        <v>39</v>
      </c>
      <c r="H161" s="18" t="s">
        <v>39</v>
      </c>
      <c r="I161" s="18" t="s">
        <v>39</v>
      </c>
      <c r="J161" s="43" t="s">
        <v>20</v>
      </c>
      <c r="K161" s="43" t="s">
        <v>20</v>
      </c>
      <c r="L161" s="43" t="s">
        <v>20</v>
      </c>
      <c r="M161" s="18" t="s">
        <v>20</v>
      </c>
      <c r="N161" s="18" t="s">
        <v>20</v>
      </c>
      <c r="O161" s="18" t="s">
        <v>20</v>
      </c>
      <c r="P161" s="18" t="s">
        <v>20</v>
      </c>
      <c r="Q161" s="18" t="s">
        <v>21</v>
      </c>
      <c r="R161" s="18" t="s">
        <v>21</v>
      </c>
      <c r="S161" s="18" t="s">
        <v>20</v>
      </c>
      <c r="T161" s="18" t="s">
        <v>20</v>
      </c>
      <c r="U161" s="18" t="s">
        <v>20</v>
      </c>
      <c r="V161" s="49" t="s">
        <v>20</v>
      </c>
      <c r="W161" s="37" t="s">
        <v>20</v>
      </c>
      <c r="X161" s="37" t="s">
        <v>20</v>
      </c>
      <c r="Y161" s="18" t="s">
        <v>20</v>
      </c>
      <c r="Z161" s="18" t="s">
        <v>20</v>
      </c>
      <c r="AA161" s="20" t="s">
        <v>20</v>
      </c>
      <c r="AB161" s="20" t="s">
        <v>21</v>
      </c>
      <c r="AC161" s="20" t="s">
        <v>20</v>
      </c>
      <c r="AD161" s="29" t="s">
        <v>55</v>
      </c>
      <c r="AE161" s="29" t="s">
        <v>55</v>
      </c>
      <c r="AG161">
        <f>+COUNTIF(F161:AE161,"AD")</f>
        <v>3</v>
      </c>
      <c r="AH161">
        <f>+COUNTIF(F161:AE161,"A")</f>
        <v>18</v>
      </c>
      <c r="AI161">
        <f>+COUNTIF(F161:AE161,"b")</f>
        <v>3</v>
      </c>
      <c r="AJ161">
        <f>+COUNTIF(F161:AE161,"c")</f>
        <v>0</v>
      </c>
      <c r="AL161">
        <f>+$AG$5*AG161</f>
        <v>12</v>
      </c>
      <c r="AM161">
        <f>+$AH$5*AH161</f>
        <v>54</v>
      </c>
      <c r="AN161">
        <f>+$AI$5*AI161</f>
        <v>6</v>
      </c>
      <c r="AO161">
        <f>+$AJ$5*AJ161</f>
        <v>0</v>
      </c>
      <c r="AP161">
        <f>+SUM(AL161:AO161)</f>
        <v>72</v>
      </c>
    </row>
    <row r="162" spans="1:42" ht="15.75" hidden="1" customHeight="1" x14ac:dyDescent="0.3">
      <c r="A162" s="16"/>
      <c r="B162" s="55">
        <v>6</v>
      </c>
      <c r="C162" s="56" t="s">
        <v>177</v>
      </c>
      <c r="D162" s="55">
        <v>4</v>
      </c>
      <c r="E162" s="55" t="s">
        <v>21</v>
      </c>
      <c r="F162" s="18" t="s">
        <v>20</v>
      </c>
      <c r="G162" s="18" t="s">
        <v>20</v>
      </c>
      <c r="H162" s="18" t="s">
        <v>20</v>
      </c>
      <c r="I162" s="18" t="s">
        <v>20</v>
      </c>
      <c r="J162" s="43" t="s">
        <v>20</v>
      </c>
      <c r="K162" s="43" t="s">
        <v>20</v>
      </c>
      <c r="L162" s="43" t="s">
        <v>20</v>
      </c>
      <c r="M162" s="18" t="s">
        <v>20</v>
      </c>
      <c r="N162" s="18" t="s">
        <v>20</v>
      </c>
      <c r="O162" s="18" t="s">
        <v>21</v>
      </c>
      <c r="P162" s="18" t="s">
        <v>21</v>
      </c>
      <c r="Q162" s="18" t="s">
        <v>21</v>
      </c>
      <c r="R162" s="18" t="s">
        <v>21</v>
      </c>
      <c r="S162" s="18" t="s">
        <v>20</v>
      </c>
      <c r="T162" s="18" t="s">
        <v>20</v>
      </c>
      <c r="U162" s="18" t="s">
        <v>21</v>
      </c>
      <c r="V162" s="37" t="s">
        <v>20</v>
      </c>
      <c r="W162" s="37" t="s">
        <v>20</v>
      </c>
      <c r="X162" s="37" t="s">
        <v>20</v>
      </c>
      <c r="Y162" s="18" t="s">
        <v>20</v>
      </c>
      <c r="Z162" s="18" t="s">
        <v>20</v>
      </c>
      <c r="AA162" s="20" t="s">
        <v>21</v>
      </c>
      <c r="AB162" s="20" t="s">
        <v>20</v>
      </c>
      <c r="AC162" s="20" t="s">
        <v>20</v>
      </c>
      <c r="AD162" s="18" t="s">
        <v>20</v>
      </c>
      <c r="AE162" s="18" t="s">
        <v>21</v>
      </c>
      <c r="AG162">
        <f>+COUNTIF(F162:AE162,"AD")</f>
        <v>0</v>
      </c>
      <c r="AH162">
        <f>+COUNTIF(F162:AE162,"A")</f>
        <v>19</v>
      </c>
      <c r="AI162">
        <f>+COUNTIF(F162:AE162,"b")</f>
        <v>7</v>
      </c>
      <c r="AJ162">
        <f>+COUNTIF(F162:AE162,"c")</f>
        <v>0</v>
      </c>
      <c r="AL162">
        <f>+$AG$5*AG162</f>
        <v>0</v>
      </c>
      <c r="AM162">
        <f>+$AH$5*AH162</f>
        <v>57</v>
      </c>
      <c r="AN162">
        <f>+$AI$5*AI162</f>
        <v>14</v>
      </c>
      <c r="AO162">
        <f>+$AJ$5*AJ162</f>
        <v>0</v>
      </c>
      <c r="AP162">
        <f>+SUM(AL162:AO162)</f>
        <v>71</v>
      </c>
    </row>
    <row r="163" spans="1:42" ht="15.75" hidden="1" customHeight="1" x14ac:dyDescent="0.3">
      <c r="A163" s="16"/>
      <c r="B163" s="55">
        <v>8</v>
      </c>
      <c r="C163" s="56" t="s">
        <v>179</v>
      </c>
      <c r="D163" s="55">
        <v>4</v>
      </c>
      <c r="E163" s="55" t="s">
        <v>21</v>
      </c>
      <c r="F163" s="18" t="s">
        <v>20</v>
      </c>
      <c r="G163" s="18" t="s">
        <v>20</v>
      </c>
      <c r="H163" s="18" t="s">
        <v>20</v>
      </c>
      <c r="I163" s="18" t="s">
        <v>20</v>
      </c>
      <c r="J163" s="43" t="s">
        <v>20</v>
      </c>
      <c r="K163" s="43" t="s">
        <v>20</v>
      </c>
      <c r="L163" s="43" t="s">
        <v>20</v>
      </c>
      <c r="M163" s="18" t="s">
        <v>21</v>
      </c>
      <c r="N163" s="18" t="s">
        <v>20</v>
      </c>
      <c r="O163" s="18" t="s">
        <v>20</v>
      </c>
      <c r="P163" s="18" t="s">
        <v>21</v>
      </c>
      <c r="Q163" s="18" t="s">
        <v>21</v>
      </c>
      <c r="R163" s="18" t="s">
        <v>21</v>
      </c>
      <c r="S163" s="18" t="s">
        <v>21</v>
      </c>
      <c r="T163" s="18" t="s">
        <v>20</v>
      </c>
      <c r="U163" s="18" t="s">
        <v>20</v>
      </c>
      <c r="V163" s="37" t="s">
        <v>20</v>
      </c>
      <c r="W163" s="37" t="s">
        <v>20</v>
      </c>
      <c r="X163" s="37" t="s">
        <v>20</v>
      </c>
      <c r="Y163" s="18" t="s">
        <v>20</v>
      </c>
      <c r="Z163" s="18" t="s">
        <v>21</v>
      </c>
      <c r="AA163" s="20" t="s">
        <v>20</v>
      </c>
      <c r="AB163" s="20" t="s">
        <v>20</v>
      </c>
      <c r="AC163" s="20" t="s">
        <v>21</v>
      </c>
      <c r="AD163" s="18" t="s">
        <v>20</v>
      </c>
      <c r="AE163" s="18" t="s">
        <v>21</v>
      </c>
      <c r="AG163">
        <f>+COUNTIF(F163:AE163,"AD")</f>
        <v>0</v>
      </c>
      <c r="AH163">
        <f>+COUNTIF(F163:AE163,"A")</f>
        <v>18</v>
      </c>
      <c r="AI163">
        <f>+COUNTIF(F163:AE163,"b")</f>
        <v>8</v>
      </c>
      <c r="AJ163">
        <f>+COUNTIF(F163:AE163,"c")</f>
        <v>0</v>
      </c>
      <c r="AL163">
        <f>+$AG$5*AG163</f>
        <v>0</v>
      </c>
      <c r="AM163">
        <f>+$AH$5*AH163</f>
        <v>54</v>
      </c>
      <c r="AN163">
        <f>+$AI$5*AI163</f>
        <v>16</v>
      </c>
      <c r="AO163">
        <f>+$AJ$5*AJ163</f>
        <v>0</v>
      </c>
      <c r="AP163">
        <f>+SUM(AL163:AO163)</f>
        <v>70</v>
      </c>
    </row>
    <row r="164" spans="1:42" ht="15.75" hidden="1" customHeight="1" x14ac:dyDescent="0.3">
      <c r="A164" s="16"/>
      <c r="B164" s="55">
        <v>4</v>
      </c>
      <c r="C164" s="56" t="s">
        <v>175</v>
      </c>
      <c r="D164" s="55">
        <v>4</v>
      </c>
      <c r="E164" s="55" t="s">
        <v>21</v>
      </c>
      <c r="F164" s="18" t="s">
        <v>20</v>
      </c>
      <c r="G164" s="18" t="s">
        <v>20</v>
      </c>
      <c r="H164" s="18" t="s">
        <v>20</v>
      </c>
      <c r="I164" s="18" t="s">
        <v>20</v>
      </c>
      <c r="J164" s="43" t="s">
        <v>20</v>
      </c>
      <c r="K164" s="43" t="s">
        <v>20</v>
      </c>
      <c r="L164" s="43" t="s">
        <v>21</v>
      </c>
      <c r="M164" s="18" t="s">
        <v>20</v>
      </c>
      <c r="N164" s="18" t="s">
        <v>20</v>
      </c>
      <c r="O164" s="18" t="s">
        <v>20</v>
      </c>
      <c r="P164" s="18" t="s">
        <v>21</v>
      </c>
      <c r="Q164" s="18" t="s">
        <v>21</v>
      </c>
      <c r="R164" s="18" t="s">
        <v>21</v>
      </c>
      <c r="S164" s="18" t="s">
        <v>21</v>
      </c>
      <c r="T164" s="18" t="s">
        <v>21</v>
      </c>
      <c r="U164" s="18" t="s">
        <v>21</v>
      </c>
      <c r="V164" s="37" t="s">
        <v>20</v>
      </c>
      <c r="W164" s="37" t="s">
        <v>20</v>
      </c>
      <c r="X164" s="37" t="s">
        <v>20</v>
      </c>
      <c r="Y164" s="18" t="s">
        <v>20</v>
      </c>
      <c r="Z164" s="18" t="s">
        <v>20</v>
      </c>
      <c r="AA164" s="20" t="s">
        <v>20</v>
      </c>
      <c r="AB164" s="20" t="s">
        <v>21</v>
      </c>
      <c r="AC164" s="20" t="s">
        <v>21</v>
      </c>
      <c r="AD164" s="18" t="s">
        <v>21</v>
      </c>
      <c r="AE164" s="18" t="s">
        <v>21</v>
      </c>
      <c r="AG164">
        <f>+COUNTIF(F164:AE164,"AD")</f>
        <v>0</v>
      </c>
      <c r="AH164">
        <f>+COUNTIF(F164:AE164,"A")</f>
        <v>15</v>
      </c>
      <c r="AI164">
        <f>+COUNTIF(F164:AE164,"b")</f>
        <v>11</v>
      </c>
      <c r="AJ164">
        <f>+COUNTIF(F164:AE164,"c")</f>
        <v>0</v>
      </c>
      <c r="AL164">
        <f>+$AG$5*AG164</f>
        <v>0</v>
      </c>
      <c r="AM164">
        <f>+$AH$5*AH164</f>
        <v>45</v>
      </c>
      <c r="AN164">
        <f>+$AI$5*AI164</f>
        <v>22</v>
      </c>
      <c r="AO164">
        <f>+$AJ$5*AJ164</f>
        <v>0</v>
      </c>
      <c r="AP164">
        <f>+SUM(AL164:AO164)</f>
        <v>67</v>
      </c>
    </row>
    <row r="165" spans="1:42" ht="15.75" hidden="1" customHeight="1" x14ac:dyDescent="0.3">
      <c r="A165" s="16"/>
      <c r="B165" s="55">
        <v>12</v>
      </c>
      <c r="C165" s="56" t="s">
        <v>183</v>
      </c>
      <c r="D165" s="55">
        <v>4</v>
      </c>
      <c r="E165" s="55" t="s">
        <v>21</v>
      </c>
      <c r="F165" s="18" t="s">
        <v>21</v>
      </c>
      <c r="G165" s="18" t="s">
        <v>21</v>
      </c>
      <c r="H165" s="18" t="s">
        <v>21</v>
      </c>
      <c r="I165" s="18" t="s">
        <v>21</v>
      </c>
      <c r="J165" s="43" t="s">
        <v>20</v>
      </c>
      <c r="K165" s="43" t="s">
        <v>20</v>
      </c>
      <c r="L165" s="43" t="s">
        <v>21</v>
      </c>
      <c r="M165" s="18" t="s">
        <v>20</v>
      </c>
      <c r="N165" s="18" t="s">
        <v>20</v>
      </c>
      <c r="O165" s="18" t="s">
        <v>20</v>
      </c>
      <c r="P165" s="18" t="s">
        <v>21</v>
      </c>
      <c r="Q165" s="18" t="s">
        <v>21</v>
      </c>
      <c r="R165" s="18" t="s">
        <v>21</v>
      </c>
      <c r="S165" s="18" t="s">
        <v>20</v>
      </c>
      <c r="T165" s="18" t="s">
        <v>20</v>
      </c>
      <c r="U165" s="18" t="s">
        <v>20</v>
      </c>
      <c r="V165" s="49" t="s">
        <v>20</v>
      </c>
      <c r="W165" s="37" t="s">
        <v>20</v>
      </c>
      <c r="X165" s="37" t="s">
        <v>20</v>
      </c>
      <c r="Y165" s="18" t="s">
        <v>20</v>
      </c>
      <c r="Z165" s="18" t="s">
        <v>21</v>
      </c>
      <c r="AA165" s="20" t="s">
        <v>21</v>
      </c>
      <c r="AB165" s="20" t="s">
        <v>20</v>
      </c>
      <c r="AC165" s="20" t="s">
        <v>20</v>
      </c>
      <c r="AD165" s="29" t="s">
        <v>20</v>
      </c>
      <c r="AE165" s="29" t="s">
        <v>21</v>
      </c>
      <c r="AG165">
        <f>+COUNTIF(F165:AE165,"AD")</f>
        <v>0</v>
      </c>
      <c r="AH165">
        <f>+COUNTIF(F165:AE165,"A")</f>
        <v>15</v>
      </c>
      <c r="AI165">
        <f>+COUNTIF(F165:AE165,"b")</f>
        <v>11</v>
      </c>
      <c r="AJ165">
        <f>+COUNTIF(F165:AE165,"c")</f>
        <v>0</v>
      </c>
      <c r="AL165">
        <f>+$AG$5*AG165</f>
        <v>0</v>
      </c>
      <c r="AM165">
        <f>+$AH$5*AH165</f>
        <v>45</v>
      </c>
      <c r="AN165">
        <f>+$AI$5*AI165</f>
        <v>22</v>
      </c>
      <c r="AO165">
        <f>+$AJ$5*AJ165</f>
        <v>0</v>
      </c>
      <c r="AP165">
        <f>+SUM(AL165:AO165)</f>
        <v>67</v>
      </c>
    </row>
    <row r="166" spans="1:42" ht="15.75" hidden="1" customHeight="1" x14ac:dyDescent="0.3">
      <c r="A166" s="16"/>
      <c r="B166" s="55">
        <v>9</v>
      </c>
      <c r="C166" s="56" t="s">
        <v>180</v>
      </c>
      <c r="D166" s="55">
        <v>4</v>
      </c>
      <c r="E166" s="55" t="s">
        <v>21</v>
      </c>
      <c r="F166" s="18" t="s">
        <v>21</v>
      </c>
      <c r="G166" s="18" t="s">
        <v>21</v>
      </c>
      <c r="H166" s="18" t="s">
        <v>21</v>
      </c>
      <c r="I166" s="18" t="s">
        <v>21</v>
      </c>
      <c r="J166" s="43" t="s">
        <v>20</v>
      </c>
      <c r="K166" s="43" t="s">
        <v>20</v>
      </c>
      <c r="L166" s="43" t="s">
        <v>20</v>
      </c>
      <c r="M166" s="18" t="s">
        <v>20</v>
      </c>
      <c r="N166" s="18" t="s">
        <v>20</v>
      </c>
      <c r="O166" s="18" t="s">
        <v>20</v>
      </c>
      <c r="P166" s="18" t="s">
        <v>21</v>
      </c>
      <c r="Q166" s="18" t="s">
        <v>21</v>
      </c>
      <c r="R166" s="18" t="s">
        <v>21</v>
      </c>
      <c r="S166" s="18" t="s">
        <v>20</v>
      </c>
      <c r="T166" s="18" t="s">
        <v>20</v>
      </c>
      <c r="U166" s="18" t="s">
        <v>21</v>
      </c>
      <c r="V166" s="37" t="s">
        <v>20</v>
      </c>
      <c r="W166" s="37" t="s">
        <v>20</v>
      </c>
      <c r="X166" s="37" t="s">
        <v>20</v>
      </c>
      <c r="Y166" s="18" t="s">
        <v>20</v>
      </c>
      <c r="Z166" s="18" t="s">
        <v>21</v>
      </c>
      <c r="AA166" s="20" t="s">
        <v>21</v>
      </c>
      <c r="AB166" s="20" t="s">
        <v>21</v>
      </c>
      <c r="AC166" s="20" t="s">
        <v>20</v>
      </c>
      <c r="AD166" s="18" t="s">
        <v>20</v>
      </c>
      <c r="AE166" s="18" t="s">
        <v>21</v>
      </c>
      <c r="AG166">
        <f>+COUNTIF(F166:AE166,"AD")</f>
        <v>0</v>
      </c>
      <c r="AH166">
        <f>+COUNTIF(F166:AE166,"A")</f>
        <v>14</v>
      </c>
      <c r="AI166">
        <f>+COUNTIF(F166:AE166,"b")</f>
        <v>12</v>
      </c>
      <c r="AJ166">
        <f>+COUNTIF(F166:AE166,"c")</f>
        <v>0</v>
      </c>
      <c r="AL166">
        <f>+$AG$5*AG166</f>
        <v>0</v>
      </c>
      <c r="AM166">
        <f>+$AH$5*AH166</f>
        <v>42</v>
      </c>
      <c r="AN166">
        <f>+$AI$5*AI166</f>
        <v>24</v>
      </c>
      <c r="AO166">
        <f>+$AJ$5*AJ166</f>
        <v>0</v>
      </c>
      <c r="AP166">
        <f>+SUM(AL166:AO166)</f>
        <v>66</v>
      </c>
    </row>
    <row r="167" spans="1:42" ht="15.75" hidden="1" customHeight="1" x14ac:dyDescent="0.3">
      <c r="A167" s="16"/>
      <c r="B167" s="55">
        <v>7</v>
      </c>
      <c r="C167" s="56" t="s">
        <v>178</v>
      </c>
      <c r="D167" s="55">
        <v>4</v>
      </c>
      <c r="E167" s="55" t="s">
        <v>21</v>
      </c>
      <c r="F167" s="18" t="s">
        <v>21</v>
      </c>
      <c r="G167" s="18" t="s">
        <v>20</v>
      </c>
      <c r="H167" s="18" t="s">
        <v>20</v>
      </c>
      <c r="I167" s="18" t="s">
        <v>21</v>
      </c>
      <c r="J167" s="43" t="s">
        <v>20</v>
      </c>
      <c r="K167" s="43" t="s">
        <v>21</v>
      </c>
      <c r="L167" s="43" t="s">
        <v>21</v>
      </c>
      <c r="M167" s="18" t="s">
        <v>20</v>
      </c>
      <c r="N167" s="18" t="s">
        <v>20</v>
      </c>
      <c r="O167" s="18" t="s">
        <v>20</v>
      </c>
      <c r="P167" s="18" t="s">
        <v>21</v>
      </c>
      <c r="Q167" s="18" t="s">
        <v>21</v>
      </c>
      <c r="R167" s="18" t="s">
        <v>21</v>
      </c>
      <c r="S167" s="18" t="s">
        <v>20</v>
      </c>
      <c r="T167" s="18" t="s">
        <v>20</v>
      </c>
      <c r="U167" s="18" t="s">
        <v>21</v>
      </c>
      <c r="V167" s="37" t="s">
        <v>20</v>
      </c>
      <c r="W167" s="37" t="s">
        <v>20</v>
      </c>
      <c r="X167" s="37" t="s">
        <v>20</v>
      </c>
      <c r="Y167" s="18" t="s">
        <v>20</v>
      </c>
      <c r="Z167" s="18" t="s">
        <v>21</v>
      </c>
      <c r="AA167" s="20" t="s">
        <v>21</v>
      </c>
      <c r="AB167" s="20" t="s">
        <v>21</v>
      </c>
      <c r="AC167" s="20" t="s">
        <v>21</v>
      </c>
      <c r="AD167" s="18" t="s">
        <v>21</v>
      </c>
      <c r="AE167" s="18" t="s">
        <v>21</v>
      </c>
      <c r="AG167">
        <f>+COUNTIF(F167:AE167,"AD")</f>
        <v>0</v>
      </c>
      <c r="AH167">
        <f>+COUNTIF(F167:AE167,"A")</f>
        <v>12</v>
      </c>
      <c r="AI167">
        <f>+COUNTIF(F167:AE167,"b")</f>
        <v>14</v>
      </c>
      <c r="AJ167">
        <f>+COUNTIF(F167:AE167,"c")</f>
        <v>0</v>
      </c>
      <c r="AL167">
        <f>+$AG$5*AG167</f>
        <v>0</v>
      </c>
      <c r="AM167">
        <f>+$AH$5*AH167</f>
        <v>36</v>
      </c>
      <c r="AN167">
        <f>+$AI$5*AI167</f>
        <v>28</v>
      </c>
      <c r="AO167">
        <f>+$AJ$5*AJ167</f>
        <v>0</v>
      </c>
      <c r="AP167">
        <f>+SUM(AL167:AO167)</f>
        <v>64</v>
      </c>
    </row>
    <row r="168" spans="1:42" ht="15.75" hidden="1" customHeight="1" x14ac:dyDescent="0.3">
      <c r="A168" s="16"/>
      <c r="B168" s="55">
        <v>17</v>
      </c>
      <c r="C168" s="56" t="s">
        <v>188</v>
      </c>
      <c r="D168" s="55">
        <v>4</v>
      </c>
      <c r="E168" s="55" t="s">
        <v>21</v>
      </c>
      <c r="F168" s="18" t="s">
        <v>21</v>
      </c>
      <c r="G168" s="18" t="s">
        <v>21</v>
      </c>
      <c r="H168" s="18" t="s">
        <v>21</v>
      </c>
      <c r="I168" s="18" t="s">
        <v>21</v>
      </c>
      <c r="J168" s="43" t="s">
        <v>20</v>
      </c>
      <c r="K168" s="43" t="s">
        <v>20</v>
      </c>
      <c r="L168" s="43" t="s">
        <v>21</v>
      </c>
      <c r="M168" s="18" t="s">
        <v>21</v>
      </c>
      <c r="N168" s="18" t="s">
        <v>20</v>
      </c>
      <c r="O168" s="18" t="s">
        <v>21</v>
      </c>
      <c r="P168" s="18" t="s">
        <v>21</v>
      </c>
      <c r="Q168" s="18" t="s">
        <v>21</v>
      </c>
      <c r="R168" s="18" t="s">
        <v>21</v>
      </c>
      <c r="S168" s="18" t="s">
        <v>23</v>
      </c>
      <c r="T168" s="18" t="s">
        <v>21</v>
      </c>
      <c r="U168" s="18" t="s">
        <v>20</v>
      </c>
      <c r="V168" s="49" t="s">
        <v>20</v>
      </c>
      <c r="W168" s="37" t="s">
        <v>20</v>
      </c>
      <c r="X168" s="37" t="s">
        <v>20</v>
      </c>
      <c r="Y168" s="18" t="s">
        <v>20</v>
      </c>
      <c r="Z168" s="18" t="s">
        <v>20</v>
      </c>
      <c r="AA168" s="20" t="s">
        <v>20</v>
      </c>
      <c r="AB168" s="20" t="s">
        <v>20</v>
      </c>
      <c r="AC168" s="20" t="s">
        <v>20</v>
      </c>
      <c r="AD168" s="29" t="s">
        <v>21</v>
      </c>
      <c r="AE168" s="29" t="s">
        <v>21</v>
      </c>
      <c r="AG168">
        <f>+COUNTIF(F168:AE168,"AD")</f>
        <v>0</v>
      </c>
      <c r="AH168">
        <f>+COUNTIF(F168:AE168,"A")</f>
        <v>12</v>
      </c>
      <c r="AI168">
        <f>+COUNTIF(F168:AE168,"b")</f>
        <v>13</v>
      </c>
      <c r="AJ168">
        <f>+COUNTIF(F168:AE168,"c")</f>
        <v>1</v>
      </c>
      <c r="AL168">
        <f>+$AG$5*AG168</f>
        <v>0</v>
      </c>
      <c r="AM168">
        <f>+$AH$5*AH168</f>
        <v>36</v>
      </c>
      <c r="AN168">
        <f>+$AI$5*AI168</f>
        <v>26</v>
      </c>
      <c r="AO168">
        <f>+$AJ$5*AJ168</f>
        <v>1</v>
      </c>
      <c r="AP168">
        <f>+SUM(AL168:AO168)</f>
        <v>63</v>
      </c>
    </row>
    <row r="169" spans="1:42" ht="15.75" hidden="1" customHeight="1" x14ac:dyDescent="0.3">
      <c r="A169" s="16"/>
      <c r="B169" s="55">
        <v>2</v>
      </c>
      <c r="C169" s="56" t="s">
        <v>173</v>
      </c>
      <c r="D169" s="55">
        <v>4</v>
      </c>
      <c r="E169" s="55" t="s">
        <v>21</v>
      </c>
      <c r="F169" s="18" t="s">
        <v>21</v>
      </c>
      <c r="G169" s="18" t="s">
        <v>21</v>
      </c>
      <c r="H169" s="18" t="s">
        <v>21</v>
      </c>
      <c r="I169" s="18" t="s">
        <v>21</v>
      </c>
      <c r="J169" s="43" t="s">
        <v>21</v>
      </c>
      <c r="K169" s="43" t="s">
        <v>21</v>
      </c>
      <c r="L169" s="43" t="s">
        <v>21</v>
      </c>
      <c r="M169" s="18" t="s">
        <v>21</v>
      </c>
      <c r="N169" s="18" t="s">
        <v>20</v>
      </c>
      <c r="O169" s="18" t="s">
        <v>20</v>
      </c>
      <c r="P169" s="18" t="s">
        <v>21</v>
      </c>
      <c r="Q169" s="18" t="s">
        <v>21</v>
      </c>
      <c r="R169" s="18" t="s">
        <v>21</v>
      </c>
      <c r="S169" s="18" t="s">
        <v>20</v>
      </c>
      <c r="T169" s="18" t="s">
        <v>21</v>
      </c>
      <c r="U169" s="18" t="s">
        <v>21</v>
      </c>
      <c r="V169" s="37" t="s">
        <v>21</v>
      </c>
      <c r="W169" s="37" t="s">
        <v>20</v>
      </c>
      <c r="X169" s="37" t="s">
        <v>21</v>
      </c>
      <c r="Y169" s="18" t="s">
        <v>20</v>
      </c>
      <c r="Z169" s="18" t="s">
        <v>20</v>
      </c>
      <c r="AA169" s="20" t="s">
        <v>20</v>
      </c>
      <c r="AB169" s="20" t="s">
        <v>20</v>
      </c>
      <c r="AC169" s="20" t="s">
        <v>20</v>
      </c>
      <c r="AD169" s="18" t="s">
        <v>20</v>
      </c>
      <c r="AE169" s="18" t="s">
        <v>21</v>
      </c>
      <c r="AG169">
        <f>+COUNTIF(F169:AE169,"AD")</f>
        <v>0</v>
      </c>
      <c r="AH169">
        <f>+COUNTIF(F169:AE169,"A")</f>
        <v>10</v>
      </c>
      <c r="AI169">
        <f>+COUNTIF(F169:AE169,"b")</f>
        <v>16</v>
      </c>
      <c r="AJ169">
        <f>+COUNTIF(F169:AE169,"c")</f>
        <v>0</v>
      </c>
      <c r="AL169">
        <f>+$AG$5*AG169</f>
        <v>0</v>
      </c>
      <c r="AM169">
        <f>+$AH$5*AH169</f>
        <v>30</v>
      </c>
      <c r="AN169">
        <f>+$AI$5*AI169</f>
        <v>32</v>
      </c>
      <c r="AO169">
        <f>+$AJ$5*AJ169</f>
        <v>0</v>
      </c>
      <c r="AP169">
        <f>+SUM(AL169:AO169)</f>
        <v>62</v>
      </c>
    </row>
    <row r="170" spans="1:42" ht="15.75" hidden="1" customHeight="1" x14ac:dyDescent="0.3">
      <c r="A170" s="16"/>
      <c r="B170" s="55">
        <v>14</v>
      </c>
      <c r="C170" s="56" t="s">
        <v>185</v>
      </c>
      <c r="D170" s="55">
        <v>4</v>
      </c>
      <c r="E170" s="55" t="s">
        <v>21</v>
      </c>
      <c r="F170" s="18" t="s">
        <v>21</v>
      </c>
      <c r="G170" s="18" t="s">
        <v>21</v>
      </c>
      <c r="H170" s="18" t="s">
        <v>21</v>
      </c>
      <c r="I170" s="18" t="s">
        <v>21</v>
      </c>
      <c r="J170" s="43" t="s">
        <v>20</v>
      </c>
      <c r="K170" s="43" t="s">
        <v>21</v>
      </c>
      <c r="L170" s="43" t="s">
        <v>21</v>
      </c>
      <c r="M170" s="18" t="s">
        <v>21</v>
      </c>
      <c r="N170" s="18" t="s">
        <v>21</v>
      </c>
      <c r="O170" s="18" t="s">
        <v>20</v>
      </c>
      <c r="P170" s="18" t="s">
        <v>21</v>
      </c>
      <c r="Q170" s="18" t="s">
        <v>21</v>
      </c>
      <c r="R170" s="18" t="s">
        <v>21</v>
      </c>
      <c r="S170" s="18" t="s">
        <v>20</v>
      </c>
      <c r="T170" s="18" t="s">
        <v>20</v>
      </c>
      <c r="U170" s="18" t="s">
        <v>21</v>
      </c>
      <c r="V170" s="49" t="s">
        <v>20</v>
      </c>
      <c r="W170" s="37" t="s">
        <v>20</v>
      </c>
      <c r="X170" s="37" t="s">
        <v>20</v>
      </c>
      <c r="Y170" s="18" t="s">
        <v>21</v>
      </c>
      <c r="Z170" s="18" t="s">
        <v>21</v>
      </c>
      <c r="AA170" s="20" t="s">
        <v>20</v>
      </c>
      <c r="AB170" s="20" t="s">
        <v>21</v>
      </c>
      <c r="AC170" s="20" t="s">
        <v>20</v>
      </c>
      <c r="AD170" s="29" t="s">
        <v>21</v>
      </c>
      <c r="AE170" s="29" t="s">
        <v>21</v>
      </c>
      <c r="AG170">
        <f>+COUNTIF(F170:AE170,"AD")</f>
        <v>0</v>
      </c>
      <c r="AH170">
        <f>+COUNTIF(F170:AE170,"A")</f>
        <v>9</v>
      </c>
      <c r="AI170">
        <f>+COUNTIF(F170:AE170,"b")</f>
        <v>17</v>
      </c>
      <c r="AJ170">
        <f>+COUNTIF(F170:AE170,"c")</f>
        <v>0</v>
      </c>
      <c r="AL170">
        <f>+$AG$5*AG170</f>
        <v>0</v>
      </c>
      <c r="AM170">
        <f>+$AH$5*AH170</f>
        <v>27</v>
      </c>
      <c r="AN170">
        <f>+$AI$5*AI170</f>
        <v>34</v>
      </c>
      <c r="AO170">
        <f>+$AJ$5*AJ170</f>
        <v>0</v>
      </c>
      <c r="AP170">
        <f>+SUM(AL170:AO170)</f>
        <v>61</v>
      </c>
    </row>
    <row r="171" spans="1:42" ht="15.75" hidden="1" customHeight="1" x14ac:dyDescent="0.3">
      <c r="A171" s="16"/>
      <c r="B171" s="55">
        <v>16</v>
      </c>
      <c r="C171" s="56" t="s">
        <v>187</v>
      </c>
      <c r="D171" s="55">
        <v>4</v>
      </c>
      <c r="E171" s="55" t="s">
        <v>21</v>
      </c>
      <c r="F171" s="18" t="s">
        <v>21</v>
      </c>
      <c r="G171" s="18" t="s">
        <v>21</v>
      </c>
      <c r="H171" s="18" t="s">
        <v>21</v>
      </c>
      <c r="I171" s="18" t="s">
        <v>21</v>
      </c>
      <c r="J171" s="43" t="s">
        <v>20</v>
      </c>
      <c r="K171" s="43" t="s">
        <v>20</v>
      </c>
      <c r="L171" s="43" t="s">
        <v>21</v>
      </c>
      <c r="M171" s="18" t="s">
        <v>20</v>
      </c>
      <c r="N171" s="18" t="s">
        <v>20</v>
      </c>
      <c r="O171" s="18" t="s">
        <v>20</v>
      </c>
      <c r="P171" s="18" t="s">
        <v>21</v>
      </c>
      <c r="Q171" s="18" t="s">
        <v>21</v>
      </c>
      <c r="R171" s="18" t="s">
        <v>21</v>
      </c>
      <c r="S171" s="18" t="s">
        <v>21</v>
      </c>
      <c r="T171" s="18" t="s">
        <v>20</v>
      </c>
      <c r="U171" s="18" t="s">
        <v>21</v>
      </c>
      <c r="V171" s="49" t="s">
        <v>20</v>
      </c>
      <c r="W171" s="37" t="s">
        <v>20</v>
      </c>
      <c r="X171" s="37" t="s">
        <v>20</v>
      </c>
      <c r="Y171" s="18" t="s">
        <v>21</v>
      </c>
      <c r="Z171" s="18" t="s">
        <v>21</v>
      </c>
      <c r="AA171" s="20" t="s">
        <v>21</v>
      </c>
      <c r="AB171" s="20" t="s">
        <v>21</v>
      </c>
      <c r="AC171" s="20" t="s">
        <v>21</v>
      </c>
      <c r="AD171" s="29" t="s">
        <v>21</v>
      </c>
      <c r="AE171" s="29" t="s">
        <v>21</v>
      </c>
      <c r="AG171">
        <f>+COUNTIF(F171:AE171,"AD")</f>
        <v>0</v>
      </c>
      <c r="AH171">
        <f>+COUNTIF(F171:AE171,"A")</f>
        <v>9</v>
      </c>
      <c r="AI171">
        <f>+COUNTIF(F171:AE171,"b")</f>
        <v>17</v>
      </c>
      <c r="AJ171">
        <f>+COUNTIF(F171:AE171,"c")</f>
        <v>0</v>
      </c>
      <c r="AL171">
        <f>+$AG$5*AG171</f>
        <v>0</v>
      </c>
      <c r="AM171">
        <f>+$AH$5*AH171</f>
        <v>27</v>
      </c>
      <c r="AN171">
        <f>+$AI$5*AI171</f>
        <v>34</v>
      </c>
      <c r="AO171">
        <f>+$AJ$5*AJ171</f>
        <v>0</v>
      </c>
      <c r="AP171">
        <f>+SUM(AL171:AO171)</f>
        <v>61</v>
      </c>
    </row>
    <row r="172" spans="1:42" ht="15.75" hidden="1" customHeight="1" x14ac:dyDescent="0.3">
      <c r="A172" s="16"/>
      <c r="B172" s="55">
        <v>19</v>
      </c>
      <c r="C172" s="56" t="s">
        <v>190</v>
      </c>
      <c r="D172" s="55">
        <v>4</v>
      </c>
      <c r="E172" s="55" t="s">
        <v>21</v>
      </c>
      <c r="F172" s="18" t="s">
        <v>23</v>
      </c>
      <c r="G172" s="18" t="s">
        <v>21</v>
      </c>
      <c r="H172" s="18" t="s">
        <v>21</v>
      </c>
      <c r="I172" s="18" t="s">
        <v>21</v>
      </c>
      <c r="J172" s="43" t="s">
        <v>20</v>
      </c>
      <c r="K172" s="43" t="s">
        <v>20</v>
      </c>
      <c r="L172" s="43" t="s">
        <v>21</v>
      </c>
      <c r="M172" s="18" t="s">
        <v>20</v>
      </c>
      <c r="N172" s="18" t="s">
        <v>20</v>
      </c>
      <c r="O172" s="18" t="s">
        <v>21</v>
      </c>
      <c r="P172" s="18" t="s">
        <v>21</v>
      </c>
      <c r="Q172" s="18" t="s">
        <v>21</v>
      </c>
      <c r="R172" s="18" t="s">
        <v>21</v>
      </c>
      <c r="S172" s="18" t="s">
        <v>20</v>
      </c>
      <c r="T172" s="18" t="s">
        <v>20</v>
      </c>
      <c r="U172" s="18" t="s">
        <v>21</v>
      </c>
      <c r="V172" s="49" t="s">
        <v>20</v>
      </c>
      <c r="W172" s="37" t="s">
        <v>20</v>
      </c>
      <c r="X172" s="37" t="s">
        <v>20</v>
      </c>
      <c r="Y172" s="18" t="s">
        <v>20</v>
      </c>
      <c r="Z172" s="18" t="s">
        <v>21</v>
      </c>
      <c r="AA172" s="20" t="s">
        <v>21</v>
      </c>
      <c r="AB172" s="20" t="s">
        <v>21</v>
      </c>
      <c r="AC172" s="20" t="s">
        <v>21</v>
      </c>
      <c r="AD172" s="29" t="s">
        <v>21</v>
      </c>
      <c r="AE172" s="29" t="s">
        <v>21</v>
      </c>
      <c r="AG172">
        <f>+COUNTIF(F172:AE172,"AD")</f>
        <v>0</v>
      </c>
      <c r="AH172">
        <f>+COUNTIF(F172:AE172,"A")</f>
        <v>10</v>
      </c>
      <c r="AI172">
        <f>+COUNTIF(F172:AE172,"b")</f>
        <v>15</v>
      </c>
      <c r="AJ172">
        <f>+COUNTIF(F172:AE172,"c")</f>
        <v>1</v>
      </c>
      <c r="AL172">
        <f>+$AG$5*AG172</f>
        <v>0</v>
      </c>
      <c r="AM172">
        <f>+$AH$5*AH172</f>
        <v>30</v>
      </c>
      <c r="AN172">
        <f>+$AI$5*AI172</f>
        <v>30</v>
      </c>
      <c r="AO172">
        <f>+$AJ$5*AJ172</f>
        <v>1</v>
      </c>
      <c r="AP172">
        <f>+SUM(AL172:AO172)</f>
        <v>61</v>
      </c>
    </row>
    <row r="173" spans="1:42" ht="15.75" hidden="1" customHeight="1" x14ac:dyDescent="0.3">
      <c r="A173" s="16"/>
      <c r="B173" s="55">
        <v>10</v>
      </c>
      <c r="C173" s="56" t="s">
        <v>181</v>
      </c>
      <c r="D173" s="55">
        <v>4</v>
      </c>
      <c r="E173" s="55" t="s">
        <v>21</v>
      </c>
      <c r="F173" s="18" t="s">
        <v>21</v>
      </c>
      <c r="G173" s="18" t="s">
        <v>20</v>
      </c>
      <c r="H173" s="18" t="s">
        <v>21</v>
      </c>
      <c r="I173" s="18" t="s">
        <v>21</v>
      </c>
      <c r="J173" s="43" t="s">
        <v>20</v>
      </c>
      <c r="K173" s="43" t="s">
        <v>20</v>
      </c>
      <c r="L173" s="43" t="s">
        <v>21</v>
      </c>
      <c r="M173" s="18" t="s">
        <v>23</v>
      </c>
      <c r="N173" s="18" t="s">
        <v>20</v>
      </c>
      <c r="O173" s="18" t="s">
        <v>20</v>
      </c>
      <c r="P173" s="18" t="s">
        <v>21</v>
      </c>
      <c r="Q173" s="18" t="s">
        <v>21</v>
      </c>
      <c r="R173" s="18" t="s">
        <v>21</v>
      </c>
      <c r="S173" s="18" t="s">
        <v>20</v>
      </c>
      <c r="T173" s="18" t="s">
        <v>20</v>
      </c>
      <c r="U173" s="18" t="s">
        <v>21</v>
      </c>
      <c r="V173" s="37" t="s">
        <v>20</v>
      </c>
      <c r="W173" s="37" t="s">
        <v>20</v>
      </c>
      <c r="X173" s="37" t="s">
        <v>20</v>
      </c>
      <c r="Y173" s="18" t="s">
        <v>21</v>
      </c>
      <c r="Z173" s="18" t="s">
        <v>21</v>
      </c>
      <c r="AA173" s="20" t="s">
        <v>21</v>
      </c>
      <c r="AB173" s="20" t="s">
        <v>23</v>
      </c>
      <c r="AC173" s="20" t="s">
        <v>21</v>
      </c>
      <c r="AD173" s="18" t="s">
        <v>23</v>
      </c>
      <c r="AE173" s="18" t="s">
        <v>21</v>
      </c>
      <c r="AG173">
        <f>+COUNTIF(F173:AE173,"AD")</f>
        <v>0</v>
      </c>
      <c r="AH173">
        <f>+COUNTIF(F173:AE173,"A")</f>
        <v>10</v>
      </c>
      <c r="AI173">
        <f>+COUNTIF(F173:AE173,"b")</f>
        <v>13</v>
      </c>
      <c r="AJ173">
        <f>+COUNTIF(F173:AE173,"c")</f>
        <v>3</v>
      </c>
      <c r="AL173">
        <f>+$AG$5*AG173</f>
        <v>0</v>
      </c>
      <c r="AM173">
        <f>+$AH$5*AH173</f>
        <v>30</v>
      </c>
      <c r="AN173">
        <f>+$AI$5*AI173</f>
        <v>26</v>
      </c>
      <c r="AO173">
        <f>+$AJ$5*AJ173</f>
        <v>3</v>
      </c>
      <c r="AP173">
        <f>+SUM(AL173:AO173)</f>
        <v>59</v>
      </c>
    </row>
    <row r="174" spans="1:42" ht="15.75" hidden="1" customHeight="1" x14ac:dyDescent="0.3">
      <c r="A174" s="16"/>
      <c r="B174" s="55">
        <v>1</v>
      </c>
      <c r="C174" s="56" t="s">
        <v>172</v>
      </c>
      <c r="D174" s="55">
        <v>4</v>
      </c>
      <c r="E174" s="55" t="s">
        <v>21</v>
      </c>
      <c r="F174" s="18" t="s">
        <v>23</v>
      </c>
      <c r="G174" s="18" t="s">
        <v>21</v>
      </c>
      <c r="H174" s="18" t="s">
        <v>23</v>
      </c>
      <c r="I174" s="18" t="s">
        <v>23</v>
      </c>
      <c r="J174" s="43" t="s">
        <v>20</v>
      </c>
      <c r="K174" s="43" t="s">
        <v>21</v>
      </c>
      <c r="L174" s="43" t="s">
        <v>21</v>
      </c>
      <c r="M174" s="18" t="s">
        <v>21</v>
      </c>
      <c r="N174" s="18" t="s">
        <v>20</v>
      </c>
      <c r="O174" s="18" t="s">
        <v>20</v>
      </c>
      <c r="P174" s="18" t="s">
        <v>20</v>
      </c>
      <c r="Q174" s="18" t="s">
        <v>21</v>
      </c>
      <c r="R174" s="18" t="s">
        <v>21</v>
      </c>
      <c r="S174" s="18" t="s">
        <v>21</v>
      </c>
      <c r="T174" s="18" t="s">
        <v>20</v>
      </c>
      <c r="U174" s="18" t="s">
        <v>20</v>
      </c>
      <c r="V174" s="37" t="s">
        <v>20</v>
      </c>
      <c r="W174" s="37" t="s">
        <v>20</v>
      </c>
      <c r="X174" s="37" t="s">
        <v>20</v>
      </c>
      <c r="Y174" s="18" t="s">
        <v>23</v>
      </c>
      <c r="Z174" s="18" t="s">
        <v>21</v>
      </c>
      <c r="AA174" s="20" t="s">
        <v>21</v>
      </c>
      <c r="AB174" s="20" t="s">
        <v>20</v>
      </c>
      <c r="AC174" s="20" t="s">
        <v>21</v>
      </c>
      <c r="AD174" s="18" t="s">
        <v>23</v>
      </c>
      <c r="AE174" s="18" t="s">
        <v>21</v>
      </c>
      <c r="AG174">
        <f>+COUNTIF(F174:AE174,"AD")</f>
        <v>0</v>
      </c>
      <c r="AH174">
        <f>+COUNTIF(F174:AE174,"A")</f>
        <v>10</v>
      </c>
      <c r="AI174">
        <f>+COUNTIF(F174:AE174,"b")</f>
        <v>11</v>
      </c>
      <c r="AJ174">
        <f>+COUNTIF(F174:AE174,"c")</f>
        <v>5</v>
      </c>
      <c r="AL174">
        <f>+$AG$5*AG174</f>
        <v>0</v>
      </c>
      <c r="AM174">
        <f>+$AH$5*AH174</f>
        <v>30</v>
      </c>
      <c r="AN174">
        <f>+$AI$5*AI174</f>
        <v>22</v>
      </c>
      <c r="AO174">
        <f>+$AJ$5*AJ174</f>
        <v>5</v>
      </c>
      <c r="AP174">
        <f>+SUM(AL174:AO174)</f>
        <v>57</v>
      </c>
    </row>
    <row r="175" spans="1:42" ht="15.75" hidden="1" customHeight="1" x14ac:dyDescent="0.3">
      <c r="A175" s="16"/>
      <c r="B175" s="55">
        <v>18</v>
      </c>
      <c r="C175" s="56" t="s">
        <v>189</v>
      </c>
      <c r="D175" s="55">
        <v>4</v>
      </c>
      <c r="E175" s="55" t="s">
        <v>21</v>
      </c>
      <c r="F175" s="18" t="s">
        <v>23</v>
      </c>
      <c r="G175" s="18" t="s">
        <v>23</v>
      </c>
      <c r="H175" s="18" t="s">
        <v>23</v>
      </c>
      <c r="I175" s="18" t="s">
        <v>23</v>
      </c>
      <c r="J175" s="43" t="s">
        <v>20</v>
      </c>
      <c r="K175" s="43" t="s">
        <v>20</v>
      </c>
      <c r="L175" s="43" t="s">
        <v>21</v>
      </c>
      <c r="M175" s="18" t="s">
        <v>21</v>
      </c>
      <c r="N175" s="18" t="s">
        <v>21</v>
      </c>
      <c r="O175" s="18" t="s">
        <v>20</v>
      </c>
      <c r="P175" s="18" t="s">
        <v>21</v>
      </c>
      <c r="Q175" s="18" t="s">
        <v>21</v>
      </c>
      <c r="R175" s="18" t="s">
        <v>23</v>
      </c>
      <c r="S175" s="18" t="s">
        <v>21</v>
      </c>
      <c r="T175" s="18" t="s">
        <v>20</v>
      </c>
      <c r="U175" s="18" t="s">
        <v>21</v>
      </c>
      <c r="V175" s="49" t="s">
        <v>20</v>
      </c>
      <c r="W175" s="37" t="s">
        <v>21</v>
      </c>
      <c r="X175" s="37" t="s">
        <v>20</v>
      </c>
      <c r="Y175" s="18" t="s">
        <v>20</v>
      </c>
      <c r="Z175" s="18" t="s">
        <v>20</v>
      </c>
      <c r="AA175" s="20" t="s">
        <v>21</v>
      </c>
      <c r="AB175" s="20" t="s">
        <v>21</v>
      </c>
      <c r="AC175" s="20" t="s">
        <v>21</v>
      </c>
      <c r="AD175" s="29" t="s">
        <v>21</v>
      </c>
      <c r="AE175" s="29" t="s">
        <v>21</v>
      </c>
      <c r="AG175">
        <f>+COUNTIF(F175:AE175,"AD")</f>
        <v>0</v>
      </c>
      <c r="AH175">
        <f>+COUNTIF(F175:AE175,"A")</f>
        <v>8</v>
      </c>
      <c r="AI175">
        <f>+COUNTIF(F175:AE175,"b")</f>
        <v>13</v>
      </c>
      <c r="AJ175">
        <f>+COUNTIF(F175:AE175,"c")</f>
        <v>5</v>
      </c>
      <c r="AL175">
        <f>+$AG$5*AG175</f>
        <v>0</v>
      </c>
      <c r="AM175">
        <f>+$AH$5*AH175</f>
        <v>24</v>
      </c>
      <c r="AN175">
        <f>+$AI$5*AI175</f>
        <v>26</v>
      </c>
      <c r="AO175">
        <f>+$AJ$5*AJ175</f>
        <v>5</v>
      </c>
      <c r="AP175">
        <f>+SUM(AL175:AO175)</f>
        <v>55</v>
      </c>
    </row>
    <row r="176" spans="1:42" ht="15.75" hidden="1" customHeight="1" x14ac:dyDescent="0.3">
      <c r="A176" s="16"/>
      <c r="B176" s="55">
        <v>21</v>
      </c>
      <c r="C176" s="56" t="s">
        <v>192</v>
      </c>
      <c r="D176" s="55">
        <v>4</v>
      </c>
      <c r="E176" s="55" t="s">
        <v>21</v>
      </c>
      <c r="F176" s="18" t="s">
        <v>21</v>
      </c>
      <c r="G176" s="18" t="s">
        <v>23</v>
      </c>
      <c r="H176" s="18" t="s">
        <v>23</v>
      </c>
      <c r="I176" s="18" t="s">
        <v>23</v>
      </c>
      <c r="J176" s="43" t="s">
        <v>20</v>
      </c>
      <c r="K176" s="43" t="s">
        <v>21</v>
      </c>
      <c r="L176" s="43" t="s">
        <v>21</v>
      </c>
      <c r="M176" s="18" t="s">
        <v>21</v>
      </c>
      <c r="N176" s="18" t="s">
        <v>21</v>
      </c>
      <c r="O176" s="18" t="s">
        <v>21</v>
      </c>
      <c r="P176" s="18" t="s">
        <v>21</v>
      </c>
      <c r="Q176" s="18" t="s">
        <v>21</v>
      </c>
      <c r="R176" s="18" t="s">
        <v>23</v>
      </c>
      <c r="S176" s="18" t="s">
        <v>21</v>
      </c>
      <c r="T176" s="18" t="s">
        <v>20</v>
      </c>
      <c r="U176" s="18" t="s">
        <v>20</v>
      </c>
      <c r="V176" s="49" t="s">
        <v>20</v>
      </c>
      <c r="W176" s="37" t="s">
        <v>20</v>
      </c>
      <c r="X176" s="37" t="s">
        <v>20</v>
      </c>
      <c r="Y176" s="18" t="s">
        <v>21</v>
      </c>
      <c r="Z176" s="18" t="s">
        <v>21</v>
      </c>
      <c r="AA176" s="20" t="s">
        <v>21</v>
      </c>
      <c r="AB176" s="20" t="s">
        <v>21</v>
      </c>
      <c r="AC176" s="20" t="s">
        <v>20</v>
      </c>
      <c r="AD176" s="29" t="s">
        <v>21</v>
      </c>
      <c r="AE176" s="29" t="s">
        <v>21</v>
      </c>
      <c r="AG176">
        <f>+COUNTIF(F176:AE176,"AD")</f>
        <v>0</v>
      </c>
      <c r="AH176">
        <f>+COUNTIF(F176:AE176,"A")</f>
        <v>7</v>
      </c>
      <c r="AI176">
        <f>+COUNTIF(F176:AE176,"b")</f>
        <v>15</v>
      </c>
      <c r="AJ176">
        <f>+COUNTIF(F176:AE176,"c")</f>
        <v>4</v>
      </c>
      <c r="AL176">
        <f>+$AG$5*AG176</f>
        <v>0</v>
      </c>
      <c r="AM176">
        <f>+$AH$5*AH176</f>
        <v>21</v>
      </c>
      <c r="AN176">
        <f>+$AI$5*AI176</f>
        <v>30</v>
      </c>
      <c r="AO176">
        <f>+$AJ$5*AJ176</f>
        <v>4</v>
      </c>
      <c r="AP176">
        <f>+SUM(AL176:AO176)</f>
        <v>55</v>
      </c>
    </row>
    <row r="177" spans="1:42" ht="15.75" hidden="1" customHeight="1" x14ac:dyDescent="0.3">
      <c r="A177" s="16"/>
      <c r="B177" s="55">
        <v>13</v>
      </c>
      <c r="C177" s="56" t="s">
        <v>184</v>
      </c>
      <c r="D177" s="55">
        <v>4</v>
      </c>
      <c r="E177" s="55" t="s">
        <v>21</v>
      </c>
      <c r="F177" s="18" t="s">
        <v>21</v>
      </c>
      <c r="G177" s="18" t="s">
        <v>21</v>
      </c>
      <c r="H177" s="18" t="s">
        <v>23</v>
      </c>
      <c r="I177" s="18" t="s">
        <v>21</v>
      </c>
      <c r="J177" s="43" t="s">
        <v>20</v>
      </c>
      <c r="K177" s="43" t="s">
        <v>20</v>
      </c>
      <c r="L177" s="43" t="s">
        <v>21</v>
      </c>
      <c r="M177" s="18" t="s">
        <v>21</v>
      </c>
      <c r="N177" s="18" t="s">
        <v>20</v>
      </c>
      <c r="O177" s="18" t="s">
        <v>21</v>
      </c>
      <c r="P177" s="18" t="s">
        <v>21</v>
      </c>
      <c r="Q177" s="18" t="s">
        <v>21</v>
      </c>
      <c r="R177" s="18" t="s">
        <v>21</v>
      </c>
      <c r="S177" s="18" t="s">
        <v>23</v>
      </c>
      <c r="T177" s="18" t="s">
        <v>23</v>
      </c>
      <c r="U177" s="18" t="s">
        <v>20</v>
      </c>
      <c r="V177" s="49" t="s">
        <v>20</v>
      </c>
      <c r="W177" s="37" t="s">
        <v>21</v>
      </c>
      <c r="X177" s="37" t="s">
        <v>20</v>
      </c>
      <c r="Y177" s="18" t="s">
        <v>23</v>
      </c>
      <c r="Z177" s="18" t="s">
        <v>21</v>
      </c>
      <c r="AA177" s="20" t="s">
        <v>21</v>
      </c>
      <c r="AB177" s="20" t="s">
        <v>20</v>
      </c>
      <c r="AC177" s="20" t="s">
        <v>23</v>
      </c>
      <c r="AD177" s="29" t="s">
        <v>23</v>
      </c>
      <c r="AE177" s="29" t="s">
        <v>21</v>
      </c>
      <c r="AG177">
        <f>+COUNTIF(F177:AE177,"AD")</f>
        <v>0</v>
      </c>
      <c r="AH177">
        <f>+COUNTIF(F177:AE177,"A")</f>
        <v>7</v>
      </c>
      <c r="AI177">
        <f>+COUNTIF(F177:AE177,"b")</f>
        <v>13</v>
      </c>
      <c r="AJ177">
        <f>+COUNTIF(F177:AE177,"c")</f>
        <v>6</v>
      </c>
      <c r="AL177">
        <f>+$AG$5*AG177</f>
        <v>0</v>
      </c>
      <c r="AM177">
        <f>+$AH$5*AH177</f>
        <v>21</v>
      </c>
      <c r="AN177">
        <f>+$AI$5*AI177</f>
        <v>26</v>
      </c>
      <c r="AO177">
        <f>+$AJ$5*AJ177</f>
        <v>6</v>
      </c>
      <c r="AP177">
        <f>+SUM(AL177:AO177)</f>
        <v>53</v>
      </c>
    </row>
    <row r="178" spans="1:42" ht="15.75" hidden="1" customHeight="1" thickBot="1" x14ac:dyDescent="0.35">
      <c r="A178" s="16"/>
      <c r="B178" s="57">
        <v>11</v>
      </c>
      <c r="C178" s="58" t="s">
        <v>182</v>
      </c>
      <c r="D178" s="57">
        <v>4</v>
      </c>
      <c r="E178" s="57" t="s">
        <v>21</v>
      </c>
      <c r="F178" s="21" t="s">
        <v>23</v>
      </c>
      <c r="G178" s="21" t="s">
        <v>23</v>
      </c>
      <c r="H178" s="21" t="s">
        <v>23</v>
      </c>
      <c r="I178" s="21" t="s">
        <v>23</v>
      </c>
      <c r="J178" s="45" t="s">
        <v>21</v>
      </c>
      <c r="K178" s="45" t="s">
        <v>21</v>
      </c>
      <c r="L178" s="45" t="s">
        <v>21</v>
      </c>
      <c r="M178" s="21" t="s">
        <v>21</v>
      </c>
      <c r="N178" s="21" t="s">
        <v>20</v>
      </c>
      <c r="O178" s="21" t="s">
        <v>21</v>
      </c>
      <c r="P178" s="21" t="s">
        <v>23</v>
      </c>
      <c r="Q178" s="21" t="s">
        <v>21</v>
      </c>
      <c r="R178" s="21" t="s">
        <v>21</v>
      </c>
      <c r="S178" s="21" t="s">
        <v>21</v>
      </c>
      <c r="T178" s="21" t="s">
        <v>20</v>
      </c>
      <c r="U178" s="21" t="s">
        <v>20</v>
      </c>
      <c r="V178" s="38" t="s">
        <v>20</v>
      </c>
      <c r="W178" s="38" t="s">
        <v>21</v>
      </c>
      <c r="X178" s="38" t="s">
        <v>20</v>
      </c>
      <c r="Y178" s="21" t="s">
        <v>23</v>
      </c>
      <c r="Z178" s="21" t="s">
        <v>23</v>
      </c>
      <c r="AA178" s="23" t="s">
        <v>21</v>
      </c>
      <c r="AB178" s="23" t="s">
        <v>21</v>
      </c>
      <c r="AC178" s="23" t="s">
        <v>21</v>
      </c>
      <c r="AD178" s="21" t="s">
        <v>23</v>
      </c>
      <c r="AE178" s="21" t="s">
        <v>21</v>
      </c>
      <c r="AG178">
        <f>+COUNTIF(F178:AE178,"AD")</f>
        <v>0</v>
      </c>
      <c r="AH178">
        <f>+COUNTIF(F178:AE178,"A")</f>
        <v>5</v>
      </c>
      <c r="AI178">
        <f>+COUNTIF(F178:AE178,"b")</f>
        <v>13</v>
      </c>
      <c r="AJ178">
        <f>+COUNTIF(F178:AE178,"c")</f>
        <v>8</v>
      </c>
      <c r="AL178">
        <f>+$AG$5*AG178</f>
        <v>0</v>
      </c>
      <c r="AM178">
        <f>+$AH$5*AH178</f>
        <v>15</v>
      </c>
      <c r="AN178">
        <f>+$AI$5*AI178</f>
        <v>26</v>
      </c>
      <c r="AO178">
        <f>+$AJ$5*AJ178</f>
        <v>8</v>
      </c>
      <c r="AP178">
        <f>+SUM(AL178:AO178)</f>
        <v>49</v>
      </c>
    </row>
    <row r="179" spans="1:42" ht="15.75" customHeight="1" x14ac:dyDescent="0.3">
      <c r="A179" s="16"/>
      <c r="B179" s="55">
        <v>1</v>
      </c>
      <c r="C179" s="60" t="s">
        <v>208</v>
      </c>
      <c r="D179" s="59">
        <v>5</v>
      </c>
      <c r="E179" s="59" t="s">
        <v>20</v>
      </c>
      <c r="F179" s="24" t="s">
        <v>20</v>
      </c>
      <c r="G179" s="24" t="s">
        <v>39</v>
      </c>
      <c r="H179" s="24" t="s">
        <v>20</v>
      </c>
      <c r="I179" s="24" t="s">
        <v>39</v>
      </c>
      <c r="J179" s="42" t="s">
        <v>20</v>
      </c>
      <c r="K179" s="42" t="s">
        <v>39</v>
      </c>
      <c r="L179" s="42" t="s">
        <v>20</v>
      </c>
      <c r="M179" s="24" t="s">
        <v>20</v>
      </c>
      <c r="N179" s="24" t="s">
        <v>20</v>
      </c>
      <c r="O179" s="24" t="s">
        <v>20</v>
      </c>
      <c r="P179" s="24" t="s">
        <v>20</v>
      </c>
      <c r="Q179" s="24" t="s">
        <v>20</v>
      </c>
      <c r="R179" s="24" t="s">
        <v>20</v>
      </c>
      <c r="S179" s="24" t="s">
        <v>20</v>
      </c>
      <c r="T179" s="24" t="s">
        <v>20</v>
      </c>
      <c r="U179" s="24" t="s">
        <v>20</v>
      </c>
      <c r="V179" s="52" t="s">
        <v>20</v>
      </c>
      <c r="W179" s="39" t="s">
        <v>20</v>
      </c>
      <c r="X179" s="39" t="s">
        <v>20</v>
      </c>
      <c r="Y179" s="24" t="s">
        <v>39</v>
      </c>
      <c r="Z179" s="24" t="s">
        <v>39</v>
      </c>
      <c r="AA179" s="27" t="s">
        <v>39</v>
      </c>
      <c r="AB179" s="27" t="s">
        <v>20</v>
      </c>
      <c r="AC179" s="27" t="s">
        <v>20</v>
      </c>
      <c r="AD179" s="34" t="s">
        <v>20</v>
      </c>
      <c r="AE179" s="34" t="s">
        <v>21</v>
      </c>
      <c r="AG179">
        <f>+COUNTIF(F179:AE179,"AD")</f>
        <v>6</v>
      </c>
      <c r="AH179">
        <f>+COUNTIF(F179:AE179,"A")</f>
        <v>19</v>
      </c>
      <c r="AI179">
        <f>+COUNTIF(F179:AE179,"b")</f>
        <v>1</v>
      </c>
      <c r="AJ179">
        <f>+COUNTIF(F179:AE179,"c")</f>
        <v>0</v>
      </c>
      <c r="AL179">
        <f>+$AG$5*AG179</f>
        <v>24</v>
      </c>
      <c r="AM179">
        <f>+$AH$5*AH179</f>
        <v>57</v>
      </c>
      <c r="AN179">
        <f>+$AI$5*AI179</f>
        <v>2</v>
      </c>
      <c r="AO179">
        <f>+$AJ$5*AJ179</f>
        <v>0</v>
      </c>
      <c r="AP179" s="73">
        <f>+SUM(AL179:AO179)</f>
        <v>83</v>
      </c>
    </row>
    <row r="180" spans="1:42" ht="15.75" customHeight="1" x14ac:dyDescent="0.3">
      <c r="A180" s="16"/>
      <c r="B180" s="55">
        <v>2</v>
      </c>
      <c r="C180" s="56" t="s">
        <v>210</v>
      </c>
      <c r="D180" s="55">
        <v>5</v>
      </c>
      <c r="E180" s="55" t="s">
        <v>20</v>
      </c>
      <c r="F180" s="18" t="s">
        <v>20</v>
      </c>
      <c r="G180" s="18" t="s">
        <v>20</v>
      </c>
      <c r="H180" s="18" t="s">
        <v>39</v>
      </c>
      <c r="I180" s="18" t="s">
        <v>20</v>
      </c>
      <c r="J180" s="43" t="s">
        <v>20</v>
      </c>
      <c r="K180" s="43" t="s">
        <v>39</v>
      </c>
      <c r="L180" s="43" t="s">
        <v>20</v>
      </c>
      <c r="M180" s="18" t="s">
        <v>21</v>
      </c>
      <c r="N180" s="18" t="s">
        <v>20</v>
      </c>
      <c r="O180" s="18" t="s">
        <v>20</v>
      </c>
      <c r="P180" s="18" t="s">
        <v>20</v>
      </c>
      <c r="Q180" s="18" t="s">
        <v>20</v>
      </c>
      <c r="R180" s="18" t="s">
        <v>20</v>
      </c>
      <c r="S180" s="18" t="s">
        <v>20</v>
      </c>
      <c r="T180" s="18" t="s">
        <v>21</v>
      </c>
      <c r="U180" s="18" t="s">
        <v>20</v>
      </c>
      <c r="V180" s="37" t="s">
        <v>20</v>
      </c>
      <c r="W180" s="37" t="s">
        <v>20</v>
      </c>
      <c r="X180" s="37" t="s">
        <v>20</v>
      </c>
      <c r="Y180" s="18" t="s">
        <v>20</v>
      </c>
      <c r="Z180" s="18" t="s">
        <v>39</v>
      </c>
      <c r="AA180" s="20" t="s">
        <v>21</v>
      </c>
      <c r="AB180" s="20" t="s">
        <v>20</v>
      </c>
      <c r="AC180" s="20" t="s">
        <v>20</v>
      </c>
      <c r="AD180" s="18" t="s">
        <v>20</v>
      </c>
      <c r="AE180" s="18" t="s">
        <v>21</v>
      </c>
      <c r="AG180">
        <f>+COUNTIF(F180:AE180,"AD")</f>
        <v>3</v>
      </c>
      <c r="AH180">
        <f>+COUNTIF(F180:AE180,"A")</f>
        <v>19</v>
      </c>
      <c r="AI180">
        <f>+COUNTIF(F180:AE180,"b")</f>
        <v>4</v>
      </c>
      <c r="AJ180">
        <f>+COUNTIF(F180:AE180,"c")</f>
        <v>0</v>
      </c>
      <c r="AL180">
        <f>+$AG$5*AG180</f>
        <v>12</v>
      </c>
      <c r="AM180">
        <f>+$AH$5*AH180</f>
        <v>57</v>
      </c>
      <c r="AN180">
        <f>+$AI$5*AI180</f>
        <v>8</v>
      </c>
      <c r="AO180">
        <f>+$AJ$5*AJ180</f>
        <v>0</v>
      </c>
      <c r="AP180" s="73">
        <f>+SUM(AL180:AO180)</f>
        <v>77</v>
      </c>
    </row>
    <row r="181" spans="1:42" ht="15.75" customHeight="1" x14ac:dyDescent="0.3">
      <c r="A181" s="16"/>
      <c r="B181" s="55">
        <v>3</v>
      </c>
      <c r="C181" s="56" t="s">
        <v>209</v>
      </c>
      <c r="D181" s="55">
        <v>5</v>
      </c>
      <c r="E181" s="55" t="s">
        <v>20</v>
      </c>
      <c r="F181" s="18" t="s">
        <v>20</v>
      </c>
      <c r="G181" s="18" t="s">
        <v>20</v>
      </c>
      <c r="H181" s="18" t="s">
        <v>20</v>
      </c>
      <c r="I181" s="18" t="s">
        <v>20</v>
      </c>
      <c r="J181" s="43" t="s">
        <v>20</v>
      </c>
      <c r="K181" s="43" t="s">
        <v>20</v>
      </c>
      <c r="L181" s="43" t="s">
        <v>20</v>
      </c>
      <c r="M181" s="18" t="s">
        <v>20</v>
      </c>
      <c r="N181" s="18" t="s">
        <v>20</v>
      </c>
      <c r="O181" s="18" t="s">
        <v>20</v>
      </c>
      <c r="P181" s="18" t="s">
        <v>21</v>
      </c>
      <c r="Q181" s="18" t="s">
        <v>21</v>
      </c>
      <c r="R181" s="18" t="s">
        <v>20</v>
      </c>
      <c r="S181" s="18" t="s">
        <v>21</v>
      </c>
      <c r="T181" s="18" t="s">
        <v>21</v>
      </c>
      <c r="U181" s="18" t="s">
        <v>20</v>
      </c>
      <c r="V181" s="49" t="s">
        <v>20</v>
      </c>
      <c r="W181" s="37" t="s">
        <v>20</v>
      </c>
      <c r="X181" s="37" t="s">
        <v>20</v>
      </c>
      <c r="Y181" s="18" t="s">
        <v>20</v>
      </c>
      <c r="Z181" s="18" t="s">
        <v>39</v>
      </c>
      <c r="AA181" s="20" t="s">
        <v>39</v>
      </c>
      <c r="AB181" s="20" t="s">
        <v>20</v>
      </c>
      <c r="AC181" s="20" t="s">
        <v>39</v>
      </c>
      <c r="AD181" s="29" t="s">
        <v>20</v>
      </c>
      <c r="AE181" s="29" t="s">
        <v>21</v>
      </c>
      <c r="AG181">
        <f>+COUNTIF(F181:AE181,"AD")</f>
        <v>3</v>
      </c>
      <c r="AH181">
        <f>+COUNTIF(F181:AE181,"A")</f>
        <v>18</v>
      </c>
      <c r="AI181">
        <f>+COUNTIF(F181:AE181,"b")</f>
        <v>5</v>
      </c>
      <c r="AJ181">
        <f>+COUNTIF(F181:AE181,"c")</f>
        <v>0</v>
      </c>
      <c r="AL181">
        <f>+$AG$5*AG181</f>
        <v>12</v>
      </c>
      <c r="AM181">
        <f>+$AH$5*AH181</f>
        <v>54</v>
      </c>
      <c r="AN181">
        <f>+$AI$5*AI181</f>
        <v>10</v>
      </c>
      <c r="AO181">
        <f>+$AJ$5*AJ181</f>
        <v>0</v>
      </c>
      <c r="AP181" s="73">
        <f>+SUM(AL181:AO181)</f>
        <v>76</v>
      </c>
    </row>
    <row r="182" spans="1:42" ht="15.75" customHeight="1" x14ac:dyDescent="0.3">
      <c r="A182" s="16"/>
      <c r="B182" s="55">
        <v>4</v>
      </c>
      <c r="C182" s="56" t="s">
        <v>216</v>
      </c>
      <c r="D182" s="55">
        <v>5</v>
      </c>
      <c r="E182" s="55" t="s">
        <v>20</v>
      </c>
      <c r="F182" s="18" t="s">
        <v>39</v>
      </c>
      <c r="G182" s="18" t="s">
        <v>20</v>
      </c>
      <c r="H182" s="18" t="s">
        <v>20</v>
      </c>
      <c r="I182" s="18" t="s">
        <v>39</v>
      </c>
      <c r="J182" s="43" t="s">
        <v>20</v>
      </c>
      <c r="K182" s="43" t="s">
        <v>20</v>
      </c>
      <c r="L182" s="43" t="s">
        <v>20</v>
      </c>
      <c r="M182" s="18" t="s">
        <v>20</v>
      </c>
      <c r="N182" s="18" t="s">
        <v>20</v>
      </c>
      <c r="O182" s="18" t="s">
        <v>20</v>
      </c>
      <c r="P182" s="18" t="s">
        <v>21</v>
      </c>
      <c r="Q182" s="18" t="s">
        <v>20</v>
      </c>
      <c r="R182" s="18" t="s">
        <v>20</v>
      </c>
      <c r="S182" s="18" t="s">
        <v>21</v>
      </c>
      <c r="T182" s="18" t="s">
        <v>21</v>
      </c>
      <c r="U182" s="18" t="s">
        <v>20</v>
      </c>
      <c r="V182" s="37" t="s">
        <v>20</v>
      </c>
      <c r="W182" s="37" t="s">
        <v>20</v>
      </c>
      <c r="X182" s="37" t="s">
        <v>20</v>
      </c>
      <c r="Y182" s="18" t="s">
        <v>20</v>
      </c>
      <c r="Z182" s="18" t="s">
        <v>20</v>
      </c>
      <c r="AA182" s="20" t="s">
        <v>20</v>
      </c>
      <c r="AB182" s="20" t="s">
        <v>20</v>
      </c>
      <c r="AC182" s="20" t="s">
        <v>20</v>
      </c>
      <c r="AD182" s="18" t="s">
        <v>20</v>
      </c>
      <c r="AE182" s="18" t="s">
        <v>21</v>
      </c>
      <c r="AG182">
        <f>+COUNTIF(F182:AE182,"AD")</f>
        <v>2</v>
      </c>
      <c r="AH182">
        <f>+COUNTIF(F182:AE182,"A")</f>
        <v>20</v>
      </c>
      <c r="AI182">
        <f>+COUNTIF(F182:AE182,"b")</f>
        <v>4</v>
      </c>
      <c r="AJ182">
        <f>+COUNTIF(F182:AE182,"c")</f>
        <v>0</v>
      </c>
      <c r="AL182">
        <f>+$AG$5*AG182</f>
        <v>8</v>
      </c>
      <c r="AM182">
        <f>+$AH$5*AH182</f>
        <v>60</v>
      </c>
      <c r="AN182">
        <f>+$AI$5*AI182</f>
        <v>8</v>
      </c>
      <c r="AO182">
        <f>+$AJ$5*AJ182</f>
        <v>0</v>
      </c>
      <c r="AP182" s="73">
        <f>+SUM(AL182:AO182)</f>
        <v>76</v>
      </c>
    </row>
    <row r="183" spans="1:42" ht="15.75" customHeight="1" x14ac:dyDescent="0.3">
      <c r="A183" s="16"/>
      <c r="B183" s="55">
        <v>5</v>
      </c>
      <c r="C183" s="56" t="s">
        <v>220</v>
      </c>
      <c r="D183" s="55">
        <v>5</v>
      </c>
      <c r="E183" s="55" t="s">
        <v>20</v>
      </c>
      <c r="F183" s="18" t="s">
        <v>39</v>
      </c>
      <c r="G183" s="18" t="s">
        <v>20</v>
      </c>
      <c r="H183" s="18" t="s">
        <v>20</v>
      </c>
      <c r="I183" s="18" t="s">
        <v>39</v>
      </c>
      <c r="J183" s="43" t="s">
        <v>20</v>
      </c>
      <c r="K183" s="43" t="s">
        <v>20</v>
      </c>
      <c r="L183" s="43" t="s">
        <v>20</v>
      </c>
      <c r="M183" s="18" t="s">
        <v>20</v>
      </c>
      <c r="N183" s="18" t="s">
        <v>20</v>
      </c>
      <c r="O183" s="18" t="s">
        <v>20</v>
      </c>
      <c r="P183" s="18" t="s">
        <v>21</v>
      </c>
      <c r="Q183" s="18" t="s">
        <v>20</v>
      </c>
      <c r="R183" s="18" t="s">
        <v>20</v>
      </c>
      <c r="S183" s="18" t="s">
        <v>21</v>
      </c>
      <c r="T183" s="18" t="s">
        <v>21</v>
      </c>
      <c r="U183" s="18" t="s">
        <v>20</v>
      </c>
      <c r="V183" s="37" t="s">
        <v>20</v>
      </c>
      <c r="W183" s="37" t="s">
        <v>20</v>
      </c>
      <c r="X183" s="37" t="s">
        <v>20</v>
      </c>
      <c r="Y183" s="18" t="s">
        <v>20</v>
      </c>
      <c r="Z183" s="18" t="s">
        <v>20</v>
      </c>
      <c r="AA183" s="20" t="s">
        <v>20</v>
      </c>
      <c r="AB183" s="20" t="s">
        <v>20</v>
      </c>
      <c r="AC183" s="20" t="s">
        <v>20</v>
      </c>
      <c r="AD183" s="18" t="s">
        <v>20</v>
      </c>
      <c r="AE183" s="18" t="s">
        <v>21</v>
      </c>
      <c r="AG183">
        <f>+COUNTIF(F183:AE183,"AD")</f>
        <v>2</v>
      </c>
      <c r="AH183">
        <f>+COUNTIF(F183:AE183,"A")</f>
        <v>20</v>
      </c>
      <c r="AI183">
        <f>+COUNTIF(F183:AE183,"b")</f>
        <v>4</v>
      </c>
      <c r="AJ183">
        <f>+COUNTIF(F183:AE183,"c")</f>
        <v>0</v>
      </c>
      <c r="AL183">
        <f>+$AG$5*AG183</f>
        <v>8</v>
      </c>
      <c r="AM183">
        <f>+$AH$5*AH183</f>
        <v>60</v>
      </c>
      <c r="AN183">
        <f>+$AI$5*AI183</f>
        <v>8</v>
      </c>
      <c r="AO183">
        <f>+$AJ$5*AJ183</f>
        <v>0</v>
      </c>
      <c r="AP183" s="73">
        <f>+SUM(AL183:AO183)</f>
        <v>76</v>
      </c>
    </row>
    <row r="184" spans="1:42" ht="15.75" customHeight="1" x14ac:dyDescent="0.3">
      <c r="A184" s="16"/>
      <c r="B184" s="55">
        <v>6</v>
      </c>
      <c r="C184" s="56" t="s">
        <v>202</v>
      </c>
      <c r="D184" s="55">
        <v>5</v>
      </c>
      <c r="E184" s="55" t="s">
        <v>20</v>
      </c>
      <c r="F184" s="18" t="s">
        <v>20</v>
      </c>
      <c r="G184" s="18" t="s">
        <v>20</v>
      </c>
      <c r="H184" s="18" t="s">
        <v>39</v>
      </c>
      <c r="I184" s="18" t="s">
        <v>39</v>
      </c>
      <c r="J184" s="43" t="s">
        <v>20</v>
      </c>
      <c r="K184" s="43" t="s">
        <v>20</v>
      </c>
      <c r="L184" s="43" t="s">
        <v>20</v>
      </c>
      <c r="M184" s="18" t="s">
        <v>20</v>
      </c>
      <c r="N184" s="18" t="s">
        <v>20</v>
      </c>
      <c r="O184" s="18" t="s">
        <v>20</v>
      </c>
      <c r="P184" s="18" t="s">
        <v>21</v>
      </c>
      <c r="Q184" s="18" t="s">
        <v>21</v>
      </c>
      <c r="R184" s="18" t="s">
        <v>21</v>
      </c>
      <c r="S184" s="18" t="s">
        <v>21</v>
      </c>
      <c r="T184" s="18" t="s">
        <v>20</v>
      </c>
      <c r="U184" s="18" t="s">
        <v>20</v>
      </c>
      <c r="V184" s="49" t="s">
        <v>20</v>
      </c>
      <c r="W184" s="37" t="s">
        <v>20</v>
      </c>
      <c r="X184" s="53" t="s">
        <v>20</v>
      </c>
      <c r="Y184" s="18" t="s">
        <v>20</v>
      </c>
      <c r="Z184" s="18" t="s">
        <v>20</v>
      </c>
      <c r="AA184" s="20" t="s">
        <v>20</v>
      </c>
      <c r="AB184" s="20" t="s">
        <v>20</v>
      </c>
      <c r="AC184" s="20" t="s">
        <v>20</v>
      </c>
      <c r="AD184" s="29" t="s">
        <v>20</v>
      </c>
      <c r="AE184" s="29" t="s">
        <v>21</v>
      </c>
      <c r="AG184">
        <f>+COUNTIF(F184:AE184,"AD")</f>
        <v>2</v>
      </c>
      <c r="AH184">
        <f>+COUNTIF(F184:AE184,"A")</f>
        <v>19</v>
      </c>
      <c r="AI184">
        <f>+COUNTIF(F184:AE184,"b")</f>
        <v>5</v>
      </c>
      <c r="AJ184">
        <f>+COUNTIF(F184:AE184,"c")</f>
        <v>0</v>
      </c>
      <c r="AL184">
        <f>+$AG$5*AG184</f>
        <v>8</v>
      </c>
      <c r="AM184">
        <f>+$AH$5*AH184</f>
        <v>57</v>
      </c>
      <c r="AN184">
        <f>+$AI$5*AI184</f>
        <v>10</v>
      </c>
      <c r="AO184">
        <f>+$AJ$5*AJ184</f>
        <v>0</v>
      </c>
      <c r="AP184" s="73">
        <f>+SUM(AL184:AO184)</f>
        <v>75</v>
      </c>
    </row>
    <row r="185" spans="1:42" ht="15.75" customHeight="1" x14ac:dyDescent="0.3">
      <c r="A185" s="16"/>
      <c r="B185" s="55">
        <v>7</v>
      </c>
      <c r="C185" s="56" t="s">
        <v>207</v>
      </c>
      <c r="D185" s="55">
        <v>5</v>
      </c>
      <c r="E185" s="55" t="s">
        <v>20</v>
      </c>
      <c r="F185" s="18" t="s">
        <v>20</v>
      </c>
      <c r="G185" s="18" t="s">
        <v>20</v>
      </c>
      <c r="H185" s="18" t="s">
        <v>39</v>
      </c>
      <c r="I185" s="18" t="s">
        <v>20</v>
      </c>
      <c r="J185" s="43" t="s">
        <v>20</v>
      </c>
      <c r="K185" s="43" t="s">
        <v>20</v>
      </c>
      <c r="L185" s="43" t="s">
        <v>20</v>
      </c>
      <c r="M185" s="18" t="s">
        <v>20</v>
      </c>
      <c r="N185" s="18" t="s">
        <v>20</v>
      </c>
      <c r="O185" s="18" t="s">
        <v>20</v>
      </c>
      <c r="P185" s="18" t="s">
        <v>20</v>
      </c>
      <c r="Q185" s="18" t="s">
        <v>20</v>
      </c>
      <c r="R185" s="18" t="s">
        <v>21</v>
      </c>
      <c r="S185" s="18" t="s">
        <v>20</v>
      </c>
      <c r="T185" s="18" t="s">
        <v>21</v>
      </c>
      <c r="U185" s="18" t="s">
        <v>20</v>
      </c>
      <c r="V185" s="49" t="s">
        <v>20</v>
      </c>
      <c r="W185" s="37" t="s">
        <v>20</v>
      </c>
      <c r="X185" s="37" t="s">
        <v>20</v>
      </c>
      <c r="Y185" s="18" t="s">
        <v>20</v>
      </c>
      <c r="Z185" s="18" t="s">
        <v>20</v>
      </c>
      <c r="AA185" s="20" t="s">
        <v>20</v>
      </c>
      <c r="AB185" s="20" t="s">
        <v>20</v>
      </c>
      <c r="AC185" s="20" t="s">
        <v>21</v>
      </c>
      <c r="AD185" s="29" t="s">
        <v>20</v>
      </c>
      <c r="AE185" s="29" t="s">
        <v>21</v>
      </c>
      <c r="AG185">
        <f>+COUNTIF(F185:AE185,"AD")</f>
        <v>1</v>
      </c>
      <c r="AH185">
        <f>+COUNTIF(F185:AE185,"A")</f>
        <v>21</v>
      </c>
      <c r="AI185">
        <f>+COUNTIF(F185:AE185,"b")</f>
        <v>4</v>
      </c>
      <c r="AJ185">
        <f>+COUNTIF(F185:AE185,"c")</f>
        <v>0</v>
      </c>
      <c r="AL185">
        <f>+$AG$5*AG185</f>
        <v>4</v>
      </c>
      <c r="AM185">
        <f>+$AH$5*AH185</f>
        <v>63</v>
      </c>
      <c r="AN185">
        <f>+$AI$5*AI185</f>
        <v>8</v>
      </c>
      <c r="AO185">
        <f>+$AJ$5*AJ185</f>
        <v>0</v>
      </c>
      <c r="AP185" s="73">
        <f>+SUM(AL185:AO185)</f>
        <v>75</v>
      </c>
    </row>
    <row r="186" spans="1:42" ht="15.75" customHeight="1" x14ac:dyDescent="0.3">
      <c r="A186" s="16"/>
      <c r="B186" s="55">
        <v>8</v>
      </c>
      <c r="C186" s="56" t="s">
        <v>212</v>
      </c>
      <c r="D186" s="55">
        <v>5</v>
      </c>
      <c r="E186" s="55" t="s">
        <v>20</v>
      </c>
      <c r="F186" s="18" t="s">
        <v>20</v>
      </c>
      <c r="G186" s="18" t="s">
        <v>20</v>
      </c>
      <c r="H186" s="18" t="s">
        <v>39</v>
      </c>
      <c r="I186" s="18" t="s">
        <v>39</v>
      </c>
      <c r="J186" s="43" t="s">
        <v>20</v>
      </c>
      <c r="K186" s="43" t="s">
        <v>20</v>
      </c>
      <c r="L186" s="43" t="s">
        <v>20</v>
      </c>
      <c r="M186" s="18" t="s">
        <v>20</v>
      </c>
      <c r="N186" s="18" t="s">
        <v>20</v>
      </c>
      <c r="O186" s="18" t="s">
        <v>20</v>
      </c>
      <c r="P186" s="18" t="s">
        <v>21</v>
      </c>
      <c r="Q186" s="18" t="s">
        <v>21</v>
      </c>
      <c r="R186" s="18" t="s">
        <v>21</v>
      </c>
      <c r="S186" s="18" t="s">
        <v>20</v>
      </c>
      <c r="T186" s="18" t="s">
        <v>21</v>
      </c>
      <c r="U186" s="18" t="s">
        <v>20</v>
      </c>
      <c r="V186" s="37" t="s">
        <v>20</v>
      </c>
      <c r="W186" s="37" t="s">
        <v>20</v>
      </c>
      <c r="X186" s="37" t="s">
        <v>20</v>
      </c>
      <c r="Y186" s="18" t="s">
        <v>20</v>
      </c>
      <c r="Z186" s="18" t="s">
        <v>20</v>
      </c>
      <c r="AA186" s="20" t="s">
        <v>20</v>
      </c>
      <c r="AB186" s="20" t="s">
        <v>20</v>
      </c>
      <c r="AC186" s="20" t="s">
        <v>20</v>
      </c>
      <c r="AD186" s="18" t="s">
        <v>20</v>
      </c>
      <c r="AE186" s="18" t="s">
        <v>21</v>
      </c>
      <c r="AG186">
        <f>+COUNTIF(F186:AE186,"AD")</f>
        <v>2</v>
      </c>
      <c r="AH186">
        <f>+COUNTIF(F186:AE186,"A")</f>
        <v>19</v>
      </c>
      <c r="AI186">
        <f>+COUNTIF(F186:AE186,"b")</f>
        <v>5</v>
      </c>
      <c r="AJ186">
        <f>+COUNTIF(F186:AE186,"c")</f>
        <v>0</v>
      </c>
      <c r="AL186">
        <f>+$AG$5*AG186</f>
        <v>8</v>
      </c>
      <c r="AM186">
        <f>+$AH$5*AH186</f>
        <v>57</v>
      </c>
      <c r="AN186">
        <f>+$AI$5*AI186</f>
        <v>10</v>
      </c>
      <c r="AO186">
        <f>+$AJ$5*AJ186</f>
        <v>0</v>
      </c>
      <c r="AP186" s="73">
        <f>+SUM(AL186:AO186)</f>
        <v>75</v>
      </c>
    </row>
    <row r="187" spans="1:42" ht="15.75" customHeight="1" x14ac:dyDescent="0.3">
      <c r="A187" s="16"/>
      <c r="B187" s="55">
        <v>9</v>
      </c>
      <c r="C187" s="56" t="s">
        <v>198</v>
      </c>
      <c r="D187" s="55">
        <v>5</v>
      </c>
      <c r="E187" s="55" t="s">
        <v>20</v>
      </c>
      <c r="F187" s="18" t="s">
        <v>20</v>
      </c>
      <c r="G187" s="18" t="s">
        <v>20</v>
      </c>
      <c r="H187" s="18" t="s">
        <v>20</v>
      </c>
      <c r="I187" s="18" t="s">
        <v>20</v>
      </c>
      <c r="J187" s="43" t="s">
        <v>20</v>
      </c>
      <c r="K187" s="43" t="s">
        <v>20</v>
      </c>
      <c r="L187" s="43" t="s">
        <v>20</v>
      </c>
      <c r="M187" s="18" t="s">
        <v>20</v>
      </c>
      <c r="N187" s="18" t="s">
        <v>20</v>
      </c>
      <c r="O187" s="18" t="s">
        <v>20</v>
      </c>
      <c r="P187" s="18" t="s">
        <v>21</v>
      </c>
      <c r="Q187" s="18" t="s">
        <v>20</v>
      </c>
      <c r="R187" s="18" t="s">
        <v>20</v>
      </c>
      <c r="S187" s="18" t="s">
        <v>20</v>
      </c>
      <c r="T187" s="18" t="s">
        <v>21</v>
      </c>
      <c r="U187" s="18" t="s">
        <v>20</v>
      </c>
      <c r="V187" s="49" t="s">
        <v>20</v>
      </c>
      <c r="W187" s="37" t="s">
        <v>20</v>
      </c>
      <c r="X187" s="37" t="s">
        <v>20</v>
      </c>
      <c r="Y187" s="18" t="s">
        <v>21</v>
      </c>
      <c r="Z187" s="18" t="s">
        <v>20</v>
      </c>
      <c r="AA187" s="20" t="s">
        <v>21</v>
      </c>
      <c r="AB187" s="20" t="s">
        <v>20</v>
      </c>
      <c r="AC187" s="20" t="s">
        <v>20</v>
      </c>
      <c r="AD187" s="29" t="s">
        <v>20</v>
      </c>
      <c r="AE187" s="29" t="s">
        <v>21</v>
      </c>
      <c r="AG187">
        <f>+COUNTIF(F187:AE187,"AD")</f>
        <v>0</v>
      </c>
      <c r="AH187">
        <f>+COUNTIF(F187:AE187,"A")</f>
        <v>21</v>
      </c>
      <c r="AI187">
        <f>+COUNTIF(F187:AE187,"b")</f>
        <v>5</v>
      </c>
      <c r="AJ187">
        <f>+COUNTIF(F187:AE187,"c")</f>
        <v>0</v>
      </c>
      <c r="AL187">
        <f>+$AG$5*AG187</f>
        <v>0</v>
      </c>
      <c r="AM187">
        <f>+$AH$5*AH187</f>
        <v>63</v>
      </c>
      <c r="AN187">
        <f>+$AI$5*AI187</f>
        <v>10</v>
      </c>
      <c r="AO187">
        <f>+$AJ$5*AJ187</f>
        <v>0</v>
      </c>
      <c r="AP187" s="73">
        <f>+SUM(AL187:AO187)</f>
        <v>73</v>
      </c>
    </row>
    <row r="188" spans="1:42" ht="15.75" customHeight="1" x14ac:dyDescent="0.3">
      <c r="A188" s="16"/>
      <c r="B188" s="55">
        <v>10</v>
      </c>
      <c r="C188" s="56" t="s">
        <v>201</v>
      </c>
      <c r="D188" s="55">
        <v>5</v>
      </c>
      <c r="E188" s="55" t="s">
        <v>20</v>
      </c>
      <c r="F188" s="18" t="s">
        <v>20</v>
      </c>
      <c r="G188" s="18" t="s">
        <v>20</v>
      </c>
      <c r="H188" s="18" t="s">
        <v>39</v>
      </c>
      <c r="I188" s="18" t="s">
        <v>39</v>
      </c>
      <c r="J188" s="43" t="s">
        <v>20</v>
      </c>
      <c r="K188" s="43" t="s">
        <v>20</v>
      </c>
      <c r="L188" s="43" t="s">
        <v>20</v>
      </c>
      <c r="M188" s="18" t="s">
        <v>20</v>
      </c>
      <c r="N188" s="18" t="s">
        <v>20</v>
      </c>
      <c r="O188" s="18" t="s">
        <v>20</v>
      </c>
      <c r="P188" s="18" t="s">
        <v>20</v>
      </c>
      <c r="Q188" s="18" t="s">
        <v>21</v>
      </c>
      <c r="R188" s="18" t="s">
        <v>21</v>
      </c>
      <c r="S188" s="18" t="s">
        <v>20</v>
      </c>
      <c r="T188" s="18" t="s">
        <v>21</v>
      </c>
      <c r="U188" s="18" t="s">
        <v>20</v>
      </c>
      <c r="V188" s="50" t="s">
        <v>20</v>
      </c>
      <c r="W188" s="37" t="s">
        <v>20</v>
      </c>
      <c r="X188" s="37" t="s">
        <v>20</v>
      </c>
      <c r="Y188" s="18" t="s">
        <v>20</v>
      </c>
      <c r="Z188" s="18" t="s">
        <v>20</v>
      </c>
      <c r="AA188" s="20" t="s">
        <v>21</v>
      </c>
      <c r="AB188" s="20" t="s">
        <v>21</v>
      </c>
      <c r="AC188" s="20" t="s">
        <v>21</v>
      </c>
      <c r="AD188" s="29" t="s">
        <v>20</v>
      </c>
      <c r="AE188" s="29" t="s">
        <v>21</v>
      </c>
      <c r="AG188">
        <f>+COUNTIF(F188:AE188,"AD")</f>
        <v>2</v>
      </c>
      <c r="AH188">
        <f>+COUNTIF(F188:AE188,"A")</f>
        <v>17</v>
      </c>
      <c r="AI188">
        <f>+COUNTIF(F188:AE188,"b")</f>
        <v>7</v>
      </c>
      <c r="AJ188">
        <f>+COUNTIF(F188:AE188,"c")</f>
        <v>0</v>
      </c>
      <c r="AL188">
        <f>+$AG$5*AG188</f>
        <v>8</v>
      </c>
      <c r="AM188">
        <f>+$AH$5*AH188</f>
        <v>51</v>
      </c>
      <c r="AN188">
        <f>+$AI$5*AI188</f>
        <v>14</v>
      </c>
      <c r="AO188">
        <f>+$AJ$5*AJ188</f>
        <v>0</v>
      </c>
      <c r="AP188" s="73">
        <f>+SUM(AL188:AO188)</f>
        <v>73</v>
      </c>
    </row>
    <row r="189" spans="1:42" ht="15.75" customHeight="1" x14ac:dyDescent="0.3">
      <c r="A189" s="16"/>
      <c r="B189" s="55">
        <v>11</v>
      </c>
      <c r="C189" s="56" t="s">
        <v>205</v>
      </c>
      <c r="D189" s="55">
        <v>5</v>
      </c>
      <c r="E189" s="55" t="s">
        <v>20</v>
      </c>
      <c r="F189" s="18" t="s">
        <v>20</v>
      </c>
      <c r="G189" s="18" t="s">
        <v>20</v>
      </c>
      <c r="H189" s="18" t="s">
        <v>20</v>
      </c>
      <c r="I189" s="18" t="s">
        <v>20</v>
      </c>
      <c r="J189" s="43" t="s">
        <v>20</v>
      </c>
      <c r="K189" s="43" t="s">
        <v>20</v>
      </c>
      <c r="L189" s="43" t="s">
        <v>20</v>
      </c>
      <c r="M189" s="18" t="s">
        <v>20</v>
      </c>
      <c r="N189" s="18" t="s">
        <v>20</v>
      </c>
      <c r="O189" s="18" t="s">
        <v>20</v>
      </c>
      <c r="P189" s="18" t="s">
        <v>21</v>
      </c>
      <c r="Q189" s="18" t="s">
        <v>21</v>
      </c>
      <c r="R189" s="18" t="s">
        <v>20</v>
      </c>
      <c r="S189" s="18" t="s">
        <v>20</v>
      </c>
      <c r="T189" s="18" t="s">
        <v>21</v>
      </c>
      <c r="U189" s="18" t="s">
        <v>21</v>
      </c>
      <c r="V189" s="49" t="s">
        <v>20</v>
      </c>
      <c r="W189" s="37" t="s">
        <v>20</v>
      </c>
      <c r="X189" s="37" t="s">
        <v>20</v>
      </c>
      <c r="Y189" s="18" t="s">
        <v>20</v>
      </c>
      <c r="Z189" s="18" t="s">
        <v>20</v>
      </c>
      <c r="AA189" s="20" t="s">
        <v>20</v>
      </c>
      <c r="AB189" s="20" t="s">
        <v>20</v>
      </c>
      <c r="AC189" s="20" t="s">
        <v>20</v>
      </c>
      <c r="AD189" s="29" t="s">
        <v>20</v>
      </c>
      <c r="AE189" s="29" t="s">
        <v>21</v>
      </c>
      <c r="AG189">
        <f>+COUNTIF(F189:AE189,"AD")</f>
        <v>0</v>
      </c>
      <c r="AH189">
        <f>+COUNTIF(F189:AE189,"A")</f>
        <v>21</v>
      </c>
      <c r="AI189">
        <f>+COUNTIF(F189:AE189,"b")</f>
        <v>5</v>
      </c>
      <c r="AJ189">
        <f>+COUNTIF(F189:AE189,"c")</f>
        <v>0</v>
      </c>
      <c r="AL189">
        <f>+$AG$5*AG189</f>
        <v>0</v>
      </c>
      <c r="AM189">
        <f>+$AH$5*AH189</f>
        <v>63</v>
      </c>
      <c r="AN189">
        <f>+$AI$5*AI189</f>
        <v>10</v>
      </c>
      <c r="AO189">
        <f>+$AJ$5*AJ189</f>
        <v>0</v>
      </c>
      <c r="AP189" s="73">
        <f>+SUM(AL189:AO189)</f>
        <v>73</v>
      </c>
    </row>
    <row r="190" spans="1:42" ht="15.75" customHeight="1" x14ac:dyDescent="0.3">
      <c r="A190" s="16"/>
      <c r="B190" s="55">
        <v>12</v>
      </c>
      <c r="C190" s="56" t="s">
        <v>206</v>
      </c>
      <c r="D190" s="55">
        <v>5</v>
      </c>
      <c r="E190" s="55" t="s">
        <v>20</v>
      </c>
      <c r="F190" s="18" t="s">
        <v>20</v>
      </c>
      <c r="G190" s="18" t="s">
        <v>20</v>
      </c>
      <c r="H190" s="18" t="s">
        <v>20</v>
      </c>
      <c r="I190" s="18" t="s">
        <v>20</v>
      </c>
      <c r="J190" s="43" t="s">
        <v>20</v>
      </c>
      <c r="K190" s="43" t="s">
        <v>20</v>
      </c>
      <c r="L190" s="43" t="s">
        <v>21</v>
      </c>
      <c r="M190" s="18" t="s">
        <v>20</v>
      </c>
      <c r="N190" s="18" t="s">
        <v>20</v>
      </c>
      <c r="O190" s="18" t="s">
        <v>20</v>
      </c>
      <c r="P190" s="18" t="s">
        <v>21</v>
      </c>
      <c r="Q190" s="18" t="s">
        <v>21</v>
      </c>
      <c r="R190" s="18" t="s">
        <v>20</v>
      </c>
      <c r="S190" s="18" t="s">
        <v>20</v>
      </c>
      <c r="T190" s="18" t="s">
        <v>21</v>
      </c>
      <c r="U190" s="18" t="s">
        <v>20</v>
      </c>
      <c r="V190" s="49" t="s">
        <v>20</v>
      </c>
      <c r="W190" s="37" t="s">
        <v>20</v>
      </c>
      <c r="X190" s="37" t="s">
        <v>21</v>
      </c>
      <c r="Y190" s="18" t="s">
        <v>20</v>
      </c>
      <c r="Z190" s="18" t="s">
        <v>20</v>
      </c>
      <c r="AA190" s="20" t="s">
        <v>39</v>
      </c>
      <c r="AB190" s="20" t="s">
        <v>20</v>
      </c>
      <c r="AC190" s="20" t="s">
        <v>20</v>
      </c>
      <c r="AD190" s="29" t="s">
        <v>20</v>
      </c>
      <c r="AE190" s="29" t="s">
        <v>21</v>
      </c>
      <c r="AG190">
        <f>+COUNTIF(F190:AE190,"AD")</f>
        <v>1</v>
      </c>
      <c r="AH190">
        <f>+COUNTIF(F190:AE190,"A")</f>
        <v>19</v>
      </c>
      <c r="AI190">
        <f>+COUNTIF(F190:AE190,"b")</f>
        <v>6</v>
      </c>
      <c r="AJ190">
        <f>+COUNTIF(F190:AE190,"c")</f>
        <v>0</v>
      </c>
      <c r="AL190">
        <f>+$AG$5*AG190</f>
        <v>4</v>
      </c>
      <c r="AM190">
        <f>+$AH$5*AH190</f>
        <v>57</v>
      </c>
      <c r="AN190">
        <f>+$AI$5*AI190</f>
        <v>12</v>
      </c>
      <c r="AO190">
        <f>+$AJ$5*AJ190</f>
        <v>0</v>
      </c>
      <c r="AP190" s="73">
        <f>+SUM(AL190:AO190)</f>
        <v>73</v>
      </c>
    </row>
    <row r="191" spans="1:42" ht="15.75" customHeight="1" x14ac:dyDescent="0.3">
      <c r="A191" s="16"/>
      <c r="B191" s="55">
        <v>13</v>
      </c>
      <c r="C191" s="56" t="s">
        <v>217</v>
      </c>
      <c r="D191" s="55">
        <v>5</v>
      </c>
      <c r="E191" s="55" t="s">
        <v>20</v>
      </c>
      <c r="F191" s="18" t="s">
        <v>20</v>
      </c>
      <c r="G191" s="18" t="s">
        <v>20</v>
      </c>
      <c r="H191" s="18" t="s">
        <v>39</v>
      </c>
      <c r="I191" s="18" t="s">
        <v>20</v>
      </c>
      <c r="J191" s="43" t="s">
        <v>20</v>
      </c>
      <c r="K191" s="43" t="s">
        <v>20</v>
      </c>
      <c r="L191" s="43" t="s">
        <v>20</v>
      </c>
      <c r="M191" s="18" t="s">
        <v>21</v>
      </c>
      <c r="N191" s="18" t="s">
        <v>20</v>
      </c>
      <c r="O191" s="18" t="s">
        <v>20</v>
      </c>
      <c r="P191" s="18" t="s">
        <v>21</v>
      </c>
      <c r="Q191" s="18" t="s">
        <v>21</v>
      </c>
      <c r="R191" s="18" t="s">
        <v>21</v>
      </c>
      <c r="S191" s="18" t="s">
        <v>20</v>
      </c>
      <c r="T191" s="18" t="s">
        <v>21</v>
      </c>
      <c r="U191" s="18" t="s">
        <v>20</v>
      </c>
      <c r="V191" s="37" t="s">
        <v>20</v>
      </c>
      <c r="W191" s="37" t="s">
        <v>20</v>
      </c>
      <c r="X191" s="37" t="s">
        <v>20</v>
      </c>
      <c r="Y191" s="18" t="s">
        <v>20</v>
      </c>
      <c r="Z191" s="18" t="s">
        <v>20</v>
      </c>
      <c r="AA191" s="20" t="s">
        <v>20</v>
      </c>
      <c r="AB191" s="20" t="s">
        <v>20</v>
      </c>
      <c r="AC191" s="20" t="s">
        <v>20</v>
      </c>
      <c r="AD191" s="18" t="s">
        <v>20</v>
      </c>
      <c r="AE191" s="18" t="s">
        <v>21</v>
      </c>
      <c r="AG191">
        <f>+COUNTIF(F191:AE191,"AD")</f>
        <v>1</v>
      </c>
      <c r="AH191">
        <f>+COUNTIF(F191:AE191,"A")</f>
        <v>19</v>
      </c>
      <c r="AI191">
        <f>+COUNTIF(F191:AE191,"b")</f>
        <v>6</v>
      </c>
      <c r="AJ191">
        <f>+COUNTIF(F191:AE191,"c")</f>
        <v>0</v>
      </c>
      <c r="AL191">
        <f>+$AG$5*AG191</f>
        <v>4</v>
      </c>
      <c r="AM191">
        <f>+$AH$5*AH191</f>
        <v>57</v>
      </c>
      <c r="AN191">
        <f>+$AI$5*AI191</f>
        <v>12</v>
      </c>
      <c r="AO191">
        <f>+$AJ$5*AJ191</f>
        <v>0</v>
      </c>
      <c r="AP191" s="73">
        <f>+SUM(AL191:AO191)</f>
        <v>73</v>
      </c>
    </row>
    <row r="192" spans="1:42" ht="15.75" customHeight="1" x14ac:dyDescent="0.3">
      <c r="A192" s="16"/>
      <c r="B192" s="55">
        <v>14</v>
      </c>
      <c r="C192" s="56" t="s">
        <v>223</v>
      </c>
      <c r="D192" s="55">
        <v>5</v>
      </c>
      <c r="E192" s="55" t="s">
        <v>20</v>
      </c>
      <c r="F192" s="18" t="s">
        <v>20</v>
      </c>
      <c r="G192" s="18" t="s">
        <v>20</v>
      </c>
      <c r="H192" s="18" t="s">
        <v>20</v>
      </c>
      <c r="I192" s="18" t="s">
        <v>20</v>
      </c>
      <c r="J192" s="43" t="s">
        <v>20</v>
      </c>
      <c r="K192" s="43" t="s">
        <v>20</v>
      </c>
      <c r="L192" s="43" t="s">
        <v>20</v>
      </c>
      <c r="M192" s="18" t="s">
        <v>20</v>
      </c>
      <c r="N192" s="18" t="s">
        <v>20</v>
      </c>
      <c r="O192" s="18" t="s">
        <v>20</v>
      </c>
      <c r="P192" s="18" t="s">
        <v>20</v>
      </c>
      <c r="Q192" s="18" t="s">
        <v>21</v>
      </c>
      <c r="R192" s="18" t="s">
        <v>21</v>
      </c>
      <c r="S192" s="18" t="s">
        <v>20</v>
      </c>
      <c r="T192" s="18" t="s">
        <v>21</v>
      </c>
      <c r="U192" s="18" t="s">
        <v>21</v>
      </c>
      <c r="V192" s="37" t="s">
        <v>20</v>
      </c>
      <c r="W192" s="37" t="s">
        <v>20</v>
      </c>
      <c r="X192" s="37" t="s">
        <v>20</v>
      </c>
      <c r="Y192" s="18" t="s">
        <v>20</v>
      </c>
      <c r="Z192" s="18" t="s">
        <v>20</v>
      </c>
      <c r="AA192" s="20" t="s">
        <v>20</v>
      </c>
      <c r="AB192" s="20" t="s">
        <v>20</v>
      </c>
      <c r="AC192" s="20" t="s">
        <v>20</v>
      </c>
      <c r="AD192" s="18" t="s">
        <v>20</v>
      </c>
      <c r="AE192" s="18" t="s">
        <v>21</v>
      </c>
      <c r="AG192">
        <f>+COUNTIF(F192:AE192,"AD")</f>
        <v>0</v>
      </c>
      <c r="AH192">
        <f>+COUNTIF(F192:AE192,"A")</f>
        <v>21</v>
      </c>
      <c r="AI192">
        <f>+COUNTIF(F192:AE192,"b")</f>
        <v>5</v>
      </c>
      <c r="AJ192">
        <f>+COUNTIF(F192:AE192,"c")</f>
        <v>0</v>
      </c>
      <c r="AL192">
        <f>+$AG$5*AG192</f>
        <v>0</v>
      </c>
      <c r="AM192">
        <f>+$AH$5*AH192</f>
        <v>63</v>
      </c>
      <c r="AN192">
        <f>+$AI$5*AI192</f>
        <v>10</v>
      </c>
      <c r="AO192">
        <f>+$AJ$5*AJ192</f>
        <v>0</v>
      </c>
      <c r="AP192" s="73">
        <f>+SUM(AL192:AO192)</f>
        <v>73</v>
      </c>
    </row>
    <row r="193" spans="1:42" ht="15.75" customHeight="1" x14ac:dyDescent="0.3">
      <c r="A193" s="16"/>
      <c r="B193" s="55">
        <v>15</v>
      </c>
      <c r="C193" s="56" t="s">
        <v>214</v>
      </c>
      <c r="D193" s="55">
        <v>5</v>
      </c>
      <c r="E193" s="55" t="s">
        <v>20</v>
      </c>
      <c r="F193" s="18" t="s">
        <v>20</v>
      </c>
      <c r="G193" s="18" t="s">
        <v>20</v>
      </c>
      <c r="H193" s="18" t="s">
        <v>20</v>
      </c>
      <c r="I193" s="18" t="s">
        <v>20</v>
      </c>
      <c r="J193" s="43" t="s">
        <v>20</v>
      </c>
      <c r="K193" s="43" t="s">
        <v>20</v>
      </c>
      <c r="L193" s="43" t="s">
        <v>21</v>
      </c>
      <c r="M193" s="18" t="s">
        <v>20</v>
      </c>
      <c r="N193" s="18" t="s">
        <v>20</v>
      </c>
      <c r="O193" s="18" t="s">
        <v>20</v>
      </c>
      <c r="P193" s="18" t="s">
        <v>21</v>
      </c>
      <c r="Q193" s="18" t="s">
        <v>20</v>
      </c>
      <c r="R193" s="18" t="s">
        <v>21</v>
      </c>
      <c r="S193" s="18" t="s">
        <v>21</v>
      </c>
      <c r="T193" s="18" t="s">
        <v>21</v>
      </c>
      <c r="U193" s="18" t="s">
        <v>20</v>
      </c>
      <c r="V193" s="37" t="s">
        <v>20</v>
      </c>
      <c r="W193" s="37" t="s">
        <v>20</v>
      </c>
      <c r="X193" s="37" t="s">
        <v>20</v>
      </c>
      <c r="Y193" s="18" t="s">
        <v>20</v>
      </c>
      <c r="Z193" s="18" t="s">
        <v>20</v>
      </c>
      <c r="AA193" s="20" t="s">
        <v>20</v>
      </c>
      <c r="AB193" s="20" t="s">
        <v>20</v>
      </c>
      <c r="AC193" s="20" t="s">
        <v>20</v>
      </c>
      <c r="AD193" s="18" t="s">
        <v>20</v>
      </c>
      <c r="AE193" s="18" t="s">
        <v>21</v>
      </c>
      <c r="AG193">
        <f>+COUNTIF(F193:AE193,"AD")</f>
        <v>0</v>
      </c>
      <c r="AH193">
        <f>+COUNTIF(F193:AE193,"A")</f>
        <v>20</v>
      </c>
      <c r="AI193">
        <f>+COUNTIF(F193:AE193,"b")</f>
        <v>6</v>
      </c>
      <c r="AJ193">
        <f>+COUNTIF(F193:AE193,"c")</f>
        <v>0</v>
      </c>
      <c r="AL193">
        <f>+$AG$5*AG193</f>
        <v>0</v>
      </c>
      <c r="AM193">
        <f>+$AH$5*AH193</f>
        <v>60</v>
      </c>
      <c r="AN193">
        <f>+$AI$5*AI193</f>
        <v>12</v>
      </c>
      <c r="AO193">
        <f>+$AJ$5*AJ193</f>
        <v>0</v>
      </c>
      <c r="AP193" s="73">
        <f>+SUM(AL193:AO193)</f>
        <v>72</v>
      </c>
    </row>
    <row r="194" spans="1:42" ht="15.75" customHeight="1" x14ac:dyDescent="0.3">
      <c r="A194" s="16"/>
      <c r="B194" s="55">
        <v>16</v>
      </c>
      <c r="C194" s="56" t="s">
        <v>197</v>
      </c>
      <c r="D194" s="55">
        <v>5</v>
      </c>
      <c r="E194" s="55" t="s">
        <v>20</v>
      </c>
      <c r="F194" s="18" t="s">
        <v>20</v>
      </c>
      <c r="G194" s="18" t="s">
        <v>20</v>
      </c>
      <c r="H194" s="18" t="s">
        <v>39</v>
      </c>
      <c r="I194" s="18" t="s">
        <v>39</v>
      </c>
      <c r="J194" s="43" t="s">
        <v>20</v>
      </c>
      <c r="K194" s="43" t="s">
        <v>20</v>
      </c>
      <c r="L194" s="43" t="s">
        <v>20</v>
      </c>
      <c r="M194" s="18" t="s">
        <v>20</v>
      </c>
      <c r="N194" s="18" t="s">
        <v>20</v>
      </c>
      <c r="O194" s="18" t="s">
        <v>20</v>
      </c>
      <c r="P194" s="18" t="s">
        <v>21</v>
      </c>
      <c r="Q194" s="18" t="s">
        <v>21</v>
      </c>
      <c r="R194" s="18" t="s">
        <v>21</v>
      </c>
      <c r="S194" s="18" t="s">
        <v>20</v>
      </c>
      <c r="T194" s="18" t="s">
        <v>21</v>
      </c>
      <c r="U194" s="18" t="s">
        <v>21</v>
      </c>
      <c r="V194" s="49" t="s">
        <v>20</v>
      </c>
      <c r="W194" s="37" t="s">
        <v>21</v>
      </c>
      <c r="X194" s="37" t="s">
        <v>21</v>
      </c>
      <c r="Y194" s="18" t="s">
        <v>20</v>
      </c>
      <c r="Z194" s="18" t="s">
        <v>20</v>
      </c>
      <c r="AA194" s="20" t="s">
        <v>20</v>
      </c>
      <c r="AB194" s="20" t="s">
        <v>20</v>
      </c>
      <c r="AC194" s="20" t="s">
        <v>21</v>
      </c>
      <c r="AD194" s="29" t="s">
        <v>20</v>
      </c>
      <c r="AE194" s="29" t="s">
        <v>21</v>
      </c>
      <c r="AG194">
        <f>+COUNTIF(F194:AE194,"AD")</f>
        <v>2</v>
      </c>
      <c r="AH194">
        <f>+COUNTIF(F194:AE194,"A")</f>
        <v>15</v>
      </c>
      <c r="AI194">
        <f>+COUNTIF(F194:AE194,"b")</f>
        <v>9</v>
      </c>
      <c r="AJ194">
        <f>+COUNTIF(F194:AE194,"c")</f>
        <v>0</v>
      </c>
      <c r="AL194">
        <f>+$AG$5*AG194</f>
        <v>8</v>
      </c>
      <c r="AM194">
        <f>+$AH$5*AH194</f>
        <v>45</v>
      </c>
      <c r="AN194">
        <f>+$AI$5*AI194</f>
        <v>18</v>
      </c>
      <c r="AO194">
        <f>+$AJ$5*AJ194</f>
        <v>0</v>
      </c>
      <c r="AP194" s="73">
        <f>+SUM(AL194:AO194)</f>
        <v>71</v>
      </c>
    </row>
    <row r="195" spans="1:42" ht="15.75" customHeight="1" x14ac:dyDescent="0.3">
      <c r="A195" s="16"/>
      <c r="B195" s="55">
        <v>17</v>
      </c>
      <c r="C195" s="56" t="s">
        <v>224</v>
      </c>
      <c r="D195" s="55">
        <v>5</v>
      </c>
      <c r="E195" s="55" t="s">
        <v>20</v>
      </c>
      <c r="F195" s="18" t="s">
        <v>20</v>
      </c>
      <c r="G195" s="18" t="s">
        <v>20</v>
      </c>
      <c r="H195" s="18" t="s">
        <v>20</v>
      </c>
      <c r="I195" s="18" t="s">
        <v>20</v>
      </c>
      <c r="J195" s="43" t="s">
        <v>20</v>
      </c>
      <c r="K195" s="43" t="s">
        <v>20</v>
      </c>
      <c r="L195" s="43" t="s">
        <v>21</v>
      </c>
      <c r="M195" s="18" t="s">
        <v>20</v>
      </c>
      <c r="N195" s="18" t="s">
        <v>20</v>
      </c>
      <c r="O195" s="18" t="s">
        <v>20</v>
      </c>
      <c r="P195" s="18" t="s">
        <v>21</v>
      </c>
      <c r="Q195" s="18" t="s">
        <v>21</v>
      </c>
      <c r="R195" s="18" t="s">
        <v>21</v>
      </c>
      <c r="S195" s="18" t="s">
        <v>20</v>
      </c>
      <c r="T195" s="18" t="s">
        <v>21</v>
      </c>
      <c r="U195" s="18" t="s">
        <v>20</v>
      </c>
      <c r="V195" s="37" t="s">
        <v>20</v>
      </c>
      <c r="W195" s="37" t="s">
        <v>20</v>
      </c>
      <c r="X195" s="37" t="s">
        <v>21</v>
      </c>
      <c r="Y195" s="18" t="s">
        <v>20</v>
      </c>
      <c r="Z195" s="18" t="s">
        <v>20</v>
      </c>
      <c r="AA195" s="20" t="s">
        <v>20</v>
      </c>
      <c r="AB195" s="20" t="s">
        <v>20</v>
      </c>
      <c r="AC195" s="20" t="s">
        <v>20</v>
      </c>
      <c r="AD195" s="18" t="s">
        <v>20</v>
      </c>
      <c r="AE195" s="18" t="s">
        <v>21</v>
      </c>
      <c r="AG195">
        <f>+COUNTIF(F195:AE195,"AD")</f>
        <v>0</v>
      </c>
      <c r="AH195">
        <f>+COUNTIF(F195:AE195,"A")</f>
        <v>19</v>
      </c>
      <c r="AI195">
        <f>+COUNTIF(F195:AE195,"b")</f>
        <v>7</v>
      </c>
      <c r="AJ195">
        <f>+COUNTIF(F195:AE195,"c")</f>
        <v>0</v>
      </c>
      <c r="AL195">
        <f>+$AG$5*AG195</f>
        <v>0</v>
      </c>
      <c r="AM195">
        <f>+$AH$5*AH195</f>
        <v>57</v>
      </c>
      <c r="AN195">
        <f>+$AI$5*AI195</f>
        <v>14</v>
      </c>
      <c r="AO195">
        <f>+$AJ$5*AJ195</f>
        <v>0</v>
      </c>
      <c r="AP195" s="73">
        <f>+SUM(AL195:AO195)</f>
        <v>71</v>
      </c>
    </row>
    <row r="196" spans="1:42" ht="15.75" customHeight="1" x14ac:dyDescent="0.3">
      <c r="A196" s="16"/>
      <c r="B196" s="55">
        <v>18</v>
      </c>
      <c r="C196" s="56" t="s">
        <v>199</v>
      </c>
      <c r="D196" s="55">
        <v>5</v>
      </c>
      <c r="E196" s="55" t="s">
        <v>20</v>
      </c>
      <c r="F196" s="18" t="s">
        <v>23</v>
      </c>
      <c r="G196" s="18" t="s">
        <v>23</v>
      </c>
      <c r="H196" s="18" t="s">
        <v>21</v>
      </c>
      <c r="I196" s="18" t="s">
        <v>21</v>
      </c>
      <c r="J196" s="43" t="s">
        <v>20</v>
      </c>
      <c r="K196" s="43" t="s">
        <v>20</v>
      </c>
      <c r="L196" s="43" t="s">
        <v>21</v>
      </c>
      <c r="M196" s="18" t="s">
        <v>20</v>
      </c>
      <c r="N196" s="18" t="s">
        <v>20</v>
      </c>
      <c r="O196" s="18" t="s">
        <v>20</v>
      </c>
      <c r="P196" s="18" t="s">
        <v>21</v>
      </c>
      <c r="Q196" s="18" t="s">
        <v>21</v>
      </c>
      <c r="R196" s="18" t="s">
        <v>20</v>
      </c>
      <c r="S196" s="18" t="s">
        <v>21</v>
      </c>
      <c r="T196" s="18" t="s">
        <v>20</v>
      </c>
      <c r="U196" s="18" t="s">
        <v>20</v>
      </c>
      <c r="V196" s="49" t="s">
        <v>20</v>
      </c>
      <c r="W196" s="37" t="s">
        <v>20</v>
      </c>
      <c r="X196" s="37" t="s">
        <v>20</v>
      </c>
      <c r="Y196" s="18" t="s">
        <v>20</v>
      </c>
      <c r="Z196" s="18" t="s">
        <v>20</v>
      </c>
      <c r="AA196" s="20" t="s">
        <v>21</v>
      </c>
      <c r="AB196" s="20" t="s">
        <v>21</v>
      </c>
      <c r="AC196" s="20" t="s">
        <v>21</v>
      </c>
      <c r="AD196" s="29" t="s">
        <v>20</v>
      </c>
      <c r="AE196" s="29" t="s">
        <v>21</v>
      </c>
      <c r="AG196">
        <f>+COUNTIF(F196:AE196,"AD")</f>
        <v>0</v>
      </c>
      <c r="AH196">
        <f>+COUNTIF(F196:AE196,"A")</f>
        <v>14</v>
      </c>
      <c r="AI196">
        <f>+COUNTIF(F196:AE196,"b")</f>
        <v>10</v>
      </c>
      <c r="AJ196">
        <f>+COUNTIF(F196:AE196,"c")</f>
        <v>2</v>
      </c>
      <c r="AL196">
        <f>+$AG$5*AG196</f>
        <v>0</v>
      </c>
      <c r="AM196">
        <f>+$AH$5*AH196</f>
        <v>42</v>
      </c>
      <c r="AN196">
        <f>+$AI$5*AI196</f>
        <v>20</v>
      </c>
      <c r="AO196">
        <f>+$AJ$5*AJ196</f>
        <v>2</v>
      </c>
      <c r="AP196" s="73">
        <f>+SUM(AL196:AO196)</f>
        <v>64</v>
      </c>
    </row>
    <row r="197" spans="1:42" ht="15.75" customHeight="1" x14ac:dyDescent="0.3">
      <c r="A197" s="16"/>
      <c r="B197" s="55">
        <v>19</v>
      </c>
      <c r="C197" s="56" t="s">
        <v>215</v>
      </c>
      <c r="D197" s="55">
        <v>5</v>
      </c>
      <c r="E197" s="55" t="s">
        <v>20</v>
      </c>
      <c r="F197" s="18" t="s">
        <v>20</v>
      </c>
      <c r="G197" s="18" t="s">
        <v>20</v>
      </c>
      <c r="H197" s="18" t="s">
        <v>20</v>
      </c>
      <c r="I197" s="18" t="s">
        <v>20</v>
      </c>
      <c r="J197" s="43" t="s">
        <v>20</v>
      </c>
      <c r="K197" s="43" t="s">
        <v>20</v>
      </c>
      <c r="L197" s="43" t="s">
        <v>20</v>
      </c>
      <c r="M197" s="18" t="s">
        <v>20</v>
      </c>
      <c r="N197" s="18" t="s">
        <v>20</v>
      </c>
      <c r="O197" s="18" t="s">
        <v>20</v>
      </c>
      <c r="P197" s="18" t="s">
        <v>21</v>
      </c>
      <c r="Q197" s="18" t="s">
        <v>21</v>
      </c>
      <c r="R197" s="18" t="s">
        <v>21</v>
      </c>
      <c r="S197" s="18" t="s">
        <v>21</v>
      </c>
      <c r="T197" s="18" t="s">
        <v>21</v>
      </c>
      <c r="U197" s="18" t="s">
        <v>21</v>
      </c>
      <c r="V197" s="37" t="s">
        <v>21</v>
      </c>
      <c r="W197" s="37" t="s">
        <v>20</v>
      </c>
      <c r="X197" s="37" t="s">
        <v>20</v>
      </c>
      <c r="Y197" s="18" t="s">
        <v>21</v>
      </c>
      <c r="Z197" s="18" t="s">
        <v>20</v>
      </c>
      <c r="AA197" s="20" t="s">
        <v>20</v>
      </c>
      <c r="AB197" s="20" t="s">
        <v>20</v>
      </c>
      <c r="AC197" s="20" t="s">
        <v>20</v>
      </c>
      <c r="AD197" s="18" t="s">
        <v>55</v>
      </c>
      <c r="AE197" s="18" t="s">
        <v>55</v>
      </c>
      <c r="AG197">
        <f>+COUNTIF(F197:AE197,"AD")</f>
        <v>0</v>
      </c>
      <c r="AH197">
        <f>+COUNTIF(F197:AE197,"A")</f>
        <v>16</v>
      </c>
      <c r="AI197">
        <f>+COUNTIF(F197:AE197,"b")</f>
        <v>8</v>
      </c>
      <c r="AJ197">
        <f>+COUNTIF(F197:AE197,"c")</f>
        <v>0</v>
      </c>
      <c r="AL197">
        <f>+$AG$5*AG197</f>
        <v>0</v>
      </c>
      <c r="AM197">
        <f>+$AH$5*AH197</f>
        <v>48</v>
      </c>
      <c r="AN197">
        <f>+$AI$5*AI197</f>
        <v>16</v>
      </c>
      <c r="AO197">
        <f>+$AJ$5*AJ197</f>
        <v>0</v>
      </c>
      <c r="AP197" s="73">
        <f>+SUM(AL197:AO197)</f>
        <v>64</v>
      </c>
    </row>
    <row r="198" spans="1:42" ht="15.75" customHeight="1" thickBot="1" x14ac:dyDescent="0.35">
      <c r="A198" s="16"/>
      <c r="B198" s="57">
        <v>20</v>
      </c>
      <c r="C198" s="56" t="s">
        <v>203</v>
      </c>
      <c r="D198" s="55">
        <v>5</v>
      </c>
      <c r="E198" s="55" t="s">
        <v>20</v>
      </c>
      <c r="F198" s="18" t="s">
        <v>23</v>
      </c>
      <c r="G198" s="18" t="s">
        <v>21</v>
      </c>
      <c r="H198" s="18" t="s">
        <v>23</v>
      </c>
      <c r="I198" s="18" t="s">
        <v>21</v>
      </c>
      <c r="J198" s="43" t="s">
        <v>20</v>
      </c>
      <c r="K198" s="43" t="s">
        <v>20</v>
      </c>
      <c r="L198" s="43" t="s">
        <v>21</v>
      </c>
      <c r="M198" s="18" t="s">
        <v>21</v>
      </c>
      <c r="N198" s="18" t="s">
        <v>20</v>
      </c>
      <c r="O198" s="18" t="s">
        <v>20</v>
      </c>
      <c r="P198" s="18" t="s">
        <v>21</v>
      </c>
      <c r="Q198" s="18" t="s">
        <v>20</v>
      </c>
      <c r="R198" s="18" t="s">
        <v>20</v>
      </c>
      <c r="S198" s="18" t="s">
        <v>21</v>
      </c>
      <c r="T198" s="18" t="s">
        <v>21</v>
      </c>
      <c r="U198" s="18" t="s">
        <v>20</v>
      </c>
      <c r="V198" s="49" t="s">
        <v>20</v>
      </c>
      <c r="W198" s="37" t="s">
        <v>20</v>
      </c>
      <c r="X198" s="37" t="s">
        <v>20</v>
      </c>
      <c r="Y198" s="18" t="s">
        <v>20</v>
      </c>
      <c r="Z198" s="18" t="s">
        <v>21</v>
      </c>
      <c r="AA198" s="20" t="s">
        <v>21</v>
      </c>
      <c r="AB198" s="20" t="s">
        <v>20</v>
      </c>
      <c r="AC198" s="20" t="s">
        <v>21</v>
      </c>
      <c r="AD198" s="29" t="s">
        <v>20</v>
      </c>
      <c r="AE198" s="29" t="s">
        <v>21</v>
      </c>
      <c r="AG198">
        <f>+COUNTIF(F198:AE198,"AD")</f>
        <v>0</v>
      </c>
      <c r="AH198">
        <f>+COUNTIF(F198:AE198,"A")</f>
        <v>13</v>
      </c>
      <c r="AI198">
        <f>+COUNTIF(F198:AE198,"b")</f>
        <v>11</v>
      </c>
      <c r="AJ198">
        <f>+COUNTIF(F198:AE198,"c")</f>
        <v>2</v>
      </c>
      <c r="AL198">
        <f>+$AG$5*AG198</f>
        <v>0</v>
      </c>
      <c r="AM198">
        <f>+$AH$5*AH198</f>
        <v>39</v>
      </c>
      <c r="AN198">
        <f>+$AI$5*AI198</f>
        <v>22</v>
      </c>
      <c r="AO198">
        <f>+$AJ$5*AJ198</f>
        <v>2</v>
      </c>
      <c r="AP198" s="73">
        <f>+SUM(AL198:AO198)</f>
        <v>63</v>
      </c>
    </row>
    <row r="199" spans="1:42" ht="15.75" customHeight="1" x14ac:dyDescent="0.3">
      <c r="A199" s="16"/>
      <c r="B199" s="55">
        <v>21</v>
      </c>
      <c r="C199" s="56" t="s">
        <v>211</v>
      </c>
      <c r="D199" s="55">
        <v>5</v>
      </c>
      <c r="E199" s="55" t="s">
        <v>20</v>
      </c>
      <c r="F199" s="18" t="s">
        <v>21</v>
      </c>
      <c r="G199" s="18" t="s">
        <v>21</v>
      </c>
      <c r="H199" s="18" t="s">
        <v>21</v>
      </c>
      <c r="I199" s="18" t="s">
        <v>21</v>
      </c>
      <c r="J199" s="43" t="s">
        <v>20</v>
      </c>
      <c r="K199" s="43" t="s">
        <v>20</v>
      </c>
      <c r="L199" s="43" t="s">
        <v>21</v>
      </c>
      <c r="M199" s="18" t="s">
        <v>20</v>
      </c>
      <c r="N199" s="18" t="s">
        <v>21</v>
      </c>
      <c r="O199" s="18" t="s">
        <v>20</v>
      </c>
      <c r="P199" s="18" t="s">
        <v>20</v>
      </c>
      <c r="Q199" s="18" t="s">
        <v>21</v>
      </c>
      <c r="R199" s="18" t="s">
        <v>21</v>
      </c>
      <c r="S199" s="18" t="s">
        <v>21</v>
      </c>
      <c r="T199" s="18" t="s">
        <v>21</v>
      </c>
      <c r="U199" s="18" t="s">
        <v>20</v>
      </c>
      <c r="V199" s="37" t="s">
        <v>20</v>
      </c>
      <c r="W199" s="37" t="s">
        <v>20</v>
      </c>
      <c r="X199" s="37" t="s">
        <v>20</v>
      </c>
      <c r="Y199" s="18" t="s">
        <v>21</v>
      </c>
      <c r="Z199" s="18" t="s">
        <v>21</v>
      </c>
      <c r="AA199" s="20" t="s">
        <v>21</v>
      </c>
      <c r="AB199" s="20" t="s">
        <v>21</v>
      </c>
      <c r="AC199" s="20" t="s">
        <v>20</v>
      </c>
      <c r="AD199" s="18" t="s">
        <v>20</v>
      </c>
      <c r="AE199" s="18" t="s">
        <v>21</v>
      </c>
      <c r="AG199">
        <f>+COUNTIF(F199:AE199,"AD")</f>
        <v>0</v>
      </c>
      <c r="AH199">
        <f>+COUNTIF(F199:AE199,"A")</f>
        <v>11</v>
      </c>
      <c r="AI199">
        <f>+COUNTIF(F199:AE199,"b")</f>
        <v>15</v>
      </c>
      <c r="AJ199">
        <f>+COUNTIF(F199:AE199,"c")</f>
        <v>0</v>
      </c>
      <c r="AL199">
        <f>+$AG$5*AG199</f>
        <v>0</v>
      </c>
      <c r="AM199">
        <f>+$AH$5*AH199</f>
        <v>33</v>
      </c>
      <c r="AN199">
        <f>+$AI$5*AI199</f>
        <v>30</v>
      </c>
      <c r="AO199">
        <f>+$AJ$5*AJ199</f>
        <v>0</v>
      </c>
      <c r="AP199" s="73">
        <f>+SUM(AL199:AO199)</f>
        <v>63</v>
      </c>
    </row>
    <row r="200" spans="1:42" ht="15.75" customHeight="1" x14ac:dyDescent="0.3">
      <c r="A200" s="16"/>
      <c r="B200" s="55">
        <v>22</v>
      </c>
      <c r="C200" s="56" t="s">
        <v>222</v>
      </c>
      <c r="D200" s="55">
        <v>5</v>
      </c>
      <c r="E200" s="55" t="s">
        <v>20</v>
      </c>
      <c r="F200" s="18" t="s">
        <v>21</v>
      </c>
      <c r="G200" s="18" t="s">
        <v>21</v>
      </c>
      <c r="H200" s="18" t="s">
        <v>21</v>
      </c>
      <c r="I200" s="18" t="s">
        <v>21</v>
      </c>
      <c r="J200" s="43" t="s">
        <v>21</v>
      </c>
      <c r="K200" s="43" t="s">
        <v>21</v>
      </c>
      <c r="L200" s="43" t="s">
        <v>21</v>
      </c>
      <c r="M200" s="18" t="s">
        <v>20</v>
      </c>
      <c r="N200" s="18" t="s">
        <v>20</v>
      </c>
      <c r="O200" s="18" t="s">
        <v>20</v>
      </c>
      <c r="P200" s="18" t="s">
        <v>20</v>
      </c>
      <c r="Q200" s="18" t="s">
        <v>21</v>
      </c>
      <c r="R200" s="18" t="s">
        <v>23</v>
      </c>
      <c r="S200" s="18" t="s">
        <v>21</v>
      </c>
      <c r="T200" s="18" t="s">
        <v>21</v>
      </c>
      <c r="U200" s="18" t="s">
        <v>20</v>
      </c>
      <c r="V200" s="37" t="s">
        <v>20</v>
      </c>
      <c r="W200" s="37" t="s">
        <v>20</v>
      </c>
      <c r="X200" s="37" t="s">
        <v>20</v>
      </c>
      <c r="Y200" s="18" t="s">
        <v>20</v>
      </c>
      <c r="Z200" s="18" t="s">
        <v>20</v>
      </c>
      <c r="AA200" s="20" t="s">
        <v>21</v>
      </c>
      <c r="AB200" s="20" t="s">
        <v>21</v>
      </c>
      <c r="AC200" s="20" t="s">
        <v>20</v>
      </c>
      <c r="AD200" s="40" t="s">
        <v>20</v>
      </c>
      <c r="AE200" s="40" t="s">
        <v>21</v>
      </c>
      <c r="AG200">
        <f>+COUNTIF(F200:AE200,"AD")</f>
        <v>0</v>
      </c>
      <c r="AH200">
        <f>+COUNTIF(F200:AE200,"A")</f>
        <v>12</v>
      </c>
      <c r="AI200">
        <f>+COUNTIF(F200:AE200,"b")</f>
        <v>13</v>
      </c>
      <c r="AJ200">
        <f>+COUNTIF(F200:AE200,"c")</f>
        <v>1</v>
      </c>
      <c r="AL200">
        <f>+$AG$5*AG200</f>
        <v>0</v>
      </c>
      <c r="AM200">
        <f>+$AH$5*AH200</f>
        <v>36</v>
      </c>
      <c r="AN200">
        <f>+$AI$5*AI200</f>
        <v>26</v>
      </c>
      <c r="AO200">
        <f>+$AJ$5*AJ200</f>
        <v>1</v>
      </c>
      <c r="AP200" s="73">
        <f>+SUM(AL200:AO200)</f>
        <v>63</v>
      </c>
    </row>
    <row r="201" spans="1:42" ht="15.75" customHeight="1" thickBot="1" x14ac:dyDescent="0.35">
      <c r="A201" s="16"/>
      <c r="B201" s="57">
        <v>23</v>
      </c>
      <c r="C201" s="56" t="s">
        <v>218</v>
      </c>
      <c r="D201" s="55">
        <v>5</v>
      </c>
      <c r="E201" s="55" t="s">
        <v>20</v>
      </c>
      <c r="F201" s="18" t="s">
        <v>23</v>
      </c>
      <c r="G201" s="18" t="s">
        <v>23</v>
      </c>
      <c r="H201" s="18" t="s">
        <v>21</v>
      </c>
      <c r="I201" s="18" t="s">
        <v>21</v>
      </c>
      <c r="J201" s="43" t="s">
        <v>20</v>
      </c>
      <c r="K201" s="43" t="s">
        <v>20</v>
      </c>
      <c r="L201" s="43" t="s">
        <v>21</v>
      </c>
      <c r="M201" s="18" t="s">
        <v>20</v>
      </c>
      <c r="N201" s="18" t="s">
        <v>20</v>
      </c>
      <c r="O201" s="18" t="s">
        <v>20</v>
      </c>
      <c r="P201" s="18" t="s">
        <v>21</v>
      </c>
      <c r="Q201" s="18" t="s">
        <v>21</v>
      </c>
      <c r="R201" s="18" t="s">
        <v>21</v>
      </c>
      <c r="S201" s="18" t="s">
        <v>21</v>
      </c>
      <c r="T201" s="18" t="s">
        <v>21</v>
      </c>
      <c r="U201" s="18" t="s">
        <v>20</v>
      </c>
      <c r="V201" s="37" t="s">
        <v>21</v>
      </c>
      <c r="W201" s="37" t="s">
        <v>21</v>
      </c>
      <c r="X201" s="37" t="s">
        <v>21</v>
      </c>
      <c r="Y201" s="18" t="s">
        <v>20</v>
      </c>
      <c r="Z201" s="18" t="s">
        <v>20</v>
      </c>
      <c r="AA201" s="20" t="s">
        <v>20</v>
      </c>
      <c r="AB201" s="20" t="s">
        <v>20</v>
      </c>
      <c r="AC201" s="20" t="s">
        <v>20</v>
      </c>
      <c r="AD201" s="40" t="s">
        <v>20</v>
      </c>
      <c r="AE201" s="40" t="s">
        <v>21</v>
      </c>
      <c r="AG201">
        <f>+COUNTIF(F201:AE201,"AD")</f>
        <v>0</v>
      </c>
      <c r="AH201">
        <f>+COUNTIF(F201:AE201,"A")</f>
        <v>12</v>
      </c>
      <c r="AI201">
        <f>+COUNTIF(F201:AE201,"b")</f>
        <v>12</v>
      </c>
      <c r="AJ201">
        <f>+COUNTIF(F201:AE201,"c")</f>
        <v>2</v>
      </c>
      <c r="AL201">
        <f>+$AG$5*AG201</f>
        <v>0</v>
      </c>
      <c r="AM201">
        <f>+$AH$5*AH201</f>
        <v>36</v>
      </c>
      <c r="AN201">
        <f>+$AI$5*AI201</f>
        <v>24</v>
      </c>
      <c r="AO201">
        <f>+$AJ$5*AJ201</f>
        <v>2</v>
      </c>
      <c r="AP201" s="73">
        <f>+SUM(AL201:AO201)</f>
        <v>62</v>
      </c>
    </row>
    <row r="202" spans="1:42" ht="15.75" customHeight="1" x14ac:dyDescent="0.3">
      <c r="A202" s="16"/>
      <c r="B202" s="55">
        <v>24</v>
      </c>
      <c r="C202" s="56" t="s">
        <v>221</v>
      </c>
      <c r="D202" s="55">
        <v>5</v>
      </c>
      <c r="E202" s="55" t="s">
        <v>20</v>
      </c>
      <c r="F202" s="18" t="s">
        <v>23</v>
      </c>
      <c r="G202" s="18" t="s">
        <v>23</v>
      </c>
      <c r="H202" s="18" t="s">
        <v>23</v>
      </c>
      <c r="I202" s="18" t="s">
        <v>23</v>
      </c>
      <c r="J202" s="43" t="s">
        <v>20</v>
      </c>
      <c r="K202" s="43" t="s">
        <v>20</v>
      </c>
      <c r="L202" s="43" t="s">
        <v>21</v>
      </c>
      <c r="M202" s="18" t="s">
        <v>20</v>
      </c>
      <c r="N202" s="18" t="s">
        <v>20</v>
      </c>
      <c r="O202" s="18" t="s">
        <v>20</v>
      </c>
      <c r="P202" s="18" t="s">
        <v>21</v>
      </c>
      <c r="Q202" s="18" t="s">
        <v>23</v>
      </c>
      <c r="R202" s="18" t="s">
        <v>23</v>
      </c>
      <c r="S202" s="18" t="s">
        <v>21</v>
      </c>
      <c r="T202" s="18" t="s">
        <v>23</v>
      </c>
      <c r="U202" s="18" t="s">
        <v>20</v>
      </c>
      <c r="V202" s="37" t="s">
        <v>20</v>
      </c>
      <c r="W202" s="37" t="s">
        <v>20</v>
      </c>
      <c r="X202" s="37" t="s">
        <v>20</v>
      </c>
      <c r="Y202" s="18" t="s">
        <v>20</v>
      </c>
      <c r="Z202" s="18" t="s">
        <v>20</v>
      </c>
      <c r="AA202" s="20" t="s">
        <v>21</v>
      </c>
      <c r="AB202" s="20" t="s">
        <v>21</v>
      </c>
      <c r="AC202" s="20" t="s">
        <v>20</v>
      </c>
      <c r="AD202" s="18" t="s">
        <v>20</v>
      </c>
      <c r="AE202" s="18" t="s">
        <v>21</v>
      </c>
      <c r="AG202">
        <f>+COUNTIF(F202:AE202,"AD")</f>
        <v>0</v>
      </c>
      <c r="AH202">
        <f>+COUNTIF(F202:AE202,"A")</f>
        <v>13</v>
      </c>
      <c r="AI202">
        <f>+COUNTIF(F202:AE202,"b")</f>
        <v>6</v>
      </c>
      <c r="AJ202">
        <f>+COUNTIF(F202:AE202,"c")</f>
        <v>7</v>
      </c>
      <c r="AL202">
        <f>+$AG$5*AG202</f>
        <v>0</v>
      </c>
      <c r="AM202">
        <f>+$AH$5*AH202</f>
        <v>39</v>
      </c>
      <c r="AN202">
        <f>+$AI$5*AI202</f>
        <v>12</v>
      </c>
      <c r="AO202">
        <f>+$AJ$5*AJ202</f>
        <v>7</v>
      </c>
      <c r="AP202" s="73">
        <f>+SUM(AL202:AO202)</f>
        <v>58</v>
      </c>
    </row>
    <row r="203" spans="1:42" ht="15.75" customHeight="1" x14ac:dyDescent="0.3">
      <c r="A203" s="16"/>
      <c r="B203" s="55">
        <v>25</v>
      </c>
      <c r="C203" s="56" t="s">
        <v>204</v>
      </c>
      <c r="D203" s="55">
        <v>5</v>
      </c>
      <c r="E203" s="55" t="s">
        <v>20</v>
      </c>
      <c r="F203" s="18" t="s">
        <v>21</v>
      </c>
      <c r="G203" s="18" t="s">
        <v>21</v>
      </c>
      <c r="H203" s="18" t="s">
        <v>21</v>
      </c>
      <c r="I203" s="18" t="s">
        <v>21</v>
      </c>
      <c r="J203" s="43" t="s">
        <v>21</v>
      </c>
      <c r="K203" s="43" t="s">
        <v>21</v>
      </c>
      <c r="L203" s="43" t="s">
        <v>21</v>
      </c>
      <c r="M203" s="18" t="s">
        <v>21</v>
      </c>
      <c r="N203" s="18" t="s">
        <v>20</v>
      </c>
      <c r="O203" s="18" t="s">
        <v>20</v>
      </c>
      <c r="P203" s="18" t="s">
        <v>21</v>
      </c>
      <c r="Q203" s="18" t="s">
        <v>23</v>
      </c>
      <c r="R203" s="18" t="s">
        <v>21</v>
      </c>
      <c r="S203" s="18" t="s">
        <v>21</v>
      </c>
      <c r="T203" s="18" t="s">
        <v>21</v>
      </c>
      <c r="U203" s="18" t="s">
        <v>21</v>
      </c>
      <c r="V203" s="49" t="s">
        <v>21</v>
      </c>
      <c r="W203" s="37" t="s">
        <v>20</v>
      </c>
      <c r="X203" s="37" t="s">
        <v>20</v>
      </c>
      <c r="Y203" s="18" t="s">
        <v>21</v>
      </c>
      <c r="Z203" s="18" t="s">
        <v>21</v>
      </c>
      <c r="AA203" s="20" t="s">
        <v>21</v>
      </c>
      <c r="AB203" s="20" t="s">
        <v>21</v>
      </c>
      <c r="AC203" s="20" t="s">
        <v>21</v>
      </c>
      <c r="AD203" s="29" t="s">
        <v>21</v>
      </c>
      <c r="AE203" s="29" t="s">
        <v>21</v>
      </c>
      <c r="AG203">
        <f>+COUNTIF(F203:AE203,"AD")</f>
        <v>0</v>
      </c>
      <c r="AH203">
        <f>+COUNTIF(F203:AE203,"A")</f>
        <v>4</v>
      </c>
      <c r="AI203">
        <f>+COUNTIF(F203:AE203,"b")</f>
        <v>21</v>
      </c>
      <c r="AJ203">
        <f>+COUNTIF(F203:AE203,"c")</f>
        <v>1</v>
      </c>
      <c r="AL203">
        <f>+$AG$5*AG203</f>
        <v>0</v>
      </c>
      <c r="AM203">
        <f>+$AH$5*AH203</f>
        <v>12</v>
      </c>
      <c r="AN203">
        <f>+$AI$5*AI203</f>
        <v>42</v>
      </c>
      <c r="AO203">
        <f>+$AJ$5*AJ203</f>
        <v>1</v>
      </c>
      <c r="AP203" s="73">
        <f>+SUM(AL203:AO203)</f>
        <v>55</v>
      </c>
    </row>
    <row r="204" spans="1:42" ht="15.75" customHeight="1" x14ac:dyDescent="0.3">
      <c r="A204" s="16"/>
      <c r="B204" s="55">
        <v>26</v>
      </c>
      <c r="C204" s="56" t="s">
        <v>200</v>
      </c>
      <c r="D204" s="55">
        <v>5</v>
      </c>
      <c r="E204" s="55" t="s">
        <v>20</v>
      </c>
      <c r="F204" s="18" t="s">
        <v>23</v>
      </c>
      <c r="G204" s="18" t="s">
        <v>23</v>
      </c>
      <c r="H204" s="18" t="s">
        <v>23</v>
      </c>
      <c r="I204" s="18" t="s">
        <v>23</v>
      </c>
      <c r="J204" s="43" t="s">
        <v>21</v>
      </c>
      <c r="K204" s="43" t="s">
        <v>21</v>
      </c>
      <c r="L204" s="43" t="s">
        <v>21</v>
      </c>
      <c r="M204" s="18" t="s">
        <v>21</v>
      </c>
      <c r="N204" s="18" t="s">
        <v>21</v>
      </c>
      <c r="O204" s="18" t="s">
        <v>20</v>
      </c>
      <c r="P204" s="18" t="s">
        <v>23</v>
      </c>
      <c r="Q204" s="18" t="s">
        <v>21</v>
      </c>
      <c r="R204" s="18" t="s">
        <v>21</v>
      </c>
      <c r="S204" s="18" t="s">
        <v>21</v>
      </c>
      <c r="T204" s="18" t="s">
        <v>21</v>
      </c>
      <c r="U204" s="18" t="s">
        <v>20</v>
      </c>
      <c r="V204" s="49" t="s">
        <v>20</v>
      </c>
      <c r="W204" s="37" t="s">
        <v>20</v>
      </c>
      <c r="X204" s="37" t="s">
        <v>20</v>
      </c>
      <c r="Y204" s="18" t="s">
        <v>20</v>
      </c>
      <c r="Z204" s="18" t="s">
        <v>20</v>
      </c>
      <c r="AA204" s="20" t="s">
        <v>21</v>
      </c>
      <c r="AB204" s="20" t="s">
        <v>21</v>
      </c>
      <c r="AC204" s="20" t="s">
        <v>21</v>
      </c>
      <c r="AD204" s="29" t="s">
        <v>21</v>
      </c>
      <c r="AE204" s="29" t="s">
        <v>21</v>
      </c>
      <c r="AG204">
        <f>+COUNTIF(F204:AE204,"AD")</f>
        <v>0</v>
      </c>
      <c r="AH204">
        <f>+COUNTIF(F204:AE204,"A")</f>
        <v>7</v>
      </c>
      <c r="AI204">
        <f>+COUNTIF(F204:AE204,"b")</f>
        <v>14</v>
      </c>
      <c r="AJ204">
        <f>+COUNTIF(F204:AE204,"c")</f>
        <v>5</v>
      </c>
      <c r="AL204">
        <f>+$AG$5*AG204</f>
        <v>0</v>
      </c>
      <c r="AM204">
        <f>+$AH$5*AH204</f>
        <v>21</v>
      </c>
      <c r="AN204">
        <f>+$AI$5*AI204</f>
        <v>28</v>
      </c>
      <c r="AO204">
        <f>+$AJ$5*AJ204</f>
        <v>5</v>
      </c>
      <c r="AP204" s="73">
        <f>+SUM(AL204:AO204)</f>
        <v>54</v>
      </c>
    </row>
    <row r="205" spans="1:42" ht="15.75" customHeight="1" x14ac:dyDescent="0.3">
      <c r="A205" s="16"/>
      <c r="B205" s="55">
        <v>27</v>
      </c>
      <c r="C205" s="56" t="s">
        <v>219</v>
      </c>
      <c r="D205" s="55">
        <v>5</v>
      </c>
      <c r="E205" s="55" t="s">
        <v>20</v>
      </c>
      <c r="F205" s="18" t="s">
        <v>23</v>
      </c>
      <c r="G205" s="18" t="s">
        <v>23</v>
      </c>
      <c r="H205" s="18" t="s">
        <v>23</v>
      </c>
      <c r="I205" s="18" t="s">
        <v>21</v>
      </c>
      <c r="J205" s="43" t="s">
        <v>20</v>
      </c>
      <c r="K205" s="43" t="s">
        <v>20</v>
      </c>
      <c r="L205" s="43" t="s">
        <v>21</v>
      </c>
      <c r="M205" s="18" t="s">
        <v>20</v>
      </c>
      <c r="N205" s="18" t="s">
        <v>21</v>
      </c>
      <c r="O205" s="18" t="s">
        <v>20</v>
      </c>
      <c r="P205" s="18" t="s">
        <v>21</v>
      </c>
      <c r="Q205" s="18" t="s">
        <v>23</v>
      </c>
      <c r="R205" s="18" t="s">
        <v>21</v>
      </c>
      <c r="S205" s="18" t="s">
        <v>21</v>
      </c>
      <c r="T205" s="18" t="s">
        <v>21</v>
      </c>
      <c r="U205" s="18" t="s">
        <v>20</v>
      </c>
      <c r="V205" s="37" t="s">
        <v>20</v>
      </c>
      <c r="W205" s="37" t="s">
        <v>21</v>
      </c>
      <c r="X205" s="37" t="s">
        <v>20</v>
      </c>
      <c r="Y205" s="18" t="s">
        <v>21</v>
      </c>
      <c r="Z205" s="18" t="s">
        <v>20</v>
      </c>
      <c r="AA205" s="20" t="s">
        <v>23</v>
      </c>
      <c r="AB205" s="20" t="s">
        <v>21</v>
      </c>
      <c r="AC205" s="20" t="s">
        <v>21</v>
      </c>
      <c r="AD205" s="18" t="s">
        <v>23</v>
      </c>
      <c r="AE205" s="18" t="s">
        <v>21</v>
      </c>
      <c r="AG205">
        <f>+COUNTIF(F205:AE205,"AD")</f>
        <v>0</v>
      </c>
      <c r="AH205">
        <f>+COUNTIF(F205:AE205,"A")</f>
        <v>8</v>
      </c>
      <c r="AI205">
        <f>+COUNTIF(F205:AE205,"b")</f>
        <v>12</v>
      </c>
      <c r="AJ205">
        <f>+COUNTIF(F205:AE205,"c")</f>
        <v>6</v>
      </c>
      <c r="AL205">
        <f>+$AG$5*AG205</f>
        <v>0</v>
      </c>
      <c r="AM205">
        <f>+$AH$5*AH205</f>
        <v>24</v>
      </c>
      <c r="AN205">
        <f>+$AI$5*AI205</f>
        <v>24</v>
      </c>
      <c r="AO205">
        <f>+$AJ$5*AJ205</f>
        <v>6</v>
      </c>
      <c r="AP205" s="73">
        <f>+SUM(AL205:AO205)</f>
        <v>54</v>
      </c>
    </row>
    <row r="206" spans="1:42" ht="15.75" customHeight="1" thickBot="1" x14ac:dyDescent="0.35">
      <c r="A206" s="16"/>
      <c r="B206" s="57">
        <v>28</v>
      </c>
      <c r="C206" s="58" t="s">
        <v>213</v>
      </c>
      <c r="D206" s="57">
        <v>5</v>
      </c>
      <c r="E206" s="57" t="s">
        <v>20</v>
      </c>
      <c r="F206" s="21" t="s">
        <v>23</v>
      </c>
      <c r="G206" s="21" t="s">
        <v>23</v>
      </c>
      <c r="H206" s="21" t="s">
        <v>23</v>
      </c>
      <c r="I206" s="21" t="s">
        <v>23</v>
      </c>
      <c r="J206" s="45" t="s">
        <v>21</v>
      </c>
      <c r="K206" s="45" t="s">
        <v>21</v>
      </c>
      <c r="L206" s="45" t="s">
        <v>21</v>
      </c>
      <c r="M206" s="21" t="s">
        <v>21</v>
      </c>
      <c r="N206" s="21" t="s">
        <v>21</v>
      </c>
      <c r="O206" s="21" t="s">
        <v>20</v>
      </c>
      <c r="P206" s="21" t="s">
        <v>23</v>
      </c>
      <c r="Q206" s="21" t="s">
        <v>21</v>
      </c>
      <c r="R206" s="21" t="s">
        <v>23</v>
      </c>
      <c r="S206" s="21" t="s">
        <v>21</v>
      </c>
      <c r="T206" s="21" t="s">
        <v>23</v>
      </c>
      <c r="U206" s="21" t="s">
        <v>20</v>
      </c>
      <c r="V206" s="38" t="s">
        <v>21</v>
      </c>
      <c r="W206" s="38" t="s">
        <v>21</v>
      </c>
      <c r="X206" s="38" t="s">
        <v>21</v>
      </c>
      <c r="Y206" s="21" t="s">
        <v>21</v>
      </c>
      <c r="Z206" s="21" t="s">
        <v>21</v>
      </c>
      <c r="AA206" s="23" t="s">
        <v>23</v>
      </c>
      <c r="AB206" s="23" t="s">
        <v>21</v>
      </c>
      <c r="AC206" s="23" t="s">
        <v>23</v>
      </c>
      <c r="AD206" s="21" t="s">
        <v>23</v>
      </c>
      <c r="AE206" s="21" t="s">
        <v>21</v>
      </c>
      <c r="AG206">
        <f>+COUNTIF(F206:AE206,"AD")</f>
        <v>0</v>
      </c>
      <c r="AH206">
        <f>+COUNTIF(F206:AE206,"A")</f>
        <v>2</v>
      </c>
      <c r="AI206">
        <f>+COUNTIF(F206:AE206,"b")</f>
        <v>14</v>
      </c>
      <c r="AJ206">
        <f>+COUNTIF(F206:AE206,"c")</f>
        <v>10</v>
      </c>
      <c r="AL206">
        <f>+$AG$5*AG206</f>
        <v>0</v>
      </c>
      <c r="AM206">
        <f>+$AH$5*AH206</f>
        <v>6</v>
      </c>
      <c r="AN206">
        <f>+$AI$5*AI206</f>
        <v>28</v>
      </c>
      <c r="AO206">
        <f>+$AJ$5*AJ206</f>
        <v>10</v>
      </c>
      <c r="AP206" s="73">
        <f>+SUM(AL206:AO206)</f>
        <v>44</v>
      </c>
    </row>
    <row r="207" spans="1:42" ht="15.75" hidden="1" customHeight="1" x14ac:dyDescent="0.3">
      <c r="A207" s="16"/>
      <c r="B207" s="59">
        <v>1</v>
      </c>
      <c r="C207" s="60" t="s">
        <v>225</v>
      </c>
      <c r="D207" s="59">
        <v>5</v>
      </c>
      <c r="E207" s="59" t="s">
        <v>21</v>
      </c>
      <c r="F207" s="24" t="s">
        <v>21</v>
      </c>
      <c r="G207" s="24" t="s">
        <v>20</v>
      </c>
      <c r="H207" s="24" t="s">
        <v>21</v>
      </c>
      <c r="I207" s="24" t="s">
        <v>21</v>
      </c>
      <c r="J207" s="24" t="s">
        <v>20</v>
      </c>
      <c r="K207" s="24" t="s">
        <v>20</v>
      </c>
      <c r="L207" s="24" t="s">
        <v>20</v>
      </c>
      <c r="M207" s="24" t="s">
        <v>20</v>
      </c>
      <c r="N207" s="24" t="s">
        <v>20</v>
      </c>
      <c r="O207" s="24" t="s">
        <v>20</v>
      </c>
      <c r="P207" s="24" t="s">
        <v>21</v>
      </c>
      <c r="Q207" s="24" t="s">
        <v>21</v>
      </c>
      <c r="R207" s="24" t="s">
        <v>21</v>
      </c>
      <c r="S207" s="24" t="s">
        <v>20</v>
      </c>
      <c r="T207" s="24" t="s">
        <v>21</v>
      </c>
      <c r="U207" s="24" t="s">
        <v>20</v>
      </c>
      <c r="V207" s="39" t="s">
        <v>20</v>
      </c>
      <c r="W207" s="39" t="s">
        <v>20</v>
      </c>
      <c r="X207" s="39" t="s">
        <v>20</v>
      </c>
      <c r="Y207" s="24" t="s">
        <v>20</v>
      </c>
      <c r="Z207" s="24" t="s">
        <v>20</v>
      </c>
      <c r="AA207" s="27" t="s">
        <v>20</v>
      </c>
      <c r="AB207" s="27" t="s">
        <v>20</v>
      </c>
      <c r="AC207" s="27" t="s">
        <v>21</v>
      </c>
      <c r="AD207" s="24" t="s">
        <v>20</v>
      </c>
      <c r="AE207" s="24" t="s">
        <v>21</v>
      </c>
      <c r="AG207">
        <f t="shared" ref="AG179:AG242" si="18">+COUNTIF(F207:AE207,"AD")</f>
        <v>0</v>
      </c>
      <c r="AH207">
        <f t="shared" ref="AH179:AH242" si="19">+COUNTIF(F207:AE207,"A")</f>
        <v>17</v>
      </c>
      <c r="AI207">
        <f t="shared" ref="AI179:AI242" si="20">+COUNTIF(F207:AE207,"b")</f>
        <v>9</v>
      </c>
      <c r="AJ207">
        <f t="shared" ref="AJ179:AJ242" si="21">+COUNTIF(F207:AE207,"c")</f>
        <v>0</v>
      </c>
      <c r="AL207">
        <f t="shared" ref="AL179:AL242" si="22">+$AG$5*AG207</f>
        <v>0</v>
      </c>
      <c r="AM207">
        <f t="shared" ref="AM179:AM242" si="23">+$AH$5*AH207</f>
        <v>51</v>
      </c>
      <c r="AN207">
        <f t="shared" ref="AN179:AN242" si="24">+$AI$5*AI207</f>
        <v>18</v>
      </c>
      <c r="AO207">
        <f t="shared" ref="AO179:AO242" si="25">+$AJ$5*AJ207</f>
        <v>0</v>
      </c>
      <c r="AP207">
        <f t="shared" ref="AP179:AP232" si="26">+SUM(AL207:AO207)</f>
        <v>69</v>
      </c>
    </row>
    <row r="208" spans="1:42" ht="15.75" hidden="1" customHeight="1" x14ac:dyDescent="0.3">
      <c r="A208" s="16"/>
      <c r="B208" s="55">
        <v>2</v>
      </c>
      <c r="C208" s="56" t="s">
        <v>226</v>
      </c>
      <c r="D208" s="55">
        <v>5</v>
      </c>
      <c r="E208" s="55" t="s">
        <v>21</v>
      </c>
      <c r="F208" s="18" t="s">
        <v>21</v>
      </c>
      <c r="G208" s="18" t="s">
        <v>21</v>
      </c>
      <c r="H208" s="18" t="s">
        <v>21</v>
      </c>
      <c r="I208" s="18" t="s">
        <v>20</v>
      </c>
      <c r="J208" s="18" t="s">
        <v>21</v>
      </c>
      <c r="K208" s="18" t="s">
        <v>21</v>
      </c>
      <c r="L208" s="18" t="s">
        <v>21</v>
      </c>
      <c r="M208" s="18" t="s">
        <v>20</v>
      </c>
      <c r="N208" s="18" t="s">
        <v>21</v>
      </c>
      <c r="O208" s="18" t="s">
        <v>21</v>
      </c>
      <c r="P208" s="18" t="s">
        <v>21</v>
      </c>
      <c r="Q208" s="18" t="s">
        <v>23</v>
      </c>
      <c r="R208" s="18" t="s">
        <v>23</v>
      </c>
      <c r="S208" s="18" t="s">
        <v>21</v>
      </c>
      <c r="T208" s="18" t="s">
        <v>21</v>
      </c>
      <c r="U208" s="18" t="s">
        <v>21</v>
      </c>
      <c r="V208" s="37" t="s">
        <v>20</v>
      </c>
      <c r="W208" s="37" t="s">
        <v>21</v>
      </c>
      <c r="X208" s="37" t="s">
        <v>20</v>
      </c>
      <c r="Y208" s="18" t="s">
        <v>21</v>
      </c>
      <c r="Z208" s="18" t="s">
        <v>20</v>
      </c>
      <c r="AA208" s="20" t="s">
        <v>21</v>
      </c>
      <c r="AB208" s="20" t="s">
        <v>21</v>
      </c>
      <c r="AC208" s="20" t="s">
        <v>23</v>
      </c>
      <c r="AD208" s="18" t="s">
        <v>23</v>
      </c>
      <c r="AE208" s="18" t="s">
        <v>21</v>
      </c>
      <c r="AG208">
        <f t="shared" si="18"/>
        <v>0</v>
      </c>
      <c r="AH208">
        <f t="shared" si="19"/>
        <v>5</v>
      </c>
      <c r="AI208">
        <f t="shared" si="20"/>
        <v>17</v>
      </c>
      <c r="AJ208">
        <f t="shared" si="21"/>
        <v>4</v>
      </c>
      <c r="AL208">
        <f t="shared" si="22"/>
        <v>0</v>
      </c>
      <c r="AM208">
        <f t="shared" si="23"/>
        <v>15</v>
      </c>
      <c r="AN208">
        <f t="shared" si="24"/>
        <v>34</v>
      </c>
      <c r="AO208">
        <f t="shared" si="25"/>
        <v>4</v>
      </c>
      <c r="AP208">
        <f t="shared" si="26"/>
        <v>53</v>
      </c>
    </row>
    <row r="209" spans="1:42" ht="15.75" hidden="1" customHeight="1" x14ac:dyDescent="0.3">
      <c r="A209" s="16"/>
      <c r="B209" s="55">
        <v>3</v>
      </c>
      <c r="C209" s="56" t="s">
        <v>227</v>
      </c>
      <c r="D209" s="55">
        <v>5</v>
      </c>
      <c r="E209" s="55" t="s">
        <v>21</v>
      </c>
      <c r="F209" s="18" t="s">
        <v>21</v>
      </c>
      <c r="G209" s="18" t="s">
        <v>23</v>
      </c>
      <c r="H209" s="18" t="s">
        <v>21</v>
      </c>
      <c r="I209" s="18" t="s">
        <v>20</v>
      </c>
      <c r="J209" s="18" t="s">
        <v>21</v>
      </c>
      <c r="K209" s="18" t="s">
        <v>21</v>
      </c>
      <c r="L209" s="18" t="s">
        <v>20</v>
      </c>
      <c r="M209" s="18" t="s">
        <v>20</v>
      </c>
      <c r="N209" s="18" t="s">
        <v>21</v>
      </c>
      <c r="O209" s="18" t="s">
        <v>21</v>
      </c>
      <c r="P209" s="18" t="s">
        <v>21</v>
      </c>
      <c r="Q209" s="18" t="s">
        <v>23</v>
      </c>
      <c r="R209" s="18" t="s">
        <v>21</v>
      </c>
      <c r="S209" s="18" t="s">
        <v>21</v>
      </c>
      <c r="T209" s="18" t="s">
        <v>21</v>
      </c>
      <c r="U209" s="18" t="s">
        <v>20</v>
      </c>
      <c r="V209" s="37" t="s">
        <v>20</v>
      </c>
      <c r="W209" s="37" t="s">
        <v>21</v>
      </c>
      <c r="X209" s="37" t="s">
        <v>20</v>
      </c>
      <c r="Y209" s="18" t="s">
        <v>21</v>
      </c>
      <c r="Z209" s="18" t="s">
        <v>20</v>
      </c>
      <c r="AA209" s="20" t="s">
        <v>21</v>
      </c>
      <c r="AB209" s="20" t="s">
        <v>21</v>
      </c>
      <c r="AC209" s="20" t="s">
        <v>21</v>
      </c>
      <c r="AD209" s="18" t="s">
        <v>21</v>
      </c>
      <c r="AE209" s="18" t="s">
        <v>21</v>
      </c>
      <c r="AG209">
        <f t="shared" si="18"/>
        <v>0</v>
      </c>
      <c r="AH209">
        <f t="shared" si="19"/>
        <v>7</v>
      </c>
      <c r="AI209">
        <f t="shared" si="20"/>
        <v>17</v>
      </c>
      <c r="AJ209">
        <f t="shared" si="21"/>
        <v>2</v>
      </c>
      <c r="AL209">
        <f t="shared" si="22"/>
        <v>0</v>
      </c>
      <c r="AM209">
        <f t="shared" si="23"/>
        <v>21</v>
      </c>
      <c r="AN209">
        <f t="shared" si="24"/>
        <v>34</v>
      </c>
      <c r="AO209">
        <f t="shared" si="25"/>
        <v>2</v>
      </c>
      <c r="AP209">
        <f t="shared" si="26"/>
        <v>57</v>
      </c>
    </row>
    <row r="210" spans="1:42" ht="15.75" hidden="1" customHeight="1" x14ac:dyDescent="0.3">
      <c r="A210" s="16"/>
      <c r="B210" s="55">
        <v>4</v>
      </c>
      <c r="C210" s="56" t="s">
        <v>228</v>
      </c>
      <c r="D210" s="55">
        <v>5</v>
      </c>
      <c r="E210" s="55" t="s">
        <v>21</v>
      </c>
      <c r="F210" s="18" t="s">
        <v>20</v>
      </c>
      <c r="G210" s="18" t="s">
        <v>20</v>
      </c>
      <c r="H210" s="18" t="s">
        <v>20</v>
      </c>
      <c r="I210" s="18" t="s">
        <v>20</v>
      </c>
      <c r="J210" s="18" t="s">
        <v>21</v>
      </c>
      <c r="K210" s="18" t="s">
        <v>20</v>
      </c>
      <c r="L210" s="18" t="s">
        <v>20</v>
      </c>
      <c r="M210" s="18" t="s">
        <v>20</v>
      </c>
      <c r="N210" s="18" t="s">
        <v>20</v>
      </c>
      <c r="O210" s="18" t="s">
        <v>20</v>
      </c>
      <c r="P210" s="18" t="s">
        <v>21</v>
      </c>
      <c r="Q210" s="18" t="s">
        <v>21</v>
      </c>
      <c r="R210" s="18" t="s">
        <v>21</v>
      </c>
      <c r="S210" s="18" t="s">
        <v>20</v>
      </c>
      <c r="T210" s="18" t="s">
        <v>21</v>
      </c>
      <c r="U210" s="18" t="s">
        <v>20</v>
      </c>
      <c r="V210" s="37" t="s">
        <v>20</v>
      </c>
      <c r="W210" s="37" t="s">
        <v>20</v>
      </c>
      <c r="X210" s="37" t="s">
        <v>20</v>
      </c>
      <c r="Y210" s="18" t="s">
        <v>20</v>
      </c>
      <c r="Z210" s="18" t="s">
        <v>20</v>
      </c>
      <c r="AA210" s="20" t="s">
        <v>20</v>
      </c>
      <c r="AB210" s="20" t="s">
        <v>20</v>
      </c>
      <c r="AC210" s="20" t="s">
        <v>20</v>
      </c>
      <c r="AD210" s="18" t="s">
        <v>20</v>
      </c>
      <c r="AE210" s="18" t="s">
        <v>21</v>
      </c>
      <c r="AG210">
        <f t="shared" si="18"/>
        <v>0</v>
      </c>
      <c r="AH210">
        <f t="shared" si="19"/>
        <v>20</v>
      </c>
      <c r="AI210">
        <f t="shared" si="20"/>
        <v>6</v>
      </c>
      <c r="AJ210">
        <f t="shared" si="21"/>
        <v>0</v>
      </c>
      <c r="AL210">
        <f t="shared" si="22"/>
        <v>0</v>
      </c>
      <c r="AM210">
        <f t="shared" si="23"/>
        <v>60</v>
      </c>
      <c r="AN210">
        <f t="shared" si="24"/>
        <v>12</v>
      </c>
      <c r="AO210">
        <f t="shared" si="25"/>
        <v>0</v>
      </c>
      <c r="AP210">
        <f t="shared" si="26"/>
        <v>72</v>
      </c>
    </row>
    <row r="211" spans="1:42" ht="15.75" hidden="1" customHeight="1" x14ac:dyDescent="0.3">
      <c r="A211" s="16"/>
      <c r="B211" s="55">
        <v>5</v>
      </c>
      <c r="C211" s="56" t="s">
        <v>229</v>
      </c>
      <c r="D211" s="55">
        <v>5</v>
      </c>
      <c r="E211" s="55" t="s">
        <v>21</v>
      </c>
      <c r="F211" s="18" t="s">
        <v>20</v>
      </c>
      <c r="G211" s="18" t="s">
        <v>21</v>
      </c>
      <c r="H211" s="18" t="s">
        <v>20</v>
      </c>
      <c r="I211" s="18" t="s">
        <v>20</v>
      </c>
      <c r="J211" s="18" t="s">
        <v>21</v>
      </c>
      <c r="K211" s="18" t="s">
        <v>21</v>
      </c>
      <c r="L211" s="18" t="s">
        <v>20</v>
      </c>
      <c r="M211" s="18" t="s">
        <v>20</v>
      </c>
      <c r="N211" s="18" t="s">
        <v>20</v>
      </c>
      <c r="O211" s="18" t="s">
        <v>20</v>
      </c>
      <c r="P211" s="18" t="s">
        <v>21</v>
      </c>
      <c r="Q211" s="18" t="s">
        <v>20</v>
      </c>
      <c r="R211" s="18" t="s">
        <v>21</v>
      </c>
      <c r="S211" s="18" t="s">
        <v>20</v>
      </c>
      <c r="T211" s="18" t="s">
        <v>21</v>
      </c>
      <c r="U211" s="18" t="s">
        <v>20</v>
      </c>
      <c r="V211" s="37" t="s">
        <v>20</v>
      </c>
      <c r="W211" s="37" t="s">
        <v>21</v>
      </c>
      <c r="X211" s="37" t="s">
        <v>20</v>
      </c>
      <c r="Y211" s="18" t="s">
        <v>21</v>
      </c>
      <c r="Z211" s="18" t="s">
        <v>20</v>
      </c>
      <c r="AA211" s="20" t="s">
        <v>20</v>
      </c>
      <c r="AB211" s="20" t="s">
        <v>20</v>
      </c>
      <c r="AC211" s="20" t="s">
        <v>20</v>
      </c>
      <c r="AD211" s="18" t="s">
        <v>20</v>
      </c>
      <c r="AE211" s="18" t="s">
        <v>21</v>
      </c>
      <c r="AG211">
        <f t="shared" si="18"/>
        <v>0</v>
      </c>
      <c r="AH211">
        <f t="shared" si="19"/>
        <v>17</v>
      </c>
      <c r="AI211">
        <f t="shared" si="20"/>
        <v>9</v>
      </c>
      <c r="AJ211">
        <f t="shared" si="21"/>
        <v>0</v>
      </c>
      <c r="AL211">
        <f t="shared" si="22"/>
        <v>0</v>
      </c>
      <c r="AM211">
        <f t="shared" si="23"/>
        <v>51</v>
      </c>
      <c r="AN211">
        <f t="shared" si="24"/>
        <v>18</v>
      </c>
      <c r="AO211">
        <f t="shared" si="25"/>
        <v>0</v>
      </c>
      <c r="AP211">
        <f t="shared" si="26"/>
        <v>69</v>
      </c>
    </row>
    <row r="212" spans="1:42" ht="15.75" hidden="1" customHeight="1" x14ac:dyDescent="0.3">
      <c r="A212" s="16"/>
      <c r="B212" s="55">
        <v>6</v>
      </c>
      <c r="C212" s="56" t="s">
        <v>230</v>
      </c>
      <c r="D212" s="55">
        <v>5</v>
      </c>
      <c r="E212" s="55" t="s">
        <v>21</v>
      </c>
      <c r="F212" s="18" t="s">
        <v>21</v>
      </c>
      <c r="G212" s="18" t="s">
        <v>21</v>
      </c>
      <c r="H212" s="18" t="s">
        <v>21</v>
      </c>
      <c r="I212" s="18" t="s">
        <v>20</v>
      </c>
      <c r="J212" s="18" t="s">
        <v>21</v>
      </c>
      <c r="K212" s="18" t="s">
        <v>21</v>
      </c>
      <c r="L212" s="18" t="s">
        <v>21</v>
      </c>
      <c r="M212" s="18" t="s">
        <v>20</v>
      </c>
      <c r="N212" s="18" t="s">
        <v>20</v>
      </c>
      <c r="O212" s="18" t="s">
        <v>20</v>
      </c>
      <c r="P212" s="18" t="s">
        <v>21</v>
      </c>
      <c r="Q212" s="18" t="s">
        <v>23</v>
      </c>
      <c r="R212" s="18" t="s">
        <v>23</v>
      </c>
      <c r="S212" s="18" t="s">
        <v>21</v>
      </c>
      <c r="T212" s="18" t="s">
        <v>21</v>
      </c>
      <c r="U212" s="18" t="s">
        <v>20</v>
      </c>
      <c r="V212" s="37" t="s">
        <v>20</v>
      </c>
      <c r="W212" s="37" t="s">
        <v>20</v>
      </c>
      <c r="X212" s="37" t="s">
        <v>20</v>
      </c>
      <c r="Y212" s="18" t="s">
        <v>21</v>
      </c>
      <c r="Z212" s="18" t="s">
        <v>20</v>
      </c>
      <c r="AA212" s="20" t="s">
        <v>20</v>
      </c>
      <c r="AB212" s="20" t="s">
        <v>20</v>
      </c>
      <c r="AC212" s="20" t="s">
        <v>20</v>
      </c>
      <c r="AD212" s="29" t="s">
        <v>23</v>
      </c>
      <c r="AE212" s="29" t="s">
        <v>21</v>
      </c>
      <c r="AG212">
        <f t="shared" si="18"/>
        <v>0</v>
      </c>
      <c r="AH212">
        <f t="shared" si="19"/>
        <v>12</v>
      </c>
      <c r="AI212">
        <f t="shared" si="20"/>
        <v>11</v>
      </c>
      <c r="AJ212">
        <f t="shared" si="21"/>
        <v>3</v>
      </c>
      <c r="AL212">
        <f t="shared" si="22"/>
        <v>0</v>
      </c>
      <c r="AM212">
        <f t="shared" si="23"/>
        <v>36</v>
      </c>
      <c r="AN212">
        <f t="shared" si="24"/>
        <v>22</v>
      </c>
      <c r="AO212">
        <f t="shared" si="25"/>
        <v>3</v>
      </c>
      <c r="AP212">
        <f t="shared" si="26"/>
        <v>61</v>
      </c>
    </row>
    <row r="213" spans="1:42" ht="15.75" hidden="1" customHeight="1" x14ac:dyDescent="0.3">
      <c r="A213" s="16"/>
      <c r="B213" s="55">
        <v>7</v>
      </c>
      <c r="C213" s="56" t="s">
        <v>231</v>
      </c>
      <c r="D213" s="55">
        <v>5</v>
      </c>
      <c r="E213" s="55" t="s">
        <v>21</v>
      </c>
      <c r="F213" s="18" t="s">
        <v>21</v>
      </c>
      <c r="G213" s="18" t="s">
        <v>21</v>
      </c>
      <c r="H213" s="18" t="s">
        <v>21</v>
      </c>
      <c r="I213" s="18" t="s">
        <v>21</v>
      </c>
      <c r="J213" s="18" t="s">
        <v>21</v>
      </c>
      <c r="K213" s="18" t="s">
        <v>21</v>
      </c>
      <c r="L213" s="18" t="s">
        <v>21</v>
      </c>
      <c r="M213" s="18" t="s">
        <v>20</v>
      </c>
      <c r="N213" s="18" t="s">
        <v>21</v>
      </c>
      <c r="O213" s="18" t="s">
        <v>20</v>
      </c>
      <c r="P213" s="18" t="s">
        <v>21</v>
      </c>
      <c r="Q213" s="18" t="s">
        <v>23</v>
      </c>
      <c r="R213" s="18" t="s">
        <v>21</v>
      </c>
      <c r="S213" s="18" t="s">
        <v>21</v>
      </c>
      <c r="T213" s="18" t="s">
        <v>21</v>
      </c>
      <c r="U213" s="18" t="s">
        <v>21</v>
      </c>
      <c r="V213" s="37" t="s">
        <v>21</v>
      </c>
      <c r="W213" s="37" t="s">
        <v>21</v>
      </c>
      <c r="X213" s="37" t="s">
        <v>21</v>
      </c>
      <c r="Y213" s="18" t="s">
        <v>20</v>
      </c>
      <c r="Z213" s="18" t="s">
        <v>20</v>
      </c>
      <c r="AA213" s="20" t="s">
        <v>21</v>
      </c>
      <c r="AB213" s="20" t="s">
        <v>21</v>
      </c>
      <c r="AC213" s="20" t="s">
        <v>21</v>
      </c>
      <c r="AD213" s="29" t="s">
        <v>23</v>
      </c>
      <c r="AE213" s="29" t="s">
        <v>21</v>
      </c>
      <c r="AG213">
        <f t="shared" si="18"/>
        <v>0</v>
      </c>
      <c r="AH213">
        <f t="shared" si="19"/>
        <v>4</v>
      </c>
      <c r="AI213">
        <f t="shared" si="20"/>
        <v>20</v>
      </c>
      <c r="AJ213">
        <f t="shared" si="21"/>
        <v>2</v>
      </c>
      <c r="AL213">
        <f t="shared" si="22"/>
        <v>0</v>
      </c>
      <c r="AM213">
        <f t="shared" si="23"/>
        <v>12</v>
      </c>
      <c r="AN213">
        <f t="shared" si="24"/>
        <v>40</v>
      </c>
      <c r="AO213">
        <f t="shared" si="25"/>
        <v>2</v>
      </c>
      <c r="AP213">
        <f t="shared" si="26"/>
        <v>54</v>
      </c>
    </row>
    <row r="214" spans="1:42" ht="15.75" hidden="1" customHeight="1" x14ac:dyDescent="0.3">
      <c r="A214" s="16"/>
      <c r="B214" s="55">
        <v>8</v>
      </c>
      <c r="C214" s="56" t="s">
        <v>232</v>
      </c>
      <c r="D214" s="55">
        <v>5</v>
      </c>
      <c r="E214" s="55" t="s">
        <v>21</v>
      </c>
      <c r="F214" s="18" t="s">
        <v>21</v>
      </c>
      <c r="G214" s="18" t="s">
        <v>23</v>
      </c>
      <c r="H214" s="18" t="s">
        <v>21</v>
      </c>
      <c r="I214" s="18" t="s">
        <v>20</v>
      </c>
      <c r="J214" s="18" t="s">
        <v>23</v>
      </c>
      <c r="K214" s="18" t="s">
        <v>20</v>
      </c>
      <c r="L214" s="18" t="s">
        <v>20</v>
      </c>
      <c r="M214" s="18" t="s">
        <v>20</v>
      </c>
      <c r="N214" s="18" t="s">
        <v>20</v>
      </c>
      <c r="O214" s="18" t="s">
        <v>20</v>
      </c>
      <c r="P214" s="18" t="s">
        <v>23</v>
      </c>
      <c r="Q214" s="18" t="s">
        <v>21</v>
      </c>
      <c r="R214" s="18" t="s">
        <v>21</v>
      </c>
      <c r="S214" s="18" t="s">
        <v>23</v>
      </c>
      <c r="T214" s="18" t="s">
        <v>21</v>
      </c>
      <c r="U214" s="18" t="s">
        <v>20</v>
      </c>
      <c r="V214" s="37" t="s">
        <v>20</v>
      </c>
      <c r="W214" s="37" t="s">
        <v>21</v>
      </c>
      <c r="X214" s="37" t="s">
        <v>20</v>
      </c>
      <c r="Y214" s="18" t="s">
        <v>20</v>
      </c>
      <c r="Z214" s="18" t="s">
        <v>20</v>
      </c>
      <c r="AA214" s="20" t="s">
        <v>20</v>
      </c>
      <c r="AB214" s="20" t="s">
        <v>20</v>
      </c>
      <c r="AC214" s="20" t="s">
        <v>20</v>
      </c>
      <c r="AD214" s="29" t="s">
        <v>23</v>
      </c>
      <c r="AE214" s="29" t="s">
        <v>21</v>
      </c>
      <c r="AG214">
        <f t="shared" si="18"/>
        <v>0</v>
      </c>
      <c r="AH214">
        <f t="shared" si="19"/>
        <v>14</v>
      </c>
      <c r="AI214">
        <f t="shared" si="20"/>
        <v>7</v>
      </c>
      <c r="AJ214">
        <f t="shared" si="21"/>
        <v>5</v>
      </c>
      <c r="AL214">
        <f t="shared" si="22"/>
        <v>0</v>
      </c>
      <c r="AM214">
        <f t="shared" si="23"/>
        <v>42</v>
      </c>
      <c r="AN214">
        <f t="shared" si="24"/>
        <v>14</v>
      </c>
      <c r="AO214">
        <f t="shared" si="25"/>
        <v>5</v>
      </c>
      <c r="AP214">
        <f t="shared" si="26"/>
        <v>61</v>
      </c>
    </row>
    <row r="215" spans="1:42" ht="15.75" hidden="1" customHeight="1" x14ac:dyDescent="0.3">
      <c r="A215" s="16"/>
      <c r="B215" s="55">
        <v>9</v>
      </c>
      <c r="C215" s="56" t="s">
        <v>233</v>
      </c>
      <c r="D215" s="55">
        <v>5</v>
      </c>
      <c r="E215" s="55" t="s">
        <v>21</v>
      </c>
      <c r="F215" s="18" t="s">
        <v>20</v>
      </c>
      <c r="G215" s="18" t="s">
        <v>20</v>
      </c>
      <c r="H215" s="18" t="s">
        <v>20</v>
      </c>
      <c r="I215" s="18" t="s">
        <v>20</v>
      </c>
      <c r="J215" s="18" t="s">
        <v>21</v>
      </c>
      <c r="K215" s="18" t="s">
        <v>21</v>
      </c>
      <c r="L215" s="18" t="s">
        <v>21</v>
      </c>
      <c r="M215" s="18" t="s">
        <v>20</v>
      </c>
      <c r="N215" s="18" t="s">
        <v>20</v>
      </c>
      <c r="O215" s="18" t="s">
        <v>20</v>
      </c>
      <c r="P215" s="18" t="s">
        <v>21</v>
      </c>
      <c r="Q215" s="18" t="s">
        <v>21</v>
      </c>
      <c r="R215" s="18" t="s">
        <v>20</v>
      </c>
      <c r="S215" s="18" t="s">
        <v>20</v>
      </c>
      <c r="T215" s="18" t="s">
        <v>21</v>
      </c>
      <c r="U215" s="18" t="s">
        <v>20</v>
      </c>
      <c r="V215" s="37" t="s">
        <v>20</v>
      </c>
      <c r="W215" s="37" t="s">
        <v>20</v>
      </c>
      <c r="X215" s="37" t="s">
        <v>20</v>
      </c>
      <c r="Y215" s="18" t="s">
        <v>20</v>
      </c>
      <c r="Z215" s="18" t="s">
        <v>20</v>
      </c>
      <c r="AA215" s="20" t="s">
        <v>20</v>
      </c>
      <c r="AB215" s="20" t="s">
        <v>20</v>
      </c>
      <c r="AC215" s="20" t="s">
        <v>20</v>
      </c>
      <c r="AD215" s="29" t="s">
        <v>20</v>
      </c>
      <c r="AE215" s="29" t="s">
        <v>21</v>
      </c>
      <c r="AG215">
        <f t="shared" si="18"/>
        <v>0</v>
      </c>
      <c r="AH215">
        <f t="shared" si="19"/>
        <v>19</v>
      </c>
      <c r="AI215">
        <f t="shared" si="20"/>
        <v>7</v>
      </c>
      <c r="AJ215">
        <f t="shared" si="21"/>
        <v>0</v>
      </c>
      <c r="AL215">
        <f t="shared" si="22"/>
        <v>0</v>
      </c>
      <c r="AM215">
        <f t="shared" si="23"/>
        <v>57</v>
      </c>
      <c r="AN215">
        <f t="shared" si="24"/>
        <v>14</v>
      </c>
      <c r="AO215">
        <f t="shared" si="25"/>
        <v>0</v>
      </c>
      <c r="AP215">
        <f t="shared" si="26"/>
        <v>71</v>
      </c>
    </row>
    <row r="216" spans="1:42" ht="15.75" hidden="1" customHeight="1" x14ac:dyDescent="0.3">
      <c r="A216" s="16"/>
      <c r="B216" s="55">
        <v>10</v>
      </c>
      <c r="C216" s="56" t="s">
        <v>234</v>
      </c>
      <c r="D216" s="55">
        <v>5</v>
      </c>
      <c r="E216" s="55" t="s">
        <v>21</v>
      </c>
      <c r="F216" s="18" t="s">
        <v>20</v>
      </c>
      <c r="G216" s="18" t="s">
        <v>20</v>
      </c>
      <c r="H216" s="18" t="s">
        <v>21</v>
      </c>
      <c r="I216" s="18" t="s">
        <v>20</v>
      </c>
      <c r="J216" s="18" t="s">
        <v>20</v>
      </c>
      <c r="K216" s="18" t="s">
        <v>21</v>
      </c>
      <c r="L216" s="18" t="s">
        <v>20</v>
      </c>
      <c r="M216" s="18" t="s">
        <v>20</v>
      </c>
      <c r="N216" s="18" t="s">
        <v>20</v>
      </c>
      <c r="O216" s="18" t="s">
        <v>20</v>
      </c>
      <c r="P216" s="18" t="s">
        <v>21</v>
      </c>
      <c r="Q216" s="18" t="s">
        <v>21</v>
      </c>
      <c r="R216" s="18" t="s">
        <v>21</v>
      </c>
      <c r="S216" s="18" t="s">
        <v>20</v>
      </c>
      <c r="T216" s="18" t="s">
        <v>21</v>
      </c>
      <c r="U216" s="18" t="s">
        <v>20</v>
      </c>
      <c r="V216" s="37" t="s">
        <v>20</v>
      </c>
      <c r="W216" s="37" t="s">
        <v>20</v>
      </c>
      <c r="X216" s="37" t="s">
        <v>20</v>
      </c>
      <c r="Y216" s="18" t="s">
        <v>20</v>
      </c>
      <c r="Z216" s="18" t="s">
        <v>20</v>
      </c>
      <c r="AA216" s="20" t="s">
        <v>20</v>
      </c>
      <c r="AB216" s="20" t="s">
        <v>20</v>
      </c>
      <c r="AC216" s="20" t="s">
        <v>20</v>
      </c>
      <c r="AD216" s="29" t="s">
        <v>20</v>
      </c>
      <c r="AE216" s="29" t="s">
        <v>21</v>
      </c>
      <c r="AG216">
        <f t="shared" si="18"/>
        <v>0</v>
      </c>
      <c r="AH216">
        <f t="shared" si="19"/>
        <v>19</v>
      </c>
      <c r="AI216">
        <f t="shared" si="20"/>
        <v>7</v>
      </c>
      <c r="AJ216">
        <f t="shared" si="21"/>
        <v>0</v>
      </c>
      <c r="AL216">
        <f t="shared" si="22"/>
        <v>0</v>
      </c>
      <c r="AM216">
        <f t="shared" si="23"/>
        <v>57</v>
      </c>
      <c r="AN216">
        <f t="shared" si="24"/>
        <v>14</v>
      </c>
      <c r="AO216">
        <f t="shared" si="25"/>
        <v>0</v>
      </c>
      <c r="AP216">
        <f t="shared" si="26"/>
        <v>71</v>
      </c>
    </row>
    <row r="217" spans="1:42" ht="15.75" hidden="1" customHeight="1" x14ac:dyDescent="0.3">
      <c r="A217" s="16"/>
      <c r="B217" s="55">
        <v>11</v>
      </c>
      <c r="C217" s="56" t="s">
        <v>235</v>
      </c>
      <c r="D217" s="55">
        <v>5</v>
      </c>
      <c r="E217" s="55" t="s">
        <v>21</v>
      </c>
      <c r="F217" s="18" t="s">
        <v>21</v>
      </c>
      <c r="G217" s="18" t="s">
        <v>21</v>
      </c>
      <c r="H217" s="18" t="s">
        <v>21</v>
      </c>
      <c r="I217" s="18" t="s">
        <v>21</v>
      </c>
      <c r="J217" s="18" t="s">
        <v>21</v>
      </c>
      <c r="K217" s="18" t="s">
        <v>21</v>
      </c>
      <c r="L217" s="18" t="s">
        <v>20</v>
      </c>
      <c r="M217" s="18" t="s">
        <v>20</v>
      </c>
      <c r="N217" s="18" t="s">
        <v>20</v>
      </c>
      <c r="O217" s="18" t="s">
        <v>20</v>
      </c>
      <c r="P217" s="18" t="s">
        <v>21</v>
      </c>
      <c r="Q217" s="18" t="s">
        <v>21</v>
      </c>
      <c r="R217" s="18" t="s">
        <v>21</v>
      </c>
      <c r="S217" s="18" t="s">
        <v>20</v>
      </c>
      <c r="T217" s="18" t="s">
        <v>20</v>
      </c>
      <c r="U217" s="18" t="s">
        <v>21</v>
      </c>
      <c r="V217" s="37" t="s">
        <v>20</v>
      </c>
      <c r="W217" s="37" t="s">
        <v>21</v>
      </c>
      <c r="X217" s="37" t="s">
        <v>20</v>
      </c>
      <c r="Y217" s="18" t="s">
        <v>20</v>
      </c>
      <c r="Z217" s="18" t="s">
        <v>21</v>
      </c>
      <c r="AA217" s="20" t="s">
        <v>20</v>
      </c>
      <c r="AB217" s="20" t="s">
        <v>20</v>
      </c>
      <c r="AC217" s="20" t="s">
        <v>20</v>
      </c>
      <c r="AD217" s="29" t="s">
        <v>20</v>
      </c>
      <c r="AE217" s="29" t="s">
        <v>21</v>
      </c>
      <c r="AG217">
        <f t="shared" si="18"/>
        <v>0</v>
      </c>
      <c r="AH217">
        <f t="shared" si="19"/>
        <v>13</v>
      </c>
      <c r="AI217">
        <f t="shared" si="20"/>
        <v>13</v>
      </c>
      <c r="AJ217">
        <f t="shared" si="21"/>
        <v>0</v>
      </c>
      <c r="AL217">
        <f t="shared" si="22"/>
        <v>0</v>
      </c>
      <c r="AM217">
        <f t="shared" si="23"/>
        <v>39</v>
      </c>
      <c r="AN217">
        <f t="shared" si="24"/>
        <v>26</v>
      </c>
      <c r="AO217">
        <f t="shared" si="25"/>
        <v>0</v>
      </c>
      <c r="AP217">
        <f t="shared" si="26"/>
        <v>65</v>
      </c>
    </row>
    <row r="218" spans="1:42" ht="15.75" hidden="1" customHeight="1" x14ac:dyDescent="0.3">
      <c r="A218" s="16"/>
      <c r="B218" s="55">
        <v>12</v>
      </c>
      <c r="C218" s="56" t="s">
        <v>236</v>
      </c>
      <c r="D218" s="55">
        <v>5</v>
      </c>
      <c r="E218" s="55" t="s">
        <v>21</v>
      </c>
      <c r="F218" s="18" t="s">
        <v>21</v>
      </c>
      <c r="G218" s="18" t="s">
        <v>21</v>
      </c>
      <c r="H218" s="18" t="s">
        <v>21</v>
      </c>
      <c r="I218" s="18" t="s">
        <v>20</v>
      </c>
      <c r="J218" s="18" t="s">
        <v>21</v>
      </c>
      <c r="K218" s="18" t="s">
        <v>21</v>
      </c>
      <c r="L218" s="18" t="s">
        <v>20</v>
      </c>
      <c r="M218" s="18" t="s">
        <v>20</v>
      </c>
      <c r="N218" s="18" t="s">
        <v>20</v>
      </c>
      <c r="O218" s="18" t="s">
        <v>20</v>
      </c>
      <c r="P218" s="18" t="s">
        <v>23</v>
      </c>
      <c r="Q218" s="18" t="s">
        <v>23</v>
      </c>
      <c r="R218" s="18" t="s">
        <v>23</v>
      </c>
      <c r="S218" s="18" t="s">
        <v>21</v>
      </c>
      <c r="T218" s="18" t="s">
        <v>21</v>
      </c>
      <c r="U218" s="18" t="s">
        <v>20</v>
      </c>
      <c r="V218" s="37" t="s">
        <v>20</v>
      </c>
      <c r="W218" s="37" t="s">
        <v>20</v>
      </c>
      <c r="X218" s="37" t="s">
        <v>20</v>
      </c>
      <c r="Y218" s="18" t="s">
        <v>20</v>
      </c>
      <c r="Z218" s="18" t="s">
        <v>20</v>
      </c>
      <c r="AA218" s="20" t="s">
        <v>20</v>
      </c>
      <c r="AB218" s="20" t="s">
        <v>20</v>
      </c>
      <c r="AC218" s="20" t="s">
        <v>20</v>
      </c>
      <c r="AD218" s="29" t="s">
        <v>23</v>
      </c>
      <c r="AE218" s="29" t="s">
        <v>21</v>
      </c>
      <c r="AG218">
        <f t="shared" si="18"/>
        <v>0</v>
      </c>
      <c r="AH218">
        <f t="shared" si="19"/>
        <v>14</v>
      </c>
      <c r="AI218">
        <f t="shared" si="20"/>
        <v>8</v>
      </c>
      <c r="AJ218">
        <f t="shared" si="21"/>
        <v>4</v>
      </c>
      <c r="AL218">
        <f t="shared" si="22"/>
        <v>0</v>
      </c>
      <c r="AM218">
        <f t="shared" si="23"/>
        <v>42</v>
      </c>
      <c r="AN218">
        <f t="shared" si="24"/>
        <v>16</v>
      </c>
      <c r="AO218">
        <f t="shared" si="25"/>
        <v>4</v>
      </c>
      <c r="AP218">
        <f t="shared" si="26"/>
        <v>62</v>
      </c>
    </row>
    <row r="219" spans="1:42" ht="15.75" hidden="1" customHeight="1" x14ac:dyDescent="0.3">
      <c r="A219" s="16"/>
      <c r="B219" s="55">
        <v>13</v>
      </c>
      <c r="C219" s="56" t="s">
        <v>237</v>
      </c>
      <c r="D219" s="55">
        <v>5</v>
      </c>
      <c r="E219" s="55" t="s">
        <v>21</v>
      </c>
      <c r="F219" s="18" t="s">
        <v>21</v>
      </c>
      <c r="G219" s="18" t="s">
        <v>21</v>
      </c>
      <c r="H219" s="18" t="s">
        <v>21</v>
      </c>
      <c r="I219" s="18" t="s">
        <v>21</v>
      </c>
      <c r="J219" s="18" t="s">
        <v>20</v>
      </c>
      <c r="K219" s="18" t="s">
        <v>20</v>
      </c>
      <c r="L219" s="18" t="s">
        <v>20</v>
      </c>
      <c r="M219" s="18" t="s">
        <v>20</v>
      </c>
      <c r="N219" s="18" t="s">
        <v>21</v>
      </c>
      <c r="O219" s="18" t="s">
        <v>20</v>
      </c>
      <c r="P219" s="18" t="s">
        <v>23</v>
      </c>
      <c r="Q219" s="18" t="s">
        <v>21</v>
      </c>
      <c r="R219" s="18" t="s">
        <v>21</v>
      </c>
      <c r="S219" s="18" t="s">
        <v>20</v>
      </c>
      <c r="T219" s="18" t="s">
        <v>21</v>
      </c>
      <c r="U219" s="18" t="s">
        <v>21</v>
      </c>
      <c r="V219" s="37" t="s">
        <v>20</v>
      </c>
      <c r="W219" s="37" t="s">
        <v>20</v>
      </c>
      <c r="X219" s="37" t="s">
        <v>20</v>
      </c>
      <c r="Y219" s="18" t="s">
        <v>20</v>
      </c>
      <c r="Z219" s="18" t="s">
        <v>20</v>
      </c>
      <c r="AA219" s="20" t="s">
        <v>21</v>
      </c>
      <c r="AB219" s="20" t="s">
        <v>20</v>
      </c>
      <c r="AC219" s="20" t="s">
        <v>21</v>
      </c>
      <c r="AD219" s="29" t="s">
        <v>21</v>
      </c>
      <c r="AE219" s="29" t="s">
        <v>21</v>
      </c>
      <c r="AG219">
        <f t="shared" si="18"/>
        <v>0</v>
      </c>
      <c r="AH219">
        <f t="shared" si="19"/>
        <v>12</v>
      </c>
      <c r="AI219">
        <f t="shared" si="20"/>
        <v>13</v>
      </c>
      <c r="AJ219">
        <f t="shared" si="21"/>
        <v>1</v>
      </c>
      <c r="AL219">
        <f t="shared" si="22"/>
        <v>0</v>
      </c>
      <c r="AM219">
        <f t="shared" si="23"/>
        <v>36</v>
      </c>
      <c r="AN219">
        <f t="shared" si="24"/>
        <v>26</v>
      </c>
      <c r="AO219">
        <f t="shared" si="25"/>
        <v>1</v>
      </c>
      <c r="AP219">
        <f t="shared" si="26"/>
        <v>63</v>
      </c>
    </row>
    <row r="220" spans="1:42" ht="15.75" hidden="1" customHeight="1" x14ac:dyDescent="0.3">
      <c r="A220" s="16"/>
      <c r="B220" s="55">
        <v>14</v>
      </c>
      <c r="C220" s="56" t="s">
        <v>238</v>
      </c>
      <c r="D220" s="55">
        <v>5</v>
      </c>
      <c r="E220" s="55" t="s">
        <v>21</v>
      </c>
      <c r="F220" s="18" t="s">
        <v>21</v>
      </c>
      <c r="G220" s="18" t="s">
        <v>21</v>
      </c>
      <c r="H220" s="18" t="s">
        <v>23</v>
      </c>
      <c r="I220" s="18" t="s">
        <v>21</v>
      </c>
      <c r="J220" s="18" t="s">
        <v>23</v>
      </c>
      <c r="K220" s="18" t="s">
        <v>21</v>
      </c>
      <c r="L220" s="18" t="s">
        <v>21</v>
      </c>
      <c r="M220" s="18" t="s">
        <v>21</v>
      </c>
      <c r="N220" s="18" t="s">
        <v>21</v>
      </c>
      <c r="O220" s="18" t="s">
        <v>20</v>
      </c>
      <c r="P220" s="18" t="s">
        <v>21</v>
      </c>
      <c r="Q220" s="18" t="s">
        <v>23</v>
      </c>
      <c r="R220" s="18" t="s">
        <v>21</v>
      </c>
      <c r="S220" s="18" t="s">
        <v>21</v>
      </c>
      <c r="T220" s="18" t="s">
        <v>21</v>
      </c>
      <c r="U220" s="18" t="s">
        <v>20</v>
      </c>
      <c r="V220" s="37" t="s">
        <v>21</v>
      </c>
      <c r="W220" s="37" t="s">
        <v>20</v>
      </c>
      <c r="X220" s="37" t="s">
        <v>20</v>
      </c>
      <c r="Y220" s="18" t="s">
        <v>20</v>
      </c>
      <c r="Z220" s="18" t="s">
        <v>21</v>
      </c>
      <c r="AA220" s="20" t="s">
        <v>23</v>
      </c>
      <c r="AB220" s="20" t="s">
        <v>23</v>
      </c>
      <c r="AC220" s="20" t="s">
        <v>21</v>
      </c>
      <c r="AD220" s="29" t="s">
        <v>20</v>
      </c>
      <c r="AE220" s="29" t="s">
        <v>21</v>
      </c>
      <c r="AG220">
        <f t="shared" si="18"/>
        <v>0</v>
      </c>
      <c r="AH220">
        <f t="shared" si="19"/>
        <v>6</v>
      </c>
      <c r="AI220">
        <f t="shared" si="20"/>
        <v>15</v>
      </c>
      <c r="AJ220">
        <f t="shared" si="21"/>
        <v>5</v>
      </c>
      <c r="AL220">
        <f t="shared" si="22"/>
        <v>0</v>
      </c>
      <c r="AM220">
        <f t="shared" si="23"/>
        <v>18</v>
      </c>
      <c r="AN220">
        <f t="shared" si="24"/>
        <v>30</v>
      </c>
      <c r="AO220">
        <f t="shared" si="25"/>
        <v>5</v>
      </c>
      <c r="AP220">
        <f t="shared" si="26"/>
        <v>53</v>
      </c>
    </row>
    <row r="221" spans="1:42" ht="15.75" hidden="1" customHeight="1" x14ac:dyDescent="0.3">
      <c r="A221" s="16"/>
      <c r="B221" s="55">
        <v>15</v>
      </c>
      <c r="C221" s="56" t="s">
        <v>239</v>
      </c>
      <c r="D221" s="55">
        <v>5</v>
      </c>
      <c r="E221" s="55" t="s">
        <v>21</v>
      </c>
      <c r="F221" s="18" t="s">
        <v>21</v>
      </c>
      <c r="G221" s="18" t="s">
        <v>23</v>
      </c>
      <c r="H221" s="18" t="s">
        <v>21</v>
      </c>
      <c r="I221" s="18" t="s">
        <v>21</v>
      </c>
      <c r="J221" s="18" t="s">
        <v>21</v>
      </c>
      <c r="K221" s="18" t="s">
        <v>20</v>
      </c>
      <c r="L221" s="18" t="s">
        <v>20</v>
      </c>
      <c r="M221" s="18" t="s">
        <v>20</v>
      </c>
      <c r="N221" s="18" t="s">
        <v>21</v>
      </c>
      <c r="O221" s="18" t="s">
        <v>20</v>
      </c>
      <c r="P221" s="18" t="s">
        <v>21</v>
      </c>
      <c r="Q221" s="18" t="s">
        <v>21</v>
      </c>
      <c r="R221" s="18" t="s">
        <v>21</v>
      </c>
      <c r="S221" s="18" t="s">
        <v>20</v>
      </c>
      <c r="T221" s="18" t="s">
        <v>20</v>
      </c>
      <c r="U221" s="18" t="s">
        <v>21</v>
      </c>
      <c r="V221" s="37" t="s">
        <v>20</v>
      </c>
      <c r="W221" s="37" t="s">
        <v>20</v>
      </c>
      <c r="X221" s="37" t="s">
        <v>20</v>
      </c>
      <c r="Y221" s="18" t="s">
        <v>21</v>
      </c>
      <c r="Z221" s="18" t="s">
        <v>21</v>
      </c>
      <c r="AA221" s="20" t="s">
        <v>21</v>
      </c>
      <c r="AB221" s="20" t="s">
        <v>21</v>
      </c>
      <c r="AC221" s="20" t="s">
        <v>21</v>
      </c>
      <c r="AD221" s="29" t="s">
        <v>20</v>
      </c>
      <c r="AE221" s="29" t="s">
        <v>21</v>
      </c>
      <c r="AG221">
        <f t="shared" si="18"/>
        <v>0</v>
      </c>
      <c r="AH221">
        <f t="shared" si="19"/>
        <v>10</v>
      </c>
      <c r="AI221">
        <f t="shared" si="20"/>
        <v>15</v>
      </c>
      <c r="AJ221">
        <f t="shared" si="21"/>
        <v>1</v>
      </c>
      <c r="AL221">
        <f t="shared" si="22"/>
        <v>0</v>
      </c>
      <c r="AM221">
        <f t="shared" si="23"/>
        <v>30</v>
      </c>
      <c r="AN221">
        <f t="shared" si="24"/>
        <v>30</v>
      </c>
      <c r="AO221">
        <f t="shared" si="25"/>
        <v>1</v>
      </c>
      <c r="AP221">
        <f t="shared" si="26"/>
        <v>61</v>
      </c>
    </row>
    <row r="222" spans="1:42" ht="15.75" hidden="1" customHeight="1" x14ac:dyDescent="0.3">
      <c r="A222" s="16"/>
      <c r="B222" s="55">
        <v>16</v>
      </c>
      <c r="C222" s="56" t="s">
        <v>240</v>
      </c>
      <c r="D222" s="55">
        <v>5</v>
      </c>
      <c r="E222" s="55" t="s">
        <v>21</v>
      </c>
      <c r="F222" s="18" t="s">
        <v>20</v>
      </c>
      <c r="G222" s="18" t="s">
        <v>20</v>
      </c>
      <c r="H222" s="18" t="s">
        <v>21</v>
      </c>
      <c r="I222" s="18" t="s">
        <v>20</v>
      </c>
      <c r="J222" s="18" t="s">
        <v>21</v>
      </c>
      <c r="K222" s="18" t="s">
        <v>21</v>
      </c>
      <c r="L222" s="18" t="s">
        <v>20</v>
      </c>
      <c r="M222" s="18" t="s">
        <v>20</v>
      </c>
      <c r="N222" s="18" t="s">
        <v>20</v>
      </c>
      <c r="O222" s="18" t="s">
        <v>20</v>
      </c>
      <c r="P222" s="18" t="s">
        <v>21</v>
      </c>
      <c r="Q222" s="18" t="s">
        <v>20</v>
      </c>
      <c r="R222" s="18" t="s">
        <v>21</v>
      </c>
      <c r="S222" s="18" t="s">
        <v>21</v>
      </c>
      <c r="T222" s="18" t="s">
        <v>21</v>
      </c>
      <c r="U222" s="18" t="s">
        <v>20</v>
      </c>
      <c r="V222" s="37" t="s">
        <v>20</v>
      </c>
      <c r="W222" s="37" t="s">
        <v>20</v>
      </c>
      <c r="X222" s="37" t="s">
        <v>20</v>
      </c>
      <c r="Y222" s="18" t="s">
        <v>20</v>
      </c>
      <c r="Z222" s="18" t="s">
        <v>21</v>
      </c>
      <c r="AA222" s="20" t="s">
        <v>21</v>
      </c>
      <c r="AB222" s="20" t="s">
        <v>20</v>
      </c>
      <c r="AC222" s="20" t="s">
        <v>20</v>
      </c>
      <c r="AD222" s="29" t="s">
        <v>20</v>
      </c>
      <c r="AE222" s="29" t="s">
        <v>21</v>
      </c>
      <c r="AG222">
        <f t="shared" si="18"/>
        <v>0</v>
      </c>
      <c r="AH222">
        <f t="shared" si="19"/>
        <v>16</v>
      </c>
      <c r="AI222">
        <f t="shared" si="20"/>
        <v>10</v>
      </c>
      <c r="AJ222">
        <f t="shared" si="21"/>
        <v>0</v>
      </c>
      <c r="AL222">
        <f t="shared" si="22"/>
        <v>0</v>
      </c>
      <c r="AM222">
        <f t="shared" si="23"/>
        <v>48</v>
      </c>
      <c r="AN222">
        <f t="shared" si="24"/>
        <v>20</v>
      </c>
      <c r="AO222">
        <f t="shared" si="25"/>
        <v>0</v>
      </c>
      <c r="AP222">
        <f t="shared" si="26"/>
        <v>68</v>
      </c>
    </row>
    <row r="223" spans="1:42" ht="15.75" hidden="1" customHeight="1" x14ac:dyDescent="0.3">
      <c r="A223" s="16"/>
      <c r="B223" s="55">
        <v>17</v>
      </c>
      <c r="C223" s="56" t="s">
        <v>241</v>
      </c>
      <c r="D223" s="55">
        <v>5</v>
      </c>
      <c r="E223" s="55" t="s">
        <v>21</v>
      </c>
      <c r="F223" s="18" t="s">
        <v>21</v>
      </c>
      <c r="G223" s="18" t="s">
        <v>23</v>
      </c>
      <c r="H223" s="18" t="s">
        <v>21</v>
      </c>
      <c r="I223" s="18" t="s">
        <v>21</v>
      </c>
      <c r="J223" s="18" t="s">
        <v>21</v>
      </c>
      <c r="K223" s="18" t="s">
        <v>21</v>
      </c>
      <c r="L223" s="18" t="s">
        <v>21</v>
      </c>
      <c r="M223" s="18" t="s">
        <v>21</v>
      </c>
      <c r="N223" s="18" t="s">
        <v>21</v>
      </c>
      <c r="O223" s="18" t="s">
        <v>21</v>
      </c>
      <c r="P223" s="18" t="s">
        <v>21</v>
      </c>
      <c r="Q223" s="18" t="s">
        <v>23</v>
      </c>
      <c r="R223" s="18" t="s">
        <v>21</v>
      </c>
      <c r="S223" s="18" t="s">
        <v>21</v>
      </c>
      <c r="T223" s="18" t="s">
        <v>21</v>
      </c>
      <c r="U223" s="18" t="s">
        <v>21</v>
      </c>
      <c r="V223" s="37" t="s">
        <v>20</v>
      </c>
      <c r="W223" s="37" t="s">
        <v>21</v>
      </c>
      <c r="X223" s="37" t="s">
        <v>20</v>
      </c>
      <c r="Y223" s="18" t="s">
        <v>20</v>
      </c>
      <c r="Z223" s="18" t="s">
        <v>21</v>
      </c>
      <c r="AA223" s="20" t="s">
        <v>20</v>
      </c>
      <c r="AB223" s="20" t="s">
        <v>21</v>
      </c>
      <c r="AC223" s="20" t="s">
        <v>21</v>
      </c>
      <c r="AD223" s="29" t="s">
        <v>23</v>
      </c>
      <c r="AE223" s="29" t="s">
        <v>21</v>
      </c>
      <c r="AG223">
        <f t="shared" si="18"/>
        <v>0</v>
      </c>
      <c r="AH223">
        <f t="shared" si="19"/>
        <v>4</v>
      </c>
      <c r="AI223">
        <f t="shared" si="20"/>
        <v>19</v>
      </c>
      <c r="AJ223">
        <f t="shared" si="21"/>
        <v>3</v>
      </c>
      <c r="AL223">
        <f t="shared" si="22"/>
        <v>0</v>
      </c>
      <c r="AM223">
        <f t="shared" si="23"/>
        <v>12</v>
      </c>
      <c r="AN223">
        <f t="shared" si="24"/>
        <v>38</v>
      </c>
      <c r="AO223">
        <f t="shared" si="25"/>
        <v>3</v>
      </c>
      <c r="AP223">
        <f t="shared" si="26"/>
        <v>53</v>
      </c>
    </row>
    <row r="224" spans="1:42" ht="15.75" hidden="1" customHeight="1" x14ac:dyDescent="0.3">
      <c r="A224" s="16"/>
      <c r="B224" s="55">
        <v>18</v>
      </c>
      <c r="C224" s="56" t="s">
        <v>242</v>
      </c>
      <c r="D224" s="55">
        <v>5</v>
      </c>
      <c r="E224" s="55" t="s">
        <v>21</v>
      </c>
      <c r="F224" s="18" t="s">
        <v>20</v>
      </c>
      <c r="G224" s="18" t="s">
        <v>20</v>
      </c>
      <c r="H224" s="18" t="s">
        <v>21</v>
      </c>
      <c r="I224" s="18" t="s">
        <v>21</v>
      </c>
      <c r="J224" s="18" t="s">
        <v>20</v>
      </c>
      <c r="K224" s="18" t="s">
        <v>20</v>
      </c>
      <c r="L224" s="18" t="s">
        <v>21</v>
      </c>
      <c r="M224" s="18" t="s">
        <v>20</v>
      </c>
      <c r="N224" s="18" t="s">
        <v>20</v>
      </c>
      <c r="O224" s="18" t="s">
        <v>20</v>
      </c>
      <c r="P224" s="18" t="s">
        <v>21</v>
      </c>
      <c r="Q224" s="18" t="s">
        <v>21</v>
      </c>
      <c r="R224" s="18" t="s">
        <v>21</v>
      </c>
      <c r="S224" s="18" t="s">
        <v>20</v>
      </c>
      <c r="T224" s="18" t="s">
        <v>20</v>
      </c>
      <c r="U224" s="18" t="s">
        <v>20</v>
      </c>
      <c r="V224" s="37" t="s">
        <v>20</v>
      </c>
      <c r="W224" s="37" t="s">
        <v>20</v>
      </c>
      <c r="X224" s="37" t="s">
        <v>20</v>
      </c>
      <c r="Y224" s="18" t="s">
        <v>20</v>
      </c>
      <c r="Z224" s="18" t="s">
        <v>20</v>
      </c>
      <c r="AA224" s="20" t="s">
        <v>21</v>
      </c>
      <c r="AB224" s="20" t="s">
        <v>20</v>
      </c>
      <c r="AC224" s="20" t="s">
        <v>20</v>
      </c>
      <c r="AD224" s="29" t="s">
        <v>20</v>
      </c>
      <c r="AE224" s="29" t="s">
        <v>21</v>
      </c>
      <c r="AG224">
        <f t="shared" si="18"/>
        <v>0</v>
      </c>
      <c r="AH224">
        <f t="shared" si="19"/>
        <v>18</v>
      </c>
      <c r="AI224">
        <f t="shared" si="20"/>
        <v>8</v>
      </c>
      <c r="AJ224">
        <f t="shared" si="21"/>
        <v>0</v>
      </c>
      <c r="AL224">
        <f t="shared" si="22"/>
        <v>0</v>
      </c>
      <c r="AM224">
        <f t="shared" si="23"/>
        <v>54</v>
      </c>
      <c r="AN224">
        <f t="shared" si="24"/>
        <v>16</v>
      </c>
      <c r="AO224">
        <f t="shared" si="25"/>
        <v>0</v>
      </c>
      <c r="AP224">
        <f t="shared" si="26"/>
        <v>70</v>
      </c>
    </row>
    <row r="225" spans="1:42" ht="15.75" hidden="1" customHeight="1" x14ac:dyDescent="0.3">
      <c r="A225" s="16"/>
      <c r="B225" s="55">
        <v>19</v>
      </c>
      <c r="C225" s="56" t="s">
        <v>243</v>
      </c>
      <c r="D225" s="55">
        <v>5</v>
      </c>
      <c r="E225" s="55" t="s">
        <v>21</v>
      </c>
      <c r="F225" s="18" t="s">
        <v>20</v>
      </c>
      <c r="G225" s="18" t="s">
        <v>20</v>
      </c>
      <c r="H225" s="18" t="s">
        <v>20</v>
      </c>
      <c r="I225" s="18" t="s">
        <v>20</v>
      </c>
      <c r="J225" s="18" t="s">
        <v>20</v>
      </c>
      <c r="K225" s="18" t="s">
        <v>20</v>
      </c>
      <c r="L225" s="18" t="s">
        <v>20</v>
      </c>
      <c r="M225" s="18" t="s">
        <v>20</v>
      </c>
      <c r="N225" s="18" t="s">
        <v>20</v>
      </c>
      <c r="O225" s="18" t="s">
        <v>20</v>
      </c>
      <c r="P225" s="18" t="s">
        <v>20</v>
      </c>
      <c r="Q225" s="18" t="s">
        <v>20</v>
      </c>
      <c r="R225" s="18" t="s">
        <v>20</v>
      </c>
      <c r="S225" s="18" t="s">
        <v>20</v>
      </c>
      <c r="T225" s="18" t="s">
        <v>20</v>
      </c>
      <c r="U225" s="18" t="s">
        <v>20</v>
      </c>
      <c r="V225" s="37" t="s">
        <v>20</v>
      </c>
      <c r="W225" s="37" t="s">
        <v>20</v>
      </c>
      <c r="X225" s="37" t="s">
        <v>20</v>
      </c>
      <c r="Y225" s="18" t="s">
        <v>20</v>
      </c>
      <c r="Z225" s="18" t="s">
        <v>20</v>
      </c>
      <c r="AA225" s="20" t="s">
        <v>20</v>
      </c>
      <c r="AB225" s="20" t="s">
        <v>20</v>
      </c>
      <c r="AC225" s="20" t="s">
        <v>20</v>
      </c>
      <c r="AD225" s="29" t="s">
        <v>20</v>
      </c>
      <c r="AE225" s="29" t="s">
        <v>21</v>
      </c>
      <c r="AG225">
        <f t="shared" si="18"/>
        <v>0</v>
      </c>
      <c r="AH225">
        <f t="shared" si="19"/>
        <v>25</v>
      </c>
      <c r="AI225">
        <f t="shared" si="20"/>
        <v>1</v>
      </c>
      <c r="AJ225">
        <f t="shared" si="21"/>
        <v>0</v>
      </c>
      <c r="AL225">
        <f t="shared" si="22"/>
        <v>0</v>
      </c>
      <c r="AM225">
        <f t="shared" si="23"/>
        <v>75</v>
      </c>
      <c r="AN225">
        <f t="shared" si="24"/>
        <v>2</v>
      </c>
      <c r="AO225">
        <f t="shared" si="25"/>
        <v>0</v>
      </c>
      <c r="AP225">
        <f t="shared" si="26"/>
        <v>77</v>
      </c>
    </row>
    <row r="226" spans="1:42" ht="15.75" hidden="1" customHeight="1" x14ac:dyDescent="0.3">
      <c r="A226" s="16"/>
      <c r="B226" s="55">
        <v>20</v>
      </c>
      <c r="C226" s="56" t="s">
        <v>244</v>
      </c>
      <c r="D226" s="55">
        <v>5</v>
      </c>
      <c r="E226" s="55" t="s">
        <v>21</v>
      </c>
      <c r="F226" s="18" t="s">
        <v>20</v>
      </c>
      <c r="G226" s="18" t="s">
        <v>21</v>
      </c>
      <c r="H226" s="18" t="s">
        <v>21</v>
      </c>
      <c r="I226" s="18" t="s">
        <v>21</v>
      </c>
      <c r="J226" s="18" t="s">
        <v>21</v>
      </c>
      <c r="K226" s="18" t="s">
        <v>20</v>
      </c>
      <c r="L226" s="18" t="s">
        <v>20</v>
      </c>
      <c r="M226" s="18" t="s">
        <v>20</v>
      </c>
      <c r="N226" s="18" t="s">
        <v>21</v>
      </c>
      <c r="O226" s="18" t="s">
        <v>20</v>
      </c>
      <c r="P226" s="18" t="s">
        <v>21</v>
      </c>
      <c r="Q226" s="18" t="s">
        <v>21</v>
      </c>
      <c r="R226" s="18" t="s">
        <v>21</v>
      </c>
      <c r="S226" s="18" t="s">
        <v>20</v>
      </c>
      <c r="T226" s="18" t="s">
        <v>21</v>
      </c>
      <c r="U226" s="18" t="s">
        <v>21</v>
      </c>
      <c r="V226" s="37" t="s">
        <v>20</v>
      </c>
      <c r="W226" s="37" t="s">
        <v>21</v>
      </c>
      <c r="X226" s="37" t="s">
        <v>20</v>
      </c>
      <c r="Y226" s="18" t="s">
        <v>20</v>
      </c>
      <c r="Z226" s="18" t="s">
        <v>20</v>
      </c>
      <c r="AA226" s="20" t="s">
        <v>20</v>
      </c>
      <c r="AB226" s="20" t="s">
        <v>20</v>
      </c>
      <c r="AC226" s="20" t="s">
        <v>20</v>
      </c>
      <c r="AD226" s="29" t="s">
        <v>20</v>
      </c>
      <c r="AE226" s="29" t="s">
        <v>21</v>
      </c>
      <c r="AG226">
        <f t="shared" si="18"/>
        <v>0</v>
      </c>
      <c r="AH226">
        <f t="shared" si="19"/>
        <v>14</v>
      </c>
      <c r="AI226">
        <f t="shared" si="20"/>
        <v>12</v>
      </c>
      <c r="AJ226">
        <f t="shared" si="21"/>
        <v>0</v>
      </c>
      <c r="AL226">
        <f t="shared" si="22"/>
        <v>0</v>
      </c>
      <c r="AM226">
        <f t="shared" si="23"/>
        <v>42</v>
      </c>
      <c r="AN226">
        <f t="shared" si="24"/>
        <v>24</v>
      </c>
      <c r="AO226">
        <f t="shared" si="25"/>
        <v>0</v>
      </c>
      <c r="AP226">
        <f t="shared" si="26"/>
        <v>66</v>
      </c>
    </row>
    <row r="227" spans="1:42" ht="15.75" hidden="1" customHeight="1" x14ac:dyDescent="0.3">
      <c r="A227" s="16"/>
      <c r="B227" s="55">
        <v>21</v>
      </c>
      <c r="C227" s="56" t="s">
        <v>245</v>
      </c>
      <c r="D227" s="55">
        <v>5</v>
      </c>
      <c r="E227" s="55" t="s">
        <v>21</v>
      </c>
      <c r="F227" s="18" t="s">
        <v>39</v>
      </c>
      <c r="G227" s="18" t="s">
        <v>20</v>
      </c>
      <c r="H227" s="18" t="s">
        <v>20</v>
      </c>
      <c r="I227" s="18" t="s">
        <v>20</v>
      </c>
      <c r="J227" s="18" t="s">
        <v>20</v>
      </c>
      <c r="K227" s="18" t="s">
        <v>39</v>
      </c>
      <c r="L227" s="18" t="s">
        <v>39</v>
      </c>
      <c r="M227" s="18" t="s">
        <v>20</v>
      </c>
      <c r="N227" s="18" t="s">
        <v>20</v>
      </c>
      <c r="O227" s="18" t="s">
        <v>20</v>
      </c>
      <c r="P227" s="18" t="s">
        <v>20</v>
      </c>
      <c r="Q227" s="18" t="s">
        <v>20</v>
      </c>
      <c r="R227" s="18" t="s">
        <v>20</v>
      </c>
      <c r="S227" s="18" t="s">
        <v>20</v>
      </c>
      <c r="T227" s="18" t="s">
        <v>20</v>
      </c>
      <c r="U227" s="18" t="s">
        <v>20</v>
      </c>
      <c r="V227" s="37" t="s">
        <v>20</v>
      </c>
      <c r="W227" s="37" t="s">
        <v>20</v>
      </c>
      <c r="X227" s="37" t="s">
        <v>20</v>
      </c>
      <c r="Y227" s="18" t="s">
        <v>39</v>
      </c>
      <c r="Z227" s="18" t="s">
        <v>39</v>
      </c>
      <c r="AA227" s="20" t="s">
        <v>20</v>
      </c>
      <c r="AB227" s="20" t="s">
        <v>20</v>
      </c>
      <c r="AC227" s="20" t="s">
        <v>20</v>
      </c>
      <c r="AD227" s="29" t="s">
        <v>20</v>
      </c>
      <c r="AE227" s="29" t="s">
        <v>21</v>
      </c>
      <c r="AG227">
        <f t="shared" si="18"/>
        <v>5</v>
      </c>
      <c r="AH227">
        <f t="shared" si="19"/>
        <v>20</v>
      </c>
      <c r="AI227">
        <f t="shared" si="20"/>
        <v>1</v>
      </c>
      <c r="AJ227">
        <f t="shared" si="21"/>
        <v>0</v>
      </c>
      <c r="AL227">
        <f t="shared" si="22"/>
        <v>20</v>
      </c>
      <c r="AM227">
        <f t="shared" si="23"/>
        <v>60</v>
      </c>
      <c r="AN227">
        <f t="shared" si="24"/>
        <v>2</v>
      </c>
      <c r="AO227">
        <f t="shared" si="25"/>
        <v>0</v>
      </c>
      <c r="AP227">
        <f t="shared" si="26"/>
        <v>82</v>
      </c>
    </row>
    <row r="228" spans="1:42" ht="15.75" hidden="1" customHeight="1" x14ac:dyDescent="0.3">
      <c r="A228" s="16"/>
      <c r="B228" s="55">
        <v>22</v>
      </c>
      <c r="C228" s="56" t="s">
        <v>246</v>
      </c>
      <c r="D228" s="55">
        <v>5</v>
      </c>
      <c r="E228" s="55" t="s">
        <v>21</v>
      </c>
      <c r="F228" s="18" t="s">
        <v>21</v>
      </c>
      <c r="G228" s="18" t="s">
        <v>21</v>
      </c>
      <c r="H228" s="18" t="s">
        <v>21</v>
      </c>
      <c r="I228" s="18" t="s">
        <v>21</v>
      </c>
      <c r="J228" s="18" t="s">
        <v>21</v>
      </c>
      <c r="K228" s="18" t="s">
        <v>20</v>
      </c>
      <c r="L228" s="18" t="s">
        <v>20</v>
      </c>
      <c r="M228" s="18" t="s">
        <v>20</v>
      </c>
      <c r="N228" s="18" t="s">
        <v>20</v>
      </c>
      <c r="O228" s="18" t="s">
        <v>20</v>
      </c>
      <c r="P228" s="18" t="s">
        <v>21</v>
      </c>
      <c r="Q228" s="18" t="s">
        <v>21</v>
      </c>
      <c r="R228" s="18" t="s">
        <v>23</v>
      </c>
      <c r="S228" s="18" t="s">
        <v>21</v>
      </c>
      <c r="T228" s="18" t="s">
        <v>21</v>
      </c>
      <c r="U228" s="18" t="s">
        <v>20</v>
      </c>
      <c r="V228" s="37" t="s">
        <v>20</v>
      </c>
      <c r="W228" s="37" t="s">
        <v>20</v>
      </c>
      <c r="X228" s="37" t="s">
        <v>20</v>
      </c>
      <c r="Y228" s="18" t="s">
        <v>21</v>
      </c>
      <c r="Z228" s="18" t="s">
        <v>20</v>
      </c>
      <c r="AA228" s="20" t="s">
        <v>21</v>
      </c>
      <c r="AB228" s="20" t="s">
        <v>21</v>
      </c>
      <c r="AC228" s="20" t="s">
        <v>21</v>
      </c>
      <c r="AD228" s="47" t="s">
        <v>23</v>
      </c>
      <c r="AE228" s="47" t="s">
        <v>21</v>
      </c>
      <c r="AG228">
        <f t="shared" si="18"/>
        <v>0</v>
      </c>
      <c r="AH228">
        <f t="shared" si="19"/>
        <v>10</v>
      </c>
      <c r="AI228">
        <f t="shared" si="20"/>
        <v>14</v>
      </c>
      <c r="AJ228">
        <f t="shared" si="21"/>
        <v>2</v>
      </c>
      <c r="AL228">
        <f t="shared" si="22"/>
        <v>0</v>
      </c>
      <c r="AM228">
        <f t="shared" si="23"/>
        <v>30</v>
      </c>
      <c r="AN228">
        <f t="shared" si="24"/>
        <v>28</v>
      </c>
      <c r="AO228">
        <f t="shared" si="25"/>
        <v>2</v>
      </c>
      <c r="AP228">
        <f t="shared" si="26"/>
        <v>60</v>
      </c>
    </row>
    <row r="229" spans="1:42" ht="15.75" hidden="1" customHeight="1" x14ac:dyDescent="0.3">
      <c r="A229" s="16"/>
      <c r="B229" s="55">
        <v>23</v>
      </c>
      <c r="C229" s="56" t="s">
        <v>247</v>
      </c>
      <c r="D229" s="55">
        <v>5</v>
      </c>
      <c r="E229" s="55" t="s">
        <v>21</v>
      </c>
      <c r="F229" s="18" t="s">
        <v>21</v>
      </c>
      <c r="G229" s="18" t="s">
        <v>21</v>
      </c>
      <c r="H229" s="18" t="s">
        <v>21</v>
      </c>
      <c r="I229" s="18" t="s">
        <v>20</v>
      </c>
      <c r="J229" s="18" t="s">
        <v>20</v>
      </c>
      <c r="K229" s="18" t="s">
        <v>20</v>
      </c>
      <c r="L229" s="18" t="s">
        <v>20</v>
      </c>
      <c r="M229" s="18" t="s">
        <v>20</v>
      </c>
      <c r="N229" s="18" t="s">
        <v>21</v>
      </c>
      <c r="O229" s="18" t="s">
        <v>20</v>
      </c>
      <c r="P229" s="18" t="s">
        <v>21</v>
      </c>
      <c r="Q229" s="18" t="s">
        <v>21</v>
      </c>
      <c r="R229" s="18" t="s">
        <v>20</v>
      </c>
      <c r="S229" s="18" t="s">
        <v>21</v>
      </c>
      <c r="T229" s="18" t="s">
        <v>21</v>
      </c>
      <c r="U229" s="18" t="s">
        <v>21</v>
      </c>
      <c r="V229" s="37" t="s">
        <v>20</v>
      </c>
      <c r="W229" s="37" t="s">
        <v>20</v>
      </c>
      <c r="X229" s="37" t="s">
        <v>20</v>
      </c>
      <c r="Y229" s="18" t="s">
        <v>20</v>
      </c>
      <c r="Z229" s="18" t="s">
        <v>21</v>
      </c>
      <c r="AA229" s="20" t="s">
        <v>20</v>
      </c>
      <c r="AB229" s="20" t="s">
        <v>20</v>
      </c>
      <c r="AC229" s="20" t="s">
        <v>20</v>
      </c>
      <c r="AD229" s="29" t="s">
        <v>20</v>
      </c>
      <c r="AE229" s="29" t="s">
        <v>21</v>
      </c>
      <c r="AG229">
        <f t="shared" si="18"/>
        <v>0</v>
      </c>
      <c r="AH229">
        <f t="shared" si="19"/>
        <v>15</v>
      </c>
      <c r="AI229">
        <f t="shared" si="20"/>
        <v>11</v>
      </c>
      <c r="AJ229">
        <f t="shared" si="21"/>
        <v>0</v>
      </c>
      <c r="AL229">
        <f t="shared" si="22"/>
        <v>0</v>
      </c>
      <c r="AM229">
        <f t="shared" si="23"/>
        <v>45</v>
      </c>
      <c r="AN229">
        <f t="shared" si="24"/>
        <v>22</v>
      </c>
      <c r="AO229">
        <f t="shared" si="25"/>
        <v>0</v>
      </c>
      <c r="AP229">
        <f t="shared" si="26"/>
        <v>67</v>
      </c>
    </row>
    <row r="230" spans="1:42" ht="15.75" hidden="1" customHeight="1" x14ac:dyDescent="0.3">
      <c r="A230" s="16"/>
      <c r="B230" s="55">
        <v>24</v>
      </c>
      <c r="C230" s="56" t="s">
        <v>248</v>
      </c>
      <c r="D230" s="55">
        <v>5</v>
      </c>
      <c r="E230" s="55" t="s">
        <v>21</v>
      </c>
      <c r="F230" s="18" t="s">
        <v>20</v>
      </c>
      <c r="G230" s="18" t="s">
        <v>20</v>
      </c>
      <c r="H230" s="18" t="s">
        <v>20</v>
      </c>
      <c r="I230" s="18" t="s">
        <v>20</v>
      </c>
      <c r="J230" s="18" t="s">
        <v>20</v>
      </c>
      <c r="K230" s="18" t="s">
        <v>20</v>
      </c>
      <c r="L230" s="18" t="s">
        <v>39</v>
      </c>
      <c r="M230" s="18" t="s">
        <v>20</v>
      </c>
      <c r="N230" s="18" t="s">
        <v>20</v>
      </c>
      <c r="O230" s="18" t="s">
        <v>20</v>
      </c>
      <c r="P230" s="18" t="s">
        <v>20</v>
      </c>
      <c r="Q230" s="18" t="s">
        <v>21</v>
      </c>
      <c r="R230" s="18" t="s">
        <v>21</v>
      </c>
      <c r="S230" s="18" t="s">
        <v>20</v>
      </c>
      <c r="T230" s="18" t="s">
        <v>20</v>
      </c>
      <c r="U230" s="18" t="s">
        <v>20</v>
      </c>
      <c r="V230" s="37" t="s">
        <v>20</v>
      </c>
      <c r="W230" s="37" t="s">
        <v>21</v>
      </c>
      <c r="X230" s="37" t="s">
        <v>20</v>
      </c>
      <c r="Y230" s="18" t="s">
        <v>20</v>
      </c>
      <c r="Z230" s="18" t="s">
        <v>20</v>
      </c>
      <c r="AA230" s="20" t="s">
        <v>20</v>
      </c>
      <c r="AB230" s="20" t="s">
        <v>21</v>
      </c>
      <c r="AC230" s="20" t="s">
        <v>20</v>
      </c>
      <c r="AD230" s="29" t="s">
        <v>20</v>
      </c>
      <c r="AE230" s="29" t="s">
        <v>21</v>
      </c>
      <c r="AG230">
        <f t="shared" si="18"/>
        <v>1</v>
      </c>
      <c r="AH230">
        <f t="shared" si="19"/>
        <v>20</v>
      </c>
      <c r="AI230">
        <f t="shared" si="20"/>
        <v>5</v>
      </c>
      <c r="AJ230">
        <f t="shared" si="21"/>
        <v>0</v>
      </c>
      <c r="AL230">
        <f t="shared" si="22"/>
        <v>4</v>
      </c>
      <c r="AM230">
        <f t="shared" si="23"/>
        <v>60</v>
      </c>
      <c r="AN230">
        <f t="shared" si="24"/>
        <v>10</v>
      </c>
      <c r="AO230">
        <f t="shared" si="25"/>
        <v>0</v>
      </c>
      <c r="AP230">
        <f t="shared" si="26"/>
        <v>74</v>
      </c>
    </row>
    <row r="231" spans="1:42" ht="15.75" hidden="1" customHeight="1" x14ac:dyDescent="0.3">
      <c r="A231" s="16"/>
      <c r="B231" s="55">
        <v>25</v>
      </c>
      <c r="C231" s="56" t="s">
        <v>249</v>
      </c>
      <c r="D231" s="55">
        <v>5</v>
      </c>
      <c r="E231" s="55" t="s">
        <v>21</v>
      </c>
      <c r="F231" s="18" t="s">
        <v>21</v>
      </c>
      <c r="G231" s="18" t="s">
        <v>21</v>
      </c>
      <c r="H231" s="17" t="s">
        <v>21</v>
      </c>
      <c r="I231" s="18" t="s">
        <v>21</v>
      </c>
      <c r="J231" s="18" t="s">
        <v>21</v>
      </c>
      <c r="K231" s="18" t="s">
        <v>21</v>
      </c>
      <c r="L231" s="18" t="s">
        <v>21</v>
      </c>
      <c r="M231" s="18" t="s">
        <v>20</v>
      </c>
      <c r="N231" s="18" t="s">
        <v>21</v>
      </c>
      <c r="O231" s="18" t="s">
        <v>20</v>
      </c>
      <c r="P231" s="18" t="s">
        <v>21</v>
      </c>
      <c r="Q231" s="18" t="s">
        <v>21</v>
      </c>
      <c r="R231" s="18" t="s">
        <v>21</v>
      </c>
      <c r="S231" s="18" t="s">
        <v>21</v>
      </c>
      <c r="T231" s="18" t="s">
        <v>20</v>
      </c>
      <c r="U231" s="18" t="s">
        <v>21</v>
      </c>
      <c r="V231" s="37" t="s">
        <v>21</v>
      </c>
      <c r="W231" s="37" t="s">
        <v>21</v>
      </c>
      <c r="X231" s="37" t="s">
        <v>21</v>
      </c>
      <c r="Y231" s="18" t="s">
        <v>20</v>
      </c>
      <c r="Z231" s="18" t="s">
        <v>21</v>
      </c>
      <c r="AA231" s="20" t="s">
        <v>21</v>
      </c>
      <c r="AB231" s="20" t="s">
        <v>21</v>
      </c>
      <c r="AC231" s="20" t="s">
        <v>21</v>
      </c>
      <c r="AD231" s="29" t="s">
        <v>21</v>
      </c>
      <c r="AE231" s="29" t="s">
        <v>21</v>
      </c>
      <c r="AG231">
        <f t="shared" si="18"/>
        <v>0</v>
      </c>
      <c r="AH231">
        <f t="shared" si="19"/>
        <v>4</v>
      </c>
      <c r="AI231">
        <f t="shared" si="20"/>
        <v>22</v>
      </c>
      <c r="AJ231">
        <f t="shared" si="21"/>
        <v>0</v>
      </c>
      <c r="AL231">
        <f t="shared" si="22"/>
        <v>0</v>
      </c>
      <c r="AM231">
        <f t="shared" si="23"/>
        <v>12</v>
      </c>
      <c r="AN231">
        <f t="shared" si="24"/>
        <v>44</v>
      </c>
      <c r="AO231">
        <f t="shared" si="25"/>
        <v>0</v>
      </c>
      <c r="AP231">
        <f t="shared" si="26"/>
        <v>56</v>
      </c>
    </row>
    <row r="232" spans="1:42" ht="15.75" hidden="1" customHeight="1" thickBot="1" x14ac:dyDescent="0.35">
      <c r="A232" s="16"/>
      <c r="B232" s="57">
        <v>26</v>
      </c>
      <c r="C232" s="58" t="s">
        <v>250</v>
      </c>
      <c r="D232" s="57">
        <v>5</v>
      </c>
      <c r="E232" s="57" t="s">
        <v>21</v>
      </c>
      <c r="F232" s="21" t="s">
        <v>39</v>
      </c>
      <c r="G232" s="21" t="s">
        <v>20</v>
      </c>
      <c r="H232" s="41" t="s">
        <v>20</v>
      </c>
      <c r="I232" s="21" t="s">
        <v>20</v>
      </c>
      <c r="J232" s="21" t="s">
        <v>20</v>
      </c>
      <c r="K232" s="21" t="s">
        <v>20</v>
      </c>
      <c r="L232" s="21" t="s">
        <v>20</v>
      </c>
      <c r="M232" s="21" t="s">
        <v>20</v>
      </c>
      <c r="N232" s="21" t="s">
        <v>20</v>
      </c>
      <c r="O232" s="21" t="s">
        <v>20</v>
      </c>
      <c r="P232" s="21" t="s">
        <v>21</v>
      </c>
      <c r="Q232" s="21" t="s">
        <v>20</v>
      </c>
      <c r="R232" s="21" t="s">
        <v>20</v>
      </c>
      <c r="S232" s="21" t="s">
        <v>20</v>
      </c>
      <c r="T232" s="21" t="s">
        <v>20</v>
      </c>
      <c r="U232" s="21" t="s">
        <v>20</v>
      </c>
      <c r="V232" s="38" t="s">
        <v>20</v>
      </c>
      <c r="W232" s="38" t="s">
        <v>20</v>
      </c>
      <c r="X232" s="38" t="s">
        <v>20</v>
      </c>
      <c r="Y232" s="21" t="s">
        <v>20</v>
      </c>
      <c r="Z232" s="21" t="s">
        <v>20</v>
      </c>
      <c r="AA232" s="23" t="s">
        <v>20</v>
      </c>
      <c r="AB232" s="23" t="s">
        <v>20</v>
      </c>
      <c r="AC232" s="23" t="s">
        <v>20</v>
      </c>
      <c r="AD232" s="31" t="s">
        <v>20</v>
      </c>
      <c r="AE232" s="31" t="s">
        <v>21</v>
      </c>
      <c r="AG232">
        <f t="shared" si="18"/>
        <v>1</v>
      </c>
      <c r="AH232">
        <f t="shared" si="19"/>
        <v>23</v>
      </c>
      <c r="AI232">
        <f t="shared" si="20"/>
        <v>2</v>
      </c>
      <c r="AJ232">
        <f t="shared" si="21"/>
        <v>0</v>
      </c>
      <c r="AL232">
        <f t="shared" si="22"/>
        <v>4</v>
      </c>
      <c r="AM232">
        <f t="shared" si="23"/>
        <v>69</v>
      </c>
      <c r="AN232">
        <f t="shared" si="24"/>
        <v>4</v>
      </c>
      <c r="AO232">
        <f t="shared" si="25"/>
        <v>0</v>
      </c>
      <c r="AP232">
        <f t="shared" si="26"/>
        <v>77</v>
      </c>
    </row>
    <row r="233" spans="1:42" ht="15.75" customHeight="1" x14ac:dyDescent="0.3">
      <c r="B233" s="54"/>
    </row>
    <row r="234" spans="1:42" ht="15.75" customHeight="1" x14ac:dyDescent="0.3"/>
    <row r="235" spans="1:42" ht="15.75" customHeight="1" x14ac:dyDescent="0.3"/>
    <row r="236" spans="1:42" ht="15.75" customHeight="1" x14ac:dyDescent="0.3"/>
    <row r="237" spans="1:42" ht="15.75" customHeight="1" x14ac:dyDescent="0.3"/>
    <row r="238" spans="1:42" ht="15.75" customHeight="1" x14ac:dyDescent="0.3"/>
    <row r="239" spans="1:42" ht="15.75" customHeight="1" x14ac:dyDescent="0.3"/>
    <row r="240" spans="1:42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  <row r="1041" ht="15.75" customHeight="1" x14ac:dyDescent="0.3"/>
    <row r="1042" ht="15.75" customHeight="1" x14ac:dyDescent="0.3"/>
    <row r="1043" ht="15.75" customHeight="1" x14ac:dyDescent="0.3"/>
    <row r="1044" ht="15.75" customHeight="1" x14ac:dyDescent="0.3"/>
    <row r="1045" ht="15.75" customHeight="1" x14ac:dyDescent="0.3"/>
    <row r="1046" ht="15.75" customHeight="1" x14ac:dyDescent="0.3"/>
    <row r="1047" ht="15.75" customHeight="1" x14ac:dyDescent="0.3"/>
    <row r="1048" ht="15.75" customHeight="1" x14ac:dyDescent="0.3"/>
    <row r="1049" ht="15.75" customHeight="1" x14ac:dyDescent="0.3"/>
    <row r="1050" ht="15.75" customHeight="1" x14ac:dyDescent="0.3"/>
    <row r="1051" ht="15.75" customHeight="1" x14ac:dyDescent="0.3"/>
    <row r="1052" ht="15.75" customHeight="1" x14ac:dyDescent="0.3"/>
    <row r="1053" ht="15.75" customHeight="1" x14ac:dyDescent="0.3"/>
    <row r="1054" ht="15.75" customHeight="1" x14ac:dyDescent="0.3"/>
    <row r="1055" ht="15.75" customHeight="1" x14ac:dyDescent="0.3"/>
    <row r="1056" ht="15.75" customHeight="1" x14ac:dyDescent="0.3"/>
    <row r="1057" ht="15.75" customHeight="1" x14ac:dyDescent="0.3"/>
    <row r="1058" ht="15.75" customHeight="1" x14ac:dyDescent="0.3"/>
    <row r="1059" ht="15.75" customHeight="1" x14ac:dyDescent="0.3"/>
    <row r="1060" ht="15.75" customHeight="1" x14ac:dyDescent="0.3"/>
    <row r="1061" ht="15.75" customHeight="1" x14ac:dyDescent="0.3"/>
    <row r="1062" ht="15.75" customHeight="1" x14ac:dyDescent="0.3"/>
    <row r="1063" ht="15.75" customHeight="1" x14ac:dyDescent="0.3"/>
    <row r="1064" ht="15.75" customHeight="1" x14ac:dyDescent="0.3"/>
    <row r="1065" ht="15.75" customHeight="1" x14ac:dyDescent="0.3"/>
    <row r="1066" ht="15.75" customHeight="1" x14ac:dyDescent="0.3"/>
    <row r="1067" ht="15.75" customHeight="1" x14ac:dyDescent="0.3"/>
    <row r="1068" ht="15.75" customHeight="1" x14ac:dyDescent="0.3"/>
    <row r="1069" ht="15.75" customHeight="1" x14ac:dyDescent="0.3"/>
    <row r="1070" ht="15.75" customHeight="1" x14ac:dyDescent="0.3"/>
    <row r="1071" ht="15.75" customHeight="1" x14ac:dyDescent="0.3"/>
    <row r="1072" ht="15.75" customHeight="1" x14ac:dyDescent="0.3"/>
    <row r="1073" ht="15.75" customHeight="1" x14ac:dyDescent="0.3"/>
    <row r="1074" ht="15.75" customHeight="1" x14ac:dyDescent="0.3"/>
    <row r="1075" ht="15.75" customHeight="1" x14ac:dyDescent="0.3"/>
    <row r="1076" ht="15.75" customHeight="1" x14ac:dyDescent="0.3"/>
    <row r="1077" ht="15.75" customHeight="1" x14ac:dyDescent="0.3"/>
    <row r="1078" ht="15.75" customHeight="1" x14ac:dyDescent="0.3"/>
    <row r="1079" ht="15.75" customHeight="1" x14ac:dyDescent="0.3"/>
    <row r="1080" ht="15.75" customHeight="1" x14ac:dyDescent="0.3"/>
    <row r="1081" ht="15.75" customHeight="1" x14ac:dyDescent="0.3"/>
    <row r="1082" ht="15.75" customHeight="1" x14ac:dyDescent="0.3"/>
    <row r="1083" ht="15.75" customHeight="1" x14ac:dyDescent="0.3"/>
    <row r="1084" ht="15.75" customHeight="1" x14ac:dyDescent="0.3"/>
    <row r="1085" ht="15.75" customHeight="1" x14ac:dyDescent="0.3"/>
    <row r="1086" ht="15.75" customHeight="1" x14ac:dyDescent="0.3"/>
    <row r="1087" ht="15.75" customHeight="1" x14ac:dyDescent="0.3"/>
    <row r="1088" ht="15.75" customHeight="1" x14ac:dyDescent="0.3"/>
    <row r="1089" ht="15.75" customHeight="1" x14ac:dyDescent="0.3"/>
    <row r="1090" ht="15.75" customHeight="1" x14ac:dyDescent="0.3"/>
    <row r="1091" ht="15.75" customHeight="1" x14ac:dyDescent="0.3"/>
    <row r="1092" ht="15.75" customHeight="1" x14ac:dyDescent="0.3"/>
    <row r="1093" ht="15.75" customHeight="1" x14ac:dyDescent="0.3"/>
    <row r="1094" ht="15.75" customHeight="1" x14ac:dyDescent="0.3"/>
    <row r="1095" ht="15.75" customHeight="1" x14ac:dyDescent="0.3"/>
    <row r="1096" ht="15.75" customHeight="1" x14ac:dyDescent="0.3"/>
    <row r="1097" ht="15.75" customHeight="1" x14ac:dyDescent="0.3"/>
    <row r="1098" ht="15.75" customHeight="1" x14ac:dyDescent="0.3"/>
    <row r="1099" ht="15.75" customHeight="1" x14ac:dyDescent="0.3"/>
    <row r="1100" ht="15.75" customHeight="1" x14ac:dyDescent="0.3"/>
    <row r="1101" ht="15.75" customHeight="1" x14ac:dyDescent="0.3"/>
    <row r="1102" ht="15.75" customHeight="1" x14ac:dyDescent="0.3"/>
    <row r="1103" ht="15.75" customHeight="1" x14ac:dyDescent="0.3"/>
    <row r="1104" ht="15.75" customHeight="1" x14ac:dyDescent="0.3"/>
    <row r="1105" ht="15.75" customHeight="1" x14ac:dyDescent="0.3"/>
    <row r="1106" ht="15.75" customHeight="1" x14ac:dyDescent="0.3"/>
    <row r="1107" ht="15.75" customHeight="1" x14ac:dyDescent="0.3"/>
    <row r="1108" ht="15.75" customHeight="1" x14ac:dyDescent="0.3"/>
    <row r="1109" ht="15.75" customHeight="1" x14ac:dyDescent="0.3"/>
    <row r="1110" ht="15.75" customHeight="1" x14ac:dyDescent="0.3"/>
    <row r="1111" ht="15.75" customHeight="1" x14ac:dyDescent="0.3"/>
    <row r="1112" ht="15.75" customHeight="1" x14ac:dyDescent="0.3"/>
    <row r="1113" ht="15.75" customHeight="1" x14ac:dyDescent="0.3"/>
    <row r="1114" ht="15.75" customHeight="1" x14ac:dyDescent="0.3"/>
    <row r="1115" ht="15.75" customHeight="1" x14ac:dyDescent="0.3"/>
    <row r="1116" ht="15.75" customHeight="1" x14ac:dyDescent="0.3"/>
    <row r="1117" ht="15.75" customHeight="1" x14ac:dyDescent="0.3"/>
    <row r="1118" ht="15.75" customHeight="1" x14ac:dyDescent="0.3"/>
    <row r="1119" ht="15.75" customHeight="1" x14ac:dyDescent="0.3"/>
    <row r="1120" ht="15.75" customHeight="1" x14ac:dyDescent="0.3"/>
    <row r="1121" ht="15.75" customHeight="1" x14ac:dyDescent="0.3"/>
    <row r="1122" ht="15.75" customHeight="1" x14ac:dyDescent="0.3"/>
    <row r="1123" ht="15.75" customHeight="1" x14ac:dyDescent="0.3"/>
    <row r="1124" ht="15.75" customHeight="1" x14ac:dyDescent="0.3"/>
    <row r="1125" ht="15.75" customHeight="1" x14ac:dyDescent="0.3"/>
    <row r="1126" ht="15.75" customHeight="1" x14ac:dyDescent="0.3"/>
  </sheetData>
  <autoFilter ref="A5:AP232" xr:uid="{D4C9ACFA-7634-4244-A829-726CE84E67E1}">
    <filterColumn colId="3">
      <filters>
        <filter val="5"/>
      </filters>
    </filterColumn>
    <filterColumn colId="4">
      <filters>
        <filter val="A"/>
      </filters>
    </filterColumn>
    <sortState xmlns:xlrd2="http://schemas.microsoft.com/office/spreadsheetml/2017/richdata2" ref="A179:AP206">
      <sortCondition descending="1" ref="AP5:AP232"/>
    </sortState>
  </autoFilter>
  <mergeCells count="11">
    <mergeCell ref="AD4:AE4"/>
    <mergeCell ref="C2:AE2"/>
    <mergeCell ref="C3:AE3"/>
    <mergeCell ref="F4:I4"/>
    <mergeCell ref="J4:L4"/>
    <mergeCell ref="M4:O4"/>
    <mergeCell ref="P4:R4"/>
    <mergeCell ref="S4:T4"/>
    <mergeCell ref="V4:X4"/>
    <mergeCell ref="Y4:Z4"/>
    <mergeCell ref="AA4:AC4"/>
  </mergeCells>
  <conditionalFormatting sqref="F6:AE232">
    <cfRule type="cellIs" dxfId="7" priority="1" operator="equal">
      <formula>"AD"</formula>
    </cfRule>
    <cfRule type="cellIs" dxfId="6" priority="2" operator="equal">
      <formula>"A"</formula>
    </cfRule>
    <cfRule type="cellIs" dxfId="5" priority="3" operator="equal">
      <formula>"B"</formula>
    </cfRule>
    <cfRule type="cellIs" dxfId="4" priority="4" operator="equal">
      <formula>"C"</formula>
    </cfRule>
  </conditionalFormatting>
  <dataValidations count="2">
    <dataValidation type="list" allowBlank="1" showInputMessage="1" showErrorMessage="1" sqref="AA6:AC232 J110:L130" xr:uid="{3C8D5D40-5E98-481F-98D5-E342A6894AC0}">
      <formula1>"A,AD,B,C"</formula1>
    </dataValidation>
    <dataValidation type="list" allowBlank="1" showInputMessage="1" showErrorMessage="1" sqref="Q6:R26 T6:X26 AD229:AE232 F6:L26 AD27:AE80 F27:X48 AD82:AE97 AD135:AE199 AD201:AE203 AD205:AE227 AD99:AE133 Z27:Z48 F49:I232 J131:L232 J49:L109 M49:Z232" xr:uid="{6C57C0B0-869F-46E2-AA86-FA8EC509147D}">
      <formula1>"AD,A,B,C"</formula1>
    </dataValidation>
  </dataValidations>
  <pageMargins left="0.7" right="0.7" top="0.75" bottom="0.75" header="0" footer="0"/>
  <pageSetup paperSize="9" scale="67" orientation="landscape" horizont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5F663-C8A0-4BAE-90F8-F7CE57B5B33B}">
  <sheetPr filterMode="1">
    <pageSetUpPr fitToPage="1"/>
  </sheetPr>
  <dimension ref="A2:AP1126"/>
  <sheetViews>
    <sheetView zoomScaleNormal="100" workbookViewId="0">
      <pane xSplit="3" ySplit="5" topLeftCell="D6" activePane="bottomRight" state="frozen"/>
      <selection pane="topRight" activeCell="C1" sqref="C1"/>
      <selection pane="bottomLeft" activeCell="A6" sqref="A6"/>
      <selection pane="bottomRight" activeCell="C2" sqref="C2:AE2"/>
    </sheetView>
  </sheetViews>
  <sheetFormatPr baseColWidth="10" defaultColWidth="14.44140625" defaultRowHeight="15" customHeight="1" x14ac:dyDescent="0.3"/>
  <cols>
    <col min="1" max="1" width="4" bestFit="1" customWidth="1"/>
    <col min="2" max="2" width="4.109375" customWidth="1"/>
    <col min="3" max="3" width="38.5546875" customWidth="1"/>
    <col min="4" max="4" width="5" customWidth="1"/>
    <col min="5" max="5" width="6.6640625" customWidth="1"/>
    <col min="6" max="31" width="5" customWidth="1"/>
    <col min="32" max="32" width="2" hidden="1" customWidth="1"/>
    <col min="33" max="36" width="3.44140625" hidden="1" customWidth="1"/>
    <col min="37" max="37" width="1.44140625" style="65" hidden="1" customWidth="1"/>
    <col min="38" max="40" width="3" hidden="1" customWidth="1"/>
    <col min="41" max="41" width="2" hidden="1" customWidth="1"/>
    <col min="42" max="42" width="5.21875" bestFit="1" customWidth="1"/>
  </cols>
  <sheetData>
    <row r="2" spans="1:42" ht="34.799999999999997" customHeight="1" x14ac:dyDescent="0.3">
      <c r="C2" s="77" t="s">
        <v>253</v>
      </c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9"/>
    </row>
    <row r="3" spans="1:42" ht="26.25" customHeight="1" x14ac:dyDescent="0.3">
      <c r="C3" s="74" t="s">
        <v>252</v>
      </c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6"/>
    </row>
    <row r="4" spans="1:42" ht="23.4" customHeight="1" x14ac:dyDescent="0.3">
      <c r="C4" s="7"/>
      <c r="D4" s="8"/>
      <c r="E4" s="8"/>
      <c r="F4" s="80" t="s">
        <v>2</v>
      </c>
      <c r="G4" s="81"/>
      <c r="H4" s="81"/>
      <c r="I4" s="82"/>
      <c r="J4" s="80" t="s">
        <v>3</v>
      </c>
      <c r="K4" s="81"/>
      <c r="L4" s="82"/>
      <c r="M4" s="80" t="s">
        <v>4</v>
      </c>
      <c r="N4" s="81"/>
      <c r="O4" s="82"/>
      <c r="P4" s="80" t="s">
        <v>5</v>
      </c>
      <c r="Q4" s="81"/>
      <c r="R4" s="82"/>
      <c r="S4" s="83" t="s">
        <v>6</v>
      </c>
      <c r="T4" s="84"/>
      <c r="U4" s="86" t="s">
        <v>7</v>
      </c>
      <c r="V4" s="80" t="s">
        <v>8</v>
      </c>
      <c r="W4" s="81"/>
      <c r="X4" s="82"/>
      <c r="Y4" s="80" t="s">
        <v>9</v>
      </c>
      <c r="Z4" s="82"/>
      <c r="AA4" s="83" t="s">
        <v>10</v>
      </c>
      <c r="AB4" s="85"/>
      <c r="AC4" s="84"/>
      <c r="AD4" s="80" t="s">
        <v>11</v>
      </c>
      <c r="AE4" s="82"/>
    </row>
    <row r="5" spans="1:42" ht="27" customHeight="1" x14ac:dyDescent="0.3">
      <c r="B5" s="12"/>
      <c r="C5" s="13" t="s">
        <v>12</v>
      </c>
      <c r="D5" s="14" t="s">
        <v>13</v>
      </c>
      <c r="E5" s="15" t="s">
        <v>14</v>
      </c>
      <c r="F5" s="15" t="s">
        <v>15</v>
      </c>
      <c r="G5" s="15" t="s">
        <v>16</v>
      </c>
      <c r="H5" s="15" t="s">
        <v>17</v>
      </c>
      <c r="I5" s="15" t="s">
        <v>18</v>
      </c>
      <c r="J5" s="15" t="s">
        <v>15</v>
      </c>
      <c r="K5" s="15" t="s">
        <v>16</v>
      </c>
      <c r="L5" s="15" t="s">
        <v>17</v>
      </c>
      <c r="M5" s="15" t="s">
        <v>15</v>
      </c>
      <c r="N5" s="15" t="s">
        <v>16</v>
      </c>
      <c r="O5" s="15" t="s">
        <v>17</v>
      </c>
      <c r="P5" s="15" t="s">
        <v>15</v>
      </c>
      <c r="Q5" s="15" t="s">
        <v>16</v>
      </c>
      <c r="R5" s="15" t="s">
        <v>17</v>
      </c>
      <c r="S5" s="15" t="s">
        <v>15</v>
      </c>
      <c r="T5" s="15" t="s">
        <v>16</v>
      </c>
      <c r="U5" s="15" t="s">
        <v>15</v>
      </c>
      <c r="V5" s="15" t="s">
        <v>15</v>
      </c>
      <c r="W5" s="15" t="s">
        <v>16</v>
      </c>
      <c r="X5" s="15" t="s">
        <v>17</v>
      </c>
      <c r="Y5" s="15" t="s">
        <v>15</v>
      </c>
      <c r="Z5" s="15" t="s">
        <v>16</v>
      </c>
      <c r="AA5" s="15" t="s">
        <v>15</v>
      </c>
      <c r="AB5" s="15" t="s">
        <v>16</v>
      </c>
      <c r="AC5" s="15" t="s">
        <v>17</v>
      </c>
      <c r="AD5" s="15" t="s">
        <v>15</v>
      </c>
      <c r="AE5" s="15" t="s">
        <v>16</v>
      </c>
      <c r="AG5" s="68">
        <v>4</v>
      </c>
      <c r="AH5" s="68">
        <v>3</v>
      </c>
      <c r="AI5" s="68">
        <v>2</v>
      </c>
      <c r="AJ5" s="68">
        <v>1</v>
      </c>
      <c r="AK5" s="66"/>
      <c r="AL5" s="67" t="s">
        <v>39</v>
      </c>
      <c r="AM5" s="67" t="s">
        <v>20</v>
      </c>
      <c r="AN5" s="67" t="s">
        <v>21</v>
      </c>
      <c r="AO5" s="67" t="s">
        <v>23</v>
      </c>
      <c r="AP5" s="67" t="s">
        <v>251</v>
      </c>
    </row>
    <row r="6" spans="1:42" ht="14.4" hidden="1" x14ac:dyDescent="0.3">
      <c r="A6" s="16"/>
      <c r="B6" s="55">
        <v>17</v>
      </c>
      <c r="C6" s="56" t="s">
        <v>38</v>
      </c>
      <c r="D6" s="55">
        <v>1</v>
      </c>
      <c r="E6" s="55" t="s">
        <v>20</v>
      </c>
      <c r="F6" s="18" t="s">
        <v>20</v>
      </c>
      <c r="G6" s="18" t="s">
        <v>20</v>
      </c>
      <c r="H6" s="18" t="s">
        <v>21</v>
      </c>
      <c r="I6" s="18" t="s">
        <v>20</v>
      </c>
      <c r="J6" s="18" t="s">
        <v>20</v>
      </c>
      <c r="K6" s="18" t="s">
        <v>20</v>
      </c>
      <c r="L6" s="18" t="s">
        <v>20</v>
      </c>
      <c r="M6" s="19" t="s">
        <v>20</v>
      </c>
      <c r="N6" s="19" t="s">
        <v>21</v>
      </c>
      <c r="O6" s="19" t="s">
        <v>20</v>
      </c>
      <c r="P6" s="19" t="s">
        <v>20</v>
      </c>
      <c r="Q6" s="18" t="s">
        <v>20</v>
      </c>
      <c r="R6" s="18" t="s">
        <v>21</v>
      </c>
      <c r="S6" s="19" t="s">
        <v>20</v>
      </c>
      <c r="T6" s="18" t="s">
        <v>20</v>
      </c>
      <c r="U6" s="18" t="s">
        <v>20</v>
      </c>
      <c r="V6" s="18" t="s">
        <v>20</v>
      </c>
      <c r="W6" s="18" t="s">
        <v>20</v>
      </c>
      <c r="X6" s="18" t="s">
        <v>20</v>
      </c>
      <c r="Y6" s="19" t="s">
        <v>20</v>
      </c>
      <c r="Z6" s="19" t="s">
        <v>20</v>
      </c>
      <c r="AA6" s="20" t="s">
        <v>20</v>
      </c>
      <c r="AB6" s="20" t="s">
        <v>39</v>
      </c>
      <c r="AC6" s="20" t="s">
        <v>20</v>
      </c>
      <c r="AD6" s="19" t="s">
        <v>20</v>
      </c>
      <c r="AE6" s="19" t="s">
        <v>21</v>
      </c>
      <c r="AG6">
        <f>+COUNTIF(F6:AE6,"AD")</f>
        <v>1</v>
      </c>
      <c r="AH6">
        <f>+COUNTIF(F6:AE6,"A")</f>
        <v>21</v>
      </c>
      <c r="AI6">
        <f>+COUNTIF(F6:AE6,"b")</f>
        <v>4</v>
      </c>
      <c r="AJ6">
        <f>+COUNTIF(F6:AE6,"c")</f>
        <v>0</v>
      </c>
      <c r="AL6">
        <f>+$AG$5*AG6</f>
        <v>4</v>
      </c>
      <c r="AM6">
        <f>+$AH$5*AH6</f>
        <v>63</v>
      </c>
      <c r="AN6">
        <f>+$AI$5*AI6</f>
        <v>8</v>
      </c>
      <c r="AO6">
        <f>+$AJ$5*AJ6</f>
        <v>0</v>
      </c>
      <c r="AP6">
        <f>+SUM(AL6:AO6)</f>
        <v>75</v>
      </c>
    </row>
    <row r="7" spans="1:42" ht="14.4" hidden="1" x14ac:dyDescent="0.3">
      <c r="A7" s="16"/>
      <c r="B7" s="55">
        <v>3</v>
      </c>
      <c r="C7" s="56" t="s">
        <v>24</v>
      </c>
      <c r="D7" s="55">
        <v>1</v>
      </c>
      <c r="E7" s="55" t="s">
        <v>20</v>
      </c>
      <c r="F7" s="18" t="s">
        <v>20</v>
      </c>
      <c r="G7" s="18" t="s">
        <v>20</v>
      </c>
      <c r="H7" s="18" t="s">
        <v>20</v>
      </c>
      <c r="I7" s="18" t="s">
        <v>20</v>
      </c>
      <c r="J7" s="18" t="s">
        <v>20</v>
      </c>
      <c r="K7" s="18" t="s">
        <v>20</v>
      </c>
      <c r="L7" s="18" t="s">
        <v>20</v>
      </c>
      <c r="M7" s="19" t="s">
        <v>20</v>
      </c>
      <c r="N7" s="19" t="s">
        <v>20</v>
      </c>
      <c r="O7" s="19" t="s">
        <v>20</v>
      </c>
      <c r="P7" s="19" t="s">
        <v>20</v>
      </c>
      <c r="Q7" s="18" t="s">
        <v>20</v>
      </c>
      <c r="R7" s="18" t="s">
        <v>21</v>
      </c>
      <c r="S7" s="19" t="s">
        <v>20</v>
      </c>
      <c r="T7" s="18" t="s">
        <v>20</v>
      </c>
      <c r="U7" s="18" t="s">
        <v>20</v>
      </c>
      <c r="V7" s="18" t="s">
        <v>20</v>
      </c>
      <c r="W7" s="18" t="s">
        <v>20</v>
      </c>
      <c r="X7" s="18" t="s">
        <v>20</v>
      </c>
      <c r="Y7" s="19" t="s">
        <v>20</v>
      </c>
      <c r="Z7" s="19" t="s">
        <v>20</v>
      </c>
      <c r="AA7" s="20" t="s">
        <v>20</v>
      </c>
      <c r="AB7" s="20" t="s">
        <v>21</v>
      </c>
      <c r="AC7" s="20" t="s">
        <v>21</v>
      </c>
      <c r="AD7" s="19" t="s">
        <v>20</v>
      </c>
      <c r="AE7" s="19" t="s">
        <v>21</v>
      </c>
      <c r="AG7">
        <f>+COUNTIF(F7:AE7,"AD")</f>
        <v>0</v>
      </c>
      <c r="AH7">
        <f>+COUNTIF(F7:AE7,"A")</f>
        <v>22</v>
      </c>
      <c r="AI7">
        <f>+COUNTIF(F7:AE7,"b")</f>
        <v>4</v>
      </c>
      <c r="AJ7">
        <f>+COUNTIF(F7:AE7,"c")</f>
        <v>0</v>
      </c>
      <c r="AL7">
        <f>+$AG$5*AG7</f>
        <v>0</v>
      </c>
      <c r="AM7">
        <f>+$AH$5*AH7</f>
        <v>66</v>
      </c>
      <c r="AN7">
        <f>+$AI$5*AI7</f>
        <v>8</v>
      </c>
      <c r="AO7">
        <f>+$AJ$5*AJ7</f>
        <v>0</v>
      </c>
      <c r="AP7">
        <f>+SUM(AL7:AO7)</f>
        <v>74</v>
      </c>
    </row>
    <row r="8" spans="1:42" ht="14.4" hidden="1" x14ac:dyDescent="0.3">
      <c r="A8" s="16"/>
      <c r="B8" s="55">
        <v>7</v>
      </c>
      <c r="C8" s="56" t="s">
        <v>28</v>
      </c>
      <c r="D8" s="55">
        <v>1</v>
      </c>
      <c r="E8" s="55" t="s">
        <v>20</v>
      </c>
      <c r="F8" s="18" t="s">
        <v>20</v>
      </c>
      <c r="G8" s="18" t="s">
        <v>20</v>
      </c>
      <c r="H8" s="18" t="s">
        <v>21</v>
      </c>
      <c r="I8" s="18" t="s">
        <v>20</v>
      </c>
      <c r="J8" s="18" t="s">
        <v>20</v>
      </c>
      <c r="K8" s="18" t="s">
        <v>20</v>
      </c>
      <c r="L8" s="18" t="s">
        <v>20</v>
      </c>
      <c r="M8" s="19" t="s">
        <v>20</v>
      </c>
      <c r="N8" s="19" t="s">
        <v>20</v>
      </c>
      <c r="O8" s="19" t="s">
        <v>20</v>
      </c>
      <c r="P8" s="19" t="s">
        <v>20</v>
      </c>
      <c r="Q8" s="18" t="s">
        <v>20</v>
      </c>
      <c r="R8" s="18" t="s">
        <v>20</v>
      </c>
      <c r="S8" s="19" t="s">
        <v>20</v>
      </c>
      <c r="T8" s="18" t="s">
        <v>20</v>
      </c>
      <c r="U8" s="18" t="s">
        <v>21</v>
      </c>
      <c r="V8" s="18" t="s">
        <v>20</v>
      </c>
      <c r="W8" s="18" t="s">
        <v>20</v>
      </c>
      <c r="X8" s="18" t="s">
        <v>20</v>
      </c>
      <c r="Y8" s="19" t="s">
        <v>20</v>
      </c>
      <c r="Z8" s="19" t="s">
        <v>20</v>
      </c>
      <c r="AA8" s="20" t="s">
        <v>20</v>
      </c>
      <c r="AB8" s="20" t="s">
        <v>21</v>
      </c>
      <c r="AC8" s="20" t="s">
        <v>20</v>
      </c>
      <c r="AD8" s="19" t="s">
        <v>21</v>
      </c>
      <c r="AE8" s="19" t="s">
        <v>21</v>
      </c>
      <c r="AG8">
        <f>+COUNTIF(F8:AE8,"AD")</f>
        <v>0</v>
      </c>
      <c r="AH8">
        <f>+COUNTIF(F8:AE8,"A")</f>
        <v>21</v>
      </c>
      <c r="AI8">
        <f>+COUNTIF(F8:AE8,"b")</f>
        <v>5</v>
      </c>
      <c r="AJ8">
        <f>+COUNTIF(F8:AE8,"c")</f>
        <v>0</v>
      </c>
      <c r="AL8">
        <f>+$AG$5*AG8</f>
        <v>0</v>
      </c>
      <c r="AM8">
        <f>+$AH$5*AH8</f>
        <v>63</v>
      </c>
      <c r="AN8">
        <f>+$AI$5*AI8</f>
        <v>10</v>
      </c>
      <c r="AO8">
        <f>+$AJ$5*AJ8</f>
        <v>0</v>
      </c>
      <c r="AP8">
        <f>+SUM(AL8:AO8)</f>
        <v>73</v>
      </c>
    </row>
    <row r="9" spans="1:42" ht="14.4" hidden="1" x14ac:dyDescent="0.3">
      <c r="A9" s="16"/>
      <c r="B9" s="55">
        <v>16</v>
      </c>
      <c r="C9" s="56" t="s">
        <v>37</v>
      </c>
      <c r="D9" s="55">
        <v>1</v>
      </c>
      <c r="E9" s="55" t="s">
        <v>20</v>
      </c>
      <c r="F9" s="18" t="s">
        <v>21</v>
      </c>
      <c r="G9" s="18" t="s">
        <v>21</v>
      </c>
      <c r="H9" s="18" t="s">
        <v>21</v>
      </c>
      <c r="I9" s="18" t="s">
        <v>21</v>
      </c>
      <c r="J9" s="18" t="s">
        <v>20</v>
      </c>
      <c r="K9" s="18" t="s">
        <v>20</v>
      </c>
      <c r="L9" s="18" t="s">
        <v>20</v>
      </c>
      <c r="M9" s="19" t="s">
        <v>20</v>
      </c>
      <c r="N9" s="19" t="s">
        <v>20</v>
      </c>
      <c r="O9" s="19" t="s">
        <v>20</v>
      </c>
      <c r="P9" s="19" t="s">
        <v>20</v>
      </c>
      <c r="Q9" s="18" t="s">
        <v>20</v>
      </c>
      <c r="R9" s="18" t="s">
        <v>20</v>
      </c>
      <c r="S9" s="19" t="s">
        <v>20</v>
      </c>
      <c r="T9" s="18" t="s">
        <v>20</v>
      </c>
      <c r="U9" s="18" t="s">
        <v>20</v>
      </c>
      <c r="V9" s="18" t="s">
        <v>20</v>
      </c>
      <c r="W9" s="18" t="s">
        <v>20</v>
      </c>
      <c r="X9" s="18" t="s">
        <v>20</v>
      </c>
      <c r="Y9" s="19" t="s">
        <v>20</v>
      </c>
      <c r="Z9" s="19" t="s">
        <v>20</v>
      </c>
      <c r="AA9" s="20" t="s">
        <v>20</v>
      </c>
      <c r="AB9" s="20" t="s">
        <v>21</v>
      </c>
      <c r="AC9" s="20" t="s">
        <v>20</v>
      </c>
      <c r="AD9" s="19" t="s">
        <v>20</v>
      </c>
      <c r="AE9" s="19" t="s">
        <v>21</v>
      </c>
      <c r="AG9">
        <f>+COUNTIF(F9:AE9,"AD")</f>
        <v>0</v>
      </c>
      <c r="AH9">
        <f>+COUNTIF(F9:AE9,"A")</f>
        <v>20</v>
      </c>
      <c r="AI9">
        <f>+COUNTIF(F9:AE9,"b")</f>
        <v>6</v>
      </c>
      <c r="AJ9">
        <f>+COUNTIF(F9:AE9,"c")</f>
        <v>0</v>
      </c>
      <c r="AL9">
        <f>+$AG$5*AG9</f>
        <v>0</v>
      </c>
      <c r="AM9">
        <f>+$AH$5*AH9</f>
        <v>60</v>
      </c>
      <c r="AN9">
        <f>+$AI$5*AI9</f>
        <v>12</v>
      </c>
      <c r="AO9">
        <f>+$AJ$5*AJ9</f>
        <v>0</v>
      </c>
      <c r="AP9">
        <f>+SUM(AL9:AO9)</f>
        <v>72</v>
      </c>
    </row>
    <row r="10" spans="1:42" ht="14.4" hidden="1" x14ac:dyDescent="0.3">
      <c r="A10" s="16"/>
      <c r="B10" s="55">
        <v>1</v>
      </c>
      <c r="C10" s="56" t="s">
        <v>19</v>
      </c>
      <c r="D10" s="55">
        <v>1</v>
      </c>
      <c r="E10" s="55" t="s">
        <v>20</v>
      </c>
      <c r="F10" s="17" t="s">
        <v>20</v>
      </c>
      <c r="G10" s="18" t="s">
        <v>20</v>
      </c>
      <c r="H10" s="18" t="s">
        <v>21</v>
      </c>
      <c r="I10" s="18" t="s">
        <v>20</v>
      </c>
      <c r="J10" s="18" t="s">
        <v>20</v>
      </c>
      <c r="K10" s="18" t="s">
        <v>20</v>
      </c>
      <c r="L10" s="18" t="s">
        <v>20</v>
      </c>
      <c r="M10" s="19" t="s">
        <v>20</v>
      </c>
      <c r="N10" s="19" t="s">
        <v>20</v>
      </c>
      <c r="O10" s="19" t="s">
        <v>20</v>
      </c>
      <c r="P10" s="19" t="s">
        <v>20</v>
      </c>
      <c r="Q10" s="18" t="s">
        <v>21</v>
      </c>
      <c r="R10" s="18" t="s">
        <v>21</v>
      </c>
      <c r="S10" s="19" t="s">
        <v>20</v>
      </c>
      <c r="T10" s="18" t="s">
        <v>20</v>
      </c>
      <c r="U10" s="18" t="s">
        <v>20</v>
      </c>
      <c r="V10" s="18" t="s">
        <v>20</v>
      </c>
      <c r="W10" s="18" t="s">
        <v>20</v>
      </c>
      <c r="X10" s="18" t="s">
        <v>20</v>
      </c>
      <c r="Y10" s="19" t="s">
        <v>21</v>
      </c>
      <c r="Z10" s="19" t="s">
        <v>20</v>
      </c>
      <c r="AA10" s="20" t="s">
        <v>21</v>
      </c>
      <c r="AB10" s="20" t="s">
        <v>21</v>
      </c>
      <c r="AC10" s="20" t="s">
        <v>20</v>
      </c>
      <c r="AD10" s="19" t="s">
        <v>20</v>
      </c>
      <c r="AE10" s="19" t="s">
        <v>21</v>
      </c>
      <c r="AG10">
        <f>+COUNTIF(F10:AE10,"AD")</f>
        <v>0</v>
      </c>
      <c r="AH10">
        <f>+COUNTIF(F10:AE10,"A")</f>
        <v>19</v>
      </c>
      <c r="AI10">
        <f>+COUNTIF(F10:AE10,"b")</f>
        <v>7</v>
      </c>
      <c r="AJ10">
        <f>+COUNTIF(F10:AE10,"c")</f>
        <v>0</v>
      </c>
      <c r="AL10">
        <f>+$AG$5*AG10</f>
        <v>0</v>
      </c>
      <c r="AM10">
        <f>+$AH$5*AH10</f>
        <v>57</v>
      </c>
      <c r="AN10">
        <f>+$AI$5*AI10</f>
        <v>14</v>
      </c>
      <c r="AO10">
        <f>+$AJ$5*AJ10</f>
        <v>0</v>
      </c>
      <c r="AP10">
        <f>+SUM(AL10:AO10)</f>
        <v>71</v>
      </c>
    </row>
    <row r="11" spans="1:42" ht="14.4" hidden="1" x14ac:dyDescent="0.3">
      <c r="A11" s="16"/>
      <c r="B11" s="55">
        <v>6</v>
      </c>
      <c r="C11" s="56" t="s">
        <v>27</v>
      </c>
      <c r="D11" s="55">
        <v>1</v>
      </c>
      <c r="E11" s="55" t="s">
        <v>20</v>
      </c>
      <c r="F11" s="18" t="s">
        <v>20</v>
      </c>
      <c r="G11" s="18" t="s">
        <v>20</v>
      </c>
      <c r="H11" s="18" t="s">
        <v>20</v>
      </c>
      <c r="I11" s="18" t="s">
        <v>20</v>
      </c>
      <c r="J11" s="18" t="s">
        <v>20</v>
      </c>
      <c r="K11" s="18" t="s">
        <v>20</v>
      </c>
      <c r="L11" s="18" t="s">
        <v>20</v>
      </c>
      <c r="M11" s="19" t="s">
        <v>20</v>
      </c>
      <c r="N11" s="19" t="s">
        <v>20</v>
      </c>
      <c r="O11" s="19" t="s">
        <v>20</v>
      </c>
      <c r="P11" s="19" t="s">
        <v>20</v>
      </c>
      <c r="Q11" s="18" t="s">
        <v>21</v>
      </c>
      <c r="R11" s="18" t="s">
        <v>21</v>
      </c>
      <c r="S11" s="19" t="s">
        <v>20</v>
      </c>
      <c r="T11" s="18" t="s">
        <v>21</v>
      </c>
      <c r="U11" s="18" t="s">
        <v>21</v>
      </c>
      <c r="V11" s="18" t="s">
        <v>21</v>
      </c>
      <c r="W11" s="18" t="s">
        <v>20</v>
      </c>
      <c r="X11" s="18" t="s">
        <v>20</v>
      </c>
      <c r="Y11" s="19" t="s">
        <v>20</v>
      </c>
      <c r="Z11" s="19" t="s">
        <v>21</v>
      </c>
      <c r="AA11" s="20" t="s">
        <v>21</v>
      </c>
      <c r="AB11" s="20" t="s">
        <v>21</v>
      </c>
      <c r="AC11" s="20" t="s">
        <v>21</v>
      </c>
      <c r="AD11" s="19" t="s">
        <v>21</v>
      </c>
      <c r="AE11" s="19" t="s">
        <v>21</v>
      </c>
      <c r="AG11">
        <f>+COUNTIF(F11:AE11,"AD")</f>
        <v>0</v>
      </c>
      <c r="AH11">
        <f>+COUNTIF(F11:AE11,"A")</f>
        <v>15</v>
      </c>
      <c r="AI11">
        <f>+COUNTIF(F11:AE11,"b")</f>
        <v>11</v>
      </c>
      <c r="AJ11">
        <f>+COUNTIF(F11:AE11,"c")</f>
        <v>0</v>
      </c>
      <c r="AL11">
        <f>+$AG$5*AG11</f>
        <v>0</v>
      </c>
      <c r="AM11">
        <f>+$AH$5*AH11</f>
        <v>45</v>
      </c>
      <c r="AN11">
        <f>+$AI$5*AI11</f>
        <v>22</v>
      </c>
      <c r="AO11">
        <f>+$AJ$5*AJ11</f>
        <v>0</v>
      </c>
      <c r="AP11">
        <f>+SUM(AL11:AO11)</f>
        <v>67</v>
      </c>
    </row>
    <row r="12" spans="1:42" ht="14.4" hidden="1" x14ac:dyDescent="0.3">
      <c r="A12" s="16"/>
      <c r="B12" s="55">
        <v>4</v>
      </c>
      <c r="C12" s="56" t="s">
        <v>25</v>
      </c>
      <c r="D12" s="55">
        <v>1</v>
      </c>
      <c r="E12" s="55" t="s">
        <v>20</v>
      </c>
      <c r="F12" s="18" t="s">
        <v>20</v>
      </c>
      <c r="G12" s="18" t="s">
        <v>21</v>
      </c>
      <c r="H12" s="18" t="s">
        <v>21</v>
      </c>
      <c r="I12" s="18" t="s">
        <v>21</v>
      </c>
      <c r="J12" s="18" t="s">
        <v>20</v>
      </c>
      <c r="K12" s="18" t="s">
        <v>20</v>
      </c>
      <c r="L12" s="18" t="s">
        <v>20</v>
      </c>
      <c r="M12" s="19" t="s">
        <v>21</v>
      </c>
      <c r="N12" s="19" t="s">
        <v>21</v>
      </c>
      <c r="O12" s="19" t="s">
        <v>20</v>
      </c>
      <c r="P12" s="19" t="s">
        <v>20</v>
      </c>
      <c r="Q12" s="18" t="s">
        <v>20</v>
      </c>
      <c r="R12" s="18" t="s">
        <v>21</v>
      </c>
      <c r="S12" s="19" t="s">
        <v>20</v>
      </c>
      <c r="T12" s="18" t="s">
        <v>21</v>
      </c>
      <c r="U12" s="18" t="s">
        <v>20</v>
      </c>
      <c r="V12" s="18" t="s">
        <v>21</v>
      </c>
      <c r="W12" s="18" t="s">
        <v>20</v>
      </c>
      <c r="X12" s="18" t="s">
        <v>20</v>
      </c>
      <c r="Y12" s="19" t="s">
        <v>21</v>
      </c>
      <c r="Z12" s="19" t="s">
        <v>20</v>
      </c>
      <c r="AA12" s="20" t="s">
        <v>21</v>
      </c>
      <c r="AB12" s="20" t="s">
        <v>21</v>
      </c>
      <c r="AC12" s="20" t="s">
        <v>21</v>
      </c>
      <c r="AD12" s="19" t="s">
        <v>20</v>
      </c>
      <c r="AE12" s="19" t="s">
        <v>21</v>
      </c>
      <c r="AG12">
        <f>+COUNTIF(F12:AE12,"AD")</f>
        <v>0</v>
      </c>
      <c r="AH12">
        <f>+COUNTIF(F12:AE12,"A")</f>
        <v>13</v>
      </c>
      <c r="AI12">
        <f>+COUNTIF(F12:AE12,"b")</f>
        <v>13</v>
      </c>
      <c r="AJ12">
        <f>+COUNTIF(F12:AE12,"c")</f>
        <v>0</v>
      </c>
      <c r="AL12">
        <f>+$AG$5*AG12</f>
        <v>0</v>
      </c>
      <c r="AM12">
        <f>+$AH$5*AH12</f>
        <v>39</v>
      </c>
      <c r="AN12">
        <f>+$AI$5*AI12</f>
        <v>26</v>
      </c>
      <c r="AO12">
        <f>+$AJ$5*AJ12</f>
        <v>0</v>
      </c>
      <c r="AP12">
        <f>+SUM(AL12:AO12)</f>
        <v>65</v>
      </c>
    </row>
    <row r="13" spans="1:42" ht="14.4" hidden="1" x14ac:dyDescent="0.3">
      <c r="A13" s="16"/>
      <c r="B13" s="55">
        <v>5</v>
      </c>
      <c r="C13" s="56" t="s">
        <v>26</v>
      </c>
      <c r="D13" s="55">
        <v>1</v>
      </c>
      <c r="E13" s="55" t="s">
        <v>20</v>
      </c>
      <c r="F13" s="18" t="s">
        <v>21</v>
      </c>
      <c r="G13" s="18" t="s">
        <v>21</v>
      </c>
      <c r="H13" s="18" t="s">
        <v>21</v>
      </c>
      <c r="I13" s="18" t="s">
        <v>21</v>
      </c>
      <c r="J13" s="18" t="s">
        <v>20</v>
      </c>
      <c r="K13" s="18" t="s">
        <v>20</v>
      </c>
      <c r="L13" s="18" t="s">
        <v>20</v>
      </c>
      <c r="M13" s="19" t="s">
        <v>20</v>
      </c>
      <c r="N13" s="19" t="s">
        <v>21</v>
      </c>
      <c r="O13" s="19" t="s">
        <v>20</v>
      </c>
      <c r="P13" s="19" t="s">
        <v>21</v>
      </c>
      <c r="Q13" s="18" t="s">
        <v>21</v>
      </c>
      <c r="R13" s="18" t="s">
        <v>21</v>
      </c>
      <c r="S13" s="19" t="s">
        <v>20</v>
      </c>
      <c r="T13" s="18" t="s">
        <v>21</v>
      </c>
      <c r="U13" s="18" t="s">
        <v>21</v>
      </c>
      <c r="V13" s="18" t="s">
        <v>20</v>
      </c>
      <c r="W13" s="18" t="s">
        <v>21</v>
      </c>
      <c r="X13" s="18" t="s">
        <v>20</v>
      </c>
      <c r="Y13" s="19" t="s">
        <v>21</v>
      </c>
      <c r="Z13" s="19" t="s">
        <v>20</v>
      </c>
      <c r="AA13" s="20" t="s">
        <v>21</v>
      </c>
      <c r="AB13" s="20" t="s">
        <v>21</v>
      </c>
      <c r="AC13" s="20" t="s">
        <v>23</v>
      </c>
      <c r="AD13" s="19" t="s">
        <v>21</v>
      </c>
      <c r="AE13" s="19" t="s">
        <v>21</v>
      </c>
      <c r="AG13">
        <f>+COUNTIF(F13:AE13,"AD")</f>
        <v>0</v>
      </c>
      <c r="AH13">
        <f>+COUNTIF(F13:AE13,"A")</f>
        <v>9</v>
      </c>
      <c r="AI13">
        <f>+COUNTIF(F13:AE13,"b")</f>
        <v>16</v>
      </c>
      <c r="AJ13">
        <f>+COUNTIF(F13:AE13,"c")</f>
        <v>1</v>
      </c>
      <c r="AL13">
        <f>+$AG$5*AG13</f>
        <v>0</v>
      </c>
      <c r="AM13">
        <f>+$AH$5*AH13</f>
        <v>27</v>
      </c>
      <c r="AN13">
        <f>+$AI$5*AI13</f>
        <v>32</v>
      </c>
      <c r="AO13">
        <f>+$AJ$5*AJ13</f>
        <v>1</v>
      </c>
      <c r="AP13">
        <f>+SUM(AL13:AO13)</f>
        <v>60</v>
      </c>
    </row>
    <row r="14" spans="1:42" ht="14.4" hidden="1" x14ac:dyDescent="0.3">
      <c r="A14" s="16"/>
      <c r="B14" s="55">
        <v>9</v>
      </c>
      <c r="C14" s="56" t="s">
        <v>30</v>
      </c>
      <c r="D14" s="55">
        <v>1</v>
      </c>
      <c r="E14" s="55" t="s">
        <v>20</v>
      </c>
      <c r="F14" s="18" t="s">
        <v>21</v>
      </c>
      <c r="G14" s="18" t="s">
        <v>21</v>
      </c>
      <c r="H14" s="18" t="s">
        <v>23</v>
      </c>
      <c r="I14" s="18" t="s">
        <v>21</v>
      </c>
      <c r="J14" s="18" t="s">
        <v>20</v>
      </c>
      <c r="K14" s="18" t="s">
        <v>20</v>
      </c>
      <c r="L14" s="18" t="s">
        <v>20</v>
      </c>
      <c r="M14" s="19" t="s">
        <v>20</v>
      </c>
      <c r="N14" s="19" t="s">
        <v>21</v>
      </c>
      <c r="O14" s="19" t="s">
        <v>20</v>
      </c>
      <c r="P14" s="19" t="s">
        <v>21</v>
      </c>
      <c r="Q14" s="18" t="s">
        <v>21</v>
      </c>
      <c r="R14" s="18" t="s">
        <v>21</v>
      </c>
      <c r="S14" s="19" t="s">
        <v>21</v>
      </c>
      <c r="T14" s="18" t="s">
        <v>20</v>
      </c>
      <c r="U14" s="18" t="s">
        <v>21</v>
      </c>
      <c r="V14" s="18" t="s">
        <v>21</v>
      </c>
      <c r="W14" s="18" t="s">
        <v>20</v>
      </c>
      <c r="X14" s="18" t="s">
        <v>20</v>
      </c>
      <c r="Y14" s="19" t="s">
        <v>21</v>
      </c>
      <c r="Z14" s="19" t="s">
        <v>20</v>
      </c>
      <c r="AA14" s="20" t="s">
        <v>21</v>
      </c>
      <c r="AB14" s="20" t="s">
        <v>21</v>
      </c>
      <c r="AC14" s="20" t="s">
        <v>23</v>
      </c>
      <c r="AD14" s="19" t="s">
        <v>20</v>
      </c>
      <c r="AE14" s="19" t="s">
        <v>21</v>
      </c>
      <c r="AG14">
        <f>+COUNTIF(F14:AE14,"AD")</f>
        <v>0</v>
      </c>
      <c r="AH14">
        <f>+COUNTIF(F14:AE14,"A")</f>
        <v>10</v>
      </c>
      <c r="AI14">
        <f>+COUNTIF(F14:AE14,"b")</f>
        <v>14</v>
      </c>
      <c r="AJ14">
        <f>+COUNTIF(F14:AE14,"c")</f>
        <v>2</v>
      </c>
      <c r="AL14">
        <f>+$AG$5*AG14</f>
        <v>0</v>
      </c>
      <c r="AM14">
        <f>+$AH$5*AH14</f>
        <v>30</v>
      </c>
      <c r="AN14">
        <f>+$AI$5*AI14</f>
        <v>28</v>
      </c>
      <c r="AO14">
        <f>+$AJ$5*AJ14</f>
        <v>2</v>
      </c>
      <c r="AP14">
        <f>+SUM(AL14:AO14)</f>
        <v>60</v>
      </c>
    </row>
    <row r="15" spans="1:42" ht="14.4" hidden="1" x14ac:dyDescent="0.3">
      <c r="A15" s="16"/>
      <c r="B15" s="55">
        <v>11</v>
      </c>
      <c r="C15" s="56" t="s">
        <v>32</v>
      </c>
      <c r="D15" s="55">
        <v>1</v>
      </c>
      <c r="E15" s="55" t="s">
        <v>20</v>
      </c>
      <c r="F15" s="18" t="s">
        <v>21</v>
      </c>
      <c r="G15" s="18" t="s">
        <v>21</v>
      </c>
      <c r="H15" s="18" t="s">
        <v>21</v>
      </c>
      <c r="I15" s="18" t="s">
        <v>21</v>
      </c>
      <c r="J15" s="18" t="s">
        <v>20</v>
      </c>
      <c r="K15" s="18" t="s">
        <v>20</v>
      </c>
      <c r="L15" s="18" t="s">
        <v>20</v>
      </c>
      <c r="M15" s="19" t="s">
        <v>21</v>
      </c>
      <c r="N15" s="19" t="s">
        <v>21</v>
      </c>
      <c r="O15" s="19" t="s">
        <v>20</v>
      </c>
      <c r="P15" s="19" t="s">
        <v>21</v>
      </c>
      <c r="Q15" s="18" t="s">
        <v>21</v>
      </c>
      <c r="R15" s="18" t="s">
        <v>23</v>
      </c>
      <c r="S15" s="19" t="s">
        <v>21</v>
      </c>
      <c r="T15" s="18" t="s">
        <v>20</v>
      </c>
      <c r="U15" s="18" t="s">
        <v>21</v>
      </c>
      <c r="V15" s="18" t="s">
        <v>20</v>
      </c>
      <c r="W15" s="18" t="s">
        <v>21</v>
      </c>
      <c r="X15" s="18" t="s">
        <v>20</v>
      </c>
      <c r="Y15" s="19" t="s">
        <v>20</v>
      </c>
      <c r="Z15" s="19" t="s">
        <v>20</v>
      </c>
      <c r="AA15" s="20" t="s">
        <v>21</v>
      </c>
      <c r="AB15" s="20" t="s">
        <v>21</v>
      </c>
      <c r="AC15" s="20" t="s">
        <v>23</v>
      </c>
      <c r="AD15" s="19" t="s">
        <v>21</v>
      </c>
      <c r="AE15" s="19" t="s">
        <v>21</v>
      </c>
      <c r="AG15">
        <f>+COUNTIF(F15:AE15,"AD")</f>
        <v>0</v>
      </c>
      <c r="AH15">
        <f>+COUNTIF(F15:AE15,"A")</f>
        <v>9</v>
      </c>
      <c r="AI15">
        <f>+COUNTIF(F15:AE15,"b")</f>
        <v>15</v>
      </c>
      <c r="AJ15">
        <f>+COUNTIF(F15:AE15,"c")</f>
        <v>2</v>
      </c>
      <c r="AL15">
        <f>+$AG$5*AG15</f>
        <v>0</v>
      </c>
      <c r="AM15">
        <f>+$AH$5*AH15</f>
        <v>27</v>
      </c>
      <c r="AN15">
        <f>+$AI$5*AI15</f>
        <v>30</v>
      </c>
      <c r="AO15">
        <f>+$AJ$5*AJ15</f>
        <v>2</v>
      </c>
      <c r="AP15">
        <f>+SUM(AL15:AO15)</f>
        <v>59</v>
      </c>
    </row>
    <row r="16" spans="1:42" ht="14.4" hidden="1" x14ac:dyDescent="0.3">
      <c r="A16" s="16"/>
      <c r="B16" s="55">
        <v>15</v>
      </c>
      <c r="C16" s="56" t="s">
        <v>36</v>
      </c>
      <c r="D16" s="55">
        <v>1</v>
      </c>
      <c r="E16" s="55" t="s">
        <v>20</v>
      </c>
      <c r="F16" s="18" t="s">
        <v>21</v>
      </c>
      <c r="G16" s="18" t="s">
        <v>21</v>
      </c>
      <c r="H16" s="18" t="s">
        <v>21</v>
      </c>
      <c r="I16" s="18" t="s">
        <v>21</v>
      </c>
      <c r="J16" s="18" t="s">
        <v>21</v>
      </c>
      <c r="K16" s="18" t="s">
        <v>21</v>
      </c>
      <c r="L16" s="18" t="s">
        <v>21</v>
      </c>
      <c r="M16" s="19" t="s">
        <v>20</v>
      </c>
      <c r="N16" s="19" t="s">
        <v>21</v>
      </c>
      <c r="O16" s="19" t="s">
        <v>20</v>
      </c>
      <c r="P16" s="19" t="s">
        <v>21</v>
      </c>
      <c r="Q16" s="18" t="s">
        <v>21</v>
      </c>
      <c r="R16" s="18" t="s">
        <v>21</v>
      </c>
      <c r="S16" s="19" t="s">
        <v>20</v>
      </c>
      <c r="T16" s="18" t="s">
        <v>21</v>
      </c>
      <c r="U16" s="18" t="s">
        <v>21</v>
      </c>
      <c r="V16" s="18" t="s">
        <v>21</v>
      </c>
      <c r="W16" s="18" t="s">
        <v>20</v>
      </c>
      <c r="X16" s="18" t="s">
        <v>20</v>
      </c>
      <c r="Y16" s="19" t="s">
        <v>20</v>
      </c>
      <c r="Z16" s="19" t="s">
        <v>20</v>
      </c>
      <c r="AA16" s="20" t="s">
        <v>21</v>
      </c>
      <c r="AB16" s="20" t="s">
        <v>21</v>
      </c>
      <c r="AC16" s="20" t="s">
        <v>23</v>
      </c>
      <c r="AD16" s="19" t="s">
        <v>20</v>
      </c>
      <c r="AE16" s="19" t="s">
        <v>21</v>
      </c>
      <c r="AG16">
        <f>+COUNTIF(F16:AE16,"AD")</f>
        <v>0</v>
      </c>
      <c r="AH16">
        <f>+COUNTIF(F16:AE16,"A")</f>
        <v>8</v>
      </c>
      <c r="AI16">
        <f>+COUNTIF(F16:AE16,"b")</f>
        <v>17</v>
      </c>
      <c r="AJ16">
        <f>+COUNTIF(F16:AE16,"c")</f>
        <v>1</v>
      </c>
      <c r="AL16">
        <f>+$AG$5*AG16</f>
        <v>0</v>
      </c>
      <c r="AM16">
        <f>+$AH$5*AH16</f>
        <v>24</v>
      </c>
      <c r="AN16">
        <f>+$AI$5*AI16</f>
        <v>34</v>
      </c>
      <c r="AO16">
        <f>+$AJ$5*AJ16</f>
        <v>1</v>
      </c>
      <c r="AP16">
        <f>+SUM(AL16:AO16)</f>
        <v>59</v>
      </c>
    </row>
    <row r="17" spans="1:42" ht="14.4" hidden="1" x14ac:dyDescent="0.3">
      <c r="A17" s="16"/>
      <c r="B17" s="55">
        <v>10</v>
      </c>
      <c r="C17" s="56" t="s">
        <v>31</v>
      </c>
      <c r="D17" s="55">
        <v>1</v>
      </c>
      <c r="E17" s="55" t="s">
        <v>20</v>
      </c>
      <c r="F17" s="18" t="s">
        <v>21</v>
      </c>
      <c r="G17" s="18" t="s">
        <v>21</v>
      </c>
      <c r="H17" s="18" t="s">
        <v>21</v>
      </c>
      <c r="I17" s="18" t="s">
        <v>21</v>
      </c>
      <c r="J17" s="18" t="s">
        <v>21</v>
      </c>
      <c r="K17" s="18" t="s">
        <v>21</v>
      </c>
      <c r="L17" s="18" t="s">
        <v>21</v>
      </c>
      <c r="M17" s="19" t="s">
        <v>21</v>
      </c>
      <c r="N17" s="19" t="s">
        <v>21</v>
      </c>
      <c r="O17" s="19" t="s">
        <v>20</v>
      </c>
      <c r="P17" s="19" t="s">
        <v>21</v>
      </c>
      <c r="Q17" s="18" t="s">
        <v>21</v>
      </c>
      <c r="R17" s="18" t="s">
        <v>21</v>
      </c>
      <c r="S17" s="19" t="s">
        <v>20</v>
      </c>
      <c r="T17" s="18" t="s">
        <v>21</v>
      </c>
      <c r="U17" s="18" t="s">
        <v>21</v>
      </c>
      <c r="V17" s="18" t="s">
        <v>20</v>
      </c>
      <c r="W17" s="18" t="s">
        <v>20</v>
      </c>
      <c r="X17" s="18" t="s">
        <v>20</v>
      </c>
      <c r="Y17" s="19" t="s">
        <v>21</v>
      </c>
      <c r="Z17" s="19" t="s">
        <v>20</v>
      </c>
      <c r="AA17" s="20" t="s">
        <v>21</v>
      </c>
      <c r="AB17" s="20" t="s">
        <v>21</v>
      </c>
      <c r="AC17" s="20" t="s">
        <v>23</v>
      </c>
      <c r="AD17" s="19" t="s">
        <v>21</v>
      </c>
      <c r="AE17" s="19" t="s">
        <v>21</v>
      </c>
      <c r="AG17">
        <f>+COUNTIF(F17:AE17,"AD")</f>
        <v>0</v>
      </c>
      <c r="AH17">
        <f>+COUNTIF(F17:AE17,"A")</f>
        <v>6</v>
      </c>
      <c r="AI17">
        <f>+COUNTIF(F17:AE17,"b")</f>
        <v>19</v>
      </c>
      <c r="AJ17">
        <f>+COUNTIF(F17:AE17,"c")</f>
        <v>1</v>
      </c>
      <c r="AL17">
        <f>+$AG$5*AG17</f>
        <v>0</v>
      </c>
      <c r="AM17">
        <f>+$AH$5*AH17</f>
        <v>18</v>
      </c>
      <c r="AN17">
        <f>+$AI$5*AI17</f>
        <v>38</v>
      </c>
      <c r="AO17">
        <f>+$AJ$5*AJ17</f>
        <v>1</v>
      </c>
      <c r="AP17">
        <f>+SUM(AL17:AO17)</f>
        <v>57</v>
      </c>
    </row>
    <row r="18" spans="1:42" ht="14.4" hidden="1" x14ac:dyDescent="0.3">
      <c r="A18" s="16"/>
      <c r="B18" s="55">
        <v>18</v>
      </c>
      <c r="C18" s="56" t="s">
        <v>40</v>
      </c>
      <c r="D18" s="55">
        <v>1</v>
      </c>
      <c r="E18" s="55" t="s">
        <v>20</v>
      </c>
      <c r="F18" s="18" t="s">
        <v>21</v>
      </c>
      <c r="G18" s="18" t="s">
        <v>21</v>
      </c>
      <c r="H18" s="18" t="s">
        <v>21</v>
      </c>
      <c r="I18" s="18" t="s">
        <v>21</v>
      </c>
      <c r="J18" s="18" t="s">
        <v>21</v>
      </c>
      <c r="K18" s="18" t="s">
        <v>21</v>
      </c>
      <c r="L18" s="18" t="s">
        <v>21</v>
      </c>
      <c r="M18" s="19" t="s">
        <v>21</v>
      </c>
      <c r="N18" s="19" t="s">
        <v>21</v>
      </c>
      <c r="O18" s="19" t="s">
        <v>20</v>
      </c>
      <c r="P18" s="19" t="s">
        <v>21</v>
      </c>
      <c r="Q18" s="18" t="s">
        <v>21</v>
      </c>
      <c r="R18" s="18" t="s">
        <v>21</v>
      </c>
      <c r="S18" s="19" t="s">
        <v>23</v>
      </c>
      <c r="T18" s="18" t="s">
        <v>23</v>
      </c>
      <c r="U18" s="18" t="s">
        <v>20</v>
      </c>
      <c r="V18" s="18" t="s">
        <v>21</v>
      </c>
      <c r="W18" s="18" t="s">
        <v>20</v>
      </c>
      <c r="X18" s="18" t="s">
        <v>20</v>
      </c>
      <c r="Y18" s="19" t="s">
        <v>20</v>
      </c>
      <c r="Z18" s="19" t="s">
        <v>20</v>
      </c>
      <c r="AA18" s="20" t="s">
        <v>21</v>
      </c>
      <c r="AB18" s="20" t="s">
        <v>21</v>
      </c>
      <c r="AC18" s="20" t="s">
        <v>23</v>
      </c>
      <c r="AD18" s="19" t="s">
        <v>21</v>
      </c>
      <c r="AE18" s="19" t="s">
        <v>21</v>
      </c>
      <c r="AG18">
        <f>+COUNTIF(F18:AE18,"AD")</f>
        <v>0</v>
      </c>
      <c r="AH18">
        <f>+COUNTIF(F18:AE18,"A")</f>
        <v>6</v>
      </c>
      <c r="AI18">
        <f>+COUNTIF(F18:AE18,"b")</f>
        <v>17</v>
      </c>
      <c r="AJ18">
        <f>+COUNTIF(F18:AE18,"c")</f>
        <v>3</v>
      </c>
      <c r="AL18">
        <f>+$AG$5*AG18</f>
        <v>0</v>
      </c>
      <c r="AM18">
        <f>+$AH$5*AH18</f>
        <v>18</v>
      </c>
      <c r="AN18">
        <f>+$AI$5*AI18</f>
        <v>34</v>
      </c>
      <c r="AO18">
        <f>+$AJ$5*AJ18</f>
        <v>3</v>
      </c>
      <c r="AP18">
        <f>+SUM(AL18:AO18)</f>
        <v>55</v>
      </c>
    </row>
    <row r="19" spans="1:42" ht="14.4" hidden="1" x14ac:dyDescent="0.3">
      <c r="A19" s="16"/>
      <c r="B19" s="55">
        <v>13</v>
      </c>
      <c r="C19" s="56" t="s">
        <v>34</v>
      </c>
      <c r="D19" s="55">
        <v>1</v>
      </c>
      <c r="E19" s="55" t="s">
        <v>20</v>
      </c>
      <c r="F19" s="18" t="s">
        <v>21</v>
      </c>
      <c r="G19" s="18" t="s">
        <v>21</v>
      </c>
      <c r="H19" s="18" t="s">
        <v>23</v>
      </c>
      <c r="I19" s="18" t="s">
        <v>21</v>
      </c>
      <c r="J19" s="18" t="s">
        <v>21</v>
      </c>
      <c r="K19" s="18" t="s">
        <v>21</v>
      </c>
      <c r="L19" s="18" t="s">
        <v>21</v>
      </c>
      <c r="M19" s="19" t="s">
        <v>21</v>
      </c>
      <c r="N19" s="19" t="s">
        <v>21</v>
      </c>
      <c r="O19" s="19" t="s">
        <v>21</v>
      </c>
      <c r="P19" s="19" t="s">
        <v>21</v>
      </c>
      <c r="Q19" s="18" t="s">
        <v>21</v>
      </c>
      <c r="R19" s="18" t="s">
        <v>21</v>
      </c>
      <c r="S19" s="19" t="s">
        <v>23</v>
      </c>
      <c r="T19" s="18" t="s">
        <v>23</v>
      </c>
      <c r="U19" s="18" t="s">
        <v>21</v>
      </c>
      <c r="V19" s="18" t="s">
        <v>21</v>
      </c>
      <c r="W19" s="18" t="s">
        <v>21</v>
      </c>
      <c r="X19" s="18" t="s">
        <v>20</v>
      </c>
      <c r="Y19" s="19" t="s">
        <v>20</v>
      </c>
      <c r="Z19" s="19" t="s">
        <v>20</v>
      </c>
      <c r="AA19" s="20" t="s">
        <v>21</v>
      </c>
      <c r="AB19" s="20" t="s">
        <v>21</v>
      </c>
      <c r="AC19" s="20" t="s">
        <v>23</v>
      </c>
      <c r="AD19" s="19" t="s">
        <v>21</v>
      </c>
      <c r="AE19" s="19" t="s">
        <v>21</v>
      </c>
      <c r="AG19">
        <f>+COUNTIF(F19:AE19,"AD")</f>
        <v>0</v>
      </c>
      <c r="AH19">
        <f>+COUNTIF(F19:AE19,"A")</f>
        <v>3</v>
      </c>
      <c r="AI19">
        <f>+COUNTIF(F19:AE19,"b")</f>
        <v>19</v>
      </c>
      <c r="AJ19">
        <f>+COUNTIF(F19:AE19,"c")</f>
        <v>4</v>
      </c>
      <c r="AL19">
        <f>+$AG$5*AG19</f>
        <v>0</v>
      </c>
      <c r="AM19">
        <f>+$AH$5*AH19</f>
        <v>9</v>
      </c>
      <c r="AN19">
        <f>+$AI$5*AI19</f>
        <v>38</v>
      </c>
      <c r="AO19">
        <f>+$AJ$5*AJ19</f>
        <v>4</v>
      </c>
      <c r="AP19">
        <f>+SUM(AL19:AO19)</f>
        <v>51</v>
      </c>
    </row>
    <row r="20" spans="1:42" ht="14.4" hidden="1" x14ac:dyDescent="0.3">
      <c r="A20" s="16"/>
      <c r="B20" s="55">
        <v>14</v>
      </c>
      <c r="C20" s="56" t="s">
        <v>35</v>
      </c>
      <c r="D20" s="55">
        <v>1</v>
      </c>
      <c r="E20" s="55" t="s">
        <v>20</v>
      </c>
      <c r="F20" s="18" t="s">
        <v>21</v>
      </c>
      <c r="G20" s="18" t="s">
        <v>23</v>
      </c>
      <c r="H20" s="18" t="s">
        <v>21</v>
      </c>
      <c r="I20" s="18" t="s">
        <v>21</v>
      </c>
      <c r="J20" s="18" t="s">
        <v>21</v>
      </c>
      <c r="K20" s="18" t="s">
        <v>21</v>
      </c>
      <c r="L20" s="18" t="s">
        <v>21</v>
      </c>
      <c r="M20" s="19" t="s">
        <v>21</v>
      </c>
      <c r="N20" s="19" t="s">
        <v>21</v>
      </c>
      <c r="O20" s="19" t="s">
        <v>21</v>
      </c>
      <c r="P20" s="19" t="s">
        <v>21</v>
      </c>
      <c r="Q20" s="18" t="s">
        <v>21</v>
      </c>
      <c r="R20" s="18" t="s">
        <v>21</v>
      </c>
      <c r="S20" s="19" t="s">
        <v>23</v>
      </c>
      <c r="T20" s="18" t="s">
        <v>23</v>
      </c>
      <c r="U20" s="18" t="s">
        <v>21</v>
      </c>
      <c r="V20" s="18" t="s">
        <v>20</v>
      </c>
      <c r="W20" s="18" t="s">
        <v>21</v>
      </c>
      <c r="X20" s="18" t="s">
        <v>20</v>
      </c>
      <c r="Y20" s="19" t="s">
        <v>21</v>
      </c>
      <c r="Z20" s="19" t="s">
        <v>20</v>
      </c>
      <c r="AA20" s="20" t="s">
        <v>21</v>
      </c>
      <c r="AB20" s="20" t="s">
        <v>23</v>
      </c>
      <c r="AC20" s="20" t="s">
        <v>23</v>
      </c>
      <c r="AD20" s="19" t="s">
        <v>21</v>
      </c>
      <c r="AE20" s="19" t="s">
        <v>21</v>
      </c>
      <c r="AG20">
        <f>+COUNTIF(F20:AE20,"AD")</f>
        <v>0</v>
      </c>
      <c r="AH20">
        <f>+COUNTIF(F20:AE20,"A")</f>
        <v>3</v>
      </c>
      <c r="AI20">
        <f>+COUNTIF(F20:AE20,"b")</f>
        <v>18</v>
      </c>
      <c r="AJ20">
        <f>+COUNTIF(F20:AE20,"c")</f>
        <v>5</v>
      </c>
      <c r="AL20">
        <f>+$AG$5*AG20</f>
        <v>0</v>
      </c>
      <c r="AM20">
        <f>+$AH$5*AH20</f>
        <v>9</v>
      </c>
      <c r="AN20">
        <f>+$AI$5*AI20</f>
        <v>36</v>
      </c>
      <c r="AO20">
        <f>+$AJ$5*AJ20</f>
        <v>5</v>
      </c>
      <c r="AP20">
        <f>+SUM(AL20:AO20)</f>
        <v>50</v>
      </c>
    </row>
    <row r="21" spans="1:42" ht="14.4" hidden="1" x14ac:dyDescent="0.3">
      <c r="A21" s="16"/>
      <c r="B21" s="55">
        <v>8</v>
      </c>
      <c r="C21" s="56" t="s">
        <v>29</v>
      </c>
      <c r="D21" s="55">
        <v>1</v>
      </c>
      <c r="E21" s="55" t="s">
        <v>20</v>
      </c>
      <c r="F21" s="18" t="s">
        <v>21</v>
      </c>
      <c r="G21" s="18" t="s">
        <v>23</v>
      </c>
      <c r="H21" s="18" t="s">
        <v>21</v>
      </c>
      <c r="I21" s="18" t="s">
        <v>21</v>
      </c>
      <c r="J21" s="18" t="s">
        <v>21</v>
      </c>
      <c r="K21" s="18" t="s">
        <v>21</v>
      </c>
      <c r="L21" s="18" t="s">
        <v>21</v>
      </c>
      <c r="M21" s="19" t="s">
        <v>21</v>
      </c>
      <c r="N21" s="19" t="s">
        <v>21</v>
      </c>
      <c r="O21" s="19" t="s">
        <v>21</v>
      </c>
      <c r="P21" s="19" t="s">
        <v>21</v>
      </c>
      <c r="Q21" s="18" t="s">
        <v>21</v>
      </c>
      <c r="R21" s="18" t="s">
        <v>21</v>
      </c>
      <c r="S21" s="19" t="s">
        <v>23</v>
      </c>
      <c r="T21" s="18" t="s">
        <v>21</v>
      </c>
      <c r="U21" s="18" t="s">
        <v>21</v>
      </c>
      <c r="V21" s="18" t="s">
        <v>20</v>
      </c>
      <c r="W21" s="18" t="s">
        <v>21</v>
      </c>
      <c r="X21" s="18" t="s">
        <v>20</v>
      </c>
      <c r="Y21" s="19" t="s">
        <v>21</v>
      </c>
      <c r="Z21" s="19" t="s">
        <v>21</v>
      </c>
      <c r="AA21" s="20" t="s">
        <v>21</v>
      </c>
      <c r="AB21" s="20" t="s">
        <v>23</v>
      </c>
      <c r="AC21" s="20" t="s">
        <v>23</v>
      </c>
      <c r="AD21" s="19" t="s">
        <v>23</v>
      </c>
      <c r="AE21" s="19" t="s">
        <v>21</v>
      </c>
      <c r="AG21">
        <f>+COUNTIF(F21:AE21,"AD")</f>
        <v>0</v>
      </c>
      <c r="AH21">
        <f>+COUNTIF(F21:AE21,"A")</f>
        <v>2</v>
      </c>
      <c r="AI21">
        <f>+COUNTIF(F21:AE21,"b")</f>
        <v>19</v>
      </c>
      <c r="AJ21">
        <f>+COUNTIF(F21:AE21,"c")</f>
        <v>5</v>
      </c>
      <c r="AL21">
        <f>+$AG$5*AG21</f>
        <v>0</v>
      </c>
      <c r="AM21">
        <f>+$AH$5*AH21</f>
        <v>6</v>
      </c>
      <c r="AN21">
        <f>+$AI$5*AI21</f>
        <v>38</v>
      </c>
      <c r="AO21">
        <f>+$AJ$5*AJ21</f>
        <v>5</v>
      </c>
      <c r="AP21">
        <f>+SUM(AL21:AO21)</f>
        <v>49</v>
      </c>
    </row>
    <row r="22" spans="1:42" ht="15.75" hidden="1" customHeight="1" x14ac:dyDescent="0.3">
      <c r="A22" s="16"/>
      <c r="B22" s="55">
        <v>12</v>
      </c>
      <c r="C22" s="56" t="s">
        <v>33</v>
      </c>
      <c r="D22" s="55">
        <v>1</v>
      </c>
      <c r="E22" s="55" t="s">
        <v>20</v>
      </c>
      <c r="F22" s="18" t="s">
        <v>21</v>
      </c>
      <c r="G22" s="18" t="s">
        <v>21</v>
      </c>
      <c r="H22" s="18" t="s">
        <v>21</v>
      </c>
      <c r="I22" s="18" t="s">
        <v>23</v>
      </c>
      <c r="J22" s="18" t="s">
        <v>21</v>
      </c>
      <c r="K22" s="18" t="s">
        <v>21</v>
      </c>
      <c r="L22" s="18" t="s">
        <v>21</v>
      </c>
      <c r="M22" s="19" t="s">
        <v>21</v>
      </c>
      <c r="N22" s="19" t="s">
        <v>21</v>
      </c>
      <c r="O22" s="19" t="s">
        <v>21</v>
      </c>
      <c r="P22" s="19" t="s">
        <v>21</v>
      </c>
      <c r="Q22" s="18" t="s">
        <v>21</v>
      </c>
      <c r="R22" s="18" t="s">
        <v>21</v>
      </c>
      <c r="S22" s="19" t="s">
        <v>23</v>
      </c>
      <c r="T22" s="18" t="s">
        <v>23</v>
      </c>
      <c r="U22" s="18" t="s">
        <v>21</v>
      </c>
      <c r="V22" s="18" t="s">
        <v>21</v>
      </c>
      <c r="W22" s="18" t="s">
        <v>21</v>
      </c>
      <c r="X22" s="18" t="s">
        <v>20</v>
      </c>
      <c r="Y22" s="19" t="s">
        <v>20</v>
      </c>
      <c r="Z22" s="19" t="s">
        <v>20</v>
      </c>
      <c r="AA22" s="20" t="s">
        <v>23</v>
      </c>
      <c r="AB22" s="20" t="s">
        <v>23</v>
      </c>
      <c r="AC22" s="20" t="s">
        <v>23</v>
      </c>
      <c r="AD22" s="19" t="s">
        <v>23</v>
      </c>
      <c r="AE22" s="19" t="s">
        <v>21</v>
      </c>
      <c r="AG22">
        <f>+COUNTIF(F22:AE22,"AD")</f>
        <v>0</v>
      </c>
      <c r="AH22">
        <f>+COUNTIF(F22:AE22,"A")</f>
        <v>3</v>
      </c>
      <c r="AI22">
        <f>+COUNTIF(F22:AE22,"b")</f>
        <v>16</v>
      </c>
      <c r="AJ22">
        <f>+COUNTIF(F22:AE22,"c")</f>
        <v>7</v>
      </c>
      <c r="AL22">
        <f>+$AG$5*AG22</f>
        <v>0</v>
      </c>
      <c r="AM22">
        <f>+$AH$5*AH22</f>
        <v>9</v>
      </c>
      <c r="AN22">
        <f>+$AI$5*AI22</f>
        <v>32</v>
      </c>
      <c r="AO22">
        <f>+$AJ$5*AJ22</f>
        <v>7</v>
      </c>
      <c r="AP22">
        <f>+SUM(AL22:AO22)</f>
        <v>48</v>
      </c>
    </row>
    <row r="23" spans="1:42" ht="15.75" hidden="1" customHeight="1" thickBot="1" x14ac:dyDescent="0.35">
      <c r="A23" s="16"/>
      <c r="B23" s="57">
        <v>2</v>
      </c>
      <c r="C23" s="58" t="s">
        <v>22</v>
      </c>
      <c r="D23" s="57">
        <v>1</v>
      </c>
      <c r="E23" s="57" t="s">
        <v>20</v>
      </c>
      <c r="F23" s="21" t="s">
        <v>21</v>
      </c>
      <c r="G23" s="21" t="s">
        <v>23</v>
      </c>
      <c r="H23" s="21" t="s">
        <v>21</v>
      </c>
      <c r="I23" s="21" t="s">
        <v>21</v>
      </c>
      <c r="J23" s="21" t="s">
        <v>21</v>
      </c>
      <c r="K23" s="21" t="s">
        <v>21</v>
      </c>
      <c r="L23" s="21" t="s">
        <v>21</v>
      </c>
      <c r="M23" s="22" t="s">
        <v>21</v>
      </c>
      <c r="N23" s="22" t="s">
        <v>21</v>
      </c>
      <c r="O23" s="22" t="s">
        <v>23</v>
      </c>
      <c r="P23" s="22" t="s">
        <v>21</v>
      </c>
      <c r="Q23" s="21" t="s">
        <v>21</v>
      </c>
      <c r="R23" s="21" t="s">
        <v>21</v>
      </c>
      <c r="S23" s="22" t="s">
        <v>23</v>
      </c>
      <c r="T23" s="21" t="s">
        <v>23</v>
      </c>
      <c r="U23" s="21" t="s">
        <v>21</v>
      </c>
      <c r="V23" s="21" t="s">
        <v>21</v>
      </c>
      <c r="W23" s="21" t="s">
        <v>21</v>
      </c>
      <c r="X23" s="21" t="s">
        <v>20</v>
      </c>
      <c r="Y23" s="22" t="s">
        <v>21</v>
      </c>
      <c r="Z23" s="22" t="s">
        <v>20</v>
      </c>
      <c r="AA23" s="23" t="s">
        <v>23</v>
      </c>
      <c r="AB23" s="23" t="s">
        <v>23</v>
      </c>
      <c r="AC23" s="23" t="s">
        <v>23</v>
      </c>
      <c r="AD23" s="22" t="s">
        <v>23</v>
      </c>
      <c r="AE23" s="22" t="s">
        <v>21</v>
      </c>
      <c r="AG23">
        <f>+COUNTIF(F23:AE23,"AD")</f>
        <v>0</v>
      </c>
      <c r="AH23">
        <f>+COUNTIF(F23:AE23,"A")</f>
        <v>2</v>
      </c>
      <c r="AI23">
        <f>+COUNTIF(F23:AE23,"b")</f>
        <v>16</v>
      </c>
      <c r="AJ23">
        <f>+COUNTIF(F23:AE23,"c")</f>
        <v>8</v>
      </c>
      <c r="AL23">
        <f>+$AG$5*AG23</f>
        <v>0</v>
      </c>
      <c r="AM23">
        <f>+$AH$5*AH23</f>
        <v>6</v>
      </c>
      <c r="AN23">
        <f>+$AI$5*AI23</f>
        <v>32</v>
      </c>
      <c r="AO23">
        <f>+$AJ$5*AJ23</f>
        <v>8</v>
      </c>
      <c r="AP23">
        <f>+SUM(AL23:AO23)</f>
        <v>46</v>
      </c>
    </row>
    <row r="24" spans="1:42" ht="15.75" hidden="1" customHeight="1" x14ac:dyDescent="0.3">
      <c r="A24" s="16"/>
      <c r="B24" s="59">
        <v>1</v>
      </c>
      <c r="C24" s="60" t="s">
        <v>41</v>
      </c>
      <c r="D24" s="59">
        <v>1</v>
      </c>
      <c r="E24" s="59" t="s">
        <v>21</v>
      </c>
      <c r="F24" s="24" t="s">
        <v>39</v>
      </c>
      <c r="G24" s="24" t="s">
        <v>20</v>
      </c>
      <c r="H24" s="24" t="s">
        <v>20</v>
      </c>
      <c r="I24" s="24" t="s">
        <v>20</v>
      </c>
      <c r="J24" s="24" t="s">
        <v>20</v>
      </c>
      <c r="K24" s="24" t="s">
        <v>20</v>
      </c>
      <c r="L24" s="24" t="s">
        <v>20</v>
      </c>
      <c r="M24" s="25" t="s">
        <v>20</v>
      </c>
      <c r="N24" s="25" t="s">
        <v>20</v>
      </c>
      <c r="O24" s="25" t="s">
        <v>20</v>
      </c>
      <c r="P24" s="25" t="s">
        <v>20</v>
      </c>
      <c r="Q24" s="24" t="s">
        <v>20</v>
      </c>
      <c r="R24" s="24" t="s">
        <v>20</v>
      </c>
      <c r="S24" s="25" t="s">
        <v>20</v>
      </c>
      <c r="T24" s="24" t="s">
        <v>20</v>
      </c>
      <c r="U24" s="24" t="s">
        <v>20</v>
      </c>
      <c r="V24" s="24" t="s">
        <v>20</v>
      </c>
      <c r="W24" s="24" t="s">
        <v>20</v>
      </c>
      <c r="X24" s="24" t="s">
        <v>20</v>
      </c>
      <c r="Y24" s="25" t="s">
        <v>20</v>
      </c>
      <c r="Z24" s="25" t="s">
        <v>20</v>
      </c>
      <c r="AA24" s="26" t="s">
        <v>20</v>
      </c>
      <c r="AB24" s="26" t="s">
        <v>20</v>
      </c>
      <c r="AC24" s="27" t="s">
        <v>20</v>
      </c>
      <c r="AD24" s="25" t="s">
        <v>20</v>
      </c>
      <c r="AE24" s="25" t="s">
        <v>21</v>
      </c>
      <c r="AG24">
        <f t="shared" ref="AG24:AG87" si="0">+COUNTIF(F24:AE24,"AD")</f>
        <v>1</v>
      </c>
      <c r="AH24">
        <f t="shared" ref="AH24:AH87" si="1">+COUNTIF(F24:AE24,"A")</f>
        <v>24</v>
      </c>
      <c r="AI24">
        <f t="shared" ref="AI24:AI87" si="2">+COUNTIF(F24:AE24,"b")</f>
        <v>1</v>
      </c>
      <c r="AJ24">
        <f t="shared" ref="AJ24:AJ87" si="3">+COUNTIF(F24:AE24,"c")</f>
        <v>0</v>
      </c>
      <c r="AL24">
        <f t="shared" ref="AL24:AL87" si="4">+$AG$5*AG24</f>
        <v>4</v>
      </c>
      <c r="AM24">
        <f t="shared" ref="AM24:AM87" si="5">+$AH$5*AH24</f>
        <v>72</v>
      </c>
      <c r="AN24">
        <f t="shared" ref="AN24:AN87" si="6">+$AI$5*AI24</f>
        <v>2</v>
      </c>
      <c r="AO24">
        <f t="shared" ref="AO24:AO87" si="7">+$AJ$5*AJ24</f>
        <v>0</v>
      </c>
      <c r="AP24">
        <f t="shared" ref="AP24:AP43" si="8">+SUM(AL24:AO24)</f>
        <v>78</v>
      </c>
    </row>
    <row r="25" spans="1:42" ht="15.75" hidden="1" customHeight="1" x14ac:dyDescent="0.3">
      <c r="A25" s="16"/>
      <c r="B25" s="55">
        <v>2</v>
      </c>
      <c r="C25" s="56" t="s">
        <v>42</v>
      </c>
      <c r="D25" s="55">
        <v>1</v>
      </c>
      <c r="E25" s="55" t="s">
        <v>21</v>
      </c>
      <c r="F25" s="18" t="s">
        <v>21</v>
      </c>
      <c r="G25" s="18" t="s">
        <v>21</v>
      </c>
      <c r="H25" s="18" t="s">
        <v>21</v>
      </c>
      <c r="I25" s="18" t="s">
        <v>21</v>
      </c>
      <c r="J25" s="18" t="s">
        <v>20</v>
      </c>
      <c r="K25" s="18" t="s">
        <v>21</v>
      </c>
      <c r="L25" s="18" t="s">
        <v>21</v>
      </c>
      <c r="M25" s="19" t="s">
        <v>20</v>
      </c>
      <c r="N25" s="19" t="s">
        <v>20</v>
      </c>
      <c r="O25" s="19" t="s">
        <v>20</v>
      </c>
      <c r="P25" s="19" t="s">
        <v>20</v>
      </c>
      <c r="Q25" s="18" t="s">
        <v>20</v>
      </c>
      <c r="R25" s="18" t="s">
        <v>21</v>
      </c>
      <c r="S25" s="19" t="s">
        <v>20</v>
      </c>
      <c r="T25" s="18" t="s">
        <v>20</v>
      </c>
      <c r="U25" s="18" t="s">
        <v>21</v>
      </c>
      <c r="V25" s="18" t="s">
        <v>20</v>
      </c>
      <c r="W25" s="18" t="s">
        <v>20</v>
      </c>
      <c r="X25" s="18" t="s">
        <v>20</v>
      </c>
      <c r="Y25" s="19" t="s">
        <v>20</v>
      </c>
      <c r="Z25" s="19" t="s">
        <v>20</v>
      </c>
      <c r="AA25" s="28" t="s">
        <v>20</v>
      </c>
      <c r="AB25" s="28" t="s">
        <v>21</v>
      </c>
      <c r="AC25" s="20" t="s">
        <v>20</v>
      </c>
      <c r="AD25" s="19" t="s">
        <v>20</v>
      </c>
      <c r="AE25" s="19" t="s">
        <v>21</v>
      </c>
      <c r="AG25">
        <f t="shared" si="0"/>
        <v>0</v>
      </c>
      <c r="AH25">
        <f t="shared" si="1"/>
        <v>16</v>
      </c>
      <c r="AI25">
        <f t="shared" si="2"/>
        <v>10</v>
      </c>
      <c r="AJ25">
        <f t="shared" si="3"/>
        <v>0</v>
      </c>
      <c r="AL25">
        <f t="shared" si="4"/>
        <v>0</v>
      </c>
      <c r="AM25">
        <f t="shared" si="5"/>
        <v>48</v>
      </c>
      <c r="AN25">
        <f t="shared" si="6"/>
        <v>20</v>
      </c>
      <c r="AO25">
        <f t="shared" si="7"/>
        <v>0</v>
      </c>
      <c r="AP25">
        <f t="shared" si="8"/>
        <v>68</v>
      </c>
    </row>
    <row r="26" spans="1:42" ht="15.75" hidden="1" customHeight="1" x14ac:dyDescent="0.3">
      <c r="A26" s="16"/>
      <c r="B26" s="55">
        <v>3</v>
      </c>
      <c r="C26" s="56" t="s">
        <v>43</v>
      </c>
      <c r="D26" s="55">
        <v>1</v>
      </c>
      <c r="E26" s="55" t="s">
        <v>21</v>
      </c>
      <c r="F26" s="18" t="s">
        <v>21</v>
      </c>
      <c r="G26" s="18" t="s">
        <v>20</v>
      </c>
      <c r="H26" s="18" t="s">
        <v>21</v>
      </c>
      <c r="I26" s="18" t="s">
        <v>21</v>
      </c>
      <c r="J26" s="18" t="s">
        <v>21</v>
      </c>
      <c r="K26" s="18" t="s">
        <v>20</v>
      </c>
      <c r="L26" s="18" t="s">
        <v>21</v>
      </c>
      <c r="M26" s="19" t="s">
        <v>20</v>
      </c>
      <c r="N26" s="19" t="s">
        <v>20</v>
      </c>
      <c r="O26" s="19" t="s">
        <v>20</v>
      </c>
      <c r="P26" s="19" t="s">
        <v>20</v>
      </c>
      <c r="Q26" s="18" t="s">
        <v>21</v>
      </c>
      <c r="R26" s="18" t="s">
        <v>21</v>
      </c>
      <c r="S26" s="19" t="s">
        <v>20</v>
      </c>
      <c r="T26" s="18" t="s">
        <v>20</v>
      </c>
      <c r="U26" s="18" t="s">
        <v>21</v>
      </c>
      <c r="V26" s="18" t="s">
        <v>20</v>
      </c>
      <c r="W26" s="18" t="s">
        <v>20</v>
      </c>
      <c r="X26" s="18" t="s">
        <v>20</v>
      </c>
      <c r="Y26" s="19" t="s">
        <v>20</v>
      </c>
      <c r="Z26" s="19" t="s">
        <v>20</v>
      </c>
      <c r="AA26" s="28" t="s">
        <v>20</v>
      </c>
      <c r="AB26" s="28" t="s">
        <v>21</v>
      </c>
      <c r="AC26" s="20" t="s">
        <v>21</v>
      </c>
      <c r="AD26" s="19" t="s">
        <v>20</v>
      </c>
      <c r="AE26" s="19" t="s">
        <v>21</v>
      </c>
      <c r="AG26">
        <f t="shared" si="0"/>
        <v>0</v>
      </c>
      <c r="AH26">
        <f t="shared" si="1"/>
        <v>15</v>
      </c>
      <c r="AI26">
        <f t="shared" si="2"/>
        <v>11</v>
      </c>
      <c r="AJ26">
        <f t="shared" si="3"/>
        <v>0</v>
      </c>
      <c r="AL26">
        <f t="shared" si="4"/>
        <v>0</v>
      </c>
      <c r="AM26">
        <f t="shared" si="5"/>
        <v>45</v>
      </c>
      <c r="AN26">
        <f t="shared" si="6"/>
        <v>22</v>
      </c>
      <c r="AO26">
        <f t="shared" si="7"/>
        <v>0</v>
      </c>
      <c r="AP26">
        <f t="shared" si="8"/>
        <v>67</v>
      </c>
    </row>
    <row r="27" spans="1:42" ht="15.75" hidden="1" customHeight="1" x14ac:dyDescent="0.3">
      <c r="A27" s="16"/>
      <c r="B27" s="55">
        <v>4</v>
      </c>
      <c r="C27" s="56" t="s">
        <v>44</v>
      </c>
      <c r="D27" s="55">
        <v>1</v>
      </c>
      <c r="E27" s="55" t="s">
        <v>21</v>
      </c>
      <c r="F27" s="18" t="s">
        <v>20</v>
      </c>
      <c r="G27" s="18" t="s">
        <v>20</v>
      </c>
      <c r="H27" s="18" t="s">
        <v>20</v>
      </c>
      <c r="I27" s="18" t="s">
        <v>20</v>
      </c>
      <c r="J27" s="18" t="s">
        <v>21</v>
      </c>
      <c r="K27" s="18" t="s">
        <v>21</v>
      </c>
      <c r="L27" s="18" t="s">
        <v>21</v>
      </c>
      <c r="M27" s="18" t="s">
        <v>21</v>
      </c>
      <c r="N27" s="18" t="s">
        <v>20</v>
      </c>
      <c r="O27" s="18" t="s">
        <v>20</v>
      </c>
      <c r="P27" s="18" t="s">
        <v>21</v>
      </c>
      <c r="Q27" s="18" t="s">
        <v>21</v>
      </c>
      <c r="R27" s="18" t="s">
        <v>21</v>
      </c>
      <c r="S27" s="18" t="s">
        <v>20</v>
      </c>
      <c r="T27" s="18" t="s">
        <v>20</v>
      </c>
      <c r="U27" s="18" t="s">
        <v>21</v>
      </c>
      <c r="V27" s="18" t="s">
        <v>20</v>
      </c>
      <c r="W27" s="18" t="s">
        <v>20</v>
      </c>
      <c r="X27" s="18" t="s">
        <v>20</v>
      </c>
      <c r="Y27" s="19" t="s">
        <v>21</v>
      </c>
      <c r="Z27" s="18" t="s">
        <v>20</v>
      </c>
      <c r="AA27" s="28" t="s">
        <v>21</v>
      </c>
      <c r="AB27" s="28" t="s">
        <v>21</v>
      </c>
      <c r="AC27" s="20" t="s">
        <v>21</v>
      </c>
      <c r="AD27" s="29" t="s">
        <v>21</v>
      </c>
      <c r="AE27" s="29" t="s">
        <v>21</v>
      </c>
      <c r="AG27">
        <f t="shared" si="0"/>
        <v>0</v>
      </c>
      <c r="AH27">
        <f t="shared" si="1"/>
        <v>12</v>
      </c>
      <c r="AI27">
        <f t="shared" si="2"/>
        <v>14</v>
      </c>
      <c r="AJ27">
        <f t="shared" si="3"/>
        <v>0</v>
      </c>
      <c r="AL27">
        <f t="shared" si="4"/>
        <v>0</v>
      </c>
      <c r="AM27">
        <f t="shared" si="5"/>
        <v>36</v>
      </c>
      <c r="AN27">
        <f t="shared" si="6"/>
        <v>28</v>
      </c>
      <c r="AO27">
        <f t="shared" si="7"/>
        <v>0</v>
      </c>
      <c r="AP27">
        <f t="shared" si="8"/>
        <v>64</v>
      </c>
    </row>
    <row r="28" spans="1:42" ht="15.75" hidden="1" customHeight="1" x14ac:dyDescent="0.3">
      <c r="A28" s="16"/>
      <c r="B28" s="55">
        <v>5</v>
      </c>
      <c r="C28" s="56" t="s">
        <v>45</v>
      </c>
      <c r="D28" s="55">
        <v>1</v>
      </c>
      <c r="E28" s="55" t="s">
        <v>21</v>
      </c>
      <c r="F28" s="18" t="s">
        <v>21</v>
      </c>
      <c r="G28" s="18" t="s">
        <v>21</v>
      </c>
      <c r="H28" s="18" t="s">
        <v>20</v>
      </c>
      <c r="I28" s="18" t="s">
        <v>21</v>
      </c>
      <c r="J28" s="18" t="s">
        <v>21</v>
      </c>
      <c r="K28" s="18" t="s">
        <v>21</v>
      </c>
      <c r="L28" s="18" t="s">
        <v>21</v>
      </c>
      <c r="M28" s="18" t="s">
        <v>20</v>
      </c>
      <c r="N28" s="18" t="s">
        <v>21</v>
      </c>
      <c r="O28" s="18" t="s">
        <v>20</v>
      </c>
      <c r="P28" s="18" t="s">
        <v>21</v>
      </c>
      <c r="Q28" s="18" t="s">
        <v>21</v>
      </c>
      <c r="R28" s="18" t="s">
        <v>21</v>
      </c>
      <c r="S28" s="18" t="s">
        <v>20</v>
      </c>
      <c r="T28" s="18" t="s">
        <v>20</v>
      </c>
      <c r="U28" s="18" t="s">
        <v>21</v>
      </c>
      <c r="V28" s="18" t="s">
        <v>20</v>
      </c>
      <c r="W28" s="18" t="s">
        <v>20</v>
      </c>
      <c r="X28" s="18" t="s">
        <v>20</v>
      </c>
      <c r="Y28" s="19" t="s">
        <v>21</v>
      </c>
      <c r="Z28" s="18" t="s">
        <v>20</v>
      </c>
      <c r="AA28" s="28" t="s">
        <v>20</v>
      </c>
      <c r="AB28" s="28" t="s">
        <v>20</v>
      </c>
      <c r="AC28" s="20" t="s">
        <v>21</v>
      </c>
      <c r="AD28" s="29" t="s">
        <v>21</v>
      </c>
      <c r="AE28" s="29" t="s">
        <v>21</v>
      </c>
      <c r="AG28">
        <f t="shared" si="0"/>
        <v>0</v>
      </c>
      <c r="AH28">
        <f t="shared" si="1"/>
        <v>11</v>
      </c>
      <c r="AI28">
        <f t="shared" si="2"/>
        <v>15</v>
      </c>
      <c r="AJ28">
        <f t="shared" si="3"/>
        <v>0</v>
      </c>
      <c r="AL28">
        <f t="shared" si="4"/>
        <v>0</v>
      </c>
      <c r="AM28">
        <f t="shared" si="5"/>
        <v>33</v>
      </c>
      <c r="AN28">
        <f t="shared" si="6"/>
        <v>30</v>
      </c>
      <c r="AO28">
        <f t="shared" si="7"/>
        <v>0</v>
      </c>
      <c r="AP28">
        <f t="shared" si="8"/>
        <v>63</v>
      </c>
    </row>
    <row r="29" spans="1:42" ht="15.75" hidden="1" customHeight="1" x14ac:dyDescent="0.3">
      <c r="A29" s="16"/>
      <c r="B29" s="55">
        <v>6</v>
      </c>
      <c r="C29" s="56" t="s">
        <v>46</v>
      </c>
      <c r="D29" s="55">
        <v>1</v>
      </c>
      <c r="E29" s="55" t="s">
        <v>21</v>
      </c>
      <c r="F29" s="18" t="s">
        <v>20</v>
      </c>
      <c r="G29" s="18" t="s">
        <v>20</v>
      </c>
      <c r="H29" s="18" t="s">
        <v>21</v>
      </c>
      <c r="I29" s="18" t="s">
        <v>20</v>
      </c>
      <c r="J29" s="18" t="s">
        <v>21</v>
      </c>
      <c r="K29" s="18" t="s">
        <v>20</v>
      </c>
      <c r="L29" s="18" t="s">
        <v>21</v>
      </c>
      <c r="M29" s="18" t="s">
        <v>20</v>
      </c>
      <c r="N29" s="18" t="s">
        <v>21</v>
      </c>
      <c r="O29" s="18" t="s">
        <v>20</v>
      </c>
      <c r="P29" s="18" t="s">
        <v>21</v>
      </c>
      <c r="Q29" s="18" t="s">
        <v>21</v>
      </c>
      <c r="R29" s="18" t="s">
        <v>21</v>
      </c>
      <c r="S29" s="18" t="s">
        <v>21</v>
      </c>
      <c r="T29" s="18" t="s">
        <v>20</v>
      </c>
      <c r="U29" s="18" t="s">
        <v>21</v>
      </c>
      <c r="V29" s="18" t="s">
        <v>20</v>
      </c>
      <c r="W29" s="18" t="s">
        <v>20</v>
      </c>
      <c r="X29" s="18" t="s">
        <v>20</v>
      </c>
      <c r="Y29" s="19" t="s">
        <v>20</v>
      </c>
      <c r="Z29" s="18" t="s">
        <v>20</v>
      </c>
      <c r="AA29" s="28" t="s">
        <v>20</v>
      </c>
      <c r="AB29" s="28" t="s">
        <v>20</v>
      </c>
      <c r="AC29" s="20" t="s">
        <v>20</v>
      </c>
      <c r="AD29" s="29" t="s">
        <v>21</v>
      </c>
      <c r="AE29" s="29" t="s">
        <v>21</v>
      </c>
      <c r="AG29">
        <f t="shared" si="0"/>
        <v>0</v>
      </c>
      <c r="AH29">
        <f t="shared" si="1"/>
        <v>15</v>
      </c>
      <c r="AI29">
        <f t="shared" si="2"/>
        <v>11</v>
      </c>
      <c r="AJ29">
        <f t="shared" si="3"/>
        <v>0</v>
      </c>
      <c r="AL29">
        <f t="shared" si="4"/>
        <v>0</v>
      </c>
      <c r="AM29">
        <f t="shared" si="5"/>
        <v>45</v>
      </c>
      <c r="AN29">
        <f t="shared" si="6"/>
        <v>22</v>
      </c>
      <c r="AO29">
        <f t="shared" si="7"/>
        <v>0</v>
      </c>
      <c r="AP29">
        <f t="shared" si="8"/>
        <v>67</v>
      </c>
    </row>
    <row r="30" spans="1:42" ht="15.75" hidden="1" customHeight="1" x14ac:dyDescent="0.3">
      <c r="A30" s="16"/>
      <c r="B30" s="55">
        <v>7</v>
      </c>
      <c r="C30" s="56" t="s">
        <v>47</v>
      </c>
      <c r="D30" s="55">
        <v>1</v>
      </c>
      <c r="E30" s="55" t="s">
        <v>21</v>
      </c>
      <c r="F30" s="18" t="s">
        <v>21</v>
      </c>
      <c r="G30" s="18" t="s">
        <v>21</v>
      </c>
      <c r="H30" s="18" t="s">
        <v>20</v>
      </c>
      <c r="I30" s="18" t="s">
        <v>21</v>
      </c>
      <c r="J30" s="18" t="s">
        <v>20</v>
      </c>
      <c r="K30" s="18" t="s">
        <v>20</v>
      </c>
      <c r="L30" s="18" t="s">
        <v>21</v>
      </c>
      <c r="M30" s="18" t="s">
        <v>20</v>
      </c>
      <c r="N30" s="18" t="s">
        <v>21</v>
      </c>
      <c r="O30" s="18" t="s">
        <v>20</v>
      </c>
      <c r="P30" s="18" t="s">
        <v>20</v>
      </c>
      <c r="Q30" s="18" t="s">
        <v>21</v>
      </c>
      <c r="R30" s="18" t="s">
        <v>20</v>
      </c>
      <c r="S30" s="18" t="s">
        <v>20</v>
      </c>
      <c r="T30" s="18" t="s">
        <v>20</v>
      </c>
      <c r="U30" s="18" t="s">
        <v>21</v>
      </c>
      <c r="V30" s="18" t="s">
        <v>20</v>
      </c>
      <c r="W30" s="18" t="s">
        <v>20</v>
      </c>
      <c r="X30" s="18" t="s">
        <v>21</v>
      </c>
      <c r="Y30" s="19" t="s">
        <v>20</v>
      </c>
      <c r="Z30" s="18" t="s">
        <v>20</v>
      </c>
      <c r="AA30" s="28" t="s">
        <v>20</v>
      </c>
      <c r="AB30" s="28" t="s">
        <v>20</v>
      </c>
      <c r="AC30" s="20" t="s">
        <v>20</v>
      </c>
      <c r="AD30" s="29" t="s">
        <v>21</v>
      </c>
      <c r="AE30" s="29" t="s">
        <v>21</v>
      </c>
      <c r="AG30">
        <f t="shared" si="0"/>
        <v>0</v>
      </c>
      <c r="AH30">
        <f t="shared" si="1"/>
        <v>16</v>
      </c>
      <c r="AI30">
        <f t="shared" si="2"/>
        <v>10</v>
      </c>
      <c r="AJ30">
        <f t="shared" si="3"/>
        <v>0</v>
      </c>
      <c r="AL30">
        <f t="shared" si="4"/>
        <v>0</v>
      </c>
      <c r="AM30">
        <f t="shared" si="5"/>
        <v>48</v>
      </c>
      <c r="AN30">
        <f t="shared" si="6"/>
        <v>20</v>
      </c>
      <c r="AO30">
        <f t="shared" si="7"/>
        <v>0</v>
      </c>
      <c r="AP30">
        <f t="shared" si="8"/>
        <v>68</v>
      </c>
    </row>
    <row r="31" spans="1:42" ht="15.75" hidden="1" customHeight="1" x14ac:dyDescent="0.3">
      <c r="A31" s="16"/>
      <c r="B31" s="55">
        <v>8</v>
      </c>
      <c r="C31" s="56" t="s">
        <v>48</v>
      </c>
      <c r="D31" s="55">
        <v>1</v>
      </c>
      <c r="E31" s="55" t="s">
        <v>21</v>
      </c>
      <c r="F31" s="18" t="s">
        <v>20</v>
      </c>
      <c r="G31" s="18" t="s">
        <v>21</v>
      </c>
      <c r="H31" s="18" t="s">
        <v>21</v>
      </c>
      <c r="I31" s="18" t="s">
        <v>21</v>
      </c>
      <c r="J31" s="18" t="s">
        <v>20</v>
      </c>
      <c r="K31" s="18" t="s">
        <v>21</v>
      </c>
      <c r="L31" s="18" t="s">
        <v>21</v>
      </c>
      <c r="M31" s="18" t="s">
        <v>20</v>
      </c>
      <c r="N31" s="18" t="s">
        <v>21</v>
      </c>
      <c r="O31" s="18" t="s">
        <v>21</v>
      </c>
      <c r="P31" s="18" t="s">
        <v>21</v>
      </c>
      <c r="Q31" s="18" t="s">
        <v>21</v>
      </c>
      <c r="R31" s="18" t="s">
        <v>21</v>
      </c>
      <c r="S31" s="18" t="s">
        <v>20</v>
      </c>
      <c r="T31" s="18" t="s">
        <v>20</v>
      </c>
      <c r="U31" s="18" t="s">
        <v>20</v>
      </c>
      <c r="V31" s="18" t="s">
        <v>21</v>
      </c>
      <c r="W31" s="18" t="s">
        <v>20</v>
      </c>
      <c r="X31" s="18" t="s">
        <v>21</v>
      </c>
      <c r="Y31" s="19" t="s">
        <v>21</v>
      </c>
      <c r="Z31" s="18" t="s">
        <v>20</v>
      </c>
      <c r="AA31" s="28" t="s">
        <v>20</v>
      </c>
      <c r="AB31" s="28" t="s">
        <v>20</v>
      </c>
      <c r="AC31" s="20" t="s">
        <v>20</v>
      </c>
      <c r="AD31" s="29" t="s">
        <v>20</v>
      </c>
      <c r="AE31" s="29" t="s">
        <v>21</v>
      </c>
      <c r="AG31">
        <f t="shared" si="0"/>
        <v>0</v>
      </c>
      <c r="AH31">
        <f t="shared" si="1"/>
        <v>12</v>
      </c>
      <c r="AI31">
        <f t="shared" si="2"/>
        <v>14</v>
      </c>
      <c r="AJ31">
        <f t="shared" si="3"/>
        <v>0</v>
      </c>
      <c r="AL31">
        <f t="shared" si="4"/>
        <v>0</v>
      </c>
      <c r="AM31">
        <f t="shared" si="5"/>
        <v>36</v>
      </c>
      <c r="AN31">
        <f t="shared" si="6"/>
        <v>28</v>
      </c>
      <c r="AO31">
        <f t="shared" si="7"/>
        <v>0</v>
      </c>
      <c r="AP31">
        <f t="shared" si="8"/>
        <v>64</v>
      </c>
    </row>
    <row r="32" spans="1:42" ht="15.75" hidden="1" customHeight="1" x14ac:dyDescent="0.3">
      <c r="A32" s="16"/>
      <c r="B32" s="55">
        <v>9</v>
      </c>
      <c r="C32" s="56" t="s">
        <v>49</v>
      </c>
      <c r="D32" s="55">
        <v>1</v>
      </c>
      <c r="E32" s="55" t="s">
        <v>21</v>
      </c>
      <c r="F32" s="18" t="s">
        <v>20</v>
      </c>
      <c r="G32" s="18" t="s">
        <v>21</v>
      </c>
      <c r="H32" s="18" t="s">
        <v>21</v>
      </c>
      <c r="I32" s="18" t="s">
        <v>21</v>
      </c>
      <c r="J32" s="18" t="s">
        <v>21</v>
      </c>
      <c r="K32" s="18" t="s">
        <v>21</v>
      </c>
      <c r="L32" s="18" t="s">
        <v>20</v>
      </c>
      <c r="M32" s="18" t="s">
        <v>20</v>
      </c>
      <c r="N32" s="18" t="s">
        <v>20</v>
      </c>
      <c r="O32" s="18" t="s">
        <v>20</v>
      </c>
      <c r="P32" s="18" t="s">
        <v>20</v>
      </c>
      <c r="Q32" s="18" t="s">
        <v>20</v>
      </c>
      <c r="R32" s="18" t="s">
        <v>20</v>
      </c>
      <c r="S32" s="18" t="s">
        <v>20</v>
      </c>
      <c r="T32" s="18" t="s">
        <v>20</v>
      </c>
      <c r="U32" s="18" t="s">
        <v>21</v>
      </c>
      <c r="V32" s="18" t="s">
        <v>20</v>
      </c>
      <c r="W32" s="18" t="s">
        <v>20</v>
      </c>
      <c r="X32" s="18" t="s">
        <v>20</v>
      </c>
      <c r="Y32" s="19" t="s">
        <v>20</v>
      </c>
      <c r="Z32" s="18" t="s">
        <v>20</v>
      </c>
      <c r="AA32" s="28" t="s">
        <v>21</v>
      </c>
      <c r="AB32" s="28" t="s">
        <v>21</v>
      </c>
      <c r="AC32" s="20" t="s">
        <v>21</v>
      </c>
      <c r="AD32" s="29" t="s">
        <v>21</v>
      </c>
      <c r="AE32" s="29" t="s">
        <v>21</v>
      </c>
      <c r="AG32">
        <f t="shared" si="0"/>
        <v>0</v>
      </c>
      <c r="AH32">
        <f t="shared" si="1"/>
        <v>15</v>
      </c>
      <c r="AI32">
        <f t="shared" si="2"/>
        <v>11</v>
      </c>
      <c r="AJ32">
        <f t="shared" si="3"/>
        <v>0</v>
      </c>
      <c r="AL32">
        <f t="shared" si="4"/>
        <v>0</v>
      </c>
      <c r="AM32">
        <f t="shared" si="5"/>
        <v>45</v>
      </c>
      <c r="AN32">
        <f t="shared" si="6"/>
        <v>22</v>
      </c>
      <c r="AO32">
        <f t="shared" si="7"/>
        <v>0</v>
      </c>
      <c r="AP32">
        <f t="shared" si="8"/>
        <v>67</v>
      </c>
    </row>
    <row r="33" spans="1:42" ht="15.75" hidden="1" customHeight="1" x14ac:dyDescent="0.3">
      <c r="A33" s="16"/>
      <c r="B33" s="55">
        <v>10</v>
      </c>
      <c r="C33" s="56" t="s">
        <v>50</v>
      </c>
      <c r="D33" s="55">
        <v>1</v>
      </c>
      <c r="E33" s="55" t="s">
        <v>21</v>
      </c>
      <c r="F33" s="18" t="s">
        <v>20</v>
      </c>
      <c r="G33" s="18" t="s">
        <v>21</v>
      </c>
      <c r="H33" s="18" t="s">
        <v>20</v>
      </c>
      <c r="I33" s="18" t="s">
        <v>21</v>
      </c>
      <c r="J33" s="18" t="s">
        <v>21</v>
      </c>
      <c r="K33" s="18" t="s">
        <v>21</v>
      </c>
      <c r="L33" s="18" t="s">
        <v>21</v>
      </c>
      <c r="M33" s="18" t="s">
        <v>20</v>
      </c>
      <c r="N33" s="18" t="s">
        <v>20</v>
      </c>
      <c r="O33" s="18" t="s">
        <v>20</v>
      </c>
      <c r="P33" s="18" t="s">
        <v>21</v>
      </c>
      <c r="Q33" s="18" t="s">
        <v>20</v>
      </c>
      <c r="R33" s="18" t="s">
        <v>21</v>
      </c>
      <c r="S33" s="18" t="s">
        <v>20</v>
      </c>
      <c r="T33" s="18" t="s">
        <v>20</v>
      </c>
      <c r="U33" s="18" t="s">
        <v>20</v>
      </c>
      <c r="V33" s="18" t="s">
        <v>20</v>
      </c>
      <c r="W33" s="18" t="s">
        <v>20</v>
      </c>
      <c r="X33" s="18" t="s">
        <v>20</v>
      </c>
      <c r="Y33" s="19" t="s">
        <v>20</v>
      </c>
      <c r="Z33" s="18" t="s">
        <v>20</v>
      </c>
      <c r="AA33" s="28" t="s">
        <v>21</v>
      </c>
      <c r="AB33" s="28" t="s">
        <v>21</v>
      </c>
      <c r="AC33" s="20" t="s">
        <v>20</v>
      </c>
      <c r="AD33" s="29" t="s">
        <v>20</v>
      </c>
      <c r="AE33" s="29" t="s">
        <v>21</v>
      </c>
      <c r="AG33">
        <f t="shared" si="0"/>
        <v>0</v>
      </c>
      <c r="AH33">
        <f t="shared" si="1"/>
        <v>16</v>
      </c>
      <c r="AI33">
        <f t="shared" si="2"/>
        <v>10</v>
      </c>
      <c r="AJ33">
        <f t="shared" si="3"/>
        <v>0</v>
      </c>
      <c r="AL33">
        <f t="shared" si="4"/>
        <v>0</v>
      </c>
      <c r="AM33">
        <f t="shared" si="5"/>
        <v>48</v>
      </c>
      <c r="AN33">
        <f t="shared" si="6"/>
        <v>20</v>
      </c>
      <c r="AO33">
        <f t="shared" si="7"/>
        <v>0</v>
      </c>
      <c r="AP33">
        <f t="shared" si="8"/>
        <v>68</v>
      </c>
    </row>
    <row r="34" spans="1:42" ht="15.75" hidden="1" customHeight="1" x14ac:dyDescent="0.3">
      <c r="A34" s="16"/>
      <c r="B34" s="55">
        <v>11</v>
      </c>
      <c r="C34" s="56" t="s">
        <v>51</v>
      </c>
      <c r="D34" s="55">
        <v>1</v>
      </c>
      <c r="E34" s="55" t="s">
        <v>21</v>
      </c>
      <c r="F34" s="18" t="s">
        <v>39</v>
      </c>
      <c r="G34" s="18" t="s">
        <v>20</v>
      </c>
      <c r="H34" s="18" t="s">
        <v>20</v>
      </c>
      <c r="I34" s="18" t="s">
        <v>20</v>
      </c>
      <c r="J34" s="18" t="s">
        <v>20</v>
      </c>
      <c r="K34" s="18" t="s">
        <v>20</v>
      </c>
      <c r="L34" s="18" t="s">
        <v>20</v>
      </c>
      <c r="M34" s="18" t="s">
        <v>20</v>
      </c>
      <c r="N34" s="18" t="s">
        <v>20</v>
      </c>
      <c r="O34" s="18" t="s">
        <v>20</v>
      </c>
      <c r="P34" s="18" t="s">
        <v>20</v>
      </c>
      <c r="Q34" s="18" t="s">
        <v>20</v>
      </c>
      <c r="R34" s="18" t="s">
        <v>20</v>
      </c>
      <c r="S34" s="18" t="s">
        <v>20</v>
      </c>
      <c r="T34" s="18" t="s">
        <v>20</v>
      </c>
      <c r="U34" s="18" t="s">
        <v>20</v>
      </c>
      <c r="V34" s="18" t="s">
        <v>20</v>
      </c>
      <c r="W34" s="18" t="s">
        <v>20</v>
      </c>
      <c r="X34" s="18" t="s">
        <v>21</v>
      </c>
      <c r="Y34" s="19" t="s">
        <v>20</v>
      </c>
      <c r="Z34" s="18" t="s">
        <v>20</v>
      </c>
      <c r="AA34" s="28" t="s">
        <v>20</v>
      </c>
      <c r="AB34" s="28" t="s">
        <v>20</v>
      </c>
      <c r="AC34" s="20" t="s">
        <v>20</v>
      </c>
      <c r="AD34" s="29" t="s">
        <v>20</v>
      </c>
      <c r="AE34" s="29" t="s">
        <v>21</v>
      </c>
      <c r="AG34">
        <f t="shared" si="0"/>
        <v>1</v>
      </c>
      <c r="AH34">
        <f t="shared" si="1"/>
        <v>23</v>
      </c>
      <c r="AI34">
        <f t="shared" si="2"/>
        <v>2</v>
      </c>
      <c r="AJ34">
        <f t="shared" si="3"/>
        <v>0</v>
      </c>
      <c r="AL34">
        <f t="shared" si="4"/>
        <v>4</v>
      </c>
      <c r="AM34">
        <f t="shared" si="5"/>
        <v>69</v>
      </c>
      <c r="AN34">
        <f t="shared" si="6"/>
        <v>4</v>
      </c>
      <c r="AO34">
        <f t="shared" si="7"/>
        <v>0</v>
      </c>
      <c r="AP34">
        <f t="shared" si="8"/>
        <v>77</v>
      </c>
    </row>
    <row r="35" spans="1:42" ht="15.75" hidden="1" customHeight="1" x14ac:dyDescent="0.3">
      <c r="A35" s="16"/>
      <c r="B35" s="55">
        <v>12</v>
      </c>
      <c r="C35" s="56" t="s">
        <v>52</v>
      </c>
      <c r="D35" s="55">
        <v>1</v>
      </c>
      <c r="E35" s="55" t="s">
        <v>21</v>
      </c>
      <c r="F35" s="18" t="s">
        <v>20</v>
      </c>
      <c r="G35" s="18" t="s">
        <v>21</v>
      </c>
      <c r="H35" s="18" t="s">
        <v>20</v>
      </c>
      <c r="I35" s="18" t="s">
        <v>21</v>
      </c>
      <c r="J35" s="18" t="s">
        <v>20</v>
      </c>
      <c r="K35" s="18" t="s">
        <v>21</v>
      </c>
      <c r="L35" s="18" t="s">
        <v>21</v>
      </c>
      <c r="M35" s="18" t="s">
        <v>20</v>
      </c>
      <c r="N35" s="18" t="s">
        <v>20</v>
      </c>
      <c r="O35" s="18" t="s">
        <v>20</v>
      </c>
      <c r="P35" s="18" t="s">
        <v>20</v>
      </c>
      <c r="Q35" s="18" t="s">
        <v>20</v>
      </c>
      <c r="R35" s="18" t="s">
        <v>20</v>
      </c>
      <c r="S35" s="18" t="s">
        <v>20</v>
      </c>
      <c r="T35" s="18" t="s">
        <v>20</v>
      </c>
      <c r="U35" s="18" t="s">
        <v>20</v>
      </c>
      <c r="V35" s="18" t="s">
        <v>21</v>
      </c>
      <c r="W35" s="18" t="s">
        <v>20</v>
      </c>
      <c r="X35" s="18" t="s">
        <v>21</v>
      </c>
      <c r="Y35" s="19" t="s">
        <v>21</v>
      </c>
      <c r="Z35" s="18" t="s">
        <v>20</v>
      </c>
      <c r="AA35" s="28" t="s">
        <v>21</v>
      </c>
      <c r="AB35" s="28" t="s">
        <v>21</v>
      </c>
      <c r="AC35" s="20" t="s">
        <v>21</v>
      </c>
      <c r="AD35" s="29" t="s">
        <v>21</v>
      </c>
      <c r="AE35" s="29" t="s">
        <v>21</v>
      </c>
      <c r="AG35">
        <f t="shared" si="0"/>
        <v>0</v>
      </c>
      <c r="AH35">
        <f t="shared" si="1"/>
        <v>14</v>
      </c>
      <c r="AI35">
        <f t="shared" si="2"/>
        <v>12</v>
      </c>
      <c r="AJ35">
        <f t="shared" si="3"/>
        <v>0</v>
      </c>
      <c r="AL35">
        <f t="shared" si="4"/>
        <v>0</v>
      </c>
      <c r="AM35">
        <f t="shared" si="5"/>
        <v>42</v>
      </c>
      <c r="AN35">
        <f t="shared" si="6"/>
        <v>24</v>
      </c>
      <c r="AO35">
        <f t="shared" si="7"/>
        <v>0</v>
      </c>
      <c r="AP35">
        <f t="shared" si="8"/>
        <v>66</v>
      </c>
    </row>
    <row r="36" spans="1:42" ht="15.75" hidden="1" customHeight="1" x14ac:dyDescent="0.3">
      <c r="A36" s="16"/>
      <c r="B36" s="55">
        <v>13</v>
      </c>
      <c r="C36" s="56" t="s">
        <v>53</v>
      </c>
      <c r="D36" s="55">
        <v>1</v>
      </c>
      <c r="E36" s="55" t="s">
        <v>21</v>
      </c>
      <c r="F36" s="18" t="s">
        <v>21</v>
      </c>
      <c r="G36" s="18" t="s">
        <v>20</v>
      </c>
      <c r="H36" s="18" t="s">
        <v>21</v>
      </c>
      <c r="I36" s="18" t="s">
        <v>21</v>
      </c>
      <c r="J36" s="18" t="s">
        <v>20</v>
      </c>
      <c r="K36" s="18" t="s">
        <v>21</v>
      </c>
      <c r="L36" s="18" t="s">
        <v>21</v>
      </c>
      <c r="M36" s="18" t="s">
        <v>21</v>
      </c>
      <c r="N36" s="18" t="s">
        <v>20</v>
      </c>
      <c r="O36" s="18" t="s">
        <v>20</v>
      </c>
      <c r="P36" s="18" t="s">
        <v>21</v>
      </c>
      <c r="Q36" s="18" t="s">
        <v>21</v>
      </c>
      <c r="R36" s="18" t="s">
        <v>21</v>
      </c>
      <c r="S36" s="18" t="s">
        <v>21</v>
      </c>
      <c r="T36" s="18" t="s">
        <v>20</v>
      </c>
      <c r="U36" s="18" t="s">
        <v>20</v>
      </c>
      <c r="V36" s="18" t="s">
        <v>20</v>
      </c>
      <c r="W36" s="18" t="s">
        <v>20</v>
      </c>
      <c r="X36" s="18" t="s">
        <v>20</v>
      </c>
      <c r="Y36" s="19" t="s">
        <v>20</v>
      </c>
      <c r="Z36" s="18" t="s">
        <v>20</v>
      </c>
      <c r="AA36" s="28" t="s">
        <v>20</v>
      </c>
      <c r="AB36" s="28" t="s">
        <v>20</v>
      </c>
      <c r="AC36" s="20" t="s">
        <v>21</v>
      </c>
      <c r="AD36" s="29" t="s">
        <v>21</v>
      </c>
      <c r="AE36" s="29" t="s">
        <v>21</v>
      </c>
      <c r="AG36">
        <f t="shared" si="0"/>
        <v>0</v>
      </c>
      <c r="AH36">
        <f t="shared" si="1"/>
        <v>13</v>
      </c>
      <c r="AI36">
        <f t="shared" si="2"/>
        <v>13</v>
      </c>
      <c r="AJ36">
        <f t="shared" si="3"/>
        <v>0</v>
      </c>
      <c r="AL36">
        <f t="shared" si="4"/>
        <v>0</v>
      </c>
      <c r="AM36">
        <f t="shared" si="5"/>
        <v>39</v>
      </c>
      <c r="AN36">
        <f t="shared" si="6"/>
        <v>26</v>
      </c>
      <c r="AO36">
        <f t="shared" si="7"/>
        <v>0</v>
      </c>
      <c r="AP36">
        <f t="shared" si="8"/>
        <v>65</v>
      </c>
    </row>
    <row r="37" spans="1:42" ht="15.75" hidden="1" customHeight="1" x14ac:dyDescent="0.3">
      <c r="A37" s="16"/>
      <c r="B37" s="55">
        <v>14</v>
      </c>
      <c r="C37" s="56" t="s">
        <v>54</v>
      </c>
      <c r="D37" s="55">
        <v>1</v>
      </c>
      <c r="E37" s="55" t="s">
        <v>21</v>
      </c>
      <c r="F37" s="18" t="s">
        <v>20</v>
      </c>
      <c r="G37" s="18" t="s">
        <v>20</v>
      </c>
      <c r="H37" s="18" t="s">
        <v>20</v>
      </c>
      <c r="I37" s="18" t="s">
        <v>20</v>
      </c>
      <c r="J37" s="18" t="s">
        <v>20</v>
      </c>
      <c r="K37" s="18" t="s">
        <v>20</v>
      </c>
      <c r="L37" s="18" t="s">
        <v>20</v>
      </c>
      <c r="M37" s="18" t="s">
        <v>20</v>
      </c>
      <c r="N37" s="18" t="s">
        <v>20</v>
      </c>
      <c r="O37" s="18" t="s">
        <v>20</v>
      </c>
      <c r="P37" s="18" t="s">
        <v>20</v>
      </c>
      <c r="Q37" s="18" t="s">
        <v>20</v>
      </c>
      <c r="R37" s="18" t="s">
        <v>20</v>
      </c>
      <c r="S37" s="18" t="s">
        <v>20</v>
      </c>
      <c r="T37" s="18" t="s">
        <v>20</v>
      </c>
      <c r="U37" s="18" t="s">
        <v>20</v>
      </c>
      <c r="V37" s="18" t="s">
        <v>21</v>
      </c>
      <c r="W37" s="18" t="s">
        <v>21</v>
      </c>
      <c r="X37" s="18" t="s">
        <v>20</v>
      </c>
      <c r="Y37" s="19" t="s">
        <v>21</v>
      </c>
      <c r="Z37" s="18" t="s">
        <v>20</v>
      </c>
      <c r="AA37" s="28" t="s">
        <v>20</v>
      </c>
      <c r="AB37" s="28" t="s">
        <v>20</v>
      </c>
      <c r="AC37" s="20" t="s">
        <v>20</v>
      </c>
      <c r="AD37" s="29" t="s">
        <v>55</v>
      </c>
      <c r="AE37" s="29" t="s">
        <v>55</v>
      </c>
      <c r="AG37">
        <f t="shared" si="0"/>
        <v>0</v>
      </c>
      <c r="AH37">
        <f t="shared" si="1"/>
        <v>21</v>
      </c>
      <c r="AI37">
        <f t="shared" si="2"/>
        <v>3</v>
      </c>
      <c r="AJ37">
        <f t="shared" si="3"/>
        <v>0</v>
      </c>
      <c r="AL37">
        <f t="shared" si="4"/>
        <v>0</v>
      </c>
      <c r="AM37">
        <f t="shared" si="5"/>
        <v>63</v>
      </c>
      <c r="AN37">
        <f t="shared" si="6"/>
        <v>6</v>
      </c>
      <c r="AO37">
        <f t="shared" si="7"/>
        <v>0</v>
      </c>
      <c r="AP37">
        <f t="shared" si="8"/>
        <v>69</v>
      </c>
    </row>
    <row r="38" spans="1:42" ht="15.75" hidden="1" customHeight="1" x14ac:dyDescent="0.3">
      <c r="A38" s="16"/>
      <c r="B38" s="55">
        <v>15</v>
      </c>
      <c r="C38" s="56" t="s">
        <v>56</v>
      </c>
      <c r="D38" s="55">
        <v>1</v>
      </c>
      <c r="E38" s="55" t="s">
        <v>21</v>
      </c>
      <c r="F38" s="18" t="s">
        <v>20</v>
      </c>
      <c r="G38" s="18" t="s">
        <v>21</v>
      </c>
      <c r="H38" s="18" t="s">
        <v>21</v>
      </c>
      <c r="I38" s="18" t="s">
        <v>20</v>
      </c>
      <c r="J38" s="18" t="s">
        <v>21</v>
      </c>
      <c r="K38" s="18" t="s">
        <v>21</v>
      </c>
      <c r="L38" s="18" t="s">
        <v>21</v>
      </c>
      <c r="M38" s="18" t="s">
        <v>20</v>
      </c>
      <c r="N38" s="18" t="s">
        <v>20</v>
      </c>
      <c r="O38" s="18" t="s">
        <v>20</v>
      </c>
      <c r="P38" s="18" t="s">
        <v>21</v>
      </c>
      <c r="Q38" s="18" t="s">
        <v>21</v>
      </c>
      <c r="R38" s="18" t="s">
        <v>21</v>
      </c>
      <c r="S38" s="18" t="s">
        <v>23</v>
      </c>
      <c r="T38" s="18" t="s">
        <v>21</v>
      </c>
      <c r="U38" s="18" t="s">
        <v>20</v>
      </c>
      <c r="V38" s="18" t="s">
        <v>20</v>
      </c>
      <c r="W38" s="18" t="s">
        <v>20</v>
      </c>
      <c r="X38" s="18" t="s">
        <v>20</v>
      </c>
      <c r="Y38" s="19" t="s">
        <v>23</v>
      </c>
      <c r="Z38" s="18" t="s">
        <v>21</v>
      </c>
      <c r="AA38" s="28" t="s">
        <v>20</v>
      </c>
      <c r="AB38" s="28" t="s">
        <v>20</v>
      </c>
      <c r="AC38" s="20" t="s">
        <v>21</v>
      </c>
      <c r="AD38" s="29" t="s">
        <v>21</v>
      </c>
      <c r="AE38" s="29" t="s">
        <v>21</v>
      </c>
      <c r="AG38">
        <f t="shared" si="0"/>
        <v>0</v>
      </c>
      <c r="AH38">
        <f t="shared" si="1"/>
        <v>11</v>
      </c>
      <c r="AI38">
        <f t="shared" si="2"/>
        <v>13</v>
      </c>
      <c r="AJ38">
        <f t="shared" si="3"/>
        <v>2</v>
      </c>
      <c r="AL38">
        <f t="shared" si="4"/>
        <v>0</v>
      </c>
      <c r="AM38">
        <f t="shared" si="5"/>
        <v>33</v>
      </c>
      <c r="AN38">
        <f t="shared" si="6"/>
        <v>26</v>
      </c>
      <c r="AO38">
        <f t="shared" si="7"/>
        <v>2</v>
      </c>
      <c r="AP38">
        <f t="shared" si="8"/>
        <v>61</v>
      </c>
    </row>
    <row r="39" spans="1:42" ht="15.75" hidden="1" customHeight="1" x14ac:dyDescent="0.3">
      <c r="A39" s="16"/>
      <c r="B39" s="55">
        <v>16</v>
      </c>
      <c r="C39" s="56" t="s">
        <v>57</v>
      </c>
      <c r="D39" s="55">
        <v>1</v>
      </c>
      <c r="E39" s="55" t="s">
        <v>21</v>
      </c>
      <c r="F39" s="18" t="s">
        <v>20</v>
      </c>
      <c r="G39" s="18" t="s">
        <v>21</v>
      </c>
      <c r="H39" s="18" t="s">
        <v>21</v>
      </c>
      <c r="I39" s="18" t="s">
        <v>21</v>
      </c>
      <c r="J39" s="18" t="s">
        <v>20</v>
      </c>
      <c r="K39" s="18" t="s">
        <v>21</v>
      </c>
      <c r="L39" s="18" t="s">
        <v>21</v>
      </c>
      <c r="M39" s="18" t="s">
        <v>21</v>
      </c>
      <c r="N39" s="18" t="s">
        <v>21</v>
      </c>
      <c r="O39" s="18" t="s">
        <v>20</v>
      </c>
      <c r="P39" s="18" t="s">
        <v>21</v>
      </c>
      <c r="Q39" s="18" t="s">
        <v>21</v>
      </c>
      <c r="R39" s="18" t="s">
        <v>21</v>
      </c>
      <c r="S39" s="18" t="s">
        <v>21</v>
      </c>
      <c r="T39" s="18" t="s">
        <v>21</v>
      </c>
      <c r="U39" s="18" t="s">
        <v>21</v>
      </c>
      <c r="V39" s="18" t="s">
        <v>20</v>
      </c>
      <c r="W39" s="18" t="s">
        <v>20</v>
      </c>
      <c r="X39" s="18" t="s">
        <v>21</v>
      </c>
      <c r="Y39" s="19" t="s">
        <v>20</v>
      </c>
      <c r="Z39" s="18" t="s">
        <v>20</v>
      </c>
      <c r="AA39" s="28" t="s">
        <v>20</v>
      </c>
      <c r="AB39" s="28" t="s">
        <v>20</v>
      </c>
      <c r="AC39" s="20" t="s">
        <v>21</v>
      </c>
      <c r="AD39" s="29" t="s">
        <v>21</v>
      </c>
      <c r="AE39" s="29" t="s">
        <v>21</v>
      </c>
      <c r="AG39">
        <f t="shared" si="0"/>
        <v>0</v>
      </c>
      <c r="AH39">
        <f t="shared" si="1"/>
        <v>9</v>
      </c>
      <c r="AI39">
        <f t="shared" si="2"/>
        <v>17</v>
      </c>
      <c r="AJ39">
        <f t="shared" si="3"/>
        <v>0</v>
      </c>
      <c r="AL39">
        <f t="shared" si="4"/>
        <v>0</v>
      </c>
      <c r="AM39">
        <f t="shared" si="5"/>
        <v>27</v>
      </c>
      <c r="AN39">
        <f t="shared" si="6"/>
        <v>34</v>
      </c>
      <c r="AO39">
        <f t="shared" si="7"/>
        <v>0</v>
      </c>
      <c r="AP39">
        <f t="shared" si="8"/>
        <v>61</v>
      </c>
    </row>
    <row r="40" spans="1:42" ht="15.75" hidden="1" customHeight="1" x14ac:dyDescent="0.3">
      <c r="A40" s="16"/>
      <c r="B40" s="55">
        <v>17</v>
      </c>
      <c r="C40" s="56" t="s">
        <v>58</v>
      </c>
      <c r="D40" s="55">
        <v>1</v>
      </c>
      <c r="E40" s="55" t="s">
        <v>21</v>
      </c>
      <c r="F40" s="18" t="s">
        <v>21</v>
      </c>
      <c r="G40" s="18" t="s">
        <v>21</v>
      </c>
      <c r="H40" s="18" t="s">
        <v>21</v>
      </c>
      <c r="I40" s="18" t="s">
        <v>21</v>
      </c>
      <c r="J40" s="18" t="s">
        <v>20</v>
      </c>
      <c r="K40" s="18" t="s">
        <v>21</v>
      </c>
      <c r="L40" s="18" t="s">
        <v>21</v>
      </c>
      <c r="M40" s="18" t="s">
        <v>21</v>
      </c>
      <c r="N40" s="18" t="s">
        <v>20</v>
      </c>
      <c r="O40" s="18" t="s">
        <v>20</v>
      </c>
      <c r="P40" s="18" t="s">
        <v>21</v>
      </c>
      <c r="Q40" s="18" t="s">
        <v>21</v>
      </c>
      <c r="R40" s="18" t="s">
        <v>21</v>
      </c>
      <c r="S40" s="18" t="s">
        <v>20</v>
      </c>
      <c r="T40" s="18" t="s">
        <v>21</v>
      </c>
      <c r="U40" s="18" t="s">
        <v>20</v>
      </c>
      <c r="V40" s="18" t="s">
        <v>20</v>
      </c>
      <c r="W40" s="18" t="s">
        <v>20</v>
      </c>
      <c r="X40" s="18" t="s">
        <v>20</v>
      </c>
      <c r="Y40" s="19" t="s">
        <v>21</v>
      </c>
      <c r="Z40" s="18" t="s">
        <v>20</v>
      </c>
      <c r="AA40" s="28" t="s">
        <v>20</v>
      </c>
      <c r="AB40" s="28" t="s">
        <v>20</v>
      </c>
      <c r="AC40" s="20" t="s">
        <v>21</v>
      </c>
      <c r="AD40" s="29" t="s">
        <v>21</v>
      </c>
      <c r="AE40" s="29" t="s">
        <v>21</v>
      </c>
      <c r="AG40">
        <f t="shared" si="0"/>
        <v>0</v>
      </c>
      <c r="AH40">
        <f t="shared" si="1"/>
        <v>11</v>
      </c>
      <c r="AI40">
        <f t="shared" si="2"/>
        <v>15</v>
      </c>
      <c r="AJ40">
        <f t="shared" si="3"/>
        <v>0</v>
      </c>
      <c r="AL40">
        <f t="shared" si="4"/>
        <v>0</v>
      </c>
      <c r="AM40">
        <f t="shared" si="5"/>
        <v>33</v>
      </c>
      <c r="AN40">
        <f t="shared" si="6"/>
        <v>30</v>
      </c>
      <c r="AO40">
        <f t="shared" si="7"/>
        <v>0</v>
      </c>
      <c r="AP40">
        <f t="shared" si="8"/>
        <v>63</v>
      </c>
    </row>
    <row r="41" spans="1:42" ht="15.75" hidden="1" customHeight="1" x14ac:dyDescent="0.3">
      <c r="A41" s="16"/>
      <c r="B41" s="55">
        <v>18</v>
      </c>
      <c r="C41" s="56" t="s">
        <v>59</v>
      </c>
      <c r="D41" s="55">
        <v>1</v>
      </c>
      <c r="E41" s="55" t="s">
        <v>21</v>
      </c>
      <c r="F41" s="18" t="s">
        <v>20</v>
      </c>
      <c r="G41" s="18" t="s">
        <v>21</v>
      </c>
      <c r="H41" s="18" t="s">
        <v>21</v>
      </c>
      <c r="I41" s="18" t="s">
        <v>21</v>
      </c>
      <c r="J41" s="18" t="s">
        <v>21</v>
      </c>
      <c r="K41" s="18" t="s">
        <v>21</v>
      </c>
      <c r="L41" s="18" t="s">
        <v>21</v>
      </c>
      <c r="M41" s="18" t="s">
        <v>20</v>
      </c>
      <c r="N41" s="18" t="s">
        <v>20</v>
      </c>
      <c r="O41" s="18" t="s">
        <v>20</v>
      </c>
      <c r="P41" s="18" t="s">
        <v>20</v>
      </c>
      <c r="Q41" s="18" t="s">
        <v>21</v>
      </c>
      <c r="R41" s="18" t="s">
        <v>20</v>
      </c>
      <c r="S41" s="18" t="s">
        <v>20</v>
      </c>
      <c r="T41" s="18" t="s">
        <v>20</v>
      </c>
      <c r="U41" s="18" t="s">
        <v>21</v>
      </c>
      <c r="V41" s="18" t="s">
        <v>21</v>
      </c>
      <c r="W41" s="18" t="s">
        <v>20</v>
      </c>
      <c r="X41" s="18" t="s">
        <v>20</v>
      </c>
      <c r="Y41" s="19" t="s">
        <v>21</v>
      </c>
      <c r="Z41" s="18" t="s">
        <v>20</v>
      </c>
      <c r="AA41" s="28" t="s">
        <v>20</v>
      </c>
      <c r="AB41" s="28" t="s">
        <v>20</v>
      </c>
      <c r="AC41" s="20" t="s">
        <v>21</v>
      </c>
      <c r="AD41" s="29" t="s">
        <v>20</v>
      </c>
      <c r="AE41" s="29" t="s">
        <v>21</v>
      </c>
      <c r="AG41">
        <f t="shared" si="0"/>
        <v>0</v>
      </c>
      <c r="AH41">
        <f t="shared" si="1"/>
        <v>14</v>
      </c>
      <c r="AI41">
        <f t="shared" si="2"/>
        <v>12</v>
      </c>
      <c r="AJ41">
        <f t="shared" si="3"/>
        <v>0</v>
      </c>
      <c r="AL41">
        <f t="shared" si="4"/>
        <v>0</v>
      </c>
      <c r="AM41">
        <f t="shared" si="5"/>
        <v>42</v>
      </c>
      <c r="AN41">
        <f t="shared" si="6"/>
        <v>24</v>
      </c>
      <c r="AO41">
        <f t="shared" si="7"/>
        <v>0</v>
      </c>
      <c r="AP41">
        <f t="shared" si="8"/>
        <v>66</v>
      </c>
    </row>
    <row r="42" spans="1:42" ht="15.75" hidden="1" customHeight="1" x14ac:dyDescent="0.3">
      <c r="A42" s="16"/>
      <c r="B42" s="55">
        <v>19</v>
      </c>
      <c r="C42" s="56" t="s">
        <v>60</v>
      </c>
      <c r="D42" s="55">
        <v>1</v>
      </c>
      <c r="E42" s="55" t="s">
        <v>21</v>
      </c>
      <c r="F42" s="18" t="s">
        <v>20</v>
      </c>
      <c r="G42" s="18" t="s">
        <v>21</v>
      </c>
      <c r="H42" s="18" t="s">
        <v>21</v>
      </c>
      <c r="I42" s="18" t="s">
        <v>21</v>
      </c>
      <c r="J42" s="18" t="s">
        <v>21</v>
      </c>
      <c r="K42" s="18" t="s">
        <v>21</v>
      </c>
      <c r="L42" s="18" t="s">
        <v>21</v>
      </c>
      <c r="M42" s="18" t="s">
        <v>21</v>
      </c>
      <c r="N42" s="18" t="s">
        <v>20</v>
      </c>
      <c r="O42" s="18" t="s">
        <v>20</v>
      </c>
      <c r="P42" s="18" t="s">
        <v>21</v>
      </c>
      <c r="Q42" s="18" t="s">
        <v>21</v>
      </c>
      <c r="R42" s="18" t="s">
        <v>21</v>
      </c>
      <c r="S42" s="18" t="s">
        <v>20</v>
      </c>
      <c r="T42" s="18" t="s">
        <v>21</v>
      </c>
      <c r="U42" s="18" t="s">
        <v>20</v>
      </c>
      <c r="V42" s="18" t="s">
        <v>21</v>
      </c>
      <c r="W42" s="18" t="s">
        <v>20</v>
      </c>
      <c r="X42" s="18" t="s">
        <v>20</v>
      </c>
      <c r="Y42" s="19" t="s">
        <v>20</v>
      </c>
      <c r="Z42" s="18" t="s">
        <v>20</v>
      </c>
      <c r="AA42" s="28" t="s">
        <v>21</v>
      </c>
      <c r="AB42" s="28" t="s">
        <v>23</v>
      </c>
      <c r="AC42" s="20" t="s">
        <v>21</v>
      </c>
      <c r="AD42" s="29" t="s">
        <v>21</v>
      </c>
      <c r="AE42" s="29" t="s">
        <v>21</v>
      </c>
      <c r="AG42">
        <f t="shared" si="0"/>
        <v>0</v>
      </c>
      <c r="AH42">
        <f t="shared" si="1"/>
        <v>9</v>
      </c>
      <c r="AI42">
        <f t="shared" si="2"/>
        <v>16</v>
      </c>
      <c r="AJ42">
        <f t="shared" si="3"/>
        <v>1</v>
      </c>
      <c r="AL42">
        <f t="shared" si="4"/>
        <v>0</v>
      </c>
      <c r="AM42">
        <f t="shared" si="5"/>
        <v>27</v>
      </c>
      <c r="AN42">
        <f t="shared" si="6"/>
        <v>32</v>
      </c>
      <c r="AO42">
        <f t="shared" si="7"/>
        <v>1</v>
      </c>
      <c r="AP42">
        <f t="shared" si="8"/>
        <v>60</v>
      </c>
    </row>
    <row r="43" spans="1:42" ht="15.75" hidden="1" customHeight="1" thickBot="1" x14ac:dyDescent="0.35">
      <c r="A43" s="16"/>
      <c r="B43" s="57">
        <v>20</v>
      </c>
      <c r="C43" s="58" t="s">
        <v>61</v>
      </c>
      <c r="D43" s="57">
        <v>1</v>
      </c>
      <c r="E43" s="57" t="s">
        <v>21</v>
      </c>
      <c r="F43" s="21" t="s">
        <v>20</v>
      </c>
      <c r="G43" s="21" t="s">
        <v>21</v>
      </c>
      <c r="H43" s="21" t="s">
        <v>20</v>
      </c>
      <c r="I43" s="21" t="s">
        <v>21</v>
      </c>
      <c r="J43" s="21" t="s">
        <v>21</v>
      </c>
      <c r="K43" s="21" t="s">
        <v>21</v>
      </c>
      <c r="L43" s="21" t="s">
        <v>21</v>
      </c>
      <c r="M43" s="21" t="s">
        <v>20</v>
      </c>
      <c r="N43" s="21" t="s">
        <v>20</v>
      </c>
      <c r="O43" s="21" t="s">
        <v>20</v>
      </c>
      <c r="P43" s="21" t="s">
        <v>21</v>
      </c>
      <c r="Q43" s="21" t="s">
        <v>21</v>
      </c>
      <c r="R43" s="21" t="s">
        <v>21</v>
      </c>
      <c r="S43" s="21" t="s">
        <v>23</v>
      </c>
      <c r="T43" s="21" t="s">
        <v>21</v>
      </c>
      <c r="U43" s="21" t="s">
        <v>21</v>
      </c>
      <c r="V43" s="21" t="s">
        <v>20</v>
      </c>
      <c r="W43" s="21" t="s">
        <v>20</v>
      </c>
      <c r="X43" s="21" t="s">
        <v>20</v>
      </c>
      <c r="Y43" s="22" t="s">
        <v>21</v>
      </c>
      <c r="Z43" s="21" t="s">
        <v>20</v>
      </c>
      <c r="AA43" s="30" t="s">
        <v>20</v>
      </c>
      <c r="AB43" s="30" t="s">
        <v>20</v>
      </c>
      <c r="AC43" s="23" t="s">
        <v>21</v>
      </c>
      <c r="AD43" s="31" t="s">
        <v>21</v>
      </c>
      <c r="AE43" s="31" t="s">
        <v>21</v>
      </c>
      <c r="AG43">
        <f t="shared" si="0"/>
        <v>0</v>
      </c>
      <c r="AH43">
        <f t="shared" si="1"/>
        <v>11</v>
      </c>
      <c r="AI43">
        <f t="shared" si="2"/>
        <v>14</v>
      </c>
      <c r="AJ43">
        <f t="shared" si="3"/>
        <v>1</v>
      </c>
      <c r="AL43">
        <f t="shared" si="4"/>
        <v>0</v>
      </c>
      <c r="AM43">
        <f t="shared" si="5"/>
        <v>33</v>
      </c>
      <c r="AN43">
        <f t="shared" si="6"/>
        <v>28</v>
      </c>
      <c r="AO43">
        <f t="shared" si="7"/>
        <v>1</v>
      </c>
      <c r="AP43">
        <f t="shared" si="8"/>
        <v>62</v>
      </c>
    </row>
    <row r="44" spans="1:42" ht="15.75" hidden="1" customHeight="1" x14ac:dyDescent="0.3">
      <c r="A44" s="16"/>
      <c r="B44" s="59">
        <v>18</v>
      </c>
      <c r="C44" s="60" t="s">
        <v>79</v>
      </c>
      <c r="D44" s="59">
        <v>2</v>
      </c>
      <c r="E44" s="59" t="s">
        <v>20</v>
      </c>
      <c r="F44" s="24" t="s">
        <v>20</v>
      </c>
      <c r="G44" s="24" t="s">
        <v>20</v>
      </c>
      <c r="H44" s="24" t="s">
        <v>20</v>
      </c>
      <c r="I44" s="24" t="s">
        <v>20</v>
      </c>
      <c r="J44" s="24" t="s">
        <v>20</v>
      </c>
      <c r="K44" s="24" t="s">
        <v>20</v>
      </c>
      <c r="L44" s="24" t="s">
        <v>20</v>
      </c>
      <c r="M44" s="24" t="s">
        <v>20</v>
      </c>
      <c r="N44" s="24" t="s">
        <v>20</v>
      </c>
      <c r="O44" s="24" t="s">
        <v>20</v>
      </c>
      <c r="P44" s="24" t="s">
        <v>20</v>
      </c>
      <c r="Q44" s="24" t="s">
        <v>20</v>
      </c>
      <c r="R44" s="24" t="s">
        <v>20</v>
      </c>
      <c r="S44" s="24" t="s">
        <v>20</v>
      </c>
      <c r="T44" s="24" t="s">
        <v>20</v>
      </c>
      <c r="U44" s="24" t="s">
        <v>20</v>
      </c>
      <c r="V44" s="39" t="s">
        <v>20</v>
      </c>
      <c r="W44" s="39" t="s">
        <v>20</v>
      </c>
      <c r="X44" s="39" t="s">
        <v>20</v>
      </c>
      <c r="Y44" s="24" t="s">
        <v>39</v>
      </c>
      <c r="Z44" s="24" t="s">
        <v>39</v>
      </c>
      <c r="AA44" s="27" t="s">
        <v>20</v>
      </c>
      <c r="AB44" s="27" t="s">
        <v>20</v>
      </c>
      <c r="AC44" s="27" t="s">
        <v>20</v>
      </c>
      <c r="AD44" s="34" t="s">
        <v>20</v>
      </c>
      <c r="AE44" s="34" t="s">
        <v>21</v>
      </c>
      <c r="AG44">
        <f>+COUNTIF(F44:AE44,"AD")</f>
        <v>2</v>
      </c>
      <c r="AH44">
        <f>+COUNTIF(F44:AE44,"A")</f>
        <v>23</v>
      </c>
      <c r="AI44">
        <f>+COUNTIF(F44:AE44,"b")</f>
        <v>1</v>
      </c>
      <c r="AJ44">
        <f>+COUNTIF(F44:AE44,"c")</f>
        <v>0</v>
      </c>
      <c r="AL44">
        <f>+$AG$5*AG44</f>
        <v>8</v>
      </c>
      <c r="AM44">
        <f>+$AH$5*AH44</f>
        <v>69</v>
      </c>
      <c r="AN44">
        <f>+$AI$5*AI44</f>
        <v>2</v>
      </c>
      <c r="AO44">
        <f>+$AJ$5*AJ44</f>
        <v>0</v>
      </c>
      <c r="AP44">
        <f>+SUM(AL44:AO44)</f>
        <v>79</v>
      </c>
    </row>
    <row r="45" spans="1:42" ht="15.75" hidden="1" customHeight="1" x14ac:dyDescent="0.3">
      <c r="A45" s="16"/>
      <c r="B45" s="55">
        <v>23</v>
      </c>
      <c r="C45" s="56" t="s">
        <v>84</v>
      </c>
      <c r="D45" s="55">
        <v>2</v>
      </c>
      <c r="E45" s="55" t="s">
        <v>20</v>
      </c>
      <c r="F45" s="18" t="s">
        <v>20</v>
      </c>
      <c r="G45" s="18" t="s">
        <v>20</v>
      </c>
      <c r="H45" s="18" t="s">
        <v>20</v>
      </c>
      <c r="I45" s="18" t="s">
        <v>20</v>
      </c>
      <c r="J45" s="18" t="s">
        <v>20</v>
      </c>
      <c r="K45" s="18" t="s">
        <v>20</v>
      </c>
      <c r="L45" s="18" t="s">
        <v>20</v>
      </c>
      <c r="M45" s="18" t="s">
        <v>20</v>
      </c>
      <c r="N45" s="18" t="s">
        <v>20</v>
      </c>
      <c r="O45" s="18" t="s">
        <v>20</v>
      </c>
      <c r="P45" s="18" t="s">
        <v>20</v>
      </c>
      <c r="Q45" s="18" t="s">
        <v>20</v>
      </c>
      <c r="R45" s="18" t="s">
        <v>20</v>
      </c>
      <c r="S45" s="18" t="s">
        <v>20</v>
      </c>
      <c r="T45" s="18" t="s">
        <v>20</v>
      </c>
      <c r="U45" s="18" t="s">
        <v>20</v>
      </c>
      <c r="V45" s="37" t="s">
        <v>20</v>
      </c>
      <c r="W45" s="37" t="s">
        <v>20</v>
      </c>
      <c r="X45" s="37" t="s">
        <v>20</v>
      </c>
      <c r="Y45" s="18" t="s">
        <v>20</v>
      </c>
      <c r="Z45" s="18" t="s">
        <v>20</v>
      </c>
      <c r="AA45" s="20" t="s">
        <v>20</v>
      </c>
      <c r="AB45" s="20" t="s">
        <v>20</v>
      </c>
      <c r="AC45" s="20" t="s">
        <v>20</v>
      </c>
      <c r="AD45" s="29" t="s">
        <v>20</v>
      </c>
      <c r="AE45" s="29" t="s">
        <v>21</v>
      </c>
      <c r="AG45">
        <f>+COUNTIF(F45:AE45,"AD")</f>
        <v>0</v>
      </c>
      <c r="AH45">
        <f>+COUNTIF(F45:AE45,"A")</f>
        <v>25</v>
      </c>
      <c r="AI45">
        <f>+COUNTIF(F45:AE45,"b")</f>
        <v>1</v>
      </c>
      <c r="AJ45">
        <f>+COUNTIF(F45:AE45,"c")</f>
        <v>0</v>
      </c>
      <c r="AL45">
        <f>+$AG$5*AG45</f>
        <v>0</v>
      </c>
      <c r="AM45">
        <f>+$AH$5*AH45</f>
        <v>75</v>
      </c>
      <c r="AN45">
        <f>+$AI$5*AI45</f>
        <v>2</v>
      </c>
      <c r="AO45">
        <f>+$AJ$5*AJ45</f>
        <v>0</v>
      </c>
      <c r="AP45">
        <f>+SUM(AL45:AO45)</f>
        <v>77</v>
      </c>
    </row>
    <row r="46" spans="1:42" ht="15.75" hidden="1" customHeight="1" x14ac:dyDescent="0.3">
      <c r="A46" s="16"/>
      <c r="B46" s="55">
        <v>6</v>
      </c>
      <c r="C46" s="56" t="s">
        <v>67</v>
      </c>
      <c r="D46" s="55">
        <v>2</v>
      </c>
      <c r="E46" s="55" t="s">
        <v>20</v>
      </c>
      <c r="F46" s="18" t="s">
        <v>20</v>
      </c>
      <c r="G46" s="18" t="s">
        <v>21</v>
      </c>
      <c r="H46" s="18" t="s">
        <v>20</v>
      </c>
      <c r="I46" s="18" t="s">
        <v>20</v>
      </c>
      <c r="J46" s="18" t="s">
        <v>20</v>
      </c>
      <c r="K46" s="18" t="s">
        <v>20</v>
      </c>
      <c r="L46" s="18" t="s">
        <v>20</v>
      </c>
      <c r="M46" s="18" t="s">
        <v>20</v>
      </c>
      <c r="N46" s="18" t="s">
        <v>20</v>
      </c>
      <c r="O46" s="18" t="s">
        <v>20</v>
      </c>
      <c r="P46" s="18" t="s">
        <v>20</v>
      </c>
      <c r="Q46" s="18" t="s">
        <v>20</v>
      </c>
      <c r="R46" s="18" t="s">
        <v>20</v>
      </c>
      <c r="S46" s="18" t="s">
        <v>20</v>
      </c>
      <c r="T46" s="18" t="s">
        <v>20</v>
      </c>
      <c r="U46" s="18" t="s">
        <v>20</v>
      </c>
      <c r="V46" s="37" t="s">
        <v>20</v>
      </c>
      <c r="W46" s="37" t="s">
        <v>20</v>
      </c>
      <c r="X46" s="37" t="s">
        <v>20</v>
      </c>
      <c r="Y46" s="18" t="s">
        <v>20</v>
      </c>
      <c r="Z46" s="18" t="s">
        <v>20</v>
      </c>
      <c r="AA46" s="20" t="s">
        <v>20</v>
      </c>
      <c r="AB46" s="20" t="s">
        <v>20</v>
      </c>
      <c r="AC46" s="20" t="s">
        <v>20</v>
      </c>
      <c r="AD46" s="29" t="s">
        <v>20</v>
      </c>
      <c r="AE46" s="29" t="s">
        <v>21</v>
      </c>
      <c r="AG46">
        <f>+COUNTIF(F46:AE46,"AD")</f>
        <v>0</v>
      </c>
      <c r="AH46">
        <f>+COUNTIF(F46:AE46,"A")</f>
        <v>24</v>
      </c>
      <c r="AI46">
        <f>+COUNTIF(F46:AE46,"b")</f>
        <v>2</v>
      </c>
      <c r="AJ46">
        <f>+COUNTIF(F46:AE46,"c")</f>
        <v>0</v>
      </c>
      <c r="AL46">
        <f>+$AG$5*AG46</f>
        <v>0</v>
      </c>
      <c r="AM46">
        <f>+$AH$5*AH46</f>
        <v>72</v>
      </c>
      <c r="AN46">
        <f>+$AI$5*AI46</f>
        <v>4</v>
      </c>
      <c r="AO46">
        <f>+$AJ$5*AJ46</f>
        <v>0</v>
      </c>
      <c r="AP46">
        <f>+SUM(AL46:AO46)</f>
        <v>76</v>
      </c>
    </row>
    <row r="47" spans="1:42" ht="15.75" hidden="1" customHeight="1" x14ac:dyDescent="0.3">
      <c r="A47" s="16"/>
      <c r="B47" s="55">
        <v>8</v>
      </c>
      <c r="C47" s="56" t="s">
        <v>69</v>
      </c>
      <c r="D47" s="55">
        <v>2</v>
      </c>
      <c r="E47" s="55" t="s">
        <v>20</v>
      </c>
      <c r="F47" s="18" t="s">
        <v>21</v>
      </c>
      <c r="G47" s="18" t="s">
        <v>21</v>
      </c>
      <c r="H47" s="18" t="s">
        <v>21</v>
      </c>
      <c r="I47" s="18" t="s">
        <v>21</v>
      </c>
      <c r="J47" s="18" t="s">
        <v>20</v>
      </c>
      <c r="K47" s="18" t="s">
        <v>20</v>
      </c>
      <c r="L47" s="18" t="s">
        <v>20</v>
      </c>
      <c r="M47" s="18" t="s">
        <v>21</v>
      </c>
      <c r="N47" s="18" t="s">
        <v>20</v>
      </c>
      <c r="O47" s="18" t="s">
        <v>20</v>
      </c>
      <c r="P47" s="18" t="s">
        <v>20</v>
      </c>
      <c r="Q47" s="18" t="s">
        <v>20</v>
      </c>
      <c r="R47" s="18" t="s">
        <v>20</v>
      </c>
      <c r="S47" s="18" t="s">
        <v>20</v>
      </c>
      <c r="T47" s="18" t="s">
        <v>20</v>
      </c>
      <c r="U47" s="18" t="s">
        <v>21</v>
      </c>
      <c r="V47" s="37" t="s">
        <v>20</v>
      </c>
      <c r="W47" s="37" t="s">
        <v>20</v>
      </c>
      <c r="X47" s="37" t="s">
        <v>20</v>
      </c>
      <c r="Y47" s="18" t="s">
        <v>20</v>
      </c>
      <c r="Z47" s="18" t="s">
        <v>20</v>
      </c>
      <c r="AA47" s="20" t="s">
        <v>20</v>
      </c>
      <c r="AB47" s="20" t="s">
        <v>20</v>
      </c>
      <c r="AC47" s="20" t="s">
        <v>20</v>
      </c>
      <c r="AD47" s="29" t="s">
        <v>21</v>
      </c>
      <c r="AE47" s="29" t="s">
        <v>21</v>
      </c>
      <c r="AG47">
        <f>+COUNTIF(F47:AE47,"AD")</f>
        <v>0</v>
      </c>
      <c r="AH47">
        <f>+COUNTIF(F47:AE47,"A")</f>
        <v>18</v>
      </c>
      <c r="AI47">
        <f>+COUNTIF(F47:AE47,"b")</f>
        <v>8</v>
      </c>
      <c r="AJ47">
        <f>+COUNTIF(F47:AE47,"c")</f>
        <v>0</v>
      </c>
      <c r="AL47">
        <f>+$AG$5*AG47</f>
        <v>0</v>
      </c>
      <c r="AM47">
        <f>+$AH$5*AH47</f>
        <v>54</v>
      </c>
      <c r="AN47">
        <f>+$AI$5*AI47</f>
        <v>16</v>
      </c>
      <c r="AO47">
        <f>+$AJ$5*AJ47</f>
        <v>0</v>
      </c>
      <c r="AP47">
        <f>+SUM(AL47:AO47)</f>
        <v>70</v>
      </c>
    </row>
    <row r="48" spans="1:42" ht="15.75" hidden="1" customHeight="1" x14ac:dyDescent="0.3">
      <c r="A48" s="16"/>
      <c r="B48" s="55">
        <v>11</v>
      </c>
      <c r="C48" s="56" t="s">
        <v>72</v>
      </c>
      <c r="D48" s="55">
        <v>2</v>
      </c>
      <c r="E48" s="55" t="s">
        <v>20</v>
      </c>
      <c r="F48" s="18" t="s">
        <v>20</v>
      </c>
      <c r="G48" s="18" t="s">
        <v>20</v>
      </c>
      <c r="H48" s="18" t="s">
        <v>20</v>
      </c>
      <c r="I48" s="18" t="s">
        <v>20</v>
      </c>
      <c r="J48" s="18" t="s">
        <v>20</v>
      </c>
      <c r="K48" s="18" t="s">
        <v>20</v>
      </c>
      <c r="L48" s="18" t="s">
        <v>20</v>
      </c>
      <c r="M48" s="18" t="s">
        <v>20</v>
      </c>
      <c r="N48" s="18" t="s">
        <v>20</v>
      </c>
      <c r="O48" s="18" t="s">
        <v>20</v>
      </c>
      <c r="P48" s="18" t="s">
        <v>20</v>
      </c>
      <c r="Q48" s="18" t="s">
        <v>20</v>
      </c>
      <c r="R48" s="18" t="s">
        <v>20</v>
      </c>
      <c r="S48" s="18" t="s">
        <v>20</v>
      </c>
      <c r="T48" s="18" t="s">
        <v>21</v>
      </c>
      <c r="U48" s="18" t="s">
        <v>20</v>
      </c>
      <c r="V48" s="37" t="s">
        <v>21</v>
      </c>
      <c r="W48" s="37" t="s">
        <v>20</v>
      </c>
      <c r="X48" s="37" t="s">
        <v>21</v>
      </c>
      <c r="Y48" s="18" t="s">
        <v>20</v>
      </c>
      <c r="Z48" s="18" t="s">
        <v>20</v>
      </c>
      <c r="AA48" s="20" t="s">
        <v>20</v>
      </c>
      <c r="AB48" s="20" t="s">
        <v>20</v>
      </c>
      <c r="AC48" s="20" t="s">
        <v>20</v>
      </c>
      <c r="AD48" s="29" t="s">
        <v>55</v>
      </c>
      <c r="AE48" s="29" t="s">
        <v>55</v>
      </c>
      <c r="AG48">
        <f>+COUNTIF(F48:AE48,"AD")</f>
        <v>0</v>
      </c>
      <c r="AH48">
        <f>+COUNTIF(F48:AE48,"A")</f>
        <v>21</v>
      </c>
      <c r="AI48">
        <f>+COUNTIF(F48:AE48,"b")</f>
        <v>3</v>
      </c>
      <c r="AJ48">
        <f>+COUNTIF(F48:AE48,"c")</f>
        <v>0</v>
      </c>
      <c r="AL48">
        <f>+$AG$5*AG48</f>
        <v>0</v>
      </c>
      <c r="AM48">
        <f>+$AH$5*AH48</f>
        <v>63</v>
      </c>
      <c r="AN48">
        <f>+$AI$5*AI48</f>
        <v>6</v>
      </c>
      <c r="AO48">
        <f>+$AJ$5*AJ48</f>
        <v>0</v>
      </c>
      <c r="AP48">
        <f>+SUM(AL48:AO48)</f>
        <v>69</v>
      </c>
    </row>
    <row r="49" spans="1:42" ht="15.75" hidden="1" customHeight="1" x14ac:dyDescent="0.3">
      <c r="A49" s="16"/>
      <c r="B49" s="55">
        <v>20</v>
      </c>
      <c r="C49" s="56" t="s">
        <v>81</v>
      </c>
      <c r="D49" s="55">
        <v>2</v>
      </c>
      <c r="E49" s="55" t="s">
        <v>20</v>
      </c>
      <c r="F49" s="18" t="s">
        <v>21</v>
      </c>
      <c r="G49" s="18" t="s">
        <v>21</v>
      </c>
      <c r="H49" s="18" t="s">
        <v>21</v>
      </c>
      <c r="I49" s="18" t="s">
        <v>21</v>
      </c>
      <c r="J49" s="18" t="s">
        <v>20</v>
      </c>
      <c r="K49" s="18" t="s">
        <v>21</v>
      </c>
      <c r="L49" s="18" t="s">
        <v>20</v>
      </c>
      <c r="M49" s="18" t="s">
        <v>20</v>
      </c>
      <c r="N49" s="18" t="s">
        <v>20</v>
      </c>
      <c r="O49" s="18" t="s">
        <v>20</v>
      </c>
      <c r="P49" s="18" t="s">
        <v>20</v>
      </c>
      <c r="Q49" s="18" t="s">
        <v>20</v>
      </c>
      <c r="R49" s="18" t="s">
        <v>20</v>
      </c>
      <c r="S49" s="18" t="s">
        <v>20</v>
      </c>
      <c r="T49" s="18" t="s">
        <v>21</v>
      </c>
      <c r="U49" s="18" t="s">
        <v>20</v>
      </c>
      <c r="V49" s="37" t="s">
        <v>20</v>
      </c>
      <c r="W49" s="37" t="s">
        <v>20</v>
      </c>
      <c r="X49" s="37" t="s">
        <v>21</v>
      </c>
      <c r="Y49" s="18" t="s">
        <v>20</v>
      </c>
      <c r="Z49" s="18" t="s">
        <v>20</v>
      </c>
      <c r="AA49" s="20" t="s">
        <v>20</v>
      </c>
      <c r="AB49" s="20" t="s">
        <v>20</v>
      </c>
      <c r="AC49" s="20" t="s">
        <v>20</v>
      </c>
      <c r="AD49" s="29" t="s">
        <v>21</v>
      </c>
      <c r="AE49" s="29" t="s">
        <v>21</v>
      </c>
      <c r="AG49">
        <f>+COUNTIF(F49:AE49,"AD")</f>
        <v>0</v>
      </c>
      <c r="AH49">
        <f>+COUNTIF(F49:AE49,"A")</f>
        <v>17</v>
      </c>
      <c r="AI49">
        <f>+COUNTIF(F49:AE49,"b")</f>
        <v>9</v>
      </c>
      <c r="AJ49">
        <f>+COUNTIF(F49:AE49,"c")</f>
        <v>0</v>
      </c>
      <c r="AL49">
        <f>+$AG$5*AG49</f>
        <v>0</v>
      </c>
      <c r="AM49">
        <f>+$AH$5*AH49</f>
        <v>51</v>
      </c>
      <c r="AN49">
        <f>+$AI$5*AI49</f>
        <v>18</v>
      </c>
      <c r="AO49">
        <f>+$AJ$5*AJ49</f>
        <v>0</v>
      </c>
      <c r="AP49">
        <f>+SUM(AL49:AO49)</f>
        <v>69</v>
      </c>
    </row>
    <row r="50" spans="1:42" ht="15.75" hidden="1" customHeight="1" x14ac:dyDescent="0.3">
      <c r="A50" s="16"/>
      <c r="B50" s="55">
        <v>2</v>
      </c>
      <c r="C50" s="56" t="s">
        <v>63</v>
      </c>
      <c r="D50" s="55">
        <v>2</v>
      </c>
      <c r="E50" s="55" t="s">
        <v>20</v>
      </c>
      <c r="F50" s="18" t="s">
        <v>21</v>
      </c>
      <c r="G50" s="18" t="s">
        <v>21</v>
      </c>
      <c r="H50" s="18" t="s">
        <v>23</v>
      </c>
      <c r="I50" s="18" t="s">
        <v>21</v>
      </c>
      <c r="J50" s="18" t="s">
        <v>21</v>
      </c>
      <c r="K50" s="18" t="s">
        <v>23</v>
      </c>
      <c r="L50" s="18" t="s">
        <v>23</v>
      </c>
      <c r="M50" s="18" t="s">
        <v>20</v>
      </c>
      <c r="N50" s="18" t="s">
        <v>20</v>
      </c>
      <c r="O50" s="18" t="s">
        <v>20</v>
      </c>
      <c r="P50" s="18" t="s">
        <v>20</v>
      </c>
      <c r="Q50" s="18" t="s">
        <v>20</v>
      </c>
      <c r="R50" s="18" t="s">
        <v>20</v>
      </c>
      <c r="S50" s="18" t="s">
        <v>21</v>
      </c>
      <c r="T50" s="18" t="s">
        <v>20</v>
      </c>
      <c r="U50" s="18" t="s">
        <v>20</v>
      </c>
      <c r="V50" s="35" t="s">
        <v>20</v>
      </c>
      <c r="W50" s="35" t="s">
        <v>20</v>
      </c>
      <c r="X50" s="36" t="s">
        <v>20</v>
      </c>
      <c r="Y50" s="19" t="s">
        <v>20</v>
      </c>
      <c r="Z50" s="18" t="s">
        <v>20</v>
      </c>
      <c r="AA50" s="20" t="s">
        <v>21</v>
      </c>
      <c r="AB50" s="20" t="s">
        <v>21</v>
      </c>
      <c r="AC50" s="20" t="s">
        <v>21</v>
      </c>
      <c r="AD50" s="29" t="s">
        <v>20</v>
      </c>
      <c r="AE50" s="29" t="s">
        <v>21</v>
      </c>
      <c r="AG50">
        <f>+COUNTIF(F50:AE50,"AD")</f>
        <v>0</v>
      </c>
      <c r="AH50">
        <f>+COUNTIF(F50:AE50,"A")</f>
        <v>14</v>
      </c>
      <c r="AI50">
        <f>+COUNTIF(F50:AE50,"b")</f>
        <v>9</v>
      </c>
      <c r="AJ50">
        <f>+COUNTIF(F50:AE50,"c")</f>
        <v>3</v>
      </c>
      <c r="AL50">
        <f>+$AG$5*AG50</f>
        <v>0</v>
      </c>
      <c r="AM50">
        <f>+$AH$5*AH50</f>
        <v>42</v>
      </c>
      <c r="AN50">
        <f>+$AI$5*AI50</f>
        <v>18</v>
      </c>
      <c r="AO50">
        <f>+$AJ$5*AJ50</f>
        <v>3</v>
      </c>
      <c r="AP50">
        <f>+SUM(AL50:AO50)</f>
        <v>63</v>
      </c>
    </row>
    <row r="51" spans="1:42" ht="15.75" hidden="1" customHeight="1" x14ac:dyDescent="0.3">
      <c r="A51" s="16"/>
      <c r="B51" s="55">
        <v>7</v>
      </c>
      <c r="C51" s="56" t="s">
        <v>68</v>
      </c>
      <c r="D51" s="55">
        <v>2</v>
      </c>
      <c r="E51" s="55" t="s">
        <v>20</v>
      </c>
      <c r="F51" s="18" t="s">
        <v>21</v>
      </c>
      <c r="G51" s="18" t="s">
        <v>21</v>
      </c>
      <c r="H51" s="18" t="s">
        <v>21</v>
      </c>
      <c r="I51" s="18" t="s">
        <v>21</v>
      </c>
      <c r="J51" s="18" t="s">
        <v>20</v>
      </c>
      <c r="K51" s="18" t="s">
        <v>21</v>
      </c>
      <c r="L51" s="18" t="s">
        <v>21</v>
      </c>
      <c r="M51" s="18" t="s">
        <v>21</v>
      </c>
      <c r="N51" s="18" t="s">
        <v>20</v>
      </c>
      <c r="O51" s="18" t="s">
        <v>23</v>
      </c>
      <c r="P51" s="18" t="s">
        <v>21</v>
      </c>
      <c r="Q51" s="18" t="s">
        <v>21</v>
      </c>
      <c r="R51" s="18" t="s">
        <v>21</v>
      </c>
      <c r="S51" s="18" t="s">
        <v>21</v>
      </c>
      <c r="T51" s="18" t="s">
        <v>20</v>
      </c>
      <c r="U51" s="18" t="s">
        <v>20</v>
      </c>
      <c r="V51" s="37" t="s">
        <v>20</v>
      </c>
      <c r="W51" s="37" t="s">
        <v>20</v>
      </c>
      <c r="X51" s="37" t="s">
        <v>20</v>
      </c>
      <c r="Y51" s="18" t="s">
        <v>20</v>
      </c>
      <c r="Z51" s="18" t="s">
        <v>20</v>
      </c>
      <c r="AA51" s="20" t="s">
        <v>20</v>
      </c>
      <c r="AB51" s="20" t="s">
        <v>20</v>
      </c>
      <c r="AC51" s="20" t="s">
        <v>20</v>
      </c>
      <c r="AD51" s="29" t="s">
        <v>21</v>
      </c>
      <c r="AE51" s="29" t="s">
        <v>21</v>
      </c>
      <c r="AG51">
        <f>+COUNTIF(F51:AE51,"AD")</f>
        <v>0</v>
      </c>
      <c r="AH51">
        <f>+COUNTIF(F51:AE51,"A")</f>
        <v>12</v>
      </c>
      <c r="AI51">
        <f>+COUNTIF(F51:AE51,"b")</f>
        <v>13</v>
      </c>
      <c r="AJ51">
        <f>+COUNTIF(F51:AE51,"c")</f>
        <v>1</v>
      </c>
      <c r="AL51">
        <f>+$AG$5*AG51</f>
        <v>0</v>
      </c>
      <c r="AM51">
        <f>+$AH$5*AH51</f>
        <v>36</v>
      </c>
      <c r="AN51">
        <f>+$AI$5*AI51</f>
        <v>26</v>
      </c>
      <c r="AO51">
        <f>+$AJ$5*AJ51</f>
        <v>1</v>
      </c>
      <c r="AP51">
        <f>+SUM(AL51:AO51)</f>
        <v>63</v>
      </c>
    </row>
    <row r="52" spans="1:42" ht="15.75" hidden="1" customHeight="1" x14ac:dyDescent="0.3">
      <c r="A52" s="16"/>
      <c r="B52" s="55">
        <v>16</v>
      </c>
      <c r="C52" s="56" t="s">
        <v>77</v>
      </c>
      <c r="D52" s="55">
        <v>2</v>
      </c>
      <c r="E52" s="55" t="s">
        <v>20</v>
      </c>
      <c r="F52" s="18" t="s">
        <v>21</v>
      </c>
      <c r="G52" s="18" t="s">
        <v>21</v>
      </c>
      <c r="H52" s="18" t="s">
        <v>21</v>
      </c>
      <c r="I52" s="18" t="s">
        <v>21</v>
      </c>
      <c r="J52" s="18" t="s">
        <v>21</v>
      </c>
      <c r="K52" s="18" t="s">
        <v>21</v>
      </c>
      <c r="L52" s="18" t="s">
        <v>21</v>
      </c>
      <c r="M52" s="18" t="s">
        <v>20</v>
      </c>
      <c r="N52" s="18" t="s">
        <v>20</v>
      </c>
      <c r="O52" s="18" t="s">
        <v>20</v>
      </c>
      <c r="P52" s="18" t="s">
        <v>21</v>
      </c>
      <c r="Q52" s="18" t="s">
        <v>21</v>
      </c>
      <c r="R52" s="18" t="s">
        <v>21</v>
      </c>
      <c r="S52" s="18" t="s">
        <v>20</v>
      </c>
      <c r="T52" s="18" t="s">
        <v>20</v>
      </c>
      <c r="U52" s="18" t="s">
        <v>21</v>
      </c>
      <c r="V52" s="37" t="s">
        <v>20</v>
      </c>
      <c r="W52" s="37" t="s">
        <v>20</v>
      </c>
      <c r="X52" s="37" t="s">
        <v>20</v>
      </c>
      <c r="Y52" s="18" t="s">
        <v>20</v>
      </c>
      <c r="Z52" s="18" t="s">
        <v>20</v>
      </c>
      <c r="AA52" s="20" t="s">
        <v>21</v>
      </c>
      <c r="AB52" s="20" t="s">
        <v>21</v>
      </c>
      <c r="AC52" s="20" t="s">
        <v>21</v>
      </c>
      <c r="AD52" s="29" t="s">
        <v>21</v>
      </c>
      <c r="AE52" s="29" t="s">
        <v>21</v>
      </c>
      <c r="AG52">
        <f>+COUNTIF(F52:AE52,"AD")</f>
        <v>0</v>
      </c>
      <c r="AH52">
        <f>+COUNTIF(F52:AE52,"A")</f>
        <v>10</v>
      </c>
      <c r="AI52">
        <f>+COUNTIF(F52:AE52,"b")</f>
        <v>16</v>
      </c>
      <c r="AJ52">
        <f>+COUNTIF(F52:AE52,"c")</f>
        <v>0</v>
      </c>
      <c r="AL52">
        <f>+$AG$5*AG52</f>
        <v>0</v>
      </c>
      <c r="AM52">
        <f>+$AH$5*AH52</f>
        <v>30</v>
      </c>
      <c r="AN52">
        <f>+$AI$5*AI52</f>
        <v>32</v>
      </c>
      <c r="AO52">
        <f>+$AJ$5*AJ52</f>
        <v>0</v>
      </c>
      <c r="AP52">
        <f>+SUM(AL52:AO52)</f>
        <v>62</v>
      </c>
    </row>
    <row r="53" spans="1:42" ht="15.75" hidden="1" customHeight="1" x14ac:dyDescent="0.3">
      <c r="A53" s="16"/>
      <c r="B53" s="55">
        <v>1</v>
      </c>
      <c r="C53" s="56" t="s">
        <v>62</v>
      </c>
      <c r="D53" s="55">
        <v>2</v>
      </c>
      <c r="E53" s="55" t="s">
        <v>20</v>
      </c>
      <c r="F53" s="18" t="s">
        <v>21</v>
      </c>
      <c r="G53" s="18" t="s">
        <v>23</v>
      </c>
      <c r="H53" s="18" t="s">
        <v>21</v>
      </c>
      <c r="I53" s="18" t="s">
        <v>21</v>
      </c>
      <c r="J53" s="18" t="s">
        <v>21</v>
      </c>
      <c r="K53" s="18" t="s">
        <v>21</v>
      </c>
      <c r="L53" s="18" t="s">
        <v>20</v>
      </c>
      <c r="M53" s="18" t="s">
        <v>20</v>
      </c>
      <c r="N53" s="18" t="s">
        <v>20</v>
      </c>
      <c r="O53" s="18" t="s">
        <v>21</v>
      </c>
      <c r="P53" s="18" t="s">
        <v>21</v>
      </c>
      <c r="Q53" s="18" t="s">
        <v>21</v>
      </c>
      <c r="R53" s="18" t="s">
        <v>21</v>
      </c>
      <c r="S53" s="18" t="s">
        <v>20</v>
      </c>
      <c r="T53" s="18" t="s">
        <v>21</v>
      </c>
      <c r="U53" s="18" t="s">
        <v>20</v>
      </c>
      <c r="V53" s="35" t="s">
        <v>20</v>
      </c>
      <c r="W53" s="35" t="s">
        <v>20</v>
      </c>
      <c r="X53" s="36" t="s">
        <v>20</v>
      </c>
      <c r="Y53" s="19" t="s">
        <v>20</v>
      </c>
      <c r="Z53" s="18" t="s">
        <v>20</v>
      </c>
      <c r="AA53" s="20" t="s">
        <v>21</v>
      </c>
      <c r="AB53" s="20" t="s">
        <v>21</v>
      </c>
      <c r="AC53" s="20" t="s">
        <v>21</v>
      </c>
      <c r="AD53" s="29" t="s">
        <v>21</v>
      </c>
      <c r="AE53" s="29" t="s">
        <v>21</v>
      </c>
      <c r="AG53">
        <f>+COUNTIF(F53:AE53,"AD")</f>
        <v>0</v>
      </c>
      <c r="AH53">
        <f>+COUNTIF(F53:AE53,"A")</f>
        <v>10</v>
      </c>
      <c r="AI53">
        <f>+COUNTIF(F53:AE53,"b")</f>
        <v>15</v>
      </c>
      <c r="AJ53">
        <f>+COUNTIF(F53:AE53,"c")</f>
        <v>1</v>
      </c>
      <c r="AL53">
        <f>+$AG$5*AG53</f>
        <v>0</v>
      </c>
      <c r="AM53">
        <f>+$AH$5*AH53</f>
        <v>30</v>
      </c>
      <c r="AN53">
        <f>+$AI$5*AI53</f>
        <v>30</v>
      </c>
      <c r="AO53">
        <f>+$AJ$5*AJ53</f>
        <v>1</v>
      </c>
      <c r="AP53">
        <f>+SUM(AL53:AO53)</f>
        <v>61</v>
      </c>
    </row>
    <row r="54" spans="1:42" ht="15.75" hidden="1" customHeight="1" x14ac:dyDescent="0.3">
      <c r="A54" s="16"/>
      <c r="B54" s="55">
        <v>10</v>
      </c>
      <c r="C54" s="56" t="s">
        <v>71</v>
      </c>
      <c r="D54" s="55">
        <v>2</v>
      </c>
      <c r="E54" s="55" t="s">
        <v>20</v>
      </c>
      <c r="F54" s="18" t="s">
        <v>21</v>
      </c>
      <c r="G54" s="18" t="s">
        <v>21</v>
      </c>
      <c r="H54" s="18" t="s">
        <v>21</v>
      </c>
      <c r="I54" s="18" t="s">
        <v>21</v>
      </c>
      <c r="J54" s="18" t="s">
        <v>20</v>
      </c>
      <c r="K54" s="18" t="s">
        <v>21</v>
      </c>
      <c r="L54" s="18" t="s">
        <v>21</v>
      </c>
      <c r="M54" s="18" t="s">
        <v>21</v>
      </c>
      <c r="N54" s="18" t="s">
        <v>21</v>
      </c>
      <c r="O54" s="18" t="s">
        <v>20</v>
      </c>
      <c r="P54" s="18" t="s">
        <v>21</v>
      </c>
      <c r="Q54" s="18" t="s">
        <v>21</v>
      </c>
      <c r="R54" s="18" t="s">
        <v>21</v>
      </c>
      <c r="S54" s="18" t="s">
        <v>21</v>
      </c>
      <c r="T54" s="18" t="s">
        <v>20</v>
      </c>
      <c r="U54" s="18" t="s">
        <v>20</v>
      </c>
      <c r="V54" s="37" t="s">
        <v>20</v>
      </c>
      <c r="W54" s="37" t="s">
        <v>20</v>
      </c>
      <c r="X54" s="37" t="s">
        <v>20</v>
      </c>
      <c r="Y54" s="18" t="s">
        <v>20</v>
      </c>
      <c r="Z54" s="18" t="s">
        <v>21</v>
      </c>
      <c r="AA54" s="20" t="s">
        <v>20</v>
      </c>
      <c r="AB54" s="20" t="s">
        <v>21</v>
      </c>
      <c r="AC54" s="20" t="s">
        <v>21</v>
      </c>
      <c r="AD54" s="29" t="s">
        <v>21</v>
      </c>
      <c r="AE54" s="29" t="s">
        <v>21</v>
      </c>
      <c r="AG54">
        <f>+COUNTIF(F54:AE54,"AD")</f>
        <v>0</v>
      </c>
      <c r="AH54">
        <f>+COUNTIF(F54:AE54,"A")</f>
        <v>9</v>
      </c>
      <c r="AI54">
        <f>+COUNTIF(F54:AE54,"b")</f>
        <v>17</v>
      </c>
      <c r="AJ54">
        <f>+COUNTIF(F54:AE54,"c")</f>
        <v>0</v>
      </c>
      <c r="AL54">
        <f>+$AG$5*AG54</f>
        <v>0</v>
      </c>
      <c r="AM54">
        <f>+$AH$5*AH54</f>
        <v>27</v>
      </c>
      <c r="AN54">
        <f>+$AI$5*AI54</f>
        <v>34</v>
      </c>
      <c r="AO54">
        <f>+$AJ$5*AJ54</f>
        <v>0</v>
      </c>
      <c r="AP54">
        <f>+SUM(AL54:AO54)</f>
        <v>61</v>
      </c>
    </row>
    <row r="55" spans="1:42" ht="15.75" hidden="1" customHeight="1" x14ac:dyDescent="0.3">
      <c r="A55" s="16"/>
      <c r="B55" s="55">
        <v>5</v>
      </c>
      <c r="C55" s="56" t="s">
        <v>66</v>
      </c>
      <c r="D55" s="55">
        <v>2</v>
      </c>
      <c r="E55" s="55" t="s">
        <v>20</v>
      </c>
      <c r="F55" s="18" t="s">
        <v>21</v>
      </c>
      <c r="G55" s="18" t="s">
        <v>21</v>
      </c>
      <c r="H55" s="18" t="s">
        <v>21</v>
      </c>
      <c r="I55" s="18" t="s">
        <v>21</v>
      </c>
      <c r="J55" s="18" t="s">
        <v>21</v>
      </c>
      <c r="K55" s="18" t="s">
        <v>21</v>
      </c>
      <c r="L55" s="18" t="s">
        <v>21</v>
      </c>
      <c r="M55" s="18" t="s">
        <v>21</v>
      </c>
      <c r="N55" s="18" t="s">
        <v>21</v>
      </c>
      <c r="O55" s="18" t="s">
        <v>20</v>
      </c>
      <c r="P55" s="18" t="s">
        <v>21</v>
      </c>
      <c r="Q55" s="18" t="s">
        <v>21</v>
      </c>
      <c r="R55" s="18" t="s">
        <v>21</v>
      </c>
      <c r="S55" s="18" t="s">
        <v>20</v>
      </c>
      <c r="T55" s="18" t="s">
        <v>21</v>
      </c>
      <c r="U55" s="18" t="s">
        <v>20</v>
      </c>
      <c r="V55" s="35" t="s">
        <v>20</v>
      </c>
      <c r="W55" s="35" t="s">
        <v>20</v>
      </c>
      <c r="X55" s="36" t="s">
        <v>20</v>
      </c>
      <c r="Y55" s="19" t="s">
        <v>20</v>
      </c>
      <c r="Z55" s="18" t="s">
        <v>20</v>
      </c>
      <c r="AA55" s="20" t="s">
        <v>21</v>
      </c>
      <c r="AB55" s="20" t="s">
        <v>21</v>
      </c>
      <c r="AC55" s="20" t="s">
        <v>23</v>
      </c>
      <c r="AD55" s="29" t="s">
        <v>21</v>
      </c>
      <c r="AE55" s="29" t="s">
        <v>21</v>
      </c>
      <c r="AG55">
        <f>+COUNTIF(F55:AE55,"AD")</f>
        <v>0</v>
      </c>
      <c r="AH55">
        <f>+COUNTIF(F55:AE55,"A")</f>
        <v>8</v>
      </c>
      <c r="AI55">
        <f>+COUNTIF(F55:AE55,"b")</f>
        <v>17</v>
      </c>
      <c r="AJ55">
        <f>+COUNTIF(F55:AE55,"c")</f>
        <v>1</v>
      </c>
      <c r="AL55">
        <f>+$AG$5*AG55</f>
        <v>0</v>
      </c>
      <c r="AM55">
        <f>+$AH$5*AH55</f>
        <v>24</v>
      </c>
      <c r="AN55">
        <f>+$AI$5*AI55</f>
        <v>34</v>
      </c>
      <c r="AO55">
        <f>+$AJ$5*AJ55</f>
        <v>1</v>
      </c>
      <c r="AP55">
        <f>+SUM(AL55:AO55)</f>
        <v>59</v>
      </c>
    </row>
    <row r="56" spans="1:42" ht="15.75" hidden="1" customHeight="1" x14ac:dyDescent="0.3">
      <c r="A56" s="16"/>
      <c r="B56" s="55">
        <v>15</v>
      </c>
      <c r="C56" s="56" t="s">
        <v>76</v>
      </c>
      <c r="D56" s="55">
        <v>2</v>
      </c>
      <c r="E56" s="55" t="s">
        <v>20</v>
      </c>
      <c r="F56" s="18" t="s">
        <v>20</v>
      </c>
      <c r="G56" s="18" t="s">
        <v>21</v>
      </c>
      <c r="H56" s="18" t="s">
        <v>21</v>
      </c>
      <c r="I56" s="18" t="s">
        <v>21</v>
      </c>
      <c r="J56" s="18" t="s">
        <v>20</v>
      </c>
      <c r="K56" s="18" t="s">
        <v>21</v>
      </c>
      <c r="L56" s="18" t="s">
        <v>21</v>
      </c>
      <c r="M56" s="18" t="s">
        <v>21</v>
      </c>
      <c r="N56" s="18" t="s">
        <v>21</v>
      </c>
      <c r="O56" s="18" t="s">
        <v>20</v>
      </c>
      <c r="P56" s="18" t="s">
        <v>21</v>
      </c>
      <c r="Q56" s="18" t="s">
        <v>21</v>
      </c>
      <c r="R56" s="18" t="s">
        <v>21</v>
      </c>
      <c r="S56" s="18" t="s">
        <v>20</v>
      </c>
      <c r="T56" s="18" t="s">
        <v>21</v>
      </c>
      <c r="U56" s="18" t="s">
        <v>21</v>
      </c>
      <c r="V56" s="37" t="s">
        <v>21</v>
      </c>
      <c r="W56" s="37" t="s">
        <v>20</v>
      </c>
      <c r="X56" s="37" t="s">
        <v>20</v>
      </c>
      <c r="Y56" s="18" t="s">
        <v>21</v>
      </c>
      <c r="Z56" s="18" t="s">
        <v>21</v>
      </c>
      <c r="AA56" s="20" t="s">
        <v>21</v>
      </c>
      <c r="AB56" s="20" t="s">
        <v>21</v>
      </c>
      <c r="AC56" s="20" t="s">
        <v>21</v>
      </c>
      <c r="AD56" s="29" t="s">
        <v>23</v>
      </c>
      <c r="AE56" s="29" t="s">
        <v>21</v>
      </c>
      <c r="AG56">
        <f>+COUNTIF(F56:AE56,"AD")</f>
        <v>0</v>
      </c>
      <c r="AH56">
        <f>+COUNTIF(F56:AE56,"A")</f>
        <v>6</v>
      </c>
      <c r="AI56">
        <f>+COUNTIF(F56:AE56,"b")</f>
        <v>19</v>
      </c>
      <c r="AJ56">
        <f>+COUNTIF(F56:AE56,"c")</f>
        <v>1</v>
      </c>
      <c r="AL56">
        <f>+$AG$5*AG56</f>
        <v>0</v>
      </c>
      <c r="AM56">
        <f>+$AH$5*AH56</f>
        <v>18</v>
      </c>
      <c r="AN56">
        <f>+$AI$5*AI56</f>
        <v>38</v>
      </c>
      <c r="AO56">
        <f>+$AJ$5*AJ56</f>
        <v>1</v>
      </c>
      <c r="AP56">
        <f>+SUM(AL56:AO56)</f>
        <v>57</v>
      </c>
    </row>
    <row r="57" spans="1:42" ht="15.75" hidden="1" customHeight="1" x14ac:dyDescent="0.3">
      <c r="A57" s="16"/>
      <c r="B57" s="55">
        <v>17</v>
      </c>
      <c r="C57" s="56" t="s">
        <v>78</v>
      </c>
      <c r="D57" s="55">
        <v>2</v>
      </c>
      <c r="E57" s="55" t="s">
        <v>20</v>
      </c>
      <c r="F57" s="18" t="s">
        <v>21</v>
      </c>
      <c r="G57" s="18" t="s">
        <v>21</v>
      </c>
      <c r="H57" s="18" t="s">
        <v>21</v>
      </c>
      <c r="I57" s="18" t="s">
        <v>21</v>
      </c>
      <c r="J57" s="18" t="s">
        <v>23</v>
      </c>
      <c r="K57" s="18" t="s">
        <v>21</v>
      </c>
      <c r="L57" s="18" t="s">
        <v>21</v>
      </c>
      <c r="M57" s="18" t="s">
        <v>21</v>
      </c>
      <c r="N57" s="18" t="s">
        <v>21</v>
      </c>
      <c r="O57" s="18" t="s">
        <v>20</v>
      </c>
      <c r="P57" s="18" t="s">
        <v>21</v>
      </c>
      <c r="Q57" s="18" t="s">
        <v>21</v>
      </c>
      <c r="R57" s="18" t="s">
        <v>21</v>
      </c>
      <c r="S57" s="18" t="s">
        <v>21</v>
      </c>
      <c r="T57" s="18" t="s">
        <v>21</v>
      </c>
      <c r="U57" s="18" t="s">
        <v>21</v>
      </c>
      <c r="V57" s="37" t="s">
        <v>20</v>
      </c>
      <c r="W57" s="37" t="s">
        <v>20</v>
      </c>
      <c r="X57" s="37" t="s">
        <v>20</v>
      </c>
      <c r="Y57" s="18" t="s">
        <v>20</v>
      </c>
      <c r="Z57" s="18" t="s">
        <v>20</v>
      </c>
      <c r="AA57" s="20" t="s">
        <v>23</v>
      </c>
      <c r="AB57" s="20" t="s">
        <v>23</v>
      </c>
      <c r="AC57" s="20" t="s">
        <v>21</v>
      </c>
      <c r="AD57" s="29" t="s">
        <v>21</v>
      </c>
      <c r="AE57" s="29" t="s">
        <v>21</v>
      </c>
      <c r="AG57">
        <f>+COUNTIF(F57:AE57,"AD")</f>
        <v>0</v>
      </c>
      <c r="AH57">
        <f>+COUNTIF(F57:AE57,"A")</f>
        <v>6</v>
      </c>
      <c r="AI57">
        <f>+COUNTIF(F57:AE57,"b")</f>
        <v>17</v>
      </c>
      <c r="AJ57">
        <f>+COUNTIF(F57:AE57,"c")</f>
        <v>3</v>
      </c>
      <c r="AL57">
        <f>+$AG$5*AG57</f>
        <v>0</v>
      </c>
      <c r="AM57">
        <f>+$AH$5*AH57</f>
        <v>18</v>
      </c>
      <c r="AN57">
        <f>+$AI$5*AI57</f>
        <v>34</v>
      </c>
      <c r="AO57">
        <f>+$AJ$5*AJ57</f>
        <v>3</v>
      </c>
      <c r="AP57">
        <f>+SUM(AL57:AO57)</f>
        <v>55</v>
      </c>
    </row>
    <row r="58" spans="1:42" ht="15.75" hidden="1" customHeight="1" x14ac:dyDescent="0.3">
      <c r="A58" s="16"/>
      <c r="B58" s="55">
        <v>14</v>
      </c>
      <c r="C58" s="56" t="s">
        <v>75</v>
      </c>
      <c r="D58" s="55">
        <v>2</v>
      </c>
      <c r="E58" s="55" t="s">
        <v>20</v>
      </c>
      <c r="F58" s="18" t="s">
        <v>20</v>
      </c>
      <c r="G58" s="18" t="s">
        <v>21</v>
      </c>
      <c r="H58" s="18" t="s">
        <v>21</v>
      </c>
      <c r="I58" s="18" t="s">
        <v>21</v>
      </c>
      <c r="J58" s="18" t="s">
        <v>21</v>
      </c>
      <c r="K58" s="18" t="s">
        <v>23</v>
      </c>
      <c r="L58" s="18" t="s">
        <v>20</v>
      </c>
      <c r="M58" s="18" t="s">
        <v>21</v>
      </c>
      <c r="N58" s="18" t="s">
        <v>21</v>
      </c>
      <c r="O58" s="18" t="s">
        <v>23</v>
      </c>
      <c r="P58" s="18" t="s">
        <v>20</v>
      </c>
      <c r="Q58" s="18" t="s">
        <v>20</v>
      </c>
      <c r="R58" s="18" t="s">
        <v>21</v>
      </c>
      <c r="S58" s="18" t="s">
        <v>21</v>
      </c>
      <c r="T58" s="18" t="s">
        <v>23</v>
      </c>
      <c r="U58" s="18" t="s">
        <v>21</v>
      </c>
      <c r="V58" s="37" t="s">
        <v>21</v>
      </c>
      <c r="W58" s="37" t="s">
        <v>20</v>
      </c>
      <c r="X58" s="37" t="s">
        <v>21</v>
      </c>
      <c r="Y58" s="18" t="s">
        <v>21</v>
      </c>
      <c r="Z58" s="18" t="s">
        <v>20</v>
      </c>
      <c r="AA58" s="20" t="s">
        <v>23</v>
      </c>
      <c r="AB58" s="20" t="s">
        <v>21</v>
      </c>
      <c r="AC58" s="20" t="s">
        <v>21</v>
      </c>
      <c r="AD58" s="29" t="s">
        <v>23</v>
      </c>
      <c r="AE58" s="29" t="s">
        <v>21</v>
      </c>
      <c r="AG58">
        <f>+COUNTIF(F58:AE58,"AD")</f>
        <v>0</v>
      </c>
      <c r="AH58">
        <f>+COUNTIF(F58:AE58,"A")</f>
        <v>6</v>
      </c>
      <c r="AI58">
        <f>+COUNTIF(F58:AE58,"b")</f>
        <v>15</v>
      </c>
      <c r="AJ58">
        <f>+COUNTIF(F58:AE58,"c")</f>
        <v>5</v>
      </c>
      <c r="AL58">
        <f>+$AG$5*AG58</f>
        <v>0</v>
      </c>
      <c r="AM58">
        <f>+$AH$5*AH58</f>
        <v>18</v>
      </c>
      <c r="AN58">
        <f>+$AI$5*AI58</f>
        <v>30</v>
      </c>
      <c r="AO58">
        <f>+$AJ$5*AJ58</f>
        <v>5</v>
      </c>
      <c r="AP58">
        <f>+SUM(AL58:AO58)</f>
        <v>53</v>
      </c>
    </row>
    <row r="59" spans="1:42" ht="15.75" hidden="1" customHeight="1" x14ac:dyDescent="0.3">
      <c r="A59" s="16"/>
      <c r="B59" s="55">
        <v>19</v>
      </c>
      <c r="C59" s="56" t="s">
        <v>80</v>
      </c>
      <c r="D59" s="55">
        <v>2</v>
      </c>
      <c r="E59" s="55" t="s">
        <v>20</v>
      </c>
      <c r="F59" s="18" t="s">
        <v>21</v>
      </c>
      <c r="G59" s="18" t="s">
        <v>20</v>
      </c>
      <c r="H59" s="18" t="s">
        <v>21</v>
      </c>
      <c r="I59" s="18" t="s">
        <v>21</v>
      </c>
      <c r="J59" s="18" t="s">
        <v>21</v>
      </c>
      <c r="K59" s="18" t="s">
        <v>23</v>
      </c>
      <c r="L59" s="18" t="s">
        <v>23</v>
      </c>
      <c r="M59" s="18" t="s">
        <v>21</v>
      </c>
      <c r="N59" s="18" t="s">
        <v>21</v>
      </c>
      <c r="O59" s="18" t="s">
        <v>20</v>
      </c>
      <c r="P59" s="18" t="s">
        <v>21</v>
      </c>
      <c r="Q59" s="18" t="s">
        <v>21</v>
      </c>
      <c r="R59" s="18" t="s">
        <v>23</v>
      </c>
      <c r="S59" s="18" t="s">
        <v>21</v>
      </c>
      <c r="T59" s="18" t="s">
        <v>21</v>
      </c>
      <c r="U59" s="18" t="s">
        <v>21</v>
      </c>
      <c r="V59" s="37" t="s">
        <v>21</v>
      </c>
      <c r="W59" s="37" t="s">
        <v>20</v>
      </c>
      <c r="X59" s="37" t="s">
        <v>20</v>
      </c>
      <c r="Y59" s="18" t="s">
        <v>20</v>
      </c>
      <c r="Z59" s="18" t="s">
        <v>20</v>
      </c>
      <c r="AA59" s="20" t="s">
        <v>23</v>
      </c>
      <c r="AB59" s="20" t="s">
        <v>21</v>
      </c>
      <c r="AC59" s="20" t="s">
        <v>21</v>
      </c>
      <c r="AD59" s="29" t="s">
        <v>23</v>
      </c>
      <c r="AE59" s="29" t="s">
        <v>21</v>
      </c>
      <c r="AG59">
        <f>+COUNTIF(F59:AE59,"AD")</f>
        <v>0</v>
      </c>
      <c r="AH59">
        <f>+COUNTIF(F59:AE59,"A")</f>
        <v>6</v>
      </c>
      <c r="AI59">
        <f>+COUNTIF(F59:AE59,"b")</f>
        <v>15</v>
      </c>
      <c r="AJ59">
        <f>+COUNTIF(F59:AE59,"c")</f>
        <v>5</v>
      </c>
      <c r="AL59">
        <f>+$AG$5*AG59</f>
        <v>0</v>
      </c>
      <c r="AM59">
        <f>+$AH$5*AH59</f>
        <v>18</v>
      </c>
      <c r="AN59">
        <f>+$AI$5*AI59</f>
        <v>30</v>
      </c>
      <c r="AO59">
        <f>+$AJ$5*AJ59</f>
        <v>5</v>
      </c>
      <c r="AP59">
        <f>+SUM(AL59:AO59)</f>
        <v>53</v>
      </c>
    </row>
    <row r="60" spans="1:42" ht="15.75" hidden="1" customHeight="1" x14ac:dyDescent="0.3">
      <c r="A60" s="16"/>
      <c r="B60" s="55">
        <v>9</v>
      </c>
      <c r="C60" s="56" t="s">
        <v>70</v>
      </c>
      <c r="D60" s="55">
        <v>2</v>
      </c>
      <c r="E60" s="55" t="s">
        <v>20</v>
      </c>
      <c r="F60" s="18" t="s">
        <v>21</v>
      </c>
      <c r="G60" s="18" t="s">
        <v>21</v>
      </c>
      <c r="H60" s="18" t="s">
        <v>21</v>
      </c>
      <c r="I60" s="18" t="s">
        <v>21</v>
      </c>
      <c r="J60" s="18" t="s">
        <v>21</v>
      </c>
      <c r="K60" s="18" t="s">
        <v>21</v>
      </c>
      <c r="L60" s="18" t="s">
        <v>21</v>
      </c>
      <c r="M60" s="18" t="s">
        <v>21</v>
      </c>
      <c r="N60" s="18" t="s">
        <v>21</v>
      </c>
      <c r="O60" s="18" t="s">
        <v>23</v>
      </c>
      <c r="P60" s="18" t="s">
        <v>21</v>
      </c>
      <c r="Q60" s="18" t="s">
        <v>21</v>
      </c>
      <c r="R60" s="18" t="s">
        <v>21</v>
      </c>
      <c r="S60" s="18" t="s">
        <v>23</v>
      </c>
      <c r="T60" s="18" t="s">
        <v>23</v>
      </c>
      <c r="U60" s="18" t="s">
        <v>20</v>
      </c>
      <c r="V60" s="37" t="s">
        <v>20</v>
      </c>
      <c r="W60" s="37" t="s">
        <v>20</v>
      </c>
      <c r="X60" s="37" t="s">
        <v>20</v>
      </c>
      <c r="Y60" s="18" t="s">
        <v>21</v>
      </c>
      <c r="Z60" s="18" t="s">
        <v>20</v>
      </c>
      <c r="AA60" s="20" t="s">
        <v>23</v>
      </c>
      <c r="AB60" s="20" t="s">
        <v>21</v>
      </c>
      <c r="AC60" s="20" t="s">
        <v>23</v>
      </c>
      <c r="AD60" s="29" t="s">
        <v>21</v>
      </c>
      <c r="AE60" s="29" t="s">
        <v>21</v>
      </c>
      <c r="AG60">
        <f>+COUNTIF(F60:AE60,"AD")</f>
        <v>0</v>
      </c>
      <c r="AH60">
        <f>+COUNTIF(F60:AE60,"A")</f>
        <v>5</v>
      </c>
      <c r="AI60">
        <f>+COUNTIF(F60:AE60,"b")</f>
        <v>16</v>
      </c>
      <c r="AJ60">
        <f>+COUNTIF(F60:AE60,"c")</f>
        <v>5</v>
      </c>
      <c r="AL60">
        <f>+$AG$5*AG60</f>
        <v>0</v>
      </c>
      <c r="AM60">
        <f>+$AH$5*AH60</f>
        <v>15</v>
      </c>
      <c r="AN60">
        <f>+$AI$5*AI60</f>
        <v>32</v>
      </c>
      <c r="AO60">
        <f>+$AJ$5*AJ60</f>
        <v>5</v>
      </c>
      <c r="AP60">
        <f>+SUM(AL60:AO60)</f>
        <v>52</v>
      </c>
    </row>
    <row r="61" spans="1:42" ht="15.75" hidden="1" customHeight="1" x14ac:dyDescent="0.3">
      <c r="A61" s="16"/>
      <c r="B61" s="55">
        <v>4</v>
      </c>
      <c r="C61" s="56" t="s">
        <v>65</v>
      </c>
      <c r="D61" s="55">
        <v>2</v>
      </c>
      <c r="E61" s="55" t="s">
        <v>20</v>
      </c>
      <c r="F61" s="18" t="s">
        <v>21</v>
      </c>
      <c r="G61" s="18" t="s">
        <v>23</v>
      </c>
      <c r="H61" s="18" t="s">
        <v>21</v>
      </c>
      <c r="I61" s="18" t="s">
        <v>21</v>
      </c>
      <c r="J61" s="18" t="s">
        <v>21</v>
      </c>
      <c r="K61" s="18" t="s">
        <v>23</v>
      </c>
      <c r="L61" s="18" t="s">
        <v>21</v>
      </c>
      <c r="M61" s="18" t="s">
        <v>21</v>
      </c>
      <c r="N61" s="18" t="s">
        <v>21</v>
      </c>
      <c r="O61" s="18" t="s">
        <v>23</v>
      </c>
      <c r="P61" s="18" t="s">
        <v>23</v>
      </c>
      <c r="Q61" s="18" t="s">
        <v>23</v>
      </c>
      <c r="R61" s="18" t="s">
        <v>21</v>
      </c>
      <c r="S61" s="18" t="s">
        <v>23</v>
      </c>
      <c r="T61" s="18" t="s">
        <v>23</v>
      </c>
      <c r="U61" s="18" t="s">
        <v>20</v>
      </c>
      <c r="V61" s="35" t="s">
        <v>20</v>
      </c>
      <c r="W61" s="35" t="s">
        <v>20</v>
      </c>
      <c r="X61" s="36" t="s">
        <v>20</v>
      </c>
      <c r="Y61" s="19" t="s">
        <v>20</v>
      </c>
      <c r="Z61" s="18" t="s">
        <v>20</v>
      </c>
      <c r="AA61" s="20" t="s">
        <v>21</v>
      </c>
      <c r="AB61" s="20" t="s">
        <v>21</v>
      </c>
      <c r="AC61" s="20" t="s">
        <v>21</v>
      </c>
      <c r="AD61" s="29" t="s">
        <v>21</v>
      </c>
      <c r="AE61" s="29" t="s">
        <v>21</v>
      </c>
      <c r="AG61">
        <f>+COUNTIF(F61:AE61,"AD")</f>
        <v>0</v>
      </c>
      <c r="AH61">
        <f>+COUNTIF(F61:AE61,"A")</f>
        <v>6</v>
      </c>
      <c r="AI61">
        <f>+COUNTIF(F61:AE61,"b")</f>
        <v>13</v>
      </c>
      <c r="AJ61">
        <f>+COUNTIF(F61:AE61,"c")</f>
        <v>7</v>
      </c>
      <c r="AL61">
        <f>+$AG$5*AG61</f>
        <v>0</v>
      </c>
      <c r="AM61">
        <f>+$AH$5*AH61</f>
        <v>18</v>
      </c>
      <c r="AN61">
        <f>+$AI$5*AI61</f>
        <v>26</v>
      </c>
      <c r="AO61">
        <f>+$AJ$5*AJ61</f>
        <v>7</v>
      </c>
      <c r="AP61">
        <f>+SUM(AL61:AO61)</f>
        <v>51</v>
      </c>
    </row>
    <row r="62" spans="1:42" ht="15.75" hidden="1" customHeight="1" x14ac:dyDescent="0.3">
      <c r="A62" s="16"/>
      <c r="B62" s="55">
        <v>3</v>
      </c>
      <c r="C62" s="56" t="s">
        <v>64</v>
      </c>
      <c r="D62" s="55">
        <v>2</v>
      </c>
      <c r="E62" s="55" t="s">
        <v>20</v>
      </c>
      <c r="F62" s="18" t="s">
        <v>21</v>
      </c>
      <c r="G62" s="18" t="s">
        <v>23</v>
      </c>
      <c r="H62" s="18" t="s">
        <v>21</v>
      </c>
      <c r="I62" s="18" t="s">
        <v>21</v>
      </c>
      <c r="J62" s="18" t="s">
        <v>20</v>
      </c>
      <c r="K62" s="18" t="s">
        <v>23</v>
      </c>
      <c r="L62" s="18" t="s">
        <v>21</v>
      </c>
      <c r="M62" s="18" t="s">
        <v>21</v>
      </c>
      <c r="N62" s="18" t="s">
        <v>21</v>
      </c>
      <c r="O62" s="18" t="s">
        <v>23</v>
      </c>
      <c r="P62" s="18" t="s">
        <v>21</v>
      </c>
      <c r="Q62" s="18" t="s">
        <v>20</v>
      </c>
      <c r="R62" s="18" t="s">
        <v>21</v>
      </c>
      <c r="S62" s="18" t="s">
        <v>23</v>
      </c>
      <c r="T62" s="18" t="s">
        <v>21</v>
      </c>
      <c r="U62" s="18" t="s">
        <v>20</v>
      </c>
      <c r="V62" s="35" t="s">
        <v>21</v>
      </c>
      <c r="W62" s="35" t="s">
        <v>21</v>
      </c>
      <c r="X62" s="36" t="s">
        <v>21</v>
      </c>
      <c r="Y62" s="19" t="s">
        <v>21</v>
      </c>
      <c r="Z62" s="18" t="s">
        <v>20</v>
      </c>
      <c r="AA62" s="20" t="s">
        <v>21</v>
      </c>
      <c r="AB62" s="20" t="s">
        <v>21</v>
      </c>
      <c r="AC62" s="20" t="s">
        <v>21</v>
      </c>
      <c r="AD62" s="29" t="s">
        <v>55</v>
      </c>
      <c r="AE62" s="29" t="s">
        <v>55</v>
      </c>
      <c r="AG62">
        <f>+COUNTIF(F62:AE62,"AD")</f>
        <v>0</v>
      </c>
      <c r="AH62">
        <f>+COUNTIF(F62:AE62,"A")</f>
        <v>4</v>
      </c>
      <c r="AI62">
        <f>+COUNTIF(F62:AE62,"b")</f>
        <v>16</v>
      </c>
      <c r="AJ62">
        <f>+COUNTIF(F62:AE62,"c")</f>
        <v>4</v>
      </c>
      <c r="AL62">
        <f>+$AG$5*AG62</f>
        <v>0</v>
      </c>
      <c r="AM62">
        <f>+$AH$5*AH62</f>
        <v>12</v>
      </c>
      <c r="AN62">
        <f>+$AI$5*AI62</f>
        <v>32</v>
      </c>
      <c r="AO62">
        <f>+$AJ$5*AJ62</f>
        <v>4</v>
      </c>
      <c r="AP62">
        <f>+SUM(AL62:AO62)</f>
        <v>48</v>
      </c>
    </row>
    <row r="63" spans="1:42" ht="15.75" hidden="1" customHeight="1" x14ac:dyDescent="0.3">
      <c r="A63" s="16"/>
      <c r="B63" s="55">
        <v>21</v>
      </c>
      <c r="C63" s="56" t="s">
        <v>82</v>
      </c>
      <c r="D63" s="55">
        <v>2</v>
      </c>
      <c r="E63" s="55" t="s">
        <v>20</v>
      </c>
      <c r="F63" s="18" t="s">
        <v>21</v>
      </c>
      <c r="G63" s="18" t="s">
        <v>20</v>
      </c>
      <c r="H63" s="18" t="s">
        <v>21</v>
      </c>
      <c r="I63" s="18" t="s">
        <v>21</v>
      </c>
      <c r="J63" s="18" t="s">
        <v>20</v>
      </c>
      <c r="K63" s="18" t="s">
        <v>21</v>
      </c>
      <c r="L63" s="18" t="s">
        <v>23</v>
      </c>
      <c r="M63" s="18" t="s">
        <v>21</v>
      </c>
      <c r="N63" s="18" t="s">
        <v>21</v>
      </c>
      <c r="O63" s="18" t="s">
        <v>23</v>
      </c>
      <c r="P63" s="18" t="s">
        <v>23</v>
      </c>
      <c r="Q63" s="18" t="s">
        <v>23</v>
      </c>
      <c r="R63" s="18" t="s">
        <v>21</v>
      </c>
      <c r="S63" s="18" t="s">
        <v>23</v>
      </c>
      <c r="T63" s="18" t="s">
        <v>23</v>
      </c>
      <c r="U63" s="18" t="s">
        <v>21</v>
      </c>
      <c r="V63" s="37" t="s">
        <v>20</v>
      </c>
      <c r="W63" s="37" t="s">
        <v>21</v>
      </c>
      <c r="X63" s="37" t="s">
        <v>20</v>
      </c>
      <c r="Y63" s="18" t="s">
        <v>21</v>
      </c>
      <c r="Z63" s="18" t="s">
        <v>21</v>
      </c>
      <c r="AA63" s="20" t="s">
        <v>23</v>
      </c>
      <c r="AB63" s="20" t="s">
        <v>21</v>
      </c>
      <c r="AC63" s="20" t="s">
        <v>21</v>
      </c>
      <c r="AD63" s="29" t="s">
        <v>23</v>
      </c>
      <c r="AE63" s="29" t="s">
        <v>21</v>
      </c>
      <c r="AG63">
        <f>+COUNTIF(F63:AE63,"AD")</f>
        <v>0</v>
      </c>
      <c r="AH63">
        <f>+COUNTIF(F63:AE63,"A")</f>
        <v>4</v>
      </c>
      <c r="AI63">
        <f>+COUNTIF(F63:AE63,"b")</f>
        <v>14</v>
      </c>
      <c r="AJ63">
        <f>+COUNTIF(F63:AE63,"c")</f>
        <v>8</v>
      </c>
      <c r="AL63">
        <f>+$AG$5*AG63</f>
        <v>0</v>
      </c>
      <c r="AM63">
        <f>+$AH$5*AH63</f>
        <v>12</v>
      </c>
      <c r="AN63">
        <f>+$AI$5*AI63</f>
        <v>28</v>
      </c>
      <c r="AO63">
        <f>+$AJ$5*AJ63</f>
        <v>8</v>
      </c>
      <c r="AP63">
        <f>+SUM(AL63:AO63)</f>
        <v>48</v>
      </c>
    </row>
    <row r="64" spans="1:42" ht="15.75" hidden="1" customHeight="1" x14ac:dyDescent="0.3">
      <c r="A64" s="16"/>
      <c r="B64" s="55">
        <v>22</v>
      </c>
      <c r="C64" s="56" t="s">
        <v>83</v>
      </c>
      <c r="D64" s="55">
        <v>2</v>
      </c>
      <c r="E64" s="55" t="s">
        <v>20</v>
      </c>
      <c r="F64" s="18" t="s">
        <v>21</v>
      </c>
      <c r="G64" s="18" t="s">
        <v>23</v>
      </c>
      <c r="H64" s="18" t="s">
        <v>21</v>
      </c>
      <c r="I64" s="18" t="s">
        <v>21</v>
      </c>
      <c r="J64" s="18" t="s">
        <v>21</v>
      </c>
      <c r="K64" s="18" t="s">
        <v>21</v>
      </c>
      <c r="L64" s="18" t="s">
        <v>20</v>
      </c>
      <c r="M64" s="18" t="s">
        <v>21</v>
      </c>
      <c r="N64" s="18" t="s">
        <v>21</v>
      </c>
      <c r="O64" s="18" t="s">
        <v>23</v>
      </c>
      <c r="P64" s="18" t="s">
        <v>23</v>
      </c>
      <c r="Q64" s="18" t="s">
        <v>23</v>
      </c>
      <c r="R64" s="18" t="s">
        <v>21</v>
      </c>
      <c r="S64" s="18" t="s">
        <v>23</v>
      </c>
      <c r="T64" s="18" t="s">
        <v>23</v>
      </c>
      <c r="U64" s="18" t="s">
        <v>21</v>
      </c>
      <c r="V64" s="37" t="s">
        <v>20</v>
      </c>
      <c r="W64" s="37" t="s">
        <v>20</v>
      </c>
      <c r="X64" s="37" t="s">
        <v>20</v>
      </c>
      <c r="Y64" s="18" t="s">
        <v>21</v>
      </c>
      <c r="Z64" s="18" t="s">
        <v>21</v>
      </c>
      <c r="AA64" s="20" t="s">
        <v>23</v>
      </c>
      <c r="AB64" s="20" t="s">
        <v>21</v>
      </c>
      <c r="AC64" s="20" t="s">
        <v>21</v>
      </c>
      <c r="AD64" s="29" t="s">
        <v>23</v>
      </c>
      <c r="AE64" s="29" t="s">
        <v>21</v>
      </c>
      <c r="AG64">
        <f>+COUNTIF(F64:AE64,"AD")</f>
        <v>0</v>
      </c>
      <c r="AH64">
        <f>+COUNTIF(F64:AE64,"A")</f>
        <v>4</v>
      </c>
      <c r="AI64">
        <f>+COUNTIF(F64:AE64,"b")</f>
        <v>14</v>
      </c>
      <c r="AJ64">
        <f>+COUNTIF(F64:AE64,"c")</f>
        <v>8</v>
      </c>
      <c r="AL64">
        <f>+$AG$5*AG64</f>
        <v>0</v>
      </c>
      <c r="AM64">
        <f>+$AH$5*AH64</f>
        <v>12</v>
      </c>
      <c r="AN64">
        <f>+$AI$5*AI64</f>
        <v>28</v>
      </c>
      <c r="AO64">
        <f>+$AJ$5*AJ64</f>
        <v>8</v>
      </c>
      <c r="AP64">
        <f>+SUM(AL64:AO64)</f>
        <v>48</v>
      </c>
    </row>
    <row r="65" spans="1:42" ht="15.75" hidden="1" customHeight="1" x14ac:dyDescent="0.3">
      <c r="A65" s="16"/>
      <c r="B65" s="55">
        <v>24</v>
      </c>
      <c r="C65" s="56" t="s">
        <v>85</v>
      </c>
      <c r="D65" s="55">
        <v>2</v>
      </c>
      <c r="E65" s="55" t="s">
        <v>20</v>
      </c>
      <c r="F65" s="18" t="s">
        <v>21</v>
      </c>
      <c r="G65" s="18" t="s">
        <v>23</v>
      </c>
      <c r="H65" s="18" t="s">
        <v>21</v>
      </c>
      <c r="I65" s="18" t="s">
        <v>21</v>
      </c>
      <c r="J65" s="18" t="s">
        <v>21</v>
      </c>
      <c r="K65" s="18" t="s">
        <v>21</v>
      </c>
      <c r="L65" s="18" t="s">
        <v>23</v>
      </c>
      <c r="M65" s="18" t="s">
        <v>21</v>
      </c>
      <c r="N65" s="18" t="s">
        <v>21</v>
      </c>
      <c r="O65" s="18" t="s">
        <v>23</v>
      </c>
      <c r="P65" s="18" t="s">
        <v>21</v>
      </c>
      <c r="Q65" s="18" t="s">
        <v>21</v>
      </c>
      <c r="R65" s="18" t="s">
        <v>21</v>
      </c>
      <c r="S65" s="18" t="s">
        <v>23</v>
      </c>
      <c r="T65" s="18" t="s">
        <v>21</v>
      </c>
      <c r="U65" s="18" t="s">
        <v>21</v>
      </c>
      <c r="V65" s="37" t="s">
        <v>21</v>
      </c>
      <c r="W65" s="37" t="s">
        <v>20</v>
      </c>
      <c r="X65" s="37" t="s">
        <v>20</v>
      </c>
      <c r="Y65" s="18" t="s">
        <v>21</v>
      </c>
      <c r="Z65" s="18" t="s">
        <v>21</v>
      </c>
      <c r="AA65" s="20" t="s">
        <v>21</v>
      </c>
      <c r="AB65" s="20" t="s">
        <v>21</v>
      </c>
      <c r="AC65" s="20" t="s">
        <v>23</v>
      </c>
      <c r="AD65" s="29" t="s">
        <v>23</v>
      </c>
      <c r="AE65" s="29" t="s">
        <v>21</v>
      </c>
      <c r="AG65">
        <f>+COUNTIF(F65:AE65,"AD")</f>
        <v>0</v>
      </c>
      <c r="AH65">
        <f>+COUNTIF(F65:AE65,"A")</f>
        <v>2</v>
      </c>
      <c r="AI65">
        <f>+COUNTIF(F65:AE65,"b")</f>
        <v>18</v>
      </c>
      <c r="AJ65">
        <f>+COUNTIF(F65:AE65,"c")</f>
        <v>6</v>
      </c>
      <c r="AL65">
        <f>+$AG$5*AG65</f>
        <v>0</v>
      </c>
      <c r="AM65">
        <f>+$AH$5*AH65</f>
        <v>6</v>
      </c>
      <c r="AN65">
        <f>+$AI$5*AI65</f>
        <v>36</v>
      </c>
      <c r="AO65">
        <f>+$AJ$5*AJ65</f>
        <v>6</v>
      </c>
      <c r="AP65">
        <f>+SUM(AL65:AO65)</f>
        <v>48</v>
      </c>
    </row>
    <row r="66" spans="1:42" ht="15.75" hidden="1" customHeight="1" x14ac:dyDescent="0.3">
      <c r="A66" s="16"/>
      <c r="B66" s="55">
        <v>12</v>
      </c>
      <c r="C66" s="56" t="s">
        <v>73</v>
      </c>
      <c r="D66" s="55">
        <v>2</v>
      </c>
      <c r="E66" s="55" t="s">
        <v>20</v>
      </c>
      <c r="F66" s="18" t="s">
        <v>20</v>
      </c>
      <c r="G66" s="18" t="s">
        <v>21</v>
      </c>
      <c r="H66" s="18" t="s">
        <v>21</v>
      </c>
      <c r="I66" s="18" t="s">
        <v>21</v>
      </c>
      <c r="J66" s="18" t="s">
        <v>21</v>
      </c>
      <c r="K66" s="18" t="s">
        <v>21</v>
      </c>
      <c r="L66" s="18" t="s">
        <v>21</v>
      </c>
      <c r="M66" s="18" t="s">
        <v>21</v>
      </c>
      <c r="N66" s="18" t="s">
        <v>21</v>
      </c>
      <c r="O66" s="18" t="s">
        <v>23</v>
      </c>
      <c r="P66" s="18" t="s">
        <v>23</v>
      </c>
      <c r="Q66" s="18" t="s">
        <v>23</v>
      </c>
      <c r="R66" s="18" t="s">
        <v>21</v>
      </c>
      <c r="S66" s="18" t="s">
        <v>23</v>
      </c>
      <c r="T66" s="18" t="s">
        <v>23</v>
      </c>
      <c r="U66" s="18" t="s">
        <v>21</v>
      </c>
      <c r="V66" s="37" t="s">
        <v>21</v>
      </c>
      <c r="W66" s="37" t="s">
        <v>21</v>
      </c>
      <c r="X66" s="37" t="s">
        <v>21</v>
      </c>
      <c r="Y66" s="18" t="s">
        <v>21</v>
      </c>
      <c r="Z66" s="18" t="s">
        <v>21</v>
      </c>
      <c r="AA66" s="20" t="s">
        <v>23</v>
      </c>
      <c r="AB66" s="20" t="s">
        <v>21</v>
      </c>
      <c r="AC66" s="20" t="s">
        <v>23</v>
      </c>
      <c r="AD66" s="29" t="s">
        <v>23</v>
      </c>
      <c r="AE66" s="29" t="s">
        <v>21</v>
      </c>
      <c r="AG66">
        <f>+COUNTIF(F66:AE66,"AD")</f>
        <v>0</v>
      </c>
      <c r="AH66">
        <f>+COUNTIF(F66:AE66,"A")</f>
        <v>1</v>
      </c>
      <c r="AI66">
        <f>+COUNTIF(F66:AE66,"b")</f>
        <v>17</v>
      </c>
      <c r="AJ66">
        <f>+COUNTIF(F66:AE66,"c")</f>
        <v>8</v>
      </c>
      <c r="AL66">
        <f>+$AG$5*AG66</f>
        <v>0</v>
      </c>
      <c r="AM66">
        <f>+$AH$5*AH66</f>
        <v>3</v>
      </c>
      <c r="AN66">
        <f>+$AI$5*AI66</f>
        <v>34</v>
      </c>
      <c r="AO66">
        <f>+$AJ$5*AJ66</f>
        <v>8</v>
      </c>
      <c r="AP66">
        <f>+SUM(AL66:AO66)</f>
        <v>45</v>
      </c>
    </row>
    <row r="67" spans="1:42" ht="15.75" hidden="1" customHeight="1" thickBot="1" x14ac:dyDescent="0.35">
      <c r="A67" s="16"/>
      <c r="B67" s="57">
        <v>13</v>
      </c>
      <c r="C67" s="58" t="s">
        <v>74</v>
      </c>
      <c r="D67" s="57">
        <v>2</v>
      </c>
      <c r="E67" s="57" t="s">
        <v>20</v>
      </c>
      <c r="F67" s="21" t="s">
        <v>21</v>
      </c>
      <c r="G67" s="21" t="s">
        <v>21</v>
      </c>
      <c r="H67" s="21" t="s">
        <v>21</v>
      </c>
      <c r="I67" s="21" t="s">
        <v>21</v>
      </c>
      <c r="J67" s="21" t="s">
        <v>21</v>
      </c>
      <c r="K67" s="21" t="s">
        <v>23</v>
      </c>
      <c r="L67" s="21" t="s">
        <v>21</v>
      </c>
      <c r="M67" s="21" t="s">
        <v>21</v>
      </c>
      <c r="N67" s="21" t="s">
        <v>21</v>
      </c>
      <c r="O67" s="21" t="s">
        <v>23</v>
      </c>
      <c r="P67" s="21" t="s">
        <v>23</v>
      </c>
      <c r="Q67" s="21" t="s">
        <v>23</v>
      </c>
      <c r="R67" s="21" t="s">
        <v>23</v>
      </c>
      <c r="S67" s="21" t="s">
        <v>23</v>
      </c>
      <c r="T67" s="21" t="s">
        <v>23</v>
      </c>
      <c r="U67" s="21" t="s">
        <v>21</v>
      </c>
      <c r="V67" s="38" t="s">
        <v>20</v>
      </c>
      <c r="W67" s="38" t="s">
        <v>20</v>
      </c>
      <c r="X67" s="38" t="s">
        <v>20</v>
      </c>
      <c r="Y67" s="21" t="s">
        <v>21</v>
      </c>
      <c r="Z67" s="21" t="s">
        <v>21</v>
      </c>
      <c r="AA67" s="23" t="s">
        <v>21</v>
      </c>
      <c r="AB67" s="23" t="s">
        <v>23</v>
      </c>
      <c r="AC67" s="23" t="s">
        <v>23</v>
      </c>
      <c r="AD67" s="31" t="s">
        <v>23</v>
      </c>
      <c r="AE67" s="31" t="s">
        <v>21</v>
      </c>
      <c r="AG67">
        <f>+COUNTIF(F67:AE67,"AD")</f>
        <v>0</v>
      </c>
      <c r="AH67">
        <f>+COUNTIF(F67:AE67,"A")</f>
        <v>3</v>
      </c>
      <c r="AI67">
        <f>+COUNTIF(F67:AE67,"b")</f>
        <v>13</v>
      </c>
      <c r="AJ67">
        <f>+COUNTIF(F67:AE67,"c")</f>
        <v>10</v>
      </c>
      <c r="AL67">
        <f>+$AG$5*AG67</f>
        <v>0</v>
      </c>
      <c r="AM67">
        <f>+$AH$5*AH67</f>
        <v>9</v>
      </c>
      <c r="AN67">
        <f>+$AI$5*AI67</f>
        <v>26</v>
      </c>
      <c r="AO67">
        <f>+$AJ$5*AJ67</f>
        <v>10</v>
      </c>
      <c r="AP67">
        <f>+SUM(AL67:AO67)</f>
        <v>45</v>
      </c>
    </row>
    <row r="68" spans="1:42" ht="15.75" hidden="1" customHeight="1" x14ac:dyDescent="0.3">
      <c r="A68" s="16"/>
      <c r="B68" s="55">
        <v>1</v>
      </c>
      <c r="C68" s="60" t="s">
        <v>93</v>
      </c>
      <c r="D68" s="59">
        <v>2</v>
      </c>
      <c r="E68" s="59" t="s">
        <v>21</v>
      </c>
      <c r="F68" s="24" t="s">
        <v>20</v>
      </c>
      <c r="G68" s="24" t="s">
        <v>20</v>
      </c>
      <c r="H68" s="24" t="s">
        <v>20</v>
      </c>
      <c r="I68" s="24" t="s">
        <v>20</v>
      </c>
      <c r="J68" s="24" t="s">
        <v>20</v>
      </c>
      <c r="K68" s="24" t="s">
        <v>20</v>
      </c>
      <c r="L68" s="24" t="s">
        <v>39</v>
      </c>
      <c r="M68" s="24" t="s">
        <v>20</v>
      </c>
      <c r="N68" s="24" t="s">
        <v>20</v>
      </c>
      <c r="O68" s="24" t="s">
        <v>20</v>
      </c>
      <c r="P68" s="24" t="s">
        <v>20</v>
      </c>
      <c r="Q68" s="24" t="s">
        <v>20</v>
      </c>
      <c r="R68" s="24" t="s">
        <v>20</v>
      </c>
      <c r="S68" s="24" t="s">
        <v>20</v>
      </c>
      <c r="T68" s="24" t="s">
        <v>20</v>
      </c>
      <c r="U68" s="24" t="s">
        <v>20</v>
      </c>
      <c r="V68" s="39" t="s">
        <v>20</v>
      </c>
      <c r="W68" s="39" t="s">
        <v>20</v>
      </c>
      <c r="X68" s="39" t="s">
        <v>20</v>
      </c>
      <c r="Y68" s="24" t="s">
        <v>20</v>
      </c>
      <c r="Z68" s="24" t="s">
        <v>20</v>
      </c>
      <c r="AA68" s="27" t="s">
        <v>20</v>
      </c>
      <c r="AB68" s="27" t="s">
        <v>20</v>
      </c>
      <c r="AC68" s="27" t="s">
        <v>20</v>
      </c>
      <c r="AD68" s="24" t="s">
        <v>20</v>
      </c>
      <c r="AE68" s="24" t="s">
        <v>21</v>
      </c>
      <c r="AG68">
        <f>+COUNTIF(F68:AE68,"AD")</f>
        <v>1</v>
      </c>
      <c r="AH68">
        <f>+COUNTIF(F68:AE68,"A")</f>
        <v>24</v>
      </c>
      <c r="AI68">
        <f>+COUNTIF(F68:AE68,"b")</f>
        <v>1</v>
      </c>
      <c r="AJ68">
        <f>+COUNTIF(F68:AE68,"c")</f>
        <v>0</v>
      </c>
      <c r="AL68">
        <f>+$AG$5*AG68</f>
        <v>4</v>
      </c>
      <c r="AM68">
        <f>+$AH$5*AH68</f>
        <v>72</v>
      </c>
      <c r="AN68">
        <f>+$AI$5*AI68</f>
        <v>2</v>
      </c>
      <c r="AO68">
        <f>+$AJ$5*AJ68</f>
        <v>0</v>
      </c>
      <c r="AP68">
        <f>+SUM(AL68:AO68)</f>
        <v>78</v>
      </c>
    </row>
    <row r="69" spans="1:42" ht="15.75" hidden="1" customHeight="1" x14ac:dyDescent="0.3">
      <c r="A69" s="16"/>
      <c r="B69" s="55">
        <v>2</v>
      </c>
      <c r="C69" s="56" t="s">
        <v>99</v>
      </c>
      <c r="D69" s="55">
        <v>2</v>
      </c>
      <c r="E69" s="55" t="s">
        <v>21</v>
      </c>
      <c r="F69" s="18" t="s">
        <v>20</v>
      </c>
      <c r="G69" s="18" t="s">
        <v>20</v>
      </c>
      <c r="H69" s="18" t="s">
        <v>20</v>
      </c>
      <c r="I69" s="18" t="s">
        <v>20</v>
      </c>
      <c r="J69" s="18" t="s">
        <v>20</v>
      </c>
      <c r="K69" s="18" t="s">
        <v>20</v>
      </c>
      <c r="L69" s="18" t="s">
        <v>20</v>
      </c>
      <c r="M69" s="18" t="s">
        <v>21</v>
      </c>
      <c r="N69" s="18" t="s">
        <v>20</v>
      </c>
      <c r="O69" s="18" t="s">
        <v>20</v>
      </c>
      <c r="P69" s="18" t="s">
        <v>20</v>
      </c>
      <c r="Q69" s="18" t="s">
        <v>20</v>
      </c>
      <c r="R69" s="18" t="s">
        <v>20</v>
      </c>
      <c r="S69" s="18" t="s">
        <v>20</v>
      </c>
      <c r="T69" s="18" t="s">
        <v>20</v>
      </c>
      <c r="U69" s="18" t="s">
        <v>21</v>
      </c>
      <c r="V69" s="37" t="s">
        <v>20</v>
      </c>
      <c r="W69" s="37" t="s">
        <v>20</v>
      </c>
      <c r="X69" s="37" t="s">
        <v>20</v>
      </c>
      <c r="Y69" s="18" t="s">
        <v>20</v>
      </c>
      <c r="Z69" s="18" t="s">
        <v>20</v>
      </c>
      <c r="AA69" s="20" t="s">
        <v>21</v>
      </c>
      <c r="AB69" s="20" t="s">
        <v>21</v>
      </c>
      <c r="AC69" s="20" t="s">
        <v>21</v>
      </c>
      <c r="AD69" s="40" t="s">
        <v>23</v>
      </c>
      <c r="AE69" s="40" t="s">
        <v>21</v>
      </c>
      <c r="AG69">
        <f>+COUNTIF(F69:AE69,"AD")</f>
        <v>0</v>
      </c>
      <c r="AH69">
        <f>+COUNTIF(F69:AE69,"A")</f>
        <v>19</v>
      </c>
      <c r="AI69">
        <f>+COUNTIF(F69:AE69,"b")</f>
        <v>6</v>
      </c>
      <c r="AJ69">
        <f>+COUNTIF(F69:AE69,"c")</f>
        <v>1</v>
      </c>
      <c r="AL69">
        <f>+$AG$5*AG69</f>
        <v>0</v>
      </c>
      <c r="AM69">
        <f>+$AH$5*AH69</f>
        <v>57</v>
      </c>
      <c r="AN69">
        <f>+$AI$5*AI69</f>
        <v>12</v>
      </c>
      <c r="AO69">
        <f>+$AJ$5*AJ69</f>
        <v>1</v>
      </c>
      <c r="AP69">
        <f>+SUM(AL69:AO69)</f>
        <v>70</v>
      </c>
    </row>
    <row r="70" spans="1:42" ht="15.75" hidden="1" customHeight="1" x14ac:dyDescent="0.3">
      <c r="A70" s="16"/>
      <c r="B70" s="55">
        <v>3</v>
      </c>
      <c r="C70" s="56" t="s">
        <v>105</v>
      </c>
      <c r="D70" s="55">
        <v>2</v>
      </c>
      <c r="E70" s="55" t="s">
        <v>21</v>
      </c>
      <c r="F70" s="18" t="s">
        <v>20</v>
      </c>
      <c r="G70" s="18" t="s">
        <v>20</v>
      </c>
      <c r="H70" s="18" t="s">
        <v>20</v>
      </c>
      <c r="I70" s="18" t="s">
        <v>20</v>
      </c>
      <c r="J70" s="18" t="s">
        <v>20</v>
      </c>
      <c r="K70" s="18" t="s">
        <v>20</v>
      </c>
      <c r="L70" s="18" t="s">
        <v>21</v>
      </c>
      <c r="M70" s="18" t="s">
        <v>21</v>
      </c>
      <c r="N70" s="18" t="s">
        <v>20</v>
      </c>
      <c r="O70" s="18" t="s">
        <v>20</v>
      </c>
      <c r="P70" s="18" t="s">
        <v>23</v>
      </c>
      <c r="Q70" s="18" t="s">
        <v>23</v>
      </c>
      <c r="R70" s="18" t="s">
        <v>21</v>
      </c>
      <c r="S70" s="18" t="s">
        <v>21</v>
      </c>
      <c r="T70" s="18" t="s">
        <v>20</v>
      </c>
      <c r="U70" s="18" t="s">
        <v>21</v>
      </c>
      <c r="V70" s="37" t="s">
        <v>21</v>
      </c>
      <c r="W70" s="37" t="s">
        <v>20</v>
      </c>
      <c r="X70" s="37" t="s">
        <v>21</v>
      </c>
      <c r="Y70" s="18" t="s">
        <v>20</v>
      </c>
      <c r="Z70" s="18" t="s">
        <v>20</v>
      </c>
      <c r="AA70" s="20" t="s">
        <v>20</v>
      </c>
      <c r="AB70" s="20" t="s">
        <v>20</v>
      </c>
      <c r="AC70" s="20" t="s">
        <v>20</v>
      </c>
      <c r="AD70" s="18" t="s">
        <v>21</v>
      </c>
      <c r="AE70" s="18" t="s">
        <v>21</v>
      </c>
      <c r="AG70">
        <f>+COUNTIF(F70:AE70,"AD")</f>
        <v>0</v>
      </c>
      <c r="AH70">
        <f>+COUNTIF(F70:AE70,"A")</f>
        <v>15</v>
      </c>
      <c r="AI70">
        <f>+COUNTIF(F70:AE70,"b")</f>
        <v>9</v>
      </c>
      <c r="AJ70">
        <f>+COUNTIF(F70:AE70,"c")</f>
        <v>2</v>
      </c>
      <c r="AL70">
        <f>+$AG$5*AG70</f>
        <v>0</v>
      </c>
      <c r="AM70">
        <f>+$AH$5*AH70</f>
        <v>45</v>
      </c>
      <c r="AN70">
        <f>+$AI$5*AI70</f>
        <v>18</v>
      </c>
      <c r="AO70">
        <f>+$AJ$5*AJ70</f>
        <v>2</v>
      </c>
      <c r="AP70">
        <f>+SUM(AL70:AO70)</f>
        <v>65</v>
      </c>
    </row>
    <row r="71" spans="1:42" ht="15.75" hidden="1" customHeight="1" x14ac:dyDescent="0.3">
      <c r="A71" s="16"/>
      <c r="B71" s="55">
        <v>4</v>
      </c>
      <c r="C71" s="56" t="s">
        <v>98</v>
      </c>
      <c r="D71" s="55">
        <v>2</v>
      </c>
      <c r="E71" s="55" t="s">
        <v>21</v>
      </c>
      <c r="F71" s="18" t="s">
        <v>20</v>
      </c>
      <c r="G71" s="18" t="s">
        <v>21</v>
      </c>
      <c r="H71" s="18" t="s">
        <v>20</v>
      </c>
      <c r="I71" s="18" t="s">
        <v>21</v>
      </c>
      <c r="J71" s="18" t="s">
        <v>20</v>
      </c>
      <c r="K71" s="18" t="s">
        <v>20</v>
      </c>
      <c r="L71" s="18" t="s">
        <v>20</v>
      </c>
      <c r="M71" s="18" t="s">
        <v>21</v>
      </c>
      <c r="N71" s="18" t="s">
        <v>20</v>
      </c>
      <c r="O71" s="18" t="s">
        <v>21</v>
      </c>
      <c r="P71" s="18" t="s">
        <v>21</v>
      </c>
      <c r="Q71" s="18" t="s">
        <v>21</v>
      </c>
      <c r="R71" s="18" t="s">
        <v>21</v>
      </c>
      <c r="S71" s="18" t="s">
        <v>20</v>
      </c>
      <c r="T71" s="18" t="s">
        <v>20</v>
      </c>
      <c r="U71" s="18" t="s">
        <v>21</v>
      </c>
      <c r="V71" s="37" t="s">
        <v>21</v>
      </c>
      <c r="W71" s="37" t="s">
        <v>20</v>
      </c>
      <c r="X71" s="37" t="s">
        <v>21</v>
      </c>
      <c r="Y71" s="18" t="s">
        <v>21</v>
      </c>
      <c r="Z71" s="18" t="s">
        <v>21</v>
      </c>
      <c r="AA71" s="20" t="s">
        <v>21</v>
      </c>
      <c r="AB71" s="20" t="s">
        <v>20</v>
      </c>
      <c r="AC71" s="20" t="s">
        <v>20</v>
      </c>
      <c r="AD71" s="18" t="s">
        <v>21</v>
      </c>
      <c r="AE71" s="18" t="s">
        <v>21</v>
      </c>
      <c r="AG71">
        <f>+COUNTIF(F71:AE71,"AD")</f>
        <v>0</v>
      </c>
      <c r="AH71">
        <f>+COUNTIF(F71:AE71,"A")</f>
        <v>11</v>
      </c>
      <c r="AI71">
        <f>+COUNTIF(F71:AE71,"b")</f>
        <v>15</v>
      </c>
      <c r="AJ71">
        <f>+COUNTIF(F71:AE71,"c")</f>
        <v>0</v>
      </c>
      <c r="AL71">
        <f>+$AG$5*AG71</f>
        <v>0</v>
      </c>
      <c r="AM71">
        <f>+$AH$5*AH71</f>
        <v>33</v>
      </c>
      <c r="AN71">
        <f>+$AI$5*AI71</f>
        <v>30</v>
      </c>
      <c r="AO71">
        <f>+$AJ$5*AJ71</f>
        <v>0</v>
      </c>
      <c r="AP71">
        <f>+SUM(AL71:AO71)</f>
        <v>63</v>
      </c>
    </row>
    <row r="72" spans="1:42" ht="15.75" hidden="1" customHeight="1" x14ac:dyDescent="0.3">
      <c r="A72" s="16"/>
      <c r="B72" s="55">
        <v>5</v>
      </c>
      <c r="C72" s="56" t="s">
        <v>88</v>
      </c>
      <c r="D72" s="55">
        <v>2</v>
      </c>
      <c r="E72" s="55" t="s">
        <v>21</v>
      </c>
      <c r="F72" s="18" t="s">
        <v>20</v>
      </c>
      <c r="G72" s="18" t="s">
        <v>21</v>
      </c>
      <c r="H72" s="18" t="s">
        <v>20</v>
      </c>
      <c r="I72" s="18" t="s">
        <v>21</v>
      </c>
      <c r="J72" s="18" t="s">
        <v>20</v>
      </c>
      <c r="K72" s="18" t="s">
        <v>20</v>
      </c>
      <c r="L72" s="18" t="s">
        <v>20</v>
      </c>
      <c r="M72" s="18" t="s">
        <v>23</v>
      </c>
      <c r="N72" s="18" t="s">
        <v>21</v>
      </c>
      <c r="O72" s="18" t="s">
        <v>20</v>
      </c>
      <c r="P72" s="18" t="s">
        <v>21</v>
      </c>
      <c r="Q72" s="18" t="s">
        <v>21</v>
      </c>
      <c r="R72" s="18" t="s">
        <v>21</v>
      </c>
      <c r="S72" s="18" t="s">
        <v>20</v>
      </c>
      <c r="T72" s="18" t="s">
        <v>20</v>
      </c>
      <c r="U72" s="18" t="s">
        <v>20</v>
      </c>
      <c r="V72" s="37" t="s">
        <v>21</v>
      </c>
      <c r="W72" s="37" t="s">
        <v>21</v>
      </c>
      <c r="X72" s="37" t="s">
        <v>21</v>
      </c>
      <c r="Y72" s="18" t="s">
        <v>21</v>
      </c>
      <c r="Z72" s="18" t="s">
        <v>21</v>
      </c>
      <c r="AA72" s="20" t="s">
        <v>20</v>
      </c>
      <c r="AB72" s="20" t="s">
        <v>20</v>
      </c>
      <c r="AC72" s="20" t="s">
        <v>20</v>
      </c>
      <c r="AD72" s="18" t="s">
        <v>23</v>
      </c>
      <c r="AE72" s="18" t="s">
        <v>21</v>
      </c>
      <c r="AG72">
        <f>+COUNTIF(F72:AE72,"AD")</f>
        <v>0</v>
      </c>
      <c r="AH72">
        <f>+COUNTIF(F72:AE72,"A")</f>
        <v>12</v>
      </c>
      <c r="AI72">
        <f>+COUNTIF(F72:AE72,"b")</f>
        <v>12</v>
      </c>
      <c r="AJ72">
        <f>+COUNTIF(F72:AE72,"c")</f>
        <v>2</v>
      </c>
      <c r="AL72">
        <f>+$AG$5*AG72</f>
        <v>0</v>
      </c>
      <c r="AM72">
        <f>+$AH$5*AH72</f>
        <v>36</v>
      </c>
      <c r="AN72">
        <f>+$AI$5*AI72</f>
        <v>24</v>
      </c>
      <c r="AO72">
        <f>+$AJ$5*AJ72</f>
        <v>2</v>
      </c>
      <c r="AP72">
        <f>+SUM(AL72:AO72)</f>
        <v>62</v>
      </c>
    </row>
    <row r="73" spans="1:42" ht="15.75" hidden="1" customHeight="1" x14ac:dyDescent="0.3">
      <c r="A73" s="16"/>
      <c r="B73" s="55">
        <v>6</v>
      </c>
      <c r="C73" s="56" t="s">
        <v>97</v>
      </c>
      <c r="D73" s="55">
        <v>2</v>
      </c>
      <c r="E73" s="55" t="s">
        <v>21</v>
      </c>
      <c r="F73" s="18" t="s">
        <v>20</v>
      </c>
      <c r="G73" s="18" t="s">
        <v>21</v>
      </c>
      <c r="H73" s="18" t="s">
        <v>21</v>
      </c>
      <c r="I73" s="18" t="s">
        <v>21</v>
      </c>
      <c r="J73" s="18" t="s">
        <v>21</v>
      </c>
      <c r="K73" s="18" t="s">
        <v>21</v>
      </c>
      <c r="L73" s="18" t="s">
        <v>21</v>
      </c>
      <c r="M73" s="18" t="s">
        <v>20</v>
      </c>
      <c r="N73" s="18" t="s">
        <v>20</v>
      </c>
      <c r="O73" s="18" t="s">
        <v>20</v>
      </c>
      <c r="P73" s="18" t="s">
        <v>21</v>
      </c>
      <c r="Q73" s="18" t="s">
        <v>21</v>
      </c>
      <c r="R73" s="18" t="s">
        <v>21</v>
      </c>
      <c r="S73" s="18" t="s">
        <v>20</v>
      </c>
      <c r="T73" s="18" t="s">
        <v>20</v>
      </c>
      <c r="U73" s="18" t="s">
        <v>21</v>
      </c>
      <c r="V73" s="37" t="s">
        <v>21</v>
      </c>
      <c r="W73" s="37" t="s">
        <v>20</v>
      </c>
      <c r="X73" s="37" t="s">
        <v>20</v>
      </c>
      <c r="Y73" s="18" t="s">
        <v>20</v>
      </c>
      <c r="Z73" s="18" t="s">
        <v>20</v>
      </c>
      <c r="AA73" s="20" t="s">
        <v>23</v>
      </c>
      <c r="AB73" s="20" t="s">
        <v>21</v>
      </c>
      <c r="AC73" s="20" t="s">
        <v>21</v>
      </c>
      <c r="AD73" s="18" t="s">
        <v>20</v>
      </c>
      <c r="AE73" s="18" t="s">
        <v>21</v>
      </c>
      <c r="AG73">
        <f>+COUNTIF(F73:AE73,"AD")</f>
        <v>0</v>
      </c>
      <c r="AH73">
        <f>+COUNTIF(F73:AE73,"A")</f>
        <v>11</v>
      </c>
      <c r="AI73">
        <f>+COUNTIF(F73:AE73,"b")</f>
        <v>14</v>
      </c>
      <c r="AJ73">
        <f>+COUNTIF(F73:AE73,"c")</f>
        <v>1</v>
      </c>
      <c r="AL73">
        <f>+$AG$5*AG73</f>
        <v>0</v>
      </c>
      <c r="AM73">
        <f>+$AH$5*AH73</f>
        <v>33</v>
      </c>
      <c r="AN73">
        <f>+$AI$5*AI73</f>
        <v>28</v>
      </c>
      <c r="AO73">
        <f>+$AJ$5*AJ73</f>
        <v>1</v>
      </c>
      <c r="AP73">
        <f>+SUM(AL73:AO73)</f>
        <v>62</v>
      </c>
    </row>
    <row r="74" spans="1:42" ht="15.75" hidden="1" customHeight="1" x14ac:dyDescent="0.3">
      <c r="A74" s="16"/>
      <c r="B74" s="55">
        <v>7</v>
      </c>
      <c r="C74" s="56" t="s">
        <v>89</v>
      </c>
      <c r="D74" s="55">
        <v>2</v>
      </c>
      <c r="E74" s="55" t="s">
        <v>21</v>
      </c>
      <c r="F74" s="18" t="s">
        <v>20</v>
      </c>
      <c r="G74" s="18" t="s">
        <v>21</v>
      </c>
      <c r="H74" s="18" t="s">
        <v>21</v>
      </c>
      <c r="I74" s="18" t="s">
        <v>21</v>
      </c>
      <c r="J74" s="18" t="s">
        <v>21</v>
      </c>
      <c r="K74" s="18" t="s">
        <v>21</v>
      </c>
      <c r="L74" s="18" t="s">
        <v>21</v>
      </c>
      <c r="M74" s="18" t="s">
        <v>21</v>
      </c>
      <c r="N74" s="18" t="s">
        <v>20</v>
      </c>
      <c r="O74" s="18" t="s">
        <v>21</v>
      </c>
      <c r="P74" s="18" t="s">
        <v>20</v>
      </c>
      <c r="Q74" s="18" t="s">
        <v>20</v>
      </c>
      <c r="R74" s="18" t="s">
        <v>20</v>
      </c>
      <c r="S74" s="18" t="s">
        <v>20</v>
      </c>
      <c r="T74" s="18" t="s">
        <v>20</v>
      </c>
      <c r="U74" s="18" t="s">
        <v>21</v>
      </c>
      <c r="V74" s="37" t="s">
        <v>20</v>
      </c>
      <c r="W74" s="37" t="s">
        <v>21</v>
      </c>
      <c r="X74" s="37" t="s">
        <v>21</v>
      </c>
      <c r="Y74" s="18" t="s">
        <v>21</v>
      </c>
      <c r="Z74" s="18" t="s">
        <v>21</v>
      </c>
      <c r="AA74" s="20" t="s">
        <v>21</v>
      </c>
      <c r="AB74" s="20" t="s">
        <v>21</v>
      </c>
      <c r="AC74" s="20" t="s">
        <v>21</v>
      </c>
      <c r="AD74" s="18" t="s">
        <v>21</v>
      </c>
      <c r="AE74" s="18" t="s">
        <v>21</v>
      </c>
      <c r="AG74">
        <f>+COUNTIF(F74:AE74,"AD")</f>
        <v>0</v>
      </c>
      <c r="AH74">
        <f>+COUNTIF(F74:AE74,"A")</f>
        <v>8</v>
      </c>
      <c r="AI74">
        <f>+COUNTIF(F74:AE74,"b")</f>
        <v>18</v>
      </c>
      <c r="AJ74">
        <f>+COUNTIF(F74:AE74,"c")</f>
        <v>0</v>
      </c>
      <c r="AL74">
        <f>+$AG$5*AG74</f>
        <v>0</v>
      </c>
      <c r="AM74">
        <f>+$AH$5*AH74</f>
        <v>24</v>
      </c>
      <c r="AN74">
        <f>+$AI$5*AI74</f>
        <v>36</v>
      </c>
      <c r="AO74">
        <f>+$AJ$5*AJ74</f>
        <v>0</v>
      </c>
      <c r="AP74">
        <f>+SUM(AL74:AO74)</f>
        <v>60</v>
      </c>
    </row>
    <row r="75" spans="1:42" ht="15.75" hidden="1" customHeight="1" x14ac:dyDescent="0.3">
      <c r="A75" s="16"/>
      <c r="B75" s="55">
        <v>8</v>
      </c>
      <c r="C75" s="56" t="s">
        <v>90</v>
      </c>
      <c r="D75" s="55">
        <v>2</v>
      </c>
      <c r="E75" s="55" t="s">
        <v>21</v>
      </c>
      <c r="F75" s="18" t="s">
        <v>20</v>
      </c>
      <c r="G75" s="18" t="s">
        <v>20</v>
      </c>
      <c r="H75" s="18" t="s">
        <v>20</v>
      </c>
      <c r="I75" s="18" t="s">
        <v>20</v>
      </c>
      <c r="J75" s="18" t="s">
        <v>21</v>
      </c>
      <c r="K75" s="18" t="s">
        <v>20</v>
      </c>
      <c r="L75" s="18" t="s">
        <v>20</v>
      </c>
      <c r="M75" s="18" t="s">
        <v>21</v>
      </c>
      <c r="N75" s="18" t="s">
        <v>20</v>
      </c>
      <c r="O75" s="18" t="s">
        <v>20</v>
      </c>
      <c r="P75" s="18" t="s">
        <v>21</v>
      </c>
      <c r="Q75" s="18" t="s">
        <v>21</v>
      </c>
      <c r="R75" s="18" t="s">
        <v>21</v>
      </c>
      <c r="S75" s="18" t="s">
        <v>21</v>
      </c>
      <c r="T75" s="18" t="s">
        <v>20</v>
      </c>
      <c r="U75" s="18" t="s">
        <v>21</v>
      </c>
      <c r="V75" s="37" t="s">
        <v>21</v>
      </c>
      <c r="W75" s="37" t="s">
        <v>21</v>
      </c>
      <c r="X75" s="37" t="s">
        <v>21</v>
      </c>
      <c r="Y75" s="18" t="s">
        <v>21</v>
      </c>
      <c r="Z75" s="18" t="s">
        <v>20</v>
      </c>
      <c r="AA75" s="20" t="s">
        <v>21</v>
      </c>
      <c r="AB75" s="20" t="s">
        <v>23</v>
      </c>
      <c r="AC75" s="20" t="s">
        <v>21</v>
      </c>
      <c r="AD75" s="18" t="s">
        <v>23</v>
      </c>
      <c r="AE75" s="18" t="s">
        <v>21</v>
      </c>
      <c r="AG75">
        <f>+COUNTIF(F75:AE75,"AD")</f>
        <v>0</v>
      </c>
      <c r="AH75">
        <f>+COUNTIF(F75:AE75,"A")</f>
        <v>10</v>
      </c>
      <c r="AI75">
        <f>+COUNTIF(F75:AE75,"b")</f>
        <v>14</v>
      </c>
      <c r="AJ75">
        <f>+COUNTIF(F75:AE75,"c")</f>
        <v>2</v>
      </c>
      <c r="AL75">
        <f>+$AG$5*AG75</f>
        <v>0</v>
      </c>
      <c r="AM75">
        <f>+$AH$5*AH75</f>
        <v>30</v>
      </c>
      <c r="AN75">
        <f>+$AI$5*AI75</f>
        <v>28</v>
      </c>
      <c r="AO75">
        <f>+$AJ$5*AJ75</f>
        <v>2</v>
      </c>
      <c r="AP75">
        <f>+SUM(AL75:AO75)</f>
        <v>60</v>
      </c>
    </row>
    <row r="76" spans="1:42" ht="15.75" hidden="1" customHeight="1" x14ac:dyDescent="0.3">
      <c r="A76" s="16"/>
      <c r="B76" s="55">
        <v>9</v>
      </c>
      <c r="C76" s="56" t="s">
        <v>94</v>
      </c>
      <c r="D76" s="55">
        <v>2</v>
      </c>
      <c r="E76" s="55" t="s">
        <v>21</v>
      </c>
      <c r="F76" s="18" t="s">
        <v>20</v>
      </c>
      <c r="G76" s="18" t="s">
        <v>21</v>
      </c>
      <c r="H76" s="18" t="s">
        <v>21</v>
      </c>
      <c r="I76" s="18" t="s">
        <v>21</v>
      </c>
      <c r="J76" s="18" t="s">
        <v>21</v>
      </c>
      <c r="K76" s="18" t="s">
        <v>21</v>
      </c>
      <c r="L76" s="18" t="s">
        <v>21</v>
      </c>
      <c r="M76" s="18" t="s">
        <v>21</v>
      </c>
      <c r="N76" s="18" t="s">
        <v>21</v>
      </c>
      <c r="O76" s="18" t="s">
        <v>20</v>
      </c>
      <c r="P76" s="18" t="s">
        <v>21</v>
      </c>
      <c r="Q76" s="18" t="s">
        <v>21</v>
      </c>
      <c r="R76" s="18" t="s">
        <v>21</v>
      </c>
      <c r="S76" s="18" t="s">
        <v>21</v>
      </c>
      <c r="T76" s="18" t="s">
        <v>20</v>
      </c>
      <c r="U76" s="18" t="s">
        <v>20</v>
      </c>
      <c r="V76" s="37" t="s">
        <v>20</v>
      </c>
      <c r="W76" s="37" t="s">
        <v>20</v>
      </c>
      <c r="X76" s="37" t="s">
        <v>20</v>
      </c>
      <c r="Y76" s="18" t="s">
        <v>20</v>
      </c>
      <c r="Z76" s="18" t="s">
        <v>21</v>
      </c>
      <c r="AA76" s="20" t="s">
        <v>21</v>
      </c>
      <c r="AB76" s="20" t="s">
        <v>21</v>
      </c>
      <c r="AC76" s="20" t="s">
        <v>21</v>
      </c>
      <c r="AD76" s="18" t="s">
        <v>21</v>
      </c>
      <c r="AE76" s="18" t="s">
        <v>21</v>
      </c>
      <c r="AG76">
        <f>+COUNTIF(F76:AE76,"AD")</f>
        <v>0</v>
      </c>
      <c r="AH76">
        <f>+COUNTIF(F76:AE76,"A")</f>
        <v>8</v>
      </c>
      <c r="AI76">
        <f>+COUNTIF(F76:AE76,"b")</f>
        <v>18</v>
      </c>
      <c r="AJ76">
        <f>+COUNTIF(F76:AE76,"c")</f>
        <v>0</v>
      </c>
      <c r="AL76">
        <f>+$AG$5*AG76</f>
        <v>0</v>
      </c>
      <c r="AM76">
        <f>+$AH$5*AH76</f>
        <v>24</v>
      </c>
      <c r="AN76">
        <f>+$AI$5*AI76</f>
        <v>36</v>
      </c>
      <c r="AO76">
        <f>+$AJ$5*AJ76</f>
        <v>0</v>
      </c>
      <c r="AP76">
        <f>+SUM(AL76:AO76)</f>
        <v>60</v>
      </c>
    </row>
    <row r="77" spans="1:42" ht="15.75" hidden="1" customHeight="1" x14ac:dyDescent="0.3">
      <c r="A77" s="16"/>
      <c r="B77" s="55">
        <v>10</v>
      </c>
      <c r="C77" s="56" t="s">
        <v>91</v>
      </c>
      <c r="D77" s="55">
        <v>2</v>
      </c>
      <c r="E77" s="55" t="s">
        <v>21</v>
      </c>
      <c r="F77" s="18" t="s">
        <v>21</v>
      </c>
      <c r="G77" s="18" t="s">
        <v>21</v>
      </c>
      <c r="H77" s="18" t="s">
        <v>21</v>
      </c>
      <c r="I77" s="18" t="s">
        <v>21</v>
      </c>
      <c r="J77" s="18" t="s">
        <v>21</v>
      </c>
      <c r="K77" s="18" t="s">
        <v>21</v>
      </c>
      <c r="L77" s="18" t="s">
        <v>21</v>
      </c>
      <c r="M77" s="18" t="s">
        <v>20</v>
      </c>
      <c r="N77" s="18" t="s">
        <v>20</v>
      </c>
      <c r="O77" s="18" t="s">
        <v>21</v>
      </c>
      <c r="P77" s="18" t="s">
        <v>23</v>
      </c>
      <c r="Q77" s="18" t="s">
        <v>21</v>
      </c>
      <c r="R77" s="18" t="s">
        <v>21</v>
      </c>
      <c r="S77" s="18" t="s">
        <v>21</v>
      </c>
      <c r="T77" s="18" t="s">
        <v>20</v>
      </c>
      <c r="U77" s="18" t="s">
        <v>20</v>
      </c>
      <c r="V77" s="37" t="s">
        <v>20</v>
      </c>
      <c r="W77" s="37" t="s">
        <v>20</v>
      </c>
      <c r="X77" s="37" t="s">
        <v>20</v>
      </c>
      <c r="Y77" s="18" t="s">
        <v>21</v>
      </c>
      <c r="Z77" s="18" t="s">
        <v>20</v>
      </c>
      <c r="AA77" s="20" t="s">
        <v>21</v>
      </c>
      <c r="AB77" s="20" t="s">
        <v>21</v>
      </c>
      <c r="AC77" s="20" t="s">
        <v>21</v>
      </c>
      <c r="AD77" s="18" t="s">
        <v>21</v>
      </c>
      <c r="AE77" s="18" t="s">
        <v>21</v>
      </c>
      <c r="AG77">
        <f>+COUNTIF(F77:AE77,"AD")</f>
        <v>0</v>
      </c>
      <c r="AH77">
        <f>+COUNTIF(F77:AE77,"A")</f>
        <v>8</v>
      </c>
      <c r="AI77">
        <f>+COUNTIF(F77:AE77,"b")</f>
        <v>17</v>
      </c>
      <c r="AJ77">
        <f>+COUNTIF(F77:AE77,"c")</f>
        <v>1</v>
      </c>
      <c r="AL77">
        <f>+$AG$5*AG77</f>
        <v>0</v>
      </c>
      <c r="AM77">
        <f>+$AH$5*AH77</f>
        <v>24</v>
      </c>
      <c r="AN77">
        <f>+$AI$5*AI77</f>
        <v>34</v>
      </c>
      <c r="AO77">
        <f>+$AJ$5*AJ77</f>
        <v>1</v>
      </c>
      <c r="AP77">
        <f>+SUM(AL77:AO77)</f>
        <v>59</v>
      </c>
    </row>
    <row r="78" spans="1:42" ht="15.75" hidden="1" customHeight="1" x14ac:dyDescent="0.3">
      <c r="A78" s="16"/>
      <c r="B78" s="55">
        <v>11</v>
      </c>
      <c r="C78" s="56" t="s">
        <v>86</v>
      </c>
      <c r="D78" s="55">
        <v>2</v>
      </c>
      <c r="E78" s="55" t="s">
        <v>21</v>
      </c>
      <c r="F78" s="18" t="s">
        <v>21</v>
      </c>
      <c r="G78" s="18" t="s">
        <v>21</v>
      </c>
      <c r="H78" s="18" t="s">
        <v>21</v>
      </c>
      <c r="I78" s="18" t="s">
        <v>21</v>
      </c>
      <c r="J78" s="18" t="s">
        <v>21</v>
      </c>
      <c r="K78" s="18" t="s">
        <v>20</v>
      </c>
      <c r="L78" s="18" t="s">
        <v>20</v>
      </c>
      <c r="M78" s="18" t="s">
        <v>21</v>
      </c>
      <c r="N78" s="18" t="s">
        <v>21</v>
      </c>
      <c r="O78" s="18" t="s">
        <v>21</v>
      </c>
      <c r="P78" s="18" t="s">
        <v>21</v>
      </c>
      <c r="Q78" s="18" t="s">
        <v>21</v>
      </c>
      <c r="R78" s="18" t="s">
        <v>21</v>
      </c>
      <c r="S78" s="18" t="s">
        <v>21</v>
      </c>
      <c r="T78" s="18" t="s">
        <v>21</v>
      </c>
      <c r="U78" s="18" t="s">
        <v>21</v>
      </c>
      <c r="V78" s="37" t="s">
        <v>21</v>
      </c>
      <c r="W78" s="37" t="s">
        <v>20</v>
      </c>
      <c r="X78" s="37" t="s">
        <v>20</v>
      </c>
      <c r="Y78" s="18" t="s">
        <v>20</v>
      </c>
      <c r="Z78" s="18" t="s">
        <v>20</v>
      </c>
      <c r="AA78" s="20" t="s">
        <v>21</v>
      </c>
      <c r="AB78" s="20" t="s">
        <v>21</v>
      </c>
      <c r="AC78" s="20" t="s">
        <v>21</v>
      </c>
      <c r="AD78" s="18" t="s">
        <v>21</v>
      </c>
      <c r="AE78" s="18" t="s">
        <v>21</v>
      </c>
      <c r="AG78">
        <f>+COUNTIF(F78:AE78,"AD")</f>
        <v>0</v>
      </c>
      <c r="AH78">
        <f>+COUNTIF(F78:AE78,"A")</f>
        <v>6</v>
      </c>
      <c r="AI78">
        <f>+COUNTIF(F78:AE78,"b")</f>
        <v>20</v>
      </c>
      <c r="AJ78">
        <f>+COUNTIF(F78:AE78,"c")</f>
        <v>0</v>
      </c>
      <c r="AL78">
        <f>+$AG$5*AG78</f>
        <v>0</v>
      </c>
      <c r="AM78">
        <f>+$AH$5*AH78</f>
        <v>18</v>
      </c>
      <c r="AN78">
        <f>+$AI$5*AI78</f>
        <v>40</v>
      </c>
      <c r="AO78">
        <f>+$AJ$5*AJ78</f>
        <v>0</v>
      </c>
      <c r="AP78">
        <f>+SUM(AL78:AO78)</f>
        <v>58</v>
      </c>
    </row>
    <row r="79" spans="1:42" ht="15.75" hidden="1" customHeight="1" x14ac:dyDescent="0.3">
      <c r="A79" s="16"/>
      <c r="B79" s="55">
        <v>12</v>
      </c>
      <c r="C79" s="56" t="s">
        <v>103</v>
      </c>
      <c r="D79" s="55">
        <v>2</v>
      </c>
      <c r="E79" s="55" t="s">
        <v>21</v>
      </c>
      <c r="F79" s="18" t="s">
        <v>20</v>
      </c>
      <c r="G79" s="18" t="s">
        <v>21</v>
      </c>
      <c r="H79" s="18" t="s">
        <v>21</v>
      </c>
      <c r="I79" s="18" t="s">
        <v>20</v>
      </c>
      <c r="J79" s="18" t="s">
        <v>21</v>
      </c>
      <c r="K79" s="18" t="s">
        <v>20</v>
      </c>
      <c r="L79" s="18" t="s">
        <v>20</v>
      </c>
      <c r="M79" s="18" t="s">
        <v>23</v>
      </c>
      <c r="N79" s="18" t="s">
        <v>20</v>
      </c>
      <c r="O79" s="18" t="s">
        <v>20</v>
      </c>
      <c r="P79" s="18" t="s">
        <v>21</v>
      </c>
      <c r="Q79" s="18" t="s">
        <v>21</v>
      </c>
      <c r="R79" s="18" t="s">
        <v>21</v>
      </c>
      <c r="S79" s="18" t="s">
        <v>20</v>
      </c>
      <c r="T79" s="18" t="s">
        <v>21</v>
      </c>
      <c r="U79" s="18" t="s">
        <v>21</v>
      </c>
      <c r="V79" s="37" t="s">
        <v>21</v>
      </c>
      <c r="W79" s="37" t="s">
        <v>21</v>
      </c>
      <c r="X79" s="37" t="s">
        <v>21</v>
      </c>
      <c r="Y79" s="18" t="s">
        <v>23</v>
      </c>
      <c r="Z79" s="18" t="s">
        <v>21</v>
      </c>
      <c r="AA79" s="20" t="s">
        <v>21</v>
      </c>
      <c r="AB79" s="20" t="s">
        <v>20</v>
      </c>
      <c r="AC79" s="20" t="s">
        <v>20</v>
      </c>
      <c r="AD79" s="18" t="s">
        <v>23</v>
      </c>
      <c r="AE79" s="18" t="s">
        <v>21</v>
      </c>
      <c r="AG79">
        <f>+COUNTIF(F79:AE79,"AD")</f>
        <v>0</v>
      </c>
      <c r="AH79">
        <f>+COUNTIF(F79:AE79,"A")</f>
        <v>9</v>
      </c>
      <c r="AI79">
        <f>+COUNTIF(F79:AE79,"b")</f>
        <v>14</v>
      </c>
      <c r="AJ79">
        <f>+COUNTIF(F79:AE79,"c")</f>
        <v>3</v>
      </c>
      <c r="AL79">
        <f>+$AG$5*AG79</f>
        <v>0</v>
      </c>
      <c r="AM79">
        <f>+$AH$5*AH79</f>
        <v>27</v>
      </c>
      <c r="AN79">
        <f>+$AI$5*AI79</f>
        <v>28</v>
      </c>
      <c r="AO79">
        <f>+$AJ$5*AJ79</f>
        <v>3</v>
      </c>
      <c r="AP79">
        <f>+SUM(AL79:AO79)</f>
        <v>58</v>
      </c>
    </row>
    <row r="80" spans="1:42" ht="15.75" hidden="1" customHeight="1" x14ac:dyDescent="0.3">
      <c r="A80" s="16"/>
      <c r="B80" s="55">
        <v>13</v>
      </c>
      <c r="C80" s="56" t="s">
        <v>95</v>
      </c>
      <c r="D80" s="55">
        <v>2</v>
      </c>
      <c r="E80" s="55" t="s">
        <v>21</v>
      </c>
      <c r="F80" s="18" t="s">
        <v>21</v>
      </c>
      <c r="G80" s="18" t="s">
        <v>21</v>
      </c>
      <c r="H80" s="18" t="s">
        <v>21</v>
      </c>
      <c r="I80" s="18" t="s">
        <v>21</v>
      </c>
      <c r="J80" s="18" t="s">
        <v>21</v>
      </c>
      <c r="K80" s="18" t="s">
        <v>20</v>
      </c>
      <c r="L80" s="18" t="s">
        <v>20</v>
      </c>
      <c r="M80" s="18" t="s">
        <v>20</v>
      </c>
      <c r="N80" s="18" t="s">
        <v>21</v>
      </c>
      <c r="O80" s="18" t="s">
        <v>21</v>
      </c>
      <c r="P80" s="18" t="s">
        <v>21</v>
      </c>
      <c r="Q80" s="18" t="s">
        <v>21</v>
      </c>
      <c r="R80" s="18" t="s">
        <v>21</v>
      </c>
      <c r="S80" s="18" t="s">
        <v>21</v>
      </c>
      <c r="T80" s="18" t="s">
        <v>23</v>
      </c>
      <c r="U80" s="18" t="s">
        <v>21</v>
      </c>
      <c r="V80" s="37" t="s">
        <v>21</v>
      </c>
      <c r="W80" s="37" t="s">
        <v>20</v>
      </c>
      <c r="X80" s="37" t="s">
        <v>20</v>
      </c>
      <c r="Y80" s="18" t="s">
        <v>21</v>
      </c>
      <c r="Z80" s="18" t="s">
        <v>20</v>
      </c>
      <c r="AA80" s="20" t="s">
        <v>20</v>
      </c>
      <c r="AB80" s="20" t="s">
        <v>21</v>
      </c>
      <c r="AC80" s="20" t="s">
        <v>21</v>
      </c>
      <c r="AD80" s="18" t="s">
        <v>23</v>
      </c>
      <c r="AE80" s="18" t="s">
        <v>21</v>
      </c>
      <c r="AG80">
        <f>+COUNTIF(F80:AE80,"AD")</f>
        <v>0</v>
      </c>
      <c r="AH80">
        <f>+COUNTIF(F80:AE80,"A")</f>
        <v>7</v>
      </c>
      <c r="AI80">
        <f>+COUNTIF(F80:AE80,"b")</f>
        <v>17</v>
      </c>
      <c r="AJ80">
        <f>+COUNTIF(F80:AE80,"c")</f>
        <v>2</v>
      </c>
      <c r="AL80">
        <f>+$AG$5*AG80</f>
        <v>0</v>
      </c>
      <c r="AM80">
        <f>+$AH$5*AH80</f>
        <v>21</v>
      </c>
      <c r="AN80">
        <f>+$AI$5*AI80</f>
        <v>34</v>
      </c>
      <c r="AO80">
        <f>+$AJ$5*AJ80</f>
        <v>2</v>
      </c>
      <c r="AP80">
        <f>+SUM(AL80:AO80)</f>
        <v>57</v>
      </c>
    </row>
    <row r="81" spans="1:42" ht="15.75" hidden="1" customHeight="1" x14ac:dyDescent="0.3">
      <c r="A81" s="16"/>
      <c r="B81" s="55">
        <v>14</v>
      </c>
      <c r="C81" s="56" t="s">
        <v>96</v>
      </c>
      <c r="D81" s="55">
        <v>2</v>
      </c>
      <c r="E81" s="55" t="s">
        <v>21</v>
      </c>
      <c r="F81" s="18" t="s">
        <v>21</v>
      </c>
      <c r="G81" s="18" t="s">
        <v>23</v>
      </c>
      <c r="H81" s="18" t="s">
        <v>21</v>
      </c>
      <c r="I81" s="18" t="s">
        <v>21</v>
      </c>
      <c r="J81" s="18" t="s">
        <v>21</v>
      </c>
      <c r="K81" s="18" t="s">
        <v>21</v>
      </c>
      <c r="L81" s="18" t="s">
        <v>21</v>
      </c>
      <c r="M81" s="18" t="s">
        <v>20</v>
      </c>
      <c r="N81" s="18" t="s">
        <v>20</v>
      </c>
      <c r="O81" s="18" t="s">
        <v>20</v>
      </c>
      <c r="P81" s="18" t="s">
        <v>21</v>
      </c>
      <c r="Q81" s="18" t="s">
        <v>21</v>
      </c>
      <c r="R81" s="18" t="s">
        <v>21</v>
      </c>
      <c r="S81" s="18" t="s">
        <v>21</v>
      </c>
      <c r="T81" s="18" t="s">
        <v>20</v>
      </c>
      <c r="U81" s="18" t="s">
        <v>21</v>
      </c>
      <c r="V81" s="37" t="s">
        <v>21</v>
      </c>
      <c r="W81" s="37" t="s">
        <v>20</v>
      </c>
      <c r="X81" s="37" t="s">
        <v>20</v>
      </c>
      <c r="Y81" s="18" t="s">
        <v>20</v>
      </c>
      <c r="Z81" s="18" t="s">
        <v>20</v>
      </c>
      <c r="AA81" s="20" t="s">
        <v>23</v>
      </c>
      <c r="AB81" s="20" t="s">
        <v>21</v>
      </c>
      <c r="AC81" s="20" t="s">
        <v>21</v>
      </c>
      <c r="AD81" s="18" t="s">
        <v>23</v>
      </c>
      <c r="AE81" s="18" t="s">
        <v>21</v>
      </c>
      <c r="AG81">
        <f>+COUNTIF(F81:AE81,"AD")</f>
        <v>0</v>
      </c>
      <c r="AH81">
        <f>+COUNTIF(F81:AE81,"A")</f>
        <v>8</v>
      </c>
      <c r="AI81">
        <f>+COUNTIF(F81:AE81,"b")</f>
        <v>15</v>
      </c>
      <c r="AJ81">
        <f>+COUNTIF(F81:AE81,"c")</f>
        <v>3</v>
      </c>
      <c r="AL81">
        <f>+$AG$5*AG81</f>
        <v>0</v>
      </c>
      <c r="AM81">
        <f>+$AH$5*AH81</f>
        <v>24</v>
      </c>
      <c r="AN81">
        <f>+$AI$5*AI81</f>
        <v>30</v>
      </c>
      <c r="AO81">
        <f>+$AJ$5*AJ81</f>
        <v>3</v>
      </c>
      <c r="AP81">
        <f>+SUM(AL81:AO81)</f>
        <v>57</v>
      </c>
    </row>
    <row r="82" spans="1:42" ht="15.75" hidden="1" customHeight="1" x14ac:dyDescent="0.3">
      <c r="A82" s="16"/>
      <c r="B82" s="55">
        <v>15</v>
      </c>
      <c r="C82" s="56" t="s">
        <v>102</v>
      </c>
      <c r="D82" s="55">
        <v>2</v>
      </c>
      <c r="E82" s="55" t="s">
        <v>21</v>
      </c>
      <c r="F82" s="18" t="s">
        <v>20</v>
      </c>
      <c r="G82" s="18" t="s">
        <v>21</v>
      </c>
      <c r="H82" s="18" t="s">
        <v>21</v>
      </c>
      <c r="I82" s="18" t="s">
        <v>21</v>
      </c>
      <c r="J82" s="18" t="s">
        <v>21</v>
      </c>
      <c r="K82" s="18" t="s">
        <v>21</v>
      </c>
      <c r="L82" s="18" t="s">
        <v>21</v>
      </c>
      <c r="M82" s="18" t="s">
        <v>21</v>
      </c>
      <c r="N82" s="18" t="s">
        <v>20</v>
      </c>
      <c r="O82" s="18" t="s">
        <v>21</v>
      </c>
      <c r="P82" s="18" t="s">
        <v>23</v>
      </c>
      <c r="Q82" s="18" t="s">
        <v>23</v>
      </c>
      <c r="R82" s="18" t="s">
        <v>21</v>
      </c>
      <c r="S82" s="18" t="s">
        <v>21</v>
      </c>
      <c r="T82" s="18" t="s">
        <v>20</v>
      </c>
      <c r="U82" s="18" t="s">
        <v>21</v>
      </c>
      <c r="V82" s="37" t="s">
        <v>20</v>
      </c>
      <c r="W82" s="37" t="s">
        <v>20</v>
      </c>
      <c r="X82" s="37" t="s">
        <v>20</v>
      </c>
      <c r="Y82" s="18" t="s">
        <v>21</v>
      </c>
      <c r="Z82" s="18" t="s">
        <v>20</v>
      </c>
      <c r="AA82" s="20" t="s">
        <v>21</v>
      </c>
      <c r="AB82" s="20" t="s">
        <v>21</v>
      </c>
      <c r="AC82" s="20" t="s">
        <v>21</v>
      </c>
      <c r="AD82" s="18" t="s">
        <v>23</v>
      </c>
      <c r="AE82" s="18" t="s">
        <v>21</v>
      </c>
      <c r="AG82">
        <f>+COUNTIF(F82:AE82,"AD")</f>
        <v>0</v>
      </c>
      <c r="AH82">
        <f>+COUNTIF(F82:AE82,"A")</f>
        <v>7</v>
      </c>
      <c r="AI82">
        <f>+COUNTIF(F82:AE82,"b")</f>
        <v>16</v>
      </c>
      <c r="AJ82">
        <f>+COUNTIF(F82:AE82,"c")</f>
        <v>3</v>
      </c>
      <c r="AL82">
        <f>+$AG$5*AG82</f>
        <v>0</v>
      </c>
      <c r="AM82">
        <f>+$AH$5*AH82</f>
        <v>21</v>
      </c>
      <c r="AN82">
        <f>+$AI$5*AI82</f>
        <v>32</v>
      </c>
      <c r="AO82">
        <f>+$AJ$5*AJ82</f>
        <v>3</v>
      </c>
      <c r="AP82">
        <f>+SUM(AL82:AO82)</f>
        <v>56</v>
      </c>
    </row>
    <row r="83" spans="1:42" ht="15.75" hidden="1" customHeight="1" x14ac:dyDescent="0.3">
      <c r="A83" s="16"/>
      <c r="B83" s="55">
        <v>16</v>
      </c>
      <c r="C83" s="56" t="s">
        <v>100</v>
      </c>
      <c r="D83" s="55">
        <v>2</v>
      </c>
      <c r="E83" s="55" t="s">
        <v>21</v>
      </c>
      <c r="F83" s="18" t="s">
        <v>21</v>
      </c>
      <c r="G83" s="18" t="s">
        <v>21</v>
      </c>
      <c r="H83" s="18" t="s">
        <v>21</v>
      </c>
      <c r="I83" s="18" t="s">
        <v>21</v>
      </c>
      <c r="J83" s="18" t="s">
        <v>21</v>
      </c>
      <c r="K83" s="18" t="s">
        <v>21</v>
      </c>
      <c r="L83" s="18" t="s">
        <v>21</v>
      </c>
      <c r="M83" s="18" t="s">
        <v>21</v>
      </c>
      <c r="N83" s="18" t="s">
        <v>23</v>
      </c>
      <c r="O83" s="18" t="s">
        <v>21</v>
      </c>
      <c r="P83" s="18" t="s">
        <v>21</v>
      </c>
      <c r="Q83" s="18" t="s">
        <v>21</v>
      </c>
      <c r="R83" s="18" t="s">
        <v>21</v>
      </c>
      <c r="S83" s="18" t="s">
        <v>21</v>
      </c>
      <c r="T83" s="18" t="s">
        <v>20</v>
      </c>
      <c r="U83" s="18" t="s">
        <v>20</v>
      </c>
      <c r="V83" s="37" t="s">
        <v>21</v>
      </c>
      <c r="W83" s="37" t="s">
        <v>20</v>
      </c>
      <c r="X83" s="37" t="s">
        <v>21</v>
      </c>
      <c r="Y83" s="18" t="s">
        <v>20</v>
      </c>
      <c r="Z83" s="18" t="s">
        <v>21</v>
      </c>
      <c r="AA83" s="20" t="s">
        <v>21</v>
      </c>
      <c r="AB83" s="20" t="s">
        <v>21</v>
      </c>
      <c r="AC83" s="20" t="s">
        <v>21</v>
      </c>
      <c r="AD83" s="18" t="s">
        <v>21</v>
      </c>
      <c r="AE83" s="18" t="s">
        <v>21</v>
      </c>
      <c r="AG83">
        <f>+COUNTIF(F83:AE83,"AD")</f>
        <v>0</v>
      </c>
      <c r="AH83">
        <f>+COUNTIF(F83:AE83,"A")</f>
        <v>4</v>
      </c>
      <c r="AI83">
        <f>+COUNTIF(F83:AE83,"b")</f>
        <v>21</v>
      </c>
      <c r="AJ83">
        <f>+COUNTIF(F83:AE83,"c")</f>
        <v>1</v>
      </c>
      <c r="AL83">
        <f>+$AG$5*AG83</f>
        <v>0</v>
      </c>
      <c r="AM83">
        <f>+$AH$5*AH83</f>
        <v>12</v>
      </c>
      <c r="AN83">
        <f>+$AI$5*AI83</f>
        <v>42</v>
      </c>
      <c r="AO83">
        <f>+$AJ$5*AJ83</f>
        <v>1</v>
      </c>
      <c r="AP83">
        <f>+SUM(AL83:AO83)</f>
        <v>55</v>
      </c>
    </row>
    <row r="84" spans="1:42" ht="15.75" hidden="1" customHeight="1" x14ac:dyDescent="0.3">
      <c r="A84" s="16"/>
      <c r="B84" s="55">
        <v>17</v>
      </c>
      <c r="C84" s="56" t="s">
        <v>107</v>
      </c>
      <c r="D84" s="55">
        <v>2</v>
      </c>
      <c r="E84" s="55" t="s">
        <v>21</v>
      </c>
      <c r="F84" s="18" t="s">
        <v>21</v>
      </c>
      <c r="G84" s="18" t="s">
        <v>21</v>
      </c>
      <c r="H84" s="18" t="s">
        <v>23</v>
      </c>
      <c r="I84" s="18" t="s">
        <v>21</v>
      </c>
      <c r="J84" s="18" t="s">
        <v>20</v>
      </c>
      <c r="K84" s="18" t="s">
        <v>21</v>
      </c>
      <c r="L84" s="18" t="s">
        <v>21</v>
      </c>
      <c r="M84" s="18" t="s">
        <v>20</v>
      </c>
      <c r="N84" s="18" t="s">
        <v>21</v>
      </c>
      <c r="O84" s="18" t="s">
        <v>20</v>
      </c>
      <c r="P84" s="18" t="s">
        <v>21</v>
      </c>
      <c r="Q84" s="18" t="s">
        <v>21</v>
      </c>
      <c r="R84" s="18" t="s">
        <v>21</v>
      </c>
      <c r="S84" s="18" t="s">
        <v>20</v>
      </c>
      <c r="T84" s="18" t="s">
        <v>21</v>
      </c>
      <c r="U84" s="18" t="s">
        <v>21</v>
      </c>
      <c r="V84" s="37" t="s">
        <v>21</v>
      </c>
      <c r="W84" s="37" t="s">
        <v>21</v>
      </c>
      <c r="X84" s="37" t="s">
        <v>21</v>
      </c>
      <c r="Y84" s="18" t="s">
        <v>21</v>
      </c>
      <c r="Z84" s="18" t="s">
        <v>21</v>
      </c>
      <c r="AA84" s="20" t="s">
        <v>21</v>
      </c>
      <c r="AB84" s="20" t="s">
        <v>21</v>
      </c>
      <c r="AC84" s="20" t="s">
        <v>20</v>
      </c>
      <c r="AD84" s="18" t="s">
        <v>23</v>
      </c>
      <c r="AE84" s="18" t="s">
        <v>21</v>
      </c>
      <c r="AG84">
        <f>+COUNTIF(F84:AE84,"AD")</f>
        <v>0</v>
      </c>
      <c r="AH84">
        <f>+COUNTIF(F84:AE84,"A")</f>
        <v>5</v>
      </c>
      <c r="AI84">
        <f>+COUNTIF(F84:AE84,"b")</f>
        <v>19</v>
      </c>
      <c r="AJ84">
        <f>+COUNTIF(F84:AE84,"c")</f>
        <v>2</v>
      </c>
      <c r="AL84">
        <f>+$AG$5*AG84</f>
        <v>0</v>
      </c>
      <c r="AM84">
        <f>+$AH$5*AH84</f>
        <v>15</v>
      </c>
      <c r="AN84">
        <f>+$AI$5*AI84</f>
        <v>38</v>
      </c>
      <c r="AO84">
        <f>+$AJ$5*AJ84</f>
        <v>2</v>
      </c>
      <c r="AP84">
        <f>+SUM(AL84:AO84)</f>
        <v>55</v>
      </c>
    </row>
    <row r="85" spans="1:42" ht="15.75" hidden="1" customHeight="1" x14ac:dyDescent="0.3">
      <c r="A85" s="16"/>
      <c r="B85" s="55">
        <v>18</v>
      </c>
      <c r="C85" s="56" t="s">
        <v>92</v>
      </c>
      <c r="D85" s="55">
        <v>2</v>
      </c>
      <c r="E85" s="55" t="s">
        <v>21</v>
      </c>
      <c r="F85" s="18" t="s">
        <v>21</v>
      </c>
      <c r="G85" s="18" t="s">
        <v>23</v>
      </c>
      <c r="H85" s="18" t="s">
        <v>21</v>
      </c>
      <c r="I85" s="18" t="s">
        <v>21</v>
      </c>
      <c r="J85" s="18" t="s">
        <v>21</v>
      </c>
      <c r="K85" s="18" t="s">
        <v>20</v>
      </c>
      <c r="L85" s="18" t="s">
        <v>20</v>
      </c>
      <c r="M85" s="18" t="s">
        <v>21</v>
      </c>
      <c r="N85" s="18" t="s">
        <v>21</v>
      </c>
      <c r="O85" s="18" t="s">
        <v>21</v>
      </c>
      <c r="P85" s="18" t="s">
        <v>21</v>
      </c>
      <c r="Q85" s="18" t="s">
        <v>21</v>
      </c>
      <c r="R85" s="18" t="s">
        <v>21</v>
      </c>
      <c r="S85" s="18" t="s">
        <v>21</v>
      </c>
      <c r="T85" s="18" t="s">
        <v>21</v>
      </c>
      <c r="U85" s="18" t="s">
        <v>21</v>
      </c>
      <c r="V85" s="37" t="s">
        <v>20</v>
      </c>
      <c r="W85" s="37" t="s">
        <v>21</v>
      </c>
      <c r="X85" s="37" t="s">
        <v>21</v>
      </c>
      <c r="Y85" s="18" t="s">
        <v>21</v>
      </c>
      <c r="Z85" s="18" t="s">
        <v>20</v>
      </c>
      <c r="AA85" s="20" t="s">
        <v>21</v>
      </c>
      <c r="AB85" s="20" t="s">
        <v>21</v>
      </c>
      <c r="AC85" s="20" t="s">
        <v>21</v>
      </c>
      <c r="AD85" s="18" t="s">
        <v>23</v>
      </c>
      <c r="AE85" s="18" t="s">
        <v>21</v>
      </c>
      <c r="AG85">
        <f>+COUNTIF(F85:AE85,"AD")</f>
        <v>0</v>
      </c>
      <c r="AH85">
        <f>+COUNTIF(F85:AE85,"A")</f>
        <v>4</v>
      </c>
      <c r="AI85">
        <f>+COUNTIF(F85:AE85,"b")</f>
        <v>20</v>
      </c>
      <c r="AJ85">
        <f>+COUNTIF(F85:AE85,"c")</f>
        <v>2</v>
      </c>
      <c r="AL85">
        <f>+$AG$5*AG85</f>
        <v>0</v>
      </c>
      <c r="AM85">
        <f>+$AH$5*AH85</f>
        <v>12</v>
      </c>
      <c r="AN85">
        <f>+$AI$5*AI85</f>
        <v>40</v>
      </c>
      <c r="AO85">
        <f>+$AJ$5*AJ85</f>
        <v>2</v>
      </c>
      <c r="AP85">
        <f>+SUM(AL85:AO85)</f>
        <v>54</v>
      </c>
    </row>
    <row r="86" spans="1:42" ht="15.75" hidden="1" customHeight="1" x14ac:dyDescent="0.3">
      <c r="A86" s="16"/>
      <c r="B86" s="55">
        <v>19</v>
      </c>
      <c r="C86" s="56" t="s">
        <v>106</v>
      </c>
      <c r="D86" s="55">
        <v>2</v>
      </c>
      <c r="E86" s="55" t="s">
        <v>21</v>
      </c>
      <c r="F86" s="18" t="s">
        <v>21</v>
      </c>
      <c r="G86" s="18" t="s">
        <v>23</v>
      </c>
      <c r="H86" s="18" t="s">
        <v>21</v>
      </c>
      <c r="I86" s="18" t="s">
        <v>21</v>
      </c>
      <c r="J86" s="18" t="s">
        <v>20</v>
      </c>
      <c r="K86" s="18" t="s">
        <v>20</v>
      </c>
      <c r="L86" s="18" t="s">
        <v>20</v>
      </c>
      <c r="M86" s="18" t="s">
        <v>21</v>
      </c>
      <c r="N86" s="18" t="s">
        <v>21</v>
      </c>
      <c r="O86" s="18" t="s">
        <v>21</v>
      </c>
      <c r="P86" s="18" t="s">
        <v>21</v>
      </c>
      <c r="Q86" s="18" t="s">
        <v>21</v>
      </c>
      <c r="R86" s="18" t="s">
        <v>21</v>
      </c>
      <c r="S86" s="18" t="s">
        <v>23</v>
      </c>
      <c r="T86" s="18" t="s">
        <v>21</v>
      </c>
      <c r="U86" s="18" t="s">
        <v>20</v>
      </c>
      <c r="V86" s="37" t="s">
        <v>21</v>
      </c>
      <c r="W86" s="37" t="s">
        <v>21</v>
      </c>
      <c r="X86" s="37" t="s">
        <v>21</v>
      </c>
      <c r="Y86" s="18" t="s">
        <v>23</v>
      </c>
      <c r="Z86" s="18" t="s">
        <v>21</v>
      </c>
      <c r="AA86" s="20" t="s">
        <v>21</v>
      </c>
      <c r="AB86" s="20" t="s">
        <v>21</v>
      </c>
      <c r="AC86" s="20" t="s">
        <v>21</v>
      </c>
      <c r="AD86" s="18" t="s">
        <v>23</v>
      </c>
      <c r="AE86" s="18" t="s">
        <v>21</v>
      </c>
      <c r="AG86">
        <f>+COUNTIF(F86:AE86,"AD")</f>
        <v>0</v>
      </c>
      <c r="AH86">
        <f>+COUNTIF(F86:AE86,"A")</f>
        <v>4</v>
      </c>
      <c r="AI86">
        <f>+COUNTIF(F86:AE86,"b")</f>
        <v>18</v>
      </c>
      <c r="AJ86">
        <f>+COUNTIF(F86:AE86,"c")</f>
        <v>4</v>
      </c>
      <c r="AL86">
        <f>+$AG$5*AG86</f>
        <v>0</v>
      </c>
      <c r="AM86">
        <f>+$AH$5*AH86</f>
        <v>12</v>
      </c>
      <c r="AN86">
        <f>+$AI$5*AI86</f>
        <v>36</v>
      </c>
      <c r="AO86">
        <f>+$AJ$5*AJ86</f>
        <v>4</v>
      </c>
      <c r="AP86">
        <f>+SUM(AL86:AO86)</f>
        <v>52</v>
      </c>
    </row>
    <row r="87" spans="1:42" ht="15.75" hidden="1" customHeight="1" thickBot="1" x14ac:dyDescent="0.35">
      <c r="A87" s="16"/>
      <c r="B87" s="57">
        <v>20</v>
      </c>
      <c r="C87" s="56" t="s">
        <v>108</v>
      </c>
      <c r="D87" s="55">
        <v>2</v>
      </c>
      <c r="E87" s="55" t="s">
        <v>21</v>
      </c>
      <c r="F87" s="18" t="s">
        <v>21</v>
      </c>
      <c r="G87" s="18" t="s">
        <v>23</v>
      </c>
      <c r="H87" s="18" t="s">
        <v>21</v>
      </c>
      <c r="I87" s="18" t="s">
        <v>21</v>
      </c>
      <c r="J87" s="18" t="s">
        <v>20</v>
      </c>
      <c r="K87" s="18" t="s">
        <v>21</v>
      </c>
      <c r="L87" s="18" t="s">
        <v>21</v>
      </c>
      <c r="M87" s="18" t="s">
        <v>23</v>
      </c>
      <c r="N87" s="18" t="s">
        <v>21</v>
      </c>
      <c r="O87" s="18" t="s">
        <v>21</v>
      </c>
      <c r="P87" s="18" t="s">
        <v>23</v>
      </c>
      <c r="Q87" s="18" t="s">
        <v>21</v>
      </c>
      <c r="R87" s="17" t="s">
        <v>23</v>
      </c>
      <c r="S87" s="18" t="s">
        <v>23</v>
      </c>
      <c r="T87" s="18" t="s">
        <v>23</v>
      </c>
      <c r="U87" s="18" t="s">
        <v>21</v>
      </c>
      <c r="V87" s="37" t="s">
        <v>20</v>
      </c>
      <c r="W87" s="37" t="s">
        <v>20</v>
      </c>
      <c r="X87" s="37" t="s">
        <v>20</v>
      </c>
      <c r="Y87" s="18" t="s">
        <v>21</v>
      </c>
      <c r="Z87" s="18" t="s">
        <v>21</v>
      </c>
      <c r="AA87" s="20" t="s">
        <v>21</v>
      </c>
      <c r="AB87" s="20" t="s">
        <v>21</v>
      </c>
      <c r="AC87" s="20" t="s">
        <v>21</v>
      </c>
      <c r="AD87" s="18" t="s">
        <v>23</v>
      </c>
      <c r="AE87" s="18" t="s">
        <v>21</v>
      </c>
      <c r="AG87">
        <f>+COUNTIF(F87:AE87,"AD")</f>
        <v>0</v>
      </c>
      <c r="AH87">
        <f>+COUNTIF(F87:AE87,"A")</f>
        <v>4</v>
      </c>
      <c r="AI87">
        <f>+COUNTIF(F87:AE87,"b")</f>
        <v>15</v>
      </c>
      <c r="AJ87">
        <f>+COUNTIF(F87:AE87,"c")</f>
        <v>7</v>
      </c>
      <c r="AL87">
        <f>+$AG$5*AG87</f>
        <v>0</v>
      </c>
      <c r="AM87">
        <f>+$AH$5*AH87</f>
        <v>12</v>
      </c>
      <c r="AN87">
        <f>+$AI$5*AI87</f>
        <v>30</v>
      </c>
      <c r="AO87">
        <f>+$AJ$5*AJ87</f>
        <v>7</v>
      </c>
      <c r="AP87">
        <f>+SUM(AL87:AO87)</f>
        <v>49</v>
      </c>
    </row>
    <row r="88" spans="1:42" ht="15.75" hidden="1" customHeight="1" x14ac:dyDescent="0.3">
      <c r="A88" s="16"/>
      <c r="B88" s="55">
        <v>16</v>
      </c>
      <c r="C88" s="56" t="s">
        <v>101</v>
      </c>
      <c r="D88" s="55">
        <v>2</v>
      </c>
      <c r="E88" s="55" t="s">
        <v>21</v>
      </c>
      <c r="F88" s="18" t="s">
        <v>21</v>
      </c>
      <c r="G88" s="18" t="s">
        <v>23</v>
      </c>
      <c r="H88" s="18" t="s">
        <v>21</v>
      </c>
      <c r="I88" s="18" t="s">
        <v>21</v>
      </c>
      <c r="J88" s="18" t="s">
        <v>21</v>
      </c>
      <c r="K88" s="18" t="s">
        <v>21</v>
      </c>
      <c r="L88" s="18" t="s">
        <v>21</v>
      </c>
      <c r="M88" s="18" t="s">
        <v>21</v>
      </c>
      <c r="N88" s="18" t="s">
        <v>23</v>
      </c>
      <c r="O88" s="18" t="s">
        <v>21</v>
      </c>
      <c r="P88" s="18" t="s">
        <v>23</v>
      </c>
      <c r="Q88" s="18" t="s">
        <v>23</v>
      </c>
      <c r="R88" s="18" t="s">
        <v>21</v>
      </c>
      <c r="S88" s="18" t="s">
        <v>21</v>
      </c>
      <c r="T88" s="18" t="s">
        <v>21</v>
      </c>
      <c r="U88" s="18" t="s">
        <v>21</v>
      </c>
      <c r="V88" s="37" t="s">
        <v>21</v>
      </c>
      <c r="W88" s="37" t="s">
        <v>21</v>
      </c>
      <c r="X88" s="37" t="s">
        <v>21</v>
      </c>
      <c r="Y88" s="18" t="s">
        <v>23</v>
      </c>
      <c r="Z88" s="18" t="s">
        <v>20</v>
      </c>
      <c r="AA88" s="20" t="s">
        <v>21</v>
      </c>
      <c r="AB88" s="20" t="s">
        <v>21</v>
      </c>
      <c r="AC88" s="20" t="s">
        <v>21</v>
      </c>
      <c r="AD88" s="18" t="s">
        <v>23</v>
      </c>
      <c r="AE88" s="18" t="s">
        <v>21</v>
      </c>
      <c r="AG88">
        <f>+COUNTIF(F88:AE88,"AD")</f>
        <v>0</v>
      </c>
      <c r="AH88">
        <f>+COUNTIF(F88:AE88,"A")</f>
        <v>1</v>
      </c>
      <c r="AI88">
        <f>+COUNTIF(F88:AE88,"b")</f>
        <v>19</v>
      </c>
      <c r="AJ88">
        <f>+COUNTIF(F88:AE88,"c")</f>
        <v>6</v>
      </c>
      <c r="AL88">
        <f>+$AG$5*AG88</f>
        <v>0</v>
      </c>
      <c r="AM88">
        <f>+$AH$5*AH88</f>
        <v>3</v>
      </c>
      <c r="AN88">
        <f>+$AI$5*AI88</f>
        <v>38</v>
      </c>
      <c r="AO88">
        <f>+$AJ$5*AJ88</f>
        <v>6</v>
      </c>
      <c r="AP88">
        <f>+SUM(AL88:AO88)</f>
        <v>47</v>
      </c>
    </row>
    <row r="89" spans="1:42" ht="15.75" hidden="1" customHeight="1" x14ac:dyDescent="0.3">
      <c r="A89" s="16"/>
      <c r="B89" s="55">
        <v>2</v>
      </c>
      <c r="C89" s="56" t="s">
        <v>87</v>
      </c>
      <c r="D89" s="55">
        <v>2</v>
      </c>
      <c r="E89" s="55" t="s">
        <v>21</v>
      </c>
      <c r="F89" s="18" t="s">
        <v>21</v>
      </c>
      <c r="G89" s="18" t="s">
        <v>23</v>
      </c>
      <c r="H89" s="18" t="s">
        <v>21</v>
      </c>
      <c r="I89" s="18" t="s">
        <v>21</v>
      </c>
      <c r="J89" s="18" t="s">
        <v>21</v>
      </c>
      <c r="K89" s="18" t="s">
        <v>21</v>
      </c>
      <c r="L89" s="18" t="s">
        <v>21</v>
      </c>
      <c r="M89" s="18" t="s">
        <v>23</v>
      </c>
      <c r="N89" s="18" t="s">
        <v>21</v>
      </c>
      <c r="O89" s="18" t="s">
        <v>21</v>
      </c>
      <c r="P89" s="18" t="s">
        <v>23</v>
      </c>
      <c r="Q89" s="18" t="s">
        <v>21</v>
      </c>
      <c r="R89" s="18" t="s">
        <v>23</v>
      </c>
      <c r="S89" s="18" t="s">
        <v>23</v>
      </c>
      <c r="T89" s="18" t="s">
        <v>21</v>
      </c>
      <c r="U89" s="18" t="s">
        <v>21</v>
      </c>
      <c r="V89" s="37" t="s">
        <v>21</v>
      </c>
      <c r="W89" s="37" t="s">
        <v>21</v>
      </c>
      <c r="X89" s="37" t="s">
        <v>21</v>
      </c>
      <c r="Y89" s="18" t="s">
        <v>21</v>
      </c>
      <c r="Z89" s="18" t="s">
        <v>23</v>
      </c>
      <c r="AA89" s="20" t="s">
        <v>23</v>
      </c>
      <c r="AB89" s="20" t="s">
        <v>21</v>
      </c>
      <c r="AC89" s="20" t="s">
        <v>23</v>
      </c>
      <c r="AD89" s="18" t="s">
        <v>23</v>
      </c>
      <c r="AE89" s="18" t="s">
        <v>21</v>
      </c>
      <c r="AG89">
        <f>+COUNTIF(F89:AE89,"AD")</f>
        <v>0</v>
      </c>
      <c r="AH89">
        <f>+COUNTIF(F89:AE89,"A")</f>
        <v>0</v>
      </c>
      <c r="AI89">
        <f>+COUNTIF(F89:AE89,"b")</f>
        <v>17</v>
      </c>
      <c r="AJ89">
        <f>+COUNTIF(F89:AE89,"c")</f>
        <v>9</v>
      </c>
      <c r="AL89">
        <f>+$AG$5*AG89</f>
        <v>0</v>
      </c>
      <c r="AM89">
        <f>+$AH$5*AH89</f>
        <v>0</v>
      </c>
      <c r="AN89">
        <f>+$AI$5*AI89</f>
        <v>34</v>
      </c>
      <c r="AO89">
        <f>+$AJ$5*AJ89</f>
        <v>9</v>
      </c>
      <c r="AP89">
        <f>+SUM(AL89:AO89)</f>
        <v>43</v>
      </c>
    </row>
    <row r="90" spans="1:42" ht="15.75" hidden="1" customHeight="1" thickBot="1" x14ac:dyDescent="0.35">
      <c r="A90" s="16"/>
      <c r="B90" s="57">
        <v>19</v>
      </c>
      <c r="C90" s="58" t="s">
        <v>104</v>
      </c>
      <c r="D90" s="57">
        <v>2</v>
      </c>
      <c r="E90" s="57" t="s">
        <v>21</v>
      </c>
      <c r="F90" s="21" t="s">
        <v>21</v>
      </c>
      <c r="G90" s="21" t="s">
        <v>23</v>
      </c>
      <c r="H90" s="21" t="s">
        <v>21</v>
      </c>
      <c r="I90" s="21" t="s">
        <v>21</v>
      </c>
      <c r="J90" s="21" t="s">
        <v>21</v>
      </c>
      <c r="K90" s="21" t="s">
        <v>21</v>
      </c>
      <c r="L90" s="21" t="s">
        <v>21</v>
      </c>
      <c r="M90" s="21" t="s">
        <v>23</v>
      </c>
      <c r="N90" s="21" t="s">
        <v>23</v>
      </c>
      <c r="O90" s="21" t="s">
        <v>23</v>
      </c>
      <c r="P90" s="21" t="s">
        <v>23</v>
      </c>
      <c r="Q90" s="21" t="s">
        <v>21</v>
      </c>
      <c r="R90" s="21" t="s">
        <v>23</v>
      </c>
      <c r="S90" s="21" t="s">
        <v>21</v>
      </c>
      <c r="T90" s="21" t="s">
        <v>23</v>
      </c>
      <c r="U90" s="21" t="s">
        <v>21</v>
      </c>
      <c r="V90" s="38" t="s">
        <v>21</v>
      </c>
      <c r="W90" s="38" t="s">
        <v>21</v>
      </c>
      <c r="X90" s="38" t="s">
        <v>21</v>
      </c>
      <c r="Y90" s="21" t="s">
        <v>23</v>
      </c>
      <c r="Z90" s="21" t="s">
        <v>23</v>
      </c>
      <c r="AA90" s="23" t="s">
        <v>21</v>
      </c>
      <c r="AB90" s="23" t="s">
        <v>21</v>
      </c>
      <c r="AC90" s="23" t="s">
        <v>21</v>
      </c>
      <c r="AD90" s="21" t="s">
        <v>23</v>
      </c>
      <c r="AE90" s="21" t="s">
        <v>21</v>
      </c>
      <c r="AG90">
        <f>+COUNTIF(F90:AE90,"AD")</f>
        <v>0</v>
      </c>
      <c r="AH90">
        <f>+COUNTIF(F90:AE90,"A")</f>
        <v>0</v>
      </c>
      <c r="AI90">
        <f>+COUNTIF(F90:AE90,"b")</f>
        <v>16</v>
      </c>
      <c r="AJ90">
        <f>+COUNTIF(F90:AE90,"c")</f>
        <v>10</v>
      </c>
      <c r="AL90">
        <f>+$AG$5*AG90</f>
        <v>0</v>
      </c>
      <c r="AM90">
        <f>+$AH$5*AH90</f>
        <v>0</v>
      </c>
      <c r="AN90">
        <f>+$AI$5*AI90</f>
        <v>32</v>
      </c>
      <c r="AO90">
        <f>+$AJ$5*AJ90</f>
        <v>10</v>
      </c>
      <c r="AP90">
        <f>+SUM(AL90:AO90)</f>
        <v>42</v>
      </c>
    </row>
    <row r="91" spans="1:42" ht="15.75" hidden="1" customHeight="1" x14ac:dyDescent="0.3">
      <c r="A91" s="16"/>
      <c r="B91" s="59">
        <v>1</v>
      </c>
      <c r="C91" s="60" t="s">
        <v>109</v>
      </c>
      <c r="D91" s="59">
        <v>3</v>
      </c>
      <c r="E91" s="59" t="s">
        <v>20</v>
      </c>
      <c r="F91" s="24" t="s">
        <v>39</v>
      </c>
      <c r="G91" s="24" t="s">
        <v>39</v>
      </c>
      <c r="H91" s="24" t="s">
        <v>20</v>
      </c>
      <c r="I91" s="24" t="s">
        <v>39</v>
      </c>
      <c r="J91" s="42" t="s">
        <v>20</v>
      </c>
      <c r="K91" s="42" t="s">
        <v>39</v>
      </c>
      <c r="L91" s="42" t="s">
        <v>20</v>
      </c>
      <c r="M91" s="24" t="s">
        <v>20</v>
      </c>
      <c r="N91" s="24" t="s">
        <v>20</v>
      </c>
      <c r="O91" s="24" t="s">
        <v>20</v>
      </c>
      <c r="P91" s="24" t="s">
        <v>20</v>
      </c>
      <c r="Q91" s="24" t="s">
        <v>20</v>
      </c>
      <c r="R91" s="24" t="s">
        <v>20</v>
      </c>
      <c r="S91" s="24" t="s">
        <v>20</v>
      </c>
      <c r="T91" s="24" t="s">
        <v>20</v>
      </c>
      <c r="U91" s="24" t="s">
        <v>20</v>
      </c>
      <c r="V91" s="39" t="s">
        <v>21</v>
      </c>
      <c r="W91" s="39" t="s">
        <v>20</v>
      </c>
      <c r="X91" s="39" t="s">
        <v>21</v>
      </c>
      <c r="Y91" s="24" t="s">
        <v>39</v>
      </c>
      <c r="Z91" s="24" t="s">
        <v>39</v>
      </c>
      <c r="AA91" s="27" t="s">
        <v>20</v>
      </c>
      <c r="AB91" s="27" t="s">
        <v>20</v>
      </c>
      <c r="AC91" s="27" t="s">
        <v>20</v>
      </c>
      <c r="AD91" s="39" t="s">
        <v>20</v>
      </c>
      <c r="AE91" s="39" t="s">
        <v>21</v>
      </c>
      <c r="AG91">
        <f t="shared" ref="AG91:AG154" si="9">+COUNTIF(F91:AE91,"AD")</f>
        <v>6</v>
      </c>
      <c r="AH91">
        <f t="shared" ref="AH91:AH154" si="10">+COUNTIF(F91:AE91,"A")</f>
        <v>17</v>
      </c>
      <c r="AI91">
        <f t="shared" ref="AI91:AI154" si="11">+COUNTIF(F91:AE91,"b")</f>
        <v>3</v>
      </c>
      <c r="AJ91">
        <f t="shared" ref="AJ91:AJ154" si="12">+COUNTIF(F91:AE91,"c")</f>
        <v>0</v>
      </c>
      <c r="AL91">
        <f t="shared" ref="AL91:AL154" si="13">+$AG$5*AG91</f>
        <v>24</v>
      </c>
      <c r="AM91">
        <f t="shared" ref="AM91:AM154" si="14">+$AH$5*AH91</f>
        <v>51</v>
      </c>
      <c r="AN91">
        <f t="shared" ref="AN91:AN154" si="15">+$AI$5*AI91</f>
        <v>6</v>
      </c>
      <c r="AO91">
        <f t="shared" ref="AO91:AO154" si="16">+$AJ$5*AJ91</f>
        <v>0</v>
      </c>
      <c r="AP91">
        <f t="shared" ref="AP91:AP130" si="17">+SUM(AL91:AO91)</f>
        <v>81</v>
      </c>
    </row>
    <row r="92" spans="1:42" ht="15.75" hidden="1" customHeight="1" x14ac:dyDescent="0.3">
      <c r="A92" s="16"/>
      <c r="B92" s="55">
        <v>2</v>
      </c>
      <c r="C92" s="56" t="s">
        <v>110</v>
      </c>
      <c r="D92" s="55">
        <v>3</v>
      </c>
      <c r="E92" s="55" t="s">
        <v>20</v>
      </c>
      <c r="F92" s="18" t="s">
        <v>20</v>
      </c>
      <c r="G92" s="18" t="s">
        <v>20</v>
      </c>
      <c r="H92" s="18" t="s">
        <v>20</v>
      </c>
      <c r="I92" s="18" t="s">
        <v>39</v>
      </c>
      <c r="J92" s="43" t="s">
        <v>39</v>
      </c>
      <c r="K92" s="43" t="s">
        <v>39</v>
      </c>
      <c r="L92" s="43" t="s">
        <v>20</v>
      </c>
      <c r="M92" s="18" t="s">
        <v>20</v>
      </c>
      <c r="N92" s="18" t="s">
        <v>20</v>
      </c>
      <c r="O92" s="18" t="s">
        <v>20</v>
      </c>
      <c r="P92" s="18" t="s">
        <v>20</v>
      </c>
      <c r="Q92" s="18" t="s">
        <v>20</v>
      </c>
      <c r="R92" s="18" t="s">
        <v>20</v>
      </c>
      <c r="S92" s="18" t="s">
        <v>20</v>
      </c>
      <c r="T92" s="18" t="s">
        <v>20</v>
      </c>
      <c r="U92" s="18" t="s">
        <v>20</v>
      </c>
      <c r="V92" s="37" t="s">
        <v>20</v>
      </c>
      <c r="W92" s="37" t="s">
        <v>20</v>
      </c>
      <c r="X92" s="37" t="s">
        <v>20</v>
      </c>
      <c r="Y92" s="18" t="s">
        <v>20</v>
      </c>
      <c r="Z92" s="18" t="s">
        <v>20</v>
      </c>
      <c r="AA92" s="20" t="s">
        <v>20</v>
      </c>
      <c r="AB92" s="20" t="s">
        <v>20</v>
      </c>
      <c r="AC92" s="20" t="s">
        <v>20</v>
      </c>
      <c r="AD92" s="37" t="s">
        <v>21</v>
      </c>
      <c r="AE92" s="37" t="s">
        <v>21</v>
      </c>
      <c r="AG92">
        <f t="shared" si="9"/>
        <v>3</v>
      </c>
      <c r="AH92">
        <f t="shared" si="10"/>
        <v>21</v>
      </c>
      <c r="AI92">
        <f t="shared" si="11"/>
        <v>2</v>
      </c>
      <c r="AJ92">
        <f t="shared" si="12"/>
        <v>0</v>
      </c>
      <c r="AL92">
        <f t="shared" si="13"/>
        <v>12</v>
      </c>
      <c r="AM92">
        <f t="shared" si="14"/>
        <v>63</v>
      </c>
      <c r="AN92">
        <f t="shared" si="15"/>
        <v>4</v>
      </c>
      <c r="AO92">
        <f t="shared" si="16"/>
        <v>0</v>
      </c>
      <c r="AP92">
        <f t="shared" si="17"/>
        <v>79</v>
      </c>
    </row>
    <row r="93" spans="1:42" ht="15.75" hidden="1" customHeight="1" x14ac:dyDescent="0.3">
      <c r="A93" s="16"/>
      <c r="B93" s="55">
        <v>3</v>
      </c>
      <c r="C93" s="56" t="s">
        <v>111</v>
      </c>
      <c r="D93" s="55">
        <v>3</v>
      </c>
      <c r="E93" s="55" t="s">
        <v>20</v>
      </c>
      <c r="F93" s="18" t="s">
        <v>23</v>
      </c>
      <c r="G93" s="18" t="s">
        <v>21</v>
      </c>
      <c r="H93" s="18" t="s">
        <v>23</v>
      </c>
      <c r="I93" s="18" t="s">
        <v>23</v>
      </c>
      <c r="J93" s="43" t="s">
        <v>21</v>
      </c>
      <c r="K93" s="43" t="s">
        <v>20</v>
      </c>
      <c r="L93" s="43" t="s">
        <v>21</v>
      </c>
      <c r="M93" s="18" t="s">
        <v>21</v>
      </c>
      <c r="N93" s="18" t="s">
        <v>21</v>
      </c>
      <c r="O93" s="18" t="s">
        <v>21</v>
      </c>
      <c r="P93" s="18" t="s">
        <v>23</v>
      </c>
      <c r="Q93" s="18" t="s">
        <v>21</v>
      </c>
      <c r="R93" s="18" t="s">
        <v>21</v>
      </c>
      <c r="S93" s="18" t="s">
        <v>21</v>
      </c>
      <c r="T93" s="18" t="s">
        <v>21</v>
      </c>
      <c r="U93" s="18" t="s">
        <v>20</v>
      </c>
      <c r="V93" s="37" t="s">
        <v>20</v>
      </c>
      <c r="W93" s="37" t="s">
        <v>21</v>
      </c>
      <c r="X93" s="37" t="s">
        <v>21</v>
      </c>
      <c r="Y93" s="18" t="s">
        <v>21</v>
      </c>
      <c r="Z93" s="18" t="s">
        <v>20</v>
      </c>
      <c r="AA93" s="20" t="s">
        <v>21</v>
      </c>
      <c r="AB93" s="20" t="s">
        <v>21</v>
      </c>
      <c r="AC93" s="20" t="s">
        <v>21</v>
      </c>
      <c r="AD93" s="37" t="s">
        <v>23</v>
      </c>
      <c r="AE93" s="37" t="s">
        <v>21</v>
      </c>
      <c r="AG93">
        <f t="shared" si="9"/>
        <v>0</v>
      </c>
      <c r="AH93">
        <f t="shared" si="10"/>
        <v>4</v>
      </c>
      <c r="AI93">
        <f t="shared" si="11"/>
        <v>17</v>
      </c>
      <c r="AJ93">
        <f t="shared" si="12"/>
        <v>5</v>
      </c>
      <c r="AL93">
        <f t="shared" si="13"/>
        <v>0</v>
      </c>
      <c r="AM93">
        <f t="shared" si="14"/>
        <v>12</v>
      </c>
      <c r="AN93">
        <f t="shared" si="15"/>
        <v>34</v>
      </c>
      <c r="AO93">
        <f t="shared" si="16"/>
        <v>5</v>
      </c>
      <c r="AP93">
        <f t="shared" si="17"/>
        <v>51</v>
      </c>
    </row>
    <row r="94" spans="1:42" ht="15.75" hidden="1" customHeight="1" x14ac:dyDescent="0.3">
      <c r="A94" s="16"/>
      <c r="B94" s="55">
        <v>4</v>
      </c>
      <c r="C94" s="56" t="s">
        <v>112</v>
      </c>
      <c r="D94" s="55">
        <v>3</v>
      </c>
      <c r="E94" s="55" t="s">
        <v>20</v>
      </c>
      <c r="F94" s="18" t="s">
        <v>39</v>
      </c>
      <c r="G94" s="18" t="s">
        <v>20</v>
      </c>
      <c r="H94" s="18" t="s">
        <v>20</v>
      </c>
      <c r="I94" s="18" t="s">
        <v>20</v>
      </c>
      <c r="J94" s="43" t="s">
        <v>20</v>
      </c>
      <c r="K94" s="43" t="s">
        <v>39</v>
      </c>
      <c r="L94" s="43" t="s">
        <v>20</v>
      </c>
      <c r="M94" s="18" t="s">
        <v>20</v>
      </c>
      <c r="N94" s="18" t="s">
        <v>20</v>
      </c>
      <c r="O94" s="18" t="s">
        <v>20</v>
      </c>
      <c r="P94" s="18" t="s">
        <v>20</v>
      </c>
      <c r="Q94" s="18" t="s">
        <v>20</v>
      </c>
      <c r="R94" s="18" t="s">
        <v>20</v>
      </c>
      <c r="S94" s="18" t="s">
        <v>20</v>
      </c>
      <c r="T94" s="18" t="s">
        <v>20</v>
      </c>
      <c r="U94" s="18" t="s">
        <v>20</v>
      </c>
      <c r="V94" s="37" t="s">
        <v>20</v>
      </c>
      <c r="W94" s="37" t="s">
        <v>21</v>
      </c>
      <c r="X94" s="37" t="s">
        <v>20</v>
      </c>
      <c r="Y94" s="18" t="s">
        <v>20</v>
      </c>
      <c r="Z94" s="18" t="s">
        <v>20</v>
      </c>
      <c r="AA94" s="20" t="s">
        <v>20</v>
      </c>
      <c r="AB94" s="20" t="s">
        <v>20</v>
      </c>
      <c r="AC94" s="20" t="s">
        <v>20</v>
      </c>
      <c r="AD94" s="37" t="s">
        <v>20</v>
      </c>
      <c r="AE94" s="37" t="s">
        <v>21</v>
      </c>
      <c r="AG94">
        <f t="shared" si="9"/>
        <v>2</v>
      </c>
      <c r="AH94">
        <f t="shared" si="10"/>
        <v>22</v>
      </c>
      <c r="AI94">
        <f t="shared" si="11"/>
        <v>2</v>
      </c>
      <c r="AJ94">
        <f t="shared" si="12"/>
        <v>0</v>
      </c>
      <c r="AL94">
        <f t="shared" si="13"/>
        <v>8</v>
      </c>
      <c r="AM94">
        <f t="shared" si="14"/>
        <v>66</v>
      </c>
      <c r="AN94">
        <f t="shared" si="15"/>
        <v>4</v>
      </c>
      <c r="AO94">
        <f t="shared" si="16"/>
        <v>0</v>
      </c>
      <c r="AP94">
        <f t="shared" si="17"/>
        <v>78</v>
      </c>
    </row>
    <row r="95" spans="1:42" ht="15.75" hidden="1" customHeight="1" x14ac:dyDescent="0.3">
      <c r="A95" s="16"/>
      <c r="B95" s="55">
        <v>5</v>
      </c>
      <c r="C95" s="56" t="s">
        <v>113</v>
      </c>
      <c r="D95" s="55">
        <v>3</v>
      </c>
      <c r="E95" s="55" t="s">
        <v>20</v>
      </c>
      <c r="F95" s="18" t="s">
        <v>23</v>
      </c>
      <c r="G95" s="18" t="s">
        <v>23</v>
      </c>
      <c r="H95" s="18" t="s">
        <v>23</v>
      </c>
      <c r="I95" s="18" t="s">
        <v>23</v>
      </c>
      <c r="J95" s="43" t="s">
        <v>21</v>
      </c>
      <c r="K95" s="43" t="s">
        <v>21</v>
      </c>
      <c r="L95" s="43" t="s">
        <v>21</v>
      </c>
      <c r="M95" s="18" t="s">
        <v>21</v>
      </c>
      <c r="N95" s="18" t="s">
        <v>23</v>
      </c>
      <c r="O95" s="18" t="s">
        <v>23</v>
      </c>
      <c r="P95" s="18" t="s">
        <v>23</v>
      </c>
      <c r="Q95" s="18" t="s">
        <v>23</v>
      </c>
      <c r="R95" s="18" t="s">
        <v>21</v>
      </c>
      <c r="S95" s="18" t="s">
        <v>23</v>
      </c>
      <c r="T95" s="18" t="s">
        <v>23</v>
      </c>
      <c r="U95" s="18" t="s">
        <v>21</v>
      </c>
      <c r="V95" s="37" t="s">
        <v>21</v>
      </c>
      <c r="W95" s="37" t="s">
        <v>21</v>
      </c>
      <c r="X95" s="37" t="s">
        <v>21</v>
      </c>
      <c r="Y95" s="18" t="s">
        <v>23</v>
      </c>
      <c r="Z95" s="18" t="s">
        <v>21</v>
      </c>
      <c r="AA95" s="20" t="s">
        <v>21</v>
      </c>
      <c r="AB95" s="20" t="s">
        <v>21</v>
      </c>
      <c r="AC95" s="20" t="s">
        <v>21</v>
      </c>
      <c r="AD95" s="37" t="s">
        <v>23</v>
      </c>
      <c r="AE95" s="37" t="s">
        <v>21</v>
      </c>
      <c r="AG95">
        <f t="shared" si="9"/>
        <v>0</v>
      </c>
      <c r="AH95">
        <f t="shared" si="10"/>
        <v>0</v>
      </c>
      <c r="AI95">
        <f t="shared" si="11"/>
        <v>14</v>
      </c>
      <c r="AJ95">
        <f t="shared" si="12"/>
        <v>12</v>
      </c>
      <c r="AL95">
        <f t="shared" si="13"/>
        <v>0</v>
      </c>
      <c r="AM95">
        <f t="shared" si="14"/>
        <v>0</v>
      </c>
      <c r="AN95">
        <f t="shared" si="15"/>
        <v>28</v>
      </c>
      <c r="AO95">
        <f t="shared" si="16"/>
        <v>12</v>
      </c>
      <c r="AP95">
        <f t="shared" si="17"/>
        <v>40</v>
      </c>
    </row>
    <row r="96" spans="1:42" ht="15.75" hidden="1" customHeight="1" x14ac:dyDescent="0.3">
      <c r="A96" s="16"/>
      <c r="B96" s="55">
        <v>6</v>
      </c>
      <c r="C96" s="56" t="s">
        <v>114</v>
      </c>
      <c r="D96" s="55">
        <v>3</v>
      </c>
      <c r="E96" s="55" t="s">
        <v>20</v>
      </c>
      <c r="F96" s="18" t="s">
        <v>20</v>
      </c>
      <c r="G96" s="18" t="s">
        <v>20</v>
      </c>
      <c r="H96" s="18" t="s">
        <v>20</v>
      </c>
      <c r="I96" s="18" t="s">
        <v>20</v>
      </c>
      <c r="J96" s="43" t="s">
        <v>20</v>
      </c>
      <c r="K96" s="43" t="s">
        <v>20</v>
      </c>
      <c r="L96" s="43" t="s">
        <v>20</v>
      </c>
      <c r="M96" s="18" t="s">
        <v>21</v>
      </c>
      <c r="N96" s="18" t="s">
        <v>20</v>
      </c>
      <c r="O96" s="18" t="s">
        <v>20</v>
      </c>
      <c r="P96" s="18" t="s">
        <v>20</v>
      </c>
      <c r="Q96" s="18" t="s">
        <v>20</v>
      </c>
      <c r="R96" s="18" t="s">
        <v>21</v>
      </c>
      <c r="S96" s="18" t="s">
        <v>21</v>
      </c>
      <c r="T96" s="18" t="s">
        <v>20</v>
      </c>
      <c r="U96" s="18" t="s">
        <v>20</v>
      </c>
      <c r="V96" s="37" t="s">
        <v>21</v>
      </c>
      <c r="W96" s="37" t="s">
        <v>21</v>
      </c>
      <c r="X96" s="37" t="s">
        <v>20</v>
      </c>
      <c r="Y96" s="18" t="s">
        <v>21</v>
      </c>
      <c r="Z96" s="18" t="s">
        <v>20</v>
      </c>
      <c r="AA96" s="20" t="s">
        <v>20</v>
      </c>
      <c r="AB96" s="20" t="s">
        <v>21</v>
      </c>
      <c r="AC96" s="20" t="s">
        <v>21</v>
      </c>
      <c r="AD96" s="37" t="s">
        <v>23</v>
      </c>
      <c r="AE96" s="37" t="s">
        <v>21</v>
      </c>
      <c r="AG96">
        <f t="shared" si="9"/>
        <v>0</v>
      </c>
      <c r="AH96">
        <f t="shared" si="10"/>
        <v>16</v>
      </c>
      <c r="AI96">
        <f t="shared" si="11"/>
        <v>9</v>
      </c>
      <c r="AJ96">
        <f t="shared" si="12"/>
        <v>1</v>
      </c>
      <c r="AL96">
        <f t="shared" si="13"/>
        <v>0</v>
      </c>
      <c r="AM96">
        <f t="shared" si="14"/>
        <v>48</v>
      </c>
      <c r="AN96">
        <f t="shared" si="15"/>
        <v>18</v>
      </c>
      <c r="AO96">
        <f t="shared" si="16"/>
        <v>1</v>
      </c>
      <c r="AP96">
        <f t="shared" si="17"/>
        <v>67</v>
      </c>
    </row>
    <row r="97" spans="1:42" ht="15.75" hidden="1" customHeight="1" x14ac:dyDescent="0.3">
      <c r="A97" s="16"/>
      <c r="B97" s="55">
        <v>7</v>
      </c>
      <c r="C97" s="56" t="s">
        <v>115</v>
      </c>
      <c r="D97" s="55">
        <v>3</v>
      </c>
      <c r="E97" s="55" t="s">
        <v>20</v>
      </c>
      <c r="F97" s="18" t="s">
        <v>23</v>
      </c>
      <c r="G97" s="18" t="s">
        <v>23</v>
      </c>
      <c r="H97" s="18" t="s">
        <v>23</v>
      </c>
      <c r="I97" s="18" t="s">
        <v>23</v>
      </c>
      <c r="J97" s="43" t="s">
        <v>21</v>
      </c>
      <c r="K97" s="43" t="s">
        <v>21</v>
      </c>
      <c r="L97" s="43" t="s">
        <v>21</v>
      </c>
      <c r="M97" s="18" t="s">
        <v>20</v>
      </c>
      <c r="N97" s="18" t="s">
        <v>21</v>
      </c>
      <c r="O97" s="18" t="s">
        <v>21</v>
      </c>
      <c r="P97" s="18" t="s">
        <v>21</v>
      </c>
      <c r="Q97" s="18" t="s">
        <v>21</v>
      </c>
      <c r="R97" s="18" t="s">
        <v>21</v>
      </c>
      <c r="S97" s="18" t="s">
        <v>23</v>
      </c>
      <c r="T97" s="18" t="s">
        <v>23</v>
      </c>
      <c r="U97" s="18" t="s">
        <v>20</v>
      </c>
      <c r="V97" s="37" t="s">
        <v>20</v>
      </c>
      <c r="W97" s="37" t="s">
        <v>21</v>
      </c>
      <c r="X97" s="37" t="s">
        <v>21</v>
      </c>
      <c r="Y97" s="18" t="s">
        <v>23</v>
      </c>
      <c r="Z97" s="18" t="s">
        <v>21</v>
      </c>
      <c r="AA97" s="20" t="s">
        <v>21</v>
      </c>
      <c r="AB97" s="20" t="s">
        <v>20</v>
      </c>
      <c r="AC97" s="20" t="s">
        <v>21</v>
      </c>
      <c r="AD97" s="37" t="s">
        <v>23</v>
      </c>
      <c r="AE97" s="37" t="s">
        <v>21</v>
      </c>
      <c r="AG97">
        <f t="shared" si="9"/>
        <v>0</v>
      </c>
      <c r="AH97">
        <f t="shared" si="10"/>
        <v>4</v>
      </c>
      <c r="AI97">
        <f t="shared" si="11"/>
        <v>14</v>
      </c>
      <c r="AJ97">
        <f t="shared" si="12"/>
        <v>8</v>
      </c>
      <c r="AL97">
        <f t="shared" si="13"/>
        <v>0</v>
      </c>
      <c r="AM97">
        <f t="shared" si="14"/>
        <v>12</v>
      </c>
      <c r="AN97">
        <f t="shared" si="15"/>
        <v>28</v>
      </c>
      <c r="AO97">
        <f t="shared" si="16"/>
        <v>8</v>
      </c>
      <c r="AP97">
        <f t="shared" si="17"/>
        <v>48</v>
      </c>
    </row>
    <row r="98" spans="1:42" ht="15.75" hidden="1" customHeight="1" x14ac:dyDescent="0.3">
      <c r="A98" s="16"/>
      <c r="B98" s="55">
        <v>8</v>
      </c>
      <c r="C98" s="56" t="s">
        <v>116</v>
      </c>
      <c r="D98" s="55">
        <v>3</v>
      </c>
      <c r="E98" s="55" t="s">
        <v>20</v>
      </c>
      <c r="F98" s="18" t="s">
        <v>21</v>
      </c>
      <c r="G98" s="18" t="s">
        <v>21</v>
      </c>
      <c r="H98" s="18" t="s">
        <v>21</v>
      </c>
      <c r="I98" s="18" t="s">
        <v>21</v>
      </c>
      <c r="J98" s="43" t="s">
        <v>20</v>
      </c>
      <c r="K98" s="43" t="s">
        <v>20</v>
      </c>
      <c r="L98" s="43" t="s">
        <v>21</v>
      </c>
      <c r="M98" s="18" t="s">
        <v>20</v>
      </c>
      <c r="N98" s="18" t="s">
        <v>20</v>
      </c>
      <c r="O98" s="18" t="s">
        <v>21</v>
      </c>
      <c r="P98" s="18" t="s">
        <v>21</v>
      </c>
      <c r="Q98" s="18" t="s">
        <v>21</v>
      </c>
      <c r="R98" s="18" t="s">
        <v>21</v>
      </c>
      <c r="S98" s="18" t="s">
        <v>20</v>
      </c>
      <c r="T98" s="18" t="s">
        <v>20</v>
      </c>
      <c r="U98" s="18" t="s">
        <v>20</v>
      </c>
      <c r="V98" s="37" t="s">
        <v>20</v>
      </c>
      <c r="W98" s="37" t="s">
        <v>20</v>
      </c>
      <c r="X98" s="37" t="s">
        <v>20</v>
      </c>
      <c r="Y98" s="18" t="s">
        <v>21</v>
      </c>
      <c r="Z98" s="18" t="s">
        <v>21</v>
      </c>
      <c r="AA98" s="20" t="s">
        <v>21</v>
      </c>
      <c r="AB98" s="20" t="s">
        <v>21</v>
      </c>
      <c r="AC98" s="20" t="s">
        <v>20</v>
      </c>
      <c r="AD98" s="44" t="s">
        <v>21</v>
      </c>
      <c r="AE98" s="44" t="s">
        <v>21</v>
      </c>
      <c r="AG98">
        <f t="shared" si="9"/>
        <v>0</v>
      </c>
      <c r="AH98">
        <f t="shared" si="10"/>
        <v>11</v>
      </c>
      <c r="AI98">
        <f t="shared" si="11"/>
        <v>15</v>
      </c>
      <c r="AJ98">
        <f t="shared" si="12"/>
        <v>0</v>
      </c>
      <c r="AL98">
        <f t="shared" si="13"/>
        <v>0</v>
      </c>
      <c r="AM98">
        <f t="shared" si="14"/>
        <v>33</v>
      </c>
      <c r="AN98">
        <f t="shared" si="15"/>
        <v>30</v>
      </c>
      <c r="AO98">
        <f t="shared" si="16"/>
        <v>0</v>
      </c>
      <c r="AP98">
        <f t="shared" si="17"/>
        <v>63</v>
      </c>
    </row>
    <row r="99" spans="1:42" ht="15.75" hidden="1" customHeight="1" x14ac:dyDescent="0.3">
      <c r="A99" s="16"/>
      <c r="B99" s="55">
        <v>9</v>
      </c>
      <c r="C99" s="56" t="s">
        <v>117</v>
      </c>
      <c r="D99" s="55">
        <v>3</v>
      </c>
      <c r="E99" s="55" t="s">
        <v>20</v>
      </c>
      <c r="F99" s="18" t="s">
        <v>20</v>
      </c>
      <c r="G99" s="18" t="s">
        <v>20</v>
      </c>
      <c r="H99" s="18" t="s">
        <v>20</v>
      </c>
      <c r="I99" s="18" t="s">
        <v>20</v>
      </c>
      <c r="J99" s="43" t="s">
        <v>20</v>
      </c>
      <c r="K99" s="43" t="s">
        <v>39</v>
      </c>
      <c r="L99" s="43" t="s">
        <v>20</v>
      </c>
      <c r="M99" s="18" t="s">
        <v>20</v>
      </c>
      <c r="N99" s="18" t="s">
        <v>20</v>
      </c>
      <c r="O99" s="18" t="s">
        <v>20</v>
      </c>
      <c r="P99" s="18" t="s">
        <v>20</v>
      </c>
      <c r="Q99" s="18" t="s">
        <v>20</v>
      </c>
      <c r="R99" s="18" t="s">
        <v>20</v>
      </c>
      <c r="S99" s="18" t="s">
        <v>20</v>
      </c>
      <c r="T99" s="18" t="s">
        <v>20</v>
      </c>
      <c r="U99" s="18" t="s">
        <v>20</v>
      </c>
      <c r="V99" s="37" t="s">
        <v>20</v>
      </c>
      <c r="W99" s="37" t="s">
        <v>20</v>
      </c>
      <c r="X99" s="37" t="s">
        <v>20</v>
      </c>
      <c r="Y99" s="18" t="s">
        <v>20</v>
      </c>
      <c r="Z99" s="18" t="s">
        <v>39</v>
      </c>
      <c r="AA99" s="20" t="s">
        <v>20</v>
      </c>
      <c r="AB99" s="20" t="s">
        <v>20</v>
      </c>
      <c r="AC99" s="20" t="s">
        <v>20</v>
      </c>
      <c r="AD99" s="37" t="s">
        <v>21</v>
      </c>
      <c r="AE99" s="37" t="s">
        <v>21</v>
      </c>
      <c r="AG99">
        <f t="shared" si="9"/>
        <v>2</v>
      </c>
      <c r="AH99">
        <f t="shared" si="10"/>
        <v>22</v>
      </c>
      <c r="AI99">
        <f t="shared" si="11"/>
        <v>2</v>
      </c>
      <c r="AJ99">
        <f t="shared" si="12"/>
        <v>0</v>
      </c>
      <c r="AL99">
        <f t="shared" si="13"/>
        <v>8</v>
      </c>
      <c r="AM99">
        <f t="shared" si="14"/>
        <v>66</v>
      </c>
      <c r="AN99">
        <f t="shared" si="15"/>
        <v>4</v>
      </c>
      <c r="AO99">
        <f t="shared" si="16"/>
        <v>0</v>
      </c>
      <c r="AP99">
        <f t="shared" si="17"/>
        <v>78</v>
      </c>
    </row>
    <row r="100" spans="1:42" ht="15.75" hidden="1" customHeight="1" x14ac:dyDescent="0.3">
      <c r="A100" s="16"/>
      <c r="B100" s="55">
        <v>10</v>
      </c>
      <c r="C100" s="56" t="s">
        <v>118</v>
      </c>
      <c r="D100" s="55">
        <v>3</v>
      </c>
      <c r="E100" s="55" t="s">
        <v>20</v>
      </c>
      <c r="F100" s="18" t="s">
        <v>23</v>
      </c>
      <c r="G100" s="18" t="s">
        <v>23</v>
      </c>
      <c r="H100" s="18" t="s">
        <v>23</v>
      </c>
      <c r="I100" s="18" t="s">
        <v>23</v>
      </c>
      <c r="J100" s="43" t="s">
        <v>21</v>
      </c>
      <c r="K100" s="43" t="s">
        <v>21</v>
      </c>
      <c r="L100" s="43" t="s">
        <v>21</v>
      </c>
      <c r="M100" s="18" t="s">
        <v>21</v>
      </c>
      <c r="N100" s="18" t="s">
        <v>23</v>
      </c>
      <c r="O100" s="18" t="s">
        <v>21</v>
      </c>
      <c r="P100" s="18" t="s">
        <v>23</v>
      </c>
      <c r="Q100" s="18" t="s">
        <v>21</v>
      </c>
      <c r="R100" s="18" t="s">
        <v>21</v>
      </c>
      <c r="S100" s="18" t="s">
        <v>20</v>
      </c>
      <c r="T100" s="18" t="s">
        <v>20</v>
      </c>
      <c r="U100" s="18" t="s">
        <v>21</v>
      </c>
      <c r="V100" s="37" t="s">
        <v>20</v>
      </c>
      <c r="W100" s="37" t="s">
        <v>21</v>
      </c>
      <c r="X100" s="37" t="s">
        <v>20</v>
      </c>
      <c r="Y100" s="18" t="s">
        <v>20</v>
      </c>
      <c r="Z100" s="18" t="s">
        <v>20</v>
      </c>
      <c r="AA100" s="20" t="s">
        <v>21</v>
      </c>
      <c r="AB100" s="20" t="s">
        <v>21</v>
      </c>
      <c r="AC100" s="20" t="s">
        <v>21</v>
      </c>
      <c r="AD100" s="37" t="s">
        <v>21</v>
      </c>
      <c r="AE100" s="37" t="s">
        <v>21</v>
      </c>
      <c r="AG100">
        <f t="shared" si="9"/>
        <v>0</v>
      </c>
      <c r="AH100">
        <f t="shared" si="10"/>
        <v>6</v>
      </c>
      <c r="AI100">
        <f t="shared" si="11"/>
        <v>14</v>
      </c>
      <c r="AJ100">
        <f t="shared" si="12"/>
        <v>6</v>
      </c>
      <c r="AL100">
        <f t="shared" si="13"/>
        <v>0</v>
      </c>
      <c r="AM100">
        <f t="shared" si="14"/>
        <v>18</v>
      </c>
      <c r="AN100">
        <f t="shared" si="15"/>
        <v>28</v>
      </c>
      <c r="AO100">
        <f t="shared" si="16"/>
        <v>6</v>
      </c>
      <c r="AP100">
        <f t="shared" si="17"/>
        <v>52</v>
      </c>
    </row>
    <row r="101" spans="1:42" ht="15.75" hidden="1" customHeight="1" x14ac:dyDescent="0.3">
      <c r="A101" s="16"/>
      <c r="B101" s="55">
        <v>11</v>
      </c>
      <c r="C101" s="56" t="s">
        <v>119</v>
      </c>
      <c r="D101" s="55">
        <v>3</v>
      </c>
      <c r="E101" s="55" t="s">
        <v>20</v>
      </c>
      <c r="F101" s="18" t="s">
        <v>21</v>
      </c>
      <c r="G101" s="18" t="s">
        <v>21</v>
      </c>
      <c r="H101" s="18" t="s">
        <v>21</v>
      </c>
      <c r="I101" s="18" t="s">
        <v>21</v>
      </c>
      <c r="J101" s="43" t="s">
        <v>21</v>
      </c>
      <c r="K101" s="43" t="s">
        <v>21</v>
      </c>
      <c r="L101" s="43" t="s">
        <v>21</v>
      </c>
      <c r="M101" s="18" t="s">
        <v>21</v>
      </c>
      <c r="N101" s="18" t="s">
        <v>21</v>
      </c>
      <c r="O101" s="18" t="s">
        <v>21</v>
      </c>
      <c r="P101" s="18" t="s">
        <v>23</v>
      </c>
      <c r="Q101" s="18" t="s">
        <v>21</v>
      </c>
      <c r="R101" s="18" t="s">
        <v>21</v>
      </c>
      <c r="S101" s="18" t="s">
        <v>20</v>
      </c>
      <c r="T101" s="18" t="s">
        <v>20</v>
      </c>
      <c r="U101" s="18" t="s">
        <v>21</v>
      </c>
      <c r="V101" s="37" t="s">
        <v>20</v>
      </c>
      <c r="W101" s="37" t="s">
        <v>20</v>
      </c>
      <c r="X101" s="37" t="s">
        <v>20</v>
      </c>
      <c r="Y101" s="18" t="s">
        <v>21</v>
      </c>
      <c r="Z101" s="18" t="s">
        <v>21</v>
      </c>
      <c r="AA101" s="20" t="s">
        <v>21</v>
      </c>
      <c r="AB101" s="20" t="s">
        <v>21</v>
      </c>
      <c r="AC101" s="20" t="s">
        <v>21</v>
      </c>
      <c r="AD101" s="37" t="s">
        <v>23</v>
      </c>
      <c r="AE101" s="37" t="s">
        <v>21</v>
      </c>
      <c r="AG101">
        <f t="shared" si="9"/>
        <v>0</v>
      </c>
      <c r="AH101">
        <f t="shared" si="10"/>
        <v>5</v>
      </c>
      <c r="AI101">
        <f t="shared" si="11"/>
        <v>19</v>
      </c>
      <c r="AJ101">
        <f t="shared" si="12"/>
        <v>2</v>
      </c>
      <c r="AL101">
        <f t="shared" si="13"/>
        <v>0</v>
      </c>
      <c r="AM101">
        <f t="shared" si="14"/>
        <v>15</v>
      </c>
      <c r="AN101">
        <f t="shared" si="15"/>
        <v>38</v>
      </c>
      <c r="AO101">
        <f t="shared" si="16"/>
        <v>2</v>
      </c>
      <c r="AP101">
        <f t="shared" si="17"/>
        <v>55</v>
      </c>
    </row>
    <row r="102" spans="1:42" ht="15.75" hidden="1" customHeight="1" x14ac:dyDescent="0.3">
      <c r="A102" s="16"/>
      <c r="B102" s="55">
        <v>12</v>
      </c>
      <c r="C102" s="56" t="s">
        <v>120</v>
      </c>
      <c r="D102" s="55">
        <v>3</v>
      </c>
      <c r="E102" s="55" t="s">
        <v>20</v>
      </c>
      <c r="F102" s="18" t="s">
        <v>21</v>
      </c>
      <c r="G102" s="18" t="s">
        <v>23</v>
      </c>
      <c r="H102" s="18" t="s">
        <v>23</v>
      </c>
      <c r="I102" s="18" t="s">
        <v>21</v>
      </c>
      <c r="J102" s="43" t="s">
        <v>21</v>
      </c>
      <c r="K102" s="43" t="s">
        <v>20</v>
      </c>
      <c r="L102" s="43" t="s">
        <v>21</v>
      </c>
      <c r="M102" s="18" t="s">
        <v>21</v>
      </c>
      <c r="N102" s="18" t="s">
        <v>21</v>
      </c>
      <c r="O102" s="18" t="s">
        <v>20</v>
      </c>
      <c r="P102" s="18" t="s">
        <v>21</v>
      </c>
      <c r="Q102" s="18" t="s">
        <v>21</v>
      </c>
      <c r="R102" s="18" t="s">
        <v>21</v>
      </c>
      <c r="S102" s="18" t="s">
        <v>21</v>
      </c>
      <c r="T102" s="18" t="s">
        <v>20</v>
      </c>
      <c r="U102" s="18" t="s">
        <v>21</v>
      </c>
      <c r="V102" s="37" t="s">
        <v>20</v>
      </c>
      <c r="W102" s="37" t="s">
        <v>21</v>
      </c>
      <c r="X102" s="37" t="s">
        <v>20</v>
      </c>
      <c r="Y102" s="18" t="s">
        <v>20</v>
      </c>
      <c r="Z102" s="18" t="s">
        <v>20</v>
      </c>
      <c r="AA102" s="20" t="s">
        <v>20</v>
      </c>
      <c r="AB102" s="20" t="s">
        <v>21</v>
      </c>
      <c r="AC102" s="20" t="s">
        <v>20</v>
      </c>
      <c r="AD102" s="37" t="s">
        <v>23</v>
      </c>
      <c r="AE102" s="37" t="s">
        <v>21</v>
      </c>
      <c r="AG102">
        <f t="shared" si="9"/>
        <v>0</v>
      </c>
      <c r="AH102">
        <f t="shared" si="10"/>
        <v>9</v>
      </c>
      <c r="AI102">
        <f t="shared" si="11"/>
        <v>14</v>
      </c>
      <c r="AJ102">
        <f t="shared" si="12"/>
        <v>3</v>
      </c>
      <c r="AL102">
        <f t="shared" si="13"/>
        <v>0</v>
      </c>
      <c r="AM102">
        <f t="shared" si="14"/>
        <v>27</v>
      </c>
      <c r="AN102">
        <f t="shared" si="15"/>
        <v>28</v>
      </c>
      <c r="AO102">
        <f t="shared" si="16"/>
        <v>3</v>
      </c>
      <c r="AP102">
        <f t="shared" si="17"/>
        <v>58</v>
      </c>
    </row>
    <row r="103" spans="1:42" ht="15.75" hidden="1" customHeight="1" x14ac:dyDescent="0.3">
      <c r="A103" s="16"/>
      <c r="B103" s="55">
        <v>13</v>
      </c>
      <c r="C103" s="56" t="s">
        <v>121</v>
      </c>
      <c r="D103" s="55">
        <v>3</v>
      </c>
      <c r="E103" s="55" t="s">
        <v>20</v>
      </c>
      <c r="F103" s="18" t="s">
        <v>20</v>
      </c>
      <c r="G103" s="18" t="s">
        <v>20</v>
      </c>
      <c r="H103" s="18" t="s">
        <v>20</v>
      </c>
      <c r="I103" s="18" t="s">
        <v>20</v>
      </c>
      <c r="J103" s="43" t="s">
        <v>20</v>
      </c>
      <c r="K103" s="43" t="s">
        <v>21</v>
      </c>
      <c r="L103" s="43" t="s">
        <v>21</v>
      </c>
      <c r="M103" s="18" t="s">
        <v>21</v>
      </c>
      <c r="N103" s="18" t="s">
        <v>21</v>
      </c>
      <c r="O103" s="18" t="s">
        <v>20</v>
      </c>
      <c r="P103" s="18" t="s">
        <v>20</v>
      </c>
      <c r="Q103" s="18" t="s">
        <v>20</v>
      </c>
      <c r="R103" s="18" t="s">
        <v>20</v>
      </c>
      <c r="S103" s="18" t="s">
        <v>20</v>
      </c>
      <c r="T103" s="18" t="s">
        <v>20</v>
      </c>
      <c r="U103" s="18" t="s">
        <v>21</v>
      </c>
      <c r="V103" s="37" t="s">
        <v>20</v>
      </c>
      <c r="W103" s="37" t="s">
        <v>21</v>
      </c>
      <c r="X103" s="37" t="s">
        <v>20</v>
      </c>
      <c r="Y103" s="18" t="s">
        <v>21</v>
      </c>
      <c r="Z103" s="18" t="s">
        <v>20</v>
      </c>
      <c r="AA103" s="20" t="s">
        <v>20</v>
      </c>
      <c r="AB103" s="20" t="s">
        <v>21</v>
      </c>
      <c r="AC103" s="20" t="s">
        <v>20</v>
      </c>
      <c r="AD103" s="37" t="s">
        <v>21</v>
      </c>
      <c r="AE103" s="37" t="s">
        <v>21</v>
      </c>
      <c r="AG103">
        <f t="shared" si="9"/>
        <v>0</v>
      </c>
      <c r="AH103">
        <f t="shared" si="10"/>
        <v>16</v>
      </c>
      <c r="AI103">
        <f t="shared" si="11"/>
        <v>10</v>
      </c>
      <c r="AJ103">
        <f t="shared" si="12"/>
        <v>0</v>
      </c>
      <c r="AL103">
        <f t="shared" si="13"/>
        <v>0</v>
      </c>
      <c r="AM103">
        <f t="shared" si="14"/>
        <v>48</v>
      </c>
      <c r="AN103">
        <f t="shared" si="15"/>
        <v>20</v>
      </c>
      <c r="AO103">
        <f t="shared" si="16"/>
        <v>0</v>
      </c>
      <c r="AP103">
        <f t="shared" si="17"/>
        <v>68</v>
      </c>
    </row>
    <row r="104" spans="1:42" ht="15.75" hidden="1" customHeight="1" x14ac:dyDescent="0.3">
      <c r="A104" s="16"/>
      <c r="B104" s="55">
        <v>14</v>
      </c>
      <c r="C104" s="56" t="s">
        <v>122</v>
      </c>
      <c r="D104" s="55">
        <v>3</v>
      </c>
      <c r="E104" s="55" t="s">
        <v>20</v>
      </c>
      <c r="F104" s="18" t="s">
        <v>23</v>
      </c>
      <c r="G104" s="18" t="s">
        <v>23</v>
      </c>
      <c r="H104" s="18" t="s">
        <v>23</v>
      </c>
      <c r="I104" s="18" t="s">
        <v>23</v>
      </c>
      <c r="J104" s="43" t="s">
        <v>21</v>
      </c>
      <c r="K104" s="43" t="s">
        <v>23</v>
      </c>
      <c r="L104" s="43" t="s">
        <v>21</v>
      </c>
      <c r="M104" s="18" t="s">
        <v>21</v>
      </c>
      <c r="N104" s="18" t="s">
        <v>23</v>
      </c>
      <c r="O104" s="18" t="s">
        <v>23</v>
      </c>
      <c r="P104" s="18" t="s">
        <v>23</v>
      </c>
      <c r="Q104" s="18" t="s">
        <v>21</v>
      </c>
      <c r="R104" s="18" t="s">
        <v>23</v>
      </c>
      <c r="S104" s="18" t="s">
        <v>23</v>
      </c>
      <c r="T104" s="18" t="s">
        <v>23</v>
      </c>
      <c r="U104" s="18" t="s">
        <v>21</v>
      </c>
      <c r="V104" s="37" t="s">
        <v>20</v>
      </c>
      <c r="W104" s="37" t="s">
        <v>21</v>
      </c>
      <c r="X104" s="37" t="s">
        <v>20</v>
      </c>
      <c r="Y104" s="18" t="s">
        <v>21</v>
      </c>
      <c r="Z104" s="18" t="s">
        <v>23</v>
      </c>
      <c r="AA104" s="20" t="s">
        <v>23</v>
      </c>
      <c r="AB104" s="20" t="s">
        <v>23</v>
      </c>
      <c r="AC104" s="20" t="s">
        <v>21</v>
      </c>
      <c r="AD104" s="37" t="s">
        <v>21</v>
      </c>
      <c r="AE104" s="37" t="s">
        <v>21</v>
      </c>
      <c r="AG104">
        <f t="shared" si="9"/>
        <v>0</v>
      </c>
      <c r="AH104">
        <f t="shared" si="10"/>
        <v>2</v>
      </c>
      <c r="AI104">
        <f t="shared" si="11"/>
        <v>10</v>
      </c>
      <c r="AJ104">
        <f t="shared" si="12"/>
        <v>14</v>
      </c>
      <c r="AL104">
        <f t="shared" si="13"/>
        <v>0</v>
      </c>
      <c r="AM104">
        <f t="shared" si="14"/>
        <v>6</v>
      </c>
      <c r="AN104">
        <f t="shared" si="15"/>
        <v>20</v>
      </c>
      <c r="AO104">
        <f t="shared" si="16"/>
        <v>14</v>
      </c>
      <c r="AP104">
        <f t="shared" si="17"/>
        <v>40</v>
      </c>
    </row>
    <row r="105" spans="1:42" ht="15.75" hidden="1" customHeight="1" x14ac:dyDescent="0.3">
      <c r="A105" s="16"/>
      <c r="B105" s="55">
        <v>15</v>
      </c>
      <c r="C105" s="56" t="s">
        <v>123</v>
      </c>
      <c r="D105" s="55">
        <v>3</v>
      </c>
      <c r="E105" s="55" t="s">
        <v>20</v>
      </c>
      <c r="F105" s="18" t="s">
        <v>39</v>
      </c>
      <c r="G105" s="18" t="s">
        <v>39</v>
      </c>
      <c r="H105" s="18" t="s">
        <v>20</v>
      </c>
      <c r="I105" s="18" t="s">
        <v>39</v>
      </c>
      <c r="J105" s="43" t="s">
        <v>20</v>
      </c>
      <c r="K105" s="43" t="s">
        <v>20</v>
      </c>
      <c r="L105" s="43" t="s">
        <v>20</v>
      </c>
      <c r="M105" s="18" t="s">
        <v>20</v>
      </c>
      <c r="N105" s="18" t="s">
        <v>21</v>
      </c>
      <c r="O105" s="18" t="s">
        <v>20</v>
      </c>
      <c r="P105" s="18" t="s">
        <v>20</v>
      </c>
      <c r="Q105" s="18" t="s">
        <v>20</v>
      </c>
      <c r="R105" s="18" t="s">
        <v>20</v>
      </c>
      <c r="S105" s="18" t="s">
        <v>20</v>
      </c>
      <c r="T105" s="18" t="s">
        <v>20</v>
      </c>
      <c r="U105" s="18" t="s">
        <v>20</v>
      </c>
      <c r="V105" s="37" t="s">
        <v>20</v>
      </c>
      <c r="W105" s="37" t="s">
        <v>20</v>
      </c>
      <c r="X105" s="37" t="s">
        <v>20</v>
      </c>
      <c r="Y105" s="18" t="s">
        <v>20</v>
      </c>
      <c r="Z105" s="18" t="s">
        <v>21</v>
      </c>
      <c r="AA105" s="20" t="s">
        <v>20</v>
      </c>
      <c r="AB105" s="20" t="s">
        <v>20</v>
      </c>
      <c r="AC105" s="20" t="s">
        <v>20</v>
      </c>
      <c r="AD105" s="37" t="s">
        <v>20</v>
      </c>
      <c r="AE105" s="37" t="s">
        <v>21</v>
      </c>
      <c r="AG105">
        <f t="shared" si="9"/>
        <v>3</v>
      </c>
      <c r="AH105">
        <f t="shared" si="10"/>
        <v>20</v>
      </c>
      <c r="AI105">
        <f t="shared" si="11"/>
        <v>3</v>
      </c>
      <c r="AJ105">
        <f t="shared" si="12"/>
        <v>0</v>
      </c>
      <c r="AL105">
        <f t="shared" si="13"/>
        <v>12</v>
      </c>
      <c r="AM105">
        <f t="shared" si="14"/>
        <v>60</v>
      </c>
      <c r="AN105">
        <f t="shared" si="15"/>
        <v>6</v>
      </c>
      <c r="AO105">
        <f t="shared" si="16"/>
        <v>0</v>
      </c>
      <c r="AP105">
        <f t="shared" si="17"/>
        <v>78</v>
      </c>
    </row>
    <row r="106" spans="1:42" ht="15.75" hidden="1" customHeight="1" x14ac:dyDescent="0.3">
      <c r="A106" s="16"/>
      <c r="B106" s="55">
        <v>16</v>
      </c>
      <c r="C106" s="56" t="s">
        <v>124</v>
      </c>
      <c r="D106" s="55">
        <v>3</v>
      </c>
      <c r="E106" s="55" t="s">
        <v>20</v>
      </c>
      <c r="F106" s="18" t="s">
        <v>20</v>
      </c>
      <c r="G106" s="18" t="s">
        <v>20</v>
      </c>
      <c r="H106" s="18" t="s">
        <v>20</v>
      </c>
      <c r="I106" s="18" t="s">
        <v>20</v>
      </c>
      <c r="J106" s="43" t="s">
        <v>20</v>
      </c>
      <c r="K106" s="43" t="s">
        <v>20</v>
      </c>
      <c r="L106" s="43" t="s">
        <v>20</v>
      </c>
      <c r="M106" s="18" t="s">
        <v>20</v>
      </c>
      <c r="N106" s="18" t="s">
        <v>20</v>
      </c>
      <c r="O106" s="18" t="s">
        <v>20</v>
      </c>
      <c r="P106" s="18" t="s">
        <v>20</v>
      </c>
      <c r="Q106" s="18" t="s">
        <v>20</v>
      </c>
      <c r="R106" s="18" t="s">
        <v>20</v>
      </c>
      <c r="S106" s="18" t="s">
        <v>20</v>
      </c>
      <c r="T106" s="18" t="s">
        <v>20</v>
      </c>
      <c r="U106" s="18" t="s">
        <v>20</v>
      </c>
      <c r="V106" s="37" t="s">
        <v>20</v>
      </c>
      <c r="W106" s="37" t="s">
        <v>20</v>
      </c>
      <c r="X106" s="37" t="s">
        <v>20</v>
      </c>
      <c r="Y106" s="18" t="s">
        <v>20</v>
      </c>
      <c r="Z106" s="18" t="s">
        <v>20</v>
      </c>
      <c r="AA106" s="20" t="s">
        <v>20</v>
      </c>
      <c r="AB106" s="20" t="s">
        <v>20</v>
      </c>
      <c r="AC106" s="20" t="s">
        <v>20</v>
      </c>
      <c r="AD106" s="37" t="s">
        <v>20</v>
      </c>
      <c r="AE106" s="37" t="s">
        <v>21</v>
      </c>
      <c r="AG106">
        <f t="shared" si="9"/>
        <v>0</v>
      </c>
      <c r="AH106">
        <f t="shared" si="10"/>
        <v>25</v>
      </c>
      <c r="AI106">
        <f t="shared" si="11"/>
        <v>1</v>
      </c>
      <c r="AJ106">
        <f t="shared" si="12"/>
        <v>0</v>
      </c>
      <c r="AL106">
        <f t="shared" si="13"/>
        <v>0</v>
      </c>
      <c r="AM106">
        <f t="shared" si="14"/>
        <v>75</v>
      </c>
      <c r="AN106">
        <f t="shared" si="15"/>
        <v>2</v>
      </c>
      <c r="AO106">
        <f t="shared" si="16"/>
        <v>0</v>
      </c>
      <c r="AP106">
        <f t="shared" si="17"/>
        <v>77</v>
      </c>
    </row>
    <row r="107" spans="1:42" ht="15.75" hidden="1" customHeight="1" x14ac:dyDescent="0.3">
      <c r="A107" s="16"/>
      <c r="B107" s="55">
        <v>17</v>
      </c>
      <c r="C107" s="56" t="s">
        <v>125</v>
      </c>
      <c r="D107" s="55">
        <v>3</v>
      </c>
      <c r="E107" s="55" t="s">
        <v>20</v>
      </c>
      <c r="F107" s="18" t="s">
        <v>20</v>
      </c>
      <c r="G107" s="18" t="s">
        <v>20</v>
      </c>
      <c r="H107" s="18" t="s">
        <v>20</v>
      </c>
      <c r="I107" s="18" t="s">
        <v>20</v>
      </c>
      <c r="J107" s="43" t="s">
        <v>39</v>
      </c>
      <c r="K107" s="43" t="s">
        <v>20</v>
      </c>
      <c r="L107" s="43" t="s">
        <v>20</v>
      </c>
      <c r="M107" s="18" t="s">
        <v>20</v>
      </c>
      <c r="N107" s="18" t="s">
        <v>20</v>
      </c>
      <c r="O107" s="18" t="s">
        <v>20</v>
      </c>
      <c r="P107" s="18" t="s">
        <v>20</v>
      </c>
      <c r="Q107" s="18" t="s">
        <v>20</v>
      </c>
      <c r="R107" s="18" t="s">
        <v>20</v>
      </c>
      <c r="S107" s="18" t="s">
        <v>21</v>
      </c>
      <c r="T107" s="18" t="s">
        <v>20</v>
      </c>
      <c r="U107" s="18" t="s">
        <v>20</v>
      </c>
      <c r="V107" s="37" t="s">
        <v>21</v>
      </c>
      <c r="W107" s="37" t="s">
        <v>20</v>
      </c>
      <c r="X107" s="37" t="s">
        <v>21</v>
      </c>
      <c r="Y107" s="18" t="s">
        <v>20</v>
      </c>
      <c r="Z107" s="18" t="s">
        <v>20</v>
      </c>
      <c r="AA107" s="20" t="s">
        <v>20</v>
      </c>
      <c r="AB107" s="20" t="s">
        <v>20</v>
      </c>
      <c r="AC107" s="20" t="s">
        <v>20</v>
      </c>
      <c r="AD107" s="37" t="s">
        <v>20</v>
      </c>
      <c r="AE107" s="37" t="s">
        <v>21</v>
      </c>
      <c r="AG107">
        <f t="shared" si="9"/>
        <v>1</v>
      </c>
      <c r="AH107">
        <f t="shared" si="10"/>
        <v>21</v>
      </c>
      <c r="AI107">
        <f t="shared" si="11"/>
        <v>4</v>
      </c>
      <c r="AJ107">
        <f t="shared" si="12"/>
        <v>0</v>
      </c>
      <c r="AL107">
        <f t="shared" si="13"/>
        <v>4</v>
      </c>
      <c r="AM107">
        <f t="shared" si="14"/>
        <v>63</v>
      </c>
      <c r="AN107">
        <f t="shared" si="15"/>
        <v>8</v>
      </c>
      <c r="AO107">
        <f t="shared" si="16"/>
        <v>0</v>
      </c>
      <c r="AP107">
        <f t="shared" si="17"/>
        <v>75</v>
      </c>
    </row>
    <row r="108" spans="1:42" ht="15.75" hidden="1" customHeight="1" x14ac:dyDescent="0.3">
      <c r="A108" s="16"/>
      <c r="B108" s="55">
        <v>18</v>
      </c>
      <c r="C108" s="56" t="s">
        <v>126</v>
      </c>
      <c r="D108" s="55">
        <v>3</v>
      </c>
      <c r="E108" s="55" t="s">
        <v>20</v>
      </c>
      <c r="F108" s="18" t="s">
        <v>39</v>
      </c>
      <c r="G108" s="18" t="s">
        <v>20</v>
      </c>
      <c r="H108" s="18" t="s">
        <v>20</v>
      </c>
      <c r="I108" s="18" t="s">
        <v>20</v>
      </c>
      <c r="J108" s="43" t="s">
        <v>20</v>
      </c>
      <c r="K108" s="43" t="s">
        <v>20</v>
      </c>
      <c r="L108" s="43" t="s">
        <v>20</v>
      </c>
      <c r="M108" s="18" t="s">
        <v>20</v>
      </c>
      <c r="N108" s="18" t="s">
        <v>20</v>
      </c>
      <c r="O108" s="18" t="s">
        <v>20</v>
      </c>
      <c r="P108" s="18" t="s">
        <v>20</v>
      </c>
      <c r="Q108" s="18" t="s">
        <v>20</v>
      </c>
      <c r="R108" s="18" t="s">
        <v>20</v>
      </c>
      <c r="S108" s="18" t="s">
        <v>20</v>
      </c>
      <c r="T108" s="18" t="s">
        <v>20</v>
      </c>
      <c r="U108" s="18" t="s">
        <v>20</v>
      </c>
      <c r="V108" s="37" t="s">
        <v>20</v>
      </c>
      <c r="W108" s="37" t="s">
        <v>20</v>
      </c>
      <c r="X108" s="37" t="s">
        <v>20</v>
      </c>
      <c r="Y108" s="18" t="s">
        <v>21</v>
      </c>
      <c r="Z108" s="18" t="s">
        <v>20</v>
      </c>
      <c r="AA108" s="20" t="s">
        <v>20</v>
      </c>
      <c r="AB108" s="20" t="s">
        <v>20</v>
      </c>
      <c r="AC108" s="20" t="s">
        <v>20</v>
      </c>
      <c r="AD108" s="37" t="s">
        <v>20</v>
      </c>
      <c r="AE108" s="37" t="s">
        <v>21</v>
      </c>
      <c r="AG108">
        <f t="shared" si="9"/>
        <v>1</v>
      </c>
      <c r="AH108">
        <f t="shared" si="10"/>
        <v>23</v>
      </c>
      <c r="AI108">
        <f t="shared" si="11"/>
        <v>2</v>
      </c>
      <c r="AJ108">
        <f t="shared" si="12"/>
        <v>0</v>
      </c>
      <c r="AL108">
        <f t="shared" si="13"/>
        <v>4</v>
      </c>
      <c r="AM108">
        <f t="shared" si="14"/>
        <v>69</v>
      </c>
      <c r="AN108">
        <f t="shared" si="15"/>
        <v>4</v>
      </c>
      <c r="AO108">
        <f t="shared" si="16"/>
        <v>0</v>
      </c>
      <c r="AP108">
        <f t="shared" si="17"/>
        <v>77</v>
      </c>
    </row>
    <row r="109" spans="1:42" ht="15.75" hidden="1" customHeight="1" thickBot="1" x14ac:dyDescent="0.35">
      <c r="A109" s="16"/>
      <c r="B109" s="57">
        <v>19</v>
      </c>
      <c r="C109" s="58" t="s">
        <v>127</v>
      </c>
      <c r="D109" s="57">
        <v>3</v>
      </c>
      <c r="E109" s="57" t="s">
        <v>20</v>
      </c>
      <c r="F109" s="21" t="s">
        <v>21</v>
      </c>
      <c r="G109" s="21" t="s">
        <v>23</v>
      </c>
      <c r="H109" s="21" t="s">
        <v>23</v>
      </c>
      <c r="I109" s="21" t="s">
        <v>23</v>
      </c>
      <c r="J109" s="45" t="s">
        <v>21</v>
      </c>
      <c r="K109" s="45" t="s">
        <v>20</v>
      </c>
      <c r="L109" s="45" t="s">
        <v>21</v>
      </c>
      <c r="M109" s="21" t="s">
        <v>21</v>
      </c>
      <c r="N109" s="21" t="s">
        <v>21</v>
      </c>
      <c r="O109" s="21" t="s">
        <v>21</v>
      </c>
      <c r="P109" s="21" t="s">
        <v>21</v>
      </c>
      <c r="Q109" s="21" t="s">
        <v>21</v>
      </c>
      <c r="R109" s="21" t="s">
        <v>21</v>
      </c>
      <c r="S109" s="21" t="s">
        <v>20</v>
      </c>
      <c r="T109" s="21" t="s">
        <v>20</v>
      </c>
      <c r="U109" s="21" t="s">
        <v>20</v>
      </c>
      <c r="V109" s="38" t="s">
        <v>20</v>
      </c>
      <c r="W109" s="38" t="s">
        <v>21</v>
      </c>
      <c r="X109" s="38" t="s">
        <v>20</v>
      </c>
      <c r="Y109" s="21" t="s">
        <v>23</v>
      </c>
      <c r="Z109" s="21" t="s">
        <v>20</v>
      </c>
      <c r="AA109" s="23" t="s">
        <v>21</v>
      </c>
      <c r="AB109" s="23" t="s">
        <v>21</v>
      </c>
      <c r="AC109" s="23" t="s">
        <v>21</v>
      </c>
      <c r="AD109" s="38" t="s">
        <v>21</v>
      </c>
      <c r="AE109" s="38" t="s">
        <v>21</v>
      </c>
      <c r="AG109">
        <f t="shared" si="9"/>
        <v>0</v>
      </c>
      <c r="AH109">
        <f t="shared" si="10"/>
        <v>7</v>
      </c>
      <c r="AI109">
        <f t="shared" si="11"/>
        <v>15</v>
      </c>
      <c r="AJ109">
        <f t="shared" si="12"/>
        <v>4</v>
      </c>
      <c r="AL109">
        <f t="shared" si="13"/>
        <v>0</v>
      </c>
      <c r="AM109">
        <f t="shared" si="14"/>
        <v>21</v>
      </c>
      <c r="AN109">
        <f t="shared" si="15"/>
        <v>30</v>
      </c>
      <c r="AO109">
        <f t="shared" si="16"/>
        <v>4</v>
      </c>
      <c r="AP109">
        <f t="shared" si="17"/>
        <v>55</v>
      </c>
    </row>
    <row r="110" spans="1:42" ht="15.75" hidden="1" customHeight="1" x14ac:dyDescent="0.3">
      <c r="A110" s="16"/>
      <c r="B110" s="59">
        <v>1</v>
      </c>
      <c r="C110" s="60" t="s">
        <v>128</v>
      </c>
      <c r="D110" s="59">
        <v>3</v>
      </c>
      <c r="E110" s="59" t="s">
        <v>21</v>
      </c>
      <c r="F110" s="24" t="s">
        <v>21</v>
      </c>
      <c r="G110" s="24" t="s">
        <v>20</v>
      </c>
      <c r="H110" s="24" t="s">
        <v>20</v>
      </c>
      <c r="I110" s="24" t="s">
        <v>20</v>
      </c>
      <c r="J110" s="27" t="s">
        <v>20</v>
      </c>
      <c r="K110" s="27" t="s">
        <v>20</v>
      </c>
      <c r="L110" s="27" t="s">
        <v>21</v>
      </c>
      <c r="M110" s="24" t="s">
        <v>20</v>
      </c>
      <c r="N110" s="24" t="s">
        <v>20</v>
      </c>
      <c r="O110" s="24" t="s">
        <v>20</v>
      </c>
      <c r="P110" s="24" t="s">
        <v>21</v>
      </c>
      <c r="Q110" s="24" t="s">
        <v>21</v>
      </c>
      <c r="R110" s="24" t="s">
        <v>20</v>
      </c>
      <c r="S110" s="24" t="s">
        <v>20</v>
      </c>
      <c r="T110" s="24" t="s">
        <v>20</v>
      </c>
      <c r="U110" s="24" t="s">
        <v>20</v>
      </c>
      <c r="V110" s="39" t="s">
        <v>21</v>
      </c>
      <c r="W110" s="39" t="s">
        <v>20</v>
      </c>
      <c r="X110" s="39" t="s">
        <v>20</v>
      </c>
      <c r="Y110" s="24" t="s">
        <v>20</v>
      </c>
      <c r="Z110" s="24" t="s">
        <v>20</v>
      </c>
      <c r="AA110" s="27" t="s">
        <v>21</v>
      </c>
      <c r="AB110" s="27" t="s">
        <v>21</v>
      </c>
      <c r="AC110" s="27" t="s">
        <v>21</v>
      </c>
      <c r="AD110" s="39" t="s">
        <v>21</v>
      </c>
      <c r="AE110" s="39" t="s">
        <v>21</v>
      </c>
      <c r="AG110">
        <f t="shared" si="9"/>
        <v>0</v>
      </c>
      <c r="AH110">
        <f t="shared" si="10"/>
        <v>16</v>
      </c>
      <c r="AI110">
        <f t="shared" si="11"/>
        <v>10</v>
      </c>
      <c r="AJ110">
        <f t="shared" si="12"/>
        <v>0</v>
      </c>
      <c r="AL110">
        <f t="shared" si="13"/>
        <v>0</v>
      </c>
      <c r="AM110">
        <f t="shared" si="14"/>
        <v>48</v>
      </c>
      <c r="AN110">
        <f t="shared" si="15"/>
        <v>20</v>
      </c>
      <c r="AO110">
        <f t="shared" si="16"/>
        <v>0</v>
      </c>
      <c r="AP110">
        <f t="shared" si="17"/>
        <v>68</v>
      </c>
    </row>
    <row r="111" spans="1:42" ht="15.75" hidden="1" customHeight="1" x14ac:dyDescent="0.3">
      <c r="A111" s="16"/>
      <c r="B111" s="55">
        <v>2</v>
      </c>
      <c r="C111" s="56" t="s">
        <v>129</v>
      </c>
      <c r="D111" s="55">
        <v>3</v>
      </c>
      <c r="E111" s="55" t="s">
        <v>21</v>
      </c>
      <c r="F111" s="18" t="s">
        <v>21</v>
      </c>
      <c r="G111" s="18" t="s">
        <v>20</v>
      </c>
      <c r="H111" s="18" t="s">
        <v>20</v>
      </c>
      <c r="I111" s="18" t="s">
        <v>20</v>
      </c>
      <c r="J111" s="20" t="s">
        <v>20</v>
      </c>
      <c r="K111" s="20" t="s">
        <v>20</v>
      </c>
      <c r="L111" s="20" t="s">
        <v>21</v>
      </c>
      <c r="M111" s="18" t="s">
        <v>20</v>
      </c>
      <c r="N111" s="18" t="s">
        <v>20</v>
      </c>
      <c r="O111" s="18" t="s">
        <v>20</v>
      </c>
      <c r="P111" s="18" t="s">
        <v>21</v>
      </c>
      <c r="Q111" s="18" t="s">
        <v>20</v>
      </c>
      <c r="R111" s="18" t="s">
        <v>20</v>
      </c>
      <c r="S111" s="18" t="s">
        <v>21</v>
      </c>
      <c r="T111" s="18" t="s">
        <v>20</v>
      </c>
      <c r="U111" s="18" t="s">
        <v>20</v>
      </c>
      <c r="V111" s="37" t="s">
        <v>21</v>
      </c>
      <c r="W111" s="37" t="s">
        <v>20</v>
      </c>
      <c r="X111" s="37" t="s">
        <v>20</v>
      </c>
      <c r="Y111" s="18" t="s">
        <v>21</v>
      </c>
      <c r="Z111" s="18" t="s">
        <v>20</v>
      </c>
      <c r="AA111" s="20" t="s">
        <v>20</v>
      </c>
      <c r="AB111" s="20" t="s">
        <v>20</v>
      </c>
      <c r="AC111" s="20" t="s">
        <v>20</v>
      </c>
      <c r="AD111" s="37" t="s">
        <v>21</v>
      </c>
      <c r="AE111" s="37" t="s">
        <v>21</v>
      </c>
      <c r="AG111">
        <f t="shared" si="9"/>
        <v>0</v>
      </c>
      <c r="AH111">
        <f t="shared" si="10"/>
        <v>18</v>
      </c>
      <c r="AI111">
        <f t="shared" si="11"/>
        <v>8</v>
      </c>
      <c r="AJ111">
        <f t="shared" si="12"/>
        <v>0</v>
      </c>
      <c r="AL111">
        <f t="shared" si="13"/>
        <v>0</v>
      </c>
      <c r="AM111">
        <f t="shared" si="14"/>
        <v>54</v>
      </c>
      <c r="AN111">
        <f t="shared" si="15"/>
        <v>16</v>
      </c>
      <c r="AO111">
        <f t="shared" si="16"/>
        <v>0</v>
      </c>
      <c r="AP111">
        <f t="shared" si="17"/>
        <v>70</v>
      </c>
    </row>
    <row r="112" spans="1:42" ht="15.75" hidden="1" customHeight="1" x14ac:dyDescent="0.3">
      <c r="A112" s="16"/>
      <c r="B112" s="55">
        <v>3</v>
      </c>
      <c r="C112" s="56" t="s">
        <v>130</v>
      </c>
      <c r="D112" s="55">
        <v>3</v>
      </c>
      <c r="E112" s="55" t="s">
        <v>21</v>
      </c>
      <c r="F112" s="18" t="s">
        <v>20</v>
      </c>
      <c r="G112" s="18" t="s">
        <v>20</v>
      </c>
      <c r="H112" s="18" t="s">
        <v>20</v>
      </c>
      <c r="I112" s="18" t="s">
        <v>20</v>
      </c>
      <c r="J112" s="20" t="s">
        <v>20</v>
      </c>
      <c r="K112" s="20" t="s">
        <v>20</v>
      </c>
      <c r="L112" s="20" t="s">
        <v>21</v>
      </c>
      <c r="M112" s="18" t="s">
        <v>20</v>
      </c>
      <c r="N112" s="18" t="s">
        <v>20</v>
      </c>
      <c r="O112" s="18" t="s">
        <v>21</v>
      </c>
      <c r="P112" s="18" t="s">
        <v>20</v>
      </c>
      <c r="Q112" s="18" t="s">
        <v>20</v>
      </c>
      <c r="R112" s="18" t="s">
        <v>20</v>
      </c>
      <c r="S112" s="18" t="s">
        <v>20</v>
      </c>
      <c r="T112" s="18" t="s">
        <v>20</v>
      </c>
      <c r="U112" s="18" t="s">
        <v>20</v>
      </c>
      <c r="V112" s="37" t="s">
        <v>20</v>
      </c>
      <c r="W112" s="37" t="s">
        <v>20</v>
      </c>
      <c r="X112" s="37" t="s">
        <v>20</v>
      </c>
      <c r="Y112" s="18" t="s">
        <v>20</v>
      </c>
      <c r="Z112" s="18" t="s">
        <v>20</v>
      </c>
      <c r="AA112" s="20" t="s">
        <v>20</v>
      </c>
      <c r="AB112" s="20" t="s">
        <v>20</v>
      </c>
      <c r="AC112" s="20" t="s">
        <v>20</v>
      </c>
      <c r="AD112" s="37" t="s">
        <v>20</v>
      </c>
      <c r="AE112" s="37" t="s">
        <v>21</v>
      </c>
      <c r="AG112">
        <f t="shared" si="9"/>
        <v>0</v>
      </c>
      <c r="AH112">
        <f t="shared" si="10"/>
        <v>23</v>
      </c>
      <c r="AI112">
        <f t="shared" si="11"/>
        <v>3</v>
      </c>
      <c r="AJ112">
        <f t="shared" si="12"/>
        <v>0</v>
      </c>
      <c r="AL112">
        <f t="shared" si="13"/>
        <v>0</v>
      </c>
      <c r="AM112">
        <f t="shared" si="14"/>
        <v>69</v>
      </c>
      <c r="AN112">
        <f t="shared" si="15"/>
        <v>6</v>
      </c>
      <c r="AO112">
        <f t="shared" si="16"/>
        <v>0</v>
      </c>
      <c r="AP112">
        <f t="shared" si="17"/>
        <v>75</v>
      </c>
    </row>
    <row r="113" spans="1:42" ht="15.75" hidden="1" customHeight="1" x14ac:dyDescent="0.3">
      <c r="A113" s="16"/>
      <c r="B113" s="55">
        <v>4</v>
      </c>
      <c r="C113" s="56" t="s">
        <v>131</v>
      </c>
      <c r="D113" s="55">
        <v>3</v>
      </c>
      <c r="E113" s="55" t="s">
        <v>21</v>
      </c>
      <c r="F113" s="18" t="s">
        <v>21</v>
      </c>
      <c r="G113" s="18" t="s">
        <v>21</v>
      </c>
      <c r="H113" s="18" t="s">
        <v>21</v>
      </c>
      <c r="I113" s="18" t="s">
        <v>20</v>
      </c>
      <c r="J113" s="20" t="s">
        <v>20</v>
      </c>
      <c r="K113" s="20" t="s">
        <v>20</v>
      </c>
      <c r="L113" s="20" t="s">
        <v>20</v>
      </c>
      <c r="M113" s="18" t="s">
        <v>20</v>
      </c>
      <c r="N113" s="18" t="s">
        <v>20</v>
      </c>
      <c r="O113" s="18" t="s">
        <v>20</v>
      </c>
      <c r="P113" s="18" t="s">
        <v>20</v>
      </c>
      <c r="Q113" s="18" t="s">
        <v>21</v>
      </c>
      <c r="R113" s="18" t="s">
        <v>20</v>
      </c>
      <c r="S113" s="18" t="s">
        <v>20</v>
      </c>
      <c r="T113" s="18" t="s">
        <v>20</v>
      </c>
      <c r="U113" s="18" t="s">
        <v>20</v>
      </c>
      <c r="V113" s="37" t="s">
        <v>21</v>
      </c>
      <c r="W113" s="37" t="s">
        <v>20</v>
      </c>
      <c r="X113" s="37" t="s">
        <v>21</v>
      </c>
      <c r="Y113" s="18" t="s">
        <v>20</v>
      </c>
      <c r="Z113" s="18" t="s">
        <v>20</v>
      </c>
      <c r="AA113" s="20" t="s">
        <v>21</v>
      </c>
      <c r="AB113" s="20" t="s">
        <v>21</v>
      </c>
      <c r="AC113" s="20" t="s">
        <v>21</v>
      </c>
      <c r="AD113" s="37" t="s">
        <v>23</v>
      </c>
      <c r="AE113" s="37" t="s">
        <v>21</v>
      </c>
      <c r="AG113">
        <f t="shared" si="9"/>
        <v>0</v>
      </c>
      <c r="AH113">
        <f t="shared" si="10"/>
        <v>15</v>
      </c>
      <c r="AI113">
        <f t="shared" si="11"/>
        <v>10</v>
      </c>
      <c r="AJ113">
        <f t="shared" si="12"/>
        <v>1</v>
      </c>
      <c r="AL113">
        <f t="shared" si="13"/>
        <v>0</v>
      </c>
      <c r="AM113">
        <f t="shared" si="14"/>
        <v>45</v>
      </c>
      <c r="AN113">
        <f t="shared" si="15"/>
        <v>20</v>
      </c>
      <c r="AO113">
        <f t="shared" si="16"/>
        <v>1</v>
      </c>
      <c r="AP113">
        <f t="shared" si="17"/>
        <v>66</v>
      </c>
    </row>
    <row r="114" spans="1:42" ht="15.75" hidden="1" customHeight="1" x14ac:dyDescent="0.3">
      <c r="A114" s="16"/>
      <c r="B114" s="55">
        <v>5</v>
      </c>
      <c r="C114" s="56" t="s">
        <v>132</v>
      </c>
      <c r="D114" s="55">
        <v>3</v>
      </c>
      <c r="E114" s="55" t="s">
        <v>21</v>
      </c>
      <c r="F114" s="18" t="s">
        <v>21</v>
      </c>
      <c r="G114" s="18" t="s">
        <v>20</v>
      </c>
      <c r="H114" s="18" t="s">
        <v>21</v>
      </c>
      <c r="I114" s="18" t="s">
        <v>20</v>
      </c>
      <c r="J114" s="20" t="s">
        <v>39</v>
      </c>
      <c r="K114" s="20" t="s">
        <v>39</v>
      </c>
      <c r="L114" s="20" t="s">
        <v>20</v>
      </c>
      <c r="M114" s="18" t="s">
        <v>20</v>
      </c>
      <c r="N114" s="18" t="s">
        <v>20</v>
      </c>
      <c r="O114" s="18" t="s">
        <v>20</v>
      </c>
      <c r="P114" s="18" t="s">
        <v>21</v>
      </c>
      <c r="Q114" s="18" t="s">
        <v>20</v>
      </c>
      <c r="R114" s="18" t="s">
        <v>20</v>
      </c>
      <c r="S114" s="18" t="s">
        <v>20</v>
      </c>
      <c r="T114" s="18" t="s">
        <v>20</v>
      </c>
      <c r="U114" s="18" t="s">
        <v>20</v>
      </c>
      <c r="V114" s="37" t="s">
        <v>20</v>
      </c>
      <c r="W114" s="37" t="s">
        <v>20</v>
      </c>
      <c r="X114" s="37" t="s">
        <v>20</v>
      </c>
      <c r="Y114" s="18" t="s">
        <v>20</v>
      </c>
      <c r="Z114" s="18" t="s">
        <v>20</v>
      </c>
      <c r="AA114" s="20" t="s">
        <v>20</v>
      </c>
      <c r="AB114" s="20" t="s">
        <v>20</v>
      </c>
      <c r="AC114" s="20" t="s">
        <v>20</v>
      </c>
      <c r="AD114" s="29" t="s">
        <v>23</v>
      </c>
      <c r="AE114" s="29" t="s">
        <v>21</v>
      </c>
      <c r="AG114">
        <f t="shared" si="9"/>
        <v>2</v>
      </c>
      <c r="AH114">
        <f t="shared" si="10"/>
        <v>19</v>
      </c>
      <c r="AI114">
        <f t="shared" si="11"/>
        <v>4</v>
      </c>
      <c r="AJ114">
        <f t="shared" si="12"/>
        <v>1</v>
      </c>
      <c r="AL114">
        <f t="shared" si="13"/>
        <v>8</v>
      </c>
      <c r="AM114">
        <f t="shared" si="14"/>
        <v>57</v>
      </c>
      <c r="AN114">
        <f t="shared" si="15"/>
        <v>8</v>
      </c>
      <c r="AO114">
        <f t="shared" si="16"/>
        <v>1</v>
      </c>
      <c r="AP114">
        <f t="shared" si="17"/>
        <v>74</v>
      </c>
    </row>
    <row r="115" spans="1:42" ht="15.75" hidden="1" customHeight="1" x14ac:dyDescent="0.3">
      <c r="A115" s="16"/>
      <c r="B115" s="55">
        <v>6</v>
      </c>
      <c r="C115" s="56" t="s">
        <v>133</v>
      </c>
      <c r="D115" s="55">
        <v>3</v>
      </c>
      <c r="E115" s="55" t="s">
        <v>21</v>
      </c>
      <c r="F115" s="18" t="s">
        <v>20</v>
      </c>
      <c r="G115" s="18" t="s">
        <v>20</v>
      </c>
      <c r="H115" s="18" t="s">
        <v>20</v>
      </c>
      <c r="I115" s="18" t="s">
        <v>20</v>
      </c>
      <c r="J115" s="20" t="s">
        <v>20</v>
      </c>
      <c r="K115" s="20" t="s">
        <v>20</v>
      </c>
      <c r="L115" s="20" t="s">
        <v>20</v>
      </c>
      <c r="M115" s="18" t="s">
        <v>20</v>
      </c>
      <c r="N115" s="18" t="s">
        <v>20</v>
      </c>
      <c r="O115" s="18" t="s">
        <v>20</v>
      </c>
      <c r="P115" s="18" t="s">
        <v>21</v>
      </c>
      <c r="Q115" s="18" t="s">
        <v>20</v>
      </c>
      <c r="R115" s="18" t="s">
        <v>20</v>
      </c>
      <c r="S115" s="18" t="s">
        <v>20</v>
      </c>
      <c r="T115" s="18" t="s">
        <v>20</v>
      </c>
      <c r="U115" s="18" t="s">
        <v>20</v>
      </c>
      <c r="V115" s="37" t="s">
        <v>20</v>
      </c>
      <c r="W115" s="37" t="s">
        <v>20</v>
      </c>
      <c r="X115" s="37" t="s">
        <v>21</v>
      </c>
      <c r="Y115" s="18" t="s">
        <v>20</v>
      </c>
      <c r="Z115" s="18" t="s">
        <v>20</v>
      </c>
      <c r="AA115" s="20" t="s">
        <v>20</v>
      </c>
      <c r="AB115" s="20" t="s">
        <v>20</v>
      </c>
      <c r="AC115" s="20" t="s">
        <v>20</v>
      </c>
      <c r="AD115" s="29" t="s">
        <v>20</v>
      </c>
      <c r="AE115" s="29" t="s">
        <v>21</v>
      </c>
      <c r="AG115">
        <f t="shared" si="9"/>
        <v>0</v>
      </c>
      <c r="AH115">
        <f t="shared" si="10"/>
        <v>23</v>
      </c>
      <c r="AI115">
        <f t="shared" si="11"/>
        <v>3</v>
      </c>
      <c r="AJ115">
        <f t="shared" si="12"/>
        <v>0</v>
      </c>
      <c r="AL115">
        <f t="shared" si="13"/>
        <v>0</v>
      </c>
      <c r="AM115">
        <f t="shared" si="14"/>
        <v>69</v>
      </c>
      <c r="AN115">
        <f t="shared" si="15"/>
        <v>6</v>
      </c>
      <c r="AO115">
        <f t="shared" si="16"/>
        <v>0</v>
      </c>
      <c r="AP115">
        <f t="shared" si="17"/>
        <v>75</v>
      </c>
    </row>
    <row r="116" spans="1:42" ht="15.75" hidden="1" customHeight="1" x14ac:dyDescent="0.3">
      <c r="A116" s="16"/>
      <c r="B116" s="55">
        <v>7</v>
      </c>
      <c r="C116" s="56" t="s">
        <v>134</v>
      </c>
      <c r="D116" s="55">
        <v>3</v>
      </c>
      <c r="E116" s="55" t="s">
        <v>21</v>
      </c>
      <c r="F116" s="18" t="s">
        <v>23</v>
      </c>
      <c r="G116" s="18" t="s">
        <v>21</v>
      </c>
      <c r="H116" s="18" t="s">
        <v>23</v>
      </c>
      <c r="I116" s="18" t="s">
        <v>21</v>
      </c>
      <c r="J116" s="20" t="s">
        <v>21</v>
      </c>
      <c r="K116" s="20" t="s">
        <v>21</v>
      </c>
      <c r="L116" s="20" t="s">
        <v>21</v>
      </c>
      <c r="M116" s="18" t="s">
        <v>20</v>
      </c>
      <c r="N116" s="18" t="s">
        <v>20</v>
      </c>
      <c r="O116" s="18" t="s">
        <v>21</v>
      </c>
      <c r="P116" s="18" t="s">
        <v>21</v>
      </c>
      <c r="Q116" s="18" t="s">
        <v>23</v>
      </c>
      <c r="R116" s="18" t="s">
        <v>21</v>
      </c>
      <c r="S116" s="18" t="s">
        <v>20</v>
      </c>
      <c r="T116" s="18" t="s">
        <v>21</v>
      </c>
      <c r="U116" s="18" t="s">
        <v>20</v>
      </c>
      <c r="V116" s="37" t="s">
        <v>21</v>
      </c>
      <c r="W116" s="37" t="s">
        <v>21</v>
      </c>
      <c r="X116" s="37" t="s">
        <v>21</v>
      </c>
      <c r="Y116" s="18" t="s">
        <v>20</v>
      </c>
      <c r="Z116" s="18" t="s">
        <v>20</v>
      </c>
      <c r="AA116" s="20" t="s">
        <v>21</v>
      </c>
      <c r="AB116" s="20" t="s">
        <v>21</v>
      </c>
      <c r="AC116" s="20" t="s">
        <v>21</v>
      </c>
      <c r="AD116" s="29" t="s">
        <v>21</v>
      </c>
      <c r="AE116" s="29" t="s">
        <v>21</v>
      </c>
      <c r="AG116">
        <f t="shared" si="9"/>
        <v>0</v>
      </c>
      <c r="AH116">
        <f t="shared" si="10"/>
        <v>6</v>
      </c>
      <c r="AI116">
        <f t="shared" si="11"/>
        <v>17</v>
      </c>
      <c r="AJ116">
        <f t="shared" si="12"/>
        <v>3</v>
      </c>
      <c r="AL116">
        <f t="shared" si="13"/>
        <v>0</v>
      </c>
      <c r="AM116">
        <f t="shared" si="14"/>
        <v>18</v>
      </c>
      <c r="AN116">
        <f t="shared" si="15"/>
        <v>34</v>
      </c>
      <c r="AO116">
        <f t="shared" si="16"/>
        <v>3</v>
      </c>
      <c r="AP116">
        <f t="shared" si="17"/>
        <v>55</v>
      </c>
    </row>
    <row r="117" spans="1:42" ht="15.75" hidden="1" customHeight="1" x14ac:dyDescent="0.3">
      <c r="A117" s="16"/>
      <c r="B117" s="55">
        <v>8</v>
      </c>
      <c r="C117" s="56" t="s">
        <v>135</v>
      </c>
      <c r="D117" s="55">
        <v>3</v>
      </c>
      <c r="E117" s="55" t="s">
        <v>21</v>
      </c>
      <c r="F117" s="18" t="s">
        <v>21</v>
      </c>
      <c r="G117" s="18" t="s">
        <v>23</v>
      </c>
      <c r="H117" s="18" t="s">
        <v>21</v>
      </c>
      <c r="I117" s="18" t="s">
        <v>21</v>
      </c>
      <c r="J117" s="20" t="s">
        <v>20</v>
      </c>
      <c r="K117" s="20" t="s">
        <v>20</v>
      </c>
      <c r="L117" s="20" t="s">
        <v>21</v>
      </c>
      <c r="M117" s="18" t="s">
        <v>20</v>
      </c>
      <c r="N117" s="18" t="s">
        <v>21</v>
      </c>
      <c r="O117" s="18" t="s">
        <v>20</v>
      </c>
      <c r="P117" s="18" t="s">
        <v>21</v>
      </c>
      <c r="Q117" s="18" t="s">
        <v>21</v>
      </c>
      <c r="R117" s="18" t="s">
        <v>21</v>
      </c>
      <c r="S117" s="18" t="s">
        <v>20</v>
      </c>
      <c r="T117" s="18" t="s">
        <v>20</v>
      </c>
      <c r="U117" s="18" t="s">
        <v>20</v>
      </c>
      <c r="V117" s="37" t="s">
        <v>20</v>
      </c>
      <c r="W117" s="37" t="s">
        <v>21</v>
      </c>
      <c r="X117" s="37" t="s">
        <v>20</v>
      </c>
      <c r="Y117" s="18" t="s">
        <v>20</v>
      </c>
      <c r="Z117" s="18" t="s">
        <v>20</v>
      </c>
      <c r="AA117" s="20" t="s">
        <v>23</v>
      </c>
      <c r="AB117" s="20" t="s">
        <v>23</v>
      </c>
      <c r="AC117" s="20" t="s">
        <v>21</v>
      </c>
      <c r="AD117" s="29" t="s">
        <v>21</v>
      </c>
      <c r="AE117" s="29" t="s">
        <v>21</v>
      </c>
      <c r="AG117">
        <f t="shared" si="9"/>
        <v>0</v>
      </c>
      <c r="AH117">
        <f t="shared" si="10"/>
        <v>11</v>
      </c>
      <c r="AI117">
        <f t="shared" si="11"/>
        <v>12</v>
      </c>
      <c r="AJ117">
        <f t="shared" si="12"/>
        <v>3</v>
      </c>
      <c r="AL117">
        <f t="shared" si="13"/>
        <v>0</v>
      </c>
      <c r="AM117">
        <f t="shared" si="14"/>
        <v>33</v>
      </c>
      <c r="AN117">
        <f t="shared" si="15"/>
        <v>24</v>
      </c>
      <c r="AO117">
        <f t="shared" si="16"/>
        <v>3</v>
      </c>
      <c r="AP117">
        <f t="shared" si="17"/>
        <v>60</v>
      </c>
    </row>
    <row r="118" spans="1:42" ht="15.75" hidden="1" customHeight="1" x14ac:dyDescent="0.3">
      <c r="A118" s="16"/>
      <c r="B118" s="55">
        <v>9</v>
      </c>
      <c r="C118" s="56" t="s">
        <v>136</v>
      </c>
      <c r="D118" s="55">
        <v>3</v>
      </c>
      <c r="E118" s="55" t="s">
        <v>21</v>
      </c>
      <c r="F118" s="18" t="s">
        <v>23</v>
      </c>
      <c r="G118" s="18" t="s">
        <v>21</v>
      </c>
      <c r="H118" s="18" t="s">
        <v>23</v>
      </c>
      <c r="I118" s="18" t="s">
        <v>21</v>
      </c>
      <c r="J118" s="20" t="s">
        <v>20</v>
      </c>
      <c r="K118" s="20" t="s">
        <v>21</v>
      </c>
      <c r="L118" s="20" t="s">
        <v>21</v>
      </c>
      <c r="M118" s="18" t="s">
        <v>21</v>
      </c>
      <c r="N118" s="18" t="s">
        <v>21</v>
      </c>
      <c r="O118" s="18" t="s">
        <v>21</v>
      </c>
      <c r="P118" s="18" t="s">
        <v>23</v>
      </c>
      <c r="Q118" s="18" t="s">
        <v>20</v>
      </c>
      <c r="R118" s="18" t="s">
        <v>21</v>
      </c>
      <c r="S118" s="18" t="s">
        <v>21</v>
      </c>
      <c r="T118" s="18" t="s">
        <v>20</v>
      </c>
      <c r="U118" s="18" t="s">
        <v>20</v>
      </c>
      <c r="V118" s="37" t="s">
        <v>21</v>
      </c>
      <c r="W118" s="37" t="s">
        <v>21</v>
      </c>
      <c r="X118" s="37" t="s">
        <v>21</v>
      </c>
      <c r="Y118" s="18" t="s">
        <v>20</v>
      </c>
      <c r="Z118" s="18" t="s">
        <v>20</v>
      </c>
      <c r="AA118" s="20" t="s">
        <v>23</v>
      </c>
      <c r="AB118" s="20" t="s">
        <v>23</v>
      </c>
      <c r="AC118" s="20" t="s">
        <v>21</v>
      </c>
      <c r="AD118" s="29" t="s">
        <v>21</v>
      </c>
      <c r="AE118" s="29" t="s">
        <v>21</v>
      </c>
      <c r="AG118">
        <f t="shared" si="9"/>
        <v>0</v>
      </c>
      <c r="AH118">
        <f t="shared" si="10"/>
        <v>6</v>
      </c>
      <c r="AI118">
        <f t="shared" si="11"/>
        <v>15</v>
      </c>
      <c r="AJ118">
        <f t="shared" si="12"/>
        <v>5</v>
      </c>
      <c r="AL118">
        <f t="shared" si="13"/>
        <v>0</v>
      </c>
      <c r="AM118">
        <f t="shared" si="14"/>
        <v>18</v>
      </c>
      <c r="AN118">
        <f t="shared" si="15"/>
        <v>30</v>
      </c>
      <c r="AO118">
        <f t="shared" si="16"/>
        <v>5</v>
      </c>
      <c r="AP118">
        <f t="shared" si="17"/>
        <v>53</v>
      </c>
    </row>
    <row r="119" spans="1:42" ht="15.75" hidden="1" customHeight="1" x14ac:dyDescent="0.3">
      <c r="A119" s="16"/>
      <c r="B119" s="55">
        <v>10</v>
      </c>
      <c r="C119" s="56" t="s">
        <v>137</v>
      </c>
      <c r="D119" s="55">
        <v>3</v>
      </c>
      <c r="E119" s="55" t="s">
        <v>21</v>
      </c>
      <c r="F119" s="18" t="s">
        <v>39</v>
      </c>
      <c r="G119" s="18" t="s">
        <v>20</v>
      </c>
      <c r="H119" s="18" t="s">
        <v>20</v>
      </c>
      <c r="I119" s="18" t="s">
        <v>20</v>
      </c>
      <c r="J119" s="20" t="s">
        <v>20</v>
      </c>
      <c r="K119" s="20" t="s">
        <v>39</v>
      </c>
      <c r="L119" s="20" t="s">
        <v>20</v>
      </c>
      <c r="M119" s="18" t="s">
        <v>20</v>
      </c>
      <c r="N119" s="18" t="s">
        <v>20</v>
      </c>
      <c r="O119" s="18" t="s">
        <v>20</v>
      </c>
      <c r="P119" s="18" t="s">
        <v>21</v>
      </c>
      <c r="Q119" s="18" t="s">
        <v>20</v>
      </c>
      <c r="R119" s="18" t="s">
        <v>20</v>
      </c>
      <c r="S119" s="18" t="s">
        <v>20</v>
      </c>
      <c r="T119" s="18" t="s">
        <v>20</v>
      </c>
      <c r="U119" s="18" t="s">
        <v>20</v>
      </c>
      <c r="V119" s="37" t="s">
        <v>21</v>
      </c>
      <c r="W119" s="37" t="s">
        <v>20</v>
      </c>
      <c r="X119" s="37" t="s">
        <v>20</v>
      </c>
      <c r="Y119" s="18" t="s">
        <v>20</v>
      </c>
      <c r="Z119" s="18" t="s">
        <v>20</v>
      </c>
      <c r="AA119" s="20" t="s">
        <v>20</v>
      </c>
      <c r="AB119" s="20" t="s">
        <v>20</v>
      </c>
      <c r="AC119" s="20" t="s">
        <v>20</v>
      </c>
      <c r="AD119" s="29" t="s">
        <v>20</v>
      </c>
      <c r="AE119" s="29" t="s">
        <v>21</v>
      </c>
      <c r="AG119">
        <f t="shared" si="9"/>
        <v>2</v>
      </c>
      <c r="AH119">
        <f t="shared" si="10"/>
        <v>21</v>
      </c>
      <c r="AI119">
        <f t="shared" si="11"/>
        <v>3</v>
      </c>
      <c r="AJ119">
        <f t="shared" si="12"/>
        <v>0</v>
      </c>
      <c r="AL119">
        <f t="shared" si="13"/>
        <v>8</v>
      </c>
      <c r="AM119">
        <f t="shared" si="14"/>
        <v>63</v>
      </c>
      <c r="AN119">
        <f t="shared" si="15"/>
        <v>6</v>
      </c>
      <c r="AO119">
        <f t="shared" si="16"/>
        <v>0</v>
      </c>
      <c r="AP119">
        <f t="shared" si="17"/>
        <v>77</v>
      </c>
    </row>
    <row r="120" spans="1:42" ht="15.75" hidden="1" customHeight="1" x14ac:dyDescent="0.3">
      <c r="A120" s="16"/>
      <c r="B120" s="55">
        <v>11</v>
      </c>
      <c r="C120" s="56" t="s">
        <v>138</v>
      </c>
      <c r="D120" s="55">
        <v>3</v>
      </c>
      <c r="E120" s="55" t="s">
        <v>21</v>
      </c>
      <c r="F120" s="18" t="s">
        <v>21</v>
      </c>
      <c r="G120" s="18" t="s">
        <v>21</v>
      </c>
      <c r="H120" s="18" t="s">
        <v>21</v>
      </c>
      <c r="I120" s="18" t="s">
        <v>21</v>
      </c>
      <c r="J120" s="20" t="s">
        <v>21</v>
      </c>
      <c r="K120" s="20" t="s">
        <v>21</v>
      </c>
      <c r="L120" s="20" t="s">
        <v>21</v>
      </c>
      <c r="M120" s="18" t="s">
        <v>21</v>
      </c>
      <c r="N120" s="18" t="s">
        <v>21</v>
      </c>
      <c r="O120" s="18" t="s">
        <v>21</v>
      </c>
      <c r="P120" s="18" t="s">
        <v>21</v>
      </c>
      <c r="Q120" s="18" t="s">
        <v>21</v>
      </c>
      <c r="R120" s="18" t="s">
        <v>23</v>
      </c>
      <c r="S120" s="18" t="s">
        <v>23</v>
      </c>
      <c r="T120" s="18" t="s">
        <v>21</v>
      </c>
      <c r="U120" s="18" t="s">
        <v>20</v>
      </c>
      <c r="V120" s="37" t="s">
        <v>21</v>
      </c>
      <c r="W120" s="37" t="s">
        <v>20</v>
      </c>
      <c r="X120" s="37" t="s">
        <v>21</v>
      </c>
      <c r="Y120" s="18" t="s">
        <v>21</v>
      </c>
      <c r="Z120" s="18" t="s">
        <v>21</v>
      </c>
      <c r="AA120" s="20" t="s">
        <v>21</v>
      </c>
      <c r="AB120" s="20" t="s">
        <v>21</v>
      </c>
      <c r="AC120" s="20" t="s">
        <v>21</v>
      </c>
      <c r="AD120" s="29" t="s">
        <v>23</v>
      </c>
      <c r="AE120" s="29" t="s">
        <v>21</v>
      </c>
      <c r="AG120">
        <f t="shared" si="9"/>
        <v>0</v>
      </c>
      <c r="AH120">
        <f t="shared" si="10"/>
        <v>2</v>
      </c>
      <c r="AI120">
        <f t="shared" si="11"/>
        <v>21</v>
      </c>
      <c r="AJ120">
        <f t="shared" si="12"/>
        <v>3</v>
      </c>
      <c r="AL120">
        <f t="shared" si="13"/>
        <v>0</v>
      </c>
      <c r="AM120">
        <f t="shared" si="14"/>
        <v>6</v>
      </c>
      <c r="AN120">
        <f t="shared" si="15"/>
        <v>42</v>
      </c>
      <c r="AO120">
        <f t="shared" si="16"/>
        <v>3</v>
      </c>
      <c r="AP120">
        <f t="shared" si="17"/>
        <v>51</v>
      </c>
    </row>
    <row r="121" spans="1:42" ht="15.75" hidden="1" customHeight="1" x14ac:dyDescent="0.3">
      <c r="A121" s="16"/>
      <c r="B121" s="55">
        <v>12</v>
      </c>
      <c r="C121" s="56" t="s">
        <v>139</v>
      </c>
      <c r="D121" s="55">
        <v>3</v>
      </c>
      <c r="E121" s="55" t="s">
        <v>21</v>
      </c>
      <c r="F121" s="18" t="s">
        <v>20</v>
      </c>
      <c r="G121" s="18" t="s">
        <v>20</v>
      </c>
      <c r="H121" s="18" t="s">
        <v>20</v>
      </c>
      <c r="I121" s="18" t="s">
        <v>20</v>
      </c>
      <c r="J121" s="20" t="s">
        <v>20</v>
      </c>
      <c r="K121" s="20" t="s">
        <v>20</v>
      </c>
      <c r="L121" s="20" t="s">
        <v>20</v>
      </c>
      <c r="M121" s="18" t="s">
        <v>20</v>
      </c>
      <c r="N121" s="18" t="s">
        <v>20</v>
      </c>
      <c r="O121" s="18" t="s">
        <v>20</v>
      </c>
      <c r="P121" s="18" t="s">
        <v>21</v>
      </c>
      <c r="Q121" s="18" t="s">
        <v>20</v>
      </c>
      <c r="R121" s="18" t="s">
        <v>21</v>
      </c>
      <c r="S121" s="18" t="s">
        <v>21</v>
      </c>
      <c r="T121" s="18" t="s">
        <v>21</v>
      </c>
      <c r="U121" s="18" t="s">
        <v>20</v>
      </c>
      <c r="V121" s="37" t="s">
        <v>20</v>
      </c>
      <c r="W121" s="37" t="s">
        <v>20</v>
      </c>
      <c r="X121" s="37" t="s">
        <v>21</v>
      </c>
      <c r="Y121" s="18" t="s">
        <v>21</v>
      </c>
      <c r="Z121" s="18" t="s">
        <v>20</v>
      </c>
      <c r="AA121" s="20" t="s">
        <v>20</v>
      </c>
      <c r="AB121" s="20" t="s">
        <v>20</v>
      </c>
      <c r="AC121" s="20" t="s">
        <v>20</v>
      </c>
      <c r="AD121" s="29" t="s">
        <v>23</v>
      </c>
      <c r="AE121" s="29" t="s">
        <v>21</v>
      </c>
      <c r="AG121">
        <f t="shared" si="9"/>
        <v>0</v>
      </c>
      <c r="AH121">
        <f t="shared" si="10"/>
        <v>18</v>
      </c>
      <c r="AI121">
        <f t="shared" si="11"/>
        <v>7</v>
      </c>
      <c r="AJ121">
        <f t="shared" si="12"/>
        <v>1</v>
      </c>
      <c r="AL121">
        <f t="shared" si="13"/>
        <v>0</v>
      </c>
      <c r="AM121">
        <f t="shared" si="14"/>
        <v>54</v>
      </c>
      <c r="AN121">
        <f t="shared" si="15"/>
        <v>14</v>
      </c>
      <c r="AO121">
        <f t="shared" si="16"/>
        <v>1</v>
      </c>
      <c r="AP121">
        <f t="shared" si="17"/>
        <v>69</v>
      </c>
    </row>
    <row r="122" spans="1:42" ht="15.75" hidden="1" customHeight="1" x14ac:dyDescent="0.3">
      <c r="A122" s="16"/>
      <c r="B122" s="55">
        <v>13</v>
      </c>
      <c r="C122" s="56" t="s">
        <v>140</v>
      </c>
      <c r="D122" s="55">
        <v>3</v>
      </c>
      <c r="E122" s="55" t="s">
        <v>21</v>
      </c>
      <c r="F122" s="18" t="s">
        <v>20</v>
      </c>
      <c r="G122" s="18" t="s">
        <v>20</v>
      </c>
      <c r="H122" s="18" t="s">
        <v>20</v>
      </c>
      <c r="I122" s="18" t="s">
        <v>39</v>
      </c>
      <c r="J122" s="20" t="s">
        <v>20</v>
      </c>
      <c r="K122" s="20" t="s">
        <v>20</v>
      </c>
      <c r="L122" s="20" t="s">
        <v>20</v>
      </c>
      <c r="M122" s="18" t="s">
        <v>20</v>
      </c>
      <c r="N122" s="18" t="s">
        <v>20</v>
      </c>
      <c r="O122" s="18" t="s">
        <v>20</v>
      </c>
      <c r="P122" s="18" t="s">
        <v>21</v>
      </c>
      <c r="Q122" s="18" t="s">
        <v>21</v>
      </c>
      <c r="R122" s="18" t="s">
        <v>20</v>
      </c>
      <c r="S122" s="18" t="s">
        <v>20</v>
      </c>
      <c r="T122" s="18" t="s">
        <v>20</v>
      </c>
      <c r="U122" s="18" t="s">
        <v>20</v>
      </c>
      <c r="V122" s="37" t="s">
        <v>20</v>
      </c>
      <c r="W122" s="37" t="s">
        <v>20</v>
      </c>
      <c r="X122" s="37" t="s">
        <v>20</v>
      </c>
      <c r="Y122" s="18" t="s">
        <v>21</v>
      </c>
      <c r="Z122" s="18" t="s">
        <v>21</v>
      </c>
      <c r="AA122" s="20" t="s">
        <v>21</v>
      </c>
      <c r="AB122" s="20" t="s">
        <v>20</v>
      </c>
      <c r="AC122" s="20" t="s">
        <v>21</v>
      </c>
      <c r="AD122" s="29" t="s">
        <v>55</v>
      </c>
      <c r="AE122" s="29" t="s">
        <v>55</v>
      </c>
      <c r="AG122">
        <f t="shared" si="9"/>
        <v>1</v>
      </c>
      <c r="AH122">
        <f t="shared" si="10"/>
        <v>17</v>
      </c>
      <c r="AI122">
        <f t="shared" si="11"/>
        <v>6</v>
      </c>
      <c r="AJ122">
        <f t="shared" si="12"/>
        <v>0</v>
      </c>
      <c r="AL122">
        <f t="shared" si="13"/>
        <v>4</v>
      </c>
      <c r="AM122">
        <f t="shared" si="14"/>
        <v>51</v>
      </c>
      <c r="AN122">
        <f t="shared" si="15"/>
        <v>12</v>
      </c>
      <c r="AO122">
        <f t="shared" si="16"/>
        <v>0</v>
      </c>
      <c r="AP122">
        <f t="shared" si="17"/>
        <v>67</v>
      </c>
    </row>
    <row r="123" spans="1:42" ht="15.75" hidden="1" customHeight="1" x14ac:dyDescent="0.3">
      <c r="A123" s="16"/>
      <c r="B123" s="55">
        <v>14</v>
      </c>
      <c r="C123" s="56" t="s">
        <v>141</v>
      </c>
      <c r="D123" s="55">
        <v>3</v>
      </c>
      <c r="E123" s="55" t="s">
        <v>21</v>
      </c>
      <c r="F123" s="18" t="s">
        <v>21</v>
      </c>
      <c r="G123" s="18" t="s">
        <v>21</v>
      </c>
      <c r="H123" s="18" t="s">
        <v>20</v>
      </c>
      <c r="I123" s="18" t="s">
        <v>20</v>
      </c>
      <c r="J123" s="20" t="s">
        <v>20</v>
      </c>
      <c r="K123" s="20" t="s">
        <v>20</v>
      </c>
      <c r="L123" s="20" t="s">
        <v>21</v>
      </c>
      <c r="M123" s="18" t="s">
        <v>20</v>
      </c>
      <c r="N123" s="18" t="s">
        <v>20</v>
      </c>
      <c r="O123" s="18" t="s">
        <v>20</v>
      </c>
      <c r="P123" s="18" t="s">
        <v>23</v>
      </c>
      <c r="Q123" s="18" t="s">
        <v>21</v>
      </c>
      <c r="R123" s="18" t="s">
        <v>21</v>
      </c>
      <c r="S123" s="18" t="s">
        <v>20</v>
      </c>
      <c r="T123" s="18" t="s">
        <v>20</v>
      </c>
      <c r="U123" s="18" t="s">
        <v>21</v>
      </c>
      <c r="V123" s="37" t="s">
        <v>21</v>
      </c>
      <c r="W123" s="37" t="s">
        <v>20</v>
      </c>
      <c r="X123" s="37" t="s">
        <v>21</v>
      </c>
      <c r="Y123" s="18" t="s">
        <v>21</v>
      </c>
      <c r="Z123" s="18" t="s">
        <v>21</v>
      </c>
      <c r="AA123" s="20" t="s">
        <v>21</v>
      </c>
      <c r="AB123" s="20" t="s">
        <v>21</v>
      </c>
      <c r="AC123" s="20" t="s">
        <v>20</v>
      </c>
      <c r="AD123" s="29" t="s">
        <v>21</v>
      </c>
      <c r="AE123" s="29" t="s">
        <v>21</v>
      </c>
      <c r="AG123">
        <f t="shared" si="9"/>
        <v>0</v>
      </c>
      <c r="AH123">
        <f t="shared" si="10"/>
        <v>11</v>
      </c>
      <c r="AI123">
        <f t="shared" si="11"/>
        <v>14</v>
      </c>
      <c r="AJ123">
        <f t="shared" si="12"/>
        <v>1</v>
      </c>
      <c r="AL123">
        <f t="shared" si="13"/>
        <v>0</v>
      </c>
      <c r="AM123">
        <f t="shared" si="14"/>
        <v>33</v>
      </c>
      <c r="AN123">
        <f t="shared" si="15"/>
        <v>28</v>
      </c>
      <c r="AO123">
        <f t="shared" si="16"/>
        <v>1</v>
      </c>
      <c r="AP123">
        <f t="shared" si="17"/>
        <v>62</v>
      </c>
    </row>
    <row r="124" spans="1:42" ht="15.75" hidden="1" customHeight="1" x14ac:dyDescent="0.3">
      <c r="A124" s="16"/>
      <c r="B124" s="55">
        <v>15</v>
      </c>
      <c r="C124" s="56" t="s">
        <v>142</v>
      </c>
      <c r="D124" s="55">
        <v>3</v>
      </c>
      <c r="E124" s="55" t="s">
        <v>21</v>
      </c>
      <c r="F124" s="18" t="s">
        <v>23</v>
      </c>
      <c r="G124" s="18" t="s">
        <v>23</v>
      </c>
      <c r="H124" s="18" t="s">
        <v>23</v>
      </c>
      <c r="I124" s="18" t="s">
        <v>21</v>
      </c>
      <c r="J124" s="20" t="s">
        <v>21</v>
      </c>
      <c r="K124" s="20" t="s">
        <v>21</v>
      </c>
      <c r="L124" s="20" t="s">
        <v>21</v>
      </c>
      <c r="M124" s="18" t="s">
        <v>21</v>
      </c>
      <c r="N124" s="18" t="s">
        <v>21</v>
      </c>
      <c r="O124" s="18" t="s">
        <v>21</v>
      </c>
      <c r="P124" s="18" t="s">
        <v>23</v>
      </c>
      <c r="Q124" s="18" t="s">
        <v>21</v>
      </c>
      <c r="R124" s="18" t="s">
        <v>21</v>
      </c>
      <c r="S124" s="18" t="s">
        <v>23</v>
      </c>
      <c r="T124" s="18" t="s">
        <v>23</v>
      </c>
      <c r="U124" s="18" t="s">
        <v>20</v>
      </c>
      <c r="V124" s="37" t="s">
        <v>20</v>
      </c>
      <c r="W124" s="37" t="s">
        <v>20</v>
      </c>
      <c r="X124" s="37" t="s">
        <v>21</v>
      </c>
      <c r="Y124" s="18" t="s">
        <v>23</v>
      </c>
      <c r="Z124" s="18" t="s">
        <v>21</v>
      </c>
      <c r="AA124" s="20" t="s">
        <v>21</v>
      </c>
      <c r="AB124" s="20" t="s">
        <v>21</v>
      </c>
      <c r="AC124" s="20" t="s">
        <v>21</v>
      </c>
      <c r="AD124" s="29" t="s">
        <v>23</v>
      </c>
      <c r="AE124" s="29" t="s">
        <v>21</v>
      </c>
      <c r="AG124">
        <f t="shared" si="9"/>
        <v>0</v>
      </c>
      <c r="AH124">
        <f t="shared" si="10"/>
        <v>3</v>
      </c>
      <c r="AI124">
        <f t="shared" si="11"/>
        <v>15</v>
      </c>
      <c r="AJ124">
        <f t="shared" si="12"/>
        <v>8</v>
      </c>
      <c r="AL124">
        <f t="shared" si="13"/>
        <v>0</v>
      </c>
      <c r="AM124">
        <f t="shared" si="14"/>
        <v>9</v>
      </c>
      <c r="AN124">
        <f t="shared" si="15"/>
        <v>30</v>
      </c>
      <c r="AO124">
        <f t="shared" si="16"/>
        <v>8</v>
      </c>
      <c r="AP124">
        <f t="shared" si="17"/>
        <v>47</v>
      </c>
    </row>
    <row r="125" spans="1:42" ht="15.75" hidden="1" customHeight="1" x14ac:dyDescent="0.3">
      <c r="A125" s="16"/>
      <c r="B125" s="55">
        <v>16</v>
      </c>
      <c r="C125" s="56" t="s">
        <v>143</v>
      </c>
      <c r="D125" s="55">
        <v>3</v>
      </c>
      <c r="E125" s="55" t="s">
        <v>21</v>
      </c>
      <c r="F125" s="18" t="s">
        <v>23</v>
      </c>
      <c r="G125" s="18" t="s">
        <v>23</v>
      </c>
      <c r="H125" s="18" t="s">
        <v>21</v>
      </c>
      <c r="I125" s="18" t="s">
        <v>21</v>
      </c>
      <c r="J125" s="20" t="s">
        <v>21</v>
      </c>
      <c r="K125" s="20" t="s">
        <v>21</v>
      </c>
      <c r="L125" s="20" t="s">
        <v>21</v>
      </c>
      <c r="M125" s="18" t="s">
        <v>21</v>
      </c>
      <c r="N125" s="18" t="s">
        <v>20</v>
      </c>
      <c r="O125" s="18" t="s">
        <v>21</v>
      </c>
      <c r="P125" s="18" t="s">
        <v>21</v>
      </c>
      <c r="Q125" s="18" t="s">
        <v>20</v>
      </c>
      <c r="R125" s="18" t="s">
        <v>21</v>
      </c>
      <c r="S125" s="18" t="s">
        <v>23</v>
      </c>
      <c r="T125" s="18" t="s">
        <v>21</v>
      </c>
      <c r="U125" s="18" t="s">
        <v>20</v>
      </c>
      <c r="V125" s="37" t="s">
        <v>21</v>
      </c>
      <c r="W125" s="37" t="s">
        <v>20</v>
      </c>
      <c r="X125" s="37" t="s">
        <v>21</v>
      </c>
      <c r="Y125" s="18" t="s">
        <v>23</v>
      </c>
      <c r="Z125" s="18" t="s">
        <v>21</v>
      </c>
      <c r="AA125" s="20" t="s">
        <v>21</v>
      </c>
      <c r="AB125" s="20" t="s">
        <v>21</v>
      </c>
      <c r="AC125" s="20" t="s">
        <v>21</v>
      </c>
      <c r="AD125" s="29" t="s">
        <v>23</v>
      </c>
      <c r="AE125" s="29" t="s">
        <v>21</v>
      </c>
      <c r="AG125">
        <f t="shared" si="9"/>
        <v>0</v>
      </c>
      <c r="AH125">
        <f t="shared" si="10"/>
        <v>4</v>
      </c>
      <c r="AI125">
        <f t="shared" si="11"/>
        <v>17</v>
      </c>
      <c r="AJ125">
        <f t="shared" si="12"/>
        <v>5</v>
      </c>
      <c r="AL125">
        <f t="shared" si="13"/>
        <v>0</v>
      </c>
      <c r="AM125">
        <f t="shared" si="14"/>
        <v>12</v>
      </c>
      <c r="AN125">
        <f t="shared" si="15"/>
        <v>34</v>
      </c>
      <c r="AO125">
        <f t="shared" si="16"/>
        <v>5</v>
      </c>
      <c r="AP125">
        <f t="shared" si="17"/>
        <v>51</v>
      </c>
    </row>
    <row r="126" spans="1:42" ht="15.75" hidden="1" customHeight="1" x14ac:dyDescent="0.3">
      <c r="A126" s="16"/>
      <c r="B126" s="55">
        <v>17</v>
      </c>
      <c r="C126" s="56" t="s">
        <v>144</v>
      </c>
      <c r="D126" s="55">
        <v>3</v>
      </c>
      <c r="E126" s="55" t="s">
        <v>21</v>
      </c>
      <c r="F126" s="18" t="s">
        <v>21</v>
      </c>
      <c r="G126" s="18" t="s">
        <v>21</v>
      </c>
      <c r="H126" s="18" t="s">
        <v>21</v>
      </c>
      <c r="I126" s="18" t="s">
        <v>21</v>
      </c>
      <c r="J126" s="20" t="s">
        <v>21</v>
      </c>
      <c r="K126" s="20" t="s">
        <v>21</v>
      </c>
      <c r="L126" s="20" t="s">
        <v>21</v>
      </c>
      <c r="M126" s="18" t="s">
        <v>20</v>
      </c>
      <c r="N126" s="18" t="s">
        <v>20</v>
      </c>
      <c r="O126" s="18" t="s">
        <v>20</v>
      </c>
      <c r="P126" s="18" t="s">
        <v>21</v>
      </c>
      <c r="Q126" s="18" t="s">
        <v>21</v>
      </c>
      <c r="R126" s="18" t="s">
        <v>21</v>
      </c>
      <c r="S126" s="18" t="s">
        <v>20</v>
      </c>
      <c r="T126" s="18" t="s">
        <v>20</v>
      </c>
      <c r="U126" s="18" t="s">
        <v>20</v>
      </c>
      <c r="V126" s="37" t="s">
        <v>21</v>
      </c>
      <c r="W126" s="37" t="s">
        <v>20</v>
      </c>
      <c r="X126" s="37" t="s">
        <v>21</v>
      </c>
      <c r="Y126" s="18" t="s">
        <v>20</v>
      </c>
      <c r="Z126" s="18" t="s">
        <v>20</v>
      </c>
      <c r="AA126" s="20" t="s">
        <v>21</v>
      </c>
      <c r="AB126" s="20" t="s">
        <v>20</v>
      </c>
      <c r="AC126" s="20" t="s">
        <v>21</v>
      </c>
      <c r="AD126" s="29" t="s">
        <v>20</v>
      </c>
      <c r="AE126" s="29" t="s">
        <v>21</v>
      </c>
      <c r="AG126">
        <f t="shared" si="9"/>
        <v>0</v>
      </c>
      <c r="AH126">
        <f t="shared" si="10"/>
        <v>11</v>
      </c>
      <c r="AI126">
        <f t="shared" si="11"/>
        <v>15</v>
      </c>
      <c r="AJ126">
        <f t="shared" si="12"/>
        <v>0</v>
      </c>
      <c r="AL126">
        <f t="shared" si="13"/>
        <v>0</v>
      </c>
      <c r="AM126">
        <f t="shared" si="14"/>
        <v>33</v>
      </c>
      <c r="AN126">
        <f t="shared" si="15"/>
        <v>30</v>
      </c>
      <c r="AO126">
        <f t="shared" si="16"/>
        <v>0</v>
      </c>
      <c r="AP126">
        <f t="shared" si="17"/>
        <v>63</v>
      </c>
    </row>
    <row r="127" spans="1:42" ht="15.75" hidden="1" customHeight="1" x14ac:dyDescent="0.3">
      <c r="A127" s="16"/>
      <c r="B127" s="55">
        <v>18</v>
      </c>
      <c r="C127" s="56" t="s">
        <v>145</v>
      </c>
      <c r="D127" s="55">
        <v>3</v>
      </c>
      <c r="E127" s="55" t="s">
        <v>21</v>
      </c>
      <c r="F127" s="18" t="s">
        <v>21</v>
      </c>
      <c r="G127" s="18" t="s">
        <v>21</v>
      </c>
      <c r="H127" s="18" t="s">
        <v>20</v>
      </c>
      <c r="I127" s="18" t="s">
        <v>21</v>
      </c>
      <c r="J127" s="20" t="s">
        <v>20</v>
      </c>
      <c r="K127" s="20" t="s">
        <v>20</v>
      </c>
      <c r="L127" s="20" t="s">
        <v>20</v>
      </c>
      <c r="M127" s="18" t="s">
        <v>21</v>
      </c>
      <c r="N127" s="18" t="s">
        <v>20</v>
      </c>
      <c r="O127" s="18" t="s">
        <v>21</v>
      </c>
      <c r="P127" s="18" t="s">
        <v>21</v>
      </c>
      <c r="Q127" s="18" t="s">
        <v>21</v>
      </c>
      <c r="R127" s="18" t="s">
        <v>20</v>
      </c>
      <c r="S127" s="18" t="s">
        <v>20</v>
      </c>
      <c r="T127" s="18" t="s">
        <v>20</v>
      </c>
      <c r="U127" s="18" t="s">
        <v>20</v>
      </c>
      <c r="V127" s="37" t="s">
        <v>20</v>
      </c>
      <c r="W127" s="37" t="s">
        <v>20</v>
      </c>
      <c r="X127" s="37" t="s">
        <v>20</v>
      </c>
      <c r="Y127" s="18" t="s">
        <v>20</v>
      </c>
      <c r="Z127" s="18" t="s">
        <v>21</v>
      </c>
      <c r="AA127" s="20" t="s">
        <v>20</v>
      </c>
      <c r="AB127" s="20" t="s">
        <v>21</v>
      </c>
      <c r="AC127" s="20" t="s">
        <v>20</v>
      </c>
      <c r="AD127" s="29" t="s">
        <v>20</v>
      </c>
      <c r="AE127" s="29" t="s">
        <v>21</v>
      </c>
      <c r="AG127">
        <f t="shared" si="9"/>
        <v>0</v>
      </c>
      <c r="AH127">
        <f t="shared" si="10"/>
        <v>16</v>
      </c>
      <c r="AI127">
        <f t="shared" si="11"/>
        <v>10</v>
      </c>
      <c r="AJ127">
        <f t="shared" si="12"/>
        <v>0</v>
      </c>
      <c r="AL127">
        <f t="shared" si="13"/>
        <v>0</v>
      </c>
      <c r="AM127">
        <f t="shared" si="14"/>
        <v>48</v>
      </c>
      <c r="AN127">
        <f t="shared" si="15"/>
        <v>20</v>
      </c>
      <c r="AO127">
        <f t="shared" si="16"/>
        <v>0</v>
      </c>
      <c r="AP127">
        <f t="shared" si="17"/>
        <v>68</v>
      </c>
    </row>
    <row r="128" spans="1:42" ht="15.75" hidden="1" customHeight="1" x14ac:dyDescent="0.3">
      <c r="A128" s="16"/>
      <c r="B128" s="55">
        <v>19</v>
      </c>
      <c r="C128" s="56" t="s">
        <v>146</v>
      </c>
      <c r="D128" s="55">
        <v>3</v>
      </c>
      <c r="E128" s="55" t="s">
        <v>21</v>
      </c>
      <c r="F128" s="18" t="s">
        <v>21</v>
      </c>
      <c r="G128" s="18" t="s">
        <v>21</v>
      </c>
      <c r="H128" s="18" t="s">
        <v>21</v>
      </c>
      <c r="I128" s="18" t="s">
        <v>21</v>
      </c>
      <c r="J128" s="20" t="s">
        <v>21</v>
      </c>
      <c r="K128" s="20" t="s">
        <v>21</v>
      </c>
      <c r="L128" s="20" t="s">
        <v>21</v>
      </c>
      <c r="M128" s="18" t="s">
        <v>21</v>
      </c>
      <c r="N128" s="18" t="s">
        <v>20</v>
      </c>
      <c r="O128" s="18" t="s">
        <v>21</v>
      </c>
      <c r="P128" s="18" t="s">
        <v>21</v>
      </c>
      <c r="Q128" s="18" t="s">
        <v>21</v>
      </c>
      <c r="R128" s="18" t="s">
        <v>23</v>
      </c>
      <c r="S128" s="18" t="s">
        <v>21</v>
      </c>
      <c r="T128" s="18" t="s">
        <v>20</v>
      </c>
      <c r="U128" s="18" t="s">
        <v>21</v>
      </c>
      <c r="V128" s="37" t="s">
        <v>21</v>
      </c>
      <c r="W128" s="37" t="s">
        <v>20</v>
      </c>
      <c r="X128" s="37" t="s">
        <v>21</v>
      </c>
      <c r="Y128" s="18" t="s">
        <v>20</v>
      </c>
      <c r="Z128" s="18" t="s">
        <v>20</v>
      </c>
      <c r="AA128" s="20" t="s">
        <v>21</v>
      </c>
      <c r="AB128" s="20" t="s">
        <v>21</v>
      </c>
      <c r="AC128" s="20" t="s">
        <v>23</v>
      </c>
      <c r="AD128" s="29" t="s">
        <v>20</v>
      </c>
      <c r="AE128" s="29" t="s">
        <v>21</v>
      </c>
      <c r="AG128">
        <f t="shared" si="9"/>
        <v>0</v>
      </c>
      <c r="AH128">
        <f t="shared" si="10"/>
        <v>6</v>
      </c>
      <c r="AI128">
        <f t="shared" si="11"/>
        <v>18</v>
      </c>
      <c r="AJ128">
        <f t="shared" si="12"/>
        <v>2</v>
      </c>
      <c r="AL128">
        <f t="shared" si="13"/>
        <v>0</v>
      </c>
      <c r="AM128">
        <f t="shared" si="14"/>
        <v>18</v>
      </c>
      <c r="AN128">
        <f t="shared" si="15"/>
        <v>36</v>
      </c>
      <c r="AO128">
        <f t="shared" si="16"/>
        <v>2</v>
      </c>
      <c r="AP128">
        <f t="shared" si="17"/>
        <v>56</v>
      </c>
    </row>
    <row r="129" spans="1:42" ht="15.75" hidden="1" customHeight="1" x14ac:dyDescent="0.3">
      <c r="A129" s="16"/>
      <c r="B129" s="55">
        <v>20</v>
      </c>
      <c r="C129" s="56" t="s">
        <v>147</v>
      </c>
      <c r="D129" s="55">
        <v>3</v>
      </c>
      <c r="E129" s="55" t="s">
        <v>21</v>
      </c>
      <c r="F129" s="18" t="s">
        <v>20</v>
      </c>
      <c r="G129" s="18" t="s">
        <v>20</v>
      </c>
      <c r="H129" s="18" t="s">
        <v>20</v>
      </c>
      <c r="I129" s="18" t="s">
        <v>20</v>
      </c>
      <c r="J129" s="20" t="s">
        <v>21</v>
      </c>
      <c r="K129" s="20" t="s">
        <v>21</v>
      </c>
      <c r="L129" s="20" t="s">
        <v>21</v>
      </c>
      <c r="M129" s="18" t="s">
        <v>20</v>
      </c>
      <c r="N129" s="18" t="s">
        <v>20</v>
      </c>
      <c r="O129" s="18" t="s">
        <v>20</v>
      </c>
      <c r="P129" s="18" t="s">
        <v>21</v>
      </c>
      <c r="Q129" s="18" t="s">
        <v>20</v>
      </c>
      <c r="R129" s="18" t="s">
        <v>21</v>
      </c>
      <c r="S129" s="18" t="s">
        <v>20</v>
      </c>
      <c r="T129" s="18" t="s">
        <v>20</v>
      </c>
      <c r="U129" s="18" t="s">
        <v>20</v>
      </c>
      <c r="V129" s="37" t="s">
        <v>21</v>
      </c>
      <c r="W129" s="37" t="s">
        <v>20</v>
      </c>
      <c r="X129" s="37" t="s">
        <v>21</v>
      </c>
      <c r="Y129" s="18" t="s">
        <v>21</v>
      </c>
      <c r="Z129" s="18" t="s">
        <v>20</v>
      </c>
      <c r="AA129" s="20" t="s">
        <v>21</v>
      </c>
      <c r="AB129" s="20" t="s">
        <v>21</v>
      </c>
      <c r="AC129" s="20" t="s">
        <v>21</v>
      </c>
      <c r="AD129" s="29" t="s">
        <v>20</v>
      </c>
      <c r="AE129" s="29" t="s">
        <v>21</v>
      </c>
      <c r="AG129">
        <f t="shared" si="9"/>
        <v>0</v>
      </c>
      <c r="AH129">
        <f t="shared" si="10"/>
        <v>14</v>
      </c>
      <c r="AI129">
        <f t="shared" si="11"/>
        <v>12</v>
      </c>
      <c r="AJ129">
        <f t="shared" si="12"/>
        <v>0</v>
      </c>
      <c r="AL129">
        <f t="shared" si="13"/>
        <v>0</v>
      </c>
      <c r="AM129">
        <f t="shared" si="14"/>
        <v>42</v>
      </c>
      <c r="AN129">
        <f t="shared" si="15"/>
        <v>24</v>
      </c>
      <c r="AO129">
        <f t="shared" si="16"/>
        <v>0</v>
      </c>
      <c r="AP129">
        <f t="shared" si="17"/>
        <v>66</v>
      </c>
    </row>
    <row r="130" spans="1:42" ht="15.75" hidden="1" customHeight="1" thickBot="1" x14ac:dyDescent="0.35">
      <c r="A130" s="16"/>
      <c r="B130" s="57">
        <v>21</v>
      </c>
      <c r="C130" s="58" t="s">
        <v>148</v>
      </c>
      <c r="D130" s="57">
        <v>3</v>
      </c>
      <c r="E130" s="57" t="s">
        <v>21</v>
      </c>
      <c r="F130" s="21" t="s">
        <v>20</v>
      </c>
      <c r="G130" s="21" t="s">
        <v>20</v>
      </c>
      <c r="H130" s="21" t="s">
        <v>21</v>
      </c>
      <c r="I130" s="21" t="s">
        <v>20</v>
      </c>
      <c r="J130" s="23" t="s">
        <v>20</v>
      </c>
      <c r="K130" s="23" t="s">
        <v>20</v>
      </c>
      <c r="L130" s="23" t="s">
        <v>21</v>
      </c>
      <c r="M130" s="21" t="s">
        <v>21</v>
      </c>
      <c r="N130" s="21" t="s">
        <v>21</v>
      </c>
      <c r="O130" s="21" t="s">
        <v>21</v>
      </c>
      <c r="P130" s="21" t="s">
        <v>21</v>
      </c>
      <c r="Q130" s="21" t="s">
        <v>21</v>
      </c>
      <c r="R130" s="21" t="s">
        <v>21</v>
      </c>
      <c r="S130" s="21" t="s">
        <v>20</v>
      </c>
      <c r="T130" s="21" t="s">
        <v>20</v>
      </c>
      <c r="U130" s="21" t="s">
        <v>21</v>
      </c>
      <c r="V130" s="38" t="s">
        <v>21</v>
      </c>
      <c r="W130" s="38" t="s">
        <v>21</v>
      </c>
      <c r="X130" s="38" t="s">
        <v>21</v>
      </c>
      <c r="Y130" s="21" t="s">
        <v>20</v>
      </c>
      <c r="Z130" s="21" t="s">
        <v>20</v>
      </c>
      <c r="AA130" s="23" t="s">
        <v>21</v>
      </c>
      <c r="AB130" s="23" t="s">
        <v>21</v>
      </c>
      <c r="AC130" s="23" t="s">
        <v>21</v>
      </c>
      <c r="AD130" s="31" t="s">
        <v>20</v>
      </c>
      <c r="AE130" s="31" t="s">
        <v>21</v>
      </c>
      <c r="AG130">
        <f t="shared" si="9"/>
        <v>0</v>
      </c>
      <c r="AH130">
        <f t="shared" si="10"/>
        <v>10</v>
      </c>
      <c r="AI130">
        <f t="shared" si="11"/>
        <v>16</v>
      </c>
      <c r="AJ130">
        <f t="shared" si="12"/>
        <v>0</v>
      </c>
      <c r="AL130">
        <f t="shared" si="13"/>
        <v>0</v>
      </c>
      <c r="AM130">
        <f t="shared" si="14"/>
        <v>30</v>
      </c>
      <c r="AN130">
        <f t="shared" si="15"/>
        <v>32</v>
      </c>
      <c r="AO130">
        <f t="shared" si="16"/>
        <v>0</v>
      </c>
      <c r="AP130">
        <f t="shared" si="17"/>
        <v>62</v>
      </c>
    </row>
    <row r="131" spans="1:42" ht="15.75" hidden="1" customHeight="1" x14ac:dyDescent="0.3">
      <c r="A131" s="16"/>
      <c r="B131" s="59">
        <v>19</v>
      </c>
      <c r="C131" s="60" t="s">
        <v>167</v>
      </c>
      <c r="D131" s="59">
        <v>4</v>
      </c>
      <c r="E131" s="59" t="s">
        <v>20</v>
      </c>
      <c r="F131" s="24" t="s">
        <v>39</v>
      </c>
      <c r="G131" s="24" t="s">
        <v>39</v>
      </c>
      <c r="H131" s="24" t="s">
        <v>39</v>
      </c>
      <c r="I131" s="24" t="s">
        <v>39</v>
      </c>
      <c r="J131" s="42" t="s">
        <v>20</v>
      </c>
      <c r="K131" s="42" t="s">
        <v>20</v>
      </c>
      <c r="L131" s="42" t="s">
        <v>20</v>
      </c>
      <c r="M131" s="24" t="s">
        <v>20</v>
      </c>
      <c r="N131" s="24" t="s">
        <v>20</v>
      </c>
      <c r="O131" s="24" t="s">
        <v>20</v>
      </c>
      <c r="P131" s="24" t="s">
        <v>20</v>
      </c>
      <c r="Q131" s="24" t="s">
        <v>21</v>
      </c>
      <c r="R131" s="24" t="s">
        <v>20</v>
      </c>
      <c r="S131" s="24" t="s">
        <v>20</v>
      </c>
      <c r="T131" s="24" t="s">
        <v>20</v>
      </c>
      <c r="U131" s="24" t="s">
        <v>20</v>
      </c>
      <c r="V131" s="39" t="s">
        <v>20</v>
      </c>
      <c r="W131" s="39" t="s">
        <v>20</v>
      </c>
      <c r="X131" s="39" t="s">
        <v>20</v>
      </c>
      <c r="Y131" s="24" t="s">
        <v>20</v>
      </c>
      <c r="Z131" s="24" t="s">
        <v>20</v>
      </c>
      <c r="AA131" s="27" t="s">
        <v>20</v>
      </c>
      <c r="AB131" s="27" t="s">
        <v>20</v>
      </c>
      <c r="AC131" s="27" t="s">
        <v>20</v>
      </c>
      <c r="AD131" s="24" t="s">
        <v>20</v>
      </c>
      <c r="AE131" s="24" t="s">
        <v>21</v>
      </c>
      <c r="AG131">
        <f>+COUNTIF(F131:AE131,"AD")</f>
        <v>4</v>
      </c>
      <c r="AH131">
        <f>+COUNTIF(F131:AE131,"A")</f>
        <v>20</v>
      </c>
      <c r="AI131">
        <f>+COUNTIF(F131:AE131,"b")</f>
        <v>2</v>
      </c>
      <c r="AJ131">
        <f>+COUNTIF(F131:AE131,"c")</f>
        <v>0</v>
      </c>
      <c r="AL131">
        <f>+$AG$5*AG131</f>
        <v>16</v>
      </c>
      <c r="AM131">
        <f>+$AH$5*AH131</f>
        <v>60</v>
      </c>
      <c r="AN131">
        <f>+$AI$5*AI131</f>
        <v>4</v>
      </c>
      <c r="AO131">
        <f>+$AJ$5*AJ131</f>
        <v>0</v>
      </c>
      <c r="AP131">
        <f>+SUM(AL131:AO131)</f>
        <v>80</v>
      </c>
    </row>
    <row r="132" spans="1:42" ht="15.75" hidden="1" customHeight="1" x14ac:dyDescent="0.3">
      <c r="A132" s="16"/>
      <c r="B132" s="55">
        <v>8</v>
      </c>
      <c r="C132" s="56" t="s">
        <v>156</v>
      </c>
      <c r="D132" s="55">
        <v>4</v>
      </c>
      <c r="E132" s="55" t="s">
        <v>20</v>
      </c>
      <c r="F132" s="18" t="s">
        <v>20</v>
      </c>
      <c r="G132" s="18" t="s">
        <v>20</v>
      </c>
      <c r="H132" s="18" t="s">
        <v>20</v>
      </c>
      <c r="I132" s="18" t="s">
        <v>20</v>
      </c>
      <c r="J132" s="43" t="s">
        <v>39</v>
      </c>
      <c r="K132" s="43" t="s">
        <v>20</v>
      </c>
      <c r="L132" s="43" t="s">
        <v>20</v>
      </c>
      <c r="M132" s="18" t="s">
        <v>20</v>
      </c>
      <c r="N132" s="18" t="s">
        <v>20</v>
      </c>
      <c r="O132" s="18" t="s">
        <v>20</v>
      </c>
      <c r="P132" s="18" t="s">
        <v>20</v>
      </c>
      <c r="Q132" s="18" t="s">
        <v>20</v>
      </c>
      <c r="R132" s="18" t="s">
        <v>20</v>
      </c>
      <c r="S132" s="18" t="s">
        <v>20</v>
      </c>
      <c r="T132" s="18" t="s">
        <v>20</v>
      </c>
      <c r="U132" s="18" t="s">
        <v>21</v>
      </c>
      <c r="V132" s="37" t="s">
        <v>20</v>
      </c>
      <c r="W132" s="37" t="s">
        <v>20</v>
      </c>
      <c r="X132" s="37" t="s">
        <v>20</v>
      </c>
      <c r="Y132" s="18" t="s">
        <v>20</v>
      </c>
      <c r="Z132" s="18" t="s">
        <v>20</v>
      </c>
      <c r="AA132" s="20" t="s">
        <v>20</v>
      </c>
      <c r="AB132" s="20" t="s">
        <v>20</v>
      </c>
      <c r="AC132" s="20" t="s">
        <v>20</v>
      </c>
      <c r="AD132" s="29" t="s">
        <v>20</v>
      </c>
      <c r="AE132" s="29" t="s">
        <v>21</v>
      </c>
      <c r="AG132">
        <f>+COUNTIF(F132:AE132,"AD")</f>
        <v>1</v>
      </c>
      <c r="AH132">
        <f>+COUNTIF(F132:AE132,"A")</f>
        <v>23</v>
      </c>
      <c r="AI132">
        <f>+COUNTIF(F132:AE132,"b")</f>
        <v>2</v>
      </c>
      <c r="AJ132">
        <f>+COUNTIF(F132:AE132,"c")</f>
        <v>0</v>
      </c>
      <c r="AL132">
        <f>+$AG$5*AG132</f>
        <v>4</v>
      </c>
      <c r="AM132">
        <f>+$AH$5*AH132</f>
        <v>69</v>
      </c>
      <c r="AN132">
        <f>+$AI$5*AI132</f>
        <v>4</v>
      </c>
      <c r="AO132">
        <f>+$AJ$5*AJ132</f>
        <v>0</v>
      </c>
      <c r="AP132">
        <f>+SUM(AL132:AO132)</f>
        <v>77</v>
      </c>
    </row>
    <row r="133" spans="1:42" ht="15.75" hidden="1" customHeight="1" x14ac:dyDescent="0.3">
      <c r="A133" s="16"/>
      <c r="B133" s="55">
        <v>2</v>
      </c>
      <c r="C133" s="56" t="s">
        <v>150</v>
      </c>
      <c r="D133" s="55">
        <v>4</v>
      </c>
      <c r="E133" s="55" t="s">
        <v>20</v>
      </c>
      <c r="F133" s="18" t="s">
        <v>20</v>
      </c>
      <c r="G133" s="18" t="s">
        <v>20</v>
      </c>
      <c r="H133" s="18" t="s">
        <v>20</v>
      </c>
      <c r="I133" s="18" t="s">
        <v>20</v>
      </c>
      <c r="J133" s="43" t="s">
        <v>39</v>
      </c>
      <c r="K133" s="43" t="s">
        <v>20</v>
      </c>
      <c r="L133" s="43" t="s">
        <v>20</v>
      </c>
      <c r="M133" s="18" t="s">
        <v>21</v>
      </c>
      <c r="N133" s="18" t="s">
        <v>20</v>
      </c>
      <c r="O133" s="18" t="s">
        <v>20</v>
      </c>
      <c r="P133" s="18" t="s">
        <v>20</v>
      </c>
      <c r="Q133" s="18" t="s">
        <v>20</v>
      </c>
      <c r="R133" s="18" t="s">
        <v>20</v>
      </c>
      <c r="S133" s="18" t="s">
        <v>20</v>
      </c>
      <c r="T133" s="18" t="s">
        <v>20</v>
      </c>
      <c r="U133" s="18" t="s">
        <v>20</v>
      </c>
      <c r="V133" s="37" t="s">
        <v>20</v>
      </c>
      <c r="W133" s="37" t="s">
        <v>20</v>
      </c>
      <c r="X133" s="37" t="s">
        <v>20</v>
      </c>
      <c r="Y133" s="18" t="s">
        <v>20</v>
      </c>
      <c r="Z133" s="18" t="s">
        <v>21</v>
      </c>
      <c r="AA133" s="20" t="s">
        <v>20</v>
      </c>
      <c r="AB133" s="20" t="s">
        <v>20</v>
      </c>
      <c r="AC133" s="20" t="s">
        <v>21</v>
      </c>
      <c r="AD133" s="29" t="s">
        <v>20</v>
      </c>
      <c r="AE133" s="29" t="s">
        <v>21</v>
      </c>
      <c r="AG133">
        <f>+COUNTIF(F133:AE133,"AD")</f>
        <v>1</v>
      </c>
      <c r="AH133">
        <f>+COUNTIF(F133:AE133,"A")</f>
        <v>21</v>
      </c>
      <c r="AI133">
        <f>+COUNTIF(F133:AE133,"b")</f>
        <v>4</v>
      </c>
      <c r="AJ133">
        <f>+COUNTIF(F133:AE133,"c")</f>
        <v>0</v>
      </c>
      <c r="AL133">
        <f>+$AG$5*AG133</f>
        <v>4</v>
      </c>
      <c r="AM133">
        <f>+$AH$5*AH133</f>
        <v>63</v>
      </c>
      <c r="AN133">
        <f>+$AI$5*AI133</f>
        <v>8</v>
      </c>
      <c r="AO133">
        <f>+$AJ$5*AJ133</f>
        <v>0</v>
      </c>
      <c r="AP133">
        <f>+SUM(AL133:AO133)</f>
        <v>75</v>
      </c>
    </row>
    <row r="134" spans="1:42" ht="15.75" hidden="1" customHeight="1" x14ac:dyDescent="0.3">
      <c r="A134" s="16"/>
      <c r="B134" s="55">
        <v>6</v>
      </c>
      <c r="C134" s="56" t="s">
        <v>154</v>
      </c>
      <c r="D134" s="55">
        <v>4</v>
      </c>
      <c r="E134" s="55" t="s">
        <v>20</v>
      </c>
      <c r="F134" s="18" t="s">
        <v>20</v>
      </c>
      <c r="G134" s="18" t="s">
        <v>21</v>
      </c>
      <c r="H134" s="18" t="s">
        <v>21</v>
      </c>
      <c r="I134" s="18" t="s">
        <v>20</v>
      </c>
      <c r="J134" s="43" t="s">
        <v>20</v>
      </c>
      <c r="K134" s="43" t="s">
        <v>20</v>
      </c>
      <c r="L134" s="43" t="s">
        <v>20</v>
      </c>
      <c r="M134" s="18" t="s">
        <v>20</v>
      </c>
      <c r="N134" s="18" t="s">
        <v>20</v>
      </c>
      <c r="O134" s="18" t="s">
        <v>20</v>
      </c>
      <c r="P134" s="18" t="s">
        <v>20</v>
      </c>
      <c r="Q134" s="18" t="s">
        <v>21</v>
      </c>
      <c r="R134" s="18" t="s">
        <v>20</v>
      </c>
      <c r="S134" s="18" t="s">
        <v>20</v>
      </c>
      <c r="T134" s="18" t="s">
        <v>20</v>
      </c>
      <c r="U134" s="18" t="s">
        <v>20</v>
      </c>
      <c r="V134" s="37" t="s">
        <v>20</v>
      </c>
      <c r="W134" s="37" t="s">
        <v>20</v>
      </c>
      <c r="X134" s="37" t="s">
        <v>20</v>
      </c>
      <c r="Y134" s="18" t="s">
        <v>20</v>
      </c>
      <c r="Z134" s="18" t="s">
        <v>20</v>
      </c>
      <c r="AA134" s="20" t="s">
        <v>20</v>
      </c>
      <c r="AB134" s="20" t="s">
        <v>20</v>
      </c>
      <c r="AC134" s="20" t="s">
        <v>20</v>
      </c>
      <c r="AD134" s="29" t="s">
        <v>20</v>
      </c>
      <c r="AE134" s="29" t="s">
        <v>21</v>
      </c>
      <c r="AG134">
        <f>+COUNTIF(F134:AE134,"AD")</f>
        <v>0</v>
      </c>
      <c r="AH134">
        <f>+COUNTIF(F134:AE134,"A")</f>
        <v>22</v>
      </c>
      <c r="AI134">
        <f>+COUNTIF(F134:AE134,"b")</f>
        <v>4</v>
      </c>
      <c r="AJ134">
        <f>+COUNTIF(F134:AE134,"c")</f>
        <v>0</v>
      </c>
      <c r="AL134">
        <f>+$AG$5*AG134</f>
        <v>0</v>
      </c>
      <c r="AM134">
        <f>+$AH$5*AH134</f>
        <v>66</v>
      </c>
      <c r="AN134">
        <f>+$AI$5*AI134</f>
        <v>8</v>
      </c>
      <c r="AO134">
        <f>+$AJ$5*AJ134</f>
        <v>0</v>
      </c>
      <c r="AP134">
        <f>+SUM(AL134:AO134)</f>
        <v>74</v>
      </c>
    </row>
    <row r="135" spans="1:42" ht="15.75" hidden="1" customHeight="1" x14ac:dyDescent="0.3">
      <c r="A135" s="16"/>
      <c r="B135" s="55">
        <v>14</v>
      </c>
      <c r="C135" s="56" t="s">
        <v>162</v>
      </c>
      <c r="D135" s="55">
        <v>4</v>
      </c>
      <c r="E135" s="55" t="s">
        <v>20</v>
      </c>
      <c r="F135" s="18" t="s">
        <v>20</v>
      </c>
      <c r="G135" s="18" t="s">
        <v>20</v>
      </c>
      <c r="H135" s="18" t="s">
        <v>20</v>
      </c>
      <c r="I135" s="18" t="s">
        <v>20</v>
      </c>
      <c r="J135" s="43" t="s">
        <v>20</v>
      </c>
      <c r="K135" s="43" t="s">
        <v>20</v>
      </c>
      <c r="L135" s="43" t="s">
        <v>20</v>
      </c>
      <c r="M135" s="18" t="s">
        <v>20</v>
      </c>
      <c r="N135" s="18" t="s">
        <v>20</v>
      </c>
      <c r="O135" s="18" t="s">
        <v>20</v>
      </c>
      <c r="P135" s="18" t="s">
        <v>20</v>
      </c>
      <c r="Q135" s="18" t="s">
        <v>20</v>
      </c>
      <c r="R135" s="18" t="s">
        <v>21</v>
      </c>
      <c r="S135" s="18" t="s">
        <v>21</v>
      </c>
      <c r="T135" s="18" t="s">
        <v>20</v>
      </c>
      <c r="U135" s="18" t="s">
        <v>21</v>
      </c>
      <c r="V135" s="37" t="s">
        <v>20</v>
      </c>
      <c r="W135" s="37" t="s">
        <v>20</v>
      </c>
      <c r="X135" s="37" t="s">
        <v>20</v>
      </c>
      <c r="Y135" s="18" t="s">
        <v>20</v>
      </c>
      <c r="Z135" s="18" t="s">
        <v>20</v>
      </c>
      <c r="AA135" s="20" t="s">
        <v>21</v>
      </c>
      <c r="AB135" s="20" t="s">
        <v>20</v>
      </c>
      <c r="AC135" s="20" t="s">
        <v>20</v>
      </c>
      <c r="AD135" s="18" t="s">
        <v>20</v>
      </c>
      <c r="AE135" s="18" t="s">
        <v>21</v>
      </c>
      <c r="AG135">
        <f>+COUNTIF(F135:AE135,"AD")</f>
        <v>0</v>
      </c>
      <c r="AH135">
        <f>+COUNTIF(F135:AE135,"A")</f>
        <v>21</v>
      </c>
      <c r="AI135">
        <f>+COUNTIF(F135:AE135,"b")</f>
        <v>5</v>
      </c>
      <c r="AJ135">
        <f>+COUNTIF(F135:AE135,"c")</f>
        <v>0</v>
      </c>
      <c r="AL135">
        <f>+$AG$5*AG135</f>
        <v>0</v>
      </c>
      <c r="AM135">
        <f>+$AH$5*AH135</f>
        <v>63</v>
      </c>
      <c r="AN135">
        <f>+$AI$5*AI135</f>
        <v>10</v>
      </c>
      <c r="AO135">
        <f>+$AJ$5*AJ135</f>
        <v>0</v>
      </c>
      <c r="AP135">
        <f>+SUM(AL135:AO135)</f>
        <v>73</v>
      </c>
    </row>
    <row r="136" spans="1:42" ht="15.75" hidden="1" customHeight="1" x14ac:dyDescent="0.3">
      <c r="A136" s="16"/>
      <c r="B136" s="55">
        <v>1</v>
      </c>
      <c r="C136" s="56" t="s">
        <v>149</v>
      </c>
      <c r="D136" s="55">
        <v>4</v>
      </c>
      <c r="E136" s="55" t="s">
        <v>20</v>
      </c>
      <c r="F136" s="18" t="s">
        <v>20</v>
      </c>
      <c r="G136" s="18" t="s">
        <v>20</v>
      </c>
      <c r="H136" s="18" t="s">
        <v>20</v>
      </c>
      <c r="I136" s="18" t="s">
        <v>20</v>
      </c>
      <c r="J136" s="43" t="s">
        <v>20</v>
      </c>
      <c r="K136" s="43" t="s">
        <v>20</v>
      </c>
      <c r="L136" s="43" t="s">
        <v>21</v>
      </c>
      <c r="M136" s="18" t="s">
        <v>20</v>
      </c>
      <c r="N136" s="18" t="s">
        <v>20</v>
      </c>
      <c r="O136" s="18" t="s">
        <v>20</v>
      </c>
      <c r="P136" s="18" t="s">
        <v>20</v>
      </c>
      <c r="Q136" s="18" t="s">
        <v>20</v>
      </c>
      <c r="R136" s="18" t="s">
        <v>20</v>
      </c>
      <c r="S136" s="18" t="s">
        <v>20</v>
      </c>
      <c r="T136" s="18" t="s">
        <v>21</v>
      </c>
      <c r="U136" s="18" t="s">
        <v>21</v>
      </c>
      <c r="V136" s="37" t="s">
        <v>20</v>
      </c>
      <c r="W136" s="37" t="s">
        <v>20</v>
      </c>
      <c r="X136" s="37" t="s">
        <v>20</v>
      </c>
      <c r="Y136" s="18" t="s">
        <v>20</v>
      </c>
      <c r="Z136" s="18" t="s">
        <v>20</v>
      </c>
      <c r="AA136" s="20" t="s">
        <v>21</v>
      </c>
      <c r="AB136" s="20" t="s">
        <v>20</v>
      </c>
      <c r="AC136" s="20" t="s">
        <v>21</v>
      </c>
      <c r="AD136" s="29" t="s">
        <v>21</v>
      </c>
      <c r="AE136" s="29" t="s">
        <v>21</v>
      </c>
      <c r="AG136">
        <f>+COUNTIF(F136:AE136,"AD")</f>
        <v>0</v>
      </c>
      <c r="AH136">
        <f>+COUNTIF(F136:AE136,"A")</f>
        <v>19</v>
      </c>
      <c r="AI136">
        <f>+COUNTIF(F136:AE136,"b")</f>
        <v>7</v>
      </c>
      <c r="AJ136">
        <f>+COUNTIF(F136:AE136,"c")</f>
        <v>0</v>
      </c>
      <c r="AL136">
        <f>+$AG$5*AG136</f>
        <v>0</v>
      </c>
      <c r="AM136">
        <f>+$AH$5*AH136</f>
        <v>57</v>
      </c>
      <c r="AN136">
        <f>+$AI$5*AI136</f>
        <v>14</v>
      </c>
      <c r="AO136">
        <f>+$AJ$5*AJ136</f>
        <v>0</v>
      </c>
      <c r="AP136">
        <f>+SUM(AL136:AO136)</f>
        <v>71</v>
      </c>
    </row>
    <row r="137" spans="1:42" ht="15.75" hidden="1" customHeight="1" x14ac:dyDescent="0.3">
      <c r="A137" s="16"/>
      <c r="B137" s="55">
        <v>15</v>
      </c>
      <c r="C137" s="56" t="s">
        <v>163</v>
      </c>
      <c r="D137" s="55">
        <v>4</v>
      </c>
      <c r="E137" s="55" t="s">
        <v>20</v>
      </c>
      <c r="F137" s="18" t="s">
        <v>20</v>
      </c>
      <c r="G137" s="18" t="s">
        <v>21</v>
      </c>
      <c r="H137" s="18" t="s">
        <v>21</v>
      </c>
      <c r="I137" s="18" t="s">
        <v>20</v>
      </c>
      <c r="J137" s="43" t="s">
        <v>20</v>
      </c>
      <c r="K137" s="43" t="s">
        <v>20</v>
      </c>
      <c r="L137" s="43" t="s">
        <v>20</v>
      </c>
      <c r="M137" s="18" t="s">
        <v>21</v>
      </c>
      <c r="N137" s="18" t="s">
        <v>20</v>
      </c>
      <c r="O137" s="18" t="s">
        <v>20</v>
      </c>
      <c r="P137" s="18" t="s">
        <v>20</v>
      </c>
      <c r="Q137" s="18" t="s">
        <v>20</v>
      </c>
      <c r="R137" s="18" t="s">
        <v>20</v>
      </c>
      <c r="S137" s="18" t="s">
        <v>20</v>
      </c>
      <c r="T137" s="18" t="s">
        <v>20</v>
      </c>
      <c r="U137" s="18" t="s">
        <v>21</v>
      </c>
      <c r="V137" s="37" t="s">
        <v>20</v>
      </c>
      <c r="W137" s="37" t="s">
        <v>20</v>
      </c>
      <c r="X137" s="37" t="s">
        <v>20</v>
      </c>
      <c r="Y137" s="18" t="s">
        <v>20</v>
      </c>
      <c r="Z137" s="18" t="s">
        <v>21</v>
      </c>
      <c r="AA137" s="20" t="s">
        <v>21</v>
      </c>
      <c r="AB137" s="20" t="s">
        <v>20</v>
      </c>
      <c r="AC137" s="20" t="s">
        <v>20</v>
      </c>
      <c r="AD137" s="18" t="s">
        <v>20</v>
      </c>
      <c r="AE137" s="18" t="s">
        <v>21</v>
      </c>
      <c r="AG137">
        <f>+COUNTIF(F137:AE137,"AD")</f>
        <v>0</v>
      </c>
      <c r="AH137">
        <f>+COUNTIF(F137:AE137,"A")</f>
        <v>19</v>
      </c>
      <c r="AI137">
        <f>+COUNTIF(F137:AE137,"b")</f>
        <v>7</v>
      </c>
      <c r="AJ137">
        <f>+COUNTIF(F137:AE137,"c")</f>
        <v>0</v>
      </c>
      <c r="AL137">
        <f>+$AG$5*AG137</f>
        <v>0</v>
      </c>
      <c r="AM137">
        <f>+$AH$5*AH137</f>
        <v>57</v>
      </c>
      <c r="AN137">
        <f>+$AI$5*AI137</f>
        <v>14</v>
      </c>
      <c r="AO137">
        <f>+$AJ$5*AJ137</f>
        <v>0</v>
      </c>
      <c r="AP137">
        <f>+SUM(AL137:AO137)</f>
        <v>71</v>
      </c>
    </row>
    <row r="138" spans="1:42" ht="15.75" hidden="1" customHeight="1" x14ac:dyDescent="0.3">
      <c r="A138" s="16"/>
      <c r="B138" s="55">
        <v>23</v>
      </c>
      <c r="C138" s="56" t="s">
        <v>171</v>
      </c>
      <c r="D138" s="55">
        <v>4</v>
      </c>
      <c r="E138" s="55" t="s">
        <v>20</v>
      </c>
      <c r="F138" s="18" t="s">
        <v>20</v>
      </c>
      <c r="G138" s="18" t="s">
        <v>20</v>
      </c>
      <c r="H138" s="18" t="s">
        <v>20</v>
      </c>
      <c r="I138" s="18" t="s">
        <v>20</v>
      </c>
      <c r="J138" s="43" t="s">
        <v>20</v>
      </c>
      <c r="K138" s="43" t="s">
        <v>20</v>
      </c>
      <c r="L138" s="43" t="s">
        <v>20</v>
      </c>
      <c r="M138" s="18" t="s">
        <v>21</v>
      </c>
      <c r="N138" s="18" t="s">
        <v>20</v>
      </c>
      <c r="O138" s="18" t="s">
        <v>20</v>
      </c>
      <c r="P138" s="18" t="s">
        <v>21</v>
      </c>
      <c r="Q138" s="18" t="s">
        <v>21</v>
      </c>
      <c r="R138" s="18" t="s">
        <v>21</v>
      </c>
      <c r="S138" s="18" t="s">
        <v>20</v>
      </c>
      <c r="T138" s="18" t="s">
        <v>20</v>
      </c>
      <c r="U138" s="18" t="s">
        <v>20</v>
      </c>
      <c r="V138" s="46" t="s">
        <v>20</v>
      </c>
      <c r="W138" s="37" t="s">
        <v>20</v>
      </c>
      <c r="X138" s="46" t="s">
        <v>20</v>
      </c>
      <c r="Y138" s="18" t="s">
        <v>21</v>
      </c>
      <c r="Z138" s="18" t="s">
        <v>21</v>
      </c>
      <c r="AA138" s="20" t="s">
        <v>21</v>
      </c>
      <c r="AB138" s="20" t="s">
        <v>20</v>
      </c>
      <c r="AC138" s="20" t="s">
        <v>20</v>
      </c>
      <c r="AD138" s="18" t="s">
        <v>20</v>
      </c>
      <c r="AE138" s="18" t="s">
        <v>21</v>
      </c>
      <c r="AG138">
        <f>+COUNTIF(F138:AE138,"AD")</f>
        <v>0</v>
      </c>
      <c r="AH138">
        <f>+COUNTIF(F138:AE138,"A")</f>
        <v>18</v>
      </c>
      <c r="AI138">
        <f>+COUNTIF(F138:AE138,"b")</f>
        <v>8</v>
      </c>
      <c r="AJ138">
        <f>+COUNTIF(F138:AE138,"c")</f>
        <v>0</v>
      </c>
      <c r="AL138">
        <f>+$AG$5*AG138</f>
        <v>0</v>
      </c>
      <c r="AM138">
        <f>+$AH$5*AH138</f>
        <v>54</v>
      </c>
      <c r="AN138">
        <f>+$AI$5*AI138</f>
        <v>16</v>
      </c>
      <c r="AO138">
        <f>+$AJ$5*AJ138</f>
        <v>0</v>
      </c>
      <c r="AP138">
        <f>+SUM(AL138:AO138)</f>
        <v>70</v>
      </c>
    </row>
    <row r="139" spans="1:42" ht="15.75" hidden="1" customHeight="1" x14ac:dyDescent="0.3">
      <c r="A139" s="16"/>
      <c r="B139" s="55">
        <v>21</v>
      </c>
      <c r="C139" s="56" t="s">
        <v>169</v>
      </c>
      <c r="D139" s="55">
        <v>4</v>
      </c>
      <c r="E139" s="55" t="s">
        <v>20</v>
      </c>
      <c r="F139" s="18" t="s">
        <v>21</v>
      </c>
      <c r="G139" s="18" t="s">
        <v>21</v>
      </c>
      <c r="H139" s="18" t="s">
        <v>20</v>
      </c>
      <c r="I139" s="18" t="s">
        <v>20</v>
      </c>
      <c r="J139" s="43" t="s">
        <v>20</v>
      </c>
      <c r="K139" s="43" t="s">
        <v>20</v>
      </c>
      <c r="L139" s="43" t="s">
        <v>21</v>
      </c>
      <c r="M139" s="18" t="s">
        <v>21</v>
      </c>
      <c r="N139" s="18" t="s">
        <v>20</v>
      </c>
      <c r="O139" s="18" t="s">
        <v>20</v>
      </c>
      <c r="P139" s="18" t="s">
        <v>20</v>
      </c>
      <c r="Q139" s="18" t="s">
        <v>20</v>
      </c>
      <c r="R139" s="18" t="s">
        <v>20</v>
      </c>
      <c r="S139" s="18" t="s">
        <v>20</v>
      </c>
      <c r="T139" s="18" t="s">
        <v>20</v>
      </c>
      <c r="U139" s="18" t="s">
        <v>20</v>
      </c>
      <c r="V139" s="37" t="s">
        <v>20</v>
      </c>
      <c r="W139" s="37" t="s">
        <v>20</v>
      </c>
      <c r="X139" s="37" t="s">
        <v>20</v>
      </c>
      <c r="Y139" s="18" t="s">
        <v>21</v>
      </c>
      <c r="Z139" s="18" t="s">
        <v>21</v>
      </c>
      <c r="AA139" s="20" t="s">
        <v>20</v>
      </c>
      <c r="AB139" s="20" t="s">
        <v>20</v>
      </c>
      <c r="AC139" s="20" t="s">
        <v>21</v>
      </c>
      <c r="AD139" s="18" t="s">
        <v>21</v>
      </c>
      <c r="AE139" s="18" t="s">
        <v>21</v>
      </c>
      <c r="AG139">
        <f>+COUNTIF(F139:AE139,"AD")</f>
        <v>0</v>
      </c>
      <c r="AH139">
        <f>+COUNTIF(F139:AE139,"A")</f>
        <v>17</v>
      </c>
      <c r="AI139">
        <f>+COUNTIF(F139:AE139,"b")</f>
        <v>9</v>
      </c>
      <c r="AJ139">
        <f>+COUNTIF(F139:AE139,"c")</f>
        <v>0</v>
      </c>
      <c r="AL139">
        <f>+$AG$5*AG139</f>
        <v>0</v>
      </c>
      <c r="AM139">
        <f>+$AH$5*AH139</f>
        <v>51</v>
      </c>
      <c r="AN139">
        <f>+$AI$5*AI139</f>
        <v>18</v>
      </c>
      <c r="AO139">
        <f>+$AJ$5*AJ139</f>
        <v>0</v>
      </c>
      <c r="AP139">
        <f>+SUM(AL139:AO139)</f>
        <v>69</v>
      </c>
    </row>
    <row r="140" spans="1:42" ht="15.75" hidden="1" customHeight="1" x14ac:dyDescent="0.3">
      <c r="A140" s="16"/>
      <c r="B140" s="55">
        <v>4</v>
      </c>
      <c r="C140" s="56" t="s">
        <v>152</v>
      </c>
      <c r="D140" s="55">
        <v>4</v>
      </c>
      <c r="E140" s="55" t="s">
        <v>20</v>
      </c>
      <c r="F140" s="18" t="s">
        <v>21</v>
      </c>
      <c r="G140" s="18" t="s">
        <v>20</v>
      </c>
      <c r="H140" s="18" t="s">
        <v>21</v>
      </c>
      <c r="I140" s="18" t="s">
        <v>20</v>
      </c>
      <c r="J140" s="43" t="s">
        <v>20</v>
      </c>
      <c r="K140" s="43" t="s">
        <v>20</v>
      </c>
      <c r="L140" s="43" t="s">
        <v>21</v>
      </c>
      <c r="M140" s="18" t="s">
        <v>20</v>
      </c>
      <c r="N140" s="18" t="s">
        <v>20</v>
      </c>
      <c r="O140" s="18" t="s">
        <v>20</v>
      </c>
      <c r="P140" s="18" t="s">
        <v>21</v>
      </c>
      <c r="Q140" s="18" t="s">
        <v>21</v>
      </c>
      <c r="R140" s="18" t="s">
        <v>21</v>
      </c>
      <c r="S140" s="18" t="s">
        <v>20</v>
      </c>
      <c r="T140" s="18" t="s">
        <v>20</v>
      </c>
      <c r="U140" s="18" t="s">
        <v>21</v>
      </c>
      <c r="V140" s="37" t="s">
        <v>20</v>
      </c>
      <c r="W140" s="37" t="s">
        <v>20</v>
      </c>
      <c r="X140" s="37" t="s">
        <v>20</v>
      </c>
      <c r="Y140" s="18" t="s">
        <v>20</v>
      </c>
      <c r="Z140" s="18" t="s">
        <v>20</v>
      </c>
      <c r="AA140" s="20" t="s">
        <v>21</v>
      </c>
      <c r="AB140" s="20" t="s">
        <v>21</v>
      </c>
      <c r="AC140" s="20" t="s">
        <v>20</v>
      </c>
      <c r="AD140" s="47" t="s">
        <v>20</v>
      </c>
      <c r="AE140" s="47" t="s">
        <v>21</v>
      </c>
      <c r="AG140">
        <f>+COUNTIF(F140:AE140,"AD")</f>
        <v>0</v>
      </c>
      <c r="AH140">
        <f>+COUNTIF(F140:AE140,"A")</f>
        <v>16</v>
      </c>
      <c r="AI140">
        <f>+COUNTIF(F140:AE140,"b")</f>
        <v>10</v>
      </c>
      <c r="AJ140">
        <f>+COUNTIF(F140:AE140,"c")</f>
        <v>0</v>
      </c>
      <c r="AL140">
        <f>+$AG$5*AG140</f>
        <v>0</v>
      </c>
      <c r="AM140">
        <f>+$AH$5*AH140</f>
        <v>48</v>
      </c>
      <c r="AN140">
        <f>+$AI$5*AI140</f>
        <v>20</v>
      </c>
      <c r="AO140">
        <f>+$AJ$5*AJ140</f>
        <v>0</v>
      </c>
      <c r="AP140">
        <f>+SUM(AL140:AO140)</f>
        <v>68</v>
      </c>
    </row>
    <row r="141" spans="1:42" ht="15.75" hidden="1" customHeight="1" x14ac:dyDescent="0.3">
      <c r="A141" s="16"/>
      <c r="B141" s="55">
        <v>5</v>
      </c>
      <c r="C141" s="56" t="s">
        <v>153</v>
      </c>
      <c r="D141" s="55">
        <v>4</v>
      </c>
      <c r="E141" s="55" t="s">
        <v>20</v>
      </c>
      <c r="F141" s="18" t="s">
        <v>20</v>
      </c>
      <c r="G141" s="18" t="s">
        <v>21</v>
      </c>
      <c r="H141" s="18" t="s">
        <v>21</v>
      </c>
      <c r="I141" s="18" t="s">
        <v>20</v>
      </c>
      <c r="J141" s="43" t="s">
        <v>20</v>
      </c>
      <c r="K141" s="43" t="s">
        <v>20</v>
      </c>
      <c r="L141" s="43" t="s">
        <v>21</v>
      </c>
      <c r="M141" s="18" t="s">
        <v>21</v>
      </c>
      <c r="N141" s="18" t="s">
        <v>20</v>
      </c>
      <c r="O141" s="18" t="s">
        <v>20</v>
      </c>
      <c r="P141" s="18" t="s">
        <v>20</v>
      </c>
      <c r="Q141" s="18" t="s">
        <v>20</v>
      </c>
      <c r="R141" s="18" t="s">
        <v>20</v>
      </c>
      <c r="S141" s="18" t="s">
        <v>20</v>
      </c>
      <c r="T141" s="18" t="s">
        <v>20</v>
      </c>
      <c r="U141" s="18" t="s">
        <v>21</v>
      </c>
      <c r="V141" s="37" t="s">
        <v>20</v>
      </c>
      <c r="W141" s="37" t="s">
        <v>20</v>
      </c>
      <c r="X141" s="37" t="s">
        <v>20</v>
      </c>
      <c r="Y141" s="18" t="s">
        <v>20</v>
      </c>
      <c r="Z141" s="18" t="s">
        <v>21</v>
      </c>
      <c r="AA141" s="20" t="s">
        <v>21</v>
      </c>
      <c r="AB141" s="20" t="s">
        <v>20</v>
      </c>
      <c r="AC141" s="20" t="s">
        <v>20</v>
      </c>
      <c r="AD141" s="29" t="s">
        <v>23</v>
      </c>
      <c r="AE141" s="29" t="s">
        <v>21</v>
      </c>
      <c r="AG141">
        <f>+COUNTIF(F141:AE141,"AD")</f>
        <v>0</v>
      </c>
      <c r="AH141">
        <f>+COUNTIF(F141:AE141,"A")</f>
        <v>17</v>
      </c>
      <c r="AI141">
        <f>+COUNTIF(F141:AE141,"b")</f>
        <v>8</v>
      </c>
      <c r="AJ141">
        <f>+COUNTIF(F141:AE141,"c")</f>
        <v>1</v>
      </c>
      <c r="AL141">
        <f>+$AG$5*AG141</f>
        <v>0</v>
      </c>
      <c r="AM141">
        <f>+$AH$5*AH141</f>
        <v>51</v>
      </c>
      <c r="AN141">
        <f>+$AI$5*AI141</f>
        <v>16</v>
      </c>
      <c r="AO141">
        <f>+$AJ$5*AJ141</f>
        <v>1</v>
      </c>
      <c r="AP141">
        <f>+SUM(AL141:AO141)</f>
        <v>68</v>
      </c>
    </row>
    <row r="142" spans="1:42" ht="15.75" hidden="1" customHeight="1" x14ac:dyDescent="0.3">
      <c r="A142" s="16"/>
      <c r="B142" s="55">
        <v>22</v>
      </c>
      <c r="C142" s="56" t="s">
        <v>170</v>
      </c>
      <c r="D142" s="55">
        <v>4</v>
      </c>
      <c r="E142" s="55" t="s">
        <v>20</v>
      </c>
      <c r="F142" s="18" t="s">
        <v>20</v>
      </c>
      <c r="G142" s="18" t="s">
        <v>20</v>
      </c>
      <c r="H142" s="18" t="s">
        <v>20</v>
      </c>
      <c r="I142" s="18" t="s">
        <v>20</v>
      </c>
      <c r="J142" s="43" t="s">
        <v>20</v>
      </c>
      <c r="K142" s="43" t="s">
        <v>20</v>
      </c>
      <c r="L142" s="43" t="s">
        <v>21</v>
      </c>
      <c r="M142" s="18" t="s">
        <v>21</v>
      </c>
      <c r="N142" s="18" t="s">
        <v>20</v>
      </c>
      <c r="O142" s="18" t="s">
        <v>20</v>
      </c>
      <c r="P142" s="18" t="s">
        <v>21</v>
      </c>
      <c r="Q142" s="18" t="s">
        <v>21</v>
      </c>
      <c r="R142" s="18" t="s">
        <v>21</v>
      </c>
      <c r="S142" s="18" t="s">
        <v>20</v>
      </c>
      <c r="T142" s="18" t="s">
        <v>20</v>
      </c>
      <c r="U142" s="18" t="s">
        <v>21</v>
      </c>
      <c r="V142" s="37" t="s">
        <v>20</v>
      </c>
      <c r="W142" s="37" t="s">
        <v>20</v>
      </c>
      <c r="X142" s="37" t="s">
        <v>20</v>
      </c>
      <c r="Y142" s="18" t="s">
        <v>21</v>
      </c>
      <c r="Z142" s="18" t="s">
        <v>20</v>
      </c>
      <c r="AA142" s="20" t="s">
        <v>21</v>
      </c>
      <c r="AB142" s="20" t="s">
        <v>21</v>
      </c>
      <c r="AC142" s="20" t="s">
        <v>21</v>
      </c>
      <c r="AD142" s="18" t="s">
        <v>21</v>
      </c>
      <c r="AE142" s="18" t="s">
        <v>21</v>
      </c>
      <c r="AG142">
        <f>+COUNTIF(F142:AE142,"AD")</f>
        <v>0</v>
      </c>
      <c r="AH142">
        <f>+COUNTIF(F142:AE142,"A")</f>
        <v>14</v>
      </c>
      <c r="AI142">
        <f>+COUNTIF(F142:AE142,"b")</f>
        <v>12</v>
      </c>
      <c r="AJ142">
        <f>+COUNTIF(F142:AE142,"c")</f>
        <v>0</v>
      </c>
      <c r="AL142">
        <f>+$AG$5*AG142</f>
        <v>0</v>
      </c>
      <c r="AM142">
        <f>+$AH$5*AH142</f>
        <v>42</v>
      </c>
      <c r="AN142">
        <f>+$AI$5*AI142</f>
        <v>24</v>
      </c>
      <c r="AO142">
        <f>+$AJ$5*AJ142</f>
        <v>0</v>
      </c>
      <c r="AP142">
        <f>+SUM(AL142:AO142)</f>
        <v>66</v>
      </c>
    </row>
    <row r="143" spans="1:42" ht="15.75" hidden="1" customHeight="1" x14ac:dyDescent="0.3">
      <c r="A143" s="16"/>
      <c r="B143" s="55">
        <v>9</v>
      </c>
      <c r="C143" s="56" t="s">
        <v>157</v>
      </c>
      <c r="D143" s="55">
        <v>4</v>
      </c>
      <c r="E143" s="55" t="s">
        <v>20</v>
      </c>
      <c r="F143" s="18" t="s">
        <v>23</v>
      </c>
      <c r="G143" s="18" t="s">
        <v>21</v>
      </c>
      <c r="H143" s="18" t="s">
        <v>21</v>
      </c>
      <c r="I143" s="18" t="s">
        <v>21</v>
      </c>
      <c r="J143" s="43" t="s">
        <v>20</v>
      </c>
      <c r="K143" s="43" t="s">
        <v>20</v>
      </c>
      <c r="L143" s="43" t="s">
        <v>21</v>
      </c>
      <c r="M143" s="18" t="s">
        <v>20</v>
      </c>
      <c r="N143" s="18" t="s">
        <v>20</v>
      </c>
      <c r="O143" s="18" t="s">
        <v>20</v>
      </c>
      <c r="P143" s="18" t="s">
        <v>20</v>
      </c>
      <c r="Q143" s="18" t="s">
        <v>20</v>
      </c>
      <c r="R143" s="18" t="s">
        <v>20</v>
      </c>
      <c r="S143" s="18" t="s">
        <v>20</v>
      </c>
      <c r="T143" s="18" t="s">
        <v>20</v>
      </c>
      <c r="U143" s="18" t="s">
        <v>21</v>
      </c>
      <c r="V143" s="37" t="s">
        <v>20</v>
      </c>
      <c r="W143" s="37" t="s">
        <v>20</v>
      </c>
      <c r="X143" s="37" t="s">
        <v>20</v>
      </c>
      <c r="Y143" s="18" t="s">
        <v>20</v>
      </c>
      <c r="Z143" s="18" t="s">
        <v>21</v>
      </c>
      <c r="AA143" s="20" t="s">
        <v>21</v>
      </c>
      <c r="AB143" s="20" t="s">
        <v>21</v>
      </c>
      <c r="AC143" s="20" t="s">
        <v>23</v>
      </c>
      <c r="AD143" s="18" t="s">
        <v>20</v>
      </c>
      <c r="AE143" s="18" t="s">
        <v>21</v>
      </c>
      <c r="AG143">
        <f>+COUNTIF(F143:AE143,"AD")</f>
        <v>0</v>
      </c>
      <c r="AH143">
        <f>+COUNTIF(F143:AE143,"A")</f>
        <v>15</v>
      </c>
      <c r="AI143">
        <f>+COUNTIF(F143:AE143,"b")</f>
        <v>9</v>
      </c>
      <c r="AJ143">
        <f>+COUNTIF(F143:AE143,"c")</f>
        <v>2</v>
      </c>
      <c r="AL143">
        <f>+$AG$5*AG143</f>
        <v>0</v>
      </c>
      <c r="AM143">
        <f>+$AH$5*AH143</f>
        <v>45</v>
      </c>
      <c r="AN143">
        <f>+$AI$5*AI143</f>
        <v>18</v>
      </c>
      <c r="AO143">
        <f>+$AJ$5*AJ143</f>
        <v>2</v>
      </c>
      <c r="AP143">
        <f>+SUM(AL143:AO143)</f>
        <v>65</v>
      </c>
    </row>
    <row r="144" spans="1:42" ht="15.75" hidden="1" customHeight="1" x14ac:dyDescent="0.3">
      <c r="A144" s="16"/>
      <c r="B144" s="55">
        <v>20</v>
      </c>
      <c r="C144" s="56" t="s">
        <v>168</v>
      </c>
      <c r="D144" s="55">
        <v>4</v>
      </c>
      <c r="E144" s="55" t="s">
        <v>20</v>
      </c>
      <c r="F144" s="18" t="s">
        <v>21</v>
      </c>
      <c r="G144" s="18" t="s">
        <v>23</v>
      </c>
      <c r="H144" s="18" t="s">
        <v>21</v>
      </c>
      <c r="I144" s="18" t="s">
        <v>21</v>
      </c>
      <c r="J144" s="43" t="s">
        <v>20</v>
      </c>
      <c r="K144" s="43" t="s">
        <v>21</v>
      </c>
      <c r="L144" s="43" t="s">
        <v>21</v>
      </c>
      <c r="M144" s="18" t="s">
        <v>21</v>
      </c>
      <c r="N144" s="18" t="s">
        <v>20</v>
      </c>
      <c r="O144" s="18" t="s">
        <v>21</v>
      </c>
      <c r="P144" s="18" t="s">
        <v>20</v>
      </c>
      <c r="Q144" s="18" t="s">
        <v>21</v>
      </c>
      <c r="R144" s="18" t="s">
        <v>20</v>
      </c>
      <c r="S144" s="18" t="s">
        <v>20</v>
      </c>
      <c r="T144" s="18" t="s">
        <v>20</v>
      </c>
      <c r="U144" s="18" t="s">
        <v>20</v>
      </c>
      <c r="V144" s="37" t="s">
        <v>20</v>
      </c>
      <c r="W144" s="37" t="s">
        <v>20</v>
      </c>
      <c r="X144" s="37" t="s">
        <v>20</v>
      </c>
      <c r="Y144" s="18" t="s">
        <v>21</v>
      </c>
      <c r="Z144" s="18" t="s">
        <v>21</v>
      </c>
      <c r="AA144" s="20" t="s">
        <v>21</v>
      </c>
      <c r="AB144" s="20" t="s">
        <v>21</v>
      </c>
      <c r="AC144" s="20" t="s">
        <v>21</v>
      </c>
      <c r="AD144" s="18" t="s">
        <v>20</v>
      </c>
      <c r="AE144" s="18" t="s">
        <v>21</v>
      </c>
      <c r="AG144">
        <f>+COUNTIF(F144:AE144,"AD")</f>
        <v>0</v>
      </c>
      <c r="AH144">
        <f>+COUNTIF(F144:AE144,"A")</f>
        <v>11</v>
      </c>
      <c r="AI144">
        <f>+COUNTIF(F144:AE144,"b")</f>
        <v>14</v>
      </c>
      <c r="AJ144">
        <f>+COUNTIF(F144:AE144,"c")</f>
        <v>1</v>
      </c>
      <c r="AL144">
        <f>+$AG$5*AG144</f>
        <v>0</v>
      </c>
      <c r="AM144">
        <f>+$AH$5*AH144</f>
        <v>33</v>
      </c>
      <c r="AN144">
        <f>+$AI$5*AI144</f>
        <v>28</v>
      </c>
      <c r="AO144">
        <f>+$AJ$5*AJ144</f>
        <v>1</v>
      </c>
      <c r="AP144">
        <f>+SUM(AL144:AO144)</f>
        <v>62</v>
      </c>
    </row>
    <row r="145" spans="1:42" ht="15.75" hidden="1" customHeight="1" x14ac:dyDescent="0.3">
      <c r="A145" s="16"/>
      <c r="B145" s="55">
        <v>10</v>
      </c>
      <c r="C145" s="56" t="s">
        <v>158</v>
      </c>
      <c r="D145" s="55">
        <v>4</v>
      </c>
      <c r="E145" s="55" t="s">
        <v>20</v>
      </c>
      <c r="F145" s="18" t="s">
        <v>21</v>
      </c>
      <c r="G145" s="18" t="s">
        <v>23</v>
      </c>
      <c r="H145" s="18" t="s">
        <v>21</v>
      </c>
      <c r="I145" s="18" t="s">
        <v>23</v>
      </c>
      <c r="J145" s="43" t="s">
        <v>20</v>
      </c>
      <c r="K145" s="43" t="s">
        <v>21</v>
      </c>
      <c r="L145" s="43" t="s">
        <v>21</v>
      </c>
      <c r="M145" s="18" t="s">
        <v>21</v>
      </c>
      <c r="N145" s="18" t="s">
        <v>21</v>
      </c>
      <c r="O145" s="18" t="s">
        <v>20</v>
      </c>
      <c r="P145" s="18" t="s">
        <v>21</v>
      </c>
      <c r="Q145" s="18" t="s">
        <v>21</v>
      </c>
      <c r="R145" s="18" t="s">
        <v>21</v>
      </c>
      <c r="S145" s="18" t="s">
        <v>21</v>
      </c>
      <c r="T145" s="18" t="s">
        <v>20</v>
      </c>
      <c r="U145" s="18" t="s">
        <v>20</v>
      </c>
      <c r="V145" s="37" t="s">
        <v>20</v>
      </c>
      <c r="W145" s="37" t="s">
        <v>20</v>
      </c>
      <c r="X145" s="37" t="s">
        <v>20</v>
      </c>
      <c r="Y145" s="18" t="s">
        <v>20</v>
      </c>
      <c r="Z145" s="18" t="s">
        <v>21</v>
      </c>
      <c r="AA145" s="20" t="s">
        <v>20</v>
      </c>
      <c r="AB145" s="20" t="s">
        <v>20</v>
      </c>
      <c r="AC145" s="20" t="s">
        <v>20</v>
      </c>
      <c r="AD145" s="18" t="s">
        <v>23</v>
      </c>
      <c r="AE145" s="18" t="s">
        <v>21</v>
      </c>
      <c r="AG145">
        <f>+COUNTIF(F145:AE145,"AD")</f>
        <v>0</v>
      </c>
      <c r="AH145">
        <f>+COUNTIF(F145:AE145,"A")</f>
        <v>11</v>
      </c>
      <c r="AI145">
        <f>+COUNTIF(F145:AE145,"b")</f>
        <v>12</v>
      </c>
      <c r="AJ145">
        <f>+COUNTIF(F145:AE145,"c")</f>
        <v>3</v>
      </c>
      <c r="AL145">
        <f>+$AG$5*AG145</f>
        <v>0</v>
      </c>
      <c r="AM145">
        <f>+$AH$5*AH145</f>
        <v>33</v>
      </c>
      <c r="AN145">
        <f>+$AI$5*AI145</f>
        <v>24</v>
      </c>
      <c r="AO145">
        <f>+$AJ$5*AJ145</f>
        <v>3</v>
      </c>
      <c r="AP145">
        <f>+SUM(AL145:AO145)</f>
        <v>60</v>
      </c>
    </row>
    <row r="146" spans="1:42" ht="15.75" hidden="1" customHeight="1" x14ac:dyDescent="0.3">
      <c r="A146" s="16"/>
      <c r="B146" s="55">
        <v>17</v>
      </c>
      <c r="C146" s="56" t="s">
        <v>165</v>
      </c>
      <c r="D146" s="55">
        <v>4</v>
      </c>
      <c r="E146" s="55" t="s">
        <v>20</v>
      </c>
      <c r="F146" s="18" t="s">
        <v>23</v>
      </c>
      <c r="G146" s="18" t="s">
        <v>21</v>
      </c>
      <c r="H146" s="18" t="s">
        <v>21</v>
      </c>
      <c r="I146" s="18" t="s">
        <v>21</v>
      </c>
      <c r="J146" s="43" t="s">
        <v>20</v>
      </c>
      <c r="K146" s="43" t="s">
        <v>20</v>
      </c>
      <c r="L146" s="43" t="s">
        <v>21</v>
      </c>
      <c r="M146" s="18" t="s">
        <v>21</v>
      </c>
      <c r="N146" s="18" t="s">
        <v>21</v>
      </c>
      <c r="O146" s="18" t="s">
        <v>20</v>
      </c>
      <c r="P146" s="18" t="s">
        <v>21</v>
      </c>
      <c r="Q146" s="18" t="s">
        <v>21</v>
      </c>
      <c r="R146" s="18" t="s">
        <v>21</v>
      </c>
      <c r="S146" s="18" t="s">
        <v>20</v>
      </c>
      <c r="T146" s="18" t="s">
        <v>20</v>
      </c>
      <c r="U146" s="18" t="s">
        <v>21</v>
      </c>
      <c r="V146" s="37" t="s">
        <v>21</v>
      </c>
      <c r="W146" s="37" t="s">
        <v>21</v>
      </c>
      <c r="X146" s="37" t="s">
        <v>21</v>
      </c>
      <c r="Y146" s="18" t="s">
        <v>20</v>
      </c>
      <c r="Z146" s="18" t="s">
        <v>20</v>
      </c>
      <c r="AA146" s="20" t="s">
        <v>21</v>
      </c>
      <c r="AB146" s="20" t="s">
        <v>21</v>
      </c>
      <c r="AC146" s="20" t="s">
        <v>20</v>
      </c>
      <c r="AD146" s="18" t="s">
        <v>20</v>
      </c>
      <c r="AE146" s="18" t="s">
        <v>21</v>
      </c>
      <c r="AG146">
        <f>+COUNTIF(F146:AE146,"AD")</f>
        <v>0</v>
      </c>
      <c r="AH146">
        <f>+COUNTIF(F146:AE146,"A")</f>
        <v>9</v>
      </c>
      <c r="AI146">
        <f>+COUNTIF(F146:AE146,"b")</f>
        <v>16</v>
      </c>
      <c r="AJ146">
        <f>+COUNTIF(F146:AE146,"c")</f>
        <v>1</v>
      </c>
      <c r="AL146">
        <f>+$AG$5*AG146</f>
        <v>0</v>
      </c>
      <c r="AM146">
        <f>+$AH$5*AH146</f>
        <v>27</v>
      </c>
      <c r="AN146">
        <f>+$AI$5*AI146</f>
        <v>32</v>
      </c>
      <c r="AO146">
        <f>+$AJ$5*AJ146</f>
        <v>1</v>
      </c>
      <c r="AP146">
        <f>+SUM(AL146:AO146)</f>
        <v>60</v>
      </c>
    </row>
    <row r="147" spans="1:42" ht="15.75" hidden="1" customHeight="1" x14ac:dyDescent="0.3">
      <c r="A147" s="16"/>
      <c r="B147" s="55">
        <v>3</v>
      </c>
      <c r="C147" s="56" t="s">
        <v>151</v>
      </c>
      <c r="D147" s="55">
        <v>4</v>
      </c>
      <c r="E147" s="55" t="s">
        <v>20</v>
      </c>
      <c r="F147" s="18" t="s">
        <v>23</v>
      </c>
      <c r="G147" s="18" t="s">
        <v>21</v>
      </c>
      <c r="H147" s="18" t="s">
        <v>23</v>
      </c>
      <c r="I147" s="18" t="s">
        <v>21</v>
      </c>
      <c r="J147" s="43" t="s">
        <v>21</v>
      </c>
      <c r="K147" s="43" t="s">
        <v>21</v>
      </c>
      <c r="L147" s="43" t="s">
        <v>21</v>
      </c>
      <c r="M147" s="18" t="s">
        <v>21</v>
      </c>
      <c r="N147" s="18" t="s">
        <v>20</v>
      </c>
      <c r="O147" s="18" t="s">
        <v>20</v>
      </c>
      <c r="P147" s="18" t="s">
        <v>21</v>
      </c>
      <c r="Q147" s="18" t="s">
        <v>21</v>
      </c>
      <c r="R147" s="18" t="s">
        <v>21</v>
      </c>
      <c r="S147" s="18" t="s">
        <v>20</v>
      </c>
      <c r="T147" s="18" t="s">
        <v>20</v>
      </c>
      <c r="U147" s="18" t="s">
        <v>21</v>
      </c>
      <c r="V147" s="37" t="s">
        <v>20</v>
      </c>
      <c r="W147" s="46" t="s">
        <v>21</v>
      </c>
      <c r="X147" s="37" t="s">
        <v>20</v>
      </c>
      <c r="Y147" s="18" t="s">
        <v>21</v>
      </c>
      <c r="Z147" s="18" t="s">
        <v>23</v>
      </c>
      <c r="AA147" s="20" t="s">
        <v>21</v>
      </c>
      <c r="AB147" s="20" t="s">
        <v>21</v>
      </c>
      <c r="AC147" s="20" t="s">
        <v>21</v>
      </c>
      <c r="AD147" s="29" t="s">
        <v>21</v>
      </c>
      <c r="AE147" s="29" t="s">
        <v>21</v>
      </c>
      <c r="AG147">
        <f>+COUNTIF(F147:AE147,"AD")</f>
        <v>0</v>
      </c>
      <c r="AH147">
        <f>+COUNTIF(F147:AE147,"A")</f>
        <v>6</v>
      </c>
      <c r="AI147">
        <f>+COUNTIF(F147:AE147,"b")</f>
        <v>17</v>
      </c>
      <c r="AJ147">
        <f>+COUNTIF(F147:AE147,"c")</f>
        <v>3</v>
      </c>
      <c r="AL147">
        <f>+$AG$5*AG147</f>
        <v>0</v>
      </c>
      <c r="AM147">
        <f>+$AH$5*AH147</f>
        <v>18</v>
      </c>
      <c r="AN147">
        <f>+$AI$5*AI147</f>
        <v>34</v>
      </c>
      <c r="AO147">
        <f>+$AJ$5*AJ147</f>
        <v>3</v>
      </c>
      <c r="AP147">
        <f>+SUM(AL147:AO147)</f>
        <v>55</v>
      </c>
    </row>
    <row r="148" spans="1:42" ht="15.75" hidden="1" customHeight="1" x14ac:dyDescent="0.3">
      <c r="A148" s="16"/>
      <c r="B148" s="55">
        <v>16</v>
      </c>
      <c r="C148" s="56" t="s">
        <v>164</v>
      </c>
      <c r="D148" s="55">
        <v>4</v>
      </c>
      <c r="E148" s="55" t="s">
        <v>20</v>
      </c>
      <c r="F148" s="18" t="s">
        <v>23</v>
      </c>
      <c r="G148" s="18" t="s">
        <v>23</v>
      </c>
      <c r="H148" s="18" t="s">
        <v>23</v>
      </c>
      <c r="I148" s="18" t="s">
        <v>21</v>
      </c>
      <c r="J148" s="43" t="s">
        <v>21</v>
      </c>
      <c r="K148" s="43" t="s">
        <v>21</v>
      </c>
      <c r="L148" s="43" t="s">
        <v>21</v>
      </c>
      <c r="M148" s="18" t="s">
        <v>21</v>
      </c>
      <c r="N148" s="18" t="s">
        <v>20</v>
      </c>
      <c r="O148" s="18" t="s">
        <v>21</v>
      </c>
      <c r="P148" s="18" t="s">
        <v>20</v>
      </c>
      <c r="Q148" s="18" t="s">
        <v>20</v>
      </c>
      <c r="R148" s="18" t="s">
        <v>20</v>
      </c>
      <c r="S148" s="18" t="s">
        <v>21</v>
      </c>
      <c r="T148" s="18" t="s">
        <v>21</v>
      </c>
      <c r="U148" s="18" t="s">
        <v>21</v>
      </c>
      <c r="V148" s="37" t="s">
        <v>20</v>
      </c>
      <c r="W148" s="37" t="s">
        <v>20</v>
      </c>
      <c r="X148" s="37" t="s">
        <v>20</v>
      </c>
      <c r="Y148" s="18" t="s">
        <v>21</v>
      </c>
      <c r="Z148" s="18" t="s">
        <v>21</v>
      </c>
      <c r="AA148" s="20" t="s">
        <v>21</v>
      </c>
      <c r="AB148" s="20" t="s">
        <v>21</v>
      </c>
      <c r="AC148" s="20" t="s">
        <v>21</v>
      </c>
      <c r="AD148" s="18" t="s">
        <v>23</v>
      </c>
      <c r="AE148" s="18" t="s">
        <v>21</v>
      </c>
      <c r="AG148">
        <f>+COUNTIF(F148:AE148,"AD")</f>
        <v>0</v>
      </c>
      <c r="AH148">
        <f>+COUNTIF(F148:AE148,"A")</f>
        <v>7</v>
      </c>
      <c r="AI148">
        <f>+COUNTIF(F148:AE148,"b")</f>
        <v>15</v>
      </c>
      <c r="AJ148">
        <f>+COUNTIF(F148:AE148,"c")</f>
        <v>4</v>
      </c>
      <c r="AL148">
        <f>+$AG$5*AG148</f>
        <v>0</v>
      </c>
      <c r="AM148">
        <f>+$AH$5*AH148</f>
        <v>21</v>
      </c>
      <c r="AN148">
        <f>+$AI$5*AI148</f>
        <v>30</v>
      </c>
      <c r="AO148">
        <f>+$AJ$5*AJ148</f>
        <v>4</v>
      </c>
      <c r="AP148">
        <f>+SUM(AL148:AO148)</f>
        <v>55</v>
      </c>
    </row>
    <row r="149" spans="1:42" ht="15.75" hidden="1" customHeight="1" x14ac:dyDescent="0.3">
      <c r="A149" s="16"/>
      <c r="B149" s="55">
        <v>18</v>
      </c>
      <c r="C149" s="56" t="s">
        <v>166</v>
      </c>
      <c r="D149" s="55">
        <v>4</v>
      </c>
      <c r="E149" s="55" t="s">
        <v>20</v>
      </c>
      <c r="F149" s="18" t="s">
        <v>23</v>
      </c>
      <c r="G149" s="18" t="s">
        <v>23</v>
      </c>
      <c r="H149" s="18" t="s">
        <v>23</v>
      </c>
      <c r="I149" s="18" t="s">
        <v>23</v>
      </c>
      <c r="J149" s="43" t="s">
        <v>21</v>
      </c>
      <c r="K149" s="43" t="s">
        <v>21</v>
      </c>
      <c r="L149" s="43" t="s">
        <v>21</v>
      </c>
      <c r="M149" s="18" t="s">
        <v>21</v>
      </c>
      <c r="N149" s="18" t="s">
        <v>21</v>
      </c>
      <c r="O149" s="18" t="s">
        <v>21</v>
      </c>
      <c r="P149" s="18" t="s">
        <v>21</v>
      </c>
      <c r="Q149" s="18" t="s">
        <v>21</v>
      </c>
      <c r="R149" s="18" t="s">
        <v>21</v>
      </c>
      <c r="S149" s="18" t="s">
        <v>21</v>
      </c>
      <c r="T149" s="18" t="s">
        <v>20</v>
      </c>
      <c r="U149" s="18" t="s">
        <v>21</v>
      </c>
      <c r="V149" s="37" t="s">
        <v>20</v>
      </c>
      <c r="W149" s="37" t="s">
        <v>20</v>
      </c>
      <c r="X149" s="37" t="s">
        <v>20</v>
      </c>
      <c r="Y149" s="18" t="s">
        <v>20</v>
      </c>
      <c r="Z149" s="18" t="s">
        <v>21</v>
      </c>
      <c r="AA149" s="20" t="s">
        <v>21</v>
      </c>
      <c r="AB149" s="20" t="s">
        <v>20</v>
      </c>
      <c r="AC149" s="20" t="s">
        <v>21</v>
      </c>
      <c r="AD149" s="18" t="s">
        <v>21</v>
      </c>
      <c r="AE149" s="18" t="s">
        <v>21</v>
      </c>
      <c r="AG149">
        <f>+COUNTIF(F149:AE149,"AD")</f>
        <v>0</v>
      </c>
      <c r="AH149">
        <f>+COUNTIF(F149:AE149,"A")</f>
        <v>6</v>
      </c>
      <c r="AI149">
        <f>+COUNTIF(F149:AE149,"b")</f>
        <v>16</v>
      </c>
      <c r="AJ149">
        <f>+COUNTIF(F149:AE149,"c")</f>
        <v>4</v>
      </c>
      <c r="AL149">
        <f>+$AG$5*AG149</f>
        <v>0</v>
      </c>
      <c r="AM149">
        <f>+$AH$5*AH149</f>
        <v>18</v>
      </c>
      <c r="AN149">
        <f>+$AI$5*AI149</f>
        <v>32</v>
      </c>
      <c r="AO149">
        <f>+$AJ$5*AJ149</f>
        <v>4</v>
      </c>
      <c r="AP149">
        <f>+SUM(AL149:AO149)</f>
        <v>54</v>
      </c>
    </row>
    <row r="150" spans="1:42" ht="15.75" hidden="1" customHeight="1" x14ac:dyDescent="0.3">
      <c r="A150" s="16"/>
      <c r="B150" s="55">
        <v>11</v>
      </c>
      <c r="C150" s="56" t="s">
        <v>159</v>
      </c>
      <c r="D150" s="55">
        <v>4</v>
      </c>
      <c r="E150" s="55" t="s">
        <v>20</v>
      </c>
      <c r="F150" s="18" t="s">
        <v>23</v>
      </c>
      <c r="G150" s="18" t="s">
        <v>23</v>
      </c>
      <c r="H150" s="18" t="s">
        <v>23</v>
      </c>
      <c r="I150" s="18" t="s">
        <v>21</v>
      </c>
      <c r="J150" s="43" t="s">
        <v>20</v>
      </c>
      <c r="K150" s="43" t="s">
        <v>21</v>
      </c>
      <c r="L150" s="43" t="s">
        <v>21</v>
      </c>
      <c r="M150" s="18" t="s">
        <v>21</v>
      </c>
      <c r="N150" s="18" t="s">
        <v>21</v>
      </c>
      <c r="O150" s="18" t="s">
        <v>21</v>
      </c>
      <c r="P150" s="18" t="s">
        <v>21</v>
      </c>
      <c r="Q150" s="18" t="s">
        <v>21</v>
      </c>
      <c r="R150" s="18" t="s">
        <v>21</v>
      </c>
      <c r="S150" s="18" t="s">
        <v>20</v>
      </c>
      <c r="T150" s="18" t="s">
        <v>21</v>
      </c>
      <c r="U150" s="18" t="s">
        <v>20</v>
      </c>
      <c r="V150" s="37" t="s">
        <v>20</v>
      </c>
      <c r="W150" s="37" t="s">
        <v>20</v>
      </c>
      <c r="X150" s="37" t="s">
        <v>20</v>
      </c>
      <c r="Y150" s="18" t="s">
        <v>21</v>
      </c>
      <c r="Z150" s="18" t="s">
        <v>21</v>
      </c>
      <c r="AA150" s="20" t="s">
        <v>21</v>
      </c>
      <c r="AB150" s="20" t="s">
        <v>21</v>
      </c>
      <c r="AC150" s="20" t="s">
        <v>23</v>
      </c>
      <c r="AD150" s="18" t="s">
        <v>23</v>
      </c>
      <c r="AE150" s="18" t="s">
        <v>21</v>
      </c>
      <c r="AG150">
        <f>+COUNTIF(F150:AE150,"AD")</f>
        <v>0</v>
      </c>
      <c r="AH150">
        <f>+COUNTIF(F150:AE150,"A")</f>
        <v>6</v>
      </c>
      <c r="AI150">
        <f>+COUNTIF(F150:AE150,"b")</f>
        <v>15</v>
      </c>
      <c r="AJ150">
        <f>+COUNTIF(F150:AE150,"c")</f>
        <v>5</v>
      </c>
      <c r="AL150">
        <f>+$AG$5*AG150</f>
        <v>0</v>
      </c>
      <c r="AM150">
        <f>+$AH$5*AH150</f>
        <v>18</v>
      </c>
      <c r="AN150">
        <f>+$AI$5*AI150</f>
        <v>30</v>
      </c>
      <c r="AO150">
        <f>+$AJ$5*AJ150</f>
        <v>5</v>
      </c>
      <c r="AP150">
        <f>+SUM(AL150:AO150)</f>
        <v>53</v>
      </c>
    </row>
    <row r="151" spans="1:42" ht="15.75" hidden="1" customHeight="1" x14ac:dyDescent="0.3">
      <c r="A151" s="16"/>
      <c r="B151" s="55">
        <v>7</v>
      </c>
      <c r="C151" s="56" t="s">
        <v>155</v>
      </c>
      <c r="D151" s="55">
        <v>4</v>
      </c>
      <c r="E151" s="55" t="s">
        <v>20</v>
      </c>
      <c r="F151" s="18" t="s">
        <v>21</v>
      </c>
      <c r="G151" s="18" t="s">
        <v>21</v>
      </c>
      <c r="H151" s="18" t="s">
        <v>23</v>
      </c>
      <c r="I151" s="18" t="s">
        <v>23</v>
      </c>
      <c r="J151" s="43" t="s">
        <v>20</v>
      </c>
      <c r="K151" s="43" t="s">
        <v>20</v>
      </c>
      <c r="L151" s="43" t="s">
        <v>20</v>
      </c>
      <c r="M151" s="18" t="s">
        <v>20</v>
      </c>
      <c r="N151" s="18" t="s">
        <v>21</v>
      </c>
      <c r="O151" s="18" t="s">
        <v>21</v>
      </c>
      <c r="P151" s="18" t="s">
        <v>23</v>
      </c>
      <c r="Q151" s="18" t="s">
        <v>21</v>
      </c>
      <c r="R151" s="18" t="s">
        <v>23</v>
      </c>
      <c r="S151" s="18" t="s">
        <v>21</v>
      </c>
      <c r="T151" s="18" t="s">
        <v>20</v>
      </c>
      <c r="U151" s="18" t="s">
        <v>21</v>
      </c>
      <c r="V151" s="37" t="s">
        <v>20</v>
      </c>
      <c r="W151" s="37" t="s">
        <v>21</v>
      </c>
      <c r="X151" s="37" t="s">
        <v>20</v>
      </c>
      <c r="Y151" s="18" t="s">
        <v>21</v>
      </c>
      <c r="Z151" s="18" t="s">
        <v>20</v>
      </c>
      <c r="AA151" s="20" t="s">
        <v>21</v>
      </c>
      <c r="AB151" s="20" t="s">
        <v>21</v>
      </c>
      <c r="AC151" s="20" t="s">
        <v>21</v>
      </c>
      <c r="AD151" s="29" t="s">
        <v>55</v>
      </c>
      <c r="AE151" s="29" t="s">
        <v>55</v>
      </c>
      <c r="AG151">
        <f>+COUNTIF(F151:AE151,"AD")</f>
        <v>0</v>
      </c>
      <c r="AH151">
        <f>+COUNTIF(F151:AE151,"A")</f>
        <v>8</v>
      </c>
      <c r="AI151">
        <f>+COUNTIF(F151:AE151,"b")</f>
        <v>12</v>
      </c>
      <c r="AJ151">
        <f>+COUNTIF(F151:AE151,"c")</f>
        <v>4</v>
      </c>
      <c r="AL151">
        <f>+$AG$5*AG151</f>
        <v>0</v>
      </c>
      <c r="AM151">
        <f>+$AH$5*AH151</f>
        <v>24</v>
      </c>
      <c r="AN151">
        <f>+$AI$5*AI151</f>
        <v>24</v>
      </c>
      <c r="AO151">
        <f>+$AJ$5*AJ151</f>
        <v>4</v>
      </c>
      <c r="AP151">
        <f>+SUM(AL151:AO151)</f>
        <v>52</v>
      </c>
    </row>
    <row r="152" spans="1:42" ht="15.75" hidden="1" customHeight="1" x14ac:dyDescent="0.3">
      <c r="A152" s="16"/>
      <c r="B152" s="55">
        <v>13</v>
      </c>
      <c r="C152" s="56" t="s">
        <v>161</v>
      </c>
      <c r="D152" s="55">
        <v>4</v>
      </c>
      <c r="E152" s="55" t="s">
        <v>20</v>
      </c>
      <c r="F152" s="18" t="s">
        <v>21</v>
      </c>
      <c r="G152" s="18" t="s">
        <v>21</v>
      </c>
      <c r="H152" s="18" t="s">
        <v>21</v>
      </c>
      <c r="I152" s="18" t="s">
        <v>21</v>
      </c>
      <c r="J152" s="43" t="s">
        <v>21</v>
      </c>
      <c r="K152" s="43" t="s">
        <v>21</v>
      </c>
      <c r="L152" s="43" t="s">
        <v>21</v>
      </c>
      <c r="M152" s="18" t="s">
        <v>23</v>
      </c>
      <c r="N152" s="18" t="s">
        <v>23</v>
      </c>
      <c r="O152" s="18" t="s">
        <v>21</v>
      </c>
      <c r="P152" s="18" t="s">
        <v>20</v>
      </c>
      <c r="Q152" s="18" t="s">
        <v>21</v>
      </c>
      <c r="R152" s="18" t="s">
        <v>21</v>
      </c>
      <c r="S152" s="18" t="s">
        <v>20</v>
      </c>
      <c r="T152" s="18" t="s">
        <v>21</v>
      </c>
      <c r="U152" s="18" t="s">
        <v>20</v>
      </c>
      <c r="V152" s="37" t="s">
        <v>21</v>
      </c>
      <c r="W152" s="37" t="s">
        <v>21</v>
      </c>
      <c r="X152" s="37" t="s">
        <v>21</v>
      </c>
      <c r="Y152" s="18" t="s">
        <v>21</v>
      </c>
      <c r="Z152" s="18" t="s">
        <v>21</v>
      </c>
      <c r="AA152" s="20" t="s">
        <v>21</v>
      </c>
      <c r="AB152" s="20" t="s">
        <v>21</v>
      </c>
      <c r="AC152" s="20" t="s">
        <v>23</v>
      </c>
      <c r="AD152" s="18" t="s">
        <v>23</v>
      </c>
      <c r="AE152" s="18" t="s">
        <v>21</v>
      </c>
      <c r="AG152">
        <f>+COUNTIF(F152:AE152,"AD")</f>
        <v>0</v>
      </c>
      <c r="AH152">
        <f>+COUNTIF(F152:AE152,"A")</f>
        <v>3</v>
      </c>
      <c r="AI152">
        <f>+COUNTIF(F152:AE152,"b")</f>
        <v>19</v>
      </c>
      <c r="AJ152">
        <f>+COUNTIF(F152:AE152,"c")</f>
        <v>4</v>
      </c>
      <c r="AL152">
        <f>+$AG$5*AG152</f>
        <v>0</v>
      </c>
      <c r="AM152">
        <f>+$AH$5*AH152</f>
        <v>9</v>
      </c>
      <c r="AN152">
        <f>+$AI$5*AI152</f>
        <v>38</v>
      </c>
      <c r="AO152">
        <f>+$AJ$5*AJ152</f>
        <v>4</v>
      </c>
      <c r="AP152">
        <f>+SUM(AL152:AO152)</f>
        <v>51</v>
      </c>
    </row>
    <row r="153" spans="1:42" ht="15.75" hidden="1" customHeight="1" thickBot="1" x14ac:dyDescent="0.35">
      <c r="A153" s="16"/>
      <c r="B153" s="57">
        <v>12</v>
      </c>
      <c r="C153" s="58" t="s">
        <v>160</v>
      </c>
      <c r="D153" s="57">
        <v>4</v>
      </c>
      <c r="E153" s="57" t="s">
        <v>20</v>
      </c>
      <c r="F153" s="21" t="s">
        <v>23</v>
      </c>
      <c r="G153" s="21" t="s">
        <v>23</v>
      </c>
      <c r="H153" s="21" t="s">
        <v>23</v>
      </c>
      <c r="I153" s="21" t="s">
        <v>21</v>
      </c>
      <c r="J153" s="45" t="s">
        <v>21</v>
      </c>
      <c r="K153" s="45" t="s">
        <v>21</v>
      </c>
      <c r="L153" s="45" t="s">
        <v>21</v>
      </c>
      <c r="M153" s="21" t="s">
        <v>21</v>
      </c>
      <c r="N153" s="21" t="s">
        <v>20</v>
      </c>
      <c r="O153" s="21" t="s">
        <v>21</v>
      </c>
      <c r="P153" s="21" t="s">
        <v>21</v>
      </c>
      <c r="Q153" s="21" t="s">
        <v>21</v>
      </c>
      <c r="R153" s="21" t="s">
        <v>21</v>
      </c>
      <c r="S153" s="21" t="s">
        <v>21</v>
      </c>
      <c r="T153" s="21" t="s">
        <v>21</v>
      </c>
      <c r="U153" s="21" t="s">
        <v>21</v>
      </c>
      <c r="V153" s="38" t="s">
        <v>20</v>
      </c>
      <c r="W153" s="38" t="s">
        <v>20</v>
      </c>
      <c r="X153" s="38" t="s">
        <v>21</v>
      </c>
      <c r="Y153" s="21" t="s">
        <v>21</v>
      </c>
      <c r="Z153" s="21" t="s">
        <v>21</v>
      </c>
      <c r="AA153" s="23" t="s">
        <v>21</v>
      </c>
      <c r="AB153" s="23" t="s">
        <v>21</v>
      </c>
      <c r="AC153" s="23" t="s">
        <v>23</v>
      </c>
      <c r="AD153" s="21" t="s">
        <v>23</v>
      </c>
      <c r="AE153" s="21" t="s">
        <v>21</v>
      </c>
      <c r="AG153">
        <f>+COUNTIF(F153:AE153,"AD")</f>
        <v>0</v>
      </c>
      <c r="AH153">
        <f>+COUNTIF(F153:AE153,"A")</f>
        <v>3</v>
      </c>
      <c r="AI153">
        <f>+COUNTIF(F153:AE153,"b")</f>
        <v>18</v>
      </c>
      <c r="AJ153">
        <f>+COUNTIF(F153:AE153,"c")</f>
        <v>5</v>
      </c>
      <c r="AL153">
        <f>+$AG$5*AG153</f>
        <v>0</v>
      </c>
      <c r="AM153">
        <f>+$AH$5*AH153</f>
        <v>9</v>
      </c>
      <c r="AN153">
        <f>+$AI$5*AI153</f>
        <v>36</v>
      </c>
      <c r="AO153">
        <f>+$AJ$5*AJ153</f>
        <v>5</v>
      </c>
      <c r="AP153">
        <f>+SUM(AL153:AO153)</f>
        <v>50</v>
      </c>
    </row>
    <row r="154" spans="1:42" ht="15.75" hidden="1" customHeight="1" x14ac:dyDescent="0.3">
      <c r="A154" s="16"/>
      <c r="B154" s="59">
        <v>20</v>
      </c>
      <c r="C154" s="60" t="s">
        <v>191</v>
      </c>
      <c r="D154" s="59">
        <v>4</v>
      </c>
      <c r="E154" s="59" t="s">
        <v>21</v>
      </c>
      <c r="F154" s="24" t="s">
        <v>20</v>
      </c>
      <c r="G154" s="24" t="s">
        <v>20</v>
      </c>
      <c r="H154" s="24" t="s">
        <v>20</v>
      </c>
      <c r="I154" s="24" t="s">
        <v>39</v>
      </c>
      <c r="J154" s="42" t="s">
        <v>20</v>
      </c>
      <c r="K154" s="42" t="s">
        <v>39</v>
      </c>
      <c r="L154" s="42" t="s">
        <v>20</v>
      </c>
      <c r="M154" s="24" t="s">
        <v>20</v>
      </c>
      <c r="N154" s="24" t="s">
        <v>20</v>
      </c>
      <c r="O154" s="24" t="s">
        <v>20</v>
      </c>
      <c r="P154" s="24" t="s">
        <v>20</v>
      </c>
      <c r="Q154" s="24" t="s">
        <v>20</v>
      </c>
      <c r="R154" s="24" t="s">
        <v>20</v>
      </c>
      <c r="S154" s="24" t="s">
        <v>20</v>
      </c>
      <c r="T154" s="24" t="s">
        <v>20</v>
      </c>
      <c r="U154" s="24" t="s">
        <v>20</v>
      </c>
      <c r="V154" s="70" t="s">
        <v>20</v>
      </c>
      <c r="W154" s="39" t="s">
        <v>20</v>
      </c>
      <c r="X154" s="39" t="s">
        <v>20</v>
      </c>
      <c r="Y154" s="24" t="s">
        <v>39</v>
      </c>
      <c r="Z154" s="24" t="s">
        <v>39</v>
      </c>
      <c r="AA154" s="27" t="s">
        <v>20</v>
      </c>
      <c r="AB154" s="27" t="s">
        <v>20</v>
      </c>
      <c r="AC154" s="27" t="s">
        <v>20</v>
      </c>
      <c r="AD154" s="34" t="s">
        <v>20</v>
      </c>
      <c r="AE154" s="34" t="s">
        <v>21</v>
      </c>
      <c r="AG154">
        <f>+COUNTIF(F154:AE154,"AD")</f>
        <v>4</v>
      </c>
      <c r="AH154">
        <f>+COUNTIF(F154:AE154,"A")</f>
        <v>21</v>
      </c>
      <c r="AI154">
        <f>+COUNTIF(F154:AE154,"b")</f>
        <v>1</v>
      </c>
      <c r="AJ154">
        <f>+COUNTIF(F154:AE154,"c")</f>
        <v>0</v>
      </c>
      <c r="AL154">
        <f>+$AG$5*AG154</f>
        <v>16</v>
      </c>
      <c r="AM154">
        <f>+$AH$5*AH154</f>
        <v>63</v>
      </c>
      <c r="AN154">
        <f>+$AI$5*AI154</f>
        <v>2</v>
      </c>
      <c r="AO154">
        <f>+$AJ$5*AJ154</f>
        <v>0</v>
      </c>
      <c r="AP154">
        <f>+SUM(AL154:AO154)</f>
        <v>81</v>
      </c>
    </row>
    <row r="155" spans="1:42" ht="15.75" hidden="1" customHeight="1" x14ac:dyDescent="0.3">
      <c r="A155" s="16"/>
      <c r="B155" s="55">
        <v>3</v>
      </c>
      <c r="C155" s="56" t="s">
        <v>174</v>
      </c>
      <c r="D155" s="55">
        <v>4</v>
      </c>
      <c r="E155" s="55" t="s">
        <v>21</v>
      </c>
      <c r="F155" s="18" t="s">
        <v>39</v>
      </c>
      <c r="G155" s="18" t="s">
        <v>20</v>
      </c>
      <c r="H155" s="18" t="s">
        <v>39</v>
      </c>
      <c r="I155" s="18" t="s">
        <v>20</v>
      </c>
      <c r="J155" s="43" t="s">
        <v>20</v>
      </c>
      <c r="K155" s="43" t="s">
        <v>20</v>
      </c>
      <c r="L155" s="43" t="s">
        <v>20</v>
      </c>
      <c r="M155" s="18" t="s">
        <v>20</v>
      </c>
      <c r="N155" s="18" t="s">
        <v>20</v>
      </c>
      <c r="O155" s="18" t="s">
        <v>20</v>
      </c>
      <c r="P155" s="18" t="s">
        <v>20</v>
      </c>
      <c r="Q155" s="18" t="s">
        <v>20</v>
      </c>
      <c r="R155" s="18" t="s">
        <v>20</v>
      </c>
      <c r="S155" s="18" t="s">
        <v>20</v>
      </c>
      <c r="T155" s="18" t="s">
        <v>20</v>
      </c>
      <c r="U155" s="18" t="s">
        <v>20</v>
      </c>
      <c r="V155" s="37" t="s">
        <v>20</v>
      </c>
      <c r="W155" s="37" t="s">
        <v>20</v>
      </c>
      <c r="X155" s="37" t="s">
        <v>20</v>
      </c>
      <c r="Y155" s="18" t="s">
        <v>20</v>
      </c>
      <c r="Z155" s="18" t="s">
        <v>20</v>
      </c>
      <c r="AA155" s="20" t="s">
        <v>20</v>
      </c>
      <c r="AB155" s="20" t="s">
        <v>20</v>
      </c>
      <c r="AC155" s="20" t="s">
        <v>20</v>
      </c>
      <c r="AD155" s="18" t="s">
        <v>21</v>
      </c>
      <c r="AE155" s="18" t="s">
        <v>21</v>
      </c>
      <c r="AG155">
        <f>+COUNTIF(F155:AE155,"AD")</f>
        <v>2</v>
      </c>
      <c r="AH155">
        <f>+COUNTIF(F155:AE155,"A")</f>
        <v>22</v>
      </c>
      <c r="AI155">
        <f>+COUNTIF(F155:AE155,"b")</f>
        <v>2</v>
      </c>
      <c r="AJ155">
        <f>+COUNTIF(F155:AE155,"c")</f>
        <v>0</v>
      </c>
      <c r="AL155">
        <f>+$AG$5*AG155</f>
        <v>8</v>
      </c>
      <c r="AM155">
        <f>+$AH$5*AH155</f>
        <v>66</v>
      </c>
      <c r="AN155">
        <f>+$AI$5*AI155</f>
        <v>4</v>
      </c>
      <c r="AO155">
        <f>+$AJ$5*AJ155</f>
        <v>0</v>
      </c>
      <c r="AP155">
        <f>+SUM(AL155:AO155)</f>
        <v>78</v>
      </c>
    </row>
    <row r="156" spans="1:42" ht="15.75" hidden="1" customHeight="1" x14ac:dyDescent="0.3">
      <c r="A156" s="16"/>
      <c r="B156" s="55">
        <v>5</v>
      </c>
      <c r="C156" s="56" t="s">
        <v>176</v>
      </c>
      <c r="D156" s="55">
        <v>4</v>
      </c>
      <c r="E156" s="55" t="s">
        <v>21</v>
      </c>
      <c r="F156" s="18" t="s">
        <v>39</v>
      </c>
      <c r="G156" s="18" t="s">
        <v>20</v>
      </c>
      <c r="H156" s="18" t="s">
        <v>20</v>
      </c>
      <c r="I156" s="18" t="s">
        <v>20</v>
      </c>
      <c r="J156" s="43" t="s">
        <v>20</v>
      </c>
      <c r="K156" s="43" t="s">
        <v>20</v>
      </c>
      <c r="L156" s="43" t="s">
        <v>20</v>
      </c>
      <c r="M156" s="18" t="s">
        <v>20</v>
      </c>
      <c r="N156" s="18" t="s">
        <v>20</v>
      </c>
      <c r="O156" s="18" t="s">
        <v>20</v>
      </c>
      <c r="P156" s="18" t="s">
        <v>20</v>
      </c>
      <c r="Q156" s="18" t="s">
        <v>20</v>
      </c>
      <c r="R156" s="18" t="s">
        <v>20</v>
      </c>
      <c r="S156" s="18" t="s">
        <v>20</v>
      </c>
      <c r="T156" s="18" t="s">
        <v>20</v>
      </c>
      <c r="U156" s="18" t="s">
        <v>20</v>
      </c>
      <c r="V156" s="37" t="s">
        <v>20</v>
      </c>
      <c r="W156" s="37" t="s">
        <v>20</v>
      </c>
      <c r="X156" s="37" t="s">
        <v>20</v>
      </c>
      <c r="Y156" s="18" t="s">
        <v>20</v>
      </c>
      <c r="Z156" s="18" t="s">
        <v>20</v>
      </c>
      <c r="AA156" s="20" t="s">
        <v>20</v>
      </c>
      <c r="AB156" s="20" t="s">
        <v>20</v>
      </c>
      <c r="AC156" s="20" t="s">
        <v>20</v>
      </c>
      <c r="AD156" s="18" t="s">
        <v>20</v>
      </c>
      <c r="AE156" s="18" t="s">
        <v>21</v>
      </c>
      <c r="AG156">
        <f>+COUNTIF(F156:AE156,"AD")</f>
        <v>1</v>
      </c>
      <c r="AH156">
        <f>+COUNTIF(F156:AE156,"A")</f>
        <v>24</v>
      </c>
      <c r="AI156">
        <f>+COUNTIF(F156:AE156,"b")</f>
        <v>1</v>
      </c>
      <c r="AJ156">
        <f>+COUNTIF(F156:AE156,"c")</f>
        <v>0</v>
      </c>
      <c r="AL156">
        <f>+$AG$5*AG156</f>
        <v>4</v>
      </c>
      <c r="AM156">
        <f>+$AH$5*AH156</f>
        <v>72</v>
      </c>
      <c r="AN156">
        <f>+$AI$5*AI156</f>
        <v>2</v>
      </c>
      <c r="AO156">
        <f>+$AJ$5*AJ156</f>
        <v>0</v>
      </c>
      <c r="AP156">
        <f>+SUM(AL156:AO156)</f>
        <v>78</v>
      </c>
    </row>
    <row r="157" spans="1:42" ht="15.75" hidden="1" customHeight="1" x14ac:dyDescent="0.3">
      <c r="A157" s="16"/>
      <c r="B157" s="55">
        <v>15</v>
      </c>
      <c r="C157" s="56" t="s">
        <v>186</v>
      </c>
      <c r="D157" s="55">
        <v>4</v>
      </c>
      <c r="E157" s="55" t="s">
        <v>21</v>
      </c>
      <c r="F157" s="18" t="s">
        <v>20</v>
      </c>
      <c r="G157" s="18" t="s">
        <v>20</v>
      </c>
      <c r="H157" s="18" t="s">
        <v>20</v>
      </c>
      <c r="I157" s="18" t="s">
        <v>20</v>
      </c>
      <c r="J157" s="43" t="s">
        <v>20</v>
      </c>
      <c r="K157" s="43" t="s">
        <v>20</v>
      </c>
      <c r="L157" s="43" t="s">
        <v>20</v>
      </c>
      <c r="M157" s="18" t="s">
        <v>20</v>
      </c>
      <c r="N157" s="18" t="s">
        <v>20</v>
      </c>
      <c r="O157" s="18" t="s">
        <v>20</v>
      </c>
      <c r="P157" s="18" t="s">
        <v>20</v>
      </c>
      <c r="Q157" s="18" t="s">
        <v>20</v>
      </c>
      <c r="R157" s="18" t="s">
        <v>20</v>
      </c>
      <c r="S157" s="18" t="s">
        <v>20</v>
      </c>
      <c r="T157" s="18" t="s">
        <v>20</v>
      </c>
      <c r="U157" s="18" t="s">
        <v>20</v>
      </c>
      <c r="V157" s="49" t="s">
        <v>20</v>
      </c>
      <c r="W157" s="37" t="s">
        <v>20</v>
      </c>
      <c r="X157" s="37" t="s">
        <v>20</v>
      </c>
      <c r="Y157" s="18" t="s">
        <v>20</v>
      </c>
      <c r="Z157" s="18" t="s">
        <v>20</v>
      </c>
      <c r="AA157" s="20" t="s">
        <v>20</v>
      </c>
      <c r="AB157" s="20" t="s">
        <v>20</v>
      </c>
      <c r="AC157" s="20" t="s">
        <v>20</v>
      </c>
      <c r="AD157" s="29" t="s">
        <v>20</v>
      </c>
      <c r="AE157" s="29" t="s">
        <v>21</v>
      </c>
      <c r="AG157">
        <f>+COUNTIF(F157:AE157,"AD")</f>
        <v>0</v>
      </c>
      <c r="AH157">
        <f>+COUNTIF(F157:AE157,"A")</f>
        <v>25</v>
      </c>
      <c r="AI157">
        <f>+COUNTIF(F157:AE157,"b")</f>
        <v>1</v>
      </c>
      <c r="AJ157">
        <f>+COUNTIF(F157:AE157,"c")</f>
        <v>0</v>
      </c>
      <c r="AL157">
        <f>+$AG$5*AG157</f>
        <v>0</v>
      </c>
      <c r="AM157">
        <f>+$AH$5*AH157</f>
        <v>75</v>
      </c>
      <c r="AN157">
        <f>+$AI$5*AI157</f>
        <v>2</v>
      </c>
      <c r="AO157">
        <f>+$AJ$5*AJ157</f>
        <v>0</v>
      </c>
      <c r="AP157">
        <f>+SUM(AL157:AO157)</f>
        <v>77</v>
      </c>
    </row>
    <row r="158" spans="1:42" ht="15.75" hidden="1" customHeight="1" x14ac:dyDescent="0.3">
      <c r="A158" s="16"/>
      <c r="B158" s="55">
        <v>25</v>
      </c>
      <c r="C158" s="56" t="s">
        <v>196</v>
      </c>
      <c r="D158" s="55">
        <v>4</v>
      </c>
      <c r="E158" s="55" t="s">
        <v>21</v>
      </c>
      <c r="F158" s="18" t="s">
        <v>20</v>
      </c>
      <c r="G158" s="18" t="s">
        <v>20</v>
      </c>
      <c r="H158" s="18" t="s">
        <v>20</v>
      </c>
      <c r="I158" s="18" t="s">
        <v>20</v>
      </c>
      <c r="J158" s="43" t="s">
        <v>20</v>
      </c>
      <c r="K158" s="43" t="s">
        <v>39</v>
      </c>
      <c r="L158" s="43" t="s">
        <v>20</v>
      </c>
      <c r="M158" s="18" t="s">
        <v>20</v>
      </c>
      <c r="N158" s="18" t="s">
        <v>20</v>
      </c>
      <c r="O158" s="18" t="s">
        <v>20</v>
      </c>
      <c r="P158" s="18" t="s">
        <v>20</v>
      </c>
      <c r="Q158" s="18" t="s">
        <v>20</v>
      </c>
      <c r="R158" s="18" t="s">
        <v>20</v>
      </c>
      <c r="S158" s="18" t="s">
        <v>20</v>
      </c>
      <c r="T158" s="17" t="s">
        <v>20</v>
      </c>
      <c r="U158" s="18" t="s">
        <v>20</v>
      </c>
      <c r="V158" s="49" t="s">
        <v>20</v>
      </c>
      <c r="W158" s="37" t="s">
        <v>20</v>
      </c>
      <c r="X158" s="37" t="s">
        <v>20</v>
      </c>
      <c r="Y158" s="18" t="s">
        <v>20</v>
      </c>
      <c r="Z158" s="18" t="s">
        <v>21</v>
      </c>
      <c r="AA158" s="20" t="s">
        <v>20</v>
      </c>
      <c r="AB158" s="20" t="s">
        <v>21</v>
      </c>
      <c r="AC158" s="20" t="s">
        <v>20</v>
      </c>
      <c r="AD158" s="29" t="s">
        <v>20</v>
      </c>
      <c r="AE158" s="29" t="s">
        <v>21</v>
      </c>
      <c r="AG158">
        <f>+COUNTIF(F158:AE158,"AD")</f>
        <v>1</v>
      </c>
      <c r="AH158">
        <f>+COUNTIF(F158:AE158,"A")</f>
        <v>22</v>
      </c>
      <c r="AI158">
        <f>+COUNTIF(F158:AE158,"b")</f>
        <v>3</v>
      </c>
      <c r="AJ158">
        <f>+COUNTIF(F158:AE158,"c")</f>
        <v>0</v>
      </c>
      <c r="AL158">
        <f>+$AG$5*AG158</f>
        <v>4</v>
      </c>
      <c r="AM158">
        <f>+$AH$5*AH158</f>
        <v>66</v>
      </c>
      <c r="AN158">
        <f>+$AI$5*AI158</f>
        <v>6</v>
      </c>
      <c r="AO158">
        <f>+$AJ$5*AJ158</f>
        <v>0</v>
      </c>
      <c r="AP158">
        <f>+SUM(AL158:AO158)</f>
        <v>76</v>
      </c>
    </row>
    <row r="159" spans="1:42" ht="15.75" hidden="1" customHeight="1" x14ac:dyDescent="0.3">
      <c r="A159" s="16"/>
      <c r="B159" s="55">
        <v>24</v>
      </c>
      <c r="C159" s="56" t="s">
        <v>195</v>
      </c>
      <c r="D159" s="55">
        <v>4</v>
      </c>
      <c r="E159" s="55" t="s">
        <v>21</v>
      </c>
      <c r="F159" s="18" t="s">
        <v>20</v>
      </c>
      <c r="G159" s="18" t="s">
        <v>20</v>
      </c>
      <c r="H159" s="18" t="s">
        <v>20</v>
      </c>
      <c r="I159" s="18" t="s">
        <v>20</v>
      </c>
      <c r="J159" s="43" t="s">
        <v>20</v>
      </c>
      <c r="K159" s="43" t="s">
        <v>20</v>
      </c>
      <c r="L159" s="43" t="s">
        <v>20</v>
      </c>
      <c r="M159" s="18" t="s">
        <v>20</v>
      </c>
      <c r="N159" s="18" t="s">
        <v>20</v>
      </c>
      <c r="O159" s="18" t="s">
        <v>20</v>
      </c>
      <c r="P159" s="18" t="s">
        <v>21</v>
      </c>
      <c r="Q159" s="18" t="s">
        <v>21</v>
      </c>
      <c r="R159" s="18" t="s">
        <v>20</v>
      </c>
      <c r="S159" s="18" t="s">
        <v>20</v>
      </c>
      <c r="T159" s="18" t="s">
        <v>20</v>
      </c>
      <c r="U159" s="18" t="s">
        <v>20</v>
      </c>
      <c r="V159" s="49" t="s">
        <v>20</v>
      </c>
      <c r="W159" s="37" t="s">
        <v>20</v>
      </c>
      <c r="X159" s="37" t="s">
        <v>20</v>
      </c>
      <c r="Y159" s="18" t="s">
        <v>20</v>
      </c>
      <c r="Z159" s="18" t="s">
        <v>20</v>
      </c>
      <c r="AA159" s="20" t="s">
        <v>20</v>
      </c>
      <c r="AB159" s="20" t="s">
        <v>20</v>
      </c>
      <c r="AC159" s="20" t="s">
        <v>20</v>
      </c>
      <c r="AD159" s="29" t="s">
        <v>20</v>
      </c>
      <c r="AE159" s="29" t="s">
        <v>21</v>
      </c>
      <c r="AG159">
        <f>+COUNTIF(F159:AE159,"AD")</f>
        <v>0</v>
      </c>
      <c r="AH159">
        <f>+COUNTIF(F159:AE159,"A")</f>
        <v>23</v>
      </c>
      <c r="AI159">
        <f>+COUNTIF(F159:AE159,"b")</f>
        <v>3</v>
      </c>
      <c r="AJ159">
        <f>+COUNTIF(F159:AE159,"c")</f>
        <v>0</v>
      </c>
      <c r="AL159">
        <f>+$AG$5*AG159</f>
        <v>0</v>
      </c>
      <c r="AM159">
        <f>+$AH$5*AH159</f>
        <v>69</v>
      </c>
      <c r="AN159">
        <f>+$AI$5*AI159</f>
        <v>6</v>
      </c>
      <c r="AO159">
        <f>+$AJ$5*AJ159</f>
        <v>0</v>
      </c>
      <c r="AP159">
        <f>+SUM(AL159:AO159)</f>
        <v>75</v>
      </c>
    </row>
    <row r="160" spans="1:42" ht="15.75" hidden="1" customHeight="1" x14ac:dyDescent="0.3">
      <c r="A160" s="16"/>
      <c r="B160" s="55">
        <v>23</v>
      </c>
      <c r="C160" s="56" t="s">
        <v>194</v>
      </c>
      <c r="D160" s="55">
        <v>4</v>
      </c>
      <c r="E160" s="55" t="s">
        <v>21</v>
      </c>
      <c r="F160" s="18" t="s">
        <v>20</v>
      </c>
      <c r="G160" s="18" t="s">
        <v>20</v>
      </c>
      <c r="H160" s="18" t="s">
        <v>20</v>
      </c>
      <c r="I160" s="18" t="s">
        <v>20</v>
      </c>
      <c r="J160" s="43" t="s">
        <v>20</v>
      </c>
      <c r="K160" s="43" t="s">
        <v>20</v>
      </c>
      <c r="L160" s="43" t="s">
        <v>21</v>
      </c>
      <c r="M160" s="18" t="s">
        <v>20</v>
      </c>
      <c r="N160" s="18" t="s">
        <v>21</v>
      </c>
      <c r="O160" s="18" t="s">
        <v>20</v>
      </c>
      <c r="P160" s="18" t="s">
        <v>20</v>
      </c>
      <c r="Q160" s="18" t="s">
        <v>20</v>
      </c>
      <c r="R160" s="18" t="s">
        <v>20</v>
      </c>
      <c r="S160" s="18" t="s">
        <v>20</v>
      </c>
      <c r="T160" s="18" t="s">
        <v>20</v>
      </c>
      <c r="U160" s="18" t="s">
        <v>20</v>
      </c>
      <c r="V160" s="49" t="s">
        <v>20</v>
      </c>
      <c r="W160" s="37" t="s">
        <v>20</v>
      </c>
      <c r="X160" s="37" t="s">
        <v>20</v>
      </c>
      <c r="Y160" s="18" t="s">
        <v>20</v>
      </c>
      <c r="Z160" s="18" t="s">
        <v>20</v>
      </c>
      <c r="AA160" s="20" t="s">
        <v>21</v>
      </c>
      <c r="AB160" s="20" t="s">
        <v>21</v>
      </c>
      <c r="AC160" s="20" t="s">
        <v>20</v>
      </c>
      <c r="AD160" s="29" t="s">
        <v>20</v>
      </c>
      <c r="AE160" s="29" t="s">
        <v>21</v>
      </c>
      <c r="AG160">
        <f>+COUNTIF(F160:AE160,"AD")</f>
        <v>0</v>
      </c>
      <c r="AH160">
        <f>+COUNTIF(F160:AE160,"A")</f>
        <v>21</v>
      </c>
      <c r="AI160">
        <f>+COUNTIF(F160:AE160,"b")</f>
        <v>5</v>
      </c>
      <c r="AJ160">
        <f>+COUNTIF(F160:AE160,"c")</f>
        <v>0</v>
      </c>
      <c r="AL160">
        <f>+$AG$5*AG160</f>
        <v>0</v>
      </c>
      <c r="AM160">
        <f>+$AH$5*AH160</f>
        <v>63</v>
      </c>
      <c r="AN160">
        <f>+$AI$5*AI160</f>
        <v>10</v>
      </c>
      <c r="AO160">
        <f>+$AJ$5*AJ160</f>
        <v>0</v>
      </c>
      <c r="AP160">
        <f>+SUM(AL160:AO160)</f>
        <v>73</v>
      </c>
    </row>
    <row r="161" spans="1:42" ht="15.75" hidden="1" customHeight="1" x14ac:dyDescent="0.3">
      <c r="A161" s="16"/>
      <c r="B161" s="55">
        <v>22</v>
      </c>
      <c r="C161" s="56" t="s">
        <v>193</v>
      </c>
      <c r="D161" s="55">
        <v>4</v>
      </c>
      <c r="E161" s="55" t="s">
        <v>21</v>
      </c>
      <c r="F161" s="18" t="s">
        <v>20</v>
      </c>
      <c r="G161" s="18" t="s">
        <v>39</v>
      </c>
      <c r="H161" s="18" t="s">
        <v>39</v>
      </c>
      <c r="I161" s="18" t="s">
        <v>39</v>
      </c>
      <c r="J161" s="43" t="s">
        <v>20</v>
      </c>
      <c r="K161" s="43" t="s">
        <v>20</v>
      </c>
      <c r="L161" s="43" t="s">
        <v>20</v>
      </c>
      <c r="M161" s="18" t="s">
        <v>20</v>
      </c>
      <c r="N161" s="18" t="s">
        <v>20</v>
      </c>
      <c r="O161" s="18" t="s">
        <v>20</v>
      </c>
      <c r="P161" s="18" t="s">
        <v>20</v>
      </c>
      <c r="Q161" s="18" t="s">
        <v>21</v>
      </c>
      <c r="R161" s="18" t="s">
        <v>21</v>
      </c>
      <c r="S161" s="18" t="s">
        <v>20</v>
      </c>
      <c r="T161" s="18" t="s">
        <v>20</v>
      </c>
      <c r="U161" s="18" t="s">
        <v>20</v>
      </c>
      <c r="V161" s="49" t="s">
        <v>20</v>
      </c>
      <c r="W161" s="37" t="s">
        <v>20</v>
      </c>
      <c r="X161" s="37" t="s">
        <v>20</v>
      </c>
      <c r="Y161" s="18" t="s">
        <v>20</v>
      </c>
      <c r="Z161" s="18" t="s">
        <v>20</v>
      </c>
      <c r="AA161" s="20" t="s">
        <v>20</v>
      </c>
      <c r="AB161" s="20" t="s">
        <v>21</v>
      </c>
      <c r="AC161" s="20" t="s">
        <v>20</v>
      </c>
      <c r="AD161" s="29" t="s">
        <v>55</v>
      </c>
      <c r="AE161" s="29" t="s">
        <v>55</v>
      </c>
      <c r="AG161">
        <f>+COUNTIF(F161:AE161,"AD")</f>
        <v>3</v>
      </c>
      <c r="AH161">
        <f>+COUNTIF(F161:AE161,"A")</f>
        <v>18</v>
      </c>
      <c r="AI161">
        <f>+COUNTIF(F161:AE161,"b")</f>
        <v>3</v>
      </c>
      <c r="AJ161">
        <f>+COUNTIF(F161:AE161,"c")</f>
        <v>0</v>
      </c>
      <c r="AL161">
        <f>+$AG$5*AG161</f>
        <v>12</v>
      </c>
      <c r="AM161">
        <f>+$AH$5*AH161</f>
        <v>54</v>
      </c>
      <c r="AN161">
        <f>+$AI$5*AI161</f>
        <v>6</v>
      </c>
      <c r="AO161">
        <f>+$AJ$5*AJ161</f>
        <v>0</v>
      </c>
      <c r="AP161">
        <f>+SUM(AL161:AO161)</f>
        <v>72</v>
      </c>
    </row>
    <row r="162" spans="1:42" ht="15.75" hidden="1" customHeight="1" x14ac:dyDescent="0.3">
      <c r="A162" s="16"/>
      <c r="B162" s="55">
        <v>6</v>
      </c>
      <c r="C162" s="56" t="s">
        <v>177</v>
      </c>
      <c r="D162" s="55">
        <v>4</v>
      </c>
      <c r="E162" s="55" t="s">
        <v>21</v>
      </c>
      <c r="F162" s="18" t="s">
        <v>20</v>
      </c>
      <c r="G162" s="18" t="s">
        <v>20</v>
      </c>
      <c r="H162" s="18" t="s">
        <v>20</v>
      </c>
      <c r="I162" s="18" t="s">
        <v>20</v>
      </c>
      <c r="J162" s="43" t="s">
        <v>20</v>
      </c>
      <c r="K162" s="43" t="s">
        <v>20</v>
      </c>
      <c r="L162" s="43" t="s">
        <v>20</v>
      </c>
      <c r="M162" s="18" t="s">
        <v>20</v>
      </c>
      <c r="N162" s="18" t="s">
        <v>20</v>
      </c>
      <c r="O162" s="18" t="s">
        <v>21</v>
      </c>
      <c r="P162" s="18" t="s">
        <v>21</v>
      </c>
      <c r="Q162" s="18" t="s">
        <v>21</v>
      </c>
      <c r="R162" s="18" t="s">
        <v>21</v>
      </c>
      <c r="S162" s="18" t="s">
        <v>20</v>
      </c>
      <c r="T162" s="18" t="s">
        <v>20</v>
      </c>
      <c r="U162" s="18" t="s">
        <v>21</v>
      </c>
      <c r="V162" s="37" t="s">
        <v>20</v>
      </c>
      <c r="W162" s="37" t="s">
        <v>20</v>
      </c>
      <c r="X162" s="37" t="s">
        <v>20</v>
      </c>
      <c r="Y162" s="18" t="s">
        <v>20</v>
      </c>
      <c r="Z162" s="18" t="s">
        <v>20</v>
      </c>
      <c r="AA162" s="20" t="s">
        <v>21</v>
      </c>
      <c r="AB162" s="20" t="s">
        <v>20</v>
      </c>
      <c r="AC162" s="20" t="s">
        <v>20</v>
      </c>
      <c r="AD162" s="18" t="s">
        <v>20</v>
      </c>
      <c r="AE162" s="18" t="s">
        <v>21</v>
      </c>
      <c r="AG162">
        <f>+COUNTIF(F162:AE162,"AD")</f>
        <v>0</v>
      </c>
      <c r="AH162">
        <f>+COUNTIF(F162:AE162,"A")</f>
        <v>19</v>
      </c>
      <c r="AI162">
        <f>+COUNTIF(F162:AE162,"b")</f>
        <v>7</v>
      </c>
      <c r="AJ162">
        <f>+COUNTIF(F162:AE162,"c")</f>
        <v>0</v>
      </c>
      <c r="AL162">
        <f>+$AG$5*AG162</f>
        <v>0</v>
      </c>
      <c r="AM162">
        <f>+$AH$5*AH162</f>
        <v>57</v>
      </c>
      <c r="AN162">
        <f>+$AI$5*AI162</f>
        <v>14</v>
      </c>
      <c r="AO162">
        <f>+$AJ$5*AJ162</f>
        <v>0</v>
      </c>
      <c r="AP162">
        <f>+SUM(AL162:AO162)</f>
        <v>71</v>
      </c>
    </row>
    <row r="163" spans="1:42" ht="15.75" hidden="1" customHeight="1" x14ac:dyDescent="0.3">
      <c r="A163" s="16"/>
      <c r="B163" s="55">
        <v>8</v>
      </c>
      <c r="C163" s="56" t="s">
        <v>179</v>
      </c>
      <c r="D163" s="55">
        <v>4</v>
      </c>
      <c r="E163" s="55" t="s">
        <v>21</v>
      </c>
      <c r="F163" s="18" t="s">
        <v>20</v>
      </c>
      <c r="G163" s="18" t="s">
        <v>20</v>
      </c>
      <c r="H163" s="18" t="s">
        <v>20</v>
      </c>
      <c r="I163" s="18" t="s">
        <v>20</v>
      </c>
      <c r="J163" s="43" t="s">
        <v>20</v>
      </c>
      <c r="K163" s="43" t="s">
        <v>20</v>
      </c>
      <c r="L163" s="43" t="s">
        <v>20</v>
      </c>
      <c r="M163" s="18" t="s">
        <v>21</v>
      </c>
      <c r="N163" s="18" t="s">
        <v>20</v>
      </c>
      <c r="O163" s="18" t="s">
        <v>20</v>
      </c>
      <c r="P163" s="18" t="s">
        <v>21</v>
      </c>
      <c r="Q163" s="18" t="s">
        <v>21</v>
      </c>
      <c r="R163" s="18" t="s">
        <v>21</v>
      </c>
      <c r="S163" s="18" t="s">
        <v>21</v>
      </c>
      <c r="T163" s="18" t="s">
        <v>20</v>
      </c>
      <c r="U163" s="18" t="s">
        <v>20</v>
      </c>
      <c r="V163" s="37" t="s">
        <v>20</v>
      </c>
      <c r="W163" s="37" t="s">
        <v>20</v>
      </c>
      <c r="X163" s="37" t="s">
        <v>20</v>
      </c>
      <c r="Y163" s="18" t="s">
        <v>20</v>
      </c>
      <c r="Z163" s="18" t="s">
        <v>21</v>
      </c>
      <c r="AA163" s="20" t="s">
        <v>20</v>
      </c>
      <c r="AB163" s="20" t="s">
        <v>20</v>
      </c>
      <c r="AC163" s="20" t="s">
        <v>21</v>
      </c>
      <c r="AD163" s="18" t="s">
        <v>20</v>
      </c>
      <c r="AE163" s="18" t="s">
        <v>21</v>
      </c>
      <c r="AG163">
        <f>+COUNTIF(F163:AE163,"AD")</f>
        <v>0</v>
      </c>
      <c r="AH163">
        <f>+COUNTIF(F163:AE163,"A")</f>
        <v>18</v>
      </c>
      <c r="AI163">
        <f>+COUNTIF(F163:AE163,"b")</f>
        <v>8</v>
      </c>
      <c r="AJ163">
        <f>+COUNTIF(F163:AE163,"c")</f>
        <v>0</v>
      </c>
      <c r="AL163">
        <f>+$AG$5*AG163</f>
        <v>0</v>
      </c>
      <c r="AM163">
        <f>+$AH$5*AH163</f>
        <v>54</v>
      </c>
      <c r="AN163">
        <f>+$AI$5*AI163</f>
        <v>16</v>
      </c>
      <c r="AO163">
        <f>+$AJ$5*AJ163</f>
        <v>0</v>
      </c>
      <c r="AP163">
        <f>+SUM(AL163:AO163)</f>
        <v>70</v>
      </c>
    </row>
    <row r="164" spans="1:42" ht="15.75" hidden="1" customHeight="1" x14ac:dyDescent="0.3">
      <c r="A164" s="16"/>
      <c r="B164" s="55">
        <v>4</v>
      </c>
      <c r="C164" s="56" t="s">
        <v>175</v>
      </c>
      <c r="D164" s="55">
        <v>4</v>
      </c>
      <c r="E164" s="55" t="s">
        <v>21</v>
      </c>
      <c r="F164" s="18" t="s">
        <v>20</v>
      </c>
      <c r="G164" s="18" t="s">
        <v>20</v>
      </c>
      <c r="H164" s="18" t="s">
        <v>20</v>
      </c>
      <c r="I164" s="18" t="s">
        <v>20</v>
      </c>
      <c r="J164" s="43" t="s">
        <v>20</v>
      </c>
      <c r="K164" s="43" t="s">
        <v>20</v>
      </c>
      <c r="L164" s="43" t="s">
        <v>21</v>
      </c>
      <c r="M164" s="18" t="s">
        <v>20</v>
      </c>
      <c r="N164" s="18" t="s">
        <v>20</v>
      </c>
      <c r="O164" s="18" t="s">
        <v>20</v>
      </c>
      <c r="P164" s="18" t="s">
        <v>21</v>
      </c>
      <c r="Q164" s="18" t="s">
        <v>21</v>
      </c>
      <c r="R164" s="18" t="s">
        <v>21</v>
      </c>
      <c r="S164" s="18" t="s">
        <v>21</v>
      </c>
      <c r="T164" s="18" t="s">
        <v>21</v>
      </c>
      <c r="U164" s="18" t="s">
        <v>21</v>
      </c>
      <c r="V164" s="37" t="s">
        <v>20</v>
      </c>
      <c r="W164" s="37" t="s">
        <v>20</v>
      </c>
      <c r="X164" s="37" t="s">
        <v>20</v>
      </c>
      <c r="Y164" s="18" t="s">
        <v>20</v>
      </c>
      <c r="Z164" s="18" t="s">
        <v>20</v>
      </c>
      <c r="AA164" s="20" t="s">
        <v>20</v>
      </c>
      <c r="AB164" s="20" t="s">
        <v>21</v>
      </c>
      <c r="AC164" s="20" t="s">
        <v>21</v>
      </c>
      <c r="AD164" s="18" t="s">
        <v>21</v>
      </c>
      <c r="AE164" s="18" t="s">
        <v>21</v>
      </c>
      <c r="AG164">
        <f>+COUNTIF(F164:AE164,"AD")</f>
        <v>0</v>
      </c>
      <c r="AH164">
        <f>+COUNTIF(F164:AE164,"A")</f>
        <v>15</v>
      </c>
      <c r="AI164">
        <f>+COUNTIF(F164:AE164,"b")</f>
        <v>11</v>
      </c>
      <c r="AJ164">
        <f>+COUNTIF(F164:AE164,"c")</f>
        <v>0</v>
      </c>
      <c r="AL164">
        <f>+$AG$5*AG164</f>
        <v>0</v>
      </c>
      <c r="AM164">
        <f>+$AH$5*AH164</f>
        <v>45</v>
      </c>
      <c r="AN164">
        <f>+$AI$5*AI164</f>
        <v>22</v>
      </c>
      <c r="AO164">
        <f>+$AJ$5*AJ164</f>
        <v>0</v>
      </c>
      <c r="AP164">
        <f>+SUM(AL164:AO164)</f>
        <v>67</v>
      </c>
    </row>
    <row r="165" spans="1:42" ht="15.75" hidden="1" customHeight="1" x14ac:dyDescent="0.3">
      <c r="A165" s="16"/>
      <c r="B165" s="55">
        <v>12</v>
      </c>
      <c r="C165" s="56" t="s">
        <v>183</v>
      </c>
      <c r="D165" s="55">
        <v>4</v>
      </c>
      <c r="E165" s="55" t="s">
        <v>21</v>
      </c>
      <c r="F165" s="18" t="s">
        <v>21</v>
      </c>
      <c r="G165" s="18" t="s">
        <v>21</v>
      </c>
      <c r="H165" s="18" t="s">
        <v>21</v>
      </c>
      <c r="I165" s="18" t="s">
        <v>21</v>
      </c>
      <c r="J165" s="43" t="s">
        <v>20</v>
      </c>
      <c r="K165" s="43" t="s">
        <v>20</v>
      </c>
      <c r="L165" s="43" t="s">
        <v>21</v>
      </c>
      <c r="M165" s="18" t="s">
        <v>20</v>
      </c>
      <c r="N165" s="18" t="s">
        <v>20</v>
      </c>
      <c r="O165" s="18" t="s">
        <v>20</v>
      </c>
      <c r="P165" s="18" t="s">
        <v>21</v>
      </c>
      <c r="Q165" s="18" t="s">
        <v>21</v>
      </c>
      <c r="R165" s="18" t="s">
        <v>21</v>
      </c>
      <c r="S165" s="18" t="s">
        <v>20</v>
      </c>
      <c r="T165" s="18" t="s">
        <v>20</v>
      </c>
      <c r="U165" s="18" t="s">
        <v>20</v>
      </c>
      <c r="V165" s="49" t="s">
        <v>20</v>
      </c>
      <c r="W165" s="37" t="s">
        <v>20</v>
      </c>
      <c r="X165" s="37" t="s">
        <v>20</v>
      </c>
      <c r="Y165" s="18" t="s">
        <v>20</v>
      </c>
      <c r="Z165" s="18" t="s">
        <v>21</v>
      </c>
      <c r="AA165" s="20" t="s">
        <v>21</v>
      </c>
      <c r="AB165" s="20" t="s">
        <v>20</v>
      </c>
      <c r="AC165" s="20" t="s">
        <v>20</v>
      </c>
      <c r="AD165" s="29" t="s">
        <v>20</v>
      </c>
      <c r="AE165" s="29" t="s">
        <v>21</v>
      </c>
      <c r="AG165">
        <f>+COUNTIF(F165:AE165,"AD")</f>
        <v>0</v>
      </c>
      <c r="AH165">
        <f>+COUNTIF(F165:AE165,"A")</f>
        <v>15</v>
      </c>
      <c r="AI165">
        <f>+COUNTIF(F165:AE165,"b")</f>
        <v>11</v>
      </c>
      <c r="AJ165">
        <f>+COUNTIF(F165:AE165,"c")</f>
        <v>0</v>
      </c>
      <c r="AL165">
        <f>+$AG$5*AG165</f>
        <v>0</v>
      </c>
      <c r="AM165">
        <f>+$AH$5*AH165</f>
        <v>45</v>
      </c>
      <c r="AN165">
        <f>+$AI$5*AI165</f>
        <v>22</v>
      </c>
      <c r="AO165">
        <f>+$AJ$5*AJ165</f>
        <v>0</v>
      </c>
      <c r="AP165">
        <f>+SUM(AL165:AO165)</f>
        <v>67</v>
      </c>
    </row>
    <row r="166" spans="1:42" ht="15.75" hidden="1" customHeight="1" x14ac:dyDescent="0.3">
      <c r="A166" s="16"/>
      <c r="B166" s="55">
        <v>9</v>
      </c>
      <c r="C166" s="56" t="s">
        <v>180</v>
      </c>
      <c r="D166" s="55">
        <v>4</v>
      </c>
      <c r="E166" s="55" t="s">
        <v>21</v>
      </c>
      <c r="F166" s="18" t="s">
        <v>21</v>
      </c>
      <c r="G166" s="18" t="s">
        <v>21</v>
      </c>
      <c r="H166" s="18" t="s">
        <v>21</v>
      </c>
      <c r="I166" s="18" t="s">
        <v>21</v>
      </c>
      <c r="J166" s="43" t="s">
        <v>20</v>
      </c>
      <c r="K166" s="43" t="s">
        <v>20</v>
      </c>
      <c r="L166" s="43" t="s">
        <v>20</v>
      </c>
      <c r="M166" s="18" t="s">
        <v>20</v>
      </c>
      <c r="N166" s="18" t="s">
        <v>20</v>
      </c>
      <c r="O166" s="18" t="s">
        <v>20</v>
      </c>
      <c r="P166" s="18" t="s">
        <v>21</v>
      </c>
      <c r="Q166" s="18" t="s">
        <v>21</v>
      </c>
      <c r="R166" s="18" t="s">
        <v>21</v>
      </c>
      <c r="S166" s="18" t="s">
        <v>20</v>
      </c>
      <c r="T166" s="18" t="s">
        <v>20</v>
      </c>
      <c r="U166" s="18" t="s">
        <v>21</v>
      </c>
      <c r="V166" s="37" t="s">
        <v>20</v>
      </c>
      <c r="W166" s="37" t="s">
        <v>20</v>
      </c>
      <c r="X166" s="37" t="s">
        <v>20</v>
      </c>
      <c r="Y166" s="18" t="s">
        <v>20</v>
      </c>
      <c r="Z166" s="18" t="s">
        <v>21</v>
      </c>
      <c r="AA166" s="20" t="s">
        <v>21</v>
      </c>
      <c r="AB166" s="20" t="s">
        <v>21</v>
      </c>
      <c r="AC166" s="20" t="s">
        <v>20</v>
      </c>
      <c r="AD166" s="18" t="s">
        <v>20</v>
      </c>
      <c r="AE166" s="18" t="s">
        <v>21</v>
      </c>
      <c r="AG166">
        <f>+COUNTIF(F166:AE166,"AD")</f>
        <v>0</v>
      </c>
      <c r="AH166">
        <f>+COUNTIF(F166:AE166,"A")</f>
        <v>14</v>
      </c>
      <c r="AI166">
        <f>+COUNTIF(F166:AE166,"b")</f>
        <v>12</v>
      </c>
      <c r="AJ166">
        <f>+COUNTIF(F166:AE166,"c")</f>
        <v>0</v>
      </c>
      <c r="AL166">
        <f>+$AG$5*AG166</f>
        <v>0</v>
      </c>
      <c r="AM166">
        <f>+$AH$5*AH166</f>
        <v>42</v>
      </c>
      <c r="AN166">
        <f>+$AI$5*AI166</f>
        <v>24</v>
      </c>
      <c r="AO166">
        <f>+$AJ$5*AJ166</f>
        <v>0</v>
      </c>
      <c r="AP166">
        <f>+SUM(AL166:AO166)</f>
        <v>66</v>
      </c>
    </row>
    <row r="167" spans="1:42" ht="15.75" hidden="1" customHeight="1" x14ac:dyDescent="0.3">
      <c r="A167" s="16"/>
      <c r="B167" s="55">
        <v>7</v>
      </c>
      <c r="C167" s="56" t="s">
        <v>178</v>
      </c>
      <c r="D167" s="55">
        <v>4</v>
      </c>
      <c r="E167" s="55" t="s">
        <v>21</v>
      </c>
      <c r="F167" s="18" t="s">
        <v>21</v>
      </c>
      <c r="G167" s="18" t="s">
        <v>20</v>
      </c>
      <c r="H167" s="18" t="s">
        <v>20</v>
      </c>
      <c r="I167" s="18" t="s">
        <v>21</v>
      </c>
      <c r="J167" s="43" t="s">
        <v>20</v>
      </c>
      <c r="K167" s="43" t="s">
        <v>21</v>
      </c>
      <c r="L167" s="43" t="s">
        <v>21</v>
      </c>
      <c r="M167" s="18" t="s">
        <v>20</v>
      </c>
      <c r="N167" s="18" t="s">
        <v>20</v>
      </c>
      <c r="O167" s="18" t="s">
        <v>20</v>
      </c>
      <c r="P167" s="18" t="s">
        <v>21</v>
      </c>
      <c r="Q167" s="18" t="s">
        <v>21</v>
      </c>
      <c r="R167" s="18" t="s">
        <v>21</v>
      </c>
      <c r="S167" s="18" t="s">
        <v>20</v>
      </c>
      <c r="T167" s="18" t="s">
        <v>20</v>
      </c>
      <c r="U167" s="18" t="s">
        <v>21</v>
      </c>
      <c r="V167" s="37" t="s">
        <v>20</v>
      </c>
      <c r="W167" s="37" t="s">
        <v>20</v>
      </c>
      <c r="X167" s="37" t="s">
        <v>20</v>
      </c>
      <c r="Y167" s="18" t="s">
        <v>20</v>
      </c>
      <c r="Z167" s="18" t="s">
        <v>21</v>
      </c>
      <c r="AA167" s="20" t="s">
        <v>21</v>
      </c>
      <c r="AB167" s="20" t="s">
        <v>21</v>
      </c>
      <c r="AC167" s="20" t="s">
        <v>21</v>
      </c>
      <c r="AD167" s="18" t="s">
        <v>21</v>
      </c>
      <c r="AE167" s="18" t="s">
        <v>21</v>
      </c>
      <c r="AG167">
        <f>+COUNTIF(F167:AE167,"AD")</f>
        <v>0</v>
      </c>
      <c r="AH167">
        <f>+COUNTIF(F167:AE167,"A")</f>
        <v>12</v>
      </c>
      <c r="AI167">
        <f>+COUNTIF(F167:AE167,"b")</f>
        <v>14</v>
      </c>
      <c r="AJ167">
        <f>+COUNTIF(F167:AE167,"c")</f>
        <v>0</v>
      </c>
      <c r="AL167">
        <f>+$AG$5*AG167</f>
        <v>0</v>
      </c>
      <c r="AM167">
        <f>+$AH$5*AH167</f>
        <v>36</v>
      </c>
      <c r="AN167">
        <f>+$AI$5*AI167</f>
        <v>28</v>
      </c>
      <c r="AO167">
        <f>+$AJ$5*AJ167</f>
        <v>0</v>
      </c>
      <c r="AP167">
        <f>+SUM(AL167:AO167)</f>
        <v>64</v>
      </c>
    </row>
    <row r="168" spans="1:42" ht="15.75" hidden="1" customHeight="1" x14ac:dyDescent="0.3">
      <c r="A168" s="16"/>
      <c r="B168" s="55">
        <v>17</v>
      </c>
      <c r="C168" s="56" t="s">
        <v>188</v>
      </c>
      <c r="D168" s="55">
        <v>4</v>
      </c>
      <c r="E168" s="55" t="s">
        <v>21</v>
      </c>
      <c r="F168" s="18" t="s">
        <v>21</v>
      </c>
      <c r="G168" s="18" t="s">
        <v>21</v>
      </c>
      <c r="H168" s="18" t="s">
        <v>21</v>
      </c>
      <c r="I168" s="18" t="s">
        <v>21</v>
      </c>
      <c r="J168" s="43" t="s">
        <v>20</v>
      </c>
      <c r="K168" s="43" t="s">
        <v>20</v>
      </c>
      <c r="L168" s="43" t="s">
        <v>21</v>
      </c>
      <c r="M168" s="18" t="s">
        <v>21</v>
      </c>
      <c r="N168" s="18" t="s">
        <v>20</v>
      </c>
      <c r="O168" s="18" t="s">
        <v>21</v>
      </c>
      <c r="P168" s="18" t="s">
        <v>21</v>
      </c>
      <c r="Q168" s="18" t="s">
        <v>21</v>
      </c>
      <c r="R168" s="18" t="s">
        <v>21</v>
      </c>
      <c r="S168" s="18" t="s">
        <v>23</v>
      </c>
      <c r="T168" s="18" t="s">
        <v>21</v>
      </c>
      <c r="U168" s="18" t="s">
        <v>20</v>
      </c>
      <c r="V168" s="49" t="s">
        <v>20</v>
      </c>
      <c r="W168" s="37" t="s">
        <v>20</v>
      </c>
      <c r="X168" s="37" t="s">
        <v>20</v>
      </c>
      <c r="Y168" s="18" t="s">
        <v>20</v>
      </c>
      <c r="Z168" s="18" t="s">
        <v>20</v>
      </c>
      <c r="AA168" s="20" t="s">
        <v>20</v>
      </c>
      <c r="AB168" s="20" t="s">
        <v>20</v>
      </c>
      <c r="AC168" s="20" t="s">
        <v>20</v>
      </c>
      <c r="AD168" s="29" t="s">
        <v>21</v>
      </c>
      <c r="AE168" s="29" t="s">
        <v>21</v>
      </c>
      <c r="AG168">
        <f>+COUNTIF(F168:AE168,"AD")</f>
        <v>0</v>
      </c>
      <c r="AH168">
        <f>+COUNTIF(F168:AE168,"A")</f>
        <v>12</v>
      </c>
      <c r="AI168">
        <f>+COUNTIF(F168:AE168,"b")</f>
        <v>13</v>
      </c>
      <c r="AJ168">
        <f>+COUNTIF(F168:AE168,"c")</f>
        <v>1</v>
      </c>
      <c r="AL168">
        <f>+$AG$5*AG168</f>
        <v>0</v>
      </c>
      <c r="AM168">
        <f>+$AH$5*AH168</f>
        <v>36</v>
      </c>
      <c r="AN168">
        <f>+$AI$5*AI168</f>
        <v>26</v>
      </c>
      <c r="AO168">
        <f>+$AJ$5*AJ168</f>
        <v>1</v>
      </c>
      <c r="AP168">
        <f>+SUM(AL168:AO168)</f>
        <v>63</v>
      </c>
    </row>
    <row r="169" spans="1:42" ht="15.75" hidden="1" customHeight="1" x14ac:dyDescent="0.3">
      <c r="A169" s="16"/>
      <c r="B169" s="55">
        <v>2</v>
      </c>
      <c r="C169" s="56" t="s">
        <v>173</v>
      </c>
      <c r="D169" s="55">
        <v>4</v>
      </c>
      <c r="E169" s="55" t="s">
        <v>21</v>
      </c>
      <c r="F169" s="18" t="s">
        <v>21</v>
      </c>
      <c r="G169" s="18" t="s">
        <v>21</v>
      </c>
      <c r="H169" s="18" t="s">
        <v>21</v>
      </c>
      <c r="I169" s="18" t="s">
        <v>21</v>
      </c>
      <c r="J169" s="43" t="s">
        <v>21</v>
      </c>
      <c r="K169" s="43" t="s">
        <v>21</v>
      </c>
      <c r="L169" s="43" t="s">
        <v>21</v>
      </c>
      <c r="M169" s="18" t="s">
        <v>21</v>
      </c>
      <c r="N169" s="18" t="s">
        <v>20</v>
      </c>
      <c r="O169" s="18" t="s">
        <v>20</v>
      </c>
      <c r="P169" s="18" t="s">
        <v>21</v>
      </c>
      <c r="Q169" s="18" t="s">
        <v>21</v>
      </c>
      <c r="R169" s="18" t="s">
        <v>21</v>
      </c>
      <c r="S169" s="18" t="s">
        <v>20</v>
      </c>
      <c r="T169" s="18" t="s">
        <v>21</v>
      </c>
      <c r="U169" s="18" t="s">
        <v>21</v>
      </c>
      <c r="V169" s="37" t="s">
        <v>21</v>
      </c>
      <c r="W169" s="37" t="s">
        <v>20</v>
      </c>
      <c r="X169" s="37" t="s">
        <v>21</v>
      </c>
      <c r="Y169" s="18" t="s">
        <v>20</v>
      </c>
      <c r="Z169" s="18" t="s">
        <v>20</v>
      </c>
      <c r="AA169" s="20" t="s">
        <v>20</v>
      </c>
      <c r="AB169" s="20" t="s">
        <v>20</v>
      </c>
      <c r="AC169" s="20" t="s">
        <v>20</v>
      </c>
      <c r="AD169" s="18" t="s">
        <v>20</v>
      </c>
      <c r="AE169" s="18" t="s">
        <v>21</v>
      </c>
      <c r="AG169">
        <f>+COUNTIF(F169:AE169,"AD")</f>
        <v>0</v>
      </c>
      <c r="AH169">
        <f>+COUNTIF(F169:AE169,"A")</f>
        <v>10</v>
      </c>
      <c r="AI169">
        <f>+COUNTIF(F169:AE169,"b")</f>
        <v>16</v>
      </c>
      <c r="AJ169">
        <f>+COUNTIF(F169:AE169,"c")</f>
        <v>0</v>
      </c>
      <c r="AL169">
        <f>+$AG$5*AG169</f>
        <v>0</v>
      </c>
      <c r="AM169">
        <f>+$AH$5*AH169</f>
        <v>30</v>
      </c>
      <c r="AN169">
        <f>+$AI$5*AI169</f>
        <v>32</v>
      </c>
      <c r="AO169">
        <f>+$AJ$5*AJ169</f>
        <v>0</v>
      </c>
      <c r="AP169">
        <f>+SUM(AL169:AO169)</f>
        <v>62</v>
      </c>
    </row>
    <row r="170" spans="1:42" ht="15.75" hidden="1" customHeight="1" x14ac:dyDescent="0.3">
      <c r="A170" s="16"/>
      <c r="B170" s="55">
        <v>14</v>
      </c>
      <c r="C170" s="56" t="s">
        <v>185</v>
      </c>
      <c r="D170" s="55">
        <v>4</v>
      </c>
      <c r="E170" s="55" t="s">
        <v>21</v>
      </c>
      <c r="F170" s="18" t="s">
        <v>21</v>
      </c>
      <c r="G170" s="18" t="s">
        <v>21</v>
      </c>
      <c r="H170" s="18" t="s">
        <v>21</v>
      </c>
      <c r="I170" s="18" t="s">
        <v>21</v>
      </c>
      <c r="J170" s="43" t="s">
        <v>20</v>
      </c>
      <c r="K170" s="43" t="s">
        <v>21</v>
      </c>
      <c r="L170" s="43" t="s">
        <v>21</v>
      </c>
      <c r="M170" s="18" t="s">
        <v>21</v>
      </c>
      <c r="N170" s="18" t="s">
        <v>21</v>
      </c>
      <c r="O170" s="18" t="s">
        <v>20</v>
      </c>
      <c r="P170" s="18" t="s">
        <v>21</v>
      </c>
      <c r="Q170" s="18" t="s">
        <v>21</v>
      </c>
      <c r="R170" s="18" t="s">
        <v>21</v>
      </c>
      <c r="S170" s="18" t="s">
        <v>20</v>
      </c>
      <c r="T170" s="18" t="s">
        <v>20</v>
      </c>
      <c r="U170" s="18" t="s">
        <v>21</v>
      </c>
      <c r="V170" s="49" t="s">
        <v>20</v>
      </c>
      <c r="W170" s="37" t="s">
        <v>20</v>
      </c>
      <c r="X170" s="37" t="s">
        <v>20</v>
      </c>
      <c r="Y170" s="18" t="s">
        <v>21</v>
      </c>
      <c r="Z170" s="18" t="s">
        <v>21</v>
      </c>
      <c r="AA170" s="20" t="s">
        <v>20</v>
      </c>
      <c r="AB170" s="20" t="s">
        <v>21</v>
      </c>
      <c r="AC170" s="20" t="s">
        <v>20</v>
      </c>
      <c r="AD170" s="29" t="s">
        <v>21</v>
      </c>
      <c r="AE170" s="29" t="s">
        <v>21</v>
      </c>
      <c r="AG170">
        <f>+COUNTIF(F170:AE170,"AD")</f>
        <v>0</v>
      </c>
      <c r="AH170">
        <f>+COUNTIF(F170:AE170,"A")</f>
        <v>9</v>
      </c>
      <c r="AI170">
        <f>+COUNTIF(F170:AE170,"b")</f>
        <v>17</v>
      </c>
      <c r="AJ170">
        <f>+COUNTIF(F170:AE170,"c")</f>
        <v>0</v>
      </c>
      <c r="AL170">
        <f>+$AG$5*AG170</f>
        <v>0</v>
      </c>
      <c r="AM170">
        <f>+$AH$5*AH170</f>
        <v>27</v>
      </c>
      <c r="AN170">
        <f>+$AI$5*AI170</f>
        <v>34</v>
      </c>
      <c r="AO170">
        <f>+$AJ$5*AJ170</f>
        <v>0</v>
      </c>
      <c r="AP170">
        <f>+SUM(AL170:AO170)</f>
        <v>61</v>
      </c>
    </row>
    <row r="171" spans="1:42" ht="15.75" hidden="1" customHeight="1" x14ac:dyDescent="0.3">
      <c r="A171" s="16"/>
      <c r="B171" s="55">
        <v>16</v>
      </c>
      <c r="C171" s="56" t="s">
        <v>187</v>
      </c>
      <c r="D171" s="55">
        <v>4</v>
      </c>
      <c r="E171" s="55" t="s">
        <v>21</v>
      </c>
      <c r="F171" s="18" t="s">
        <v>21</v>
      </c>
      <c r="G171" s="18" t="s">
        <v>21</v>
      </c>
      <c r="H171" s="18" t="s">
        <v>21</v>
      </c>
      <c r="I171" s="18" t="s">
        <v>21</v>
      </c>
      <c r="J171" s="43" t="s">
        <v>20</v>
      </c>
      <c r="K171" s="43" t="s">
        <v>20</v>
      </c>
      <c r="L171" s="43" t="s">
        <v>21</v>
      </c>
      <c r="M171" s="18" t="s">
        <v>20</v>
      </c>
      <c r="N171" s="18" t="s">
        <v>20</v>
      </c>
      <c r="O171" s="18" t="s">
        <v>20</v>
      </c>
      <c r="P171" s="18" t="s">
        <v>21</v>
      </c>
      <c r="Q171" s="18" t="s">
        <v>21</v>
      </c>
      <c r="R171" s="18" t="s">
        <v>21</v>
      </c>
      <c r="S171" s="18" t="s">
        <v>21</v>
      </c>
      <c r="T171" s="18" t="s">
        <v>20</v>
      </c>
      <c r="U171" s="18" t="s">
        <v>21</v>
      </c>
      <c r="V171" s="49" t="s">
        <v>20</v>
      </c>
      <c r="W171" s="37" t="s">
        <v>20</v>
      </c>
      <c r="X171" s="37" t="s">
        <v>20</v>
      </c>
      <c r="Y171" s="18" t="s">
        <v>21</v>
      </c>
      <c r="Z171" s="18" t="s">
        <v>21</v>
      </c>
      <c r="AA171" s="20" t="s">
        <v>21</v>
      </c>
      <c r="AB171" s="20" t="s">
        <v>21</v>
      </c>
      <c r="AC171" s="20" t="s">
        <v>21</v>
      </c>
      <c r="AD171" s="29" t="s">
        <v>21</v>
      </c>
      <c r="AE171" s="29" t="s">
        <v>21</v>
      </c>
      <c r="AG171">
        <f>+COUNTIF(F171:AE171,"AD")</f>
        <v>0</v>
      </c>
      <c r="AH171">
        <f>+COUNTIF(F171:AE171,"A")</f>
        <v>9</v>
      </c>
      <c r="AI171">
        <f>+COUNTIF(F171:AE171,"b")</f>
        <v>17</v>
      </c>
      <c r="AJ171">
        <f>+COUNTIF(F171:AE171,"c")</f>
        <v>0</v>
      </c>
      <c r="AL171">
        <f>+$AG$5*AG171</f>
        <v>0</v>
      </c>
      <c r="AM171">
        <f>+$AH$5*AH171</f>
        <v>27</v>
      </c>
      <c r="AN171">
        <f>+$AI$5*AI171</f>
        <v>34</v>
      </c>
      <c r="AO171">
        <f>+$AJ$5*AJ171</f>
        <v>0</v>
      </c>
      <c r="AP171">
        <f>+SUM(AL171:AO171)</f>
        <v>61</v>
      </c>
    </row>
    <row r="172" spans="1:42" ht="15.75" hidden="1" customHeight="1" x14ac:dyDescent="0.3">
      <c r="A172" s="16"/>
      <c r="B172" s="55">
        <v>19</v>
      </c>
      <c r="C172" s="56" t="s">
        <v>190</v>
      </c>
      <c r="D172" s="55">
        <v>4</v>
      </c>
      <c r="E172" s="55" t="s">
        <v>21</v>
      </c>
      <c r="F172" s="18" t="s">
        <v>23</v>
      </c>
      <c r="G172" s="18" t="s">
        <v>21</v>
      </c>
      <c r="H172" s="18" t="s">
        <v>21</v>
      </c>
      <c r="I172" s="18" t="s">
        <v>21</v>
      </c>
      <c r="J172" s="43" t="s">
        <v>20</v>
      </c>
      <c r="K172" s="43" t="s">
        <v>20</v>
      </c>
      <c r="L172" s="43" t="s">
        <v>21</v>
      </c>
      <c r="M172" s="18" t="s">
        <v>20</v>
      </c>
      <c r="N172" s="18" t="s">
        <v>20</v>
      </c>
      <c r="O172" s="18" t="s">
        <v>21</v>
      </c>
      <c r="P172" s="18" t="s">
        <v>21</v>
      </c>
      <c r="Q172" s="18" t="s">
        <v>21</v>
      </c>
      <c r="R172" s="18" t="s">
        <v>21</v>
      </c>
      <c r="S172" s="18" t="s">
        <v>20</v>
      </c>
      <c r="T172" s="18" t="s">
        <v>20</v>
      </c>
      <c r="U172" s="18" t="s">
        <v>21</v>
      </c>
      <c r="V172" s="49" t="s">
        <v>20</v>
      </c>
      <c r="W172" s="37" t="s">
        <v>20</v>
      </c>
      <c r="X172" s="37" t="s">
        <v>20</v>
      </c>
      <c r="Y172" s="18" t="s">
        <v>20</v>
      </c>
      <c r="Z172" s="18" t="s">
        <v>21</v>
      </c>
      <c r="AA172" s="20" t="s">
        <v>21</v>
      </c>
      <c r="AB172" s="20" t="s">
        <v>21</v>
      </c>
      <c r="AC172" s="20" t="s">
        <v>21</v>
      </c>
      <c r="AD172" s="29" t="s">
        <v>21</v>
      </c>
      <c r="AE172" s="29" t="s">
        <v>21</v>
      </c>
      <c r="AG172">
        <f>+COUNTIF(F172:AE172,"AD")</f>
        <v>0</v>
      </c>
      <c r="AH172">
        <f>+COUNTIF(F172:AE172,"A")</f>
        <v>10</v>
      </c>
      <c r="AI172">
        <f>+COUNTIF(F172:AE172,"b")</f>
        <v>15</v>
      </c>
      <c r="AJ172">
        <f>+COUNTIF(F172:AE172,"c")</f>
        <v>1</v>
      </c>
      <c r="AL172">
        <f>+$AG$5*AG172</f>
        <v>0</v>
      </c>
      <c r="AM172">
        <f>+$AH$5*AH172</f>
        <v>30</v>
      </c>
      <c r="AN172">
        <f>+$AI$5*AI172</f>
        <v>30</v>
      </c>
      <c r="AO172">
        <f>+$AJ$5*AJ172</f>
        <v>1</v>
      </c>
      <c r="AP172">
        <f>+SUM(AL172:AO172)</f>
        <v>61</v>
      </c>
    </row>
    <row r="173" spans="1:42" ht="15.75" hidden="1" customHeight="1" x14ac:dyDescent="0.3">
      <c r="A173" s="16"/>
      <c r="B173" s="55">
        <v>10</v>
      </c>
      <c r="C173" s="56" t="s">
        <v>181</v>
      </c>
      <c r="D173" s="55">
        <v>4</v>
      </c>
      <c r="E173" s="55" t="s">
        <v>21</v>
      </c>
      <c r="F173" s="18" t="s">
        <v>21</v>
      </c>
      <c r="G173" s="18" t="s">
        <v>20</v>
      </c>
      <c r="H173" s="18" t="s">
        <v>21</v>
      </c>
      <c r="I173" s="18" t="s">
        <v>21</v>
      </c>
      <c r="J173" s="43" t="s">
        <v>20</v>
      </c>
      <c r="K173" s="43" t="s">
        <v>20</v>
      </c>
      <c r="L173" s="43" t="s">
        <v>21</v>
      </c>
      <c r="M173" s="18" t="s">
        <v>23</v>
      </c>
      <c r="N173" s="18" t="s">
        <v>20</v>
      </c>
      <c r="O173" s="18" t="s">
        <v>20</v>
      </c>
      <c r="P173" s="18" t="s">
        <v>21</v>
      </c>
      <c r="Q173" s="18" t="s">
        <v>21</v>
      </c>
      <c r="R173" s="18" t="s">
        <v>21</v>
      </c>
      <c r="S173" s="18" t="s">
        <v>20</v>
      </c>
      <c r="T173" s="18" t="s">
        <v>20</v>
      </c>
      <c r="U173" s="18" t="s">
        <v>21</v>
      </c>
      <c r="V173" s="37" t="s">
        <v>20</v>
      </c>
      <c r="W173" s="37" t="s">
        <v>20</v>
      </c>
      <c r="X173" s="37" t="s">
        <v>20</v>
      </c>
      <c r="Y173" s="18" t="s">
        <v>21</v>
      </c>
      <c r="Z173" s="18" t="s">
        <v>21</v>
      </c>
      <c r="AA173" s="20" t="s">
        <v>21</v>
      </c>
      <c r="AB173" s="20" t="s">
        <v>23</v>
      </c>
      <c r="AC173" s="20" t="s">
        <v>21</v>
      </c>
      <c r="AD173" s="18" t="s">
        <v>23</v>
      </c>
      <c r="AE173" s="18" t="s">
        <v>21</v>
      </c>
      <c r="AG173">
        <f>+COUNTIF(F173:AE173,"AD")</f>
        <v>0</v>
      </c>
      <c r="AH173">
        <f>+COUNTIF(F173:AE173,"A")</f>
        <v>10</v>
      </c>
      <c r="AI173">
        <f>+COUNTIF(F173:AE173,"b")</f>
        <v>13</v>
      </c>
      <c r="AJ173">
        <f>+COUNTIF(F173:AE173,"c")</f>
        <v>3</v>
      </c>
      <c r="AL173">
        <f>+$AG$5*AG173</f>
        <v>0</v>
      </c>
      <c r="AM173">
        <f>+$AH$5*AH173</f>
        <v>30</v>
      </c>
      <c r="AN173">
        <f>+$AI$5*AI173</f>
        <v>26</v>
      </c>
      <c r="AO173">
        <f>+$AJ$5*AJ173</f>
        <v>3</v>
      </c>
      <c r="AP173">
        <f>+SUM(AL173:AO173)</f>
        <v>59</v>
      </c>
    </row>
    <row r="174" spans="1:42" ht="15.75" hidden="1" customHeight="1" x14ac:dyDescent="0.3">
      <c r="A174" s="16"/>
      <c r="B174" s="55">
        <v>1</v>
      </c>
      <c r="C174" s="56" t="s">
        <v>172</v>
      </c>
      <c r="D174" s="55">
        <v>4</v>
      </c>
      <c r="E174" s="55" t="s">
        <v>21</v>
      </c>
      <c r="F174" s="18" t="s">
        <v>23</v>
      </c>
      <c r="G174" s="18" t="s">
        <v>21</v>
      </c>
      <c r="H174" s="18" t="s">
        <v>23</v>
      </c>
      <c r="I174" s="18" t="s">
        <v>23</v>
      </c>
      <c r="J174" s="43" t="s">
        <v>20</v>
      </c>
      <c r="K174" s="43" t="s">
        <v>21</v>
      </c>
      <c r="L174" s="43" t="s">
        <v>21</v>
      </c>
      <c r="M174" s="18" t="s">
        <v>21</v>
      </c>
      <c r="N174" s="18" t="s">
        <v>20</v>
      </c>
      <c r="O174" s="18" t="s">
        <v>20</v>
      </c>
      <c r="P174" s="18" t="s">
        <v>20</v>
      </c>
      <c r="Q174" s="18" t="s">
        <v>21</v>
      </c>
      <c r="R174" s="18" t="s">
        <v>21</v>
      </c>
      <c r="S174" s="18" t="s">
        <v>21</v>
      </c>
      <c r="T174" s="18" t="s">
        <v>20</v>
      </c>
      <c r="U174" s="18" t="s">
        <v>20</v>
      </c>
      <c r="V174" s="37" t="s">
        <v>20</v>
      </c>
      <c r="W174" s="37" t="s">
        <v>20</v>
      </c>
      <c r="X174" s="37" t="s">
        <v>20</v>
      </c>
      <c r="Y174" s="18" t="s">
        <v>23</v>
      </c>
      <c r="Z174" s="18" t="s">
        <v>21</v>
      </c>
      <c r="AA174" s="20" t="s">
        <v>21</v>
      </c>
      <c r="AB174" s="20" t="s">
        <v>20</v>
      </c>
      <c r="AC174" s="20" t="s">
        <v>21</v>
      </c>
      <c r="AD174" s="18" t="s">
        <v>23</v>
      </c>
      <c r="AE174" s="18" t="s">
        <v>21</v>
      </c>
      <c r="AG174">
        <f>+COUNTIF(F174:AE174,"AD")</f>
        <v>0</v>
      </c>
      <c r="AH174">
        <f>+COUNTIF(F174:AE174,"A")</f>
        <v>10</v>
      </c>
      <c r="AI174">
        <f>+COUNTIF(F174:AE174,"b")</f>
        <v>11</v>
      </c>
      <c r="AJ174">
        <f>+COUNTIF(F174:AE174,"c")</f>
        <v>5</v>
      </c>
      <c r="AL174">
        <f>+$AG$5*AG174</f>
        <v>0</v>
      </c>
      <c r="AM174">
        <f>+$AH$5*AH174</f>
        <v>30</v>
      </c>
      <c r="AN174">
        <f>+$AI$5*AI174</f>
        <v>22</v>
      </c>
      <c r="AO174">
        <f>+$AJ$5*AJ174</f>
        <v>5</v>
      </c>
      <c r="AP174">
        <f>+SUM(AL174:AO174)</f>
        <v>57</v>
      </c>
    </row>
    <row r="175" spans="1:42" ht="15.75" hidden="1" customHeight="1" x14ac:dyDescent="0.3">
      <c r="A175" s="16"/>
      <c r="B175" s="55">
        <v>18</v>
      </c>
      <c r="C175" s="56" t="s">
        <v>189</v>
      </c>
      <c r="D175" s="55">
        <v>4</v>
      </c>
      <c r="E175" s="55" t="s">
        <v>21</v>
      </c>
      <c r="F175" s="18" t="s">
        <v>23</v>
      </c>
      <c r="G175" s="18" t="s">
        <v>23</v>
      </c>
      <c r="H175" s="18" t="s">
        <v>23</v>
      </c>
      <c r="I175" s="18" t="s">
        <v>23</v>
      </c>
      <c r="J175" s="43" t="s">
        <v>20</v>
      </c>
      <c r="K175" s="43" t="s">
        <v>20</v>
      </c>
      <c r="L175" s="43" t="s">
        <v>21</v>
      </c>
      <c r="M175" s="18" t="s">
        <v>21</v>
      </c>
      <c r="N175" s="18" t="s">
        <v>21</v>
      </c>
      <c r="O175" s="18" t="s">
        <v>20</v>
      </c>
      <c r="P175" s="18" t="s">
        <v>21</v>
      </c>
      <c r="Q175" s="18" t="s">
        <v>21</v>
      </c>
      <c r="R175" s="18" t="s">
        <v>23</v>
      </c>
      <c r="S175" s="18" t="s">
        <v>21</v>
      </c>
      <c r="T175" s="18" t="s">
        <v>20</v>
      </c>
      <c r="U175" s="18" t="s">
        <v>21</v>
      </c>
      <c r="V175" s="49" t="s">
        <v>20</v>
      </c>
      <c r="W175" s="37" t="s">
        <v>21</v>
      </c>
      <c r="X175" s="37" t="s">
        <v>20</v>
      </c>
      <c r="Y175" s="18" t="s">
        <v>20</v>
      </c>
      <c r="Z175" s="18" t="s">
        <v>20</v>
      </c>
      <c r="AA175" s="20" t="s">
        <v>21</v>
      </c>
      <c r="AB175" s="20" t="s">
        <v>21</v>
      </c>
      <c r="AC175" s="20" t="s">
        <v>21</v>
      </c>
      <c r="AD175" s="29" t="s">
        <v>21</v>
      </c>
      <c r="AE175" s="29" t="s">
        <v>21</v>
      </c>
      <c r="AG175">
        <f>+COUNTIF(F175:AE175,"AD")</f>
        <v>0</v>
      </c>
      <c r="AH175">
        <f>+COUNTIF(F175:AE175,"A")</f>
        <v>8</v>
      </c>
      <c r="AI175">
        <f>+COUNTIF(F175:AE175,"b")</f>
        <v>13</v>
      </c>
      <c r="AJ175">
        <f>+COUNTIF(F175:AE175,"c")</f>
        <v>5</v>
      </c>
      <c r="AL175">
        <f>+$AG$5*AG175</f>
        <v>0</v>
      </c>
      <c r="AM175">
        <f>+$AH$5*AH175</f>
        <v>24</v>
      </c>
      <c r="AN175">
        <f>+$AI$5*AI175</f>
        <v>26</v>
      </c>
      <c r="AO175">
        <f>+$AJ$5*AJ175</f>
        <v>5</v>
      </c>
      <c r="AP175">
        <f>+SUM(AL175:AO175)</f>
        <v>55</v>
      </c>
    </row>
    <row r="176" spans="1:42" ht="15.75" hidden="1" customHeight="1" x14ac:dyDescent="0.3">
      <c r="A176" s="16"/>
      <c r="B176" s="55">
        <v>21</v>
      </c>
      <c r="C176" s="56" t="s">
        <v>192</v>
      </c>
      <c r="D176" s="55">
        <v>4</v>
      </c>
      <c r="E176" s="55" t="s">
        <v>21</v>
      </c>
      <c r="F176" s="18" t="s">
        <v>21</v>
      </c>
      <c r="G176" s="18" t="s">
        <v>23</v>
      </c>
      <c r="H176" s="18" t="s">
        <v>23</v>
      </c>
      <c r="I176" s="18" t="s">
        <v>23</v>
      </c>
      <c r="J176" s="43" t="s">
        <v>20</v>
      </c>
      <c r="K176" s="43" t="s">
        <v>21</v>
      </c>
      <c r="L176" s="43" t="s">
        <v>21</v>
      </c>
      <c r="M176" s="18" t="s">
        <v>21</v>
      </c>
      <c r="N176" s="18" t="s">
        <v>21</v>
      </c>
      <c r="O176" s="18" t="s">
        <v>21</v>
      </c>
      <c r="P176" s="18" t="s">
        <v>21</v>
      </c>
      <c r="Q176" s="18" t="s">
        <v>21</v>
      </c>
      <c r="R176" s="18" t="s">
        <v>23</v>
      </c>
      <c r="S176" s="18" t="s">
        <v>21</v>
      </c>
      <c r="T176" s="18" t="s">
        <v>20</v>
      </c>
      <c r="U176" s="18" t="s">
        <v>20</v>
      </c>
      <c r="V176" s="49" t="s">
        <v>20</v>
      </c>
      <c r="W176" s="37" t="s">
        <v>20</v>
      </c>
      <c r="X176" s="37" t="s">
        <v>20</v>
      </c>
      <c r="Y176" s="18" t="s">
        <v>21</v>
      </c>
      <c r="Z176" s="18" t="s">
        <v>21</v>
      </c>
      <c r="AA176" s="20" t="s">
        <v>21</v>
      </c>
      <c r="AB176" s="20" t="s">
        <v>21</v>
      </c>
      <c r="AC176" s="20" t="s">
        <v>20</v>
      </c>
      <c r="AD176" s="29" t="s">
        <v>21</v>
      </c>
      <c r="AE176" s="29" t="s">
        <v>21</v>
      </c>
      <c r="AG176">
        <f>+COUNTIF(F176:AE176,"AD")</f>
        <v>0</v>
      </c>
      <c r="AH176">
        <f>+COUNTIF(F176:AE176,"A")</f>
        <v>7</v>
      </c>
      <c r="AI176">
        <f>+COUNTIF(F176:AE176,"b")</f>
        <v>15</v>
      </c>
      <c r="AJ176">
        <f>+COUNTIF(F176:AE176,"c")</f>
        <v>4</v>
      </c>
      <c r="AL176">
        <f>+$AG$5*AG176</f>
        <v>0</v>
      </c>
      <c r="AM176">
        <f>+$AH$5*AH176</f>
        <v>21</v>
      </c>
      <c r="AN176">
        <f>+$AI$5*AI176</f>
        <v>30</v>
      </c>
      <c r="AO176">
        <f>+$AJ$5*AJ176</f>
        <v>4</v>
      </c>
      <c r="AP176">
        <f>+SUM(AL176:AO176)</f>
        <v>55</v>
      </c>
    </row>
    <row r="177" spans="1:42" ht="15.75" hidden="1" customHeight="1" x14ac:dyDescent="0.3">
      <c r="A177" s="16"/>
      <c r="B177" s="55">
        <v>13</v>
      </c>
      <c r="C177" s="56" t="s">
        <v>184</v>
      </c>
      <c r="D177" s="55">
        <v>4</v>
      </c>
      <c r="E177" s="55" t="s">
        <v>21</v>
      </c>
      <c r="F177" s="18" t="s">
        <v>21</v>
      </c>
      <c r="G177" s="18" t="s">
        <v>21</v>
      </c>
      <c r="H177" s="18" t="s">
        <v>23</v>
      </c>
      <c r="I177" s="18" t="s">
        <v>21</v>
      </c>
      <c r="J177" s="43" t="s">
        <v>20</v>
      </c>
      <c r="K177" s="43" t="s">
        <v>20</v>
      </c>
      <c r="L177" s="43" t="s">
        <v>21</v>
      </c>
      <c r="M177" s="18" t="s">
        <v>21</v>
      </c>
      <c r="N177" s="18" t="s">
        <v>20</v>
      </c>
      <c r="O177" s="18" t="s">
        <v>21</v>
      </c>
      <c r="P177" s="18" t="s">
        <v>21</v>
      </c>
      <c r="Q177" s="18" t="s">
        <v>21</v>
      </c>
      <c r="R177" s="18" t="s">
        <v>21</v>
      </c>
      <c r="S177" s="18" t="s">
        <v>23</v>
      </c>
      <c r="T177" s="18" t="s">
        <v>23</v>
      </c>
      <c r="U177" s="18" t="s">
        <v>20</v>
      </c>
      <c r="V177" s="49" t="s">
        <v>20</v>
      </c>
      <c r="W177" s="37" t="s">
        <v>21</v>
      </c>
      <c r="X177" s="37" t="s">
        <v>20</v>
      </c>
      <c r="Y177" s="18" t="s">
        <v>23</v>
      </c>
      <c r="Z177" s="18" t="s">
        <v>21</v>
      </c>
      <c r="AA177" s="20" t="s">
        <v>21</v>
      </c>
      <c r="AB177" s="20" t="s">
        <v>20</v>
      </c>
      <c r="AC177" s="20" t="s">
        <v>23</v>
      </c>
      <c r="AD177" s="29" t="s">
        <v>23</v>
      </c>
      <c r="AE177" s="29" t="s">
        <v>21</v>
      </c>
      <c r="AG177">
        <f>+COUNTIF(F177:AE177,"AD")</f>
        <v>0</v>
      </c>
      <c r="AH177">
        <f>+COUNTIF(F177:AE177,"A")</f>
        <v>7</v>
      </c>
      <c r="AI177">
        <f>+COUNTIF(F177:AE177,"b")</f>
        <v>13</v>
      </c>
      <c r="AJ177">
        <f>+COUNTIF(F177:AE177,"c")</f>
        <v>6</v>
      </c>
      <c r="AL177">
        <f>+$AG$5*AG177</f>
        <v>0</v>
      </c>
      <c r="AM177">
        <f>+$AH$5*AH177</f>
        <v>21</v>
      </c>
      <c r="AN177">
        <f>+$AI$5*AI177</f>
        <v>26</v>
      </c>
      <c r="AO177">
        <f>+$AJ$5*AJ177</f>
        <v>6</v>
      </c>
      <c r="AP177">
        <f>+SUM(AL177:AO177)</f>
        <v>53</v>
      </c>
    </row>
    <row r="178" spans="1:42" ht="15.75" hidden="1" customHeight="1" thickBot="1" x14ac:dyDescent="0.35">
      <c r="A178" s="16"/>
      <c r="B178" s="57">
        <v>11</v>
      </c>
      <c r="C178" s="58" t="s">
        <v>182</v>
      </c>
      <c r="D178" s="57">
        <v>4</v>
      </c>
      <c r="E178" s="57" t="s">
        <v>21</v>
      </c>
      <c r="F178" s="21" t="s">
        <v>23</v>
      </c>
      <c r="G178" s="21" t="s">
        <v>23</v>
      </c>
      <c r="H178" s="21" t="s">
        <v>23</v>
      </c>
      <c r="I178" s="21" t="s">
        <v>23</v>
      </c>
      <c r="J178" s="45" t="s">
        <v>21</v>
      </c>
      <c r="K178" s="45" t="s">
        <v>21</v>
      </c>
      <c r="L178" s="45" t="s">
        <v>21</v>
      </c>
      <c r="M178" s="21" t="s">
        <v>21</v>
      </c>
      <c r="N178" s="21" t="s">
        <v>20</v>
      </c>
      <c r="O178" s="21" t="s">
        <v>21</v>
      </c>
      <c r="P178" s="21" t="s">
        <v>23</v>
      </c>
      <c r="Q178" s="21" t="s">
        <v>21</v>
      </c>
      <c r="R178" s="21" t="s">
        <v>21</v>
      </c>
      <c r="S178" s="21" t="s">
        <v>21</v>
      </c>
      <c r="T178" s="21" t="s">
        <v>20</v>
      </c>
      <c r="U178" s="21" t="s">
        <v>20</v>
      </c>
      <c r="V178" s="38" t="s">
        <v>20</v>
      </c>
      <c r="W178" s="38" t="s">
        <v>21</v>
      </c>
      <c r="X178" s="38" t="s">
        <v>20</v>
      </c>
      <c r="Y178" s="21" t="s">
        <v>23</v>
      </c>
      <c r="Z178" s="21" t="s">
        <v>23</v>
      </c>
      <c r="AA178" s="23" t="s">
        <v>21</v>
      </c>
      <c r="AB178" s="23" t="s">
        <v>21</v>
      </c>
      <c r="AC178" s="23" t="s">
        <v>21</v>
      </c>
      <c r="AD178" s="21" t="s">
        <v>23</v>
      </c>
      <c r="AE178" s="21" t="s">
        <v>21</v>
      </c>
      <c r="AG178">
        <f>+COUNTIF(F178:AE178,"AD")</f>
        <v>0</v>
      </c>
      <c r="AH178">
        <f>+COUNTIF(F178:AE178,"A")</f>
        <v>5</v>
      </c>
      <c r="AI178">
        <f>+COUNTIF(F178:AE178,"b")</f>
        <v>13</v>
      </c>
      <c r="AJ178">
        <f>+COUNTIF(F178:AE178,"c")</f>
        <v>8</v>
      </c>
      <c r="AL178">
        <f>+$AG$5*AG178</f>
        <v>0</v>
      </c>
      <c r="AM178">
        <f>+$AH$5*AH178</f>
        <v>15</v>
      </c>
      <c r="AN178">
        <f>+$AI$5*AI178</f>
        <v>26</v>
      </c>
      <c r="AO178">
        <f>+$AJ$5*AJ178</f>
        <v>8</v>
      </c>
      <c r="AP178">
        <f>+SUM(AL178:AO178)</f>
        <v>49</v>
      </c>
    </row>
    <row r="179" spans="1:42" ht="15.75" hidden="1" customHeight="1" x14ac:dyDescent="0.3">
      <c r="A179" s="16"/>
      <c r="B179" s="59">
        <v>12</v>
      </c>
      <c r="C179" s="60" t="s">
        <v>208</v>
      </c>
      <c r="D179" s="59">
        <v>5</v>
      </c>
      <c r="E179" s="59" t="s">
        <v>20</v>
      </c>
      <c r="F179" s="24" t="s">
        <v>20</v>
      </c>
      <c r="G179" s="24" t="s">
        <v>39</v>
      </c>
      <c r="H179" s="24" t="s">
        <v>20</v>
      </c>
      <c r="I179" s="24" t="s">
        <v>39</v>
      </c>
      <c r="J179" s="42" t="s">
        <v>20</v>
      </c>
      <c r="K179" s="42" t="s">
        <v>39</v>
      </c>
      <c r="L179" s="42" t="s">
        <v>20</v>
      </c>
      <c r="M179" s="24" t="s">
        <v>20</v>
      </c>
      <c r="N179" s="24" t="s">
        <v>20</v>
      </c>
      <c r="O179" s="24" t="s">
        <v>20</v>
      </c>
      <c r="P179" s="24" t="s">
        <v>20</v>
      </c>
      <c r="Q179" s="24" t="s">
        <v>20</v>
      </c>
      <c r="R179" s="24" t="s">
        <v>20</v>
      </c>
      <c r="S179" s="24" t="s">
        <v>20</v>
      </c>
      <c r="T179" s="24" t="s">
        <v>20</v>
      </c>
      <c r="U179" s="24" t="s">
        <v>20</v>
      </c>
      <c r="V179" s="52" t="s">
        <v>20</v>
      </c>
      <c r="W179" s="39" t="s">
        <v>20</v>
      </c>
      <c r="X179" s="39" t="s">
        <v>20</v>
      </c>
      <c r="Y179" s="24" t="s">
        <v>39</v>
      </c>
      <c r="Z179" s="24" t="s">
        <v>39</v>
      </c>
      <c r="AA179" s="27" t="s">
        <v>20</v>
      </c>
      <c r="AB179" s="27" t="s">
        <v>20</v>
      </c>
      <c r="AC179" s="27" t="s">
        <v>20</v>
      </c>
      <c r="AD179" s="34" t="s">
        <v>20</v>
      </c>
      <c r="AE179" s="34" t="s">
        <v>21</v>
      </c>
      <c r="AG179">
        <f>+COUNTIF(F179:AE179,"AD")</f>
        <v>5</v>
      </c>
      <c r="AH179">
        <f>+COUNTIF(F179:AE179,"A")</f>
        <v>20</v>
      </c>
      <c r="AI179">
        <f>+COUNTIF(F179:AE179,"b")</f>
        <v>1</v>
      </c>
      <c r="AJ179">
        <f>+COUNTIF(F179:AE179,"c")</f>
        <v>0</v>
      </c>
      <c r="AL179">
        <f>+$AG$5*AG179</f>
        <v>20</v>
      </c>
      <c r="AM179">
        <f>+$AH$5*AH179</f>
        <v>60</v>
      </c>
      <c r="AN179">
        <f>+$AI$5*AI179</f>
        <v>2</v>
      </c>
      <c r="AO179">
        <f>+$AJ$5*AJ179</f>
        <v>0</v>
      </c>
      <c r="AP179">
        <f>+SUM(AL179:AO179)</f>
        <v>82</v>
      </c>
    </row>
    <row r="180" spans="1:42" ht="15.75" hidden="1" customHeight="1" x14ac:dyDescent="0.3">
      <c r="A180" s="16"/>
      <c r="B180" s="55">
        <v>14</v>
      </c>
      <c r="C180" s="56" t="s">
        <v>210</v>
      </c>
      <c r="D180" s="55">
        <v>5</v>
      </c>
      <c r="E180" s="55" t="s">
        <v>20</v>
      </c>
      <c r="F180" s="18" t="s">
        <v>20</v>
      </c>
      <c r="G180" s="18" t="s">
        <v>20</v>
      </c>
      <c r="H180" s="18" t="s">
        <v>39</v>
      </c>
      <c r="I180" s="18" t="s">
        <v>20</v>
      </c>
      <c r="J180" s="43" t="s">
        <v>20</v>
      </c>
      <c r="K180" s="43" t="s">
        <v>39</v>
      </c>
      <c r="L180" s="43" t="s">
        <v>20</v>
      </c>
      <c r="M180" s="18" t="s">
        <v>21</v>
      </c>
      <c r="N180" s="18" t="s">
        <v>20</v>
      </c>
      <c r="O180" s="18" t="s">
        <v>20</v>
      </c>
      <c r="P180" s="18" t="s">
        <v>20</v>
      </c>
      <c r="Q180" s="18" t="s">
        <v>20</v>
      </c>
      <c r="R180" s="18" t="s">
        <v>20</v>
      </c>
      <c r="S180" s="18" t="s">
        <v>20</v>
      </c>
      <c r="T180" s="18" t="s">
        <v>21</v>
      </c>
      <c r="U180" s="18" t="s">
        <v>20</v>
      </c>
      <c r="V180" s="37" t="s">
        <v>20</v>
      </c>
      <c r="W180" s="37" t="s">
        <v>20</v>
      </c>
      <c r="X180" s="37" t="s">
        <v>20</v>
      </c>
      <c r="Y180" s="18" t="s">
        <v>20</v>
      </c>
      <c r="Z180" s="18" t="s">
        <v>39</v>
      </c>
      <c r="AA180" s="20" t="s">
        <v>21</v>
      </c>
      <c r="AB180" s="20" t="s">
        <v>20</v>
      </c>
      <c r="AC180" s="20" t="s">
        <v>20</v>
      </c>
      <c r="AD180" s="18" t="s">
        <v>20</v>
      </c>
      <c r="AE180" s="18" t="s">
        <v>21</v>
      </c>
      <c r="AG180">
        <f>+COUNTIF(F180:AE180,"AD")</f>
        <v>3</v>
      </c>
      <c r="AH180">
        <f>+COUNTIF(F180:AE180,"A")</f>
        <v>19</v>
      </c>
      <c r="AI180">
        <f>+COUNTIF(F180:AE180,"b")</f>
        <v>4</v>
      </c>
      <c r="AJ180">
        <f>+COUNTIF(F180:AE180,"c")</f>
        <v>0</v>
      </c>
      <c r="AL180">
        <f>+$AG$5*AG180</f>
        <v>12</v>
      </c>
      <c r="AM180">
        <f>+$AH$5*AH180</f>
        <v>57</v>
      </c>
      <c r="AN180">
        <f>+$AI$5*AI180</f>
        <v>8</v>
      </c>
      <c r="AO180">
        <f>+$AJ$5*AJ180</f>
        <v>0</v>
      </c>
      <c r="AP180">
        <f>+SUM(AL180:AO180)</f>
        <v>77</v>
      </c>
    </row>
    <row r="181" spans="1:42" ht="15.75" hidden="1" customHeight="1" x14ac:dyDescent="0.3">
      <c r="A181" s="16"/>
      <c r="B181" s="55">
        <v>13</v>
      </c>
      <c r="C181" s="56" t="s">
        <v>209</v>
      </c>
      <c r="D181" s="55">
        <v>5</v>
      </c>
      <c r="E181" s="55" t="s">
        <v>20</v>
      </c>
      <c r="F181" s="18" t="s">
        <v>20</v>
      </c>
      <c r="G181" s="18" t="s">
        <v>20</v>
      </c>
      <c r="H181" s="18" t="s">
        <v>20</v>
      </c>
      <c r="I181" s="18" t="s">
        <v>20</v>
      </c>
      <c r="J181" s="43" t="s">
        <v>20</v>
      </c>
      <c r="K181" s="43" t="s">
        <v>20</v>
      </c>
      <c r="L181" s="43" t="s">
        <v>20</v>
      </c>
      <c r="M181" s="18" t="s">
        <v>20</v>
      </c>
      <c r="N181" s="18" t="s">
        <v>20</v>
      </c>
      <c r="O181" s="18" t="s">
        <v>20</v>
      </c>
      <c r="P181" s="18" t="s">
        <v>21</v>
      </c>
      <c r="Q181" s="18" t="s">
        <v>21</v>
      </c>
      <c r="R181" s="18" t="s">
        <v>20</v>
      </c>
      <c r="S181" s="18" t="s">
        <v>21</v>
      </c>
      <c r="T181" s="18" t="s">
        <v>21</v>
      </c>
      <c r="U181" s="18" t="s">
        <v>20</v>
      </c>
      <c r="V181" s="49" t="s">
        <v>20</v>
      </c>
      <c r="W181" s="37" t="s">
        <v>20</v>
      </c>
      <c r="X181" s="37" t="s">
        <v>20</v>
      </c>
      <c r="Y181" s="18" t="s">
        <v>20</v>
      </c>
      <c r="Z181" s="18" t="s">
        <v>39</v>
      </c>
      <c r="AA181" s="20" t="s">
        <v>39</v>
      </c>
      <c r="AB181" s="20" t="s">
        <v>20</v>
      </c>
      <c r="AC181" s="20" t="s">
        <v>39</v>
      </c>
      <c r="AD181" s="29" t="s">
        <v>20</v>
      </c>
      <c r="AE181" s="29" t="s">
        <v>21</v>
      </c>
      <c r="AG181">
        <f>+COUNTIF(F181:AE181,"AD")</f>
        <v>3</v>
      </c>
      <c r="AH181">
        <f>+COUNTIF(F181:AE181,"A")</f>
        <v>18</v>
      </c>
      <c r="AI181">
        <f>+COUNTIF(F181:AE181,"b")</f>
        <v>5</v>
      </c>
      <c r="AJ181">
        <f>+COUNTIF(F181:AE181,"c")</f>
        <v>0</v>
      </c>
      <c r="AL181">
        <f>+$AG$5*AG181</f>
        <v>12</v>
      </c>
      <c r="AM181">
        <f>+$AH$5*AH181</f>
        <v>54</v>
      </c>
      <c r="AN181">
        <f>+$AI$5*AI181</f>
        <v>10</v>
      </c>
      <c r="AO181">
        <f>+$AJ$5*AJ181</f>
        <v>0</v>
      </c>
      <c r="AP181">
        <f>+SUM(AL181:AO181)</f>
        <v>76</v>
      </c>
    </row>
    <row r="182" spans="1:42" ht="15.75" hidden="1" customHeight="1" x14ac:dyDescent="0.3">
      <c r="A182" s="16"/>
      <c r="B182" s="55">
        <v>20</v>
      </c>
      <c r="C182" s="56" t="s">
        <v>216</v>
      </c>
      <c r="D182" s="55">
        <v>5</v>
      </c>
      <c r="E182" s="55" t="s">
        <v>20</v>
      </c>
      <c r="F182" s="18" t="s">
        <v>39</v>
      </c>
      <c r="G182" s="18" t="s">
        <v>20</v>
      </c>
      <c r="H182" s="18" t="s">
        <v>20</v>
      </c>
      <c r="I182" s="18" t="s">
        <v>39</v>
      </c>
      <c r="J182" s="43" t="s">
        <v>20</v>
      </c>
      <c r="K182" s="43" t="s">
        <v>20</v>
      </c>
      <c r="L182" s="43" t="s">
        <v>20</v>
      </c>
      <c r="M182" s="18" t="s">
        <v>20</v>
      </c>
      <c r="N182" s="18" t="s">
        <v>20</v>
      </c>
      <c r="O182" s="18" t="s">
        <v>20</v>
      </c>
      <c r="P182" s="18" t="s">
        <v>21</v>
      </c>
      <c r="Q182" s="18" t="s">
        <v>20</v>
      </c>
      <c r="R182" s="18" t="s">
        <v>20</v>
      </c>
      <c r="S182" s="18" t="s">
        <v>21</v>
      </c>
      <c r="T182" s="18" t="s">
        <v>21</v>
      </c>
      <c r="U182" s="18" t="s">
        <v>20</v>
      </c>
      <c r="V182" s="37" t="s">
        <v>20</v>
      </c>
      <c r="W182" s="37" t="s">
        <v>20</v>
      </c>
      <c r="X182" s="37" t="s">
        <v>20</v>
      </c>
      <c r="Y182" s="18" t="s">
        <v>20</v>
      </c>
      <c r="Z182" s="18" t="s">
        <v>20</v>
      </c>
      <c r="AA182" s="20" t="s">
        <v>20</v>
      </c>
      <c r="AB182" s="20" t="s">
        <v>20</v>
      </c>
      <c r="AC182" s="20" t="s">
        <v>20</v>
      </c>
      <c r="AD182" s="18" t="s">
        <v>20</v>
      </c>
      <c r="AE182" s="18" t="s">
        <v>21</v>
      </c>
      <c r="AG182">
        <f>+COUNTIF(F182:AE182,"AD")</f>
        <v>2</v>
      </c>
      <c r="AH182">
        <f>+COUNTIF(F182:AE182,"A")</f>
        <v>20</v>
      </c>
      <c r="AI182">
        <f>+COUNTIF(F182:AE182,"b")</f>
        <v>4</v>
      </c>
      <c r="AJ182">
        <f>+COUNTIF(F182:AE182,"c")</f>
        <v>0</v>
      </c>
      <c r="AL182">
        <f>+$AG$5*AG182</f>
        <v>8</v>
      </c>
      <c r="AM182">
        <f>+$AH$5*AH182</f>
        <v>60</v>
      </c>
      <c r="AN182">
        <f>+$AI$5*AI182</f>
        <v>8</v>
      </c>
      <c r="AO182">
        <f>+$AJ$5*AJ182</f>
        <v>0</v>
      </c>
      <c r="AP182">
        <f>+SUM(AL182:AO182)</f>
        <v>76</v>
      </c>
    </row>
    <row r="183" spans="1:42" ht="15.75" hidden="1" customHeight="1" x14ac:dyDescent="0.3">
      <c r="A183" s="16"/>
      <c r="B183" s="55">
        <v>24</v>
      </c>
      <c r="C183" s="56" t="s">
        <v>220</v>
      </c>
      <c r="D183" s="55">
        <v>5</v>
      </c>
      <c r="E183" s="55" t="s">
        <v>20</v>
      </c>
      <c r="F183" s="18" t="s">
        <v>39</v>
      </c>
      <c r="G183" s="18" t="s">
        <v>20</v>
      </c>
      <c r="H183" s="18" t="s">
        <v>20</v>
      </c>
      <c r="I183" s="18" t="s">
        <v>39</v>
      </c>
      <c r="J183" s="43" t="s">
        <v>20</v>
      </c>
      <c r="K183" s="43" t="s">
        <v>20</v>
      </c>
      <c r="L183" s="43" t="s">
        <v>20</v>
      </c>
      <c r="M183" s="18" t="s">
        <v>20</v>
      </c>
      <c r="N183" s="18" t="s">
        <v>20</v>
      </c>
      <c r="O183" s="18" t="s">
        <v>20</v>
      </c>
      <c r="P183" s="18" t="s">
        <v>21</v>
      </c>
      <c r="Q183" s="18" t="s">
        <v>20</v>
      </c>
      <c r="R183" s="18" t="s">
        <v>20</v>
      </c>
      <c r="S183" s="18" t="s">
        <v>21</v>
      </c>
      <c r="T183" s="18" t="s">
        <v>21</v>
      </c>
      <c r="U183" s="18" t="s">
        <v>20</v>
      </c>
      <c r="V183" s="37" t="s">
        <v>20</v>
      </c>
      <c r="W183" s="37" t="s">
        <v>20</v>
      </c>
      <c r="X183" s="37" t="s">
        <v>20</v>
      </c>
      <c r="Y183" s="18" t="s">
        <v>20</v>
      </c>
      <c r="Z183" s="18" t="s">
        <v>20</v>
      </c>
      <c r="AA183" s="20" t="s">
        <v>20</v>
      </c>
      <c r="AB183" s="20" t="s">
        <v>20</v>
      </c>
      <c r="AC183" s="20" t="s">
        <v>20</v>
      </c>
      <c r="AD183" s="18" t="s">
        <v>20</v>
      </c>
      <c r="AE183" s="18" t="s">
        <v>21</v>
      </c>
      <c r="AG183">
        <f>+COUNTIF(F183:AE183,"AD")</f>
        <v>2</v>
      </c>
      <c r="AH183">
        <f>+COUNTIF(F183:AE183,"A")</f>
        <v>20</v>
      </c>
      <c r="AI183">
        <f>+COUNTIF(F183:AE183,"b")</f>
        <v>4</v>
      </c>
      <c r="AJ183">
        <f>+COUNTIF(F183:AE183,"c")</f>
        <v>0</v>
      </c>
      <c r="AL183">
        <f>+$AG$5*AG183</f>
        <v>8</v>
      </c>
      <c r="AM183">
        <f>+$AH$5*AH183</f>
        <v>60</v>
      </c>
      <c r="AN183">
        <f>+$AI$5*AI183</f>
        <v>8</v>
      </c>
      <c r="AO183">
        <f>+$AJ$5*AJ183</f>
        <v>0</v>
      </c>
      <c r="AP183">
        <f>+SUM(AL183:AO183)</f>
        <v>76</v>
      </c>
    </row>
    <row r="184" spans="1:42" ht="15.75" hidden="1" customHeight="1" x14ac:dyDescent="0.3">
      <c r="A184" s="16"/>
      <c r="B184" s="55">
        <v>6</v>
      </c>
      <c r="C184" s="56" t="s">
        <v>202</v>
      </c>
      <c r="D184" s="55">
        <v>5</v>
      </c>
      <c r="E184" s="55" t="s">
        <v>20</v>
      </c>
      <c r="F184" s="18" t="s">
        <v>20</v>
      </c>
      <c r="G184" s="18" t="s">
        <v>20</v>
      </c>
      <c r="H184" s="18" t="s">
        <v>39</v>
      </c>
      <c r="I184" s="18" t="s">
        <v>39</v>
      </c>
      <c r="J184" s="43" t="s">
        <v>20</v>
      </c>
      <c r="K184" s="43" t="s">
        <v>20</v>
      </c>
      <c r="L184" s="43" t="s">
        <v>20</v>
      </c>
      <c r="M184" s="18" t="s">
        <v>20</v>
      </c>
      <c r="N184" s="18" t="s">
        <v>20</v>
      </c>
      <c r="O184" s="18" t="s">
        <v>20</v>
      </c>
      <c r="P184" s="18" t="s">
        <v>21</v>
      </c>
      <c r="Q184" s="18" t="s">
        <v>21</v>
      </c>
      <c r="R184" s="18" t="s">
        <v>21</v>
      </c>
      <c r="S184" s="18" t="s">
        <v>21</v>
      </c>
      <c r="T184" s="18" t="s">
        <v>20</v>
      </c>
      <c r="U184" s="18" t="s">
        <v>20</v>
      </c>
      <c r="V184" s="49" t="s">
        <v>20</v>
      </c>
      <c r="W184" s="37" t="s">
        <v>20</v>
      </c>
      <c r="X184" s="53" t="s">
        <v>20</v>
      </c>
      <c r="Y184" s="18" t="s">
        <v>20</v>
      </c>
      <c r="Z184" s="18" t="s">
        <v>20</v>
      </c>
      <c r="AA184" s="20" t="s">
        <v>20</v>
      </c>
      <c r="AB184" s="20" t="s">
        <v>20</v>
      </c>
      <c r="AC184" s="20" t="s">
        <v>20</v>
      </c>
      <c r="AD184" s="29" t="s">
        <v>20</v>
      </c>
      <c r="AE184" s="29" t="s">
        <v>21</v>
      </c>
      <c r="AG184">
        <f>+COUNTIF(F184:AE184,"AD")</f>
        <v>2</v>
      </c>
      <c r="AH184">
        <f>+COUNTIF(F184:AE184,"A")</f>
        <v>19</v>
      </c>
      <c r="AI184">
        <f>+COUNTIF(F184:AE184,"b")</f>
        <v>5</v>
      </c>
      <c r="AJ184">
        <f>+COUNTIF(F184:AE184,"c")</f>
        <v>0</v>
      </c>
      <c r="AL184">
        <f>+$AG$5*AG184</f>
        <v>8</v>
      </c>
      <c r="AM184">
        <f>+$AH$5*AH184</f>
        <v>57</v>
      </c>
      <c r="AN184">
        <f>+$AI$5*AI184</f>
        <v>10</v>
      </c>
      <c r="AO184">
        <f>+$AJ$5*AJ184</f>
        <v>0</v>
      </c>
      <c r="AP184">
        <f>+SUM(AL184:AO184)</f>
        <v>75</v>
      </c>
    </row>
    <row r="185" spans="1:42" ht="15.75" hidden="1" customHeight="1" x14ac:dyDescent="0.3">
      <c r="A185" s="16"/>
      <c r="B185" s="55">
        <v>11</v>
      </c>
      <c r="C185" s="56" t="s">
        <v>207</v>
      </c>
      <c r="D185" s="55">
        <v>5</v>
      </c>
      <c r="E185" s="55" t="s">
        <v>20</v>
      </c>
      <c r="F185" s="18" t="s">
        <v>20</v>
      </c>
      <c r="G185" s="18" t="s">
        <v>20</v>
      </c>
      <c r="H185" s="18" t="s">
        <v>39</v>
      </c>
      <c r="I185" s="18" t="s">
        <v>20</v>
      </c>
      <c r="J185" s="43" t="s">
        <v>20</v>
      </c>
      <c r="K185" s="43" t="s">
        <v>20</v>
      </c>
      <c r="L185" s="43" t="s">
        <v>20</v>
      </c>
      <c r="M185" s="18" t="s">
        <v>20</v>
      </c>
      <c r="N185" s="18" t="s">
        <v>20</v>
      </c>
      <c r="O185" s="18" t="s">
        <v>20</v>
      </c>
      <c r="P185" s="18" t="s">
        <v>20</v>
      </c>
      <c r="Q185" s="18" t="s">
        <v>20</v>
      </c>
      <c r="R185" s="18" t="s">
        <v>21</v>
      </c>
      <c r="S185" s="18" t="s">
        <v>20</v>
      </c>
      <c r="T185" s="18" t="s">
        <v>21</v>
      </c>
      <c r="U185" s="18" t="s">
        <v>20</v>
      </c>
      <c r="V185" s="49" t="s">
        <v>20</v>
      </c>
      <c r="W185" s="37" t="s">
        <v>20</v>
      </c>
      <c r="X185" s="37" t="s">
        <v>20</v>
      </c>
      <c r="Y185" s="18" t="s">
        <v>20</v>
      </c>
      <c r="Z185" s="18" t="s">
        <v>20</v>
      </c>
      <c r="AA185" s="20" t="s">
        <v>20</v>
      </c>
      <c r="AB185" s="20" t="s">
        <v>20</v>
      </c>
      <c r="AC185" s="20" t="s">
        <v>21</v>
      </c>
      <c r="AD185" s="29" t="s">
        <v>20</v>
      </c>
      <c r="AE185" s="29" t="s">
        <v>21</v>
      </c>
      <c r="AG185">
        <f>+COUNTIF(F185:AE185,"AD")</f>
        <v>1</v>
      </c>
      <c r="AH185">
        <f>+COUNTIF(F185:AE185,"A")</f>
        <v>21</v>
      </c>
      <c r="AI185">
        <f>+COUNTIF(F185:AE185,"b")</f>
        <v>4</v>
      </c>
      <c r="AJ185">
        <f>+COUNTIF(F185:AE185,"c")</f>
        <v>0</v>
      </c>
      <c r="AL185">
        <f>+$AG$5*AG185</f>
        <v>4</v>
      </c>
      <c r="AM185">
        <f>+$AH$5*AH185</f>
        <v>63</v>
      </c>
      <c r="AN185">
        <f>+$AI$5*AI185</f>
        <v>8</v>
      </c>
      <c r="AO185">
        <f>+$AJ$5*AJ185</f>
        <v>0</v>
      </c>
      <c r="AP185">
        <f>+SUM(AL185:AO185)</f>
        <v>75</v>
      </c>
    </row>
    <row r="186" spans="1:42" ht="15.75" hidden="1" customHeight="1" x14ac:dyDescent="0.3">
      <c r="A186" s="16"/>
      <c r="B186" s="55">
        <v>16</v>
      </c>
      <c r="C186" s="56" t="s">
        <v>212</v>
      </c>
      <c r="D186" s="55">
        <v>5</v>
      </c>
      <c r="E186" s="55" t="s">
        <v>20</v>
      </c>
      <c r="F186" s="18" t="s">
        <v>20</v>
      </c>
      <c r="G186" s="18" t="s">
        <v>20</v>
      </c>
      <c r="H186" s="18" t="s">
        <v>39</v>
      </c>
      <c r="I186" s="18" t="s">
        <v>39</v>
      </c>
      <c r="J186" s="43" t="s">
        <v>20</v>
      </c>
      <c r="K186" s="43" t="s">
        <v>20</v>
      </c>
      <c r="L186" s="43" t="s">
        <v>20</v>
      </c>
      <c r="M186" s="18" t="s">
        <v>20</v>
      </c>
      <c r="N186" s="18" t="s">
        <v>20</v>
      </c>
      <c r="O186" s="18" t="s">
        <v>20</v>
      </c>
      <c r="P186" s="18" t="s">
        <v>21</v>
      </c>
      <c r="Q186" s="18" t="s">
        <v>21</v>
      </c>
      <c r="R186" s="18" t="s">
        <v>21</v>
      </c>
      <c r="S186" s="18" t="s">
        <v>20</v>
      </c>
      <c r="T186" s="18" t="s">
        <v>21</v>
      </c>
      <c r="U186" s="18" t="s">
        <v>20</v>
      </c>
      <c r="V186" s="37" t="s">
        <v>20</v>
      </c>
      <c r="W186" s="37" t="s">
        <v>20</v>
      </c>
      <c r="X186" s="37" t="s">
        <v>20</v>
      </c>
      <c r="Y186" s="18" t="s">
        <v>20</v>
      </c>
      <c r="Z186" s="18" t="s">
        <v>20</v>
      </c>
      <c r="AA186" s="20" t="s">
        <v>20</v>
      </c>
      <c r="AB186" s="20" t="s">
        <v>20</v>
      </c>
      <c r="AC186" s="20" t="s">
        <v>20</v>
      </c>
      <c r="AD186" s="18" t="s">
        <v>20</v>
      </c>
      <c r="AE186" s="18" t="s">
        <v>21</v>
      </c>
      <c r="AG186">
        <f>+COUNTIF(F186:AE186,"AD")</f>
        <v>2</v>
      </c>
      <c r="AH186">
        <f>+COUNTIF(F186:AE186,"A")</f>
        <v>19</v>
      </c>
      <c r="AI186">
        <f>+COUNTIF(F186:AE186,"b")</f>
        <v>5</v>
      </c>
      <c r="AJ186">
        <f>+COUNTIF(F186:AE186,"c")</f>
        <v>0</v>
      </c>
      <c r="AL186">
        <f>+$AG$5*AG186</f>
        <v>8</v>
      </c>
      <c r="AM186">
        <f>+$AH$5*AH186</f>
        <v>57</v>
      </c>
      <c r="AN186">
        <f>+$AI$5*AI186</f>
        <v>10</v>
      </c>
      <c r="AO186">
        <f>+$AJ$5*AJ186</f>
        <v>0</v>
      </c>
      <c r="AP186">
        <f>+SUM(AL186:AO186)</f>
        <v>75</v>
      </c>
    </row>
    <row r="187" spans="1:42" ht="15.75" hidden="1" customHeight="1" x14ac:dyDescent="0.3">
      <c r="A187" s="16"/>
      <c r="B187" s="55">
        <v>2</v>
      </c>
      <c r="C187" s="56" t="s">
        <v>198</v>
      </c>
      <c r="D187" s="55">
        <v>5</v>
      </c>
      <c r="E187" s="55" t="s">
        <v>20</v>
      </c>
      <c r="F187" s="18" t="s">
        <v>20</v>
      </c>
      <c r="G187" s="18" t="s">
        <v>20</v>
      </c>
      <c r="H187" s="18" t="s">
        <v>20</v>
      </c>
      <c r="I187" s="18" t="s">
        <v>20</v>
      </c>
      <c r="J187" s="43" t="s">
        <v>20</v>
      </c>
      <c r="K187" s="43" t="s">
        <v>20</v>
      </c>
      <c r="L187" s="43" t="s">
        <v>20</v>
      </c>
      <c r="M187" s="18" t="s">
        <v>20</v>
      </c>
      <c r="N187" s="18" t="s">
        <v>20</v>
      </c>
      <c r="O187" s="18" t="s">
        <v>20</v>
      </c>
      <c r="P187" s="18" t="s">
        <v>21</v>
      </c>
      <c r="Q187" s="18" t="s">
        <v>20</v>
      </c>
      <c r="R187" s="18" t="s">
        <v>20</v>
      </c>
      <c r="S187" s="18" t="s">
        <v>20</v>
      </c>
      <c r="T187" s="18" t="s">
        <v>21</v>
      </c>
      <c r="U187" s="18" t="s">
        <v>20</v>
      </c>
      <c r="V187" s="49" t="s">
        <v>20</v>
      </c>
      <c r="W187" s="37" t="s">
        <v>20</v>
      </c>
      <c r="X187" s="37" t="s">
        <v>20</v>
      </c>
      <c r="Y187" s="18" t="s">
        <v>21</v>
      </c>
      <c r="Z187" s="18" t="s">
        <v>20</v>
      </c>
      <c r="AA187" s="20" t="s">
        <v>21</v>
      </c>
      <c r="AB187" s="20" t="s">
        <v>20</v>
      </c>
      <c r="AC187" s="20" t="s">
        <v>20</v>
      </c>
      <c r="AD187" s="29" t="s">
        <v>20</v>
      </c>
      <c r="AE187" s="29" t="s">
        <v>21</v>
      </c>
      <c r="AG187">
        <f>+COUNTIF(F187:AE187,"AD")</f>
        <v>0</v>
      </c>
      <c r="AH187">
        <f>+COUNTIF(F187:AE187,"A")</f>
        <v>21</v>
      </c>
      <c r="AI187">
        <f>+COUNTIF(F187:AE187,"b")</f>
        <v>5</v>
      </c>
      <c r="AJ187">
        <f>+COUNTIF(F187:AE187,"c")</f>
        <v>0</v>
      </c>
      <c r="AL187">
        <f>+$AG$5*AG187</f>
        <v>0</v>
      </c>
      <c r="AM187">
        <f>+$AH$5*AH187</f>
        <v>63</v>
      </c>
      <c r="AN187">
        <f>+$AI$5*AI187</f>
        <v>10</v>
      </c>
      <c r="AO187">
        <f>+$AJ$5*AJ187</f>
        <v>0</v>
      </c>
      <c r="AP187">
        <f>+SUM(AL187:AO187)</f>
        <v>73</v>
      </c>
    </row>
    <row r="188" spans="1:42" ht="15.75" hidden="1" customHeight="1" x14ac:dyDescent="0.3">
      <c r="A188" s="16"/>
      <c r="B188" s="55">
        <v>5</v>
      </c>
      <c r="C188" s="56" t="s">
        <v>201</v>
      </c>
      <c r="D188" s="55">
        <v>5</v>
      </c>
      <c r="E188" s="55" t="s">
        <v>20</v>
      </c>
      <c r="F188" s="18" t="s">
        <v>20</v>
      </c>
      <c r="G188" s="18" t="s">
        <v>20</v>
      </c>
      <c r="H188" s="18" t="s">
        <v>39</v>
      </c>
      <c r="I188" s="18" t="s">
        <v>39</v>
      </c>
      <c r="J188" s="43" t="s">
        <v>20</v>
      </c>
      <c r="K188" s="43" t="s">
        <v>20</v>
      </c>
      <c r="L188" s="43" t="s">
        <v>20</v>
      </c>
      <c r="M188" s="18" t="s">
        <v>20</v>
      </c>
      <c r="N188" s="18" t="s">
        <v>20</v>
      </c>
      <c r="O188" s="18" t="s">
        <v>20</v>
      </c>
      <c r="P188" s="18" t="s">
        <v>20</v>
      </c>
      <c r="Q188" s="18" t="s">
        <v>21</v>
      </c>
      <c r="R188" s="18" t="s">
        <v>21</v>
      </c>
      <c r="S188" s="18" t="s">
        <v>20</v>
      </c>
      <c r="T188" s="18" t="s">
        <v>21</v>
      </c>
      <c r="U188" s="18" t="s">
        <v>20</v>
      </c>
      <c r="V188" s="50" t="s">
        <v>20</v>
      </c>
      <c r="W188" s="37" t="s">
        <v>20</v>
      </c>
      <c r="X188" s="37" t="s">
        <v>20</v>
      </c>
      <c r="Y188" s="18" t="s">
        <v>20</v>
      </c>
      <c r="Z188" s="18" t="s">
        <v>20</v>
      </c>
      <c r="AA188" s="20" t="s">
        <v>21</v>
      </c>
      <c r="AB188" s="20" t="s">
        <v>21</v>
      </c>
      <c r="AC188" s="20" t="s">
        <v>21</v>
      </c>
      <c r="AD188" s="29" t="s">
        <v>20</v>
      </c>
      <c r="AE188" s="29" t="s">
        <v>21</v>
      </c>
      <c r="AG188">
        <f>+COUNTIF(F188:AE188,"AD")</f>
        <v>2</v>
      </c>
      <c r="AH188">
        <f>+COUNTIF(F188:AE188,"A")</f>
        <v>17</v>
      </c>
      <c r="AI188">
        <f>+COUNTIF(F188:AE188,"b")</f>
        <v>7</v>
      </c>
      <c r="AJ188">
        <f>+COUNTIF(F188:AE188,"c")</f>
        <v>0</v>
      </c>
      <c r="AL188">
        <f>+$AG$5*AG188</f>
        <v>8</v>
      </c>
      <c r="AM188">
        <f>+$AH$5*AH188</f>
        <v>51</v>
      </c>
      <c r="AN188">
        <f>+$AI$5*AI188</f>
        <v>14</v>
      </c>
      <c r="AO188">
        <f>+$AJ$5*AJ188</f>
        <v>0</v>
      </c>
      <c r="AP188">
        <f>+SUM(AL188:AO188)</f>
        <v>73</v>
      </c>
    </row>
    <row r="189" spans="1:42" ht="15.75" hidden="1" customHeight="1" x14ac:dyDescent="0.3">
      <c r="A189" s="16"/>
      <c r="B189" s="55">
        <v>9</v>
      </c>
      <c r="C189" s="56" t="s">
        <v>205</v>
      </c>
      <c r="D189" s="55">
        <v>5</v>
      </c>
      <c r="E189" s="55" t="s">
        <v>20</v>
      </c>
      <c r="F189" s="18" t="s">
        <v>20</v>
      </c>
      <c r="G189" s="18" t="s">
        <v>20</v>
      </c>
      <c r="H189" s="18" t="s">
        <v>20</v>
      </c>
      <c r="I189" s="18" t="s">
        <v>20</v>
      </c>
      <c r="J189" s="43" t="s">
        <v>20</v>
      </c>
      <c r="K189" s="43" t="s">
        <v>20</v>
      </c>
      <c r="L189" s="43" t="s">
        <v>20</v>
      </c>
      <c r="M189" s="18" t="s">
        <v>20</v>
      </c>
      <c r="N189" s="18" t="s">
        <v>20</v>
      </c>
      <c r="O189" s="18" t="s">
        <v>20</v>
      </c>
      <c r="P189" s="18" t="s">
        <v>21</v>
      </c>
      <c r="Q189" s="18" t="s">
        <v>21</v>
      </c>
      <c r="R189" s="18" t="s">
        <v>20</v>
      </c>
      <c r="S189" s="18" t="s">
        <v>20</v>
      </c>
      <c r="T189" s="18" t="s">
        <v>21</v>
      </c>
      <c r="U189" s="18" t="s">
        <v>21</v>
      </c>
      <c r="V189" s="49" t="s">
        <v>20</v>
      </c>
      <c r="W189" s="37" t="s">
        <v>20</v>
      </c>
      <c r="X189" s="37" t="s">
        <v>20</v>
      </c>
      <c r="Y189" s="18" t="s">
        <v>20</v>
      </c>
      <c r="Z189" s="18" t="s">
        <v>20</v>
      </c>
      <c r="AA189" s="20" t="s">
        <v>20</v>
      </c>
      <c r="AB189" s="20" t="s">
        <v>20</v>
      </c>
      <c r="AC189" s="20" t="s">
        <v>20</v>
      </c>
      <c r="AD189" s="29" t="s">
        <v>20</v>
      </c>
      <c r="AE189" s="29" t="s">
        <v>21</v>
      </c>
      <c r="AG189">
        <f>+COUNTIF(F189:AE189,"AD")</f>
        <v>0</v>
      </c>
      <c r="AH189">
        <f>+COUNTIF(F189:AE189,"A")</f>
        <v>21</v>
      </c>
      <c r="AI189">
        <f>+COUNTIF(F189:AE189,"b")</f>
        <v>5</v>
      </c>
      <c r="AJ189">
        <f>+COUNTIF(F189:AE189,"c")</f>
        <v>0</v>
      </c>
      <c r="AL189">
        <f>+$AG$5*AG189</f>
        <v>0</v>
      </c>
      <c r="AM189">
        <f>+$AH$5*AH189</f>
        <v>63</v>
      </c>
      <c r="AN189">
        <f>+$AI$5*AI189</f>
        <v>10</v>
      </c>
      <c r="AO189">
        <f>+$AJ$5*AJ189</f>
        <v>0</v>
      </c>
      <c r="AP189">
        <f>+SUM(AL189:AO189)</f>
        <v>73</v>
      </c>
    </row>
    <row r="190" spans="1:42" ht="15.75" hidden="1" customHeight="1" x14ac:dyDescent="0.3">
      <c r="A190" s="16"/>
      <c r="B190" s="55">
        <v>10</v>
      </c>
      <c r="C190" s="56" t="s">
        <v>206</v>
      </c>
      <c r="D190" s="55">
        <v>5</v>
      </c>
      <c r="E190" s="55" t="s">
        <v>20</v>
      </c>
      <c r="F190" s="18" t="s">
        <v>20</v>
      </c>
      <c r="G190" s="18" t="s">
        <v>20</v>
      </c>
      <c r="H190" s="18" t="s">
        <v>20</v>
      </c>
      <c r="I190" s="18" t="s">
        <v>20</v>
      </c>
      <c r="J190" s="43" t="s">
        <v>20</v>
      </c>
      <c r="K190" s="43" t="s">
        <v>20</v>
      </c>
      <c r="L190" s="43" t="s">
        <v>21</v>
      </c>
      <c r="M190" s="18" t="s">
        <v>20</v>
      </c>
      <c r="N190" s="18" t="s">
        <v>20</v>
      </c>
      <c r="O190" s="18" t="s">
        <v>20</v>
      </c>
      <c r="P190" s="18" t="s">
        <v>21</v>
      </c>
      <c r="Q190" s="18" t="s">
        <v>21</v>
      </c>
      <c r="R190" s="18" t="s">
        <v>20</v>
      </c>
      <c r="S190" s="18" t="s">
        <v>20</v>
      </c>
      <c r="T190" s="18" t="s">
        <v>21</v>
      </c>
      <c r="U190" s="18" t="s">
        <v>20</v>
      </c>
      <c r="V190" s="49" t="s">
        <v>20</v>
      </c>
      <c r="W190" s="37" t="s">
        <v>20</v>
      </c>
      <c r="X190" s="37" t="s">
        <v>21</v>
      </c>
      <c r="Y190" s="18" t="s">
        <v>20</v>
      </c>
      <c r="Z190" s="18" t="s">
        <v>20</v>
      </c>
      <c r="AA190" s="20" t="s">
        <v>39</v>
      </c>
      <c r="AB190" s="20" t="s">
        <v>20</v>
      </c>
      <c r="AC190" s="20" t="s">
        <v>20</v>
      </c>
      <c r="AD190" s="29" t="s">
        <v>20</v>
      </c>
      <c r="AE190" s="29" t="s">
        <v>21</v>
      </c>
      <c r="AG190">
        <f>+COUNTIF(F190:AE190,"AD")</f>
        <v>1</v>
      </c>
      <c r="AH190">
        <f>+COUNTIF(F190:AE190,"A")</f>
        <v>19</v>
      </c>
      <c r="AI190">
        <f>+COUNTIF(F190:AE190,"b")</f>
        <v>6</v>
      </c>
      <c r="AJ190">
        <f>+COUNTIF(F190:AE190,"c")</f>
        <v>0</v>
      </c>
      <c r="AL190">
        <f>+$AG$5*AG190</f>
        <v>4</v>
      </c>
      <c r="AM190">
        <f>+$AH$5*AH190</f>
        <v>57</v>
      </c>
      <c r="AN190">
        <f>+$AI$5*AI190</f>
        <v>12</v>
      </c>
      <c r="AO190">
        <f>+$AJ$5*AJ190</f>
        <v>0</v>
      </c>
      <c r="AP190">
        <f>+SUM(AL190:AO190)</f>
        <v>73</v>
      </c>
    </row>
    <row r="191" spans="1:42" ht="15.75" hidden="1" customHeight="1" x14ac:dyDescent="0.3">
      <c r="A191" s="16"/>
      <c r="B191" s="55">
        <v>21</v>
      </c>
      <c r="C191" s="56" t="s">
        <v>217</v>
      </c>
      <c r="D191" s="55">
        <v>5</v>
      </c>
      <c r="E191" s="55" t="s">
        <v>20</v>
      </c>
      <c r="F191" s="18" t="s">
        <v>20</v>
      </c>
      <c r="G191" s="18" t="s">
        <v>20</v>
      </c>
      <c r="H191" s="18" t="s">
        <v>39</v>
      </c>
      <c r="I191" s="18" t="s">
        <v>20</v>
      </c>
      <c r="J191" s="43" t="s">
        <v>20</v>
      </c>
      <c r="K191" s="43" t="s">
        <v>20</v>
      </c>
      <c r="L191" s="43" t="s">
        <v>20</v>
      </c>
      <c r="M191" s="18" t="s">
        <v>21</v>
      </c>
      <c r="N191" s="18" t="s">
        <v>20</v>
      </c>
      <c r="O191" s="18" t="s">
        <v>20</v>
      </c>
      <c r="P191" s="18" t="s">
        <v>21</v>
      </c>
      <c r="Q191" s="18" t="s">
        <v>21</v>
      </c>
      <c r="R191" s="18" t="s">
        <v>21</v>
      </c>
      <c r="S191" s="18" t="s">
        <v>20</v>
      </c>
      <c r="T191" s="18" t="s">
        <v>21</v>
      </c>
      <c r="U191" s="18" t="s">
        <v>20</v>
      </c>
      <c r="V191" s="37" t="s">
        <v>20</v>
      </c>
      <c r="W191" s="37" t="s">
        <v>20</v>
      </c>
      <c r="X191" s="37" t="s">
        <v>20</v>
      </c>
      <c r="Y191" s="18" t="s">
        <v>20</v>
      </c>
      <c r="Z191" s="18" t="s">
        <v>20</v>
      </c>
      <c r="AA191" s="20" t="s">
        <v>20</v>
      </c>
      <c r="AB191" s="20" t="s">
        <v>20</v>
      </c>
      <c r="AC191" s="20" t="s">
        <v>20</v>
      </c>
      <c r="AD191" s="18" t="s">
        <v>20</v>
      </c>
      <c r="AE191" s="18" t="s">
        <v>21</v>
      </c>
      <c r="AG191">
        <f>+COUNTIF(F191:AE191,"AD")</f>
        <v>1</v>
      </c>
      <c r="AH191">
        <f>+COUNTIF(F191:AE191,"A")</f>
        <v>19</v>
      </c>
      <c r="AI191">
        <f>+COUNTIF(F191:AE191,"b")</f>
        <v>6</v>
      </c>
      <c r="AJ191">
        <f>+COUNTIF(F191:AE191,"c")</f>
        <v>0</v>
      </c>
      <c r="AL191">
        <f>+$AG$5*AG191</f>
        <v>4</v>
      </c>
      <c r="AM191">
        <f>+$AH$5*AH191</f>
        <v>57</v>
      </c>
      <c r="AN191">
        <f>+$AI$5*AI191</f>
        <v>12</v>
      </c>
      <c r="AO191">
        <f>+$AJ$5*AJ191</f>
        <v>0</v>
      </c>
      <c r="AP191">
        <f>+SUM(AL191:AO191)</f>
        <v>73</v>
      </c>
    </row>
    <row r="192" spans="1:42" ht="15.75" hidden="1" customHeight="1" x14ac:dyDescent="0.3">
      <c r="A192" s="16"/>
      <c r="B192" s="55">
        <v>27</v>
      </c>
      <c r="C192" s="56" t="s">
        <v>223</v>
      </c>
      <c r="D192" s="55">
        <v>5</v>
      </c>
      <c r="E192" s="55" t="s">
        <v>20</v>
      </c>
      <c r="F192" s="18" t="s">
        <v>20</v>
      </c>
      <c r="G192" s="18" t="s">
        <v>20</v>
      </c>
      <c r="H192" s="18" t="s">
        <v>20</v>
      </c>
      <c r="I192" s="18" t="s">
        <v>20</v>
      </c>
      <c r="J192" s="43" t="s">
        <v>20</v>
      </c>
      <c r="K192" s="43" t="s">
        <v>20</v>
      </c>
      <c r="L192" s="43" t="s">
        <v>20</v>
      </c>
      <c r="M192" s="18" t="s">
        <v>20</v>
      </c>
      <c r="N192" s="18" t="s">
        <v>20</v>
      </c>
      <c r="O192" s="18" t="s">
        <v>20</v>
      </c>
      <c r="P192" s="18" t="s">
        <v>20</v>
      </c>
      <c r="Q192" s="18" t="s">
        <v>21</v>
      </c>
      <c r="R192" s="18" t="s">
        <v>21</v>
      </c>
      <c r="S192" s="18" t="s">
        <v>20</v>
      </c>
      <c r="T192" s="18" t="s">
        <v>21</v>
      </c>
      <c r="U192" s="18" t="s">
        <v>21</v>
      </c>
      <c r="V192" s="37" t="s">
        <v>20</v>
      </c>
      <c r="W192" s="37" t="s">
        <v>20</v>
      </c>
      <c r="X192" s="37" t="s">
        <v>20</v>
      </c>
      <c r="Y192" s="18" t="s">
        <v>20</v>
      </c>
      <c r="Z192" s="18" t="s">
        <v>20</v>
      </c>
      <c r="AA192" s="20" t="s">
        <v>20</v>
      </c>
      <c r="AB192" s="20" t="s">
        <v>20</v>
      </c>
      <c r="AC192" s="20" t="s">
        <v>20</v>
      </c>
      <c r="AD192" s="18" t="s">
        <v>20</v>
      </c>
      <c r="AE192" s="18" t="s">
        <v>21</v>
      </c>
      <c r="AG192">
        <f>+COUNTIF(F192:AE192,"AD")</f>
        <v>0</v>
      </c>
      <c r="AH192">
        <f>+COUNTIF(F192:AE192,"A")</f>
        <v>21</v>
      </c>
      <c r="AI192">
        <f>+COUNTIF(F192:AE192,"b")</f>
        <v>5</v>
      </c>
      <c r="AJ192">
        <f>+COUNTIF(F192:AE192,"c")</f>
        <v>0</v>
      </c>
      <c r="AL192">
        <f>+$AG$5*AG192</f>
        <v>0</v>
      </c>
      <c r="AM192">
        <f>+$AH$5*AH192</f>
        <v>63</v>
      </c>
      <c r="AN192">
        <f>+$AI$5*AI192</f>
        <v>10</v>
      </c>
      <c r="AO192">
        <f>+$AJ$5*AJ192</f>
        <v>0</v>
      </c>
      <c r="AP192">
        <f>+SUM(AL192:AO192)</f>
        <v>73</v>
      </c>
    </row>
    <row r="193" spans="1:42" ht="15.75" hidden="1" customHeight="1" x14ac:dyDescent="0.3">
      <c r="A193" s="16"/>
      <c r="B193" s="55">
        <v>18</v>
      </c>
      <c r="C193" s="56" t="s">
        <v>214</v>
      </c>
      <c r="D193" s="55">
        <v>5</v>
      </c>
      <c r="E193" s="55" t="s">
        <v>20</v>
      </c>
      <c r="F193" s="18" t="s">
        <v>20</v>
      </c>
      <c r="G193" s="18" t="s">
        <v>20</v>
      </c>
      <c r="H193" s="18" t="s">
        <v>20</v>
      </c>
      <c r="I193" s="18" t="s">
        <v>20</v>
      </c>
      <c r="J193" s="43" t="s">
        <v>20</v>
      </c>
      <c r="K193" s="43" t="s">
        <v>20</v>
      </c>
      <c r="L193" s="43" t="s">
        <v>21</v>
      </c>
      <c r="M193" s="18" t="s">
        <v>20</v>
      </c>
      <c r="N193" s="18" t="s">
        <v>20</v>
      </c>
      <c r="O193" s="18" t="s">
        <v>20</v>
      </c>
      <c r="P193" s="18" t="s">
        <v>21</v>
      </c>
      <c r="Q193" s="18" t="s">
        <v>20</v>
      </c>
      <c r="R193" s="18" t="s">
        <v>21</v>
      </c>
      <c r="S193" s="18" t="s">
        <v>21</v>
      </c>
      <c r="T193" s="18" t="s">
        <v>21</v>
      </c>
      <c r="U193" s="18" t="s">
        <v>20</v>
      </c>
      <c r="V193" s="37" t="s">
        <v>20</v>
      </c>
      <c r="W193" s="37" t="s">
        <v>20</v>
      </c>
      <c r="X193" s="37" t="s">
        <v>20</v>
      </c>
      <c r="Y193" s="18" t="s">
        <v>20</v>
      </c>
      <c r="Z193" s="18" t="s">
        <v>20</v>
      </c>
      <c r="AA193" s="20" t="s">
        <v>20</v>
      </c>
      <c r="AB193" s="20" t="s">
        <v>20</v>
      </c>
      <c r="AC193" s="20" t="s">
        <v>20</v>
      </c>
      <c r="AD193" s="18" t="s">
        <v>20</v>
      </c>
      <c r="AE193" s="18" t="s">
        <v>21</v>
      </c>
      <c r="AG193">
        <f>+COUNTIF(F193:AE193,"AD")</f>
        <v>0</v>
      </c>
      <c r="AH193">
        <f>+COUNTIF(F193:AE193,"A")</f>
        <v>20</v>
      </c>
      <c r="AI193">
        <f>+COUNTIF(F193:AE193,"b")</f>
        <v>6</v>
      </c>
      <c r="AJ193">
        <f>+COUNTIF(F193:AE193,"c")</f>
        <v>0</v>
      </c>
      <c r="AL193">
        <f>+$AG$5*AG193</f>
        <v>0</v>
      </c>
      <c r="AM193">
        <f>+$AH$5*AH193</f>
        <v>60</v>
      </c>
      <c r="AN193">
        <f>+$AI$5*AI193</f>
        <v>12</v>
      </c>
      <c r="AO193">
        <f>+$AJ$5*AJ193</f>
        <v>0</v>
      </c>
      <c r="AP193">
        <f>+SUM(AL193:AO193)</f>
        <v>72</v>
      </c>
    </row>
    <row r="194" spans="1:42" ht="15.75" hidden="1" customHeight="1" x14ac:dyDescent="0.3">
      <c r="A194" s="16"/>
      <c r="B194" s="55">
        <v>1</v>
      </c>
      <c r="C194" s="56" t="s">
        <v>197</v>
      </c>
      <c r="D194" s="55">
        <v>5</v>
      </c>
      <c r="E194" s="55" t="s">
        <v>20</v>
      </c>
      <c r="F194" s="18" t="s">
        <v>20</v>
      </c>
      <c r="G194" s="18" t="s">
        <v>20</v>
      </c>
      <c r="H194" s="18" t="s">
        <v>39</v>
      </c>
      <c r="I194" s="18" t="s">
        <v>39</v>
      </c>
      <c r="J194" s="43" t="s">
        <v>20</v>
      </c>
      <c r="K194" s="43" t="s">
        <v>20</v>
      </c>
      <c r="L194" s="43" t="s">
        <v>20</v>
      </c>
      <c r="M194" s="18" t="s">
        <v>20</v>
      </c>
      <c r="N194" s="18" t="s">
        <v>20</v>
      </c>
      <c r="O194" s="18" t="s">
        <v>20</v>
      </c>
      <c r="P194" s="18" t="s">
        <v>21</v>
      </c>
      <c r="Q194" s="18" t="s">
        <v>21</v>
      </c>
      <c r="R194" s="18" t="s">
        <v>21</v>
      </c>
      <c r="S194" s="18" t="s">
        <v>20</v>
      </c>
      <c r="T194" s="18" t="s">
        <v>21</v>
      </c>
      <c r="U194" s="18" t="s">
        <v>21</v>
      </c>
      <c r="V194" s="49" t="s">
        <v>20</v>
      </c>
      <c r="W194" s="37" t="s">
        <v>21</v>
      </c>
      <c r="X194" s="37" t="s">
        <v>21</v>
      </c>
      <c r="Y194" s="18" t="s">
        <v>20</v>
      </c>
      <c r="Z194" s="18" t="s">
        <v>20</v>
      </c>
      <c r="AA194" s="20" t="s">
        <v>20</v>
      </c>
      <c r="AB194" s="20" t="s">
        <v>20</v>
      </c>
      <c r="AC194" s="20" t="s">
        <v>21</v>
      </c>
      <c r="AD194" s="29" t="s">
        <v>20</v>
      </c>
      <c r="AE194" s="29" t="s">
        <v>21</v>
      </c>
      <c r="AG194">
        <f>+COUNTIF(F194:AE194,"AD")</f>
        <v>2</v>
      </c>
      <c r="AH194">
        <f>+COUNTIF(F194:AE194,"A")</f>
        <v>15</v>
      </c>
      <c r="AI194">
        <f>+COUNTIF(F194:AE194,"b")</f>
        <v>9</v>
      </c>
      <c r="AJ194">
        <f>+COUNTIF(F194:AE194,"c")</f>
        <v>0</v>
      </c>
      <c r="AL194">
        <f>+$AG$5*AG194</f>
        <v>8</v>
      </c>
      <c r="AM194">
        <f>+$AH$5*AH194</f>
        <v>45</v>
      </c>
      <c r="AN194">
        <f>+$AI$5*AI194</f>
        <v>18</v>
      </c>
      <c r="AO194">
        <f>+$AJ$5*AJ194</f>
        <v>0</v>
      </c>
      <c r="AP194">
        <f>+SUM(AL194:AO194)</f>
        <v>71</v>
      </c>
    </row>
    <row r="195" spans="1:42" ht="15.75" hidden="1" customHeight="1" x14ac:dyDescent="0.3">
      <c r="A195" s="16"/>
      <c r="B195" s="55">
        <v>28</v>
      </c>
      <c r="C195" s="56" t="s">
        <v>224</v>
      </c>
      <c r="D195" s="55">
        <v>5</v>
      </c>
      <c r="E195" s="55" t="s">
        <v>20</v>
      </c>
      <c r="F195" s="18" t="s">
        <v>20</v>
      </c>
      <c r="G195" s="18" t="s">
        <v>20</v>
      </c>
      <c r="H195" s="18" t="s">
        <v>20</v>
      </c>
      <c r="I195" s="18" t="s">
        <v>20</v>
      </c>
      <c r="J195" s="43" t="s">
        <v>20</v>
      </c>
      <c r="K195" s="43" t="s">
        <v>20</v>
      </c>
      <c r="L195" s="43" t="s">
        <v>21</v>
      </c>
      <c r="M195" s="18" t="s">
        <v>20</v>
      </c>
      <c r="N195" s="18" t="s">
        <v>20</v>
      </c>
      <c r="O195" s="18" t="s">
        <v>20</v>
      </c>
      <c r="P195" s="18" t="s">
        <v>21</v>
      </c>
      <c r="Q195" s="18" t="s">
        <v>21</v>
      </c>
      <c r="R195" s="18" t="s">
        <v>21</v>
      </c>
      <c r="S195" s="18" t="s">
        <v>20</v>
      </c>
      <c r="T195" s="18" t="s">
        <v>21</v>
      </c>
      <c r="U195" s="18" t="s">
        <v>20</v>
      </c>
      <c r="V195" s="37" t="s">
        <v>20</v>
      </c>
      <c r="W195" s="37" t="s">
        <v>20</v>
      </c>
      <c r="X195" s="37" t="s">
        <v>21</v>
      </c>
      <c r="Y195" s="18" t="s">
        <v>20</v>
      </c>
      <c r="Z195" s="18" t="s">
        <v>20</v>
      </c>
      <c r="AA195" s="20" t="s">
        <v>20</v>
      </c>
      <c r="AB195" s="20" t="s">
        <v>20</v>
      </c>
      <c r="AC195" s="20" t="s">
        <v>20</v>
      </c>
      <c r="AD195" s="18" t="s">
        <v>20</v>
      </c>
      <c r="AE195" s="18" t="s">
        <v>21</v>
      </c>
      <c r="AG195">
        <f>+COUNTIF(F195:AE195,"AD")</f>
        <v>0</v>
      </c>
      <c r="AH195">
        <f>+COUNTIF(F195:AE195,"A")</f>
        <v>19</v>
      </c>
      <c r="AI195">
        <f>+COUNTIF(F195:AE195,"b")</f>
        <v>7</v>
      </c>
      <c r="AJ195">
        <f>+COUNTIF(F195:AE195,"c")</f>
        <v>0</v>
      </c>
      <c r="AL195">
        <f>+$AG$5*AG195</f>
        <v>0</v>
      </c>
      <c r="AM195">
        <f>+$AH$5*AH195</f>
        <v>57</v>
      </c>
      <c r="AN195">
        <f>+$AI$5*AI195</f>
        <v>14</v>
      </c>
      <c r="AO195">
        <f>+$AJ$5*AJ195</f>
        <v>0</v>
      </c>
      <c r="AP195">
        <f>+SUM(AL195:AO195)</f>
        <v>71</v>
      </c>
    </row>
    <row r="196" spans="1:42" ht="15.75" hidden="1" customHeight="1" x14ac:dyDescent="0.3">
      <c r="A196" s="16"/>
      <c r="B196" s="55">
        <v>3</v>
      </c>
      <c r="C196" s="56" t="s">
        <v>199</v>
      </c>
      <c r="D196" s="55">
        <v>5</v>
      </c>
      <c r="E196" s="55" t="s">
        <v>20</v>
      </c>
      <c r="F196" s="18" t="s">
        <v>23</v>
      </c>
      <c r="G196" s="18" t="s">
        <v>23</v>
      </c>
      <c r="H196" s="18" t="s">
        <v>21</v>
      </c>
      <c r="I196" s="18" t="s">
        <v>21</v>
      </c>
      <c r="J196" s="43" t="s">
        <v>20</v>
      </c>
      <c r="K196" s="43" t="s">
        <v>20</v>
      </c>
      <c r="L196" s="43" t="s">
        <v>21</v>
      </c>
      <c r="M196" s="18" t="s">
        <v>20</v>
      </c>
      <c r="N196" s="18" t="s">
        <v>20</v>
      </c>
      <c r="O196" s="18" t="s">
        <v>20</v>
      </c>
      <c r="P196" s="18" t="s">
        <v>21</v>
      </c>
      <c r="Q196" s="18" t="s">
        <v>21</v>
      </c>
      <c r="R196" s="18" t="s">
        <v>20</v>
      </c>
      <c r="S196" s="18" t="s">
        <v>21</v>
      </c>
      <c r="T196" s="18" t="s">
        <v>20</v>
      </c>
      <c r="U196" s="18" t="s">
        <v>20</v>
      </c>
      <c r="V196" s="49" t="s">
        <v>20</v>
      </c>
      <c r="W196" s="37" t="s">
        <v>20</v>
      </c>
      <c r="X196" s="37" t="s">
        <v>20</v>
      </c>
      <c r="Y196" s="18" t="s">
        <v>20</v>
      </c>
      <c r="Z196" s="18" t="s">
        <v>20</v>
      </c>
      <c r="AA196" s="20" t="s">
        <v>21</v>
      </c>
      <c r="AB196" s="20" t="s">
        <v>21</v>
      </c>
      <c r="AC196" s="20" t="s">
        <v>21</v>
      </c>
      <c r="AD196" s="29" t="s">
        <v>20</v>
      </c>
      <c r="AE196" s="29" t="s">
        <v>21</v>
      </c>
      <c r="AG196">
        <f>+COUNTIF(F196:AE196,"AD")</f>
        <v>0</v>
      </c>
      <c r="AH196">
        <f>+COUNTIF(F196:AE196,"A")</f>
        <v>14</v>
      </c>
      <c r="AI196">
        <f>+COUNTIF(F196:AE196,"b")</f>
        <v>10</v>
      </c>
      <c r="AJ196">
        <f>+COUNTIF(F196:AE196,"c")</f>
        <v>2</v>
      </c>
      <c r="AL196">
        <f>+$AG$5*AG196</f>
        <v>0</v>
      </c>
      <c r="AM196">
        <f>+$AH$5*AH196</f>
        <v>42</v>
      </c>
      <c r="AN196">
        <f>+$AI$5*AI196</f>
        <v>20</v>
      </c>
      <c r="AO196">
        <f>+$AJ$5*AJ196</f>
        <v>2</v>
      </c>
      <c r="AP196">
        <f>+SUM(AL196:AO196)</f>
        <v>64</v>
      </c>
    </row>
    <row r="197" spans="1:42" ht="15.75" hidden="1" customHeight="1" x14ac:dyDescent="0.3">
      <c r="A197" s="16"/>
      <c r="B197" s="55">
        <v>19</v>
      </c>
      <c r="C197" s="56" t="s">
        <v>215</v>
      </c>
      <c r="D197" s="55">
        <v>5</v>
      </c>
      <c r="E197" s="55" t="s">
        <v>20</v>
      </c>
      <c r="F197" s="18" t="s">
        <v>20</v>
      </c>
      <c r="G197" s="18" t="s">
        <v>20</v>
      </c>
      <c r="H197" s="18" t="s">
        <v>20</v>
      </c>
      <c r="I197" s="18" t="s">
        <v>20</v>
      </c>
      <c r="J197" s="43" t="s">
        <v>20</v>
      </c>
      <c r="K197" s="43" t="s">
        <v>20</v>
      </c>
      <c r="L197" s="43" t="s">
        <v>20</v>
      </c>
      <c r="M197" s="18" t="s">
        <v>20</v>
      </c>
      <c r="N197" s="18" t="s">
        <v>20</v>
      </c>
      <c r="O197" s="18" t="s">
        <v>20</v>
      </c>
      <c r="P197" s="18" t="s">
        <v>21</v>
      </c>
      <c r="Q197" s="18" t="s">
        <v>21</v>
      </c>
      <c r="R197" s="18" t="s">
        <v>21</v>
      </c>
      <c r="S197" s="18" t="s">
        <v>21</v>
      </c>
      <c r="T197" s="18" t="s">
        <v>21</v>
      </c>
      <c r="U197" s="18" t="s">
        <v>21</v>
      </c>
      <c r="V197" s="37" t="s">
        <v>21</v>
      </c>
      <c r="W197" s="37" t="s">
        <v>20</v>
      </c>
      <c r="X197" s="37" t="s">
        <v>20</v>
      </c>
      <c r="Y197" s="18" t="s">
        <v>21</v>
      </c>
      <c r="Z197" s="18" t="s">
        <v>20</v>
      </c>
      <c r="AA197" s="20" t="s">
        <v>20</v>
      </c>
      <c r="AB197" s="20" t="s">
        <v>20</v>
      </c>
      <c r="AC197" s="20" t="s">
        <v>20</v>
      </c>
      <c r="AD197" s="18" t="s">
        <v>55</v>
      </c>
      <c r="AE197" s="18" t="s">
        <v>55</v>
      </c>
      <c r="AG197">
        <f>+COUNTIF(F197:AE197,"AD")</f>
        <v>0</v>
      </c>
      <c r="AH197">
        <f>+COUNTIF(F197:AE197,"A")</f>
        <v>16</v>
      </c>
      <c r="AI197">
        <f>+COUNTIF(F197:AE197,"b")</f>
        <v>8</v>
      </c>
      <c r="AJ197">
        <f>+COUNTIF(F197:AE197,"c")</f>
        <v>0</v>
      </c>
      <c r="AL197">
        <f>+$AG$5*AG197</f>
        <v>0</v>
      </c>
      <c r="AM197">
        <f>+$AH$5*AH197</f>
        <v>48</v>
      </c>
      <c r="AN197">
        <f>+$AI$5*AI197</f>
        <v>16</v>
      </c>
      <c r="AO197">
        <f>+$AJ$5*AJ197</f>
        <v>0</v>
      </c>
      <c r="AP197">
        <f>+SUM(AL197:AO197)</f>
        <v>64</v>
      </c>
    </row>
    <row r="198" spans="1:42" ht="15.75" hidden="1" customHeight="1" x14ac:dyDescent="0.3">
      <c r="A198" s="16"/>
      <c r="B198" s="55">
        <v>7</v>
      </c>
      <c r="C198" s="56" t="s">
        <v>203</v>
      </c>
      <c r="D198" s="55">
        <v>5</v>
      </c>
      <c r="E198" s="55" t="s">
        <v>20</v>
      </c>
      <c r="F198" s="18" t="s">
        <v>23</v>
      </c>
      <c r="G198" s="18" t="s">
        <v>21</v>
      </c>
      <c r="H198" s="18" t="s">
        <v>23</v>
      </c>
      <c r="I198" s="18" t="s">
        <v>21</v>
      </c>
      <c r="J198" s="43" t="s">
        <v>20</v>
      </c>
      <c r="K198" s="43" t="s">
        <v>20</v>
      </c>
      <c r="L198" s="43" t="s">
        <v>21</v>
      </c>
      <c r="M198" s="18" t="s">
        <v>21</v>
      </c>
      <c r="N198" s="18" t="s">
        <v>20</v>
      </c>
      <c r="O198" s="18" t="s">
        <v>20</v>
      </c>
      <c r="P198" s="18" t="s">
        <v>21</v>
      </c>
      <c r="Q198" s="18" t="s">
        <v>20</v>
      </c>
      <c r="R198" s="18" t="s">
        <v>20</v>
      </c>
      <c r="S198" s="18" t="s">
        <v>21</v>
      </c>
      <c r="T198" s="18" t="s">
        <v>21</v>
      </c>
      <c r="U198" s="18" t="s">
        <v>20</v>
      </c>
      <c r="V198" s="49" t="s">
        <v>20</v>
      </c>
      <c r="W198" s="37" t="s">
        <v>20</v>
      </c>
      <c r="X198" s="37" t="s">
        <v>20</v>
      </c>
      <c r="Y198" s="18" t="s">
        <v>20</v>
      </c>
      <c r="Z198" s="18" t="s">
        <v>21</v>
      </c>
      <c r="AA198" s="20" t="s">
        <v>21</v>
      </c>
      <c r="AB198" s="20" t="s">
        <v>20</v>
      </c>
      <c r="AC198" s="20" t="s">
        <v>21</v>
      </c>
      <c r="AD198" s="29" t="s">
        <v>20</v>
      </c>
      <c r="AE198" s="29" t="s">
        <v>21</v>
      </c>
      <c r="AG198">
        <f>+COUNTIF(F198:AE198,"AD")</f>
        <v>0</v>
      </c>
      <c r="AH198">
        <f>+COUNTIF(F198:AE198,"A")</f>
        <v>13</v>
      </c>
      <c r="AI198">
        <f>+COUNTIF(F198:AE198,"b")</f>
        <v>11</v>
      </c>
      <c r="AJ198">
        <f>+COUNTIF(F198:AE198,"c")</f>
        <v>2</v>
      </c>
      <c r="AL198">
        <f>+$AG$5*AG198</f>
        <v>0</v>
      </c>
      <c r="AM198">
        <f>+$AH$5*AH198</f>
        <v>39</v>
      </c>
      <c r="AN198">
        <f>+$AI$5*AI198</f>
        <v>22</v>
      </c>
      <c r="AO198">
        <f>+$AJ$5*AJ198</f>
        <v>2</v>
      </c>
      <c r="AP198">
        <f>+SUM(AL198:AO198)</f>
        <v>63</v>
      </c>
    </row>
    <row r="199" spans="1:42" ht="15.75" hidden="1" customHeight="1" x14ac:dyDescent="0.3">
      <c r="A199" s="16"/>
      <c r="B199" s="55">
        <v>15</v>
      </c>
      <c r="C199" s="56" t="s">
        <v>211</v>
      </c>
      <c r="D199" s="55">
        <v>5</v>
      </c>
      <c r="E199" s="55" t="s">
        <v>20</v>
      </c>
      <c r="F199" s="18" t="s">
        <v>21</v>
      </c>
      <c r="G199" s="18" t="s">
        <v>21</v>
      </c>
      <c r="H199" s="18" t="s">
        <v>21</v>
      </c>
      <c r="I199" s="18" t="s">
        <v>21</v>
      </c>
      <c r="J199" s="43" t="s">
        <v>20</v>
      </c>
      <c r="K199" s="43" t="s">
        <v>20</v>
      </c>
      <c r="L199" s="43" t="s">
        <v>21</v>
      </c>
      <c r="M199" s="18" t="s">
        <v>20</v>
      </c>
      <c r="N199" s="18" t="s">
        <v>21</v>
      </c>
      <c r="O199" s="18" t="s">
        <v>20</v>
      </c>
      <c r="P199" s="18" t="s">
        <v>20</v>
      </c>
      <c r="Q199" s="18" t="s">
        <v>21</v>
      </c>
      <c r="R199" s="18" t="s">
        <v>21</v>
      </c>
      <c r="S199" s="18" t="s">
        <v>21</v>
      </c>
      <c r="T199" s="18" t="s">
        <v>21</v>
      </c>
      <c r="U199" s="18" t="s">
        <v>20</v>
      </c>
      <c r="V199" s="37" t="s">
        <v>20</v>
      </c>
      <c r="W199" s="37" t="s">
        <v>20</v>
      </c>
      <c r="X199" s="37" t="s">
        <v>20</v>
      </c>
      <c r="Y199" s="18" t="s">
        <v>21</v>
      </c>
      <c r="Z199" s="18" t="s">
        <v>21</v>
      </c>
      <c r="AA199" s="20" t="s">
        <v>21</v>
      </c>
      <c r="AB199" s="20" t="s">
        <v>21</v>
      </c>
      <c r="AC199" s="20" t="s">
        <v>20</v>
      </c>
      <c r="AD199" s="18" t="s">
        <v>20</v>
      </c>
      <c r="AE199" s="18" t="s">
        <v>21</v>
      </c>
      <c r="AG199">
        <f>+COUNTIF(F199:AE199,"AD")</f>
        <v>0</v>
      </c>
      <c r="AH199">
        <f>+COUNTIF(F199:AE199,"A")</f>
        <v>11</v>
      </c>
      <c r="AI199">
        <f>+COUNTIF(F199:AE199,"b")</f>
        <v>15</v>
      </c>
      <c r="AJ199">
        <f>+COUNTIF(F199:AE199,"c")</f>
        <v>0</v>
      </c>
      <c r="AL199">
        <f>+$AG$5*AG199</f>
        <v>0</v>
      </c>
      <c r="AM199">
        <f>+$AH$5*AH199</f>
        <v>33</v>
      </c>
      <c r="AN199">
        <f>+$AI$5*AI199</f>
        <v>30</v>
      </c>
      <c r="AO199">
        <f>+$AJ$5*AJ199</f>
        <v>0</v>
      </c>
      <c r="AP199">
        <f>+SUM(AL199:AO199)</f>
        <v>63</v>
      </c>
    </row>
    <row r="200" spans="1:42" ht="15.75" hidden="1" customHeight="1" x14ac:dyDescent="0.3">
      <c r="A200" s="16"/>
      <c r="B200" s="55">
        <v>26</v>
      </c>
      <c r="C200" s="56" t="s">
        <v>222</v>
      </c>
      <c r="D200" s="55">
        <v>5</v>
      </c>
      <c r="E200" s="55" t="s">
        <v>20</v>
      </c>
      <c r="F200" s="18" t="s">
        <v>21</v>
      </c>
      <c r="G200" s="18" t="s">
        <v>21</v>
      </c>
      <c r="H200" s="18" t="s">
        <v>21</v>
      </c>
      <c r="I200" s="18" t="s">
        <v>21</v>
      </c>
      <c r="J200" s="43" t="s">
        <v>21</v>
      </c>
      <c r="K200" s="43" t="s">
        <v>21</v>
      </c>
      <c r="L200" s="43" t="s">
        <v>21</v>
      </c>
      <c r="M200" s="18" t="s">
        <v>20</v>
      </c>
      <c r="N200" s="18" t="s">
        <v>20</v>
      </c>
      <c r="O200" s="18" t="s">
        <v>20</v>
      </c>
      <c r="P200" s="18" t="s">
        <v>20</v>
      </c>
      <c r="Q200" s="18" t="s">
        <v>21</v>
      </c>
      <c r="R200" s="18" t="s">
        <v>23</v>
      </c>
      <c r="S200" s="18" t="s">
        <v>21</v>
      </c>
      <c r="T200" s="18" t="s">
        <v>21</v>
      </c>
      <c r="U200" s="18" t="s">
        <v>20</v>
      </c>
      <c r="V200" s="37" t="s">
        <v>20</v>
      </c>
      <c r="W200" s="37" t="s">
        <v>20</v>
      </c>
      <c r="X200" s="37" t="s">
        <v>20</v>
      </c>
      <c r="Y200" s="18" t="s">
        <v>20</v>
      </c>
      <c r="Z200" s="18" t="s">
        <v>20</v>
      </c>
      <c r="AA200" s="20" t="s">
        <v>21</v>
      </c>
      <c r="AB200" s="20" t="s">
        <v>21</v>
      </c>
      <c r="AC200" s="20" t="s">
        <v>20</v>
      </c>
      <c r="AD200" s="40" t="s">
        <v>20</v>
      </c>
      <c r="AE200" s="40" t="s">
        <v>21</v>
      </c>
      <c r="AG200">
        <f>+COUNTIF(F200:AE200,"AD")</f>
        <v>0</v>
      </c>
      <c r="AH200">
        <f>+COUNTIF(F200:AE200,"A")</f>
        <v>12</v>
      </c>
      <c r="AI200">
        <f>+COUNTIF(F200:AE200,"b")</f>
        <v>13</v>
      </c>
      <c r="AJ200">
        <f>+COUNTIF(F200:AE200,"c")</f>
        <v>1</v>
      </c>
      <c r="AL200">
        <f>+$AG$5*AG200</f>
        <v>0</v>
      </c>
      <c r="AM200">
        <f>+$AH$5*AH200</f>
        <v>36</v>
      </c>
      <c r="AN200">
        <f>+$AI$5*AI200</f>
        <v>26</v>
      </c>
      <c r="AO200">
        <f>+$AJ$5*AJ200</f>
        <v>1</v>
      </c>
      <c r="AP200">
        <f>+SUM(AL200:AO200)</f>
        <v>63</v>
      </c>
    </row>
    <row r="201" spans="1:42" ht="15.75" hidden="1" customHeight="1" x14ac:dyDescent="0.3">
      <c r="A201" s="16"/>
      <c r="B201" s="55">
        <v>22</v>
      </c>
      <c r="C201" s="56" t="s">
        <v>218</v>
      </c>
      <c r="D201" s="55">
        <v>5</v>
      </c>
      <c r="E201" s="55" t="s">
        <v>20</v>
      </c>
      <c r="F201" s="18" t="s">
        <v>23</v>
      </c>
      <c r="G201" s="18" t="s">
        <v>23</v>
      </c>
      <c r="H201" s="18" t="s">
        <v>21</v>
      </c>
      <c r="I201" s="18" t="s">
        <v>21</v>
      </c>
      <c r="J201" s="43" t="s">
        <v>20</v>
      </c>
      <c r="K201" s="43" t="s">
        <v>20</v>
      </c>
      <c r="L201" s="43" t="s">
        <v>21</v>
      </c>
      <c r="M201" s="18" t="s">
        <v>20</v>
      </c>
      <c r="N201" s="18" t="s">
        <v>20</v>
      </c>
      <c r="O201" s="18" t="s">
        <v>20</v>
      </c>
      <c r="P201" s="18" t="s">
        <v>21</v>
      </c>
      <c r="Q201" s="18" t="s">
        <v>21</v>
      </c>
      <c r="R201" s="18" t="s">
        <v>21</v>
      </c>
      <c r="S201" s="18" t="s">
        <v>21</v>
      </c>
      <c r="T201" s="18" t="s">
        <v>21</v>
      </c>
      <c r="U201" s="18" t="s">
        <v>20</v>
      </c>
      <c r="V201" s="37" t="s">
        <v>21</v>
      </c>
      <c r="W201" s="37" t="s">
        <v>21</v>
      </c>
      <c r="X201" s="37" t="s">
        <v>21</v>
      </c>
      <c r="Y201" s="18" t="s">
        <v>20</v>
      </c>
      <c r="Z201" s="18" t="s">
        <v>20</v>
      </c>
      <c r="AA201" s="20" t="s">
        <v>20</v>
      </c>
      <c r="AB201" s="20" t="s">
        <v>20</v>
      </c>
      <c r="AC201" s="20" t="s">
        <v>20</v>
      </c>
      <c r="AD201" s="40" t="s">
        <v>20</v>
      </c>
      <c r="AE201" s="40" t="s">
        <v>21</v>
      </c>
      <c r="AG201">
        <f>+COUNTIF(F201:AE201,"AD")</f>
        <v>0</v>
      </c>
      <c r="AH201">
        <f>+COUNTIF(F201:AE201,"A")</f>
        <v>12</v>
      </c>
      <c r="AI201">
        <f>+COUNTIF(F201:AE201,"b")</f>
        <v>12</v>
      </c>
      <c r="AJ201">
        <f>+COUNTIF(F201:AE201,"c")</f>
        <v>2</v>
      </c>
      <c r="AL201">
        <f>+$AG$5*AG201</f>
        <v>0</v>
      </c>
      <c r="AM201">
        <f>+$AH$5*AH201</f>
        <v>36</v>
      </c>
      <c r="AN201">
        <f>+$AI$5*AI201</f>
        <v>24</v>
      </c>
      <c r="AO201">
        <f>+$AJ$5*AJ201</f>
        <v>2</v>
      </c>
      <c r="AP201">
        <f>+SUM(AL201:AO201)</f>
        <v>62</v>
      </c>
    </row>
    <row r="202" spans="1:42" ht="15.75" hidden="1" customHeight="1" x14ac:dyDescent="0.3">
      <c r="A202" s="16"/>
      <c r="B202" s="55">
        <v>25</v>
      </c>
      <c r="C202" s="56" t="s">
        <v>221</v>
      </c>
      <c r="D202" s="55">
        <v>5</v>
      </c>
      <c r="E202" s="55" t="s">
        <v>20</v>
      </c>
      <c r="F202" s="18" t="s">
        <v>23</v>
      </c>
      <c r="G202" s="18" t="s">
        <v>23</v>
      </c>
      <c r="H202" s="18" t="s">
        <v>23</v>
      </c>
      <c r="I202" s="18" t="s">
        <v>23</v>
      </c>
      <c r="J202" s="43" t="s">
        <v>20</v>
      </c>
      <c r="K202" s="43" t="s">
        <v>20</v>
      </c>
      <c r="L202" s="43" t="s">
        <v>21</v>
      </c>
      <c r="M202" s="18" t="s">
        <v>20</v>
      </c>
      <c r="N202" s="18" t="s">
        <v>20</v>
      </c>
      <c r="O202" s="18" t="s">
        <v>20</v>
      </c>
      <c r="P202" s="18" t="s">
        <v>21</v>
      </c>
      <c r="Q202" s="18" t="s">
        <v>23</v>
      </c>
      <c r="R202" s="18" t="s">
        <v>23</v>
      </c>
      <c r="S202" s="18" t="s">
        <v>21</v>
      </c>
      <c r="T202" s="18" t="s">
        <v>23</v>
      </c>
      <c r="U202" s="18" t="s">
        <v>20</v>
      </c>
      <c r="V202" s="37" t="s">
        <v>20</v>
      </c>
      <c r="W202" s="37" t="s">
        <v>20</v>
      </c>
      <c r="X202" s="37" t="s">
        <v>20</v>
      </c>
      <c r="Y202" s="18" t="s">
        <v>20</v>
      </c>
      <c r="Z202" s="18" t="s">
        <v>20</v>
      </c>
      <c r="AA202" s="20" t="s">
        <v>21</v>
      </c>
      <c r="AB202" s="20" t="s">
        <v>21</v>
      </c>
      <c r="AC202" s="20" t="s">
        <v>20</v>
      </c>
      <c r="AD202" s="18" t="s">
        <v>20</v>
      </c>
      <c r="AE202" s="18" t="s">
        <v>21</v>
      </c>
      <c r="AG202">
        <f>+COUNTIF(F202:AE202,"AD")</f>
        <v>0</v>
      </c>
      <c r="AH202">
        <f>+COUNTIF(F202:AE202,"A")</f>
        <v>13</v>
      </c>
      <c r="AI202">
        <f>+COUNTIF(F202:AE202,"b")</f>
        <v>6</v>
      </c>
      <c r="AJ202">
        <f>+COUNTIF(F202:AE202,"c")</f>
        <v>7</v>
      </c>
      <c r="AL202">
        <f>+$AG$5*AG202</f>
        <v>0</v>
      </c>
      <c r="AM202">
        <f>+$AH$5*AH202</f>
        <v>39</v>
      </c>
      <c r="AN202">
        <f>+$AI$5*AI202</f>
        <v>12</v>
      </c>
      <c r="AO202">
        <f>+$AJ$5*AJ202</f>
        <v>7</v>
      </c>
      <c r="AP202">
        <f>+SUM(AL202:AO202)</f>
        <v>58</v>
      </c>
    </row>
    <row r="203" spans="1:42" ht="15.75" hidden="1" customHeight="1" x14ac:dyDescent="0.3">
      <c r="A203" s="16"/>
      <c r="B203" s="55">
        <v>8</v>
      </c>
      <c r="C203" s="56" t="s">
        <v>204</v>
      </c>
      <c r="D203" s="55">
        <v>5</v>
      </c>
      <c r="E203" s="55" t="s">
        <v>20</v>
      </c>
      <c r="F203" s="18" t="s">
        <v>21</v>
      </c>
      <c r="G203" s="18" t="s">
        <v>21</v>
      </c>
      <c r="H203" s="18" t="s">
        <v>21</v>
      </c>
      <c r="I203" s="18" t="s">
        <v>21</v>
      </c>
      <c r="J203" s="43" t="s">
        <v>21</v>
      </c>
      <c r="K203" s="43" t="s">
        <v>21</v>
      </c>
      <c r="L203" s="43" t="s">
        <v>21</v>
      </c>
      <c r="M203" s="18" t="s">
        <v>21</v>
      </c>
      <c r="N203" s="18" t="s">
        <v>20</v>
      </c>
      <c r="O203" s="18" t="s">
        <v>20</v>
      </c>
      <c r="P203" s="18" t="s">
        <v>21</v>
      </c>
      <c r="Q203" s="18" t="s">
        <v>23</v>
      </c>
      <c r="R203" s="18" t="s">
        <v>21</v>
      </c>
      <c r="S203" s="18" t="s">
        <v>21</v>
      </c>
      <c r="T203" s="18" t="s">
        <v>21</v>
      </c>
      <c r="U203" s="18" t="s">
        <v>21</v>
      </c>
      <c r="V203" s="49" t="s">
        <v>21</v>
      </c>
      <c r="W203" s="37" t="s">
        <v>20</v>
      </c>
      <c r="X203" s="37" t="s">
        <v>20</v>
      </c>
      <c r="Y203" s="18" t="s">
        <v>21</v>
      </c>
      <c r="Z203" s="18" t="s">
        <v>21</v>
      </c>
      <c r="AA203" s="20" t="s">
        <v>21</v>
      </c>
      <c r="AB203" s="20" t="s">
        <v>21</v>
      </c>
      <c r="AC203" s="20" t="s">
        <v>21</v>
      </c>
      <c r="AD203" s="29" t="s">
        <v>21</v>
      </c>
      <c r="AE203" s="29" t="s">
        <v>21</v>
      </c>
      <c r="AG203">
        <f>+COUNTIF(F203:AE203,"AD")</f>
        <v>0</v>
      </c>
      <c r="AH203">
        <f>+COUNTIF(F203:AE203,"A")</f>
        <v>4</v>
      </c>
      <c r="AI203">
        <f>+COUNTIF(F203:AE203,"b")</f>
        <v>21</v>
      </c>
      <c r="AJ203">
        <f>+COUNTIF(F203:AE203,"c")</f>
        <v>1</v>
      </c>
      <c r="AL203">
        <f>+$AG$5*AG203</f>
        <v>0</v>
      </c>
      <c r="AM203">
        <f>+$AH$5*AH203</f>
        <v>12</v>
      </c>
      <c r="AN203">
        <f>+$AI$5*AI203</f>
        <v>42</v>
      </c>
      <c r="AO203">
        <f>+$AJ$5*AJ203</f>
        <v>1</v>
      </c>
      <c r="AP203">
        <f>+SUM(AL203:AO203)</f>
        <v>55</v>
      </c>
    </row>
    <row r="204" spans="1:42" ht="15.75" hidden="1" customHeight="1" x14ac:dyDescent="0.3">
      <c r="A204" s="16"/>
      <c r="B204" s="55">
        <v>4</v>
      </c>
      <c r="C204" s="56" t="s">
        <v>200</v>
      </c>
      <c r="D204" s="55">
        <v>5</v>
      </c>
      <c r="E204" s="55" t="s">
        <v>20</v>
      </c>
      <c r="F204" s="18" t="s">
        <v>23</v>
      </c>
      <c r="G204" s="18" t="s">
        <v>23</v>
      </c>
      <c r="H204" s="18" t="s">
        <v>23</v>
      </c>
      <c r="I204" s="18" t="s">
        <v>23</v>
      </c>
      <c r="J204" s="43" t="s">
        <v>21</v>
      </c>
      <c r="K204" s="43" t="s">
        <v>21</v>
      </c>
      <c r="L204" s="43" t="s">
        <v>21</v>
      </c>
      <c r="M204" s="18" t="s">
        <v>21</v>
      </c>
      <c r="N204" s="18" t="s">
        <v>21</v>
      </c>
      <c r="O204" s="18" t="s">
        <v>20</v>
      </c>
      <c r="P204" s="18" t="s">
        <v>23</v>
      </c>
      <c r="Q204" s="18" t="s">
        <v>21</v>
      </c>
      <c r="R204" s="18" t="s">
        <v>21</v>
      </c>
      <c r="S204" s="18" t="s">
        <v>21</v>
      </c>
      <c r="T204" s="18" t="s">
        <v>21</v>
      </c>
      <c r="U204" s="18" t="s">
        <v>20</v>
      </c>
      <c r="V204" s="49" t="s">
        <v>20</v>
      </c>
      <c r="W204" s="37" t="s">
        <v>20</v>
      </c>
      <c r="X204" s="37" t="s">
        <v>20</v>
      </c>
      <c r="Y204" s="18" t="s">
        <v>20</v>
      </c>
      <c r="Z204" s="18" t="s">
        <v>20</v>
      </c>
      <c r="AA204" s="20" t="s">
        <v>21</v>
      </c>
      <c r="AB204" s="20" t="s">
        <v>21</v>
      </c>
      <c r="AC204" s="20" t="s">
        <v>21</v>
      </c>
      <c r="AD204" s="29" t="s">
        <v>21</v>
      </c>
      <c r="AE204" s="29" t="s">
        <v>21</v>
      </c>
      <c r="AG204">
        <f>+COUNTIF(F204:AE204,"AD")</f>
        <v>0</v>
      </c>
      <c r="AH204">
        <f>+COUNTIF(F204:AE204,"A")</f>
        <v>7</v>
      </c>
      <c r="AI204">
        <f>+COUNTIF(F204:AE204,"b")</f>
        <v>14</v>
      </c>
      <c r="AJ204">
        <f>+COUNTIF(F204:AE204,"c")</f>
        <v>5</v>
      </c>
      <c r="AL204">
        <f>+$AG$5*AG204</f>
        <v>0</v>
      </c>
      <c r="AM204">
        <f>+$AH$5*AH204</f>
        <v>21</v>
      </c>
      <c r="AN204">
        <f>+$AI$5*AI204</f>
        <v>28</v>
      </c>
      <c r="AO204">
        <f>+$AJ$5*AJ204</f>
        <v>5</v>
      </c>
      <c r="AP204">
        <f>+SUM(AL204:AO204)</f>
        <v>54</v>
      </c>
    </row>
    <row r="205" spans="1:42" ht="15.75" hidden="1" customHeight="1" x14ac:dyDescent="0.3">
      <c r="A205" s="16"/>
      <c r="B205" s="55">
        <v>23</v>
      </c>
      <c r="C205" s="56" t="s">
        <v>219</v>
      </c>
      <c r="D205" s="55">
        <v>5</v>
      </c>
      <c r="E205" s="55" t="s">
        <v>20</v>
      </c>
      <c r="F205" s="18" t="s">
        <v>23</v>
      </c>
      <c r="G205" s="18" t="s">
        <v>23</v>
      </c>
      <c r="H205" s="18" t="s">
        <v>23</v>
      </c>
      <c r="I205" s="18" t="s">
        <v>21</v>
      </c>
      <c r="J205" s="43" t="s">
        <v>20</v>
      </c>
      <c r="K205" s="43" t="s">
        <v>20</v>
      </c>
      <c r="L205" s="43" t="s">
        <v>21</v>
      </c>
      <c r="M205" s="18" t="s">
        <v>20</v>
      </c>
      <c r="N205" s="18" t="s">
        <v>21</v>
      </c>
      <c r="O205" s="18" t="s">
        <v>20</v>
      </c>
      <c r="P205" s="18" t="s">
        <v>21</v>
      </c>
      <c r="Q205" s="18" t="s">
        <v>23</v>
      </c>
      <c r="R205" s="18" t="s">
        <v>21</v>
      </c>
      <c r="S205" s="18" t="s">
        <v>21</v>
      </c>
      <c r="T205" s="18" t="s">
        <v>21</v>
      </c>
      <c r="U205" s="18" t="s">
        <v>20</v>
      </c>
      <c r="V205" s="37" t="s">
        <v>20</v>
      </c>
      <c r="W205" s="37" t="s">
        <v>21</v>
      </c>
      <c r="X205" s="37" t="s">
        <v>20</v>
      </c>
      <c r="Y205" s="18" t="s">
        <v>21</v>
      </c>
      <c r="Z205" s="18" t="s">
        <v>20</v>
      </c>
      <c r="AA205" s="20" t="s">
        <v>23</v>
      </c>
      <c r="AB205" s="20" t="s">
        <v>21</v>
      </c>
      <c r="AC205" s="20" t="s">
        <v>21</v>
      </c>
      <c r="AD205" s="18" t="s">
        <v>23</v>
      </c>
      <c r="AE205" s="18" t="s">
        <v>21</v>
      </c>
      <c r="AG205">
        <f>+COUNTIF(F205:AE205,"AD")</f>
        <v>0</v>
      </c>
      <c r="AH205">
        <f>+COUNTIF(F205:AE205,"A")</f>
        <v>8</v>
      </c>
      <c r="AI205">
        <f>+COUNTIF(F205:AE205,"b")</f>
        <v>12</v>
      </c>
      <c r="AJ205">
        <f>+COUNTIF(F205:AE205,"c")</f>
        <v>6</v>
      </c>
      <c r="AL205">
        <f>+$AG$5*AG205</f>
        <v>0</v>
      </c>
      <c r="AM205">
        <f>+$AH$5*AH205</f>
        <v>24</v>
      </c>
      <c r="AN205">
        <f>+$AI$5*AI205</f>
        <v>24</v>
      </c>
      <c r="AO205">
        <f>+$AJ$5*AJ205</f>
        <v>6</v>
      </c>
      <c r="AP205">
        <f>+SUM(AL205:AO205)</f>
        <v>54</v>
      </c>
    </row>
    <row r="206" spans="1:42" ht="15.75" hidden="1" customHeight="1" thickBot="1" x14ac:dyDescent="0.35">
      <c r="A206" s="16"/>
      <c r="B206" s="57">
        <v>17</v>
      </c>
      <c r="C206" s="58" t="s">
        <v>213</v>
      </c>
      <c r="D206" s="57">
        <v>5</v>
      </c>
      <c r="E206" s="57" t="s">
        <v>20</v>
      </c>
      <c r="F206" s="21" t="s">
        <v>23</v>
      </c>
      <c r="G206" s="21" t="s">
        <v>23</v>
      </c>
      <c r="H206" s="21" t="s">
        <v>23</v>
      </c>
      <c r="I206" s="21" t="s">
        <v>23</v>
      </c>
      <c r="J206" s="45" t="s">
        <v>21</v>
      </c>
      <c r="K206" s="45" t="s">
        <v>21</v>
      </c>
      <c r="L206" s="45" t="s">
        <v>21</v>
      </c>
      <c r="M206" s="21" t="s">
        <v>21</v>
      </c>
      <c r="N206" s="21" t="s">
        <v>21</v>
      </c>
      <c r="O206" s="21" t="s">
        <v>20</v>
      </c>
      <c r="P206" s="21" t="s">
        <v>23</v>
      </c>
      <c r="Q206" s="21" t="s">
        <v>21</v>
      </c>
      <c r="R206" s="21" t="s">
        <v>23</v>
      </c>
      <c r="S206" s="21" t="s">
        <v>21</v>
      </c>
      <c r="T206" s="21" t="s">
        <v>23</v>
      </c>
      <c r="U206" s="21" t="s">
        <v>20</v>
      </c>
      <c r="V206" s="38" t="s">
        <v>21</v>
      </c>
      <c r="W206" s="38" t="s">
        <v>21</v>
      </c>
      <c r="X206" s="38" t="s">
        <v>21</v>
      </c>
      <c r="Y206" s="21" t="s">
        <v>21</v>
      </c>
      <c r="Z206" s="21" t="s">
        <v>21</v>
      </c>
      <c r="AA206" s="23" t="s">
        <v>23</v>
      </c>
      <c r="AB206" s="23" t="s">
        <v>21</v>
      </c>
      <c r="AC206" s="23" t="s">
        <v>23</v>
      </c>
      <c r="AD206" s="21" t="s">
        <v>23</v>
      </c>
      <c r="AE206" s="21" t="s">
        <v>21</v>
      </c>
      <c r="AG206">
        <f>+COUNTIF(F206:AE206,"AD")</f>
        <v>0</v>
      </c>
      <c r="AH206">
        <f>+COUNTIF(F206:AE206,"A")</f>
        <v>2</v>
      </c>
      <c r="AI206">
        <f>+COUNTIF(F206:AE206,"b")</f>
        <v>14</v>
      </c>
      <c r="AJ206">
        <f>+COUNTIF(F206:AE206,"c")</f>
        <v>10</v>
      </c>
      <c r="AL206">
        <f>+$AG$5*AG206</f>
        <v>0</v>
      </c>
      <c r="AM206">
        <f>+$AH$5*AH206</f>
        <v>6</v>
      </c>
      <c r="AN206">
        <f>+$AI$5*AI206</f>
        <v>28</v>
      </c>
      <c r="AO206">
        <f>+$AJ$5*AJ206</f>
        <v>10</v>
      </c>
      <c r="AP206">
        <f>+SUM(AL206:AO206)</f>
        <v>44</v>
      </c>
    </row>
    <row r="207" spans="1:42" ht="15.75" customHeight="1" x14ac:dyDescent="0.3">
      <c r="A207" s="16"/>
      <c r="B207" s="55">
        <v>1</v>
      </c>
      <c r="C207" s="60" t="s">
        <v>245</v>
      </c>
      <c r="D207" s="59">
        <v>5</v>
      </c>
      <c r="E207" s="59" t="s">
        <v>21</v>
      </c>
      <c r="F207" s="24" t="s">
        <v>39</v>
      </c>
      <c r="G207" s="24" t="s">
        <v>20</v>
      </c>
      <c r="H207" s="24" t="s">
        <v>20</v>
      </c>
      <c r="I207" s="24" t="s">
        <v>20</v>
      </c>
      <c r="J207" s="24" t="s">
        <v>20</v>
      </c>
      <c r="K207" s="24" t="s">
        <v>39</v>
      </c>
      <c r="L207" s="24" t="s">
        <v>39</v>
      </c>
      <c r="M207" s="24" t="s">
        <v>20</v>
      </c>
      <c r="N207" s="24" t="s">
        <v>20</v>
      </c>
      <c r="O207" s="24" t="s">
        <v>20</v>
      </c>
      <c r="P207" s="24" t="s">
        <v>20</v>
      </c>
      <c r="Q207" s="24" t="s">
        <v>20</v>
      </c>
      <c r="R207" s="24" t="s">
        <v>20</v>
      </c>
      <c r="S207" s="24" t="s">
        <v>20</v>
      </c>
      <c r="T207" s="24" t="s">
        <v>20</v>
      </c>
      <c r="U207" s="24" t="s">
        <v>20</v>
      </c>
      <c r="V207" s="39" t="s">
        <v>20</v>
      </c>
      <c r="W207" s="39" t="s">
        <v>20</v>
      </c>
      <c r="X207" s="39" t="s">
        <v>20</v>
      </c>
      <c r="Y207" s="24" t="s">
        <v>39</v>
      </c>
      <c r="Z207" s="24" t="s">
        <v>39</v>
      </c>
      <c r="AA207" s="27" t="s">
        <v>20</v>
      </c>
      <c r="AB207" s="27" t="s">
        <v>20</v>
      </c>
      <c r="AC207" s="27" t="s">
        <v>20</v>
      </c>
      <c r="AD207" s="34" t="s">
        <v>20</v>
      </c>
      <c r="AE207" s="34" t="s">
        <v>21</v>
      </c>
      <c r="AG207">
        <f>+COUNTIF(F207:AE207,"AD")</f>
        <v>5</v>
      </c>
      <c r="AH207">
        <f>+COUNTIF(F207:AE207,"A")</f>
        <v>20</v>
      </c>
      <c r="AI207">
        <f>+COUNTIF(F207:AE207,"b")</f>
        <v>1</v>
      </c>
      <c r="AJ207">
        <f>+COUNTIF(F207:AE207,"c")</f>
        <v>0</v>
      </c>
      <c r="AL207">
        <f>+$AG$5*AG207</f>
        <v>20</v>
      </c>
      <c r="AM207">
        <f>+$AH$5*AH207</f>
        <v>60</v>
      </c>
      <c r="AN207">
        <f>+$AI$5*AI207</f>
        <v>2</v>
      </c>
      <c r="AO207">
        <f>+$AJ$5*AJ207</f>
        <v>0</v>
      </c>
      <c r="AP207" s="73">
        <f>+SUM(AL207:AO207)</f>
        <v>82</v>
      </c>
    </row>
    <row r="208" spans="1:42" ht="15.75" customHeight="1" x14ac:dyDescent="0.3">
      <c r="A208" s="16"/>
      <c r="B208" s="55">
        <v>2</v>
      </c>
      <c r="C208" s="56" t="s">
        <v>243</v>
      </c>
      <c r="D208" s="55">
        <v>5</v>
      </c>
      <c r="E208" s="55" t="s">
        <v>21</v>
      </c>
      <c r="F208" s="18" t="s">
        <v>20</v>
      </c>
      <c r="G208" s="18" t="s">
        <v>20</v>
      </c>
      <c r="H208" s="18" t="s">
        <v>20</v>
      </c>
      <c r="I208" s="18" t="s">
        <v>20</v>
      </c>
      <c r="J208" s="18" t="s">
        <v>20</v>
      </c>
      <c r="K208" s="18" t="s">
        <v>20</v>
      </c>
      <c r="L208" s="18" t="s">
        <v>20</v>
      </c>
      <c r="M208" s="18" t="s">
        <v>20</v>
      </c>
      <c r="N208" s="18" t="s">
        <v>20</v>
      </c>
      <c r="O208" s="18" t="s">
        <v>20</v>
      </c>
      <c r="P208" s="18" t="s">
        <v>20</v>
      </c>
      <c r="Q208" s="18" t="s">
        <v>20</v>
      </c>
      <c r="R208" s="18" t="s">
        <v>20</v>
      </c>
      <c r="S208" s="18" t="s">
        <v>20</v>
      </c>
      <c r="T208" s="18" t="s">
        <v>20</v>
      </c>
      <c r="U208" s="18" t="s">
        <v>20</v>
      </c>
      <c r="V208" s="37" t="s">
        <v>20</v>
      </c>
      <c r="W208" s="37" t="s">
        <v>20</v>
      </c>
      <c r="X208" s="37" t="s">
        <v>20</v>
      </c>
      <c r="Y208" s="18" t="s">
        <v>20</v>
      </c>
      <c r="Z208" s="18" t="s">
        <v>20</v>
      </c>
      <c r="AA208" s="20" t="s">
        <v>20</v>
      </c>
      <c r="AB208" s="20" t="s">
        <v>20</v>
      </c>
      <c r="AC208" s="20" t="s">
        <v>20</v>
      </c>
      <c r="AD208" s="29" t="s">
        <v>20</v>
      </c>
      <c r="AE208" s="29" t="s">
        <v>21</v>
      </c>
      <c r="AG208">
        <f>+COUNTIF(F208:AE208,"AD")</f>
        <v>0</v>
      </c>
      <c r="AH208">
        <f>+COUNTIF(F208:AE208,"A")</f>
        <v>25</v>
      </c>
      <c r="AI208">
        <f>+COUNTIF(F208:AE208,"b")</f>
        <v>1</v>
      </c>
      <c r="AJ208">
        <f>+COUNTIF(F208:AE208,"c")</f>
        <v>0</v>
      </c>
      <c r="AL208">
        <f>+$AG$5*AG208</f>
        <v>0</v>
      </c>
      <c r="AM208">
        <f>+$AH$5*AH208</f>
        <v>75</v>
      </c>
      <c r="AN208">
        <f>+$AI$5*AI208</f>
        <v>2</v>
      </c>
      <c r="AO208">
        <f>+$AJ$5*AJ208</f>
        <v>0</v>
      </c>
      <c r="AP208" s="73">
        <f>+SUM(AL208:AO208)</f>
        <v>77</v>
      </c>
    </row>
    <row r="209" spans="1:42" ht="15.75" customHeight="1" x14ac:dyDescent="0.3">
      <c r="A209" s="16"/>
      <c r="B209" s="55">
        <v>3</v>
      </c>
      <c r="C209" s="56" t="s">
        <v>250</v>
      </c>
      <c r="D209" s="55">
        <v>5</v>
      </c>
      <c r="E209" s="55" t="s">
        <v>21</v>
      </c>
      <c r="F209" s="18" t="s">
        <v>39</v>
      </c>
      <c r="G209" s="18" t="s">
        <v>20</v>
      </c>
      <c r="H209" s="17" t="s">
        <v>20</v>
      </c>
      <c r="I209" s="18" t="s">
        <v>20</v>
      </c>
      <c r="J209" s="18" t="s">
        <v>20</v>
      </c>
      <c r="K209" s="18" t="s">
        <v>20</v>
      </c>
      <c r="L209" s="18" t="s">
        <v>20</v>
      </c>
      <c r="M209" s="18" t="s">
        <v>20</v>
      </c>
      <c r="N209" s="18" t="s">
        <v>20</v>
      </c>
      <c r="O209" s="18" t="s">
        <v>20</v>
      </c>
      <c r="P209" s="18" t="s">
        <v>21</v>
      </c>
      <c r="Q209" s="18" t="s">
        <v>20</v>
      </c>
      <c r="R209" s="18" t="s">
        <v>20</v>
      </c>
      <c r="S209" s="18" t="s">
        <v>20</v>
      </c>
      <c r="T209" s="18" t="s">
        <v>20</v>
      </c>
      <c r="U209" s="18" t="s">
        <v>20</v>
      </c>
      <c r="V209" s="37" t="s">
        <v>20</v>
      </c>
      <c r="W209" s="37" t="s">
        <v>20</v>
      </c>
      <c r="X209" s="37" t="s">
        <v>20</v>
      </c>
      <c r="Y209" s="18" t="s">
        <v>20</v>
      </c>
      <c r="Z209" s="18" t="s">
        <v>20</v>
      </c>
      <c r="AA209" s="20" t="s">
        <v>20</v>
      </c>
      <c r="AB209" s="20" t="s">
        <v>20</v>
      </c>
      <c r="AC209" s="20" t="s">
        <v>20</v>
      </c>
      <c r="AD209" s="29" t="s">
        <v>20</v>
      </c>
      <c r="AE209" s="29" t="s">
        <v>21</v>
      </c>
      <c r="AG209">
        <f>+COUNTIF(F209:AE209,"AD")</f>
        <v>1</v>
      </c>
      <c r="AH209">
        <f>+COUNTIF(F209:AE209,"A")</f>
        <v>23</v>
      </c>
      <c r="AI209">
        <f>+COUNTIF(F209:AE209,"b")</f>
        <v>2</v>
      </c>
      <c r="AJ209">
        <f>+COUNTIF(F209:AE209,"c")</f>
        <v>0</v>
      </c>
      <c r="AL209">
        <f>+$AG$5*AG209</f>
        <v>4</v>
      </c>
      <c r="AM209">
        <f>+$AH$5*AH209</f>
        <v>69</v>
      </c>
      <c r="AN209">
        <f>+$AI$5*AI209</f>
        <v>4</v>
      </c>
      <c r="AO209">
        <f>+$AJ$5*AJ209</f>
        <v>0</v>
      </c>
      <c r="AP209" s="73">
        <f>+SUM(AL209:AO209)</f>
        <v>77</v>
      </c>
    </row>
    <row r="210" spans="1:42" ht="15.75" customHeight="1" x14ac:dyDescent="0.3">
      <c r="A210" s="16"/>
      <c r="B210" s="55">
        <v>4</v>
      </c>
      <c r="C210" s="56" t="s">
        <v>248</v>
      </c>
      <c r="D210" s="55">
        <v>5</v>
      </c>
      <c r="E210" s="55" t="s">
        <v>21</v>
      </c>
      <c r="F210" s="18" t="s">
        <v>20</v>
      </c>
      <c r="G210" s="18" t="s">
        <v>20</v>
      </c>
      <c r="H210" s="18" t="s">
        <v>20</v>
      </c>
      <c r="I210" s="18" t="s">
        <v>20</v>
      </c>
      <c r="J210" s="18" t="s">
        <v>20</v>
      </c>
      <c r="K210" s="18" t="s">
        <v>20</v>
      </c>
      <c r="L210" s="18" t="s">
        <v>39</v>
      </c>
      <c r="M210" s="18" t="s">
        <v>20</v>
      </c>
      <c r="N210" s="18" t="s">
        <v>20</v>
      </c>
      <c r="O210" s="18" t="s">
        <v>20</v>
      </c>
      <c r="P210" s="18" t="s">
        <v>20</v>
      </c>
      <c r="Q210" s="18" t="s">
        <v>21</v>
      </c>
      <c r="R210" s="18" t="s">
        <v>21</v>
      </c>
      <c r="S210" s="18" t="s">
        <v>20</v>
      </c>
      <c r="T210" s="18" t="s">
        <v>20</v>
      </c>
      <c r="U210" s="18" t="s">
        <v>20</v>
      </c>
      <c r="V210" s="37" t="s">
        <v>20</v>
      </c>
      <c r="W210" s="37" t="s">
        <v>21</v>
      </c>
      <c r="X210" s="37" t="s">
        <v>20</v>
      </c>
      <c r="Y210" s="18" t="s">
        <v>20</v>
      </c>
      <c r="Z210" s="18" t="s">
        <v>20</v>
      </c>
      <c r="AA210" s="20" t="s">
        <v>20</v>
      </c>
      <c r="AB210" s="20" t="s">
        <v>21</v>
      </c>
      <c r="AC210" s="20" t="s">
        <v>20</v>
      </c>
      <c r="AD210" s="29" t="s">
        <v>20</v>
      </c>
      <c r="AE210" s="29" t="s">
        <v>21</v>
      </c>
      <c r="AG210">
        <f>+COUNTIF(F210:AE210,"AD")</f>
        <v>1</v>
      </c>
      <c r="AH210">
        <f>+COUNTIF(F210:AE210,"A")</f>
        <v>20</v>
      </c>
      <c r="AI210">
        <f>+COUNTIF(F210:AE210,"b")</f>
        <v>5</v>
      </c>
      <c r="AJ210">
        <f>+COUNTIF(F210:AE210,"c")</f>
        <v>0</v>
      </c>
      <c r="AL210">
        <f>+$AG$5*AG210</f>
        <v>4</v>
      </c>
      <c r="AM210">
        <f>+$AH$5*AH210</f>
        <v>60</v>
      </c>
      <c r="AN210">
        <f>+$AI$5*AI210</f>
        <v>10</v>
      </c>
      <c r="AO210">
        <f>+$AJ$5*AJ210</f>
        <v>0</v>
      </c>
      <c r="AP210" s="73">
        <f>+SUM(AL210:AO210)</f>
        <v>74</v>
      </c>
    </row>
    <row r="211" spans="1:42" ht="15.75" customHeight="1" x14ac:dyDescent="0.3">
      <c r="A211" s="16"/>
      <c r="B211" s="55">
        <v>5</v>
      </c>
      <c r="C211" s="56" t="s">
        <v>228</v>
      </c>
      <c r="D211" s="55">
        <v>5</v>
      </c>
      <c r="E211" s="55" t="s">
        <v>21</v>
      </c>
      <c r="F211" s="18" t="s">
        <v>20</v>
      </c>
      <c r="G211" s="18" t="s">
        <v>20</v>
      </c>
      <c r="H211" s="18" t="s">
        <v>20</v>
      </c>
      <c r="I211" s="18" t="s">
        <v>20</v>
      </c>
      <c r="J211" s="18" t="s">
        <v>21</v>
      </c>
      <c r="K211" s="18" t="s">
        <v>20</v>
      </c>
      <c r="L211" s="18" t="s">
        <v>20</v>
      </c>
      <c r="M211" s="18" t="s">
        <v>20</v>
      </c>
      <c r="N211" s="18" t="s">
        <v>20</v>
      </c>
      <c r="O211" s="18" t="s">
        <v>20</v>
      </c>
      <c r="P211" s="18" t="s">
        <v>21</v>
      </c>
      <c r="Q211" s="18" t="s">
        <v>21</v>
      </c>
      <c r="R211" s="18" t="s">
        <v>21</v>
      </c>
      <c r="S211" s="18" t="s">
        <v>20</v>
      </c>
      <c r="T211" s="18" t="s">
        <v>21</v>
      </c>
      <c r="U211" s="18" t="s">
        <v>20</v>
      </c>
      <c r="V211" s="37" t="s">
        <v>20</v>
      </c>
      <c r="W211" s="37" t="s">
        <v>20</v>
      </c>
      <c r="X211" s="37" t="s">
        <v>20</v>
      </c>
      <c r="Y211" s="18" t="s">
        <v>20</v>
      </c>
      <c r="Z211" s="18" t="s">
        <v>20</v>
      </c>
      <c r="AA211" s="20" t="s">
        <v>20</v>
      </c>
      <c r="AB211" s="20" t="s">
        <v>20</v>
      </c>
      <c r="AC211" s="20" t="s">
        <v>20</v>
      </c>
      <c r="AD211" s="18" t="s">
        <v>20</v>
      </c>
      <c r="AE211" s="18" t="s">
        <v>21</v>
      </c>
      <c r="AG211">
        <f>+COUNTIF(F211:AE211,"AD")</f>
        <v>0</v>
      </c>
      <c r="AH211">
        <f>+COUNTIF(F211:AE211,"A")</f>
        <v>20</v>
      </c>
      <c r="AI211">
        <f>+COUNTIF(F211:AE211,"b")</f>
        <v>6</v>
      </c>
      <c r="AJ211">
        <f>+COUNTIF(F211:AE211,"c")</f>
        <v>0</v>
      </c>
      <c r="AL211">
        <f>+$AG$5*AG211</f>
        <v>0</v>
      </c>
      <c r="AM211">
        <f>+$AH$5*AH211</f>
        <v>60</v>
      </c>
      <c r="AN211">
        <f>+$AI$5*AI211</f>
        <v>12</v>
      </c>
      <c r="AO211">
        <f>+$AJ$5*AJ211</f>
        <v>0</v>
      </c>
      <c r="AP211" s="73">
        <f>+SUM(AL211:AO211)</f>
        <v>72</v>
      </c>
    </row>
    <row r="212" spans="1:42" ht="15.75" customHeight="1" x14ac:dyDescent="0.3">
      <c r="A212" s="16"/>
      <c r="B212" s="55">
        <v>6</v>
      </c>
      <c r="C212" s="56" t="s">
        <v>233</v>
      </c>
      <c r="D212" s="55">
        <v>5</v>
      </c>
      <c r="E212" s="55" t="s">
        <v>21</v>
      </c>
      <c r="F212" s="18" t="s">
        <v>20</v>
      </c>
      <c r="G212" s="18" t="s">
        <v>20</v>
      </c>
      <c r="H212" s="18" t="s">
        <v>20</v>
      </c>
      <c r="I212" s="18" t="s">
        <v>20</v>
      </c>
      <c r="J212" s="18" t="s">
        <v>21</v>
      </c>
      <c r="K212" s="18" t="s">
        <v>21</v>
      </c>
      <c r="L212" s="18" t="s">
        <v>21</v>
      </c>
      <c r="M212" s="18" t="s">
        <v>20</v>
      </c>
      <c r="N212" s="18" t="s">
        <v>20</v>
      </c>
      <c r="O212" s="18" t="s">
        <v>20</v>
      </c>
      <c r="P212" s="18" t="s">
        <v>21</v>
      </c>
      <c r="Q212" s="18" t="s">
        <v>21</v>
      </c>
      <c r="R212" s="18" t="s">
        <v>20</v>
      </c>
      <c r="S212" s="18" t="s">
        <v>20</v>
      </c>
      <c r="T212" s="18" t="s">
        <v>21</v>
      </c>
      <c r="U212" s="18" t="s">
        <v>20</v>
      </c>
      <c r="V212" s="37" t="s">
        <v>20</v>
      </c>
      <c r="W212" s="37" t="s">
        <v>20</v>
      </c>
      <c r="X212" s="37" t="s">
        <v>20</v>
      </c>
      <c r="Y212" s="18" t="s">
        <v>20</v>
      </c>
      <c r="Z212" s="18" t="s">
        <v>20</v>
      </c>
      <c r="AA212" s="20" t="s">
        <v>20</v>
      </c>
      <c r="AB212" s="20" t="s">
        <v>20</v>
      </c>
      <c r="AC212" s="20" t="s">
        <v>20</v>
      </c>
      <c r="AD212" s="29" t="s">
        <v>20</v>
      </c>
      <c r="AE212" s="29" t="s">
        <v>21</v>
      </c>
      <c r="AG212">
        <f>+COUNTIF(F212:AE212,"AD")</f>
        <v>0</v>
      </c>
      <c r="AH212">
        <f>+COUNTIF(F212:AE212,"A")</f>
        <v>19</v>
      </c>
      <c r="AI212">
        <f>+COUNTIF(F212:AE212,"b")</f>
        <v>7</v>
      </c>
      <c r="AJ212">
        <f>+COUNTIF(F212:AE212,"c")</f>
        <v>0</v>
      </c>
      <c r="AL212">
        <f>+$AG$5*AG212</f>
        <v>0</v>
      </c>
      <c r="AM212">
        <f>+$AH$5*AH212</f>
        <v>57</v>
      </c>
      <c r="AN212">
        <f>+$AI$5*AI212</f>
        <v>14</v>
      </c>
      <c r="AO212">
        <f>+$AJ$5*AJ212</f>
        <v>0</v>
      </c>
      <c r="AP212" s="73">
        <f>+SUM(AL212:AO212)</f>
        <v>71</v>
      </c>
    </row>
    <row r="213" spans="1:42" ht="15.75" customHeight="1" x14ac:dyDescent="0.3">
      <c r="A213" s="16"/>
      <c r="B213" s="55">
        <v>7</v>
      </c>
      <c r="C213" s="56" t="s">
        <v>234</v>
      </c>
      <c r="D213" s="55">
        <v>5</v>
      </c>
      <c r="E213" s="55" t="s">
        <v>21</v>
      </c>
      <c r="F213" s="18" t="s">
        <v>20</v>
      </c>
      <c r="G213" s="18" t="s">
        <v>20</v>
      </c>
      <c r="H213" s="18" t="s">
        <v>21</v>
      </c>
      <c r="I213" s="18" t="s">
        <v>20</v>
      </c>
      <c r="J213" s="18" t="s">
        <v>20</v>
      </c>
      <c r="K213" s="18" t="s">
        <v>21</v>
      </c>
      <c r="L213" s="18" t="s">
        <v>20</v>
      </c>
      <c r="M213" s="18" t="s">
        <v>20</v>
      </c>
      <c r="N213" s="18" t="s">
        <v>20</v>
      </c>
      <c r="O213" s="18" t="s">
        <v>20</v>
      </c>
      <c r="P213" s="18" t="s">
        <v>21</v>
      </c>
      <c r="Q213" s="18" t="s">
        <v>21</v>
      </c>
      <c r="R213" s="18" t="s">
        <v>21</v>
      </c>
      <c r="S213" s="18" t="s">
        <v>20</v>
      </c>
      <c r="T213" s="18" t="s">
        <v>21</v>
      </c>
      <c r="U213" s="18" t="s">
        <v>20</v>
      </c>
      <c r="V213" s="37" t="s">
        <v>20</v>
      </c>
      <c r="W213" s="37" t="s">
        <v>20</v>
      </c>
      <c r="X213" s="37" t="s">
        <v>20</v>
      </c>
      <c r="Y213" s="18" t="s">
        <v>20</v>
      </c>
      <c r="Z213" s="18" t="s">
        <v>20</v>
      </c>
      <c r="AA213" s="20" t="s">
        <v>20</v>
      </c>
      <c r="AB213" s="20" t="s">
        <v>20</v>
      </c>
      <c r="AC213" s="20" t="s">
        <v>20</v>
      </c>
      <c r="AD213" s="29" t="s">
        <v>20</v>
      </c>
      <c r="AE213" s="29" t="s">
        <v>21</v>
      </c>
      <c r="AG213">
        <f>+COUNTIF(F213:AE213,"AD")</f>
        <v>0</v>
      </c>
      <c r="AH213">
        <f>+COUNTIF(F213:AE213,"A")</f>
        <v>19</v>
      </c>
      <c r="AI213">
        <f>+COUNTIF(F213:AE213,"b")</f>
        <v>7</v>
      </c>
      <c r="AJ213">
        <f>+COUNTIF(F213:AE213,"c")</f>
        <v>0</v>
      </c>
      <c r="AL213">
        <f>+$AG$5*AG213</f>
        <v>0</v>
      </c>
      <c r="AM213">
        <f>+$AH$5*AH213</f>
        <v>57</v>
      </c>
      <c r="AN213">
        <f>+$AI$5*AI213</f>
        <v>14</v>
      </c>
      <c r="AO213">
        <f>+$AJ$5*AJ213</f>
        <v>0</v>
      </c>
      <c r="AP213" s="73">
        <f>+SUM(AL213:AO213)</f>
        <v>71</v>
      </c>
    </row>
    <row r="214" spans="1:42" ht="15.75" customHeight="1" x14ac:dyDescent="0.3">
      <c r="A214" s="16"/>
      <c r="B214" s="55">
        <v>8</v>
      </c>
      <c r="C214" s="56" t="s">
        <v>242</v>
      </c>
      <c r="D214" s="55">
        <v>5</v>
      </c>
      <c r="E214" s="55" t="s">
        <v>21</v>
      </c>
      <c r="F214" s="18" t="s">
        <v>20</v>
      </c>
      <c r="G214" s="18" t="s">
        <v>20</v>
      </c>
      <c r="H214" s="18" t="s">
        <v>21</v>
      </c>
      <c r="I214" s="18" t="s">
        <v>21</v>
      </c>
      <c r="J214" s="18" t="s">
        <v>20</v>
      </c>
      <c r="K214" s="18" t="s">
        <v>20</v>
      </c>
      <c r="L214" s="18" t="s">
        <v>21</v>
      </c>
      <c r="M214" s="18" t="s">
        <v>20</v>
      </c>
      <c r="N214" s="18" t="s">
        <v>20</v>
      </c>
      <c r="O214" s="18" t="s">
        <v>20</v>
      </c>
      <c r="P214" s="18" t="s">
        <v>21</v>
      </c>
      <c r="Q214" s="18" t="s">
        <v>21</v>
      </c>
      <c r="R214" s="18" t="s">
        <v>21</v>
      </c>
      <c r="S214" s="18" t="s">
        <v>20</v>
      </c>
      <c r="T214" s="18" t="s">
        <v>20</v>
      </c>
      <c r="U214" s="18" t="s">
        <v>20</v>
      </c>
      <c r="V214" s="37" t="s">
        <v>20</v>
      </c>
      <c r="W214" s="37" t="s">
        <v>20</v>
      </c>
      <c r="X214" s="37" t="s">
        <v>20</v>
      </c>
      <c r="Y214" s="18" t="s">
        <v>20</v>
      </c>
      <c r="Z214" s="18" t="s">
        <v>20</v>
      </c>
      <c r="AA214" s="20" t="s">
        <v>21</v>
      </c>
      <c r="AB214" s="20" t="s">
        <v>20</v>
      </c>
      <c r="AC214" s="20" t="s">
        <v>20</v>
      </c>
      <c r="AD214" s="29" t="s">
        <v>20</v>
      </c>
      <c r="AE214" s="29" t="s">
        <v>21</v>
      </c>
      <c r="AG214">
        <f>+COUNTIF(F214:AE214,"AD")</f>
        <v>0</v>
      </c>
      <c r="AH214">
        <f>+COUNTIF(F214:AE214,"A")</f>
        <v>18</v>
      </c>
      <c r="AI214">
        <f>+COUNTIF(F214:AE214,"b")</f>
        <v>8</v>
      </c>
      <c r="AJ214">
        <f>+COUNTIF(F214:AE214,"c")</f>
        <v>0</v>
      </c>
      <c r="AL214">
        <f>+$AG$5*AG214</f>
        <v>0</v>
      </c>
      <c r="AM214">
        <f>+$AH$5*AH214</f>
        <v>54</v>
      </c>
      <c r="AN214">
        <f>+$AI$5*AI214</f>
        <v>16</v>
      </c>
      <c r="AO214">
        <f>+$AJ$5*AJ214</f>
        <v>0</v>
      </c>
      <c r="AP214" s="73">
        <f>+SUM(AL214:AO214)</f>
        <v>70</v>
      </c>
    </row>
    <row r="215" spans="1:42" ht="15.75" customHeight="1" x14ac:dyDescent="0.3">
      <c r="A215" s="16"/>
      <c r="B215" s="55">
        <v>9</v>
      </c>
      <c r="C215" s="56" t="s">
        <v>225</v>
      </c>
      <c r="D215" s="55">
        <v>5</v>
      </c>
      <c r="E215" s="55" t="s">
        <v>21</v>
      </c>
      <c r="F215" s="18" t="s">
        <v>21</v>
      </c>
      <c r="G215" s="18" t="s">
        <v>20</v>
      </c>
      <c r="H215" s="18" t="s">
        <v>21</v>
      </c>
      <c r="I215" s="18" t="s">
        <v>21</v>
      </c>
      <c r="J215" s="18" t="s">
        <v>20</v>
      </c>
      <c r="K215" s="18" t="s">
        <v>20</v>
      </c>
      <c r="L215" s="18" t="s">
        <v>20</v>
      </c>
      <c r="M215" s="18" t="s">
        <v>20</v>
      </c>
      <c r="N215" s="18" t="s">
        <v>20</v>
      </c>
      <c r="O215" s="18" t="s">
        <v>20</v>
      </c>
      <c r="P215" s="18" t="s">
        <v>21</v>
      </c>
      <c r="Q215" s="18" t="s">
        <v>21</v>
      </c>
      <c r="R215" s="18" t="s">
        <v>21</v>
      </c>
      <c r="S215" s="18" t="s">
        <v>20</v>
      </c>
      <c r="T215" s="18" t="s">
        <v>21</v>
      </c>
      <c r="U215" s="18" t="s">
        <v>20</v>
      </c>
      <c r="V215" s="37" t="s">
        <v>20</v>
      </c>
      <c r="W215" s="37" t="s">
        <v>20</v>
      </c>
      <c r="X215" s="37" t="s">
        <v>20</v>
      </c>
      <c r="Y215" s="18" t="s">
        <v>20</v>
      </c>
      <c r="Z215" s="18" t="s">
        <v>20</v>
      </c>
      <c r="AA215" s="20" t="s">
        <v>20</v>
      </c>
      <c r="AB215" s="20" t="s">
        <v>20</v>
      </c>
      <c r="AC215" s="20" t="s">
        <v>21</v>
      </c>
      <c r="AD215" s="18" t="s">
        <v>20</v>
      </c>
      <c r="AE215" s="18" t="s">
        <v>21</v>
      </c>
      <c r="AG215">
        <f>+COUNTIF(F215:AE215,"AD")</f>
        <v>0</v>
      </c>
      <c r="AH215">
        <f>+COUNTIF(F215:AE215,"A")</f>
        <v>17</v>
      </c>
      <c r="AI215">
        <f>+COUNTIF(F215:AE215,"b")</f>
        <v>9</v>
      </c>
      <c r="AJ215">
        <f>+COUNTIF(F215:AE215,"c")</f>
        <v>0</v>
      </c>
      <c r="AL215">
        <f>+$AG$5*AG215</f>
        <v>0</v>
      </c>
      <c r="AM215">
        <f>+$AH$5*AH215</f>
        <v>51</v>
      </c>
      <c r="AN215">
        <f>+$AI$5*AI215</f>
        <v>18</v>
      </c>
      <c r="AO215">
        <f>+$AJ$5*AJ215</f>
        <v>0</v>
      </c>
      <c r="AP215" s="73">
        <f>+SUM(AL215:AO215)</f>
        <v>69</v>
      </c>
    </row>
    <row r="216" spans="1:42" ht="15.75" customHeight="1" x14ac:dyDescent="0.3">
      <c r="A216" s="16"/>
      <c r="B216" s="55">
        <v>10</v>
      </c>
      <c r="C216" s="56" t="s">
        <v>229</v>
      </c>
      <c r="D216" s="55">
        <v>5</v>
      </c>
      <c r="E216" s="55" t="s">
        <v>21</v>
      </c>
      <c r="F216" s="18" t="s">
        <v>20</v>
      </c>
      <c r="G216" s="18" t="s">
        <v>21</v>
      </c>
      <c r="H216" s="18" t="s">
        <v>20</v>
      </c>
      <c r="I216" s="18" t="s">
        <v>20</v>
      </c>
      <c r="J216" s="18" t="s">
        <v>21</v>
      </c>
      <c r="K216" s="18" t="s">
        <v>21</v>
      </c>
      <c r="L216" s="18" t="s">
        <v>20</v>
      </c>
      <c r="M216" s="18" t="s">
        <v>20</v>
      </c>
      <c r="N216" s="18" t="s">
        <v>20</v>
      </c>
      <c r="O216" s="18" t="s">
        <v>20</v>
      </c>
      <c r="P216" s="18" t="s">
        <v>21</v>
      </c>
      <c r="Q216" s="18" t="s">
        <v>20</v>
      </c>
      <c r="R216" s="18" t="s">
        <v>21</v>
      </c>
      <c r="S216" s="18" t="s">
        <v>20</v>
      </c>
      <c r="T216" s="18" t="s">
        <v>21</v>
      </c>
      <c r="U216" s="18" t="s">
        <v>20</v>
      </c>
      <c r="V216" s="37" t="s">
        <v>20</v>
      </c>
      <c r="W216" s="37" t="s">
        <v>21</v>
      </c>
      <c r="X216" s="37" t="s">
        <v>20</v>
      </c>
      <c r="Y216" s="18" t="s">
        <v>21</v>
      </c>
      <c r="Z216" s="18" t="s">
        <v>20</v>
      </c>
      <c r="AA216" s="20" t="s">
        <v>20</v>
      </c>
      <c r="AB216" s="20" t="s">
        <v>20</v>
      </c>
      <c r="AC216" s="20" t="s">
        <v>20</v>
      </c>
      <c r="AD216" s="18" t="s">
        <v>20</v>
      </c>
      <c r="AE216" s="18" t="s">
        <v>21</v>
      </c>
      <c r="AG216">
        <f>+COUNTIF(F216:AE216,"AD")</f>
        <v>0</v>
      </c>
      <c r="AH216">
        <f>+COUNTIF(F216:AE216,"A")</f>
        <v>17</v>
      </c>
      <c r="AI216">
        <f>+COUNTIF(F216:AE216,"b")</f>
        <v>9</v>
      </c>
      <c r="AJ216">
        <f>+COUNTIF(F216:AE216,"c")</f>
        <v>0</v>
      </c>
      <c r="AL216">
        <f>+$AG$5*AG216</f>
        <v>0</v>
      </c>
      <c r="AM216">
        <f>+$AH$5*AH216</f>
        <v>51</v>
      </c>
      <c r="AN216">
        <f>+$AI$5*AI216</f>
        <v>18</v>
      </c>
      <c r="AO216">
        <f>+$AJ$5*AJ216</f>
        <v>0</v>
      </c>
      <c r="AP216" s="73">
        <f>+SUM(AL216:AO216)</f>
        <v>69</v>
      </c>
    </row>
    <row r="217" spans="1:42" ht="15.75" customHeight="1" x14ac:dyDescent="0.3">
      <c r="A217" s="16"/>
      <c r="B217" s="55">
        <v>11</v>
      </c>
      <c r="C217" s="56" t="s">
        <v>240</v>
      </c>
      <c r="D217" s="55">
        <v>5</v>
      </c>
      <c r="E217" s="55" t="s">
        <v>21</v>
      </c>
      <c r="F217" s="18" t="s">
        <v>20</v>
      </c>
      <c r="G217" s="18" t="s">
        <v>20</v>
      </c>
      <c r="H217" s="18" t="s">
        <v>21</v>
      </c>
      <c r="I217" s="18" t="s">
        <v>20</v>
      </c>
      <c r="J217" s="18" t="s">
        <v>21</v>
      </c>
      <c r="K217" s="18" t="s">
        <v>21</v>
      </c>
      <c r="L217" s="18" t="s">
        <v>20</v>
      </c>
      <c r="M217" s="18" t="s">
        <v>20</v>
      </c>
      <c r="N217" s="18" t="s">
        <v>20</v>
      </c>
      <c r="O217" s="18" t="s">
        <v>20</v>
      </c>
      <c r="P217" s="18" t="s">
        <v>21</v>
      </c>
      <c r="Q217" s="18" t="s">
        <v>20</v>
      </c>
      <c r="R217" s="18" t="s">
        <v>21</v>
      </c>
      <c r="S217" s="18" t="s">
        <v>21</v>
      </c>
      <c r="T217" s="18" t="s">
        <v>21</v>
      </c>
      <c r="U217" s="18" t="s">
        <v>20</v>
      </c>
      <c r="V217" s="37" t="s">
        <v>20</v>
      </c>
      <c r="W217" s="37" t="s">
        <v>20</v>
      </c>
      <c r="X217" s="37" t="s">
        <v>20</v>
      </c>
      <c r="Y217" s="18" t="s">
        <v>20</v>
      </c>
      <c r="Z217" s="18" t="s">
        <v>21</v>
      </c>
      <c r="AA217" s="20" t="s">
        <v>21</v>
      </c>
      <c r="AB217" s="20" t="s">
        <v>20</v>
      </c>
      <c r="AC217" s="20" t="s">
        <v>20</v>
      </c>
      <c r="AD217" s="29" t="s">
        <v>20</v>
      </c>
      <c r="AE217" s="29" t="s">
        <v>21</v>
      </c>
      <c r="AG217">
        <f>+COUNTIF(F217:AE217,"AD")</f>
        <v>0</v>
      </c>
      <c r="AH217">
        <f>+COUNTIF(F217:AE217,"A")</f>
        <v>16</v>
      </c>
      <c r="AI217">
        <f>+COUNTIF(F217:AE217,"b")</f>
        <v>10</v>
      </c>
      <c r="AJ217">
        <f>+COUNTIF(F217:AE217,"c")</f>
        <v>0</v>
      </c>
      <c r="AL217">
        <f>+$AG$5*AG217</f>
        <v>0</v>
      </c>
      <c r="AM217">
        <f>+$AH$5*AH217</f>
        <v>48</v>
      </c>
      <c r="AN217">
        <f>+$AI$5*AI217</f>
        <v>20</v>
      </c>
      <c r="AO217">
        <f>+$AJ$5*AJ217</f>
        <v>0</v>
      </c>
      <c r="AP217" s="73">
        <f>+SUM(AL217:AO217)</f>
        <v>68</v>
      </c>
    </row>
    <row r="218" spans="1:42" ht="15.75" customHeight="1" x14ac:dyDescent="0.3">
      <c r="A218" s="16"/>
      <c r="B218" s="55">
        <v>12</v>
      </c>
      <c r="C218" s="56" t="s">
        <v>247</v>
      </c>
      <c r="D218" s="55">
        <v>5</v>
      </c>
      <c r="E218" s="55" t="s">
        <v>21</v>
      </c>
      <c r="F218" s="18" t="s">
        <v>21</v>
      </c>
      <c r="G218" s="18" t="s">
        <v>21</v>
      </c>
      <c r="H218" s="18" t="s">
        <v>21</v>
      </c>
      <c r="I218" s="18" t="s">
        <v>20</v>
      </c>
      <c r="J218" s="18" t="s">
        <v>20</v>
      </c>
      <c r="K218" s="18" t="s">
        <v>20</v>
      </c>
      <c r="L218" s="18" t="s">
        <v>20</v>
      </c>
      <c r="M218" s="18" t="s">
        <v>20</v>
      </c>
      <c r="N218" s="18" t="s">
        <v>21</v>
      </c>
      <c r="O218" s="18" t="s">
        <v>20</v>
      </c>
      <c r="P218" s="18" t="s">
        <v>21</v>
      </c>
      <c r="Q218" s="18" t="s">
        <v>21</v>
      </c>
      <c r="R218" s="18" t="s">
        <v>20</v>
      </c>
      <c r="S218" s="18" t="s">
        <v>21</v>
      </c>
      <c r="T218" s="18" t="s">
        <v>21</v>
      </c>
      <c r="U218" s="18" t="s">
        <v>21</v>
      </c>
      <c r="V218" s="37" t="s">
        <v>20</v>
      </c>
      <c r="W218" s="37" t="s">
        <v>20</v>
      </c>
      <c r="X218" s="37" t="s">
        <v>20</v>
      </c>
      <c r="Y218" s="18" t="s">
        <v>20</v>
      </c>
      <c r="Z218" s="18" t="s">
        <v>21</v>
      </c>
      <c r="AA218" s="20" t="s">
        <v>20</v>
      </c>
      <c r="AB218" s="20" t="s">
        <v>20</v>
      </c>
      <c r="AC218" s="20" t="s">
        <v>20</v>
      </c>
      <c r="AD218" s="29" t="s">
        <v>20</v>
      </c>
      <c r="AE218" s="29" t="s">
        <v>21</v>
      </c>
      <c r="AG218">
        <f>+COUNTIF(F218:AE218,"AD")</f>
        <v>0</v>
      </c>
      <c r="AH218">
        <f>+COUNTIF(F218:AE218,"A")</f>
        <v>15</v>
      </c>
      <c r="AI218">
        <f>+COUNTIF(F218:AE218,"b")</f>
        <v>11</v>
      </c>
      <c r="AJ218">
        <f>+COUNTIF(F218:AE218,"c")</f>
        <v>0</v>
      </c>
      <c r="AL218">
        <f>+$AG$5*AG218</f>
        <v>0</v>
      </c>
      <c r="AM218">
        <f>+$AH$5*AH218</f>
        <v>45</v>
      </c>
      <c r="AN218">
        <f>+$AI$5*AI218</f>
        <v>22</v>
      </c>
      <c r="AO218">
        <f>+$AJ$5*AJ218</f>
        <v>0</v>
      </c>
      <c r="AP218" s="73">
        <f>+SUM(AL218:AO218)</f>
        <v>67</v>
      </c>
    </row>
    <row r="219" spans="1:42" ht="15.75" customHeight="1" x14ac:dyDescent="0.3">
      <c r="A219" s="16"/>
      <c r="B219" s="55">
        <v>13</v>
      </c>
      <c r="C219" s="56" t="s">
        <v>244</v>
      </c>
      <c r="D219" s="55">
        <v>5</v>
      </c>
      <c r="E219" s="55" t="s">
        <v>21</v>
      </c>
      <c r="F219" s="18" t="s">
        <v>20</v>
      </c>
      <c r="G219" s="18" t="s">
        <v>21</v>
      </c>
      <c r="H219" s="18" t="s">
        <v>21</v>
      </c>
      <c r="I219" s="18" t="s">
        <v>21</v>
      </c>
      <c r="J219" s="18" t="s">
        <v>21</v>
      </c>
      <c r="K219" s="18" t="s">
        <v>20</v>
      </c>
      <c r="L219" s="18" t="s">
        <v>20</v>
      </c>
      <c r="M219" s="18" t="s">
        <v>20</v>
      </c>
      <c r="N219" s="18" t="s">
        <v>21</v>
      </c>
      <c r="O219" s="18" t="s">
        <v>20</v>
      </c>
      <c r="P219" s="18" t="s">
        <v>21</v>
      </c>
      <c r="Q219" s="18" t="s">
        <v>21</v>
      </c>
      <c r="R219" s="18" t="s">
        <v>21</v>
      </c>
      <c r="S219" s="18" t="s">
        <v>20</v>
      </c>
      <c r="T219" s="18" t="s">
        <v>21</v>
      </c>
      <c r="U219" s="18" t="s">
        <v>21</v>
      </c>
      <c r="V219" s="37" t="s">
        <v>20</v>
      </c>
      <c r="W219" s="37" t="s">
        <v>21</v>
      </c>
      <c r="X219" s="37" t="s">
        <v>20</v>
      </c>
      <c r="Y219" s="18" t="s">
        <v>20</v>
      </c>
      <c r="Z219" s="18" t="s">
        <v>20</v>
      </c>
      <c r="AA219" s="20" t="s">
        <v>20</v>
      </c>
      <c r="AB219" s="20" t="s">
        <v>20</v>
      </c>
      <c r="AC219" s="20" t="s">
        <v>20</v>
      </c>
      <c r="AD219" s="29" t="s">
        <v>20</v>
      </c>
      <c r="AE219" s="29" t="s">
        <v>21</v>
      </c>
      <c r="AG219">
        <f>+COUNTIF(F219:AE219,"AD")</f>
        <v>0</v>
      </c>
      <c r="AH219">
        <f>+COUNTIF(F219:AE219,"A")</f>
        <v>14</v>
      </c>
      <c r="AI219">
        <f>+COUNTIF(F219:AE219,"b")</f>
        <v>12</v>
      </c>
      <c r="AJ219">
        <f>+COUNTIF(F219:AE219,"c")</f>
        <v>0</v>
      </c>
      <c r="AL219">
        <f>+$AG$5*AG219</f>
        <v>0</v>
      </c>
      <c r="AM219">
        <f>+$AH$5*AH219</f>
        <v>42</v>
      </c>
      <c r="AN219">
        <f>+$AI$5*AI219</f>
        <v>24</v>
      </c>
      <c r="AO219">
        <f>+$AJ$5*AJ219</f>
        <v>0</v>
      </c>
      <c r="AP219" s="73">
        <f>+SUM(AL219:AO219)</f>
        <v>66</v>
      </c>
    </row>
    <row r="220" spans="1:42" ht="15.75" customHeight="1" x14ac:dyDescent="0.3">
      <c r="A220" s="16"/>
      <c r="B220" s="55">
        <v>14</v>
      </c>
      <c r="C220" s="56" t="s">
        <v>235</v>
      </c>
      <c r="D220" s="55">
        <v>5</v>
      </c>
      <c r="E220" s="55" t="s">
        <v>21</v>
      </c>
      <c r="F220" s="18" t="s">
        <v>21</v>
      </c>
      <c r="G220" s="18" t="s">
        <v>21</v>
      </c>
      <c r="H220" s="18" t="s">
        <v>21</v>
      </c>
      <c r="I220" s="18" t="s">
        <v>21</v>
      </c>
      <c r="J220" s="18" t="s">
        <v>21</v>
      </c>
      <c r="K220" s="18" t="s">
        <v>21</v>
      </c>
      <c r="L220" s="18" t="s">
        <v>20</v>
      </c>
      <c r="M220" s="18" t="s">
        <v>20</v>
      </c>
      <c r="N220" s="18" t="s">
        <v>20</v>
      </c>
      <c r="O220" s="18" t="s">
        <v>20</v>
      </c>
      <c r="P220" s="18" t="s">
        <v>21</v>
      </c>
      <c r="Q220" s="18" t="s">
        <v>21</v>
      </c>
      <c r="R220" s="18" t="s">
        <v>21</v>
      </c>
      <c r="S220" s="18" t="s">
        <v>20</v>
      </c>
      <c r="T220" s="18" t="s">
        <v>20</v>
      </c>
      <c r="U220" s="18" t="s">
        <v>21</v>
      </c>
      <c r="V220" s="37" t="s">
        <v>20</v>
      </c>
      <c r="W220" s="37" t="s">
        <v>21</v>
      </c>
      <c r="X220" s="37" t="s">
        <v>20</v>
      </c>
      <c r="Y220" s="18" t="s">
        <v>20</v>
      </c>
      <c r="Z220" s="18" t="s">
        <v>21</v>
      </c>
      <c r="AA220" s="20" t="s">
        <v>20</v>
      </c>
      <c r="AB220" s="20" t="s">
        <v>20</v>
      </c>
      <c r="AC220" s="20" t="s">
        <v>20</v>
      </c>
      <c r="AD220" s="29" t="s">
        <v>20</v>
      </c>
      <c r="AE220" s="29" t="s">
        <v>21</v>
      </c>
      <c r="AG220">
        <f>+COUNTIF(F220:AE220,"AD")</f>
        <v>0</v>
      </c>
      <c r="AH220">
        <f>+COUNTIF(F220:AE220,"A")</f>
        <v>13</v>
      </c>
      <c r="AI220">
        <f>+COUNTIF(F220:AE220,"b")</f>
        <v>13</v>
      </c>
      <c r="AJ220">
        <f>+COUNTIF(F220:AE220,"c")</f>
        <v>0</v>
      </c>
      <c r="AL220">
        <f>+$AG$5*AG220</f>
        <v>0</v>
      </c>
      <c r="AM220">
        <f>+$AH$5*AH220</f>
        <v>39</v>
      </c>
      <c r="AN220">
        <f>+$AI$5*AI220</f>
        <v>26</v>
      </c>
      <c r="AO220">
        <f>+$AJ$5*AJ220</f>
        <v>0</v>
      </c>
      <c r="AP220" s="73">
        <f>+SUM(AL220:AO220)</f>
        <v>65</v>
      </c>
    </row>
    <row r="221" spans="1:42" ht="15.75" customHeight="1" x14ac:dyDescent="0.3">
      <c r="A221" s="16"/>
      <c r="B221" s="55">
        <v>15</v>
      </c>
      <c r="C221" s="56" t="s">
        <v>237</v>
      </c>
      <c r="D221" s="55">
        <v>5</v>
      </c>
      <c r="E221" s="55" t="s">
        <v>21</v>
      </c>
      <c r="F221" s="18" t="s">
        <v>21</v>
      </c>
      <c r="G221" s="18" t="s">
        <v>21</v>
      </c>
      <c r="H221" s="18" t="s">
        <v>21</v>
      </c>
      <c r="I221" s="18" t="s">
        <v>21</v>
      </c>
      <c r="J221" s="18" t="s">
        <v>20</v>
      </c>
      <c r="K221" s="18" t="s">
        <v>20</v>
      </c>
      <c r="L221" s="18" t="s">
        <v>20</v>
      </c>
      <c r="M221" s="18" t="s">
        <v>20</v>
      </c>
      <c r="N221" s="18" t="s">
        <v>21</v>
      </c>
      <c r="O221" s="18" t="s">
        <v>20</v>
      </c>
      <c r="P221" s="18" t="s">
        <v>23</v>
      </c>
      <c r="Q221" s="18" t="s">
        <v>21</v>
      </c>
      <c r="R221" s="18" t="s">
        <v>21</v>
      </c>
      <c r="S221" s="18" t="s">
        <v>20</v>
      </c>
      <c r="T221" s="18" t="s">
        <v>21</v>
      </c>
      <c r="U221" s="18" t="s">
        <v>21</v>
      </c>
      <c r="V221" s="37" t="s">
        <v>20</v>
      </c>
      <c r="W221" s="37" t="s">
        <v>20</v>
      </c>
      <c r="X221" s="37" t="s">
        <v>20</v>
      </c>
      <c r="Y221" s="18" t="s">
        <v>20</v>
      </c>
      <c r="Z221" s="18" t="s">
        <v>20</v>
      </c>
      <c r="AA221" s="20" t="s">
        <v>21</v>
      </c>
      <c r="AB221" s="20" t="s">
        <v>20</v>
      </c>
      <c r="AC221" s="20" t="s">
        <v>21</v>
      </c>
      <c r="AD221" s="29" t="s">
        <v>21</v>
      </c>
      <c r="AE221" s="29" t="s">
        <v>21</v>
      </c>
      <c r="AG221">
        <f>+COUNTIF(F221:AE221,"AD")</f>
        <v>0</v>
      </c>
      <c r="AH221">
        <f>+COUNTIF(F221:AE221,"A")</f>
        <v>12</v>
      </c>
      <c r="AI221">
        <f>+COUNTIF(F221:AE221,"b")</f>
        <v>13</v>
      </c>
      <c r="AJ221">
        <f>+COUNTIF(F221:AE221,"c")</f>
        <v>1</v>
      </c>
      <c r="AL221">
        <f>+$AG$5*AG221</f>
        <v>0</v>
      </c>
      <c r="AM221">
        <f>+$AH$5*AH221</f>
        <v>36</v>
      </c>
      <c r="AN221">
        <f>+$AI$5*AI221</f>
        <v>26</v>
      </c>
      <c r="AO221">
        <f>+$AJ$5*AJ221</f>
        <v>1</v>
      </c>
      <c r="AP221" s="73">
        <f>+SUM(AL221:AO221)</f>
        <v>63</v>
      </c>
    </row>
    <row r="222" spans="1:42" ht="15.75" customHeight="1" x14ac:dyDescent="0.3">
      <c r="A222" s="16"/>
      <c r="B222" s="55">
        <v>16</v>
      </c>
      <c r="C222" s="56" t="s">
        <v>236</v>
      </c>
      <c r="D222" s="55">
        <v>5</v>
      </c>
      <c r="E222" s="55" t="s">
        <v>21</v>
      </c>
      <c r="F222" s="18" t="s">
        <v>21</v>
      </c>
      <c r="G222" s="18" t="s">
        <v>21</v>
      </c>
      <c r="H222" s="18" t="s">
        <v>21</v>
      </c>
      <c r="I222" s="18" t="s">
        <v>20</v>
      </c>
      <c r="J222" s="18" t="s">
        <v>21</v>
      </c>
      <c r="K222" s="18" t="s">
        <v>21</v>
      </c>
      <c r="L222" s="18" t="s">
        <v>20</v>
      </c>
      <c r="M222" s="18" t="s">
        <v>20</v>
      </c>
      <c r="N222" s="18" t="s">
        <v>20</v>
      </c>
      <c r="O222" s="18" t="s">
        <v>20</v>
      </c>
      <c r="P222" s="18" t="s">
        <v>23</v>
      </c>
      <c r="Q222" s="18" t="s">
        <v>23</v>
      </c>
      <c r="R222" s="18" t="s">
        <v>23</v>
      </c>
      <c r="S222" s="18" t="s">
        <v>21</v>
      </c>
      <c r="T222" s="18" t="s">
        <v>21</v>
      </c>
      <c r="U222" s="18" t="s">
        <v>20</v>
      </c>
      <c r="V222" s="37" t="s">
        <v>20</v>
      </c>
      <c r="W222" s="37" t="s">
        <v>20</v>
      </c>
      <c r="X222" s="37" t="s">
        <v>20</v>
      </c>
      <c r="Y222" s="18" t="s">
        <v>20</v>
      </c>
      <c r="Z222" s="18" t="s">
        <v>20</v>
      </c>
      <c r="AA222" s="20" t="s">
        <v>20</v>
      </c>
      <c r="AB222" s="20" t="s">
        <v>20</v>
      </c>
      <c r="AC222" s="20" t="s">
        <v>20</v>
      </c>
      <c r="AD222" s="29" t="s">
        <v>23</v>
      </c>
      <c r="AE222" s="29" t="s">
        <v>21</v>
      </c>
      <c r="AG222">
        <f>+COUNTIF(F222:AE222,"AD")</f>
        <v>0</v>
      </c>
      <c r="AH222">
        <f>+COUNTIF(F222:AE222,"A")</f>
        <v>14</v>
      </c>
      <c r="AI222">
        <f>+COUNTIF(F222:AE222,"b")</f>
        <v>8</v>
      </c>
      <c r="AJ222">
        <f>+COUNTIF(F222:AE222,"c")</f>
        <v>4</v>
      </c>
      <c r="AL222">
        <f>+$AG$5*AG222</f>
        <v>0</v>
      </c>
      <c r="AM222">
        <f>+$AH$5*AH222</f>
        <v>42</v>
      </c>
      <c r="AN222">
        <f>+$AI$5*AI222</f>
        <v>16</v>
      </c>
      <c r="AO222">
        <f>+$AJ$5*AJ222</f>
        <v>4</v>
      </c>
      <c r="AP222" s="73">
        <f>+SUM(AL222:AO222)</f>
        <v>62</v>
      </c>
    </row>
    <row r="223" spans="1:42" ht="15.75" customHeight="1" x14ac:dyDescent="0.3">
      <c r="A223" s="16"/>
      <c r="B223" s="55">
        <v>17</v>
      </c>
      <c r="C223" s="56" t="s">
        <v>230</v>
      </c>
      <c r="D223" s="55">
        <v>5</v>
      </c>
      <c r="E223" s="55" t="s">
        <v>21</v>
      </c>
      <c r="F223" s="18" t="s">
        <v>21</v>
      </c>
      <c r="G223" s="18" t="s">
        <v>21</v>
      </c>
      <c r="H223" s="18" t="s">
        <v>21</v>
      </c>
      <c r="I223" s="18" t="s">
        <v>20</v>
      </c>
      <c r="J223" s="18" t="s">
        <v>21</v>
      </c>
      <c r="K223" s="18" t="s">
        <v>21</v>
      </c>
      <c r="L223" s="18" t="s">
        <v>21</v>
      </c>
      <c r="M223" s="18" t="s">
        <v>20</v>
      </c>
      <c r="N223" s="18" t="s">
        <v>20</v>
      </c>
      <c r="O223" s="18" t="s">
        <v>20</v>
      </c>
      <c r="P223" s="18" t="s">
        <v>21</v>
      </c>
      <c r="Q223" s="18" t="s">
        <v>23</v>
      </c>
      <c r="R223" s="18" t="s">
        <v>23</v>
      </c>
      <c r="S223" s="18" t="s">
        <v>21</v>
      </c>
      <c r="T223" s="18" t="s">
        <v>21</v>
      </c>
      <c r="U223" s="18" t="s">
        <v>20</v>
      </c>
      <c r="V223" s="37" t="s">
        <v>20</v>
      </c>
      <c r="W223" s="37" t="s">
        <v>20</v>
      </c>
      <c r="X223" s="37" t="s">
        <v>20</v>
      </c>
      <c r="Y223" s="18" t="s">
        <v>21</v>
      </c>
      <c r="Z223" s="18" t="s">
        <v>20</v>
      </c>
      <c r="AA223" s="20" t="s">
        <v>20</v>
      </c>
      <c r="AB223" s="20" t="s">
        <v>20</v>
      </c>
      <c r="AC223" s="20" t="s">
        <v>20</v>
      </c>
      <c r="AD223" s="29" t="s">
        <v>23</v>
      </c>
      <c r="AE223" s="29" t="s">
        <v>21</v>
      </c>
      <c r="AG223">
        <f>+COUNTIF(F223:AE223,"AD")</f>
        <v>0</v>
      </c>
      <c r="AH223">
        <f>+COUNTIF(F223:AE223,"A")</f>
        <v>12</v>
      </c>
      <c r="AI223">
        <f>+COUNTIF(F223:AE223,"b")</f>
        <v>11</v>
      </c>
      <c r="AJ223">
        <f>+COUNTIF(F223:AE223,"c")</f>
        <v>3</v>
      </c>
      <c r="AL223">
        <f>+$AG$5*AG223</f>
        <v>0</v>
      </c>
      <c r="AM223">
        <f>+$AH$5*AH223</f>
        <v>36</v>
      </c>
      <c r="AN223">
        <f>+$AI$5*AI223</f>
        <v>22</v>
      </c>
      <c r="AO223">
        <f>+$AJ$5*AJ223</f>
        <v>3</v>
      </c>
      <c r="AP223" s="73">
        <f>+SUM(AL223:AO223)</f>
        <v>61</v>
      </c>
    </row>
    <row r="224" spans="1:42" ht="15.75" customHeight="1" x14ac:dyDescent="0.3">
      <c r="A224" s="16"/>
      <c r="B224" s="55">
        <v>18</v>
      </c>
      <c r="C224" s="56" t="s">
        <v>232</v>
      </c>
      <c r="D224" s="55">
        <v>5</v>
      </c>
      <c r="E224" s="55" t="s">
        <v>21</v>
      </c>
      <c r="F224" s="18" t="s">
        <v>21</v>
      </c>
      <c r="G224" s="18" t="s">
        <v>23</v>
      </c>
      <c r="H224" s="18" t="s">
        <v>21</v>
      </c>
      <c r="I224" s="18" t="s">
        <v>20</v>
      </c>
      <c r="J224" s="18" t="s">
        <v>23</v>
      </c>
      <c r="K224" s="18" t="s">
        <v>20</v>
      </c>
      <c r="L224" s="18" t="s">
        <v>20</v>
      </c>
      <c r="M224" s="18" t="s">
        <v>20</v>
      </c>
      <c r="N224" s="18" t="s">
        <v>20</v>
      </c>
      <c r="O224" s="18" t="s">
        <v>20</v>
      </c>
      <c r="P224" s="18" t="s">
        <v>23</v>
      </c>
      <c r="Q224" s="18" t="s">
        <v>21</v>
      </c>
      <c r="R224" s="18" t="s">
        <v>21</v>
      </c>
      <c r="S224" s="18" t="s">
        <v>23</v>
      </c>
      <c r="T224" s="18" t="s">
        <v>21</v>
      </c>
      <c r="U224" s="18" t="s">
        <v>20</v>
      </c>
      <c r="V224" s="37" t="s">
        <v>20</v>
      </c>
      <c r="W224" s="37" t="s">
        <v>21</v>
      </c>
      <c r="X224" s="37" t="s">
        <v>20</v>
      </c>
      <c r="Y224" s="18" t="s">
        <v>20</v>
      </c>
      <c r="Z224" s="18" t="s">
        <v>20</v>
      </c>
      <c r="AA224" s="20" t="s">
        <v>20</v>
      </c>
      <c r="AB224" s="20" t="s">
        <v>20</v>
      </c>
      <c r="AC224" s="20" t="s">
        <v>20</v>
      </c>
      <c r="AD224" s="29" t="s">
        <v>23</v>
      </c>
      <c r="AE224" s="29" t="s">
        <v>21</v>
      </c>
      <c r="AG224">
        <f>+COUNTIF(F224:AE224,"AD")</f>
        <v>0</v>
      </c>
      <c r="AH224">
        <f>+COUNTIF(F224:AE224,"A")</f>
        <v>14</v>
      </c>
      <c r="AI224">
        <f>+COUNTIF(F224:AE224,"b")</f>
        <v>7</v>
      </c>
      <c r="AJ224">
        <f>+COUNTIF(F224:AE224,"c")</f>
        <v>5</v>
      </c>
      <c r="AL224">
        <f>+$AG$5*AG224</f>
        <v>0</v>
      </c>
      <c r="AM224">
        <f>+$AH$5*AH224</f>
        <v>42</v>
      </c>
      <c r="AN224">
        <f>+$AI$5*AI224</f>
        <v>14</v>
      </c>
      <c r="AO224">
        <f>+$AJ$5*AJ224</f>
        <v>5</v>
      </c>
      <c r="AP224" s="73">
        <f>+SUM(AL224:AO224)</f>
        <v>61</v>
      </c>
    </row>
    <row r="225" spans="1:42" ht="15.75" customHeight="1" x14ac:dyDescent="0.3">
      <c r="A225" s="16"/>
      <c r="B225" s="55">
        <v>19</v>
      </c>
      <c r="C225" s="56" t="s">
        <v>239</v>
      </c>
      <c r="D225" s="55">
        <v>5</v>
      </c>
      <c r="E225" s="55" t="s">
        <v>21</v>
      </c>
      <c r="F225" s="18" t="s">
        <v>21</v>
      </c>
      <c r="G225" s="18" t="s">
        <v>23</v>
      </c>
      <c r="H225" s="18" t="s">
        <v>21</v>
      </c>
      <c r="I225" s="18" t="s">
        <v>21</v>
      </c>
      <c r="J225" s="18" t="s">
        <v>21</v>
      </c>
      <c r="K225" s="18" t="s">
        <v>20</v>
      </c>
      <c r="L225" s="18" t="s">
        <v>20</v>
      </c>
      <c r="M225" s="18" t="s">
        <v>20</v>
      </c>
      <c r="N225" s="18" t="s">
        <v>21</v>
      </c>
      <c r="O225" s="18" t="s">
        <v>20</v>
      </c>
      <c r="P225" s="18" t="s">
        <v>21</v>
      </c>
      <c r="Q225" s="18" t="s">
        <v>21</v>
      </c>
      <c r="R225" s="18" t="s">
        <v>21</v>
      </c>
      <c r="S225" s="18" t="s">
        <v>20</v>
      </c>
      <c r="T225" s="18" t="s">
        <v>20</v>
      </c>
      <c r="U225" s="18" t="s">
        <v>21</v>
      </c>
      <c r="V225" s="37" t="s">
        <v>20</v>
      </c>
      <c r="W225" s="37" t="s">
        <v>20</v>
      </c>
      <c r="X225" s="37" t="s">
        <v>20</v>
      </c>
      <c r="Y225" s="18" t="s">
        <v>21</v>
      </c>
      <c r="Z225" s="18" t="s">
        <v>21</v>
      </c>
      <c r="AA225" s="20" t="s">
        <v>21</v>
      </c>
      <c r="AB225" s="20" t="s">
        <v>21</v>
      </c>
      <c r="AC225" s="20" t="s">
        <v>21</v>
      </c>
      <c r="AD225" s="29" t="s">
        <v>20</v>
      </c>
      <c r="AE225" s="29" t="s">
        <v>21</v>
      </c>
      <c r="AG225">
        <f>+COUNTIF(F225:AE225,"AD")</f>
        <v>0</v>
      </c>
      <c r="AH225">
        <f>+COUNTIF(F225:AE225,"A")</f>
        <v>10</v>
      </c>
      <c r="AI225">
        <f>+COUNTIF(F225:AE225,"b")</f>
        <v>15</v>
      </c>
      <c r="AJ225">
        <f>+COUNTIF(F225:AE225,"c")</f>
        <v>1</v>
      </c>
      <c r="AL225">
        <f>+$AG$5*AG225</f>
        <v>0</v>
      </c>
      <c r="AM225">
        <f>+$AH$5*AH225</f>
        <v>30</v>
      </c>
      <c r="AN225">
        <f>+$AI$5*AI225</f>
        <v>30</v>
      </c>
      <c r="AO225">
        <f>+$AJ$5*AJ225</f>
        <v>1</v>
      </c>
      <c r="AP225" s="73">
        <f>+SUM(AL225:AO225)</f>
        <v>61</v>
      </c>
    </row>
    <row r="226" spans="1:42" ht="15.75" customHeight="1" thickBot="1" x14ac:dyDescent="0.35">
      <c r="A226" s="16"/>
      <c r="B226" s="57">
        <v>20</v>
      </c>
      <c r="C226" s="56" t="s">
        <v>246</v>
      </c>
      <c r="D226" s="55">
        <v>5</v>
      </c>
      <c r="E226" s="55" t="s">
        <v>21</v>
      </c>
      <c r="F226" s="18" t="s">
        <v>21</v>
      </c>
      <c r="G226" s="18" t="s">
        <v>21</v>
      </c>
      <c r="H226" s="18" t="s">
        <v>21</v>
      </c>
      <c r="I226" s="18" t="s">
        <v>21</v>
      </c>
      <c r="J226" s="18" t="s">
        <v>21</v>
      </c>
      <c r="K226" s="18" t="s">
        <v>20</v>
      </c>
      <c r="L226" s="18" t="s">
        <v>20</v>
      </c>
      <c r="M226" s="18" t="s">
        <v>20</v>
      </c>
      <c r="N226" s="18" t="s">
        <v>20</v>
      </c>
      <c r="O226" s="18" t="s">
        <v>20</v>
      </c>
      <c r="P226" s="18" t="s">
        <v>21</v>
      </c>
      <c r="Q226" s="18" t="s">
        <v>21</v>
      </c>
      <c r="R226" s="18" t="s">
        <v>23</v>
      </c>
      <c r="S226" s="18" t="s">
        <v>21</v>
      </c>
      <c r="T226" s="18" t="s">
        <v>21</v>
      </c>
      <c r="U226" s="18" t="s">
        <v>20</v>
      </c>
      <c r="V226" s="37" t="s">
        <v>20</v>
      </c>
      <c r="W226" s="37" t="s">
        <v>20</v>
      </c>
      <c r="X226" s="37" t="s">
        <v>20</v>
      </c>
      <c r="Y226" s="18" t="s">
        <v>21</v>
      </c>
      <c r="Z226" s="18" t="s">
        <v>20</v>
      </c>
      <c r="AA226" s="20" t="s">
        <v>21</v>
      </c>
      <c r="AB226" s="20" t="s">
        <v>21</v>
      </c>
      <c r="AC226" s="20" t="s">
        <v>21</v>
      </c>
      <c r="AD226" s="47" t="s">
        <v>23</v>
      </c>
      <c r="AE226" s="47" t="s">
        <v>21</v>
      </c>
      <c r="AG226">
        <f>+COUNTIF(F226:AE226,"AD")</f>
        <v>0</v>
      </c>
      <c r="AH226">
        <f>+COUNTIF(F226:AE226,"A")</f>
        <v>10</v>
      </c>
      <c r="AI226">
        <f>+COUNTIF(F226:AE226,"b")</f>
        <v>14</v>
      </c>
      <c r="AJ226">
        <f>+COUNTIF(F226:AE226,"c")</f>
        <v>2</v>
      </c>
      <c r="AL226">
        <f>+$AG$5*AG226</f>
        <v>0</v>
      </c>
      <c r="AM226">
        <f>+$AH$5*AH226</f>
        <v>30</v>
      </c>
      <c r="AN226">
        <f>+$AI$5*AI226</f>
        <v>28</v>
      </c>
      <c r="AO226">
        <f>+$AJ$5*AJ226</f>
        <v>2</v>
      </c>
      <c r="AP226" s="73">
        <f>+SUM(AL226:AO226)</f>
        <v>60</v>
      </c>
    </row>
    <row r="227" spans="1:42" ht="15.75" customHeight="1" x14ac:dyDescent="0.3">
      <c r="A227" s="16"/>
      <c r="B227" s="55">
        <v>21</v>
      </c>
      <c r="C227" s="56" t="s">
        <v>227</v>
      </c>
      <c r="D227" s="55">
        <v>5</v>
      </c>
      <c r="E227" s="55" t="s">
        <v>21</v>
      </c>
      <c r="F227" s="18" t="s">
        <v>21</v>
      </c>
      <c r="G227" s="18" t="s">
        <v>23</v>
      </c>
      <c r="H227" s="18" t="s">
        <v>21</v>
      </c>
      <c r="I227" s="18" t="s">
        <v>20</v>
      </c>
      <c r="J227" s="18" t="s">
        <v>21</v>
      </c>
      <c r="K227" s="18" t="s">
        <v>21</v>
      </c>
      <c r="L227" s="18" t="s">
        <v>20</v>
      </c>
      <c r="M227" s="18" t="s">
        <v>20</v>
      </c>
      <c r="N227" s="18" t="s">
        <v>21</v>
      </c>
      <c r="O227" s="18" t="s">
        <v>21</v>
      </c>
      <c r="P227" s="18" t="s">
        <v>21</v>
      </c>
      <c r="Q227" s="18" t="s">
        <v>23</v>
      </c>
      <c r="R227" s="18" t="s">
        <v>21</v>
      </c>
      <c r="S227" s="18" t="s">
        <v>21</v>
      </c>
      <c r="T227" s="18" t="s">
        <v>21</v>
      </c>
      <c r="U227" s="18" t="s">
        <v>20</v>
      </c>
      <c r="V227" s="37" t="s">
        <v>20</v>
      </c>
      <c r="W227" s="37" t="s">
        <v>21</v>
      </c>
      <c r="X227" s="37" t="s">
        <v>20</v>
      </c>
      <c r="Y227" s="18" t="s">
        <v>21</v>
      </c>
      <c r="Z227" s="18" t="s">
        <v>20</v>
      </c>
      <c r="AA227" s="20" t="s">
        <v>21</v>
      </c>
      <c r="AB227" s="20" t="s">
        <v>21</v>
      </c>
      <c r="AC227" s="20" t="s">
        <v>21</v>
      </c>
      <c r="AD227" s="18" t="s">
        <v>21</v>
      </c>
      <c r="AE227" s="18" t="s">
        <v>21</v>
      </c>
      <c r="AG227">
        <f>+COUNTIF(F227:AE227,"AD")</f>
        <v>0</v>
      </c>
      <c r="AH227">
        <f>+COUNTIF(F227:AE227,"A")</f>
        <v>7</v>
      </c>
      <c r="AI227">
        <f>+COUNTIF(F227:AE227,"b")</f>
        <v>17</v>
      </c>
      <c r="AJ227">
        <f>+COUNTIF(F227:AE227,"c")</f>
        <v>2</v>
      </c>
      <c r="AL227">
        <f>+$AG$5*AG227</f>
        <v>0</v>
      </c>
      <c r="AM227">
        <f>+$AH$5*AH227</f>
        <v>21</v>
      </c>
      <c r="AN227">
        <f>+$AI$5*AI227</f>
        <v>34</v>
      </c>
      <c r="AO227">
        <f>+$AJ$5*AJ227</f>
        <v>2</v>
      </c>
      <c r="AP227" s="73">
        <f>+SUM(AL227:AO227)</f>
        <v>57</v>
      </c>
    </row>
    <row r="228" spans="1:42" ht="15.75" customHeight="1" x14ac:dyDescent="0.3">
      <c r="A228" s="16"/>
      <c r="B228" s="55">
        <v>22</v>
      </c>
      <c r="C228" s="56" t="s">
        <v>249</v>
      </c>
      <c r="D228" s="55">
        <v>5</v>
      </c>
      <c r="E228" s="55" t="s">
        <v>21</v>
      </c>
      <c r="F228" s="18" t="s">
        <v>21</v>
      </c>
      <c r="G228" s="18" t="s">
        <v>21</v>
      </c>
      <c r="H228" s="17" t="s">
        <v>21</v>
      </c>
      <c r="I228" s="18" t="s">
        <v>21</v>
      </c>
      <c r="J228" s="18" t="s">
        <v>21</v>
      </c>
      <c r="K228" s="18" t="s">
        <v>21</v>
      </c>
      <c r="L228" s="18" t="s">
        <v>21</v>
      </c>
      <c r="M228" s="18" t="s">
        <v>20</v>
      </c>
      <c r="N228" s="18" t="s">
        <v>21</v>
      </c>
      <c r="O228" s="18" t="s">
        <v>20</v>
      </c>
      <c r="P228" s="18" t="s">
        <v>21</v>
      </c>
      <c r="Q228" s="18" t="s">
        <v>21</v>
      </c>
      <c r="R228" s="18" t="s">
        <v>21</v>
      </c>
      <c r="S228" s="18" t="s">
        <v>21</v>
      </c>
      <c r="T228" s="18" t="s">
        <v>20</v>
      </c>
      <c r="U228" s="18" t="s">
        <v>21</v>
      </c>
      <c r="V228" s="37" t="s">
        <v>21</v>
      </c>
      <c r="W228" s="37" t="s">
        <v>21</v>
      </c>
      <c r="X228" s="37" t="s">
        <v>21</v>
      </c>
      <c r="Y228" s="18" t="s">
        <v>20</v>
      </c>
      <c r="Z228" s="18" t="s">
        <v>21</v>
      </c>
      <c r="AA228" s="20" t="s">
        <v>21</v>
      </c>
      <c r="AB228" s="20" t="s">
        <v>21</v>
      </c>
      <c r="AC228" s="20" t="s">
        <v>21</v>
      </c>
      <c r="AD228" s="29" t="s">
        <v>21</v>
      </c>
      <c r="AE228" s="29" t="s">
        <v>21</v>
      </c>
      <c r="AG228">
        <f>+COUNTIF(F228:AE228,"AD")</f>
        <v>0</v>
      </c>
      <c r="AH228">
        <f>+COUNTIF(F228:AE228,"A")</f>
        <v>4</v>
      </c>
      <c r="AI228">
        <f>+COUNTIF(F228:AE228,"b")</f>
        <v>22</v>
      </c>
      <c r="AJ228">
        <f>+COUNTIF(F228:AE228,"c")</f>
        <v>0</v>
      </c>
      <c r="AL228">
        <f>+$AG$5*AG228</f>
        <v>0</v>
      </c>
      <c r="AM228">
        <f>+$AH$5*AH228</f>
        <v>12</v>
      </c>
      <c r="AN228">
        <f>+$AI$5*AI228</f>
        <v>44</v>
      </c>
      <c r="AO228">
        <f>+$AJ$5*AJ228</f>
        <v>0</v>
      </c>
      <c r="AP228" s="73">
        <f>+SUM(AL228:AO228)</f>
        <v>56</v>
      </c>
    </row>
    <row r="229" spans="1:42" ht="15.75" customHeight="1" thickBot="1" x14ac:dyDescent="0.35">
      <c r="A229" s="16"/>
      <c r="B229" s="57">
        <v>23</v>
      </c>
      <c r="C229" s="56" t="s">
        <v>231</v>
      </c>
      <c r="D229" s="55">
        <v>5</v>
      </c>
      <c r="E229" s="55" t="s">
        <v>21</v>
      </c>
      <c r="F229" s="18" t="s">
        <v>21</v>
      </c>
      <c r="G229" s="18" t="s">
        <v>21</v>
      </c>
      <c r="H229" s="18" t="s">
        <v>21</v>
      </c>
      <c r="I229" s="18" t="s">
        <v>21</v>
      </c>
      <c r="J229" s="18" t="s">
        <v>21</v>
      </c>
      <c r="K229" s="18" t="s">
        <v>21</v>
      </c>
      <c r="L229" s="18" t="s">
        <v>21</v>
      </c>
      <c r="M229" s="18" t="s">
        <v>20</v>
      </c>
      <c r="N229" s="18" t="s">
        <v>21</v>
      </c>
      <c r="O229" s="18" t="s">
        <v>20</v>
      </c>
      <c r="P229" s="18" t="s">
        <v>21</v>
      </c>
      <c r="Q229" s="18" t="s">
        <v>23</v>
      </c>
      <c r="R229" s="18" t="s">
        <v>21</v>
      </c>
      <c r="S229" s="18" t="s">
        <v>21</v>
      </c>
      <c r="T229" s="18" t="s">
        <v>21</v>
      </c>
      <c r="U229" s="18" t="s">
        <v>21</v>
      </c>
      <c r="V229" s="37" t="s">
        <v>21</v>
      </c>
      <c r="W229" s="37" t="s">
        <v>21</v>
      </c>
      <c r="X229" s="37" t="s">
        <v>21</v>
      </c>
      <c r="Y229" s="18" t="s">
        <v>20</v>
      </c>
      <c r="Z229" s="18" t="s">
        <v>20</v>
      </c>
      <c r="AA229" s="20" t="s">
        <v>21</v>
      </c>
      <c r="AB229" s="20" t="s">
        <v>21</v>
      </c>
      <c r="AC229" s="20" t="s">
        <v>21</v>
      </c>
      <c r="AD229" s="29" t="s">
        <v>23</v>
      </c>
      <c r="AE229" s="29" t="s">
        <v>21</v>
      </c>
      <c r="AG229">
        <f>+COUNTIF(F229:AE229,"AD")</f>
        <v>0</v>
      </c>
      <c r="AH229">
        <f>+COUNTIF(F229:AE229,"A")</f>
        <v>4</v>
      </c>
      <c r="AI229">
        <f>+COUNTIF(F229:AE229,"b")</f>
        <v>20</v>
      </c>
      <c r="AJ229">
        <f>+COUNTIF(F229:AE229,"c")</f>
        <v>2</v>
      </c>
      <c r="AL229">
        <f>+$AG$5*AG229</f>
        <v>0</v>
      </c>
      <c r="AM229">
        <f>+$AH$5*AH229</f>
        <v>12</v>
      </c>
      <c r="AN229">
        <f>+$AI$5*AI229</f>
        <v>40</v>
      </c>
      <c r="AO229">
        <f>+$AJ$5*AJ229</f>
        <v>2</v>
      </c>
      <c r="AP229" s="73">
        <f>+SUM(AL229:AO229)</f>
        <v>54</v>
      </c>
    </row>
    <row r="230" spans="1:42" ht="15.75" customHeight="1" x14ac:dyDescent="0.3">
      <c r="A230" s="16"/>
      <c r="B230" s="55">
        <v>24</v>
      </c>
      <c r="C230" s="56" t="s">
        <v>226</v>
      </c>
      <c r="D230" s="55">
        <v>5</v>
      </c>
      <c r="E230" s="55" t="s">
        <v>21</v>
      </c>
      <c r="F230" s="18" t="s">
        <v>21</v>
      </c>
      <c r="G230" s="18" t="s">
        <v>21</v>
      </c>
      <c r="H230" s="18" t="s">
        <v>21</v>
      </c>
      <c r="I230" s="18" t="s">
        <v>20</v>
      </c>
      <c r="J230" s="18" t="s">
        <v>21</v>
      </c>
      <c r="K230" s="18" t="s">
        <v>21</v>
      </c>
      <c r="L230" s="18" t="s">
        <v>21</v>
      </c>
      <c r="M230" s="18" t="s">
        <v>20</v>
      </c>
      <c r="N230" s="18" t="s">
        <v>21</v>
      </c>
      <c r="O230" s="18" t="s">
        <v>21</v>
      </c>
      <c r="P230" s="18" t="s">
        <v>21</v>
      </c>
      <c r="Q230" s="18" t="s">
        <v>23</v>
      </c>
      <c r="R230" s="18" t="s">
        <v>23</v>
      </c>
      <c r="S230" s="18" t="s">
        <v>21</v>
      </c>
      <c r="T230" s="18" t="s">
        <v>21</v>
      </c>
      <c r="U230" s="18" t="s">
        <v>21</v>
      </c>
      <c r="V230" s="37" t="s">
        <v>20</v>
      </c>
      <c r="W230" s="37" t="s">
        <v>21</v>
      </c>
      <c r="X230" s="37" t="s">
        <v>20</v>
      </c>
      <c r="Y230" s="18" t="s">
        <v>21</v>
      </c>
      <c r="Z230" s="18" t="s">
        <v>20</v>
      </c>
      <c r="AA230" s="20" t="s">
        <v>21</v>
      </c>
      <c r="AB230" s="20" t="s">
        <v>21</v>
      </c>
      <c r="AC230" s="20" t="s">
        <v>23</v>
      </c>
      <c r="AD230" s="18" t="s">
        <v>23</v>
      </c>
      <c r="AE230" s="18" t="s">
        <v>21</v>
      </c>
      <c r="AG230">
        <f>+COUNTIF(F230:AE230,"AD")</f>
        <v>0</v>
      </c>
      <c r="AH230">
        <f>+COUNTIF(F230:AE230,"A")</f>
        <v>5</v>
      </c>
      <c r="AI230">
        <f>+COUNTIF(F230:AE230,"b")</f>
        <v>17</v>
      </c>
      <c r="AJ230">
        <f>+COUNTIF(F230:AE230,"c")</f>
        <v>4</v>
      </c>
      <c r="AL230">
        <f>+$AG$5*AG230</f>
        <v>0</v>
      </c>
      <c r="AM230">
        <f>+$AH$5*AH230</f>
        <v>15</v>
      </c>
      <c r="AN230">
        <f>+$AI$5*AI230</f>
        <v>34</v>
      </c>
      <c r="AO230">
        <f>+$AJ$5*AJ230</f>
        <v>4</v>
      </c>
      <c r="AP230" s="73">
        <f>+SUM(AL230:AO230)</f>
        <v>53</v>
      </c>
    </row>
    <row r="231" spans="1:42" ht="15.75" customHeight="1" x14ac:dyDescent="0.3">
      <c r="A231" s="16"/>
      <c r="B231" s="55">
        <v>25</v>
      </c>
      <c r="C231" s="56" t="s">
        <v>238</v>
      </c>
      <c r="D231" s="55">
        <v>5</v>
      </c>
      <c r="E231" s="55" t="s">
        <v>21</v>
      </c>
      <c r="F231" s="18" t="s">
        <v>21</v>
      </c>
      <c r="G231" s="18" t="s">
        <v>21</v>
      </c>
      <c r="H231" s="18" t="s">
        <v>23</v>
      </c>
      <c r="I231" s="18" t="s">
        <v>21</v>
      </c>
      <c r="J231" s="18" t="s">
        <v>23</v>
      </c>
      <c r="K231" s="18" t="s">
        <v>21</v>
      </c>
      <c r="L231" s="18" t="s">
        <v>21</v>
      </c>
      <c r="M231" s="18" t="s">
        <v>21</v>
      </c>
      <c r="N231" s="18" t="s">
        <v>21</v>
      </c>
      <c r="O231" s="18" t="s">
        <v>20</v>
      </c>
      <c r="P231" s="18" t="s">
        <v>21</v>
      </c>
      <c r="Q231" s="18" t="s">
        <v>23</v>
      </c>
      <c r="R231" s="18" t="s">
        <v>21</v>
      </c>
      <c r="S231" s="18" t="s">
        <v>21</v>
      </c>
      <c r="T231" s="18" t="s">
        <v>21</v>
      </c>
      <c r="U231" s="18" t="s">
        <v>20</v>
      </c>
      <c r="V231" s="37" t="s">
        <v>21</v>
      </c>
      <c r="W231" s="37" t="s">
        <v>20</v>
      </c>
      <c r="X231" s="37" t="s">
        <v>20</v>
      </c>
      <c r="Y231" s="18" t="s">
        <v>20</v>
      </c>
      <c r="Z231" s="18" t="s">
        <v>21</v>
      </c>
      <c r="AA231" s="20" t="s">
        <v>23</v>
      </c>
      <c r="AB231" s="20" t="s">
        <v>23</v>
      </c>
      <c r="AC231" s="20" t="s">
        <v>21</v>
      </c>
      <c r="AD231" s="29" t="s">
        <v>20</v>
      </c>
      <c r="AE231" s="29" t="s">
        <v>21</v>
      </c>
      <c r="AG231">
        <f>+COUNTIF(F231:AE231,"AD")</f>
        <v>0</v>
      </c>
      <c r="AH231">
        <f>+COUNTIF(F231:AE231,"A")</f>
        <v>6</v>
      </c>
      <c r="AI231">
        <f>+COUNTIF(F231:AE231,"b")</f>
        <v>15</v>
      </c>
      <c r="AJ231">
        <f>+COUNTIF(F231:AE231,"c")</f>
        <v>5</v>
      </c>
      <c r="AL231">
        <f>+$AG$5*AG231</f>
        <v>0</v>
      </c>
      <c r="AM231">
        <f>+$AH$5*AH231</f>
        <v>18</v>
      </c>
      <c r="AN231">
        <f>+$AI$5*AI231</f>
        <v>30</v>
      </c>
      <c r="AO231">
        <f>+$AJ$5*AJ231</f>
        <v>5</v>
      </c>
      <c r="AP231" s="73">
        <f>+SUM(AL231:AO231)</f>
        <v>53</v>
      </c>
    </row>
    <row r="232" spans="1:42" ht="15.75" customHeight="1" thickBot="1" x14ac:dyDescent="0.35">
      <c r="A232" s="16"/>
      <c r="B232" s="57">
        <v>26</v>
      </c>
      <c r="C232" s="58" t="s">
        <v>241</v>
      </c>
      <c r="D232" s="57">
        <v>5</v>
      </c>
      <c r="E232" s="57" t="s">
        <v>21</v>
      </c>
      <c r="F232" s="21" t="s">
        <v>21</v>
      </c>
      <c r="G232" s="21" t="s">
        <v>23</v>
      </c>
      <c r="H232" s="21" t="s">
        <v>21</v>
      </c>
      <c r="I232" s="21" t="s">
        <v>21</v>
      </c>
      <c r="J232" s="21" t="s">
        <v>21</v>
      </c>
      <c r="K232" s="21" t="s">
        <v>21</v>
      </c>
      <c r="L232" s="21" t="s">
        <v>21</v>
      </c>
      <c r="M232" s="21" t="s">
        <v>21</v>
      </c>
      <c r="N232" s="21" t="s">
        <v>21</v>
      </c>
      <c r="O232" s="21" t="s">
        <v>21</v>
      </c>
      <c r="P232" s="21" t="s">
        <v>21</v>
      </c>
      <c r="Q232" s="21" t="s">
        <v>23</v>
      </c>
      <c r="R232" s="21" t="s">
        <v>21</v>
      </c>
      <c r="S232" s="21" t="s">
        <v>21</v>
      </c>
      <c r="T232" s="21" t="s">
        <v>21</v>
      </c>
      <c r="U232" s="21" t="s">
        <v>21</v>
      </c>
      <c r="V232" s="38" t="s">
        <v>20</v>
      </c>
      <c r="W232" s="38" t="s">
        <v>21</v>
      </c>
      <c r="X232" s="38" t="s">
        <v>20</v>
      </c>
      <c r="Y232" s="21" t="s">
        <v>20</v>
      </c>
      <c r="Z232" s="21" t="s">
        <v>21</v>
      </c>
      <c r="AA232" s="23" t="s">
        <v>20</v>
      </c>
      <c r="AB232" s="23" t="s">
        <v>21</v>
      </c>
      <c r="AC232" s="23" t="s">
        <v>21</v>
      </c>
      <c r="AD232" s="31" t="s">
        <v>23</v>
      </c>
      <c r="AE232" s="31" t="s">
        <v>21</v>
      </c>
      <c r="AG232">
        <f>+COUNTIF(F232:AE232,"AD")</f>
        <v>0</v>
      </c>
      <c r="AH232">
        <f>+COUNTIF(F232:AE232,"A")</f>
        <v>4</v>
      </c>
      <c r="AI232">
        <f>+COUNTIF(F232:AE232,"b")</f>
        <v>19</v>
      </c>
      <c r="AJ232">
        <f>+COUNTIF(F232:AE232,"c")</f>
        <v>3</v>
      </c>
      <c r="AL232">
        <f>+$AG$5*AG232</f>
        <v>0</v>
      </c>
      <c r="AM232">
        <f>+$AH$5*AH232</f>
        <v>12</v>
      </c>
      <c r="AN232">
        <f>+$AI$5*AI232</f>
        <v>38</v>
      </c>
      <c r="AO232">
        <f>+$AJ$5*AJ232</f>
        <v>3</v>
      </c>
      <c r="AP232" s="73">
        <f>+SUM(AL232:AO232)</f>
        <v>53</v>
      </c>
    </row>
    <row r="233" spans="1:42" ht="15.75" customHeight="1" x14ac:dyDescent="0.3">
      <c r="B233" s="54"/>
    </row>
    <row r="234" spans="1:42" ht="15.75" customHeight="1" x14ac:dyDescent="0.3"/>
    <row r="235" spans="1:42" ht="15.75" customHeight="1" x14ac:dyDescent="0.3"/>
    <row r="236" spans="1:42" ht="15.75" customHeight="1" x14ac:dyDescent="0.3"/>
    <row r="237" spans="1:42" ht="15.75" customHeight="1" x14ac:dyDescent="0.3"/>
    <row r="238" spans="1:42" ht="15.75" customHeight="1" x14ac:dyDescent="0.3"/>
    <row r="239" spans="1:42" ht="15.75" customHeight="1" x14ac:dyDescent="0.3"/>
    <row r="240" spans="1:42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  <row r="1041" ht="15.75" customHeight="1" x14ac:dyDescent="0.3"/>
    <row r="1042" ht="15.75" customHeight="1" x14ac:dyDescent="0.3"/>
    <row r="1043" ht="15.75" customHeight="1" x14ac:dyDescent="0.3"/>
    <row r="1044" ht="15.75" customHeight="1" x14ac:dyDescent="0.3"/>
    <row r="1045" ht="15.75" customHeight="1" x14ac:dyDescent="0.3"/>
    <row r="1046" ht="15.75" customHeight="1" x14ac:dyDescent="0.3"/>
    <row r="1047" ht="15.75" customHeight="1" x14ac:dyDescent="0.3"/>
    <row r="1048" ht="15.75" customHeight="1" x14ac:dyDescent="0.3"/>
    <row r="1049" ht="15.75" customHeight="1" x14ac:dyDescent="0.3"/>
    <row r="1050" ht="15.75" customHeight="1" x14ac:dyDescent="0.3"/>
    <row r="1051" ht="15.75" customHeight="1" x14ac:dyDescent="0.3"/>
    <row r="1052" ht="15.75" customHeight="1" x14ac:dyDescent="0.3"/>
    <row r="1053" ht="15.75" customHeight="1" x14ac:dyDescent="0.3"/>
    <row r="1054" ht="15.75" customHeight="1" x14ac:dyDescent="0.3"/>
    <row r="1055" ht="15.75" customHeight="1" x14ac:dyDescent="0.3"/>
    <row r="1056" ht="15.75" customHeight="1" x14ac:dyDescent="0.3"/>
    <row r="1057" ht="15.75" customHeight="1" x14ac:dyDescent="0.3"/>
    <row r="1058" ht="15.75" customHeight="1" x14ac:dyDescent="0.3"/>
    <row r="1059" ht="15.75" customHeight="1" x14ac:dyDescent="0.3"/>
    <row r="1060" ht="15.75" customHeight="1" x14ac:dyDescent="0.3"/>
    <row r="1061" ht="15.75" customHeight="1" x14ac:dyDescent="0.3"/>
    <row r="1062" ht="15.75" customHeight="1" x14ac:dyDescent="0.3"/>
    <row r="1063" ht="15.75" customHeight="1" x14ac:dyDescent="0.3"/>
    <row r="1064" ht="15.75" customHeight="1" x14ac:dyDescent="0.3"/>
    <row r="1065" ht="15.75" customHeight="1" x14ac:dyDescent="0.3"/>
    <row r="1066" ht="15.75" customHeight="1" x14ac:dyDescent="0.3"/>
    <row r="1067" ht="15.75" customHeight="1" x14ac:dyDescent="0.3"/>
    <row r="1068" ht="15.75" customHeight="1" x14ac:dyDescent="0.3"/>
    <row r="1069" ht="15.75" customHeight="1" x14ac:dyDescent="0.3"/>
    <row r="1070" ht="15.75" customHeight="1" x14ac:dyDescent="0.3"/>
    <row r="1071" ht="15.75" customHeight="1" x14ac:dyDescent="0.3"/>
    <row r="1072" ht="15.75" customHeight="1" x14ac:dyDescent="0.3"/>
    <row r="1073" ht="15.75" customHeight="1" x14ac:dyDescent="0.3"/>
    <row r="1074" ht="15.75" customHeight="1" x14ac:dyDescent="0.3"/>
    <row r="1075" ht="15.75" customHeight="1" x14ac:dyDescent="0.3"/>
    <row r="1076" ht="15.75" customHeight="1" x14ac:dyDescent="0.3"/>
    <row r="1077" ht="15.75" customHeight="1" x14ac:dyDescent="0.3"/>
    <row r="1078" ht="15.75" customHeight="1" x14ac:dyDescent="0.3"/>
    <row r="1079" ht="15.75" customHeight="1" x14ac:dyDescent="0.3"/>
    <row r="1080" ht="15.75" customHeight="1" x14ac:dyDescent="0.3"/>
    <row r="1081" ht="15.75" customHeight="1" x14ac:dyDescent="0.3"/>
    <row r="1082" ht="15.75" customHeight="1" x14ac:dyDescent="0.3"/>
    <row r="1083" ht="15.75" customHeight="1" x14ac:dyDescent="0.3"/>
    <row r="1084" ht="15.75" customHeight="1" x14ac:dyDescent="0.3"/>
    <row r="1085" ht="15.75" customHeight="1" x14ac:dyDescent="0.3"/>
    <row r="1086" ht="15.75" customHeight="1" x14ac:dyDescent="0.3"/>
    <row r="1087" ht="15.75" customHeight="1" x14ac:dyDescent="0.3"/>
    <row r="1088" ht="15.75" customHeight="1" x14ac:dyDescent="0.3"/>
    <row r="1089" ht="15.75" customHeight="1" x14ac:dyDescent="0.3"/>
    <row r="1090" ht="15.75" customHeight="1" x14ac:dyDescent="0.3"/>
    <row r="1091" ht="15.75" customHeight="1" x14ac:dyDescent="0.3"/>
    <row r="1092" ht="15.75" customHeight="1" x14ac:dyDescent="0.3"/>
    <row r="1093" ht="15.75" customHeight="1" x14ac:dyDescent="0.3"/>
    <row r="1094" ht="15.75" customHeight="1" x14ac:dyDescent="0.3"/>
    <row r="1095" ht="15.75" customHeight="1" x14ac:dyDescent="0.3"/>
    <row r="1096" ht="15.75" customHeight="1" x14ac:dyDescent="0.3"/>
    <row r="1097" ht="15.75" customHeight="1" x14ac:dyDescent="0.3"/>
    <row r="1098" ht="15.75" customHeight="1" x14ac:dyDescent="0.3"/>
    <row r="1099" ht="15.75" customHeight="1" x14ac:dyDescent="0.3"/>
    <row r="1100" ht="15.75" customHeight="1" x14ac:dyDescent="0.3"/>
    <row r="1101" ht="15.75" customHeight="1" x14ac:dyDescent="0.3"/>
    <row r="1102" ht="15.75" customHeight="1" x14ac:dyDescent="0.3"/>
    <row r="1103" ht="15.75" customHeight="1" x14ac:dyDescent="0.3"/>
    <row r="1104" ht="15.75" customHeight="1" x14ac:dyDescent="0.3"/>
    <row r="1105" ht="15.75" customHeight="1" x14ac:dyDescent="0.3"/>
    <row r="1106" ht="15.75" customHeight="1" x14ac:dyDescent="0.3"/>
    <row r="1107" ht="15.75" customHeight="1" x14ac:dyDescent="0.3"/>
    <row r="1108" ht="15.75" customHeight="1" x14ac:dyDescent="0.3"/>
    <row r="1109" ht="15.75" customHeight="1" x14ac:dyDescent="0.3"/>
    <row r="1110" ht="15.75" customHeight="1" x14ac:dyDescent="0.3"/>
    <row r="1111" ht="15.75" customHeight="1" x14ac:dyDescent="0.3"/>
    <row r="1112" ht="15.75" customHeight="1" x14ac:dyDescent="0.3"/>
    <row r="1113" ht="15.75" customHeight="1" x14ac:dyDescent="0.3"/>
    <row r="1114" ht="15.75" customHeight="1" x14ac:dyDescent="0.3"/>
    <row r="1115" ht="15.75" customHeight="1" x14ac:dyDescent="0.3"/>
    <row r="1116" ht="15.75" customHeight="1" x14ac:dyDescent="0.3"/>
    <row r="1117" ht="15.75" customHeight="1" x14ac:dyDescent="0.3"/>
    <row r="1118" ht="15.75" customHeight="1" x14ac:dyDescent="0.3"/>
    <row r="1119" ht="15.75" customHeight="1" x14ac:dyDescent="0.3"/>
    <row r="1120" ht="15.75" customHeight="1" x14ac:dyDescent="0.3"/>
    <row r="1121" ht="15.75" customHeight="1" x14ac:dyDescent="0.3"/>
    <row r="1122" ht="15.75" customHeight="1" x14ac:dyDescent="0.3"/>
    <row r="1123" ht="15.75" customHeight="1" x14ac:dyDescent="0.3"/>
    <row r="1124" ht="15.75" customHeight="1" x14ac:dyDescent="0.3"/>
    <row r="1125" ht="15.75" customHeight="1" x14ac:dyDescent="0.3"/>
    <row r="1126" ht="15.75" customHeight="1" x14ac:dyDescent="0.3"/>
  </sheetData>
  <autoFilter ref="A5:AP232" xr:uid="{D4C9ACFA-7634-4244-A829-726CE84E67E1}">
    <filterColumn colId="3">
      <filters>
        <filter val="5"/>
      </filters>
    </filterColumn>
    <filterColumn colId="4">
      <filters>
        <filter val="B"/>
      </filters>
    </filterColumn>
    <sortState xmlns:xlrd2="http://schemas.microsoft.com/office/spreadsheetml/2017/richdata2" ref="A207:AP232">
      <sortCondition descending="1" ref="AP5:AP232"/>
    </sortState>
  </autoFilter>
  <mergeCells count="11">
    <mergeCell ref="AD4:AE4"/>
    <mergeCell ref="C2:AE2"/>
    <mergeCell ref="C3:AE3"/>
    <mergeCell ref="F4:I4"/>
    <mergeCell ref="J4:L4"/>
    <mergeCell ref="M4:O4"/>
    <mergeCell ref="P4:R4"/>
    <mergeCell ref="S4:T4"/>
    <mergeCell ref="V4:X4"/>
    <mergeCell ref="Y4:Z4"/>
    <mergeCell ref="AA4:AC4"/>
  </mergeCells>
  <conditionalFormatting sqref="F6:AE232">
    <cfRule type="cellIs" dxfId="3" priority="1" operator="equal">
      <formula>"AD"</formula>
    </cfRule>
    <cfRule type="cellIs" dxfId="2" priority="2" operator="equal">
      <formula>"A"</formula>
    </cfRule>
    <cfRule type="cellIs" dxfId="1" priority="3" operator="equal">
      <formula>"B"</formula>
    </cfRule>
    <cfRule type="cellIs" dxfId="0" priority="4" operator="equal">
      <formula>"C"</formula>
    </cfRule>
  </conditionalFormatting>
  <dataValidations count="2">
    <dataValidation type="list" allowBlank="1" showInputMessage="1" showErrorMessage="1" sqref="Q6:R26 T6:X26 AD229:AE232 F6:L26 AD27:AE80 F27:X48 AD82:AE97 AD135:AE199 AD201:AE203 AD205:AE227 AD99:AE133 Z27:Z48 F49:I232 J131:L232 J49:L109 M49:Z232" xr:uid="{C26F6196-75D2-4121-98D7-044A2D7224D2}">
      <formula1>"AD,A,B,C"</formula1>
    </dataValidation>
    <dataValidation type="list" allowBlank="1" showInputMessage="1" showErrorMessage="1" sqref="AA6:AC232 J110:L130" xr:uid="{E807F332-9A56-4CCB-BD8A-4A2B10A7DE63}">
      <formula1>"A,AD,B,C"</formula1>
    </dataValidation>
  </dataValidations>
  <pageMargins left="0.7" right="0.7" top="0.75" bottom="0.75" header="0" footer="0"/>
  <pageSetup paperSize="9" scale="67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IE</vt:lpstr>
      <vt:lpstr>TOTAL</vt:lpstr>
      <vt:lpstr>1A</vt:lpstr>
      <vt:lpstr>1B</vt:lpstr>
      <vt:lpstr>2A</vt:lpstr>
      <vt:lpstr>2B</vt:lpstr>
      <vt:lpstr>3A</vt:lpstr>
      <vt:lpstr>3B</vt:lpstr>
      <vt:lpstr>4A</vt:lpstr>
      <vt:lpstr>4B</vt:lpstr>
      <vt:lpstr>5A</vt:lpstr>
      <vt:lpstr>5B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2025-05-19T02:49:09Z</cp:lastPrinted>
  <dcterms:created xsi:type="dcterms:W3CDTF">2025-05-19T00:42:49Z</dcterms:created>
  <dcterms:modified xsi:type="dcterms:W3CDTF">2025-05-19T02:50:14Z</dcterms:modified>
</cp:coreProperties>
</file>