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3.xml" ContentType="application/vnd.openxmlformats-officedocument.drawing+xml"/>
  <Override PartName="/xl/charts/chart2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2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2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3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3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Avance-tesis-23-6-2024IMPORTANTE\"/>
    </mc:Choice>
  </mc:AlternateContent>
  <xr:revisionPtr revIDLastSave="0" documentId="13_ncr:1_{00281571-0AE5-41D0-8780-2611ED9D0FE5}" xr6:coauthVersionLast="47" xr6:coauthVersionMax="47" xr10:uidLastSave="{00000000-0000-0000-0000-000000000000}"/>
  <bookViews>
    <workbookView xWindow="-120" yWindow="-120" windowWidth="20730" windowHeight="11160" xr2:uid="{7C1C3688-6001-4839-A4EC-EF5C33C8184C}"/>
  </bookViews>
  <sheets>
    <sheet name="IE" sheetId="1" r:id="rId1"/>
    <sheet name="Por áreas" sheetId="2" r:id="rId2"/>
    <sheet name="Reforzamiento" sheetId="7" r:id="rId3"/>
    <sheet name="Priorizados" sheetId="6" r:id="rId4"/>
    <sheet name="Salones" sheetId="8" r:id="rId5"/>
  </sheets>
  <definedNames>
    <definedName name="_xlnm._FilterDatabase" localSheetId="3" hidden="1">Priorizados!$C$6:$G$6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94" i="8" l="1"/>
  <c r="AG193" i="8"/>
  <c r="AG192" i="8"/>
  <c r="AG191" i="8"/>
  <c r="AG214" i="8"/>
  <c r="AG213" i="8"/>
  <c r="AG212" i="8"/>
  <c r="AG211" i="8"/>
  <c r="AE8" i="7"/>
  <c r="G116" i="6" s="1"/>
  <c r="G147" i="6"/>
  <c r="G12" i="6"/>
  <c r="G73" i="6"/>
  <c r="G148" i="6"/>
  <c r="G74" i="6"/>
  <c r="G97" i="6"/>
  <c r="G75" i="6"/>
  <c r="G149" i="6"/>
  <c r="G150" i="6"/>
  <c r="G76" i="6"/>
  <c r="G58" i="6"/>
  <c r="G98" i="6"/>
  <c r="G151" i="6"/>
  <c r="G99" i="6"/>
  <c r="G100" i="6"/>
  <c r="G25" i="6"/>
  <c r="G59" i="6"/>
  <c r="G60" i="6"/>
  <c r="G10" i="6"/>
  <c r="G77" i="6"/>
  <c r="G46" i="6"/>
  <c r="G78" i="6"/>
  <c r="G22" i="6"/>
  <c r="G152" i="6"/>
  <c r="G153" i="6"/>
  <c r="G34" i="6"/>
  <c r="G154" i="6"/>
  <c r="G8" i="6"/>
  <c r="G101" i="6"/>
  <c r="G17" i="6"/>
  <c r="G155" i="6"/>
  <c r="G156" i="6"/>
  <c r="G26" i="6"/>
  <c r="G79" i="6"/>
  <c r="G61" i="6"/>
  <c r="G157" i="6"/>
  <c r="G7" i="6"/>
  <c r="G158" i="6"/>
  <c r="G159" i="6"/>
  <c r="G160" i="6"/>
  <c r="G161" i="6"/>
  <c r="G47" i="6"/>
  <c r="G162" i="6"/>
  <c r="G163" i="6"/>
  <c r="G164" i="6"/>
  <c r="G102" i="6"/>
  <c r="G103" i="6"/>
  <c r="G165" i="6"/>
  <c r="G62" i="6"/>
  <c r="G63" i="6"/>
  <c r="G35" i="6"/>
  <c r="G166" i="6"/>
  <c r="G64" i="6"/>
  <c r="G104" i="6"/>
  <c r="G167" i="6"/>
  <c r="G105" i="6"/>
  <c r="G18" i="6"/>
  <c r="G36" i="6"/>
  <c r="G168" i="6"/>
  <c r="G169" i="6"/>
  <c r="G80" i="6"/>
  <c r="G170" i="6"/>
  <c r="G171" i="6"/>
  <c r="G172" i="6"/>
  <c r="G173" i="6"/>
  <c r="G65" i="6"/>
  <c r="G174" i="6"/>
  <c r="G106" i="6"/>
  <c r="G175" i="6"/>
  <c r="G48" i="6"/>
  <c r="G176" i="6"/>
  <c r="G81" i="6"/>
  <c r="G66" i="6"/>
  <c r="G37" i="6"/>
  <c r="G38" i="6"/>
  <c r="G49" i="6"/>
  <c r="G177" i="6"/>
  <c r="G178" i="6"/>
  <c r="G50" i="6"/>
  <c r="G107" i="6"/>
  <c r="G51" i="6"/>
  <c r="G179" i="6"/>
  <c r="G108" i="6"/>
  <c r="G180" i="6"/>
  <c r="G181" i="6"/>
  <c r="G182" i="6"/>
  <c r="G39" i="6"/>
  <c r="G183" i="6"/>
  <c r="G184" i="6"/>
  <c r="G185" i="6"/>
  <c r="G186" i="6"/>
  <c r="G187" i="6"/>
  <c r="G188" i="6"/>
  <c r="G189" i="6"/>
  <c r="G190" i="6"/>
  <c r="G67" i="6"/>
  <c r="G19" i="6"/>
  <c r="G191" i="6"/>
  <c r="G27" i="6"/>
  <c r="G192" i="6"/>
  <c r="G193" i="6"/>
  <c r="G194" i="6"/>
  <c r="G109" i="6"/>
  <c r="G40" i="6"/>
  <c r="G110" i="6"/>
  <c r="G195" i="6"/>
  <c r="G52" i="6"/>
  <c r="G196" i="6"/>
  <c r="G197" i="6"/>
  <c r="G198" i="6"/>
  <c r="G199" i="6"/>
  <c r="G233" i="6"/>
  <c r="F115" i="6"/>
  <c r="F13" i="6"/>
  <c r="F116" i="6"/>
  <c r="F117" i="6"/>
  <c r="F88" i="6"/>
  <c r="F118" i="6"/>
  <c r="F119" i="6"/>
  <c r="F29" i="6"/>
  <c r="F70" i="6"/>
  <c r="F89" i="6"/>
  <c r="F71" i="6"/>
  <c r="F20" i="6"/>
  <c r="F44" i="6"/>
  <c r="F30" i="6"/>
  <c r="F90" i="6"/>
  <c r="F120" i="6"/>
  <c r="F121" i="6"/>
  <c r="F55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72" i="6"/>
  <c r="F136" i="6"/>
  <c r="F137" i="6"/>
  <c r="F138" i="6"/>
  <c r="F91" i="6"/>
  <c r="F92" i="6"/>
  <c r="F93" i="6"/>
  <c r="F56" i="6"/>
  <c r="F45" i="6"/>
  <c r="F21" i="6"/>
  <c r="F94" i="6"/>
  <c r="F139" i="6"/>
  <c r="F95" i="6"/>
  <c r="F140" i="6"/>
  <c r="F31" i="6"/>
  <c r="F141" i="6"/>
  <c r="F142" i="6"/>
  <c r="F14" i="6"/>
  <c r="F9" i="6"/>
  <c r="F32" i="6"/>
  <c r="F96" i="6"/>
  <c r="F143" i="6"/>
  <c r="F57" i="6"/>
  <c r="F144" i="6"/>
  <c r="F33" i="6"/>
  <c r="F145" i="6"/>
  <c r="F15" i="6"/>
  <c r="F16" i="6"/>
  <c r="F146" i="6"/>
  <c r="F24" i="6"/>
  <c r="F147" i="6"/>
  <c r="F12" i="6"/>
  <c r="F73" i="6"/>
  <c r="F148" i="6"/>
  <c r="F74" i="6"/>
  <c r="F97" i="6"/>
  <c r="F75" i="6"/>
  <c r="F149" i="6"/>
  <c r="F150" i="6"/>
  <c r="F76" i="6"/>
  <c r="F58" i="6"/>
  <c r="F98" i="6"/>
  <c r="F151" i="6"/>
  <c r="F99" i="6"/>
  <c r="F100" i="6"/>
  <c r="F25" i="6"/>
  <c r="F59" i="6"/>
  <c r="F60" i="6"/>
  <c r="F10" i="6"/>
  <c r="F77" i="6"/>
  <c r="F46" i="6"/>
  <c r="F78" i="6"/>
  <c r="F22" i="6"/>
  <c r="F152" i="6"/>
  <c r="F153" i="6"/>
  <c r="F34" i="6"/>
  <c r="F154" i="6"/>
  <c r="F8" i="6"/>
  <c r="F101" i="6"/>
  <c r="F17" i="6"/>
  <c r="F155" i="6"/>
  <c r="F156" i="6"/>
  <c r="F26" i="6"/>
  <c r="F79" i="6"/>
  <c r="F61" i="6"/>
  <c r="F157" i="6"/>
  <c r="F7" i="6"/>
  <c r="F158" i="6"/>
  <c r="F159" i="6"/>
  <c r="F160" i="6"/>
  <c r="F161" i="6"/>
  <c r="F47" i="6"/>
  <c r="F162" i="6"/>
  <c r="F163" i="6"/>
  <c r="F164" i="6"/>
  <c r="F102" i="6"/>
  <c r="F103" i="6"/>
  <c r="F165" i="6"/>
  <c r="F62" i="6"/>
  <c r="F63" i="6"/>
  <c r="F35" i="6"/>
  <c r="F166" i="6"/>
  <c r="F64" i="6"/>
  <c r="F104" i="6"/>
  <c r="F167" i="6"/>
  <c r="F105" i="6"/>
  <c r="F18" i="6"/>
  <c r="F36" i="6"/>
  <c r="F168" i="6"/>
  <c r="F169" i="6"/>
  <c r="F80" i="6"/>
  <c r="F170" i="6"/>
  <c r="F171" i="6"/>
  <c r="F172" i="6"/>
  <c r="F173" i="6"/>
  <c r="F65" i="6"/>
  <c r="F174" i="6"/>
  <c r="F106" i="6"/>
  <c r="F175" i="6"/>
  <c r="F48" i="6"/>
  <c r="F176" i="6"/>
  <c r="F81" i="6"/>
  <c r="F66" i="6"/>
  <c r="F37" i="6"/>
  <c r="F38" i="6"/>
  <c r="F49" i="6"/>
  <c r="F177" i="6"/>
  <c r="F178" i="6"/>
  <c r="F50" i="6"/>
  <c r="F107" i="6"/>
  <c r="F51" i="6"/>
  <c r="F179" i="6"/>
  <c r="F108" i="6"/>
  <c r="F180" i="6"/>
  <c r="F181" i="6"/>
  <c r="F182" i="6"/>
  <c r="F39" i="6"/>
  <c r="F183" i="6"/>
  <c r="F184" i="6"/>
  <c r="F185" i="6"/>
  <c r="F186" i="6"/>
  <c r="F187" i="6"/>
  <c r="F188" i="6"/>
  <c r="F189" i="6"/>
  <c r="F190" i="6"/>
  <c r="F67" i="6"/>
  <c r="F19" i="6"/>
  <c r="F191" i="6"/>
  <c r="F27" i="6"/>
  <c r="F192" i="6"/>
  <c r="F193" i="6"/>
  <c r="F194" i="6"/>
  <c r="F109" i="6"/>
  <c r="F40" i="6"/>
  <c r="F110" i="6"/>
  <c r="F195" i="6"/>
  <c r="F52" i="6"/>
  <c r="F196" i="6"/>
  <c r="F197" i="6"/>
  <c r="F198" i="6"/>
  <c r="F199" i="6"/>
  <c r="F200" i="6"/>
  <c r="F201" i="6"/>
  <c r="F82" i="6"/>
  <c r="F41" i="6"/>
  <c r="F202" i="6"/>
  <c r="F203" i="6"/>
  <c r="F83" i="6"/>
  <c r="F111" i="6"/>
  <c r="F204" i="6"/>
  <c r="F205" i="6"/>
  <c r="F206" i="6"/>
  <c r="F207" i="6"/>
  <c r="F208" i="6"/>
  <c r="F209" i="6"/>
  <c r="F210" i="6"/>
  <c r="F211" i="6"/>
  <c r="F11" i="6"/>
  <c r="F212" i="6"/>
  <c r="F213" i="6"/>
  <c r="F214" i="6"/>
  <c r="F215" i="6"/>
  <c r="F84" i="6"/>
  <c r="F28" i="6"/>
  <c r="F216" i="6"/>
  <c r="F23" i="6"/>
  <c r="F112" i="6"/>
  <c r="F217" i="6"/>
  <c r="F218" i="6"/>
  <c r="F219" i="6"/>
  <c r="F53" i="6"/>
  <c r="F85" i="6"/>
  <c r="F220" i="6"/>
  <c r="F221" i="6"/>
  <c r="F68" i="6"/>
  <c r="F86" i="6"/>
  <c r="F42" i="6"/>
  <c r="F222" i="6"/>
  <c r="F223" i="6"/>
  <c r="F224" i="6"/>
  <c r="F54" i="6"/>
  <c r="F113" i="6"/>
  <c r="F43" i="6"/>
  <c r="F114" i="6"/>
  <c r="F225" i="6"/>
  <c r="F69" i="6"/>
  <c r="F226" i="6"/>
  <c r="F227" i="6"/>
  <c r="F228" i="6"/>
  <c r="F229" i="6"/>
  <c r="F87" i="6"/>
  <c r="F230" i="6"/>
  <c r="F231" i="6"/>
  <c r="F232" i="6"/>
  <c r="F233" i="6"/>
  <c r="E115" i="6"/>
  <c r="E13" i="6"/>
  <c r="E116" i="6"/>
  <c r="E117" i="6"/>
  <c r="E88" i="6"/>
  <c r="E118" i="6"/>
  <c r="E119" i="6"/>
  <c r="E29" i="6"/>
  <c r="E70" i="6"/>
  <c r="E89" i="6"/>
  <c r="E71" i="6"/>
  <c r="E20" i="6"/>
  <c r="E44" i="6"/>
  <c r="E30" i="6"/>
  <c r="E90" i="6"/>
  <c r="E120" i="6"/>
  <c r="E121" i="6"/>
  <c r="E55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72" i="6"/>
  <c r="E136" i="6"/>
  <c r="E137" i="6"/>
  <c r="E138" i="6"/>
  <c r="E91" i="6"/>
  <c r="E92" i="6"/>
  <c r="E93" i="6"/>
  <c r="E56" i="6"/>
  <c r="E45" i="6"/>
  <c r="E21" i="6"/>
  <c r="E94" i="6"/>
  <c r="E139" i="6"/>
  <c r="E95" i="6"/>
  <c r="E140" i="6"/>
  <c r="E31" i="6"/>
  <c r="E141" i="6"/>
  <c r="E142" i="6"/>
  <c r="E14" i="6"/>
  <c r="E9" i="6"/>
  <c r="E32" i="6"/>
  <c r="E96" i="6"/>
  <c r="E143" i="6"/>
  <c r="E57" i="6"/>
  <c r="E144" i="6"/>
  <c r="E33" i="6"/>
  <c r="E145" i="6"/>
  <c r="E15" i="6"/>
  <c r="E16" i="6"/>
  <c r="E146" i="6"/>
  <c r="E24" i="6"/>
  <c r="E147" i="6"/>
  <c r="E12" i="6"/>
  <c r="E73" i="6"/>
  <c r="E148" i="6"/>
  <c r="E74" i="6"/>
  <c r="E97" i="6"/>
  <c r="E75" i="6"/>
  <c r="E149" i="6"/>
  <c r="E150" i="6"/>
  <c r="E76" i="6"/>
  <c r="E58" i="6"/>
  <c r="E98" i="6"/>
  <c r="E151" i="6"/>
  <c r="E99" i="6"/>
  <c r="E100" i="6"/>
  <c r="E25" i="6"/>
  <c r="E59" i="6"/>
  <c r="E60" i="6"/>
  <c r="E10" i="6"/>
  <c r="E77" i="6"/>
  <c r="E46" i="6"/>
  <c r="E78" i="6"/>
  <c r="E22" i="6"/>
  <c r="E152" i="6"/>
  <c r="E153" i="6"/>
  <c r="E34" i="6"/>
  <c r="E154" i="6"/>
  <c r="E8" i="6"/>
  <c r="E101" i="6"/>
  <c r="E17" i="6"/>
  <c r="E155" i="6"/>
  <c r="E156" i="6"/>
  <c r="E26" i="6"/>
  <c r="E79" i="6"/>
  <c r="E61" i="6"/>
  <c r="E157" i="6"/>
  <c r="E7" i="6"/>
  <c r="E158" i="6"/>
  <c r="E159" i="6"/>
  <c r="E160" i="6"/>
  <c r="E161" i="6"/>
  <c r="E47" i="6"/>
  <c r="E162" i="6"/>
  <c r="E163" i="6"/>
  <c r="E164" i="6"/>
  <c r="E102" i="6"/>
  <c r="E103" i="6"/>
  <c r="E165" i="6"/>
  <c r="E62" i="6"/>
  <c r="E63" i="6"/>
  <c r="E35" i="6"/>
  <c r="E166" i="6"/>
  <c r="E64" i="6"/>
  <c r="E104" i="6"/>
  <c r="E167" i="6"/>
  <c r="E105" i="6"/>
  <c r="E18" i="6"/>
  <c r="E36" i="6"/>
  <c r="E168" i="6"/>
  <c r="E169" i="6"/>
  <c r="E80" i="6"/>
  <c r="E170" i="6"/>
  <c r="E171" i="6"/>
  <c r="E172" i="6"/>
  <c r="E173" i="6"/>
  <c r="E65" i="6"/>
  <c r="E174" i="6"/>
  <c r="E106" i="6"/>
  <c r="E175" i="6"/>
  <c r="E48" i="6"/>
  <c r="E176" i="6"/>
  <c r="E81" i="6"/>
  <c r="E66" i="6"/>
  <c r="E37" i="6"/>
  <c r="E38" i="6"/>
  <c r="E49" i="6"/>
  <c r="E177" i="6"/>
  <c r="E178" i="6"/>
  <c r="E50" i="6"/>
  <c r="E107" i="6"/>
  <c r="E51" i="6"/>
  <c r="E179" i="6"/>
  <c r="E108" i="6"/>
  <c r="E180" i="6"/>
  <c r="E181" i="6"/>
  <c r="E182" i="6"/>
  <c r="E39" i="6"/>
  <c r="E183" i="6"/>
  <c r="E184" i="6"/>
  <c r="E185" i="6"/>
  <c r="E186" i="6"/>
  <c r="E187" i="6"/>
  <c r="E188" i="6"/>
  <c r="E189" i="6"/>
  <c r="E190" i="6"/>
  <c r="E67" i="6"/>
  <c r="E19" i="6"/>
  <c r="E191" i="6"/>
  <c r="E27" i="6"/>
  <c r="E192" i="6"/>
  <c r="E193" i="6"/>
  <c r="E194" i="6"/>
  <c r="E109" i="6"/>
  <c r="E40" i="6"/>
  <c r="E110" i="6"/>
  <c r="E195" i="6"/>
  <c r="E52" i="6"/>
  <c r="E196" i="6"/>
  <c r="E197" i="6"/>
  <c r="E198" i="6"/>
  <c r="E199" i="6"/>
  <c r="E200" i="6"/>
  <c r="E201" i="6"/>
  <c r="E82" i="6"/>
  <c r="E41" i="6"/>
  <c r="E202" i="6"/>
  <c r="E203" i="6"/>
  <c r="E83" i="6"/>
  <c r="E111" i="6"/>
  <c r="E204" i="6"/>
  <c r="E205" i="6"/>
  <c r="E206" i="6"/>
  <c r="E207" i="6"/>
  <c r="E208" i="6"/>
  <c r="E209" i="6"/>
  <c r="E210" i="6"/>
  <c r="E211" i="6"/>
  <c r="E11" i="6"/>
  <c r="E212" i="6"/>
  <c r="E213" i="6"/>
  <c r="E214" i="6"/>
  <c r="E215" i="6"/>
  <c r="E84" i="6"/>
  <c r="E28" i="6"/>
  <c r="E216" i="6"/>
  <c r="E23" i="6"/>
  <c r="E112" i="6"/>
  <c r="E217" i="6"/>
  <c r="E218" i="6"/>
  <c r="E219" i="6"/>
  <c r="E53" i="6"/>
  <c r="E85" i="6"/>
  <c r="E220" i="6"/>
  <c r="E221" i="6"/>
  <c r="E68" i="6"/>
  <c r="E86" i="6"/>
  <c r="E42" i="6"/>
  <c r="E222" i="6"/>
  <c r="E223" i="6"/>
  <c r="E224" i="6"/>
  <c r="E54" i="6"/>
  <c r="E113" i="6"/>
  <c r="E43" i="6"/>
  <c r="E114" i="6"/>
  <c r="E225" i="6"/>
  <c r="E69" i="6"/>
  <c r="E226" i="6"/>
  <c r="E227" i="6"/>
  <c r="E228" i="6"/>
  <c r="E229" i="6"/>
  <c r="E87" i="6"/>
  <c r="E230" i="6"/>
  <c r="E231" i="6"/>
  <c r="E232" i="6"/>
  <c r="E233" i="6"/>
  <c r="D233" i="6"/>
  <c r="D119" i="6"/>
  <c r="D29" i="6"/>
  <c r="D70" i="6"/>
  <c r="D89" i="6"/>
  <c r="D71" i="6"/>
  <c r="D20" i="6"/>
  <c r="D44" i="6"/>
  <c r="D30" i="6"/>
  <c r="D90" i="6"/>
  <c r="D120" i="6"/>
  <c r="D121" i="6"/>
  <c r="D55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72" i="6"/>
  <c r="D136" i="6"/>
  <c r="D137" i="6"/>
  <c r="D138" i="6"/>
  <c r="D91" i="6"/>
  <c r="D92" i="6"/>
  <c r="D93" i="6"/>
  <c r="D56" i="6"/>
  <c r="D45" i="6"/>
  <c r="D21" i="6"/>
  <c r="D94" i="6"/>
  <c r="D139" i="6"/>
  <c r="D95" i="6"/>
  <c r="D140" i="6"/>
  <c r="D31" i="6"/>
  <c r="D141" i="6"/>
  <c r="D142" i="6"/>
  <c r="D14" i="6"/>
  <c r="D9" i="6"/>
  <c r="D32" i="6"/>
  <c r="D96" i="6"/>
  <c r="D143" i="6"/>
  <c r="D57" i="6"/>
  <c r="D144" i="6"/>
  <c r="D33" i="6"/>
  <c r="D145" i="6"/>
  <c r="D15" i="6"/>
  <c r="D16" i="6"/>
  <c r="D146" i="6"/>
  <c r="D24" i="6"/>
  <c r="D147" i="6"/>
  <c r="D12" i="6"/>
  <c r="D73" i="6"/>
  <c r="D148" i="6"/>
  <c r="D74" i="6"/>
  <c r="D97" i="6"/>
  <c r="D75" i="6"/>
  <c r="D149" i="6"/>
  <c r="D150" i="6"/>
  <c r="D76" i="6"/>
  <c r="D58" i="6"/>
  <c r="D98" i="6"/>
  <c r="D151" i="6"/>
  <c r="D99" i="6"/>
  <c r="D100" i="6"/>
  <c r="D25" i="6"/>
  <c r="D59" i="6"/>
  <c r="D60" i="6"/>
  <c r="D10" i="6"/>
  <c r="D77" i="6"/>
  <c r="D46" i="6"/>
  <c r="D78" i="6"/>
  <c r="D22" i="6"/>
  <c r="D152" i="6"/>
  <c r="D153" i="6"/>
  <c r="D34" i="6"/>
  <c r="D154" i="6"/>
  <c r="D8" i="6"/>
  <c r="D101" i="6"/>
  <c r="D17" i="6"/>
  <c r="D155" i="6"/>
  <c r="D156" i="6"/>
  <c r="D26" i="6"/>
  <c r="D79" i="6"/>
  <c r="D61" i="6"/>
  <c r="D157" i="6"/>
  <c r="D7" i="6"/>
  <c r="D158" i="6"/>
  <c r="D159" i="6"/>
  <c r="D160" i="6"/>
  <c r="D161" i="6"/>
  <c r="D47" i="6"/>
  <c r="D162" i="6"/>
  <c r="D163" i="6"/>
  <c r="D164" i="6"/>
  <c r="D102" i="6"/>
  <c r="D103" i="6"/>
  <c r="D165" i="6"/>
  <c r="D62" i="6"/>
  <c r="D63" i="6"/>
  <c r="D35" i="6"/>
  <c r="D166" i="6"/>
  <c r="D64" i="6"/>
  <c r="D104" i="6"/>
  <c r="D167" i="6"/>
  <c r="D105" i="6"/>
  <c r="D18" i="6"/>
  <c r="D36" i="6"/>
  <c r="D168" i="6"/>
  <c r="D169" i="6"/>
  <c r="D80" i="6"/>
  <c r="D170" i="6"/>
  <c r="D171" i="6"/>
  <c r="D172" i="6"/>
  <c r="D173" i="6"/>
  <c r="D65" i="6"/>
  <c r="D174" i="6"/>
  <c r="D106" i="6"/>
  <c r="D175" i="6"/>
  <c r="D48" i="6"/>
  <c r="D176" i="6"/>
  <c r="D81" i="6"/>
  <c r="D66" i="6"/>
  <c r="D37" i="6"/>
  <c r="D38" i="6"/>
  <c r="D49" i="6"/>
  <c r="D177" i="6"/>
  <c r="D178" i="6"/>
  <c r="D50" i="6"/>
  <c r="D107" i="6"/>
  <c r="D51" i="6"/>
  <c r="D179" i="6"/>
  <c r="D108" i="6"/>
  <c r="D180" i="6"/>
  <c r="D181" i="6"/>
  <c r="D182" i="6"/>
  <c r="D39" i="6"/>
  <c r="D183" i="6"/>
  <c r="D184" i="6"/>
  <c r="D185" i="6"/>
  <c r="D186" i="6"/>
  <c r="D187" i="6"/>
  <c r="D188" i="6"/>
  <c r="D189" i="6"/>
  <c r="D190" i="6"/>
  <c r="D67" i="6"/>
  <c r="D19" i="6"/>
  <c r="D191" i="6"/>
  <c r="D27" i="6"/>
  <c r="D192" i="6"/>
  <c r="D193" i="6"/>
  <c r="D194" i="6"/>
  <c r="D109" i="6"/>
  <c r="D40" i="6"/>
  <c r="D110" i="6"/>
  <c r="D195" i="6"/>
  <c r="D52" i="6"/>
  <c r="D196" i="6"/>
  <c r="D197" i="6"/>
  <c r="D198" i="6"/>
  <c r="D199" i="6"/>
  <c r="D200" i="6"/>
  <c r="D201" i="6"/>
  <c r="D82" i="6"/>
  <c r="D41" i="6"/>
  <c r="D202" i="6"/>
  <c r="D203" i="6"/>
  <c r="D83" i="6"/>
  <c r="D111" i="6"/>
  <c r="D204" i="6"/>
  <c r="D205" i="6"/>
  <c r="D206" i="6"/>
  <c r="D207" i="6"/>
  <c r="D208" i="6"/>
  <c r="D209" i="6"/>
  <c r="D210" i="6"/>
  <c r="D211" i="6"/>
  <c r="D11" i="6"/>
  <c r="D212" i="6"/>
  <c r="D213" i="6"/>
  <c r="D214" i="6"/>
  <c r="D215" i="6"/>
  <c r="D84" i="6"/>
  <c r="D28" i="6"/>
  <c r="D216" i="6"/>
  <c r="D23" i="6"/>
  <c r="D112" i="6"/>
  <c r="D217" i="6"/>
  <c r="D218" i="6"/>
  <c r="D219" i="6"/>
  <c r="D53" i="6"/>
  <c r="D85" i="6"/>
  <c r="D220" i="6"/>
  <c r="D221" i="6"/>
  <c r="D68" i="6"/>
  <c r="D86" i="6"/>
  <c r="D42" i="6"/>
  <c r="D222" i="6"/>
  <c r="D223" i="6"/>
  <c r="D224" i="6"/>
  <c r="D54" i="6"/>
  <c r="D113" i="6"/>
  <c r="D43" i="6"/>
  <c r="D114" i="6"/>
  <c r="D225" i="6"/>
  <c r="D69" i="6"/>
  <c r="D226" i="6"/>
  <c r="D227" i="6"/>
  <c r="D228" i="6"/>
  <c r="D229" i="6"/>
  <c r="D87" i="6"/>
  <c r="D230" i="6"/>
  <c r="D231" i="6"/>
  <c r="D232" i="6"/>
  <c r="D115" i="6"/>
  <c r="D13" i="6"/>
  <c r="D116" i="6"/>
  <c r="D117" i="6"/>
  <c r="D88" i="6"/>
  <c r="D118" i="6"/>
  <c r="G6" i="6"/>
  <c r="F6" i="6"/>
  <c r="E6" i="6"/>
  <c r="D6" i="6"/>
  <c r="AG167" i="8"/>
  <c r="AG166" i="8"/>
  <c r="AG165" i="8"/>
  <c r="AG164" i="8"/>
  <c r="AG95" i="8"/>
  <c r="AG94" i="8"/>
  <c r="AG93" i="8"/>
  <c r="AG92" i="8"/>
  <c r="AG118" i="8"/>
  <c r="AG117" i="8"/>
  <c r="AG116" i="8"/>
  <c r="AG115" i="8"/>
  <c r="AG141" i="8"/>
  <c r="AG140" i="8"/>
  <c r="AG139" i="8"/>
  <c r="AG138" i="8"/>
  <c r="AG71" i="8"/>
  <c r="AG70" i="8"/>
  <c r="AG69" i="8"/>
  <c r="AG68" i="8"/>
  <c r="AG27" i="8"/>
  <c r="AG52" i="8"/>
  <c r="AG51" i="8"/>
  <c r="AG50" i="8"/>
  <c r="AG49" i="8"/>
  <c r="AG30" i="8"/>
  <c r="AG29" i="8"/>
  <c r="AG28" i="8"/>
  <c r="AG10" i="8"/>
  <c r="AG9" i="8"/>
  <c r="AG8" i="8"/>
  <c r="AG7" i="8"/>
  <c r="AE229" i="7" l="1"/>
  <c r="G230" i="6" s="1"/>
  <c r="AE230" i="7"/>
  <c r="G231" i="6" s="1"/>
  <c r="AE231" i="7"/>
  <c r="G232" i="6" s="1"/>
  <c r="E236" i="7"/>
  <c r="F236" i="1"/>
  <c r="C28" i="2" s="1"/>
  <c r="E237" i="8"/>
  <c r="AE222" i="7"/>
  <c r="G225" i="6" s="1"/>
  <c r="AE223" i="7"/>
  <c r="G69" i="6" s="1"/>
  <c r="M239" i="1"/>
  <c r="S31" i="2" s="1"/>
  <c r="M238" i="1"/>
  <c r="S30" i="2" s="1"/>
  <c r="M237" i="1"/>
  <c r="S29" i="2" s="1"/>
  <c r="M236" i="1"/>
  <c r="S28" i="2" s="1"/>
  <c r="L239" i="1"/>
  <c r="M31" i="2" s="1"/>
  <c r="L238" i="1"/>
  <c r="M30" i="2" s="1"/>
  <c r="L237" i="1"/>
  <c r="M29" i="2" s="1"/>
  <c r="L236" i="1"/>
  <c r="M28" i="2" s="1"/>
  <c r="I239" i="1"/>
  <c r="F31" i="2" s="1"/>
  <c r="I238" i="1"/>
  <c r="F30" i="2" s="1"/>
  <c r="I237" i="1"/>
  <c r="F29" i="2" s="1"/>
  <c r="I236" i="1"/>
  <c r="F28" i="2" s="1"/>
  <c r="K239" i="1"/>
  <c r="L31" i="2" s="1"/>
  <c r="K238" i="1"/>
  <c r="L30" i="2" s="1"/>
  <c r="K237" i="1"/>
  <c r="L29" i="2" s="1"/>
  <c r="K236" i="1"/>
  <c r="L28" i="2" s="1"/>
  <c r="J239" i="1"/>
  <c r="K31" i="2" s="1"/>
  <c r="J238" i="1"/>
  <c r="K30" i="2" s="1"/>
  <c r="J237" i="1"/>
  <c r="K29" i="2" s="1"/>
  <c r="J236" i="1"/>
  <c r="K28" i="2" s="1"/>
  <c r="H239" i="1"/>
  <c r="E31" i="2" s="1"/>
  <c r="G239" i="1"/>
  <c r="D31" i="2" s="1"/>
  <c r="F239" i="1"/>
  <c r="C31" i="2" s="1"/>
  <c r="H238" i="1"/>
  <c r="E30" i="2" s="1"/>
  <c r="G238" i="1"/>
  <c r="D30" i="2" s="1"/>
  <c r="F238" i="1"/>
  <c r="C30" i="2" s="1"/>
  <c r="H237" i="1"/>
  <c r="E29" i="2" s="1"/>
  <c r="G237" i="1"/>
  <c r="D29" i="2" s="1"/>
  <c r="F237" i="1"/>
  <c r="C29" i="2" s="1"/>
  <c r="H236" i="1"/>
  <c r="E28" i="2" s="1"/>
  <c r="G236" i="1"/>
  <c r="D28" i="2" s="1"/>
  <c r="AD240" i="8" l="1"/>
  <c r="AC240" i="8"/>
  <c r="AB240" i="8"/>
  <c r="AA240" i="8"/>
  <c r="Z240" i="8"/>
  <c r="Y240" i="8"/>
  <c r="X240" i="8"/>
  <c r="W240" i="8"/>
  <c r="V240" i="8"/>
  <c r="U240" i="8"/>
  <c r="T240" i="8"/>
  <c r="S240" i="8"/>
  <c r="R240" i="8"/>
  <c r="Q240" i="8"/>
  <c r="P240" i="8"/>
  <c r="O240" i="8"/>
  <c r="N240" i="8"/>
  <c r="M240" i="8"/>
  <c r="L240" i="8"/>
  <c r="K240" i="8"/>
  <c r="J240" i="8"/>
  <c r="I240" i="8"/>
  <c r="H240" i="8"/>
  <c r="G240" i="8"/>
  <c r="F240" i="8"/>
  <c r="E240" i="8"/>
  <c r="AD239" i="8"/>
  <c r="AC239" i="8"/>
  <c r="AB239" i="8"/>
  <c r="AA239" i="8"/>
  <c r="Z239" i="8"/>
  <c r="Y239" i="8"/>
  <c r="X239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AD238" i="8"/>
  <c r="AC238" i="8"/>
  <c r="AB238" i="8"/>
  <c r="AA238" i="8"/>
  <c r="Z238" i="8"/>
  <c r="Y238" i="8"/>
  <c r="X238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AD237" i="8"/>
  <c r="AC237" i="8"/>
  <c r="AB237" i="8"/>
  <c r="AA237" i="8"/>
  <c r="Z237" i="8"/>
  <c r="Y237" i="8"/>
  <c r="X237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AE7" i="7"/>
  <c r="G13" i="6" s="1"/>
  <c r="AE9" i="7"/>
  <c r="G117" i="6" s="1"/>
  <c r="AE10" i="7"/>
  <c r="G88" i="6" s="1"/>
  <c r="AE11" i="7"/>
  <c r="G118" i="6" s="1"/>
  <c r="AE12" i="7"/>
  <c r="G119" i="6" s="1"/>
  <c r="AE13" i="7"/>
  <c r="G29" i="6" s="1"/>
  <c r="AE14" i="7"/>
  <c r="G70" i="6" s="1"/>
  <c r="AE15" i="7"/>
  <c r="G89" i="6" s="1"/>
  <c r="AE16" i="7"/>
  <c r="G71" i="6" s="1"/>
  <c r="AE17" i="7"/>
  <c r="G20" i="6" s="1"/>
  <c r="AE18" i="7"/>
  <c r="G44" i="6" s="1"/>
  <c r="AE19" i="7"/>
  <c r="G30" i="6" s="1"/>
  <c r="AE20" i="7"/>
  <c r="G90" i="6" s="1"/>
  <c r="AE21" i="7"/>
  <c r="G120" i="6" s="1"/>
  <c r="AE22" i="7"/>
  <c r="G121" i="6" s="1"/>
  <c r="AE23" i="7"/>
  <c r="G55" i="6" s="1"/>
  <c r="AE24" i="7"/>
  <c r="G122" i="6" s="1"/>
  <c r="AE25" i="7"/>
  <c r="G123" i="6" s="1"/>
  <c r="AE26" i="7"/>
  <c r="G124" i="6" s="1"/>
  <c r="AE27" i="7"/>
  <c r="G125" i="6" s="1"/>
  <c r="AE28" i="7"/>
  <c r="G126" i="6" s="1"/>
  <c r="AE29" i="7"/>
  <c r="G127" i="6" s="1"/>
  <c r="AE30" i="7"/>
  <c r="G128" i="6" s="1"/>
  <c r="AE31" i="7"/>
  <c r="G129" i="6" s="1"/>
  <c r="AE32" i="7"/>
  <c r="G130" i="6" s="1"/>
  <c r="AE33" i="7"/>
  <c r="G131" i="6" s="1"/>
  <c r="AE34" i="7"/>
  <c r="G132" i="6" s="1"/>
  <c r="AE35" i="7"/>
  <c r="G133" i="6" s="1"/>
  <c r="AE36" i="7"/>
  <c r="G134" i="6" s="1"/>
  <c r="AE37" i="7"/>
  <c r="G135" i="6" s="1"/>
  <c r="AE38" i="7"/>
  <c r="G72" i="6" s="1"/>
  <c r="AE39" i="7"/>
  <c r="G136" i="6" s="1"/>
  <c r="AE40" i="7"/>
  <c r="G137" i="6" s="1"/>
  <c r="AE41" i="7"/>
  <c r="G138" i="6" s="1"/>
  <c r="AE42" i="7"/>
  <c r="G91" i="6" s="1"/>
  <c r="AE43" i="7"/>
  <c r="G92" i="6" s="1"/>
  <c r="AE44" i="7"/>
  <c r="G93" i="6" s="1"/>
  <c r="AE45" i="7"/>
  <c r="G56" i="6" s="1"/>
  <c r="AE46" i="7"/>
  <c r="G45" i="6" s="1"/>
  <c r="AE47" i="7"/>
  <c r="G21" i="6" s="1"/>
  <c r="AE48" i="7"/>
  <c r="G94" i="6" s="1"/>
  <c r="AE49" i="7"/>
  <c r="G139" i="6" s="1"/>
  <c r="AE50" i="7"/>
  <c r="G95" i="6" s="1"/>
  <c r="AE51" i="7"/>
  <c r="G140" i="6" s="1"/>
  <c r="AE52" i="7"/>
  <c r="G31" i="6" s="1"/>
  <c r="AE53" i="7"/>
  <c r="G141" i="6" s="1"/>
  <c r="AE54" i="7"/>
  <c r="G142" i="6" s="1"/>
  <c r="AE55" i="7"/>
  <c r="G14" i="6" s="1"/>
  <c r="AE56" i="7"/>
  <c r="G9" i="6" s="1"/>
  <c r="AE57" i="7"/>
  <c r="G32" i="6" s="1"/>
  <c r="AE58" i="7"/>
  <c r="G96" i="6" s="1"/>
  <c r="AE59" i="7"/>
  <c r="G143" i="6" s="1"/>
  <c r="AE60" i="7"/>
  <c r="G57" i="6" s="1"/>
  <c r="AE61" i="7"/>
  <c r="G144" i="6" s="1"/>
  <c r="AE62" i="7"/>
  <c r="G33" i="6" s="1"/>
  <c r="AE63" i="7"/>
  <c r="G145" i="6" s="1"/>
  <c r="AE64" i="7"/>
  <c r="G15" i="6" s="1"/>
  <c r="AE65" i="7"/>
  <c r="G16" i="6" s="1"/>
  <c r="AE66" i="7"/>
  <c r="G146" i="6" s="1"/>
  <c r="AE67" i="7"/>
  <c r="G24" i="6" s="1"/>
  <c r="AE68" i="7"/>
  <c r="AE69" i="7"/>
  <c r="AE70" i="7"/>
  <c r="AE71" i="7"/>
  <c r="AE72" i="7"/>
  <c r="AE73" i="7"/>
  <c r="AE74" i="7"/>
  <c r="AE75" i="7"/>
  <c r="AE76" i="7"/>
  <c r="AE77" i="7"/>
  <c r="AE78" i="7"/>
  <c r="AE79" i="7"/>
  <c r="AE80" i="7"/>
  <c r="AE81" i="7"/>
  <c r="AE82" i="7"/>
  <c r="AE83" i="7"/>
  <c r="AE84" i="7"/>
  <c r="AE85" i="7"/>
  <c r="AE86" i="7"/>
  <c r="AE87" i="7"/>
  <c r="AE88" i="7"/>
  <c r="AE89" i="7"/>
  <c r="AE90" i="7"/>
  <c r="AE91" i="7"/>
  <c r="AE92" i="7"/>
  <c r="AE93" i="7"/>
  <c r="AE94" i="7"/>
  <c r="AE95" i="7"/>
  <c r="AE96" i="7"/>
  <c r="AE97" i="7"/>
  <c r="AE98" i="7"/>
  <c r="AE99" i="7"/>
  <c r="AE100" i="7"/>
  <c r="AE101" i="7"/>
  <c r="AE102" i="7"/>
  <c r="AE103" i="7"/>
  <c r="AE104" i="7"/>
  <c r="AE105" i="7"/>
  <c r="AE106" i="7"/>
  <c r="AE107" i="7"/>
  <c r="AE108" i="7"/>
  <c r="AE109" i="7"/>
  <c r="AE110" i="7"/>
  <c r="AE111" i="7"/>
  <c r="AE112" i="7"/>
  <c r="AE113" i="7"/>
  <c r="AE114" i="7"/>
  <c r="AE115" i="7"/>
  <c r="AE116" i="7"/>
  <c r="AE117" i="7"/>
  <c r="AE118" i="7"/>
  <c r="AE119" i="7"/>
  <c r="AE120" i="7"/>
  <c r="AE121" i="7"/>
  <c r="AE122" i="7"/>
  <c r="AE123" i="7"/>
  <c r="AE124" i="7"/>
  <c r="AE125" i="7"/>
  <c r="AE126" i="7"/>
  <c r="AE127" i="7"/>
  <c r="AE128" i="7"/>
  <c r="AE129" i="7"/>
  <c r="AE130" i="7"/>
  <c r="AE131" i="7"/>
  <c r="AE132" i="7"/>
  <c r="AE133" i="7"/>
  <c r="AE134" i="7"/>
  <c r="AE135" i="7"/>
  <c r="AE136" i="7"/>
  <c r="AE137" i="7"/>
  <c r="AE138" i="7"/>
  <c r="AE139" i="7"/>
  <c r="AE140" i="7"/>
  <c r="AE141" i="7"/>
  <c r="AE142" i="7"/>
  <c r="AE143" i="7"/>
  <c r="AE144" i="7"/>
  <c r="AE145" i="7"/>
  <c r="AE146" i="7"/>
  <c r="AE147" i="7"/>
  <c r="AE148" i="7"/>
  <c r="AE149" i="7"/>
  <c r="AE150" i="7"/>
  <c r="AE151" i="7"/>
  <c r="AE152" i="7"/>
  <c r="AE153" i="7"/>
  <c r="AE154" i="7"/>
  <c r="AE155" i="7"/>
  <c r="AE156" i="7"/>
  <c r="AE157" i="7"/>
  <c r="AE158" i="7"/>
  <c r="AE159" i="7"/>
  <c r="AE160" i="7"/>
  <c r="AE161" i="7"/>
  <c r="AE162" i="7"/>
  <c r="AE163" i="7"/>
  <c r="AE164" i="7"/>
  <c r="AE165" i="7"/>
  <c r="AE166" i="7"/>
  <c r="AE167" i="7"/>
  <c r="AE168" i="7"/>
  <c r="AE169" i="7"/>
  <c r="AE170" i="7"/>
  <c r="AE171" i="7"/>
  <c r="AE172" i="7"/>
  <c r="AE173" i="7"/>
  <c r="AE174" i="7"/>
  <c r="AE175" i="7"/>
  <c r="AE176" i="7"/>
  <c r="AE177" i="7"/>
  <c r="AE178" i="7"/>
  <c r="AE179" i="7"/>
  <c r="G200" i="6" s="1"/>
  <c r="AE180" i="7"/>
  <c r="G201" i="6" s="1"/>
  <c r="AE181" i="7"/>
  <c r="G82" i="6" s="1"/>
  <c r="AE182" i="7"/>
  <c r="G41" i="6" s="1"/>
  <c r="AE183" i="7"/>
  <c r="G202" i="6" s="1"/>
  <c r="AE184" i="7"/>
  <c r="G203" i="6" s="1"/>
  <c r="AE185" i="7"/>
  <c r="G83" i="6" s="1"/>
  <c r="AE186" i="7"/>
  <c r="G111" i="6" s="1"/>
  <c r="AE187" i="7"/>
  <c r="G204" i="6" s="1"/>
  <c r="AE188" i="7"/>
  <c r="G205" i="6" s="1"/>
  <c r="AE189" i="7"/>
  <c r="G206" i="6" s="1"/>
  <c r="AE190" i="7"/>
  <c r="G207" i="6" s="1"/>
  <c r="AE191" i="7"/>
  <c r="G208" i="6" s="1"/>
  <c r="AE192" i="7"/>
  <c r="G209" i="6" s="1"/>
  <c r="AE193" i="7"/>
  <c r="G210" i="6" s="1"/>
  <c r="AE194" i="7"/>
  <c r="G211" i="6" s="1"/>
  <c r="AE195" i="7"/>
  <c r="G11" i="6" s="1"/>
  <c r="AE196" i="7"/>
  <c r="G212" i="6" s="1"/>
  <c r="AE197" i="7"/>
  <c r="G213" i="6" s="1"/>
  <c r="AE198" i="7"/>
  <c r="G214" i="6" s="1"/>
  <c r="AE199" i="7"/>
  <c r="G215" i="6" s="1"/>
  <c r="AE200" i="7"/>
  <c r="G84" i="6" s="1"/>
  <c r="AE201" i="7"/>
  <c r="G28" i="6" s="1"/>
  <c r="AE202" i="7"/>
  <c r="G216" i="6" s="1"/>
  <c r="AE203" i="7"/>
  <c r="G23" i="6" s="1"/>
  <c r="AE204" i="7"/>
  <c r="G112" i="6" s="1"/>
  <c r="AE205" i="7"/>
  <c r="G217" i="6" s="1"/>
  <c r="AE206" i="7"/>
  <c r="G218" i="6" s="1"/>
  <c r="AE207" i="7"/>
  <c r="G219" i="6" s="1"/>
  <c r="AE208" i="7"/>
  <c r="G53" i="6" s="1"/>
  <c r="AE209" i="7"/>
  <c r="G85" i="6" s="1"/>
  <c r="AE210" i="7"/>
  <c r="G220" i="6" s="1"/>
  <c r="AE211" i="7"/>
  <c r="G221" i="6" s="1"/>
  <c r="AE212" i="7"/>
  <c r="G68" i="6" s="1"/>
  <c r="AE213" i="7"/>
  <c r="G86" i="6" s="1"/>
  <c r="AE214" i="7"/>
  <c r="G42" i="6" s="1"/>
  <c r="AE215" i="7"/>
  <c r="G222" i="6" s="1"/>
  <c r="AE216" i="7"/>
  <c r="G223" i="6" s="1"/>
  <c r="AE217" i="7"/>
  <c r="G224" i="6" s="1"/>
  <c r="AE218" i="7"/>
  <c r="G54" i="6" s="1"/>
  <c r="AE219" i="7"/>
  <c r="G113" i="6" s="1"/>
  <c r="AE220" i="7"/>
  <c r="G43" i="6" s="1"/>
  <c r="AE221" i="7"/>
  <c r="G114" i="6" s="1"/>
  <c r="AE224" i="7"/>
  <c r="G226" i="6" s="1"/>
  <c r="AE225" i="7"/>
  <c r="G227" i="6" s="1"/>
  <c r="AE226" i="7"/>
  <c r="G228" i="6" s="1"/>
  <c r="AE227" i="7"/>
  <c r="G229" i="6" s="1"/>
  <c r="AE228" i="7"/>
  <c r="G87" i="6" s="1"/>
  <c r="AE6" i="7"/>
  <c r="G115" i="6" s="1"/>
  <c r="AD239" i="7" l="1"/>
  <c r="AC239" i="7"/>
  <c r="AB239" i="7"/>
  <c r="AA239" i="7"/>
  <c r="Z239" i="7"/>
  <c r="Y239" i="7"/>
  <c r="X239" i="7"/>
  <c r="W239" i="7"/>
  <c r="V239" i="7"/>
  <c r="U239" i="7"/>
  <c r="T239" i="7"/>
  <c r="S239" i="7"/>
  <c r="R239" i="7"/>
  <c r="Q239" i="7"/>
  <c r="P239" i="7"/>
  <c r="O239" i="7"/>
  <c r="N239" i="7"/>
  <c r="M239" i="7"/>
  <c r="L239" i="7"/>
  <c r="K239" i="7"/>
  <c r="J239" i="7"/>
  <c r="I239" i="7"/>
  <c r="H239" i="7"/>
  <c r="G239" i="7"/>
  <c r="F239" i="7"/>
  <c r="E239" i="7"/>
  <c r="AD238" i="7"/>
  <c r="AC238" i="7"/>
  <c r="AB238" i="7"/>
  <c r="AA238" i="7"/>
  <c r="Z238" i="7"/>
  <c r="Y238" i="7"/>
  <c r="X238" i="7"/>
  <c r="W238" i="7"/>
  <c r="V238" i="7"/>
  <c r="U238" i="7"/>
  <c r="T238" i="7"/>
  <c r="S238" i="7"/>
  <c r="R238" i="7"/>
  <c r="Q238" i="7"/>
  <c r="P238" i="7"/>
  <c r="O238" i="7"/>
  <c r="N238" i="7"/>
  <c r="M238" i="7"/>
  <c r="L238" i="7"/>
  <c r="K238" i="7"/>
  <c r="J238" i="7"/>
  <c r="I238" i="7"/>
  <c r="H238" i="7"/>
  <c r="G238" i="7"/>
  <c r="F238" i="7"/>
  <c r="E238" i="7"/>
  <c r="AD237" i="7"/>
  <c r="AC237" i="7"/>
  <c r="AB237" i="7"/>
  <c r="AA237" i="7"/>
  <c r="Z237" i="7"/>
  <c r="Y237" i="7"/>
  <c r="X237" i="7"/>
  <c r="W237" i="7"/>
  <c r="V237" i="7"/>
  <c r="U237" i="7"/>
  <c r="T237" i="7"/>
  <c r="S237" i="7"/>
  <c r="R237" i="7"/>
  <c r="Q237" i="7"/>
  <c r="P237" i="7"/>
  <c r="O237" i="7"/>
  <c r="N237" i="7"/>
  <c r="M237" i="7"/>
  <c r="L237" i="7"/>
  <c r="K237" i="7"/>
  <c r="J237" i="7"/>
  <c r="I237" i="7"/>
  <c r="H237" i="7"/>
  <c r="G237" i="7"/>
  <c r="F237" i="7"/>
  <c r="E237" i="7"/>
  <c r="AD236" i="7"/>
  <c r="AC236" i="7"/>
  <c r="AB236" i="7"/>
  <c r="AA236" i="7"/>
  <c r="Z236" i="7"/>
  <c r="Y236" i="7"/>
  <c r="X236" i="7"/>
  <c r="W236" i="7"/>
  <c r="V236" i="7"/>
  <c r="U236" i="7"/>
  <c r="T236" i="7"/>
  <c r="S236" i="7"/>
  <c r="R236" i="7"/>
  <c r="Q236" i="7"/>
  <c r="P236" i="7"/>
  <c r="O236" i="7"/>
  <c r="N236" i="7"/>
  <c r="M236" i="7"/>
  <c r="L236" i="7"/>
  <c r="K236" i="7"/>
  <c r="J236" i="7"/>
  <c r="I236" i="7"/>
  <c r="H236" i="7"/>
  <c r="G236" i="7"/>
  <c r="F236" i="7"/>
  <c r="AE239" i="1" l="1"/>
  <c r="BT31" i="2" s="1"/>
  <c r="AD239" i="1"/>
  <c r="BS31" i="2" s="1"/>
  <c r="AC239" i="1"/>
  <c r="BM31" i="2" s="1"/>
  <c r="AB239" i="1"/>
  <c r="BL31" i="2" s="1"/>
  <c r="AA239" i="1"/>
  <c r="BK31" i="2" s="1"/>
  <c r="Z239" i="1"/>
  <c r="BD31" i="2" s="1"/>
  <c r="Y239" i="1"/>
  <c r="BC31" i="2" s="1"/>
  <c r="X239" i="1"/>
  <c r="AV31" i="2" s="1"/>
  <c r="W239" i="1"/>
  <c r="AU31" i="2" s="1"/>
  <c r="V239" i="1"/>
  <c r="AT31" i="2" s="1"/>
  <c r="U239" i="1"/>
  <c r="AN31" i="2" s="1"/>
  <c r="T239" i="1"/>
  <c r="AJ31" i="2" s="1"/>
  <c r="S239" i="1"/>
  <c r="AI31" i="2" s="1"/>
  <c r="R239" i="1"/>
  <c r="AD31" i="2" s="1"/>
  <c r="Q239" i="1"/>
  <c r="AC31" i="2" s="1"/>
  <c r="P239" i="1"/>
  <c r="AB31" i="2" s="1"/>
  <c r="O239" i="1"/>
  <c r="U31" i="2" s="1"/>
  <c r="N239" i="1"/>
  <c r="T31" i="2" s="1"/>
  <c r="AE238" i="1"/>
  <c r="BT30" i="2" s="1"/>
  <c r="AD238" i="1"/>
  <c r="BS30" i="2" s="1"/>
  <c r="AC238" i="1"/>
  <c r="BM30" i="2" s="1"/>
  <c r="AB238" i="1"/>
  <c r="BL30" i="2" s="1"/>
  <c r="AA238" i="1"/>
  <c r="BK30" i="2" s="1"/>
  <c r="Z238" i="1"/>
  <c r="BD30" i="2" s="1"/>
  <c r="Y238" i="1"/>
  <c r="BC30" i="2" s="1"/>
  <c r="X238" i="1"/>
  <c r="AV30" i="2" s="1"/>
  <c r="W238" i="1"/>
  <c r="AU30" i="2" s="1"/>
  <c r="V238" i="1"/>
  <c r="AT30" i="2" s="1"/>
  <c r="U238" i="1"/>
  <c r="AN30" i="2" s="1"/>
  <c r="T238" i="1"/>
  <c r="AJ30" i="2" s="1"/>
  <c r="S238" i="1"/>
  <c r="AI30" i="2" s="1"/>
  <c r="R238" i="1"/>
  <c r="AD30" i="2" s="1"/>
  <c r="Q238" i="1"/>
  <c r="AC30" i="2" s="1"/>
  <c r="P238" i="1"/>
  <c r="AB30" i="2" s="1"/>
  <c r="O238" i="1"/>
  <c r="U30" i="2" s="1"/>
  <c r="N238" i="1"/>
  <c r="T30" i="2" s="1"/>
  <c r="AE237" i="1"/>
  <c r="BT29" i="2" s="1"/>
  <c r="AD237" i="1"/>
  <c r="BS29" i="2" s="1"/>
  <c r="AC237" i="1"/>
  <c r="BM29" i="2" s="1"/>
  <c r="AB237" i="1"/>
  <c r="BL29" i="2" s="1"/>
  <c r="AA237" i="1"/>
  <c r="BK29" i="2" s="1"/>
  <c r="Z237" i="1"/>
  <c r="BD29" i="2" s="1"/>
  <c r="Y237" i="1"/>
  <c r="BC29" i="2" s="1"/>
  <c r="X237" i="1"/>
  <c r="AV29" i="2" s="1"/>
  <c r="W237" i="1"/>
  <c r="AU29" i="2" s="1"/>
  <c r="V237" i="1"/>
  <c r="AT29" i="2" s="1"/>
  <c r="U237" i="1"/>
  <c r="AN29" i="2" s="1"/>
  <c r="T237" i="1"/>
  <c r="AJ29" i="2" s="1"/>
  <c r="S237" i="1"/>
  <c r="AI29" i="2" s="1"/>
  <c r="R237" i="1"/>
  <c r="AD29" i="2" s="1"/>
  <c r="Q237" i="1"/>
  <c r="AC29" i="2" s="1"/>
  <c r="P237" i="1"/>
  <c r="AB29" i="2" s="1"/>
  <c r="O237" i="1"/>
  <c r="U29" i="2" s="1"/>
  <c r="N237" i="1"/>
  <c r="T29" i="2" s="1"/>
  <c r="AE236" i="1"/>
  <c r="BT28" i="2" s="1"/>
  <c r="AD236" i="1"/>
  <c r="BS28" i="2" s="1"/>
  <c r="AC236" i="1"/>
  <c r="BM28" i="2" s="1"/>
  <c r="AB236" i="1"/>
  <c r="BL28" i="2" s="1"/>
  <c r="AA236" i="1"/>
  <c r="BK28" i="2" s="1"/>
  <c r="Z236" i="1"/>
  <c r="BD28" i="2" s="1"/>
  <c r="Y236" i="1"/>
  <c r="BC28" i="2" s="1"/>
  <c r="X236" i="1"/>
  <c r="AV28" i="2" s="1"/>
  <c r="W236" i="1"/>
  <c r="AU28" i="2" s="1"/>
  <c r="V236" i="1"/>
  <c r="AT28" i="2" s="1"/>
  <c r="U236" i="1"/>
  <c r="AN28" i="2" s="1"/>
  <c r="T236" i="1"/>
  <c r="AJ28" i="2" s="1"/>
  <c r="S236" i="1"/>
  <c r="AI28" i="2" s="1"/>
  <c r="R236" i="1"/>
  <c r="AD28" i="2" s="1"/>
  <c r="Q236" i="1"/>
  <c r="AC28" i="2" s="1"/>
  <c r="P236" i="1"/>
  <c r="AB28" i="2" s="1"/>
  <c r="O236" i="1"/>
  <c r="U28" i="2" s="1"/>
  <c r="N236" i="1"/>
  <c r="T28" i="2" s="1"/>
</calcChain>
</file>

<file path=xl/sharedStrings.xml><?xml version="1.0" encoding="utf-8"?>
<sst xmlns="http://schemas.openxmlformats.org/spreadsheetml/2006/main" count="19370" uniqueCount="270">
  <si>
    <r>
      <rPr>
        <sz val="11"/>
        <color theme="1"/>
        <rFont val="Calibri"/>
        <family val="2"/>
      </rPr>
      <t xml:space="preserve">EVALUACIÓN DIAGNÓSTICA
INSTITUCIÓN EDUCATIVA: </t>
    </r>
    <r>
      <rPr>
        <b/>
        <sz val="11"/>
        <color theme="1"/>
        <rFont val="Calibri"/>
        <family val="2"/>
      </rPr>
      <t xml:space="preserve">40079 "Víctor Núñez Valencia"
</t>
    </r>
    <r>
      <rPr>
        <sz val="11"/>
        <color theme="1"/>
        <rFont val="Calibri"/>
        <family val="2"/>
      </rPr>
      <t xml:space="preserve">DISTRITO   </t>
    </r>
    <r>
      <rPr>
        <b/>
        <sz val="11"/>
        <color theme="1"/>
        <rFont val="Calibri"/>
        <family val="2"/>
      </rPr>
      <t xml:space="preserve">SACHACA  </t>
    </r>
    <r>
      <rPr>
        <sz val="11"/>
        <color theme="1"/>
        <rFont val="Calibri"/>
        <family val="2"/>
      </rPr>
      <t xml:space="preserve"> </t>
    </r>
  </si>
  <si>
    <t>Nivel de logro de las competencias</t>
  </si>
  <si>
    <t xml:space="preserve">MATEMÁTICA
</t>
  </si>
  <si>
    <t xml:space="preserve">COMUNICACIÓN
</t>
  </si>
  <si>
    <t>CIENCIA Y
 TECNOLOGÍA</t>
  </si>
  <si>
    <t>CIENCIAS
 SOCIALES</t>
  </si>
  <si>
    <t>DPCC</t>
  </si>
  <si>
    <t>EPT</t>
  </si>
  <si>
    <t>EDUCACIÓN
 FÍSICA</t>
  </si>
  <si>
    <t>ARTE Y
 CULTURA</t>
  </si>
  <si>
    <t>INGLES</t>
  </si>
  <si>
    <t>EDUCACIÓN 
RELIGIOSA</t>
  </si>
  <si>
    <t>APELLIDOS Y NOMBRES DEL ESTUDIANTE</t>
  </si>
  <si>
    <t>GRADO</t>
  </si>
  <si>
    <t>SECCION</t>
  </si>
  <si>
    <t>C1</t>
  </si>
  <si>
    <t>C2</t>
  </si>
  <si>
    <t>C3</t>
  </si>
  <si>
    <t>C4</t>
  </si>
  <si>
    <t>A</t>
  </si>
  <si>
    <t>B</t>
  </si>
  <si>
    <t>C</t>
  </si>
  <si>
    <t>AD</t>
  </si>
  <si>
    <t>MAPAS DE CALOR</t>
  </si>
  <si>
    <t>INICIO  C</t>
  </si>
  <si>
    <t>PROCESO  B</t>
  </si>
  <si>
    <t>LOGRO A</t>
  </si>
  <si>
    <t>LOGRO DESTACADO AD</t>
  </si>
  <si>
    <t>MATEMÁTICA</t>
  </si>
  <si>
    <t>COMUNICACIÓN</t>
  </si>
  <si>
    <t>CIENCIA Y TECNOLOGÍA</t>
  </si>
  <si>
    <t>CIENCIAS SOCIALES</t>
  </si>
  <si>
    <t>ED.FÍSICA</t>
  </si>
  <si>
    <t>ARTE</t>
  </si>
  <si>
    <t>INGLÉS</t>
  </si>
  <si>
    <t>RELIGIÓN</t>
  </si>
  <si>
    <t>CANTIDAD DE COMPETENCIAS DESAPROBADAS</t>
  </si>
  <si>
    <t>RR</t>
  </si>
  <si>
    <t>N°</t>
  </si>
  <si>
    <t xml:space="preserve"> </t>
  </si>
  <si>
    <t>ARISMENDI CUBA, GEANLUCA FABIAN</t>
  </si>
  <si>
    <t>BARRIGA BLEQUE, ANDRI DE JESUS</t>
  </si>
  <si>
    <t>CABRERA SOTO, SAMUEL</t>
  </si>
  <si>
    <t>CACERES JUAREZ, JHONNY IVAN</t>
  </si>
  <si>
    <t>CALSIN MAMANI, CINDY ROMINA</t>
  </si>
  <si>
    <t>CCALLE CARDENAS, MARIANA DINA NIEVES</t>
  </si>
  <si>
    <t>CHIPANA VILLANUEVA, CHRISTOFER FAVIAN</t>
  </si>
  <si>
    <t>GOMEZ HUAMANI, DANY GOEL</t>
  </si>
  <si>
    <t>HUAMANI CHILO, AMILCAR ALEKEY</t>
  </si>
  <si>
    <t>MANTILLA HUISA, JOSUE DAVID</t>
  </si>
  <si>
    <t>OCHOA MAMANI, MARCO ANTONIO</t>
  </si>
  <si>
    <t>PAUCAR HANAMPA, RONY GABRIEL</t>
  </si>
  <si>
    <t>PUCHO ANCCORI, SHADY JIUNSU</t>
  </si>
  <si>
    <t>QUISPE SUPO, DAYIRO SEBASTIAN</t>
  </si>
  <si>
    <t>TARIFA JULI, JESUS WILLIAN</t>
  </si>
  <si>
    <t>VILCA CAHUINA, FREDY MARLOM</t>
  </si>
  <si>
    <t>VILLANUEVA CHAVEZ, SAUL HERNAN</t>
  </si>
  <si>
    <t>VILLEGAS OLLACHICA, ADRIANA JULIET ESTHEFANIE</t>
  </si>
  <si>
    <t>YUCRA MENDOZA, YADIRA KAROL</t>
  </si>
  <si>
    <t>EXO</t>
  </si>
  <si>
    <t>ARI CCASANI, NADIRA ROUSE</t>
  </si>
  <si>
    <t>CALZADILLA TABEROA, JESUS ALEJANDRO</t>
  </si>
  <si>
    <t>CALZADILLA TABEROA, KENDRA MARIELYS</t>
  </si>
  <si>
    <t>CAÑARI PUCHO, YEFERSON RUBEN</t>
  </si>
  <si>
    <t>CCOMPE BERRIOS, CANDY ESTHER</t>
  </si>
  <si>
    <t>CHINO CHOQUE, SHEYLA YENNIFER CELIA</t>
  </si>
  <si>
    <t>GOMEZ CHAVEZ, ALIZEE DARLA</t>
  </si>
  <si>
    <t>HANCCO TITO, GUSTAVO</t>
  </si>
  <si>
    <t>LLASA RODRIGUEZ, ROSA DEL ROCIO</t>
  </si>
  <si>
    <t>MACHACA CHAMBI, GISELA</t>
  </si>
  <si>
    <t>MAYTA APAZA, EDDU SAMUEL</t>
  </si>
  <si>
    <t>MENDOZA CUSIHUAMAN, CIELO RAQUEL</t>
  </si>
  <si>
    <t>MUÑOZ ARQQUE, ANDERSON DEL PIERO</t>
  </si>
  <si>
    <t>PAPEL HANCCO, JAIRO EDY</t>
  </si>
  <si>
    <t>PEREZ LARICO, CHRISTIAN GABRIEL</t>
  </si>
  <si>
    <t>QUECARA MACHACA, ABRAHAM</t>
  </si>
  <si>
    <t>SANCA HUANACO, CHRIS JHOS</t>
  </si>
  <si>
    <t>SOTO JACINTO, JOSE LUIS</t>
  </si>
  <si>
    <t>TORRES AYMA, JEFFERSON</t>
  </si>
  <si>
    <t>TORRES CHOCO, MANUEL TONI</t>
  </si>
  <si>
    <t>VARGAS PAREDES, MILAGROS DEL CARMEN</t>
  </si>
  <si>
    <t>APFATA SALHUA, SUMNY SHARON</t>
  </si>
  <si>
    <t>CALCINA NUÑEZ, LUANA YAMILE</t>
  </si>
  <si>
    <t>CAÑARI PUCHO, MAYKOL LEONARDO</t>
  </si>
  <si>
    <t>CCAMA MAMANI, CRISTOPHER JOSUE</t>
  </si>
  <si>
    <t>CONDORI QUISPE, JHON MAXI</t>
  </si>
  <si>
    <t>CRUZ QUISPE, ALDAIR ADRIANO</t>
  </si>
  <si>
    <t>ENDARA CHOQUE, HANZ FRANKLIN ABIHU</t>
  </si>
  <si>
    <t>HANCCO PARI, ZAID DRENY</t>
  </si>
  <si>
    <t>HUACARPUMA LLAZA, MARY SAMIRA</t>
  </si>
  <si>
    <t>MACAHUACHI ASPAJO, ROMELIA PIERINA</t>
  </si>
  <si>
    <t>PUCHO ANCCORI, ADRIAN ERICK</t>
  </si>
  <si>
    <t>QUISPE GUTIERREZ, LIONEL OZIL</t>
  </si>
  <si>
    <t>RODRIGUEZ APAZA, NURIA LIZ</t>
  </si>
  <si>
    <t>SUAREZ CALLE, ELIZABETH ALEXANDRA</t>
  </si>
  <si>
    <t>TACO CHAVEZ, VICENTE ZHAID</t>
  </si>
  <si>
    <t>VARGAS PAREDES, ANDERSON GABRIEL</t>
  </si>
  <si>
    <t>AROTAIPE HUAIROCCACYA, YERITZA NOEMI</t>
  </si>
  <si>
    <t>CABRERA CCAMA, SANDY CAMILA</t>
  </si>
  <si>
    <t>CALSIN VILCA, LEONEL FRANCO</t>
  </si>
  <si>
    <t>CAÑAS BUENO, JASMELING DEL CARMEN</t>
  </si>
  <si>
    <t>CASTRO AROTAIPE, YOSENID NASHELY</t>
  </si>
  <si>
    <t>FLORES CHUMBES, DANNY FRANK</t>
  </si>
  <si>
    <t>HANCCO PEREZ, DAMARYS LORENA</t>
  </si>
  <si>
    <t>HUAYHUA CHOQUEHUANCA, BRAYAN JOSSIMAR</t>
  </si>
  <si>
    <t>LIMACHE SANDILLA, LUIS ALFREDO</t>
  </si>
  <si>
    <t>MACHACA CHAVEZ, ALEJANDRO BRYAN</t>
  </si>
  <si>
    <t>MAMANI ALDIVAR, SERGIO SNAYDER</t>
  </si>
  <si>
    <t>MAMANI VILCA, RODERICK DAVID</t>
  </si>
  <si>
    <t>MENDOZA CONDORI, MARY LUZ</t>
  </si>
  <si>
    <t>QUIJAHUAMAN HUARICALLO, DAYRON CHRISTIAN</t>
  </si>
  <si>
    <t>QUISPE HUARACHA, FERNANDO JULIO</t>
  </si>
  <si>
    <t>QUISPE TORRES, YENIFER KATHERINE</t>
  </si>
  <si>
    <t>TORRES AYMA, LIZETH</t>
  </si>
  <si>
    <t>VALVERDE JACINTO, BRIGITHE NAYSHA</t>
  </si>
  <si>
    <t>VILCA COLQUE, MILAGROS GUADALUPE</t>
  </si>
  <si>
    <t>VILLANUEVA CHAVEZ, GUSTAVO ARTURO</t>
  </si>
  <si>
    <t>ANDIA PUMACALLAHUI, ANDRE STEBEN</t>
  </si>
  <si>
    <t>APAZA MERMA, SERGIO ANDRE</t>
  </si>
  <si>
    <t>APAZA SAMATA, NILDA</t>
  </si>
  <si>
    <t>CCALLE CARDENAS, KINA LUZ DIANA</t>
  </si>
  <si>
    <t>CRUZ ALARCON, MIRIAM JAEL</t>
  </si>
  <si>
    <t>CRUZ CALLASACA, ABIGAIL NATHALY</t>
  </si>
  <si>
    <t>GALARZA QUISPE, CRIS NATHALY</t>
  </si>
  <si>
    <t>GUILLEN SANCHEZ, MELANY GREIS</t>
  </si>
  <si>
    <t>LOPINTA HUAMANI, CLAUDIO YILMAR</t>
  </si>
  <si>
    <t>PAUCAR ZAMORA, ANALY LUCERO</t>
  </si>
  <si>
    <t>QUISPE CCOLLA, YEYZON RONALDO</t>
  </si>
  <si>
    <t>QUISPE MOLINA, JESUS HILARION</t>
  </si>
  <si>
    <t>QUISPE YANA, YOBANA KARMIN</t>
  </si>
  <si>
    <t>SURI MAMANI, SERGIO ALEJANDRO</t>
  </si>
  <si>
    <t>TACO ROQUE, MARIA JOSE</t>
  </si>
  <si>
    <t>VARGAS VELAZCO, LUIS ENRIQUE</t>
  </si>
  <si>
    <t>YAURIS GAMBOA, SHANDE LEONARDO</t>
  </si>
  <si>
    <t>ALEJO LUPINTA, DEISON FLEIDER</t>
  </si>
  <si>
    <t>ALMIRON HUANCA, EDDY DANTE</t>
  </si>
  <si>
    <t>ALMORA CHIRE, RENZO LEONARDO</t>
  </si>
  <si>
    <t>AVILA GUTIERREZ, KATHIA KEILYN</t>
  </si>
  <si>
    <t>AYMARA TORRES, HEYDI LUCIA</t>
  </si>
  <si>
    <t>CAHUANA PAUCAR, SHIOMARA ALEJANDRA</t>
  </si>
  <si>
    <t>CAÑARI PUCHO, BREYCA FLOR</t>
  </si>
  <si>
    <t>CRUZ QUICO, LUCIO MIGUEL</t>
  </si>
  <si>
    <t>DE LA CRUZ ALVAREZ, ROSITA ALEJANDRA</t>
  </si>
  <si>
    <t>GALARZA MAMANI, MAURICIO RENATO</t>
  </si>
  <si>
    <t>GARCIA APAZA, LUZ ALEJANDRA</t>
  </si>
  <si>
    <t>GONZALES FLORES, JEAN POOL ALEXANDER</t>
  </si>
  <si>
    <t>LAURA MAYTA, LUIS ARMANDO</t>
  </si>
  <si>
    <t>MONTESINOS CRUZ, JHON JOHANY</t>
  </si>
  <si>
    <t>OCHOCHOQUE APAZA, HARRY ANDERSON</t>
  </si>
  <si>
    <t>PALOMINO HUAYTA, ANAHI GLENDY</t>
  </si>
  <si>
    <t>PEQUEÑA DE LA CRUZ, MICHAEL ANTHONY</t>
  </si>
  <si>
    <t>QUISPE QUISPE, ELIAN MILITON</t>
  </si>
  <si>
    <t>QUISPE SENCIA, MAYERLY SOFIA</t>
  </si>
  <si>
    <t>QUISPE TURPO, DAMARIS XIOMARA</t>
  </si>
  <si>
    <t>SULLCA HUILLCA, CAREN MELISSA</t>
  </si>
  <si>
    <t>YUCRA QUISPE, CRISTINA GUADALUPE</t>
  </si>
  <si>
    <t>ALFARO PARISUAÑA, MADELEY XIOMARA</t>
  </si>
  <si>
    <t>ALVO SANDILLA, DAYANA ROSHELL</t>
  </si>
  <si>
    <t>ARQQUE RAMIREZ, KATY GIMENA</t>
  </si>
  <si>
    <t>CABRERA CCAMA, ARIANA ASDRID</t>
  </si>
  <si>
    <t>CALCINA NUÑEZ, GILMAR JAIR</t>
  </si>
  <si>
    <t>CALSIN VILCA, ANTONY FERNANDO</t>
  </si>
  <si>
    <t>CANRE CUTIMBO, SEBASTIAN EUGENIO</t>
  </si>
  <si>
    <t>CAÑARI CAÑARI, DINA ABIGAIL</t>
  </si>
  <si>
    <t>CCOMPI ANDRADE, MARIA ALEJANDRA</t>
  </si>
  <si>
    <t>CCORI PACCAYA, YENI</t>
  </si>
  <si>
    <t>CERPA VALDIVIA, CESAR FABRICIO</t>
  </si>
  <si>
    <t>CERPA VALDIVIA, GUADALUPE AYMAR</t>
  </si>
  <si>
    <t>CERPA VALDIVIA, KAROL MILAGROS</t>
  </si>
  <si>
    <t>CUBA JULI, JUDITH NICOL</t>
  </si>
  <si>
    <t>FERIA LAQUISE, DANIEL ABEL</t>
  </si>
  <si>
    <t>HANCCOCCALLO QUISPE, ANTONI REYNALDO</t>
  </si>
  <si>
    <t>HUACALLE YUFRA, RAQUEL ESPERANZA</t>
  </si>
  <si>
    <t>JULI PACOMPIA, ROY VICTOR</t>
  </si>
  <si>
    <t>LEON CHULLO, ANGELA GUADALUPE</t>
  </si>
  <si>
    <t>MAMANI CARI, JAIMEX ANTONI</t>
  </si>
  <si>
    <t>MAMANI CHALLCO, GEOBANI ANDERSON</t>
  </si>
  <si>
    <t>MAMANI GORDILLO, DIEGO ARMANDO</t>
  </si>
  <si>
    <t>MAMANI HUAYHUA, SALOME ESTRELLA</t>
  </si>
  <si>
    <t>MENDEZ SIVINCHA, FERNANDO</t>
  </si>
  <si>
    <t>PAUCCARA CCORI, YANETH YESENIA</t>
  </si>
  <si>
    <t>TORRES AYMA, YENIFER</t>
  </si>
  <si>
    <t>CCOMPE BERRIOS, ALBERTO EUSEBIO</t>
  </si>
  <si>
    <t>CHANCUAÑA PARILLO, JEFFERSON DANIEL</t>
  </si>
  <si>
    <t>CRUZ QUISPE, JAIR SEBASTIAN</t>
  </si>
  <si>
    <t>GENOVEZ BERNO, ANA LUCIA</t>
  </si>
  <si>
    <t>GENOVEZ BERNO, DIEGO FRANCISCO</t>
  </si>
  <si>
    <t>HANCCO QUISPE, JUAN RODRIGO</t>
  </si>
  <si>
    <t>HOLGUIN QUISPE, JOSEPH ALDAIR</t>
  </si>
  <si>
    <t>JULI AJROTA, LUCY MARIBEL</t>
  </si>
  <si>
    <t>LANCHIPA CASQUINA, ELIAS JEREMIAS</t>
  </si>
  <si>
    <t>LLERENA QUISPE, VICTOR GONZALO</t>
  </si>
  <si>
    <t>MAMANI MENDOZA, SAEL ISAAC</t>
  </si>
  <si>
    <t>MANTILLA ALA, JHOHANN ANDRE</t>
  </si>
  <si>
    <t>MEDINA BEGAZO, GADIEL KAZUKI</t>
  </si>
  <si>
    <t>MEDINA CHARCA, NIURKA</t>
  </si>
  <si>
    <t>MOLINA TORRE, GERALDINE JAZMIN</t>
  </si>
  <si>
    <t>MURILLO SANCHEZ, DIEGO JESUS</t>
  </si>
  <si>
    <t>PEÑA GUTIERREZ, YAHIR RIBAUL</t>
  </si>
  <si>
    <t>PINEDA CHAVEZ, PAOLO AHM JAE</t>
  </si>
  <si>
    <t>PUCHO HUAMAN, ALEX RAUL</t>
  </si>
  <si>
    <t>QUISPE TAIPE, CELESTE DAYAN</t>
  </si>
  <si>
    <t>ROA AROTAIPE, ANYELI DAYAN</t>
  </si>
  <si>
    <t>ROMERO ANDIA, LUCIANA BELEN</t>
  </si>
  <si>
    <t>SALAS PAREDES, ARIANA NIKOL</t>
  </si>
  <si>
    <t>VILLANUEVA CHAVEZ, MILAGROS FRANCHESCA</t>
  </si>
  <si>
    <t>ZARAVIA JARAMILLO, GRACE SAMARA</t>
  </si>
  <si>
    <t>ALEJO LUPINTA, DIANA ABIGAIL</t>
  </si>
  <si>
    <t>ARCONDO HUAMAN, ISAAC RONALDINHO</t>
  </si>
  <si>
    <t>BALSA MAMANI, JHOSUE SAJAAT</t>
  </si>
  <si>
    <t>CALANCHO MAMANI, RIZIERI BEAUTY</t>
  </si>
  <si>
    <t>CHAMPE TACO, JUMY JAHAIRA</t>
  </si>
  <si>
    <t>CUTI SENCIA, AIXA AYSEL</t>
  </si>
  <si>
    <t>HUACARPUMA SULCA, BRITNEY ESTEFANY</t>
  </si>
  <si>
    <t>MAMANI CHALLCO, LENIN ANDRÉ</t>
  </si>
  <si>
    <t>MANTILLA MAYTA, BELINDA MAJU</t>
  </si>
  <si>
    <t>MOROCCO CCALLO, YOSELIN RUTH</t>
  </si>
  <si>
    <t>NINA CHUMBES, ARIANA NIKOL</t>
  </si>
  <si>
    <t>OCHOA MAMANI, ARELÍ BETSAYDA</t>
  </si>
  <si>
    <t>PAPEL HANCCO, JHOSIMAR JHOJAN</t>
  </si>
  <si>
    <t>PIZARRO CHARCA, FABRICIO NICOLAS</t>
  </si>
  <si>
    <t>QUISPE YANA, TANIA ROSMERI</t>
  </si>
  <si>
    <t>SANDILLA PUMACALLAHUI, KRISTEL NAYSA</t>
  </si>
  <si>
    <t>VALLEJO APAZA, LUIS FERNANDO</t>
  </si>
  <si>
    <t>VARGAS CHAMBI, FRANK DAYIRO</t>
  </si>
  <si>
    <t>ALMORA CHIRE, CAMILA CLARETH</t>
  </si>
  <si>
    <t>AROTAIPE HUAIROCCACYA, BRITANI RUTH</t>
  </si>
  <si>
    <t>CASQUINO MOLLO, JUAN DIEGO</t>
  </si>
  <si>
    <t>CCALLA MAMANI, HARRINSON PAUL</t>
  </si>
  <si>
    <t>CHANCOLLA SUCARI, JHON DREIK LIAM</t>
  </si>
  <si>
    <t>CRUZ CALLASACA, MISHELL BRYANA</t>
  </si>
  <si>
    <t>FLORES SUMERINDE, ANTHONNY CHRISTYAN</t>
  </si>
  <si>
    <t>GALARZA QUISPE, LUZ YENNY</t>
  </si>
  <si>
    <t>HUARANCCA CONDORI, ALEXIS YOSUE</t>
  </si>
  <si>
    <t>LLERENA QUISPE, THIAGO ALESSANDRO</t>
  </si>
  <si>
    <t>MAMANI ARIAS, GABRIEL JESUS</t>
  </si>
  <si>
    <t>MAMANI MENDOZA, BENYAMIN KEN</t>
  </si>
  <si>
    <t>MEDINA BEGAZO, GERHARD YOSHIRO</t>
  </si>
  <si>
    <t>MOLLO GONZALES, ESTHER JAZMÌN</t>
  </si>
  <si>
    <t>OCORURO FERNANDEZ, ROSENDO ADRIAN</t>
  </si>
  <si>
    <t>PACHA VILCA, VALENTINO RICARDO</t>
  </si>
  <si>
    <t>PERALTA QUISPE, MELANIA YIDDÁ</t>
  </si>
  <si>
    <t>PUCHO ALARCON, THIAGO JOSUE</t>
  </si>
  <si>
    <t>QUISPE QUISPE, CORINA DIANA</t>
  </si>
  <si>
    <t>ROJO ATACO, JESUS</t>
  </si>
  <si>
    <t>EDUARDO CARNERO, ARIANNA ALEJANDRA</t>
  </si>
  <si>
    <t>MAMANI QUISPE, JESUS JOSUE ANDRE</t>
  </si>
  <si>
    <t>RAMOS MAMANI, ANALIA</t>
  </si>
  <si>
    <t>VERA MAMANI, FATIMA MIRIELLE</t>
  </si>
  <si>
    <t>GUILLEN GONZALES, IZAMAR NAEDIA</t>
  </si>
  <si>
    <t>LLAIQUE SIVINCHA, BRIGITTE SAMINTH</t>
  </si>
  <si>
    <t>SUERO MUÑOZ, KARINA</t>
  </si>
  <si>
    <t>HUAHUASONCCO HUACHO, ANALY YURIDI ANA</t>
  </si>
  <si>
    <t>PACOMPIA VILCA, LEONEL EMERSON</t>
  </si>
  <si>
    <t>PUMA QUISPE, FLOR GOYA</t>
  </si>
  <si>
    <t>CCAÑAHUA MENDOZA, JAZMIN ESTHER</t>
  </si>
  <si>
    <t>CENTENO SURI, DANIEL IMANOL</t>
  </si>
  <si>
    <t>COHARI NOÑONCCA, DANYELLEN CLARIVETH</t>
  </si>
  <si>
    <t>MOGROVEJO BOZA, JUAN DAVID</t>
  </si>
  <si>
    <t>SOTO JACINTO, JEFFERSON ANGEL</t>
  </si>
  <si>
    <t>VELARDE ARI, CRHISTIAN FERNANDO</t>
  </si>
  <si>
    <t>ANTON SILVA, CRISTHOFER LEONEL</t>
  </si>
  <si>
    <t>CALSINA VALENCIA, LINDA DAMITA</t>
  </si>
  <si>
    <t>CHAMBI ARACA, MELANY ANGELY</t>
  </si>
  <si>
    <t>MUCHA RIOS, LIAM ENRIQUE</t>
  </si>
  <si>
    <t>BALSA MAMANI, JAHIR ANDRE</t>
  </si>
  <si>
    <t>SOTO JACINTO, MAIALEN LIZBETH</t>
  </si>
  <si>
    <t>VARGAS CHAMBI, YENIFER ESTEFANI</t>
  </si>
  <si>
    <t>ESTUDIANTES PRIORIZADOS PARA REFORZAMIENTO - I BIMESTRE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</si>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</sst>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7"/>
      <color theme="1"/>
      <name val="Calibri"/>
      <family val="2"/>
    </font>
    <font>
      <b/>
      <sz val="8"/>
      <color theme="1"/>
      <name val="Calibri"/>
      <family val="2"/>
    </font>
    <font>
      <sz val="11"/>
      <color rgb="FF0061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Arial"/>
      <family val="2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name val="Calibri"/>
      <family val="2"/>
    </font>
    <font>
      <sz val="8"/>
      <name val="Calibri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B4B4B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BDBD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rgb="FFFFE7E7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5" fillId="7" borderId="0" applyNumberFormat="0" applyBorder="0" applyAlignment="0" applyProtection="0"/>
    <xf numFmtId="0" fontId="22" fillId="0" borderId="0" applyBorder="0"/>
  </cellStyleXfs>
  <cellXfs count="157">
    <xf numFmtId="0" fontId="0" fillId="0" borderId="0" xfId="0"/>
    <xf numFmtId="0" fontId="9" fillId="0" borderId="7" xfId="0" applyFont="1" applyBorder="1"/>
    <xf numFmtId="0" fontId="9" fillId="0" borderId="8" xfId="0" applyFont="1" applyBorder="1" applyAlignment="1">
      <alignment wrapText="1"/>
    </xf>
    <xf numFmtId="0" fontId="12" fillId="0" borderId="9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10" fillId="0" borderId="3" xfId="0" applyFont="1" applyBorder="1"/>
    <xf numFmtId="0" fontId="13" fillId="0" borderId="7" xfId="0" applyFont="1" applyBorder="1" applyAlignment="1">
      <alignment wrapText="1"/>
    </xf>
    <xf numFmtId="0" fontId="14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7" fillId="0" borderId="0" xfId="0" applyFont="1"/>
    <xf numFmtId="0" fontId="9" fillId="4" borderId="0" xfId="0" applyFont="1" applyFill="1"/>
    <xf numFmtId="0" fontId="9" fillId="2" borderId="0" xfId="0" applyFont="1" applyFill="1"/>
    <xf numFmtId="0" fontId="9" fillId="3" borderId="0" xfId="0" applyFont="1" applyFill="1"/>
    <xf numFmtId="0" fontId="9" fillId="5" borderId="0" xfId="0" applyFont="1" applyFill="1"/>
    <xf numFmtId="0" fontId="7" fillId="0" borderId="12" xfId="0" applyFont="1" applyBorder="1"/>
    <xf numFmtId="0" fontId="0" fillId="0" borderId="12" xfId="0" applyBorder="1"/>
    <xf numFmtId="0" fontId="0" fillId="0" borderId="15" xfId="0" applyBorder="1"/>
    <xf numFmtId="0" fontId="0" fillId="0" borderId="17" xfId="0" applyBorder="1"/>
    <xf numFmtId="0" fontId="0" fillId="0" borderId="19" xfId="0" applyBorder="1"/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0" borderId="0" xfId="0" applyFont="1"/>
    <xf numFmtId="0" fontId="6" fillId="0" borderId="12" xfId="0" applyFont="1" applyBorder="1"/>
    <xf numFmtId="0" fontId="7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/>
    <xf numFmtId="0" fontId="8" fillId="6" borderId="12" xfId="0" applyFont="1" applyFill="1" applyBorder="1" applyAlignment="1">
      <alignment horizontal="center" vertical="center"/>
    </xf>
    <xf numFmtId="0" fontId="6" fillId="0" borderId="14" xfId="0" applyFont="1" applyBorder="1"/>
    <xf numFmtId="0" fontId="6" fillId="0" borderId="16" xfId="0" applyFont="1" applyBorder="1"/>
    <xf numFmtId="0" fontId="6" fillId="0" borderId="18" xfId="0" applyFont="1" applyBorder="1"/>
    <xf numFmtId="0" fontId="5" fillId="0" borderId="0" xfId="0" applyFont="1"/>
    <xf numFmtId="0" fontId="0" fillId="0" borderId="0" xfId="0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0" fillId="0" borderId="9" xfId="0" applyBorder="1"/>
    <xf numFmtId="0" fontId="0" fillId="0" borderId="11" xfId="0" applyBorder="1"/>
    <xf numFmtId="49" fontId="0" fillId="0" borderId="9" xfId="0" applyNumberFormat="1" applyBorder="1" applyProtection="1">
      <protection locked="0"/>
    </xf>
    <xf numFmtId="0" fontId="0" fillId="0" borderId="10" xfId="0" applyBorder="1"/>
    <xf numFmtId="49" fontId="0" fillId="0" borderId="11" xfId="0" applyNumberFormat="1" applyBorder="1" applyProtection="1">
      <protection locked="0"/>
    </xf>
    <xf numFmtId="0" fontId="17" fillId="9" borderId="20" xfId="0" applyFont="1" applyFill="1" applyBorder="1" applyAlignment="1" applyProtection="1">
      <alignment horizontal="center"/>
      <protection locked="0"/>
    </xf>
    <xf numFmtId="0" fontId="17" fillId="9" borderId="12" xfId="0" applyFont="1" applyFill="1" applyBorder="1" applyAlignment="1" applyProtection="1">
      <alignment horizontal="center"/>
      <protection locked="0"/>
    </xf>
    <xf numFmtId="0" fontId="0" fillId="9" borderId="12" xfId="0" applyFill="1" applyBorder="1" applyAlignment="1" applyProtection="1">
      <alignment horizontal="center"/>
      <protection locked="0"/>
    </xf>
    <xf numFmtId="0" fontId="11" fillId="9" borderId="12" xfId="0" applyFont="1" applyFill="1" applyBorder="1" applyAlignment="1" applyProtection="1">
      <alignment horizontal="center"/>
      <protection locked="0"/>
    </xf>
    <xf numFmtId="0" fontId="11" fillId="10" borderId="12" xfId="0" applyFont="1" applyFill="1" applyBorder="1" applyAlignment="1" applyProtection="1">
      <alignment horizontal="center"/>
      <protection locked="0"/>
    </xf>
    <xf numFmtId="0" fontId="11" fillId="9" borderId="13" xfId="0" applyFont="1" applyFill="1" applyBorder="1" applyAlignment="1" applyProtection="1">
      <alignment horizontal="center"/>
      <protection locked="0"/>
    </xf>
    <xf numFmtId="0" fontId="18" fillId="0" borderId="12" xfId="0" applyFont="1" applyBorder="1" applyAlignment="1">
      <alignment horizontal="center" vertical="center" wrapText="1"/>
    </xf>
    <xf numFmtId="0" fontId="10" fillId="0" borderId="7" xfId="0" applyFont="1" applyBorder="1"/>
    <xf numFmtId="49" fontId="3" fillId="0" borderId="12" xfId="0" applyNumberFormat="1" applyFont="1" applyBorder="1" applyProtection="1">
      <protection locked="0"/>
    </xf>
    <xf numFmtId="49" fontId="0" fillId="0" borderId="12" xfId="0" applyNumberFormat="1" applyBorder="1" applyProtection="1">
      <protection locked="0"/>
    </xf>
    <xf numFmtId="0" fontId="9" fillId="0" borderId="12" xfId="0" applyFont="1" applyBorder="1"/>
    <xf numFmtId="49" fontId="0" fillId="0" borderId="12" xfId="0" applyNumberFormat="1" applyBorder="1" applyAlignment="1" applyProtection="1">
      <alignment horizontal="center" vertical="center"/>
      <protection locked="0"/>
    </xf>
    <xf numFmtId="49" fontId="0" fillId="0" borderId="12" xfId="0" applyNumberFormat="1" applyBorder="1" applyAlignment="1" applyProtection="1">
      <alignment horizontal="center"/>
      <protection locked="0"/>
    </xf>
    <xf numFmtId="49" fontId="16" fillId="8" borderId="12" xfId="0" applyNumberFormat="1" applyFont="1" applyFill="1" applyBorder="1"/>
    <xf numFmtId="49" fontId="16" fillId="8" borderId="12" xfId="0" applyNumberFormat="1" applyFont="1" applyFill="1" applyBorder="1" applyAlignment="1">
      <alignment horizontal="center"/>
    </xf>
    <xf numFmtId="49" fontId="4" fillId="0" borderId="12" xfId="0" applyNumberFormat="1" applyFont="1" applyBorder="1" applyAlignment="1" applyProtection="1">
      <alignment horizontal="center"/>
      <protection locked="0"/>
    </xf>
    <xf numFmtId="49" fontId="16" fillId="8" borderId="12" xfId="0" applyNumberFormat="1" applyFont="1" applyFill="1" applyBorder="1" applyAlignment="1">
      <alignment horizontal="center" vertical="center"/>
    </xf>
    <xf numFmtId="49" fontId="15" fillId="7" borderId="12" xfId="1" applyNumberFormat="1" applyBorder="1" applyAlignment="1" applyProtection="1">
      <alignment horizontal="center"/>
      <protection locked="0"/>
    </xf>
    <xf numFmtId="49" fontId="4" fillId="0" borderId="12" xfId="0" applyNumberFormat="1" applyFont="1" applyBorder="1" applyProtection="1">
      <protection locked="0"/>
    </xf>
    <xf numFmtId="0" fontId="0" fillId="0" borderId="9" xfId="0" applyBorder="1" applyProtection="1">
      <protection locked="0"/>
    </xf>
    <xf numFmtId="0" fontId="9" fillId="0" borderId="0" xfId="0" applyFont="1" applyBorder="1" applyAlignment="1">
      <alignment horizontal="center" vertical="center"/>
    </xf>
    <xf numFmtId="0" fontId="0" fillId="0" borderId="0" xfId="0" applyBorder="1"/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22" fillId="0" borderId="9" xfId="2" applyNumberFormat="1" applyFill="1" applyBorder="1" applyAlignment="1" applyProtection="1">
      <protection locked="0"/>
    </xf>
    <xf numFmtId="49" fontId="0" fillId="0" borderId="0" xfId="0" applyNumberFormat="1" applyBorder="1" applyProtection="1">
      <protection locked="0"/>
    </xf>
    <xf numFmtId="49" fontId="4" fillId="0" borderId="0" xfId="0" applyNumberFormat="1" applyFont="1" applyBorder="1" applyProtection="1">
      <protection locked="0"/>
    </xf>
    <xf numFmtId="49" fontId="0" fillId="0" borderId="0" xfId="0" applyNumberFormat="1" applyBorder="1" applyAlignment="1" applyProtection="1">
      <alignment horizontal="center"/>
      <protection locked="0"/>
    </xf>
    <xf numFmtId="0" fontId="0" fillId="11" borderId="0" xfId="0" applyFill="1" applyBorder="1" applyAlignment="1">
      <alignment horizontal="center" vertical="center"/>
    </xf>
    <xf numFmtId="49" fontId="0" fillId="0" borderId="0" xfId="0" applyNumberFormat="1" applyBorder="1" applyAlignment="1" applyProtection="1">
      <alignment horizontal="center" vertical="center"/>
      <protection locked="0"/>
    </xf>
    <xf numFmtId="0" fontId="23" fillId="0" borderId="0" xfId="0" applyFont="1"/>
    <xf numFmtId="0" fontId="9" fillId="0" borderId="20" xfId="0" applyFont="1" applyBorder="1" applyAlignment="1">
      <alignment horizontal="center" vertical="center"/>
    </xf>
    <xf numFmtId="49" fontId="0" fillId="0" borderId="20" xfId="0" applyNumberFormat="1" applyBorder="1" applyProtection="1">
      <protection locked="0"/>
    </xf>
    <xf numFmtId="0" fontId="9" fillId="0" borderId="20" xfId="0" applyFont="1" applyBorder="1"/>
    <xf numFmtId="0" fontId="0" fillId="0" borderId="10" xfId="0" applyBorder="1" applyProtection="1">
      <protection locked="0"/>
    </xf>
    <xf numFmtId="49" fontId="0" fillId="0" borderId="10" xfId="0" applyNumberFormat="1" applyBorder="1" applyProtection="1">
      <protection locked="0"/>
    </xf>
    <xf numFmtId="49" fontId="0" fillId="0" borderId="13" xfId="0" applyNumberFormat="1" applyBorder="1" applyProtection="1">
      <protection locked="0"/>
    </xf>
    <xf numFmtId="0" fontId="9" fillId="0" borderId="13" xfId="0" applyFont="1" applyBorder="1"/>
    <xf numFmtId="0" fontId="9" fillId="12" borderId="12" xfId="0" applyFont="1" applyFill="1" applyBorder="1" applyAlignment="1">
      <alignment horizontal="center" vertical="center"/>
    </xf>
    <xf numFmtId="0" fontId="0" fillId="12" borderId="9" xfId="0" applyFill="1" applyBorder="1"/>
    <xf numFmtId="0" fontId="9" fillId="12" borderId="13" xfId="0" applyFont="1" applyFill="1" applyBorder="1" applyAlignment="1">
      <alignment horizontal="center" vertical="center"/>
    </xf>
    <xf numFmtId="0" fontId="0" fillId="12" borderId="11" xfId="0" applyFill="1" applyBorder="1"/>
    <xf numFmtId="0" fontId="0" fillId="9" borderId="20" xfId="0" applyFill="1" applyBorder="1" applyAlignment="1" applyProtection="1">
      <alignment horizontal="center"/>
      <protection locked="0"/>
    </xf>
    <xf numFmtId="49" fontId="0" fillId="0" borderId="20" xfId="0" applyNumberFormat="1" applyBorder="1" applyAlignment="1" applyProtection="1">
      <alignment horizontal="center" vertical="center"/>
      <protection locked="0"/>
    </xf>
    <xf numFmtId="0" fontId="0" fillId="0" borderId="11" xfId="0" applyBorder="1" applyProtection="1">
      <protection locked="0"/>
    </xf>
    <xf numFmtId="49" fontId="0" fillId="0" borderId="13" xfId="0" applyNumberFormat="1" applyBorder="1" applyAlignment="1" applyProtection="1">
      <alignment horizontal="center" vertical="center"/>
      <protection locked="0"/>
    </xf>
    <xf numFmtId="0" fontId="9" fillId="12" borderId="20" xfId="0" applyFont="1" applyFill="1" applyBorder="1" applyAlignment="1">
      <alignment horizontal="center" vertical="center"/>
    </xf>
    <xf numFmtId="0" fontId="0" fillId="12" borderId="10" xfId="0" applyFill="1" applyBorder="1"/>
    <xf numFmtId="49" fontId="0" fillId="0" borderId="20" xfId="0" applyNumberFormat="1" applyBorder="1" applyAlignment="1" applyProtection="1">
      <alignment horizont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22" fillId="0" borderId="10" xfId="2" applyNumberFormat="1" applyFill="1" applyBorder="1" applyAlignment="1" applyProtection="1">
      <protection locked="0"/>
    </xf>
    <xf numFmtId="49" fontId="2" fillId="0" borderId="13" xfId="0" applyNumberFormat="1" applyFont="1" applyBorder="1" applyProtection="1">
      <protection locked="0"/>
    </xf>
    <xf numFmtId="49" fontId="22" fillId="0" borderId="11" xfId="2" applyNumberFormat="1" applyFill="1" applyBorder="1" applyAlignment="1" applyProtection="1">
      <protection locked="0"/>
    </xf>
    <xf numFmtId="49" fontId="2" fillId="0" borderId="13" xfId="0" applyNumberFormat="1" applyFont="1" applyBorder="1" applyAlignment="1" applyProtection="1">
      <alignment horizontal="center"/>
      <protection locked="0"/>
    </xf>
    <xf numFmtId="49" fontId="4" fillId="0" borderId="13" xfId="0" applyNumberFormat="1" applyFont="1" applyBorder="1" applyProtection="1">
      <protection locked="0"/>
    </xf>
    <xf numFmtId="0" fontId="11" fillId="9" borderId="20" xfId="0" applyFont="1" applyFill="1" applyBorder="1" applyAlignment="1" applyProtection="1">
      <alignment horizontal="center"/>
      <protection locked="0"/>
    </xf>
    <xf numFmtId="0" fontId="0" fillId="13" borderId="12" xfId="0" applyFill="1" applyBorder="1"/>
    <xf numFmtId="0" fontId="0" fillId="13" borderId="12" xfId="0" applyFill="1" applyBorder="1" applyAlignment="1">
      <alignment horizontal="center" vertical="center"/>
    </xf>
    <xf numFmtId="0" fontId="18" fillId="13" borderId="12" xfId="0" applyFont="1" applyFill="1" applyBorder="1" applyAlignment="1">
      <alignment horizontal="center" vertical="center" wrapText="1"/>
    </xf>
    <xf numFmtId="0" fontId="0" fillId="14" borderId="12" xfId="0" applyFill="1" applyBorder="1"/>
    <xf numFmtId="0" fontId="0" fillId="14" borderId="12" xfId="0" applyFill="1" applyBorder="1" applyAlignment="1">
      <alignment horizontal="center" vertical="center"/>
    </xf>
    <xf numFmtId="0" fontId="18" fillId="14" borderId="12" xfId="0" applyFont="1" applyFill="1" applyBorder="1" applyAlignment="1">
      <alignment horizontal="center" vertical="center" wrapText="1"/>
    </xf>
    <xf numFmtId="0" fontId="0" fillId="14" borderId="13" xfId="0" applyFill="1" applyBorder="1"/>
    <xf numFmtId="0" fontId="0" fillId="14" borderId="20" xfId="0" applyFill="1" applyBorder="1"/>
    <xf numFmtId="0" fontId="0" fillId="15" borderId="12" xfId="0" applyFill="1" applyBorder="1"/>
    <xf numFmtId="0" fontId="0" fillId="15" borderId="12" xfId="0" applyFill="1" applyBorder="1" applyAlignment="1">
      <alignment horizontal="center" vertical="center"/>
    </xf>
    <xf numFmtId="0" fontId="18" fillId="15" borderId="12" xfId="0" applyFont="1" applyFill="1" applyBorder="1" applyAlignment="1">
      <alignment horizontal="center" vertical="center" wrapText="1"/>
    </xf>
    <xf numFmtId="0" fontId="0" fillId="15" borderId="13" xfId="0" applyFill="1" applyBorder="1"/>
    <xf numFmtId="0" fontId="0" fillId="15" borderId="20" xfId="0" applyFill="1" applyBorder="1"/>
    <xf numFmtId="0" fontId="0" fillId="16" borderId="12" xfId="0" applyFill="1" applyBorder="1"/>
    <xf numFmtId="0" fontId="0" fillId="16" borderId="12" xfId="0" applyFill="1" applyBorder="1" applyAlignment="1">
      <alignment horizontal="center" vertical="center"/>
    </xf>
    <xf numFmtId="0" fontId="18" fillId="16" borderId="12" xfId="0" applyFont="1" applyFill="1" applyBorder="1" applyAlignment="1">
      <alignment horizontal="center" vertical="center" wrapText="1"/>
    </xf>
    <xf numFmtId="0" fontId="0" fillId="16" borderId="20" xfId="0" applyFill="1" applyBorder="1"/>
    <xf numFmtId="0" fontId="0" fillId="16" borderId="20" xfId="0" applyFill="1" applyBorder="1" applyAlignment="1">
      <alignment horizontal="center" vertical="center"/>
    </xf>
    <xf numFmtId="0" fontId="18" fillId="16" borderId="20" xfId="0" applyFont="1" applyFill="1" applyBorder="1" applyAlignment="1">
      <alignment horizontal="center" vertical="center" wrapText="1"/>
    </xf>
    <xf numFmtId="0" fontId="0" fillId="13" borderId="13" xfId="0" applyFill="1" applyBorder="1"/>
    <xf numFmtId="0" fontId="0" fillId="13" borderId="13" xfId="0" applyFill="1" applyBorder="1" applyAlignment="1">
      <alignment horizontal="center" vertical="center"/>
    </xf>
    <xf numFmtId="0" fontId="18" fillId="13" borderId="13" xfId="0" applyFont="1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/>
    </xf>
    <xf numFmtId="0" fontId="18" fillId="14" borderId="20" xfId="0" applyFont="1" applyFill="1" applyBorder="1" applyAlignment="1">
      <alignment horizontal="center" vertical="center" wrapText="1"/>
    </xf>
    <xf numFmtId="0" fontId="0" fillId="16" borderId="13" xfId="0" applyFill="1" applyBorder="1"/>
    <xf numFmtId="0" fontId="0" fillId="16" borderId="13" xfId="0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/>
    </xf>
    <xf numFmtId="0" fontId="18" fillId="15" borderId="20" xfId="0" applyFont="1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/>
    </xf>
    <xf numFmtId="0" fontId="18" fillId="15" borderId="13" xfId="0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1" fillId="0" borderId="0" xfId="0" applyFont="1"/>
    <xf numFmtId="0" fontId="12" fillId="0" borderId="1" xfId="0" applyFont="1" applyBorder="1" applyAlignment="1">
      <alignment horizontal="center" vertical="center" wrapText="1"/>
    </xf>
    <xf numFmtId="0" fontId="11" fillId="0" borderId="3" xfId="0" applyFont="1" applyBorder="1"/>
    <xf numFmtId="0" fontId="9" fillId="0" borderId="1" xfId="0" applyFont="1" applyBorder="1" applyAlignment="1">
      <alignment horizontal="center" wrapText="1"/>
    </xf>
    <xf numFmtId="0" fontId="11" fillId="0" borderId="2" xfId="0" applyFont="1" applyBorder="1"/>
    <xf numFmtId="0" fontId="9" fillId="0" borderId="4" xfId="0" applyFont="1" applyBorder="1" applyAlignment="1">
      <alignment horizontal="center"/>
    </xf>
    <xf numFmtId="0" fontId="11" fillId="0" borderId="5" xfId="0" applyFont="1" applyBorder="1"/>
    <xf numFmtId="0" fontId="11" fillId="0" borderId="6" xfId="0" applyFont="1" applyBorder="1"/>
    <xf numFmtId="0" fontId="12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3" xfId="0" applyFont="1" applyBorder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</cellXfs>
  <cellStyles count="3">
    <cellStyle name="Bueno" xfId="1" builtinId="26"/>
    <cellStyle name="Normal" xfId="0" builtinId="0"/>
    <cellStyle name="Normal 2" xfId="2" xr:uid="{D4716FC0-0242-4232-A036-F092952F095F}"/>
  </cellStyles>
  <dxfs count="111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colors>
    <mruColors>
      <color rgb="FFFFE7E7"/>
      <color rgb="FFFFBDBD"/>
      <color rgb="FFFFFF99"/>
      <color rgb="FFC6E6A2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MATEMÁTICA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IE!$F$236:$I$236</c:f>
              <c:numCache>
                <c:formatCode>General</c:formatCode>
                <c:ptCount val="4"/>
                <c:pt idx="0">
                  <c:v>27</c:v>
                </c:pt>
                <c:pt idx="1">
                  <c:v>43</c:v>
                </c:pt>
                <c:pt idx="2">
                  <c:v>31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A6C-4E77-8B76-2718B63EC46E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IE!$F$237:$I$237</c:f>
              <c:numCache>
                <c:formatCode>General</c:formatCode>
                <c:ptCount val="4"/>
                <c:pt idx="0">
                  <c:v>95</c:v>
                </c:pt>
                <c:pt idx="1">
                  <c:v>94</c:v>
                </c:pt>
                <c:pt idx="2">
                  <c:v>110</c:v>
                </c:pt>
                <c:pt idx="3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A6C-4E77-8B76-2718B63EC46E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IE!$F$238:$I$238</c:f>
              <c:numCache>
                <c:formatCode>General</c:formatCode>
                <c:ptCount val="4"/>
                <c:pt idx="0">
                  <c:v>91</c:v>
                </c:pt>
                <c:pt idx="1">
                  <c:v>84</c:v>
                </c:pt>
                <c:pt idx="2">
                  <c:v>75</c:v>
                </c:pt>
                <c:pt idx="3">
                  <c:v>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A6C-4E77-8B76-2718B63EC46E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IE!$F$239:$I$239</c:f>
              <c:numCache>
                <c:formatCode>General</c:formatCode>
                <c:ptCount val="4"/>
                <c:pt idx="0">
                  <c:v>13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A6C-4E77-8B76-2718B63EC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612711"/>
        <c:axId val="879751359"/>
      </c:barChart>
      <c:catAx>
        <c:axId val="514612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79751359"/>
        <c:crosses val="autoZero"/>
        <c:auto val="1"/>
        <c:lblAlgn val="ctr"/>
        <c:lblOffset val="100"/>
        <c:noMultiLvlLbl val="1"/>
      </c:catAx>
      <c:valAx>
        <c:axId val="879751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1461271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COMUNICACIÓN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IE!$J$236:$L$236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5D-4F49-BA35-D380132E3321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IE!$J$237:$L$237</c:f>
              <c:numCache>
                <c:formatCode>General</c:formatCode>
                <c:ptCount val="3"/>
                <c:pt idx="0">
                  <c:v>86</c:v>
                </c:pt>
                <c:pt idx="1">
                  <c:v>91</c:v>
                </c:pt>
                <c:pt idx="2">
                  <c:v>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C5D-4F49-BA35-D380132E3321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IE!$J$238:$L$238</c:f>
              <c:numCache>
                <c:formatCode>General</c:formatCode>
                <c:ptCount val="3"/>
                <c:pt idx="0">
                  <c:v>132</c:v>
                </c:pt>
                <c:pt idx="1">
                  <c:v>117</c:v>
                </c:pt>
                <c:pt idx="2">
                  <c:v>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5D-4F49-BA35-D380132E3321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IE!$J$239:$L$239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C5D-4F49-BA35-D380132E3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9060608"/>
        <c:axId val="2017674440"/>
      </c:barChart>
      <c:catAx>
        <c:axId val="93906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17674440"/>
        <c:crosses val="autoZero"/>
        <c:auto val="1"/>
        <c:lblAlgn val="ctr"/>
        <c:lblOffset val="100"/>
        <c:noMultiLvlLbl val="1"/>
      </c:catAx>
      <c:valAx>
        <c:axId val="2017674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390606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CIENCIA Y TECNOLOGÍA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IE!$M$236:$O$236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EE94-46B7-A165-3EB6072D6B4C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IE!$M$237:$O$237</c:f>
              <c:numCache>
                <c:formatCode>General</c:formatCode>
                <c:ptCount val="3"/>
                <c:pt idx="0">
                  <c:v>89</c:v>
                </c:pt>
                <c:pt idx="1">
                  <c:v>76</c:v>
                </c:pt>
                <c:pt idx="2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E94-46B7-A165-3EB6072D6B4C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IE!$M$238:$O$238</c:f>
              <c:numCache>
                <c:formatCode>General</c:formatCode>
                <c:ptCount val="3"/>
                <c:pt idx="0">
                  <c:v>130</c:v>
                </c:pt>
                <c:pt idx="1">
                  <c:v>143</c:v>
                </c:pt>
                <c:pt idx="2">
                  <c:v>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EE94-46B7-A165-3EB6072D6B4C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IE!$M$239:$O$239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E94-46B7-A165-3EB6072D6B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100891"/>
        <c:axId val="805660833"/>
      </c:barChart>
      <c:catAx>
        <c:axId val="605100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05660833"/>
        <c:crosses val="autoZero"/>
        <c:auto val="1"/>
        <c:lblAlgn val="ctr"/>
        <c:lblOffset val="100"/>
        <c:noMultiLvlLbl val="1"/>
      </c:catAx>
      <c:valAx>
        <c:axId val="805660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051008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CIENCIAS SOCIALES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682939632545932"/>
          <c:y val="0.20954802259887007"/>
          <c:w val="0.71078965129358829"/>
          <c:h val="0.25144757329062678"/>
        </c:manualLayout>
      </c:layout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IE!$P$236:$R$236</c:f>
              <c:numCache>
                <c:formatCode>General</c:formatCode>
                <c:ptCount val="3"/>
                <c:pt idx="0">
                  <c:v>27</c:v>
                </c:pt>
                <c:pt idx="1">
                  <c:v>20</c:v>
                </c:pt>
                <c:pt idx="2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927-4143-BF6B-21F765B39162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IE!$P$237:$R$237</c:f>
              <c:numCache>
                <c:formatCode>General</c:formatCode>
                <c:ptCount val="3"/>
                <c:pt idx="0">
                  <c:v>129</c:v>
                </c:pt>
                <c:pt idx="1">
                  <c:v>136</c:v>
                </c:pt>
                <c:pt idx="2">
                  <c:v>138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927-4143-BF6B-21F765B39162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IE!$P$238:$R$238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927-4143-BF6B-21F765B39162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IE!$P$239:$R$239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927-4143-BF6B-21F765B3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479116"/>
        <c:axId val="572903312"/>
      </c:barChart>
      <c:catAx>
        <c:axId val="126747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72903312"/>
        <c:crosses val="autoZero"/>
        <c:auto val="1"/>
        <c:lblAlgn val="ctr"/>
        <c:lblOffset val="100"/>
        <c:noMultiLvlLbl val="1"/>
      </c:catAx>
      <c:valAx>
        <c:axId val="572903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674791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DPCC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IE!$S$236:$T$236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C3B-4253-AC0A-C37DB00FC248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IE!$S$237:$T$237</c:f>
              <c:numCache>
                <c:formatCode>General</c:formatCode>
                <c:ptCount val="2"/>
                <c:pt idx="0">
                  <c:v>71</c:v>
                </c:pt>
                <c:pt idx="1">
                  <c:v>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C3B-4253-AC0A-C37DB00FC248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IE!$S$238:$T$238</c:f>
              <c:numCache>
                <c:formatCode>General</c:formatCode>
                <c:ptCount val="2"/>
                <c:pt idx="0">
                  <c:v>127</c:v>
                </c:pt>
                <c:pt idx="1">
                  <c:v>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C3B-4253-AC0A-C37DB00FC248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IE!$S$239:$T$239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C3B-4253-AC0A-C37DB00FC2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7101330"/>
        <c:axId val="2101050781"/>
      </c:barChart>
      <c:catAx>
        <c:axId val="1207101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101050781"/>
        <c:crosses val="autoZero"/>
        <c:auto val="1"/>
        <c:lblAlgn val="ctr"/>
        <c:lblOffset val="100"/>
        <c:noMultiLvlLbl val="1"/>
      </c:catAx>
      <c:valAx>
        <c:axId val="2101050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0710133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EPT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EDC-4EF1-B2FB-B808C11E2FCD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IE!$U$237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EDC-4EF1-B2FB-B808C11E2FCD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IE!$U$238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EDC-4EF1-B2FB-B808C11E2FCD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EDC-4EF1-B2FB-B808C11E2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185691"/>
        <c:axId val="282332225"/>
      </c:barChart>
      <c:catAx>
        <c:axId val="660185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82332225"/>
        <c:crosses val="autoZero"/>
        <c:auto val="1"/>
        <c:lblAlgn val="ctr"/>
        <c:lblOffset val="100"/>
        <c:noMultiLvlLbl val="1"/>
      </c:catAx>
      <c:valAx>
        <c:axId val="282332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601856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EDUCACIÓN FISICA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IE!$V$236:$X$236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FD9-4D25-8BE3-94FFACCBBF18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IE!$V$237:$X$237</c:f>
              <c:numCache>
                <c:formatCode>General</c:formatCode>
                <c:ptCount val="3"/>
                <c:pt idx="0">
                  <c:v>62</c:v>
                </c:pt>
                <c:pt idx="1">
                  <c:v>56</c:v>
                </c:pt>
                <c:pt idx="2">
                  <c:v>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FD9-4D25-8BE3-94FFACCBBF18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IE!$V$238:$X$238</c:f>
              <c:numCache>
                <c:formatCode>General</c:formatCode>
                <c:ptCount val="3"/>
                <c:pt idx="0">
                  <c:v>164</c:v>
                </c:pt>
                <c:pt idx="1">
                  <c:v>170</c:v>
                </c:pt>
                <c:pt idx="2">
                  <c:v>174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FD9-4D25-8BE3-94FFACCBBF18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IE!$V$239:$X$239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FD9-4D25-8BE3-94FFACCBB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413861"/>
        <c:axId val="522074538"/>
      </c:barChart>
      <c:catAx>
        <c:axId val="1291413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22074538"/>
        <c:crosses val="autoZero"/>
        <c:auto val="1"/>
        <c:lblAlgn val="ctr"/>
        <c:lblOffset val="100"/>
        <c:noMultiLvlLbl val="1"/>
      </c:catAx>
      <c:valAx>
        <c:axId val="52207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914138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ARTE Y CULTURA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IE!$Y$236:$Z$236</c:f>
              <c:numCache>
                <c:formatCode>General</c:formatCode>
                <c:ptCount val="2"/>
                <c:pt idx="0">
                  <c:v>13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16D-4F10-82CB-72A543B6E67E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IE!$Y$237:$Z$237</c:f>
              <c:numCache>
                <c:formatCode>General</c:formatCode>
                <c:ptCount val="2"/>
                <c:pt idx="0">
                  <c:v>75</c:v>
                </c:pt>
                <c:pt idx="1">
                  <c:v>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16D-4F10-82CB-72A543B6E67E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IE!$Y$238:$Z$238</c:f>
              <c:numCache>
                <c:formatCode>General</c:formatCode>
                <c:ptCount val="2"/>
                <c:pt idx="0">
                  <c:v>133</c:v>
                </c:pt>
                <c:pt idx="1">
                  <c:v>147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16D-4F10-82CB-72A543B6E67E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IE!$Y$239:$Z$239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16D-4F10-82CB-72A543B6E6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068831"/>
        <c:axId val="2040852632"/>
      </c:barChart>
      <c:catAx>
        <c:axId val="1077068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40852632"/>
        <c:crosses val="autoZero"/>
        <c:auto val="1"/>
        <c:lblAlgn val="ctr"/>
        <c:lblOffset val="100"/>
        <c:noMultiLvlLbl val="1"/>
      </c:catAx>
      <c:valAx>
        <c:axId val="2040852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7706883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INGLÉS</a:t>
            </a:r>
          </a:p>
        </c:rich>
      </c:tx>
      <c:layout>
        <c:manualLayout>
          <c:xMode val="edge"/>
          <c:yMode val="edge"/>
          <c:x val="0.34301377952755907"/>
          <c:y val="9.2592592592592587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IE!$AA$236:$AC$236</c:f>
              <c:numCache>
                <c:formatCode>General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2E-48BD-BBAE-6A2C316FAC19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IE!$AA$237:$AC$237</c:f>
              <c:numCache>
                <c:formatCode>General</c:formatCode>
                <c:ptCount val="3"/>
                <c:pt idx="0">
                  <c:v>110</c:v>
                </c:pt>
                <c:pt idx="1">
                  <c:v>111</c:v>
                </c:pt>
                <c:pt idx="2">
                  <c:v>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2E-48BD-BBAE-6A2C316FAC19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IE!$AA$238:$AC$238</c:f>
              <c:numCache>
                <c:formatCode>General</c:formatCode>
                <c:ptCount val="3"/>
                <c:pt idx="0">
                  <c:v>95</c:v>
                </c:pt>
                <c:pt idx="1">
                  <c:v>101</c:v>
                </c:pt>
                <c:pt idx="2">
                  <c:v>102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92E-48BD-BBAE-6A2C316FAC19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IE!$AA$239:$AC$239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92E-48BD-BBAE-6A2C316FA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569313"/>
        <c:axId val="705464822"/>
      </c:barChart>
      <c:catAx>
        <c:axId val="1324569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05464822"/>
        <c:crosses val="autoZero"/>
        <c:auto val="1"/>
        <c:lblAlgn val="ctr"/>
        <c:lblOffset val="100"/>
        <c:noMultiLvlLbl val="1"/>
      </c:catAx>
      <c:valAx>
        <c:axId val="705464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45693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EDUCACIÓN RELIGIOSA</a:t>
            </a:r>
          </a:p>
        </c:rich>
      </c:tx>
      <c:layout>
        <c:manualLayout>
          <c:xMode val="edge"/>
          <c:yMode val="edge"/>
          <c:x val="0.29374201787994891"/>
          <c:y val="6.3851932301566417E-4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IE!$AD$236:$AE$236</c:f>
              <c:numCache>
                <c:formatCode>General</c:formatCode>
                <c:ptCount val="2"/>
                <c:pt idx="0">
                  <c:v>56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742-4165-A03B-970945C17F28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IE!$AD$237:$AE$237</c:f>
              <c:numCache>
                <c:formatCode>General</c:formatCode>
                <c:ptCount val="2"/>
                <c:pt idx="0">
                  <c:v>69</c:v>
                </c:pt>
                <c:pt idx="1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742-4165-A03B-970945C17F28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IE!$AD$238:$AE$238</c:f>
              <c:numCache>
                <c:formatCode>General</c:formatCode>
                <c:ptCount val="2"/>
                <c:pt idx="0">
                  <c:v>94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742-4165-A03B-970945C17F28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8064A2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IE!$AD$239:$AE$239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742-4165-A03B-970945C17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428971"/>
        <c:axId val="1329417904"/>
      </c:barChart>
      <c:catAx>
        <c:axId val="1687428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9417904"/>
        <c:crosses val="autoZero"/>
        <c:auto val="1"/>
        <c:lblAlgn val="ctr"/>
        <c:lblOffset val="100"/>
        <c:noMultiLvlLbl val="1"/>
      </c:catAx>
      <c:valAx>
        <c:axId val="1329417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874289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CONSOLIDADO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IE!$F$236:$AE$236</c:f>
              <c:numCache>
                <c:formatCode>General</c:formatCode>
                <c:ptCount val="26"/>
                <c:pt idx="0">
                  <c:v>27</c:v>
                </c:pt>
                <c:pt idx="1">
                  <c:v>43</c:v>
                </c:pt>
                <c:pt idx="2">
                  <c:v>31</c:v>
                </c:pt>
                <c:pt idx="3">
                  <c:v>17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27</c:v>
                </c:pt>
                <c:pt idx="11">
                  <c:v>20</c:v>
                </c:pt>
                <c:pt idx="12">
                  <c:v>19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5</c:v>
                </c:pt>
                <c:pt idx="21">
                  <c:v>18</c:v>
                </c:pt>
                <c:pt idx="22">
                  <c:v>13</c:v>
                </c:pt>
                <c:pt idx="23">
                  <c:v>25</c:v>
                </c:pt>
                <c:pt idx="24">
                  <c:v>56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4D4-4B36-900E-90DA40891B0D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IE!$F$237:$AE$237</c:f>
              <c:numCache>
                <c:formatCode>General</c:formatCode>
                <c:ptCount val="26"/>
                <c:pt idx="0">
                  <c:v>95</c:v>
                </c:pt>
                <c:pt idx="1">
                  <c:v>94</c:v>
                </c:pt>
                <c:pt idx="2">
                  <c:v>110</c:v>
                </c:pt>
                <c:pt idx="3">
                  <c:v>112</c:v>
                </c:pt>
                <c:pt idx="4">
                  <c:v>86</c:v>
                </c:pt>
                <c:pt idx="5">
                  <c:v>91</c:v>
                </c:pt>
                <c:pt idx="6">
                  <c:v>123</c:v>
                </c:pt>
                <c:pt idx="7">
                  <c:v>89</c:v>
                </c:pt>
                <c:pt idx="8">
                  <c:v>76</c:v>
                </c:pt>
                <c:pt idx="9">
                  <c:v>49</c:v>
                </c:pt>
                <c:pt idx="10">
                  <c:v>129</c:v>
                </c:pt>
                <c:pt idx="11">
                  <c:v>136</c:v>
                </c:pt>
                <c:pt idx="12">
                  <c:v>138</c:v>
                </c:pt>
                <c:pt idx="13">
                  <c:v>71</c:v>
                </c:pt>
                <c:pt idx="14">
                  <c:v>81</c:v>
                </c:pt>
                <c:pt idx="15">
                  <c:v>97</c:v>
                </c:pt>
                <c:pt idx="16">
                  <c:v>62</c:v>
                </c:pt>
                <c:pt idx="17">
                  <c:v>56</c:v>
                </c:pt>
                <c:pt idx="18">
                  <c:v>52</c:v>
                </c:pt>
                <c:pt idx="19">
                  <c:v>75</c:v>
                </c:pt>
                <c:pt idx="20">
                  <c:v>66</c:v>
                </c:pt>
                <c:pt idx="21">
                  <c:v>110</c:v>
                </c:pt>
                <c:pt idx="22">
                  <c:v>111</c:v>
                </c:pt>
                <c:pt idx="23">
                  <c:v>98</c:v>
                </c:pt>
                <c:pt idx="24">
                  <c:v>69</c:v>
                </c:pt>
                <c:pt idx="25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A4D4-4B36-900E-90DA40891B0D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IE!$F$238:$AE$238</c:f>
              <c:numCache>
                <c:formatCode>General</c:formatCode>
                <c:ptCount val="26"/>
                <c:pt idx="0">
                  <c:v>91</c:v>
                </c:pt>
                <c:pt idx="1">
                  <c:v>84</c:v>
                </c:pt>
                <c:pt idx="2">
                  <c:v>75</c:v>
                </c:pt>
                <c:pt idx="3">
                  <c:v>83</c:v>
                </c:pt>
                <c:pt idx="4">
                  <c:v>132</c:v>
                </c:pt>
                <c:pt idx="5">
                  <c:v>117</c:v>
                </c:pt>
                <c:pt idx="6">
                  <c:v>96</c:v>
                </c:pt>
                <c:pt idx="7">
                  <c:v>130</c:v>
                </c:pt>
                <c:pt idx="8">
                  <c:v>143</c:v>
                </c:pt>
                <c:pt idx="9">
                  <c:v>163</c:v>
                </c:pt>
                <c:pt idx="10">
                  <c:v>70</c:v>
                </c:pt>
                <c:pt idx="11">
                  <c:v>70</c:v>
                </c:pt>
                <c:pt idx="12">
                  <c:v>69</c:v>
                </c:pt>
                <c:pt idx="13">
                  <c:v>127</c:v>
                </c:pt>
                <c:pt idx="14">
                  <c:v>123</c:v>
                </c:pt>
                <c:pt idx="15">
                  <c:v>129</c:v>
                </c:pt>
                <c:pt idx="16">
                  <c:v>164</c:v>
                </c:pt>
                <c:pt idx="17">
                  <c:v>170</c:v>
                </c:pt>
                <c:pt idx="18">
                  <c:v>174</c:v>
                </c:pt>
                <c:pt idx="19">
                  <c:v>133</c:v>
                </c:pt>
                <c:pt idx="20">
                  <c:v>147</c:v>
                </c:pt>
                <c:pt idx="21">
                  <c:v>95</c:v>
                </c:pt>
                <c:pt idx="22">
                  <c:v>101</c:v>
                </c:pt>
                <c:pt idx="23">
                  <c:v>102</c:v>
                </c:pt>
                <c:pt idx="24">
                  <c:v>94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A4D4-4B36-900E-90DA40891B0D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IE!$F$239:$AE$239</c:f>
              <c:numCache>
                <c:formatCode>General</c:formatCode>
                <c:ptCount val="26"/>
                <c:pt idx="0">
                  <c:v>13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5</c:v>
                </c:pt>
                <c:pt idx="5">
                  <c:v>11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A4D4-4B36-900E-90DA40891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144725"/>
        <c:axId val="1324950909"/>
      </c:barChart>
      <c:catAx>
        <c:axId val="241144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4950909"/>
        <c:crosses val="autoZero"/>
        <c:auto val="1"/>
        <c:lblAlgn val="ctr"/>
        <c:lblOffset val="100"/>
        <c:noMultiLvlLbl val="1"/>
      </c:catAx>
      <c:valAx>
        <c:axId val="132495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411447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COMUNICACIÓN</a:t>
            </a:r>
          </a:p>
        </c:rich>
      </c:tx>
      <c:layout>
        <c:manualLayout>
          <c:xMode val="edge"/>
          <c:yMode val="edge"/>
          <c:x val="0.40434708661417318"/>
          <c:y val="2.922118100256479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IE!$J$236:$L$236</c:f>
              <c:numCache>
                <c:formatCode>General</c:formatCode>
                <c:ptCount val="3"/>
                <c:pt idx="0">
                  <c:v>3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BB3-45BF-9AA3-94D59A0B3285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IE!$J$237:$L$237</c:f>
              <c:numCache>
                <c:formatCode>General</c:formatCode>
                <c:ptCount val="3"/>
                <c:pt idx="0">
                  <c:v>86</c:v>
                </c:pt>
                <c:pt idx="1">
                  <c:v>91</c:v>
                </c:pt>
                <c:pt idx="2">
                  <c:v>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BB3-45BF-9AA3-94D59A0B3285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IE!$J$238:$L$238</c:f>
              <c:numCache>
                <c:formatCode>General</c:formatCode>
                <c:ptCount val="3"/>
                <c:pt idx="0">
                  <c:v>132</c:v>
                </c:pt>
                <c:pt idx="1">
                  <c:v>117</c:v>
                </c:pt>
                <c:pt idx="2">
                  <c:v>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9BB3-45BF-9AA3-94D59A0B3285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IE!$J$239:$L$239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9BB3-45BF-9AA3-94D59A0B3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39060608"/>
        <c:axId val="2017674440"/>
      </c:barChart>
      <c:catAx>
        <c:axId val="9390606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17674440"/>
        <c:crosses val="autoZero"/>
        <c:auto val="1"/>
        <c:lblAlgn val="ctr"/>
        <c:lblOffset val="100"/>
        <c:noMultiLvlLbl val="1"/>
      </c:catAx>
      <c:valAx>
        <c:axId val="20176744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939060608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MATEMÁTICA</a:t>
            </a:r>
          </a:p>
        </c:rich>
      </c:tx>
      <c:layout>
        <c:manualLayout>
          <c:xMode val="edge"/>
          <c:yMode val="edge"/>
          <c:x val="0.40768167867905403"/>
          <c:y val="2.6554746694399053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IE!$F$236:$I$236</c:f>
              <c:numCache>
                <c:formatCode>General</c:formatCode>
                <c:ptCount val="4"/>
                <c:pt idx="0">
                  <c:v>27</c:v>
                </c:pt>
                <c:pt idx="1">
                  <c:v>43</c:v>
                </c:pt>
                <c:pt idx="2">
                  <c:v>31</c:v>
                </c:pt>
                <c:pt idx="3">
                  <c:v>17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1D-41D0-8BEC-3FCC06758927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IE!$F$237:$I$237</c:f>
              <c:numCache>
                <c:formatCode>General</c:formatCode>
                <c:ptCount val="4"/>
                <c:pt idx="0">
                  <c:v>95</c:v>
                </c:pt>
                <c:pt idx="1">
                  <c:v>94</c:v>
                </c:pt>
                <c:pt idx="2">
                  <c:v>110</c:v>
                </c:pt>
                <c:pt idx="3">
                  <c:v>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51D-41D0-8BEC-3FCC06758927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IE!$F$238:$I$238</c:f>
              <c:numCache>
                <c:formatCode>General</c:formatCode>
                <c:ptCount val="4"/>
                <c:pt idx="0">
                  <c:v>91</c:v>
                </c:pt>
                <c:pt idx="1">
                  <c:v>84</c:v>
                </c:pt>
                <c:pt idx="2">
                  <c:v>75</c:v>
                </c:pt>
                <c:pt idx="3">
                  <c:v>83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51D-41D0-8BEC-3FCC06758927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IE!$F$239:$I$239</c:f>
              <c:numCache>
                <c:formatCode>General</c:formatCode>
                <c:ptCount val="4"/>
                <c:pt idx="0">
                  <c:v>13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51D-41D0-8BEC-3FCC06758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612711"/>
        <c:axId val="879751359"/>
      </c:barChart>
      <c:catAx>
        <c:axId val="5146127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79751359"/>
        <c:crosses val="autoZero"/>
        <c:auto val="1"/>
        <c:lblAlgn val="ctr"/>
        <c:lblOffset val="100"/>
        <c:noMultiLvlLbl val="1"/>
      </c:catAx>
      <c:valAx>
        <c:axId val="879751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1461271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CIENCIA Y TECNOLOGÍA</a:t>
            </a:r>
          </a:p>
        </c:rich>
      </c:tx>
      <c:layout>
        <c:manualLayout>
          <c:xMode val="edge"/>
          <c:yMode val="edge"/>
          <c:x val="0.33033941099567876"/>
          <c:y val="2.541397776333620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IE!$M$236:$O$236</c:f>
              <c:numCache>
                <c:formatCode>General</c:formatCode>
                <c:ptCount val="3"/>
                <c:pt idx="0">
                  <c:v>7</c:v>
                </c:pt>
                <c:pt idx="1">
                  <c:v>7</c:v>
                </c:pt>
                <c:pt idx="2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8EB-44D9-A54E-E1C811A68BF7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IE!$M$237:$O$237</c:f>
              <c:numCache>
                <c:formatCode>General</c:formatCode>
                <c:ptCount val="3"/>
                <c:pt idx="0">
                  <c:v>89</c:v>
                </c:pt>
                <c:pt idx="1">
                  <c:v>76</c:v>
                </c:pt>
                <c:pt idx="2">
                  <c:v>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8EB-44D9-A54E-E1C811A68BF7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IE!$M$238:$O$238</c:f>
              <c:numCache>
                <c:formatCode>General</c:formatCode>
                <c:ptCount val="3"/>
                <c:pt idx="0">
                  <c:v>130</c:v>
                </c:pt>
                <c:pt idx="1">
                  <c:v>143</c:v>
                </c:pt>
                <c:pt idx="2">
                  <c:v>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8EB-44D9-A54E-E1C811A68BF7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IE!$M$239:$O$239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8EB-44D9-A54E-E1C811A68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100891"/>
        <c:axId val="805660833"/>
      </c:barChart>
      <c:catAx>
        <c:axId val="6051008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805660833"/>
        <c:crosses val="autoZero"/>
        <c:auto val="1"/>
        <c:lblAlgn val="ctr"/>
        <c:lblOffset val="100"/>
        <c:noMultiLvlLbl val="1"/>
      </c:catAx>
      <c:valAx>
        <c:axId val="8056608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0510089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CIENCIAS SOCIALES</a:t>
            </a:r>
          </a:p>
        </c:rich>
      </c:tx>
      <c:layout>
        <c:manualLayout>
          <c:xMode val="edge"/>
          <c:yMode val="edge"/>
          <c:x val="0.33996135098497304"/>
          <c:y val="2.910061242344707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72916846932596"/>
          <c:y val="0.12065916760404949"/>
          <c:w val="0.85474580100564357"/>
          <c:h val="0.64827296587926519"/>
        </c:manualLayout>
      </c:layout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IE!$P$236:$R$236</c:f>
              <c:numCache>
                <c:formatCode>General</c:formatCode>
                <c:ptCount val="3"/>
                <c:pt idx="0">
                  <c:v>27</c:v>
                </c:pt>
                <c:pt idx="1">
                  <c:v>20</c:v>
                </c:pt>
                <c:pt idx="2">
                  <c:v>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BC-4869-B8E2-AEEA0FD45566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IE!$P$237:$R$237</c:f>
              <c:numCache>
                <c:formatCode>General</c:formatCode>
                <c:ptCount val="3"/>
                <c:pt idx="0">
                  <c:v>129</c:v>
                </c:pt>
                <c:pt idx="1">
                  <c:v>136</c:v>
                </c:pt>
                <c:pt idx="2">
                  <c:v>138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FBC-4869-B8E2-AEEA0FD45566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IE!$P$238:$R$238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FBC-4869-B8E2-AEEA0FD45566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IE!$P$239:$R$239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FBC-4869-B8E2-AEEA0FD45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7479116"/>
        <c:axId val="572903312"/>
      </c:barChart>
      <c:catAx>
        <c:axId val="12674791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72903312"/>
        <c:crosses val="autoZero"/>
        <c:auto val="1"/>
        <c:lblAlgn val="ctr"/>
        <c:lblOffset val="100"/>
        <c:noMultiLvlLbl val="1"/>
      </c:catAx>
      <c:valAx>
        <c:axId val="572903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67479116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DPCC</a:t>
            </a:r>
          </a:p>
        </c:rich>
      </c:tx>
      <c:layout>
        <c:manualLayout>
          <c:xMode val="edge"/>
          <c:yMode val="edge"/>
          <c:x val="0.46749518084098407"/>
          <c:y val="1.6402199725034372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IE!$S$236:$T$236</c:f>
              <c:numCache>
                <c:formatCode>General</c:formatCode>
                <c:ptCount val="2"/>
                <c:pt idx="0">
                  <c:v>28</c:v>
                </c:pt>
                <c:pt idx="1">
                  <c:v>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25-4B3D-AB21-D702B6D7672C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IE!$S$237:$T$237</c:f>
              <c:numCache>
                <c:formatCode>General</c:formatCode>
                <c:ptCount val="2"/>
                <c:pt idx="0">
                  <c:v>71</c:v>
                </c:pt>
                <c:pt idx="1">
                  <c:v>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A25-4B3D-AB21-D702B6D7672C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IE!$S$238:$T$238</c:f>
              <c:numCache>
                <c:formatCode>General</c:formatCode>
                <c:ptCount val="2"/>
                <c:pt idx="0">
                  <c:v>127</c:v>
                </c:pt>
                <c:pt idx="1">
                  <c:v>123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A25-4B3D-AB21-D702B6D7672C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IE!$S$239:$T$239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A25-4B3D-AB21-D702B6D76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07101330"/>
        <c:axId val="2101050781"/>
      </c:barChart>
      <c:catAx>
        <c:axId val="1207101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101050781"/>
        <c:crosses val="autoZero"/>
        <c:auto val="1"/>
        <c:lblAlgn val="ctr"/>
        <c:lblOffset val="100"/>
        <c:noMultiLvlLbl val="1"/>
      </c:catAx>
      <c:valAx>
        <c:axId val="21010507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0710133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EPT</a:t>
            </a:r>
          </a:p>
        </c:rich>
      </c:tx>
      <c:layout>
        <c:manualLayout>
          <c:xMode val="edge"/>
          <c:yMode val="edge"/>
          <c:x val="0.49304641714306258"/>
          <c:y val="2.811800362478867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CE3-4D31-9612-CCF108D1482A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IE!$U$237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CE3-4D31-9612-CCF108D1482A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IE!$U$238</c:f>
              <c:numCache>
                <c:formatCode>General</c:formatCode>
                <c:ptCount val="1"/>
                <c:pt idx="0">
                  <c:v>129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4CE3-4D31-9612-CCF108D1482A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IE!$U$239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CE3-4D31-9612-CCF108D14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0185691"/>
        <c:axId val="282332225"/>
      </c:barChart>
      <c:catAx>
        <c:axId val="660185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82332225"/>
        <c:crosses val="autoZero"/>
        <c:auto val="1"/>
        <c:lblAlgn val="ctr"/>
        <c:lblOffset val="100"/>
        <c:noMultiLvlLbl val="1"/>
      </c:catAx>
      <c:valAx>
        <c:axId val="2823322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66018569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1334850799017356"/>
          <c:y val="0.93690438695163114"/>
          <c:w val="0.88629733430213875"/>
          <c:h val="5.3571803524559432E-2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EDUCACIÓN FISICA</a:t>
            </a:r>
          </a:p>
        </c:rich>
      </c:tx>
      <c:layout>
        <c:manualLayout>
          <c:xMode val="edge"/>
          <c:yMode val="edge"/>
          <c:x val="0.33996135098497304"/>
          <c:y val="2.897933321311935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IE!$V$236:$X$236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E00-4A75-9501-6E47AB2A91DE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IE!$V$237:$X$237</c:f>
              <c:numCache>
                <c:formatCode>General</c:formatCode>
                <c:ptCount val="3"/>
                <c:pt idx="0">
                  <c:v>62</c:v>
                </c:pt>
                <c:pt idx="1">
                  <c:v>56</c:v>
                </c:pt>
                <c:pt idx="2">
                  <c:v>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E00-4A75-9501-6E47AB2A91DE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IE!$V$238:$X$238</c:f>
              <c:numCache>
                <c:formatCode>General</c:formatCode>
                <c:ptCount val="3"/>
                <c:pt idx="0">
                  <c:v>164</c:v>
                </c:pt>
                <c:pt idx="1">
                  <c:v>170</c:v>
                </c:pt>
                <c:pt idx="2">
                  <c:v>174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E00-4A75-9501-6E47AB2A91DE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IE!$V$239:$X$239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E00-4A75-9501-6E47AB2A9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91413861"/>
        <c:axId val="522074538"/>
      </c:barChart>
      <c:catAx>
        <c:axId val="12914138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522074538"/>
        <c:crosses val="autoZero"/>
        <c:auto val="1"/>
        <c:lblAlgn val="ctr"/>
        <c:lblOffset val="100"/>
        <c:noMultiLvlLbl val="1"/>
      </c:catAx>
      <c:valAx>
        <c:axId val="5220745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29141386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ARTE Y CULTURA</a:t>
            </a:r>
          </a:p>
        </c:rich>
      </c:tx>
      <c:layout>
        <c:manualLayout>
          <c:xMode val="edge"/>
          <c:yMode val="edge"/>
          <c:x val="0.36519365687654071"/>
          <c:y val="2.9100612423447074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IE!$Y$236:$Z$236</c:f>
              <c:numCache>
                <c:formatCode>General</c:formatCode>
                <c:ptCount val="2"/>
                <c:pt idx="0">
                  <c:v>13</c:v>
                </c:pt>
                <c:pt idx="1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367-4423-9B5C-8A7DAD281816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IE!$Y$237:$Z$237</c:f>
              <c:numCache>
                <c:formatCode>General</c:formatCode>
                <c:ptCount val="2"/>
                <c:pt idx="0">
                  <c:v>75</c:v>
                </c:pt>
                <c:pt idx="1">
                  <c:v>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367-4423-9B5C-8A7DAD281816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IE!$Y$238:$Z$238</c:f>
              <c:numCache>
                <c:formatCode>General</c:formatCode>
                <c:ptCount val="2"/>
                <c:pt idx="0">
                  <c:v>133</c:v>
                </c:pt>
                <c:pt idx="1">
                  <c:v>147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367-4423-9B5C-8A7DAD281816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IE!$Y$239:$Z$239</c:f>
              <c:numCache>
                <c:formatCode>General</c:formatCode>
                <c:ptCount val="2"/>
                <c:pt idx="0">
                  <c:v>5</c:v>
                </c:pt>
                <c:pt idx="1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1367-4423-9B5C-8A7DAD281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77068831"/>
        <c:axId val="2040852632"/>
      </c:barChart>
      <c:catAx>
        <c:axId val="1077068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040852632"/>
        <c:crosses val="autoZero"/>
        <c:auto val="1"/>
        <c:lblAlgn val="ctr"/>
        <c:lblOffset val="100"/>
        <c:noMultiLvlLbl val="1"/>
      </c:catAx>
      <c:valAx>
        <c:axId val="20408526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07706883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INGLÉS</a:t>
            </a:r>
          </a:p>
        </c:rich>
      </c:tx>
      <c:layout>
        <c:manualLayout>
          <c:xMode val="edge"/>
          <c:yMode val="edge"/>
          <c:x val="0.44674829287417916"/>
          <c:y val="3.2731246495889328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IE!$AA$236:$AC$236</c:f>
              <c:numCache>
                <c:formatCode>General</c:formatCode>
                <c:ptCount val="3"/>
                <c:pt idx="0">
                  <c:v>18</c:v>
                </c:pt>
                <c:pt idx="1">
                  <c:v>13</c:v>
                </c:pt>
                <c:pt idx="2">
                  <c:v>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4AC-4423-B700-F6B65B03ACE0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IE!$AA$237:$AC$237</c:f>
              <c:numCache>
                <c:formatCode>General</c:formatCode>
                <c:ptCount val="3"/>
                <c:pt idx="0">
                  <c:v>110</c:v>
                </c:pt>
                <c:pt idx="1">
                  <c:v>111</c:v>
                </c:pt>
                <c:pt idx="2">
                  <c:v>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4AC-4423-B700-F6B65B03ACE0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IE!$AA$238:$AC$238</c:f>
              <c:numCache>
                <c:formatCode>General</c:formatCode>
                <c:ptCount val="3"/>
                <c:pt idx="0">
                  <c:v>95</c:v>
                </c:pt>
                <c:pt idx="1">
                  <c:v>101</c:v>
                </c:pt>
                <c:pt idx="2">
                  <c:v>102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4AC-4423-B700-F6B65B03ACE0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IE!$AA$239:$AC$239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84AC-4423-B700-F6B65B03AC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4569313"/>
        <c:axId val="705464822"/>
      </c:barChart>
      <c:catAx>
        <c:axId val="1324569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705464822"/>
        <c:crosses val="autoZero"/>
        <c:auto val="1"/>
        <c:lblAlgn val="ctr"/>
        <c:lblOffset val="100"/>
        <c:noMultiLvlLbl val="1"/>
      </c:catAx>
      <c:valAx>
        <c:axId val="705464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456931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EDUCACIÓN RELIGIOSA</a:t>
            </a:r>
          </a:p>
        </c:rich>
      </c:tx>
      <c:layout>
        <c:manualLayout>
          <c:xMode val="edge"/>
          <c:yMode val="edge"/>
          <c:x val="0.29374201787994891"/>
          <c:y val="6.3851932301566417E-4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IE!$AD$236:$AE$236</c:f>
              <c:numCache>
                <c:formatCode>General</c:formatCode>
                <c:ptCount val="2"/>
                <c:pt idx="0">
                  <c:v>56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5D7-44D8-92E7-A7B86BE4B943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IE!$AD$237:$AE$237</c:f>
              <c:numCache>
                <c:formatCode>General</c:formatCode>
                <c:ptCount val="2"/>
                <c:pt idx="0">
                  <c:v>69</c:v>
                </c:pt>
                <c:pt idx="1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5D7-44D8-92E7-A7B86BE4B943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IE!$AD$238:$AE$238</c:f>
              <c:numCache>
                <c:formatCode>General</c:formatCode>
                <c:ptCount val="2"/>
                <c:pt idx="0">
                  <c:v>94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5D7-44D8-92E7-A7B86BE4B943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IE!$AD$239:$AE$239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5D7-44D8-92E7-A7B86BE4B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428971"/>
        <c:axId val="1329417904"/>
      </c:barChart>
      <c:catAx>
        <c:axId val="1687428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9417904"/>
        <c:crosses val="autoZero"/>
        <c:auto val="1"/>
        <c:lblAlgn val="ctr"/>
        <c:lblOffset val="100"/>
        <c:noMultiLvlLbl val="1"/>
      </c:catAx>
      <c:valAx>
        <c:axId val="13294179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687428971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US" sz="1400" b="0" i="0">
                <a:solidFill>
                  <a:srgbClr val="757575"/>
                </a:solidFill>
                <a:latin typeface="+mn-lt"/>
              </a:rPr>
              <a:t>CONSOLIDADO</a:t>
            </a:r>
            <a:r>
              <a:rPr lang="en-US" sz="1400" b="0" i="0" baseline="0">
                <a:solidFill>
                  <a:srgbClr val="757575"/>
                </a:solidFill>
                <a:latin typeface="+mn-lt"/>
              </a:rPr>
              <a:t> - IV BIMESTRE</a:t>
            </a:r>
            <a:endParaRPr lang="en-US" sz="1400" b="0" i="0">
              <a:solidFill>
                <a:srgbClr val="757575"/>
              </a:solidFill>
              <a:latin typeface="+mn-lt"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INICIO  C</c:v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IE!$F$236:$AE$236</c:f>
              <c:numCache>
                <c:formatCode>General</c:formatCode>
                <c:ptCount val="26"/>
                <c:pt idx="0">
                  <c:v>27</c:v>
                </c:pt>
                <c:pt idx="1">
                  <c:v>43</c:v>
                </c:pt>
                <c:pt idx="2">
                  <c:v>31</c:v>
                </c:pt>
                <c:pt idx="3">
                  <c:v>17</c:v>
                </c:pt>
                <c:pt idx="4">
                  <c:v>3</c:v>
                </c:pt>
                <c:pt idx="5">
                  <c:v>7</c:v>
                </c:pt>
                <c:pt idx="6">
                  <c:v>4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27</c:v>
                </c:pt>
                <c:pt idx="11">
                  <c:v>20</c:v>
                </c:pt>
                <c:pt idx="12">
                  <c:v>19</c:v>
                </c:pt>
                <c:pt idx="13">
                  <c:v>28</c:v>
                </c:pt>
                <c:pt idx="14">
                  <c:v>22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13</c:v>
                </c:pt>
                <c:pt idx="20">
                  <c:v>5</c:v>
                </c:pt>
                <c:pt idx="21">
                  <c:v>18</c:v>
                </c:pt>
                <c:pt idx="22">
                  <c:v>13</c:v>
                </c:pt>
                <c:pt idx="23">
                  <c:v>25</c:v>
                </c:pt>
                <c:pt idx="24">
                  <c:v>56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3C3-4610-ADE5-11CF54C0E185}"/>
            </c:ext>
          </c:extLst>
        </c:ser>
        <c:ser>
          <c:idx val="1"/>
          <c:order val="1"/>
          <c:tx>
            <c:v>PROCESO  B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IE!$F$237:$AE$237</c:f>
              <c:numCache>
                <c:formatCode>General</c:formatCode>
                <c:ptCount val="26"/>
                <c:pt idx="0">
                  <c:v>95</c:v>
                </c:pt>
                <c:pt idx="1">
                  <c:v>94</c:v>
                </c:pt>
                <c:pt idx="2">
                  <c:v>110</c:v>
                </c:pt>
                <c:pt idx="3">
                  <c:v>112</c:v>
                </c:pt>
                <c:pt idx="4">
                  <c:v>86</c:v>
                </c:pt>
                <c:pt idx="5">
                  <c:v>91</c:v>
                </c:pt>
                <c:pt idx="6">
                  <c:v>123</c:v>
                </c:pt>
                <c:pt idx="7">
                  <c:v>89</c:v>
                </c:pt>
                <c:pt idx="8">
                  <c:v>76</c:v>
                </c:pt>
                <c:pt idx="9">
                  <c:v>49</c:v>
                </c:pt>
                <c:pt idx="10">
                  <c:v>129</c:v>
                </c:pt>
                <c:pt idx="11">
                  <c:v>136</c:v>
                </c:pt>
                <c:pt idx="12">
                  <c:v>138</c:v>
                </c:pt>
                <c:pt idx="13">
                  <c:v>71</c:v>
                </c:pt>
                <c:pt idx="14">
                  <c:v>81</c:v>
                </c:pt>
                <c:pt idx="15">
                  <c:v>97</c:v>
                </c:pt>
                <c:pt idx="16">
                  <c:v>62</c:v>
                </c:pt>
                <c:pt idx="17">
                  <c:v>56</c:v>
                </c:pt>
                <c:pt idx="18">
                  <c:v>52</c:v>
                </c:pt>
                <c:pt idx="19">
                  <c:v>75</c:v>
                </c:pt>
                <c:pt idx="20">
                  <c:v>66</c:v>
                </c:pt>
                <c:pt idx="21">
                  <c:v>110</c:v>
                </c:pt>
                <c:pt idx="22">
                  <c:v>111</c:v>
                </c:pt>
                <c:pt idx="23">
                  <c:v>98</c:v>
                </c:pt>
                <c:pt idx="24">
                  <c:v>69</c:v>
                </c:pt>
                <c:pt idx="25">
                  <c:v>219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3C3-4610-ADE5-11CF54C0E185}"/>
            </c:ext>
          </c:extLst>
        </c:ser>
        <c:ser>
          <c:idx val="2"/>
          <c:order val="2"/>
          <c:tx>
            <c:v>LOGRO A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IE!$F$238:$AE$238</c:f>
              <c:numCache>
                <c:formatCode>General</c:formatCode>
                <c:ptCount val="26"/>
                <c:pt idx="0">
                  <c:v>91</c:v>
                </c:pt>
                <c:pt idx="1">
                  <c:v>84</c:v>
                </c:pt>
                <c:pt idx="2">
                  <c:v>75</c:v>
                </c:pt>
                <c:pt idx="3">
                  <c:v>83</c:v>
                </c:pt>
                <c:pt idx="4">
                  <c:v>132</c:v>
                </c:pt>
                <c:pt idx="5">
                  <c:v>117</c:v>
                </c:pt>
                <c:pt idx="6">
                  <c:v>96</c:v>
                </c:pt>
                <c:pt idx="7">
                  <c:v>130</c:v>
                </c:pt>
                <c:pt idx="8">
                  <c:v>143</c:v>
                </c:pt>
                <c:pt idx="9">
                  <c:v>163</c:v>
                </c:pt>
                <c:pt idx="10">
                  <c:v>70</c:v>
                </c:pt>
                <c:pt idx="11">
                  <c:v>70</c:v>
                </c:pt>
                <c:pt idx="12">
                  <c:v>69</c:v>
                </c:pt>
                <c:pt idx="13">
                  <c:v>127</c:v>
                </c:pt>
                <c:pt idx="14">
                  <c:v>123</c:v>
                </c:pt>
                <c:pt idx="15">
                  <c:v>129</c:v>
                </c:pt>
                <c:pt idx="16">
                  <c:v>164</c:v>
                </c:pt>
                <c:pt idx="17">
                  <c:v>170</c:v>
                </c:pt>
                <c:pt idx="18">
                  <c:v>174</c:v>
                </c:pt>
                <c:pt idx="19">
                  <c:v>133</c:v>
                </c:pt>
                <c:pt idx="20">
                  <c:v>147</c:v>
                </c:pt>
                <c:pt idx="21">
                  <c:v>95</c:v>
                </c:pt>
                <c:pt idx="22">
                  <c:v>101</c:v>
                </c:pt>
                <c:pt idx="23">
                  <c:v>102</c:v>
                </c:pt>
                <c:pt idx="24">
                  <c:v>94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3C3-4610-ADE5-11CF54C0E185}"/>
            </c:ext>
          </c:extLst>
        </c:ser>
        <c:ser>
          <c:idx val="3"/>
          <c:order val="3"/>
          <c:tx>
            <c:v>LOGRO DESTACADO AD</c:v>
          </c:tx>
          <c:spPr>
            <a:solidFill>
              <a:srgbClr val="00B050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IE!$F$239:$AE$239</c:f>
              <c:numCache>
                <c:formatCode>General</c:formatCode>
                <c:ptCount val="26"/>
                <c:pt idx="0">
                  <c:v>13</c:v>
                </c:pt>
                <c:pt idx="1">
                  <c:v>5</c:v>
                </c:pt>
                <c:pt idx="2">
                  <c:v>10</c:v>
                </c:pt>
                <c:pt idx="3">
                  <c:v>14</c:v>
                </c:pt>
                <c:pt idx="4">
                  <c:v>5</c:v>
                </c:pt>
                <c:pt idx="5">
                  <c:v>11</c:v>
                </c:pt>
                <c:pt idx="6">
                  <c:v>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</c:v>
                </c:pt>
                <c:pt idx="20">
                  <c:v>8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3C3-4610-ADE5-11CF54C0E1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1144725"/>
        <c:axId val="1324950909"/>
      </c:barChart>
      <c:catAx>
        <c:axId val="2411447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1324950909"/>
        <c:crosses val="autoZero"/>
        <c:auto val="1"/>
        <c:lblAlgn val="ctr"/>
        <c:lblOffset val="100"/>
        <c:noMultiLvlLbl val="1"/>
      </c:catAx>
      <c:valAx>
        <c:axId val="13249509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PE"/>
          </a:p>
        </c:txPr>
        <c:crossAx val="24114472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PE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PRIMERO A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B6B-4405-948D-291436349E8A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6B-4405-948D-291436349E8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6B-4405-948D-291436349E8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B6B-4405-948D-291436349E8A}"/>
              </c:ext>
            </c:extLst>
          </c:dPt>
          <c:cat>
            <c:strRef>
              <c:f>Salones!$AF$7:$AF$10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Salones!$AG$7:$AG$10</c:f>
              <c:numCache>
                <c:formatCode>General</c:formatCode>
                <c:ptCount val="4"/>
                <c:pt idx="0">
                  <c:v>1</c:v>
                </c:pt>
                <c:pt idx="1">
                  <c:v>192</c:v>
                </c:pt>
                <c:pt idx="2">
                  <c:v>236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B-4405-948D-291436349E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26144"/>
        <c:axId val="1146874848"/>
      </c:barChart>
      <c:catAx>
        <c:axId val="100202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146874848"/>
        <c:crosses val="autoZero"/>
        <c:auto val="1"/>
        <c:lblAlgn val="ctr"/>
        <c:lblOffset val="100"/>
        <c:noMultiLvlLbl val="0"/>
      </c:catAx>
      <c:valAx>
        <c:axId val="114687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02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PRIMERO B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A83-43CA-910F-B9702DF52FA4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A83-43CA-910F-B9702DF52FA4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A83-43CA-910F-B9702DF52FA4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A83-43CA-910F-B9702DF52FA4}"/>
              </c:ext>
            </c:extLst>
          </c:dPt>
          <c:cat>
            <c:strRef>
              <c:f>Salones!$AF$27:$AF$30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Salones!$AG$27:$AG$30</c:f>
              <c:numCache>
                <c:formatCode>General</c:formatCode>
                <c:ptCount val="4"/>
                <c:pt idx="0">
                  <c:v>2</c:v>
                </c:pt>
                <c:pt idx="1">
                  <c:v>288</c:v>
                </c:pt>
                <c:pt idx="2">
                  <c:v>224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83-43CA-910F-B9702DF52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1982544"/>
        <c:axId val="999027104"/>
      </c:barChart>
      <c:catAx>
        <c:axId val="100198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027104"/>
        <c:crosses val="autoZero"/>
        <c:auto val="1"/>
        <c:lblAlgn val="ctr"/>
        <c:lblOffset val="100"/>
        <c:noMultiLvlLbl val="0"/>
      </c:catAx>
      <c:valAx>
        <c:axId val="99902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198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SEGUNDO A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90-4D8B-8ED4-D70FE10DAB2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A90-4D8B-8ED4-D70FE10DAB2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90-4D8B-8ED4-D70FE10DAB2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A90-4D8B-8ED4-D70FE10DAB27}"/>
              </c:ext>
            </c:extLst>
          </c:dPt>
          <c:cat>
            <c:strRef>
              <c:f>Salones!$AF$49:$AF$52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Salones!$AG$49:$AG$52</c:f>
              <c:numCache>
                <c:formatCode>General</c:formatCode>
                <c:ptCount val="4"/>
                <c:pt idx="0">
                  <c:v>2</c:v>
                </c:pt>
                <c:pt idx="1">
                  <c:v>244</c:v>
                </c:pt>
                <c:pt idx="2">
                  <c:v>298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90-4D8B-8ED4-D70FE10DA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16144"/>
        <c:axId val="999173952"/>
      </c:barChart>
      <c:catAx>
        <c:axId val="1002016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173952"/>
        <c:crosses val="autoZero"/>
        <c:auto val="1"/>
        <c:lblAlgn val="ctr"/>
        <c:lblOffset val="100"/>
        <c:noMultiLvlLbl val="0"/>
      </c:catAx>
      <c:valAx>
        <c:axId val="999173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01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SEGUNDO B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C58-46B7-B5C8-1116D80A9CB1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C58-46B7-B5C8-1116D80A9CB1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C58-46B7-B5C8-1116D80A9CB1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C58-46B7-B5C8-1116D80A9CB1}"/>
              </c:ext>
            </c:extLst>
          </c:dPt>
          <c:cat>
            <c:strRef>
              <c:f>Salones!$AF$68:$AF$71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Salones!$AG$68:$AG$71</c:f>
              <c:numCache>
                <c:formatCode>General</c:formatCode>
                <c:ptCount val="4"/>
                <c:pt idx="0">
                  <c:v>1</c:v>
                </c:pt>
                <c:pt idx="1">
                  <c:v>185</c:v>
                </c:pt>
                <c:pt idx="2">
                  <c:v>351</c:v>
                </c:pt>
                <c:pt idx="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8-46B7-B5C8-1116D80A9C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0612000"/>
        <c:axId val="1291812032"/>
      </c:barChart>
      <c:catAx>
        <c:axId val="99061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91812032"/>
        <c:crosses val="autoZero"/>
        <c:auto val="1"/>
        <c:lblAlgn val="ctr"/>
        <c:lblOffset val="100"/>
        <c:noMultiLvlLbl val="0"/>
      </c:catAx>
      <c:valAx>
        <c:axId val="12918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061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TERCERO A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A2-47DA-BE9C-9DD483D4A33A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1A2-47DA-BE9C-9DD483D4A33A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A2-47DA-BE9C-9DD483D4A33A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1A2-47DA-BE9C-9DD483D4A33A}"/>
              </c:ext>
            </c:extLst>
          </c:dPt>
          <c:cat>
            <c:strRef>
              <c:f>Salones!$AF$92:$AF$95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Salones!$AG$92:$AG$95</c:f>
              <c:numCache>
                <c:formatCode>General</c:formatCode>
                <c:ptCount val="4"/>
                <c:pt idx="0">
                  <c:v>18</c:v>
                </c:pt>
                <c:pt idx="1">
                  <c:v>251</c:v>
                </c:pt>
                <c:pt idx="2">
                  <c:v>170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A2-47DA-BE9C-9DD483D4A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8463472"/>
        <c:axId val="999012544"/>
      </c:barChart>
      <c:catAx>
        <c:axId val="888463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012544"/>
        <c:crosses val="autoZero"/>
        <c:auto val="1"/>
        <c:lblAlgn val="ctr"/>
        <c:lblOffset val="100"/>
        <c:noMultiLvlLbl val="0"/>
      </c:catAx>
      <c:valAx>
        <c:axId val="99901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88846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TERCERO B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5F-4177-AB3D-C53461A1E2D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D5F-4177-AB3D-C53461A1E2D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5F-4177-AB3D-C53461A1E2D9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5D5F-4177-AB3D-C53461A1E2D9}"/>
              </c:ext>
            </c:extLst>
          </c:dPt>
          <c:cat>
            <c:strRef>
              <c:f>Salones!$AF$115:$AF$118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Salones!$AG$115:$AG$118</c:f>
              <c:numCache>
                <c:formatCode>General</c:formatCode>
                <c:ptCount val="4"/>
                <c:pt idx="0">
                  <c:v>5</c:v>
                </c:pt>
                <c:pt idx="1">
                  <c:v>270</c:v>
                </c:pt>
                <c:pt idx="2">
                  <c:v>236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5F-4177-AB3D-C53461A1E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2002544"/>
        <c:axId val="1079222000"/>
      </c:barChart>
      <c:catAx>
        <c:axId val="100200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79222000"/>
        <c:crosses val="autoZero"/>
        <c:auto val="1"/>
        <c:lblAlgn val="ctr"/>
        <c:lblOffset val="100"/>
        <c:noMultiLvlLbl val="0"/>
      </c:catAx>
      <c:valAx>
        <c:axId val="107922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002002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CUARTO A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6CF-4033-982C-4CE298EFB037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6CF-4033-982C-4CE298EFB037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6CF-4033-982C-4CE298EFB037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6CF-4033-982C-4CE298EFB037}"/>
              </c:ext>
            </c:extLst>
          </c:dPt>
          <c:cat>
            <c:strRef>
              <c:f>Salones!$AF$138:$AF$141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Salones!$AG$138:$AG$141</c:f>
              <c:numCache>
                <c:formatCode>General</c:formatCode>
                <c:ptCount val="4"/>
                <c:pt idx="0">
                  <c:v>6</c:v>
                </c:pt>
                <c:pt idx="1">
                  <c:v>312</c:v>
                </c:pt>
                <c:pt idx="2">
                  <c:v>241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F-4033-982C-4CE298EFB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993984"/>
        <c:axId val="999138592"/>
      </c:barChart>
      <c:catAx>
        <c:axId val="129099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99138592"/>
        <c:crosses val="autoZero"/>
        <c:auto val="1"/>
        <c:lblAlgn val="ctr"/>
        <c:lblOffset val="100"/>
        <c:noMultiLvlLbl val="0"/>
      </c:catAx>
      <c:valAx>
        <c:axId val="999138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90993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CUARTO B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4-4540-82F4-548113877EC3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294-4540-82F4-548113877EC3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94-4540-82F4-548113877EC3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D294-4540-82F4-548113877EC3}"/>
              </c:ext>
            </c:extLst>
          </c:dPt>
          <c:cat>
            <c:strRef>
              <c:f>Salones!$AF$164:$AF$167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Salones!$AG$164:$AG$167</c:f>
              <c:numCache>
                <c:formatCode>General</c:formatCode>
                <c:ptCount val="4"/>
                <c:pt idx="0">
                  <c:v>11</c:v>
                </c:pt>
                <c:pt idx="1">
                  <c:v>366</c:v>
                </c:pt>
                <c:pt idx="2">
                  <c:v>238</c:v>
                </c:pt>
                <c:pt idx="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94-4540-82F4-54811387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7995984"/>
        <c:axId val="1352782080"/>
      </c:barChart>
      <c:catAx>
        <c:axId val="12179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2782080"/>
        <c:crosses val="autoZero"/>
        <c:auto val="1"/>
        <c:lblAlgn val="ctr"/>
        <c:lblOffset val="100"/>
        <c:noMultiLvlLbl val="0"/>
      </c:catAx>
      <c:valAx>
        <c:axId val="135278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799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QUINTO A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B050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744-499B-91F9-B08CFE16C860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744-499B-91F9-B08CFE16C860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744-499B-91F9-B08CFE16C860}"/>
              </c:ext>
            </c:extLst>
          </c:dPt>
          <c:cat>
            <c:strRef>
              <c:f>Salones!$AF$191:$AF$194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Salones!$AG$191:$AG$194</c:f>
              <c:numCache>
                <c:formatCode>General</c:formatCode>
                <c:ptCount val="4"/>
                <c:pt idx="0">
                  <c:v>27</c:v>
                </c:pt>
                <c:pt idx="1">
                  <c:v>439</c:v>
                </c:pt>
                <c:pt idx="2">
                  <c:v>224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4-499B-91F9-B08CFE16C8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8001184"/>
        <c:axId val="1291701376"/>
      </c:barChart>
      <c:catAx>
        <c:axId val="1218001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91701376"/>
        <c:crosses val="autoZero"/>
        <c:auto val="1"/>
        <c:lblAlgn val="ctr"/>
        <c:lblOffset val="100"/>
        <c:noMultiLvlLbl val="0"/>
      </c:catAx>
      <c:valAx>
        <c:axId val="129170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1800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QUINTO B - IVB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solidFill>
                <a:srgbClr val="000000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38B-47F0-9CB6-D0E2A2002199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38B-47F0-9CB6-D0E2A2002199}"/>
              </c:ext>
            </c:extLst>
          </c:dPt>
          <c:dPt>
            <c:idx val="2"/>
            <c:invertIfNegative val="0"/>
            <c:bubble3D val="0"/>
            <c:spPr>
              <a:solidFill>
                <a:srgbClr val="FFFF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38B-47F0-9CB6-D0E2A2002199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solidFill>
                  <a:srgbClr val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238B-47F0-9CB6-D0E2A2002199}"/>
              </c:ext>
            </c:extLst>
          </c:dPt>
          <c:cat>
            <c:strRef>
              <c:f>Salones!$AF$211:$AF$214</c:f>
              <c:strCache>
                <c:ptCount val="4"/>
                <c:pt idx="0">
                  <c:v>AD</c:v>
                </c:pt>
                <c:pt idx="1">
                  <c:v>A</c:v>
                </c:pt>
                <c:pt idx="2">
                  <c:v>B</c:v>
                </c:pt>
                <c:pt idx="3">
                  <c:v>C</c:v>
                </c:pt>
              </c:strCache>
            </c:strRef>
          </c:cat>
          <c:val>
            <c:numRef>
              <c:f>Salones!$AG$211:$AG$214</c:f>
              <c:numCache>
                <c:formatCode>General</c:formatCode>
                <c:ptCount val="4"/>
                <c:pt idx="0">
                  <c:v>7</c:v>
                </c:pt>
                <c:pt idx="1">
                  <c:v>358</c:v>
                </c:pt>
                <c:pt idx="2">
                  <c:v>279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B-47F0-9CB6-D0E2A2002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3414368"/>
        <c:axId val="1355385296"/>
      </c:barChart>
      <c:catAx>
        <c:axId val="127341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355385296"/>
        <c:crosses val="autoZero"/>
        <c:auto val="1"/>
        <c:lblAlgn val="ctr"/>
        <c:lblOffset val="100"/>
        <c:noMultiLvlLbl val="0"/>
      </c:catAx>
      <c:valAx>
        <c:axId val="135538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27341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9.xml"/><Relationship Id="rId3" Type="http://schemas.openxmlformats.org/officeDocument/2006/relationships/chart" Target="../charts/chart14.xml"/><Relationship Id="rId7" Type="http://schemas.openxmlformats.org/officeDocument/2006/relationships/chart" Target="../charts/chart18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6" Type="http://schemas.openxmlformats.org/officeDocument/2006/relationships/chart" Target="../charts/chart17.xml"/><Relationship Id="rId11" Type="http://schemas.openxmlformats.org/officeDocument/2006/relationships/chart" Target="../charts/chart22.xml"/><Relationship Id="rId5" Type="http://schemas.openxmlformats.org/officeDocument/2006/relationships/chart" Target="../charts/chart16.xml"/><Relationship Id="rId10" Type="http://schemas.openxmlformats.org/officeDocument/2006/relationships/chart" Target="../charts/chart21.xml"/><Relationship Id="rId4" Type="http://schemas.openxmlformats.org/officeDocument/2006/relationships/chart" Target="../charts/chart15.xml"/><Relationship Id="rId9" Type="http://schemas.openxmlformats.org/officeDocument/2006/relationships/chart" Target="../charts/chart20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10" Type="http://schemas.openxmlformats.org/officeDocument/2006/relationships/chart" Target="../charts/chart32.xml"/><Relationship Id="rId4" Type="http://schemas.openxmlformats.org/officeDocument/2006/relationships/chart" Target="../charts/chart26.xml"/><Relationship Id="rId9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158115</xdr:colOff>
      <xdr:row>6</xdr:row>
      <xdr:rowOff>150495</xdr:rowOff>
    </xdr:from>
    <xdr:ext cx="2724150" cy="23241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9D6A26-40D5-43C2-87AE-05D52212A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34</xdr:col>
      <xdr:colOff>112395</xdr:colOff>
      <xdr:row>6</xdr:row>
      <xdr:rowOff>175260</xdr:rowOff>
    </xdr:from>
    <xdr:ext cx="2667000" cy="23050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C91A69-CA98-487A-B60D-B254EFBC4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31</xdr:col>
      <xdr:colOff>190500</xdr:colOff>
      <xdr:row>19</xdr:row>
      <xdr:rowOff>104775</xdr:rowOff>
    </xdr:from>
    <xdr:ext cx="2667000" cy="22479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24EEE8E-9FEA-479A-982C-C40EA5EF60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31</xdr:col>
      <xdr:colOff>190500</xdr:colOff>
      <xdr:row>32</xdr:row>
      <xdr:rowOff>38100</xdr:rowOff>
    </xdr:from>
    <xdr:ext cx="2667000" cy="22479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3C553B-C14C-4F03-AAF2-4242EEB42D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31</xdr:col>
      <xdr:colOff>142875</xdr:colOff>
      <xdr:row>44</xdr:row>
      <xdr:rowOff>180975</xdr:rowOff>
    </xdr:from>
    <xdr:ext cx="2667000" cy="22479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144CE12-E8CB-4FFC-9D45-B550D419EF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31</xdr:col>
      <xdr:colOff>28575</xdr:colOff>
      <xdr:row>57</xdr:row>
      <xdr:rowOff>123825</xdr:rowOff>
    </xdr:from>
    <xdr:ext cx="2667000" cy="22479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CE4D31-04CD-4E7E-9257-85F0D86423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31</xdr:col>
      <xdr:colOff>66675</xdr:colOff>
      <xdr:row>68</xdr:row>
      <xdr:rowOff>171450</xdr:rowOff>
    </xdr:from>
    <xdr:ext cx="2667000" cy="22479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A1217CB-510C-418E-A354-B008FEF1EE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31</xdr:col>
      <xdr:colOff>127635</xdr:colOff>
      <xdr:row>81</xdr:row>
      <xdr:rowOff>45720</xdr:rowOff>
    </xdr:from>
    <xdr:ext cx="2667000" cy="349758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229229-A329-4783-BEAF-5FBFE580C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31</xdr:col>
      <xdr:colOff>165735</xdr:colOff>
      <xdr:row>99</xdr:row>
      <xdr:rowOff>129539</xdr:rowOff>
    </xdr:from>
    <xdr:ext cx="2667000" cy="3861435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BE27DA7-7EF2-46D3-81D5-6406ADA1A7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31</xdr:col>
      <xdr:colOff>57150</xdr:colOff>
      <xdr:row>151</xdr:row>
      <xdr:rowOff>0</xdr:rowOff>
    </xdr:from>
    <xdr:ext cx="2486025" cy="220980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3C50D4C-CC95-4663-971D-F193F60CE5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10</xdr:col>
      <xdr:colOff>219075</xdr:colOff>
      <xdr:row>239</xdr:row>
      <xdr:rowOff>114300</xdr:rowOff>
    </xdr:from>
    <xdr:ext cx="4733925" cy="274320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E3C6231-0F6C-45D1-B9EB-37FAE45082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251460</xdr:colOff>
      <xdr:row>2</xdr:row>
      <xdr:rowOff>0</xdr:rowOff>
    </xdr:from>
    <xdr:ext cx="4762500" cy="400812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30E67DD-A0A6-4EF9-91E3-80F654099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259080</xdr:colOff>
      <xdr:row>1</xdr:row>
      <xdr:rowOff>114300</xdr:rowOff>
    </xdr:from>
    <xdr:ext cx="4663440" cy="4084320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C3DC618F-AEF1-4002-A2EB-658122E32A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16</xdr:col>
      <xdr:colOff>327660</xdr:colOff>
      <xdr:row>1</xdr:row>
      <xdr:rowOff>175260</xdr:rowOff>
    </xdr:from>
    <xdr:ext cx="4671060" cy="397002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0AD7C7-C20A-48A5-8DE4-301187AD57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24</xdr:col>
      <xdr:colOff>38100</xdr:colOff>
      <xdr:row>1</xdr:row>
      <xdr:rowOff>175260</xdr:rowOff>
    </xdr:from>
    <xdr:ext cx="4770120" cy="40005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756E33-E083-42E6-8337-336FB8B63A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31</xdr:col>
      <xdr:colOff>815340</xdr:colOff>
      <xdr:row>2</xdr:row>
      <xdr:rowOff>22860</xdr:rowOff>
    </xdr:from>
    <xdr:ext cx="4198620" cy="402336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3D69F64-2C6C-4C54-8A27-2D03F87FE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38</xdr:col>
      <xdr:colOff>121919</xdr:colOff>
      <xdr:row>2</xdr:row>
      <xdr:rowOff>38100</xdr:rowOff>
    </xdr:from>
    <xdr:ext cx="3760968" cy="3699013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B26C99-6BDA-4B07-A26D-93874230D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oneCellAnchor>
  <xdr:oneCellAnchor>
    <xdr:from>
      <xdr:col>43</xdr:col>
      <xdr:colOff>254811</xdr:colOff>
      <xdr:row>2</xdr:row>
      <xdr:rowOff>28532</xdr:rowOff>
    </xdr:from>
    <xdr:ext cx="4617720" cy="399288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142B0F5-2A03-4F79-A48D-F6AC4BFEEE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oneCellAnchor>
  <xdr:oneCellAnchor>
    <xdr:from>
      <xdr:col>51</xdr:col>
      <xdr:colOff>449580</xdr:colOff>
      <xdr:row>2</xdr:row>
      <xdr:rowOff>22860</xdr:rowOff>
    </xdr:from>
    <xdr:ext cx="4564380" cy="40005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8C32D9A-7F4D-4C65-8312-3228777304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oneCellAnchor>
  <xdr:oneCellAnchor>
    <xdr:from>
      <xdr:col>60</xdr:col>
      <xdr:colOff>7620</xdr:colOff>
      <xdr:row>1</xdr:row>
      <xdr:rowOff>167640</xdr:rowOff>
    </xdr:from>
    <xdr:ext cx="4625340" cy="403098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112613D-9F36-44E4-9511-BC4997FB00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oneCellAnchor>
  <xdr:oneCellAnchor>
    <xdr:from>
      <xdr:col>67</xdr:col>
      <xdr:colOff>449580</xdr:colOff>
      <xdr:row>2</xdr:row>
      <xdr:rowOff>30480</xdr:rowOff>
    </xdr:from>
    <xdr:ext cx="4442460" cy="4015740"/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7E9D44-B448-4DEA-A5F2-AFBAB7677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oneCellAnchor>
  <xdr:oneCellAnchor>
    <xdr:from>
      <xdr:col>74</xdr:col>
      <xdr:colOff>281940</xdr:colOff>
      <xdr:row>1</xdr:row>
      <xdr:rowOff>152400</xdr:rowOff>
    </xdr:from>
    <xdr:ext cx="6248400" cy="4023360"/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7AA00E8-41B1-4268-8E78-FD451AEB98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364672</xdr:colOff>
      <xdr:row>6</xdr:row>
      <xdr:rowOff>0</xdr:rowOff>
    </xdr:from>
    <xdr:to>
      <xdr:col>36</xdr:col>
      <xdr:colOff>664028</xdr:colOff>
      <xdr:row>18</xdr:row>
      <xdr:rowOff>54428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DE197D7F-E1E5-4BD1-926B-DA105C95B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419100</xdr:colOff>
      <xdr:row>26</xdr:row>
      <xdr:rowOff>21772</xdr:rowOff>
    </xdr:from>
    <xdr:to>
      <xdr:col>36</xdr:col>
      <xdr:colOff>772886</xdr:colOff>
      <xdr:row>37</xdr:row>
      <xdr:rowOff>97972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6F0EA138-DC59-493B-8BD9-4C44D57177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288471</xdr:colOff>
      <xdr:row>47</xdr:row>
      <xdr:rowOff>163285</xdr:rowOff>
    </xdr:from>
    <xdr:to>
      <xdr:col>36</xdr:col>
      <xdr:colOff>827314</xdr:colOff>
      <xdr:row>59</xdr:row>
      <xdr:rowOff>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104018F8-FBAA-4AB3-8A8E-E7ED01A15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386442</xdr:colOff>
      <xdr:row>67</xdr:row>
      <xdr:rowOff>10886</xdr:rowOff>
    </xdr:from>
    <xdr:to>
      <xdr:col>36</xdr:col>
      <xdr:colOff>816428</xdr:colOff>
      <xdr:row>79</xdr:row>
      <xdr:rowOff>54429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58B70964-CF66-410F-8AB3-9781A0B221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364671</xdr:colOff>
      <xdr:row>90</xdr:row>
      <xdr:rowOff>1</xdr:rowOff>
    </xdr:from>
    <xdr:to>
      <xdr:col>36</xdr:col>
      <xdr:colOff>827314</xdr:colOff>
      <xdr:row>102</xdr:row>
      <xdr:rowOff>43543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6B53CCE2-DB29-4287-966C-B7D960C24B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33</xdr:col>
      <xdr:colOff>364671</xdr:colOff>
      <xdr:row>113</xdr:row>
      <xdr:rowOff>21773</xdr:rowOff>
    </xdr:from>
    <xdr:to>
      <xdr:col>36</xdr:col>
      <xdr:colOff>838200</xdr:colOff>
      <xdr:row>124</xdr:row>
      <xdr:rowOff>152401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C2989FB2-AC40-434F-A087-07DB77C8C0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364671</xdr:colOff>
      <xdr:row>137</xdr:row>
      <xdr:rowOff>0</xdr:rowOff>
    </xdr:from>
    <xdr:to>
      <xdr:col>36</xdr:col>
      <xdr:colOff>805543</xdr:colOff>
      <xdr:row>148</xdr:row>
      <xdr:rowOff>141514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B4201C64-8FD9-4D1F-8E59-21824E8498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332014</xdr:colOff>
      <xdr:row>163</xdr:row>
      <xdr:rowOff>0</xdr:rowOff>
    </xdr:from>
    <xdr:to>
      <xdr:col>36</xdr:col>
      <xdr:colOff>936171</xdr:colOff>
      <xdr:row>174</xdr:row>
      <xdr:rowOff>21772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0F5A9512-87FE-4431-813D-1E82FF96F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33</xdr:col>
      <xdr:colOff>332013</xdr:colOff>
      <xdr:row>190</xdr:row>
      <xdr:rowOff>0</xdr:rowOff>
    </xdr:from>
    <xdr:to>
      <xdr:col>36</xdr:col>
      <xdr:colOff>859971</xdr:colOff>
      <xdr:row>200</xdr:row>
      <xdr:rowOff>163285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5D4B4A9B-6B98-494D-BDB0-E0CF8F49B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33</xdr:col>
      <xdr:colOff>234042</xdr:colOff>
      <xdr:row>209</xdr:row>
      <xdr:rowOff>87086</xdr:rowOff>
    </xdr:from>
    <xdr:to>
      <xdr:col>36</xdr:col>
      <xdr:colOff>881742</xdr:colOff>
      <xdr:row>221</xdr:row>
      <xdr:rowOff>119743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EDEF9230-EA79-4FFF-BB39-DD8D4E8B5C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CBE3-FEAE-472F-A7DB-DA716D41ED50}">
  <dimension ref="A2:AE1133"/>
  <sheetViews>
    <sheetView tabSelected="1" zoomScale="85" zoomScaleNormal="85" workbookViewId="0">
      <pane xSplit="3" ySplit="5" topLeftCell="D60" activePane="bottomRight" state="frozen"/>
      <selection pane="topRight" activeCell="C1" sqref="C1"/>
      <selection pane="bottomLeft" activeCell="A6" sqref="A6"/>
      <selection pane="bottomRight" activeCell="K76" sqref="K76"/>
    </sheetView>
  </sheetViews>
  <sheetFormatPr baseColWidth="10" defaultColWidth="14.42578125" defaultRowHeight="15" customHeight="1" x14ac:dyDescent="0.25"/>
  <cols>
    <col min="1" max="1" width="4" bestFit="1" customWidth="1"/>
    <col min="2" max="2" width="4.140625" customWidth="1"/>
    <col min="3" max="3" width="38.5703125" customWidth="1"/>
    <col min="4" max="4" width="5" customWidth="1"/>
    <col min="5" max="5" width="6.7109375" customWidth="1"/>
    <col min="6" max="31" width="5" customWidth="1"/>
  </cols>
  <sheetData>
    <row r="2" spans="1:31" ht="45.75" customHeight="1" x14ac:dyDescent="0.25">
      <c r="C2" s="147" t="s">
        <v>0</v>
      </c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8"/>
      <c r="AE2" s="146"/>
    </row>
    <row r="3" spans="1:31" ht="26.25" customHeight="1" x14ac:dyDescent="0.25">
      <c r="C3" s="149" t="s">
        <v>1</v>
      </c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1"/>
    </row>
    <row r="4" spans="1:31" ht="41.25" customHeight="1" x14ac:dyDescent="0.25">
      <c r="C4" s="1"/>
      <c r="D4" s="2"/>
      <c r="E4" s="2"/>
      <c r="F4" s="145" t="s">
        <v>2</v>
      </c>
      <c r="G4" s="148"/>
      <c r="H4" s="148"/>
      <c r="I4" s="146"/>
      <c r="J4" s="145" t="s">
        <v>3</v>
      </c>
      <c r="K4" s="148"/>
      <c r="L4" s="146"/>
      <c r="M4" s="145" t="s">
        <v>4</v>
      </c>
      <c r="N4" s="148"/>
      <c r="O4" s="146"/>
      <c r="P4" s="145" t="s">
        <v>5</v>
      </c>
      <c r="Q4" s="148"/>
      <c r="R4" s="146"/>
      <c r="S4" s="152" t="s">
        <v>6</v>
      </c>
      <c r="T4" s="146"/>
      <c r="U4" s="3" t="s">
        <v>7</v>
      </c>
      <c r="V4" s="145" t="s">
        <v>8</v>
      </c>
      <c r="W4" s="148"/>
      <c r="X4" s="146"/>
      <c r="Y4" s="145" t="s">
        <v>9</v>
      </c>
      <c r="Z4" s="146"/>
      <c r="AA4" s="152" t="s">
        <v>10</v>
      </c>
      <c r="AB4" s="148"/>
      <c r="AC4" s="146"/>
      <c r="AD4" s="145" t="s">
        <v>11</v>
      </c>
      <c r="AE4" s="146"/>
    </row>
    <row r="5" spans="1:31" ht="27" customHeight="1" x14ac:dyDescent="0.25">
      <c r="B5" s="9"/>
      <c r="C5" s="49" t="s">
        <v>12</v>
      </c>
      <c r="D5" s="6" t="s">
        <v>13</v>
      </c>
      <c r="E5" s="7" t="s">
        <v>14</v>
      </c>
      <c r="F5" s="7" t="s">
        <v>15</v>
      </c>
      <c r="G5" s="7" t="s">
        <v>16</v>
      </c>
      <c r="H5" s="7" t="s">
        <v>17</v>
      </c>
      <c r="I5" s="7" t="s">
        <v>18</v>
      </c>
      <c r="J5" s="7" t="s">
        <v>15</v>
      </c>
      <c r="K5" s="7" t="s">
        <v>16</v>
      </c>
      <c r="L5" s="7" t="s">
        <v>17</v>
      </c>
      <c r="M5" s="7" t="s">
        <v>15</v>
      </c>
      <c r="N5" s="7" t="s">
        <v>16</v>
      </c>
      <c r="O5" s="7" t="s">
        <v>17</v>
      </c>
      <c r="P5" s="7" t="s">
        <v>15</v>
      </c>
      <c r="Q5" s="7" t="s">
        <v>16</v>
      </c>
      <c r="R5" s="7" t="s">
        <v>17</v>
      </c>
      <c r="S5" s="7" t="s">
        <v>15</v>
      </c>
      <c r="T5" s="7" t="s">
        <v>16</v>
      </c>
      <c r="U5" s="7" t="s">
        <v>15</v>
      </c>
      <c r="V5" s="7" t="s">
        <v>15</v>
      </c>
      <c r="W5" s="7" t="s">
        <v>16</v>
      </c>
      <c r="X5" s="7" t="s">
        <v>17</v>
      </c>
      <c r="Y5" s="7" t="s">
        <v>15</v>
      </c>
      <c r="Z5" s="7" t="s">
        <v>16</v>
      </c>
      <c r="AA5" s="7" t="s">
        <v>15</v>
      </c>
      <c r="AB5" s="7" t="s">
        <v>16</v>
      </c>
      <c r="AC5" s="7" t="s">
        <v>17</v>
      </c>
      <c r="AD5" s="7" t="s">
        <v>15</v>
      </c>
      <c r="AE5" s="7" t="s">
        <v>16</v>
      </c>
    </row>
    <row r="6" spans="1:31" x14ac:dyDescent="0.25">
      <c r="A6" s="81">
        <v>1</v>
      </c>
      <c r="B6" s="89">
        <v>1</v>
      </c>
      <c r="C6" s="90" t="s">
        <v>207</v>
      </c>
      <c r="D6" s="89">
        <v>1</v>
      </c>
      <c r="E6" s="89" t="s">
        <v>19</v>
      </c>
      <c r="F6" s="50" t="s">
        <v>19</v>
      </c>
      <c r="G6" s="51" t="s">
        <v>19</v>
      </c>
      <c r="H6" s="51" t="s">
        <v>20</v>
      </c>
      <c r="I6" s="51" t="s">
        <v>19</v>
      </c>
      <c r="J6" s="51" t="s">
        <v>19</v>
      </c>
      <c r="K6" s="51" t="s">
        <v>19</v>
      </c>
      <c r="L6" s="51" t="s">
        <v>19</v>
      </c>
      <c r="M6" s="52" t="s">
        <v>19</v>
      </c>
      <c r="N6" s="52" t="s">
        <v>19</v>
      </c>
      <c r="O6" s="52" t="s">
        <v>19</v>
      </c>
      <c r="P6" s="52" t="s">
        <v>19</v>
      </c>
      <c r="Q6" s="51" t="s">
        <v>20</v>
      </c>
      <c r="R6" s="51" t="s">
        <v>20</v>
      </c>
      <c r="S6" s="52" t="s">
        <v>19</v>
      </c>
      <c r="T6" s="51" t="s">
        <v>19</v>
      </c>
      <c r="U6" s="51" t="s">
        <v>19</v>
      </c>
      <c r="V6" s="51" t="s">
        <v>19</v>
      </c>
      <c r="W6" s="51" t="s">
        <v>19</v>
      </c>
      <c r="X6" s="51" t="s">
        <v>19</v>
      </c>
      <c r="Y6" s="52" t="s">
        <v>20</v>
      </c>
      <c r="Z6" s="52" t="s">
        <v>19</v>
      </c>
      <c r="AA6" s="39" t="s">
        <v>20</v>
      </c>
      <c r="AB6" s="39" t="s">
        <v>20</v>
      </c>
      <c r="AC6" s="39" t="s">
        <v>19</v>
      </c>
      <c r="AD6" s="52" t="s">
        <v>19</v>
      </c>
      <c r="AE6" s="52" t="s">
        <v>20</v>
      </c>
    </row>
    <row r="7" spans="1:31" x14ac:dyDescent="0.25">
      <c r="A7" s="81">
        <v>2</v>
      </c>
      <c r="B7" s="89">
        <v>2</v>
      </c>
      <c r="C7" s="90" t="s">
        <v>208</v>
      </c>
      <c r="D7" s="89">
        <v>1</v>
      </c>
      <c r="E7" s="89" t="s">
        <v>19</v>
      </c>
      <c r="F7" s="51" t="s">
        <v>20</v>
      </c>
      <c r="G7" s="51" t="s">
        <v>21</v>
      </c>
      <c r="H7" s="51" t="s">
        <v>20</v>
      </c>
      <c r="I7" s="51" t="s">
        <v>20</v>
      </c>
      <c r="J7" s="51" t="s">
        <v>20</v>
      </c>
      <c r="K7" s="51" t="s">
        <v>20</v>
      </c>
      <c r="L7" s="51" t="s">
        <v>20</v>
      </c>
      <c r="M7" s="52" t="s">
        <v>20</v>
      </c>
      <c r="N7" s="52" t="s">
        <v>20</v>
      </c>
      <c r="O7" s="52" t="s">
        <v>21</v>
      </c>
      <c r="P7" s="52" t="s">
        <v>20</v>
      </c>
      <c r="Q7" s="51" t="s">
        <v>20</v>
      </c>
      <c r="R7" s="51" t="s">
        <v>20</v>
      </c>
      <c r="S7" s="52" t="s">
        <v>21</v>
      </c>
      <c r="T7" s="51" t="s">
        <v>21</v>
      </c>
      <c r="U7" s="51" t="s">
        <v>20</v>
      </c>
      <c r="V7" s="51" t="s">
        <v>20</v>
      </c>
      <c r="W7" s="51" t="s">
        <v>20</v>
      </c>
      <c r="X7" s="51" t="s">
        <v>19</v>
      </c>
      <c r="Y7" s="52" t="s">
        <v>20</v>
      </c>
      <c r="Z7" s="52" t="s">
        <v>19</v>
      </c>
      <c r="AA7" s="39" t="s">
        <v>21</v>
      </c>
      <c r="AB7" s="39" t="s">
        <v>21</v>
      </c>
      <c r="AC7" s="39" t="s">
        <v>21</v>
      </c>
      <c r="AD7" s="52" t="s">
        <v>21</v>
      </c>
      <c r="AE7" s="52" t="s">
        <v>20</v>
      </c>
    </row>
    <row r="8" spans="1:31" x14ac:dyDescent="0.25">
      <c r="A8" s="81">
        <v>3</v>
      </c>
      <c r="B8" s="89">
        <v>3</v>
      </c>
      <c r="C8" s="90" t="s">
        <v>209</v>
      </c>
      <c r="D8" s="89">
        <v>1</v>
      </c>
      <c r="E8" s="89" t="s">
        <v>19</v>
      </c>
      <c r="F8" s="51" t="s">
        <v>19</v>
      </c>
      <c r="G8" s="51" t="s">
        <v>19</v>
      </c>
      <c r="H8" s="51" t="s">
        <v>19</v>
      </c>
      <c r="I8" s="51" t="s">
        <v>19</v>
      </c>
      <c r="J8" s="51" t="s">
        <v>19</v>
      </c>
      <c r="K8" s="51" t="s">
        <v>19</v>
      </c>
      <c r="L8" s="51" t="s">
        <v>19</v>
      </c>
      <c r="M8" s="52" t="s">
        <v>19</v>
      </c>
      <c r="N8" s="52" t="s">
        <v>19</v>
      </c>
      <c r="O8" s="52" t="s">
        <v>19</v>
      </c>
      <c r="P8" s="52" t="s">
        <v>19</v>
      </c>
      <c r="Q8" s="51" t="s">
        <v>19</v>
      </c>
      <c r="R8" s="51" t="s">
        <v>20</v>
      </c>
      <c r="S8" s="52" t="s">
        <v>19</v>
      </c>
      <c r="T8" s="51" t="s">
        <v>19</v>
      </c>
      <c r="U8" s="51" t="s">
        <v>19</v>
      </c>
      <c r="V8" s="51" t="s">
        <v>19</v>
      </c>
      <c r="W8" s="51" t="s">
        <v>19</v>
      </c>
      <c r="X8" s="51" t="s">
        <v>19</v>
      </c>
      <c r="Y8" s="52" t="s">
        <v>19</v>
      </c>
      <c r="Z8" s="52" t="s">
        <v>19</v>
      </c>
      <c r="AA8" s="39" t="s">
        <v>19</v>
      </c>
      <c r="AB8" s="39" t="s">
        <v>20</v>
      </c>
      <c r="AC8" s="39" t="s">
        <v>20</v>
      </c>
      <c r="AD8" s="52" t="s">
        <v>19</v>
      </c>
      <c r="AE8" s="52" t="s">
        <v>20</v>
      </c>
    </row>
    <row r="9" spans="1:31" x14ac:dyDescent="0.25">
      <c r="A9" s="81">
        <v>4</v>
      </c>
      <c r="B9" s="89">
        <v>4</v>
      </c>
      <c r="C9" s="90" t="s">
        <v>210</v>
      </c>
      <c r="D9" s="89">
        <v>1</v>
      </c>
      <c r="E9" s="89" t="s">
        <v>19</v>
      </c>
      <c r="F9" s="51" t="s">
        <v>19</v>
      </c>
      <c r="G9" s="51" t="s">
        <v>20</v>
      </c>
      <c r="H9" s="51" t="s">
        <v>20</v>
      </c>
      <c r="I9" s="51" t="s">
        <v>20</v>
      </c>
      <c r="J9" s="51" t="s">
        <v>19</v>
      </c>
      <c r="K9" s="51" t="s">
        <v>19</v>
      </c>
      <c r="L9" s="51" t="s">
        <v>19</v>
      </c>
      <c r="M9" s="52" t="s">
        <v>20</v>
      </c>
      <c r="N9" s="52" t="s">
        <v>20</v>
      </c>
      <c r="O9" s="52" t="s">
        <v>19</v>
      </c>
      <c r="P9" s="52" t="s">
        <v>19</v>
      </c>
      <c r="Q9" s="51" t="s">
        <v>19</v>
      </c>
      <c r="R9" s="51" t="s">
        <v>20</v>
      </c>
      <c r="S9" s="52" t="s">
        <v>19</v>
      </c>
      <c r="T9" s="51" t="s">
        <v>20</v>
      </c>
      <c r="U9" s="51" t="s">
        <v>19</v>
      </c>
      <c r="V9" s="51" t="s">
        <v>20</v>
      </c>
      <c r="W9" s="51" t="s">
        <v>19</v>
      </c>
      <c r="X9" s="51" t="s">
        <v>19</v>
      </c>
      <c r="Y9" s="52" t="s">
        <v>20</v>
      </c>
      <c r="Z9" s="52" t="s">
        <v>19</v>
      </c>
      <c r="AA9" s="39" t="s">
        <v>20</v>
      </c>
      <c r="AB9" s="39" t="s">
        <v>20</v>
      </c>
      <c r="AC9" s="39" t="s">
        <v>20</v>
      </c>
      <c r="AD9" s="52" t="s">
        <v>19</v>
      </c>
      <c r="AE9" s="52" t="s">
        <v>20</v>
      </c>
    </row>
    <row r="10" spans="1:31" x14ac:dyDescent="0.25">
      <c r="A10" s="81">
        <v>5</v>
      </c>
      <c r="B10" s="89">
        <v>5</v>
      </c>
      <c r="C10" s="90" t="s">
        <v>211</v>
      </c>
      <c r="D10" s="89">
        <v>1</v>
      </c>
      <c r="E10" s="89" t="s">
        <v>19</v>
      </c>
      <c r="F10" s="51" t="s">
        <v>20</v>
      </c>
      <c r="G10" s="51" t="s">
        <v>20</v>
      </c>
      <c r="H10" s="51" t="s">
        <v>20</v>
      </c>
      <c r="I10" s="51" t="s">
        <v>20</v>
      </c>
      <c r="J10" s="51" t="s">
        <v>19</v>
      </c>
      <c r="K10" s="51" t="s">
        <v>19</v>
      </c>
      <c r="L10" s="51" t="s">
        <v>19</v>
      </c>
      <c r="M10" s="52" t="s">
        <v>19</v>
      </c>
      <c r="N10" s="52" t="s">
        <v>20</v>
      </c>
      <c r="O10" s="52" t="s">
        <v>19</v>
      </c>
      <c r="P10" s="52" t="s">
        <v>20</v>
      </c>
      <c r="Q10" s="51" t="s">
        <v>20</v>
      </c>
      <c r="R10" s="51" t="s">
        <v>20</v>
      </c>
      <c r="S10" s="52" t="s">
        <v>19</v>
      </c>
      <c r="T10" s="51" t="s">
        <v>20</v>
      </c>
      <c r="U10" s="51" t="s">
        <v>20</v>
      </c>
      <c r="V10" s="51" t="s">
        <v>19</v>
      </c>
      <c r="W10" s="51" t="s">
        <v>20</v>
      </c>
      <c r="X10" s="51" t="s">
        <v>19</v>
      </c>
      <c r="Y10" s="52" t="s">
        <v>20</v>
      </c>
      <c r="Z10" s="52" t="s">
        <v>19</v>
      </c>
      <c r="AA10" s="39" t="s">
        <v>20</v>
      </c>
      <c r="AB10" s="39" t="s">
        <v>20</v>
      </c>
      <c r="AC10" s="39" t="s">
        <v>21</v>
      </c>
      <c r="AD10" s="52" t="s">
        <v>20</v>
      </c>
      <c r="AE10" s="52" t="s">
        <v>20</v>
      </c>
    </row>
    <row r="11" spans="1:31" x14ac:dyDescent="0.25">
      <c r="A11" s="81">
        <v>6</v>
      </c>
      <c r="B11" s="89">
        <v>6</v>
      </c>
      <c r="C11" s="90" t="s">
        <v>212</v>
      </c>
      <c r="D11" s="89">
        <v>1</v>
      </c>
      <c r="E11" s="89" t="s">
        <v>19</v>
      </c>
      <c r="F11" s="51" t="s">
        <v>19</v>
      </c>
      <c r="G11" s="51" t="s">
        <v>19</v>
      </c>
      <c r="H11" s="51" t="s">
        <v>19</v>
      </c>
      <c r="I11" s="51" t="s">
        <v>19</v>
      </c>
      <c r="J11" s="51" t="s">
        <v>19</v>
      </c>
      <c r="K11" s="51" t="s">
        <v>19</v>
      </c>
      <c r="L11" s="51" t="s">
        <v>19</v>
      </c>
      <c r="M11" s="52" t="s">
        <v>19</v>
      </c>
      <c r="N11" s="52" t="s">
        <v>19</v>
      </c>
      <c r="O11" s="52" t="s">
        <v>19</v>
      </c>
      <c r="P11" s="52" t="s">
        <v>19</v>
      </c>
      <c r="Q11" s="51" t="s">
        <v>20</v>
      </c>
      <c r="R11" s="51" t="s">
        <v>20</v>
      </c>
      <c r="S11" s="52" t="s">
        <v>19</v>
      </c>
      <c r="T11" s="51" t="s">
        <v>20</v>
      </c>
      <c r="U11" s="51" t="s">
        <v>20</v>
      </c>
      <c r="V11" s="51" t="s">
        <v>20</v>
      </c>
      <c r="W11" s="51" t="s">
        <v>19</v>
      </c>
      <c r="X11" s="51" t="s">
        <v>19</v>
      </c>
      <c r="Y11" s="52" t="s">
        <v>19</v>
      </c>
      <c r="Z11" s="52" t="s">
        <v>20</v>
      </c>
      <c r="AA11" s="39" t="s">
        <v>20</v>
      </c>
      <c r="AB11" s="39" t="s">
        <v>20</v>
      </c>
      <c r="AC11" s="39" t="s">
        <v>20</v>
      </c>
      <c r="AD11" s="52" t="s">
        <v>20</v>
      </c>
      <c r="AE11" s="52" t="s">
        <v>20</v>
      </c>
    </row>
    <row r="12" spans="1:31" x14ac:dyDescent="0.25">
      <c r="A12" s="81">
        <v>7</v>
      </c>
      <c r="B12" s="89">
        <v>7</v>
      </c>
      <c r="C12" s="90" t="s">
        <v>213</v>
      </c>
      <c r="D12" s="89">
        <v>1</v>
      </c>
      <c r="E12" s="89" t="s">
        <v>19</v>
      </c>
      <c r="F12" s="51" t="s">
        <v>19</v>
      </c>
      <c r="G12" s="51" t="s">
        <v>19</v>
      </c>
      <c r="H12" s="51" t="s">
        <v>20</v>
      </c>
      <c r="I12" s="51" t="s">
        <v>19</v>
      </c>
      <c r="J12" s="51" t="s">
        <v>19</v>
      </c>
      <c r="K12" s="51" t="s">
        <v>19</v>
      </c>
      <c r="L12" s="51" t="s">
        <v>19</v>
      </c>
      <c r="M12" s="52" t="s">
        <v>19</v>
      </c>
      <c r="N12" s="52" t="s">
        <v>19</v>
      </c>
      <c r="O12" s="52" t="s">
        <v>19</v>
      </c>
      <c r="P12" s="52" t="s">
        <v>19</v>
      </c>
      <c r="Q12" s="51" t="s">
        <v>19</v>
      </c>
      <c r="R12" s="51" t="s">
        <v>19</v>
      </c>
      <c r="S12" s="52" t="s">
        <v>19</v>
      </c>
      <c r="T12" s="51" t="s">
        <v>19</v>
      </c>
      <c r="U12" s="51" t="s">
        <v>20</v>
      </c>
      <c r="V12" s="51" t="s">
        <v>19</v>
      </c>
      <c r="W12" s="51" t="s">
        <v>19</v>
      </c>
      <c r="X12" s="51" t="s">
        <v>19</v>
      </c>
      <c r="Y12" s="52" t="s">
        <v>19</v>
      </c>
      <c r="Z12" s="52" t="s">
        <v>19</v>
      </c>
      <c r="AA12" s="39" t="s">
        <v>19</v>
      </c>
      <c r="AB12" s="39" t="s">
        <v>20</v>
      </c>
      <c r="AC12" s="39" t="s">
        <v>19</v>
      </c>
      <c r="AD12" s="52" t="s">
        <v>20</v>
      </c>
      <c r="AE12" s="52" t="s">
        <v>20</v>
      </c>
    </row>
    <row r="13" spans="1:31" x14ac:dyDescent="0.25">
      <c r="A13" s="81">
        <v>8</v>
      </c>
      <c r="B13" s="89">
        <v>8</v>
      </c>
      <c r="C13" s="90" t="s">
        <v>214</v>
      </c>
      <c r="D13" s="89">
        <v>1</v>
      </c>
      <c r="E13" s="89" t="s">
        <v>19</v>
      </c>
      <c r="F13" s="51" t="s">
        <v>20</v>
      </c>
      <c r="G13" s="51" t="s">
        <v>21</v>
      </c>
      <c r="H13" s="51" t="s">
        <v>20</v>
      </c>
      <c r="I13" s="51" t="s">
        <v>20</v>
      </c>
      <c r="J13" s="51" t="s">
        <v>20</v>
      </c>
      <c r="K13" s="51" t="s">
        <v>20</v>
      </c>
      <c r="L13" s="51" t="s">
        <v>20</v>
      </c>
      <c r="M13" s="52" t="s">
        <v>20</v>
      </c>
      <c r="N13" s="52" t="s">
        <v>20</v>
      </c>
      <c r="O13" s="52" t="s">
        <v>20</v>
      </c>
      <c r="P13" s="52" t="s">
        <v>20</v>
      </c>
      <c r="Q13" s="51" t="s">
        <v>20</v>
      </c>
      <c r="R13" s="51" t="s">
        <v>20</v>
      </c>
      <c r="S13" s="52" t="s">
        <v>21</v>
      </c>
      <c r="T13" s="51" t="s">
        <v>20</v>
      </c>
      <c r="U13" s="51" t="s">
        <v>20</v>
      </c>
      <c r="V13" s="51" t="s">
        <v>19</v>
      </c>
      <c r="W13" s="51" t="s">
        <v>20</v>
      </c>
      <c r="X13" s="51" t="s">
        <v>19</v>
      </c>
      <c r="Y13" s="52" t="s">
        <v>20</v>
      </c>
      <c r="Z13" s="52" t="s">
        <v>20</v>
      </c>
      <c r="AA13" s="39" t="s">
        <v>20</v>
      </c>
      <c r="AB13" s="39" t="s">
        <v>21</v>
      </c>
      <c r="AC13" s="39" t="s">
        <v>21</v>
      </c>
      <c r="AD13" s="52" t="s">
        <v>21</v>
      </c>
      <c r="AE13" s="52" t="s">
        <v>20</v>
      </c>
    </row>
    <row r="14" spans="1:31" x14ac:dyDescent="0.25">
      <c r="A14" s="81">
        <v>9</v>
      </c>
      <c r="B14" s="89">
        <v>9</v>
      </c>
      <c r="C14" s="90" t="s">
        <v>215</v>
      </c>
      <c r="D14" s="89">
        <v>1</v>
      </c>
      <c r="E14" s="89" t="s">
        <v>19</v>
      </c>
      <c r="F14" s="51" t="s">
        <v>20</v>
      </c>
      <c r="G14" s="51" t="s">
        <v>20</v>
      </c>
      <c r="H14" s="51" t="s">
        <v>21</v>
      </c>
      <c r="I14" s="51" t="s">
        <v>20</v>
      </c>
      <c r="J14" s="51" t="s">
        <v>19</v>
      </c>
      <c r="K14" s="51" t="s">
        <v>19</v>
      </c>
      <c r="L14" s="51" t="s">
        <v>19</v>
      </c>
      <c r="M14" s="52" t="s">
        <v>19</v>
      </c>
      <c r="N14" s="52" t="s">
        <v>20</v>
      </c>
      <c r="O14" s="52" t="s">
        <v>19</v>
      </c>
      <c r="P14" s="52" t="s">
        <v>20</v>
      </c>
      <c r="Q14" s="51" t="s">
        <v>20</v>
      </c>
      <c r="R14" s="51" t="s">
        <v>20</v>
      </c>
      <c r="S14" s="52" t="s">
        <v>20</v>
      </c>
      <c r="T14" s="51" t="s">
        <v>19</v>
      </c>
      <c r="U14" s="51" t="s">
        <v>20</v>
      </c>
      <c r="V14" s="51" t="s">
        <v>20</v>
      </c>
      <c r="W14" s="51" t="s">
        <v>19</v>
      </c>
      <c r="X14" s="51" t="s">
        <v>19</v>
      </c>
      <c r="Y14" s="52" t="s">
        <v>20</v>
      </c>
      <c r="Z14" s="52" t="s">
        <v>19</v>
      </c>
      <c r="AA14" s="39" t="s">
        <v>20</v>
      </c>
      <c r="AB14" s="39" t="s">
        <v>20</v>
      </c>
      <c r="AC14" s="39" t="s">
        <v>21</v>
      </c>
      <c r="AD14" s="52" t="s">
        <v>19</v>
      </c>
      <c r="AE14" s="52" t="s">
        <v>20</v>
      </c>
    </row>
    <row r="15" spans="1:31" x14ac:dyDescent="0.25">
      <c r="A15" s="81">
        <v>10</v>
      </c>
      <c r="B15" s="89">
        <v>10</v>
      </c>
      <c r="C15" s="90" t="s">
        <v>216</v>
      </c>
      <c r="D15" s="89">
        <v>1</v>
      </c>
      <c r="E15" s="89" t="s">
        <v>19</v>
      </c>
      <c r="F15" s="51" t="s">
        <v>20</v>
      </c>
      <c r="G15" s="51" t="s">
        <v>20</v>
      </c>
      <c r="H15" s="51" t="s">
        <v>20</v>
      </c>
      <c r="I15" s="51" t="s">
        <v>20</v>
      </c>
      <c r="J15" s="51" t="s">
        <v>20</v>
      </c>
      <c r="K15" s="51" t="s">
        <v>20</v>
      </c>
      <c r="L15" s="51" t="s">
        <v>20</v>
      </c>
      <c r="M15" s="52" t="s">
        <v>20</v>
      </c>
      <c r="N15" s="52" t="s">
        <v>20</v>
      </c>
      <c r="O15" s="52" t="s">
        <v>19</v>
      </c>
      <c r="P15" s="52" t="s">
        <v>20</v>
      </c>
      <c r="Q15" s="51" t="s">
        <v>20</v>
      </c>
      <c r="R15" s="51" t="s">
        <v>20</v>
      </c>
      <c r="S15" s="52" t="s">
        <v>19</v>
      </c>
      <c r="T15" s="51" t="s">
        <v>20</v>
      </c>
      <c r="U15" s="51" t="s">
        <v>20</v>
      </c>
      <c r="V15" s="51" t="s">
        <v>19</v>
      </c>
      <c r="W15" s="51" t="s">
        <v>19</v>
      </c>
      <c r="X15" s="51" t="s">
        <v>19</v>
      </c>
      <c r="Y15" s="52" t="s">
        <v>20</v>
      </c>
      <c r="Z15" s="52" t="s">
        <v>19</v>
      </c>
      <c r="AA15" s="39" t="s">
        <v>20</v>
      </c>
      <c r="AB15" s="39" t="s">
        <v>20</v>
      </c>
      <c r="AC15" s="39" t="s">
        <v>21</v>
      </c>
      <c r="AD15" s="52" t="s">
        <v>20</v>
      </c>
      <c r="AE15" s="52" t="s">
        <v>20</v>
      </c>
    </row>
    <row r="16" spans="1:31" x14ac:dyDescent="0.25">
      <c r="A16" s="81">
        <v>11</v>
      </c>
      <c r="B16" s="89">
        <v>11</v>
      </c>
      <c r="C16" s="90" t="s">
        <v>217</v>
      </c>
      <c r="D16" s="89">
        <v>1</v>
      </c>
      <c r="E16" s="89" t="s">
        <v>19</v>
      </c>
      <c r="F16" s="51" t="s">
        <v>20</v>
      </c>
      <c r="G16" s="51" t="s">
        <v>20</v>
      </c>
      <c r="H16" s="51" t="s">
        <v>20</v>
      </c>
      <c r="I16" s="51" t="s">
        <v>20</v>
      </c>
      <c r="J16" s="51" t="s">
        <v>19</v>
      </c>
      <c r="K16" s="51" t="s">
        <v>19</v>
      </c>
      <c r="L16" s="51" t="s">
        <v>19</v>
      </c>
      <c r="M16" s="52" t="s">
        <v>20</v>
      </c>
      <c r="N16" s="52" t="s">
        <v>20</v>
      </c>
      <c r="O16" s="52" t="s">
        <v>19</v>
      </c>
      <c r="P16" s="52" t="s">
        <v>20</v>
      </c>
      <c r="Q16" s="51" t="s">
        <v>20</v>
      </c>
      <c r="R16" s="51" t="s">
        <v>21</v>
      </c>
      <c r="S16" s="52" t="s">
        <v>20</v>
      </c>
      <c r="T16" s="51" t="s">
        <v>19</v>
      </c>
      <c r="U16" s="51" t="s">
        <v>20</v>
      </c>
      <c r="V16" s="51" t="s">
        <v>19</v>
      </c>
      <c r="W16" s="51" t="s">
        <v>20</v>
      </c>
      <c r="X16" s="51" t="s">
        <v>19</v>
      </c>
      <c r="Y16" s="52" t="s">
        <v>19</v>
      </c>
      <c r="Z16" s="52" t="s">
        <v>19</v>
      </c>
      <c r="AA16" s="39" t="s">
        <v>20</v>
      </c>
      <c r="AB16" s="39" t="s">
        <v>20</v>
      </c>
      <c r="AC16" s="39" t="s">
        <v>21</v>
      </c>
      <c r="AD16" s="52" t="s">
        <v>20</v>
      </c>
      <c r="AE16" s="52" t="s">
        <v>20</v>
      </c>
    </row>
    <row r="17" spans="1:31" x14ac:dyDescent="0.25">
      <c r="A17" s="81">
        <v>12</v>
      </c>
      <c r="B17" s="89">
        <v>12</v>
      </c>
      <c r="C17" s="90" t="s">
        <v>218</v>
      </c>
      <c r="D17" s="89">
        <v>1</v>
      </c>
      <c r="E17" s="89" t="s">
        <v>19</v>
      </c>
      <c r="F17" s="51" t="s">
        <v>20</v>
      </c>
      <c r="G17" s="51" t="s">
        <v>20</v>
      </c>
      <c r="H17" s="51" t="s">
        <v>20</v>
      </c>
      <c r="I17" s="51" t="s">
        <v>21</v>
      </c>
      <c r="J17" s="51" t="s">
        <v>20</v>
      </c>
      <c r="K17" s="51" t="s">
        <v>20</v>
      </c>
      <c r="L17" s="51" t="s">
        <v>20</v>
      </c>
      <c r="M17" s="52" t="s">
        <v>20</v>
      </c>
      <c r="N17" s="52" t="s">
        <v>20</v>
      </c>
      <c r="O17" s="52" t="s">
        <v>20</v>
      </c>
      <c r="P17" s="52" t="s">
        <v>20</v>
      </c>
      <c r="Q17" s="51" t="s">
        <v>20</v>
      </c>
      <c r="R17" s="51" t="s">
        <v>20</v>
      </c>
      <c r="S17" s="52" t="s">
        <v>21</v>
      </c>
      <c r="T17" s="51" t="s">
        <v>21</v>
      </c>
      <c r="U17" s="51" t="s">
        <v>20</v>
      </c>
      <c r="V17" s="51" t="s">
        <v>20</v>
      </c>
      <c r="W17" s="51" t="s">
        <v>20</v>
      </c>
      <c r="X17" s="51" t="s">
        <v>19</v>
      </c>
      <c r="Y17" s="52" t="s">
        <v>19</v>
      </c>
      <c r="Z17" s="52" t="s">
        <v>19</v>
      </c>
      <c r="AA17" s="39" t="s">
        <v>21</v>
      </c>
      <c r="AB17" s="39" t="s">
        <v>21</v>
      </c>
      <c r="AC17" s="39" t="s">
        <v>21</v>
      </c>
      <c r="AD17" s="52" t="s">
        <v>21</v>
      </c>
      <c r="AE17" s="52" t="s">
        <v>20</v>
      </c>
    </row>
    <row r="18" spans="1:31" x14ac:dyDescent="0.25">
      <c r="A18" s="81">
        <v>13</v>
      </c>
      <c r="B18" s="89">
        <v>13</v>
      </c>
      <c r="C18" s="90" t="s">
        <v>219</v>
      </c>
      <c r="D18" s="89">
        <v>1</v>
      </c>
      <c r="E18" s="89" t="s">
        <v>19</v>
      </c>
      <c r="F18" s="51" t="s">
        <v>20</v>
      </c>
      <c r="G18" s="51" t="s">
        <v>20</v>
      </c>
      <c r="H18" s="51" t="s">
        <v>21</v>
      </c>
      <c r="I18" s="51" t="s">
        <v>20</v>
      </c>
      <c r="J18" s="51" t="s">
        <v>20</v>
      </c>
      <c r="K18" s="51" t="s">
        <v>20</v>
      </c>
      <c r="L18" s="51" t="s">
        <v>20</v>
      </c>
      <c r="M18" s="52" t="s">
        <v>20</v>
      </c>
      <c r="N18" s="52" t="s">
        <v>20</v>
      </c>
      <c r="O18" s="52" t="s">
        <v>20</v>
      </c>
      <c r="P18" s="52" t="s">
        <v>20</v>
      </c>
      <c r="Q18" s="51" t="s">
        <v>20</v>
      </c>
      <c r="R18" s="51" t="s">
        <v>20</v>
      </c>
      <c r="S18" s="52" t="s">
        <v>21</v>
      </c>
      <c r="T18" s="51" t="s">
        <v>21</v>
      </c>
      <c r="U18" s="51" t="s">
        <v>20</v>
      </c>
      <c r="V18" s="51" t="s">
        <v>20</v>
      </c>
      <c r="W18" s="51" t="s">
        <v>20</v>
      </c>
      <c r="X18" s="51" t="s">
        <v>19</v>
      </c>
      <c r="Y18" s="52" t="s">
        <v>19</v>
      </c>
      <c r="Z18" s="52" t="s">
        <v>19</v>
      </c>
      <c r="AA18" s="39" t="s">
        <v>20</v>
      </c>
      <c r="AB18" s="39" t="s">
        <v>20</v>
      </c>
      <c r="AC18" s="39" t="s">
        <v>21</v>
      </c>
      <c r="AD18" s="52" t="s">
        <v>20</v>
      </c>
      <c r="AE18" s="52" t="s">
        <v>20</v>
      </c>
    </row>
    <row r="19" spans="1:31" x14ac:dyDescent="0.25">
      <c r="A19" s="81">
        <v>14</v>
      </c>
      <c r="B19" s="89">
        <v>14</v>
      </c>
      <c r="C19" s="90" t="s">
        <v>220</v>
      </c>
      <c r="D19" s="89">
        <v>1</v>
      </c>
      <c r="E19" s="89" t="s">
        <v>19</v>
      </c>
      <c r="F19" s="51" t="s">
        <v>20</v>
      </c>
      <c r="G19" s="51" t="s">
        <v>21</v>
      </c>
      <c r="H19" s="51" t="s">
        <v>20</v>
      </c>
      <c r="I19" s="51" t="s">
        <v>20</v>
      </c>
      <c r="J19" s="51" t="s">
        <v>20</v>
      </c>
      <c r="K19" s="51" t="s">
        <v>20</v>
      </c>
      <c r="L19" s="51" t="s">
        <v>20</v>
      </c>
      <c r="M19" s="52" t="s">
        <v>20</v>
      </c>
      <c r="N19" s="52" t="s">
        <v>20</v>
      </c>
      <c r="O19" s="52" t="s">
        <v>20</v>
      </c>
      <c r="P19" s="52" t="s">
        <v>20</v>
      </c>
      <c r="Q19" s="51" t="s">
        <v>20</v>
      </c>
      <c r="R19" s="51" t="s">
        <v>20</v>
      </c>
      <c r="S19" s="52" t="s">
        <v>21</v>
      </c>
      <c r="T19" s="51" t="s">
        <v>21</v>
      </c>
      <c r="U19" s="51" t="s">
        <v>20</v>
      </c>
      <c r="V19" s="51" t="s">
        <v>19</v>
      </c>
      <c r="W19" s="51" t="s">
        <v>20</v>
      </c>
      <c r="X19" s="51" t="s">
        <v>19</v>
      </c>
      <c r="Y19" s="52" t="s">
        <v>20</v>
      </c>
      <c r="Z19" s="52" t="s">
        <v>19</v>
      </c>
      <c r="AA19" s="39" t="s">
        <v>20</v>
      </c>
      <c r="AB19" s="39" t="s">
        <v>21</v>
      </c>
      <c r="AC19" s="39" t="s">
        <v>21</v>
      </c>
      <c r="AD19" s="52" t="s">
        <v>20</v>
      </c>
      <c r="AE19" s="52" t="s">
        <v>20</v>
      </c>
    </row>
    <row r="20" spans="1:31" x14ac:dyDescent="0.25">
      <c r="A20" s="81">
        <v>15</v>
      </c>
      <c r="B20" s="89">
        <v>15</v>
      </c>
      <c r="C20" s="90" t="s">
        <v>221</v>
      </c>
      <c r="D20" s="89">
        <v>1</v>
      </c>
      <c r="E20" s="89" t="s">
        <v>19</v>
      </c>
      <c r="F20" s="51" t="s">
        <v>20</v>
      </c>
      <c r="G20" s="51" t="s">
        <v>20</v>
      </c>
      <c r="H20" s="51" t="s">
        <v>20</v>
      </c>
      <c r="I20" s="51" t="s">
        <v>20</v>
      </c>
      <c r="J20" s="51" t="s">
        <v>20</v>
      </c>
      <c r="K20" s="51" t="s">
        <v>20</v>
      </c>
      <c r="L20" s="51" t="s">
        <v>20</v>
      </c>
      <c r="M20" s="52" t="s">
        <v>19</v>
      </c>
      <c r="N20" s="52" t="s">
        <v>20</v>
      </c>
      <c r="O20" s="52" t="s">
        <v>19</v>
      </c>
      <c r="P20" s="52" t="s">
        <v>20</v>
      </c>
      <c r="Q20" s="51" t="s">
        <v>20</v>
      </c>
      <c r="R20" s="51" t="s">
        <v>20</v>
      </c>
      <c r="S20" s="52" t="s">
        <v>19</v>
      </c>
      <c r="T20" s="51" t="s">
        <v>20</v>
      </c>
      <c r="U20" s="51" t="s">
        <v>20</v>
      </c>
      <c r="V20" s="51" t="s">
        <v>20</v>
      </c>
      <c r="W20" s="51" t="s">
        <v>19</v>
      </c>
      <c r="X20" s="51" t="s">
        <v>19</v>
      </c>
      <c r="Y20" s="52" t="s">
        <v>19</v>
      </c>
      <c r="Z20" s="52" t="s">
        <v>19</v>
      </c>
      <c r="AA20" s="39" t="s">
        <v>20</v>
      </c>
      <c r="AB20" s="39" t="s">
        <v>20</v>
      </c>
      <c r="AC20" s="39" t="s">
        <v>21</v>
      </c>
      <c r="AD20" s="52" t="s">
        <v>19</v>
      </c>
      <c r="AE20" s="52" t="s">
        <v>20</v>
      </c>
    </row>
    <row r="21" spans="1:31" x14ac:dyDescent="0.25">
      <c r="A21" s="81">
        <v>16</v>
      </c>
      <c r="B21" s="89">
        <v>16</v>
      </c>
      <c r="C21" s="90" t="s">
        <v>222</v>
      </c>
      <c r="D21" s="89">
        <v>1</v>
      </c>
      <c r="E21" s="89" t="s">
        <v>19</v>
      </c>
      <c r="F21" s="51" t="s">
        <v>20</v>
      </c>
      <c r="G21" s="51" t="s">
        <v>20</v>
      </c>
      <c r="H21" s="51" t="s">
        <v>20</v>
      </c>
      <c r="I21" s="51" t="s">
        <v>20</v>
      </c>
      <c r="J21" s="51" t="s">
        <v>19</v>
      </c>
      <c r="K21" s="51" t="s">
        <v>19</v>
      </c>
      <c r="L21" s="51" t="s">
        <v>19</v>
      </c>
      <c r="M21" s="52" t="s">
        <v>19</v>
      </c>
      <c r="N21" s="52" t="s">
        <v>19</v>
      </c>
      <c r="O21" s="52" t="s">
        <v>19</v>
      </c>
      <c r="P21" s="52" t="s">
        <v>19</v>
      </c>
      <c r="Q21" s="51" t="s">
        <v>19</v>
      </c>
      <c r="R21" s="51" t="s">
        <v>19</v>
      </c>
      <c r="S21" s="52" t="s">
        <v>19</v>
      </c>
      <c r="T21" s="51" t="s">
        <v>19</v>
      </c>
      <c r="U21" s="51" t="s">
        <v>19</v>
      </c>
      <c r="V21" s="51" t="s">
        <v>19</v>
      </c>
      <c r="W21" s="51" t="s">
        <v>19</v>
      </c>
      <c r="X21" s="51" t="s">
        <v>19</v>
      </c>
      <c r="Y21" s="52" t="s">
        <v>19</v>
      </c>
      <c r="Z21" s="52" t="s">
        <v>19</v>
      </c>
      <c r="AA21" s="39" t="s">
        <v>19</v>
      </c>
      <c r="AB21" s="39" t="s">
        <v>20</v>
      </c>
      <c r="AC21" s="39" t="s">
        <v>19</v>
      </c>
      <c r="AD21" s="52" t="s">
        <v>19</v>
      </c>
      <c r="AE21" s="52" t="s">
        <v>20</v>
      </c>
    </row>
    <row r="22" spans="1:31" ht="15.75" customHeight="1" x14ac:dyDescent="0.25">
      <c r="A22" s="81">
        <v>17</v>
      </c>
      <c r="B22" s="89">
        <v>17</v>
      </c>
      <c r="C22" s="90" t="s">
        <v>223</v>
      </c>
      <c r="D22" s="89">
        <v>1</v>
      </c>
      <c r="E22" s="89" t="s">
        <v>19</v>
      </c>
      <c r="F22" s="51" t="s">
        <v>19</v>
      </c>
      <c r="G22" s="51" t="s">
        <v>19</v>
      </c>
      <c r="H22" s="51" t="s">
        <v>20</v>
      </c>
      <c r="I22" s="51" t="s">
        <v>19</v>
      </c>
      <c r="J22" s="51" t="s">
        <v>19</v>
      </c>
      <c r="K22" s="51" t="s">
        <v>19</v>
      </c>
      <c r="L22" s="51" t="s">
        <v>19</v>
      </c>
      <c r="M22" s="52" t="s">
        <v>19</v>
      </c>
      <c r="N22" s="52" t="s">
        <v>20</v>
      </c>
      <c r="O22" s="52" t="s">
        <v>19</v>
      </c>
      <c r="P22" s="52" t="s">
        <v>19</v>
      </c>
      <c r="Q22" s="51" t="s">
        <v>19</v>
      </c>
      <c r="R22" s="51" t="s">
        <v>20</v>
      </c>
      <c r="S22" s="52" t="s">
        <v>19</v>
      </c>
      <c r="T22" s="51" t="s">
        <v>19</v>
      </c>
      <c r="U22" s="51" t="s">
        <v>19</v>
      </c>
      <c r="V22" s="51" t="s">
        <v>19</v>
      </c>
      <c r="W22" s="51" t="s">
        <v>19</v>
      </c>
      <c r="X22" s="51" t="s">
        <v>19</v>
      </c>
      <c r="Y22" s="52" t="s">
        <v>19</v>
      </c>
      <c r="Z22" s="52" t="s">
        <v>19</v>
      </c>
      <c r="AA22" s="39" t="s">
        <v>19</v>
      </c>
      <c r="AB22" s="39" t="s">
        <v>22</v>
      </c>
      <c r="AC22" s="39" t="s">
        <v>19</v>
      </c>
      <c r="AD22" s="52" t="s">
        <v>19</v>
      </c>
      <c r="AE22" s="52" t="s">
        <v>20</v>
      </c>
    </row>
    <row r="23" spans="1:31" ht="15.75" customHeight="1" thickBot="1" x14ac:dyDescent="0.3">
      <c r="A23" s="81">
        <v>18</v>
      </c>
      <c r="B23" s="91">
        <v>18</v>
      </c>
      <c r="C23" s="92" t="s">
        <v>224</v>
      </c>
      <c r="D23" s="91">
        <v>1</v>
      </c>
      <c r="E23" s="91" t="s">
        <v>19</v>
      </c>
      <c r="F23" s="87" t="s">
        <v>20</v>
      </c>
      <c r="G23" s="87" t="s">
        <v>20</v>
      </c>
      <c r="H23" s="87" t="s">
        <v>20</v>
      </c>
      <c r="I23" s="87" t="s">
        <v>20</v>
      </c>
      <c r="J23" s="87" t="s">
        <v>20</v>
      </c>
      <c r="K23" s="87" t="s">
        <v>20</v>
      </c>
      <c r="L23" s="87" t="s">
        <v>20</v>
      </c>
      <c r="M23" s="88" t="s">
        <v>20</v>
      </c>
      <c r="N23" s="88" t="s">
        <v>20</v>
      </c>
      <c r="O23" s="88" t="s">
        <v>19</v>
      </c>
      <c r="P23" s="88" t="s">
        <v>20</v>
      </c>
      <c r="Q23" s="87" t="s">
        <v>20</v>
      </c>
      <c r="R23" s="87" t="s">
        <v>20</v>
      </c>
      <c r="S23" s="88" t="s">
        <v>21</v>
      </c>
      <c r="T23" s="87" t="s">
        <v>21</v>
      </c>
      <c r="U23" s="87" t="s">
        <v>19</v>
      </c>
      <c r="V23" s="87" t="s">
        <v>20</v>
      </c>
      <c r="W23" s="87" t="s">
        <v>19</v>
      </c>
      <c r="X23" s="87" t="s">
        <v>19</v>
      </c>
      <c r="Y23" s="88" t="s">
        <v>19</v>
      </c>
      <c r="Z23" s="88" t="s">
        <v>19</v>
      </c>
      <c r="AA23" s="41" t="s">
        <v>20</v>
      </c>
      <c r="AB23" s="41" t="s">
        <v>20</v>
      </c>
      <c r="AC23" s="41" t="s">
        <v>21</v>
      </c>
      <c r="AD23" s="88" t="s">
        <v>20</v>
      </c>
      <c r="AE23" s="88" t="s">
        <v>20</v>
      </c>
    </row>
    <row r="24" spans="1:31" ht="15.75" customHeight="1" x14ac:dyDescent="0.25">
      <c r="A24" s="81">
        <v>19</v>
      </c>
      <c r="B24" s="82">
        <v>1</v>
      </c>
      <c r="C24" s="40" t="s">
        <v>225</v>
      </c>
      <c r="D24" s="82">
        <v>1</v>
      </c>
      <c r="E24" s="82" t="s">
        <v>20</v>
      </c>
      <c r="F24" s="83" t="s">
        <v>22</v>
      </c>
      <c r="G24" s="83" t="s">
        <v>19</v>
      </c>
      <c r="H24" s="83" t="s">
        <v>19</v>
      </c>
      <c r="I24" s="83" t="s">
        <v>19</v>
      </c>
      <c r="J24" s="83" t="s">
        <v>19</v>
      </c>
      <c r="K24" s="83" t="s">
        <v>19</v>
      </c>
      <c r="L24" s="83" t="s">
        <v>19</v>
      </c>
      <c r="M24" s="84" t="s">
        <v>19</v>
      </c>
      <c r="N24" s="84" t="s">
        <v>19</v>
      </c>
      <c r="O24" s="84" t="s">
        <v>19</v>
      </c>
      <c r="P24" s="84" t="s">
        <v>19</v>
      </c>
      <c r="Q24" s="83" t="s">
        <v>19</v>
      </c>
      <c r="R24" s="83" t="s">
        <v>19</v>
      </c>
      <c r="S24" s="84" t="s">
        <v>19</v>
      </c>
      <c r="T24" s="83" t="s">
        <v>19</v>
      </c>
      <c r="U24" s="83" t="s">
        <v>19</v>
      </c>
      <c r="V24" s="83" t="s">
        <v>19</v>
      </c>
      <c r="W24" s="83" t="s">
        <v>19</v>
      </c>
      <c r="X24" s="83" t="s">
        <v>19</v>
      </c>
      <c r="Y24" s="84" t="s">
        <v>19</v>
      </c>
      <c r="Z24" s="84" t="s">
        <v>19</v>
      </c>
      <c r="AA24" s="85" t="s">
        <v>19</v>
      </c>
      <c r="AB24" s="85" t="s">
        <v>19</v>
      </c>
      <c r="AC24" s="86" t="s">
        <v>19</v>
      </c>
      <c r="AD24" s="84" t="s">
        <v>19</v>
      </c>
      <c r="AE24" s="84" t="s">
        <v>20</v>
      </c>
    </row>
    <row r="25" spans="1:31" ht="15.75" customHeight="1" x14ac:dyDescent="0.25">
      <c r="A25" s="81">
        <v>20</v>
      </c>
      <c r="B25" s="20">
        <v>2</v>
      </c>
      <c r="C25" s="37" t="s">
        <v>226</v>
      </c>
      <c r="D25" s="20">
        <v>1</v>
      </c>
      <c r="E25" s="20" t="s">
        <v>20</v>
      </c>
      <c r="F25" s="51" t="s">
        <v>20</v>
      </c>
      <c r="G25" s="51" t="s">
        <v>20</v>
      </c>
      <c r="H25" s="51" t="s">
        <v>20</v>
      </c>
      <c r="I25" s="51" t="s">
        <v>20</v>
      </c>
      <c r="J25" s="51" t="s">
        <v>19</v>
      </c>
      <c r="K25" s="51" t="s">
        <v>20</v>
      </c>
      <c r="L25" s="51" t="s">
        <v>20</v>
      </c>
      <c r="M25" s="52" t="s">
        <v>19</v>
      </c>
      <c r="N25" s="52" t="s">
        <v>19</v>
      </c>
      <c r="O25" s="52" t="s">
        <v>19</v>
      </c>
      <c r="P25" s="52" t="s">
        <v>19</v>
      </c>
      <c r="Q25" s="51" t="s">
        <v>19</v>
      </c>
      <c r="R25" s="51" t="s">
        <v>20</v>
      </c>
      <c r="S25" s="52" t="s">
        <v>19</v>
      </c>
      <c r="T25" s="51" t="s">
        <v>19</v>
      </c>
      <c r="U25" s="51" t="s">
        <v>20</v>
      </c>
      <c r="V25" s="51" t="s">
        <v>19</v>
      </c>
      <c r="W25" s="51" t="s">
        <v>19</v>
      </c>
      <c r="X25" s="51" t="s">
        <v>19</v>
      </c>
      <c r="Y25" s="52" t="s">
        <v>19</v>
      </c>
      <c r="Z25" s="52" t="s">
        <v>19</v>
      </c>
      <c r="AA25" s="61" t="s">
        <v>19</v>
      </c>
      <c r="AB25" s="61" t="s">
        <v>20</v>
      </c>
      <c r="AC25" s="39" t="s">
        <v>19</v>
      </c>
      <c r="AD25" s="52" t="s">
        <v>19</v>
      </c>
      <c r="AE25" s="52" t="s">
        <v>20</v>
      </c>
    </row>
    <row r="26" spans="1:31" ht="15.75" customHeight="1" x14ac:dyDescent="0.25">
      <c r="A26" s="81">
        <v>21</v>
      </c>
      <c r="B26" s="20">
        <v>3</v>
      </c>
      <c r="C26" s="37" t="s">
        <v>227</v>
      </c>
      <c r="D26" s="20">
        <v>1</v>
      </c>
      <c r="E26" s="20" t="s">
        <v>20</v>
      </c>
      <c r="F26" s="51" t="s">
        <v>20</v>
      </c>
      <c r="G26" s="51" t="s">
        <v>19</v>
      </c>
      <c r="H26" s="51" t="s">
        <v>20</v>
      </c>
      <c r="I26" s="51" t="s">
        <v>20</v>
      </c>
      <c r="J26" s="51" t="s">
        <v>20</v>
      </c>
      <c r="K26" s="51" t="s">
        <v>19</v>
      </c>
      <c r="L26" s="51" t="s">
        <v>20</v>
      </c>
      <c r="M26" s="52" t="s">
        <v>19</v>
      </c>
      <c r="N26" s="52" t="s">
        <v>19</v>
      </c>
      <c r="O26" s="52" t="s">
        <v>19</v>
      </c>
      <c r="P26" s="52" t="s">
        <v>19</v>
      </c>
      <c r="Q26" s="51" t="s">
        <v>20</v>
      </c>
      <c r="R26" s="51" t="s">
        <v>20</v>
      </c>
      <c r="S26" s="52" t="s">
        <v>19</v>
      </c>
      <c r="T26" s="51" t="s">
        <v>19</v>
      </c>
      <c r="U26" s="51" t="s">
        <v>20</v>
      </c>
      <c r="V26" s="51" t="s">
        <v>19</v>
      </c>
      <c r="W26" s="51" t="s">
        <v>19</v>
      </c>
      <c r="X26" s="51" t="s">
        <v>19</v>
      </c>
      <c r="Y26" s="52" t="s">
        <v>19</v>
      </c>
      <c r="Z26" s="52" t="s">
        <v>19</v>
      </c>
      <c r="AA26" s="61" t="s">
        <v>19</v>
      </c>
      <c r="AB26" s="61" t="s">
        <v>20</v>
      </c>
      <c r="AC26" s="39" t="s">
        <v>20</v>
      </c>
      <c r="AD26" s="52" t="s">
        <v>19</v>
      </c>
      <c r="AE26" s="52" t="s">
        <v>20</v>
      </c>
    </row>
    <row r="27" spans="1:31" ht="15.75" customHeight="1" x14ac:dyDescent="0.25">
      <c r="A27" s="81">
        <v>22</v>
      </c>
      <c r="B27" s="20">
        <v>4</v>
      </c>
      <c r="C27" s="37" t="s">
        <v>228</v>
      </c>
      <c r="D27" s="20">
        <v>1</v>
      </c>
      <c r="E27" s="20" t="s">
        <v>20</v>
      </c>
      <c r="F27" s="51" t="s">
        <v>19</v>
      </c>
      <c r="G27" s="51" t="s">
        <v>19</v>
      </c>
      <c r="H27" s="51" t="s">
        <v>19</v>
      </c>
      <c r="I27" s="51" t="s">
        <v>19</v>
      </c>
      <c r="J27" s="51" t="s">
        <v>20</v>
      </c>
      <c r="K27" s="51" t="s">
        <v>20</v>
      </c>
      <c r="L27" s="51" t="s">
        <v>20</v>
      </c>
      <c r="M27" s="51" t="s">
        <v>20</v>
      </c>
      <c r="N27" s="51" t="s">
        <v>19</v>
      </c>
      <c r="O27" s="51" t="s">
        <v>19</v>
      </c>
      <c r="P27" s="51" t="s">
        <v>20</v>
      </c>
      <c r="Q27" s="51" t="s">
        <v>20</v>
      </c>
      <c r="R27" s="51" t="s">
        <v>20</v>
      </c>
      <c r="S27" s="51" t="s">
        <v>19</v>
      </c>
      <c r="T27" s="51" t="s">
        <v>19</v>
      </c>
      <c r="U27" s="51" t="s">
        <v>20</v>
      </c>
      <c r="V27" s="51" t="s">
        <v>19</v>
      </c>
      <c r="W27" s="51" t="s">
        <v>19</v>
      </c>
      <c r="X27" s="51" t="s">
        <v>19</v>
      </c>
      <c r="Y27" s="52" t="s">
        <v>20</v>
      </c>
      <c r="Z27" s="51" t="s">
        <v>19</v>
      </c>
      <c r="AA27" s="61" t="s">
        <v>20</v>
      </c>
      <c r="AB27" s="61" t="s">
        <v>20</v>
      </c>
      <c r="AC27" s="39" t="s">
        <v>20</v>
      </c>
      <c r="AD27" s="53" t="s">
        <v>20</v>
      </c>
      <c r="AE27" s="53" t="s">
        <v>20</v>
      </c>
    </row>
    <row r="28" spans="1:31" ht="15.75" customHeight="1" x14ac:dyDescent="0.25">
      <c r="A28" s="81">
        <v>23</v>
      </c>
      <c r="B28" s="20">
        <v>5</v>
      </c>
      <c r="C28" s="37" t="s">
        <v>229</v>
      </c>
      <c r="D28" s="20">
        <v>1</v>
      </c>
      <c r="E28" s="20" t="s">
        <v>20</v>
      </c>
      <c r="F28" s="51" t="s">
        <v>20</v>
      </c>
      <c r="G28" s="51" t="s">
        <v>20</v>
      </c>
      <c r="H28" s="51" t="s">
        <v>19</v>
      </c>
      <c r="I28" s="51" t="s">
        <v>20</v>
      </c>
      <c r="J28" s="51" t="s">
        <v>20</v>
      </c>
      <c r="K28" s="51" t="s">
        <v>20</v>
      </c>
      <c r="L28" s="51" t="s">
        <v>20</v>
      </c>
      <c r="M28" s="51" t="s">
        <v>19</v>
      </c>
      <c r="N28" s="51" t="s">
        <v>20</v>
      </c>
      <c r="O28" s="51" t="s">
        <v>19</v>
      </c>
      <c r="P28" s="51" t="s">
        <v>20</v>
      </c>
      <c r="Q28" s="51" t="s">
        <v>20</v>
      </c>
      <c r="R28" s="51" t="s">
        <v>20</v>
      </c>
      <c r="S28" s="51" t="s">
        <v>19</v>
      </c>
      <c r="T28" s="51" t="s">
        <v>19</v>
      </c>
      <c r="U28" s="51" t="s">
        <v>20</v>
      </c>
      <c r="V28" s="51" t="s">
        <v>19</v>
      </c>
      <c r="W28" s="51" t="s">
        <v>19</v>
      </c>
      <c r="X28" s="51" t="s">
        <v>19</v>
      </c>
      <c r="Y28" s="52" t="s">
        <v>20</v>
      </c>
      <c r="Z28" s="51" t="s">
        <v>19</v>
      </c>
      <c r="AA28" s="61" t="s">
        <v>19</v>
      </c>
      <c r="AB28" s="61" t="s">
        <v>19</v>
      </c>
      <c r="AC28" s="39" t="s">
        <v>20</v>
      </c>
      <c r="AD28" s="53" t="s">
        <v>20</v>
      </c>
      <c r="AE28" s="53" t="s">
        <v>20</v>
      </c>
    </row>
    <row r="29" spans="1:31" ht="15.75" customHeight="1" x14ac:dyDescent="0.25">
      <c r="A29" s="81">
        <v>24</v>
      </c>
      <c r="B29" s="20">
        <v>6</v>
      </c>
      <c r="C29" s="37" t="s">
        <v>230</v>
      </c>
      <c r="D29" s="20">
        <v>1</v>
      </c>
      <c r="E29" s="20" t="s">
        <v>20</v>
      </c>
      <c r="F29" s="51" t="s">
        <v>19</v>
      </c>
      <c r="G29" s="51" t="s">
        <v>19</v>
      </c>
      <c r="H29" s="51" t="s">
        <v>20</v>
      </c>
      <c r="I29" s="51" t="s">
        <v>19</v>
      </c>
      <c r="J29" s="51" t="s">
        <v>20</v>
      </c>
      <c r="K29" s="51" t="s">
        <v>19</v>
      </c>
      <c r="L29" s="51" t="s">
        <v>20</v>
      </c>
      <c r="M29" s="51" t="s">
        <v>19</v>
      </c>
      <c r="N29" s="51" t="s">
        <v>20</v>
      </c>
      <c r="O29" s="51" t="s">
        <v>19</v>
      </c>
      <c r="P29" s="51" t="s">
        <v>20</v>
      </c>
      <c r="Q29" s="51" t="s">
        <v>20</v>
      </c>
      <c r="R29" s="51" t="s">
        <v>20</v>
      </c>
      <c r="S29" s="51" t="s">
        <v>20</v>
      </c>
      <c r="T29" s="51" t="s">
        <v>19</v>
      </c>
      <c r="U29" s="51" t="s">
        <v>20</v>
      </c>
      <c r="V29" s="51" t="s">
        <v>19</v>
      </c>
      <c r="W29" s="51" t="s">
        <v>19</v>
      </c>
      <c r="X29" s="51" t="s">
        <v>19</v>
      </c>
      <c r="Y29" s="52" t="s">
        <v>19</v>
      </c>
      <c r="Z29" s="51" t="s">
        <v>19</v>
      </c>
      <c r="AA29" s="61" t="s">
        <v>19</v>
      </c>
      <c r="AB29" s="61" t="s">
        <v>19</v>
      </c>
      <c r="AC29" s="39" t="s">
        <v>19</v>
      </c>
      <c r="AD29" s="53" t="s">
        <v>20</v>
      </c>
      <c r="AE29" s="53" t="s">
        <v>20</v>
      </c>
    </row>
    <row r="30" spans="1:31" ht="15.75" customHeight="1" x14ac:dyDescent="0.25">
      <c r="A30" s="81">
        <v>25</v>
      </c>
      <c r="B30" s="20">
        <v>7</v>
      </c>
      <c r="C30" s="37" t="s">
        <v>231</v>
      </c>
      <c r="D30" s="20">
        <v>1</v>
      </c>
      <c r="E30" s="20" t="s">
        <v>20</v>
      </c>
      <c r="F30" s="51" t="s">
        <v>20</v>
      </c>
      <c r="G30" s="51" t="s">
        <v>20</v>
      </c>
      <c r="H30" s="51" t="s">
        <v>19</v>
      </c>
      <c r="I30" s="51" t="s">
        <v>20</v>
      </c>
      <c r="J30" s="51" t="s">
        <v>19</v>
      </c>
      <c r="K30" s="51" t="s">
        <v>19</v>
      </c>
      <c r="L30" s="51" t="s">
        <v>20</v>
      </c>
      <c r="M30" s="51" t="s">
        <v>19</v>
      </c>
      <c r="N30" s="51" t="s">
        <v>20</v>
      </c>
      <c r="O30" s="51" t="s">
        <v>19</v>
      </c>
      <c r="P30" s="51" t="s">
        <v>19</v>
      </c>
      <c r="Q30" s="51" t="s">
        <v>20</v>
      </c>
      <c r="R30" s="51" t="s">
        <v>19</v>
      </c>
      <c r="S30" s="51" t="s">
        <v>19</v>
      </c>
      <c r="T30" s="51" t="s">
        <v>19</v>
      </c>
      <c r="U30" s="51" t="s">
        <v>20</v>
      </c>
      <c r="V30" s="51" t="s">
        <v>19</v>
      </c>
      <c r="W30" s="51" t="s">
        <v>19</v>
      </c>
      <c r="X30" s="51" t="s">
        <v>20</v>
      </c>
      <c r="Y30" s="52" t="s">
        <v>19</v>
      </c>
      <c r="Z30" s="51" t="s">
        <v>19</v>
      </c>
      <c r="AA30" s="61" t="s">
        <v>19</v>
      </c>
      <c r="AB30" s="61" t="s">
        <v>19</v>
      </c>
      <c r="AC30" s="39" t="s">
        <v>19</v>
      </c>
      <c r="AD30" s="53" t="s">
        <v>20</v>
      </c>
      <c r="AE30" s="53" t="s">
        <v>20</v>
      </c>
    </row>
    <row r="31" spans="1:31" ht="15.75" customHeight="1" x14ac:dyDescent="0.25">
      <c r="A31" s="81">
        <v>26</v>
      </c>
      <c r="B31" s="20">
        <v>8</v>
      </c>
      <c r="C31" s="37" t="s">
        <v>232</v>
      </c>
      <c r="D31" s="20">
        <v>1</v>
      </c>
      <c r="E31" s="20" t="s">
        <v>20</v>
      </c>
      <c r="F31" s="51" t="s">
        <v>19</v>
      </c>
      <c r="G31" s="51" t="s">
        <v>20</v>
      </c>
      <c r="H31" s="51" t="s">
        <v>20</v>
      </c>
      <c r="I31" s="51" t="s">
        <v>20</v>
      </c>
      <c r="J31" s="51" t="s">
        <v>19</v>
      </c>
      <c r="K31" s="51" t="s">
        <v>20</v>
      </c>
      <c r="L31" s="51" t="s">
        <v>20</v>
      </c>
      <c r="M31" s="51" t="s">
        <v>19</v>
      </c>
      <c r="N31" s="51" t="s">
        <v>20</v>
      </c>
      <c r="O31" s="51" t="s">
        <v>20</v>
      </c>
      <c r="P31" s="51" t="s">
        <v>20</v>
      </c>
      <c r="Q31" s="51" t="s">
        <v>20</v>
      </c>
      <c r="R31" s="51" t="s">
        <v>20</v>
      </c>
      <c r="S31" s="51" t="s">
        <v>19</v>
      </c>
      <c r="T31" s="51" t="s">
        <v>19</v>
      </c>
      <c r="U31" s="51" t="s">
        <v>19</v>
      </c>
      <c r="V31" s="51" t="s">
        <v>20</v>
      </c>
      <c r="W31" s="51" t="s">
        <v>19</v>
      </c>
      <c r="X31" s="51" t="s">
        <v>20</v>
      </c>
      <c r="Y31" s="52" t="s">
        <v>20</v>
      </c>
      <c r="Z31" s="51" t="s">
        <v>19</v>
      </c>
      <c r="AA31" s="61" t="s">
        <v>19</v>
      </c>
      <c r="AB31" s="61" t="s">
        <v>19</v>
      </c>
      <c r="AC31" s="39" t="s">
        <v>19</v>
      </c>
      <c r="AD31" s="53" t="s">
        <v>19</v>
      </c>
      <c r="AE31" s="53" t="s">
        <v>20</v>
      </c>
    </row>
    <row r="32" spans="1:31" ht="15.75" customHeight="1" x14ac:dyDescent="0.25">
      <c r="A32" s="81">
        <v>27</v>
      </c>
      <c r="B32" s="20">
        <v>9</v>
      </c>
      <c r="C32" s="37" t="s">
        <v>233</v>
      </c>
      <c r="D32" s="20">
        <v>1</v>
      </c>
      <c r="E32" s="20" t="s">
        <v>20</v>
      </c>
      <c r="F32" s="51" t="s">
        <v>19</v>
      </c>
      <c r="G32" s="51" t="s">
        <v>20</v>
      </c>
      <c r="H32" s="51" t="s">
        <v>20</v>
      </c>
      <c r="I32" s="51" t="s">
        <v>20</v>
      </c>
      <c r="J32" s="51" t="s">
        <v>20</v>
      </c>
      <c r="K32" s="51" t="s">
        <v>20</v>
      </c>
      <c r="L32" s="51" t="s">
        <v>19</v>
      </c>
      <c r="M32" s="51" t="s">
        <v>19</v>
      </c>
      <c r="N32" s="51" t="s">
        <v>19</v>
      </c>
      <c r="O32" s="51" t="s">
        <v>19</v>
      </c>
      <c r="P32" s="51" t="s">
        <v>19</v>
      </c>
      <c r="Q32" s="51" t="s">
        <v>19</v>
      </c>
      <c r="R32" s="51" t="s">
        <v>19</v>
      </c>
      <c r="S32" s="51" t="s">
        <v>19</v>
      </c>
      <c r="T32" s="51" t="s">
        <v>19</v>
      </c>
      <c r="U32" s="51" t="s">
        <v>20</v>
      </c>
      <c r="V32" s="51" t="s">
        <v>19</v>
      </c>
      <c r="W32" s="51" t="s">
        <v>19</v>
      </c>
      <c r="X32" s="51" t="s">
        <v>19</v>
      </c>
      <c r="Y32" s="52" t="s">
        <v>19</v>
      </c>
      <c r="Z32" s="51" t="s">
        <v>19</v>
      </c>
      <c r="AA32" s="61" t="s">
        <v>20</v>
      </c>
      <c r="AB32" s="61" t="s">
        <v>20</v>
      </c>
      <c r="AC32" s="39" t="s">
        <v>20</v>
      </c>
      <c r="AD32" s="53" t="s">
        <v>20</v>
      </c>
      <c r="AE32" s="53" t="s">
        <v>20</v>
      </c>
    </row>
    <row r="33" spans="1:31" ht="15.75" customHeight="1" x14ac:dyDescent="0.25">
      <c r="A33" s="81">
        <v>28</v>
      </c>
      <c r="B33" s="20">
        <v>10</v>
      </c>
      <c r="C33" s="37" t="s">
        <v>234</v>
      </c>
      <c r="D33" s="20">
        <v>1</v>
      </c>
      <c r="E33" s="20" t="s">
        <v>20</v>
      </c>
      <c r="F33" s="51" t="s">
        <v>19</v>
      </c>
      <c r="G33" s="51" t="s">
        <v>20</v>
      </c>
      <c r="H33" s="51" t="s">
        <v>19</v>
      </c>
      <c r="I33" s="51" t="s">
        <v>20</v>
      </c>
      <c r="J33" s="51" t="s">
        <v>20</v>
      </c>
      <c r="K33" s="51" t="s">
        <v>20</v>
      </c>
      <c r="L33" s="51" t="s">
        <v>20</v>
      </c>
      <c r="M33" s="51" t="s">
        <v>19</v>
      </c>
      <c r="N33" s="51" t="s">
        <v>19</v>
      </c>
      <c r="O33" s="51" t="s">
        <v>19</v>
      </c>
      <c r="P33" s="51" t="s">
        <v>20</v>
      </c>
      <c r="Q33" s="51" t="s">
        <v>19</v>
      </c>
      <c r="R33" s="51" t="s">
        <v>20</v>
      </c>
      <c r="S33" s="51" t="s">
        <v>19</v>
      </c>
      <c r="T33" s="51" t="s">
        <v>19</v>
      </c>
      <c r="U33" s="51" t="s">
        <v>19</v>
      </c>
      <c r="V33" s="51" t="s">
        <v>19</v>
      </c>
      <c r="W33" s="51" t="s">
        <v>19</v>
      </c>
      <c r="X33" s="51" t="s">
        <v>19</v>
      </c>
      <c r="Y33" s="52" t="s">
        <v>19</v>
      </c>
      <c r="Z33" s="51" t="s">
        <v>19</v>
      </c>
      <c r="AA33" s="61" t="s">
        <v>20</v>
      </c>
      <c r="AB33" s="61" t="s">
        <v>20</v>
      </c>
      <c r="AC33" s="39" t="s">
        <v>19</v>
      </c>
      <c r="AD33" s="53" t="s">
        <v>19</v>
      </c>
      <c r="AE33" s="53" t="s">
        <v>20</v>
      </c>
    </row>
    <row r="34" spans="1:31" ht="15.75" customHeight="1" x14ac:dyDescent="0.25">
      <c r="A34" s="81">
        <v>29</v>
      </c>
      <c r="B34" s="20">
        <v>11</v>
      </c>
      <c r="C34" s="37" t="s">
        <v>235</v>
      </c>
      <c r="D34" s="20">
        <v>1</v>
      </c>
      <c r="E34" s="20" t="s">
        <v>20</v>
      </c>
      <c r="F34" s="51" t="s">
        <v>22</v>
      </c>
      <c r="G34" s="51" t="s">
        <v>19</v>
      </c>
      <c r="H34" s="51" t="s">
        <v>19</v>
      </c>
      <c r="I34" s="51" t="s">
        <v>19</v>
      </c>
      <c r="J34" s="51" t="s">
        <v>19</v>
      </c>
      <c r="K34" s="51" t="s">
        <v>19</v>
      </c>
      <c r="L34" s="51" t="s">
        <v>19</v>
      </c>
      <c r="M34" s="51" t="s">
        <v>19</v>
      </c>
      <c r="N34" s="51" t="s">
        <v>19</v>
      </c>
      <c r="O34" s="51" t="s">
        <v>19</v>
      </c>
      <c r="P34" s="51" t="s">
        <v>19</v>
      </c>
      <c r="Q34" s="51" t="s">
        <v>19</v>
      </c>
      <c r="R34" s="51" t="s">
        <v>19</v>
      </c>
      <c r="S34" s="51" t="s">
        <v>19</v>
      </c>
      <c r="T34" s="51" t="s">
        <v>19</v>
      </c>
      <c r="U34" s="51" t="s">
        <v>19</v>
      </c>
      <c r="V34" s="51" t="s">
        <v>19</v>
      </c>
      <c r="W34" s="51" t="s">
        <v>19</v>
      </c>
      <c r="X34" s="51" t="s">
        <v>20</v>
      </c>
      <c r="Y34" s="52" t="s">
        <v>19</v>
      </c>
      <c r="Z34" s="51" t="s">
        <v>19</v>
      </c>
      <c r="AA34" s="61" t="s">
        <v>19</v>
      </c>
      <c r="AB34" s="61" t="s">
        <v>19</v>
      </c>
      <c r="AC34" s="39" t="s">
        <v>19</v>
      </c>
      <c r="AD34" s="53" t="s">
        <v>19</v>
      </c>
      <c r="AE34" s="53" t="s">
        <v>20</v>
      </c>
    </row>
    <row r="35" spans="1:31" ht="15.75" customHeight="1" x14ac:dyDescent="0.25">
      <c r="A35" s="81">
        <v>30</v>
      </c>
      <c r="B35" s="20">
        <v>12</v>
      </c>
      <c r="C35" s="37" t="s">
        <v>236</v>
      </c>
      <c r="D35" s="20">
        <v>1</v>
      </c>
      <c r="E35" s="20" t="s">
        <v>20</v>
      </c>
      <c r="F35" s="51" t="s">
        <v>19</v>
      </c>
      <c r="G35" s="51" t="s">
        <v>20</v>
      </c>
      <c r="H35" s="51" t="s">
        <v>19</v>
      </c>
      <c r="I35" s="51" t="s">
        <v>20</v>
      </c>
      <c r="J35" s="51" t="s">
        <v>19</v>
      </c>
      <c r="K35" s="51" t="s">
        <v>20</v>
      </c>
      <c r="L35" s="51" t="s">
        <v>20</v>
      </c>
      <c r="M35" s="51" t="s">
        <v>19</v>
      </c>
      <c r="N35" s="51" t="s">
        <v>19</v>
      </c>
      <c r="O35" s="51" t="s">
        <v>19</v>
      </c>
      <c r="P35" s="51" t="s">
        <v>19</v>
      </c>
      <c r="Q35" s="51" t="s">
        <v>19</v>
      </c>
      <c r="R35" s="51" t="s">
        <v>19</v>
      </c>
      <c r="S35" s="51" t="s">
        <v>19</v>
      </c>
      <c r="T35" s="51" t="s">
        <v>19</v>
      </c>
      <c r="U35" s="51" t="s">
        <v>19</v>
      </c>
      <c r="V35" s="51" t="s">
        <v>20</v>
      </c>
      <c r="W35" s="51" t="s">
        <v>19</v>
      </c>
      <c r="X35" s="51" t="s">
        <v>20</v>
      </c>
      <c r="Y35" s="52" t="s">
        <v>20</v>
      </c>
      <c r="Z35" s="51" t="s">
        <v>19</v>
      </c>
      <c r="AA35" s="61" t="s">
        <v>20</v>
      </c>
      <c r="AB35" s="61" t="s">
        <v>20</v>
      </c>
      <c r="AC35" s="39" t="s">
        <v>20</v>
      </c>
      <c r="AD35" s="53" t="s">
        <v>20</v>
      </c>
      <c r="AE35" s="53" t="s">
        <v>20</v>
      </c>
    </row>
    <row r="36" spans="1:31" ht="15.75" customHeight="1" x14ac:dyDescent="0.25">
      <c r="A36" s="81">
        <v>31</v>
      </c>
      <c r="B36" s="20">
        <v>13</v>
      </c>
      <c r="C36" s="37" t="s">
        <v>237</v>
      </c>
      <c r="D36" s="20">
        <v>1</v>
      </c>
      <c r="E36" s="20" t="s">
        <v>20</v>
      </c>
      <c r="F36" s="51" t="s">
        <v>20</v>
      </c>
      <c r="G36" s="51" t="s">
        <v>19</v>
      </c>
      <c r="H36" s="51" t="s">
        <v>20</v>
      </c>
      <c r="I36" s="51" t="s">
        <v>20</v>
      </c>
      <c r="J36" s="51" t="s">
        <v>19</v>
      </c>
      <c r="K36" s="51" t="s">
        <v>20</v>
      </c>
      <c r="L36" s="51" t="s">
        <v>20</v>
      </c>
      <c r="M36" s="51" t="s">
        <v>20</v>
      </c>
      <c r="N36" s="51" t="s">
        <v>19</v>
      </c>
      <c r="O36" s="51" t="s">
        <v>19</v>
      </c>
      <c r="P36" s="51" t="s">
        <v>20</v>
      </c>
      <c r="Q36" s="51" t="s">
        <v>20</v>
      </c>
      <c r="R36" s="51" t="s">
        <v>20</v>
      </c>
      <c r="S36" s="51" t="s">
        <v>20</v>
      </c>
      <c r="T36" s="51" t="s">
        <v>19</v>
      </c>
      <c r="U36" s="51" t="s">
        <v>19</v>
      </c>
      <c r="V36" s="51" t="s">
        <v>19</v>
      </c>
      <c r="W36" s="51" t="s">
        <v>19</v>
      </c>
      <c r="X36" s="51" t="s">
        <v>19</v>
      </c>
      <c r="Y36" s="52" t="s">
        <v>19</v>
      </c>
      <c r="Z36" s="51" t="s">
        <v>19</v>
      </c>
      <c r="AA36" s="61" t="s">
        <v>19</v>
      </c>
      <c r="AB36" s="61" t="s">
        <v>19</v>
      </c>
      <c r="AC36" s="39" t="s">
        <v>20</v>
      </c>
      <c r="AD36" s="53" t="s">
        <v>20</v>
      </c>
      <c r="AE36" s="53" t="s">
        <v>20</v>
      </c>
    </row>
    <row r="37" spans="1:31" ht="15.75" customHeight="1" x14ac:dyDescent="0.25">
      <c r="A37" s="81">
        <v>32</v>
      </c>
      <c r="B37" s="20">
        <v>14</v>
      </c>
      <c r="C37" s="37" t="s">
        <v>238</v>
      </c>
      <c r="D37" s="20">
        <v>1</v>
      </c>
      <c r="E37" s="20" t="s">
        <v>20</v>
      </c>
      <c r="F37" s="51" t="s">
        <v>19</v>
      </c>
      <c r="G37" s="51" t="s">
        <v>19</v>
      </c>
      <c r="H37" s="51" t="s">
        <v>19</v>
      </c>
      <c r="I37" s="51" t="s">
        <v>19</v>
      </c>
      <c r="J37" s="51" t="s">
        <v>19</v>
      </c>
      <c r="K37" s="51" t="s">
        <v>19</v>
      </c>
      <c r="L37" s="51" t="s">
        <v>19</v>
      </c>
      <c r="M37" s="51" t="s">
        <v>19</v>
      </c>
      <c r="N37" s="51" t="s">
        <v>19</v>
      </c>
      <c r="O37" s="51" t="s">
        <v>19</v>
      </c>
      <c r="P37" s="51" t="s">
        <v>19</v>
      </c>
      <c r="Q37" s="51" t="s">
        <v>19</v>
      </c>
      <c r="R37" s="51" t="s">
        <v>19</v>
      </c>
      <c r="S37" s="51" t="s">
        <v>19</v>
      </c>
      <c r="T37" s="51" t="s">
        <v>19</v>
      </c>
      <c r="U37" s="51" t="s">
        <v>19</v>
      </c>
      <c r="V37" s="51" t="s">
        <v>20</v>
      </c>
      <c r="W37" s="51" t="s">
        <v>20</v>
      </c>
      <c r="X37" s="51" t="s">
        <v>19</v>
      </c>
      <c r="Y37" s="52" t="s">
        <v>20</v>
      </c>
      <c r="Z37" s="51" t="s">
        <v>19</v>
      </c>
      <c r="AA37" s="61" t="s">
        <v>19</v>
      </c>
      <c r="AB37" s="61" t="s">
        <v>19</v>
      </c>
      <c r="AC37" s="39" t="s">
        <v>19</v>
      </c>
      <c r="AD37" s="53" t="s">
        <v>59</v>
      </c>
      <c r="AE37" s="53" t="s">
        <v>59</v>
      </c>
    </row>
    <row r="38" spans="1:31" ht="15.75" customHeight="1" x14ac:dyDescent="0.25">
      <c r="A38" s="81">
        <v>33</v>
      </c>
      <c r="B38" s="20">
        <v>15</v>
      </c>
      <c r="C38" s="37" t="s">
        <v>239</v>
      </c>
      <c r="D38" s="20">
        <v>1</v>
      </c>
      <c r="E38" s="20" t="s">
        <v>20</v>
      </c>
      <c r="F38" s="51" t="s">
        <v>19</v>
      </c>
      <c r="G38" s="51" t="s">
        <v>20</v>
      </c>
      <c r="H38" s="51" t="s">
        <v>20</v>
      </c>
      <c r="I38" s="51" t="s">
        <v>19</v>
      </c>
      <c r="J38" s="51" t="s">
        <v>20</v>
      </c>
      <c r="K38" s="51" t="s">
        <v>20</v>
      </c>
      <c r="L38" s="51" t="s">
        <v>20</v>
      </c>
      <c r="M38" s="51" t="s">
        <v>19</v>
      </c>
      <c r="N38" s="51" t="s">
        <v>19</v>
      </c>
      <c r="O38" s="51" t="s">
        <v>19</v>
      </c>
      <c r="P38" s="51" t="s">
        <v>20</v>
      </c>
      <c r="Q38" s="51" t="s">
        <v>20</v>
      </c>
      <c r="R38" s="51" t="s">
        <v>20</v>
      </c>
      <c r="S38" s="51" t="s">
        <v>21</v>
      </c>
      <c r="T38" s="51" t="s">
        <v>20</v>
      </c>
      <c r="U38" s="51" t="s">
        <v>19</v>
      </c>
      <c r="V38" s="51" t="s">
        <v>19</v>
      </c>
      <c r="W38" s="51" t="s">
        <v>19</v>
      </c>
      <c r="X38" s="51" t="s">
        <v>19</v>
      </c>
      <c r="Y38" s="52" t="s">
        <v>21</v>
      </c>
      <c r="Z38" s="51" t="s">
        <v>20</v>
      </c>
      <c r="AA38" s="61" t="s">
        <v>19</v>
      </c>
      <c r="AB38" s="61" t="s">
        <v>19</v>
      </c>
      <c r="AC38" s="39" t="s">
        <v>20</v>
      </c>
      <c r="AD38" s="53" t="s">
        <v>20</v>
      </c>
      <c r="AE38" s="53" t="s">
        <v>20</v>
      </c>
    </row>
    <row r="39" spans="1:31" ht="15.75" customHeight="1" x14ac:dyDescent="0.25">
      <c r="A39" s="81">
        <v>34</v>
      </c>
      <c r="B39" s="20">
        <v>16</v>
      </c>
      <c r="C39" s="37" t="s">
        <v>240</v>
      </c>
      <c r="D39" s="20">
        <v>1</v>
      </c>
      <c r="E39" s="20" t="s">
        <v>20</v>
      </c>
      <c r="F39" s="51" t="s">
        <v>19</v>
      </c>
      <c r="G39" s="51" t="s">
        <v>20</v>
      </c>
      <c r="H39" s="51" t="s">
        <v>20</v>
      </c>
      <c r="I39" s="51" t="s">
        <v>20</v>
      </c>
      <c r="J39" s="51" t="s">
        <v>19</v>
      </c>
      <c r="K39" s="51" t="s">
        <v>20</v>
      </c>
      <c r="L39" s="51" t="s">
        <v>20</v>
      </c>
      <c r="M39" s="51" t="s">
        <v>20</v>
      </c>
      <c r="N39" s="51" t="s">
        <v>20</v>
      </c>
      <c r="O39" s="51" t="s">
        <v>19</v>
      </c>
      <c r="P39" s="51" t="s">
        <v>20</v>
      </c>
      <c r="Q39" s="51" t="s">
        <v>20</v>
      </c>
      <c r="R39" s="51" t="s">
        <v>20</v>
      </c>
      <c r="S39" s="51" t="s">
        <v>20</v>
      </c>
      <c r="T39" s="51" t="s">
        <v>20</v>
      </c>
      <c r="U39" s="51" t="s">
        <v>20</v>
      </c>
      <c r="V39" s="51" t="s">
        <v>19</v>
      </c>
      <c r="W39" s="51" t="s">
        <v>19</v>
      </c>
      <c r="X39" s="51" t="s">
        <v>20</v>
      </c>
      <c r="Y39" s="52" t="s">
        <v>19</v>
      </c>
      <c r="Z39" s="51" t="s">
        <v>19</v>
      </c>
      <c r="AA39" s="61" t="s">
        <v>19</v>
      </c>
      <c r="AB39" s="61" t="s">
        <v>19</v>
      </c>
      <c r="AC39" s="39" t="s">
        <v>20</v>
      </c>
      <c r="AD39" s="53" t="s">
        <v>20</v>
      </c>
      <c r="AE39" s="53" t="s">
        <v>20</v>
      </c>
    </row>
    <row r="40" spans="1:31" ht="15.75" customHeight="1" x14ac:dyDescent="0.25">
      <c r="A40" s="81">
        <v>35</v>
      </c>
      <c r="B40" s="20">
        <v>17</v>
      </c>
      <c r="C40" s="37" t="s">
        <v>241</v>
      </c>
      <c r="D40" s="20">
        <v>1</v>
      </c>
      <c r="E40" s="20" t="s">
        <v>20</v>
      </c>
      <c r="F40" s="51" t="s">
        <v>20</v>
      </c>
      <c r="G40" s="51" t="s">
        <v>20</v>
      </c>
      <c r="H40" s="51" t="s">
        <v>20</v>
      </c>
      <c r="I40" s="51" t="s">
        <v>20</v>
      </c>
      <c r="J40" s="51" t="s">
        <v>19</v>
      </c>
      <c r="K40" s="51" t="s">
        <v>20</v>
      </c>
      <c r="L40" s="51" t="s">
        <v>20</v>
      </c>
      <c r="M40" s="51" t="s">
        <v>20</v>
      </c>
      <c r="N40" s="51" t="s">
        <v>19</v>
      </c>
      <c r="O40" s="51" t="s">
        <v>19</v>
      </c>
      <c r="P40" s="51" t="s">
        <v>20</v>
      </c>
      <c r="Q40" s="51" t="s">
        <v>20</v>
      </c>
      <c r="R40" s="51" t="s">
        <v>20</v>
      </c>
      <c r="S40" s="51" t="s">
        <v>19</v>
      </c>
      <c r="T40" s="51" t="s">
        <v>20</v>
      </c>
      <c r="U40" s="51" t="s">
        <v>19</v>
      </c>
      <c r="V40" s="51" t="s">
        <v>19</v>
      </c>
      <c r="W40" s="51" t="s">
        <v>19</v>
      </c>
      <c r="X40" s="51" t="s">
        <v>19</v>
      </c>
      <c r="Y40" s="52" t="s">
        <v>20</v>
      </c>
      <c r="Z40" s="51" t="s">
        <v>19</v>
      </c>
      <c r="AA40" s="61" t="s">
        <v>19</v>
      </c>
      <c r="AB40" s="61" t="s">
        <v>19</v>
      </c>
      <c r="AC40" s="39" t="s">
        <v>20</v>
      </c>
      <c r="AD40" s="53" t="s">
        <v>20</v>
      </c>
      <c r="AE40" s="53" t="s">
        <v>20</v>
      </c>
    </row>
    <row r="41" spans="1:31" ht="15.75" customHeight="1" x14ac:dyDescent="0.25">
      <c r="A41" s="81">
        <v>36</v>
      </c>
      <c r="B41" s="20">
        <v>18</v>
      </c>
      <c r="C41" s="37" t="s">
        <v>242</v>
      </c>
      <c r="D41" s="20">
        <v>1</v>
      </c>
      <c r="E41" s="20" t="s">
        <v>20</v>
      </c>
      <c r="F41" s="51" t="s">
        <v>19</v>
      </c>
      <c r="G41" s="51" t="s">
        <v>20</v>
      </c>
      <c r="H41" s="51" t="s">
        <v>20</v>
      </c>
      <c r="I41" s="51" t="s">
        <v>20</v>
      </c>
      <c r="J41" s="51" t="s">
        <v>20</v>
      </c>
      <c r="K41" s="51" t="s">
        <v>20</v>
      </c>
      <c r="L41" s="51" t="s">
        <v>20</v>
      </c>
      <c r="M41" s="51" t="s">
        <v>19</v>
      </c>
      <c r="N41" s="51" t="s">
        <v>19</v>
      </c>
      <c r="O41" s="51" t="s">
        <v>19</v>
      </c>
      <c r="P41" s="51" t="s">
        <v>19</v>
      </c>
      <c r="Q41" s="51" t="s">
        <v>20</v>
      </c>
      <c r="R41" s="51" t="s">
        <v>19</v>
      </c>
      <c r="S41" s="51" t="s">
        <v>19</v>
      </c>
      <c r="T41" s="51" t="s">
        <v>19</v>
      </c>
      <c r="U41" s="51" t="s">
        <v>20</v>
      </c>
      <c r="V41" s="51" t="s">
        <v>20</v>
      </c>
      <c r="W41" s="51" t="s">
        <v>19</v>
      </c>
      <c r="X41" s="51" t="s">
        <v>19</v>
      </c>
      <c r="Y41" s="52" t="s">
        <v>20</v>
      </c>
      <c r="Z41" s="51" t="s">
        <v>19</v>
      </c>
      <c r="AA41" s="61" t="s">
        <v>19</v>
      </c>
      <c r="AB41" s="61" t="s">
        <v>19</v>
      </c>
      <c r="AC41" s="39" t="s">
        <v>20</v>
      </c>
      <c r="AD41" s="53" t="s">
        <v>19</v>
      </c>
      <c r="AE41" s="53" t="s">
        <v>20</v>
      </c>
    </row>
    <row r="42" spans="1:31" ht="15.75" customHeight="1" x14ac:dyDescent="0.25">
      <c r="A42" s="81">
        <v>37</v>
      </c>
      <c r="B42" s="20">
        <v>19</v>
      </c>
      <c r="C42" s="37" t="s">
        <v>243</v>
      </c>
      <c r="D42" s="20">
        <v>1</v>
      </c>
      <c r="E42" s="20" t="s">
        <v>20</v>
      </c>
      <c r="F42" s="51" t="s">
        <v>19</v>
      </c>
      <c r="G42" s="51" t="s">
        <v>20</v>
      </c>
      <c r="H42" s="51" t="s">
        <v>20</v>
      </c>
      <c r="I42" s="51" t="s">
        <v>20</v>
      </c>
      <c r="J42" s="51" t="s">
        <v>20</v>
      </c>
      <c r="K42" s="51" t="s">
        <v>20</v>
      </c>
      <c r="L42" s="51" t="s">
        <v>20</v>
      </c>
      <c r="M42" s="51" t="s">
        <v>20</v>
      </c>
      <c r="N42" s="51" t="s">
        <v>19</v>
      </c>
      <c r="O42" s="51" t="s">
        <v>19</v>
      </c>
      <c r="P42" s="51" t="s">
        <v>20</v>
      </c>
      <c r="Q42" s="51" t="s">
        <v>20</v>
      </c>
      <c r="R42" s="51" t="s">
        <v>20</v>
      </c>
      <c r="S42" s="51" t="s">
        <v>19</v>
      </c>
      <c r="T42" s="51" t="s">
        <v>20</v>
      </c>
      <c r="U42" s="51" t="s">
        <v>19</v>
      </c>
      <c r="V42" s="51" t="s">
        <v>20</v>
      </c>
      <c r="W42" s="51" t="s">
        <v>19</v>
      </c>
      <c r="X42" s="51" t="s">
        <v>19</v>
      </c>
      <c r="Y42" s="52" t="s">
        <v>19</v>
      </c>
      <c r="Z42" s="51" t="s">
        <v>19</v>
      </c>
      <c r="AA42" s="61" t="s">
        <v>20</v>
      </c>
      <c r="AB42" s="61" t="s">
        <v>21</v>
      </c>
      <c r="AC42" s="39" t="s">
        <v>20</v>
      </c>
      <c r="AD42" s="53" t="s">
        <v>20</v>
      </c>
      <c r="AE42" s="53" t="s">
        <v>20</v>
      </c>
    </row>
    <row r="43" spans="1:31" ht="15.75" customHeight="1" thickBot="1" x14ac:dyDescent="0.3">
      <c r="A43" s="81">
        <v>38</v>
      </c>
      <c r="B43" s="21">
        <v>20</v>
      </c>
      <c r="C43" s="38" t="s">
        <v>244</v>
      </c>
      <c r="D43" s="21">
        <v>1</v>
      </c>
      <c r="E43" s="21" t="s">
        <v>20</v>
      </c>
      <c r="F43" s="87" t="s">
        <v>19</v>
      </c>
      <c r="G43" s="87" t="s">
        <v>20</v>
      </c>
      <c r="H43" s="87" t="s">
        <v>19</v>
      </c>
      <c r="I43" s="87" t="s">
        <v>20</v>
      </c>
      <c r="J43" s="87" t="s">
        <v>20</v>
      </c>
      <c r="K43" s="87" t="s">
        <v>20</v>
      </c>
      <c r="L43" s="87" t="s">
        <v>20</v>
      </c>
      <c r="M43" s="87" t="s">
        <v>19</v>
      </c>
      <c r="N43" s="87" t="s">
        <v>19</v>
      </c>
      <c r="O43" s="87" t="s">
        <v>19</v>
      </c>
      <c r="P43" s="87" t="s">
        <v>20</v>
      </c>
      <c r="Q43" s="87" t="s">
        <v>20</v>
      </c>
      <c r="R43" s="87" t="s">
        <v>20</v>
      </c>
      <c r="S43" s="87" t="s">
        <v>21</v>
      </c>
      <c r="T43" s="87" t="s">
        <v>20</v>
      </c>
      <c r="U43" s="87" t="s">
        <v>20</v>
      </c>
      <c r="V43" s="87" t="s">
        <v>19</v>
      </c>
      <c r="W43" s="87" t="s">
        <v>19</v>
      </c>
      <c r="X43" s="87" t="s">
        <v>19</v>
      </c>
      <c r="Y43" s="88" t="s">
        <v>20</v>
      </c>
      <c r="Z43" s="87" t="s">
        <v>19</v>
      </c>
      <c r="AA43" s="95" t="s">
        <v>19</v>
      </c>
      <c r="AB43" s="95" t="s">
        <v>19</v>
      </c>
      <c r="AC43" s="41" t="s">
        <v>20</v>
      </c>
      <c r="AD43" s="96" t="s">
        <v>20</v>
      </c>
      <c r="AE43" s="96" t="s">
        <v>20</v>
      </c>
    </row>
    <row r="44" spans="1:31" ht="15.75" customHeight="1" x14ac:dyDescent="0.25">
      <c r="A44" s="81">
        <v>39</v>
      </c>
      <c r="B44" s="97">
        <v>1</v>
      </c>
      <c r="C44" s="98" t="s">
        <v>40</v>
      </c>
      <c r="D44" s="97">
        <v>2</v>
      </c>
      <c r="E44" s="97" t="s">
        <v>19</v>
      </c>
      <c r="F44" s="83" t="s">
        <v>20</v>
      </c>
      <c r="G44" s="83" t="s">
        <v>21</v>
      </c>
      <c r="H44" s="83" t="s">
        <v>20</v>
      </c>
      <c r="I44" s="83" t="s">
        <v>20</v>
      </c>
      <c r="J44" s="83" t="s">
        <v>20</v>
      </c>
      <c r="K44" s="83" t="s">
        <v>20</v>
      </c>
      <c r="L44" s="83" t="s">
        <v>19</v>
      </c>
      <c r="M44" s="83" t="s">
        <v>19</v>
      </c>
      <c r="N44" s="83" t="s">
        <v>19</v>
      </c>
      <c r="O44" s="83" t="s">
        <v>20</v>
      </c>
      <c r="P44" s="83" t="s">
        <v>20</v>
      </c>
      <c r="Q44" s="83" t="s">
        <v>20</v>
      </c>
      <c r="R44" s="83" t="s">
        <v>20</v>
      </c>
      <c r="S44" s="83" t="s">
        <v>19</v>
      </c>
      <c r="T44" s="83" t="s">
        <v>20</v>
      </c>
      <c r="U44" s="83" t="s">
        <v>19</v>
      </c>
      <c r="V44" s="42" t="s">
        <v>19</v>
      </c>
      <c r="W44" s="42" t="s">
        <v>19</v>
      </c>
      <c r="X44" s="93" t="s">
        <v>19</v>
      </c>
      <c r="Y44" s="84" t="s">
        <v>19</v>
      </c>
      <c r="Z44" s="83" t="s">
        <v>19</v>
      </c>
      <c r="AA44" s="86" t="s">
        <v>20</v>
      </c>
      <c r="AB44" s="86" t="s">
        <v>20</v>
      </c>
      <c r="AC44" s="86" t="s">
        <v>20</v>
      </c>
      <c r="AD44" s="94" t="s">
        <v>20</v>
      </c>
      <c r="AE44" s="94" t="s">
        <v>20</v>
      </c>
    </row>
    <row r="45" spans="1:31" ht="15.75" customHeight="1" x14ac:dyDescent="0.25">
      <c r="A45" s="81">
        <v>40</v>
      </c>
      <c r="B45" s="89">
        <v>2</v>
      </c>
      <c r="C45" s="90" t="s">
        <v>41</v>
      </c>
      <c r="D45" s="89">
        <v>2</v>
      </c>
      <c r="E45" s="89" t="s">
        <v>19</v>
      </c>
      <c r="F45" s="51" t="s">
        <v>20</v>
      </c>
      <c r="G45" s="51" t="s">
        <v>20</v>
      </c>
      <c r="H45" s="51" t="s">
        <v>21</v>
      </c>
      <c r="I45" s="51" t="s">
        <v>20</v>
      </c>
      <c r="J45" s="51" t="s">
        <v>20</v>
      </c>
      <c r="K45" s="51" t="s">
        <v>21</v>
      </c>
      <c r="L45" s="51" t="s">
        <v>21</v>
      </c>
      <c r="M45" s="51" t="s">
        <v>19</v>
      </c>
      <c r="N45" s="51" t="s">
        <v>19</v>
      </c>
      <c r="O45" s="51" t="s">
        <v>19</v>
      </c>
      <c r="P45" s="51" t="s">
        <v>19</v>
      </c>
      <c r="Q45" s="51" t="s">
        <v>19</v>
      </c>
      <c r="R45" s="51" t="s">
        <v>19</v>
      </c>
      <c r="S45" s="51" t="s">
        <v>20</v>
      </c>
      <c r="T45" s="51" t="s">
        <v>19</v>
      </c>
      <c r="U45" s="51" t="s">
        <v>19</v>
      </c>
      <c r="V45" s="43" t="s">
        <v>19</v>
      </c>
      <c r="W45" s="43" t="s">
        <v>19</v>
      </c>
      <c r="X45" s="44" t="s">
        <v>19</v>
      </c>
      <c r="Y45" s="52" t="s">
        <v>19</v>
      </c>
      <c r="Z45" s="51" t="s">
        <v>19</v>
      </c>
      <c r="AA45" s="39" t="s">
        <v>20</v>
      </c>
      <c r="AB45" s="39" t="s">
        <v>20</v>
      </c>
      <c r="AC45" s="39" t="s">
        <v>20</v>
      </c>
      <c r="AD45" s="53" t="s">
        <v>19</v>
      </c>
      <c r="AE45" s="53" t="s">
        <v>20</v>
      </c>
    </row>
    <row r="46" spans="1:31" ht="15.75" customHeight="1" x14ac:dyDescent="0.25">
      <c r="A46" s="81">
        <v>41</v>
      </c>
      <c r="B46" s="89">
        <v>3</v>
      </c>
      <c r="C46" s="90" t="s">
        <v>42</v>
      </c>
      <c r="D46" s="89">
        <v>2</v>
      </c>
      <c r="E46" s="89" t="s">
        <v>19</v>
      </c>
      <c r="F46" s="51" t="s">
        <v>20</v>
      </c>
      <c r="G46" s="51" t="s">
        <v>21</v>
      </c>
      <c r="H46" s="51" t="s">
        <v>20</v>
      </c>
      <c r="I46" s="51" t="s">
        <v>20</v>
      </c>
      <c r="J46" s="51" t="s">
        <v>19</v>
      </c>
      <c r="K46" s="51" t="s">
        <v>21</v>
      </c>
      <c r="L46" s="51" t="s">
        <v>20</v>
      </c>
      <c r="M46" s="51" t="s">
        <v>20</v>
      </c>
      <c r="N46" s="51" t="s">
        <v>20</v>
      </c>
      <c r="O46" s="51" t="s">
        <v>21</v>
      </c>
      <c r="P46" s="51" t="s">
        <v>20</v>
      </c>
      <c r="Q46" s="51" t="s">
        <v>19</v>
      </c>
      <c r="R46" s="51" t="s">
        <v>20</v>
      </c>
      <c r="S46" s="51" t="s">
        <v>21</v>
      </c>
      <c r="T46" s="51" t="s">
        <v>20</v>
      </c>
      <c r="U46" s="51" t="s">
        <v>19</v>
      </c>
      <c r="V46" s="43" t="s">
        <v>20</v>
      </c>
      <c r="W46" s="43" t="s">
        <v>20</v>
      </c>
      <c r="X46" s="44" t="s">
        <v>20</v>
      </c>
      <c r="Y46" s="52" t="s">
        <v>20</v>
      </c>
      <c r="Z46" s="51" t="s">
        <v>19</v>
      </c>
      <c r="AA46" s="39" t="s">
        <v>20</v>
      </c>
      <c r="AB46" s="39" t="s">
        <v>20</v>
      </c>
      <c r="AC46" s="39" t="s">
        <v>20</v>
      </c>
      <c r="AD46" s="53" t="s">
        <v>59</v>
      </c>
      <c r="AE46" s="53" t="s">
        <v>59</v>
      </c>
    </row>
    <row r="47" spans="1:31" ht="15.75" customHeight="1" x14ac:dyDescent="0.25">
      <c r="A47" s="81">
        <v>42</v>
      </c>
      <c r="B47" s="89">
        <v>4</v>
      </c>
      <c r="C47" s="90" t="s">
        <v>43</v>
      </c>
      <c r="D47" s="89">
        <v>2</v>
      </c>
      <c r="E47" s="89" t="s">
        <v>19</v>
      </c>
      <c r="F47" s="51" t="s">
        <v>20</v>
      </c>
      <c r="G47" s="51" t="s">
        <v>21</v>
      </c>
      <c r="H47" s="51" t="s">
        <v>20</v>
      </c>
      <c r="I47" s="51" t="s">
        <v>20</v>
      </c>
      <c r="J47" s="51" t="s">
        <v>20</v>
      </c>
      <c r="K47" s="51" t="s">
        <v>21</v>
      </c>
      <c r="L47" s="51" t="s">
        <v>20</v>
      </c>
      <c r="M47" s="51" t="s">
        <v>20</v>
      </c>
      <c r="N47" s="51" t="s">
        <v>20</v>
      </c>
      <c r="O47" s="51" t="s">
        <v>21</v>
      </c>
      <c r="P47" s="51" t="s">
        <v>21</v>
      </c>
      <c r="Q47" s="51" t="s">
        <v>21</v>
      </c>
      <c r="R47" s="51" t="s">
        <v>20</v>
      </c>
      <c r="S47" s="51" t="s">
        <v>21</v>
      </c>
      <c r="T47" s="51" t="s">
        <v>21</v>
      </c>
      <c r="U47" s="51" t="s">
        <v>19</v>
      </c>
      <c r="V47" s="43" t="s">
        <v>19</v>
      </c>
      <c r="W47" s="43" t="s">
        <v>19</v>
      </c>
      <c r="X47" s="44" t="s">
        <v>19</v>
      </c>
      <c r="Y47" s="52" t="s">
        <v>19</v>
      </c>
      <c r="Z47" s="51" t="s">
        <v>19</v>
      </c>
      <c r="AA47" s="39" t="s">
        <v>20</v>
      </c>
      <c r="AB47" s="39" t="s">
        <v>20</v>
      </c>
      <c r="AC47" s="39" t="s">
        <v>20</v>
      </c>
      <c r="AD47" s="53" t="s">
        <v>20</v>
      </c>
      <c r="AE47" s="53" t="s">
        <v>20</v>
      </c>
    </row>
    <row r="48" spans="1:31" ht="15.75" customHeight="1" x14ac:dyDescent="0.25">
      <c r="A48" s="81">
        <v>43</v>
      </c>
      <c r="B48" s="89">
        <v>5</v>
      </c>
      <c r="C48" s="90" t="s">
        <v>44</v>
      </c>
      <c r="D48" s="89">
        <v>2</v>
      </c>
      <c r="E48" s="89" t="s">
        <v>19</v>
      </c>
      <c r="F48" s="51" t="s">
        <v>20</v>
      </c>
      <c r="G48" s="51" t="s">
        <v>20</v>
      </c>
      <c r="H48" s="51" t="s">
        <v>20</v>
      </c>
      <c r="I48" s="51" t="s">
        <v>20</v>
      </c>
      <c r="J48" s="51" t="s">
        <v>20</v>
      </c>
      <c r="K48" s="51" t="s">
        <v>20</v>
      </c>
      <c r="L48" s="51" t="s">
        <v>20</v>
      </c>
      <c r="M48" s="51" t="s">
        <v>20</v>
      </c>
      <c r="N48" s="51" t="s">
        <v>20</v>
      </c>
      <c r="O48" s="51" t="s">
        <v>19</v>
      </c>
      <c r="P48" s="51" t="s">
        <v>20</v>
      </c>
      <c r="Q48" s="51" t="s">
        <v>20</v>
      </c>
      <c r="R48" s="51" t="s">
        <v>20</v>
      </c>
      <c r="S48" s="51" t="s">
        <v>19</v>
      </c>
      <c r="T48" s="51" t="s">
        <v>20</v>
      </c>
      <c r="U48" s="51" t="s">
        <v>19</v>
      </c>
      <c r="V48" s="43" t="s">
        <v>19</v>
      </c>
      <c r="W48" s="43" t="s">
        <v>19</v>
      </c>
      <c r="X48" s="44" t="s">
        <v>19</v>
      </c>
      <c r="Y48" s="52" t="s">
        <v>19</v>
      </c>
      <c r="Z48" s="51" t="s">
        <v>19</v>
      </c>
      <c r="AA48" s="39" t="s">
        <v>20</v>
      </c>
      <c r="AB48" s="39" t="s">
        <v>20</v>
      </c>
      <c r="AC48" s="39" t="s">
        <v>21</v>
      </c>
      <c r="AD48" s="53" t="s">
        <v>20</v>
      </c>
      <c r="AE48" s="53" t="s">
        <v>20</v>
      </c>
    </row>
    <row r="49" spans="1:31" ht="15.75" customHeight="1" x14ac:dyDescent="0.25">
      <c r="A49" s="81">
        <v>44</v>
      </c>
      <c r="B49" s="89">
        <v>6</v>
      </c>
      <c r="C49" s="90" t="s">
        <v>45</v>
      </c>
      <c r="D49" s="89">
        <v>2</v>
      </c>
      <c r="E49" s="89" t="s">
        <v>19</v>
      </c>
      <c r="F49" s="51" t="s">
        <v>19</v>
      </c>
      <c r="G49" s="51" t="s">
        <v>20</v>
      </c>
      <c r="H49" s="51" t="s">
        <v>19</v>
      </c>
      <c r="I49" s="51" t="s">
        <v>19</v>
      </c>
      <c r="J49" s="51" t="s">
        <v>19</v>
      </c>
      <c r="K49" s="51" t="s">
        <v>19</v>
      </c>
      <c r="L49" s="51" t="s">
        <v>19</v>
      </c>
      <c r="M49" s="51" t="s">
        <v>19</v>
      </c>
      <c r="N49" s="51" t="s">
        <v>19</v>
      </c>
      <c r="O49" s="51" t="s">
        <v>19</v>
      </c>
      <c r="P49" s="51" t="s">
        <v>19</v>
      </c>
      <c r="Q49" s="51" t="s">
        <v>19</v>
      </c>
      <c r="R49" s="51" t="s">
        <v>19</v>
      </c>
      <c r="S49" s="51" t="s">
        <v>19</v>
      </c>
      <c r="T49" s="51" t="s">
        <v>19</v>
      </c>
      <c r="U49" s="51" t="s">
        <v>19</v>
      </c>
      <c r="V49" s="54" t="s">
        <v>19</v>
      </c>
      <c r="W49" s="54" t="s">
        <v>19</v>
      </c>
      <c r="X49" s="54" t="s">
        <v>19</v>
      </c>
      <c r="Y49" s="51" t="s">
        <v>19</v>
      </c>
      <c r="Z49" s="51" t="s">
        <v>19</v>
      </c>
      <c r="AA49" s="39" t="s">
        <v>19</v>
      </c>
      <c r="AB49" s="39" t="s">
        <v>19</v>
      </c>
      <c r="AC49" s="39" t="s">
        <v>19</v>
      </c>
      <c r="AD49" s="53" t="s">
        <v>19</v>
      </c>
      <c r="AE49" s="53" t="s">
        <v>20</v>
      </c>
    </row>
    <row r="50" spans="1:31" ht="15.75" customHeight="1" x14ac:dyDescent="0.25">
      <c r="A50" s="81">
        <v>45</v>
      </c>
      <c r="B50" s="89">
        <v>7</v>
      </c>
      <c r="C50" s="90" t="s">
        <v>46</v>
      </c>
      <c r="D50" s="89">
        <v>2</v>
      </c>
      <c r="E50" s="89" t="s">
        <v>19</v>
      </c>
      <c r="F50" s="51" t="s">
        <v>20</v>
      </c>
      <c r="G50" s="51" t="s">
        <v>20</v>
      </c>
      <c r="H50" s="51" t="s">
        <v>20</v>
      </c>
      <c r="I50" s="51" t="s">
        <v>20</v>
      </c>
      <c r="J50" s="51" t="s">
        <v>19</v>
      </c>
      <c r="K50" s="51" t="s">
        <v>20</v>
      </c>
      <c r="L50" s="51" t="s">
        <v>20</v>
      </c>
      <c r="M50" s="51" t="s">
        <v>20</v>
      </c>
      <c r="N50" s="51" t="s">
        <v>19</v>
      </c>
      <c r="O50" s="51" t="s">
        <v>21</v>
      </c>
      <c r="P50" s="51" t="s">
        <v>20</v>
      </c>
      <c r="Q50" s="51" t="s">
        <v>20</v>
      </c>
      <c r="R50" s="51" t="s">
        <v>20</v>
      </c>
      <c r="S50" s="51" t="s">
        <v>20</v>
      </c>
      <c r="T50" s="51" t="s">
        <v>19</v>
      </c>
      <c r="U50" s="51" t="s">
        <v>19</v>
      </c>
      <c r="V50" s="54" t="s">
        <v>19</v>
      </c>
      <c r="W50" s="54" t="s">
        <v>19</v>
      </c>
      <c r="X50" s="54" t="s">
        <v>19</v>
      </c>
      <c r="Y50" s="51" t="s">
        <v>19</v>
      </c>
      <c r="Z50" s="51" t="s">
        <v>19</v>
      </c>
      <c r="AA50" s="39" t="s">
        <v>19</v>
      </c>
      <c r="AB50" s="39" t="s">
        <v>19</v>
      </c>
      <c r="AC50" s="39" t="s">
        <v>19</v>
      </c>
      <c r="AD50" s="53" t="s">
        <v>20</v>
      </c>
      <c r="AE50" s="53" t="s">
        <v>20</v>
      </c>
    </row>
    <row r="51" spans="1:31" ht="15.75" customHeight="1" x14ac:dyDescent="0.25">
      <c r="A51" s="81">
        <v>46</v>
      </c>
      <c r="B51" s="89">
        <v>8</v>
      </c>
      <c r="C51" s="90" t="s">
        <v>245</v>
      </c>
      <c r="D51" s="89">
        <v>2</v>
      </c>
      <c r="E51" s="89" t="s">
        <v>19</v>
      </c>
      <c r="F51" s="51" t="s">
        <v>20</v>
      </c>
      <c r="G51" s="51" t="s">
        <v>20</v>
      </c>
      <c r="H51" s="51" t="s">
        <v>20</v>
      </c>
      <c r="I51" s="51" t="s">
        <v>20</v>
      </c>
      <c r="J51" s="51" t="s">
        <v>19</v>
      </c>
      <c r="K51" s="51" t="s">
        <v>19</v>
      </c>
      <c r="L51" s="51" t="s">
        <v>19</v>
      </c>
      <c r="M51" s="51" t="s">
        <v>20</v>
      </c>
      <c r="N51" s="51" t="s">
        <v>19</v>
      </c>
      <c r="O51" s="51" t="s">
        <v>19</v>
      </c>
      <c r="P51" s="51" t="s">
        <v>19</v>
      </c>
      <c r="Q51" s="51" t="s">
        <v>19</v>
      </c>
      <c r="R51" s="51" t="s">
        <v>19</v>
      </c>
      <c r="S51" s="51" t="s">
        <v>19</v>
      </c>
      <c r="T51" s="51" t="s">
        <v>19</v>
      </c>
      <c r="U51" s="51" t="s">
        <v>20</v>
      </c>
      <c r="V51" s="54" t="s">
        <v>19</v>
      </c>
      <c r="W51" s="54" t="s">
        <v>19</v>
      </c>
      <c r="X51" s="54" t="s">
        <v>19</v>
      </c>
      <c r="Y51" s="51" t="s">
        <v>19</v>
      </c>
      <c r="Z51" s="51" t="s">
        <v>19</v>
      </c>
      <c r="AA51" s="39" t="s">
        <v>19</v>
      </c>
      <c r="AB51" s="39" t="s">
        <v>19</v>
      </c>
      <c r="AC51" s="39" t="s">
        <v>19</v>
      </c>
      <c r="AD51" s="53" t="s">
        <v>20</v>
      </c>
      <c r="AE51" s="53" t="s">
        <v>20</v>
      </c>
    </row>
    <row r="52" spans="1:31" ht="15.75" customHeight="1" x14ac:dyDescent="0.25">
      <c r="A52" s="81">
        <v>47</v>
      </c>
      <c r="B52" s="89">
        <v>9</v>
      </c>
      <c r="C52" s="90" t="s">
        <v>47</v>
      </c>
      <c r="D52" s="89">
        <v>2</v>
      </c>
      <c r="E52" s="89" t="s">
        <v>19</v>
      </c>
      <c r="F52" s="51" t="s">
        <v>20</v>
      </c>
      <c r="G52" s="51" t="s">
        <v>20</v>
      </c>
      <c r="H52" s="51" t="s">
        <v>20</v>
      </c>
      <c r="I52" s="51" t="s">
        <v>20</v>
      </c>
      <c r="J52" s="51" t="s">
        <v>20</v>
      </c>
      <c r="K52" s="51" t="s">
        <v>20</v>
      </c>
      <c r="L52" s="51" t="s">
        <v>20</v>
      </c>
      <c r="M52" s="51" t="s">
        <v>20</v>
      </c>
      <c r="N52" s="51" t="s">
        <v>20</v>
      </c>
      <c r="O52" s="51" t="s">
        <v>21</v>
      </c>
      <c r="P52" s="51" t="s">
        <v>20</v>
      </c>
      <c r="Q52" s="51" t="s">
        <v>20</v>
      </c>
      <c r="R52" s="51" t="s">
        <v>20</v>
      </c>
      <c r="S52" s="51" t="s">
        <v>21</v>
      </c>
      <c r="T52" s="51" t="s">
        <v>21</v>
      </c>
      <c r="U52" s="51" t="s">
        <v>19</v>
      </c>
      <c r="V52" s="54" t="s">
        <v>19</v>
      </c>
      <c r="W52" s="54" t="s">
        <v>19</v>
      </c>
      <c r="X52" s="54" t="s">
        <v>19</v>
      </c>
      <c r="Y52" s="51" t="s">
        <v>20</v>
      </c>
      <c r="Z52" s="51" t="s">
        <v>19</v>
      </c>
      <c r="AA52" s="39" t="s">
        <v>21</v>
      </c>
      <c r="AB52" s="39" t="s">
        <v>20</v>
      </c>
      <c r="AC52" s="39" t="s">
        <v>21</v>
      </c>
      <c r="AD52" s="53" t="s">
        <v>20</v>
      </c>
      <c r="AE52" s="53" t="s">
        <v>20</v>
      </c>
    </row>
    <row r="53" spans="1:31" ht="15.75" customHeight="1" x14ac:dyDescent="0.25">
      <c r="A53" s="81">
        <v>48</v>
      </c>
      <c r="B53" s="89">
        <v>10</v>
      </c>
      <c r="C53" s="90" t="s">
        <v>48</v>
      </c>
      <c r="D53" s="89">
        <v>2</v>
      </c>
      <c r="E53" s="89" t="s">
        <v>19</v>
      </c>
      <c r="F53" s="51" t="s">
        <v>20</v>
      </c>
      <c r="G53" s="51" t="s">
        <v>20</v>
      </c>
      <c r="H53" s="51" t="s">
        <v>20</v>
      </c>
      <c r="I53" s="51" t="s">
        <v>20</v>
      </c>
      <c r="J53" s="51" t="s">
        <v>19</v>
      </c>
      <c r="K53" s="51" t="s">
        <v>20</v>
      </c>
      <c r="L53" s="51" t="s">
        <v>20</v>
      </c>
      <c r="M53" s="51" t="s">
        <v>20</v>
      </c>
      <c r="N53" s="51" t="s">
        <v>20</v>
      </c>
      <c r="O53" s="51" t="s">
        <v>19</v>
      </c>
      <c r="P53" s="51" t="s">
        <v>20</v>
      </c>
      <c r="Q53" s="51" t="s">
        <v>20</v>
      </c>
      <c r="R53" s="51" t="s">
        <v>20</v>
      </c>
      <c r="S53" s="51" t="s">
        <v>20</v>
      </c>
      <c r="T53" s="51" t="s">
        <v>19</v>
      </c>
      <c r="U53" s="51" t="s">
        <v>19</v>
      </c>
      <c r="V53" s="54" t="s">
        <v>19</v>
      </c>
      <c r="W53" s="54" t="s">
        <v>19</v>
      </c>
      <c r="X53" s="54" t="s">
        <v>19</v>
      </c>
      <c r="Y53" s="51" t="s">
        <v>19</v>
      </c>
      <c r="Z53" s="51" t="s">
        <v>20</v>
      </c>
      <c r="AA53" s="39" t="s">
        <v>19</v>
      </c>
      <c r="AB53" s="39" t="s">
        <v>20</v>
      </c>
      <c r="AC53" s="39" t="s">
        <v>20</v>
      </c>
      <c r="AD53" s="53" t="s">
        <v>20</v>
      </c>
      <c r="AE53" s="53" t="s">
        <v>20</v>
      </c>
    </row>
    <row r="54" spans="1:31" ht="15.75" customHeight="1" x14ac:dyDescent="0.25">
      <c r="A54" s="81">
        <v>49</v>
      </c>
      <c r="B54" s="89">
        <v>11</v>
      </c>
      <c r="C54" s="90" t="s">
        <v>246</v>
      </c>
      <c r="D54" s="89">
        <v>2</v>
      </c>
      <c r="E54" s="89" t="s">
        <v>19</v>
      </c>
      <c r="F54" s="51" t="s">
        <v>19</v>
      </c>
      <c r="G54" s="51" t="s">
        <v>19</v>
      </c>
      <c r="H54" s="51" t="s">
        <v>19</v>
      </c>
      <c r="I54" s="51" t="s">
        <v>19</v>
      </c>
      <c r="J54" s="51" t="s">
        <v>19</v>
      </c>
      <c r="K54" s="51" t="s">
        <v>19</v>
      </c>
      <c r="L54" s="51" t="s">
        <v>19</v>
      </c>
      <c r="M54" s="51" t="s">
        <v>19</v>
      </c>
      <c r="N54" s="51" t="s">
        <v>19</v>
      </c>
      <c r="O54" s="51" t="s">
        <v>19</v>
      </c>
      <c r="P54" s="51" t="s">
        <v>19</v>
      </c>
      <c r="Q54" s="51" t="s">
        <v>19</v>
      </c>
      <c r="R54" s="51" t="s">
        <v>19</v>
      </c>
      <c r="S54" s="51" t="s">
        <v>19</v>
      </c>
      <c r="T54" s="51" t="s">
        <v>20</v>
      </c>
      <c r="U54" s="51" t="s">
        <v>19</v>
      </c>
      <c r="V54" s="54" t="s">
        <v>20</v>
      </c>
      <c r="W54" s="54" t="s">
        <v>19</v>
      </c>
      <c r="X54" s="54" t="s">
        <v>20</v>
      </c>
      <c r="Y54" s="51" t="s">
        <v>19</v>
      </c>
      <c r="Z54" s="51" t="s">
        <v>19</v>
      </c>
      <c r="AA54" s="39" t="s">
        <v>19</v>
      </c>
      <c r="AB54" s="39" t="s">
        <v>19</v>
      </c>
      <c r="AC54" s="39" t="s">
        <v>19</v>
      </c>
      <c r="AD54" s="53" t="s">
        <v>59</v>
      </c>
      <c r="AE54" s="53" t="s">
        <v>59</v>
      </c>
    </row>
    <row r="55" spans="1:31" ht="15.75" customHeight="1" x14ac:dyDescent="0.25">
      <c r="A55" s="81">
        <v>50</v>
      </c>
      <c r="B55" s="89">
        <v>12</v>
      </c>
      <c r="C55" s="90" t="s">
        <v>49</v>
      </c>
      <c r="D55" s="89">
        <v>2</v>
      </c>
      <c r="E55" s="89" t="s">
        <v>19</v>
      </c>
      <c r="F55" s="51" t="s">
        <v>19</v>
      </c>
      <c r="G55" s="51" t="s">
        <v>20</v>
      </c>
      <c r="H55" s="51" t="s">
        <v>20</v>
      </c>
      <c r="I55" s="51" t="s">
        <v>20</v>
      </c>
      <c r="J55" s="51" t="s">
        <v>20</v>
      </c>
      <c r="K55" s="51" t="s">
        <v>20</v>
      </c>
      <c r="L55" s="51" t="s">
        <v>20</v>
      </c>
      <c r="M55" s="51" t="s">
        <v>20</v>
      </c>
      <c r="N55" s="51" t="s">
        <v>20</v>
      </c>
      <c r="O55" s="51" t="s">
        <v>21</v>
      </c>
      <c r="P55" s="51" t="s">
        <v>21</v>
      </c>
      <c r="Q55" s="51" t="s">
        <v>21</v>
      </c>
      <c r="R55" s="51" t="s">
        <v>20</v>
      </c>
      <c r="S55" s="51" t="s">
        <v>21</v>
      </c>
      <c r="T55" s="51" t="s">
        <v>21</v>
      </c>
      <c r="U55" s="51" t="s">
        <v>20</v>
      </c>
      <c r="V55" s="54" t="s">
        <v>20</v>
      </c>
      <c r="W55" s="54" t="s">
        <v>20</v>
      </c>
      <c r="X55" s="54" t="s">
        <v>20</v>
      </c>
      <c r="Y55" s="51" t="s">
        <v>20</v>
      </c>
      <c r="Z55" s="51" t="s">
        <v>20</v>
      </c>
      <c r="AA55" s="39" t="s">
        <v>21</v>
      </c>
      <c r="AB55" s="39" t="s">
        <v>20</v>
      </c>
      <c r="AC55" s="39" t="s">
        <v>21</v>
      </c>
      <c r="AD55" s="53" t="s">
        <v>21</v>
      </c>
      <c r="AE55" s="53" t="s">
        <v>20</v>
      </c>
    </row>
    <row r="56" spans="1:31" ht="15.75" customHeight="1" x14ac:dyDescent="0.25">
      <c r="A56" s="81">
        <v>51</v>
      </c>
      <c r="B56" s="89">
        <v>13</v>
      </c>
      <c r="C56" s="90" t="s">
        <v>50</v>
      </c>
      <c r="D56" s="89">
        <v>2</v>
      </c>
      <c r="E56" s="89" t="s">
        <v>19</v>
      </c>
      <c r="F56" s="51" t="s">
        <v>20</v>
      </c>
      <c r="G56" s="51" t="s">
        <v>20</v>
      </c>
      <c r="H56" s="51" t="s">
        <v>20</v>
      </c>
      <c r="I56" s="51" t="s">
        <v>20</v>
      </c>
      <c r="J56" s="51" t="s">
        <v>20</v>
      </c>
      <c r="K56" s="51" t="s">
        <v>21</v>
      </c>
      <c r="L56" s="51" t="s">
        <v>20</v>
      </c>
      <c r="M56" s="51" t="s">
        <v>20</v>
      </c>
      <c r="N56" s="51" t="s">
        <v>20</v>
      </c>
      <c r="O56" s="51" t="s">
        <v>21</v>
      </c>
      <c r="P56" s="51" t="s">
        <v>21</v>
      </c>
      <c r="Q56" s="51" t="s">
        <v>21</v>
      </c>
      <c r="R56" s="51" t="s">
        <v>21</v>
      </c>
      <c r="S56" s="51" t="s">
        <v>21</v>
      </c>
      <c r="T56" s="51" t="s">
        <v>21</v>
      </c>
      <c r="U56" s="51" t="s">
        <v>20</v>
      </c>
      <c r="V56" s="54" t="s">
        <v>19</v>
      </c>
      <c r="W56" s="54" t="s">
        <v>19</v>
      </c>
      <c r="X56" s="54" t="s">
        <v>19</v>
      </c>
      <c r="Y56" s="51" t="s">
        <v>20</v>
      </c>
      <c r="Z56" s="51" t="s">
        <v>20</v>
      </c>
      <c r="AA56" s="39" t="s">
        <v>20</v>
      </c>
      <c r="AB56" s="39" t="s">
        <v>21</v>
      </c>
      <c r="AC56" s="39" t="s">
        <v>21</v>
      </c>
      <c r="AD56" s="53" t="s">
        <v>21</v>
      </c>
      <c r="AE56" s="53" t="s">
        <v>20</v>
      </c>
    </row>
    <row r="57" spans="1:31" ht="15.75" customHeight="1" x14ac:dyDescent="0.25">
      <c r="A57" s="81">
        <v>52</v>
      </c>
      <c r="B57" s="89">
        <v>14</v>
      </c>
      <c r="C57" s="90" t="s">
        <v>51</v>
      </c>
      <c r="D57" s="89">
        <v>2</v>
      </c>
      <c r="E57" s="89" t="s">
        <v>19</v>
      </c>
      <c r="F57" s="51" t="s">
        <v>19</v>
      </c>
      <c r="G57" s="51" t="s">
        <v>20</v>
      </c>
      <c r="H57" s="51" t="s">
        <v>20</v>
      </c>
      <c r="I57" s="51" t="s">
        <v>20</v>
      </c>
      <c r="J57" s="51" t="s">
        <v>20</v>
      </c>
      <c r="K57" s="51" t="s">
        <v>21</v>
      </c>
      <c r="L57" s="51" t="s">
        <v>19</v>
      </c>
      <c r="M57" s="51" t="s">
        <v>20</v>
      </c>
      <c r="N57" s="51" t="s">
        <v>20</v>
      </c>
      <c r="O57" s="51" t="s">
        <v>21</v>
      </c>
      <c r="P57" s="51" t="s">
        <v>19</v>
      </c>
      <c r="Q57" s="51" t="s">
        <v>19</v>
      </c>
      <c r="R57" s="51" t="s">
        <v>20</v>
      </c>
      <c r="S57" s="51" t="s">
        <v>20</v>
      </c>
      <c r="T57" s="51" t="s">
        <v>21</v>
      </c>
      <c r="U57" s="51" t="s">
        <v>20</v>
      </c>
      <c r="V57" s="54" t="s">
        <v>20</v>
      </c>
      <c r="W57" s="54" t="s">
        <v>19</v>
      </c>
      <c r="X57" s="54" t="s">
        <v>20</v>
      </c>
      <c r="Y57" s="51" t="s">
        <v>20</v>
      </c>
      <c r="Z57" s="51" t="s">
        <v>19</v>
      </c>
      <c r="AA57" s="39" t="s">
        <v>21</v>
      </c>
      <c r="AB57" s="39" t="s">
        <v>20</v>
      </c>
      <c r="AC57" s="39" t="s">
        <v>20</v>
      </c>
      <c r="AD57" s="53" t="s">
        <v>21</v>
      </c>
      <c r="AE57" s="53" t="s">
        <v>20</v>
      </c>
    </row>
    <row r="58" spans="1:31" ht="15.75" customHeight="1" x14ac:dyDescent="0.25">
      <c r="A58" s="81">
        <v>53</v>
      </c>
      <c r="B58" s="89">
        <v>15</v>
      </c>
      <c r="C58" s="90" t="s">
        <v>52</v>
      </c>
      <c r="D58" s="89">
        <v>2</v>
      </c>
      <c r="E58" s="89" t="s">
        <v>19</v>
      </c>
      <c r="F58" s="51" t="s">
        <v>19</v>
      </c>
      <c r="G58" s="51" t="s">
        <v>20</v>
      </c>
      <c r="H58" s="51" t="s">
        <v>20</v>
      </c>
      <c r="I58" s="51" t="s">
        <v>20</v>
      </c>
      <c r="J58" s="51" t="s">
        <v>19</v>
      </c>
      <c r="K58" s="51" t="s">
        <v>20</v>
      </c>
      <c r="L58" s="51" t="s">
        <v>20</v>
      </c>
      <c r="M58" s="51" t="s">
        <v>20</v>
      </c>
      <c r="N58" s="51" t="s">
        <v>20</v>
      </c>
      <c r="O58" s="51" t="s">
        <v>19</v>
      </c>
      <c r="P58" s="51" t="s">
        <v>20</v>
      </c>
      <c r="Q58" s="51" t="s">
        <v>20</v>
      </c>
      <c r="R58" s="51" t="s">
        <v>20</v>
      </c>
      <c r="S58" s="51" t="s">
        <v>19</v>
      </c>
      <c r="T58" s="51" t="s">
        <v>20</v>
      </c>
      <c r="U58" s="51" t="s">
        <v>20</v>
      </c>
      <c r="V58" s="54" t="s">
        <v>20</v>
      </c>
      <c r="W58" s="54" t="s">
        <v>19</v>
      </c>
      <c r="X58" s="54" t="s">
        <v>19</v>
      </c>
      <c r="Y58" s="51" t="s">
        <v>20</v>
      </c>
      <c r="Z58" s="51" t="s">
        <v>20</v>
      </c>
      <c r="AA58" s="39" t="s">
        <v>20</v>
      </c>
      <c r="AB58" s="39" t="s">
        <v>20</v>
      </c>
      <c r="AC58" s="39" t="s">
        <v>20</v>
      </c>
      <c r="AD58" s="53" t="s">
        <v>21</v>
      </c>
      <c r="AE58" s="53" t="s">
        <v>20</v>
      </c>
    </row>
    <row r="59" spans="1:31" ht="15.75" customHeight="1" x14ac:dyDescent="0.25">
      <c r="A59" s="81">
        <v>54</v>
      </c>
      <c r="B59" s="89">
        <v>16</v>
      </c>
      <c r="C59" s="90" t="s">
        <v>53</v>
      </c>
      <c r="D59" s="89">
        <v>2</v>
      </c>
      <c r="E59" s="89" t="s">
        <v>19</v>
      </c>
      <c r="F59" s="51" t="s">
        <v>20</v>
      </c>
      <c r="G59" s="51" t="s">
        <v>20</v>
      </c>
      <c r="H59" s="51" t="s">
        <v>20</v>
      </c>
      <c r="I59" s="51" t="s">
        <v>20</v>
      </c>
      <c r="J59" s="51" t="s">
        <v>20</v>
      </c>
      <c r="K59" s="51" t="s">
        <v>20</v>
      </c>
      <c r="L59" s="51" t="s">
        <v>20</v>
      </c>
      <c r="M59" s="51" t="s">
        <v>19</v>
      </c>
      <c r="N59" s="51" t="s">
        <v>19</v>
      </c>
      <c r="O59" s="51" t="s">
        <v>19</v>
      </c>
      <c r="P59" s="51" t="s">
        <v>20</v>
      </c>
      <c r="Q59" s="51" t="s">
        <v>20</v>
      </c>
      <c r="R59" s="51" t="s">
        <v>20</v>
      </c>
      <c r="S59" s="51" t="s">
        <v>19</v>
      </c>
      <c r="T59" s="51" t="s">
        <v>19</v>
      </c>
      <c r="U59" s="51" t="s">
        <v>20</v>
      </c>
      <c r="V59" s="54" t="s">
        <v>19</v>
      </c>
      <c r="W59" s="54" t="s">
        <v>19</v>
      </c>
      <c r="X59" s="54" t="s">
        <v>19</v>
      </c>
      <c r="Y59" s="51" t="s">
        <v>19</v>
      </c>
      <c r="Z59" s="51" t="s">
        <v>19</v>
      </c>
      <c r="AA59" s="39" t="s">
        <v>20</v>
      </c>
      <c r="AB59" s="39" t="s">
        <v>20</v>
      </c>
      <c r="AC59" s="39" t="s">
        <v>20</v>
      </c>
      <c r="AD59" s="53" t="s">
        <v>20</v>
      </c>
      <c r="AE59" s="53" t="s">
        <v>20</v>
      </c>
    </row>
    <row r="60" spans="1:31" ht="15.75" customHeight="1" x14ac:dyDescent="0.25">
      <c r="A60" s="81">
        <v>55</v>
      </c>
      <c r="B60" s="89">
        <v>17</v>
      </c>
      <c r="C60" s="90" t="s">
        <v>247</v>
      </c>
      <c r="D60" s="89">
        <v>2</v>
      </c>
      <c r="E60" s="89" t="s">
        <v>19</v>
      </c>
      <c r="F60" s="51" t="s">
        <v>20</v>
      </c>
      <c r="G60" s="51" t="s">
        <v>20</v>
      </c>
      <c r="H60" s="51" t="s">
        <v>20</v>
      </c>
      <c r="I60" s="51" t="s">
        <v>20</v>
      </c>
      <c r="J60" s="51" t="s">
        <v>21</v>
      </c>
      <c r="K60" s="51" t="s">
        <v>20</v>
      </c>
      <c r="L60" s="51" t="s">
        <v>20</v>
      </c>
      <c r="M60" s="51" t="s">
        <v>20</v>
      </c>
      <c r="N60" s="51" t="s">
        <v>20</v>
      </c>
      <c r="O60" s="51" t="s">
        <v>19</v>
      </c>
      <c r="P60" s="51" t="s">
        <v>20</v>
      </c>
      <c r="Q60" s="51" t="s">
        <v>20</v>
      </c>
      <c r="R60" s="51" t="s">
        <v>20</v>
      </c>
      <c r="S60" s="51" t="s">
        <v>20</v>
      </c>
      <c r="T60" s="51" t="s">
        <v>20</v>
      </c>
      <c r="U60" s="51" t="s">
        <v>20</v>
      </c>
      <c r="V60" s="54" t="s">
        <v>19</v>
      </c>
      <c r="W60" s="54" t="s">
        <v>19</v>
      </c>
      <c r="X60" s="54" t="s">
        <v>19</v>
      </c>
      <c r="Y60" s="51" t="s">
        <v>19</v>
      </c>
      <c r="Z60" s="51" t="s">
        <v>19</v>
      </c>
      <c r="AA60" s="39" t="s">
        <v>21</v>
      </c>
      <c r="AB60" s="39" t="s">
        <v>21</v>
      </c>
      <c r="AC60" s="39" t="s">
        <v>20</v>
      </c>
      <c r="AD60" s="53" t="s">
        <v>20</v>
      </c>
      <c r="AE60" s="53" t="s">
        <v>20</v>
      </c>
    </row>
    <row r="61" spans="1:31" ht="15.75" customHeight="1" x14ac:dyDescent="0.25">
      <c r="A61" s="81">
        <v>56</v>
      </c>
      <c r="B61" s="89">
        <v>18</v>
      </c>
      <c r="C61" s="90" t="s">
        <v>54</v>
      </c>
      <c r="D61" s="89">
        <v>2</v>
      </c>
      <c r="E61" s="89" t="s">
        <v>19</v>
      </c>
      <c r="F61" s="51" t="s">
        <v>19</v>
      </c>
      <c r="G61" s="51" t="s">
        <v>19</v>
      </c>
      <c r="H61" s="51" t="s">
        <v>19</v>
      </c>
      <c r="I61" s="51" t="s">
        <v>19</v>
      </c>
      <c r="J61" s="51" t="s">
        <v>19</v>
      </c>
      <c r="K61" s="51" t="s">
        <v>19</v>
      </c>
      <c r="L61" s="51" t="s">
        <v>19</v>
      </c>
      <c r="M61" s="51" t="s">
        <v>19</v>
      </c>
      <c r="N61" s="51" t="s">
        <v>19</v>
      </c>
      <c r="O61" s="51" t="s">
        <v>19</v>
      </c>
      <c r="P61" s="51" t="s">
        <v>19</v>
      </c>
      <c r="Q61" s="51" t="s">
        <v>19</v>
      </c>
      <c r="R61" s="51" t="s">
        <v>19</v>
      </c>
      <c r="S61" s="51" t="s">
        <v>19</v>
      </c>
      <c r="T61" s="51" t="s">
        <v>19</v>
      </c>
      <c r="U61" s="51" t="s">
        <v>19</v>
      </c>
      <c r="V61" s="54" t="s">
        <v>19</v>
      </c>
      <c r="W61" s="54" t="s">
        <v>19</v>
      </c>
      <c r="X61" s="54" t="s">
        <v>19</v>
      </c>
      <c r="Y61" s="51" t="s">
        <v>22</v>
      </c>
      <c r="Z61" s="51" t="s">
        <v>22</v>
      </c>
      <c r="AA61" s="39" t="s">
        <v>19</v>
      </c>
      <c r="AB61" s="39" t="s">
        <v>19</v>
      </c>
      <c r="AC61" s="39" t="s">
        <v>19</v>
      </c>
      <c r="AD61" s="53" t="s">
        <v>19</v>
      </c>
      <c r="AE61" s="53" t="s">
        <v>20</v>
      </c>
    </row>
    <row r="62" spans="1:31" ht="15.75" customHeight="1" x14ac:dyDescent="0.25">
      <c r="A62" s="81">
        <v>57</v>
      </c>
      <c r="B62" s="89">
        <v>19</v>
      </c>
      <c r="C62" s="90" t="s">
        <v>80</v>
      </c>
      <c r="D62" s="89">
        <v>2</v>
      </c>
      <c r="E62" s="89" t="s">
        <v>19</v>
      </c>
      <c r="F62" s="51" t="s">
        <v>20</v>
      </c>
      <c r="G62" s="51" t="s">
        <v>19</v>
      </c>
      <c r="H62" s="51" t="s">
        <v>20</v>
      </c>
      <c r="I62" s="51" t="s">
        <v>20</v>
      </c>
      <c r="J62" s="51" t="s">
        <v>20</v>
      </c>
      <c r="K62" s="51" t="s">
        <v>21</v>
      </c>
      <c r="L62" s="51" t="s">
        <v>21</v>
      </c>
      <c r="M62" s="51" t="s">
        <v>20</v>
      </c>
      <c r="N62" s="51" t="s">
        <v>20</v>
      </c>
      <c r="O62" s="51" t="s">
        <v>19</v>
      </c>
      <c r="P62" s="51" t="s">
        <v>20</v>
      </c>
      <c r="Q62" s="51" t="s">
        <v>20</v>
      </c>
      <c r="R62" s="51" t="s">
        <v>21</v>
      </c>
      <c r="S62" s="51" t="s">
        <v>20</v>
      </c>
      <c r="T62" s="51" t="s">
        <v>20</v>
      </c>
      <c r="U62" s="51" t="s">
        <v>20</v>
      </c>
      <c r="V62" s="54" t="s">
        <v>20</v>
      </c>
      <c r="W62" s="54" t="s">
        <v>19</v>
      </c>
      <c r="X62" s="54" t="s">
        <v>19</v>
      </c>
      <c r="Y62" s="51" t="s">
        <v>19</v>
      </c>
      <c r="Z62" s="51" t="s">
        <v>19</v>
      </c>
      <c r="AA62" s="39" t="s">
        <v>21</v>
      </c>
      <c r="AB62" s="39" t="s">
        <v>20</v>
      </c>
      <c r="AC62" s="39" t="s">
        <v>20</v>
      </c>
      <c r="AD62" s="53" t="s">
        <v>21</v>
      </c>
      <c r="AE62" s="53" t="s">
        <v>20</v>
      </c>
    </row>
    <row r="63" spans="1:31" ht="15.75" customHeight="1" x14ac:dyDescent="0.25">
      <c r="A63" s="81">
        <v>58</v>
      </c>
      <c r="B63" s="89">
        <v>20</v>
      </c>
      <c r="C63" s="90" t="s">
        <v>248</v>
      </c>
      <c r="D63" s="89">
        <v>2</v>
      </c>
      <c r="E63" s="89" t="s">
        <v>19</v>
      </c>
      <c r="F63" s="51" t="s">
        <v>20</v>
      </c>
      <c r="G63" s="51" t="s">
        <v>20</v>
      </c>
      <c r="H63" s="51" t="s">
        <v>20</v>
      </c>
      <c r="I63" s="51" t="s">
        <v>20</v>
      </c>
      <c r="J63" s="51" t="s">
        <v>19</v>
      </c>
      <c r="K63" s="51" t="s">
        <v>20</v>
      </c>
      <c r="L63" s="51" t="s">
        <v>19</v>
      </c>
      <c r="M63" s="51" t="s">
        <v>19</v>
      </c>
      <c r="N63" s="51" t="s">
        <v>19</v>
      </c>
      <c r="O63" s="51" t="s">
        <v>19</v>
      </c>
      <c r="P63" s="51" t="s">
        <v>19</v>
      </c>
      <c r="Q63" s="51" t="s">
        <v>19</v>
      </c>
      <c r="R63" s="51" t="s">
        <v>19</v>
      </c>
      <c r="S63" s="51" t="s">
        <v>19</v>
      </c>
      <c r="T63" s="51" t="s">
        <v>20</v>
      </c>
      <c r="U63" s="51" t="s">
        <v>19</v>
      </c>
      <c r="V63" s="54" t="s">
        <v>19</v>
      </c>
      <c r="W63" s="54" t="s">
        <v>19</v>
      </c>
      <c r="X63" s="54" t="s">
        <v>20</v>
      </c>
      <c r="Y63" s="51" t="s">
        <v>19</v>
      </c>
      <c r="Z63" s="51" t="s">
        <v>19</v>
      </c>
      <c r="AA63" s="39" t="s">
        <v>19</v>
      </c>
      <c r="AB63" s="39" t="s">
        <v>19</v>
      </c>
      <c r="AC63" s="39" t="s">
        <v>19</v>
      </c>
      <c r="AD63" s="53" t="s">
        <v>20</v>
      </c>
      <c r="AE63" s="53" t="s">
        <v>20</v>
      </c>
    </row>
    <row r="64" spans="1:31" ht="15.75" customHeight="1" x14ac:dyDescent="0.25">
      <c r="A64" s="81">
        <v>59</v>
      </c>
      <c r="B64" s="89">
        <v>21</v>
      </c>
      <c r="C64" s="90" t="s">
        <v>55</v>
      </c>
      <c r="D64" s="89">
        <v>2</v>
      </c>
      <c r="E64" s="89" t="s">
        <v>19</v>
      </c>
      <c r="F64" s="51" t="s">
        <v>20</v>
      </c>
      <c r="G64" s="51" t="s">
        <v>19</v>
      </c>
      <c r="H64" s="51" t="s">
        <v>20</v>
      </c>
      <c r="I64" s="51" t="s">
        <v>20</v>
      </c>
      <c r="J64" s="51" t="s">
        <v>19</v>
      </c>
      <c r="K64" s="51" t="s">
        <v>20</v>
      </c>
      <c r="L64" s="51" t="s">
        <v>21</v>
      </c>
      <c r="M64" s="51" t="s">
        <v>20</v>
      </c>
      <c r="N64" s="51" t="s">
        <v>20</v>
      </c>
      <c r="O64" s="51" t="s">
        <v>21</v>
      </c>
      <c r="P64" s="51" t="s">
        <v>21</v>
      </c>
      <c r="Q64" s="51" t="s">
        <v>21</v>
      </c>
      <c r="R64" s="51" t="s">
        <v>20</v>
      </c>
      <c r="S64" s="51" t="s">
        <v>21</v>
      </c>
      <c r="T64" s="51" t="s">
        <v>21</v>
      </c>
      <c r="U64" s="51" t="s">
        <v>20</v>
      </c>
      <c r="V64" s="54" t="s">
        <v>19</v>
      </c>
      <c r="W64" s="54" t="s">
        <v>20</v>
      </c>
      <c r="X64" s="54" t="s">
        <v>19</v>
      </c>
      <c r="Y64" s="51" t="s">
        <v>20</v>
      </c>
      <c r="Z64" s="51" t="s">
        <v>20</v>
      </c>
      <c r="AA64" s="39" t="s">
        <v>21</v>
      </c>
      <c r="AB64" s="39" t="s">
        <v>20</v>
      </c>
      <c r="AC64" s="39" t="s">
        <v>20</v>
      </c>
      <c r="AD64" s="53" t="s">
        <v>21</v>
      </c>
      <c r="AE64" s="53" t="s">
        <v>20</v>
      </c>
    </row>
    <row r="65" spans="1:31" ht="15.75" customHeight="1" x14ac:dyDescent="0.25">
      <c r="A65" s="81">
        <v>60</v>
      </c>
      <c r="B65" s="89">
        <v>22</v>
      </c>
      <c r="C65" s="90" t="s">
        <v>56</v>
      </c>
      <c r="D65" s="89">
        <v>2</v>
      </c>
      <c r="E65" s="89" t="s">
        <v>19</v>
      </c>
      <c r="F65" s="51" t="s">
        <v>20</v>
      </c>
      <c r="G65" s="51" t="s">
        <v>21</v>
      </c>
      <c r="H65" s="51" t="s">
        <v>20</v>
      </c>
      <c r="I65" s="51" t="s">
        <v>20</v>
      </c>
      <c r="J65" s="51" t="s">
        <v>20</v>
      </c>
      <c r="K65" s="51" t="s">
        <v>20</v>
      </c>
      <c r="L65" s="51" t="s">
        <v>19</v>
      </c>
      <c r="M65" s="51" t="s">
        <v>20</v>
      </c>
      <c r="N65" s="51" t="s">
        <v>20</v>
      </c>
      <c r="O65" s="51" t="s">
        <v>21</v>
      </c>
      <c r="P65" s="51" t="s">
        <v>21</v>
      </c>
      <c r="Q65" s="51" t="s">
        <v>21</v>
      </c>
      <c r="R65" s="51" t="s">
        <v>20</v>
      </c>
      <c r="S65" s="51" t="s">
        <v>21</v>
      </c>
      <c r="T65" s="51" t="s">
        <v>21</v>
      </c>
      <c r="U65" s="51" t="s">
        <v>20</v>
      </c>
      <c r="V65" s="54" t="s">
        <v>19</v>
      </c>
      <c r="W65" s="54" t="s">
        <v>19</v>
      </c>
      <c r="X65" s="54" t="s">
        <v>19</v>
      </c>
      <c r="Y65" s="51" t="s">
        <v>20</v>
      </c>
      <c r="Z65" s="51" t="s">
        <v>20</v>
      </c>
      <c r="AA65" s="39" t="s">
        <v>21</v>
      </c>
      <c r="AB65" s="39" t="s">
        <v>20</v>
      </c>
      <c r="AC65" s="39" t="s">
        <v>20</v>
      </c>
      <c r="AD65" s="53" t="s">
        <v>21</v>
      </c>
      <c r="AE65" s="53" t="s">
        <v>20</v>
      </c>
    </row>
    <row r="66" spans="1:31" ht="15.75" customHeight="1" x14ac:dyDescent="0.25">
      <c r="A66" s="81">
        <v>61</v>
      </c>
      <c r="B66" s="89">
        <v>23</v>
      </c>
      <c r="C66" s="90" t="s">
        <v>57</v>
      </c>
      <c r="D66" s="89">
        <v>2</v>
      </c>
      <c r="E66" s="89" t="s">
        <v>19</v>
      </c>
      <c r="F66" s="51" t="s">
        <v>19</v>
      </c>
      <c r="G66" s="51" t="s">
        <v>19</v>
      </c>
      <c r="H66" s="51" t="s">
        <v>19</v>
      </c>
      <c r="I66" s="51" t="s">
        <v>19</v>
      </c>
      <c r="J66" s="51" t="s">
        <v>19</v>
      </c>
      <c r="K66" s="51" t="s">
        <v>19</v>
      </c>
      <c r="L66" s="51" t="s">
        <v>19</v>
      </c>
      <c r="M66" s="51" t="s">
        <v>19</v>
      </c>
      <c r="N66" s="51" t="s">
        <v>19</v>
      </c>
      <c r="O66" s="51" t="s">
        <v>19</v>
      </c>
      <c r="P66" s="51" t="s">
        <v>19</v>
      </c>
      <c r="Q66" s="51" t="s">
        <v>19</v>
      </c>
      <c r="R66" s="51" t="s">
        <v>19</v>
      </c>
      <c r="S66" s="51" t="s">
        <v>19</v>
      </c>
      <c r="T66" s="51" t="s">
        <v>19</v>
      </c>
      <c r="U66" s="51" t="s">
        <v>19</v>
      </c>
      <c r="V66" s="54" t="s">
        <v>19</v>
      </c>
      <c r="W66" s="54" t="s">
        <v>19</v>
      </c>
      <c r="X66" s="54" t="s">
        <v>19</v>
      </c>
      <c r="Y66" s="51" t="s">
        <v>19</v>
      </c>
      <c r="Z66" s="51" t="s">
        <v>19</v>
      </c>
      <c r="AA66" s="39" t="s">
        <v>19</v>
      </c>
      <c r="AB66" s="39" t="s">
        <v>19</v>
      </c>
      <c r="AC66" s="39" t="s">
        <v>19</v>
      </c>
      <c r="AD66" s="53" t="s">
        <v>19</v>
      </c>
      <c r="AE66" s="53" t="s">
        <v>20</v>
      </c>
    </row>
    <row r="67" spans="1:31" ht="15.75" customHeight="1" thickBot="1" x14ac:dyDescent="0.3">
      <c r="A67" s="81">
        <v>62</v>
      </c>
      <c r="B67" s="91">
        <v>24</v>
      </c>
      <c r="C67" s="92" t="s">
        <v>58</v>
      </c>
      <c r="D67" s="91">
        <v>2</v>
      </c>
      <c r="E67" s="91" t="s">
        <v>19</v>
      </c>
      <c r="F67" s="87" t="s">
        <v>20</v>
      </c>
      <c r="G67" s="87" t="s">
        <v>21</v>
      </c>
      <c r="H67" s="87" t="s">
        <v>20</v>
      </c>
      <c r="I67" s="87" t="s">
        <v>20</v>
      </c>
      <c r="J67" s="87" t="s">
        <v>20</v>
      </c>
      <c r="K67" s="87" t="s">
        <v>20</v>
      </c>
      <c r="L67" s="87" t="s">
        <v>21</v>
      </c>
      <c r="M67" s="87" t="s">
        <v>20</v>
      </c>
      <c r="N67" s="87" t="s">
        <v>20</v>
      </c>
      <c r="O67" s="87" t="s">
        <v>21</v>
      </c>
      <c r="P67" s="87" t="s">
        <v>20</v>
      </c>
      <c r="Q67" s="87" t="s">
        <v>20</v>
      </c>
      <c r="R67" s="87" t="s">
        <v>20</v>
      </c>
      <c r="S67" s="87" t="s">
        <v>21</v>
      </c>
      <c r="T67" s="87" t="s">
        <v>20</v>
      </c>
      <c r="U67" s="87" t="s">
        <v>20</v>
      </c>
      <c r="V67" s="100" t="s">
        <v>20</v>
      </c>
      <c r="W67" s="100" t="s">
        <v>19</v>
      </c>
      <c r="X67" s="100" t="s">
        <v>19</v>
      </c>
      <c r="Y67" s="87" t="s">
        <v>20</v>
      </c>
      <c r="Z67" s="87" t="s">
        <v>20</v>
      </c>
      <c r="AA67" s="41" t="s">
        <v>20</v>
      </c>
      <c r="AB67" s="41" t="s">
        <v>20</v>
      </c>
      <c r="AC67" s="41" t="s">
        <v>21</v>
      </c>
      <c r="AD67" s="96" t="s">
        <v>21</v>
      </c>
      <c r="AE67" s="96" t="s">
        <v>20</v>
      </c>
    </row>
    <row r="68" spans="1:31" ht="15.75" customHeight="1" x14ac:dyDescent="0.25">
      <c r="A68" s="81">
        <v>63</v>
      </c>
      <c r="B68" s="82">
        <v>1</v>
      </c>
      <c r="C68" s="40" t="s">
        <v>60</v>
      </c>
      <c r="D68" s="82">
        <v>2</v>
      </c>
      <c r="E68" s="82" t="s">
        <v>20</v>
      </c>
      <c r="F68" s="83" t="s">
        <v>20</v>
      </c>
      <c r="G68" s="83" t="s">
        <v>20</v>
      </c>
      <c r="H68" s="83" t="s">
        <v>20</v>
      </c>
      <c r="I68" s="83" t="s">
        <v>20</v>
      </c>
      <c r="J68" s="83" t="s">
        <v>20</v>
      </c>
      <c r="K68" s="83" t="s">
        <v>19</v>
      </c>
      <c r="L68" s="83" t="s">
        <v>19</v>
      </c>
      <c r="M68" s="83" t="s">
        <v>20</v>
      </c>
      <c r="N68" s="83" t="s">
        <v>20</v>
      </c>
      <c r="O68" s="83" t="s">
        <v>20</v>
      </c>
      <c r="P68" s="83" t="s">
        <v>20</v>
      </c>
      <c r="Q68" s="83" t="s">
        <v>20</v>
      </c>
      <c r="R68" s="83" t="s">
        <v>20</v>
      </c>
      <c r="S68" s="83" t="s">
        <v>20</v>
      </c>
      <c r="T68" s="83" t="s">
        <v>20</v>
      </c>
      <c r="U68" s="83" t="s">
        <v>20</v>
      </c>
      <c r="V68" s="99" t="s">
        <v>20</v>
      </c>
      <c r="W68" s="99" t="s">
        <v>19</v>
      </c>
      <c r="X68" s="99" t="s">
        <v>19</v>
      </c>
      <c r="Y68" s="83" t="s">
        <v>19</v>
      </c>
      <c r="Z68" s="83" t="s">
        <v>19</v>
      </c>
      <c r="AA68" s="86" t="s">
        <v>20</v>
      </c>
      <c r="AB68" s="86" t="s">
        <v>20</v>
      </c>
      <c r="AC68" s="86" t="s">
        <v>20</v>
      </c>
      <c r="AD68" s="83" t="s">
        <v>20</v>
      </c>
      <c r="AE68" s="83" t="s">
        <v>20</v>
      </c>
    </row>
    <row r="69" spans="1:31" ht="15.75" customHeight="1" x14ac:dyDescent="0.25">
      <c r="A69" s="81">
        <v>64</v>
      </c>
      <c r="B69" s="20">
        <v>2</v>
      </c>
      <c r="C69" s="37" t="s">
        <v>61</v>
      </c>
      <c r="D69" s="20">
        <v>2</v>
      </c>
      <c r="E69" s="20" t="s">
        <v>20</v>
      </c>
      <c r="F69" s="51" t="s">
        <v>20</v>
      </c>
      <c r="G69" s="51" t="s">
        <v>21</v>
      </c>
      <c r="H69" s="51" t="s">
        <v>20</v>
      </c>
      <c r="I69" s="51" t="s">
        <v>20</v>
      </c>
      <c r="J69" s="51" t="s">
        <v>20</v>
      </c>
      <c r="K69" s="51" t="s">
        <v>20</v>
      </c>
      <c r="L69" s="51" t="s">
        <v>20</v>
      </c>
      <c r="M69" s="51" t="s">
        <v>21</v>
      </c>
      <c r="N69" s="51" t="s">
        <v>20</v>
      </c>
      <c r="O69" s="51" t="s">
        <v>20</v>
      </c>
      <c r="P69" s="51" t="s">
        <v>21</v>
      </c>
      <c r="Q69" s="51" t="s">
        <v>20</v>
      </c>
      <c r="R69" s="51" t="s">
        <v>21</v>
      </c>
      <c r="S69" s="51" t="s">
        <v>21</v>
      </c>
      <c r="T69" s="51" t="s">
        <v>20</v>
      </c>
      <c r="U69" s="51" t="s">
        <v>20</v>
      </c>
      <c r="V69" s="54" t="s">
        <v>20</v>
      </c>
      <c r="W69" s="54" t="s">
        <v>20</v>
      </c>
      <c r="X69" s="54" t="s">
        <v>20</v>
      </c>
      <c r="Y69" s="51" t="s">
        <v>20</v>
      </c>
      <c r="Z69" s="51" t="s">
        <v>21</v>
      </c>
      <c r="AA69" s="39" t="s">
        <v>21</v>
      </c>
      <c r="AB69" s="39" t="s">
        <v>20</v>
      </c>
      <c r="AC69" s="39" t="s">
        <v>21</v>
      </c>
      <c r="AD69" s="51" t="s">
        <v>21</v>
      </c>
      <c r="AE69" s="51" t="s">
        <v>20</v>
      </c>
    </row>
    <row r="70" spans="1:31" ht="15.75" customHeight="1" x14ac:dyDescent="0.25">
      <c r="A70" s="81">
        <v>65</v>
      </c>
      <c r="B70" s="20">
        <v>3</v>
      </c>
      <c r="C70" s="37" t="s">
        <v>62</v>
      </c>
      <c r="D70" s="20">
        <v>2</v>
      </c>
      <c r="E70" s="20" t="s">
        <v>20</v>
      </c>
      <c r="F70" s="51" t="s">
        <v>19</v>
      </c>
      <c r="G70" s="51" t="s">
        <v>20</v>
      </c>
      <c r="H70" s="51" t="s">
        <v>19</v>
      </c>
      <c r="I70" s="51" t="s">
        <v>20</v>
      </c>
      <c r="J70" s="51" t="s">
        <v>19</v>
      </c>
      <c r="K70" s="51" t="s">
        <v>19</v>
      </c>
      <c r="L70" s="51" t="s">
        <v>19</v>
      </c>
      <c r="M70" s="51" t="s">
        <v>21</v>
      </c>
      <c r="N70" s="51" t="s">
        <v>20</v>
      </c>
      <c r="O70" s="51" t="s">
        <v>19</v>
      </c>
      <c r="P70" s="51" t="s">
        <v>20</v>
      </c>
      <c r="Q70" s="51" t="s">
        <v>20</v>
      </c>
      <c r="R70" s="51" t="s">
        <v>20</v>
      </c>
      <c r="S70" s="51" t="s">
        <v>19</v>
      </c>
      <c r="T70" s="51" t="s">
        <v>19</v>
      </c>
      <c r="U70" s="51" t="s">
        <v>19</v>
      </c>
      <c r="V70" s="54" t="s">
        <v>20</v>
      </c>
      <c r="W70" s="54" t="s">
        <v>20</v>
      </c>
      <c r="X70" s="54" t="s">
        <v>20</v>
      </c>
      <c r="Y70" s="51" t="s">
        <v>20</v>
      </c>
      <c r="Z70" s="51" t="s">
        <v>20</v>
      </c>
      <c r="AA70" s="39" t="s">
        <v>19</v>
      </c>
      <c r="AB70" s="39" t="s">
        <v>19</v>
      </c>
      <c r="AC70" s="39" t="s">
        <v>19</v>
      </c>
      <c r="AD70" s="51" t="s">
        <v>21</v>
      </c>
      <c r="AE70" s="51" t="s">
        <v>20</v>
      </c>
    </row>
    <row r="71" spans="1:31" ht="15.75" customHeight="1" x14ac:dyDescent="0.25">
      <c r="A71" s="81">
        <v>66</v>
      </c>
      <c r="B71" s="20">
        <v>4</v>
      </c>
      <c r="C71" s="37" t="s">
        <v>63</v>
      </c>
      <c r="D71" s="20">
        <v>2</v>
      </c>
      <c r="E71" s="20" t="s">
        <v>20</v>
      </c>
      <c r="F71" s="51" t="s">
        <v>19</v>
      </c>
      <c r="G71" s="51" t="s">
        <v>20</v>
      </c>
      <c r="H71" s="51" t="s">
        <v>20</v>
      </c>
      <c r="I71" s="51" t="s">
        <v>20</v>
      </c>
      <c r="J71" s="51" t="s">
        <v>20</v>
      </c>
      <c r="K71" s="51" t="s">
        <v>20</v>
      </c>
      <c r="L71" s="51" t="s">
        <v>20</v>
      </c>
      <c r="M71" s="51" t="s">
        <v>20</v>
      </c>
      <c r="N71" s="51" t="s">
        <v>19</v>
      </c>
      <c r="O71" s="51" t="s">
        <v>20</v>
      </c>
      <c r="P71" s="51" t="s">
        <v>19</v>
      </c>
      <c r="Q71" s="51" t="s">
        <v>19</v>
      </c>
      <c r="R71" s="51" t="s">
        <v>19</v>
      </c>
      <c r="S71" s="51" t="s">
        <v>19</v>
      </c>
      <c r="T71" s="51" t="s">
        <v>19</v>
      </c>
      <c r="U71" s="51" t="s">
        <v>20</v>
      </c>
      <c r="V71" s="54" t="s">
        <v>19</v>
      </c>
      <c r="W71" s="54" t="s">
        <v>20</v>
      </c>
      <c r="X71" s="54" t="s">
        <v>20</v>
      </c>
      <c r="Y71" s="51" t="s">
        <v>20</v>
      </c>
      <c r="Z71" s="51" t="s">
        <v>20</v>
      </c>
      <c r="AA71" s="39" t="s">
        <v>20</v>
      </c>
      <c r="AB71" s="39" t="s">
        <v>20</v>
      </c>
      <c r="AC71" s="39" t="s">
        <v>20</v>
      </c>
      <c r="AD71" s="51" t="s">
        <v>20</v>
      </c>
      <c r="AE71" s="51" t="s">
        <v>20</v>
      </c>
    </row>
    <row r="72" spans="1:31" ht="15.75" customHeight="1" x14ac:dyDescent="0.25">
      <c r="A72" s="81">
        <v>67</v>
      </c>
      <c r="B72" s="20">
        <v>5</v>
      </c>
      <c r="C72" s="37" t="s">
        <v>64</v>
      </c>
      <c r="D72" s="20">
        <v>2</v>
      </c>
      <c r="E72" s="20" t="s">
        <v>20</v>
      </c>
      <c r="F72" s="51" t="s">
        <v>19</v>
      </c>
      <c r="G72" s="51" t="s">
        <v>19</v>
      </c>
      <c r="H72" s="51" t="s">
        <v>19</v>
      </c>
      <c r="I72" s="51" t="s">
        <v>19</v>
      </c>
      <c r="J72" s="51" t="s">
        <v>20</v>
      </c>
      <c r="K72" s="51" t="s">
        <v>19</v>
      </c>
      <c r="L72" s="51" t="s">
        <v>19</v>
      </c>
      <c r="M72" s="51" t="s">
        <v>20</v>
      </c>
      <c r="N72" s="51" t="s">
        <v>19</v>
      </c>
      <c r="O72" s="51" t="s">
        <v>19</v>
      </c>
      <c r="P72" s="51" t="s">
        <v>20</v>
      </c>
      <c r="Q72" s="51" t="s">
        <v>20</v>
      </c>
      <c r="R72" s="51" t="s">
        <v>20</v>
      </c>
      <c r="S72" s="51" t="s">
        <v>20</v>
      </c>
      <c r="T72" s="51" t="s">
        <v>19</v>
      </c>
      <c r="U72" s="51" t="s">
        <v>20</v>
      </c>
      <c r="V72" s="54" t="s">
        <v>20</v>
      </c>
      <c r="W72" s="54" t="s">
        <v>20</v>
      </c>
      <c r="X72" s="54" t="s">
        <v>20</v>
      </c>
      <c r="Y72" s="51" t="s">
        <v>20</v>
      </c>
      <c r="Z72" s="51" t="s">
        <v>19</v>
      </c>
      <c r="AA72" s="39" t="s">
        <v>20</v>
      </c>
      <c r="AB72" s="39" t="s">
        <v>21</v>
      </c>
      <c r="AC72" s="39" t="s">
        <v>20</v>
      </c>
      <c r="AD72" s="51" t="s">
        <v>21</v>
      </c>
      <c r="AE72" s="51" t="s">
        <v>20</v>
      </c>
    </row>
    <row r="73" spans="1:31" ht="15.75" customHeight="1" x14ac:dyDescent="0.25">
      <c r="A73" s="81">
        <v>68</v>
      </c>
      <c r="B73" s="20">
        <v>6</v>
      </c>
      <c r="C73" s="37" t="s">
        <v>65</v>
      </c>
      <c r="D73" s="20">
        <v>2</v>
      </c>
      <c r="E73" s="20" t="s">
        <v>20</v>
      </c>
      <c r="F73" s="51" t="s">
        <v>20</v>
      </c>
      <c r="G73" s="51" t="s">
        <v>20</v>
      </c>
      <c r="H73" s="51" t="s">
        <v>20</v>
      </c>
      <c r="I73" s="51" t="s">
        <v>20</v>
      </c>
      <c r="J73" s="51" t="s">
        <v>20</v>
      </c>
      <c r="K73" s="51" t="s">
        <v>20</v>
      </c>
      <c r="L73" s="51" t="s">
        <v>20</v>
      </c>
      <c r="M73" s="51" t="s">
        <v>19</v>
      </c>
      <c r="N73" s="51" t="s">
        <v>19</v>
      </c>
      <c r="O73" s="51" t="s">
        <v>20</v>
      </c>
      <c r="P73" s="51" t="s">
        <v>21</v>
      </c>
      <c r="Q73" s="51" t="s">
        <v>20</v>
      </c>
      <c r="R73" s="51" t="s">
        <v>20</v>
      </c>
      <c r="S73" s="51" t="s">
        <v>20</v>
      </c>
      <c r="T73" s="51" t="s">
        <v>19</v>
      </c>
      <c r="U73" s="51" t="s">
        <v>19</v>
      </c>
      <c r="V73" s="54" t="s">
        <v>19</v>
      </c>
      <c r="W73" s="54" t="s">
        <v>19</v>
      </c>
      <c r="X73" s="54" t="s">
        <v>19</v>
      </c>
      <c r="Y73" s="51" t="s">
        <v>20</v>
      </c>
      <c r="Z73" s="51" t="s">
        <v>19</v>
      </c>
      <c r="AA73" s="39" t="s">
        <v>20</v>
      </c>
      <c r="AB73" s="39" t="s">
        <v>20</v>
      </c>
      <c r="AC73" s="39" t="s">
        <v>20</v>
      </c>
      <c r="AD73" s="51" t="s">
        <v>20</v>
      </c>
      <c r="AE73" s="51" t="s">
        <v>20</v>
      </c>
    </row>
    <row r="74" spans="1:31" ht="15.75" customHeight="1" x14ac:dyDescent="0.25">
      <c r="A74" s="81">
        <v>69</v>
      </c>
      <c r="B74" s="20">
        <v>7</v>
      </c>
      <c r="C74" s="37" t="s">
        <v>66</v>
      </c>
      <c r="D74" s="20">
        <v>2</v>
      </c>
      <c r="E74" s="20" t="s">
        <v>20</v>
      </c>
      <c r="F74" s="51" t="s">
        <v>20</v>
      </c>
      <c r="G74" s="51" t="s">
        <v>21</v>
      </c>
      <c r="H74" s="51" t="s">
        <v>20</v>
      </c>
      <c r="I74" s="51" t="s">
        <v>20</v>
      </c>
      <c r="J74" s="51" t="s">
        <v>20</v>
      </c>
      <c r="K74" s="51" t="s">
        <v>19</v>
      </c>
      <c r="L74" s="51" t="s">
        <v>19</v>
      </c>
      <c r="M74" s="51" t="s">
        <v>20</v>
      </c>
      <c r="N74" s="51" t="s">
        <v>20</v>
      </c>
      <c r="O74" s="51" t="s">
        <v>20</v>
      </c>
      <c r="P74" s="51" t="s">
        <v>20</v>
      </c>
      <c r="Q74" s="51" t="s">
        <v>20</v>
      </c>
      <c r="R74" s="51" t="s">
        <v>20</v>
      </c>
      <c r="S74" s="51" t="s">
        <v>20</v>
      </c>
      <c r="T74" s="51" t="s">
        <v>20</v>
      </c>
      <c r="U74" s="51" t="s">
        <v>20</v>
      </c>
      <c r="V74" s="54" t="s">
        <v>19</v>
      </c>
      <c r="W74" s="54" t="s">
        <v>20</v>
      </c>
      <c r="X74" s="54" t="s">
        <v>20</v>
      </c>
      <c r="Y74" s="51" t="s">
        <v>20</v>
      </c>
      <c r="Z74" s="51" t="s">
        <v>19</v>
      </c>
      <c r="AA74" s="39" t="s">
        <v>20</v>
      </c>
      <c r="AB74" s="39" t="s">
        <v>20</v>
      </c>
      <c r="AC74" s="39" t="s">
        <v>20</v>
      </c>
      <c r="AD74" s="51" t="s">
        <v>21</v>
      </c>
      <c r="AE74" s="51" t="s">
        <v>20</v>
      </c>
    </row>
    <row r="75" spans="1:31" ht="15.75" customHeight="1" x14ac:dyDescent="0.25">
      <c r="A75" s="81">
        <v>70</v>
      </c>
      <c r="B75" s="20">
        <v>8</v>
      </c>
      <c r="C75" s="37" t="s">
        <v>249</v>
      </c>
      <c r="D75" s="20">
        <v>2</v>
      </c>
      <c r="E75" s="20" t="s">
        <v>20</v>
      </c>
      <c r="F75" s="51" t="s">
        <v>19</v>
      </c>
      <c r="G75" s="51" t="s">
        <v>19</v>
      </c>
      <c r="H75" s="51" t="s">
        <v>19</v>
      </c>
      <c r="I75" s="51" t="s">
        <v>19</v>
      </c>
      <c r="J75" s="51" t="s">
        <v>19</v>
      </c>
      <c r="K75" s="51" t="s">
        <v>19</v>
      </c>
      <c r="L75" s="51" t="s">
        <v>22</v>
      </c>
      <c r="M75" s="51" t="s">
        <v>19</v>
      </c>
      <c r="N75" s="51" t="s">
        <v>19</v>
      </c>
      <c r="O75" s="51" t="s">
        <v>19</v>
      </c>
      <c r="P75" s="51" t="s">
        <v>19</v>
      </c>
      <c r="Q75" s="51" t="s">
        <v>19</v>
      </c>
      <c r="R75" s="51" t="s">
        <v>19</v>
      </c>
      <c r="S75" s="51" t="s">
        <v>19</v>
      </c>
      <c r="T75" s="51" t="s">
        <v>19</v>
      </c>
      <c r="U75" s="51" t="s">
        <v>19</v>
      </c>
      <c r="V75" s="54" t="s">
        <v>19</v>
      </c>
      <c r="W75" s="54" t="s">
        <v>19</v>
      </c>
      <c r="X75" s="54" t="s">
        <v>19</v>
      </c>
      <c r="Y75" s="51" t="s">
        <v>19</v>
      </c>
      <c r="Z75" s="51" t="s">
        <v>19</v>
      </c>
      <c r="AA75" s="39" t="s">
        <v>19</v>
      </c>
      <c r="AB75" s="39" t="s">
        <v>19</v>
      </c>
      <c r="AC75" s="39" t="s">
        <v>19</v>
      </c>
      <c r="AD75" s="51" t="s">
        <v>19</v>
      </c>
      <c r="AE75" s="51" t="s">
        <v>20</v>
      </c>
    </row>
    <row r="76" spans="1:31" ht="15.75" customHeight="1" x14ac:dyDescent="0.25">
      <c r="A76" s="81">
        <v>71</v>
      </c>
      <c r="B76" s="20">
        <v>9</v>
      </c>
      <c r="C76" s="37" t="s">
        <v>67</v>
      </c>
      <c r="D76" s="20">
        <v>2</v>
      </c>
      <c r="E76" s="20" t="s">
        <v>20</v>
      </c>
      <c r="F76" s="51" t="s">
        <v>19</v>
      </c>
      <c r="G76" s="51" t="s">
        <v>20</v>
      </c>
      <c r="H76" s="51" t="s">
        <v>20</v>
      </c>
      <c r="I76" s="51" t="s">
        <v>20</v>
      </c>
      <c r="J76" s="51" t="s">
        <v>20</v>
      </c>
      <c r="K76" s="51" t="s">
        <v>20</v>
      </c>
      <c r="L76" s="51" t="s">
        <v>20</v>
      </c>
      <c r="M76" s="51" t="s">
        <v>20</v>
      </c>
      <c r="N76" s="51" t="s">
        <v>20</v>
      </c>
      <c r="O76" s="51" t="s">
        <v>19</v>
      </c>
      <c r="P76" s="51" t="s">
        <v>20</v>
      </c>
      <c r="Q76" s="51" t="s">
        <v>20</v>
      </c>
      <c r="R76" s="51" t="s">
        <v>20</v>
      </c>
      <c r="S76" s="51" t="s">
        <v>20</v>
      </c>
      <c r="T76" s="51" t="s">
        <v>19</v>
      </c>
      <c r="U76" s="51" t="s">
        <v>19</v>
      </c>
      <c r="V76" s="54" t="s">
        <v>19</v>
      </c>
      <c r="W76" s="54" t="s">
        <v>19</v>
      </c>
      <c r="X76" s="54" t="s">
        <v>19</v>
      </c>
      <c r="Y76" s="51" t="s">
        <v>19</v>
      </c>
      <c r="Z76" s="51" t="s">
        <v>20</v>
      </c>
      <c r="AA76" s="39" t="s">
        <v>20</v>
      </c>
      <c r="AB76" s="39" t="s">
        <v>20</v>
      </c>
      <c r="AC76" s="39" t="s">
        <v>20</v>
      </c>
      <c r="AD76" s="51" t="s">
        <v>20</v>
      </c>
      <c r="AE76" s="51" t="s">
        <v>20</v>
      </c>
    </row>
    <row r="77" spans="1:31" ht="15.75" customHeight="1" x14ac:dyDescent="0.25">
      <c r="A77" s="81">
        <v>72</v>
      </c>
      <c r="B77" s="20">
        <v>10</v>
      </c>
      <c r="C77" s="37" t="s">
        <v>250</v>
      </c>
      <c r="D77" s="20">
        <v>2</v>
      </c>
      <c r="E77" s="20" t="s">
        <v>20</v>
      </c>
      <c r="F77" s="51" t="s">
        <v>20</v>
      </c>
      <c r="G77" s="51" t="s">
        <v>20</v>
      </c>
      <c r="H77" s="51" t="s">
        <v>20</v>
      </c>
      <c r="I77" s="51" t="s">
        <v>20</v>
      </c>
      <c r="J77" s="51" t="s">
        <v>20</v>
      </c>
      <c r="K77" s="51" t="s">
        <v>19</v>
      </c>
      <c r="L77" s="51" t="s">
        <v>19</v>
      </c>
      <c r="M77" s="51" t="s">
        <v>19</v>
      </c>
      <c r="N77" s="51" t="s">
        <v>20</v>
      </c>
      <c r="O77" s="51" t="s">
        <v>20</v>
      </c>
      <c r="P77" s="51" t="s">
        <v>20</v>
      </c>
      <c r="Q77" s="51" t="s">
        <v>20</v>
      </c>
      <c r="R77" s="51" t="s">
        <v>20</v>
      </c>
      <c r="S77" s="51" t="s">
        <v>20</v>
      </c>
      <c r="T77" s="51" t="s">
        <v>21</v>
      </c>
      <c r="U77" s="51" t="s">
        <v>20</v>
      </c>
      <c r="V77" s="54" t="s">
        <v>20</v>
      </c>
      <c r="W77" s="54" t="s">
        <v>19</v>
      </c>
      <c r="X77" s="54" t="s">
        <v>19</v>
      </c>
      <c r="Y77" s="51" t="s">
        <v>20</v>
      </c>
      <c r="Z77" s="51" t="s">
        <v>19</v>
      </c>
      <c r="AA77" s="39" t="s">
        <v>19</v>
      </c>
      <c r="AB77" s="39" t="s">
        <v>20</v>
      </c>
      <c r="AC77" s="39" t="s">
        <v>20</v>
      </c>
      <c r="AD77" s="51" t="s">
        <v>21</v>
      </c>
      <c r="AE77" s="51" t="s">
        <v>20</v>
      </c>
    </row>
    <row r="78" spans="1:31" ht="15.75" customHeight="1" x14ac:dyDescent="0.25">
      <c r="A78" s="81">
        <v>73</v>
      </c>
      <c r="B78" s="20">
        <v>11</v>
      </c>
      <c r="C78" s="37" t="s">
        <v>68</v>
      </c>
      <c r="D78" s="20">
        <v>2</v>
      </c>
      <c r="E78" s="20" t="s">
        <v>20</v>
      </c>
      <c r="F78" s="51" t="s">
        <v>20</v>
      </c>
      <c r="G78" s="51" t="s">
        <v>21</v>
      </c>
      <c r="H78" s="51" t="s">
        <v>20</v>
      </c>
      <c r="I78" s="51" t="s">
        <v>20</v>
      </c>
      <c r="J78" s="51" t="s">
        <v>20</v>
      </c>
      <c r="K78" s="51" t="s">
        <v>20</v>
      </c>
      <c r="L78" s="51" t="s">
        <v>20</v>
      </c>
      <c r="M78" s="51" t="s">
        <v>19</v>
      </c>
      <c r="N78" s="51" t="s">
        <v>19</v>
      </c>
      <c r="O78" s="51" t="s">
        <v>19</v>
      </c>
      <c r="P78" s="51" t="s">
        <v>20</v>
      </c>
      <c r="Q78" s="51" t="s">
        <v>20</v>
      </c>
      <c r="R78" s="51" t="s">
        <v>20</v>
      </c>
      <c r="S78" s="51" t="s">
        <v>20</v>
      </c>
      <c r="T78" s="51" t="s">
        <v>19</v>
      </c>
      <c r="U78" s="51" t="s">
        <v>20</v>
      </c>
      <c r="V78" s="54" t="s">
        <v>20</v>
      </c>
      <c r="W78" s="54" t="s">
        <v>19</v>
      </c>
      <c r="X78" s="54" t="s">
        <v>19</v>
      </c>
      <c r="Y78" s="51" t="s">
        <v>19</v>
      </c>
      <c r="Z78" s="51" t="s">
        <v>19</v>
      </c>
      <c r="AA78" s="39" t="s">
        <v>21</v>
      </c>
      <c r="AB78" s="39" t="s">
        <v>20</v>
      </c>
      <c r="AC78" s="39" t="s">
        <v>20</v>
      </c>
      <c r="AD78" s="51" t="s">
        <v>21</v>
      </c>
      <c r="AE78" s="51" t="s">
        <v>20</v>
      </c>
    </row>
    <row r="79" spans="1:31" ht="15.75" customHeight="1" x14ac:dyDescent="0.25">
      <c r="A79" s="81">
        <v>74</v>
      </c>
      <c r="B79" s="20">
        <v>12</v>
      </c>
      <c r="C79" s="37" t="s">
        <v>69</v>
      </c>
      <c r="D79" s="20">
        <v>2</v>
      </c>
      <c r="E79" s="20" t="s">
        <v>20</v>
      </c>
      <c r="F79" s="51" t="s">
        <v>19</v>
      </c>
      <c r="G79" s="51" t="s">
        <v>20</v>
      </c>
      <c r="H79" s="51" t="s">
        <v>20</v>
      </c>
      <c r="I79" s="51" t="s">
        <v>20</v>
      </c>
      <c r="J79" s="51" t="s">
        <v>20</v>
      </c>
      <c r="K79" s="51" t="s">
        <v>20</v>
      </c>
      <c r="L79" s="51" t="s">
        <v>20</v>
      </c>
      <c r="M79" s="51" t="s">
        <v>19</v>
      </c>
      <c r="N79" s="51" t="s">
        <v>19</v>
      </c>
      <c r="O79" s="51" t="s">
        <v>19</v>
      </c>
      <c r="P79" s="51" t="s">
        <v>20</v>
      </c>
      <c r="Q79" s="51" t="s">
        <v>20</v>
      </c>
      <c r="R79" s="51" t="s">
        <v>20</v>
      </c>
      <c r="S79" s="51" t="s">
        <v>19</v>
      </c>
      <c r="T79" s="51" t="s">
        <v>19</v>
      </c>
      <c r="U79" s="51" t="s">
        <v>20</v>
      </c>
      <c r="V79" s="54" t="s">
        <v>20</v>
      </c>
      <c r="W79" s="54" t="s">
        <v>19</v>
      </c>
      <c r="X79" s="54" t="s">
        <v>19</v>
      </c>
      <c r="Y79" s="51" t="s">
        <v>19</v>
      </c>
      <c r="Z79" s="51" t="s">
        <v>19</v>
      </c>
      <c r="AA79" s="39" t="s">
        <v>21</v>
      </c>
      <c r="AB79" s="39" t="s">
        <v>20</v>
      </c>
      <c r="AC79" s="39" t="s">
        <v>20</v>
      </c>
      <c r="AD79" s="51" t="s">
        <v>19</v>
      </c>
      <c r="AE79" s="51" t="s">
        <v>20</v>
      </c>
    </row>
    <row r="80" spans="1:31" ht="15.75" customHeight="1" x14ac:dyDescent="0.25">
      <c r="A80" s="81">
        <v>75</v>
      </c>
      <c r="B80" s="20">
        <v>13</v>
      </c>
      <c r="C80" s="37" t="s">
        <v>70</v>
      </c>
      <c r="D80" s="20">
        <v>2</v>
      </c>
      <c r="E80" s="20" t="s">
        <v>20</v>
      </c>
      <c r="F80" s="51" t="s">
        <v>19</v>
      </c>
      <c r="G80" s="51" t="s">
        <v>20</v>
      </c>
      <c r="H80" s="51" t="s">
        <v>19</v>
      </c>
      <c r="I80" s="51" t="s">
        <v>20</v>
      </c>
      <c r="J80" s="51" t="s">
        <v>19</v>
      </c>
      <c r="K80" s="51" t="s">
        <v>19</v>
      </c>
      <c r="L80" s="51" t="s">
        <v>19</v>
      </c>
      <c r="M80" s="51" t="s">
        <v>20</v>
      </c>
      <c r="N80" s="51" t="s">
        <v>19</v>
      </c>
      <c r="O80" s="51" t="s">
        <v>20</v>
      </c>
      <c r="P80" s="51" t="s">
        <v>20</v>
      </c>
      <c r="Q80" s="51" t="s">
        <v>20</v>
      </c>
      <c r="R80" s="51" t="s">
        <v>20</v>
      </c>
      <c r="S80" s="51" t="s">
        <v>19</v>
      </c>
      <c r="T80" s="51" t="s">
        <v>19</v>
      </c>
      <c r="U80" s="51" t="s">
        <v>20</v>
      </c>
      <c r="V80" s="54" t="s">
        <v>20</v>
      </c>
      <c r="W80" s="54" t="s">
        <v>19</v>
      </c>
      <c r="X80" s="54" t="s">
        <v>20</v>
      </c>
      <c r="Y80" s="51" t="s">
        <v>20</v>
      </c>
      <c r="Z80" s="51" t="s">
        <v>20</v>
      </c>
      <c r="AA80" s="39" t="s">
        <v>20</v>
      </c>
      <c r="AB80" s="39" t="s">
        <v>19</v>
      </c>
      <c r="AC80" s="39" t="s">
        <v>19</v>
      </c>
      <c r="AD80" s="51" t="s">
        <v>20</v>
      </c>
      <c r="AE80" s="51" t="s">
        <v>20</v>
      </c>
    </row>
    <row r="81" spans="1:31" ht="15.75" customHeight="1" x14ac:dyDescent="0.25">
      <c r="A81" s="81">
        <v>76</v>
      </c>
      <c r="B81" s="20">
        <v>14</v>
      </c>
      <c r="C81" s="37" t="s">
        <v>71</v>
      </c>
      <c r="D81" s="20">
        <v>2</v>
      </c>
      <c r="E81" s="20" t="s">
        <v>20</v>
      </c>
      <c r="F81" s="51" t="s">
        <v>19</v>
      </c>
      <c r="G81" s="51" t="s">
        <v>19</v>
      </c>
      <c r="H81" s="51" t="s">
        <v>19</v>
      </c>
      <c r="I81" s="51" t="s">
        <v>19</v>
      </c>
      <c r="J81" s="51" t="s">
        <v>19</v>
      </c>
      <c r="K81" s="51" t="s">
        <v>19</v>
      </c>
      <c r="L81" s="51" t="s">
        <v>19</v>
      </c>
      <c r="M81" s="51" t="s">
        <v>20</v>
      </c>
      <c r="N81" s="51" t="s">
        <v>19</v>
      </c>
      <c r="O81" s="51" t="s">
        <v>19</v>
      </c>
      <c r="P81" s="51" t="s">
        <v>19</v>
      </c>
      <c r="Q81" s="51" t="s">
        <v>19</v>
      </c>
      <c r="R81" s="51" t="s">
        <v>19</v>
      </c>
      <c r="S81" s="51" t="s">
        <v>19</v>
      </c>
      <c r="T81" s="51" t="s">
        <v>19</v>
      </c>
      <c r="U81" s="51" t="s">
        <v>20</v>
      </c>
      <c r="V81" s="54" t="s">
        <v>19</v>
      </c>
      <c r="W81" s="54" t="s">
        <v>19</v>
      </c>
      <c r="X81" s="54" t="s">
        <v>19</v>
      </c>
      <c r="Y81" s="51" t="s">
        <v>19</v>
      </c>
      <c r="Z81" s="51" t="s">
        <v>19</v>
      </c>
      <c r="AA81" s="39" t="s">
        <v>20</v>
      </c>
      <c r="AB81" s="39" t="s">
        <v>20</v>
      </c>
      <c r="AC81" s="39" t="s">
        <v>20</v>
      </c>
      <c r="AD81" s="55" t="s">
        <v>21</v>
      </c>
      <c r="AE81" s="55" t="s">
        <v>20</v>
      </c>
    </row>
    <row r="82" spans="1:31" ht="15.75" customHeight="1" x14ac:dyDescent="0.25">
      <c r="A82" s="81">
        <v>77</v>
      </c>
      <c r="B82" s="20">
        <v>15</v>
      </c>
      <c r="C82" s="37" t="s">
        <v>72</v>
      </c>
      <c r="D82" s="20">
        <v>2</v>
      </c>
      <c r="E82" s="20" t="s">
        <v>20</v>
      </c>
      <c r="F82" s="51" t="s">
        <v>20</v>
      </c>
      <c r="G82" s="51" t="s">
        <v>20</v>
      </c>
      <c r="H82" s="51" t="s">
        <v>20</v>
      </c>
      <c r="I82" s="51" t="s">
        <v>20</v>
      </c>
      <c r="J82" s="51" t="s">
        <v>20</v>
      </c>
      <c r="K82" s="51" t="s">
        <v>20</v>
      </c>
      <c r="L82" s="51" t="s">
        <v>20</v>
      </c>
      <c r="M82" s="51" t="s">
        <v>20</v>
      </c>
      <c r="N82" s="51" t="s">
        <v>21</v>
      </c>
      <c r="O82" s="51" t="s">
        <v>20</v>
      </c>
      <c r="P82" s="51" t="s">
        <v>20</v>
      </c>
      <c r="Q82" s="51" t="s">
        <v>20</v>
      </c>
      <c r="R82" s="51" t="s">
        <v>20</v>
      </c>
      <c r="S82" s="51" t="s">
        <v>20</v>
      </c>
      <c r="T82" s="51" t="s">
        <v>19</v>
      </c>
      <c r="U82" s="51" t="s">
        <v>19</v>
      </c>
      <c r="V82" s="54" t="s">
        <v>20</v>
      </c>
      <c r="W82" s="54" t="s">
        <v>19</v>
      </c>
      <c r="X82" s="54" t="s">
        <v>20</v>
      </c>
      <c r="Y82" s="51" t="s">
        <v>19</v>
      </c>
      <c r="Z82" s="51" t="s">
        <v>20</v>
      </c>
      <c r="AA82" s="39" t="s">
        <v>20</v>
      </c>
      <c r="AB82" s="39" t="s">
        <v>20</v>
      </c>
      <c r="AC82" s="39" t="s">
        <v>20</v>
      </c>
      <c r="AD82" s="51" t="s">
        <v>20</v>
      </c>
      <c r="AE82" s="51" t="s">
        <v>20</v>
      </c>
    </row>
    <row r="83" spans="1:31" ht="15.75" customHeight="1" x14ac:dyDescent="0.25">
      <c r="A83" s="81">
        <v>78</v>
      </c>
      <c r="B83" s="20">
        <v>16</v>
      </c>
      <c r="C83" s="37" t="s">
        <v>73</v>
      </c>
      <c r="D83" s="20">
        <v>2</v>
      </c>
      <c r="E83" s="20" t="s">
        <v>20</v>
      </c>
      <c r="F83" s="51" t="s">
        <v>20</v>
      </c>
      <c r="G83" s="51" t="s">
        <v>21</v>
      </c>
      <c r="H83" s="51" t="s">
        <v>20</v>
      </c>
      <c r="I83" s="51" t="s">
        <v>20</v>
      </c>
      <c r="J83" s="51" t="s">
        <v>20</v>
      </c>
      <c r="K83" s="51" t="s">
        <v>20</v>
      </c>
      <c r="L83" s="51" t="s">
        <v>20</v>
      </c>
      <c r="M83" s="51" t="s">
        <v>20</v>
      </c>
      <c r="N83" s="51" t="s">
        <v>21</v>
      </c>
      <c r="O83" s="51" t="s">
        <v>20</v>
      </c>
      <c r="P83" s="51" t="s">
        <v>21</v>
      </c>
      <c r="Q83" s="51" t="s">
        <v>21</v>
      </c>
      <c r="R83" s="51" t="s">
        <v>20</v>
      </c>
      <c r="S83" s="51" t="s">
        <v>20</v>
      </c>
      <c r="T83" s="51" t="s">
        <v>20</v>
      </c>
      <c r="U83" s="51" t="s">
        <v>20</v>
      </c>
      <c r="V83" s="54" t="s">
        <v>20</v>
      </c>
      <c r="W83" s="54" t="s">
        <v>20</v>
      </c>
      <c r="X83" s="54" t="s">
        <v>20</v>
      </c>
      <c r="Y83" s="51" t="s">
        <v>21</v>
      </c>
      <c r="Z83" s="51" t="s">
        <v>19</v>
      </c>
      <c r="AA83" s="39" t="s">
        <v>20</v>
      </c>
      <c r="AB83" s="39" t="s">
        <v>20</v>
      </c>
      <c r="AC83" s="39" t="s">
        <v>20</v>
      </c>
      <c r="AD83" s="51" t="s">
        <v>21</v>
      </c>
      <c r="AE83" s="51" t="s">
        <v>20</v>
      </c>
    </row>
    <row r="84" spans="1:31" ht="15.75" customHeight="1" x14ac:dyDescent="0.25">
      <c r="A84" s="81">
        <v>79</v>
      </c>
      <c r="B84" s="20">
        <v>17</v>
      </c>
      <c r="C84" s="37" t="s">
        <v>74</v>
      </c>
      <c r="D84" s="20">
        <v>2</v>
      </c>
      <c r="E84" s="20" t="s">
        <v>20</v>
      </c>
      <c r="F84" s="51" t="s">
        <v>19</v>
      </c>
      <c r="G84" s="51" t="s">
        <v>20</v>
      </c>
      <c r="H84" s="51" t="s">
        <v>20</v>
      </c>
      <c r="I84" s="51" t="s">
        <v>20</v>
      </c>
      <c r="J84" s="51" t="s">
        <v>20</v>
      </c>
      <c r="K84" s="51" t="s">
        <v>20</v>
      </c>
      <c r="L84" s="51" t="s">
        <v>20</v>
      </c>
      <c r="M84" s="51" t="s">
        <v>20</v>
      </c>
      <c r="N84" s="51" t="s">
        <v>19</v>
      </c>
      <c r="O84" s="51" t="s">
        <v>20</v>
      </c>
      <c r="P84" s="51" t="s">
        <v>21</v>
      </c>
      <c r="Q84" s="51" t="s">
        <v>21</v>
      </c>
      <c r="R84" s="51" t="s">
        <v>20</v>
      </c>
      <c r="S84" s="51" t="s">
        <v>20</v>
      </c>
      <c r="T84" s="51" t="s">
        <v>19</v>
      </c>
      <c r="U84" s="51" t="s">
        <v>20</v>
      </c>
      <c r="V84" s="54" t="s">
        <v>19</v>
      </c>
      <c r="W84" s="54" t="s">
        <v>19</v>
      </c>
      <c r="X84" s="54" t="s">
        <v>19</v>
      </c>
      <c r="Y84" s="51" t="s">
        <v>20</v>
      </c>
      <c r="Z84" s="51" t="s">
        <v>19</v>
      </c>
      <c r="AA84" s="39" t="s">
        <v>20</v>
      </c>
      <c r="AB84" s="39" t="s">
        <v>20</v>
      </c>
      <c r="AC84" s="39" t="s">
        <v>20</v>
      </c>
      <c r="AD84" s="51" t="s">
        <v>21</v>
      </c>
      <c r="AE84" s="51" t="s">
        <v>20</v>
      </c>
    </row>
    <row r="85" spans="1:31" ht="15.75" customHeight="1" x14ac:dyDescent="0.25">
      <c r="A85" s="81">
        <v>80</v>
      </c>
      <c r="B85" s="20">
        <v>18</v>
      </c>
      <c r="C85" s="37" t="s">
        <v>75</v>
      </c>
      <c r="D85" s="20">
        <v>2</v>
      </c>
      <c r="E85" s="20" t="s">
        <v>20</v>
      </c>
      <c r="F85" s="51" t="s">
        <v>19</v>
      </c>
      <c r="G85" s="51" t="s">
        <v>20</v>
      </c>
      <c r="H85" s="51" t="s">
        <v>20</v>
      </c>
      <c r="I85" s="51" t="s">
        <v>19</v>
      </c>
      <c r="J85" s="51" t="s">
        <v>20</v>
      </c>
      <c r="K85" s="51" t="s">
        <v>19</v>
      </c>
      <c r="L85" s="51" t="s">
        <v>19</v>
      </c>
      <c r="M85" s="51" t="s">
        <v>21</v>
      </c>
      <c r="N85" s="51" t="s">
        <v>19</v>
      </c>
      <c r="O85" s="51" t="s">
        <v>19</v>
      </c>
      <c r="P85" s="51" t="s">
        <v>20</v>
      </c>
      <c r="Q85" s="51" t="s">
        <v>20</v>
      </c>
      <c r="R85" s="51" t="s">
        <v>20</v>
      </c>
      <c r="S85" s="51" t="s">
        <v>19</v>
      </c>
      <c r="T85" s="51" t="s">
        <v>20</v>
      </c>
      <c r="U85" s="51" t="s">
        <v>20</v>
      </c>
      <c r="V85" s="54" t="s">
        <v>20</v>
      </c>
      <c r="W85" s="54" t="s">
        <v>20</v>
      </c>
      <c r="X85" s="54" t="s">
        <v>20</v>
      </c>
      <c r="Y85" s="51" t="s">
        <v>21</v>
      </c>
      <c r="Z85" s="51" t="s">
        <v>20</v>
      </c>
      <c r="AA85" s="39" t="s">
        <v>20</v>
      </c>
      <c r="AB85" s="39" t="s">
        <v>19</v>
      </c>
      <c r="AC85" s="39" t="s">
        <v>19</v>
      </c>
      <c r="AD85" s="51" t="s">
        <v>21</v>
      </c>
      <c r="AE85" s="51" t="s">
        <v>20</v>
      </c>
    </row>
    <row r="86" spans="1:31" ht="15.75" customHeight="1" x14ac:dyDescent="0.25">
      <c r="A86" s="81">
        <v>81</v>
      </c>
      <c r="B86" s="20">
        <v>19</v>
      </c>
      <c r="C86" s="37" t="s">
        <v>76</v>
      </c>
      <c r="D86" s="20">
        <v>2</v>
      </c>
      <c r="E86" s="20" t="s">
        <v>20</v>
      </c>
      <c r="F86" s="51" t="s">
        <v>20</v>
      </c>
      <c r="G86" s="51" t="s">
        <v>21</v>
      </c>
      <c r="H86" s="51" t="s">
        <v>20</v>
      </c>
      <c r="I86" s="51" t="s">
        <v>20</v>
      </c>
      <c r="J86" s="51" t="s">
        <v>20</v>
      </c>
      <c r="K86" s="51" t="s">
        <v>20</v>
      </c>
      <c r="L86" s="51" t="s">
        <v>20</v>
      </c>
      <c r="M86" s="51" t="s">
        <v>21</v>
      </c>
      <c r="N86" s="51" t="s">
        <v>21</v>
      </c>
      <c r="O86" s="51" t="s">
        <v>21</v>
      </c>
      <c r="P86" s="51" t="s">
        <v>21</v>
      </c>
      <c r="Q86" s="51" t="s">
        <v>20</v>
      </c>
      <c r="R86" s="51" t="s">
        <v>21</v>
      </c>
      <c r="S86" s="51" t="s">
        <v>20</v>
      </c>
      <c r="T86" s="51" t="s">
        <v>21</v>
      </c>
      <c r="U86" s="51" t="s">
        <v>20</v>
      </c>
      <c r="V86" s="54" t="s">
        <v>20</v>
      </c>
      <c r="W86" s="54" t="s">
        <v>20</v>
      </c>
      <c r="X86" s="54" t="s">
        <v>20</v>
      </c>
      <c r="Y86" s="51" t="s">
        <v>21</v>
      </c>
      <c r="Z86" s="51" t="s">
        <v>21</v>
      </c>
      <c r="AA86" s="39" t="s">
        <v>20</v>
      </c>
      <c r="AB86" s="39" t="s">
        <v>20</v>
      </c>
      <c r="AC86" s="39" t="s">
        <v>20</v>
      </c>
      <c r="AD86" s="51" t="s">
        <v>21</v>
      </c>
      <c r="AE86" s="51" t="s">
        <v>20</v>
      </c>
    </row>
    <row r="87" spans="1:31" ht="15.75" customHeight="1" x14ac:dyDescent="0.25">
      <c r="A87" s="81">
        <v>82</v>
      </c>
      <c r="B87" s="20">
        <v>20</v>
      </c>
      <c r="C87" s="37" t="s">
        <v>77</v>
      </c>
      <c r="D87" s="20">
        <v>2</v>
      </c>
      <c r="E87" s="20" t="s">
        <v>20</v>
      </c>
      <c r="F87" s="51" t="s">
        <v>19</v>
      </c>
      <c r="G87" s="51" t="s">
        <v>19</v>
      </c>
      <c r="H87" s="51" t="s">
        <v>19</v>
      </c>
      <c r="I87" s="51" t="s">
        <v>19</v>
      </c>
      <c r="J87" s="51" t="s">
        <v>19</v>
      </c>
      <c r="K87" s="51" t="s">
        <v>19</v>
      </c>
      <c r="L87" s="51" t="s">
        <v>20</v>
      </c>
      <c r="M87" s="51" t="s">
        <v>20</v>
      </c>
      <c r="N87" s="51" t="s">
        <v>19</v>
      </c>
      <c r="O87" s="51" t="s">
        <v>19</v>
      </c>
      <c r="P87" s="51" t="s">
        <v>21</v>
      </c>
      <c r="Q87" s="51" t="s">
        <v>21</v>
      </c>
      <c r="R87" s="51" t="s">
        <v>20</v>
      </c>
      <c r="S87" s="51" t="s">
        <v>20</v>
      </c>
      <c r="T87" s="51" t="s">
        <v>19</v>
      </c>
      <c r="U87" s="51" t="s">
        <v>20</v>
      </c>
      <c r="V87" s="54" t="s">
        <v>20</v>
      </c>
      <c r="W87" s="54" t="s">
        <v>19</v>
      </c>
      <c r="X87" s="54" t="s">
        <v>20</v>
      </c>
      <c r="Y87" s="51" t="s">
        <v>19</v>
      </c>
      <c r="Z87" s="51" t="s">
        <v>19</v>
      </c>
      <c r="AA87" s="39" t="s">
        <v>19</v>
      </c>
      <c r="AB87" s="39" t="s">
        <v>19</v>
      </c>
      <c r="AC87" s="39" t="s">
        <v>19</v>
      </c>
      <c r="AD87" s="51" t="s">
        <v>20</v>
      </c>
      <c r="AE87" s="51" t="s">
        <v>20</v>
      </c>
    </row>
    <row r="88" spans="1:31" ht="15.75" customHeight="1" x14ac:dyDescent="0.25">
      <c r="A88" s="81">
        <v>83</v>
      </c>
      <c r="B88" s="20">
        <v>21</v>
      </c>
      <c r="C88" s="37" t="s">
        <v>251</v>
      </c>
      <c r="D88" s="20">
        <v>2</v>
      </c>
      <c r="E88" s="20" t="s">
        <v>20</v>
      </c>
      <c r="F88" s="51" t="s">
        <v>20</v>
      </c>
      <c r="G88" s="51" t="s">
        <v>21</v>
      </c>
      <c r="H88" s="51" t="s">
        <v>20</v>
      </c>
      <c r="I88" s="51" t="s">
        <v>20</v>
      </c>
      <c r="J88" s="51" t="s">
        <v>19</v>
      </c>
      <c r="K88" s="51" t="s">
        <v>19</v>
      </c>
      <c r="L88" s="51" t="s">
        <v>19</v>
      </c>
      <c r="M88" s="51" t="s">
        <v>20</v>
      </c>
      <c r="N88" s="51" t="s">
        <v>20</v>
      </c>
      <c r="O88" s="51" t="s">
        <v>20</v>
      </c>
      <c r="P88" s="51" t="s">
        <v>20</v>
      </c>
      <c r="Q88" s="51" t="s">
        <v>20</v>
      </c>
      <c r="R88" s="51" t="s">
        <v>20</v>
      </c>
      <c r="S88" s="51" t="s">
        <v>21</v>
      </c>
      <c r="T88" s="51" t="s">
        <v>20</v>
      </c>
      <c r="U88" s="51" t="s">
        <v>19</v>
      </c>
      <c r="V88" s="54" t="s">
        <v>20</v>
      </c>
      <c r="W88" s="54" t="s">
        <v>20</v>
      </c>
      <c r="X88" s="54" t="s">
        <v>20</v>
      </c>
      <c r="Y88" s="51" t="s">
        <v>21</v>
      </c>
      <c r="Z88" s="51" t="s">
        <v>20</v>
      </c>
      <c r="AA88" s="39" t="s">
        <v>20</v>
      </c>
      <c r="AB88" s="39" t="s">
        <v>20</v>
      </c>
      <c r="AC88" s="39" t="s">
        <v>20</v>
      </c>
      <c r="AD88" s="51" t="s">
        <v>21</v>
      </c>
      <c r="AE88" s="51" t="s">
        <v>20</v>
      </c>
    </row>
    <row r="89" spans="1:31" ht="15.75" customHeight="1" x14ac:dyDescent="0.25">
      <c r="A89" s="81">
        <v>84</v>
      </c>
      <c r="B89" s="20">
        <v>22</v>
      </c>
      <c r="C89" s="37" t="s">
        <v>78</v>
      </c>
      <c r="D89" s="20">
        <v>2</v>
      </c>
      <c r="E89" s="20" t="s">
        <v>20</v>
      </c>
      <c r="F89" s="51" t="s">
        <v>20</v>
      </c>
      <c r="G89" s="51" t="s">
        <v>20</v>
      </c>
      <c r="H89" s="51" t="s">
        <v>21</v>
      </c>
      <c r="I89" s="51" t="s">
        <v>20</v>
      </c>
      <c r="J89" s="51" t="s">
        <v>19</v>
      </c>
      <c r="K89" s="51" t="s">
        <v>20</v>
      </c>
      <c r="L89" s="51" t="s">
        <v>20</v>
      </c>
      <c r="M89" s="51" t="s">
        <v>19</v>
      </c>
      <c r="N89" s="51" t="s">
        <v>20</v>
      </c>
      <c r="O89" s="51" t="s">
        <v>19</v>
      </c>
      <c r="P89" s="51" t="s">
        <v>20</v>
      </c>
      <c r="Q89" s="51" t="s">
        <v>20</v>
      </c>
      <c r="R89" s="51" t="s">
        <v>20</v>
      </c>
      <c r="S89" s="51" t="s">
        <v>19</v>
      </c>
      <c r="T89" s="51" t="s">
        <v>20</v>
      </c>
      <c r="U89" s="51" t="s">
        <v>20</v>
      </c>
      <c r="V89" s="54" t="s">
        <v>20</v>
      </c>
      <c r="W89" s="54" t="s">
        <v>20</v>
      </c>
      <c r="X89" s="54" t="s">
        <v>20</v>
      </c>
      <c r="Y89" s="51" t="s">
        <v>20</v>
      </c>
      <c r="Z89" s="51" t="s">
        <v>20</v>
      </c>
      <c r="AA89" s="39" t="s">
        <v>20</v>
      </c>
      <c r="AB89" s="39" t="s">
        <v>20</v>
      </c>
      <c r="AC89" s="39" t="s">
        <v>19</v>
      </c>
      <c r="AD89" s="51" t="s">
        <v>21</v>
      </c>
      <c r="AE89" s="51" t="s">
        <v>20</v>
      </c>
    </row>
    <row r="90" spans="1:31" ht="15.75" customHeight="1" thickBot="1" x14ac:dyDescent="0.3">
      <c r="A90" s="81">
        <v>85</v>
      </c>
      <c r="B90" s="21">
        <v>23</v>
      </c>
      <c r="C90" s="38" t="s">
        <v>79</v>
      </c>
      <c r="D90" s="21">
        <v>2</v>
      </c>
      <c r="E90" s="21" t="s">
        <v>20</v>
      </c>
      <c r="F90" s="87" t="s">
        <v>20</v>
      </c>
      <c r="G90" s="87" t="s">
        <v>21</v>
      </c>
      <c r="H90" s="87" t="s">
        <v>20</v>
      </c>
      <c r="I90" s="87" t="s">
        <v>20</v>
      </c>
      <c r="J90" s="87" t="s">
        <v>19</v>
      </c>
      <c r="K90" s="87" t="s">
        <v>20</v>
      </c>
      <c r="L90" s="87" t="s">
        <v>20</v>
      </c>
      <c r="M90" s="87" t="s">
        <v>21</v>
      </c>
      <c r="N90" s="87" t="s">
        <v>20</v>
      </c>
      <c r="O90" s="87" t="s">
        <v>20</v>
      </c>
      <c r="P90" s="87" t="s">
        <v>21</v>
      </c>
      <c r="Q90" s="87" t="s">
        <v>20</v>
      </c>
      <c r="R90" s="102" t="s">
        <v>21</v>
      </c>
      <c r="S90" s="87" t="s">
        <v>21</v>
      </c>
      <c r="T90" s="87" t="s">
        <v>21</v>
      </c>
      <c r="U90" s="87" t="s">
        <v>20</v>
      </c>
      <c r="V90" s="100" t="s">
        <v>19</v>
      </c>
      <c r="W90" s="100" t="s">
        <v>19</v>
      </c>
      <c r="X90" s="100" t="s">
        <v>19</v>
      </c>
      <c r="Y90" s="87" t="s">
        <v>20</v>
      </c>
      <c r="Z90" s="87" t="s">
        <v>20</v>
      </c>
      <c r="AA90" s="41" t="s">
        <v>20</v>
      </c>
      <c r="AB90" s="41" t="s">
        <v>20</v>
      </c>
      <c r="AC90" s="41" t="s">
        <v>20</v>
      </c>
      <c r="AD90" s="87" t="s">
        <v>21</v>
      </c>
      <c r="AE90" s="87" t="s">
        <v>20</v>
      </c>
    </row>
    <row r="91" spans="1:31" ht="15.75" customHeight="1" x14ac:dyDescent="0.25">
      <c r="A91" s="81">
        <v>86</v>
      </c>
      <c r="B91" s="97">
        <v>1</v>
      </c>
      <c r="C91" s="98" t="s">
        <v>81</v>
      </c>
      <c r="D91" s="97">
        <v>3</v>
      </c>
      <c r="E91" s="97" t="s">
        <v>19</v>
      </c>
      <c r="F91" s="83" t="s">
        <v>22</v>
      </c>
      <c r="G91" s="83" t="s">
        <v>22</v>
      </c>
      <c r="H91" s="83" t="s">
        <v>19</v>
      </c>
      <c r="I91" s="83" t="s">
        <v>22</v>
      </c>
      <c r="J91" s="101" t="s">
        <v>19</v>
      </c>
      <c r="K91" s="101" t="s">
        <v>22</v>
      </c>
      <c r="L91" s="101" t="s">
        <v>19</v>
      </c>
      <c r="M91" s="83" t="s">
        <v>19</v>
      </c>
      <c r="N91" s="83" t="s">
        <v>19</v>
      </c>
      <c r="O91" s="83" t="s">
        <v>19</v>
      </c>
      <c r="P91" s="83" t="s">
        <v>19</v>
      </c>
      <c r="Q91" s="83" t="s">
        <v>19</v>
      </c>
      <c r="R91" s="83" t="s">
        <v>19</v>
      </c>
      <c r="S91" s="83" t="s">
        <v>19</v>
      </c>
      <c r="T91" s="83" t="s">
        <v>19</v>
      </c>
      <c r="U91" s="83" t="s">
        <v>19</v>
      </c>
      <c r="V91" s="99" t="s">
        <v>20</v>
      </c>
      <c r="W91" s="99" t="s">
        <v>19</v>
      </c>
      <c r="X91" s="99" t="s">
        <v>20</v>
      </c>
      <c r="Y91" s="83" t="s">
        <v>22</v>
      </c>
      <c r="Z91" s="83" t="s">
        <v>22</v>
      </c>
      <c r="AA91" s="86" t="s">
        <v>19</v>
      </c>
      <c r="AB91" s="86" t="s">
        <v>19</v>
      </c>
      <c r="AC91" s="86" t="s">
        <v>19</v>
      </c>
      <c r="AD91" s="99" t="s">
        <v>19</v>
      </c>
      <c r="AE91" s="99" t="s">
        <v>20</v>
      </c>
    </row>
    <row r="92" spans="1:31" ht="15.75" customHeight="1" x14ac:dyDescent="0.25">
      <c r="A92" s="81">
        <v>87</v>
      </c>
      <c r="B92" s="89">
        <v>2</v>
      </c>
      <c r="C92" s="90" t="s">
        <v>82</v>
      </c>
      <c r="D92" s="89">
        <v>3</v>
      </c>
      <c r="E92" s="89" t="s">
        <v>19</v>
      </c>
      <c r="F92" s="51" t="s">
        <v>19</v>
      </c>
      <c r="G92" s="51" t="s">
        <v>19</v>
      </c>
      <c r="H92" s="51" t="s">
        <v>19</v>
      </c>
      <c r="I92" s="51" t="s">
        <v>22</v>
      </c>
      <c r="J92" s="70" t="s">
        <v>22</v>
      </c>
      <c r="K92" s="71" t="s">
        <v>22</v>
      </c>
      <c r="L92" s="72" t="s">
        <v>19</v>
      </c>
      <c r="M92" s="51" t="s">
        <v>19</v>
      </c>
      <c r="N92" s="51" t="s">
        <v>19</v>
      </c>
      <c r="O92" s="51" t="s">
        <v>19</v>
      </c>
      <c r="P92" s="51" t="s">
        <v>19</v>
      </c>
      <c r="Q92" s="51" t="s">
        <v>19</v>
      </c>
      <c r="R92" s="51" t="s">
        <v>19</v>
      </c>
      <c r="S92" s="51" t="s">
        <v>19</v>
      </c>
      <c r="T92" s="51" t="s">
        <v>19</v>
      </c>
      <c r="U92" s="51" t="s">
        <v>19</v>
      </c>
      <c r="V92" s="54" t="s">
        <v>19</v>
      </c>
      <c r="W92" s="54" t="s">
        <v>19</v>
      </c>
      <c r="X92" s="54" t="s">
        <v>19</v>
      </c>
      <c r="Y92" s="51" t="s">
        <v>19</v>
      </c>
      <c r="Z92" s="51" t="s">
        <v>19</v>
      </c>
      <c r="AA92" s="39" t="s">
        <v>19</v>
      </c>
      <c r="AB92" s="39" t="s">
        <v>19</v>
      </c>
      <c r="AC92" s="39" t="s">
        <v>19</v>
      </c>
      <c r="AD92" s="54" t="s">
        <v>20</v>
      </c>
      <c r="AE92" s="54" t="s">
        <v>20</v>
      </c>
    </row>
    <row r="93" spans="1:31" ht="15.75" customHeight="1" x14ac:dyDescent="0.25">
      <c r="A93" s="81">
        <v>88</v>
      </c>
      <c r="B93" s="89">
        <v>3</v>
      </c>
      <c r="C93" s="90" t="s">
        <v>83</v>
      </c>
      <c r="D93" s="89">
        <v>3</v>
      </c>
      <c r="E93" s="89" t="s">
        <v>19</v>
      </c>
      <c r="F93" s="51" t="s">
        <v>21</v>
      </c>
      <c r="G93" s="51" t="s">
        <v>20</v>
      </c>
      <c r="H93" s="51" t="s">
        <v>21</v>
      </c>
      <c r="I93" s="51" t="s">
        <v>21</v>
      </c>
      <c r="J93" s="70" t="s">
        <v>20</v>
      </c>
      <c r="K93" s="71" t="s">
        <v>19</v>
      </c>
      <c r="L93" s="72" t="s">
        <v>20</v>
      </c>
      <c r="M93" s="51" t="s">
        <v>20</v>
      </c>
      <c r="N93" s="51" t="s">
        <v>20</v>
      </c>
      <c r="O93" s="51" t="s">
        <v>20</v>
      </c>
      <c r="P93" s="51" t="s">
        <v>21</v>
      </c>
      <c r="Q93" s="51" t="s">
        <v>20</v>
      </c>
      <c r="R93" s="51" t="s">
        <v>20</v>
      </c>
      <c r="S93" s="51" t="s">
        <v>20</v>
      </c>
      <c r="T93" s="51" t="s">
        <v>20</v>
      </c>
      <c r="U93" s="51" t="s">
        <v>19</v>
      </c>
      <c r="V93" s="54" t="s">
        <v>19</v>
      </c>
      <c r="W93" s="54" t="s">
        <v>20</v>
      </c>
      <c r="X93" s="54" t="s">
        <v>20</v>
      </c>
      <c r="Y93" s="51" t="s">
        <v>20</v>
      </c>
      <c r="Z93" s="51" t="s">
        <v>19</v>
      </c>
      <c r="AA93" s="39" t="s">
        <v>20</v>
      </c>
      <c r="AB93" s="39" t="s">
        <v>20</v>
      </c>
      <c r="AC93" s="39" t="s">
        <v>20</v>
      </c>
      <c r="AD93" s="54" t="s">
        <v>21</v>
      </c>
      <c r="AE93" s="54" t="s">
        <v>20</v>
      </c>
    </row>
    <row r="94" spans="1:31" ht="15.75" customHeight="1" x14ac:dyDescent="0.25">
      <c r="A94" s="81">
        <v>89</v>
      </c>
      <c r="B94" s="89">
        <v>4</v>
      </c>
      <c r="C94" s="90" t="s">
        <v>84</v>
      </c>
      <c r="D94" s="89">
        <v>3</v>
      </c>
      <c r="E94" s="89" t="s">
        <v>19</v>
      </c>
      <c r="F94" s="51" t="s">
        <v>22</v>
      </c>
      <c r="G94" s="51" t="s">
        <v>19</v>
      </c>
      <c r="H94" s="51" t="s">
        <v>19</v>
      </c>
      <c r="I94" s="51" t="s">
        <v>19</v>
      </c>
      <c r="J94" s="70" t="s">
        <v>19</v>
      </c>
      <c r="K94" s="71" t="s">
        <v>22</v>
      </c>
      <c r="L94" s="72" t="s">
        <v>19</v>
      </c>
      <c r="M94" s="51" t="s">
        <v>19</v>
      </c>
      <c r="N94" s="51" t="s">
        <v>19</v>
      </c>
      <c r="O94" s="51" t="s">
        <v>19</v>
      </c>
      <c r="P94" s="51" t="s">
        <v>19</v>
      </c>
      <c r="Q94" s="51" t="s">
        <v>19</v>
      </c>
      <c r="R94" s="51" t="s">
        <v>19</v>
      </c>
      <c r="S94" s="51" t="s">
        <v>19</v>
      </c>
      <c r="T94" s="51" t="s">
        <v>19</v>
      </c>
      <c r="U94" s="51" t="s">
        <v>19</v>
      </c>
      <c r="V94" s="54" t="s">
        <v>19</v>
      </c>
      <c r="W94" s="54" t="s">
        <v>20</v>
      </c>
      <c r="X94" s="54" t="s">
        <v>19</v>
      </c>
      <c r="Y94" s="51" t="s">
        <v>19</v>
      </c>
      <c r="Z94" s="51" t="s">
        <v>19</v>
      </c>
      <c r="AA94" s="39" t="s">
        <v>19</v>
      </c>
      <c r="AB94" s="39" t="s">
        <v>19</v>
      </c>
      <c r="AC94" s="39" t="s">
        <v>19</v>
      </c>
      <c r="AD94" s="54" t="s">
        <v>19</v>
      </c>
      <c r="AE94" s="54" t="s">
        <v>20</v>
      </c>
    </row>
    <row r="95" spans="1:31" ht="15.75" customHeight="1" x14ac:dyDescent="0.25">
      <c r="A95" s="81">
        <v>90</v>
      </c>
      <c r="B95" s="89">
        <v>5</v>
      </c>
      <c r="C95" s="90" t="s">
        <v>85</v>
      </c>
      <c r="D95" s="89">
        <v>3</v>
      </c>
      <c r="E95" s="89" t="s">
        <v>19</v>
      </c>
      <c r="F95" s="51" t="s">
        <v>21</v>
      </c>
      <c r="G95" s="51" t="s">
        <v>21</v>
      </c>
      <c r="H95" s="51" t="s">
        <v>21</v>
      </c>
      <c r="I95" s="51" t="s">
        <v>21</v>
      </c>
      <c r="J95" s="70" t="s">
        <v>20</v>
      </c>
      <c r="K95" s="71" t="s">
        <v>20</v>
      </c>
      <c r="L95" s="72" t="s">
        <v>20</v>
      </c>
      <c r="M95" s="51" t="s">
        <v>20</v>
      </c>
      <c r="N95" s="51" t="s">
        <v>21</v>
      </c>
      <c r="O95" s="51" t="s">
        <v>21</v>
      </c>
      <c r="P95" s="51" t="s">
        <v>21</v>
      </c>
      <c r="Q95" s="51" t="s">
        <v>21</v>
      </c>
      <c r="R95" s="51" t="s">
        <v>20</v>
      </c>
      <c r="S95" s="51" t="s">
        <v>21</v>
      </c>
      <c r="T95" s="51" t="s">
        <v>21</v>
      </c>
      <c r="U95" s="51" t="s">
        <v>20</v>
      </c>
      <c r="V95" s="54" t="s">
        <v>20</v>
      </c>
      <c r="W95" s="54" t="s">
        <v>20</v>
      </c>
      <c r="X95" s="54" t="s">
        <v>20</v>
      </c>
      <c r="Y95" s="51" t="s">
        <v>21</v>
      </c>
      <c r="Z95" s="51" t="s">
        <v>20</v>
      </c>
      <c r="AA95" s="39" t="s">
        <v>20</v>
      </c>
      <c r="AB95" s="39" t="s">
        <v>20</v>
      </c>
      <c r="AC95" s="39" t="s">
        <v>20</v>
      </c>
      <c r="AD95" s="54" t="s">
        <v>21</v>
      </c>
      <c r="AE95" s="54" t="s">
        <v>20</v>
      </c>
    </row>
    <row r="96" spans="1:31" ht="15.75" customHeight="1" x14ac:dyDescent="0.25">
      <c r="A96" s="81">
        <v>91</v>
      </c>
      <c r="B96" s="89">
        <v>6</v>
      </c>
      <c r="C96" s="90" t="s">
        <v>87</v>
      </c>
      <c r="D96" s="89">
        <v>3</v>
      </c>
      <c r="E96" s="89" t="s">
        <v>19</v>
      </c>
      <c r="F96" s="51" t="s">
        <v>19</v>
      </c>
      <c r="G96" s="51" t="s">
        <v>19</v>
      </c>
      <c r="H96" s="51" t="s">
        <v>19</v>
      </c>
      <c r="I96" s="51" t="s">
        <v>19</v>
      </c>
      <c r="J96" s="70" t="s">
        <v>19</v>
      </c>
      <c r="K96" s="71" t="s">
        <v>19</v>
      </c>
      <c r="L96" s="72" t="s">
        <v>19</v>
      </c>
      <c r="M96" s="51" t="s">
        <v>20</v>
      </c>
      <c r="N96" s="51" t="s">
        <v>19</v>
      </c>
      <c r="O96" s="51" t="s">
        <v>19</v>
      </c>
      <c r="P96" s="51" t="s">
        <v>19</v>
      </c>
      <c r="Q96" s="51" t="s">
        <v>19</v>
      </c>
      <c r="R96" s="51" t="s">
        <v>20</v>
      </c>
      <c r="S96" s="51" t="s">
        <v>20</v>
      </c>
      <c r="T96" s="51" t="s">
        <v>19</v>
      </c>
      <c r="U96" s="51" t="s">
        <v>19</v>
      </c>
      <c r="V96" s="54" t="s">
        <v>20</v>
      </c>
      <c r="W96" s="54" t="s">
        <v>20</v>
      </c>
      <c r="X96" s="54" t="s">
        <v>19</v>
      </c>
      <c r="Y96" s="51" t="s">
        <v>20</v>
      </c>
      <c r="Z96" s="51" t="s">
        <v>19</v>
      </c>
      <c r="AA96" s="39" t="s">
        <v>19</v>
      </c>
      <c r="AB96" s="39" t="s">
        <v>20</v>
      </c>
      <c r="AC96" s="39" t="s">
        <v>20</v>
      </c>
      <c r="AD96" s="54" t="s">
        <v>21</v>
      </c>
      <c r="AE96" s="54" t="s">
        <v>20</v>
      </c>
    </row>
    <row r="97" spans="1:31" ht="15.75" customHeight="1" x14ac:dyDescent="0.25">
      <c r="A97" s="81">
        <v>92</v>
      </c>
      <c r="B97" s="89">
        <v>7</v>
      </c>
      <c r="C97" s="90" t="s">
        <v>102</v>
      </c>
      <c r="D97" s="89">
        <v>3</v>
      </c>
      <c r="E97" s="89" t="s">
        <v>19</v>
      </c>
      <c r="F97" s="51" t="s">
        <v>21</v>
      </c>
      <c r="G97" s="51" t="s">
        <v>21</v>
      </c>
      <c r="H97" s="51" t="s">
        <v>21</v>
      </c>
      <c r="I97" s="51" t="s">
        <v>21</v>
      </c>
      <c r="J97" s="70" t="s">
        <v>20</v>
      </c>
      <c r="K97" s="71" t="s">
        <v>20</v>
      </c>
      <c r="L97" s="72" t="s">
        <v>20</v>
      </c>
      <c r="M97" s="51" t="s">
        <v>19</v>
      </c>
      <c r="N97" s="51" t="s">
        <v>20</v>
      </c>
      <c r="O97" s="51" t="s">
        <v>20</v>
      </c>
      <c r="P97" s="51" t="s">
        <v>20</v>
      </c>
      <c r="Q97" s="51" t="s">
        <v>20</v>
      </c>
      <c r="R97" s="51" t="s">
        <v>20</v>
      </c>
      <c r="S97" s="51" t="s">
        <v>21</v>
      </c>
      <c r="T97" s="51" t="s">
        <v>21</v>
      </c>
      <c r="U97" s="51" t="s">
        <v>19</v>
      </c>
      <c r="V97" s="54" t="s">
        <v>19</v>
      </c>
      <c r="W97" s="54" t="s">
        <v>20</v>
      </c>
      <c r="X97" s="54" t="s">
        <v>20</v>
      </c>
      <c r="Y97" s="51" t="s">
        <v>21</v>
      </c>
      <c r="Z97" s="51" t="s">
        <v>20</v>
      </c>
      <c r="AA97" s="39" t="s">
        <v>20</v>
      </c>
      <c r="AB97" s="39" t="s">
        <v>19</v>
      </c>
      <c r="AC97" s="39" t="s">
        <v>20</v>
      </c>
      <c r="AD97" s="54" t="s">
        <v>21</v>
      </c>
      <c r="AE97" s="54" t="s">
        <v>20</v>
      </c>
    </row>
    <row r="98" spans="1:31" ht="15.75" customHeight="1" x14ac:dyDescent="0.25">
      <c r="A98" s="81">
        <v>93</v>
      </c>
      <c r="B98" s="89">
        <v>8</v>
      </c>
      <c r="C98" s="90" t="s">
        <v>88</v>
      </c>
      <c r="D98" s="89">
        <v>3</v>
      </c>
      <c r="E98" s="89" t="s">
        <v>19</v>
      </c>
      <c r="F98" s="51" t="s">
        <v>20</v>
      </c>
      <c r="G98" s="51" t="s">
        <v>20</v>
      </c>
      <c r="H98" s="51" t="s">
        <v>20</v>
      </c>
      <c r="I98" s="51" t="s">
        <v>20</v>
      </c>
      <c r="J98" s="70" t="s">
        <v>19</v>
      </c>
      <c r="K98" s="71" t="s">
        <v>19</v>
      </c>
      <c r="L98" s="72" t="s">
        <v>20</v>
      </c>
      <c r="M98" s="51" t="s">
        <v>19</v>
      </c>
      <c r="N98" s="51" t="s">
        <v>19</v>
      </c>
      <c r="O98" s="51" t="s">
        <v>20</v>
      </c>
      <c r="P98" s="51" t="s">
        <v>20</v>
      </c>
      <c r="Q98" s="51" t="s">
        <v>20</v>
      </c>
      <c r="R98" s="51" t="s">
        <v>20</v>
      </c>
      <c r="S98" s="51" t="s">
        <v>19</v>
      </c>
      <c r="T98" s="51" t="s">
        <v>19</v>
      </c>
      <c r="U98" s="51" t="s">
        <v>19</v>
      </c>
      <c r="V98" s="54" t="s">
        <v>19</v>
      </c>
      <c r="W98" s="54" t="s">
        <v>19</v>
      </c>
      <c r="X98" s="54" t="s">
        <v>19</v>
      </c>
      <c r="Y98" s="51" t="s">
        <v>20</v>
      </c>
      <c r="Z98" s="51" t="s">
        <v>20</v>
      </c>
      <c r="AA98" s="39" t="s">
        <v>20</v>
      </c>
      <c r="AB98" s="39" t="s">
        <v>20</v>
      </c>
      <c r="AC98" s="39" t="s">
        <v>19</v>
      </c>
      <c r="AD98" s="56" t="s">
        <v>20</v>
      </c>
      <c r="AE98" s="56" t="s">
        <v>20</v>
      </c>
    </row>
    <row r="99" spans="1:31" ht="15.75" customHeight="1" x14ac:dyDescent="0.25">
      <c r="A99" s="81">
        <v>94</v>
      </c>
      <c r="B99" s="89">
        <v>9</v>
      </c>
      <c r="C99" s="90" t="s">
        <v>89</v>
      </c>
      <c r="D99" s="89">
        <v>3</v>
      </c>
      <c r="E99" s="89" t="s">
        <v>19</v>
      </c>
      <c r="F99" s="51" t="s">
        <v>19</v>
      </c>
      <c r="G99" s="51" t="s">
        <v>19</v>
      </c>
      <c r="H99" s="51" t="s">
        <v>19</v>
      </c>
      <c r="I99" s="51" t="s">
        <v>19</v>
      </c>
      <c r="J99" s="70" t="s">
        <v>19</v>
      </c>
      <c r="K99" s="71" t="s">
        <v>22</v>
      </c>
      <c r="L99" s="72" t="s">
        <v>19</v>
      </c>
      <c r="M99" s="51" t="s">
        <v>19</v>
      </c>
      <c r="N99" s="51" t="s">
        <v>19</v>
      </c>
      <c r="O99" s="51" t="s">
        <v>19</v>
      </c>
      <c r="P99" s="51" t="s">
        <v>19</v>
      </c>
      <c r="Q99" s="51" t="s">
        <v>19</v>
      </c>
      <c r="R99" s="51" t="s">
        <v>19</v>
      </c>
      <c r="S99" s="51" t="s">
        <v>19</v>
      </c>
      <c r="T99" s="51" t="s">
        <v>19</v>
      </c>
      <c r="U99" s="51" t="s">
        <v>19</v>
      </c>
      <c r="V99" s="54" t="s">
        <v>19</v>
      </c>
      <c r="W99" s="54" t="s">
        <v>19</v>
      </c>
      <c r="X99" s="54" t="s">
        <v>19</v>
      </c>
      <c r="Y99" s="51" t="s">
        <v>19</v>
      </c>
      <c r="Z99" s="51" t="s">
        <v>22</v>
      </c>
      <c r="AA99" s="39" t="s">
        <v>19</v>
      </c>
      <c r="AB99" s="39" t="s">
        <v>19</v>
      </c>
      <c r="AC99" s="39" t="s">
        <v>19</v>
      </c>
      <c r="AD99" s="54" t="s">
        <v>20</v>
      </c>
      <c r="AE99" s="54" t="s">
        <v>20</v>
      </c>
    </row>
    <row r="100" spans="1:31" ht="15.75" customHeight="1" x14ac:dyDescent="0.25">
      <c r="A100" s="81">
        <v>95</v>
      </c>
      <c r="B100" s="89">
        <v>10</v>
      </c>
      <c r="C100" s="90" t="s">
        <v>252</v>
      </c>
      <c r="D100" s="89">
        <v>3</v>
      </c>
      <c r="E100" s="89" t="s">
        <v>19</v>
      </c>
      <c r="F100" s="51" t="s">
        <v>21</v>
      </c>
      <c r="G100" s="51" t="s">
        <v>21</v>
      </c>
      <c r="H100" s="51" t="s">
        <v>21</v>
      </c>
      <c r="I100" s="51" t="s">
        <v>21</v>
      </c>
      <c r="J100" s="70" t="s">
        <v>20</v>
      </c>
      <c r="K100" s="71" t="s">
        <v>20</v>
      </c>
      <c r="L100" s="72" t="s">
        <v>20</v>
      </c>
      <c r="M100" s="51" t="s">
        <v>20</v>
      </c>
      <c r="N100" s="51" t="s">
        <v>21</v>
      </c>
      <c r="O100" s="51" t="s">
        <v>20</v>
      </c>
      <c r="P100" s="51" t="s">
        <v>21</v>
      </c>
      <c r="Q100" s="51" t="s">
        <v>20</v>
      </c>
      <c r="R100" s="51" t="s">
        <v>20</v>
      </c>
      <c r="S100" s="51" t="s">
        <v>19</v>
      </c>
      <c r="T100" s="51" t="s">
        <v>19</v>
      </c>
      <c r="U100" s="51" t="s">
        <v>20</v>
      </c>
      <c r="V100" s="54" t="s">
        <v>19</v>
      </c>
      <c r="W100" s="54" t="s">
        <v>20</v>
      </c>
      <c r="X100" s="54" t="s">
        <v>19</v>
      </c>
      <c r="Y100" s="51" t="s">
        <v>19</v>
      </c>
      <c r="Z100" s="51" t="s">
        <v>19</v>
      </c>
      <c r="AA100" s="39" t="s">
        <v>20</v>
      </c>
      <c r="AB100" s="39" t="s">
        <v>20</v>
      </c>
      <c r="AC100" s="39" t="s">
        <v>20</v>
      </c>
      <c r="AD100" s="54" t="s">
        <v>20</v>
      </c>
      <c r="AE100" s="54" t="s">
        <v>20</v>
      </c>
    </row>
    <row r="101" spans="1:31" ht="15.75" customHeight="1" x14ac:dyDescent="0.25">
      <c r="A101" s="81">
        <v>96</v>
      </c>
      <c r="B101" s="89">
        <v>11</v>
      </c>
      <c r="C101" s="90" t="s">
        <v>90</v>
      </c>
      <c r="D101" s="89">
        <v>3</v>
      </c>
      <c r="E101" s="89" t="s">
        <v>19</v>
      </c>
      <c r="F101" s="51" t="s">
        <v>20</v>
      </c>
      <c r="G101" s="51" t="s">
        <v>20</v>
      </c>
      <c r="H101" s="51" t="s">
        <v>20</v>
      </c>
      <c r="I101" s="51" t="s">
        <v>20</v>
      </c>
      <c r="J101" s="70" t="s">
        <v>20</v>
      </c>
      <c r="K101" s="71" t="s">
        <v>20</v>
      </c>
      <c r="L101" s="72" t="s">
        <v>20</v>
      </c>
      <c r="M101" s="51" t="s">
        <v>20</v>
      </c>
      <c r="N101" s="51" t="s">
        <v>20</v>
      </c>
      <c r="O101" s="51" t="s">
        <v>20</v>
      </c>
      <c r="P101" s="51" t="s">
        <v>21</v>
      </c>
      <c r="Q101" s="51" t="s">
        <v>20</v>
      </c>
      <c r="R101" s="51" t="s">
        <v>20</v>
      </c>
      <c r="S101" s="51" t="s">
        <v>19</v>
      </c>
      <c r="T101" s="51" t="s">
        <v>19</v>
      </c>
      <c r="U101" s="51" t="s">
        <v>20</v>
      </c>
      <c r="V101" s="54" t="s">
        <v>19</v>
      </c>
      <c r="W101" s="54" t="s">
        <v>19</v>
      </c>
      <c r="X101" s="54" t="s">
        <v>19</v>
      </c>
      <c r="Y101" s="51" t="s">
        <v>20</v>
      </c>
      <c r="Z101" s="51" t="s">
        <v>20</v>
      </c>
      <c r="AA101" s="39" t="s">
        <v>20</v>
      </c>
      <c r="AB101" s="39" t="s">
        <v>20</v>
      </c>
      <c r="AC101" s="39" t="s">
        <v>20</v>
      </c>
      <c r="AD101" s="54" t="s">
        <v>21</v>
      </c>
      <c r="AE101" s="54" t="s">
        <v>20</v>
      </c>
    </row>
    <row r="102" spans="1:31" ht="15.75" customHeight="1" x14ac:dyDescent="0.25">
      <c r="A102" s="81">
        <v>97</v>
      </c>
      <c r="B102" s="89">
        <v>12</v>
      </c>
      <c r="C102" s="90" t="s">
        <v>253</v>
      </c>
      <c r="D102" s="89">
        <v>3</v>
      </c>
      <c r="E102" s="89" t="s">
        <v>19</v>
      </c>
      <c r="F102" s="51" t="s">
        <v>20</v>
      </c>
      <c r="G102" s="51" t="s">
        <v>21</v>
      </c>
      <c r="H102" s="51" t="s">
        <v>21</v>
      </c>
      <c r="I102" s="51" t="s">
        <v>20</v>
      </c>
      <c r="J102" s="70" t="s">
        <v>20</v>
      </c>
      <c r="K102" s="71" t="s">
        <v>19</v>
      </c>
      <c r="L102" s="72" t="s">
        <v>20</v>
      </c>
      <c r="M102" s="51" t="s">
        <v>20</v>
      </c>
      <c r="N102" s="51" t="s">
        <v>20</v>
      </c>
      <c r="O102" s="51" t="s">
        <v>19</v>
      </c>
      <c r="P102" s="51" t="s">
        <v>20</v>
      </c>
      <c r="Q102" s="51" t="s">
        <v>20</v>
      </c>
      <c r="R102" s="51" t="s">
        <v>20</v>
      </c>
      <c r="S102" s="51" t="s">
        <v>20</v>
      </c>
      <c r="T102" s="51" t="s">
        <v>19</v>
      </c>
      <c r="U102" s="51" t="s">
        <v>20</v>
      </c>
      <c r="V102" s="54" t="s">
        <v>19</v>
      </c>
      <c r="W102" s="54" t="s">
        <v>20</v>
      </c>
      <c r="X102" s="54" t="s">
        <v>19</v>
      </c>
      <c r="Y102" s="51" t="s">
        <v>19</v>
      </c>
      <c r="Z102" s="51" t="s">
        <v>19</v>
      </c>
      <c r="AA102" s="39" t="s">
        <v>19</v>
      </c>
      <c r="AB102" s="39" t="s">
        <v>20</v>
      </c>
      <c r="AC102" s="39" t="s">
        <v>19</v>
      </c>
      <c r="AD102" s="54" t="s">
        <v>21</v>
      </c>
      <c r="AE102" s="54" t="s">
        <v>20</v>
      </c>
    </row>
    <row r="103" spans="1:31" ht="15.75" customHeight="1" x14ac:dyDescent="0.25">
      <c r="A103" s="81">
        <v>98</v>
      </c>
      <c r="B103" s="89">
        <v>13</v>
      </c>
      <c r="C103" s="90" t="s">
        <v>91</v>
      </c>
      <c r="D103" s="89">
        <v>3</v>
      </c>
      <c r="E103" s="89" t="s">
        <v>19</v>
      </c>
      <c r="F103" s="51" t="s">
        <v>19</v>
      </c>
      <c r="G103" s="51" t="s">
        <v>19</v>
      </c>
      <c r="H103" s="51" t="s">
        <v>19</v>
      </c>
      <c r="I103" s="51" t="s">
        <v>19</v>
      </c>
      <c r="J103" s="70" t="s">
        <v>19</v>
      </c>
      <c r="K103" s="71" t="s">
        <v>20</v>
      </c>
      <c r="L103" s="72" t="s">
        <v>20</v>
      </c>
      <c r="M103" s="51" t="s">
        <v>20</v>
      </c>
      <c r="N103" s="51" t="s">
        <v>20</v>
      </c>
      <c r="O103" s="51" t="s">
        <v>19</v>
      </c>
      <c r="P103" s="51" t="s">
        <v>19</v>
      </c>
      <c r="Q103" s="51" t="s">
        <v>19</v>
      </c>
      <c r="R103" s="51" t="s">
        <v>19</v>
      </c>
      <c r="S103" s="51" t="s">
        <v>19</v>
      </c>
      <c r="T103" s="51" t="s">
        <v>19</v>
      </c>
      <c r="U103" s="51" t="s">
        <v>20</v>
      </c>
      <c r="V103" s="54" t="s">
        <v>19</v>
      </c>
      <c r="W103" s="54" t="s">
        <v>20</v>
      </c>
      <c r="X103" s="54" t="s">
        <v>19</v>
      </c>
      <c r="Y103" s="51" t="s">
        <v>20</v>
      </c>
      <c r="Z103" s="51" t="s">
        <v>19</v>
      </c>
      <c r="AA103" s="39" t="s">
        <v>19</v>
      </c>
      <c r="AB103" s="39" t="s">
        <v>20</v>
      </c>
      <c r="AC103" s="39" t="s">
        <v>19</v>
      </c>
      <c r="AD103" s="54" t="s">
        <v>20</v>
      </c>
      <c r="AE103" s="54" t="s">
        <v>20</v>
      </c>
    </row>
    <row r="104" spans="1:31" ht="15.75" customHeight="1" x14ac:dyDescent="0.25">
      <c r="A104" s="81">
        <v>99</v>
      </c>
      <c r="B104" s="89">
        <v>14</v>
      </c>
      <c r="C104" s="90" t="s">
        <v>254</v>
      </c>
      <c r="D104" s="89">
        <v>3</v>
      </c>
      <c r="E104" s="89" t="s">
        <v>19</v>
      </c>
      <c r="F104" s="51" t="s">
        <v>21</v>
      </c>
      <c r="G104" s="51" t="s">
        <v>21</v>
      </c>
      <c r="H104" s="51" t="s">
        <v>21</v>
      </c>
      <c r="I104" s="51" t="s">
        <v>21</v>
      </c>
      <c r="J104" s="70" t="s">
        <v>20</v>
      </c>
      <c r="K104" s="71" t="s">
        <v>21</v>
      </c>
      <c r="L104" s="72" t="s">
        <v>20</v>
      </c>
      <c r="M104" s="51" t="s">
        <v>20</v>
      </c>
      <c r="N104" s="51" t="s">
        <v>21</v>
      </c>
      <c r="O104" s="51" t="s">
        <v>21</v>
      </c>
      <c r="P104" s="51" t="s">
        <v>21</v>
      </c>
      <c r="Q104" s="51" t="s">
        <v>20</v>
      </c>
      <c r="R104" s="51" t="s">
        <v>21</v>
      </c>
      <c r="S104" s="51" t="s">
        <v>21</v>
      </c>
      <c r="T104" s="51" t="s">
        <v>21</v>
      </c>
      <c r="U104" s="51" t="s">
        <v>20</v>
      </c>
      <c r="V104" s="54" t="s">
        <v>19</v>
      </c>
      <c r="W104" s="54" t="s">
        <v>20</v>
      </c>
      <c r="X104" s="54" t="s">
        <v>19</v>
      </c>
      <c r="Y104" s="51" t="s">
        <v>20</v>
      </c>
      <c r="Z104" s="51" t="s">
        <v>21</v>
      </c>
      <c r="AA104" s="39" t="s">
        <v>21</v>
      </c>
      <c r="AB104" s="39" t="s">
        <v>21</v>
      </c>
      <c r="AC104" s="39" t="s">
        <v>20</v>
      </c>
      <c r="AD104" s="54" t="s">
        <v>20</v>
      </c>
      <c r="AE104" s="54" t="s">
        <v>20</v>
      </c>
    </row>
    <row r="105" spans="1:31" ht="15.75" customHeight="1" x14ac:dyDescent="0.25">
      <c r="A105" s="81">
        <v>100</v>
      </c>
      <c r="B105" s="89">
        <v>15</v>
      </c>
      <c r="C105" s="90" t="s">
        <v>92</v>
      </c>
      <c r="D105" s="89">
        <v>3</v>
      </c>
      <c r="E105" s="89" t="s">
        <v>19</v>
      </c>
      <c r="F105" s="51" t="s">
        <v>22</v>
      </c>
      <c r="G105" s="51" t="s">
        <v>22</v>
      </c>
      <c r="H105" s="51" t="s">
        <v>19</v>
      </c>
      <c r="I105" s="51" t="s">
        <v>22</v>
      </c>
      <c r="J105" s="70" t="s">
        <v>19</v>
      </c>
      <c r="K105" s="71" t="s">
        <v>19</v>
      </c>
      <c r="L105" s="72" t="s">
        <v>19</v>
      </c>
      <c r="M105" s="51" t="s">
        <v>19</v>
      </c>
      <c r="N105" s="51" t="s">
        <v>20</v>
      </c>
      <c r="O105" s="51" t="s">
        <v>19</v>
      </c>
      <c r="P105" s="51" t="s">
        <v>19</v>
      </c>
      <c r="Q105" s="51" t="s">
        <v>19</v>
      </c>
      <c r="R105" s="51" t="s">
        <v>19</v>
      </c>
      <c r="S105" s="51" t="s">
        <v>19</v>
      </c>
      <c r="T105" s="51" t="s">
        <v>19</v>
      </c>
      <c r="U105" s="51" t="s">
        <v>19</v>
      </c>
      <c r="V105" s="54" t="s">
        <v>19</v>
      </c>
      <c r="W105" s="54" t="s">
        <v>19</v>
      </c>
      <c r="X105" s="54" t="s">
        <v>19</v>
      </c>
      <c r="Y105" s="51" t="s">
        <v>19</v>
      </c>
      <c r="Z105" s="51" t="s">
        <v>20</v>
      </c>
      <c r="AA105" s="39" t="s">
        <v>19</v>
      </c>
      <c r="AB105" s="39" t="s">
        <v>19</v>
      </c>
      <c r="AC105" s="39" t="s">
        <v>19</v>
      </c>
      <c r="AD105" s="54" t="s">
        <v>19</v>
      </c>
      <c r="AE105" s="54" t="s">
        <v>20</v>
      </c>
    </row>
    <row r="106" spans="1:31" ht="15.75" customHeight="1" x14ac:dyDescent="0.25">
      <c r="A106" s="81">
        <v>101</v>
      </c>
      <c r="B106" s="89">
        <v>16</v>
      </c>
      <c r="C106" s="90" t="s">
        <v>93</v>
      </c>
      <c r="D106" s="89">
        <v>3</v>
      </c>
      <c r="E106" s="89" t="s">
        <v>19</v>
      </c>
      <c r="F106" s="51" t="s">
        <v>19</v>
      </c>
      <c r="G106" s="51" t="s">
        <v>19</v>
      </c>
      <c r="H106" s="51" t="s">
        <v>19</v>
      </c>
      <c r="I106" s="51" t="s">
        <v>19</v>
      </c>
      <c r="J106" s="70" t="s">
        <v>19</v>
      </c>
      <c r="K106" s="71" t="s">
        <v>19</v>
      </c>
      <c r="L106" s="72" t="s">
        <v>19</v>
      </c>
      <c r="M106" s="51" t="s">
        <v>19</v>
      </c>
      <c r="N106" s="51" t="s">
        <v>19</v>
      </c>
      <c r="O106" s="51" t="s">
        <v>19</v>
      </c>
      <c r="P106" s="51" t="s">
        <v>19</v>
      </c>
      <c r="Q106" s="51" t="s">
        <v>19</v>
      </c>
      <c r="R106" s="51" t="s">
        <v>19</v>
      </c>
      <c r="S106" s="51" t="s">
        <v>19</v>
      </c>
      <c r="T106" s="51" t="s">
        <v>19</v>
      </c>
      <c r="U106" s="51" t="s">
        <v>19</v>
      </c>
      <c r="V106" s="54" t="s">
        <v>19</v>
      </c>
      <c r="W106" s="54" t="s">
        <v>19</v>
      </c>
      <c r="X106" s="54" t="s">
        <v>19</v>
      </c>
      <c r="Y106" s="51" t="s">
        <v>19</v>
      </c>
      <c r="Z106" s="51" t="s">
        <v>19</v>
      </c>
      <c r="AA106" s="39" t="s">
        <v>19</v>
      </c>
      <c r="AB106" s="39" t="s">
        <v>19</v>
      </c>
      <c r="AC106" s="39" t="s">
        <v>19</v>
      </c>
      <c r="AD106" s="54" t="s">
        <v>19</v>
      </c>
      <c r="AE106" s="54" t="s">
        <v>20</v>
      </c>
    </row>
    <row r="107" spans="1:31" ht="15.75" customHeight="1" x14ac:dyDescent="0.25">
      <c r="A107" s="81">
        <v>102</v>
      </c>
      <c r="B107" s="89">
        <v>17</v>
      </c>
      <c r="C107" s="90" t="s">
        <v>94</v>
      </c>
      <c r="D107" s="89">
        <v>3</v>
      </c>
      <c r="E107" s="89" t="s">
        <v>19</v>
      </c>
      <c r="F107" s="51" t="s">
        <v>19</v>
      </c>
      <c r="G107" s="51" t="s">
        <v>19</v>
      </c>
      <c r="H107" s="51" t="s">
        <v>19</v>
      </c>
      <c r="I107" s="51" t="s">
        <v>19</v>
      </c>
      <c r="J107" s="70" t="s">
        <v>22</v>
      </c>
      <c r="K107" s="71" t="s">
        <v>19</v>
      </c>
      <c r="L107" s="72" t="s">
        <v>19</v>
      </c>
      <c r="M107" s="51" t="s">
        <v>19</v>
      </c>
      <c r="N107" s="51" t="s">
        <v>19</v>
      </c>
      <c r="O107" s="51" t="s">
        <v>19</v>
      </c>
      <c r="P107" s="51" t="s">
        <v>19</v>
      </c>
      <c r="Q107" s="51" t="s">
        <v>19</v>
      </c>
      <c r="R107" s="51" t="s">
        <v>19</v>
      </c>
      <c r="S107" s="51" t="s">
        <v>20</v>
      </c>
      <c r="T107" s="51" t="s">
        <v>19</v>
      </c>
      <c r="U107" s="51" t="s">
        <v>19</v>
      </c>
      <c r="V107" s="54" t="s">
        <v>20</v>
      </c>
      <c r="W107" s="54" t="s">
        <v>19</v>
      </c>
      <c r="X107" s="54" t="s">
        <v>20</v>
      </c>
      <c r="Y107" s="51" t="s">
        <v>19</v>
      </c>
      <c r="Z107" s="51" t="s">
        <v>19</v>
      </c>
      <c r="AA107" s="39" t="s">
        <v>19</v>
      </c>
      <c r="AB107" s="39" t="s">
        <v>19</v>
      </c>
      <c r="AC107" s="39" t="s">
        <v>19</v>
      </c>
      <c r="AD107" s="54" t="s">
        <v>19</v>
      </c>
      <c r="AE107" s="54" t="s">
        <v>20</v>
      </c>
    </row>
    <row r="108" spans="1:31" ht="15.75" customHeight="1" x14ac:dyDescent="0.25">
      <c r="A108" s="81">
        <v>103</v>
      </c>
      <c r="B108" s="89">
        <v>18</v>
      </c>
      <c r="C108" s="90" t="s">
        <v>95</v>
      </c>
      <c r="D108" s="89">
        <v>3</v>
      </c>
      <c r="E108" s="89" t="s">
        <v>19</v>
      </c>
      <c r="F108" s="51" t="s">
        <v>22</v>
      </c>
      <c r="G108" s="51" t="s">
        <v>19</v>
      </c>
      <c r="H108" s="51" t="s">
        <v>19</v>
      </c>
      <c r="I108" s="51" t="s">
        <v>19</v>
      </c>
      <c r="J108" s="70" t="s">
        <v>19</v>
      </c>
      <c r="K108" s="71" t="s">
        <v>19</v>
      </c>
      <c r="L108" s="72" t="s">
        <v>19</v>
      </c>
      <c r="M108" s="51" t="s">
        <v>19</v>
      </c>
      <c r="N108" s="51" t="s">
        <v>19</v>
      </c>
      <c r="O108" s="51" t="s">
        <v>19</v>
      </c>
      <c r="P108" s="51" t="s">
        <v>19</v>
      </c>
      <c r="Q108" s="51" t="s">
        <v>19</v>
      </c>
      <c r="R108" s="51" t="s">
        <v>19</v>
      </c>
      <c r="S108" s="51" t="s">
        <v>19</v>
      </c>
      <c r="T108" s="51" t="s">
        <v>19</v>
      </c>
      <c r="U108" s="51" t="s">
        <v>19</v>
      </c>
      <c r="V108" s="54" t="s">
        <v>19</v>
      </c>
      <c r="W108" s="54" t="s">
        <v>19</v>
      </c>
      <c r="X108" s="54" t="s">
        <v>19</v>
      </c>
      <c r="Y108" s="51" t="s">
        <v>20</v>
      </c>
      <c r="Z108" s="51" t="s">
        <v>19</v>
      </c>
      <c r="AA108" s="39" t="s">
        <v>19</v>
      </c>
      <c r="AB108" s="39" t="s">
        <v>19</v>
      </c>
      <c r="AC108" s="39" t="s">
        <v>19</v>
      </c>
      <c r="AD108" s="54" t="s">
        <v>19</v>
      </c>
      <c r="AE108" s="54" t="s">
        <v>20</v>
      </c>
    </row>
    <row r="109" spans="1:31" ht="15.75" customHeight="1" thickBot="1" x14ac:dyDescent="0.3">
      <c r="A109" s="81">
        <v>104</v>
      </c>
      <c r="B109" s="91">
        <v>19</v>
      </c>
      <c r="C109" s="92" t="s">
        <v>96</v>
      </c>
      <c r="D109" s="91">
        <v>3</v>
      </c>
      <c r="E109" s="91" t="s">
        <v>19</v>
      </c>
      <c r="F109" s="87" t="s">
        <v>20</v>
      </c>
      <c r="G109" s="87" t="s">
        <v>21</v>
      </c>
      <c r="H109" s="87" t="s">
        <v>21</v>
      </c>
      <c r="I109" s="87" t="s">
        <v>21</v>
      </c>
      <c r="J109" s="103" t="s">
        <v>20</v>
      </c>
      <c r="K109" s="103" t="s">
        <v>19</v>
      </c>
      <c r="L109" s="103" t="s">
        <v>20</v>
      </c>
      <c r="M109" s="87" t="s">
        <v>20</v>
      </c>
      <c r="N109" s="87" t="s">
        <v>20</v>
      </c>
      <c r="O109" s="87" t="s">
        <v>20</v>
      </c>
      <c r="P109" s="87" t="s">
        <v>20</v>
      </c>
      <c r="Q109" s="87" t="s">
        <v>20</v>
      </c>
      <c r="R109" s="87" t="s">
        <v>20</v>
      </c>
      <c r="S109" s="87" t="s">
        <v>19</v>
      </c>
      <c r="T109" s="87" t="s">
        <v>19</v>
      </c>
      <c r="U109" s="87" t="s">
        <v>19</v>
      </c>
      <c r="V109" s="100" t="s">
        <v>19</v>
      </c>
      <c r="W109" s="100" t="s">
        <v>20</v>
      </c>
      <c r="X109" s="100" t="s">
        <v>19</v>
      </c>
      <c r="Y109" s="87" t="s">
        <v>21</v>
      </c>
      <c r="Z109" s="87" t="s">
        <v>19</v>
      </c>
      <c r="AA109" s="41" t="s">
        <v>20</v>
      </c>
      <c r="AB109" s="41" t="s">
        <v>20</v>
      </c>
      <c r="AC109" s="41" t="s">
        <v>20</v>
      </c>
      <c r="AD109" s="100" t="s">
        <v>20</v>
      </c>
      <c r="AE109" s="100" t="s">
        <v>20</v>
      </c>
    </row>
    <row r="110" spans="1:31" ht="15.75" customHeight="1" x14ac:dyDescent="0.25">
      <c r="A110" s="81">
        <v>105</v>
      </c>
      <c r="B110" s="82">
        <v>1</v>
      </c>
      <c r="C110" s="40" t="s">
        <v>97</v>
      </c>
      <c r="D110" s="82">
        <v>3</v>
      </c>
      <c r="E110" s="82" t="s">
        <v>20</v>
      </c>
      <c r="F110" s="83" t="s">
        <v>20</v>
      </c>
      <c r="G110" s="83" t="s">
        <v>19</v>
      </c>
      <c r="H110" s="83" t="s">
        <v>19</v>
      </c>
      <c r="I110" s="83" t="s">
        <v>19</v>
      </c>
      <c r="J110" s="86" t="s">
        <v>19</v>
      </c>
      <c r="K110" s="86" t="s">
        <v>19</v>
      </c>
      <c r="L110" s="86" t="s">
        <v>20</v>
      </c>
      <c r="M110" s="83" t="s">
        <v>19</v>
      </c>
      <c r="N110" s="83" t="s">
        <v>19</v>
      </c>
      <c r="O110" s="83" t="s">
        <v>19</v>
      </c>
      <c r="P110" s="83" t="s">
        <v>20</v>
      </c>
      <c r="Q110" s="83" t="s">
        <v>20</v>
      </c>
      <c r="R110" s="83" t="s">
        <v>19</v>
      </c>
      <c r="S110" s="83" t="s">
        <v>19</v>
      </c>
      <c r="T110" s="83" t="s">
        <v>19</v>
      </c>
      <c r="U110" s="83" t="s">
        <v>19</v>
      </c>
      <c r="V110" s="99" t="s">
        <v>20</v>
      </c>
      <c r="W110" s="99" t="s">
        <v>19</v>
      </c>
      <c r="X110" s="99" t="s">
        <v>19</v>
      </c>
      <c r="Y110" s="83" t="s">
        <v>19</v>
      </c>
      <c r="Z110" s="83" t="s">
        <v>19</v>
      </c>
      <c r="AA110" s="86" t="s">
        <v>20</v>
      </c>
      <c r="AB110" s="86" t="s">
        <v>20</v>
      </c>
      <c r="AC110" s="86" t="s">
        <v>20</v>
      </c>
      <c r="AD110" s="99" t="s">
        <v>20</v>
      </c>
      <c r="AE110" s="99" t="s">
        <v>20</v>
      </c>
    </row>
    <row r="111" spans="1:31" ht="15.75" customHeight="1" x14ac:dyDescent="0.25">
      <c r="A111" s="81">
        <v>106</v>
      </c>
      <c r="B111" s="20">
        <v>2</v>
      </c>
      <c r="C111" s="37" t="s">
        <v>98</v>
      </c>
      <c r="D111" s="20">
        <v>3</v>
      </c>
      <c r="E111" s="20" t="s">
        <v>20</v>
      </c>
      <c r="F111" s="51" t="s">
        <v>20</v>
      </c>
      <c r="G111" s="51" t="s">
        <v>19</v>
      </c>
      <c r="H111" s="51" t="s">
        <v>19</v>
      </c>
      <c r="I111" s="51" t="s">
        <v>19</v>
      </c>
      <c r="J111" s="39" t="s">
        <v>19</v>
      </c>
      <c r="K111" s="39" t="s">
        <v>19</v>
      </c>
      <c r="L111" s="39" t="s">
        <v>20</v>
      </c>
      <c r="M111" s="51" t="s">
        <v>19</v>
      </c>
      <c r="N111" s="51" t="s">
        <v>19</v>
      </c>
      <c r="O111" s="51" t="s">
        <v>19</v>
      </c>
      <c r="P111" s="51" t="s">
        <v>20</v>
      </c>
      <c r="Q111" s="51" t="s">
        <v>19</v>
      </c>
      <c r="R111" s="51" t="s">
        <v>19</v>
      </c>
      <c r="S111" s="51" t="s">
        <v>20</v>
      </c>
      <c r="T111" s="51" t="s">
        <v>19</v>
      </c>
      <c r="U111" s="51" t="s">
        <v>19</v>
      </c>
      <c r="V111" s="54" t="s">
        <v>20</v>
      </c>
      <c r="W111" s="54" t="s">
        <v>19</v>
      </c>
      <c r="X111" s="54" t="s">
        <v>19</v>
      </c>
      <c r="Y111" s="51" t="s">
        <v>20</v>
      </c>
      <c r="Z111" s="51" t="s">
        <v>19</v>
      </c>
      <c r="AA111" s="39" t="s">
        <v>19</v>
      </c>
      <c r="AB111" s="39" t="s">
        <v>19</v>
      </c>
      <c r="AC111" s="39" t="s">
        <v>19</v>
      </c>
      <c r="AD111" s="54" t="s">
        <v>20</v>
      </c>
      <c r="AE111" s="54" t="s">
        <v>20</v>
      </c>
    </row>
    <row r="112" spans="1:31" ht="15.75" customHeight="1" x14ac:dyDescent="0.25">
      <c r="A112" s="81">
        <v>107</v>
      </c>
      <c r="B112" s="20">
        <v>3</v>
      </c>
      <c r="C112" s="37" t="s">
        <v>99</v>
      </c>
      <c r="D112" s="20">
        <v>3</v>
      </c>
      <c r="E112" s="20" t="s">
        <v>20</v>
      </c>
      <c r="F112" s="51" t="s">
        <v>19</v>
      </c>
      <c r="G112" s="51" t="s">
        <v>19</v>
      </c>
      <c r="H112" s="51" t="s">
        <v>19</v>
      </c>
      <c r="I112" s="51" t="s">
        <v>19</v>
      </c>
      <c r="J112" s="39" t="s">
        <v>19</v>
      </c>
      <c r="K112" s="39" t="s">
        <v>19</v>
      </c>
      <c r="L112" s="39" t="s">
        <v>20</v>
      </c>
      <c r="M112" s="51" t="s">
        <v>19</v>
      </c>
      <c r="N112" s="51" t="s">
        <v>19</v>
      </c>
      <c r="O112" s="51" t="s">
        <v>20</v>
      </c>
      <c r="P112" s="51" t="s">
        <v>19</v>
      </c>
      <c r="Q112" s="51" t="s">
        <v>19</v>
      </c>
      <c r="R112" s="51" t="s">
        <v>19</v>
      </c>
      <c r="S112" s="51" t="s">
        <v>19</v>
      </c>
      <c r="T112" s="51" t="s">
        <v>19</v>
      </c>
      <c r="U112" s="51" t="s">
        <v>19</v>
      </c>
      <c r="V112" s="54" t="s">
        <v>19</v>
      </c>
      <c r="W112" s="54" t="s">
        <v>19</v>
      </c>
      <c r="X112" s="54" t="s">
        <v>19</v>
      </c>
      <c r="Y112" s="51" t="s">
        <v>19</v>
      </c>
      <c r="Z112" s="51" t="s">
        <v>19</v>
      </c>
      <c r="AA112" s="39" t="s">
        <v>19</v>
      </c>
      <c r="AB112" s="39" t="s">
        <v>19</v>
      </c>
      <c r="AC112" s="39" t="s">
        <v>19</v>
      </c>
      <c r="AD112" s="54" t="s">
        <v>19</v>
      </c>
      <c r="AE112" s="54" t="s">
        <v>20</v>
      </c>
    </row>
    <row r="113" spans="1:31" ht="15.75" customHeight="1" x14ac:dyDescent="0.25">
      <c r="A113" s="81">
        <v>108</v>
      </c>
      <c r="B113" s="20">
        <v>4</v>
      </c>
      <c r="C113" s="37" t="s">
        <v>100</v>
      </c>
      <c r="D113" s="20">
        <v>3</v>
      </c>
      <c r="E113" s="20" t="s">
        <v>20</v>
      </c>
      <c r="F113" s="51" t="s">
        <v>20</v>
      </c>
      <c r="G113" s="51" t="s">
        <v>20</v>
      </c>
      <c r="H113" s="51" t="s">
        <v>20</v>
      </c>
      <c r="I113" s="51" t="s">
        <v>19</v>
      </c>
      <c r="J113" s="39" t="s">
        <v>19</v>
      </c>
      <c r="K113" s="39" t="s">
        <v>19</v>
      </c>
      <c r="L113" s="39" t="s">
        <v>19</v>
      </c>
      <c r="M113" s="51" t="s">
        <v>19</v>
      </c>
      <c r="N113" s="51" t="s">
        <v>19</v>
      </c>
      <c r="O113" s="51" t="s">
        <v>19</v>
      </c>
      <c r="P113" s="51" t="s">
        <v>19</v>
      </c>
      <c r="Q113" s="51" t="s">
        <v>20</v>
      </c>
      <c r="R113" s="51" t="s">
        <v>19</v>
      </c>
      <c r="S113" s="51" t="s">
        <v>19</v>
      </c>
      <c r="T113" s="51" t="s">
        <v>19</v>
      </c>
      <c r="U113" s="51" t="s">
        <v>19</v>
      </c>
      <c r="V113" s="54" t="s">
        <v>20</v>
      </c>
      <c r="W113" s="54" t="s">
        <v>19</v>
      </c>
      <c r="X113" s="54" t="s">
        <v>20</v>
      </c>
      <c r="Y113" s="51" t="s">
        <v>19</v>
      </c>
      <c r="Z113" s="51" t="s">
        <v>19</v>
      </c>
      <c r="AA113" s="39" t="s">
        <v>20</v>
      </c>
      <c r="AB113" s="39" t="s">
        <v>20</v>
      </c>
      <c r="AC113" s="39" t="s">
        <v>20</v>
      </c>
      <c r="AD113" s="54" t="s">
        <v>21</v>
      </c>
      <c r="AE113" s="54" t="s">
        <v>20</v>
      </c>
    </row>
    <row r="114" spans="1:31" ht="15.75" customHeight="1" x14ac:dyDescent="0.25">
      <c r="A114" s="81">
        <v>109</v>
      </c>
      <c r="B114" s="20">
        <v>5</v>
      </c>
      <c r="C114" s="37" t="s">
        <v>101</v>
      </c>
      <c r="D114" s="20">
        <v>3</v>
      </c>
      <c r="E114" s="20" t="s">
        <v>20</v>
      </c>
      <c r="F114" s="51" t="s">
        <v>20</v>
      </c>
      <c r="G114" s="51" t="s">
        <v>19</v>
      </c>
      <c r="H114" s="51" t="s">
        <v>20</v>
      </c>
      <c r="I114" s="51" t="s">
        <v>19</v>
      </c>
      <c r="J114" s="39" t="s">
        <v>22</v>
      </c>
      <c r="K114" s="39" t="s">
        <v>22</v>
      </c>
      <c r="L114" s="39" t="s">
        <v>19</v>
      </c>
      <c r="M114" s="51" t="s">
        <v>19</v>
      </c>
      <c r="N114" s="51" t="s">
        <v>19</v>
      </c>
      <c r="O114" s="51" t="s">
        <v>19</v>
      </c>
      <c r="P114" s="51" t="s">
        <v>20</v>
      </c>
      <c r="Q114" s="51" t="s">
        <v>19</v>
      </c>
      <c r="R114" s="51" t="s">
        <v>19</v>
      </c>
      <c r="S114" s="51" t="s">
        <v>19</v>
      </c>
      <c r="T114" s="51" t="s">
        <v>19</v>
      </c>
      <c r="U114" s="51" t="s">
        <v>19</v>
      </c>
      <c r="V114" s="54" t="s">
        <v>19</v>
      </c>
      <c r="W114" s="54" t="s">
        <v>19</v>
      </c>
      <c r="X114" s="54" t="s">
        <v>19</v>
      </c>
      <c r="Y114" s="51" t="s">
        <v>19</v>
      </c>
      <c r="Z114" s="51" t="s">
        <v>19</v>
      </c>
      <c r="AA114" s="39" t="s">
        <v>19</v>
      </c>
      <c r="AB114" s="39" t="s">
        <v>19</v>
      </c>
      <c r="AC114" s="39" t="s">
        <v>19</v>
      </c>
      <c r="AD114" s="53" t="s">
        <v>21</v>
      </c>
      <c r="AE114" s="53" t="s">
        <v>20</v>
      </c>
    </row>
    <row r="115" spans="1:31" ht="15.75" customHeight="1" x14ac:dyDescent="0.25">
      <c r="A115" s="81">
        <v>110</v>
      </c>
      <c r="B115" s="20">
        <v>6</v>
      </c>
      <c r="C115" s="37" t="s">
        <v>255</v>
      </c>
      <c r="D115" s="20">
        <v>3</v>
      </c>
      <c r="E115" s="20" t="s">
        <v>20</v>
      </c>
      <c r="F115" s="51" t="s">
        <v>19</v>
      </c>
      <c r="G115" s="51" t="s">
        <v>19</v>
      </c>
      <c r="H115" s="51" t="s">
        <v>19</v>
      </c>
      <c r="I115" s="51" t="s">
        <v>19</v>
      </c>
      <c r="J115" s="39" t="s">
        <v>19</v>
      </c>
      <c r="K115" s="39" t="s">
        <v>19</v>
      </c>
      <c r="L115" s="39" t="s">
        <v>19</v>
      </c>
      <c r="M115" s="51" t="s">
        <v>19</v>
      </c>
      <c r="N115" s="51" t="s">
        <v>19</v>
      </c>
      <c r="O115" s="51" t="s">
        <v>19</v>
      </c>
      <c r="P115" s="51" t="s">
        <v>20</v>
      </c>
      <c r="Q115" s="51" t="s">
        <v>19</v>
      </c>
      <c r="R115" s="51" t="s">
        <v>19</v>
      </c>
      <c r="S115" s="51" t="s">
        <v>19</v>
      </c>
      <c r="T115" s="51" t="s">
        <v>19</v>
      </c>
      <c r="U115" s="51" t="s">
        <v>19</v>
      </c>
      <c r="V115" s="54" t="s">
        <v>19</v>
      </c>
      <c r="W115" s="54" t="s">
        <v>19</v>
      </c>
      <c r="X115" s="54" t="s">
        <v>20</v>
      </c>
      <c r="Y115" s="51" t="s">
        <v>19</v>
      </c>
      <c r="Z115" s="51" t="s">
        <v>19</v>
      </c>
      <c r="AA115" s="39" t="s">
        <v>19</v>
      </c>
      <c r="AB115" s="39" t="s">
        <v>19</v>
      </c>
      <c r="AC115" s="39" t="s">
        <v>19</v>
      </c>
      <c r="AD115" s="53" t="s">
        <v>19</v>
      </c>
      <c r="AE115" s="53" t="s">
        <v>20</v>
      </c>
    </row>
    <row r="116" spans="1:31" ht="15.75" customHeight="1" x14ac:dyDescent="0.25">
      <c r="A116" s="81">
        <v>111</v>
      </c>
      <c r="B116" s="20">
        <v>7</v>
      </c>
      <c r="C116" s="37" t="s">
        <v>86</v>
      </c>
      <c r="D116" s="20">
        <v>3</v>
      </c>
      <c r="E116" s="20" t="s">
        <v>20</v>
      </c>
      <c r="F116" s="51" t="s">
        <v>21</v>
      </c>
      <c r="G116" s="51" t="s">
        <v>20</v>
      </c>
      <c r="H116" s="51" t="s">
        <v>21</v>
      </c>
      <c r="I116" s="51" t="s">
        <v>20</v>
      </c>
      <c r="J116" s="39" t="s">
        <v>20</v>
      </c>
      <c r="K116" s="39" t="s">
        <v>20</v>
      </c>
      <c r="L116" s="39" t="s">
        <v>20</v>
      </c>
      <c r="M116" s="51" t="s">
        <v>19</v>
      </c>
      <c r="N116" s="51" t="s">
        <v>19</v>
      </c>
      <c r="O116" s="51" t="s">
        <v>20</v>
      </c>
      <c r="P116" s="51" t="s">
        <v>20</v>
      </c>
      <c r="Q116" s="51" t="s">
        <v>21</v>
      </c>
      <c r="R116" s="51" t="s">
        <v>20</v>
      </c>
      <c r="S116" s="51" t="s">
        <v>19</v>
      </c>
      <c r="T116" s="51" t="s">
        <v>20</v>
      </c>
      <c r="U116" s="51" t="s">
        <v>19</v>
      </c>
      <c r="V116" s="54" t="s">
        <v>20</v>
      </c>
      <c r="W116" s="54" t="s">
        <v>20</v>
      </c>
      <c r="X116" s="54" t="s">
        <v>20</v>
      </c>
      <c r="Y116" s="51" t="s">
        <v>19</v>
      </c>
      <c r="Z116" s="51" t="s">
        <v>19</v>
      </c>
      <c r="AA116" s="39" t="s">
        <v>20</v>
      </c>
      <c r="AB116" s="39" t="s">
        <v>20</v>
      </c>
      <c r="AC116" s="39" t="s">
        <v>20</v>
      </c>
      <c r="AD116" s="53" t="s">
        <v>20</v>
      </c>
      <c r="AE116" s="53" t="s">
        <v>20</v>
      </c>
    </row>
    <row r="117" spans="1:31" ht="15.75" customHeight="1" x14ac:dyDescent="0.25">
      <c r="A117" s="81">
        <v>112</v>
      </c>
      <c r="B117" s="20">
        <v>8</v>
      </c>
      <c r="C117" s="37" t="s">
        <v>103</v>
      </c>
      <c r="D117" s="20">
        <v>3</v>
      </c>
      <c r="E117" s="20" t="s">
        <v>20</v>
      </c>
      <c r="F117" s="51" t="s">
        <v>20</v>
      </c>
      <c r="G117" s="51" t="s">
        <v>21</v>
      </c>
      <c r="H117" s="51" t="s">
        <v>20</v>
      </c>
      <c r="I117" s="51" t="s">
        <v>20</v>
      </c>
      <c r="J117" s="39" t="s">
        <v>19</v>
      </c>
      <c r="K117" s="39" t="s">
        <v>19</v>
      </c>
      <c r="L117" s="39" t="s">
        <v>20</v>
      </c>
      <c r="M117" s="51" t="s">
        <v>19</v>
      </c>
      <c r="N117" s="51" t="s">
        <v>20</v>
      </c>
      <c r="O117" s="51" t="s">
        <v>19</v>
      </c>
      <c r="P117" s="51" t="s">
        <v>20</v>
      </c>
      <c r="Q117" s="51" t="s">
        <v>20</v>
      </c>
      <c r="R117" s="51" t="s">
        <v>20</v>
      </c>
      <c r="S117" s="51" t="s">
        <v>19</v>
      </c>
      <c r="T117" s="51" t="s">
        <v>19</v>
      </c>
      <c r="U117" s="51" t="s">
        <v>19</v>
      </c>
      <c r="V117" s="54" t="s">
        <v>19</v>
      </c>
      <c r="W117" s="54" t="s">
        <v>20</v>
      </c>
      <c r="X117" s="54" t="s">
        <v>19</v>
      </c>
      <c r="Y117" s="51" t="s">
        <v>19</v>
      </c>
      <c r="Z117" s="51" t="s">
        <v>19</v>
      </c>
      <c r="AA117" s="39" t="s">
        <v>21</v>
      </c>
      <c r="AB117" s="39" t="s">
        <v>21</v>
      </c>
      <c r="AC117" s="39" t="s">
        <v>20</v>
      </c>
      <c r="AD117" s="53" t="s">
        <v>20</v>
      </c>
      <c r="AE117" s="53" t="s">
        <v>20</v>
      </c>
    </row>
    <row r="118" spans="1:31" ht="15.75" customHeight="1" x14ac:dyDescent="0.25">
      <c r="A118" s="81">
        <v>113</v>
      </c>
      <c r="B118" s="20">
        <v>9</v>
      </c>
      <c r="C118" s="37" t="s">
        <v>104</v>
      </c>
      <c r="D118" s="20">
        <v>3</v>
      </c>
      <c r="E118" s="20" t="s">
        <v>20</v>
      </c>
      <c r="F118" s="51" t="s">
        <v>21</v>
      </c>
      <c r="G118" s="51" t="s">
        <v>20</v>
      </c>
      <c r="H118" s="51" t="s">
        <v>21</v>
      </c>
      <c r="I118" s="51" t="s">
        <v>20</v>
      </c>
      <c r="J118" s="39" t="s">
        <v>19</v>
      </c>
      <c r="K118" s="39" t="s">
        <v>20</v>
      </c>
      <c r="L118" s="39" t="s">
        <v>20</v>
      </c>
      <c r="M118" s="51" t="s">
        <v>20</v>
      </c>
      <c r="N118" s="51" t="s">
        <v>20</v>
      </c>
      <c r="O118" s="51" t="s">
        <v>20</v>
      </c>
      <c r="P118" s="51" t="s">
        <v>21</v>
      </c>
      <c r="Q118" s="51" t="s">
        <v>19</v>
      </c>
      <c r="R118" s="51" t="s">
        <v>20</v>
      </c>
      <c r="S118" s="51" t="s">
        <v>20</v>
      </c>
      <c r="T118" s="51" t="s">
        <v>19</v>
      </c>
      <c r="U118" s="51" t="s">
        <v>19</v>
      </c>
      <c r="V118" s="54" t="s">
        <v>20</v>
      </c>
      <c r="W118" s="54" t="s">
        <v>20</v>
      </c>
      <c r="X118" s="54" t="s">
        <v>20</v>
      </c>
      <c r="Y118" s="51" t="s">
        <v>19</v>
      </c>
      <c r="Z118" s="51" t="s">
        <v>19</v>
      </c>
      <c r="AA118" s="39" t="s">
        <v>21</v>
      </c>
      <c r="AB118" s="39" t="s">
        <v>21</v>
      </c>
      <c r="AC118" s="39" t="s">
        <v>20</v>
      </c>
      <c r="AD118" s="53" t="s">
        <v>20</v>
      </c>
      <c r="AE118" s="53" t="s">
        <v>20</v>
      </c>
    </row>
    <row r="119" spans="1:31" ht="15.75" customHeight="1" x14ac:dyDescent="0.25">
      <c r="A119" s="81">
        <v>114</v>
      </c>
      <c r="B119" s="20">
        <v>10</v>
      </c>
      <c r="C119" s="37" t="s">
        <v>105</v>
      </c>
      <c r="D119" s="20">
        <v>3</v>
      </c>
      <c r="E119" s="20" t="s">
        <v>20</v>
      </c>
      <c r="F119" s="51" t="s">
        <v>22</v>
      </c>
      <c r="G119" s="51" t="s">
        <v>19</v>
      </c>
      <c r="H119" s="51" t="s">
        <v>19</v>
      </c>
      <c r="I119" s="51" t="s">
        <v>19</v>
      </c>
      <c r="J119" s="39" t="s">
        <v>19</v>
      </c>
      <c r="K119" s="39" t="s">
        <v>22</v>
      </c>
      <c r="L119" s="39" t="s">
        <v>19</v>
      </c>
      <c r="M119" s="51" t="s">
        <v>19</v>
      </c>
      <c r="N119" s="51" t="s">
        <v>19</v>
      </c>
      <c r="O119" s="51" t="s">
        <v>19</v>
      </c>
      <c r="P119" s="51" t="s">
        <v>20</v>
      </c>
      <c r="Q119" s="51" t="s">
        <v>19</v>
      </c>
      <c r="R119" s="51" t="s">
        <v>19</v>
      </c>
      <c r="S119" s="51" t="s">
        <v>19</v>
      </c>
      <c r="T119" s="51" t="s">
        <v>19</v>
      </c>
      <c r="U119" s="51" t="s">
        <v>19</v>
      </c>
      <c r="V119" s="54" t="s">
        <v>20</v>
      </c>
      <c r="W119" s="54" t="s">
        <v>19</v>
      </c>
      <c r="X119" s="54" t="s">
        <v>19</v>
      </c>
      <c r="Y119" s="51" t="s">
        <v>19</v>
      </c>
      <c r="Z119" s="51" t="s">
        <v>19</v>
      </c>
      <c r="AA119" s="39" t="s">
        <v>19</v>
      </c>
      <c r="AB119" s="39" t="s">
        <v>19</v>
      </c>
      <c r="AC119" s="39" t="s">
        <v>19</v>
      </c>
      <c r="AD119" s="53" t="s">
        <v>19</v>
      </c>
      <c r="AE119" s="53" t="s">
        <v>20</v>
      </c>
    </row>
    <row r="120" spans="1:31" ht="15.75" customHeight="1" x14ac:dyDescent="0.25">
      <c r="A120" s="81">
        <v>115</v>
      </c>
      <c r="B120" s="20">
        <v>11</v>
      </c>
      <c r="C120" s="37" t="s">
        <v>106</v>
      </c>
      <c r="D120" s="20">
        <v>3</v>
      </c>
      <c r="E120" s="20" t="s">
        <v>20</v>
      </c>
      <c r="F120" s="51" t="s">
        <v>20</v>
      </c>
      <c r="G120" s="51" t="s">
        <v>20</v>
      </c>
      <c r="H120" s="51" t="s">
        <v>20</v>
      </c>
      <c r="I120" s="51" t="s">
        <v>20</v>
      </c>
      <c r="J120" s="39" t="s">
        <v>20</v>
      </c>
      <c r="K120" s="39" t="s">
        <v>20</v>
      </c>
      <c r="L120" s="39" t="s">
        <v>20</v>
      </c>
      <c r="M120" s="51" t="s">
        <v>20</v>
      </c>
      <c r="N120" s="51" t="s">
        <v>20</v>
      </c>
      <c r="O120" s="51" t="s">
        <v>20</v>
      </c>
      <c r="P120" s="51" t="s">
        <v>20</v>
      </c>
      <c r="Q120" s="51" t="s">
        <v>20</v>
      </c>
      <c r="R120" s="51" t="s">
        <v>21</v>
      </c>
      <c r="S120" s="51" t="s">
        <v>21</v>
      </c>
      <c r="T120" s="51" t="s">
        <v>20</v>
      </c>
      <c r="U120" s="51" t="s">
        <v>19</v>
      </c>
      <c r="V120" s="54" t="s">
        <v>20</v>
      </c>
      <c r="W120" s="54" t="s">
        <v>19</v>
      </c>
      <c r="X120" s="54" t="s">
        <v>20</v>
      </c>
      <c r="Y120" s="51" t="s">
        <v>20</v>
      </c>
      <c r="Z120" s="51" t="s">
        <v>20</v>
      </c>
      <c r="AA120" s="39" t="s">
        <v>20</v>
      </c>
      <c r="AB120" s="39" t="s">
        <v>20</v>
      </c>
      <c r="AC120" s="39" t="s">
        <v>20</v>
      </c>
      <c r="AD120" s="53" t="s">
        <v>21</v>
      </c>
      <c r="AE120" s="53" t="s">
        <v>20</v>
      </c>
    </row>
    <row r="121" spans="1:31" ht="15.75" customHeight="1" x14ac:dyDescent="0.25">
      <c r="A121" s="81">
        <v>116</v>
      </c>
      <c r="B121" s="20">
        <v>12</v>
      </c>
      <c r="C121" s="37" t="s">
        <v>107</v>
      </c>
      <c r="D121" s="20">
        <v>3</v>
      </c>
      <c r="E121" s="20" t="s">
        <v>20</v>
      </c>
      <c r="F121" s="51" t="s">
        <v>19</v>
      </c>
      <c r="G121" s="51" t="s">
        <v>19</v>
      </c>
      <c r="H121" s="51" t="s">
        <v>19</v>
      </c>
      <c r="I121" s="51" t="s">
        <v>19</v>
      </c>
      <c r="J121" s="39" t="s">
        <v>19</v>
      </c>
      <c r="K121" s="39" t="s">
        <v>19</v>
      </c>
      <c r="L121" s="39" t="s">
        <v>19</v>
      </c>
      <c r="M121" s="51" t="s">
        <v>19</v>
      </c>
      <c r="N121" s="51" t="s">
        <v>19</v>
      </c>
      <c r="O121" s="51" t="s">
        <v>19</v>
      </c>
      <c r="P121" s="51" t="s">
        <v>20</v>
      </c>
      <c r="Q121" s="51" t="s">
        <v>19</v>
      </c>
      <c r="R121" s="51" t="s">
        <v>20</v>
      </c>
      <c r="S121" s="51" t="s">
        <v>20</v>
      </c>
      <c r="T121" s="51" t="s">
        <v>20</v>
      </c>
      <c r="U121" s="51" t="s">
        <v>19</v>
      </c>
      <c r="V121" s="54" t="s">
        <v>19</v>
      </c>
      <c r="W121" s="54" t="s">
        <v>19</v>
      </c>
      <c r="X121" s="54" t="s">
        <v>20</v>
      </c>
      <c r="Y121" s="51" t="s">
        <v>20</v>
      </c>
      <c r="Z121" s="51" t="s">
        <v>19</v>
      </c>
      <c r="AA121" s="39" t="s">
        <v>19</v>
      </c>
      <c r="AB121" s="39" t="s">
        <v>19</v>
      </c>
      <c r="AC121" s="39" t="s">
        <v>19</v>
      </c>
      <c r="AD121" s="53" t="s">
        <v>21</v>
      </c>
      <c r="AE121" s="53" t="s">
        <v>20</v>
      </c>
    </row>
    <row r="122" spans="1:31" ht="15.75" customHeight="1" x14ac:dyDescent="0.25">
      <c r="A122" s="81">
        <v>117</v>
      </c>
      <c r="B122" s="20">
        <v>13</v>
      </c>
      <c r="C122" s="37" t="s">
        <v>108</v>
      </c>
      <c r="D122" s="20">
        <v>3</v>
      </c>
      <c r="E122" s="20" t="s">
        <v>20</v>
      </c>
      <c r="F122" s="51" t="s">
        <v>19</v>
      </c>
      <c r="G122" s="51" t="s">
        <v>19</v>
      </c>
      <c r="H122" s="51" t="s">
        <v>19</v>
      </c>
      <c r="I122" s="51" t="s">
        <v>22</v>
      </c>
      <c r="J122" s="39" t="s">
        <v>19</v>
      </c>
      <c r="K122" s="39" t="s">
        <v>19</v>
      </c>
      <c r="L122" s="39" t="s">
        <v>19</v>
      </c>
      <c r="M122" s="51" t="s">
        <v>19</v>
      </c>
      <c r="N122" s="51" t="s">
        <v>19</v>
      </c>
      <c r="O122" s="51" t="s">
        <v>19</v>
      </c>
      <c r="P122" s="51" t="s">
        <v>20</v>
      </c>
      <c r="Q122" s="51" t="s">
        <v>20</v>
      </c>
      <c r="R122" s="51" t="s">
        <v>19</v>
      </c>
      <c r="S122" s="51" t="s">
        <v>19</v>
      </c>
      <c r="T122" s="51" t="s">
        <v>19</v>
      </c>
      <c r="U122" s="51" t="s">
        <v>19</v>
      </c>
      <c r="V122" s="54" t="s">
        <v>19</v>
      </c>
      <c r="W122" s="54" t="s">
        <v>19</v>
      </c>
      <c r="X122" s="54" t="s">
        <v>19</v>
      </c>
      <c r="Y122" s="51" t="s">
        <v>20</v>
      </c>
      <c r="Z122" s="51" t="s">
        <v>20</v>
      </c>
      <c r="AA122" s="39" t="s">
        <v>20</v>
      </c>
      <c r="AB122" s="39" t="s">
        <v>19</v>
      </c>
      <c r="AC122" s="39" t="s">
        <v>20</v>
      </c>
      <c r="AD122" s="53" t="s">
        <v>59</v>
      </c>
      <c r="AE122" s="53" t="s">
        <v>59</v>
      </c>
    </row>
    <row r="123" spans="1:31" ht="15.75" customHeight="1" x14ac:dyDescent="0.25">
      <c r="A123" s="81">
        <v>118</v>
      </c>
      <c r="B123" s="20">
        <v>14</v>
      </c>
      <c r="C123" s="37" t="s">
        <v>109</v>
      </c>
      <c r="D123" s="20">
        <v>3</v>
      </c>
      <c r="E123" s="20" t="s">
        <v>20</v>
      </c>
      <c r="F123" s="51" t="s">
        <v>20</v>
      </c>
      <c r="G123" s="51" t="s">
        <v>20</v>
      </c>
      <c r="H123" s="51" t="s">
        <v>19</v>
      </c>
      <c r="I123" s="51" t="s">
        <v>19</v>
      </c>
      <c r="J123" s="39" t="s">
        <v>19</v>
      </c>
      <c r="K123" s="39" t="s">
        <v>19</v>
      </c>
      <c r="L123" s="39" t="s">
        <v>20</v>
      </c>
      <c r="M123" s="51" t="s">
        <v>19</v>
      </c>
      <c r="N123" s="51" t="s">
        <v>19</v>
      </c>
      <c r="O123" s="51" t="s">
        <v>19</v>
      </c>
      <c r="P123" s="51" t="s">
        <v>21</v>
      </c>
      <c r="Q123" s="51" t="s">
        <v>20</v>
      </c>
      <c r="R123" s="51" t="s">
        <v>20</v>
      </c>
      <c r="S123" s="51" t="s">
        <v>19</v>
      </c>
      <c r="T123" s="51" t="s">
        <v>19</v>
      </c>
      <c r="U123" s="51" t="s">
        <v>20</v>
      </c>
      <c r="V123" s="54" t="s">
        <v>20</v>
      </c>
      <c r="W123" s="54" t="s">
        <v>19</v>
      </c>
      <c r="X123" s="54" t="s">
        <v>20</v>
      </c>
      <c r="Y123" s="51" t="s">
        <v>20</v>
      </c>
      <c r="Z123" s="51" t="s">
        <v>20</v>
      </c>
      <c r="AA123" s="39" t="s">
        <v>20</v>
      </c>
      <c r="AB123" s="39" t="s">
        <v>20</v>
      </c>
      <c r="AC123" s="39" t="s">
        <v>19</v>
      </c>
      <c r="AD123" s="53" t="s">
        <v>20</v>
      </c>
      <c r="AE123" s="53" t="s">
        <v>20</v>
      </c>
    </row>
    <row r="124" spans="1:31" ht="15.75" customHeight="1" x14ac:dyDescent="0.25">
      <c r="A124" s="81">
        <v>119</v>
      </c>
      <c r="B124" s="20">
        <v>15</v>
      </c>
      <c r="C124" s="37" t="s">
        <v>110</v>
      </c>
      <c r="D124" s="20">
        <v>3</v>
      </c>
      <c r="E124" s="20" t="s">
        <v>20</v>
      </c>
      <c r="F124" s="51" t="s">
        <v>21</v>
      </c>
      <c r="G124" s="51" t="s">
        <v>21</v>
      </c>
      <c r="H124" s="51" t="s">
        <v>21</v>
      </c>
      <c r="I124" s="51" t="s">
        <v>20</v>
      </c>
      <c r="J124" s="39" t="s">
        <v>20</v>
      </c>
      <c r="K124" s="39" t="s">
        <v>20</v>
      </c>
      <c r="L124" s="39" t="s">
        <v>20</v>
      </c>
      <c r="M124" s="51" t="s">
        <v>20</v>
      </c>
      <c r="N124" s="51" t="s">
        <v>20</v>
      </c>
      <c r="O124" s="51" t="s">
        <v>20</v>
      </c>
      <c r="P124" s="51" t="s">
        <v>21</v>
      </c>
      <c r="Q124" s="51" t="s">
        <v>20</v>
      </c>
      <c r="R124" s="51" t="s">
        <v>20</v>
      </c>
      <c r="S124" s="51" t="s">
        <v>21</v>
      </c>
      <c r="T124" s="51" t="s">
        <v>21</v>
      </c>
      <c r="U124" s="51" t="s">
        <v>19</v>
      </c>
      <c r="V124" s="54" t="s">
        <v>19</v>
      </c>
      <c r="W124" s="54" t="s">
        <v>19</v>
      </c>
      <c r="X124" s="54" t="s">
        <v>20</v>
      </c>
      <c r="Y124" s="51" t="s">
        <v>21</v>
      </c>
      <c r="Z124" s="51" t="s">
        <v>20</v>
      </c>
      <c r="AA124" s="39" t="s">
        <v>20</v>
      </c>
      <c r="AB124" s="39" t="s">
        <v>20</v>
      </c>
      <c r="AC124" s="39" t="s">
        <v>20</v>
      </c>
      <c r="AD124" s="53" t="s">
        <v>21</v>
      </c>
      <c r="AE124" s="53" t="s">
        <v>20</v>
      </c>
    </row>
    <row r="125" spans="1:31" ht="15.75" customHeight="1" x14ac:dyDescent="0.25">
      <c r="A125" s="81">
        <v>120</v>
      </c>
      <c r="B125" s="20">
        <v>16</v>
      </c>
      <c r="C125" s="37" t="s">
        <v>111</v>
      </c>
      <c r="D125" s="20">
        <v>3</v>
      </c>
      <c r="E125" s="20" t="s">
        <v>20</v>
      </c>
      <c r="F125" s="51" t="s">
        <v>21</v>
      </c>
      <c r="G125" s="51" t="s">
        <v>21</v>
      </c>
      <c r="H125" s="51" t="s">
        <v>20</v>
      </c>
      <c r="I125" s="51" t="s">
        <v>20</v>
      </c>
      <c r="J125" s="39" t="s">
        <v>20</v>
      </c>
      <c r="K125" s="39" t="s">
        <v>20</v>
      </c>
      <c r="L125" s="39" t="s">
        <v>20</v>
      </c>
      <c r="M125" s="51" t="s">
        <v>20</v>
      </c>
      <c r="N125" s="51" t="s">
        <v>19</v>
      </c>
      <c r="O125" s="51" t="s">
        <v>20</v>
      </c>
      <c r="P125" s="51" t="s">
        <v>20</v>
      </c>
      <c r="Q125" s="51" t="s">
        <v>19</v>
      </c>
      <c r="R125" s="51" t="s">
        <v>20</v>
      </c>
      <c r="S125" s="51" t="s">
        <v>21</v>
      </c>
      <c r="T125" s="51" t="s">
        <v>20</v>
      </c>
      <c r="U125" s="51" t="s">
        <v>19</v>
      </c>
      <c r="V125" s="54" t="s">
        <v>20</v>
      </c>
      <c r="W125" s="54" t="s">
        <v>19</v>
      </c>
      <c r="X125" s="54" t="s">
        <v>20</v>
      </c>
      <c r="Y125" s="51" t="s">
        <v>21</v>
      </c>
      <c r="Z125" s="51" t="s">
        <v>20</v>
      </c>
      <c r="AA125" s="39" t="s">
        <v>20</v>
      </c>
      <c r="AB125" s="39" t="s">
        <v>20</v>
      </c>
      <c r="AC125" s="39" t="s">
        <v>20</v>
      </c>
      <c r="AD125" s="53" t="s">
        <v>21</v>
      </c>
      <c r="AE125" s="53" t="s">
        <v>20</v>
      </c>
    </row>
    <row r="126" spans="1:31" ht="15.75" customHeight="1" x14ac:dyDescent="0.25">
      <c r="A126" s="81">
        <v>121</v>
      </c>
      <c r="B126" s="20">
        <v>17</v>
      </c>
      <c r="C126" s="37" t="s">
        <v>112</v>
      </c>
      <c r="D126" s="20">
        <v>3</v>
      </c>
      <c r="E126" s="20" t="s">
        <v>20</v>
      </c>
      <c r="F126" s="51" t="s">
        <v>20</v>
      </c>
      <c r="G126" s="51" t="s">
        <v>20</v>
      </c>
      <c r="H126" s="51" t="s">
        <v>20</v>
      </c>
      <c r="I126" s="51" t="s">
        <v>20</v>
      </c>
      <c r="J126" s="39" t="s">
        <v>20</v>
      </c>
      <c r="K126" s="39" t="s">
        <v>20</v>
      </c>
      <c r="L126" s="39" t="s">
        <v>20</v>
      </c>
      <c r="M126" s="51" t="s">
        <v>19</v>
      </c>
      <c r="N126" s="51" t="s">
        <v>19</v>
      </c>
      <c r="O126" s="51" t="s">
        <v>19</v>
      </c>
      <c r="P126" s="51" t="s">
        <v>20</v>
      </c>
      <c r="Q126" s="51" t="s">
        <v>20</v>
      </c>
      <c r="R126" s="51" t="s">
        <v>20</v>
      </c>
      <c r="S126" s="51" t="s">
        <v>19</v>
      </c>
      <c r="T126" s="51" t="s">
        <v>19</v>
      </c>
      <c r="U126" s="51" t="s">
        <v>19</v>
      </c>
      <c r="V126" s="54" t="s">
        <v>20</v>
      </c>
      <c r="W126" s="54" t="s">
        <v>19</v>
      </c>
      <c r="X126" s="54" t="s">
        <v>20</v>
      </c>
      <c r="Y126" s="51" t="s">
        <v>19</v>
      </c>
      <c r="Z126" s="51" t="s">
        <v>19</v>
      </c>
      <c r="AA126" s="39" t="s">
        <v>20</v>
      </c>
      <c r="AB126" s="39" t="s">
        <v>19</v>
      </c>
      <c r="AC126" s="39" t="s">
        <v>20</v>
      </c>
      <c r="AD126" s="53" t="s">
        <v>19</v>
      </c>
      <c r="AE126" s="53" t="s">
        <v>20</v>
      </c>
    </row>
    <row r="127" spans="1:31" ht="15.75" customHeight="1" x14ac:dyDescent="0.25">
      <c r="A127" s="81">
        <v>122</v>
      </c>
      <c r="B127" s="20">
        <v>18</v>
      </c>
      <c r="C127" s="37" t="s">
        <v>113</v>
      </c>
      <c r="D127" s="20">
        <v>3</v>
      </c>
      <c r="E127" s="20" t="s">
        <v>20</v>
      </c>
      <c r="F127" s="51" t="s">
        <v>20</v>
      </c>
      <c r="G127" s="51" t="s">
        <v>20</v>
      </c>
      <c r="H127" s="51" t="s">
        <v>19</v>
      </c>
      <c r="I127" s="51" t="s">
        <v>20</v>
      </c>
      <c r="J127" s="39" t="s">
        <v>19</v>
      </c>
      <c r="K127" s="39" t="s">
        <v>19</v>
      </c>
      <c r="L127" s="39" t="s">
        <v>19</v>
      </c>
      <c r="M127" s="51" t="s">
        <v>20</v>
      </c>
      <c r="N127" s="51" t="s">
        <v>19</v>
      </c>
      <c r="O127" s="51" t="s">
        <v>20</v>
      </c>
      <c r="P127" s="51" t="s">
        <v>20</v>
      </c>
      <c r="Q127" s="51" t="s">
        <v>20</v>
      </c>
      <c r="R127" s="51" t="s">
        <v>19</v>
      </c>
      <c r="S127" s="51" t="s">
        <v>19</v>
      </c>
      <c r="T127" s="51" t="s">
        <v>19</v>
      </c>
      <c r="U127" s="51" t="s">
        <v>19</v>
      </c>
      <c r="V127" s="54" t="s">
        <v>19</v>
      </c>
      <c r="W127" s="54" t="s">
        <v>19</v>
      </c>
      <c r="X127" s="54" t="s">
        <v>19</v>
      </c>
      <c r="Y127" s="51" t="s">
        <v>19</v>
      </c>
      <c r="Z127" s="51" t="s">
        <v>20</v>
      </c>
      <c r="AA127" s="39" t="s">
        <v>19</v>
      </c>
      <c r="AB127" s="39" t="s">
        <v>20</v>
      </c>
      <c r="AC127" s="39" t="s">
        <v>19</v>
      </c>
      <c r="AD127" s="53" t="s">
        <v>19</v>
      </c>
      <c r="AE127" s="53" t="s">
        <v>20</v>
      </c>
    </row>
    <row r="128" spans="1:31" ht="15.75" customHeight="1" x14ac:dyDescent="0.25">
      <c r="A128" s="81">
        <v>123</v>
      </c>
      <c r="B128" s="20">
        <v>19</v>
      </c>
      <c r="C128" s="37" t="s">
        <v>114</v>
      </c>
      <c r="D128" s="20">
        <v>3</v>
      </c>
      <c r="E128" s="20" t="s">
        <v>20</v>
      </c>
      <c r="F128" s="51" t="s">
        <v>20</v>
      </c>
      <c r="G128" s="51" t="s">
        <v>20</v>
      </c>
      <c r="H128" s="51" t="s">
        <v>20</v>
      </c>
      <c r="I128" s="51" t="s">
        <v>20</v>
      </c>
      <c r="J128" s="39" t="s">
        <v>20</v>
      </c>
      <c r="K128" s="39" t="s">
        <v>20</v>
      </c>
      <c r="L128" s="39" t="s">
        <v>20</v>
      </c>
      <c r="M128" s="51" t="s">
        <v>20</v>
      </c>
      <c r="N128" s="51" t="s">
        <v>19</v>
      </c>
      <c r="O128" s="51" t="s">
        <v>20</v>
      </c>
      <c r="P128" s="51" t="s">
        <v>20</v>
      </c>
      <c r="Q128" s="51" t="s">
        <v>20</v>
      </c>
      <c r="R128" s="51" t="s">
        <v>21</v>
      </c>
      <c r="S128" s="51" t="s">
        <v>20</v>
      </c>
      <c r="T128" s="51" t="s">
        <v>19</v>
      </c>
      <c r="U128" s="51" t="s">
        <v>20</v>
      </c>
      <c r="V128" s="54" t="s">
        <v>20</v>
      </c>
      <c r="W128" s="54" t="s">
        <v>19</v>
      </c>
      <c r="X128" s="54" t="s">
        <v>20</v>
      </c>
      <c r="Y128" s="51" t="s">
        <v>19</v>
      </c>
      <c r="Z128" s="51" t="s">
        <v>19</v>
      </c>
      <c r="AA128" s="39" t="s">
        <v>20</v>
      </c>
      <c r="AB128" s="39" t="s">
        <v>20</v>
      </c>
      <c r="AC128" s="39" t="s">
        <v>21</v>
      </c>
      <c r="AD128" s="53" t="s">
        <v>19</v>
      </c>
      <c r="AE128" s="53" t="s">
        <v>20</v>
      </c>
    </row>
    <row r="129" spans="1:31" ht="15.75" customHeight="1" x14ac:dyDescent="0.25">
      <c r="A129" s="81">
        <v>124</v>
      </c>
      <c r="B129" s="20">
        <v>20</v>
      </c>
      <c r="C129" s="37" t="s">
        <v>115</v>
      </c>
      <c r="D129" s="20">
        <v>3</v>
      </c>
      <c r="E129" s="20" t="s">
        <v>20</v>
      </c>
      <c r="F129" s="51" t="s">
        <v>19</v>
      </c>
      <c r="G129" s="51" t="s">
        <v>19</v>
      </c>
      <c r="H129" s="51" t="s">
        <v>19</v>
      </c>
      <c r="I129" s="51" t="s">
        <v>19</v>
      </c>
      <c r="J129" s="39" t="s">
        <v>20</v>
      </c>
      <c r="K129" s="39" t="s">
        <v>20</v>
      </c>
      <c r="L129" s="39" t="s">
        <v>20</v>
      </c>
      <c r="M129" s="51" t="s">
        <v>19</v>
      </c>
      <c r="N129" s="51" t="s">
        <v>19</v>
      </c>
      <c r="O129" s="51" t="s">
        <v>19</v>
      </c>
      <c r="P129" s="51" t="s">
        <v>20</v>
      </c>
      <c r="Q129" s="51" t="s">
        <v>19</v>
      </c>
      <c r="R129" s="51" t="s">
        <v>20</v>
      </c>
      <c r="S129" s="51" t="s">
        <v>19</v>
      </c>
      <c r="T129" s="51" t="s">
        <v>19</v>
      </c>
      <c r="U129" s="51" t="s">
        <v>19</v>
      </c>
      <c r="V129" s="54" t="s">
        <v>20</v>
      </c>
      <c r="W129" s="54" t="s">
        <v>19</v>
      </c>
      <c r="X129" s="54" t="s">
        <v>20</v>
      </c>
      <c r="Y129" s="51" t="s">
        <v>20</v>
      </c>
      <c r="Z129" s="51" t="s">
        <v>19</v>
      </c>
      <c r="AA129" s="39" t="s">
        <v>20</v>
      </c>
      <c r="AB129" s="39" t="s">
        <v>20</v>
      </c>
      <c r="AC129" s="39" t="s">
        <v>20</v>
      </c>
      <c r="AD129" s="53" t="s">
        <v>19</v>
      </c>
      <c r="AE129" s="53" t="s">
        <v>20</v>
      </c>
    </row>
    <row r="130" spans="1:31" ht="15.75" customHeight="1" thickBot="1" x14ac:dyDescent="0.3">
      <c r="A130" s="81">
        <v>125</v>
      </c>
      <c r="B130" s="21">
        <v>21</v>
      </c>
      <c r="C130" s="38" t="s">
        <v>116</v>
      </c>
      <c r="D130" s="21">
        <v>3</v>
      </c>
      <c r="E130" s="21" t="s">
        <v>20</v>
      </c>
      <c r="F130" s="87" t="s">
        <v>19</v>
      </c>
      <c r="G130" s="87" t="s">
        <v>19</v>
      </c>
      <c r="H130" s="87" t="s">
        <v>20</v>
      </c>
      <c r="I130" s="87" t="s">
        <v>19</v>
      </c>
      <c r="J130" s="41" t="s">
        <v>19</v>
      </c>
      <c r="K130" s="41" t="s">
        <v>19</v>
      </c>
      <c r="L130" s="41" t="s">
        <v>20</v>
      </c>
      <c r="M130" s="87" t="s">
        <v>20</v>
      </c>
      <c r="N130" s="87" t="s">
        <v>20</v>
      </c>
      <c r="O130" s="87" t="s">
        <v>20</v>
      </c>
      <c r="P130" s="87" t="s">
        <v>20</v>
      </c>
      <c r="Q130" s="87" t="s">
        <v>20</v>
      </c>
      <c r="R130" s="87" t="s">
        <v>20</v>
      </c>
      <c r="S130" s="87" t="s">
        <v>19</v>
      </c>
      <c r="T130" s="87" t="s">
        <v>19</v>
      </c>
      <c r="U130" s="87" t="s">
        <v>20</v>
      </c>
      <c r="V130" s="100" t="s">
        <v>20</v>
      </c>
      <c r="W130" s="100" t="s">
        <v>20</v>
      </c>
      <c r="X130" s="100" t="s">
        <v>20</v>
      </c>
      <c r="Y130" s="87" t="s">
        <v>19</v>
      </c>
      <c r="Z130" s="87" t="s">
        <v>19</v>
      </c>
      <c r="AA130" s="41" t="s">
        <v>20</v>
      </c>
      <c r="AB130" s="41" t="s">
        <v>20</v>
      </c>
      <c r="AC130" s="41" t="s">
        <v>20</v>
      </c>
      <c r="AD130" s="96" t="s">
        <v>19</v>
      </c>
      <c r="AE130" s="96" t="s">
        <v>20</v>
      </c>
    </row>
    <row r="131" spans="1:31" ht="15.75" customHeight="1" x14ac:dyDescent="0.25">
      <c r="A131" s="81">
        <v>126</v>
      </c>
      <c r="B131" s="97">
        <v>1</v>
      </c>
      <c r="C131" s="98" t="s">
        <v>117</v>
      </c>
      <c r="D131" s="97">
        <v>4</v>
      </c>
      <c r="E131" s="97" t="s">
        <v>19</v>
      </c>
      <c r="F131" s="83" t="s">
        <v>19</v>
      </c>
      <c r="G131" s="83" t="s">
        <v>19</v>
      </c>
      <c r="H131" s="83" t="s">
        <v>19</v>
      </c>
      <c r="I131" s="83" t="s">
        <v>19</v>
      </c>
      <c r="J131" s="101" t="s">
        <v>19</v>
      </c>
      <c r="K131" s="101" t="s">
        <v>19</v>
      </c>
      <c r="L131" s="101" t="s">
        <v>20</v>
      </c>
      <c r="M131" s="83" t="s">
        <v>19</v>
      </c>
      <c r="N131" s="83" t="s">
        <v>19</v>
      </c>
      <c r="O131" s="83" t="s">
        <v>19</v>
      </c>
      <c r="P131" s="83" t="s">
        <v>19</v>
      </c>
      <c r="Q131" s="83" t="s">
        <v>19</v>
      </c>
      <c r="R131" s="83" t="s">
        <v>19</v>
      </c>
      <c r="S131" s="83" t="s">
        <v>19</v>
      </c>
      <c r="T131" s="83" t="s">
        <v>20</v>
      </c>
      <c r="U131" s="83" t="s">
        <v>20</v>
      </c>
      <c r="V131" s="99" t="s">
        <v>19</v>
      </c>
      <c r="W131" s="99" t="s">
        <v>19</v>
      </c>
      <c r="X131" s="99" t="s">
        <v>19</v>
      </c>
      <c r="Y131" s="83" t="s">
        <v>19</v>
      </c>
      <c r="Z131" s="83" t="s">
        <v>19</v>
      </c>
      <c r="AA131" s="86" t="s">
        <v>20</v>
      </c>
      <c r="AB131" s="86" t="s">
        <v>19</v>
      </c>
      <c r="AC131" s="86" t="s">
        <v>20</v>
      </c>
      <c r="AD131" s="94" t="s">
        <v>20</v>
      </c>
      <c r="AE131" s="94" t="s">
        <v>20</v>
      </c>
    </row>
    <row r="132" spans="1:31" ht="15.75" customHeight="1" x14ac:dyDescent="0.25">
      <c r="A132" s="81">
        <v>127</v>
      </c>
      <c r="B132" s="89">
        <v>2</v>
      </c>
      <c r="C132" s="90" t="s">
        <v>118</v>
      </c>
      <c r="D132" s="89">
        <v>4</v>
      </c>
      <c r="E132" s="89" t="s">
        <v>19</v>
      </c>
      <c r="F132" s="51" t="s">
        <v>19</v>
      </c>
      <c r="G132" s="51" t="s">
        <v>19</v>
      </c>
      <c r="H132" s="51" t="s">
        <v>19</v>
      </c>
      <c r="I132" s="51" t="s">
        <v>19</v>
      </c>
      <c r="J132" s="67" t="s">
        <v>22</v>
      </c>
      <c r="K132" s="68" t="s">
        <v>19</v>
      </c>
      <c r="L132" s="69" t="s">
        <v>19</v>
      </c>
      <c r="M132" s="51" t="s">
        <v>20</v>
      </c>
      <c r="N132" s="51" t="s">
        <v>19</v>
      </c>
      <c r="O132" s="51" t="s">
        <v>19</v>
      </c>
      <c r="P132" s="51" t="s">
        <v>19</v>
      </c>
      <c r="Q132" s="51" t="s">
        <v>19</v>
      </c>
      <c r="R132" s="51" t="s">
        <v>19</v>
      </c>
      <c r="S132" s="51" t="s">
        <v>19</v>
      </c>
      <c r="T132" s="51" t="s">
        <v>19</v>
      </c>
      <c r="U132" s="51" t="s">
        <v>19</v>
      </c>
      <c r="V132" s="54" t="s">
        <v>19</v>
      </c>
      <c r="W132" s="54" t="s">
        <v>19</v>
      </c>
      <c r="X132" s="54" t="s">
        <v>19</v>
      </c>
      <c r="Y132" s="51" t="s">
        <v>19</v>
      </c>
      <c r="Z132" s="51" t="s">
        <v>20</v>
      </c>
      <c r="AA132" s="39" t="s">
        <v>19</v>
      </c>
      <c r="AB132" s="39" t="s">
        <v>19</v>
      </c>
      <c r="AC132" s="39" t="s">
        <v>20</v>
      </c>
      <c r="AD132" s="53" t="s">
        <v>19</v>
      </c>
      <c r="AE132" s="53" t="s">
        <v>20</v>
      </c>
    </row>
    <row r="133" spans="1:31" ht="15.75" customHeight="1" x14ac:dyDescent="0.25">
      <c r="A133" s="81">
        <v>128</v>
      </c>
      <c r="B133" s="89">
        <v>3</v>
      </c>
      <c r="C133" s="90" t="s">
        <v>119</v>
      </c>
      <c r="D133" s="89">
        <v>4</v>
      </c>
      <c r="E133" s="89" t="s">
        <v>19</v>
      </c>
      <c r="F133" s="51" t="s">
        <v>21</v>
      </c>
      <c r="G133" s="51" t="s">
        <v>20</v>
      </c>
      <c r="H133" s="51" t="s">
        <v>21</v>
      </c>
      <c r="I133" s="51" t="s">
        <v>20</v>
      </c>
      <c r="J133" s="67" t="s">
        <v>20</v>
      </c>
      <c r="K133" s="68" t="s">
        <v>20</v>
      </c>
      <c r="L133" s="69" t="s">
        <v>20</v>
      </c>
      <c r="M133" s="51" t="s">
        <v>20</v>
      </c>
      <c r="N133" s="51" t="s">
        <v>19</v>
      </c>
      <c r="O133" s="51" t="s">
        <v>19</v>
      </c>
      <c r="P133" s="51" t="s">
        <v>20</v>
      </c>
      <c r="Q133" s="51" t="s">
        <v>20</v>
      </c>
      <c r="R133" s="51" t="s">
        <v>20</v>
      </c>
      <c r="S133" s="51" t="s">
        <v>19</v>
      </c>
      <c r="T133" s="51" t="s">
        <v>19</v>
      </c>
      <c r="U133" s="51" t="s">
        <v>20</v>
      </c>
      <c r="V133" s="54" t="s">
        <v>19</v>
      </c>
      <c r="W133" s="57" t="s">
        <v>20</v>
      </c>
      <c r="X133" s="54" t="s">
        <v>19</v>
      </c>
      <c r="Y133" s="51" t="s">
        <v>20</v>
      </c>
      <c r="Z133" s="51" t="s">
        <v>21</v>
      </c>
      <c r="AA133" s="39" t="s">
        <v>20</v>
      </c>
      <c r="AB133" s="39" t="s">
        <v>20</v>
      </c>
      <c r="AC133" s="39" t="s">
        <v>20</v>
      </c>
      <c r="AD133" s="53" t="s">
        <v>20</v>
      </c>
      <c r="AE133" s="53" t="s">
        <v>20</v>
      </c>
    </row>
    <row r="134" spans="1:31" ht="15.75" customHeight="1" x14ac:dyDescent="0.25">
      <c r="A134" s="81">
        <v>129</v>
      </c>
      <c r="B134" s="89">
        <v>4</v>
      </c>
      <c r="C134" s="90" t="s">
        <v>120</v>
      </c>
      <c r="D134" s="89">
        <v>4</v>
      </c>
      <c r="E134" s="89" t="s">
        <v>19</v>
      </c>
      <c r="F134" s="51" t="s">
        <v>20</v>
      </c>
      <c r="G134" s="51" t="s">
        <v>19</v>
      </c>
      <c r="H134" s="51" t="s">
        <v>20</v>
      </c>
      <c r="I134" s="51" t="s">
        <v>19</v>
      </c>
      <c r="J134" s="67" t="s">
        <v>19</v>
      </c>
      <c r="K134" s="68" t="s">
        <v>19</v>
      </c>
      <c r="L134" s="69" t="s">
        <v>20</v>
      </c>
      <c r="M134" s="51" t="s">
        <v>19</v>
      </c>
      <c r="N134" s="51" t="s">
        <v>19</v>
      </c>
      <c r="O134" s="51" t="s">
        <v>19</v>
      </c>
      <c r="P134" s="51" t="s">
        <v>20</v>
      </c>
      <c r="Q134" s="51" t="s">
        <v>20</v>
      </c>
      <c r="R134" s="51" t="s">
        <v>20</v>
      </c>
      <c r="S134" s="51" t="s">
        <v>19</v>
      </c>
      <c r="T134" s="51" t="s">
        <v>19</v>
      </c>
      <c r="U134" s="51" t="s">
        <v>20</v>
      </c>
      <c r="V134" s="54" t="s">
        <v>19</v>
      </c>
      <c r="W134" s="54" t="s">
        <v>19</v>
      </c>
      <c r="X134" s="54" t="s">
        <v>19</v>
      </c>
      <c r="Y134" s="51" t="s">
        <v>19</v>
      </c>
      <c r="Z134" s="51" t="s">
        <v>19</v>
      </c>
      <c r="AA134" s="39" t="s">
        <v>20</v>
      </c>
      <c r="AB134" s="39" t="s">
        <v>20</v>
      </c>
      <c r="AC134" s="39" t="s">
        <v>19</v>
      </c>
      <c r="AD134" s="58" t="s">
        <v>19</v>
      </c>
      <c r="AE134" s="58" t="s">
        <v>20</v>
      </c>
    </row>
    <row r="135" spans="1:31" ht="15.75" customHeight="1" x14ac:dyDescent="0.25">
      <c r="A135" s="81">
        <v>130</v>
      </c>
      <c r="B135" s="89">
        <v>5</v>
      </c>
      <c r="C135" s="90" t="s">
        <v>256</v>
      </c>
      <c r="D135" s="89">
        <v>4</v>
      </c>
      <c r="E135" s="89" t="s">
        <v>19</v>
      </c>
      <c r="F135" s="51" t="s">
        <v>19</v>
      </c>
      <c r="G135" s="51" t="s">
        <v>20</v>
      </c>
      <c r="H135" s="51" t="s">
        <v>20</v>
      </c>
      <c r="I135" s="51" t="s">
        <v>19</v>
      </c>
      <c r="J135" s="67" t="s">
        <v>19</v>
      </c>
      <c r="K135" s="68" t="s">
        <v>19</v>
      </c>
      <c r="L135" s="69" t="s">
        <v>20</v>
      </c>
      <c r="M135" s="51" t="s">
        <v>20</v>
      </c>
      <c r="N135" s="51" t="s">
        <v>19</v>
      </c>
      <c r="O135" s="51" t="s">
        <v>19</v>
      </c>
      <c r="P135" s="51" t="s">
        <v>19</v>
      </c>
      <c r="Q135" s="51" t="s">
        <v>19</v>
      </c>
      <c r="R135" s="51" t="s">
        <v>19</v>
      </c>
      <c r="S135" s="51" t="s">
        <v>19</v>
      </c>
      <c r="T135" s="51" t="s">
        <v>19</v>
      </c>
      <c r="U135" s="51" t="s">
        <v>20</v>
      </c>
      <c r="V135" s="54" t="s">
        <v>19</v>
      </c>
      <c r="W135" s="54" t="s">
        <v>19</v>
      </c>
      <c r="X135" s="54" t="s">
        <v>19</v>
      </c>
      <c r="Y135" s="51" t="s">
        <v>19</v>
      </c>
      <c r="Z135" s="51" t="s">
        <v>20</v>
      </c>
      <c r="AA135" s="39" t="s">
        <v>20</v>
      </c>
      <c r="AB135" s="39" t="s">
        <v>19</v>
      </c>
      <c r="AC135" s="39" t="s">
        <v>19</v>
      </c>
      <c r="AD135" s="53" t="s">
        <v>21</v>
      </c>
      <c r="AE135" s="53" t="s">
        <v>20</v>
      </c>
    </row>
    <row r="136" spans="1:31" ht="15.75" customHeight="1" x14ac:dyDescent="0.25">
      <c r="A136" s="81">
        <v>131</v>
      </c>
      <c r="B136" s="89">
        <v>6</v>
      </c>
      <c r="C136" s="90" t="s">
        <v>257</v>
      </c>
      <c r="D136" s="89">
        <v>4</v>
      </c>
      <c r="E136" s="89" t="s">
        <v>19</v>
      </c>
      <c r="F136" s="51" t="s">
        <v>19</v>
      </c>
      <c r="G136" s="51" t="s">
        <v>20</v>
      </c>
      <c r="H136" s="51" t="s">
        <v>20</v>
      </c>
      <c r="I136" s="51" t="s">
        <v>19</v>
      </c>
      <c r="J136" s="67" t="s">
        <v>19</v>
      </c>
      <c r="K136" s="68" t="s">
        <v>19</v>
      </c>
      <c r="L136" s="69" t="s">
        <v>19</v>
      </c>
      <c r="M136" s="51" t="s">
        <v>19</v>
      </c>
      <c r="N136" s="51" t="s">
        <v>19</v>
      </c>
      <c r="O136" s="51" t="s">
        <v>19</v>
      </c>
      <c r="P136" s="51" t="s">
        <v>19</v>
      </c>
      <c r="Q136" s="51" t="s">
        <v>20</v>
      </c>
      <c r="R136" s="51" t="s">
        <v>19</v>
      </c>
      <c r="S136" s="51" t="s">
        <v>19</v>
      </c>
      <c r="T136" s="51" t="s">
        <v>19</v>
      </c>
      <c r="U136" s="51" t="s">
        <v>19</v>
      </c>
      <c r="V136" s="54" t="s">
        <v>19</v>
      </c>
      <c r="W136" s="54" t="s">
        <v>19</v>
      </c>
      <c r="X136" s="54" t="s">
        <v>19</v>
      </c>
      <c r="Y136" s="51" t="s">
        <v>19</v>
      </c>
      <c r="Z136" s="51" t="s">
        <v>19</v>
      </c>
      <c r="AA136" s="39" t="s">
        <v>19</v>
      </c>
      <c r="AB136" s="39" t="s">
        <v>19</v>
      </c>
      <c r="AC136" s="39" t="s">
        <v>19</v>
      </c>
      <c r="AD136" s="53" t="s">
        <v>19</v>
      </c>
      <c r="AE136" s="53" t="s">
        <v>20</v>
      </c>
    </row>
    <row r="137" spans="1:31" ht="15.75" customHeight="1" x14ac:dyDescent="0.25">
      <c r="A137" s="81">
        <v>132</v>
      </c>
      <c r="B137" s="89">
        <v>7</v>
      </c>
      <c r="C137" s="90" t="s">
        <v>121</v>
      </c>
      <c r="D137" s="89">
        <v>4</v>
      </c>
      <c r="E137" s="89" t="s">
        <v>19</v>
      </c>
      <c r="F137" s="51" t="s">
        <v>20</v>
      </c>
      <c r="G137" s="51" t="s">
        <v>20</v>
      </c>
      <c r="H137" s="51" t="s">
        <v>21</v>
      </c>
      <c r="I137" s="51" t="s">
        <v>21</v>
      </c>
      <c r="J137" s="67" t="s">
        <v>19</v>
      </c>
      <c r="K137" s="68" t="s">
        <v>19</v>
      </c>
      <c r="L137" s="69" t="s">
        <v>19</v>
      </c>
      <c r="M137" s="51" t="s">
        <v>19</v>
      </c>
      <c r="N137" s="51" t="s">
        <v>20</v>
      </c>
      <c r="O137" s="51" t="s">
        <v>20</v>
      </c>
      <c r="P137" s="51" t="s">
        <v>21</v>
      </c>
      <c r="Q137" s="51" t="s">
        <v>20</v>
      </c>
      <c r="R137" s="51" t="s">
        <v>21</v>
      </c>
      <c r="S137" s="51" t="s">
        <v>20</v>
      </c>
      <c r="T137" s="51" t="s">
        <v>19</v>
      </c>
      <c r="U137" s="51" t="s">
        <v>20</v>
      </c>
      <c r="V137" s="54" t="s">
        <v>19</v>
      </c>
      <c r="W137" s="54" t="s">
        <v>20</v>
      </c>
      <c r="X137" s="54" t="s">
        <v>19</v>
      </c>
      <c r="Y137" s="51" t="s">
        <v>20</v>
      </c>
      <c r="Z137" s="51" t="s">
        <v>19</v>
      </c>
      <c r="AA137" s="39" t="s">
        <v>20</v>
      </c>
      <c r="AB137" s="39" t="s">
        <v>20</v>
      </c>
      <c r="AC137" s="39" t="s">
        <v>20</v>
      </c>
      <c r="AD137" s="53" t="s">
        <v>59</v>
      </c>
      <c r="AE137" s="53" t="s">
        <v>59</v>
      </c>
    </row>
    <row r="138" spans="1:31" ht="15.75" customHeight="1" x14ac:dyDescent="0.25">
      <c r="A138" s="81">
        <v>133</v>
      </c>
      <c r="B138" s="89">
        <v>8</v>
      </c>
      <c r="C138" s="90" t="s">
        <v>122</v>
      </c>
      <c r="D138" s="89">
        <v>4</v>
      </c>
      <c r="E138" s="89" t="s">
        <v>19</v>
      </c>
      <c r="F138" s="51" t="s">
        <v>19</v>
      </c>
      <c r="G138" s="51" t="s">
        <v>19</v>
      </c>
      <c r="H138" s="51" t="s">
        <v>19</v>
      </c>
      <c r="I138" s="51" t="s">
        <v>19</v>
      </c>
      <c r="J138" s="67" t="s">
        <v>22</v>
      </c>
      <c r="K138" s="68" t="s">
        <v>19</v>
      </c>
      <c r="L138" s="69" t="s">
        <v>19</v>
      </c>
      <c r="M138" s="51" t="s">
        <v>19</v>
      </c>
      <c r="N138" s="51" t="s">
        <v>19</v>
      </c>
      <c r="O138" s="51" t="s">
        <v>19</v>
      </c>
      <c r="P138" s="51" t="s">
        <v>19</v>
      </c>
      <c r="Q138" s="51" t="s">
        <v>19</v>
      </c>
      <c r="R138" s="51" t="s">
        <v>19</v>
      </c>
      <c r="S138" s="51" t="s">
        <v>19</v>
      </c>
      <c r="T138" s="51" t="s">
        <v>19</v>
      </c>
      <c r="U138" s="51" t="s">
        <v>20</v>
      </c>
      <c r="V138" s="54" t="s">
        <v>19</v>
      </c>
      <c r="W138" s="54" t="s">
        <v>19</v>
      </c>
      <c r="X138" s="54" t="s">
        <v>19</v>
      </c>
      <c r="Y138" s="51" t="s">
        <v>19</v>
      </c>
      <c r="Z138" s="51" t="s">
        <v>19</v>
      </c>
      <c r="AA138" s="39" t="s">
        <v>19</v>
      </c>
      <c r="AB138" s="39" t="s">
        <v>19</v>
      </c>
      <c r="AC138" s="39" t="s">
        <v>19</v>
      </c>
      <c r="AD138" s="53" t="s">
        <v>19</v>
      </c>
      <c r="AE138" s="53" t="s">
        <v>20</v>
      </c>
    </row>
    <row r="139" spans="1:31" ht="15.75" customHeight="1" x14ac:dyDescent="0.25">
      <c r="A139" s="81">
        <v>134</v>
      </c>
      <c r="B139" s="89">
        <v>9</v>
      </c>
      <c r="C139" s="90" t="s">
        <v>123</v>
      </c>
      <c r="D139" s="89">
        <v>4</v>
      </c>
      <c r="E139" s="89" t="s">
        <v>19</v>
      </c>
      <c r="F139" s="51" t="s">
        <v>21</v>
      </c>
      <c r="G139" s="51" t="s">
        <v>20</v>
      </c>
      <c r="H139" s="51" t="s">
        <v>20</v>
      </c>
      <c r="I139" s="51" t="s">
        <v>20</v>
      </c>
      <c r="J139" s="67" t="s">
        <v>19</v>
      </c>
      <c r="K139" s="68" t="s">
        <v>19</v>
      </c>
      <c r="L139" s="69" t="s">
        <v>20</v>
      </c>
      <c r="M139" s="51" t="s">
        <v>19</v>
      </c>
      <c r="N139" s="51" t="s">
        <v>19</v>
      </c>
      <c r="O139" s="51" t="s">
        <v>19</v>
      </c>
      <c r="P139" s="51" t="s">
        <v>19</v>
      </c>
      <c r="Q139" s="51" t="s">
        <v>19</v>
      </c>
      <c r="R139" s="51" t="s">
        <v>19</v>
      </c>
      <c r="S139" s="51" t="s">
        <v>19</v>
      </c>
      <c r="T139" s="51" t="s">
        <v>19</v>
      </c>
      <c r="U139" s="51" t="s">
        <v>20</v>
      </c>
      <c r="V139" s="54" t="s">
        <v>19</v>
      </c>
      <c r="W139" s="54" t="s">
        <v>19</v>
      </c>
      <c r="X139" s="54" t="s">
        <v>19</v>
      </c>
      <c r="Y139" s="51" t="s">
        <v>19</v>
      </c>
      <c r="Z139" s="51" t="s">
        <v>20</v>
      </c>
      <c r="AA139" s="39" t="s">
        <v>20</v>
      </c>
      <c r="AB139" s="39" t="s">
        <v>20</v>
      </c>
      <c r="AC139" s="39" t="s">
        <v>21</v>
      </c>
      <c r="AD139" s="51" t="s">
        <v>19</v>
      </c>
      <c r="AE139" s="51" t="s">
        <v>20</v>
      </c>
    </row>
    <row r="140" spans="1:31" ht="15.75" customHeight="1" x14ac:dyDescent="0.25">
      <c r="A140" s="81">
        <v>135</v>
      </c>
      <c r="B140" s="89">
        <v>10</v>
      </c>
      <c r="C140" s="90" t="s">
        <v>124</v>
      </c>
      <c r="D140" s="89">
        <v>4</v>
      </c>
      <c r="E140" s="89" t="s">
        <v>19</v>
      </c>
      <c r="F140" s="51" t="s">
        <v>20</v>
      </c>
      <c r="G140" s="51" t="s">
        <v>21</v>
      </c>
      <c r="H140" s="51" t="s">
        <v>20</v>
      </c>
      <c r="I140" s="51" t="s">
        <v>21</v>
      </c>
      <c r="J140" s="67" t="s">
        <v>19</v>
      </c>
      <c r="K140" s="68" t="s">
        <v>20</v>
      </c>
      <c r="L140" s="69" t="s">
        <v>20</v>
      </c>
      <c r="M140" s="51" t="s">
        <v>20</v>
      </c>
      <c r="N140" s="51" t="s">
        <v>20</v>
      </c>
      <c r="O140" s="51" t="s">
        <v>19</v>
      </c>
      <c r="P140" s="51" t="s">
        <v>20</v>
      </c>
      <c r="Q140" s="51" t="s">
        <v>20</v>
      </c>
      <c r="R140" s="51" t="s">
        <v>20</v>
      </c>
      <c r="S140" s="51" t="s">
        <v>20</v>
      </c>
      <c r="T140" s="51" t="s">
        <v>19</v>
      </c>
      <c r="U140" s="51" t="s">
        <v>19</v>
      </c>
      <c r="V140" s="54" t="s">
        <v>19</v>
      </c>
      <c r="W140" s="54" t="s">
        <v>19</v>
      </c>
      <c r="X140" s="54" t="s">
        <v>19</v>
      </c>
      <c r="Y140" s="51" t="s">
        <v>19</v>
      </c>
      <c r="Z140" s="51" t="s">
        <v>20</v>
      </c>
      <c r="AA140" s="39" t="s">
        <v>19</v>
      </c>
      <c r="AB140" s="39" t="s">
        <v>19</v>
      </c>
      <c r="AC140" s="39" t="s">
        <v>19</v>
      </c>
      <c r="AD140" s="51" t="s">
        <v>21</v>
      </c>
      <c r="AE140" s="51" t="s">
        <v>20</v>
      </c>
    </row>
    <row r="141" spans="1:31" ht="15.75" customHeight="1" x14ac:dyDescent="0.25">
      <c r="A141" s="81">
        <v>136</v>
      </c>
      <c r="B141" s="89">
        <v>11</v>
      </c>
      <c r="C141" s="90" t="s">
        <v>125</v>
      </c>
      <c r="D141" s="89">
        <v>4</v>
      </c>
      <c r="E141" s="89" t="s">
        <v>19</v>
      </c>
      <c r="F141" s="51" t="s">
        <v>21</v>
      </c>
      <c r="G141" s="51" t="s">
        <v>21</v>
      </c>
      <c r="H141" s="51" t="s">
        <v>21</v>
      </c>
      <c r="I141" s="51" t="s">
        <v>20</v>
      </c>
      <c r="J141" s="67" t="s">
        <v>19</v>
      </c>
      <c r="K141" s="68" t="s">
        <v>20</v>
      </c>
      <c r="L141" s="69" t="s">
        <v>20</v>
      </c>
      <c r="M141" s="51" t="s">
        <v>20</v>
      </c>
      <c r="N141" s="51" t="s">
        <v>20</v>
      </c>
      <c r="O141" s="51" t="s">
        <v>20</v>
      </c>
      <c r="P141" s="51" t="s">
        <v>20</v>
      </c>
      <c r="Q141" s="51" t="s">
        <v>20</v>
      </c>
      <c r="R141" s="51" t="s">
        <v>20</v>
      </c>
      <c r="S141" s="51" t="s">
        <v>19</v>
      </c>
      <c r="T141" s="51" t="s">
        <v>20</v>
      </c>
      <c r="U141" s="51" t="s">
        <v>19</v>
      </c>
      <c r="V141" s="54" t="s">
        <v>19</v>
      </c>
      <c r="W141" s="54" t="s">
        <v>19</v>
      </c>
      <c r="X141" s="54" t="s">
        <v>19</v>
      </c>
      <c r="Y141" s="51" t="s">
        <v>20</v>
      </c>
      <c r="Z141" s="51" t="s">
        <v>20</v>
      </c>
      <c r="AA141" s="39" t="s">
        <v>20</v>
      </c>
      <c r="AB141" s="39" t="s">
        <v>20</v>
      </c>
      <c r="AC141" s="39" t="s">
        <v>21</v>
      </c>
      <c r="AD141" s="51" t="s">
        <v>21</v>
      </c>
      <c r="AE141" s="51" t="s">
        <v>20</v>
      </c>
    </row>
    <row r="142" spans="1:31" ht="15.75" customHeight="1" x14ac:dyDescent="0.25">
      <c r="A142" s="81">
        <v>137</v>
      </c>
      <c r="B142" s="89">
        <v>12</v>
      </c>
      <c r="C142" s="90" t="s">
        <v>258</v>
      </c>
      <c r="D142" s="89">
        <v>4</v>
      </c>
      <c r="E142" s="89" t="s">
        <v>19</v>
      </c>
      <c r="F142" s="51" t="s">
        <v>21</v>
      </c>
      <c r="G142" s="51" t="s">
        <v>21</v>
      </c>
      <c r="H142" s="51" t="s">
        <v>21</v>
      </c>
      <c r="I142" s="51" t="s">
        <v>20</v>
      </c>
      <c r="J142" s="67" t="s">
        <v>20</v>
      </c>
      <c r="K142" s="68" t="s">
        <v>20</v>
      </c>
      <c r="L142" s="69" t="s">
        <v>20</v>
      </c>
      <c r="M142" s="51" t="s">
        <v>20</v>
      </c>
      <c r="N142" s="51" t="s">
        <v>19</v>
      </c>
      <c r="O142" s="51" t="s">
        <v>20</v>
      </c>
      <c r="P142" s="51" t="s">
        <v>20</v>
      </c>
      <c r="Q142" s="51" t="s">
        <v>20</v>
      </c>
      <c r="R142" s="51" t="s">
        <v>20</v>
      </c>
      <c r="S142" s="51" t="s">
        <v>20</v>
      </c>
      <c r="T142" s="51" t="s">
        <v>20</v>
      </c>
      <c r="U142" s="51" t="s">
        <v>20</v>
      </c>
      <c r="V142" s="54" t="s">
        <v>19</v>
      </c>
      <c r="W142" s="54" t="s">
        <v>19</v>
      </c>
      <c r="X142" s="54" t="s">
        <v>20</v>
      </c>
      <c r="Y142" s="51" t="s">
        <v>20</v>
      </c>
      <c r="Z142" s="51" t="s">
        <v>20</v>
      </c>
      <c r="AA142" s="39" t="s">
        <v>20</v>
      </c>
      <c r="AB142" s="39" t="s">
        <v>20</v>
      </c>
      <c r="AC142" s="39" t="s">
        <v>21</v>
      </c>
      <c r="AD142" s="51" t="s">
        <v>21</v>
      </c>
      <c r="AE142" s="51" t="s">
        <v>20</v>
      </c>
    </row>
    <row r="143" spans="1:31" ht="15.75" customHeight="1" x14ac:dyDescent="0.25">
      <c r="A143" s="81">
        <v>138</v>
      </c>
      <c r="B143" s="89">
        <v>13</v>
      </c>
      <c r="C143" s="90" t="s">
        <v>126</v>
      </c>
      <c r="D143" s="89">
        <v>4</v>
      </c>
      <c r="E143" s="89" t="s">
        <v>19</v>
      </c>
      <c r="F143" s="51" t="s">
        <v>20</v>
      </c>
      <c r="G143" s="51" t="s">
        <v>20</v>
      </c>
      <c r="H143" s="51" t="s">
        <v>20</v>
      </c>
      <c r="I143" s="51" t="s">
        <v>20</v>
      </c>
      <c r="J143" s="67" t="s">
        <v>20</v>
      </c>
      <c r="K143" s="68" t="s">
        <v>20</v>
      </c>
      <c r="L143" s="69" t="s">
        <v>20</v>
      </c>
      <c r="M143" s="51" t="s">
        <v>21</v>
      </c>
      <c r="N143" s="51" t="s">
        <v>21</v>
      </c>
      <c r="O143" s="51" t="s">
        <v>20</v>
      </c>
      <c r="P143" s="51" t="s">
        <v>19</v>
      </c>
      <c r="Q143" s="51" t="s">
        <v>20</v>
      </c>
      <c r="R143" s="51" t="s">
        <v>20</v>
      </c>
      <c r="S143" s="51" t="s">
        <v>19</v>
      </c>
      <c r="T143" s="51" t="s">
        <v>20</v>
      </c>
      <c r="U143" s="51" t="s">
        <v>19</v>
      </c>
      <c r="V143" s="54" t="s">
        <v>20</v>
      </c>
      <c r="W143" s="54" t="s">
        <v>20</v>
      </c>
      <c r="X143" s="54" t="s">
        <v>20</v>
      </c>
      <c r="Y143" s="51" t="s">
        <v>20</v>
      </c>
      <c r="Z143" s="51" t="s">
        <v>20</v>
      </c>
      <c r="AA143" s="39" t="s">
        <v>20</v>
      </c>
      <c r="AB143" s="39" t="s">
        <v>20</v>
      </c>
      <c r="AC143" s="39" t="s">
        <v>21</v>
      </c>
      <c r="AD143" s="51" t="s">
        <v>21</v>
      </c>
      <c r="AE143" s="51" t="s">
        <v>20</v>
      </c>
    </row>
    <row r="144" spans="1:31" ht="15.75" customHeight="1" x14ac:dyDescent="0.25">
      <c r="A144" s="81">
        <v>139</v>
      </c>
      <c r="B144" s="89">
        <v>14</v>
      </c>
      <c r="C144" s="90" t="s">
        <v>127</v>
      </c>
      <c r="D144" s="89">
        <v>4</v>
      </c>
      <c r="E144" s="89" t="s">
        <v>19</v>
      </c>
      <c r="F144" s="51" t="s">
        <v>19</v>
      </c>
      <c r="G144" s="51" t="s">
        <v>19</v>
      </c>
      <c r="H144" s="51" t="s">
        <v>19</v>
      </c>
      <c r="I144" s="51" t="s">
        <v>19</v>
      </c>
      <c r="J144" s="67" t="s">
        <v>19</v>
      </c>
      <c r="K144" s="68" t="s">
        <v>19</v>
      </c>
      <c r="L144" s="69" t="s">
        <v>19</v>
      </c>
      <c r="M144" s="51" t="s">
        <v>19</v>
      </c>
      <c r="N144" s="51" t="s">
        <v>19</v>
      </c>
      <c r="O144" s="51" t="s">
        <v>19</v>
      </c>
      <c r="P144" s="51" t="s">
        <v>19</v>
      </c>
      <c r="Q144" s="51" t="s">
        <v>19</v>
      </c>
      <c r="R144" s="51" t="s">
        <v>20</v>
      </c>
      <c r="S144" s="51" t="s">
        <v>20</v>
      </c>
      <c r="T144" s="51" t="s">
        <v>19</v>
      </c>
      <c r="U144" s="51" t="s">
        <v>20</v>
      </c>
      <c r="V144" s="54" t="s">
        <v>19</v>
      </c>
      <c r="W144" s="54" t="s">
        <v>19</v>
      </c>
      <c r="X144" s="54" t="s">
        <v>19</v>
      </c>
      <c r="Y144" s="51" t="s">
        <v>19</v>
      </c>
      <c r="Z144" s="51" t="s">
        <v>19</v>
      </c>
      <c r="AA144" s="39" t="s">
        <v>20</v>
      </c>
      <c r="AB144" s="39" t="s">
        <v>19</v>
      </c>
      <c r="AC144" s="39" t="s">
        <v>19</v>
      </c>
      <c r="AD144" s="51" t="s">
        <v>19</v>
      </c>
      <c r="AE144" s="51" t="s">
        <v>20</v>
      </c>
    </row>
    <row r="145" spans="1:31" ht="15.75" customHeight="1" x14ac:dyDescent="0.25">
      <c r="A145" s="81">
        <v>140</v>
      </c>
      <c r="B145" s="89">
        <v>15</v>
      </c>
      <c r="C145" s="90" t="s">
        <v>128</v>
      </c>
      <c r="D145" s="89">
        <v>4</v>
      </c>
      <c r="E145" s="89" t="s">
        <v>19</v>
      </c>
      <c r="F145" s="51" t="s">
        <v>19</v>
      </c>
      <c r="G145" s="51" t="s">
        <v>20</v>
      </c>
      <c r="H145" s="51" t="s">
        <v>20</v>
      </c>
      <c r="I145" s="51" t="s">
        <v>19</v>
      </c>
      <c r="J145" s="67" t="s">
        <v>19</v>
      </c>
      <c r="K145" s="68" t="s">
        <v>19</v>
      </c>
      <c r="L145" s="69" t="s">
        <v>19</v>
      </c>
      <c r="M145" s="51" t="s">
        <v>20</v>
      </c>
      <c r="N145" s="51" t="s">
        <v>19</v>
      </c>
      <c r="O145" s="51" t="s">
        <v>19</v>
      </c>
      <c r="P145" s="51" t="s">
        <v>19</v>
      </c>
      <c r="Q145" s="51" t="s">
        <v>19</v>
      </c>
      <c r="R145" s="51" t="s">
        <v>19</v>
      </c>
      <c r="S145" s="51" t="s">
        <v>19</v>
      </c>
      <c r="T145" s="51" t="s">
        <v>19</v>
      </c>
      <c r="U145" s="51" t="s">
        <v>20</v>
      </c>
      <c r="V145" s="54" t="s">
        <v>19</v>
      </c>
      <c r="W145" s="54" t="s">
        <v>19</v>
      </c>
      <c r="X145" s="54" t="s">
        <v>19</v>
      </c>
      <c r="Y145" s="51" t="s">
        <v>19</v>
      </c>
      <c r="Z145" s="51" t="s">
        <v>20</v>
      </c>
      <c r="AA145" s="39" t="s">
        <v>20</v>
      </c>
      <c r="AB145" s="39" t="s">
        <v>19</v>
      </c>
      <c r="AC145" s="39" t="s">
        <v>19</v>
      </c>
      <c r="AD145" s="51" t="s">
        <v>19</v>
      </c>
      <c r="AE145" s="51" t="s">
        <v>20</v>
      </c>
    </row>
    <row r="146" spans="1:31" ht="15.75" customHeight="1" x14ac:dyDescent="0.25">
      <c r="A146" s="81">
        <v>141</v>
      </c>
      <c r="B146" s="89">
        <v>16</v>
      </c>
      <c r="C146" s="90" t="s">
        <v>151</v>
      </c>
      <c r="D146" s="89">
        <v>4</v>
      </c>
      <c r="E146" s="89" t="s">
        <v>19</v>
      </c>
      <c r="F146" s="51" t="s">
        <v>21</v>
      </c>
      <c r="G146" s="51" t="s">
        <v>21</v>
      </c>
      <c r="H146" s="51" t="s">
        <v>21</v>
      </c>
      <c r="I146" s="51" t="s">
        <v>20</v>
      </c>
      <c r="J146" s="67" t="s">
        <v>20</v>
      </c>
      <c r="K146" s="68" t="s">
        <v>20</v>
      </c>
      <c r="L146" s="69" t="s">
        <v>20</v>
      </c>
      <c r="M146" s="51" t="s">
        <v>20</v>
      </c>
      <c r="N146" s="51" t="s">
        <v>19</v>
      </c>
      <c r="O146" s="51" t="s">
        <v>20</v>
      </c>
      <c r="P146" s="51" t="s">
        <v>19</v>
      </c>
      <c r="Q146" s="51" t="s">
        <v>19</v>
      </c>
      <c r="R146" s="51" t="s">
        <v>19</v>
      </c>
      <c r="S146" s="51" t="s">
        <v>20</v>
      </c>
      <c r="T146" s="51" t="s">
        <v>20</v>
      </c>
      <c r="U146" s="51" t="s">
        <v>20</v>
      </c>
      <c r="V146" s="54" t="s">
        <v>19</v>
      </c>
      <c r="W146" s="54" t="s">
        <v>19</v>
      </c>
      <c r="X146" s="54" t="s">
        <v>19</v>
      </c>
      <c r="Y146" s="51" t="s">
        <v>20</v>
      </c>
      <c r="Z146" s="51" t="s">
        <v>20</v>
      </c>
      <c r="AA146" s="39" t="s">
        <v>20</v>
      </c>
      <c r="AB146" s="39" t="s">
        <v>20</v>
      </c>
      <c r="AC146" s="39" t="s">
        <v>20</v>
      </c>
      <c r="AD146" s="51" t="s">
        <v>21</v>
      </c>
      <c r="AE146" s="51" t="s">
        <v>20</v>
      </c>
    </row>
    <row r="147" spans="1:31" ht="15.75" customHeight="1" x14ac:dyDescent="0.25">
      <c r="A147" s="81">
        <v>142</v>
      </c>
      <c r="B147" s="89">
        <v>17</v>
      </c>
      <c r="C147" s="90" t="s">
        <v>129</v>
      </c>
      <c r="D147" s="89">
        <v>4</v>
      </c>
      <c r="E147" s="89" t="s">
        <v>19</v>
      </c>
      <c r="F147" s="51" t="s">
        <v>21</v>
      </c>
      <c r="G147" s="51" t="s">
        <v>20</v>
      </c>
      <c r="H147" s="51" t="s">
        <v>20</v>
      </c>
      <c r="I147" s="51" t="s">
        <v>20</v>
      </c>
      <c r="J147" s="67" t="s">
        <v>19</v>
      </c>
      <c r="K147" s="68" t="s">
        <v>19</v>
      </c>
      <c r="L147" s="69" t="s">
        <v>20</v>
      </c>
      <c r="M147" s="51" t="s">
        <v>20</v>
      </c>
      <c r="N147" s="51" t="s">
        <v>20</v>
      </c>
      <c r="O147" s="51" t="s">
        <v>19</v>
      </c>
      <c r="P147" s="51" t="s">
        <v>20</v>
      </c>
      <c r="Q147" s="51" t="s">
        <v>20</v>
      </c>
      <c r="R147" s="51" t="s">
        <v>20</v>
      </c>
      <c r="S147" s="51" t="s">
        <v>19</v>
      </c>
      <c r="T147" s="51" t="s">
        <v>19</v>
      </c>
      <c r="U147" s="51" t="s">
        <v>20</v>
      </c>
      <c r="V147" s="54" t="s">
        <v>20</v>
      </c>
      <c r="W147" s="54" t="s">
        <v>20</v>
      </c>
      <c r="X147" s="54" t="s">
        <v>20</v>
      </c>
      <c r="Y147" s="51" t="s">
        <v>19</v>
      </c>
      <c r="Z147" s="51" t="s">
        <v>19</v>
      </c>
      <c r="AA147" s="39" t="s">
        <v>20</v>
      </c>
      <c r="AB147" s="39" t="s">
        <v>20</v>
      </c>
      <c r="AC147" s="39" t="s">
        <v>19</v>
      </c>
      <c r="AD147" s="51" t="s">
        <v>19</v>
      </c>
      <c r="AE147" s="51" t="s">
        <v>20</v>
      </c>
    </row>
    <row r="148" spans="1:31" ht="15.75" customHeight="1" x14ac:dyDescent="0.25">
      <c r="A148" s="81">
        <v>143</v>
      </c>
      <c r="B148" s="89">
        <v>18</v>
      </c>
      <c r="C148" s="90" t="s">
        <v>259</v>
      </c>
      <c r="D148" s="89">
        <v>4</v>
      </c>
      <c r="E148" s="89" t="s">
        <v>19</v>
      </c>
      <c r="F148" s="51" t="s">
        <v>21</v>
      </c>
      <c r="G148" s="51" t="s">
        <v>21</v>
      </c>
      <c r="H148" s="51" t="s">
        <v>21</v>
      </c>
      <c r="I148" s="51" t="s">
        <v>21</v>
      </c>
      <c r="J148" s="67" t="s">
        <v>20</v>
      </c>
      <c r="K148" s="68" t="s">
        <v>20</v>
      </c>
      <c r="L148" s="69" t="s">
        <v>20</v>
      </c>
      <c r="M148" s="51" t="s">
        <v>20</v>
      </c>
      <c r="N148" s="51" t="s">
        <v>20</v>
      </c>
      <c r="O148" s="51" t="s">
        <v>20</v>
      </c>
      <c r="P148" s="51" t="s">
        <v>20</v>
      </c>
      <c r="Q148" s="51" t="s">
        <v>20</v>
      </c>
      <c r="R148" s="51" t="s">
        <v>20</v>
      </c>
      <c r="S148" s="51" t="s">
        <v>20</v>
      </c>
      <c r="T148" s="51" t="s">
        <v>19</v>
      </c>
      <c r="U148" s="51" t="s">
        <v>20</v>
      </c>
      <c r="V148" s="54" t="s">
        <v>19</v>
      </c>
      <c r="W148" s="54" t="s">
        <v>19</v>
      </c>
      <c r="X148" s="54" t="s">
        <v>19</v>
      </c>
      <c r="Y148" s="51" t="s">
        <v>19</v>
      </c>
      <c r="Z148" s="51" t="s">
        <v>20</v>
      </c>
      <c r="AA148" s="39" t="s">
        <v>20</v>
      </c>
      <c r="AB148" s="39" t="s">
        <v>19</v>
      </c>
      <c r="AC148" s="39" t="s">
        <v>20</v>
      </c>
      <c r="AD148" s="51" t="s">
        <v>20</v>
      </c>
      <c r="AE148" s="51" t="s">
        <v>20</v>
      </c>
    </row>
    <row r="149" spans="1:31" ht="15.75" customHeight="1" x14ac:dyDescent="0.25">
      <c r="A149" s="81">
        <v>144</v>
      </c>
      <c r="B149" s="89">
        <v>19</v>
      </c>
      <c r="C149" s="90" t="s">
        <v>130</v>
      </c>
      <c r="D149" s="89">
        <v>4</v>
      </c>
      <c r="E149" s="89" t="s">
        <v>19</v>
      </c>
      <c r="F149" s="51" t="s">
        <v>22</v>
      </c>
      <c r="G149" s="51" t="s">
        <v>22</v>
      </c>
      <c r="H149" s="51" t="s">
        <v>22</v>
      </c>
      <c r="I149" s="51" t="s">
        <v>22</v>
      </c>
      <c r="J149" s="67" t="s">
        <v>19</v>
      </c>
      <c r="K149" s="68" t="s">
        <v>19</v>
      </c>
      <c r="L149" s="69" t="s">
        <v>19</v>
      </c>
      <c r="M149" s="51" t="s">
        <v>19</v>
      </c>
      <c r="N149" s="51" t="s">
        <v>19</v>
      </c>
      <c r="O149" s="51" t="s">
        <v>19</v>
      </c>
      <c r="P149" s="51" t="s">
        <v>19</v>
      </c>
      <c r="Q149" s="51" t="s">
        <v>20</v>
      </c>
      <c r="R149" s="51" t="s">
        <v>19</v>
      </c>
      <c r="S149" s="51" t="s">
        <v>19</v>
      </c>
      <c r="T149" s="51" t="s">
        <v>19</v>
      </c>
      <c r="U149" s="51" t="s">
        <v>19</v>
      </c>
      <c r="V149" s="54" t="s">
        <v>19</v>
      </c>
      <c r="W149" s="54" t="s">
        <v>19</v>
      </c>
      <c r="X149" s="54" t="s">
        <v>19</v>
      </c>
      <c r="Y149" s="51" t="s">
        <v>19</v>
      </c>
      <c r="Z149" s="51" t="s">
        <v>19</v>
      </c>
      <c r="AA149" s="39" t="s">
        <v>19</v>
      </c>
      <c r="AB149" s="39" t="s">
        <v>19</v>
      </c>
      <c r="AC149" s="39" t="s">
        <v>19</v>
      </c>
      <c r="AD149" s="51" t="s">
        <v>19</v>
      </c>
      <c r="AE149" s="51" t="s">
        <v>20</v>
      </c>
    </row>
    <row r="150" spans="1:31" ht="15.75" customHeight="1" x14ac:dyDescent="0.25">
      <c r="A150" s="81">
        <v>145</v>
      </c>
      <c r="B150" s="89">
        <v>20</v>
      </c>
      <c r="C150" s="90" t="s">
        <v>131</v>
      </c>
      <c r="D150" s="89">
        <v>4</v>
      </c>
      <c r="E150" s="89" t="s">
        <v>19</v>
      </c>
      <c r="F150" s="51" t="s">
        <v>20</v>
      </c>
      <c r="G150" s="51" t="s">
        <v>21</v>
      </c>
      <c r="H150" s="51" t="s">
        <v>20</v>
      </c>
      <c r="I150" s="51" t="s">
        <v>20</v>
      </c>
      <c r="J150" s="67" t="s">
        <v>19</v>
      </c>
      <c r="K150" s="68" t="s">
        <v>20</v>
      </c>
      <c r="L150" s="69" t="s">
        <v>20</v>
      </c>
      <c r="M150" s="51" t="s">
        <v>20</v>
      </c>
      <c r="N150" s="51" t="s">
        <v>19</v>
      </c>
      <c r="O150" s="51" t="s">
        <v>20</v>
      </c>
      <c r="P150" s="51" t="s">
        <v>19</v>
      </c>
      <c r="Q150" s="51" t="s">
        <v>20</v>
      </c>
      <c r="R150" s="51" t="s">
        <v>19</v>
      </c>
      <c r="S150" s="51" t="s">
        <v>19</v>
      </c>
      <c r="T150" s="51" t="s">
        <v>19</v>
      </c>
      <c r="U150" s="51" t="s">
        <v>19</v>
      </c>
      <c r="V150" s="54" t="s">
        <v>19</v>
      </c>
      <c r="W150" s="54" t="s">
        <v>19</v>
      </c>
      <c r="X150" s="54" t="s">
        <v>19</v>
      </c>
      <c r="Y150" s="51" t="s">
        <v>20</v>
      </c>
      <c r="Z150" s="51" t="s">
        <v>20</v>
      </c>
      <c r="AA150" s="39" t="s">
        <v>20</v>
      </c>
      <c r="AB150" s="39" t="s">
        <v>20</v>
      </c>
      <c r="AC150" s="39" t="s">
        <v>20</v>
      </c>
      <c r="AD150" s="51" t="s">
        <v>19</v>
      </c>
      <c r="AE150" s="51" t="s">
        <v>20</v>
      </c>
    </row>
    <row r="151" spans="1:31" ht="15.75" customHeight="1" x14ac:dyDescent="0.25">
      <c r="A151" s="81">
        <v>146</v>
      </c>
      <c r="B151" s="89">
        <v>21</v>
      </c>
      <c r="C151" s="90" t="s">
        <v>132</v>
      </c>
      <c r="D151" s="89">
        <v>4</v>
      </c>
      <c r="E151" s="89" t="s">
        <v>19</v>
      </c>
      <c r="F151" s="51" t="s">
        <v>20</v>
      </c>
      <c r="G151" s="51" t="s">
        <v>20</v>
      </c>
      <c r="H151" s="51" t="s">
        <v>19</v>
      </c>
      <c r="I151" s="51" t="s">
        <v>19</v>
      </c>
      <c r="J151" s="67" t="s">
        <v>19</v>
      </c>
      <c r="K151" s="68" t="s">
        <v>19</v>
      </c>
      <c r="L151" s="69" t="s">
        <v>20</v>
      </c>
      <c r="M151" s="51" t="s">
        <v>20</v>
      </c>
      <c r="N151" s="51" t="s">
        <v>19</v>
      </c>
      <c r="O151" s="51" t="s">
        <v>19</v>
      </c>
      <c r="P151" s="51" t="s">
        <v>19</v>
      </c>
      <c r="Q151" s="51" t="s">
        <v>19</v>
      </c>
      <c r="R151" s="51" t="s">
        <v>19</v>
      </c>
      <c r="S151" s="51" t="s">
        <v>19</v>
      </c>
      <c r="T151" s="51" t="s">
        <v>19</v>
      </c>
      <c r="U151" s="51" t="s">
        <v>19</v>
      </c>
      <c r="V151" s="54" t="s">
        <v>19</v>
      </c>
      <c r="W151" s="54" t="s">
        <v>19</v>
      </c>
      <c r="X151" s="54" t="s">
        <v>19</v>
      </c>
      <c r="Y151" s="51" t="s">
        <v>20</v>
      </c>
      <c r="Z151" s="51" t="s">
        <v>20</v>
      </c>
      <c r="AA151" s="39" t="s">
        <v>19</v>
      </c>
      <c r="AB151" s="39" t="s">
        <v>19</v>
      </c>
      <c r="AC151" s="39" t="s">
        <v>20</v>
      </c>
      <c r="AD151" s="51" t="s">
        <v>20</v>
      </c>
      <c r="AE151" s="51" t="s">
        <v>20</v>
      </c>
    </row>
    <row r="152" spans="1:31" ht="15.75" customHeight="1" x14ac:dyDescent="0.25">
      <c r="A152" s="81">
        <v>147</v>
      </c>
      <c r="B152" s="89">
        <v>22</v>
      </c>
      <c r="C152" s="90" t="s">
        <v>260</v>
      </c>
      <c r="D152" s="89">
        <v>4</v>
      </c>
      <c r="E152" s="89" t="s">
        <v>19</v>
      </c>
      <c r="F152" s="51" t="s">
        <v>19</v>
      </c>
      <c r="G152" s="51" t="s">
        <v>19</v>
      </c>
      <c r="H152" s="51" t="s">
        <v>19</v>
      </c>
      <c r="I152" s="51" t="s">
        <v>19</v>
      </c>
      <c r="J152" s="67" t="s">
        <v>19</v>
      </c>
      <c r="K152" s="68" t="s">
        <v>19</v>
      </c>
      <c r="L152" s="69" t="s">
        <v>20</v>
      </c>
      <c r="M152" s="51" t="s">
        <v>20</v>
      </c>
      <c r="N152" s="51" t="s">
        <v>19</v>
      </c>
      <c r="O152" s="51" t="s">
        <v>19</v>
      </c>
      <c r="P152" s="51" t="s">
        <v>20</v>
      </c>
      <c r="Q152" s="51" t="s">
        <v>20</v>
      </c>
      <c r="R152" s="51" t="s">
        <v>20</v>
      </c>
      <c r="S152" s="51" t="s">
        <v>19</v>
      </c>
      <c r="T152" s="51" t="s">
        <v>19</v>
      </c>
      <c r="U152" s="51" t="s">
        <v>20</v>
      </c>
      <c r="V152" s="54" t="s">
        <v>19</v>
      </c>
      <c r="W152" s="54" t="s">
        <v>19</v>
      </c>
      <c r="X152" s="54" t="s">
        <v>19</v>
      </c>
      <c r="Y152" s="51" t="s">
        <v>20</v>
      </c>
      <c r="Z152" s="51" t="s">
        <v>19</v>
      </c>
      <c r="AA152" s="39" t="s">
        <v>20</v>
      </c>
      <c r="AB152" s="39" t="s">
        <v>20</v>
      </c>
      <c r="AC152" s="39" t="s">
        <v>20</v>
      </c>
      <c r="AD152" s="51" t="s">
        <v>20</v>
      </c>
      <c r="AE152" s="51" t="s">
        <v>20</v>
      </c>
    </row>
    <row r="153" spans="1:31" ht="15.75" customHeight="1" thickBot="1" x14ac:dyDescent="0.3">
      <c r="A153" s="81">
        <v>148</v>
      </c>
      <c r="B153" s="91">
        <v>23</v>
      </c>
      <c r="C153" s="92" t="s">
        <v>133</v>
      </c>
      <c r="D153" s="91">
        <v>4</v>
      </c>
      <c r="E153" s="91" t="s">
        <v>19</v>
      </c>
      <c r="F153" s="87" t="s">
        <v>19</v>
      </c>
      <c r="G153" s="87" t="s">
        <v>19</v>
      </c>
      <c r="H153" s="87" t="s">
        <v>19</v>
      </c>
      <c r="I153" s="87" t="s">
        <v>19</v>
      </c>
      <c r="J153" s="103" t="s">
        <v>19</v>
      </c>
      <c r="K153" s="103" t="s">
        <v>19</v>
      </c>
      <c r="L153" s="103" t="s">
        <v>19</v>
      </c>
      <c r="M153" s="87" t="s">
        <v>20</v>
      </c>
      <c r="N153" s="87" t="s">
        <v>19</v>
      </c>
      <c r="O153" s="87" t="s">
        <v>19</v>
      </c>
      <c r="P153" s="87" t="s">
        <v>20</v>
      </c>
      <c r="Q153" s="87" t="s">
        <v>20</v>
      </c>
      <c r="R153" s="87" t="s">
        <v>20</v>
      </c>
      <c r="S153" s="87" t="s">
        <v>19</v>
      </c>
      <c r="T153" s="87" t="s">
        <v>19</v>
      </c>
      <c r="U153" s="87" t="s">
        <v>19</v>
      </c>
      <c r="V153" s="104" t="s">
        <v>19</v>
      </c>
      <c r="W153" s="100" t="s">
        <v>19</v>
      </c>
      <c r="X153" s="104" t="s">
        <v>19</v>
      </c>
      <c r="Y153" s="87" t="s">
        <v>20</v>
      </c>
      <c r="Z153" s="87" t="s">
        <v>20</v>
      </c>
      <c r="AA153" s="41" t="s">
        <v>20</v>
      </c>
      <c r="AB153" s="41" t="s">
        <v>19</v>
      </c>
      <c r="AC153" s="41" t="s">
        <v>19</v>
      </c>
      <c r="AD153" s="87" t="s">
        <v>19</v>
      </c>
      <c r="AE153" s="87" t="s">
        <v>20</v>
      </c>
    </row>
    <row r="154" spans="1:31" ht="15.75" customHeight="1" x14ac:dyDescent="0.25">
      <c r="A154" s="81">
        <v>149</v>
      </c>
      <c r="B154" s="82">
        <v>1</v>
      </c>
      <c r="C154" s="40" t="s">
        <v>134</v>
      </c>
      <c r="D154" s="82">
        <v>4</v>
      </c>
      <c r="E154" s="82" t="s">
        <v>20</v>
      </c>
      <c r="F154" s="83" t="s">
        <v>21</v>
      </c>
      <c r="G154" s="83" t="s">
        <v>20</v>
      </c>
      <c r="H154" s="83" t="s">
        <v>21</v>
      </c>
      <c r="I154" s="83" t="s">
        <v>21</v>
      </c>
      <c r="J154" s="101" t="s">
        <v>19</v>
      </c>
      <c r="K154" s="101" t="s">
        <v>20</v>
      </c>
      <c r="L154" s="101" t="s">
        <v>20</v>
      </c>
      <c r="M154" s="83" t="s">
        <v>20</v>
      </c>
      <c r="N154" s="83" t="s">
        <v>19</v>
      </c>
      <c r="O154" s="83" t="s">
        <v>19</v>
      </c>
      <c r="P154" s="83" t="s">
        <v>19</v>
      </c>
      <c r="Q154" s="83" t="s">
        <v>20</v>
      </c>
      <c r="R154" s="83" t="s">
        <v>20</v>
      </c>
      <c r="S154" s="83" t="s">
        <v>20</v>
      </c>
      <c r="T154" s="83" t="s">
        <v>19</v>
      </c>
      <c r="U154" s="83" t="s">
        <v>19</v>
      </c>
      <c r="V154" s="99" t="s">
        <v>19</v>
      </c>
      <c r="W154" s="99" t="s">
        <v>19</v>
      </c>
      <c r="X154" s="99" t="s">
        <v>19</v>
      </c>
      <c r="Y154" s="83" t="s">
        <v>21</v>
      </c>
      <c r="Z154" s="83" t="s">
        <v>20</v>
      </c>
      <c r="AA154" s="86" t="s">
        <v>20</v>
      </c>
      <c r="AB154" s="86" t="s">
        <v>19</v>
      </c>
      <c r="AC154" s="86" t="s">
        <v>20</v>
      </c>
      <c r="AD154" s="83" t="s">
        <v>21</v>
      </c>
      <c r="AE154" s="83" t="s">
        <v>20</v>
      </c>
    </row>
    <row r="155" spans="1:31" ht="15.75" customHeight="1" x14ac:dyDescent="0.25">
      <c r="A155" s="81">
        <v>150</v>
      </c>
      <c r="B155" s="20">
        <v>2</v>
      </c>
      <c r="C155" s="37" t="s">
        <v>135</v>
      </c>
      <c r="D155" s="20">
        <v>4</v>
      </c>
      <c r="E155" s="20" t="s">
        <v>20</v>
      </c>
      <c r="F155" s="51" t="s">
        <v>20</v>
      </c>
      <c r="G155" s="51" t="s">
        <v>20</v>
      </c>
      <c r="H155" s="51" t="s">
        <v>20</v>
      </c>
      <c r="I155" s="51" t="s">
        <v>20</v>
      </c>
      <c r="J155" s="64" t="s">
        <v>20</v>
      </c>
      <c r="K155" s="65" t="s">
        <v>20</v>
      </c>
      <c r="L155" s="66" t="s">
        <v>20</v>
      </c>
      <c r="M155" s="51" t="s">
        <v>20</v>
      </c>
      <c r="N155" s="51" t="s">
        <v>19</v>
      </c>
      <c r="O155" s="51" t="s">
        <v>19</v>
      </c>
      <c r="P155" s="51" t="s">
        <v>20</v>
      </c>
      <c r="Q155" s="51" t="s">
        <v>20</v>
      </c>
      <c r="R155" s="51" t="s">
        <v>20</v>
      </c>
      <c r="S155" s="51" t="s">
        <v>19</v>
      </c>
      <c r="T155" s="51" t="s">
        <v>20</v>
      </c>
      <c r="U155" s="51" t="s">
        <v>20</v>
      </c>
      <c r="V155" s="54" t="s">
        <v>20</v>
      </c>
      <c r="W155" s="54" t="s">
        <v>19</v>
      </c>
      <c r="X155" s="54" t="s">
        <v>20</v>
      </c>
      <c r="Y155" s="51" t="s">
        <v>19</v>
      </c>
      <c r="Z155" s="51" t="s">
        <v>19</v>
      </c>
      <c r="AA155" s="39" t="s">
        <v>19</v>
      </c>
      <c r="AB155" s="39" t="s">
        <v>19</v>
      </c>
      <c r="AC155" s="39" t="s">
        <v>19</v>
      </c>
      <c r="AD155" s="51" t="s">
        <v>19</v>
      </c>
      <c r="AE155" s="51" t="s">
        <v>20</v>
      </c>
    </row>
    <row r="156" spans="1:31" ht="15.75" customHeight="1" x14ac:dyDescent="0.25">
      <c r="A156" s="81">
        <v>151</v>
      </c>
      <c r="B156" s="20">
        <v>3</v>
      </c>
      <c r="C156" s="37" t="s">
        <v>136</v>
      </c>
      <c r="D156" s="20">
        <v>4</v>
      </c>
      <c r="E156" s="20" t="s">
        <v>20</v>
      </c>
      <c r="F156" s="51" t="s">
        <v>22</v>
      </c>
      <c r="G156" s="51" t="s">
        <v>19</v>
      </c>
      <c r="H156" s="51" t="s">
        <v>22</v>
      </c>
      <c r="I156" s="51" t="s">
        <v>19</v>
      </c>
      <c r="J156" s="64" t="s">
        <v>19</v>
      </c>
      <c r="K156" s="65" t="s">
        <v>19</v>
      </c>
      <c r="L156" s="66" t="s">
        <v>19</v>
      </c>
      <c r="M156" s="51" t="s">
        <v>19</v>
      </c>
      <c r="N156" s="51" t="s">
        <v>19</v>
      </c>
      <c r="O156" s="51" t="s">
        <v>19</v>
      </c>
      <c r="P156" s="51" t="s">
        <v>19</v>
      </c>
      <c r="Q156" s="51" t="s">
        <v>19</v>
      </c>
      <c r="R156" s="51" t="s">
        <v>19</v>
      </c>
      <c r="S156" s="51" t="s">
        <v>19</v>
      </c>
      <c r="T156" s="51" t="s">
        <v>19</v>
      </c>
      <c r="U156" s="51" t="s">
        <v>19</v>
      </c>
      <c r="V156" s="54" t="s">
        <v>19</v>
      </c>
      <c r="W156" s="54" t="s">
        <v>19</v>
      </c>
      <c r="X156" s="54" t="s">
        <v>19</v>
      </c>
      <c r="Y156" s="51" t="s">
        <v>19</v>
      </c>
      <c r="Z156" s="51" t="s">
        <v>19</v>
      </c>
      <c r="AA156" s="39" t="s">
        <v>19</v>
      </c>
      <c r="AB156" s="39" t="s">
        <v>19</v>
      </c>
      <c r="AC156" s="39" t="s">
        <v>19</v>
      </c>
      <c r="AD156" s="51" t="s">
        <v>20</v>
      </c>
      <c r="AE156" s="51" t="s">
        <v>20</v>
      </c>
    </row>
    <row r="157" spans="1:31" ht="15.75" customHeight="1" x14ac:dyDescent="0.25">
      <c r="A157" s="81">
        <v>152</v>
      </c>
      <c r="B157" s="20">
        <v>4</v>
      </c>
      <c r="C157" s="37" t="s">
        <v>261</v>
      </c>
      <c r="D157" s="20">
        <v>4</v>
      </c>
      <c r="E157" s="20" t="s">
        <v>20</v>
      </c>
      <c r="F157" s="51" t="s">
        <v>19</v>
      </c>
      <c r="G157" s="51" t="s">
        <v>19</v>
      </c>
      <c r="H157" s="51" t="s">
        <v>19</v>
      </c>
      <c r="I157" s="51" t="s">
        <v>19</v>
      </c>
      <c r="J157" s="64" t="s">
        <v>19</v>
      </c>
      <c r="K157" s="65" t="s">
        <v>19</v>
      </c>
      <c r="L157" s="66" t="s">
        <v>20</v>
      </c>
      <c r="M157" s="51" t="s">
        <v>19</v>
      </c>
      <c r="N157" s="51" t="s">
        <v>19</v>
      </c>
      <c r="O157" s="51" t="s">
        <v>19</v>
      </c>
      <c r="P157" s="51" t="s">
        <v>20</v>
      </c>
      <c r="Q157" s="51" t="s">
        <v>20</v>
      </c>
      <c r="R157" s="51" t="s">
        <v>20</v>
      </c>
      <c r="S157" s="51" t="s">
        <v>20</v>
      </c>
      <c r="T157" s="51" t="s">
        <v>20</v>
      </c>
      <c r="U157" s="51" t="s">
        <v>20</v>
      </c>
      <c r="V157" s="54" t="s">
        <v>19</v>
      </c>
      <c r="W157" s="54" t="s">
        <v>19</v>
      </c>
      <c r="X157" s="54" t="s">
        <v>19</v>
      </c>
      <c r="Y157" s="51" t="s">
        <v>19</v>
      </c>
      <c r="Z157" s="51" t="s">
        <v>19</v>
      </c>
      <c r="AA157" s="39" t="s">
        <v>19</v>
      </c>
      <c r="AB157" s="39" t="s">
        <v>20</v>
      </c>
      <c r="AC157" s="39" t="s">
        <v>20</v>
      </c>
      <c r="AD157" s="51" t="s">
        <v>20</v>
      </c>
      <c r="AE157" s="51" t="s">
        <v>20</v>
      </c>
    </row>
    <row r="158" spans="1:31" ht="15.75" customHeight="1" x14ac:dyDescent="0.25">
      <c r="A158" s="81">
        <v>153</v>
      </c>
      <c r="B158" s="20">
        <v>5</v>
      </c>
      <c r="C158" s="37" t="s">
        <v>137</v>
      </c>
      <c r="D158" s="20">
        <v>4</v>
      </c>
      <c r="E158" s="20" t="s">
        <v>20</v>
      </c>
      <c r="F158" s="51" t="s">
        <v>22</v>
      </c>
      <c r="G158" s="51" t="s">
        <v>19</v>
      </c>
      <c r="H158" s="51" t="s">
        <v>19</v>
      </c>
      <c r="I158" s="51" t="s">
        <v>19</v>
      </c>
      <c r="J158" s="64" t="s">
        <v>19</v>
      </c>
      <c r="K158" s="65" t="s">
        <v>19</v>
      </c>
      <c r="L158" s="66" t="s">
        <v>19</v>
      </c>
      <c r="M158" s="51" t="s">
        <v>19</v>
      </c>
      <c r="N158" s="51" t="s">
        <v>19</v>
      </c>
      <c r="O158" s="51" t="s">
        <v>19</v>
      </c>
      <c r="P158" s="51" t="s">
        <v>19</v>
      </c>
      <c r="Q158" s="51" t="s">
        <v>19</v>
      </c>
      <c r="R158" s="51" t="s">
        <v>19</v>
      </c>
      <c r="S158" s="51" t="s">
        <v>19</v>
      </c>
      <c r="T158" s="51" t="s">
        <v>19</v>
      </c>
      <c r="U158" s="51" t="s">
        <v>19</v>
      </c>
      <c r="V158" s="54" t="s">
        <v>19</v>
      </c>
      <c r="W158" s="54" t="s">
        <v>19</v>
      </c>
      <c r="X158" s="54" t="s">
        <v>19</v>
      </c>
      <c r="Y158" s="51" t="s">
        <v>19</v>
      </c>
      <c r="Z158" s="51" t="s">
        <v>19</v>
      </c>
      <c r="AA158" s="39" t="s">
        <v>19</v>
      </c>
      <c r="AB158" s="39" t="s">
        <v>19</v>
      </c>
      <c r="AC158" s="39" t="s">
        <v>19</v>
      </c>
      <c r="AD158" s="51" t="s">
        <v>19</v>
      </c>
      <c r="AE158" s="51" t="s">
        <v>20</v>
      </c>
    </row>
    <row r="159" spans="1:31" ht="15.75" customHeight="1" x14ac:dyDescent="0.25">
      <c r="A159" s="81">
        <v>154</v>
      </c>
      <c r="B159" s="20">
        <v>6</v>
      </c>
      <c r="C159" s="37" t="s">
        <v>138</v>
      </c>
      <c r="D159" s="20">
        <v>4</v>
      </c>
      <c r="E159" s="20" t="s">
        <v>20</v>
      </c>
      <c r="F159" s="51" t="s">
        <v>19</v>
      </c>
      <c r="G159" s="51" t="s">
        <v>19</v>
      </c>
      <c r="H159" s="51" t="s">
        <v>19</v>
      </c>
      <c r="I159" s="51" t="s">
        <v>19</v>
      </c>
      <c r="J159" s="64" t="s">
        <v>19</v>
      </c>
      <c r="K159" s="65" t="s">
        <v>19</v>
      </c>
      <c r="L159" s="66" t="s">
        <v>19</v>
      </c>
      <c r="M159" s="51" t="s">
        <v>19</v>
      </c>
      <c r="N159" s="51" t="s">
        <v>19</v>
      </c>
      <c r="O159" s="51" t="s">
        <v>20</v>
      </c>
      <c r="P159" s="51" t="s">
        <v>20</v>
      </c>
      <c r="Q159" s="51" t="s">
        <v>20</v>
      </c>
      <c r="R159" s="51" t="s">
        <v>20</v>
      </c>
      <c r="S159" s="51" t="s">
        <v>19</v>
      </c>
      <c r="T159" s="51" t="s">
        <v>19</v>
      </c>
      <c r="U159" s="51" t="s">
        <v>20</v>
      </c>
      <c r="V159" s="54" t="s">
        <v>19</v>
      </c>
      <c r="W159" s="54" t="s">
        <v>19</v>
      </c>
      <c r="X159" s="54" t="s">
        <v>19</v>
      </c>
      <c r="Y159" s="51" t="s">
        <v>19</v>
      </c>
      <c r="Z159" s="51" t="s">
        <v>19</v>
      </c>
      <c r="AA159" s="39" t="s">
        <v>20</v>
      </c>
      <c r="AB159" s="39" t="s">
        <v>19</v>
      </c>
      <c r="AC159" s="39" t="s">
        <v>19</v>
      </c>
      <c r="AD159" s="51" t="s">
        <v>19</v>
      </c>
      <c r="AE159" s="51" t="s">
        <v>20</v>
      </c>
    </row>
    <row r="160" spans="1:31" ht="15.75" customHeight="1" x14ac:dyDescent="0.25">
      <c r="A160" s="81">
        <v>155</v>
      </c>
      <c r="B160" s="20">
        <v>7</v>
      </c>
      <c r="C160" s="37" t="s">
        <v>139</v>
      </c>
      <c r="D160" s="20">
        <v>4</v>
      </c>
      <c r="E160" s="20" t="s">
        <v>20</v>
      </c>
      <c r="F160" s="51" t="s">
        <v>20</v>
      </c>
      <c r="G160" s="51" t="s">
        <v>19</v>
      </c>
      <c r="H160" s="51" t="s">
        <v>19</v>
      </c>
      <c r="I160" s="51" t="s">
        <v>20</v>
      </c>
      <c r="J160" s="64" t="s">
        <v>19</v>
      </c>
      <c r="K160" s="65" t="s">
        <v>20</v>
      </c>
      <c r="L160" s="66" t="s">
        <v>20</v>
      </c>
      <c r="M160" s="51" t="s">
        <v>19</v>
      </c>
      <c r="N160" s="51" t="s">
        <v>19</v>
      </c>
      <c r="O160" s="51" t="s">
        <v>19</v>
      </c>
      <c r="P160" s="51" t="s">
        <v>20</v>
      </c>
      <c r="Q160" s="51" t="s">
        <v>20</v>
      </c>
      <c r="R160" s="51" t="s">
        <v>20</v>
      </c>
      <c r="S160" s="51" t="s">
        <v>19</v>
      </c>
      <c r="T160" s="51" t="s">
        <v>19</v>
      </c>
      <c r="U160" s="51" t="s">
        <v>20</v>
      </c>
      <c r="V160" s="54" t="s">
        <v>19</v>
      </c>
      <c r="W160" s="54" t="s">
        <v>19</v>
      </c>
      <c r="X160" s="54" t="s">
        <v>19</v>
      </c>
      <c r="Y160" s="51" t="s">
        <v>19</v>
      </c>
      <c r="Z160" s="51" t="s">
        <v>20</v>
      </c>
      <c r="AA160" s="39" t="s">
        <v>20</v>
      </c>
      <c r="AB160" s="39" t="s">
        <v>20</v>
      </c>
      <c r="AC160" s="39" t="s">
        <v>20</v>
      </c>
      <c r="AD160" s="51" t="s">
        <v>20</v>
      </c>
      <c r="AE160" s="51" t="s">
        <v>20</v>
      </c>
    </row>
    <row r="161" spans="1:31" ht="15.75" customHeight="1" x14ac:dyDescent="0.25">
      <c r="A161" s="81">
        <v>156</v>
      </c>
      <c r="B161" s="20">
        <v>8</v>
      </c>
      <c r="C161" s="37" t="s">
        <v>262</v>
      </c>
      <c r="D161" s="20">
        <v>4</v>
      </c>
      <c r="E161" s="20" t="s">
        <v>20</v>
      </c>
      <c r="F161" s="51" t="s">
        <v>19</v>
      </c>
      <c r="G161" s="51" t="s">
        <v>19</v>
      </c>
      <c r="H161" s="51" t="s">
        <v>19</v>
      </c>
      <c r="I161" s="51" t="s">
        <v>19</v>
      </c>
      <c r="J161" s="64" t="s">
        <v>19</v>
      </c>
      <c r="K161" s="65" t="s">
        <v>19</v>
      </c>
      <c r="L161" s="66" t="s">
        <v>19</v>
      </c>
      <c r="M161" s="51" t="s">
        <v>20</v>
      </c>
      <c r="N161" s="51" t="s">
        <v>19</v>
      </c>
      <c r="O161" s="51" t="s">
        <v>19</v>
      </c>
      <c r="P161" s="51" t="s">
        <v>20</v>
      </c>
      <c r="Q161" s="51" t="s">
        <v>20</v>
      </c>
      <c r="R161" s="51" t="s">
        <v>20</v>
      </c>
      <c r="S161" s="51" t="s">
        <v>20</v>
      </c>
      <c r="T161" s="51" t="s">
        <v>19</v>
      </c>
      <c r="U161" s="51" t="s">
        <v>19</v>
      </c>
      <c r="V161" s="54" t="s">
        <v>19</v>
      </c>
      <c r="W161" s="54" t="s">
        <v>19</v>
      </c>
      <c r="X161" s="54" t="s">
        <v>19</v>
      </c>
      <c r="Y161" s="51" t="s">
        <v>19</v>
      </c>
      <c r="Z161" s="51" t="s">
        <v>20</v>
      </c>
      <c r="AA161" s="39" t="s">
        <v>19</v>
      </c>
      <c r="AB161" s="39" t="s">
        <v>19</v>
      </c>
      <c r="AC161" s="39" t="s">
        <v>20</v>
      </c>
      <c r="AD161" s="51" t="s">
        <v>19</v>
      </c>
      <c r="AE161" s="51" t="s">
        <v>20</v>
      </c>
    </row>
    <row r="162" spans="1:31" ht="15.75" customHeight="1" x14ac:dyDescent="0.25">
      <c r="A162" s="81">
        <v>157</v>
      </c>
      <c r="B162" s="20">
        <v>9</v>
      </c>
      <c r="C162" s="37" t="s">
        <v>140</v>
      </c>
      <c r="D162" s="20">
        <v>4</v>
      </c>
      <c r="E162" s="20" t="s">
        <v>20</v>
      </c>
      <c r="F162" s="51" t="s">
        <v>20</v>
      </c>
      <c r="G162" s="51" t="s">
        <v>20</v>
      </c>
      <c r="H162" s="51" t="s">
        <v>20</v>
      </c>
      <c r="I162" s="51" t="s">
        <v>20</v>
      </c>
      <c r="J162" s="64" t="s">
        <v>19</v>
      </c>
      <c r="K162" s="65" t="s">
        <v>19</v>
      </c>
      <c r="L162" s="66" t="s">
        <v>19</v>
      </c>
      <c r="M162" s="51" t="s">
        <v>19</v>
      </c>
      <c r="N162" s="51" t="s">
        <v>19</v>
      </c>
      <c r="O162" s="51" t="s">
        <v>19</v>
      </c>
      <c r="P162" s="51" t="s">
        <v>20</v>
      </c>
      <c r="Q162" s="51" t="s">
        <v>20</v>
      </c>
      <c r="R162" s="51" t="s">
        <v>20</v>
      </c>
      <c r="S162" s="51" t="s">
        <v>19</v>
      </c>
      <c r="T162" s="51" t="s">
        <v>19</v>
      </c>
      <c r="U162" s="51" t="s">
        <v>20</v>
      </c>
      <c r="V162" s="54" t="s">
        <v>19</v>
      </c>
      <c r="W162" s="54" t="s">
        <v>19</v>
      </c>
      <c r="X162" s="54" t="s">
        <v>19</v>
      </c>
      <c r="Y162" s="51" t="s">
        <v>19</v>
      </c>
      <c r="Z162" s="51" t="s">
        <v>20</v>
      </c>
      <c r="AA162" s="39" t="s">
        <v>20</v>
      </c>
      <c r="AB162" s="39" t="s">
        <v>20</v>
      </c>
      <c r="AC162" s="39" t="s">
        <v>19</v>
      </c>
      <c r="AD162" s="51" t="s">
        <v>19</v>
      </c>
      <c r="AE162" s="51" t="s">
        <v>20</v>
      </c>
    </row>
    <row r="163" spans="1:31" ht="15.75" customHeight="1" x14ac:dyDescent="0.25">
      <c r="A163" s="81">
        <v>158</v>
      </c>
      <c r="B163" s="20">
        <v>10</v>
      </c>
      <c r="C163" s="37" t="s">
        <v>263</v>
      </c>
      <c r="D163" s="20">
        <v>4</v>
      </c>
      <c r="E163" s="20" t="s">
        <v>20</v>
      </c>
      <c r="F163" s="51" t="s">
        <v>20</v>
      </c>
      <c r="G163" s="51" t="s">
        <v>19</v>
      </c>
      <c r="H163" s="51" t="s">
        <v>20</v>
      </c>
      <c r="I163" s="51" t="s">
        <v>20</v>
      </c>
      <c r="J163" s="64" t="s">
        <v>19</v>
      </c>
      <c r="K163" s="65" t="s">
        <v>19</v>
      </c>
      <c r="L163" s="66" t="s">
        <v>20</v>
      </c>
      <c r="M163" s="51" t="s">
        <v>21</v>
      </c>
      <c r="N163" s="51" t="s">
        <v>19</v>
      </c>
      <c r="O163" s="51" t="s">
        <v>19</v>
      </c>
      <c r="P163" s="51" t="s">
        <v>20</v>
      </c>
      <c r="Q163" s="51" t="s">
        <v>20</v>
      </c>
      <c r="R163" s="51" t="s">
        <v>20</v>
      </c>
      <c r="S163" s="51" t="s">
        <v>19</v>
      </c>
      <c r="T163" s="51" t="s">
        <v>19</v>
      </c>
      <c r="U163" s="51" t="s">
        <v>20</v>
      </c>
      <c r="V163" s="54" t="s">
        <v>19</v>
      </c>
      <c r="W163" s="54" t="s">
        <v>19</v>
      </c>
      <c r="X163" s="54" t="s">
        <v>19</v>
      </c>
      <c r="Y163" s="51" t="s">
        <v>20</v>
      </c>
      <c r="Z163" s="51" t="s">
        <v>20</v>
      </c>
      <c r="AA163" s="39" t="s">
        <v>20</v>
      </c>
      <c r="AB163" s="39" t="s">
        <v>21</v>
      </c>
      <c r="AC163" s="39" t="s">
        <v>20</v>
      </c>
      <c r="AD163" s="51" t="s">
        <v>21</v>
      </c>
      <c r="AE163" s="51" t="s">
        <v>20</v>
      </c>
    </row>
    <row r="164" spans="1:31" ht="15.75" customHeight="1" x14ac:dyDescent="0.25">
      <c r="A164" s="81">
        <v>159</v>
      </c>
      <c r="B164" s="20">
        <v>11</v>
      </c>
      <c r="C164" s="37" t="s">
        <v>141</v>
      </c>
      <c r="D164" s="20">
        <v>4</v>
      </c>
      <c r="E164" s="20" t="s">
        <v>20</v>
      </c>
      <c r="F164" s="51" t="s">
        <v>21</v>
      </c>
      <c r="G164" s="51" t="s">
        <v>21</v>
      </c>
      <c r="H164" s="51" t="s">
        <v>21</v>
      </c>
      <c r="I164" s="51" t="s">
        <v>21</v>
      </c>
      <c r="J164" s="64" t="s">
        <v>20</v>
      </c>
      <c r="K164" s="65" t="s">
        <v>20</v>
      </c>
      <c r="L164" s="66" t="s">
        <v>20</v>
      </c>
      <c r="M164" s="51" t="s">
        <v>20</v>
      </c>
      <c r="N164" s="51" t="s">
        <v>19</v>
      </c>
      <c r="O164" s="51" t="s">
        <v>20</v>
      </c>
      <c r="P164" s="51" t="s">
        <v>21</v>
      </c>
      <c r="Q164" s="51" t="s">
        <v>20</v>
      </c>
      <c r="R164" s="51" t="s">
        <v>20</v>
      </c>
      <c r="S164" s="51" t="s">
        <v>20</v>
      </c>
      <c r="T164" s="51" t="s">
        <v>19</v>
      </c>
      <c r="U164" s="51" t="s">
        <v>19</v>
      </c>
      <c r="V164" s="54" t="s">
        <v>19</v>
      </c>
      <c r="W164" s="54" t="s">
        <v>20</v>
      </c>
      <c r="X164" s="54" t="s">
        <v>19</v>
      </c>
      <c r="Y164" s="51" t="s">
        <v>21</v>
      </c>
      <c r="Z164" s="51" t="s">
        <v>21</v>
      </c>
      <c r="AA164" s="39" t="s">
        <v>20</v>
      </c>
      <c r="AB164" s="39" t="s">
        <v>20</v>
      </c>
      <c r="AC164" s="39" t="s">
        <v>20</v>
      </c>
      <c r="AD164" s="51" t="s">
        <v>21</v>
      </c>
      <c r="AE164" s="51" t="s">
        <v>20</v>
      </c>
    </row>
    <row r="165" spans="1:31" ht="15.75" customHeight="1" x14ac:dyDescent="0.25">
      <c r="A165" s="81">
        <v>160</v>
      </c>
      <c r="B165" s="20">
        <v>12</v>
      </c>
      <c r="C165" s="37" t="s">
        <v>142</v>
      </c>
      <c r="D165" s="20">
        <v>4</v>
      </c>
      <c r="E165" s="20" t="s">
        <v>20</v>
      </c>
      <c r="F165" s="51" t="s">
        <v>20</v>
      </c>
      <c r="G165" s="51" t="s">
        <v>20</v>
      </c>
      <c r="H165" s="51" t="s">
        <v>20</v>
      </c>
      <c r="I165" s="51" t="s">
        <v>20</v>
      </c>
      <c r="J165" s="64" t="s">
        <v>19</v>
      </c>
      <c r="K165" s="65" t="s">
        <v>19</v>
      </c>
      <c r="L165" s="66" t="s">
        <v>20</v>
      </c>
      <c r="M165" s="51" t="s">
        <v>19</v>
      </c>
      <c r="N165" s="51" t="s">
        <v>19</v>
      </c>
      <c r="O165" s="51" t="s">
        <v>19</v>
      </c>
      <c r="P165" s="51" t="s">
        <v>20</v>
      </c>
      <c r="Q165" s="51" t="s">
        <v>20</v>
      </c>
      <c r="R165" s="51" t="s">
        <v>20</v>
      </c>
      <c r="S165" s="51" t="s">
        <v>19</v>
      </c>
      <c r="T165" s="51" t="s">
        <v>19</v>
      </c>
      <c r="U165" s="51" t="s">
        <v>19</v>
      </c>
      <c r="V165" s="45" t="s">
        <v>19</v>
      </c>
      <c r="W165" s="54" t="s">
        <v>19</v>
      </c>
      <c r="X165" s="54" t="s">
        <v>19</v>
      </c>
      <c r="Y165" s="51" t="s">
        <v>19</v>
      </c>
      <c r="Z165" s="51" t="s">
        <v>20</v>
      </c>
      <c r="AA165" s="39" t="s">
        <v>20</v>
      </c>
      <c r="AB165" s="39" t="s">
        <v>19</v>
      </c>
      <c r="AC165" s="39" t="s">
        <v>19</v>
      </c>
      <c r="AD165" s="53" t="s">
        <v>19</v>
      </c>
      <c r="AE165" s="53" t="s">
        <v>20</v>
      </c>
    </row>
    <row r="166" spans="1:31" ht="15.75" customHeight="1" x14ac:dyDescent="0.25">
      <c r="A166" s="81">
        <v>161</v>
      </c>
      <c r="B166" s="20">
        <v>13</v>
      </c>
      <c r="C166" s="37" t="s">
        <v>143</v>
      </c>
      <c r="D166" s="20">
        <v>4</v>
      </c>
      <c r="E166" s="20" t="s">
        <v>20</v>
      </c>
      <c r="F166" s="51" t="s">
        <v>20</v>
      </c>
      <c r="G166" s="51" t="s">
        <v>20</v>
      </c>
      <c r="H166" s="51" t="s">
        <v>21</v>
      </c>
      <c r="I166" s="51" t="s">
        <v>20</v>
      </c>
      <c r="J166" s="64" t="s">
        <v>19</v>
      </c>
      <c r="K166" s="65" t="s">
        <v>19</v>
      </c>
      <c r="L166" s="66" t="s">
        <v>20</v>
      </c>
      <c r="M166" s="51" t="s">
        <v>20</v>
      </c>
      <c r="N166" s="51" t="s">
        <v>19</v>
      </c>
      <c r="O166" s="51" t="s">
        <v>20</v>
      </c>
      <c r="P166" s="51" t="s">
        <v>20</v>
      </c>
      <c r="Q166" s="51" t="s">
        <v>20</v>
      </c>
      <c r="R166" s="51" t="s">
        <v>20</v>
      </c>
      <c r="S166" s="51" t="s">
        <v>21</v>
      </c>
      <c r="T166" s="51" t="s">
        <v>21</v>
      </c>
      <c r="U166" s="51" t="s">
        <v>19</v>
      </c>
      <c r="V166" s="45" t="s">
        <v>19</v>
      </c>
      <c r="W166" s="54" t="s">
        <v>20</v>
      </c>
      <c r="X166" s="54" t="s">
        <v>19</v>
      </c>
      <c r="Y166" s="51" t="s">
        <v>21</v>
      </c>
      <c r="Z166" s="51" t="s">
        <v>20</v>
      </c>
      <c r="AA166" s="39" t="s">
        <v>20</v>
      </c>
      <c r="AB166" s="39" t="s">
        <v>19</v>
      </c>
      <c r="AC166" s="39" t="s">
        <v>21</v>
      </c>
      <c r="AD166" s="53" t="s">
        <v>21</v>
      </c>
      <c r="AE166" s="53" t="s">
        <v>20</v>
      </c>
    </row>
    <row r="167" spans="1:31" ht="15.75" customHeight="1" x14ac:dyDescent="0.25">
      <c r="A167" s="81">
        <v>162</v>
      </c>
      <c r="B167" s="20">
        <v>14</v>
      </c>
      <c r="C167" s="37" t="s">
        <v>144</v>
      </c>
      <c r="D167" s="20">
        <v>4</v>
      </c>
      <c r="E167" s="20" t="s">
        <v>20</v>
      </c>
      <c r="F167" s="51" t="s">
        <v>20</v>
      </c>
      <c r="G167" s="51" t="s">
        <v>20</v>
      </c>
      <c r="H167" s="51" t="s">
        <v>20</v>
      </c>
      <c r="I167" s="51" t="s">
        <v>20</v>
      </c>
      <c r="J167" s="64" t="s">
        <v>19</v>
      </c>
      <c r="K167" s="65" t="s">
        <v>20</v>
      </c>
      <c r="L167" s="66" t="s">
        <v>20</v>
      </c>
      <c r="M167" s="51" t="s">
        <v>20</v>
      </c>
      <c r="N167" s="51" t="s">
        <v>20</v>
      </c>
      <c r="O167" s="51" t="s">
        <v>19</v>
      </c>
      <c r="P167" s="51" t="s">
        <v>20</v>
      </c>
      <c r="Q167" s="51" t="s">
        <v>20</v>
      </c>
      <c r="R167" s="51" t="s">
        <v>20</v>
      </c>
      <c r="S167" s="51" t="s">
        <v>19</v>
      </c>
      <c r="T167" s="51" t="s">
        <v>19</v>
      </c>
      <c r="U167" s="51" t="s">
        <v>20</v>
      </c>
      <c r="V167" s="45" t="s">
        <v>19</v>
      </c>
      <c r="W167" s="54" t="s">
        <v>19</v>
      </c>
      <c r="X167" s="54" t="s">
        <v>19</v>
      </c>
      <c r="Y167" s="51" t="s">
        <v>20</v>
      </c>
      <c r="Z167" s="51" t="s">
        <v>20</v>
      </c>
      <c r="AA167" s="39" t="s">
        <v>19</v>
      </c>
      <c r="AB167" s="39" t="s">
        <v>20</v>
      </c>
      <c r="AC167" s="39" t="s">
        <v>19</v>
      </c>
      <c r="AD167" s="53" t="s">
        <v>20</v>
      </c>
      <c r="AE167" s="53" t="s">
        <v>20</v>
      </c>
    </row>
    <row r="168" spans="1:31" ht="15.75" customHeight="1" x14ac:dyDescent="0.25">
      <c r="A168" s="81">
        <v>163</v>
      </c>
      <c r="B168" s="20">
        <v>15</v>
      </c>
      <c r="C168" s="37" t="s">
        <v>145</v>
      </c>
      <c r="D168" s="20">
        <v>4</v>
      </c>
      <c r="E168" s="20" t="s">
        <v>20</v>
      </c>
      <c r="F168" s="51" t="s">
        <v>19</v>
      </c>
      <c r="G168" s="51" t="s">
        <v>19</v>
      </c>
      <c r="H168" s="51" t="s">
        <v>19</v>
      </c>
      <c r="I168" s="51" t="s">
        <v>19</v>
      </c>
      <c r="J168" s="64" t="s">
        <v>19</v>
      </c>
      <c r="K168" s="65" t="s">
        <v>19</v>
      </c>
      <c r="L168" s="66" t="s">
        <v>19</v>
      </c>
      <c r="M168" s="51" t="s">
        <v>19</v>
      </c>
      <c r="N168" s="51" t="s">
        <v>19</v>
      </c>
      <c r="O168" s="51" t="s">
        <v>19</v>
      </c>
      <c r="P168" s="51" t="s">
        <v>19</v>
      </c>
      <c r="Q168" s="51" t="s">
        <v>19</v>
      </c>
      <c r="R168" s="51" t="s">
        <v>19</v>
      </c>
      <c r="S168" s="51" t="s">
        <v>19</v>
      </c>
      <c r="T168" s="51" t="s">
        <v>19</v>
      </c>
      <c r="U168" s="51" t="s">
        <v>19</v>
      </c>
      <c r="V168" s="45" t="s">
        <v>19</v>
      </c>
      <c r="W168" s="54" t="s">
        <v>19</v>
      </c>
      <c r="X168" s="54" t="s">
        <v>19</v>
      </c>
      <c r="Y168" s="51" t="s">
        <v>19</v>
      </c>
      <c r="Z168" s="51" t="s">
        <v>19</v>
      </c>
      <c r="AA168" s="39" t="s">
        <v>19</v>
      </c>
      <c r="AB168" s="39" t="s">
        <v>19</v>
      </c>
      <c r="AC168" s="39" t="s">
        <v>19</v>
      </c>
      <c r="AD168" s="53" t="s">
        <v>19</v>
      </c>
      <c r="AE168" s="53" t="s">
        <v>20</v>
      </c>
    </row>
    <row r="169" spans="1:31" ht="15.75" customHeight="1" x14ac:dyDescent="0.25">
      <c r="A169" s="81">
        <v>164</v>
      </c>
      <c r="B169" s="20">
        <v>16</v>
      </c>
      <c r="C169" s="37" t="s">
        <v>146</v>
      </c>
      <c r="D169" s="20">
        <v>4</v>
      </c>
      <c r="E169" s="20" t="s">
        <v>20</v>
      </c>
      <c r="F169" s="51" t="s">
        <v>20</v>
      </c>
      <c r="G169" s="51" t="s">
        <v>20</v>
      </c>
      <c r="H169" s="51" t="s">
        <v>20</v>
      </c>
      <c r="I169" s="51" t="s">
        <v>20</v>
      </c>
      <c r="J169" s="64" t="s">
        <v>19</v>
      </c>
      <c r="K169" s="65" t="s">
        <v>19</v>
      </c>
      <c r="L169" s="66" t="s">
        <v>20</v>
      </c>
      <c r="M169" s="51" t="s">
        <v>19</v>
      </c>
      <c r="N169" s="51" t="s">
        <v>19</v>
      </c>
      <c r="O169" s="51" t="s">
        <v>19</v>
      </c>
      <c r="P169" s="51" t="s">
        <v>20</v>
      </c>
      <c r="Q169" s="51" t="s">
        <v>20</v>
      </c>
      <c r="R169" s="51" t="s">
        <v>20</v>
      </c>
      <c r="S169" s="51" t="s">
        <v>20</v>
      </c>
      <c r="T169" s="51" t="s">
        <v>19</v>
      </c>
      <c r="U169" s="51" t="s">
        <v>20</v>
      </c>
      <c r="V169" s="45" t="s">
        <v>19</v>
      </c>
      <c r="W169" s="54" t="s">
        <v>19</v>
      </c>
      <c r="X169" s="54" t="s">
        <v>19</v>
      </c>
      <c r="Y169" s="51" t="s">
        <v>20</v>
      </c>
      <c r="Z169" s="51" t="s">
        <v>20</v>
      </c>
      <c r="AA169" s="39" t="s">
        <v>20</v>
      </c>
      <c r="AB169" s="39" t="s">
        <v>20</v>
      </c>
      <c r="AC169" s="39" t="s">
        <v>20</v>
      </c>
      <c r="AD169" s="53" t="s">
        <v>20</v>
      </c>
      <c r="AE169" s="53" t="s">
        <v>20</v>
      </c>
    </row>
    <row r="170" spans="1:31" ht="15.75" customHeight="1" x14ac:dyDescent="0.25">
      <c r="A170" s="81">
        <v>165</v>
      </c>
      <c r="B170" s="20">
        <v>17</v>
      </c>
      <c r="C170" s="37" t="s">
        <v>147</v>
      </c>
      <c r="D170" s="20">
        <v>4</v>
      </c>
      <c r="E170" s="20" t="s">
        <v>20</v>
      </c>
      <c r="F170" s="51" t="s">
        <v>20</v>
      </c>
      <c r="G170" s="51" t="s">
        <v>20</v>
      </c>
      <c r="H170" s="51" t="s">
        <v>20</v>
      </c>
      <c r="I170" s="51" t="s">
        <v>20</v>
      </c>
      <c r="J170" s="64" t="s">
        <v>19</v>
      </c>
      <c r="K170" s="65" t="s">
        <v>19</v>
      </c>
      <c r="L170" s="66" t="s">
        <v>20</v>
      </c>
      <c r="M170" s="51" t="s">
        <v>20</v>
      </c>
      <c r="N170" s="51" t="s">
        <v>19</v>
      </c>
      <c r="O170" s="51" t="s">
        <v>20</v>
      </c>
      <c r="P170" s="51" t="s">
        <v>20</v>
      </c>
      <c r="Q170" s="51" t="s">
        <v>20</v>
      </c>
      <c r="R170" s="51" t="s">
        <v>20</v>
      </c>
      <c r="S170" s="51" t="s">
        <v>21</v>
      </c>
      <c r="T170" s="51" t="s">
        <v>20</v>
      </c>
      <c r="U170" s="51" t="s">
        <v>19</v>
      </c>
      <c r="V170" s="45" t="s">
        <v>19</v>
      </c>
      <c r="W170" s="54" t="s">
        <v>19</v>
      </c>
      <c r="X170" s="54" t="s">
        <v>19</v>
      </c>
      <c r="Y170" s="51" t="s">
        <v>19</v>
      </c>
      <c r="Z170" s="51" t="s">
        <v>19</v>
      </c>
      <c r="AA170" s="39" t="s">
        <v>19</v>
      </c>
      <c r="AB170" s="39" t="s">
        <v>19</v>
      </c>
      <c r="AC170" s="39" t="s">
        <v>19</v>
      </c>
      <c r="AD170" s="53" t="s">
        <v>20</v>
      </c>
      <c r="AE170" s="53" t="s">
        <v>20</v>
      </c>
    </row>
    <row r="171" spans="1:31" ht="15.75" customHeight="1" x14ac:dyDescent="0.25">
      <c r="A171" s="81">
        <v>166</v>
      </c>
      <c r="B171" s="20">
        <v>18</v>
      </c>
      <c r="C171" s="37" t="s">
        <v>264</v>
      </c>
      <c r="D171" s="20">
        <v>4</v>
      </c>
      <c r="E171" s="20" t="s">
        <v>20</v>
      </c>
      <c r="F171" s="51" t="s">
        <v>21</v>
      </c>
      <c r="G171" s="51" t="s">
        <v>21</v>
      </c>
      <c r="H171" s="51" t="s">
        <v>21</v>
      </c>
      <c r="I171" s="51" t="s">
        <v>21</v>
      </c>
      <c r="J171" s="64" t="s">
        <v>19</v>
      </c>
      <c r="K171" s="65" t="s">
        <v>19</v>
      </c>
      <c r="L171" s="66" t="s">
        <v>20</v>
      </c>
      <c r="M171" s="51" t="s">
        <v>20</v>
      </c>
      <c r="N171" s="51" t="s">
        <v>20</v>
      </c>
      <c r="O171" s="51" t="s">
        <v>19</v>
      </c>
      <c r="P171" s="51" t="s">
        <v>20</v>
      </c>
      <c r="Q171" s="51" t="s">
        <v>20</v>
      </c>
      <c r="R171" s="51" t="s">
        <v>21</v>
      </c>
      <c r="S171" s="51" t="s">
        <v>20</v>
      </c>
      <c r="T171" s="51" t="s">
        <v>19</v>
      </c>
      <c r="U171" s="51" t="s">
        <v>20</v>
      </c>
      <c r="V171" s="45" t="s">
        <v>19</v>
      </c>
      <c r="W171" s="54" t="s">
        <v>20</v>
      </c>
      <c r="X171" s="54" t="s">
        <v>19</v>
      </c>
      <c r="Y171" s="51" t="s">
        <v>19</v>
      </c>
      <c r="Z171" s="51" t="s">
        <v>19</v>
      </c>
      <c r="AA171" s="39" t="s">
        <v>20</v>
      </c>
      <c r="AB171" s="39" t="s">
        <v>20</v>
      </c>
      <c r="AC171" s="39" t="s">
        <v>20</v>
      </c>
      <c r="AD171" s="53" t="s">
        <v>20</v>
      </c>
      <c r="AE171" s="53" t="s">
        <v>20</v>
      </c>
    </row>
    <row r="172" spans="1:31" ht="15.75" customHeight="1" x14ac:dyDescent="0.25">
      <c r="A172" s="81">
        <v>167</v>
      </c>
      <c r="B172" s="20">
        <v>19</v>
      </c>
      <c r="C172" s="37" t="s">
        <v>148</v>
      </c>
      <c r="D172" s="20">
        <v>4</v>
      </c>
      <c r="E172" s="20" t="s">
        <v>20</v>
      </c>
      <c r="F172" s="51" t="s">
        <v>21</v>
      </c>
      <c r="G172" s="51" t="s">
        <v>20</v>
      </c>
      <c r="H172" s="51" t="s">
        <v>20</v>
      </c>
      <c r="I172" s="51" t="s">
        <v>20</v>
      </c>
      <c r="J172" s="64" t="s">
        <v>19</v>
      </c>
      <c r="K172" s="65" t="s">
        <v>19</v>
      </c>
      <c r="L172" s="66" t="s">
        <v>20</v>
      </c>
      <c r="M172" s="51" t="s">
        <v>19</v>
      </c>
      <c r="N172" s="51" t="s">
        <v>19</v>
      </c>
      <c r="O172" s="51" t="s">
        <v>20</v>
      </c>
      <c r="P172" s="51" t="s">
        <v>20</v>
      </c>
      <c r="Q172" s="51" t="s">
        <v>20</v>
      </c>
      <c r="R172" s="51" t="s">
        <v>20</v>
      </c>
      <c r="S172" s="51" t="s">
        <v>19</v>
      </c>
      <c r="T172" s="51" t="s">
        <v>19</v>
      </c>
      <c r="U172" s="51" t="s">
        <v>20</v>
      </c>
      <c r="V172" s="45" t="s">
        <v>19</v>
      </c>
      <c r="W172" s="54" t="s">
        <v>19</v>
      </c>
      <c r="X172" s="54" t="s">
        <v>19</v>
      </c>
      <c r="Y172" s="51" t="s">
        <v>19</v>
      </c>
      <c r="Z172" s="51" t="s">
        <v>20</v>
      </c>
      <c r="AA172" s="39" t="s">
        <v>20</v>
      </c>
      <c r="AB172" s="39" t="s">
        <v>20</v>
      </c>
      <c r="AC172" s="39" t="s">
        <v>20</v>
      </c>
      <c r="AD172" s="53" t="s">
        <v>20</v>
      </c>
      <c r="AE172" s="53" t="s">
        <v>20</v>
      </c>
    </row>
    <row r="173" spans="1:31" ht="15.75" customHeight="1" x14ac:dyDescent="0.25">
      <c r="A173" s="81">
        <v>168</v>
      </c>
      <c r="B173" s="20">
        <v>20</v>
      </c>
      <c r="C173" s="37" t="s">
        <v>149</v>
      </c>
      <c r="D173" s="20">
        <v>4</v>
      </c>
      <c r="E173" s="20" t="s">
        <v>20</v>
      </c>
      <c r="F173" s="51" t="s">
        <v>19</v>
      </c>
      <c r="G173" s="51" t="s">
        <v>19</v>
      </c>
      <c r="H173" s="51" t="s">
        <v>19</v>
      </c>
      <c r="I173" s="51" t="s">
        <v>22</v>
      </c>
      <c r="J173" s="64" t="s">
        <v>19</v>
      </c>
      <c r="K173" s="65" t="s">
        <v>22</v>
      </c>
      <c r="L173" s="66" t="s">
        <v>19</v>
      </c>
      <c r="M173" s="51" t="s">
        <v>19</v>
      </c>
      <c r="N173" s="51" t="s">
        <v>19</v>
      </c>
      <c r="O173" s="51" t="s">
        <v>19</v>
      </c>
      <c r="P173" s="51" t="s">
        <v>19</v>
      </c>
      <c r="Q173" s="51" t="s">
        <v>19</v>
      </c>
      <c r="R173" s="51" t="s">
        <v>19</v>
      </c>
      <c r="S173" s="51" t="s">
        <v>19</v>
      </c>
      <c r="T173" s="51" t="s">
        <v>19</v>
      </c>
      <c r="U173" s="51" t="s">
        <v>19</v>
      </c>
      <c r="V173" s="46" t="s">
        <v>19</v>
      </c>
      <c r="W173" s="54" t="s">
        <v>19</v>
      </c>
      <c r="X173" s="54" t="s">
        <v>19</v>
      </c>
      <c r="Y173" s="51" t="s">
        <v>22</v>
      </c>
      <c r="Z173" s="51" t="s">
        <v>22</v>
      </c>
      <c r="AA173" s="39" t="s">
        <v>19</v>
      </c>
      <c r="AB173" s="39" t="s">
        <v>19</v>
      </c>
      <c r="AC173" s="39" t="s">
        <v>19</v>
      </c>
      <c r="AD173" s="53" t="s">
        <v>19</v>
      </c>
      <c r="AE173" s="53" t="s">
        <v>20</v>
      </c>
    </row>
    <row r="174" spans="1:31" ht="15.75" customHeight="1" x14ac:dyDescent="0.25">
      <c r="A174" s="81">
        <v>169</v>
      </c>
      <c r="B174" s="20">
        <v>21</v>
      </c>
      <c r="C174" s="37" t="s">
        <v>150</v>
      </c>
      <c r="D174" s="20">
        <v>4</v>
      </c>
      <c r="E174" s="20" t="s">
        <v>20</v>
      </c>
      <c r="F174" s="51" t="s">
        <v>20</v>
      </c>
      <c r="G174" s="51" t="s">
        <v>21</v>
      </c>
      <c r="H174" s="51" t="s">
        <v>21</v>
      </c>
      <c r="I174" s="51" t="s">
        <v>21</v>
      </c>
      <c r="J174" s="64" t="s">
        <v>19</v>
      </c>
      <c r="K174" s="65" t="s">
        <v>20</v>
      </c>
      <c r="L174" s="66" t="s">
        <v>20</v>
      </c>
      <c r="M174" s="51" t="s">
        <v>20</v>
      </c>
      <c r="N174" s="51" t="s">
        <v>20</v>
      </c>
      <c r="O174" s="51" t="s">
        <v>20</v>
      </c>
      <c r="P174" s="51" t="s">
        <v>20</v>
      </c>
      <c r="Q174" s="51" t="s">
        <v>20</v>
      </c>
      <c r="R174" s="51" t="s">
        <v>21</v>
      </c>
      <c r="S174" s="51" t="s">
        <v>20</v>
      </c>
      <c r="T174" s="51" t="s">
        <v>19</v>
      </c>
      <c r="U174" s="51" t="s">
        <v>19</v>
      </c>
      <c r="V174" s="45" t="s">
        <v>19</v>
      </c>
      <c r="W174" s="54" t="s">
        <v>19</v>
      </c>
      <c r="X174" s="54" t="s">
        <v>19</v>
      </c>
      <c r="Y174" s="51" t="s">
        <v>20</v>
      </c>
      <c r="Z174" s="51" t="s">
        <v>20</v>
      </c>
      <c r="AA174" s="39" t="s">
        <v>20</v>
      </c>
      <c r="AB174" s="39" t="s">
        <v>20</v>
      </c>
      <c r="AC174" s="39" t="s">
        <v>19</v>
      </c>
      <c r="AD174" s="53" t="s">
        <v>20</v>
      </c>
      <c r="AE174" s="53" t="s">
        <v>20</v>
      </c>
    </row>
    <row r="175" spans="1:31" ht="15.75" customHeight="1" x14ac:dyDescent="0.25">
      <c r="A175" s="81">
        <v>170</v>
      </c>
      <c r="B175" s="20">
        <v>22</v>
      </c>
      <c r="C175" s="37" t="s">
        <v>152</v>
      </c>
      <c r="D175" s="20">
        <v>4</v>
      </c>
      <c r="E175" s="20" t="s">
        <v>20</v>
      </c>
      <c r="F175" s="51" t="s">
        <v>19</v>
      </c>
      <c r="G175" s="51" t="s">
        <v>22</v>
      </c>
      <c r="H175" s="51" t="s">
        <v>22</v>
      </c>
      <c r="I175" s="51" t="s">
        <v>22</v>
      </c>
      <c r="J175" s="64" t="s">
        <v>19</v>
      </c>
      <c r="K175" s="65" t="s">
        <v>19</v>
      </c>
      <c r="L175" s="66" t="s">
        <v>19</v>
      </c>
      <c r="M175" s="51" t="s">
        <v>19</v>
      </c>
      <c r="N175" s="51" t="s">
        <v>19</v>
      </c>
      <c r="O175" s="51" t="s">
        <v>19</v>
      </c>
      <c r="P175" s="51" t="s">
        <v>19</v>
      </c>
      <c r="Q175" s="51" t="s">
        <v>20</v>
      </c>
      <c r="R175" s="51" t="s">
        <v>20</v>
      </c>
      <c r="S175" s="51" t="s">
        <v>19</v>
      </c>
      <c r="T175" s="51" t="s">
        <v>19</v>
      </c>
      <c r="U175" s="51" t="s">
        <v>19</v>
      </c>
      <c r="V175" s="45" t="s">
        <v>19</v>
      </c>
      <c r="W175" s="54" t="s">
        <v>19</v>
      </c>
      <c r="X175" s="54" t="s">
        <v>19</v>
      </c>
      <c r="Y175" s="51" t="s">
        <v>19</v>
      </c>
      <c r="Z175" s="51" t="s">
        <v>19</v>
      </c>
      <c r="AA175" s="39" t="s">
        <v>19</v>
      </c>
      <c r="AB175" s="39" t="s">
        <v>20</v>
      </c>
      <c r="AC175" s="39" t="s">
        <v>19</v>
      </c>
      <c r="AD175" s="53" t="s">
        <v>59</v>
      </c>
      <c r="AE175" s="53" t="s">
        <v>59</v>
      </c>
    </row>
    <row r="176" spans="1:31" ht="15.75" customHeight="1" x14ac:dyDescent="0.25">
      <c r="A176" s="81">
        <v>171</v>
      </c>
      <c r="B176" s="20">
        <v>23</v>
      </c>
      <c r="C176" s="37" t="s">
        <v>153</v>
      </c>
      <c r="D176" s="20">
        <v>4</v>
      </c>
      <c r="E176" s="20" t="s">
        <v>20</v>
      </c>
      <c r="F176" s="51" t="s">
        <v>19</v>
      </c>
      <c r="G176" s="51" t="s">
        <v>19</v>
      </c>
      <c r="H176" s="51" t="s">
        <v>19</v>
      </c>
      <c r="I176" s="51" t="s">
        <v>19</v>
      </c>
      <c r="J176" s="64" t="s">
        <v>19</v>
      </c>
      <c r="K176" s="65" t="s">
        <v>19</v>
      </c>
      <c r="L176" s="66" t="s">
        <v>20</v>
      </c>
      <c r="M176" s="51" t="s">
        <v>19</v>
      </c>
      <c r="N176" s="51" t="s">
        <v>20</v>
      </c>
      <c r="O176" s="51" t="s">
        <v>19</v>
      </c>
      <c r="P176" s="51" t="s">
        <v>19</v>
      </c>
      <c r="Q176" s="51" t="s">
        <v>19</v>
      </c>
      <c r="R176" s="51" t="s">
        <v>19</v>
      </c>
      <c r="S176" s="51" t="s">
        <v>19</v>
      </c>
      <c r="T176" s="51" t="s">
        <v>19</v>
      </c>
      <c r="U176" s="51" t="s">
        <v>19</v>
      </c>
      <c r="V176" s="45" t="s">
        <v>19</v>
      </c>
      <c r="W176" s="54" t="s">
        <v>19</v>
      </c>
      <c r="X176" s="54" t="s">
        <v>19</v>
      </c>
      <c r="Y176" s="51" t="s">
        <v>19</v>
      </c>
      <c r="Z176" s="51" t="s">
        <v>19</v>
      </c>
      <c r="AA176" s="39" t="s">
        <v>20</v>
      </c>
      <c r="AB176" s="39" t="s">
        <v>20</v>
      </c>
      <c r="AC176" s="39" t="s">
        <v>19</v>
      </c>
      <c r="AD176" s="53" t="s">
        <v>19</v>
      </c>
      <c r="AE176" s="53" t="s">
        <v>20</v>
      </c>
    </row>
    <row r="177" spans="1:31" ht="15.75" customHeight="1" x14ac:dyDescent="0.25">
      <c r="A177" s="81">
        <v>172</v>
      </c>
      <c r="B177" s="20">
        <v>24</v>
      </c>
      <c r="C177" s="37" t="s">
        <v>154</v>
      </c>
      <c r="D177" s="20">
        <v>4</v>
      </c>
      <c r="E177" s="20" t="s">
        <v>20</v>
      </c>
      <c r="F177" s="51" t="s">
        <v>19</v>
      </c>
      <c r="G177" s="51" t="s">
        <v>19</v>
      </c>
      <c r="H177" s="51" t="s">
        <v>19</v>
      </c>
      <c r="I177" s="51" t="s">
        <v>19</v>
      </c>
      <c r="J177" s="64" t="s">
        <v>19</v>
      </c>
      <c r="K177" s="65" t="s">
        <v>19</v>
      </c>
      <c r="L177" s="66" t="s">
        <v>19</v>
      </c>
      <c r="M177" s="51" t="s">
        <v>19</v>
      </c>
      <c r="N177" s="51" t="s">
        <v>19</v>
      </c>
      <c r="O177" s="51" t="s">
        <v>19</v>
      </c>
      <c r="P177" s="51" t="s">
        <v>20</v>
      </c>
      <c r="Q177" s="51" t="s">
        <v>20</v>
      </c>
      <c r="R177" s="51" t="s">
        <v>19</v>
      </c>
      <c r="S177" s="51" t="s">
        <v>19</v>
      </c>
      <c r="T177" s="51" t="s">
        <v>19</v>
      </c>
      <c r="U177" s="51" t="s">
        <v>19</v>
      </c>
      <c r="V177" s="45" t="s">
        <v>19</v>
      </c>
      <c r="W177" s="54" t="s">
        <v>19</v>
      </c>
      <c r="X177" s="54" t="s">
        <v>19</v>
      </c>
      <c r="Y177" s="51" t="s">
        <v>19</v>
      </c>
      <c r="Z177" s="51" t="s">
        <v>19</v>
      </c>
      <c r="AA177" s="39" t="s">
        <v>19</v>
      </c>
      <c r="AB177" s="39" t="s">
        <v>19</v>
      </c>
      <c r="AC177" s="39" t="s">
        <v>19</v>
      </c>
      <c r="AD177" s="53" t="s">
        <v>19</v>
      </c>
      <c r="AE177" s="53" t="s">
        <v>20</v>
      </c>
    </row>
    <row r="178" spans="1:31" ht="15.75" customHeight="1" thickBot="1" x14ac:dyDescent="0.3">
      <c r="A178" s="81">
        <v>173</v>
      </c>
      <c r="B178" s="21">
        <v>25</v>
      </c>
      <c r="C178" s="38" t="s">
        <v>155</v>
      </c>
      <c r="D178" s="21">
        <v>4</v>
      </c>
      <c r="E178" s="21" t="s">
        <v>20</v>
      </c>
      <c r="F178" s="87" t="s">
        <v>19</v>
      </c>
      <c r="G178" s="87" t="s">
        <v>19</v>
      </c>
      <c r="H178" s="87" t="s">
        <v>19</v>
      </c>
      <c r="I178" s="87" t="s">
        <v>19</v>
      </c>
      <c r="J178" s="103" t="s">
        <v>19</v>
      </c>
      <c r="K178" s="103" t="s">
        <v>22</v>
      </c>
      <c r="L178" s="103" t="s">
        <v>19</v>
      </c>
      <c r="M178" s="87" t="s">
        <v>19</v>
      </c>
      <c r="N178" s="87" t="s">
        <v>19</v>
      </c>
      <c r="O178" s="87" t="s">
        <v>19</v>
      </c>
      <c r="P178" s="87" t="s">
        <v>19</v>
      </c>
      <c r="Q178" s="87" t="s">
        <v>19</v>
      </c>
      <c r="R178" s="87" t="s">
        <v>19</v>
      </c>
      <c r="S178" s="87" t="s">
        <v>19</v>
      </c>
      <c r="T178" s="102" t="s">
        <v>19</v>
      </c>
      <c r="U178" s="87" t="s">
        <v>19</v>
      </c>
      <c r="V178" s="47" t="s">
        <v>19</v>
      </c>
      <c r="W178" s="100" t="s">
        <v>19</v>
      </c>
      <c r="X178" s="100" t="s">
        <v>19</v>
      </c>
      <c r="Y178" s="87" t="s">
        <v>19</v>
      </c>
      <c r="Z178" s="87" t="s">
        <v>20</v>
      </c>
      <c r="AA178" s="41" t="s">
        <v>19</v>
      </c>
      <c r="AB178" s="41" t="s">
        <v>20</v>
      </c>
      <c r="AC178" s="41" t="s">
        <v>19</v>
      </c>
      <c r="AD178" s="96" t="s">
        <v>19</v>
      </c>
      <c r="AE178" s="96" t="s">
        <v>20</v>
      </c>
    </row>
    <row r="179" spans="1:31" ht="15.75" customHeight="1" x14ac:dyDescent="0.25">
      <c r="A179" s="81">
        <v>174</v>
      </c>
      <c r="B179" s="97">
        <v>1</v>
      </c>
      <c r="C179" s="98" t="s">
        <v>156</v>
      </c>
      <c r="D179" s="97">
        <v>5</v>
      </c>
      <c r="E179" s="97" t="s">
        <v>19</v>
      </c>
      <c r="F179" s="83" t="s">
        <v>19</v>
      </c>
      <c r="G179" s="83" t="s">
        <v>19</v>
      </c>
      <c r="H179" s="83" t="s">
        <v>22</v>
      </c>
      <c r="I179" s="83" t="s">
        <v>22</v>
      </c>
      <c r="J179" s="101" t="s">
        <v>19</v>
      </c>
      <c r="K179" s="101" t="s">
        <v>19</v>
      </c>
      <c r="L179" s="101" t="s">
        <v>19</v>
      </c>
      <c r="M179" s="83" t="s">
        <v>19</v>
      </c>
      <c r="N179" s="83" t="s">
        <v>19</v>
      </c>
      <c r="O179" s="83" t="s">
        <v>19</v>
      </c>
      <c r="P179" s="83" t="s">
        <v>20</v>
      </c>
      <c r="Q179" s="83" t="s">
        <v>20</v>
      </c>
      <c r="R179" s="83" t="s">
        <v>20</v>
      </c>
      <c r="S179" s="83" t="s">
        <v>19</v>
      </c>
      <c r="T179" s="83" t="s">
        <v>20</v>
      </c>
      <c r="U179" s="83" t="s">
        <v>20</v>
      </c>
      <c r="V179" s="106" t="s">
        <v>19</v>
      </c>
      <c r="W179" s="99" t="s">
        <v>20</v>
      </c>
      <c r="X179" s="99" t="s">
        <v>20</v>
      </c>
      <c r="Y179" s="83" t="s">
        <v>19</v>
      </c>
      <c r="Z179" s="83" t="s">
        <v>19</v>
      </c>
      <c r="AA179" s="86" t="s">
        <v>19</v>
      </c>
      <c r="AB179" s="86" t="s">
        <v>19</v>
      </c>
      <c r="AC179" s="86" t="s">
        <v>20</v>
      </c>
      <c r="AD179" s="94" t="s">
        <v>19</v>
      </c>
      <c r="AE179" s="94" t="s">
        <v>20</v>
      </c>
    </row>
    <row r="180" spans="1:31" ht="15.75" customHeight="1" x14ac:dyDescent="0.25">
      <c r="A180" s="81">
        <v>175</v>
      </c>
      <c r="B180" s="89">
        <v>2</v>
      </c>
      <c r="C180" s="90" t="s">
        <v>157</v>
      </c>
      <c r="D180" s="89">
        <v>5</v>
      </c>
      <c r="E180" s="89" t="s">
        <v>19</v>
      </c>
      <c r="F180" s="51" t="s">
        <v>19</v>
      </c>
      <c r="G180" s="51" t="s">
        <v>19</v>
      </c>
      <c r="H180" s="51" t="s">
        <v>19</v>
      </c>
      <c r="I180" s="51" t="s">
        <v>19</v>
      </c>
      <c r="J180" s="73" t="s">
        <v>19</v>
      </c>
      <c r="K180" s="74" t="s">
        <v>19</v>
      </c>
      <c r="L180" s="75" t="s">
        <v>19</v>
      </c>
      <c r="M180" s="51" t="s">
        <v>19</v>
      </c>
      <c r="N180" s="51" t="s">
        <v>19</v>
      </c>
      <c r="O180" s="51" t="s">
        <v>19</v>
      </c>
      <c r="P180" s="51" t="s">
        <v>20</v>
      </c>
      <c r="Q180" s="51" t="s">
        <v>19</v>
      </c>
      <c r="R180" s="51" t="s">
        <v>19</v>
      </c>
      <c r="S180" s="51" t="s">
        <v>19</v>
      </c>
      <c r="T180" s="51" t="s">
        <v>20</v>
      </c>
      <c r="U180" s="51" t="s">
        <v>19</v>
      </c>
      <c r="V180" s="45" t="s">
        <v>19</v>
      </c>
      <c r="W180" s="54" t="s">
        <v>19</v>
      </c>
      <c r="X180" s="54" t="s">
        <v>19</v>
      </c>
      <c r="Y180" s="51" t="s">
        <v>20</v>
      </c>
      <c r="Z180" s="51" t="s">
        <v>19</v>
      </c>
      <c r="AA180" s="39" t="s">
        <v>20</v>
      </c>
      <c r="AB180" s="39" t="s">
        <v>19</v>
      </c>
      <c r="AC180" s="39" t="s">
        <v>19</v>
      </c>
      <c r="AD180" s="53" t="s">
        <v>19</v>
      </c>
      <c r="AE180" s="53" t="s">
        <v>20</v>
      </c>
    </row>
    <row r="181" spans="1:31" ht="15.75" customHeight="1" x14ac:dyDescent="0.25">
      <c r="A181" s="81">
        <v>176</v>
      </c>
      <c r="B181" s="89">
        <v>3</v>
      </c>
      <c r="C181" s="90" t="s">
        <v>158</v>
      </c>
      <c r="D181" s="89">
        <v>5</v>
      </c>
      <c r="E181" s="89" t="s">
        <v>19</v>
      </c>
      <c r="F181" s="51" t="s">
        <v>21</v>
      </c>
      <c r="G181" s="51" t="s">
        <v>21</v>
      </c>
      <c r="H181" s="51" t="s">
        <v>20</v>
      </c>
      <c r="I181" s="51" t="s">
        <v>20</v>
      </c>
      <c r="J181" s="73" t="s">
        <v>19</v>
      </c>
      <c r="K181" s="74" t="s">
        <v>19</v>
      </c>
      <c r="L181" s="75" t="s">
        <v>20</v>
      </c>
      <c r="M181" s="51" t="s">
        <v>19</v>
      </c>
      <c r="N181" s="51" t="s">
        <v>19</v>
      </c>
      <c r="O181" s="51" t="s">
        <v>19</v>
      </c>
      <c r="P181" s="51" t="s">
        <v>20</v>
      </c>
      <c r="Q181" s="51" t="s">
        <v>20</v>
      </c>
      <c r="R181" s="51" t="s">
        <v>19</v>
      </c>
      <c r="S181" s="51" t="s">
        <v>20</v>
      </c>
      <c r="T181" s="51" t="s">
        <v>19</v>
      </c>
      <c r="U181" s="51" t="s">
        <v>19</v>
      </c>
      <c r="V181" s="45" t="s">
        <v>19</v>
      </c>
      <c r="W181" s="54" t="s">
        <v>19</v>
      </c>
      <c r="X181" s="54" t="s">
        <v>19</v>
      </c>
      <c r="Y181" s="51" t="s">
        <v>19</v>
      </c>
      <c r="Z181" s="51" t="s">
        <v>19</v>
      </c>
      <c r="AA181" s="39" t="s">
        <v>20</v>
      </c>
      <c r="AB181" s="39" t="s">
        <v>20</v>
      </c>
      <c r="AC181" s="39" t="s">
        <v>20</v>
      </c>
      <c r="AD181" s="53" t="s">
        <v>19</v>
      </c>
      <c r="AE181" s="53" t="s">
        <v>20</v>
      </c>
    </row>
    <row r="182" spans="1:31" ht="15.75" customHeight="1" x14ac:dyDescent="0.25">
      <c r="A182" s="81">
        <v>177</v>
      </c>
      <c r="B182" s="89">
        <v>4</v>
      </c>
      <c r="C182" s="90" t="s">
        <v>265</v>
      </c>
      <c r="D182" s="89">
        <v>5</v>
      </c>
      <c r="E182" s="89" t="s">
        <v>19</v>
      </c>
      <c r="F182" s="51" t="s">
        <v>21</v>
      </c>
      <c r="G182" s="51" t="s">
        <v>21</v>
      </c>
      <c r="H182" s="51" t="s">
        <v>21</v>
      </c>
      <c r="I182" s="51" t="s">
        <v>21</v>
      </c>
      <c r="J182" s="73" t="s">
        <v>20</v>
      </c>
      <c r="K182" s="74" t="s">
        <v>20</v>
      </c>
      <c r="L182" s="75" t="s">
        <v>20</v>
      </c>
      <c r="M182" s="51" t="s">
        <v>20</v>
      </c>
      <c r="N182" s="51" t="s">
        <v>20</v>
      </c>
      <c r="O182" s="51" t="s">
        <v>19</v>
      </c>
      <c r="P182" s="51" t="s">
        <v>21</v>
      </c>
      <c r="Q182" s="51" t="s">
        <v>20</v>
      </c>
      <c r="R182" s="51" t="s">
        <v>20</v>
      </c>
      <c r="S182" s="51" t="s">
        <v>20</v>
      </c>
      <c r="T182" s="51" t="s">
        <v>20</v>
      </c>
      <c r="U182" s="51" t="s">
        <v>19</v>
      </c>
      <c r="V182" s="45" t="s">
        <v>19</v>
      </c>
      <c r="W182" s="54" t="s">
        <v>19</v>
      </c>
      <c r="X182" s="54" t="s">
        <v>19</v>
      </c>
      <c r="Y182" s="51" t="s">
        <v>19</v>
      </c>
      <c r="Z182" s="51" t="s">
        <v>19</v>
      </c>
      <c r="AA182" s="39" t="s">
        <v>20</v>
      </c>
      <c r="AB182" s="39" t="s">
        <v>20</v>
      </c>
      <c r="AC182" s="39" t="s">
        <v>20</v>
      </c>
      <c r="AD182" s="53" t="s">
        <v>20</v>
      </c>
      <c r="AE182" s="53" t="s">
        <v>20</v>
      </c>
    </row>
    <row r="183" spans="1:31" ht="15.75" customHeight="1" x14ac:dyDescent="0.25">
      <c r="A183" s="81">
        <v>178</v>
      </c>
      <c r="B183" s="89">
        <v>5</v>
      </c>
      <c r="C183" s="90" t="s">
        <v>159</v>
      </c>
      <c r="D183" s="89">
        <v>5</v>
      </c>
      <c r="E183" s="89" t="s">
        <v>19</v>
      </c>
      <c r="F183" s="51" t="s">
        <v>19</v>
      </c>
      <c r="G183" s="51" t="s">
        <v>19</v>
      </c>
      <c r="H183" s="51" t="s">
        <v>22</v>
      </c>
      <c r="I183" s="51" t="s">
        <v>22</v>
      </c>
      <c r="J183" s="73" t="s">
        <v>19</v>
      </c>
      <c r="K183" s="74" t="s">
        <v>19</v>
      </c>
      <c r="L183" s="75" t="s">
        <v>19</v>
      </c>
      <c r="M183" s="51" t="s">
        <v>19</v>
      </c>
      <c r="N183" s="51" t="s">
        <v>19</v>
      </c>
      <c r="O183" s="51" t="s">
        <v>19</v>
      </c>
      <c r="P183" s="51" t="s">
        <v>19</v>
      </c>
      <c r="Q183" s="51" t="s">
        <v>20</v>
      </c>
      <c r="R183" s="51" t="s">
        <v>20</v>
      </c>
      <c r="S183" s="51" t="s">
        <v>19</v>
      </c>
      <c r="T183" s="51" t="s">
        <v>20</v>
      </c>
      <c r="U183" s="51" t="s">
        <v>19</v>
      </c>
      <c r="V183" s="46" t="s">
        <v>19</v>
      </c>
      <c r="W183" s="54" t="s">
        <v>19</v>
      </c>
      <c r="X183" s="54" t="s">
        <v>19</v>
      </c>
      <c r="Y183" s="51" t="s">
        <v>19</v>
      </c>
      <c r="Z183" s="51" t="s">
        <v>19</v>
      </c>
      <c r="AA183" s="39" t="s">
        <v>20</v>
      </c>
      <c r="AB183" s="39" t="s">
        <v>20</v>
      </c>
      <c r="AC183" s="39" t="s">
        <v>20</v>
      </c>
      <c r="AD183" s="53" t="s">
        <v>19</v>
      </c>
      <c r="AE183" s="53" t="s">
        <v>20</v>
      </c>
    </row>
    <row r="184" spans="1:31" ht="15.75" customHeight="1" x14ac:dyDescent="0.25">
      <c r="A184" s="81">
        <v>179</v>
      </c>
      <c r="B184" s="89">
        <v>6</v>
      </c>
      <c r="C184" s="90" t="s">
        <v>160</v>
      </c>
      <c r="D184" s="89">
        <v>5</v>
      </c>
      <c r="E184" s="89" t="s">
        <v>19</v>
      </c>
      <c r="F184" s="51" t="s">
        <v>19</v>
      </c>
      <c r="G184" s="51" t="s">
        <v>19</v>
      </c>
      <c r="H184" s="51" t="s">
        <v>22</v>
      </c>
      <c r="I184" s="51" t="s">
        <v>22</v>
      </c>
      <c r="J184" s="73" t="s">
        <v>19</v>
      </c>
      <c r="K184" s="74" t="s">
        <v>19</v>
      </c>
      <c r="L184" s="75" t="s">
        <v>19</v>
      </c>
      <c r="M184" s="51" t="s">
        <v>19</v>
      </c>
      <c r="N184" s="51" t="s">
        <v>19</v>
      </c>
      <c r="O184" s="51" t="s">
        <v>19</v>
      </c>
      <c r="P184" s="51" t="s">
        <v>20</v>
      </c>
      <c r="Q184" s="51" t="s">
        <v>20</v>
      </c>
      <c r="R184" s="51" t="s">
        <v>20</v>
      </c>
      <c r="S184" s="51" t="s">
        <v>20</v>
      </c>
      <c r="T184" s="51" t="s">
        <v>19</v>
      </c>
      <c r="U184" s="51" t="s">
        <v>19</v>
      </c>
      <c r="V184" s="45" t="s">
        <v>19</v>
      </c>
      <c r="W184" s="54" t="s">
        <v>19</v>
      </c>
      <c r="X184" s="59" t="s">
        <v>19</v>
      </c>
      <c r="Y184" s="51" t="s">
        <v>19</v>
      </c>
      <c r="Z184" s="51" t="s">
        <v>19</v>
      </c>
      <c r="AA184" s="39" t="s">
        <v>19</v>
      </c>
      <c r="AB184" s="39" t="s">
        <v>19</v>
      </c>
      <c r="AC184" s="39" t="s">
        <v>19</v>
      </c>
      <c r="AD184" s="53" t="s">
        <v>19</v>
      </c>
      <c r="AE184" s="53" t="s">
        <v>20</v>
      </c>
    </row>
    <row r="185" spans="1:31" ht="15.75" customHeight="1" x14ac:dyDescent="0.25">
      <c r="A185" s="81">
        <v>180</v>
      </c>
      <c r="B185" s="89">
        <v>7</v>
      </c>
      <c r="C185" s="90" t="s">
        <v>161</v>
      </c>
      <c r="D185" s="89">
        <v>5</v>
      </c>
      <c r="E185" s="89" t="s">
        <v>19</v>
      </c>
      <c r="F185" s="51" t="s">
        <v>21</v>
      </c>
      <c r="G185" s="51" t="s">
        <v>20</v>
      </c>
      <c r="H185" s="51" t="s">
        <v>21</v>
      </c>
      <c r="I185" s="51" t="s">
        <v>20</v>
      </c>
      <c r="J185" s="73" t="s">
        <v>19</v>
      </c>
      <c r="K185" s="74" t="s">
        <v>19</v>
      </c>
      <c r="L185" s="75" t="s">
        <v>20</v>
      </c>
      <c r="M185" s="51" t="s">
        <v>20</v>
      </c>
      <c r="N185" s="51" t="s">
        <v>19</v>
      </c>
      <c r="O185" s="51" t="s">
        <v>19</v>
      </c>
      <c r="P185" s="51" t="s">
        <v>20</v>
      </c>
      <c r="Q185" s="51" t="s">
        <v>19</v>
      </c>
      <c r="R185" s="51" t="s">
        <v>19</v>
      </c>
      <c r="S185" s="51" t="s">
        <v>20</v>
      </c>
      <c r="T185" s="51" t="s">
        <v>20</v>
      </c>
      <c r="U185" s="51" t="s">
        <v>19</v>
      </c>
      <c r="V185" s="45" t="s">
        <v>19</v>
      </c>
      <c r="W185" s="54" t="s">
        <v>19</v>
      </c>
      <c r="X185" s="54" t="s">
        <v>19</v>
      </c>
      <c r="Y185" s="51" t="s">
        <v>19</v>
      </c>
      <c r="Z185" s="51" t="s">
        <v>20</v>
      </c>
      <c r="AA185" s="39" t="s">
        <v>20</v>
      </c>
      <c r="AB185" s="39" t="s">
        <v>19</v>
      </c>
      <c r="AC185" s="39" t="s">
        <v>20</v>
      </c>
      <c r="AD185" s="53" t="s">
        <v>19</v>
      </c>
      <c r="AE185" s="53" t="s">
        <v>20</v>
      </c>
    </row>
    <row r="186" spans="1:31" ht="15.75" customHeight="1" x14ac:dyDescent="0.25">
      <c r="A186" s="81">
        <v>181</v>
      </c>
      <c r="B186" s="89">
        <v>8</v>
      </c>
      <c r="C186" s="90" t="s">
        <v>162</v>
      </c>
      <c r="D186" s="89">
        <v>5</v>
      </c>
      <c r="E186" s="89" t="s">
        <v>19</v>
      </c>
      <c r="F186" s="51" t="s">
        <v>20</v>
      </c>
      <c r="G186" s="51" t="s">
        <v>20</v>
      </c>
      <c r="H186" s="51" t="s">
        <v>20</v>
      </c>
      <c r="I186" s="51" t="s">
        <v>20</v>
      </c>
      <c r="J186" s="73" t="s">
        <v>20</v>
      </c>
      <c r="K186" s="74" t="s">
        <v>20</v>
      </c>
      <c r="L186" s="75" t="s">
        <v>20</v>
      </c>
      <c r="M186" s="51" t="s">
        <v>20</v>
      </c>
      <c r="N186" s="51" t="s">
        <v>19</v>
      </c>
      <c r="O186" s="51" t="s">
        <v>19</v>
      </c>
      <c r="P186" s="51" t="s">
        <v>20</v>
      </c>
      <c r="Q186" s="51" t="s">
        <v>21</v>
      </c>
      <c r="R186" s="51" t="s">
        <v>20</v>
      </c>
      <c r="S186" s="51" t="s">
        <v>20</v>
      </c>
      <c r="T186" s="51" t="s">
        <v>20</v>
      </c>
      <c r="U186" s="51" t="s">
        <v>20</v>
      </c>
      <c r="V186" s="45" t="s">
        <v>20</v>
      </c>
      <c r="W186" s="54" t="s">
        <v>19</v>
      </c>
      <c r="X186" s="54" t="s">
        <v>19</v>
      </c>
      <c r="Y186" s="51" t="s">
        <v>20</v>
      </c>
      <c r="Z186" s="51" t="s">
        <v>20</v>
      </c>
      <c r="AA186" s="39" t="s">
        <v>20</v>
      </c>
      <c r="AB186" s="39" t="s">
        <v>20</v>
      </c>
      <c r="AC186" s="39" t="s">
        <v>20</v>
      </c>
      <c r="AD186" s="53" t="s">
        <v>20</v>
      </c>
      <c r="AE186" s="53" t="s">
        <v>20</v>
      </c>
    </row>
    <row r="187" spans="1:31" ht="15.75" customHeight="1" x14ac:dyDescent="0.25">
      <c r="A187" s="81">
        <v>182</v>
      </c>
      <c r="B187" s="89">
        <v>9</v>
      </c>
      <c r="C187" s="90" t="s">
        <v>163</v>
      </c>
      <c r="D187" s="89">
        <v>5</v>
      </c>
      <c r="E187" s="89" t="s">
        <v>19</v>
      </c>
      <c r="F187" s="51" t="s">
        <v>19</v>
      </c>
      <c r="G187" s="51" t="s">
        <v>19</v>
      </c>
      <c r="H187" s="51" t="s">
        <v>19</v>
      </c>
      <c r="I187" s="51" t="s">
        <v>19</v>
      </c>
      <c r="J187" s="73" t="s">
        <v>19</v>
      </c>
      <c r="K187" s="74" t="s">
        <v>19</v>
      </c>
      <c r="L187" s="75" t="s">
        <v>19</v>
      </c>
      <c r="M187" s="51" t="s">
        <v>19</v>
      </c>
      <c r="N187" s="51" t="s">
        <v>19</v>
      </c>
      <c r="O187" s="51" t="s">
        <v>19</v>
      </c>
      <c r="P187" s="51" t="s">
        <v>20</v>
      </c>
      <c r="Q187" s="51" t="s">
        <v>20</v>
      </c>
      <c r="R187" s="51" t="s">
        <v>19</v>
      </c>
      <c r="S187" s="51" t="s">
        <v>19</v>
      </c>
      <c r="T187" s="51" t="s">
        <v>20</v>
      </c>
      <c r="U187" s="51" t="s">
        <v>20</v>
      </c>
      <c r="V187" s="45" t="s">
        <v>19</v>
      </c>
      <c r="W187" s="54" t="s">
        <v>19</v>
      </c>
      <c r="X187" s="54" t="s">
        <v>19</v>
      </c>
      <c r="Y187" s="51" t="s">
        <v>19</v>
      </c>
      <c r="Z187" s="51" t="s">
        <v>19</v>
      </c>
      <c r="AA187" s="39" t="s">
        <v>19</v>
      </c>
      <c r="AB187" s="39" t="s">
        <v>19</v>
      </c>
      <c r="AC187" s="39" t="s">
        <v>19</v>
      </c>
      <c r="AD187" s="53" t="s">
        <v>19</v>
      </c>
      <c r="AE187" s="53" t="s">
        <v>20</v>
      </c>
    </row>
    <row r="188" spans="1:31" ht="15.75" customHeight="1" x14ac:dyDescent="0.25">
      <c r="A188" s="81">
        <v>183</v>
      </c>
      <c r="B188" s="89">
        <v>10</v>
      </c>
      <c r="C188" s="90" t="s">
        <v>164</v>
      </c>
      <c r="D188" s="89">
        <v>5</v>
      </c>
      <c r="E188" s="89" t="s">
        <v>19</v>
      </c>
      <c r="F188" s="51" t="s">
        <v>19</v>
      </c>
      <c r="G188" s="51" t="s">
        <v>19</v>
      </c>
      <c r="H188" s="51" t="s">
        <v>19</v>
      </c>
      <c r="I188" s="51" t="s">
        <v>19</v>
      </c>
      <c r="J188" s="73" t="s">
        <v>19</v>
      </c>
      <c r="K188" s="74" t="s">
        <v>19</v>
      </c>
      <c r="L188" s="75" t="s">
        <v>20</v>
      </c>
      <c r="M188" s="51" t="s">
        <v>19</v>
      </c>
      <c r="N188" s="51" t="s">
        <v>19</v>
      </c>
      <c r="O188" s="51" t="s">
        <v>19</v>
      </c>
      <c r="P188" s="51" t="s">
        <v>20</v>
      </c>
      <c r="Q188" s="51" t="s">
        <v>20</v>
      </c>
      <c r="R188" s="51" t="s">
        <v>19</v>
      </c>
      <c r="S188" s="51" t="s">
        <v>19</v>
      </c>
      <c r="T188" s="51" t="s">
        <v>20</v>
      </c>
      <c r="U188" s="51" t="s">
        <v>19</v>
      </c>
      <c r="V188" s="45" t="s">
        <v>19</v>
      </c>
      <c r="W188" s="54" t="s">
        <v>19</v>
      </c>
      <c r="X188" s="54" t="s">
        <v>20</v>
      </c>
      <c r="Y188" s="51" t="s">
        <v>19</v>
      </c>
      <c r="Z188" s="51" t="s">
        <v>19</v>
      </c>
      <c r="AA188" s="39" t="s">
        <v>22</v>
      </c>
      <c r="AB188" s="39" t="s">
        <v>19</v>
      </c>
      <c r="AC188" s="39" t="s">
        <v>19</v>
      </c>
      <c r="AD188" s="53" t="s">
        <v>19</v>
      </c>
      <c r="AE188" s="53" t="s">
        <v>20</v>
      </c>
    </row>
    <row r="189" spans="1:31" ht="15.75" customHeight="1" x14ac:dyDescent="0.25">
      <c r="A189" s="81">
        <v>184</v>
      </c>
      <c r="B189" s="89">
        <v>11</v>
      </c>
      <c r="C189" s="90" t="s">
        <v>165</v>
      </c>
      <c r="D189" s="89">
        <v>5</v>
      </c>
      <c r="E189" s="89" t="s">
        <v>19</v>
      </c>
      <c r="F189" s="51" t="s">
        <v>19</v>
      </c>
      <c r="G189" s="51" t="s">
        <v>19</v>
      </c>
      <c r="H189" s="51" t="s">
        <v>22</v>
      </c>
      <c r="I189" s="51" t="s">
        <v>19</v>
      </c>
      <c r="J189" s="73" t="s">
        <v>19</v>
      </c>
      <c r="K189" s="74" t="s">
        <v>19</v>
      </c>
      <c r="L189" s="75" t="s">
        <v>19</v>
      </c>
      <c r="M189" s="51" t="s">
        <v>19</v>
      </c>
      <c r="N189" s="51" t="s">
        <v>19</v>
      </c>
      <c r="O189" s="51" t="s">
        <v>19</v>
      </c>
      <c r="P189" s="51" t="s">
        <v>19</v>
      </c>
      <c r="Q189" s="51" t="s">
        <v>19</v>
      </c>
      <c r="R189" s="51" t="s">
        <v>20</v>
      </c>
      <c r="S189" s="51" t="s">
        <v>19</v>
      </c>
      <c r="T189" s="51" t="s">
        <v>20</v>
      </c>
      <c r="U189" s="51" t="s">
        <v>19</v>
      </c>
      <c r="V189" s="45" t="s">
        <v>19</v>
      </c>
      <c r="W189" s="54" t="s">
        <v>19</v>
      </c>
      <c r="X189" s="54" t="s">
        <v>19</v>
      </c>
      <c r="Y189" s="51" t="s">
        <v>19</v>
      </c>
      <c r="Z189" s="51" t="s">
        <v>19</v>
      </c>
      <c r="AA189" s="39" t="s">
        <v>19</v>
      </c>
      <c r="AB189" s="39" t="s">
        <v>19</v>
      </c>
      <c r="AC189" s="39" t="s">
        <v>20</v>
      </c>
      <c r="AD189" s="53" t="s">
        <v>19</v>
      </c>
      <c r="AE189" s="53" t="s">
        <v>20</v>
      </c>
    </row>
    <row r="190" spans="1:31" ht="15.75" customHeight="1" x14ac:dyDescent="0.25">
      <c r="A190" s="81">
        <v>185</v>
      </c>
      <c r="B190" s="89">
        <v>12</v>
      </c>
      <c r="C190" s="90" t="s">
        <v>166</v>
      </c>
      <c r="D190" s="89">
        <v>5</v>
      </c>
      <c r="E190" s="89" t="s">
        <v>19</v>
      </c>
      <c r="F190" s="51" t="s">
        <v>19</v>
      </c>
      <c r="G190" s="51" t="s">
        <v>22</v>
      </c>
      <c r="H190" s="51" t="s">
        <v>19</v>
      </c>
      <c r="I190" s="51" t="s">
        <v>22</v>
      </c>
      <c r="J190" s="73" t="s">
        <v>19</v>
      </c>
      <c r="K190" s="74" t="s">
        <v>22</v>
      </c>
      <c r="L190" s="75" t="s">
        <v>19</v>
      </c>
      <c r="M190" s="51" t="s">
        <v>19</v>
      </c>
      <c r="N190" s="51" t="s">
        <v>19</v>
      </c>
      <c r="O190" s="51" t="s">
        <v>19</v>
      </c>
      <c r="P190" s="51" t="s">
        <v>19</v>
      </c>
      <c r="Q190" s="51" t="s">
        <v>19</v>
      </c>
      <c r="R190" s="51" t="s">
        <v>19</v>
      </c>
      <c r="S190" s="51" t="s">
        <v>19</v>
      </c>
      <c r="T190" s="51" t="s">
        <v>19</v>
      </c>
      <c r="U190" s="51" t="s">
        <v>19</v>
      </c>
      <c r="V190" s="45" t="s">
        <v>19</v>
      </c>
      <c r="W190" s="54" t="s">
        <v>19</v>
      </c>
      <c r="X190" s="54" t="s">
        <v>19</v>
      </c>
      <c r="Y190" s="51" t="s">
        <v>22</v>
      </c>
      <c r="Z190" s="51" t="s">
        <v>22</v>
      </c>
      <c r="AA190" s="39" t="s">
        <v>22</v>
      </c>
      <c r="AB190" s="39" t="s">
        <v>19</v>
      </c>
      <c r="AC190" s="39" t="s">
        <v>19</v>
      </c>
      <c r="AD190" s="53" t="s">
        <v>19</v>
      </c>
      <c r="AE190" s="53" t="s">
        <v>20</v>
      </c>
    </row>
    <row r="191" spans="1:31" ht="15.75" customHeight="1" x14ac:dyDescent="0.25">
      <c r="A191" s="81">
        <v>186</v>
      </c>
      <c r="B191" s="89">
        <v>13</v>
      </c>
      <c r="C191" s="90" t="s">
        <v>167</v>
      </c>
      <c r="D191" s="89">
        <v>5</v>
      </c>
      <c r="E191" s="89" t="s">
        <v>19</v>
      </c>
      <c r="F191" s="51" t="s">
        <v>19</v>
      </c>
      <c r="G191" s="51" t="s">
        <v>19</v>
      </c>
      <c r="H191" s="51" t="s">
        <v>19</v>
      </c>
      <c r="I191" s="51" t="s">
        <v>19</v>
      </c>
      <c r="J191" s="73" t="s">
        <v>19</v>
      </c>
      <c r="K191" s="74" t="s">
        <v>19</v>
      </c>
      <c r="L191" s="75" t="s">
        <v>19</v>
      </c>
      <c r="M191" s="51" t="s">
        <v>19</v>
      </c>
      <c r="N191" s="51" t="s">
        <v>19</v>
      </c>
      <c r="O191" s="51" t="s">
        <v>19</v>
      </c>
      <c r="P191" s="51" t="s">
        <v>20</v>
      </c>
      <c r="Q191" s="51" t="s">
        <v>20</v>
      </c>
      <c r="R191" s="51" t="s">
        <v>19</v>
      </c>
      <c r="S191" s="51" t="s">
        <v>20</v>
      </c>
      <c r="T191" s="51" t="s">
        <v>20</v>
      </c>
      <c r="U191" s="51" t="s">
        <v>19</v>
      </c>
      <c r="V191" s="45" t="s">
        <v>19</v>
      </c>
      <c r="W191" s="54" t="s">
        <v>19</v>
      </c>
      <c r="X191" s="54" t="s">
        <v>19</v>
      </c>
      <c r="Y191" s="51" t="s">
        <v>19</v>
      </c>
      <c r="Z191" s="51" t="s">
        <v>22</v>
      </c>
      <c r="AA191" s="39" t="s">
        <v>22</v>
      </c>
      <c r="AB191" s="39" t="s">
        <v>19</v>
      </c>
      <c r="AC191" s="39" t="s">
        <v>22</v>
      </c>
      <c r="AD191" s="53" t="s">
        <v>19</v>
      </c>
      <c r="AE191" s="53" t="s">
        <v>20</v>
      </c>
    </row>
    <row r="192" spans="1:31" ht="15.75" customHeight="1" x14ac:dyDescent="0.25">
      <c r="A192" s="81">
        <v>187</v>
      </c>
      <c r="B192" s="89">
        <v>14</v>
      </c>
      <c r="C192" s="90" t="s">
        <v>168</v>
      </c>
      <c r="D192" s="89">
        <v>5</v>
      </c>
      <c r="E192" s="89" t="s">
        <v>19</v>
      </c>
      <c r="F192" s="51" t="s">
        <v>19</v>
      </c>
      <c r="G192" s="51" t="s">
        <v>19</v>
      </c>
      <c r="H192" s="51" t="s">
        <v>22</v>
      </c>
      <c r="I192" s="51" t="s">
        <v>19</v>
      </c>
      <c r="J192" s="73" t="s">
        <v>19</v>
      </c>
      <c r="K192" s="74" t="s">
        <v>22</v>
      </c>
      <c r="L192" s="75" t="s">
        <v>19</v>
      </c>
      <c r="M192" s="51" t="s">
        <v>20</v>
      </c>
      <c r="N192" s="51" t="s">
        <v>19</v>
      </c>
      <c r="O192" s="51" t="s">
        <v>19</v>
      </c>
      <c r="P192" s="51" t="s">
        <v>19</v>
      </c>
      <c r="Q192" s="51" t="s">
        <v>19</v>
      </c>
      <c r="R192" s="51" t="s">
        <v>19</v>
      </c>
      <c r="S192" s="51" t="s">
        <v>19</v>
      </c>
      <c r="T192" s="51" t="s">
        <v>20</v>
      </c>
      <c r="U192" s="51" t="s">
        <v>19</v>
      </c>
      <c r="V192" s="54" t="s">
        <v>19</v>
      </c>
      <c r="W192" s="54" t="s">
        <v>19</v>
      </c>
      <c r="X192" s="54" t="s">
        <v>19</v>
      </c>
      <c r="Y192" s="51" t="s">
        <v>19</v>
      </c>
      <c r="Z192" s="51" t="s">
        <v>22</v>
      </c>
      <c r="AA192" s="39" t="s">
        <v>20</v>
      </c>
      <c r="AB192" s="39" t="s">
        <v>19</v>
      </c>
      <c r="AC192" s="39" t="s">
        <v>19</v>
      </c>
      <c r="AD192" s="51" t="s">
        <v>19</v>
      </c>
      <c r="AE192" s="51" t="s">
        <v>20</v>
      </c>
    </row>
    <row r="193" spans="1:31" ht="15.75" customHeight="1" x14ac:dyDescent="0.25">
      <c r="A193" s="81">
        <v>188</v>
      </c>
      <c r="B193" s="89">
        <v>15</v>
      </c>
      <c r="C193" s="90" t="s">
        <v>169</v>
      </c>
      <c r="D193" s="89">
        <v>5</v>
      </c>
      <c r="E193" s="89" t="s">
        <v>19</v>
      </c>
      <c r="F193" s="51" t="s">
        <v>20</v>
      </c>
      <c r="G193" s="51" t="s">
        <v>20</v>
      </c>
      <c r="H193" s="51" t="s">
        <v>20</v>
      </c>
      <c r="I193" s="51" t="s">
        <v>20</v>
      </c>
      <c r="J193" s="73" t="s">
        <v>19</v>
      </c>
      <c r="K193" s="74" t="s">
        <v>19</v>
      </c>
      <c r="L193" s="75" t="s">
        <v>20</v>
      </c>
      <c r="M193" s="51" t="s">
        <v>19</v>
      </c>
      <c r="N193" s="51" t="s">
        <v>20</v>
      </c>
      <c r="O193" s="51" t="s">
        <v>19</v>
      </c>
      <c r="P193" s="51" t="s">
        <v>19</v>
      </c>
      <c r="Q193" s="51" t="s">
        <v>20</v>
      </c>
      <c r="R193" s="51" t="s">
        <v>20</v>
      </c>
      <c r="S193" s="51" t="s">
        <v>20</v>
      </c>
      <c r="T193" s="51" t="s">
        <v>20</v>
      </c>
      <c r="U193" s="51" t="s">
        <v>19</v>
      </c>
      <c r="V193" s="54" t="s">
        <v>19</v>
      </c>
      <c r="W193" s="54" t="s">
        <v>19</v>
      </c>
      <c r="X193" s="54" t="s">
        <v>19</v>
      </c>
      <c r="Y193" s="51" t="s">
        <v>20</v>
      </c>
      <c r="Z193" s="51" t="s">
        <v>20</v>
      </c>
      <c r="AA193" s="39" t="s">
        <v>20</v>
      </c>
      <c r="AB193" s="39" t="s">
        <v>20</v>
      </c>
      <c r="AC193" s="39" t="s">
        <v>19</v>
      </c>
      <c r="AD193" s="51" t="s">
        <v>19</v>
      </c>
      <c r="AE193" s="51" t="s">
        <v>20</v>
      </c>
    </row>
    <row r="194" spans="1:31" ht="15.75" customHeight="1" x14ac:dyDescent="0.25">
      <c r="A194" s="81">
        <v>189</v>
      </c>
      <c r="B194" s="89">
        <v>16</v>
      </c>
      <c r="C194" s="90" t="s">
        <v>170</v>
      </c>
      <c r="D194" s="89">
        <v>5</v>
      </c>
      <c r="E194" s="89" t="s">
        <v>19</v>
      </c>
      <c r="F194" s="51" t="s">
        <v>19</v>
      </c>
      <c r="G194" s="51" t="s">
        <v>19</v>
      </c>
      <c r="H194" s="51" t="s">
        <v>22</v>
      </c>
      <c r="I194" s="51" t="s">
        <v>22</v>
      </c>
      <c r="J194" s="73" t="s">
        <v>19</v>
      </c>
      <c r="K194" s="74" t="s">
        <v>19</v>
      </c>
      <c r="L194" s="75" t="s">
        <v>19</v>
      </c>
      <c r="M194" s="51" t="s">
        <v>19</v>
      </c>
      <c r="N194" s="51" t="s">
        <v>19</v>
      </c>
      <c r="O194" s="51" t="s">
        <v>19</v>
      </c>
      <c r="P194" s="51" t="s">
        <v>20</v>
      </c>
      <c r="Q194" s="51" t="s">
        <v>20</v>
      </c>
      <c r="R194" s="51" t="s">
        <v>20</v>
      </c>
      <c r="S194" s="51" t="s">
        <v>19</v>
      </c>
      <c r="T194" s="51" t="s">
        <v>20</v>
      </c>
      <c r="U194" s="51" t="s">
        <v>19</v>
      </c>
      <c r="V194" s="54" t="s">
        <v>19</v>
      </c>
      <c r="W194" s="54" t="s">
        <v>19</v>
      </c>
      <c r="X194" s="54" t="s">
        <v>19</v>
      </c>
      <c r="Y194" s="51" t="s">
        <v>19</v>
      </c>
      <c r="Z194" s="51" t="s">
        <v>19</v>
      </c>
      <c r="AA194" s="39" t="s">
        <v>19</v>
      </c>
      <c r="AB194" s="39" t="s">
        <v>19</v>
      </c>
      <c r="AC194" s="39" t="s">
        <v>19</v>
      </c>
      <c r="AD194" s="51" t="s">
        <v>19</v>
      </c>
      <c r="AE194" s="51" t="s">
        <v>20</v>
      </c>
    </row>
    <row r="195" spans="1:31" ht="15.75" customHeight="1" x14ac:dyDescent="0.25">
      <c r="A195" s="81">
        <v>190</v>
      </c>
      <c r="B195" s="89">
        <v>17</v>
      </c>
      <c r="C195" s="90" t="s">
        <v>187</v>
      </c>
      <c r="D195" s="89">
        <v>5</v>
      </c>
      <c r="E195" s="89" t="s">
        <v>19</v>
      </c>
      <c r="F195" s="51" t="s">
        <v>21</v>
      </c>
      <c r="G195" s="51" t="s">
        <v>21</v>
      </c>
      <c r="H195" s="51" t="s">
        <v>21</v>
      </c>
      <c r="I195" s="51" t="s">
        <v>21</v>
      </c>
      <c r="J195" s="73" t="s">
        <v>20</v>
      </c>
      <c r="K195" s="74" t="s">
        <v>20</v>
      </c>
      <c r="L195" s="75" t="s">
        <v>20</v>
      </c>
      <c r="M195" s="51" t="s">
        <v>20</v>
      </c>
      <c r="N195" s="51" t="s">
        <v>20</v>
      </c>
      <c r="O195" s="51" t="s">
        <v>19</v>
      </c>
      <c r="P195" s="51" t="s">
        <v>21</v>
      </c>
      <c r="Q195" s="51" t="s">
        <v>20</v>
      </c>
      <c r="R195" s="51" t="s">
        <v>21</v>
      </c>
      <c r="S195" s="51" t="s">
        <v>20</v>
      </c>
      <c r="T195" s="51" t="s">
        <v>21</v>
      </c>
      <c r="U195" s="51" t="s">
        <v>19</v>
      </c>
      <c r="V195" s="54" t="s">
        <v>20</v>
      </c>
      <c r="W195" s="54" t="s">
        <v>20</v>
      </c>
      <c r="X195" s="54" t="s">
        <v>20</v>
      </c>
      <c r="Y195" s="51" t="s">
        <v>20</v>
      </c>
      <c r="Z195" s="51" t="s">
        <v>20</v>
      </c>
      <c r="AA195" s="39" t="s">
        <v>21</v>
      </c>
      <c r="AB195" s="39" t="s">
        <v>20</v>
      </c>
      <c r="AC195" s="39" t="s">
        <v>21</v>
      </c>
      <c r="AD195" s="51" t="s">
        <v>21</v>
      </c>
      <c r="AE195" s="51" t="s">
        <v>20</v>
      </c>
    </row>
    <row r="196" spans="1:31" ht="15.75" customHeight="1" x14ac:dyDescent="0.25">
      <c r="A196" s="81">
        <v>191</v>
      </c>
      <c r="B196" s="89">
        <v>18</v>
      </c>
      <c r="C196" s="90" t="s">
        <v>171</v>
      </c>
      <c r="D196" s="89">
        <v>5</v>
      </c>
      <c r="E196" s="89" t="s">
        <v>19</v>
      </c>
      <c r="F196" s="51" t="s">
        <v>19</v>
      </c>
      <c r="G196" s="51" t="s">
        <v>19</v>
      </c>
      <c r="H196" s="51" t="s">
        <v>19</v>
      </c>
      <c r="I196" s="51" t="s">
        <v>19</v>
      </c>
      <c r="J196" s="73" t="s">
        <v>19</v>
      </c>
      <c r="K196" s="74" t="s">
        <v>19</v>
      </c>
      <c r="L196" s="75" t="s">
        <v>20</v>
      </c>
      <c r="M196" s="51" t="s">
        <v>19</v>
      </c>
      <c r="N196" s="51" t="s">
        <v>19</v>
      </c>
      <c r="O196" s="51" t="s">
        <v>19</v>
      </c>
      <c r="P196" s="51" t="s">
        <v>20</v>
      </c>
      <c r="Q196" s="51" t="s">
        <v>19</v>
      </c>
      <c r="R196" s="51" t="s">
        <v>20</v>
      </c>
      <c r="S196" s="51" t="s">
        <v>20</v>
      </c>
      <c r="T196" s="51" t="s">
        <v>20</v>
      </c>
      <c r="U196" s="51" t="s">
        <v>19</v>
      </c>
      <c r="V196" s="54" t="s">
        <v>19</v>
      </c>
      <c r="W196" s="54" t="s">
        <v>19</v>
      </c>
      <c r="X196" s="54" t="s">
        <v>19</v>
      </c>
      <c r="Y196" s="51" t="s">
        <v>19</v>
      </c>
      <c r="Z196" s="51" t="s">
        <v>19</v>
      </c>
      <c r="AA196" s="39" t="s">
        <v>19</v>
      </c>
      <c r="AB196" s="39" t="s">
        <v>19</v>
      </c>
      <c r="AC196" s="39" t="s">
        <v>19</v>
      </c>
      <c r="AD196" s="51" t="s">
        <v>19</v>
      </c>
      <c r="AE196" s="51" t="s">
        <v>20</v>
      </c>
    </row>
    <row r="197" spans="1:31" ht="15.75" customHeight="1" x14ac:dyDescent="0.25">
      <c r="A197" s="81">
        <v>192</v>
      </c>
      <c r="B197" s="89">
        <v>19</v>
      </c>
      <c r="C197" s="90" t="s">
        <v>172</v>
      </c>
      <c r="D197" s="89">
        <v>5</v>
      </c>
      <c r="E197" s="89" t="s">
        <v>19</v>
      </c>
      <c r="F197" s="51" t="s">
        <v>19</v>
      </c>
      <c r="G197" s="51" t="s">
        <v>19</v>
      </c>
      <c r="H197" s="51" t="s">
        <v>19</v>
      </c>
      <c r="I197" s="51" t="s">
        <v>19</v>
      </c>
      <c r="J197" s="73" t="s">
        <v>19</v>
      </c>
      <c r="K197" s="74" t="s">
        <v>19</v>
      </c>
      <c r="L197" s="75" t="s">
        <v>19</v>
      </c>
      <c r="M197" s="51" t="s">
        <v>19</v>
      </c>
      <c r="N197" s="51" t="s">
        <v>19</v>
      </c>
      <c r="O197" s="51" t="s">
        <v>19</v>
      </c>
      <c r="P197" s="51" t="s">
        <v>20</v>
      </c>
      <c r="Q197" s="51" t="s">
        <v>20</v>
      </c>
      <c r="R197" s="51" t="s">
        <v>20</v>
      </c>
      <c r="S197" s="51" t="s">
        <v>20</v>
      </c>
      <c r="T197" s="51" t="s">
        <v>20</v>
      </c>
      <c r="U197" s="51" t="s">
        <v>20</v>
      </c>
      <c r="V197" s="54" t="s">
        <v>20</v>
      </c>
      <c r="W197" s="54" t="s">
        <v>19</v>
      </c>
      <c r="X197" s="54" t="s">
        <v>19</v>
      </c>
      <c r="Y197" s="51" t="s">
        <v>20</v>
      </c>
      <c r="Z197" s="51" t="s">
        <v>19</v>
      </c>
      <c r="AA197" s="39" t="s">
        <v>19</v>
      </c>
      <c r="AB197" s="39" t="s">
        <v>19</v>
      </c>
      <c r="AC197" s="39" t="s">
        <v>19</v>
      </c>
      <c r="AD197" s="51" t="s">
        <v>59</v>
      </c>
      <c r="AE197" s="51" t="s">
        <v>59</v>
      </c>
    </row>
    <row r="198" spans="1:31" ht="15.75" customHeight="1" x14ac:dyDescent="0.25">
      <c r="A198" s="81">
        <v>193</v>
      </c>
      <c r="B198" s="89">
        <v>20</v>
      </c>
      <c r="C198" s="90" t="s">
        <v>173</v>
      </c>
      <c r="D198" s="89">
        <v>5</v>
      </c>
      <c r="E198" s="89" t="s">
        <v>19</v>
      </c>
      <c r="F198" s="51" t="s">
        <v>22</v>
      </c>
      <c r="G198" s="51" t="s">
        <v>19</v>
      </c>
      <c r="H198" s="51" t="s">
        <v>19</v>
      </c>
      <c r="I198" s="51" t="s">
        <v>22</v>
      </c>
      <c r="J198" s="73" t="s">
        <v>19</v>
      </c>
      <c r="K198" s="74" t="s">
        <v>19</v>
      </c>
      <c r="L198" s="75" t="s">
        <v>19</v>
      </c>
      <c r="M198" s="51" t="s">
        <v>19</v>
      </c>
      <c r="N198" s="51" t="s">
        <v>19</v>
      </c>
      <c r="O198" s="51" t="s">
        <v>19</v>
      </c>
      <c r="P198" s="51" t="s">
        <v>20</v>
      </c>
      <c r="Q198" s="51" t="s">
        <v>19</v>
      </c>
      <c r="R198" s="51" t="s">
        <v>19</v>
      </c>
      <c r="S198" s="51" t="s">
        <v>20</v>
      </c>
      <c r="T198" s="51" t="s">
        <v>20</v>
      </c>
      <c r="U198" s="51" t="s">
        <v>19</v>
      </c>
      <c r="V198" s="54" t="s">
        <v>19</v>
      </c>
      <c r="W198" s="54" t="s">
        <v>19</v>
      </c>
      <c r="X198" s="54" t="s">
        <v>19</v>
      </c>
      <c r="Y198" s="51" t="s">
        <v>19</v>
      </c>
      <c r="Z198" s="51" t="s">
        <v>19</v>
      </c>
      <c r="AA198" s="39" t="s">
        <v>19</v>
      </c>
      <c r="AB198" s="39" t="s">
        <v>19</v>
      </c>
      <c r="AC198" s="39" t="s">
        <v>19</v>
      </c>
      <c r="AD198" s="51" t="s">
        <v>19</v>
      </c>
      <c r="AE198" s="51" t="s">
        <v>20</v>
      </c>
    </row>
    <row r="199" spans="1:31" ht="15.75" customHeight="1" x14ac:dyDescent="0.25">
      <c r="A199" s="81">
        <v>194</v>
      </c>
      <c r="B199" s="89">
        <v>21</v>
      </c>
      <c r="C199" s="90" t="s">
        <v>174</v>
      </c>
      <c r="D199" s="89">
        <v>5</v>
      </c>
      <c r="E199" s="89" t="s">
        <v>19</v>
      </c>
      <c r="F199" s="51" t="s">
        <v>19</v>
      </c>
      <c r="G199" s="51" t="s">
        <v>19</v>
      </c>
      <c r="H199" s="51" t="s">
        <v>22</v>
      </c>
      <c r="I199" s="51" t="s">
        <v>19</v>
      </c>
      <c r="J199" s="73" t="s">
        <v>19</v>
      </c>
      <c r="K199" s="74" t="s">
        <v>19</v>
      </c>
      <c r="L199" s="75" t="s">
        <v>19</v>
      </c>
      <c r="M199" s="51" t="s">
        <v>20</v>
      </c>
      <c r="N199" s="51" t="s">
        <v>19</v>
      </c>
      <c r="O199" s="51" t="s">
        <v>19</v>
      </c>
      <c r="P199" s="51" t="s">
        <v>20</v>
      </c>
      <c r="Q199" s="51" t="s">
        <v>20</v>
      </c>
      <c r="R199" s="51" t="s">
        <v>20</v>
      </c>
      <c r="S199" s="51" t="s">
        <v>19</v>
      </c>
      <c r="T199" s="51" t="s">
        <v>20</v>
      </c>
      <c r="U199" s="51" t="s">
        <v>19</v>
      </c>
      <c r="V199" s="54" t="s">
        <v>19</v>
      </c>
      <c r="W199" s="54" t="s">
        <v>19</v>
      </c>
      <c r="X199" s="54" t="s">
        <v>19</v>
      </c>
      <c r="Y199" s="51" t="s">
        <v>19</v>
      </c>
      <c r="Z199" s="51" t="s">
        <v>19</v>
      </c>
      <c r="AA199" s="39" t="s">
        <v>19</v>
      </c>
      <c r="AB199" s="39" t="s">
        <v>19</v>
      </c>
      <c r="AC199" s="39" t="s">
        <v>19</v>
      </c>
      <c r="AD199" s="51" t="s">
        <v>19</v>
      </c>
      <c r="AE199" s="51" t="s">
        <v>20</v>
      </c>
    </row>
    <row r="200" spans="1:31" ht="15.75" customHeight="1" x14ac:dyDescent="0.25">
      <c r="A200" s="81">
        <v>195</v>
      </c>
      <c r="B200" s="89">
        <v>22</v>
      </c>
      <c r="C200" s="90" t="s">
        <v>175</v>
      </c>
      <c r="D200" s="89">
        <v>5</v>
      </c>
      <c r="E200" s="89" t="s">
        <v>19</v>
      </c>
      <c r="F200" s="51" t="s">
        <v>21</v>
      </c>
      <c r="G200" s="51" t="s">
        <v>21</v>
      </c>
      <c r="H200" s="51" t="s">
        <v>20</v>
      </c>
      <c r="I200" s="51" t="s">
        <v>20</v>
      </c>
      <c r="J200" s="73" t="s">
        <v>19</v>
      </c>
      <c r="K200" s="74" t="s">
        <v>19</v>
      </c>
      <c r="L200" s="75" t="s">
        <v>20</v>
      </c>
      <c r="M200" s="51" t="s">
        <v>19</v>
      </c>
      <c r="N200" s="51" t="s">
        <v>19</v>
      </c>
      <c r="O200" s="51" t="s">
        <v>19</v>
      </c>
      <c r="P200" s="51" t="s">
        <v>20</v>
      </c>
      <c r="Q200" s="51" t="s">
        <v>20</v>
      </c>
      <c r="R200" s="51" t="s">
        <v>20</v>
      </c>
      <c r="S200" s="51" t="s">
        <v>20</v>
      </c>
      <c r="T200" s="51" t="s">
        <v>20</v>
      </c>
      <c r="U200" s="51" t="s">
        <v>19</v>
      </c>
      <c r="V200" s="54" t="s">
        <v>20</v>
      </c>
      <c r="W200" s="54" t="s">
        <v>20</v>
      </c>
      <c r="X200" s="54" t="s">
        <v>20</v>
      </c>
      <c r="Y200" s="51" t="s">
        <v>19</v>
      </c>
      <c r="Z200" s="51" t="s">
        <v>19</v>
      </c>
      <c r="AA200" s="39" t="s">
        <v>19</v>
      </c>
      <c r="AB200" s="39" t="s">
        <v>19</v>
      </c>
      <c r="AC200" s="39" t="s">
        <v>19</v>
      </c>
      <c r="AD200" s="55" t="s">
        <v>19</v>
      </c>
      <c r="AE200" s="55" t="s">
        <v>20</v>
      </c>
    </row>
    <row r="201" spans="1:31" ht="15.75" customHeight="1" x14ac:dyDescent="0.25">
      <c r="A201" s="81">
        <v>196</v>
      </c>
      <c r="B201" s="89">
        <v>23</v>
      </c>
      <c r="C201" s="90" t="s">
        <v>176</v>
      </c>
      <c r="D201" s="89">
        <v>5</v>
      </c>
      <c r="E201" s="89" t="s">
        <v>19</v>
      </c>
      <c r="F201" s="51" t="s">
        <v>21</v>
      </c>
      <c r="G201" s="51" t="s">
        <v>21</v>
      </c>
      <c r="H201" s="51" t="s">
        <v>21</v>
      </c>
      <c r="I201" s="51" t="s">
        <v>20</v>
      </c>
      <c r="J201" s="73" t="s">
        <v>19</v>
      </c>
      <c r="K201" s="74" t="s">
        <v>19</v>
      </c>
      <c r="L201" s="75" t="s">
        <v>20</v>
      </c>
      <c r="M201" s="51" t="s">
        <v>19</v>
      </c>
      <c r="N201" s="51" t="s">
        <v>20</v>
      </c>
      <c r="O201" s="51" t="s">
        <v>19</v>
      </c>
      <c r="P201" s="51" t="s">
        <v>20</v>
      </c>
      <c r="Q201" s="51" t="s">
        <v>21</v>
      </c>
      <c r="R201" s="51" t="s">
        <v>20</v>
      </c>
      <c r="S201" s="51" t="s">
        <v>20</v>
      </c>
      <c r="T201" s="51" t="s">
        <v>20</v>
      </c>
      <c r="U201" s="51" t="s">
        <v>19</v>
      </c>
      <c r="V201" s="54" t="s">
        <v>19</v>
      </c>
      <c r="W201" s="54" t="s">
        <v>20</v>
      </c>
      <c r="X201" s="54" t="s">
        <v>19</v>
      </c>
      <c r="Y201" s="51" t="s">
        <v>20</v>
      </c>
      <c r="Z201" s="51" t="s">
        <v>19</v>
      </c>
      <c r="AA201" s="39" t="s">
        <v>21</v>
      </c>
      <c r="AB201" s="39" t="s">
        <v>20</v>
      </c>
      <c r="AC201" s="39" t="s">
        <v>20</v>
      </c>
      <c r="AD201" s="51" t="s">
        <v>21</v>
      </c>
      <c r="AE201" s="51" t="s">
        <v>20</v>
      </c>
    </row>
    <row r="202" spans="1:31" ht="15.75" customHeight="1" x14ac:dyDescent="0.25">
      <c r="A202" s="81">
        <v>197</v>
      </c>
      <c r="B202" s="89">
        <v>24</v>
      </c>
      <c r="C202" s="90" t="s">
        <v>177</v>
      </c>
      <c r="D202" s="89">
        <v>5</v>
      </c>
      <c r="E202" s="89" t="s">
        <v>19</v>
      </c>
      <c r="F202" s="51" t="s">
        <v>22</v>
      </c>
      <c r="G202" s="51" t="s">
        <v>19</v>
      </c>
      <c r="H202" s="51" t="s">
        <v>19</v>
      </c>
      <c r="I202" s="51" t="s">
        <v>22</v>
      </c>
      <c r="J202" s="73" t="s">
        <v>19</v>
      </c>
      <c r="K202" s="74" t="s">
        <v>19</v>
      </c>
      <c r="L202" s="75" t="s">
        <v>19</v>
      </c>
      <c r="M202" s="51" t="s">
        <v>19</v>
      </c>
      <c r="N202" s="51" t="s">
        <v>19</v>
      </c>
      <c r="O202" s="51" t="s">
        <v>19</v>
      </c>
      <c r="P202" s="51" t="s">
        <v>20</v>
      </c>
      <c r="Q202" s="51" t="s">
        <v>19</v>
      </c>
      <c r="R202" s="51" t="s">
        <v>19</v>
      </c>
      <c r="S202" s="51" t="s">
        <v>20</v>
      </c>
      <c r="T202" s="51" t="s">
        <v>20</v>
      </c>
      <c r="U202" s="51" t="s">
        <v>19</v>
      </c>
      <c r="V202" s="54" t="s">
        <v>19</v>
      </c>
      <c r="W202" s="54" t="s">
        <v>19</v>
      </c>
      <c r="X202" s="54" t="s">
        <v>19</v>
      </c>
      <c r="Y202" s="51" t="s">
        <v>19</v>
      </c>
      <c r="Z202" s="51" t="s">
        <v>19</v>
      </c>
      <c r="AA202" s="39" t="s">
        <v>19</v>
      </c>
      <c r="AB202" s="39" t="s">
        <v>19</v>
      </c>
      <c r="AC202" s="39" t="s">
        <v>19</v>
      </c>
      <c r="AD202" s="51" t="s">
        <v>19</v>
      </c>
      <c r="AE202" s="51" t="s">
        <v>20</v>
      </c>
    </row>
    <row r="203" spans="1:31" ht="15.75" customHeight="1" x14ac:dyDescent="0.25">
      <c r="A203" s="81">
        <v>198</v>
      </c>
      <c r="B203" s="89">
        <v>25</v>
      </c>
      <c r="C203" s="90" t="s">
        <v>178</v>
      </c>
      <c r="D203" s="89">
        <v>5</v>
      </c>
      <c r="E203" s="89" t="s">
        <v>19</v>
      </c>
      <c r="F203" s="51" t="s">
        <v>21</v>
      </c>
      <c r="G203" s="51" t="s">
        <v>21</v>
      </c>
      <c r="H203" s="51" t="s">
        <v>21</v>
      </c>
      <c r="I203" s="51" t="s">
        <v>21</v>
      </c>
      <c r="J203" s="73" t="s">
        <v>19</v>
      </c>
      <c r="K203" s="74" t="s">
        <v>19</v>
      </c>
      <c r="L203" s="75" t="s">
        <v>20</v>
      </c>
      <c r="M203" s="51" t="s">
        <v>19</v>
      </c>
      <c r="N203" s="51" t="s">
        <v>19</v>
      </c>
      <c r="O203" s="51" t="s">
        <v>19</v>
      </c>
      <c r="P203" s="51" t="s">
        <v>20</v>
      </c>
      <c r="Q203" s="51" t="s">
        <v>21</v>
      </c>
      <c r="R203" s="51" t="s">
        <v>21</v>
      </c>
      <c r="S203" s="51" t="s">
        <v>20</v>
      </c>
      <c r="T203" s="51" t="s">
        <v>21</v>
      </c>
      <c r="U203" s="51" t="s">
        <v>19</v>
      </c>
      <c r="V203" s="54" t="s">
        <v>19</v>
      </c>
      <c r="W203" s="54" t="s">
        <v>19</v>
      </c>
      <c r="X203" s="54" t="s">
        <v>19</v>
      </c>
      <c r="Y203" s="51" t="s">
        <v>19</v>
      </c>
      <c r="Z203" s="51" t="s">
        <v>19</v>
      </c>
      <c r="AA203" s="39" t="s">
        <v>20</v>
      </c>
      <c r="AB203" s="39" t="s">
        <v>20</v>
      </c>
      <c r="AC203" s="39" t="s">
        <v>19</v>
      </c>
      <c r="AD203" s="51" t="s">
        <v>19</v>
      </c>
      <c r="AE203" s="51" t="s">
        <v>20</v>
      </c>
    </row>
    <row r="204" spans="1:31" ht="15.75" customHeight="1" x14ac:dyDescent="0.25">
      <c r="A204" s="81">
        <v>199</v>
      </c>
      <c r="B204" s="89">
        <v>26</v>
      </c>
      <c r="C204" s="90" t="s">
        <v>179</v>
      </c>
      <c r="D204" s="89">
        <v>5</v>
      </c>
      <c r="E204" s="89" t="s">
        <v>19</v>
      </c>
      <c r="F204" s="51" t="s">
        <v>20</v>
      </c>
      <c r="G204" s="51" t="s">
        <v>20</v>
      </c>
      <c r="H204" s="51" t="s">
        <v>20</v>
      </c>
      <c r="I204" s="51" t="s">
        <v>20</v>
      </c>
      <c r="J204" s="73" t="s">
        <v>20</v>
      </c>
      <c r="K204" s="74" t="s">
        <v>20</v>
      </c>
      <c r="L204" s="75" t="s">
        <v>20</v>
      </c>
      <c r="M204" s="51" t="s">
        <v>19</v>
      </c>
      <c r="N204" s="51" t="s">
        <v>19</v>
      </c>
      <c r="O204" s="51" t="s">
        <v>19</v>
      </c>
      <c r="P204" s="51" t="s">
        <v>19</v>
      </c>
      <c r="Q204" s="51" t="s">
        <v>20</v>
      </c>
      <c r="R204" s="51" t="s">
        <v>21</v>
      </c>
      <c r="S204" s="51" t="s">
        <v>20</v>
      </c>
      <c r="T204" s="51" t="s">
        <v>20</v>
      </c>
      <c r="U204" s="51" t="s">
        <v>19</v>
      </c>
      <c r="V204" s="54" t="s">
        <v>19</v>
      </c>
      <c r="W204" s="54" t="s">
        <v>19</v>
      </c>
      <c r="X204" s="54" t="s">
        <v>19</v>
      </c>
      <c r="Y204" s="51" t="s">
        <v>19</v>
      </c>
      <c r="Z204" s="51" t="s">
        <v>19</v>
      </c>
      <c r="AA204" s="39" t="s">
        <v>20</v>
      </c>
      <c r="AB204" s="39" t="s">
        <v>20</v>
      </c>
      <c r="AC204" s="39" t="s">
        <v>19</v>
      </c>
      <c r="AD204" s="55" t="s">
        <v>19</v>
      </c>
      <c r="AE204" s="55" t="s">
        <v>20</v>
      </c>
    </row>
    <row r="205" spans="1:31" ht="15.75" customHeight="1" x14ac:dyDescent="0.25">
      <c r="A205" s="81">
        <v>200</v>
      </c>
      <c r="B205" s="89">
        <v>27</v>
      </c>
      <c r="C205" s="90" t="s">
        <v>180</v>
      </c>
      <c r="D205" s="89">
        <v>5</v>
      </c>
      <c r="E205" s="89" t="s">
        <v>19</v>
      </c>
      <c r="F205" s="51" t="s">
        <v>19</v>
      </c>
      <c r="G205" s="51" t="s">
        <v>19</v>
      </c>
      <c r="H205" s="51" t="s">
        <v>19</v>
      </c>
      <c r="I205" s="51" t="s">
        <v>19</v>
      </c>
      <c r="J205" s="73" t="s">
        <v>19</v>
      </c>
      <c r="K205" s="74" t="s">
        <v>19</v>
      </c>
      <c r="L205" s="75" t="s">
        <v>19</v>
      </c>
      <c r="M205" s="51" t="s">
        <v>19</v>
      </c>
      <c r="N205" s="51" t="s">
        <v>19</v>
      </c>
      <c r="O205" s="51" t="s">
        <v>19</v>
      </c>
      <c r="P205" s="51" t="s">
        <v>19</v>
      </c>
      <c r="Q205" s="51" t="s">
        <v>20</v>
      </c>
      <c r="R205" s="51" t="s">
        <v>20</v>
      </c>
      <c r="S205" s="51" t="s">
        <v>19</v>
      </c>
      <c r="T205" s="51" t="s">
        <v>20</v>
      </c>
      <c r="U205" s="51" t="s">
        <v>20</v>
      </c>
      <c r="V205" s="54" t="s">
        <v>19</v>
      </c>
      <c r="W205" s="54" t="s">
        <v>19</v>
      </c>
      <c r="X205" s="54" t="s">
        <v>19</v>
      </c>
      <c r="Y205" s="51" t="s">
        <v>19</v>
      </c>
      <c r="Z205" s="51" t="s">
        <v>19</v>
      </c>
      <c r="AA205" s="39" t="s">
        <v>19</v>
      </c>
      <c r="AB205" s="39" t="s">
        <v>19</v>
      </c>
      <c r="AC205" s="39" t="s">
        <v>19</v>
      </c>
      <c r="AD205" s="51" t="s">
        <v>19</v>
      </c>
      <c r="AE205" s="51" t="s">
        <v>20</v>
      </c>
    </row>
    <row r="206" spans="1:31" ht="15.75" customHeight="1" thickBot="1" x14ac:dyDescent="0.3">
      <c r="A206" s="81">
        <v>201</v>
      </c>
      <c r="B206" s="91">
        <v>28</v>
      </c>
      <c r="C206" s="92" t="s">
        <v>181</v>
      </c>
      <c r="D206" s="91">
        <v>5</v>
      </c>
      <c r="E206" s="91" t="s">
        <v>19</v>
      </c>
      <c r="F206" s="87" t="s">
        <v>19</v>
      </c>
      <c r="G206" s="87" t="s">
        <v>19</v>
      </c>
      <c r="H206" s="87" t="s">
        <v>19</v>
      </c>
      <c r="I206" s="87" t="s">
        <v>19</v>
      </c>
      <c r="J206" s="103" t="s">
        <v>19</v>
      </c>
      <c r="K206" s="103" t="s">
        <v>19</v>
      </c>
      <c r="L206" s="103" t="s">
        <v>20</v>
      </c>
      <c r="M206" s="87" t="s">
        <v>19</v>
      </c>
      <c r="N206" s="87" t="s">
        <v>19</v>
      </c>
      <c r="O206" s="87" t="s">
        <v>19</v>
      </c>
      <c r="P206" s="87" t="s">
        <v>20</v>
      </c>
      <c r="Q206" s="87" t="s">
        <v>20</v>
      </c>
      <c r="R206" s="87" t="s">
        <v>20</v>
      </c>
      <c r="S206" s="87" t="s">
        <v>19</v>
      </c>
      <c r="T206" s="87" t="s">
        <v>20</v>
      </c>
      <c r="U206" s="87" t="s">
        <v>19</v>
      </c>
      <c r="V206" s="100" t="s">
        <v>19</v>
      </c>
      <c r="W206" s="100" t="s">
        <v>19</v>
      </c>
      <c r="X206" s="100" t="s">
        <v>20</v>
      </c>
      <c r="Y206" s="87" t="s">
        <v>19</v>
      </c>
      <c r="Z206" s="87" t="s">
        <v>19</v>
      </c>
      <c r="AA206" s="41" t="s">
        <v>19</v>
      </c>
      <c r="AB206" s="41" t="s">
        <v>19</v>
      </c>
      <c r="AC206" s="41" t="s">
        <v>19</v>
      </c>
      <c r="AD206" s="87" t="s">
        <v>19</v>
      </c>
      <c r="AE206" s="87" t="s">
        <v>20</v>
      </c>
    </row>
    <row r="207" spans="1:31" ht="15.75" customHeight="1" x14ac:dyDescent="0.25">
      <c r="A207" s="81">
        <v>202</v>
      </c>
      <c r="B207" s="82">
        <v>1</v>
      </c>
      <c r="C207" s="40" t="s">
        <v>182</v>
      </c>
      <c r="D207" s="82">
        <v>5</v>
      </c>
      <c r="E207" s="82" t="s">
        <v>20</v>
      </c>
      <c r="F207" s="83" t="s">
        <v>20</v>
      </c>
      <c r="G207" s="83" t="s">
        <v>19</v>
      </c>
      <c r="H207" s="83" t="s">
        <v>20</v>
      </c>
      <c r="I207" s="83" t="s">
        <v>20</v>
      </c>
      <c r="J207" s="83" t="s">
        <v>19</v>
      </c>
      <c r="K207" s="83" t="s">
        <v>19</v>
      </c>
      <c r="L207" s="83" t="s">
        <v>19</v>
      </c>
      <c r="M207" s="83" t="s">
        <v>19</v>
      </c>
      <c r="N207" s="83" t="s">
        <v>19</v>
      </c>
      <c r="O207" s="83" t="s">
        <v>19</v>
      </c>
      <c r="P207" s="83" t="s">
        <v>20</v>
      </c>
      <c r="Q207" s="83" t="s">
        <v>20</v>
      </c>
      <c r="R207" s="83" t="s">
        <v>20</v>
      </c>
      <c r="S207" s="83" t="s">
        <v>19</v>
      </c>
      <c r="T207" s="83" t="s">
        <v>20</v>
      </c>
      <c r="U207" s="83" t="s">
        <v>19</v>
      </c>
      <c r="V207" s="99" t="s">
        <v>19</v>
      </c>
      <c r="W207" s="99" t="s">
        <v>19</v>
      </c>
      <c r="X207" s="99" t="s">
        <v>19</v>
      </c>
      <c r="Y207" s="83" t="s">
        <v>19</v>
      </c>
      <c r="Z207" s="83" t="s">
        <v>19</v>
      </c>
      <c r="AA207" s="86" t="s">
        <v>19</v>
      </c>
      <c r="AB207" s="86" t="s">
        <v>19</v>
      </c>
      <c r="AC207" s="86" t="s">
        <v>20</v>
      </c>
      <c r="AD207" s="83" t="s">
        <v>19</v>
      </c>
      <c r="AE207" s="83" t="s">
        <v>20</v>
      </c>
    </row>
    <row r="208" spans="1:31" ht="15.75" customHeight="1" x14ac:dyDescent="0.25">
      <c r="A208" s="81">
        <v>203</v>
      </c>
      <c r="B208" s="20">
        <v>2</v>
      </c>
      <c r="C208" s="37" t="s">
        <v>183</v>
      </c>
      <c r="D208" s="20">
        <v>5</v>
      </c>
      <c r="E208" s="20" t="s">
        <v>20</v>
      </c>
      <c r="F208" s="51" t="s">
        <v>20</v>
      </c>
      <c r="G208" s="51" t="s">
        <v>20</v>
      </c>
      <c r="H208" s="51" t="s">
        <v>20</v>
      </c>
      <c r="I208" s="51" t="s">
        <v>19</v>
      </c>
      <c r="J208" s="51" t="s">
        <v>20</v>
      </c>
      <c r="K208" s="51" t="s">
        <v>20</v>
      </c>
      <c r="L208" s="51" t="s">
        <v>20</v>
      </c>
      <c r="M208" s="51" t="s">
        <v>19</v>
      </c>
      <c r="N208" s="51" t="s">
        <v>20</v>
      </c>
      <c r="O208" s="51" t="s">
        <v>20</v>
      </c>
      <c r="P208" s="51" t="s">
        <v>20</v>
      </c>
      <c r="Q208" s="51" t="s">
        <v>21</v>
      </c>
      <c r="R208" s="51" t="s">
        <v>21</v>
      </c>
      <c r="S208" s="51" t="s">
        <v>20</v>
      </c>
      <c r="T208" s="51" t="s">
        <v>20</v>
      </c>
      <c r="U208" s="51" t="s">
        <v>20</v>
      </c>
      <c r="V208" s="54" t="s">
        <v>19</v>
      </c>
      <c r="W208" s="54" t="s">
        <v>20</v>
      </c>
      <c r="X208" s="54" t="s">
        <v>19</v>
      </c>
      <c r="Y208" s="51" t="s">
        <v>20</v>
      </c>
      <c r="Z208" s="51" t="s">
        <v>19</v>
      </c>
      <c r="AA208" s="39" t="s">
        <v>20</v>
      </c>
      <c r="AB208" s="39" t="s">
        <v>20</v>
      </c>
      <c r="AC208" s="39" t="s">
        <v>21</v>
      </c>
      <c r="AD208" s="51" t="s">
        <v>21</v>
      </c>
      <c r="AE208" s="51" t="s">
        <v>20</v>
      </c>
    </row>
    <row r="209" spans="1:31" ht="15.75" customHeight="1" x14ac:dyDescent="0.25">
      <c r="A209" s="81">
        <v>204</v>
      </c>
      <c r="B209" s="20">
        <v>3</v>
      </c>
      <c r="C209" s="37" t="s">
        <v>184</v>
      </c>
      <c r="D209" s="20">
        <v>5</v>
      </c>
      <c r="E209" s="20" t="s">
        <v>20</v>
      </c>
      <c r="F209" s="51" t="s">
        <v>20</v>
      </c>
      <c r="G209" s="51" t="s">
        <v>21</v>
      </c>
      <c r="H209" s="51" t="s">
        <v>20</v>
      </c>
      <c r="I209" s="51" t="s">
        <v>19</v>
      </c>
      <c r="J209" s="51" t="s">
        <v>20</v>
      </c>
      <c r="K209" s="51" t="s">
        <v>20</v>
      </c>
      <c r="L209" s="51" t="s">
        <v>19</v>
      </c>
      <c r="M209" s="51" t="s">
        <v>19</v>
      </c>
      <c r="N209" s="51" t="s">
        <v>20</v>
      </c>
      <c r="O209" s="51" t="s">
        <v>20</v>
      </c>
      <c r="P209" s="51" t="s">
        <v>20</v>
      </c>
      <c r="Q209" s="51" t="s">
        <v>21</v>
      </c>
      <c r="R209" s="51" t="s">
        <v>20</v>
      </c>
      <c r="S209" s="51" t="s">
        <v>20</v>
      </c>
      <c r="T209" s="51" t="s">
        <v>20</v>
      </c>
      <c r="U209" s="51" t="s">
        <v>19</v>
      </c>
      <c r="V209" s="54" t="s">
        <v>19</v>
      </c>
      <c r="W209" s="54" t="s">
        <v>20</v>
      </c>
      <c r="X209" s="54" t="s">
        <v>19</v>
      </c>
      <c r="Y209" s="51" t="s">
        <v>20</v>
      </c>
      <c r="Z209" s="51" t="s">
        <v>19</v>
      </c>
      <c r="AA209" s="39" t="s">
        <v>20</v>
      </c>
      <c r="AB209" s="39" t="s">
        <v>20</v>
      </c>
      <c r="AC209" s="39" t="s">
        <v>20</v>
      </c>
      <c r="AD209" s="51" t="s">
        <v>20</v>
      </c>
      <c r="AE209" s="51" t="s">
        <v>20</v>
      </c>
    </row>
    <row r="210" spans="1:31" ht="15.75" customHeight="1" x14ac:dyDescent="0.25">
      <c r="A210" s="81">
        <v>205</v>
      </c>
      <c r="B210" s="20">
        <v>4</v>
      </c>
      <c r="C210" s="37" t="s">
        <v>185</v>
      </c>
      <c r="D210" s="20">
        <v>5</v>
      </c>
      <c r="E210" s="20" t="s">
        <v>20</v>
      </c>
      <c r="F210" s="51" t="s">
        <v>19</v>
      </c>
      <c r="G210" s="51" t="s">
        <v>19</v>
      </c>
      <c r="H210" s="51" t="s">
        <v>19</v>
      </c>
      <c r="I210" s="51" t="s">
        <v>19</v>
      </c>
      <c r="J210" s="51" t="s">
        <v>20</v>
      </c>
      <c r="K210" s="51" t="s">
        <v>19</v>
      </c>
      <c r="L210" s="51" t="s">
        <v>19</v>
      </c>
      <c r="M210" s="51" t="s">
        <v>19</v>
      </c>
      <c r="N210" s="51" t="s">
        <v>19</v>
      </c>
      <c r="O210" s="51" t="s">
        <v>19</v>
      </c>
      <c r="P210" s="51" t="s">
        <v>20</v>
      </c>
      <c r="Q210" s="51" t="s">
        <v>20</v>
      </c>
      <c r="R210" s="51" t="s">
        <v>20</v>
      </c>
      <c r="S210" s="51" t="s">
        <v>19</v>
      </c>
      <c r="T210" s="51" t="s">
        <v>20</v>
      </c>
      <c r="U210" s="51" t="s">
        <v>19</v>
      </c>
      <c r="V210" s="54" t="s">
        <v>19</v>
      </c>
      <c r="W210" s="54" t="s">
        <v>19</v>
      </c>
      <c r="X210" s="54" t="s">
        <v>19</v>
      </c>
      <c r="Y210" s="51" t="s">
        <v>19</v>
      </c>
      <c r="Z210" s="51" t="s">
        <v>19</v>
      </c>
      <c r="AA210" s="39" t="s">
        <v>19</v>
      </c>
      <c r="AB210" s="39" t="s">
        <v>19</v>
      </c>
      <c r="AC210" s="39" t="s">
        <v>19</v>
      </c>
      <c r="AD210" s="51" t="s">
        <v>19</v>
      </c>
      <c r="AE210" s="51" t="s">
        <v>20</v>
      </c>
    </row>
    <row r="211" spans="1:31" ht="15.75" customHeight="1" x14ac:dyDescent="0.25">
      <c r="A211" s="81">
        <v>206</v>
      </c>
      <c r="B211" s="20">
        <v>5</v>
      </c>
      <c r="C211" s="37" t="s">
        <v>186</v>
      </c>
      <c r="D211" s="20">
        <v>5</v>
      </c>
      <c r="E211" s="20" t="s">
        <v>20</v>
      </c>
      <c r="F211" s="51" t="s">
        <v>19</v>
      </c>
      <c r="G211" s="51" t="s">
        <v>20</v>
      </c>
      <c r="H211" s="51" t="s">
        <v>19</v>
      </c>
      <c r="I211" s="51" t="s">
        <v>19</v>
      </c>
      <c r="J211" s="51" t="s">
        <v>20</v>
      </c>
      <c r="K211" s="51" t="s">
        <v>20</v>
      </c>
      <c r="L211" s="51" t="s">
        <v>19</v>
      </c>
      <c r="M211" s="51" t="s">
        <v>19</v>
      </c>
      <c r="N211" s="51" t="s">
        <v>19</v>
      </c>
      <c r="O211" s="51" t="s">
        <v>19</v>
      </c>
      <c r="P211" s="51" t="s">
        <v>20</v>
      </c>
      <c r="Q211" s="51" t="s">
        <v>19</v>
      </c>
      <c r="R211" s="51" t="s">
        <v>20</v>
      </c>
      <c r="S211" s="51" t="s">
        <v>19</v>
      </c>
      <c r="T211" s="51" t="s">
        <v>20</v>
      </c>
      <c r="U211" s="51" t="s">
        <v>19</v>
      </c>
      <c r="V211" s="54" t="s">
        <v>19</v>
      </c>
      <c r="W211" s="54" t="s">
        <v>20</v>
      </c>
      <c r="X211" s="54" t="s">
        <v>19</v>
      </c>
      <c r="Y211" s="51" t="s">
        <v>20</v>
      </c>
      <c r="Z211" s="51" t="s">
        <v>19</v>
      </c>
      <c r="AA211" s="39" t="s">
        <v>19</v>
      </c>
      <c r="AB211" s="39" t="s">
        <v>19</v>
      </c>
      <c r="AC211" s="39" t="s">
        <v>19</v>
      </c>
      <c r="AD211" s="51" t="s">
        <v>19</v>
      </c>
      <c r="AE211" s="51" t="s">
        <v>20</v>
      </c>
    </row>
    <row r="212" spans="1:31" ht="15.75" customHeight="1" x14ac:dyDescent="0.25">
      <c r="A212" s="81">
        <v>207</v>
      </c>
      <c r="B212" s="20">
        <v>6</v>
      </c>
      <c r="C212" s="37" t="s">
        <v>188</v>
      </c>
      <c r="D212" s="20">
        <v>5</v>
      </c>
      <c r="E212" s="20" t="s">
        <v>20</v>
      </c>
      <c r="F212" s="51" t="s">
        <v>20</v>
      </c>
      <c r="G212" s="51" t="s">
        <v>20</v>
      </c>
      <c r="H212" s="51" t="s">
        <v>20</v>
      </c>
      <c r="I212" s="51" t="s">
        <v>19</v>
      </c>
      <c r="J212" s="51" t="s">
        <v>20</v>
      </c>
      <c r="K212" s="51" t="s">
        <v>20</v>
      </c>
      <c r="L212" s="51" t="s">
        <v>20</v>
      </c>
      <c r="M212" s="51" t="s">
        <v>19</v>
      </c>
      <c r="N212" s="51" t="s">
        <v>19</v>
      </c>
      <c r="O212" s="51" t="s">
        <v>19</v>
      </c>
      <c r="P212" s="51" t="s">
        <v>20</v>
      </c>
      <c r="Q212" s="51" t="s">
        <v>21</v>
      </c>
      <c r="R212" s="51" t="s">
        <v>21</v>
      </c>
      <c r="S212" s="51" t="s">
        <v>20</v>
      </c>
      <c r="T212" s="51" t="s">
        <v>20</v>
      </c>
      <c r="U212" s="51" t="s">
        <v>19</v>
      </c>
      <c r="V212" s="54" t="s">
        <v>19</v>
      </c>
      <c r="W212" s="54" t="s">
        <v>19</v>
      </c>
      <c r="X212" s="54" t="s">
        <v>19</v>
      </c>
      <c r="Y212" s="51" t="s">
        <v>20</v>
      </c>
      <c r="Z212" s="51" t="s">
        <v>19</v>
      </c>
      <c r="AA212" s="39" t="s">
        <v>19</v>
      </c>
      <c r="AB212" s="39" t="s">
        <v>19</v>
      </c>
      <c r="AC212" s="39" t="s">
        <v>19</v>
      </c>
      <c r="AD212" s="53" t="s">
        <v>21</v>
      </c>
      <c r="AE212" s="53" t="s">
        <v>20</v>
      </c>
    </row>
    <row r="213" spans="1:31" ht="15.75" customHeight="1" x14ac:dyDescent="0.25">
      <c r="A213" s="81">
        <v>208</v>
      </c>
      <c r="B213" s="20">
        <v>7</v>
      </c>
      <c r="C213" s="37" t="s">
        <v>189</v>
      </c>
      <c r="D213" s="20">
        <v>5</v>
      </c>
      <c r="E213" s="20" t="s">
        <v>20</v>
      </c>
      <c r="F213" s="51" t="s">
        <v>20</v>
      </c>
      <c r="G213" s="51" t="s">
        <v>20</v>
      </c>
      <c r="H213" s="51" t="s">
        <v>20</v>
      </c>
      <c r="I213" s="51" t="s">
        <v>20</v>
      </c>
      <c r="J213" s="51" t="s">
        <v>20</v>
      </c>
      <c r="K213" s="51" t="s">
        <v>20</v>
      </c>
      <c r="L213" s="51" t="s">
        <v>20</v>
      </c>
      <c r="M213" s="51" t="s">
        <v>19</v>
      </c>
      <c r="N213" s="51" t="s">
        <v>20</v>
      </c>
      <c r="O213" s="51" t="s">
        <v>19</v>
      </c>
      <c r="P213" s="51" t="s">
        <v>20</v>
      </c>
      <c r="Q213" s="51" t="s">
        <v>21</v>
      </c>
      <c r="R213" s="51" t="s">
        <v>20</v>
      </c>
      <c r="S213" s="51" t="s">
        <v>20</v>
      </c>
      <c r="T213" s="51" t="s">
        <v>20</v>
      </c>
      <c r="U213" s="51" t="s">
        <v>20</v>
      </c>
      <c r="V213" s="54" t="s">
        <v>20</v>
      </c>
      <c r="W213" s="54" t="s">
        <v>20</v>
      </c>
      <c r="X213" s="54" t="s">
        <v>20</v>
      </c>
      <c r="Y213" s="51" t="s">
        <v>19</v>
      </c>
      <c r="Z213" s="51" t="s">
        <v>19</v>
      </c>
      <c r="AA213" s="39" t="s">
        <v>20</v>
      </c>
      <c r="AB213" s="39" t="s">
        <v>20</v>
      </c>
      <c r="AC213" s="39" t="s">
        <v>20</v>
      </c>
      <c r="AD213" s="53" t="s">
        <v>21</v>
      </c>
      <c r="AE213" s="53" t="s">
        <v>20</v>
      </c>
    </row>
    <row r="214" spans="1:31" ht="15.75" customHeight="1" x14ac:dyDescent="0.25">
      <c r="A214" s="81">
        <v>209</v>
      </c>
      <c r="B214" s="20">
        <v>8</v>
      </c>
      <c r="C214" s="37" t="s">
        <v>190</v>
      </c>
      <c r="D214" s="20">
        <v>5</v>
      </c>
      <c r="E214" s="20" t="s">
        <v>20</v>
      </c>
      <c r="F214" s="51" t="s">
        <v>20</v>
      </c>
      <c r="G214" s="51" t="s">
        <v>21</v>
      </c>
      <c r="H214" s="51" t="s">
        <v>20</v>
      </c>
      <c r="I214" s="51" t="s">
        <v>19</v>
      </c>
      <c r="J214" s="51" t="s">
        <v>21</v>
      </c>
      <c r="K214" s="51" t="s">
        <v>19</v>
      </c>
      <c r="L214" s="51" t="s">
        <v>19</v>
      </c>
      <c r="M214" s="51" t="s">
        <v>19</v>
      </c>
      <c r="N214" s="51" t="s">
        <v>19</v>
      </c>
      <c r="O214" s="51" t="s">
        <v>19</v>
      </c>
      <c r="P214" s="51" t="s">
        <v>21</v>
      </c>
      <c r="Q214" s="51" t="s">
        <v>20</v>
      </c>
      <c r="R214" s="51" t="s">
        <v>20</v>
      </c>
      <c r="S214" s="51" t="s">
        <v>21</v>
      </c>
      <c r="T214" s="51" t="s">
        <v>20</v>
      </c>
      <c r="U214" s="51" t="s">
        <v>19</v>
      </c>
      <c r="V214" s="54" t="s">
        <v>19</v>
      </c>
      <c r="W214" s="54" t="s">
        <v>20</v>
      </c>
      <c r="X214" s="54" t="s">
        <v>19</v>
      </c>
      <c r="Y214" s="51" t="s">
        <v>19</v>
      </c>
      <c r="Z214" s="51" t="s">
        <v>19</v>
      </c>
      <c r="AA214" s="39" t="s">
        <v>19</v>
      </c>
      <c r="AB214" s="39" t="s">
        <v>19</v>
      </c>
      <c r="AC214" s="39" t="s">
        <v>19</v>
      </c>
      <c r="AD214" s="53" t="s">
        <v>21</v>
      </c>
      <c r="AE214" s="53" t="s">
        <v>20</v>
      </c>
    </row>
    <row r="215" spans="1:31" ht="15.75" customHeight="1" x14ac:dyDescent="0.25">
      <c r="A215" s="81">
        <v>210</v>
      </c>
      <c r="B215" s="20">
        <v>9</v>
      </c>
      <c r="C215" s="37" t="s">
        <v>191</v>
      </c>
      <c r="D215" s="20">
        <v>5</v>
      </c>
      <c r="E215" s="20" t="s">
        <v>20</v>
      </c>
      <c r="F215" s="51" t="s">
        <v>19</v>
      </c>
      <c r="G215" s="51" t="s">
        <v>19</v>
      </c>
      <c r="H215" s="51" t="s">
        <v>19</v>
      </c>
      <c r="I215" s="51" t="s">
        <v>19</v>
      </c>
      <c r="J215" s="51" t="s">
        <v>20</v>
      </c>
      <c r="K215" s="51" t="s">
        <v>20</v>
      </c>
      <c r="L215" s="51" t="s">
        <v>20</v>
      </c>
      <c r="M215" s="51" t="s">
        <v>19</v>
      </c>
      <c r="N215" s="51" t="s">
        <v>19</v>
      </c>
      <c r="O215" s="51" t="s">
        <v>19</v>
      </c>
      <c r="P215" s="51" t="s">
        <v>20</v>
      </c>
      <c r="Q215" s="51" t="s">
        <v>20</v>
      </c>
      <c r="R215" s="51" t="s">
        <v>19</v>
      </c>
      <c r="S215" s="51" t="s">
        <v>19</v>
      </c>
      <c r="T215" s="51" t="s">
        <v>20</v>
      </c>
      <c r="U215" s="51" t="s">
        <v>19</v>
      </c>
      <c r="V215" s="54" t="s">
        <v>19</v>
      </c>
      <c r="W215" s="54" t="s">
        <v>19</v>
      </c>
      <c r="X215" s="54" t="s">
        <v>19</v>
      </c>
      <c r="Y215" s="51" t="s">
        <v>19</v>
      </c>
      <c r="Z215" s="51" t="s">
        <v>19</v>
      </c>
      <c r="AA215" s="39" t="s">
        <v>19</v>
      </c>
      <c r="AB215" s="39" t="s">
        <v>19</v>
      </c>
      <c r="AC215" s="39" t="s">
        <v>19</v>
      </c>
      <c r="AD215" s="53" t="s">
        <v>19</v>
      </c>
      <c r="AE215" s="53" t="s">
        <v>20</v>
      </c>
    </row>
    <row r="216" spans="1:31" ht="15.75" customHeight="1" x14ac:dyDescent="0.25">
      <c r="A216" s="81">
        <v>211</v>
      </c>
      <c r="B216" s="20">
        <v>10</v>
      </c>
      <c r="C216" s="37" t="s">
        <v>192</v>
      </c>
      <c r="D216" s="20">
        <v>5</v>
      </c>
      <c r="E216" s="20" t="s">
        <v>20</v>
      </c>
      <c r="F216" s="51" t="s">
        <v>19</v>
      </c>
      <c r="G216" s="51" t="s">
        <v>19</v>
      </c>
      <c r="H216" s="51" t="s">
        <v>20</v>
      </c>
      <c r="I216" s="51" t="s">
        <v>19</v>
      </c>
      <c r="J216" s="51" t="s">
        <v>19</v>
      </c>
      <c r="K216" s="51" t="s">
        <v>20</v>
      </c>
      <c r="L216" s="51" t="s">
        <v>19</v>
      </c>
      <c r="M216" s="51" t="s">
        <v>19</v>
      </c>
      <c r="N216" s="51" t="s">
        <v>19</v>
      </c>
      <c r="O216" s="51" t="s">
        <v>19</v>
      </c>
      <c r="P216" s="51" t="s">
        <v>20</v>
      </c>
      <c r="Q216" s="51" t="s">
        <v>20</v>
      </c>
      <c r="R216" s="51" t="s">
        <v>20</v>
      </c>
      <c r="S216" s="51" t="s">
        <v>19</v>
      </c>
      <c r="T216" s="51" t="s">
        <v>20</v>
      </c>
      <c r="U216" s="51" t="s">
        <v>19</v>
      </c>
      <c r="V216" s="54" t="s">
        <v>19</v>
      </c>
      <c r="W216" s="54" t="s">
        <v>19</v>
      </c>
      <c r="X216" s="54" t="s">
        <v>19</v>
      </c>
      <c r="Y216" s="51" t="s">
        <v>19</v>
      </c>
      <c r="Z216" s="51" t="s">
        <v>19</v>
      </c>
      <c r="AA216" s="39" t="s">
        <v>19</v>
      </c>
      <c r="AB216" s="39" t="s">
        <v>19</v>
      </c>
      <c r="AC216" s="39" t="s">
        <v>19</v>
      </c>
      <c r="AD216" s="53" t="s">
        <v>19</v>
      </c>
      <c r="AE216" s="53" t="s">
        <v>20</v>
      </c>
    </row>
    <row r="217" spans="1:31" ht="15.75" customHeight="1" x14ac:dyDescent="0.25">
      <c r="A217" s="81">
        <v>212</v>
      </c>
      <c r="B217" s="20">
        <v>11</v>
      </c>
      <c r="C217" s="37" t="s">
        <v>193</v>
      </c>
      <c r="D217" s="20">
        <v>5</v>
      </c>
      <c r="E217" s="20" t="s">
        <v>20</v>
      </c>
      <c r="F217" s="51" t="s">
        <v>20</v>
      </c>
      <c r="G217" s="51" t="s">
        <v>20</v>
      </c>
      <c r="H217" s="51" t="s">
        <v>20</v>
      </c>
      <c r="I217" s="51" t="s">
        <v>20</v>
      </c>
      <c r="J217" s="51" t="s">
        <v>20</v>
      </c>
      <c r="K217" s="51" t="s">
        <v>20</v>
      </c>
      <c r="L217" s="51" t="s">
        <v>19</v>
      </c>
      <c r="M217" s="51" t="s">
        <v>19</v>
      </c>
      <c r="N217" s="51" t="s">
        <v>19</v>
      </c>
      <c r="O217" s="51" t="s">
        <v>19</v>
      </c>
      <c r="P217" s="51" t="s">
        <v>20</v>
      </c>
      <c r="Q217" s="51" t="s">
        <v>20</v>
      </c>
      <c r="R217" s="51" t="s">
        <v>20</v>
      </c>
      <c r="S217" s="51" t="s">
        <v>19</v>
      </c>
      <c r="T217" s="51" t="s">
        <v>19</v>
      </c>
      <c r="U217" s="51" t="s">
        <v>20</v>
      </c>
      <c r="V217" s="54" t="s">
        <v>19</v>
      </c>
      <c r="W217" s="54" t="s">
        <v>20</v>
      </c>
      <c r="X217" s="54" t="s">
        <v>19</v>
      </c>
      <c r="Y217" s="51" t="s">
        <v>19</v>
      </c>
      <c r="Z217" s="51" t="s">
        <v>20</v>
      </c>
      <c r="AA217" s="39" t="s">
        <v>19</v>
      </c>
      <c r="AB217" s="39" t="s">
        <v>19</v>
      </c>
      <c r="AC217" s="39" t="s">
        <v>19</v>
      </c>
      <c r="AD217" s="53" t="s">
        <v>19</v>
      </c>
      <c r="AE217" s="53" t="s">
        <v>20</v>
      </c>
    </row>
    <row r="218" spans="1:31" ht="15.75" customHeight="1" x14ac:dyDescent="0.25">
      <c r="A218" s="81">
        <v>213</v>
      </c>
      <c r="B218" s="20">
        <v>12</v>
      </c>
      <c r="C218" s="37" t="s">
        <v>194</v>
      </c>
      <c r="D218" s="20">
        <v>5</v>
      </c>
      <c r="E218" s="20" t="s">
        <v>20</v>
      </c>
      <c r="F218" s="51" t="s">
        <v>20</v>
      </c>
      <c r="G218" s="51" t="s">
        <v>20</v>
      </c>
      <c r="H218" s="51" t="s">
        <v>20</v>
      </c>
      <c r="I218" s="51" t="s">
        <v>19</v>
      </c>
      <c r="J218" s="51" t="s">
        <v>20</v>
      </c>
      <c r="K218" s="51" t="s">
        <v>20</v>
      </c>
      <c r="L218" s="51" t="s">
        <v>19</v>
      </c>
      <c r="M218" s="51" t="s">
        <v>19</v>
      </c>
      <c r="N218" s="51" t="s">
        <v>19</v>
      </c>
      <c r="O218" s="51" t="s">
        <v>19</v>
      </c>
      <c r="P218" s="51" t="s">
        <v>21</v>
      </c>
      <c r="Q218" s="51" t="s">
        <v>21</v>
      </c>
      <c r="R218" s="51" t="s">
        <v>21</v>
      </c>
      <c r="S218" s="51" t="s">
        <v>20</v>
      </c>
      <c r="T218" s="51" t="s">
        <v>20</v>
      </c>
      <c r="U218" s="51" t="s">
        <v>19</v>
      </c>
      <c r="V218" s="54" t="s">
        <v>19</v>
      </c>
      <c r="W218" s="54" t="s">
        <v>19</v>
      </c>
      <c r="X218" s="54" t="s">
        <v>19</v>
      </c>
      <c r="Y218" s="51" t="s">
        <v>19</v>
      </c>
      <c r="Z218" s="51" t="s">
        <v>19</v>
      </c>
      <c r="AA218" s="39" t="s">
        <v>19</v>
      </c>
      <c r="AB218" s="39" t="s">
        <v>19</v>
      </c>
      <c r="AC218" s="39" t="s">
        <v>19</v>
      </c>
      <c r="AD218" s="53" t="s">
        <v>21</v>
      </c>
      <c r="AE218" s="53" t="s">
        <v>20</v>
      </c>
    </row>
    <row r="219" spans="1:31" ht="15.75" customHeight="1" x14ac:dyDescent="0.25">
      <c r="A219" s="81">
        <v>214</v>
      </c>
      <c r="B219" s="20">
        <v>13</v>
      </c>
      <c r="C219" s="37" t="s">
        <v>195</v>
      </c>
      <c r="D219" s="20">
        <v>5</v>
      </c>
      <c r="E219" s="20" t="s">
        <v>20</v>
      </c>
      <c r="F219" s="51" t="s">
        <v>20</v>
      </c>
      <c r="G219" s="51" t="s">
        <v>20</v>
      </c>
      <c r="H219" s="51" t="s">
        <v>20</v>
      </c>
      <c r="I219" s="51" t="s">
        <v>20</v>
      </c>
      <c r="J219" s="51" t="s">
        <v>19</v>
      </c>
      <c r="K219" s="51" t="s">
        <v>19</v>
      </c>
      <c r="L219" s="51" t="s">
        <v>19</v>
      </c>
      <c r="M219" s="51" t="s">
        <v>19</v>
      </c>
      <c r="N219" s="51" t="s">
        <v>20</v>
      </c>
      <c r="O219" s="51" t="s">
        <v>19</v>
      </c>
      <c r="P219" s="51" t="s">
        <v>21</v>
      </c>
      <c r="Q219" s="51" t="s">
        <v>20</v>
      </c>
      <c r="R219" s="51" t="s">
        <v>20</v>
      </c>
      <c r="S219" s="51" t="s">
        <v>19</v>
      </c>
      <c r="T219" s="51" t="s">
        <v>20</v>
      </c>
      <c r="U219" s="51" t="s">
        <v>20</v>
      </c>
      <c r="V219" s="54" t="s">
        <v>19</v>
      </c>
      <c r="W219" s="54" t="s">
        <v>19</v>
      </c>
      <c r="X219" s="54" t="s">
        <v>19</v>
      </c>
      <c r="Y219" s="51" t="s">
        <v>19</v>
      </c>
      <c r="Z219" s="51" t="s">
        <v>19</v>
      </c>
      <c r="AA219" s="39" t="s">
        <v>20</v>
      </c>
      <c r="AB219" s="39" t="s">
        <v>19</v>
      </c>
      <c r="AC219" s="39" t="s">
        <v>20</v>
      </c>
      <c r="AD219" s="53" t="s">
        <v>20</v>
      </c>
      <c r="AE219" s="53" t="s">
        <v>20</v>
      </c>
    </row>
    <row r="220" spans="1:31" ht="15.75" customHeight="1" x14ac:dyDescent="0.25">
      <c r="A220" s="81">
        <v>215</v>
      </c>
      <c r="B220" s="20">
        <v>14</v>
      </c>
      <c r="C220" s="37" t="s">
        <v>196</v>
      </c>
      <c r="D220" s="20">
        <v>5</v>
      </c>
      <c r="E220" s="20" t="s">
        <v>20</v>
      </c>
      <c r="F220" s="51" t="s">
        <v>20</v>
      </c>
      <c r="G220" s="51" t="s">
        <v>20</v>
      </c>
      <c r="H220" s="51" t="s">
        <v>21</v>
      </c>
      <c r="I220" s="51" t="s">
        <v>20</v>
      </c>
      <c r="J220" s="51" t="s">
        <v>21</v>
      </c>
      <c r="K220" s="51" t="s">
        <v>20</v>
      </c>
      <c r="L220" s="51" t="s">
        <v>20</v>
      </c>
      <c r="M220" s="51" t="s">
        <v>20</v>
      </c>
      <c r="N220" s="51" t="s">
        <v>20</v>
      </c>
      <c r="O220" s="51" t="s">
        <v>19</v>
      </c>
      <c r="P220" s="51" t="s">
        <v>20</v>
      </c>
      <c r="Q220" s="51" t="s">
        <v>21</v>
      </c>
      <c r="R220" s="51" t="s">
        <v>20</v>
      </c>
      <c r="S220" s="51" t="s">
        <v>20</v>
      </c>
      <c r="T220" s="51" t="s">
        <v>20</v>
      </c>
      <c r="U220" s="51" t="s">
        <v>19</v>
      </c>
      <c r="V220" s="54" t="s">
        <v>20</v>
      </c>
      <c r="W220" s="54" t="s">
        <v>19</v>
      </c>
      <c r="X220" s="54" t="s">
        <v>19</v>
      </c>
      <c r="Y220" s="51" t="s">
        <v>19</v>
      </c>
      <c r="Z220" s="51" t="s">
        <v>20</v>
      </c>
      <c r="AA220" s="39" t="s">
        <v>21</v>
      </c>
      <c r="AB220" s="39" t="s">
        <v>21</v>
      </c>
      <c r="AC220" s="39" t="s">
        <v>20</v>
      </c>
      <c r="AD220" s="53" t="s">
        <v>19</v>
      </c>
      <c r="AE220" s="53" t="s">
        <v>20</v>
      </c>
    </row>
    <row r="221" spans="1:31" ht="15.75" customHeight="1" x14ac:dyDescent="0.25">
      <c r="A221" s="81">
        <v>216</v>
      </c>
      <c r="B221" s="20">
        <v>15</v>
      </c>
      <c r="C221" s="37" t="s">
        <v>197</v>
      </c>
      <c r="D221" s="20">
        <v>5</v>
      </c>
      <c r="E221" s="20" t="s">
        <v>20</v>
      </c>
      <c r="F221" s="51" t="s">
        <v>20</v>
      </c>
      <c r="G221" s="51" t="s">
        <v>21</v>
      </c>
      <c r="H221" s="51" t="s">
        <v>20</v>
      </c>
      <c r="I221" s="51" t="s">
        <v>20</v>
      </c>
      <c r="J221" s="51" t="s">
        <v>20</v>
      </c>
      <c r="K221" s="51" t="s">
        <v>19</v>
      </c>
      <c r="L221" s="51" t="s">
        <v>19</v>
      </c>
      <c r="M221" s="51" t="s">
        <v>19</v>
      </c>
      <c r="N221" s="51" t="s">
        <v>20</v>
      </c>
      <c r="O221" s="51" t="s">
        <v>19</v>
      </c>
      <c r="P221" s="51" t="s">
        <v>20</v>
      </c>
      <c r="Q221" s="51" t="s">
        <v>20</v>
      </c>
      <c r="R221" s="51" t="s">
        <v>20</v>
      </c>
      <c r="S221" s="51" t="s">
        <v>19</v>
      </c>
      <c r="T221" s="51" t="s">
        <v>19</v>
      </c>
      <c r="U221" s="51" t="s">
        <v>20</v>
      </c>
      <c r="V221" s="54" t="s">
        <v>19</v>
      </c>
      <c r="W221" s="54" t="s">
        <v>19</v>
      </c>
      <c r="X221" s="54" t="s">
        <v>19</v>
      </c>
      <c r="Y221" s="51" t="s">
        <v>20</v>
      </c>
      <c r="Z221" s="51" t="s">
        <v>20</v>
      </c>
      <c r="AA221" s="39" t="s">
        <v>20</v>
      </c>
      <c r="AB221" s="39" t="s">
        <v>20</v>
      </c>
      <c r="AC221" s="39" t="s">
        <v>20</v>
      </c>
      <c r="AD221" s="53" t="s">
        <v>19</v>
      </c>
      <c r="AE221" s="53" t="s">
        <v>20</v>
      </c>
    </row>
    <row r="222" spans="1:31" ht="15.75" customHeight="1" x14ac:dyDescent="0.25">
      <c r="A222" s="81">
        <v>217</v>
      </c>
      <c r="B222" s="20">
        <v>16</v>
      </c>
      <c r="C222" s="37" t="s">
        <v>198</v>
      </c>
      <c r="D222" s="20">
        <v>5</v>
      </c>
      <c r="E222" s="20" t="s">
        <v>20</v>
      </c>
      <c r="F222" s="51" t="s">
        <v>19</v>
      </c>
      <c r="G222" s="51" t="s">
        <v>19</v>
      </c>
      <c r="H222" s="51" t="s">
        <v>20</v>
      </c>
      <c r="I222" s="51" t="s">
        <v>19</v>
      </c>
      <c r="J222" s="51" t="s">
        <v>20</v>
      </c>
      <c r="K222" s="51" t="s">
        <v>20</v>
      </c>
      <c r="L222" s="51" t="s">
        <v>19</v>
      </c>
      <c r="M222" s="51" t="s">
        <v>19</v>
      </c>
      <c r="N222" s="51" t="s">
        <v>19</v>
      </c>
      <c r="O222" s="51" t="s">
        <v>19</v>
      </c>
      <c r="P222" s="51" t="s">
        <v>20</v>
      </c>
      <c r="Q222" s="51" t="s">
        <v>19</v>
      </c>
      <c r="R222" s="51" t="s">
        <v>20</v>
      </c>
      <c r="S222" s="51" t="s">
        <v>20</v>
      </c>
      <c r="T222" s="51" t="s">
        <v>20</v>
      </c>
      <c r="U222" s="51" t="s">
        <v>19</v>
      </c>
      <c r="V222" s="54" t="s">
        <v>19</v>
      </c>
      <c r="W222" s="54" t="s">
        <v>19</v>
      </c>
      <c r="X222" s="54" t="s">
        <v>19</v>
      </c>
      <c r="Y222" s="51" t="s">
        <v>19</v>
      </c>
      <c r="Z222" s="51" t="s">
        <v>20</v>
      </c>
      <c r="AA222" s="39" t="s">
        <v>20</v>
      </c>
      <c r="AB222" s="39" t="s">
        <v>19</v>
      </c>
      <c r="AC222" s="39" t="s">
        <v>19</v>
      </c>
      <c r="AD222" s="53" t="s">
        <v>19</v>
      </c>
      <c r="AE222" s="53" t="s">
        <v>20</v>
      </c>
    </row>
    <row r="223" spans="1:31" ht="15.75" customHeight="1" x14ac:dyDescent="0.25">
      <c r="A223" s="81">
        <v>218</v>
      </c>
      <c r="B223" s="20">
        <v>17</v>
      </c>
      <c r="C223" s="37" t="s">
        <v>199</v>
      </c>
      <c r="D223" s="20">
        <v>5</v>
      </c>
      <c r="E223" s="20" t="s">
        <v>20</v>
      </c>
      <c r="F223" s="51" t="s">
        <v>20</v>
      </c>
      <c r="G223" s="51" t="s">
        <v>21</v>
      </c>
      <c r="H223" s="51" t="s">
        <v>20</v>
      </c>
      <c r="I223" s="51" t="s">
        <v>20</v>
      </c>
      <c r="J223" s="51" t="s">
        <v>20</v>
      </c>
      <c r="K223" s="51" t="s">
        <v>20</v>
      </c>
      <c r="L223" s="51" t="s">
        <v>20</v>
      </c>
      <c r="M223" s="51" t="s">
        <v>20</v>
      </c>
      <c r="N223" s="51" t="s">
        <v>20</v>
      </c>
      <c r="O223" s="51" t="s">
        <v>20</v>
      </c>
      <c r="P223" s="51" t="s">
        <v>20</v>
      </c>
      <c r="Q223" s="51" t="s">
        <v>21</v>
      </c>
      <c r="R223" s="51" t="s">
        <v>20</v>
      </c>
      <c r="S223" s="51" t="s">
        <v>20</v>
      </c>
      <c r="T223" s="51" t="s">
        <v>20</v>
      </c>
      <c r="U223" s="51" t="s">
        <v>20</v>
      </c>
      <c r="V223" s="54" t="s">
        <v>19</v>
      </c>
      <c r="W223" s="54" t="s">
        <v>20</v>
      </c>
      <c r="X223" s="54" t="s">
        <v>19</v>
      </c>
      <c r="Y223" s="51" t="s">
        <v>19</v>
      </c>
      <c r="Z223" s="51" t="s">
        <v>20</v>
      </c>
      <c r="AA223" s="39" t="s">
        <v>19</v>
      </c>
      <c r="AB223" s="39" t="s">
        <v>20</v>
      </c>
      <c r="AC223" s="39" t="s">
        <v>20</v>
      </c>
      <c r="AD223" s="53" t="s">
        <v>21</v>
      </c>
      <c r="AE223" s="53" t="s">
        <v>20</v>
      </c>
    </row>
    <row r="224" spans="1:31" ht="15.75" customHeight="1" x14ac:dyDescent="0.25">
      <c r="A224" s="81">
        <v>219</v>
      </c>
      <c r="B224" s="20">
        <v>18</v>
      </c>
      <c r="C224" s="37" t="s">
        <v>200</v>
      </c>
      <c r="D224" s="20">
        <v>5</v>
      </c>
      <c r="E224" s="20" t="s">
        <v>20</v>
      </c>
      <c r="F224" s="51" t="s">
        <v>19</v>
      </c>
      <c r="G224" s="51" t="s">
        <v>19</v>
      </c>
      <c r="H224" s="51" t="s">
        <v>20</v>
      </c>
      <c r="I224" s="51" t="s">
        <v>20</v>
      </c>
      <c r="J224" s="51" t="s">
        <v>19</v>
      </c>
      <c r="K224" s="51" t="s">
        <v>19</v>
      </c>
      <c r="L224" s="51" t="s">
        <v>20</v>
      </c>
      <c r="M224" s="51" t="s">
        <v>19</v>
      </c>
      <c r="N224" s="51" t="s">
        <v>19</v>
      </c>
      <c r="O224" s="51" t="s">
        <v>19</v>
      </c>
      <c r="P224" s="51" t="s">
        <v>20</v>
      </c>
      <c r="Q224" s="51" t="s">
        <v>20</v>
      </c>
      <c r="R224" s="51" t="s">
        <v>20</v>
      </c>
      <c r="S224" s="51" t="s">
        <v>19</v>
      </c>
      <c r="T224" s="51" t="s">
        <v>19</v>
      </c>
      <c r="U224" s="51" t="s">
        <v>19</v>
      </c>
      <c r="V224" s="54" t="s">
        <v>19</v>
      </c>
      <c r="W224" s="54" t="s">
        <v>19</v>
      </c>
      <c r="X224" s="54" t="s">
        <v>19</v>
      </c>
      <c r="Y224" s="51" t="s">
        <v>19</v>
      </c>
      <c r="Z224" s="51" t="s">
        <v>19</v>
      </c>
      <c r="AA224" s="39" t="s">
        <v>20</v>
      </c>
      <c r="AB224" s="39" t="s">
        <v>19</v>
      </c>
      <c r="AC224" s="39" t="s">
        <v>19</v>
      </c>
      <c r="AD224" s="53" t="s">
        <v>19</v>
      </c>
      <c r="AE224" s="53" t="s">
        <v>20</v>
      </c>
    </row>
    <row r="225" spans="1:31" ht="15.75" customHeight="1" x14ac:dyDescent="0.25">
      <c r="A225" s="81">
        <v>220</v>
      </c>
      <c r="B225" s="20">
        <v>19</v>
      </c>
      <c r="C225" s="37" t="s">
        <v>201</v>
      </c>
      <c r="D225" s="20">
        <v>5</v>
      </c>
      <c r="E225" s="20" t="s">
        <v>20</v>
      </c>
      <c r="F225" s="51" t="s">
        <v>19</v>
      </c>
      <c r="G225" s="51" t="s">
        <v>19</v>
      </c>
      <c r="H225" s="51" t="s">
        <v>19</v>
      </c>
      <c r="I225" s="51" t="s">
        <v>19</v>
      </c>
      <c r="J225" s="51" t="s">
        <v>19</v>
      </c>
      <c r="K225" s="51" t="s">
        <v>19</v>
      </c>
      <c r="L225" s="51" t="s">
        <v>19</v>
      </c>
      <c r="M225" s="51" t="s">
        <v>19</v>
      </c>
      <c r="N225" s="51" t="s">
        <v>19</v>
      </c>
      <c r="O225" s="51" t="s">
        <v>19</v>
      </c>
      <c r="P225" s="51" t="s">
        <v>19</v>
      </c>
      <c r="Q225" s="51" t="s">
        <v>19</v>
      </c>
      <c r="R225" s="51" t="s">
        <v>19</v>
      </c>
      <c r="S225" s="51" t="s">
        <v>19</v>
      </c>
      <c r="T225" s="51" t="s">
        <v>19</v>
      </c>
      <c r="U225" s="51" t="s">
        <v>19</v>
      </c>
      <c r="V225" s="54" t="s">
        <v>19</v>
      </c>
      <c r="W225" s="54" t="s">
        <v>19</v>
      </c>
      <c r="X225" s="54" t="s">
        <v>19</v>
      </c>
      <c r="Y225" s="51" t="s">
        <v>19</v>
      </c>
      <c r="Z225" s="51" t="s">
        <v>19</v>
      </c>
      <c r="AA225" s="39" t="s">
        <v>19</v>
      </c>
      <c r="AB225" s="39" t="s">
        <v>19</v>
      </c>
      <c r="AC225" s="39" t="s">
        <v>19</v>
      </c>
      <c r="AD225" s="53" t="s">
        <v>19</v>
      </c>
      <c r="AE225" s="53" t="s">
        <v>20</v>
      </c>
    </row>
    <row r="226" spans="1:31" ht="15.75" customHeight="1" x14ac:dyDescent="0.25">
      <c r="A226" s="81">
        <v>221</v>
      </c>
      <c r="B226" s="20">
        <v>20</v>
      </c>
      <c r="C226" s="37" t="s">
        <v>202</v>
      </c>
      <c r="D226" s="20">
        <v>5</v>
      </c>
      <c r="E226" s="20" t="s">
        <v>20</v>
      </c>
      <c r="F226" s="51" t="s">
        <v>19</v>
      </c>
      <c r="G226" s="51" t="s">
        <v>20</v>
      </c>
      <c r="H226" s="51" t="s">
        <v>20</v>
      </c>
      <c r="I226" s="51" t="s">
        <v>20</v>
      </c>
      <c r="J226" s="51" t="s">
        <v>20</v>
      </c>
      <c r="K226" s="51" t="s">
        <v>19</v>
      </c>
      <c r="L226" s="51" t="s">
        <v>19</v>
      </c>
      <c r="M226" s="51" t="s">
        <v>19</v>
      </c>
      <c r="N226" s="51" t="s">
        <v>20</v>
      </c>
      <c r="O226" s="51" t="s">
        <v>19</v>
      </c>
      <c r="P226" s="51" t="s">
        <v>20</v>
      </c>
      <c r="Q226" s="51" t="s">
        <v>20</v>
      </c>
      <c r="R226" s="51" t="s">
        <v>20</v>
      </c>
      <c r="S226" s="51" t="s">
        <v>19</v>
      </c>
      <c r="T226" s="51" t="s">
        <v>20</v>
      </c>
      <c r="U226" s="51" t="s">
        <v>20</v>
      </c>
      <c r="V226" s="54" t="s">
        <v>19</v>
      </c>
      <c r="W226" s="54" t="s">
        <v>20</v>
      </c>
      <c r="X226" s="54" t="s">
        <v>19</v>
      </c>
      <c r="Y226" s="51" t="s">
        <v>19</v>
      </c>
      <c r="Z226" s="51" t="s">
        <v>19</v>
      </c>
      <c r="AA226" s="39" t="s">
        <v>19</v>
      </c>
      <c r="AB226" s="39" t="s">
        <v>19</v>
      </c>
      <c r="AC226" s="39" t="s">
        <v>19</v>
      </c>
      <c r="AD226" s="53" t="s">
        <v>19</v>
      </c>
      <c r="AE226" s="53" t="s">
        <v>20</v>
      </c>
    </row>
    <row r="227" spans="1:31" ht="15.75" customHeight="1" x14ac:dyDescent="0.25">
      <c r="A227" s="81">
        <v>222</v>
      </c>
      <c r="B227" s="20">
        <v>21</v>
      </c>
      <c r="C227" s="37" t="s">
        <v>203</v>
      </c>
      <c r="D227" s="20">
        <v>5</v>
      </c>
      <c r="E227" s="20" t="s">
        <v>20</v>
      </c>
      <c r="F227" s="51" t="s">
        <v>22</v>
      </c>
      <c r="G227" s="51" t="s">
        <v>19</v>
      </c>
      <c r="H227" s="51" t="s">
        <v>19</v>
      </c>
      <c r="I227" s="51" t="s">
        <v>19</v>
      </c>
      <c r="J227" s="51" t="s">
        <v>19</v>
      </c>
      <c r="K227" s="51" t="s">
        <v>22</v>
      </c>
      <c r="L227" s="51" t="s">
        <v>22</v>
      </c>
      <c r="M227" s="51" t="s">
        <v>19</v>
      </c>
      <c r="N227" s="51" t="s">
        <v>19</v>
      </c>
      <c r="O227" s="51" t="s">
        <v>19</v>
      </c>
      <c r="P227" s="51" t="s">
        <v>19</v>
      </c>
      <c r="Q227" s="51" t="s">
        <v>19</v>
      </c>
      <c r="R227" s="51" t="s">
        <v>19</v>
      </c>
      <c r="S227" s="51" t="s">
        <v>19</v>
      </c>
      <c r="T227" s="51" t="s">
        <v>19</v>
      </c>
      <c r="U227" s="51" t="s">
        <v>19</v>
      </c>
      <c r="V227" s="54" t="s">
        <v>19</v>
      </c>
      <c r="W227" s="54" t="s">
        <v>19</v>
      </c>
      <c r="X227" s="54" t="s">
        <v>19</v>
      </c>
      <c r="Y227" s="51" t="s">
        <v>22</v>
      </c>
      <c r="Z227" s="51" t="s">
        <v>22</v>
      </c>
      <c r="AA227" s="39" t="s">
        <v>19</v>
      </c>
      <c r="AB227" s="39" t="s">
        <v>19</v>
      </c>
      <c r="AC227" s="39" t="s">
        <v>19</v>
      </c>
      <c r="AD227" s="53" t="s">
        <v>19</v>
      </c>
      <c r="AE227" s="53" t="s">
        <v>20</v>
      </c>
    </row>
    <row r="228" spans="1:31" ht="15.75" customHeight="1" x14ac:dyDescent="0.25">
      <c r="A228" s="81">
        <v>223</v>
      </c>
      <c r="B228" s="20">
        <v>22</v>
      </c>
      <c r="C228" s="37" t="s">
        <v>204</v>
      </c>
      <c r="D228" s="20">
        <v>5</v>
      </c>
      <c r="E228" s="20" t="s">
        <v>20</v>
      </c>
      <c r="F228" s="51" t="s">
        <v>20</v>
      </c>
      <c r="G228" s="51" t="s">
        <v>20</v>
      </c>
      <c r="H228" s="51" t="s">
        <v>20</v>
      </c>
      <c r="I228" s="51" t="s">
        <v>20</v>
      </c>
      <c r="J228" s="51" t="s">
        <v>20</v>
      </c>
      <c r="K228" s="51" t="s">
        <v>19</v>
      </c>
      <c r="L228" s="51" t="s">
        <v>19</v>
      </c>
      <c r="M228" s="51" t="s">
        <v>19</v>
      </c>
      <c r="N228" s="51" t="s">
        <v>19</v>
      </c>
      <c r="O228" s="51" t="s">
        <v>19</v>
      </c>
      <c r="P228" s="51" t="s">
        <v>20</v>
      </c>
      <c r="Q228" s="51" t="s">
        <v>20</v>
      </c>
      <c r="R228" s="51" t="s">
        <v>21</v>
      </c>
      <c r="S228" s="51" t="s">
        <v>20</v>
      </c>
      <c r="T228" s="51" t="s">
        <v>20</v>
      </c>
      <c r="U228" s="51" t="s">
        <v>19</v>
      </c>
      <c r="V228" s="54" t="s">
        <v>19</v>
      </c>
      <c r="W228" s="54" t="s">
        <v>19</v>
      </c>
      <c r="X228" s="54" t="s">
        <v>19</v>
      </c>
      <c r="Y228" s="51" t="s">
        <v>20</v>
      </c>
      <c r="Z228" s="51" t="s">
        <v>19</v>
      </c>
      <c r="AA228" s="39" t="s">
        <v>20</v>
      </c>
      <c r="AB228" s="39" t="s">
        <v>20</v>
      </c>
      <c r="AC228" s="39" t="s">
        <v>20</v>
      </c>
      <c r="AD228" s="58" t="s">
        <v>21</v>
      </c>
      <c r="AE228" s="58" t="s">
        <v>20</v>
      </c>
    </row>
    <row r="229" spans="1:31" ht="15.75" customHeight="1" x14ac:dyDescent="0.25">
      <c r="A229" s="81">
        <v>224</v>
      </c>
      <c r="B229" s="20">
        <v>23</v>
      </c>
      <c r="C229" s="37" t="s">
        <v>266</v>
      </c>
      <c r="D229" s="20">
        <v>5</v>
      </c>
      <c r="E229" s="20" t="s">
        <v>20</v>
      </c>
      <c r="F229" s="51" t="s">
        <v>20</v>
      </c>
      <c r="G229" s="51" t="s">
        <v>20</v>
      </c>
      <c r="H229" s="51" t="s">
        <v>20</v>
      </c>
      <c r="I229" s="51" t="s">
        <v>19</v>
      </c>
      <c r="J229" s="51" t="s">
        <v>19</v>
      </c>
      <c r="K229" s="51" t="s">
        <v>19</v>
      </c>
      <c r="L229" s="51" t="s">
        <v>19</v>
      </c>
      <c r="M229" s="51" t="s">
        <v>19</v>
      </c>
      <c r="N229" s="51" t="s">
        <v>20</v>
      </c>
      <c r="O229" s="51" t="s">
        <v>19</v>
      </c>
      <c r="P229" s="51" t="s">
        <v>20</v>
      </c>
      <c r="Q229" s="51" t="s">
        <v>20</v>
      </c>
      <c r="R229" s="51" t="s">
        <v>19</v>
      </c>
      <c r="S229" s="51" t="s">
        <v>20</v>
      </c>
      <c r="T229" s="51" t="s">
        <v>20</v>
      </c>
      <c r="U229" s="51" t="s">
        <v>20</v>
      </c>
      <c r="V229" s="54" t="s">
        <v>19</v>
      </c>
      <c r="W229" s="54" t="s">
        <v>19</v>
      </c>
      <c r="X229" s="54" t="s">
        <v>19</v>
      </c>
      <c r="Y229" s="51" t="s">
        <v>19</v>
      </c>
      <c r="Z229" s="51" t="s">
        <v>20</v>
      </c>
      <c r="AA229" s="39" t="s">
        <v>19</v>
      </c>
      <c r="AB229" s="39" t="s">
        <v>19</v>
      </c>
      <c r="AC229" s="39" t="s">
        <v>19</v>
      </c>
      <c r="AD229" s="53" t="s">
        <v>19</v>
      </c>
      <c r="AE229" s="53" t="s">
        <v>20</v>
      </c>
    </row>
    <row r="230" spans="1:31" ht="15.75" customHeight="1" x14ac:dyDescent="0.25">
      <c r="A230" s="81">
        <v>225</v>
      </c>
      <c r="B230" s="20">
        <v>24</v>
      </c>
      <c r="C230" s="37" t="s">
        <v>267</v>
      </c>
      <c r="D230" s="20">
        <v>5</v>
      </c>
      <c r="E230" s="20" t="s">
        <v>20</v>
      </c>
      <c r="F230" s="51" t="s">
        <v>19</v>
      </c>
      <c r="G230" s="51" t="s">
        <v>19</v>
      </c>
      <c r="H230" s="51" t="s">
        <v>19</v>
      </c>
      <c r="I230" s="51" t="s">
        <v>19</v>
      </c>
      <c r="J230" s="51" t="s">
        <v>19</v>
      </c>
      <c r="K230" s="51" t="s">
        <v>19</v>
      </c>
      <c r="L230" s="51" t="s">
        <v>22</v>
      </c>
      <c r="M230" s="51" t="s">
        <v>19</v>
      </c>
      <c r="N230" s="51" t="s">
        <v>19</v>
      </c>
      <c r="O230" s="51" t="s">
        <v>19</v>
      </c>
      <c r="P230" s="51" t="s">
        <v>19</v>
      </c>
      <c r="Q230" s="51" t="s">
        <v>20</v>
      </c>
      <c r="R230" s="51" t="s">
        <v>20</v>
      </c>
      <c r="S230" s="51" t="s">
        <v>19</v>
      </c>
      <c r="T230" s="51" t="s">
        <v>19</v>
      </c>
      <c r="U230" s="51" t="s">
        <v>19</v>
      </c>
      <c r="V230" s="54" t="s">
        <v>19</v>
      </c>
      <c r="W230" s="54" t="s">
        <v>20</v>
      </c>
      <c r="X230" s="54" t="s">
        <v>19</v>
      </c>
      <c r="Y230" s="51" t="s">
        <v>19</v>
      </c>
      <c r="Z230" s="51" t="s">
        <v>19</v>
      </c>
      <c r="AA230" s="39" t="s">
        <v>19</v>
      </c>
      <c r="AB230" s="39" t="s">
        <v>20</v>
      </c>
      <c r="AC230" s="39" t="s">
        <v>19</v>
      </c>
      <c r="AD230" s="53" t="s">
        <v>19</v>
      </c>
      <c r="AE230" s="53" t="s">
        <v>20</v>
      </c>
    </row>
    <row r="231" spans="1:31" ht="15.75" customHeight="1" x14ac:dyDescent="0.25">
      <c r="A231" s="81">
        <v>226</v>
      </c>
      <c r="B231" s="20">
        <v>25</v>
      </c>
      <c r="C231" s="37" t="s">
        <v>205</v>
      </c>
      <c r="D231" s="20">
        <v>5</v>
      </c>
      <c r="E231" s="20" t="s">
        <v>20</v>
      </c>
      <c r="F231" s="51" t="s">
        <v>20</v>
      </c>
      <c r="G231" s="51" t="s">
        <v>20</v>
      </c>
      <c r="H231" s="60" t="s">
        <v>20</v>
      </c>
      <c r="I231" s="51" t="s">
        <v>20</v>
      </c>
      <c r="J231" s="51" t="s">
        <v>20</v>
      </c>
      <c r="K231" s="51" t="s">
        <v>20</v>
      </c>
      <c r="L231" s="51" t="s">
        <v>20</v>
      </c>
      <c r="M231" s="51" t="s">
        <v>19</v>
      </c>
      <c r="N231" s="51" t="s">
        <v>20</v>
      </c>
      <c r="O231" s="51" t="s">
        <v>19</v>
      </c>
      <c r="P231" s="51" t="s">
        <v>20</v>
      </c>
      <c r="Q231" s="51" t="s">
        <v>20</v>
      </c>
      <c r="R231" s="51" t="s">
        <v>20</v>
      </c>
      <c r="S231" s="51" t="s">
        <v>20</v>
      </c>
      <c r="T231" s="51" t="s">
        <v>19</v>
      </c>
      <c r="U231" s="51" t="s">
        <v>20</v>
      </c>
      <c r="V231" s="54" t="s">
        <v>20</v>
      </c>
      <c r="W231" s="54" t="s">
        <v>20</v>
      </c>
      <c r="X231" s="54" t="s">
        <v>20</v>
      </c>
      <c r="Y231" s="51" t="s">
        <v>19</v>
      </c>
      <c r="Z231" s="51" t="s">
        <v>20</v>
      </c>
      <c r="AA231" s="39" t="s">
        <v>20</v>
      </c>
      <c r="AB231" s="39" t="s">
        <v>20</v>
      </c>
      <c r="AC231" s="39" t="s">
        <v>20</v>
      </c>
      <c r="AD231" s="53" t="s">
        <v>20</v>
      </c>
      <c r="AE231" s="53" t="s">
        <v>20</v>
      </c>
    </row>
    <row r="232" spans="1:31" ht="15.75" customHeight="1" thickBot="1" x14ac:dyDescent="0.3">
      <c r="A232" s="81">
        <v>227</v>
      </c>
      <c r="B232" s="21">
        <v>26</v>
      </c>
      <c r="C232" s="38" t="s">
        <v>206</v>
      </c>
      <c r="D232" s="21">
        <v>5</v>
      </c>
      <c r="E232" s="21" t="s">
        <v>20</v>
      </c>
      <c r="F232" s="87" t="s">
        <v>22</v>
      </c>
      <c r="G232" s="87" t="s">
        <v>19</v>
      </c>
      <c r="H232" s="105" t="s">
        <v>19</v>
      </c>
      <c r="I232" s="87" t="s">
        <v>19</v>
      </c>
      <c r="J232" s="87" t="s">
        <v>19</v>
      </c>
      <c r="K232" s="87" t="s">
        <v>19</v>
      </c>
      <c r="L232" s="87" t="s">
        <v>19</v>
      </c>
      <c r="M232" s="87" t="s">
        <v>19</v>
      </c>
      <c r="N232" s="87" t="s">
        <v>19</v>
      </c>
      <c r="O232" s="87" t="s">
        <v>19</v>
      </c>
      <c r="P232" s="87" t="s">
        <v>20</v>
      </c>
      <c r="Q232" s="87" t="s">
        <v>19</v>
      </c>
      <c r="R232" s="87" t="s">
        <v>19</v>
      </c>
      <c r="S232" s="87" t="s">
        <v>19</v>
      </c>
      <c r="T232" s="87" t="s">
        <v>19</v>
      </c>
      <c r="U232" s="87" t="s">
        <v>19</v>
      </c>
      <c r="V232" s="100" t="s">
        <v>19</v>
      </c>
      <c r="W232" s="100" t="s">
        <v>19</v>
      </c>
      <c r="X232" s="100" t="s">
        <v>19</v>
      </c>
      <c r="Y232" s="87" t="s">
        <v>19</v>
      </c>
      <c r="Z232" s="87" t="s">
        <v>19</v>
      </c>
      <c r="AA232" s="41" t="s">
        <v>19</v>
      </c>
      <c r="AB232" s="41" t="s">
        <v>19</v>
      </c>
      <c r="AC232" s="41" t="s">
        <v>19</v>
      </c>
      <c r="AD232" s="96" t="s">
        <v>19</v>
      </c>
      <c r="AE232" s="96" t="s">
        <v>20</v>
      </c>
    </row>
    <row r="233" spans="1:31" ht="15.75" customHeight="1" x14ac:dyDescent="0.25">
      <c r="B233" s="62"/>
      <c r="C233" s="63"/>
    </row>
    <row r="234" spans="1:31" ht="15.75" customHeight="1" x14ac:dyDescent="0.25">
      <c r="B234" s="62"/>
      <c r="C234" s="63"/>
    </row>
    <row r="235" spans="1:31" ht="15.75" customHeight="1" x14ac:dyDescent="0.25">
      <c r="C235" s="10" t="s">
        <v>23</v>
      </c>
      <c r="F235">
        <v>1</v>
      </c>
      <c r="G235">
        <v>2</v>
      </c>
      <c r="H235">
        <v>3</v>
      </c>
      <c r="I235">
        <v>4</v>
      </c>
      <c r="J235">
        <v>5</v>
      </c>
      <c r="K235">
        <v>6</v>
      </c>
      <c r="L235">
        <v>7</v>
      </c>
      <c r="M235">
        <v>8</v>
      </c>
      <c r="N235">
        <v>9</v>
      </c>
      <c r="O235">
        <v>10</v>
      </c>
      <c r="P235">
        <v>11</v>
      </c>
      <c r="Q235">
        <v>12</v>
      </c>
      <c r="R235">
        <v>13</v>
      </c>
      <c r="S235">
        <v>14</v>
      </c>
      <c r="T235">
        <v>15</v>
      </c>
      <c r="U235">
        <v>16</v>
      </c>
      <c r="V235">
        <v>17</v>
      </c>
      <c r="W235">
        <v>18</v>
      </c>
      <c r="X235" s="10">
        <v>19</v>
      </c>
      <c r="Y235" s="10">
        <v>20</v>
      </c>
      <c r="Z235" s="10">
        <v>21</v>
      </c>
      <c r="AA235" s="10">
        <v>22</v>
      </c>
      <c r="AB235" s="10">
        <v>23</v>
      </c>
      <c r="AC235" s="10">
        <v>24</v>
      </c>
      <c r="AD235" s="10">
        <v>25</v>
      </c>
      <c r="AE235" s="10">
        <v>26</v>
      </c>
    </row>
    <row r="236" spans="1:31" ht="15.75" customHeight="1" x14ac:dyDescent="0.25">
      <c r="C236" s="10" t="s">
        <v>24</v>
      </c>
      <c r="F236" s="11">
        <f t="shared" ref="F236:AE236" si="0">COUNTIF(F6:F231,"C")</f>
        <v>27</v>
      </c>
      <c r="G236" s="11">
        <f t="shared" si="0"/>
        <v>43</v>
      </c>
      <c r="H236" s="11">
        <f t="shared" si="0"/>
        <v>31</v>
      </c>
      <c r="I236" s="11">
        <f t="shared" si="0"/>
        <v>17</v>
      </c>
      <c r="J236" s="11">
        <f t="shared" si="0"/>
        <v>3</v>
      </c>
      <c r="K236" s="11">
        <f t="shared" si="0"/>
        <v>7</v>
      </c>
      <c r="L236" s="11">
        <f t="shared" si="0"/>
        <v>4</v>
      </c>
      <c r="M236" s="11">
        <f t="shared" si="0"/>
        <v>7</v>
      </c>
      <c r="N236" s="11">
        <f t="shared" si="0"/>
        <v>7</v>
      </c>
      <c r="O236" s="11">
        <f t="shared" si="0"/>
        <v>14</v>
      </c>
      <c r="P236" s="11">
        <f t="shared" si="0"/>
        <v>27</v>
      </c>
      <c r="Q236" s="11">
        <f t="shared" si="0"/>
        <v>20</v>
      </c>
      <c r="R236" s="11">
        <f t="shared" si="0"/>
        <v>19</v>
      </c>
      <c r="S236" s="11">
        <f t="shared" si="0"/>
        <v>28</v>
      </c>
      <c r="T236" s="11">
        <f t="shared" si="0"/>
        <v>22</v>
      </c>
      <c r="U236" s="11">
        <f t="shared" si="0"/>
        <v>0</v>
      </c>
      <c r="V236" s="11">
        <f t="shared" si="0"/>
        <v>0</v>
      </c>
      <c r="W236" s="11">
        <f t="shared" si="0"/>
        <v>0</v>
      </c>
      <c r="X236" s="11">
        <f t="shared" si="0"/>
        <v>0</v>
      </c>
      <c r="Y236" s="11">
        <f t="shared" si="0"/>
        <v>13</v>
      </c>
      <c r="Z236" s="11">
        <f t="shared" si="0"/>
        <v>5</v>
      </c>
      <c r="AA236" s="11">
        <f t="shared" si="0"/>
        <v>18</v>
      </c>
      <c r="AB236" s="11">
        <f t="shared" si="0"/>
        <v>13</v>
      </c>
      <c r="AC236" s="11">
        <f t="shared" si="0"/>
        <v>25</v>
      </c>
      <c r="AD236" s="11">
        <f t="shared" si="0"/>
        <v>56</v>
      </c>
      <c r="AE236" s="11">
        <f t="shared" si="0"/>
        <v>0</v>
      </c>
    </row>
    <row r="237" spans="1:31" ht="15.75" customHeight="1" x14ac:dyDescent="0.25">
      <c r="C237" s="10" t="s">
        <v>25</v>
      </c>
      <c r="F237" s="12">
        <f t="shared" ref="F237:AE237" si="1">COUNTIF(F6:F231,"B")</f>
        <v>95</v>
      </c>
      <c r="G237" s="12">
        <f t="shared" si="1"/>
        <v>94</v>
      </c>
      <c r="H237" s="12">
        <f t="shared" si="1"/>
        <v>110</v>
      </c>
      <c r="I237" s="12">
        <f t="shared" si="1"/>
        <v>112</v>
      </c>
      <c r="J237" s="12">
        <f t="shared" si="1"/>
        <v>86</v>
      </c>
      <c r="K237" s="12">
        <f t="shared" si="1"/>
        <v>91</v>
      </c>
      <c r="L237" s="12">
        <f t="shared" si="1"/>
        <v>123</v>
      </c>
      <c r="M237" s="12">
        <f t="shared" si="1"/>
        <v>89</v>
      </c>
      <c r="N237" s="12">
        <f t="shared" si="1"/>
        <v>76</v>
      </c>
      <c r="O237" s="12">
        <f t="shared" si="1"/>
        <v>49</v>
      </c>
      <c r="P237" s="12">
        <f t="shared" si="1"/>
        <v>129</v>
      </c>
      <c r="Q237" s="12">
        <f t="shared" si="1"/>
        <v>136</v>
      </c>
      <c r="R237" s="12">
        <f t="shared" si="1"/>
        <v>138</v>
      </c>
      <c r="S237" s="12">
        <f t="shared" si="1"/>
        <v>71</v>
      </c>
      <c r="T237" s="12">
        <f t="shared" si="1"/>
        <v>81</v>
      </c>
      <c r="U237" s="12">
        <f t="shared" si="1"/>
        <v>97</v>
      </c>
      <c r="V237" s="12">
        <f t="shared" si="1"/>
        <v>62</v>
      </c>
      <c r="W237" s="12">
        <f t="shared" si="1"/>
        <v>56</v>
      </c>
      <c r="X237" s="12">
        <f t="shared" si="1"/>
        <v>52</v>
      </c>
      <c r="Y237" s="12">
        <f t="shared" si="1"/>
        <v>75</v>
      </c>
      <c r="Z237" s="12">
        <f t="shared" si="1"/>
        <v>66</v>
      </c>
      <c r="AA237" s="12">
        <f t="shared" si="1"/>
        <v>110</v>
      </c>
      <c r="AB237" s="12">
        <f t="shared" si="1"/>
        <v>111</v>
      </c>
      <c r="AC237" s="12">
        <f t="shared" si="1"/>
        <v>98</v>
      </c>
      <c r="AD237" s="12">
        <f t="shared" si="1"/>
        <v>69</v>
      </c>
      <c r="AE237" s="12">
        <f t="shared" si="1"/>
        <v>219</v>
      </c>
    </row>
    <row r="238" spans="1:31" ht="15.75" customHeight="1" x14ac:dyDescent="0.25">
      <c r="C238" s="10" t="s">
        <v>26</v>
      </c>
      <c r="F238" s="13">
        <f t="shared" ref="F238:AE238" si="2">COUNTIF(F6:F231,"A")</f>
        <v>91</v>
      </c>
      <c r="G238" s="13">
        <f t="shared" si="2"/>
        <v>84</v>
      </c>
      <c r="H238" s="13">
        <f t="shared" si="2"/>
        <v>75</v>
      </c>
      <c r="I238" s="13">
        <f t="shared" si="2"/>
        <v>83</v>
      </c>
      <c r="J238" s="13">
        <f t="shared" si="2"/>
        <v>132</v>
      </c>
      <c r="K238" s="13">
        <f t="shared" si="2"/>
        <v>117</v>
      </c>
      <c r="L238" s="13">
        <f t="shared" si="2"/>
        <v>96</v>
      </c>
      <c r="M238" s="13">
        <f t="shared" si="2"/>
        <v>130</v>
      </c>
      <c r="N238" s="13">
        <f t="shared" si="2"/>
        <v>143</v>
      </c>
      <c r="O238" s="13">
        <f t="shared" si="2"/>
        <v>163</v>
      </c>
      <c r="P238" s="13">
        <f t="shared" si="2"/>
        <v>70</v>
      </c>
      <c r="Q238" s="13">
        <f t="shared" si="2"/>
        <v>70</v>
      </c>
      <c r="R238" s="13">
        <f t="shared" si="2"/>
        <v>69</v>
      </c>
      <c r="S238" s="13">
        <f t="shared" si="2"/>
        <v>127</v>
      </c>
      <c r="T238" s="13">
        <f t="shared" si="2"/>
        <v>123</v>
      </c>
      <c r="U238" s="13">
        <f t="shared" si="2"/>
        <v>129</v>
      </c>
      <c r="V238" s="13">
        <f t="shared" si="2"/>
        <v>164</v>
      </c>
      <c r="W238" s="13">
        <f t="shared" si="2"/>
        <v>170</v>
      </c>
      <c r="X238" s="13">
        <f t="shared" si="2"/>
        <v>174</v>
      </c>
      <c r="Y238" s="13">
        <f t="shared" si="2"/>
        <v>133</v>
      </c>
      <c r="Z238" s="13">
        <f t="shared" si="2"/>
        <v>147</v>
      </c>
      <c r="AA238" s="13">
        <f t="shared" si="2"/>
        <v>95</v>
      </c>
      <c r="AB238" s="13">
        <f t="shared" si="2"/>
        <v>101</v>
      </c>
      <c r="AC238" s="13">
        <f t="shared" si="2"/>
        <v>102</v>
      </c>
      <c r="AD238" s="13">
        <f t="shared" si="2"/>
        <v>94</v>
      </c>
      <c r="AE238" s="13">
        <f t="shared" si="2"/>
        <v>0</v>
      </c>
    </row>
    <row r="239" spans="1:31" ht="15.75" customHeight="1" x14ac:dyDescent="0.25">
      <c r="C239" s="10" t="s">
        <v>27</v>
      </c>
      <c r="F239" s="14">
        <f t="shared" ref="F239:AE239" si="3">COUNTIF(F6:F231,"AD")</f>
        <v>13</v>
      </c>
      <c r="G239" s="14">
        <f t="shared" si="3"/>
        <v>5</v>
      </c>
      <c r="H239" s="14">
        <f t="shared" si="3"/>
        <v>10</v>
      </c>
      <c r="I239" s="14">
        <f t="shared" si="3"/>
        <v>14</v>
      </c>
      <c r="J239" s="14">
        <f t="shared" si="3"/>
        <v>5</v>
      </c>
      <c r="K239" s="14">
        <f t="shared" si="3"/>
        <v>11</v>
      </c>
      <c r="L239" s="14">
        <f t="shared" si="3"/>
        <v>3</v>
      </c>
      <c r="M239" s="14">
        <f t="shared" si="3"/>
        <v>0</v>
      </c>
      <c r="N239" s="14">
        <f t="shared" si="3"/>
        <v>0</v>
      </c>
      <c r="O239" s="14">
        <f t="shared" si="3"/>
        <v>0</v>
      </c>
      <c r="P239" s="14">
        <f t="shared" si="3"/>
        <v>0</v>
      </c>
      <c r="Q239" s="14">
        <f t="shared" si="3"/>
        <v>0</v>
      </c>
      <c r="R239" s="14">
        <f t="shared" si="3"/>
        <v>0</v>
      </c>
      <c r="S239" s="14">
        <f t="shared" si="3"/>
        <v>0</v>
      </c>
      <c r="T239" s="14">
        <f t="shared" si="3"/>
        <v>0</v>
      </c>
      <c r="U239" s="14">
        <f t="shared" si="3"/>
        <v>0</v>
      </c>
      <c r="V239" s="14">
        <f t="shared" si="3"/>
        <v>0</v>
      </c>
      <c r="W239" s="14">
        <f t="shared" si="3"/>
        <v>0</v>
      </c>
      <c r="X239" s="14">
        <f t="shared" si="3"/>
        <v>0</v>
      </c>
      <c r="Y239" s="14">
        <f t="shared" si="3"/>
        <v>5</v>
      </c>
      <c r="Z239" s="14">
        <f t="shared" si="3"/>
        <v>8</v>
      </c>
      <c r="AA239" s="14">
        <f t="shared" si="3"/>
        <v>3</v>
      </c>
      <c r="AB239" s="14">
        <f t="shared" si="3"/>
        <v>1</v>
      </c>
      <c r="AC239" s="14">
        <f t="shared" si="3"/>
        <v>1</v>
      </c>
      <c r="AD239" s="14">
        <f t="shared" si="3"/>
        <v>0</v>
      </c>
      <c r="AE239" s="14">
        <f t="shared" si="3"/>
        <v>0</v>
      </c>
    </row>
    <row r="240" spans="1:3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</sheetData>
  <mergeCells count="11">
    <mergeCell ref="AD4:AE4"/>
    <mergeCell ref="C2:AE2"/>
    <mergeCell ref="C3:AE3"/>
    <mergeCell ref="F4:I4"/>
    <mergeCell ref="J4:L4"/>
    <mergeCell ref="M4:O4"/>
    <mergeCell ref="P4:R4"/>
    <mergeCell ref="S4:T4"/>
    <mergeCell ref="V4:X4"/>
    <mergeCell ref="Y4:Z4"/>
    <mergeCell ref="AA4:AC4"/>
  </mergeCells>
  <phoneticPr fontId="21" type="noConversion"/>
  <conditionalFormatting sqref="F6:AE232">
    <cfRule type="cellIs" dxfId="110" priority="1" operator="equal">
      <formula>"AD"</formula>
    </cfRule>
    <cfRule type="cellIs" dxfId="109" priority="2" operator="equal">
      <formula>"A"</formula>
    </cfRule>
    <cfRule type="cellIs" dxfId="108" priority="3" operator="equal">
      <formula>"B"</formula>
    </cfRule>
    <cfRule type="cellIs" dxfId="107" priority="4" operator="equal">
      <formula>"C"</formula>
    </cfRule>
  </conditionalFormatting>
  <dataValidations count="2">
    <dataValidation type="list" allowBlank="1" showInputMessage="1" showErrorMessage="1" sqref="Q6:R26 T6:X26 AD229:AE232 F6:L26 AD27:AE80 F27:X48 AD82:AE97 AD135:AE199 AD201:AE203 AD205:AE227 AD99:AE133 Z27:Z48 F49:I232 J131:L232 J49:L109 M49:Z232" xr:uid="{C52075DE-CD8D-4518-91AC-D2E63354FD56}">
      <formula1>"AD,A,B,C"</formula1>
    </dataValidation>
    <dataValidation type="list" allowBlank="1" showInputMessage="1" showErrorMessage="1" sqref="AA6:AC232 J110:L130" xr:uid="{28617987-3A2B-4657-A570-226826942F68}">
      <formula1>"A,AD,B,C"</formula1>
    </dataValidation>
  </dataValidations>
  <pageMargins left="0.7" right="0.7" top="0.75" bottom="0.75" header="0" footer="0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B5C5-8B03-4CDE-B116-0247B6DF4D4C}">
  <dimension ref="B26:BT31"/>
  <sheetViews>
    <sheetView topLeftCell="BC1" zoomScaleNormal="100" workbookViewId="0">
      <selection activeCell="BO28" sqref="BO28"/>
    </sheetView>
  </sheetViews>
  <sheetFormatPr baseColWidth="10" defaultRowHeight="15" x14ac:dyDescent="0.25"/>
  <cols>
    <col min="2" max="2" width="20.28515625" customWidth="1"/>
    <col min="3" max="3" width="5.28515625" customWidth="1"/>
    <col min="4" max="5" width="4.7109375" customWidth="1"/>
    <col min="6" max="6" width="4.85546875" customWidth="1"/>
    <col min="9" max="9" width="17.28515625" customWidth="1"/>
    <col min="10" max="10" width="19.7109375" customWidth="1"/>
    <col min="11" max="11" width="4" bestFit="1" customWidth="1"/>
    <col min="12" max="12" width="4.140625" bestFit="1" customWidth="1"/>
    <col min="13" max="14" width="4" bestFit="1" customWidth="1"/>
    <col min="15" max="15" width="8.28515625" customWidth="1"/>
    <col min="18" max="18" width="21.28515625" customWidth="1"/>
    <col min="19" max="19" width="4" bestFit="1" customWidth="1"/>
    <col min="20" max="20" width="3.85546875" customWidth="1"/>
    <col min="21" max="21" width="4.42578125" customWidth="1"/>
    <col min="25" max="25" width="17.7109375" customWidth="1"/>
    <col min="26" max="26" width="4" bestFit="1" customWidth="1"/>
    <col min="27" max="27" width="20.28515625" customWidth="1"/>
    <col min="28" max="28" width="4.140625" bestFit="1" customWidth="1"/>
    <col min="29" max="29" width="4.28515625" customWidth="1"/>
    <col min="30" max="30" width="4.42578125" customWidth="1"/>
    <col min="32" max="32" width="17.7109375" customWidth="1"/>
    <col min="33" max="33" width="7.42578125" customWidth="1"/>
    <col min="34" max="34" width="19.85546875" customWidth="1"/>
    <col min="35" max="35" width="4.140625" bestFit="1" customWidth="1"/>
    <col min="36" max="37" width="4.42578125" customWidth="1"/>
    <col min="38" max="38" width="18.28515625" customWidth="1"/>
    <col min="39" max="39" width="19.85546875" customWidth="1"/>
    <col min="40" max="40" width="4.140625" bestFit="1" customWidth="1"/>
    <col min="43" max="43" width="10.5703125" customWidth="1"/>
    <col min="44" max="44" width="6.5703125" customWidth="1"/>
    <col min="45" max="45" width="20.42578125" customWidth="1"/>
    <col min="46" max="46" width="4" bestFit="1" customWidth="1"/>
    <col min="47" max="47" width="4.140625" bestFit="1" customWidth="1"/>
    <col min="48" max="48" width="4" customWidth="1"/>
    <col min="49" max="49" width="17.7109375" customWidth="1"/>
    <col min="50" max="50" width="6.140625" customWidth="1"/>
    <col min="51" max="51" width="6.28515625" customWidth="1"/>
    <col min="54" max="54" width="20.42578125" customWidth="1"/>
    <col min="55" max="55" width="4.140625" bestFit="1" customWidth="1"/>
    <col min="56" max="58" width="4" bestFit="1" customWidth="1"/>
    <col min="62" max="62" width="20.5703125" customWidth="1"/>
    <col min="63" max="63" width="4" bestFit="1" customWidth="1"/>
    <col min="64" max="64" width="4.140625" bestFit="1" customWidth="1"/>
    <col min="65" max="65" width="4.28515625" customWidth="1"/>
    <col min="70" max="70" width="20.7109375" customWidth="1"/>
    <col min="71" max="71" width="4.42578125" customWidth="1"/>
    <col min="72" max="72" width="5.28515625" customWidth="1"/>
  </cols>
  <sheetData>
    <row r="26" spans="2:72" x14ac:dyDescent="0.25">
      <c r="C26" s="10"/>
      <c r="J26" s="10"/>
      <c r="R26" s="10"/>
      <c r="Y26" s="10"/>
      <c r="AF26" s="10"/>
      <c r="AL26" s="10"/>
      <c r="AQ26" s="10"/>
      <c r="AW26" s="10"/>
      <c r="BJ26" s="10"/>
    </row>
    <row r="27" spans="2:72" x14ac:dyDescent="0.25">
      <c r="B27" s="28" t="s">
        <v>28</v>
      </c>
      <c r="C27" s="26" t="s">
        <v>15</v>
      </c>
      <c r="D27" s="26" t="s">
        <v>16</v>
      </c>
      <c r="E27" s="26" t="s">
        <v>17</v>
      </c>
      <c r="F27" s="26" t="s">
        <v>18</v>
      </c>
      <c r="J27" s="28" t="s">
        <v>29</v>
      </c>
      <c r="K27" s="26" t="s">
        <v>15</v>
      </c>
      <c r="L27" s="26" t="s">
        <v>16</v>
      </c>
      <c r="M27" s="26" t="s">
        <v>17</v>
      </c>
      <c r="N27" s="22"/>
      <c r="R27" s="28" t="s">
        <v>30</v>
      </c>
      <c r="S27" s="27" t="s">
        <v>15</v>
      </c>
      <c r="T27" s="27" t="s">
        <v>16</v>
      </c>
      <c r="U27" s="27" t="s">
        <v>17</v>
      </c>
      <c r="Y27" s="10"/>
      <c r="AA27" s="28" t="s">
        <v>31</v>
      </c>
      <c r="AB27" s="23" t="s">
        <v>15</v>
      </c>
      <c r="AC27" s="23" t="s">
        <v>16</v>
      </c>
      <c r="AD27" s="23" t="s">
        <v>17</v>
      </c>
      <c r="AF27" s="10"/>
      <c r="AH27" s="28" t="s">
        <v>6</v>
      </c>
      <c r="AI27" s="26" t="s">
        <v>15</v>
      </c>
      <c r="AJ27" s="26" t="s">
        <v>16</v>
      </c>
      <c r="AK27" s="22"/>
      <c r="AL27" s="10"/>
      <c r="AM27" s="28" t="s">
        <v>7</v>
      </c>
      <c r="AN27" s="26" t="s">
        <v>15</v>
      </c>
      <c r="AO27" s="22"/>
      <c r="AQ27" s="10"/>
      <c r="AS27" s="28" t="s">
        <v>32</v>
      </c>
      <c r="AT27" s="26" t="s">
        <v>15</v>
      </c>
      <c r="AU27" s="26" t="s">
        <v>16</v>
      </c>
      <c r="AV27" s="26" t="s">
        <v>17</v>
      </c>
      <c r="AW27" s="10"/>
      <c r="BB27" s="28" t="s">
        <v>33</v>
      </c>
      <c r="BC27" s="26" t="s">
        <v>15</v>
      </c>
      <c r="BD27" s="26" t="s">
        <v>16</v>
      </c>
      <c r="BJ27" s="28" t="s">
        <v>34</v>
      </c>
      <c r="BK27" s="26" t="s">
        <v>15</v>
      </c>
      <c r="BL27" s="26" t="s">
        <v>16</v>
      </c>
      <c r="BM27" s="26" t="s">
        <v>17</v>
      </c>
      <c r="BR27" s="28" t="s">
        <v>35</v>
      </c>
      <c r="BS27" s="26" t="s">
        <v>15</v>
      </c>
      <c r="BT27" s="26" t="s">
        <v>16</v>
      </c>
    </row>
    <row r="28" spans="2:72" x14ac:dyDescent="0.25">
      <c r="B28" s="27" t="s">
        <v>24</v>
      </c>
      <c r="C28" s="24">
        <f>IE!F236</f>
        <v>27</v>
      </c>
      <c r="D28" s="25">
        <f>IE!G236</f>
        <v>43</v>
      </c>
      <c r="E28" s="25">
        <f>IE!H236</f>
        <v>31</v>
      </c>
      <c r="F28" s="25">
        <f>IE!I236</f>
        <v>17</v>
      </c>
      <c r="J28" s="27" t="s">
        <v>24</v>
      </c>
      <c r="K28" s="24">
        <f>IE!J236</f>
        <v>3</v>
      </c>
      <c r="L28" s="25">
        <f>IE!K236</f>
        <v>7</v>
      </c>
      <c r="M28" s="25">
        <f>IE!L236</f>
        <v>4</v>
      </c>
      <c r="R28" s="27" t="s">
        <v>24</v>
      </c>
      <c r="S28" s="15">
        <f>IE!M236</f>
        <v>7</v>
      </c>
      <c r="T28" s="16">
        <f>IE!N236</f>
        <v>7</v>
      </c>
      <c r="U28" s="16">
        <f>IE!O236</f>
        <v>14</v>
      </c>
      <c r="Y28" s="10"/>
      <c r="AA28" s="27" t="s">
        <v>24</v>
      </c>
      <c r="AB28" s="15">
        <f>IE!P236</f>
        <v>27</v>
      </c>
      <c r="AC28" s="16">
        <f>IE!Q236</f>
        <v>20</v>
      </c>
      <c r="AD28" s="16">
        <f>IE!R236</f>
        <v>19</v>
      </c>
      <c r="AF28" s="10"/>
      <c r="AH28" s="27" t="s">
        <v>24</v>
      </c>
      <c r="AI28" s="24">
        <f>IE!S236</f>
        <v>28</v>
      </c>
      <c r="AJ28" s="25">
        <f>IE!T236</f>
        <v>22</v>
      </c>
      <c r="AL28" s="10"/>
      <c r="AM28" s="27" t="s">
        <v>24</v>
      </c>
      <c r="AN28" s="24">
        <f>IE!U236</f>
        <v>0</v>
      </c>
      <c r="AQ28" s="10"/>
      <c r="AS28" s="27" t="s">
        <v>24</v>
      </c>
      <c r="AT28" s="24">
        <f>IE!V236</f>
        <v>0</v>
      </c>
      <c r="AU28" s="25">
        <f>IE!W236</f>
        <v>0</v>
      </c>
      <c r="AV28" s="25">
        <f>IE!X236</f>
        <v>0</v>
      </c>
      <c r="AW28" s="10"/>
      <c r="BB28" s="27" t="s">
        <v>24</v>
      </c>
      <c r="BC28" s="24">
        <f>IE!Y236</f>
        <v>13</v>
      </c>
      <c r="BD28" s="25">
        <f>IE!Z236</f>
        <v>5</v>
      </c>
      <c r="BJ28" s="27" t="s">
        <v>24</v>
      </c>
      <c r="BK28" s="24">
        <f>IE!AA236</f>
        <v>18</v>
      </c>
      <c r="BL28" s="25">
        <f>IE!AB236</f>
        <v>13</v>
      </c>
      <c r="BM28" s="25">
        <f>IE!AC236</f>
        <v>25</v>
      </c>
      <c r="BR28" s="27" t="s">
        <v>24</v>
      </c>
      <c r="BS28" s="24">
        <f>IE!AD236</f>
        <v>56</v>
      </c>
      <c r="BT28" s="25">
        <f>IE!AE236</f>
        <v>0</v>
      </c>
    </row>
    <row r="29" spans="2:72" x14ac:dyDescent="0.25">
      <c r="B29" s="27" t="s">
        <v>25</v>
      </c>
      <c r="C29" s="24">
        <f>IE!F237</f>
        <v>95</v>
      </c>
      <c r="D29" s="25">
        <f>IE!G237</f>
        <v>94</v>
      </c>
      <c r="E29" s="25">
        <f>IE!H237</f>
        <v>110</v>
      </c>
      <c r="F29" s="25">
        <f>IE!I237</f>
        <v>112</v>
      </c>
      <c r="J29" s="27" t="s">
        <v>25</v>
      </c>
      <c r="K29" s="24">
        <f>IE!J237</f>
        <v>86</v>
      </c>
      <c r="L29" s="25">
        <f>IE!K237</f>
        <v>91</v>
      </c>
      <c r="M29" s="25">
        <f>IE!L237</f>
        <v>123</v>
      </c>
      <c r="R29" s="27" t="s">
        <v>25</v>
      </c>
      <c r="S29" s="15">
        <f>IE!M237</f>
        <v>89</v>
      </c>
      <c r="T29" s="16">
        <f>IE!N237</f>
        <v>76</v>
      </c>
      <c r="U29" s="16">
        <f>IE!O237</f>
        <v>49</v>
      </c>
      <c r="Y29" s="10"/>
      <c r="AA29" s="27" t="s">
        <v>25</v>
      </c>
      <c r="AB29" s="15">
        <f>IE!P237</f>
        <v>129</v>
      </c>
      <c r="AC29" s="16">
        <f>IE!Q237</f>
        <v>136</v>
      </c>
      <c r="AD29" s="16">
        <f>IE!R237</f>
        <v>138</v>
      </c>
      <c r="AF29" s="10"/>
      <c r="AH29" s="27" t="s">
        <v>25</v>
      </c>
      <c r="AI29" s="24">
        <f>IE!S237</f>
        <v>71</v>
      </c>
      <c r="AJ29" s="25">
        <f>IE!T237</f>
        <v>81</v>
      </c>
      <c r="AL29" s="10"/>
      <c r="AM29" s="27" t="s">
        <v>25</v>
      </c>
      <c r="AN29" s="24">
        <f>IE!U237</f>
        <v>97</v>
      </c>
      <c r="AQ29" s="10"/>
      <c r="AS29" s="27" t="s">
        <v>25</v>
      </c>
      <c r="AT29" s="24">
        <f>IE!V237</f>
        <v>62</v>
      </c>
      <c r="AU29" s="25">
        <f>IE!W237</f>
        <v>56</v>
      </c>
      <c r="AV29" s="25">
        <f>IE!X237</f>
        <v>52</v>
      </c>
      <c r="AW29" s="10"/>
      <c r="BB29" s="27" t="s">
        <v>25</v>
      </c>
      <c r="BC29" s="24">
        <f>IE!Y237</f>
        <v>75</v>
      </c>
      <c r="BD29" s="25">
        <f>IE!Z237</f>
        <v>66</v>
      </c>
      <c r="BJ29" s="27" t="s">
        <v>25</v>
      </c>
      <c r="BK29" s="24">
        <f>IE!AA237</f>
        <v>110</v>
      </c>
      <c r="BL29" s="25">
        <f>IE!AB237</f>
        <v>111</v>
      </c>
      <c r="BM29" s="25">
        <f>IE!AC237</f>
        <v>98</v>
      </c>
      <c r="BR29" s="27" t="s">
        <v>25</v>
      </c>
      <c r="BS29" s="24">
        <f>IE!AD237</f>
        <v>69</v>
      </c>
      <c r="BT29" s="25">
        <f>IE!AE237</f>
        <v>219</v>
      </c>
    </row>
    <row r="30" spans="2:72" x14ac:dyDescent="0.25">
      <c r="B30" s="27" t="s">
        <v>26</v>
      </c>
      <c r="C30" s="24">
        <f>IE!F238</f>
        <v>91</v>
      </c>
      <c r="D30" s="25">
        <f>IE!G238</f>
        <v>84</v>
      </c>
      <c r="E30" s="25">
        <f>IE!H238</f>
        <v>75</v>
      </c>
      <c r="F30" s="25">
        <f>IE!I238</f>
        <v>83</v>
      </c>
      <c r="J30" s="27" t="s">
        <v>26</v>
      </c>
      <c r="K30" s="24">
        <f>IE!J238</f>
        <v>132</v>
      </c>
      <c r="L30" s="25">
        <f>IE!K238</f>
        <v>117</v>
      </c>
      <c r="M30" s="25">
        <f>IE!L238</f>
        <v>96</v>
      </c>
      <c r="R30" s="27" t="s">
        <v>26</v>
      </c>
      <c r="S30" s="15">
        <f>IE!M238</f>
        <v>130</v>
      </c>
      <c r="T30" s="16">
        <f>IE!N238</f>
        <v>143</v>
      </c>
      <c r="U30" s="16">
        <f>IE!O238</f>
        <v>163</v>
      </c>
      <c r="AA30" s="27" t="s">
        <v>26</v>
      </c>
      <c r="AB30" s="15">
        <f>IE!P238</f>
        <v>70</v>
      </c>
      <c r="AC30" s="16">
        <f>IE!Q238</f>
        <v>70</v>
      </c>
      <c r="AD30" s="16">
        <f>IE!R238</f>
        <v>69</v>
      </c>
      <c r="AH30" s="27" t="s">
        <v>26</v>
      </c>
      <c r="AI30" s="24">
        <f>IE!S238</f>
        <v>127</v>
      </c>
      <c r="AJ30" s="25">
        <f>IE!T238</f>
        <v>123</v>
      </c>
      <c r="AM30" s="27" t="s">
        <v>26</v>
      </c>
      <c r="AN30" s="24">
        <f>IE!U238</f>
        <v>129</v>
      </c>
      <c r="AS30" s="27" t="s">
        <v>26</v>
      </c>
      <c r="AT30" s="24">
        <f>IE!V238</f>
        <v>164</v>
      </c>
      <c r="AU30" s="25">
        <f>IE!W238</f>
        <v>170</v>
      </c>
      <c r="AV30" s="25">
        <f>IE!X238</f>
        <v>174</v>
      </c>
      <c r="BB30" s="27" t="s">
        <v>26</v>
      </c>
      <c r="BC30" s="24">
        <f>IE!Y238</f>
        <v>133</v>
      </c>
      <c r="BD30" s="25">
        <f>IE!Z238</f>
        <v>147</v>
      </c>
      <c r="BJ30" s="27" t="s">
        <v>26</v>
      </c>
      <c r="BK30" s="24">
        <f>IE!AA238</f>
        <v>95</v>
      </c>
      <c r="BL30" s="25">
        <f>IE!AB238</f>
        <v>101</v>
      </c>
      <c r="BM30" s="25">
        <f>IE!AC238</f>
        <v>102</v>
      </c>
      <c r="BR30" s="27" t="s">
        <v>26</v>
      </c>
      <c r="BS30" s="24">
        <f>IE!AD238</f>
        <v>94</v>
      </c>
      <c r="BT30" s="25">
        <f>IE!AE238</f>
        <v>0</v>
      </c>
    </row>
    <row r="31" spans="2:72" x14ac:dyDescent="0.25">
      <c r="B31" s="27" t="s">
        <v>27</v>
      </c>
      <c r="C31" s="24">
        <f>IE!F239</f>
        <v>13</v>
      </c>
      <c r="D31" s="25">
        <f>IE!G239</f>
        <v>5</v>
      </c>
      <c r="E31" s="25">
        <f>IE!H239</f>
        <v>10</v>
      </c>
      <c r="F31" s="25">
        <f>IE!I239</f>
        <v>14</v>
      </c>
      <c r="J31" s="27" t="s">
        <v>27</v>
      </c>
      <c r="K31" s="24">
        <f>IE!J239</f>
        <v>5</v>
      </c>
      <c r="L31" s="25">
        <f>IE!K239</f>
        <v>11</v>
      </c>
      <c r="M31" s="25">
        <f>IE!L239</f>
        <v>3</v>
      </c>
      <c r="R31" s="27" t="s">
        <v>27</v>
      </c>
      <c r="S31" s="15">
        <f>IE!M239</f>
        <v>0</v>
      </c>
      <c r="T31" s="16">
        <f>IE!N239</f>
        <v>0</v>
      </c>
      <c r="U31" s="16">
        <f>IE!O239</f>
        <v>0</v>
      </c>
      <c r="AA31" s="27" t="s">
        <v>27</v>
      </c>
      <c r="AB31" s="15">
        <f>IE!P239</f>
        <v>0</v>
      </c>
      <c r="AC31" s="16">
        <f>IE!Q239</f>
        <v>0</v>
      </c>
      <c r="AD31" s="16">
        <f>IE!R239</f>
        <v>0</v>
      </c>
      <c r="AH31" s="27" t="s">
        <v>27</v>
      </c>
      <c r="AI31" s="24">
        <f>IE!S239</f>
        <v>0</v>
      </c>
      <c r="AJ31" s="25">
        <f>IE!T239</f>
        <v>0</v>
      </c>
      <c r="AM31" s="27" t="s">
        <v>27</v>
      </c>
      <c r="AN31" s="24">
        <f>IE!U239</f>
        <v>0</v>
      </c>
      <c r="AS31" s="27" t="s">
        <v>27</v>
      </c>
      <c r="AT31" s="24">
        <f>IE!V239</f>
        <v>0</v>
      </c>
      <c r="AU31" s="25">
        <f>IE!W239</f>
        <v>0</v>
      </c>
      <c r="AV31" s="25">
        <f>IE!X239</f>
        <v>0</v>
      </c>
      <c r="BB31" s="27" t="s">
        <v>27</v>
      </c>
      <c r="BC31" s="24">
        <f>IE!Y239</f>
        <v>5</v>
      </c>
      <c r="BD31" s="25">
        <f>IE!Z239</f>
        <v>8</v>
      </c>
      <c r="BJ31" s="27" t="s">
        <v>27</v>
      </c>
      <c r="BK31" s="24">
        <f>IE!AA239</f>
        <v>3</v>
      </c>
      <c r="BL31" s="25">
        <f>IE!AB239</f>
        <v>1</v>
      </c>
      <c r="BM31" s="25">
        <f>IE!AC239</f>
        <v>1</v>
      </c>
      <c r="BR31" s="27" t="s">
        <v>27</v>
      </c>
      <c r="BS31" s="24">
        <f>IE!AD239</f>
        <v>0</v>
      </c>
      <c r="BT31" s="25">
        <f>IE!AE239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D0E3-3170-470A-A928-1DA7236618FC}">
  <dimension ref="A1:AE1133"/>
  <sheetViews>
    <sheetView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H5" sqref="AH5"/>
    </sheetView>
  </sheetViews>
  <sheetFormatPr baseColWidth="10" defaultColWidth="14.42578125" defaultRowHeight="15" customHeight="1" x14ac:dyDescent="0.25"/>
  <cols>
    <col min="1" max="1" width="4.140625" customWidth="1"/>
    <col min="2" max="2" width="38.5703125" customWidth="1"/>
    <col min="3" max="3" width="5" customWidth="1"/>
    <col min="4" max="4" width="6.7109375" customWidth="1"/>
    <col min="5" max="30" width="5" customWidth="1"/>
    <col min="31" max="31" width="4.28515625" style="33" bestFit="1" customWidth="1"/>
  </cols>
  <sheetData>
    <row r="1" spans="1:31" x14ac:dyDescent="0.25"/>
    <row r="2" spans="1:31" ht="36" customHeight="1" x14ac:dyDescent="0.25"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6"/>
    </row>
    <row r="3" spans="1:31" x14ac:dyDescent="0.25">
      <c r="B3" s="149" t="s">
        <v>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1"/>
    </row>
    <row r="4" spans="1:31" ht="30.6" customHeight="1" x14ac:dyDescent="0.25">
      <c r="B4" s="1"/>
      <c r="C4" s="2"/>
      <c r="D4" s="2"/>
      <c r="E4" s="145" t="s">
        <v>2</v>
      </c>
      <c r="F4" s="148"/>
      <c r="G4" s="148"/>
      <c r="H4" s="146"/>
      <c r="I4" s="145" t="s">
        <v>3</v>
      </c>
      <c r="J4" s="148"/>
      <c r="K4" s="146"/>
      <c r="L4" s="145" t="s">
        <v>4</v>
      </c>
      <c r="M4" s="148"/>
      <c r="N4" s="146"/>
      <c r="O4" s="145" t="s">
        <v>5</v>
      </c>
      <c r="P4" s="148"/>
      <c r="Q4" s="146"/>
      <c r="R4" s="152" t="s">
        <v>6</v>
      </c>
      <c r="S4" s="146"/>
      <c r="T4" s="3" t="s">
        <v>7</v>
      </c>
      <c r="U4" s="145" t="s">
        <v>8</v>
      </c>
      <c r="V4" s="148"/>
      <c r="W4" s="146"/>
      <c r="X4" s="145" t="s">
        <v>9</v>
      </c>
      <c r="Y4" s="146"/>
      <c r="Z4" s="152" t="s">
        <v>10</v>
      </c>
      <c r="AA4" s="148"/>
      <c r="AB4" s="146"/>
      <c r="AC4" s="153" t="s">
        <v>11</v>
      </c>
      <c r="AD4" s="154"/>
    </row>
    <row r="5" spans="1:31" ht="28.9" customHeight="1" x14ac:dyDescent="0.25">
      <c r="A5" s="4"/>
      <c r="B5" s="5" t="s">
        <v>12</v>
      </c>
      <c r="C5" s="6" t="s">
        <v>13</v>
      </c>
      <c r="D5" s="7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15</v>
      </c>
      <c r="J5" s="8" t="s">
        <v>16</v>
      </c>
      <c r="K5" s="8" t="s">
        <v>17</v>
      </c>
      <c r="L5" s="8" t="s">
        <v>15</v>
      </c>
      <c r="M5" s="8" t="s">
        <v>16</v>
      </c>
      <c r="N5" s="8" t="s">
        <v>17</v>
      </c>
      <c r="O5" s="8" t="s">
        <v>15</v>
      </c>
      <c r="P5" s="8" t="s">
        <v>16</v>
      </c>
      <c r="Q5" s="8" t="s">
        <v>17</v>
      </c>
      <c r="R5" s="8" t="s">
        <v>15</v>
      </c>
      <c r="S5" s="8" t="s">
        <v>16</v>
      </c>
      <c r="T5" s="8" t="s">
        <v>15</v>
      </c>
      <c r="U5" s="8" t="s">
        <v>15</v>
      </c>
      <c r="V5" s="8" t="s">
        <v>16</v>
      </c>
      <c r="W5" s="8" t="s">
        <v>17</v>
      </c>
      <c r="X5" s="8" t="s">
        <v>15</v>
      </c>
      <c r="Y5" s="8" t="s">
        <v>16</v>
      </c>
      <c r="Z5" s="8" t="s">
        <v>15</v>
      </c>
      <c r="AA5" s="8" t="s">
        <v>16</v>
      </c>
      <c r="AB5" s="8" t="s">
        <v>17</v>
      </c>
      <c r="AC5" s="8" t="s">
        <v>15</v>
      </c>
      <c r="AD5" s="35" t="s">
        <v>16</v>
      </c>
      <c r="AE5" s="36" t="s">
        <v>37</v>
      </c>
    </row>
    <row r="6" spans="1:31" x14ac:dyDescent="0.25">
      <c r="A6" s="89">
        <v>1</v>
      </c>
      <c r="B6" s="90" t="s">
        <v>207</v>
      </c>
      <c r="C6" s="89">
        <v>1</v>
      </c>
      <c r="D6" s="89" t="s">
        <v>19</v>
      </c>
      <c r="E6" s="50" t="s">
        <v>19</v>
      </c>
      <c r="F6" s="51" t="s">
        <v>19</v>
      </c>
      <c r="G6" s="51" t="s">
        <v>20</v>
      </c>
      <c r="H6" s="51" t="s">
        <v>19</v>
      </c>
      <c r="I6" s="51" t="s">
        <v>19</v>
      </c>
      <c r="J6" s="51" t="s">
        <v>19</v>
      </c>
      <c r="K6" s="51" t="s">
        <v>19</v>
      </c>
      <c r="L6" s="52" t="s">
        <v>19</v>
      </c>
      <c r="M6" s="52" t="s">
        <v>19</v>
      </c>
      <c r="N6" s="52" t="s">
        <v>19</v>
      </c>
      <c r="O6" s="52" t="s">
        <v>19</v>
      </c>
      <c r="P6" s="51" t="s">
        <v>20</v>
      </c>
      <c r="Q6" s="51" t="s">
        <v>20</v>
      </c>
      <c r="R6" s="52" t="s">
        <v>19</v>
      </c>
      <c r="S6" s="51" t="s">
        <v>19</v>
      </c>
      <c r="T6" s="51" t="s">
        <v>19</v>
      </c>
      <c r="U6" s="51" t="s">
        <v>19</v>
      </c>
      <c r="V6" s="51" t="s">
        <v>19</v>
      </c>
      <c r="W6" s="51" t="s">
        <v>19</v>
      </c>
      <c r="X6" s="52" t="s">
        <v>20</v>
      </c>
      <c r="Y6" s="52" t="s">
        <v>19</v>
      </c>
      <c r="Z6" s="39" t="s">
        <v>20</v>
      </c>
      <c r="AA6" s="39" t="s">
        <v>20</v>
      </c>
      <c r="AB6" s="39" t="s">
        <v>19</v>
      </c>
      <c r="AC6" s="52" t="s">
        <v>19</v>
      </c>
      <c r="AD6" s="52" t="s">
        <v>20</v>
      </c>
      <c r="AE6" s="34">
        <f>+COUNTIF(E6:AD6,"C")</f>
        <v>0</v>
      </c>
    </row>
    <row r="7" spans="1:31" x14ac:dyDescent="0.25">
      <c r="A7" s="89">
        <v>2</v>
      </c>
      <c r="B7" s="90" t="s">
        <v>208</v>
      </c>
      <c r="C7" s="89">
        <v>1</v>
      </c>
      <c r="D7" s="89" t="s">
        <v>19</v>
      </c>
      <c r="E7" s="51" t="s">
        <v>20</v>
      </c>
      <c r="F7" s="51" t="s">
        <v>21</v>
      </c>
      <c r="G7" s="51" t="s">
        <v>20</v>
      </c>
      <c r="H7" s="51" t="s">
        <v>20</v>
      </c>
      <c r="I7" s="51" t="s">
        <v>20</v>
      </c>
      <c r="J7" s="51" t="s">
        <v>20</v>
      </c>
      <c r="K7" s="51" t="s">
        <v>20</v>
      </c>
      <c r="L7" s="52" t="s">
        <v>20</v>
      </c>
      <c r="M7" s="52" t="s">
        <v>20</v>
      </c>
      <c r="N7" s="52" t="s">
        <v>21</v>
      </c>
      <c r="O7" s="52" t="s">
        <v>20</v>
      </c>
      <c r="P7" s="51" t="s">
        <v>20</v>
      </c>
      <c r="Q7" s="51" t="s">
        <v>20</v>
      </c>
      <c r="R7" s="52" t="s">
        <v>21</v>
      </c>
      <c r="S7" s="51" t="s">
        <v>21</v>
      </c>
      <c r="T7" s="51" t="s">
        <v>20</v>
      </c>
      <c r="U7" s="51" t="s">
        <v>20</v>
      </c>
      <c r="V7" s="51" t="s">
        <v>20</v>
      </c>
      <c r="W7" s="51" t="s">
        <v>19</v>
      </c>
      <c r="X7" s="52" t="s">
        <v>20</v>
      </c>
      <c r="Y7" s="52" t="s">
        <v>19</v>
      </c>
      <c r="Z7" s="39" t="s">
        <v>21</v>
      </c>
      <c r="AA7" s="39" t="s">
        <v>21</v>
      </c>
      <c r="AB7" s="39" t="s">
        <v>21</v>
      </c>
      <c r="AC7" s="52" t="s">
        <v>21</v>
      </c>
      <c r="AD7" s="52" t="s">
        <v>20</v>
      </c>
      <c r="AE7" s="34">
        <f t="shared" ref="AE7:AE69" si="0">+COUNTIF(E7:AD7,"C")</f>
        <v>8</v>
      </c>
    </row>
    <row r="8" spans="1:31" x14ac:dyDescent="0.25">
      <c r="A8" s="89">
        <v>3</v>
      </c>
      <c r="B8" s="90" t="s">
        <v>209</v>
      </c>
      <c r="C8" s="89">
        <v>1</v>
      </c>
      <c r="D8" s="89" t="s">
        <v>19</v>
      </c>
      <c r="E8" s="51" t="s">
        <v>19</v>
      </c>
      <c r="F8" s="51" t="s">
        <v>19</v>
      </c>
      <c r="G8" s="51" t="s">
        <v>19</v>
      </c>
      <c r="H8" s="51" t="s">
        <v>19</v>
      </c>
      <c r="I8" s="51" t="s">
        <v>19</v>
      </c>
      <c r="J8" s="51" t="s">
        <v>19</v>
      </c>
      <c r="K8" s="51" t="s">
        <v>19</v>
      </c>
      <c r="L8" s="52" t="s">
        <v>19</v>
      </c>
      <c r="M8" s="52" t="s">
        <v>19</v>
      </c>
      <c r="N8" s="52" t="s">
        <v>19</v>
      </c>
      <c r="O8" s="52" t="s">
        <v>19</v>
      </c>
      <c r="P8" s="51" t="s">
        <v>19</v>
      </c>
      <c r="Q8" s="51" t="s">
        <v>20</v>
      </c>
      <c r="R8" s="52" t="s">
        <v>19</v>
      </c>
      <c r="S8" s="51" t="s">
        <v>19</v>
      </c>
      <c r="T8" s="51" t="s">
        <v>19</v>
      </c>
      <c r="U8" s="51" t="s">
        <v>19</v>
      </c>
      <c r="V8" s="51" t="s">
        <v>19</v>
      </c>
      <c r="W8" s="51" t="s">
        <v>19</v>
      </c>
      <c r="X8" s="52" t="s">
        <v>19</v>
      </c>
      <c r="Y8" s="52" t="s">
        <v>19</v>
      </c>
      <c r="Z8" s="39" t="s">
        <v>19</v>
      </c>
      <c r="AA8" s="39" t="s">
        <v>20</v>
      </c>
      <c r="AB8" s="39" t="s">
        <v>20</v>
      </c>
      <c r="AC8" s="52" t="s">
        <v>19</v>
      </c>
      <c r="AD8" s="52" t="s">
        <v>20</v>
      </c>
      <c r="AE8" s="34">
        <f>+COUNTIF(E8:AD8,"C")</f>
        <v>0</v>
      </c>
    </row>
    <row r="9" spans="1:31" x14ac:dyDescent="0.25">
      <c r="A9" s="89">
        <v>4</v>
      </c>
      <c r="B9" s="90" t="s">
        <v>210</v>
      </c>
      <c r="C9" s="89">
        <v>1</v>
      </c>
      <c r="D9" s="89" t="s">
        <v>19</v>
      </c>
      <c r="E9" s="51" t="s">
        <v>19</v>
      </c>
      <c r="F9" s="51" t="s">
        <v>20</v>
      </c>
      <c r="G9" s="51" t="s">
        <v>20</v>
      </c>
      <c r="H9" s="51" t="s">
        <v>20</v>
      </c>
      <c r="I9" s="51" t="s">
        <v>19</v>
      </c>
      <c r="J9" s="51" t="s">
        <v>19</v>
      </c>
      <c r="K9" s="51" t="s">
        <v>19</v>
      </c>
      <c r="L9" s="52" t="s">
        <v>20</v>
      </c>
      <c r="M9" s="52" t="s">
        <v>20</v>
      </c>
      <c r="N9" s="52" t="s">
        <v>19</v>
      </c>
      <c r="O9" s="52" t="s">
        <v>19</v>
      </c>
      <c r="P9" s="51" t="s">
        <v>19</v>
      </c>
      <c r="Q9" s="51" t="s">
        <v>20</v>
      </c>
      <c r="R9" s="52" t="s">
        <v>19</v>
      </c>
      <c r="S9" s="51" t="s">
        <v>20</v>
      </c>
      <c r="T9" s="51" t="s">
        <v>19</v>
      </c>
      <c r="U9" s="51" t="s">
        <v>20</v>
      </c>
      <c r="V9" s="51" t="s">
        <v>19</v>
      </c>
      <c r="W9" s="51" t="s">
        <v>19</v>
      </c>
      <c r="X9" s="52" t="s">
        <v>20</v>
      </c>
      <c r="Y9" s="52" t="s">
        <v>19</v>
      </c>
      <c r="Z9" s="39" t="s">
        <v>20</v>
      </c>
      <c r="AA9" s="39" t="s">
        <v>20</v>
      </c>
      <c r="AB9" s="39" t="s">
        <v>20</v>
      </c>
      <c r="AC9" s="52" t="s">
        <v>19</v>
      </c>
      <c r="AD9" s="52" t="s">
        <v>20</v>
      </c>
      <c r="AE9" s="34">
        <f t="shared" si="0"/>
        <v>0</v>
      </c>
    </row>
    <row r="10" spans="1:31" x14ac:dyDescent="0.25">
      <c r="A10" s="89">
        <v>5</v>
      </c>
      <c r="B10" s="90" t="s">
        <v>211</v>
      </c>
      <c r="C10" s="89">
        <v>1</v>
      </c>
      <c r="D10" s="89" t="s">
        <v>19</v>
      </c>
      <c r="E10" s="51" t="s">
        <v>20</v>
      </c>
      <c r="F10" s="51" t="s">
        <v>20</v>
      </c>
      <c r="G10" s="51" t="s">
        <v>20</v>
      </c>
      <c r="H10" s="51" t="s">
        <v>20</v>
      </c>
      <c r="I10" s="51" t="s">
        <v>19</v>
      </c>
      <c r="J10" s="51" t="s">
        <v>19</v>
      </c>
      <c r="K10" s="51" t="s">
        <v>19</v>
      </c>
      <c r="L10" s="52" t="s">
        <v>19</v>
      </c>
      <c r="M10" s="52" t="s">
        <v>20</v>
      </c>
      <c r="N10" s="52" t="s">
        <v>19</v>
      </c>
      <c r="O10" s="52" t="s">
        <v>20</v>
      </c>
      <c r="P10" s="51" t="s">
        <v>20</v>
      </c>
      <c r="Q10" s="51" t="s">
        <v>20</v>
      </c>
      <c r="R10" s="52" t="s">
        <v>19</v>
      </c>
      <c r="S10" s="51" t="s">
        <v>20</v>
      </c>
      <c r="T10" s="51" t="s">
        <v>20</v>
      </c>
      <c r="U10" s="51" t="s">
        <v>19</v>
      </c>
      <c r="V10" s="51" t="s">
        <v>20</v>
      </c>
      <c r="W10" s="51" t="s">
        <v>19</v>
      </c>
      <c r="X10" s="52" t="s">
        <v>20</v>
      </c>
      <c r="Y10" s="52" t="s">
        <v>19</v>
      </c>
      <c r="Z10" s="39" t="s">
        <v>20</v>
      </c>
      <c r="AA10" s="39" t="s">
        <v>20</v>
      </c>
      <c r="AB10" s="39" t="s">
        <v>21</v>
      </c>
      <c r="AC10" s="52" t="s">
        <v>20</v>
      </c>
      <c r="AD10" s="52" t="s">
        <v>20</v>
      </c>
      <c r="AE10" s="34">
        <f t="shared" si="0"/>
        <v>1</v>
      </c>
    </row>
    <row r="11" spans="1:31" x14ac:dyDescent="0.25">
      <c r="A11" s="89">
        <v>6</v>
      </c>
      <c r="B11" s="90" t="s">
        <v>212</v>
      </c>
      <c r="C11" s="89">
        <v>1</v>
      </c>
      <c r="D11" s="89" t="s">
        <v>19</v>
      </c>
      <c r="E11" s="51" t="s">
        <v>19</v>
      </c>
      <c r="F11" s="51" t="s">
        <v>19</v>
      </c>
      <c r="G11" s="51" t="s">
        <v>19</v>
      </c>
      <c r="H11" s="51" t="s">
        <v>19</v>
      </c>
      <c r="I11" s="51" t="s">
        <v>19</v>
      </c>
      <c r="J11" s="51" t="s">
        <v>19</v>
      </c>
      <c r="K11" s="51" t="s">
        <v>19</v>
      </c>
      <c r="L11" s="52" t="s">
        <v>19</v>
      </c>
      <c r="M11" s="52" t="s">
        <v>19</v>
      </c>
      <c r="N11" s="52" t="s">
        <v>19</v>
      </c>
      <c r="O11" s="52" t="s">
        <v>19</v>
      </c>
      <c r="P11" s="51" t="s">
        <v>20</v>
      </c>
      <c r="Q11" s="51" t="s">
        <v>20</v>
      </c>
      <c r="R11" s="52" t="s">
        <v>19</v>
      </c>
      <c r="S11" s="51" t="s">
        <v>20</v>
      </c>
      <c r="T11" s="51" t="s">
        <v>20</v>
      </c>
      <c r="U11" s="51" t="s">
        <v>20</v>
      </c>
      <c r="V11" s="51" t="s">
        <v>19</v>
      </c>
      <c r="W11" s="51" t="s">
        <v>19</v>
      </c>
      <c r="X11" s="52" t="s">
        <v>19</v>
      </c>
      <c r="Y11" s="52" t="s">
        <v>20</v>
      </c>
      <c r="Z11" s="39" t="s">
        <v>20</v>
      </c>
      <c r="AA11" s="39" t="s">
        <v>20</v>
      </c>
      <c r="AB11" s="39" t="s">
        <v>20</v>
      </c>
      <c r="AC11" s="52" t="s">
        <v>20</v>
      </c>
      <c r="AD11" s="52" t="s">
        <v>20</v>
      </c>
      <c r="AE11" s="34">
        <f t="shared" si="0"/>
        <v>0</v>
      </c>
    </row>
    <row r="12" spans="1:31" x14ac:dyDescent="0.25">
      <c r="A12" s="89">
        <v>7</v>
      </c>
      <c r="B12" s="90" t="s">
        <v>213</v>
      </c>
      <c r="C12" s="89">
        <v>1</v>
      </c>
      <c r="D12" s="89" t="s">
        <v>19</v>
      </c>
      <c r="E12" s="51" t="s">
        <v>19</v>
      </c>
      <c r="F12" s="51" t="s">
        <v>19</v>
      </c>
      <c r="G12" s="51" t="s">
        <v>20</v>
      </c>
      <c r="H12" s="51" t="s">
        <v>19</v>
      </c>
      <c r="I12" s="51" t="s">
        <v>19</v>
      </c>
      <c r="J12" s="51" t="s">
        <v>19</v>
      </c>
      <c r="K12" s="51" t="s">
        <v>19</v>
      </c>
      <c r="L12" s="52" t="s">
        <v>19</v>
      </c>
      <c r="M12" s="52" t="s">
        <v>19</v>
      </c>
      <c r="N12" s="52" t="s">
        <v>19</v>
      </c>
      <c r="O12" s="52" t="s">
        <v>19</v>
      </c>
      <c r="P12" s="51" t="s">
        <v>19</v>
      </c>
      <c r="Q12" s="51" t="s">
        <v>19</v>
      </c>
      <c r="R12" s="52" t="s">
        <v>19</v>
      </c>
      <c r="S12" s="51" t="s">
        <v>19</v>
      </c>
      <c r="T12" s="51" t="s">
        <v>20</v>
      </c>
      <c r="U12" s="51" t="s">
        <v>19</v>
      </c>
      <c r="V12" s="51" t="s">
        <v>19</v>
      </c>
      <c r="W12" s="51" t="s">
        <v>19</v>
      </c>
      <c r="X12" s="52" t="s">
        <v>19</v>
      </c>
      <c r="Y12" s="52" t="s">
        <v>19</v>
      </c>
      <c r="Z12" s="39" t="s">
        <v>19</v>
      </c>
      <c r="AA12" s="39" t="s">
        <v>20</v>
      </c>
      <c r="AB12" s="39" t="s">
        <v>19</v>
      </c>
      <c r="AC12" s="52" t="s">
        <v>20</v>
      </c>
      <c r="AD12" s="52" t="s">
        <v>20</v>
      </c>
      <c r="AE12" s="34">
        <f t="shared" si="0"/>
        <v>0</v>
      </c>
    </row>
    <row r="13" spans="1:31" x14ac:dyDescent="0.25">
      <c r="A13" s="89">
        <v>8</v>
      </c>
      <c r="B13" s="90" t="s">
        <v>214</v>
      </c>
      <c r="C13" s="89">
        <v>1</v>
      </c>
      <c r="D13" s="89" t="s">
        <v>19</v>
      </c>
      <c r="E13" s="51" t="s">
        <v>20</v>
      </c>
      <c r="F13" s="51" t="s">
        <v>21</v>
      </c>
      <c r="G13" s="51" t="s">
        <v>20</v>
      </c>
      <c r="H13" s="51" t="s">
        <v>20</v>
      </c>
      <c r="I13" s="51" t="s">
        <v>20</v>
      </c>
      <c r="J13" s="51" t="s">
        <v>20</v>
      </c>
      <c r="K13" s="51" t="s">
        <v>20</v>
      </c>
      <c r="L13" s="52" t="s">
        <v>20</v>
      </c>
      <c r="M13" s="52" t="s">
        <v>20</v>
      </c>
      <c r="N13" s="52" t="s">
        <v>20</v>
      </c>
      <c r="O13" s="52" t="s">
        <v>20</v>
      </c>
      <c r="P13" s="51" t="s">
        <v>20</v>
      </c>
      <c r="Q13" s="51" t="s">
        <v>20</v>
      </c>
      <c r="R13" s="52" t="s">
        <v>21</v>
      </c>
      <c r="S13" s="51" t="s">
        <v>20</v>
      </c>
      <c r="T13" s="51" t="s">
        <v>20</v>
      </c>
      <c r="U13" s="51" t="s">
        <v>19</v>
      </c>
      <c r="V13" s="51" t="s">
        <v>20</v>
      </c>
      <c r="W13" s="51" t="s">
        <v>19</v>
      </c>
      <c r="X13" s="52" t="s">
        <v>20</v>
      </c>
      <c r="Y13" s="52" t="s">
        <v>20</v>
      </c>
      <c r="Z13" s="39" t="s">
        <v>20</v>
      </c>
      <c r="AA13" s="39" t="s">
        <v>21</v>
      </c>
      <c r="AB13" s="39" t="s">
        <v>21</v>
      </c>
      <c r="AC13" s="52" t="s">
        <v>21</v>
      </c>
      <c r="AD13" s="52" t="s">
        <v>20</v>
      </c>
      <c r="AE13" s="34">
        <f t="shared" si="0"/>
        <v>5</v>
      </c>
    </row>
    <row r="14" spans="1:31" x14ac:dyDescent="0.25">
      <c r="A14" s="89">
        <v>9</v>
      </c>
      <c r="B14" s="90" t="s">
        <v>215</v>
      </c>
      <c r="C14" s="89">
        <v>1</v>
      </c>
      <c r="D14" s="89" t="s">
        <v>19</v>
      </c>
      <c r="E14" s="51" t="s">
        <v>20</v>
      </c>
      <c r="F14" s="51" t="s">
        <v>20</v>
      </c>
      <c r="G14" s="51" t="s">
        <v>21</v>
      </c>
      <c r="H14" s="51" t="s">
        <v>20</v>
      </c>
      <c r="I14" s="51" t="s">
        <v>19</v>
      </c>
      <c r="J14" s="51" t="s">
        <v>19</v>
      </c>
      <c r="K14" s="51" t="s">
        <v>19</v>
      </c>
      <c r="L14" s="52" t="s">
        <v>19</v>
      </c>
      <c r="M14" s="52" t="s">
        <v>20</v>
      </c>
      <c r="N14" s="52" t="s">
        <v>19</v>
      </c>
      <c r="O14" s="52" t="s">
        <v>20</v>
      </c>
      <c r="P14" s="51" t="s">
        <v>20</v>
      </c>
      <c r="Q14" s="51" t="s">
        <v>20</v>
      </c>
      <c r="R14" s="52" t="s">
        <v>20</v>
      </c>
      <c r="S14" s="51" t="s">
        <v>19</v>
      </c>
      <c r="T14" s="51" t="s">
        <v>20</v>
      </c>
      <c r="U14" s="51" t="s">
        <v>20</v>
      </c>
      <c r="V14" s="51" t="s">
        <v>19</v>
      </c>
      <c r="W14" s="51" t="s">
        <v>19</v>
      </c>
      <c r="X14" s="52" t="s">
        <v>20</v>
      </c>
      <c r="Y14" s="52" t="s">
        <v>19</v>
      </c>
      <c r="Z14" s="39" t="s">
        <v>20</v>
      </c>
      <c r="AA14" s="39" t="s">
        <v>20</v>
      </c>
      <c r="AB14" s="39" t="s">
        <v>21</v>
      </c>
      <c r="AC14" s="52" t="s">
        <v>19</v>
      </c>
      <c r="AD14" s="52" t="s">
        <v>20</v>
      </c>
      <c r="AE14" s="34">
        <f t="shared" si="0"/>
        <v>2</v>
      </c>
    </row>
    <row r="15" spans="1:31" x14ac:dyDescent="0.25">
      <c r="A15" s="89">
        <v>10</v>
      </c>
      <c r="B15" s="90" t="s">
        <v>216</v>
      </c>
      <c r="C15" s="89">
        <v>1</v>
      </c>
      <c r="D15" s="89" t="s">
        <v>19</v>
      </c>
      <c r="E15" s="51" t="s">
        <v>20</v>
      </c>
      <c r="F15" s="51" t="s">
        <v>20</v>
      </c>
      <c r="G15" s="51" t="s">
        <v>20</v>
      </c>
      <c r="H15" s="51" t="s">
        <v>20</v>
      </c>
      <c r="I15" s="51" t="s">
        <v>20</v>
      </c>
      <c r="J15" s="51" t="s">
        <v>20</v>
      </c>
      <c r="K15" s="51" t="s">
        <v>20</v>
      </c>
      <c r="L15" s="52" t="s">
        <v>20</v>
      </c>
      <c r="M15" s="52" t="s">
        <v>20</v>
      </c>
      <c r="N15" s="52" t="s">
        <v>19</v>
      </c>
      <c r="O15" s="52" t="s">
        <v>20</v>
      </c>
      <c r="P15" s="51" t="s">
        <v>20</v>
      </c>
      <c r="Q15" s="51" t="s">
        <v>20</v>
      </c>
      <c r="R15" s="52" t="s">
        <v>19</v>
      </c>
      <c r="S15" s="51" t="s">
        <v>20</v>
      </c>
      <c r="T15" s="51" t="s">
        <v>20</v>
      </c>
      <c r="U15" s="51" t="s">
        <v>19</v>
      </c>
      <c r="V15" s="51" t="s">
        <v>19</v>
      </c>
      <c r="W15" s="51" t="s">
        <v>19</v>
      </c>
      <c r="X15" s="52" t="s">
        <v>20</v>
      </c>
      <c r="Y15" s="52" t="s">
        <v>19</v>
      </c>
      <c r="Z15" s="39" t="s">
        <v>20</v>
      </c>
      <c r="AA15" s="39" t="s">
        <v>20</v>
      </c>
      <c r="AB15" s="39" t="s">
        <v>21</v>
      </c>
      <c r="AC15" s="52" t="s">
        <v>20</v>
      </c>
      <c r="AD15" s="52" t="s">
        <v>20</v>
      </c>
      <c r="AE15" s="34">
        <f t="shared" si="0"/>
        <v>1</v>
      </c>
    </row>
    <row r="16" spans="1:31" x14ac:dyDescent="0.25">
      <c r="A16" s="89">
        <v>11</v>
      </c>
      <c r="B16" s="90" t="s">
        <v>217</v>
      </c>
      <c r="C16" s="89">
        <v>1</v>
      </c>
      <c r="D16" s="89" t="s">
        <v>19</v>
      </c>
      <c r="E16" s="51" t="s">
        <v>20</v>
      </c>
      <c r="F16" s="51" t="s">
        <v>20</v>
      </c>
      <c r="G16" s="51" t="s">
        <v>20</v>
      </c>
      <c r="H16" s="51" t="s">
        <v>20</v>
      </c>
      <c r="I16" s="51" t="s">
        <v>19</v>
      </c>
      <c r="J16" s="51" t="s">
        <v>19</v>
      </c>
      <c r="K16" s="51" t="s">
        <v>19</v>
      </c>
      <c r="L16" s="52" t="s">
        <v>20</v>
      </c>
      <c r="M16" s="52" t="s">
        <v>20</v>
      </c>
      <c r="N16" s="52" t="s">
        <v>19</v>
      </c>
      <c r="O16" s="52" t="s">
        <v>20</v>
      </c>
      <c r="P16" s="51" t="s">
        <v>20</v>
      </c>
      <c r="Q16" s="51" t="s">
        <v>21</v>
      </c>
      <c r="R16" s="52" t="s">
        <v>20</v>
      </c>
      <c r="S16" s="51" t="s">
        <v>19</v>
      </c>
      <c r="T16" s="51" t="s">
        <v>20</v>
      </c>
      <c r="U16" s="51" t="s">
        <v>19</v>
      </c>
      <c r="V16" s="51" t="s">
        <v>20</v>
      </c>
      <c r="W16" s="51" t="s">
        <v>19</v>
      </c>
      <c r="X16" s="52" t="s">
        <v>19</v>
      </c>
      <c r="Y16" s="52" t="s">
        <v>19</v>
      </c>
      <c r="Z16" s="39" t="s">
        <v>20</v>
      </c>
      <c r="AA16" s="39" t="s">
        <v>20</v>
      </c>
      <c r="AB16" s="39" t="s">
        <v>21</v>
      </c>
      <c r="AC16" s="52" t="s">
        <v>20</v>
      </c>
      <c r="AD16" s="52" t="s">
        <v>20</v>
      </c>
      <c r="AE16" s="34">
        <f t="shared" si="0"/>
        <v>2</v>
      </c>
    </row>
    <row r="17" spans="1:31" x14ac:dyDescent="0.25">
      <c r="A17" s="89">
        <v>12</v>
      </c>
      <c r="B17" s="90" t="s">
        <v>218</v>
      </c>
      <c r="C17" s="89">
        <v>1</v>
      </c>
      <c r="D17" s="89" t="s">
        <v>19</v>
      </c>
      <c r="E17" s="51" t="s">
        <v>20</v>
      </c>
      <c r="F17" s="51" t="s">
        <v>20</v>
      </c>
      <c r="G17" s="51" t="s">
        <v>20</v>
      </c>
      <c r="H17" s="51" t="s">
        <v>21</v>
      </c>
      <c r="I17" s="51" t="s">
        <v>20</v>
      </c>
      <c r="J17" s="51" t="s">
        <v>20</v>
      </c>
      <c r="K17" s="51" t="s">
        <v>20</v>
      </c>
      <c r="L17" s="52" t="s">
        <v>20</v>
      </c>
      <c r="M17" s="52" t="s">
        <v>20</v>
      </c>
      <c r="N17" s="52" t="s">
        <v>20</v>
      </c>
      <c r="O17" s="52" t="s">
        <v>20</v>
      </c>
      <c r="P17" s="51" t="s">
        <v>20</v>
      </c>
      <c r="Q17" s="51" t="s">
        <v>20</v>
      </c>
      <c r="R17" s="52" t="s">
        <v>21</v>
      </c>
      <c r="S17" s="51" t="s">
        <v>21</v>
      </c>
      <c r="T17" s="51" t="s">
        <v>20</v>
      </c>
      <c r="U17" s="51" t="s">
        <v>20</v>
      </c>
      <c r="V17" s="51" t="s">
        <v>20</v>
      </c>
      <c r="W17" s="51" t="s">
        <v>19</v>
      </c>
      <c r="X17" s="52" t="s">
        <v>19</v>
      </c>
      <c r="Y17" s="52" t="s">
        <v>19</v>
      </c>
      <c r="Z17" s="39" t="s">
        <v>21</v>
      </c>
      <c r="AA17" s="39" t="s">
        <v>21</v>
      </c>
      <c r="AB17" s="39" t="s">
        <v>21</v>
      </c>
      <c r="AC17" s="52" t="s">
        <v>21</v>
      </c>
      <c r="AD17" s="52" t="s">
        <v>20</v>
      </c>
      <c r="AE17" s="34">
        <f t="shared" si="0"/>
        <v>7</v>
      </c>
    </row>
    <row r="18" spans="1:31" x14ac:dyDescent="0.25">
      <c r="A18" s="89">
        <v>13</v>
      </c>
      <c r="B18" s="90" t="s">
        <v>219</v>
      </c>
      <c r="C18" s="89">
        <v>1</v>
      </c>
      <c r="D18" s="89" t="s">
        <v>19</v>
      </c>
      <c r="E18" s="51" t="s">
        <v>20</v>
      </c>
      <c r="F18" s="51" t="s">
        <v>20</v>
      </c>
      <c r="G18" s="51" t="s">
        <v>21</v>
      </c>
      <c r="H18" s="51" t="s">
        <v>20</v>
      </c>
      <c r="I18" s="51" t="s">
        <v>20</v>
      </c>
      <c r="J18" s="51" t="s">
        <v>20</v>
      </c>
      <c r="K18" s="51" t="s">
        <v>20</v>
      </c>
      <c r="L18" s="52" t="s">
        <v>20</v>
      </c>
      <c r="M18" s="52" t="s">
        <v>20</v>
      </c>
      <c r="N18" s="52" t="s">
        <v>20</v>
      </c>
      <c r="O18" s="52" t="s">
        <v>20</v>
      </c>
      <c r="P18" s="51" t="s">
        <v>20</v>
      </c>
      <c r="Q18" s="51" t="s">
        <v>20</v>
      </c>
      <c r="R18" s="52" t="s">
        <v>21</v>
      </c>
      <c r="S18" s="51" t="s">
        <v>21</v>
      </c>
      <c r="T18" s="51" t="s">
        <v>20</v>
      </c>
      <c r="U18" s="51" t="s">
        <v>20</v>
      </c>
      <c r="V18" s="51" t="s">
        <v>20</v>
      </c>
      <c r="W18" s="51" t="s">
        <v>19</v>
      </c>
      <c r="X18" s="52" t="s">
        <v>19</v>
      </c>
      <c r="Y18" s="52" t="s">
        <v>19</v>
      </c>
      <c r="Z18" s="39" t="s">
        <v>20</v>
      </c>
      <c r="AA18" s="39" t="s">
        <v>20</v>
      </c>
      <c r="AB18" s="39" t="s">
        <v>21</v>
      </c>
      <c r="AC18" s="52" t="s">
        <v>20</v>
      </c>
      <c r="AD18" s="52" t="s">
        <v>20</v>
      </c>
      <c r="AE18" s="34">
        <f t="shared" si="0"/>
        <v>4</v>
      </c>
    </row>
    <row r="19" spans="1:31" x14ac:dyDescent="0.25">
      <c r="A19" s="89">
        <v>14</v>
      </c>
      <c r="B19" s="90" t="s">
        <v>220</v>
      </c>
      <c r="C19" s="89">
        <v>1</v>
      </c>
      <c r="D19" s="89" t="s">
        <v>19</v>
      </c>
      <c r="E19" s="51" t="s">
        <v>20</v>
      </c>
      <c r="F19" s="51" t="s">
        <v>21</v>
      </c>
      <c r="G19" s="51" t="s">
        <v>20</v>
      </c>
      <c r="H19" s="51" t="s">
        <v>20</v>
      </c>
      <c r="I19" s="51" t="s">
        <v>20</v>
      </c>
      <c r="J19" s="51" t="s">
        <v>20</v>
      </c>
      <c r="K19" s="51" t="s">
        <v>20</v>
      </c>
      <c r="L19" s="52" t="s">
        <v>20</v>
      </c>
      <c r="M19" s="52" t="s">
        <v>20</v>
      </c>
      <c r="N19" s="52" t="s">
        <v>20</v>
      </c>
      <c r="O19" s="52" t="s">
        <v>20</v>
      </c>
      <c r="P19" s="51" t="s">
        <v>20</v>
      </c>
      <c r="Q19" s="51" t="s">
        <v>20</v>
      </c>
      <c r="R19" s="52" t="s">
        <v>21</v>
      </c>
      <c r="S19" s="51" t="s">
        <v>21</v>
      </c>
      <c r="T19" s="51" t="s">
        <v>20</v>
      </c>
      <c r="U19" s="51" t="s">
        <v>19</v>
      </c>
      <c r="V19" s="51" t="s">
        <v>20</v>
      </c>
      <c r="W19" s="51" t="s">
        <v>19</v>
      </c>
      <c r="X19" s="52" t="s">
        <v>20</v>
      </c>
      <c r="Y19" s="52" t="s">
        <v>19</v>
      </c>
      <c r="Z19" s="39" t="s">
        <v>20</v>
      </c>
      <c r="AA19" s="39" t="s">
        <v>21</v>
      </c>
      <c r="AB19" s="39" t="s">
        <v>21</v>
      </c>
      <c r="AC19" s="52" t="s">
        <v>20</v>
      </c>
      <c r="AD19" s="52" t="s">
        <v>20</v>
      </c>
      <c r="AE19" s="34">
        <f t="shared" si="0"/>
        <v>5</v>
      </c>
    </row>
    <row r="20" spans="1:31" x14ac:dyDescent="0.25">
      <c r="A20" s="89">
        <v>15</v>
      </c>
      <c r="B20" s="90" t="s">
        <v>221</v>
      </c>
      <c r="C20" s="89">
        <v>1</v>
      </c>
      <c r="D20" s="89" t="s">
        <v>19</v>
      </c>
      <c r="E20" s="51" t="s">
        <v>20</v>
      </c>
      <c r="F20" s="51" t="s">
        <v>20</v>
      </c>
      <c r="G20" s="51" t="s">
        <v>20</v>
      </c>
      <c r="H20" s="51" t="s">
        <v>20</v>
      </c>
      <c r="I20" s="51" t="s">
        <v>20</v>
      </c>
      <c r="J20" s="51" t="s">
        <v>20</v>
      </c>
      <c r="K20" s="51" t="s">
        <v>20</v>
      </c>
      <c r="L20" s="52" t="s">
        <v>19</v>
      </c>
      <c r="M20" s="52" t="s">
        <v>20</v>
      </c>
      <c r="N20" s="52" t="s">
        <v>19</v>
      </c>
      <c r="O20" s="52" t="s">
        <v>20</v>
      </c>
      <c r="P20" s="51" t="s">
        <v>20</v>
      </c>
      <c r="Q20" s="51" t="s">
        <v>20</v>
      </c>
      <c r="R20" s="52" t="s">
        <v>19</v>
      </c>
      <c r="S20" s="51" t="s">
        <v>20</v>
      </c>
      <c r="T20" s="51" t="s">
        <v>20</v>
      </c>
      <c r="U20" s="51" t="s">
        <v>20</v>
      </c>
      <c r="V20" s="51" t="s">
        <v>19</v>
      </c>
      <c r="W20" s="51" t="s">
        <v>19</v>
      </c>
      <c r="X20" s="52" t="s">
        <v>19</v>
      </c>
      <c r="Y20" s="52" t="s">
        <v>19</v>
      </c>
      <c r="Z20" s="39" t="s">
        <v>20</v>
      </c>
      <c r="AA20" s="39" t="s">
        <v>20</v>
      </c>
      <c r="AB20" s="39" t="s">
        <v>21</v>
      </c>
      <c r="AC20" s="52" t="s">
        <v>19</v>
      </c>
      <c r="AD20" s="52" t="s">
        <v>20</v>
      </c>
      <c r="AE20" s="34">
        <f t="shared" si="0"/>
        <v>1</v>
      </c>
    </row>
    <row r="21" spans="1:31" ht="15.75" customHeight="1" x14ac:dyDescent="0.25">
      <c r="A21" s="89">
        <v>16</v>
      </c>
      <c r="B21" s="90" t="s">
        <v>222</v>
      </c>
      <c r="C21" s="89">
        <v>1</v>
      </c>
      <c r="D21" s="89" t="s">
        <v>19</v>
      </c>
      <c r="E21" s="51" t="s">
        <v>20</v>
      </c>
      <c r="F21" s="51" t="s">
        <v>20</v>
      </c>
      <c r="G21" s="51" t="s">
        <v>20</v>
      </c>
      <c r="H21" s="51" t="s">
        <v>20</v>
      </c>
      <c r="I21" s="51" t="s">
        <v>19</v>
      </c>
      <c r="J21" s="51" t="s">
        <v>19</v>
      </c>
      <c r="K21" s="51" t="s">
        <v>19</v>
      </c>
      <c r="L21" s="52" t="s">
        <v>19</v>
      </c>
      <c r="M21" s="52" t="s">
        <v>19</v>
      </c>
      <c r="N21" s="52" t="s">
        <v>19</v>
      </c>
      <c r="O21" s="52" t="s">
        <v>19</v>
      </c>
      <c r="P21" s="51" t="s">
        <v>19</v>
      </c>
      <c r="Q21" s="51" t="s">
        <v>19</v>
      </c>
      <c r="R21" s="52" t="s">
        <v>19</v>
      </c>
      <c r="S21" s="51" t="s">
        <v>19</v>
      </c>
      <c r="T21" s="51" t="s">
        <v>19</v>
      </c>
      <c r="U21" s="51" t="s">
        <v>19</v>
      </c>
      <c r="V21" s="51" t="s">
        <v>19</v>
      </c>
      <c r="W21" s="51" t="s">
        <v>19</v>
      </c>
      <c r="X21" s="52" t="s">
        <v>19</v>
      </c>
      <c r="Y21" s="52" t="s">
        <v>19</v>
      </c>
      <c r="Z21" s="39" t="s">
        <v>19</v>
      </c>
      <c r="AA21" s="39" t="s">
        <v>20</v>
      </c>
      <c r="AB21" s="39" t="s">
        <v>19</v>
      </c>
      <c r="AC21" s="52" t="s">
        <v>19</v>
      </c>
      <c r="AD21" s="52" t="s">
        <v>20</v>
      </c>
      <c r="AE21" s="34">
        <f t="shared" si="0"/>
        <v>0</v>
      </c>
    </row>
    <row r="22" spans="1:31" ht="15.75" customHeight="1" x14ac:dyDescent="0.25">
      <c r="A22" s="89">
        <v>17</v>
      </c>
      <c r="B22" s="90" t="s">
        <v>223</v>
      </c>
      <c r="C22" s="89">
        <v>1</v>
      </c>
      <c r="D22" s="89" t="s">
        <v>19</v>
      </c>
      <c r="E22" s="51" t="s">
        <v>19</v>
      </c>
      <c r="F22" s="51" t="s">
        <v>19</v>
      </c>
      <c r="G22" s="51" t="s">
        <v>20</v>
      </c>
      <c r="H22" s="51" t="s">
        <v>19</v>
      </c>
      <c r="I22" s="51" t="s">
        <v>19</v>
      </c>
      <c r="J22" s="51" t="s">
        <v>19</v>
      </c>
      <c r="K22" s="51" t="s">
        <v>19</v>
      </c>
      <c r="L22" s="52" t="s">
        <v>19</v>
      </c>
      <c r="M22" s="52" t="s">
        <v>20</v>
      </c>
      <c r="N22" s="52" t="s">
        <v>19</v>
      </c>
      <c r="O22" s="52" t="s">
        <v>19</v>
      </c>
      <c r="P22" s="51" t="s">
        <v>19</v>
      </c>
      <c r="Q22" s="51" t="s">
        <v>20</v>
      </c>
      <c r="R22" s="52" t="s">
        <v>19</v>
      </c>
      <c r="S22" s="51" t="s">
        <v>19</v>
      </c>
      <c r="T22" s="51" t="s">
        <v>19</v>
      </c>
      <c r="U22" s="51" t="s">
        <v>19</v>
      </c>
      <c r="V22" s="51" t="s">
        <v>19</v>
      </c>
      <c r="W22" s="51" t="s">
        <v>19</v>
      </c>
      <c r="X22" s="52" t="s">
        <v>19</v>
      </c>
      <c r="Y22" s="52" t="s">
        <v>19</v>
      </c>
      <c r="Z22" s="39" t="s">
        <v>19</v>
      </c>
      <c r="AA22" s="39" t="s">
        <v>22</v>
      </c>
      <c r="AB22" s="39" t="s">
        <v>19</v>
      </c>
      <c r="AC22" s="52" t="s">
        <v>19</v>
      </c>
      <c r="AD22" s="52" t="s">
        <v>20</v>
      </c>
      <c r="AE22" s="34">
        <f t="shared" si="0"/>
        <v>0</v>
      </c>
    </row>
    <row r="23" spans="1:31" ht="15.75" customHeight="1" thickBot="1" x14ac:dyDescent="0.3">
      <c r="A23" s="91">
        <v>18</v>
      </c>
      <c r="B23" s="92" t="s">
        <v>224</v>
      </c>
      <c r="C23" s="91">
        <v>1</v>
      </c>
      <c r="D23" s="91" t="s">
        <v>19</v>
      </c>
      <c r="E23" s="87" t="s">
        <v>20</v>
      </c>
      <c r="F23" s="87" t="s">
        <v>20</v>
      </c>
      <c r="G23" s="87" t="s">
        <v>20</v>
      </c>
      <c r="H23" s="87" t="s">
        <v>20</v>
      </c>
      <c r="I23" s="87" t="s">
        <v>20</v>
      </c>
      <c r="J23" s="87" t="s">
        <v>20</v>
      </c>
      <c r="K23" s="87" t="s">
        <v>20</v>
      </c>
      <c r="L23" s="88" t="s">
        <v>20</v>
      </c>
      <c r="M23" s="88" t="s">
        <v>20</v>
      </c>
      <c r="N23" s="88" t="s">
        <v>19</v>
      </c>
      <c r="O23" s="88" t="s">
        <v>20</v>
      </c>
      <c r="P23" s="87" t="s">
        <v>20</v>
      </c>
      <c r="Q23" s="87" t="s">
        <v>20</v>
      </c>
      <c r="R23" s="88" t="s">
        <v>21</v>
      </c>
      <c r="S23" s="87" t="s">
        <v>21</v>
      </c>
      <c r="T23" s="87" t="s">
        <v>19</v>
      </c>
      <c r="U23" s="87" t="s">
        <v>20</v>
      </c>
      <c r="V23" s="87" t="s">
        <v>19</v>
      </c>
      <c r="W23" s="87" t="s">
        <v>19</v>
      </c>
      <c r="X23" s="88" t="s">
        <v>19</v>
      </c>
      <c r="Y23" s="88" t="s">
        <v>19</v>
      </c>
      <c r="Z23" s="41" t="s">
        <v>20</v>
      </c>
      <c r="AA23" s="41" t="s">
        <v>20</v>
      </c>
      <c r="AB23" s="41" t="s">
        <v>21</v>
      </c>
      <c r="AC23" s="88" t="s">
        <v>20</v>
      </c>
      <c r="AD23" s="88" t="s">
        <v>20</v>
      </c>
      <c r="AE23" s="34">
        <f t="shared" si="0"/>
        <v>3</v>
      </c>
    </row>
    <row r="24" spans="1:31" ht="15.75" customHeight="1" x14ac:dyDescent="0.25">
      <c r="A24" s="82">
        <v>1</v>
      </c>
      <c r="B24" s="40" t="s">
        <v>225</v>
      </c>
      <c r="C24" s="82">
        <v>1</v>
      </c>
      <c r="D24" s="82" t="s">
        <v>20</v>
      </c>
      <c r="E24" s="83" t="s">
        <v>22</v>
      </c>
      <c r="F24" s="83" t="s">
        <v>19</v>
      </c>
      <c r="G24" s="83" t="s">
        <v>19</v>
      </c>
      <c r="H24" s="83" t="s">
        <v>19</v>
      </c>
      <c r="I24" s="83" t="s">
        <v>19</v>
      </c>
      <c r="J24" s="83" t="s">
        <v>19</v>
      </c>
      <c r="K24" s="83" t="s">
        <v>19</v>
      </c>
      <c r="L24" s="84" t="s">
        <v>19</v>
      </c>
      <c r="M24" s="84" t="s">
        <v>19</v>
      </c>
      <c r="N24" s="84" t="s">
        <v>19</v>
      </c>
      <c r="O24" s="84" t="s">
        <v>19</v>
      </c>
      <c r="P24" s="83" t="s">
        <v>19</v>
      </c>
      <c r="Q24" s="83" t="s">
        <v>19</v>
      </c>
      <c r="R24" s="84" t="s">
        <v>19</v>
      </c>
      <c r="S24" s="83" t="s">
        <v>19</v>
      </c>
      <c r="T24" s="83" t="s">
        <v>19</v>
      </c>
      <c r="U24" s="83" t="s">
        <v>19</v>
      </c>
      <c r="V24" s="83" t="s">
        <v>19</v>
      </c>
      <c r="W24" s="83" t="s">
        <v>19</v>
      </c>
      <c r="X24" s="84" t="s">
        <v>19</v>
      </c>
      <c r="Y24" s="84" t="s">
        <v>19</v>
      </c>
      <c r="Z24" s="85" t="s">
        <v>19</v>
      </c>
      <c r="AA24" s="85" t="s">
        <v>19</v>
      </c>
      <c r="AB24" s="86" t="s">
        <v>19</v>
      </c>
      <c r="AC24" s="84" t="s">
        <v>19</v>
      </c>
      <c r="AD24" s="84" t="s">
        <v>20</v>
      </c>
      <c r="AE24" s="34">
        <f t="shared" si="0"/>
        <v>0</v>
      </c>
    </row>
    <row r="25" spans="1:31" ht="15.75" customHeight="1" x14ac:dyDescent="0.25">
      <c r="A25" s="20">
        <v>2</v>
      </c>
      <c r="B25" s="37" t="s">
        <v>226</v>
      </c>
      <c r="C25" s="20">
        <v>1</v>
      </c>
      <c r="D25" s="20" t="s">
        <v>20</v>
      </c>
      <c r="E25" s="51" t="s">
        <v>20</v>
      </c>
      <c r="F25" s="51" t="s">
        <v>20</v>
      </c>
      <c r="G25" s="51" t="s">
        <v>20</v>
      </c>
      <c r="H25" s="51" t="s">
        <v>20</v>
      </c>
      <c r="I25" s="51" t="s">
        <v>19</v>
      </c>
      <c r="J25" s="51" t="s">
        <v>20</v>
      </c>
      <c r="K25" s="51" t="s">
        <v>20</v>
      </c>
      <c r="L25" s="52" t="s">
        <v>19</v>
      </c>
      <c r="M25" s="52" t="s">
        <v>19</v>
      </c>
      <c r="N25" s="52" t="s">
        <v>19</v>
      </c>
      <c r="O25" s="52" t="s">
        <v>19</v>
      </c>
      <c r="P25" s="51" t="s">
        <v>19</v>
      </c>
      <c r="Q25" s="51" t="s">
        <v>20</v>
      </c>
      <c r="R25" s="52" t="s">
        <v>19</v>
      </c>
      <c r="S25" s="51" t="s">
        <v>19</v>
      </c>
      <c r="T25" s="51" t="s">
        <v>20</v>
      </c>
      <c r="U25" s="51" t="s">
        <v>19</v>
      </c>
      <c r="V25" s="51" t="s">
        <v>19</v>
      </c>
      <c r="W25" s="51" t="s">
        <v>19</v>
      </c>
      <c r="X25" s="52" t="s">
        <v>19</v>
      </c>
      <c r="Y25" s="52" t="s">
        <v>19</v>
      </c>
      <c r="Z25" s="61" t="s">
        <v>19</v>
      </c>
      <c r="AA25" s="61" t="s">
        <v>20</v>
      </c>
      <c r="AB25" s="39" t="s">
        <v>19</v>
      </c>
      <c r="AC25" s="52" t="s">
        <v>19</v>
      </c>
      <c r="AD25" s="52" t="s">
        <v>20</v>
      </c>
      <c r="AE25" s="34">
        <f t="shared" si="0"/>
        <v>0</v>
      </c>
    </row>
    <row r="26" spans="1:31" ht="15.75" customHeight="1" x14ac:dyDescent="0.25">
      <c r="A26" s="20">
        <v>3</v>
      </c>
      <c r="B26" s="37" t="s">
        <v>227</v>
      </c>
      <c r="C26" s="20">
        <v>1</v>
      </c>
      <c r="D26" s="20" t="s">
        <v>20</v>
      </c>
      <c r="E26" s="51" t="s">
        <v>20</v>
      </c>
      <c r="F26" s="51" t="s">
        <v>19</v>
      </c>
      <c r="G26" s="51" t="s">
        <v>20</v>
      </c>
      <c r="H26" s="51" t="s">
        <v>20</v>
      </c>
      <c r="I26" s="51" t="s">
        <v>20</v>
      </c>
      <c r="J26" s="51" t="s">
        <v>19</v>
      </c>
      <c r="K26" s="51" t="s">
        <v>20</v>
      </c>
      <c r="L26" s="52" t="s">
        <v>19</v>
      </c>
      <c r="M26" s="52" t="s">
        <v>19</v>
      </c>
      <c r="N26" s="52" t="s">
        <v>19</v>
      </c>
      <c r="O26" s="52" t="s">
        <v>19</v>
      </c>
      <c r="P26" s="51" t="s">
        <v>20</v>
      </c>
      <c r="Q26" s="51" t="s">
        <v>20</v>
      </c>
      <c r="R26" s="52" t="s">
        <v>19</v>
      </c>
      <c r="S26" s="51" t="s">
        <v>19</v>
      </c>
      <c r="T26" s="51" t="s">
        <v>20</v>
      </c>
      <c r="U26" s="51" t="s">
        <v>19</v>
      </c>
      <c r="V26" s="51" t="s">
        <v>19</v>
      </c>
      <c r="W26" s="51" t="s">
        <v>19</v>
      </c>
      <c r="X26" s="52" t="s">
        <v>19</v>
      </c>
      <c r="Y26" s="52" t="s">
        <v>19</v>
      </c>
      <c r="Z26" s="61" t="s">
        <v>19</v>
      </c>
      <c r="AA26" s="61" t="s">
        <v>20</v>
      </c>
      <c r="AB26" s="39" t="s">
        <v>20</v>
      </c>
      <c r="AC26" s="52" t="s">
        <v>19</v>
      </c>
      <c r="AD26" s="52" t="s">
        <v>20</v>
      </c>
      <c r="AE26" s="34">
        <f t="shared" si="0"/>
        <v>0</v>
      </c>
    </row>
    <row r="27" spans="1:31" ht="15.75" customHeight="1" x14ac:dyDescent="0.25">
      <c r="A27" s="20">
        <v>4</v>
      </c>
      <c r="B27" s="37" t="s">
        <v>228</v>
      </c>
      <c r="C27" s="20">
        <v>1</v>
      </c>
      <c r="D27" s="20" t="s">
        <v>20</v>
      </c>
      <c r="E27" s="51" t="s">
        <v>19</v>
      </c>
      <c r="F27" s="51" t="s">
        <v>19</v>
      </c>
      <c r="G27" s="51" t="s">
        <v>19</v>
      </c>
      <c r="H27" s="51" t="s">
        <v>19</v>
      </c>
      <c r="I27" s="51" t="s">
        <v>20</v>
      </c>
      <c r="J27" s="51" t="s">
        <v>20</v>
      </c>
      <c r="K27" s="51" t="s">
        <v>20</v>
      </c>
      <c r="L27" s="51" t="s">
        <v>20</v>
      </c>
      <c r="M27" s="51" t="s">
        <v>19</v>
      </c>
      <c r="N27" s="51" t="s">
        <v>19</v>
      </c>
      <c r="O27" s="51" t="s">
        <v>20</v>
      </c>
      <c r="P27" s="51" t="s">
        <v>20</v>
      </c>
      <c r="Q27" s="51" t="s">
        <v>20</v>
      </c>
      <c r="R27" s="51" t="s">
        <v>19</v>
      </c>
      <c r="S27" s="51" t="s">
        <v>19</v>
      </c>
      <c r="T27" s="51" t="s">
        <v>20</v>
      </c>
      <c r="U27" s="51" t="s">
        <v>19</v>
      </c>
      <c r="V27" s="51" t="s">
        <v>19</v>
      </c>
      <c r="W27" s="51" t="s">
        <v>19</v>
      </c>
      <c r="X27" s="52" t="s">
        <v>20</v>
      </c>
      <c r="Y27" s="51" t="s">
        <v>19</v>
      </c>
      <c r="Z27" s="61" t="s">
        <v>20</v>
      </c>
      <c r="AA27" s="61" t="s">
        <v>20</v>
      </c>
      <c r="AB27" s="39" t="s">
        <v>20</v>
      </c>
      <c r="AC27" s="53" t="s">
        <v>20</v>
      </c>
      <c r="AD27" s="53" t="s">
        <v>20</v>
      </c>
      <c r="AE27" s="34">
        <f t="shared" si="0"/>
        <v>0</v>
      </c>
    </row>
    <row r="28" spans="1:31" ht="15.75" customHeight="1" x14ac:dyDescent="0.25">
      <c r="A28" s="20">
        <v>5</v>
      </c>
      <c r="B28" s="37" t="s">
        <v>229</v>
      </c>
      <c r="C28" s="20">
        <v>1</v>
      </c>
      <c r="D28" s="20" t="s">
        <v>20</v>
      </c>
      <c r="E28" s="51" t="s">
        <v>20</v>
      </c>
      <c r="F28" s="51" t="s">
        <v>20</v>
      </c>
      <c r="G28" s="51" t="s">
        <v>19</v>
      </c>
      <c r="H28" s="51" t="s">
        <v>20</v>
      </c>
      <c r="I28" s="51" t="s">
        <v>20</v>
      </c>
      <c r="J28" s="51" t="s">
        <v>20</v>
      </c>
      <c r="K28" s="51" t="s">
        <v>20</v>
      </c>
      <c r="L28" s="51" t="s">
        <v>19</v>
      </c>
      <c r="M28" s="51" t="s">
        <v>20</v>
      </c>
      <c r="N28" s="51" t="s">
        <v>19</v>
      </c>
      <c r="O28" s="51" t="s">
        <v>20</v>
      </c>
      <c r="P28" s="51" t="s">
        <v>20</v>
      </c>
      <c r="Q28" s="51" t="s">
        <v>20</v>
      </c>
      <c r="R28" s="51" t="s">
        <v>19</v>
      </c>
      <c r="S28" s="51" t="s">
        <v>19</v>
      </c>
      <c r="T28" s="51" t="s">
        <v>20</v>
      </c>
      <c r="U28" s="51" t="s">
        <v>19</v>
      </c>
      <c r="V28" s="51" t="s">
        <v>19</v>
      </c>
      <c r="W28" s="51" t="s">
        <v>19</v>
      </c>
      <c r="X28" s="52" t="s">
        <v>20</v>
      </c>
      <c r="Y28" s="51" t="s">
        <v>19</v>
      </c>
      <c r="Z28" s="61" t="s">
        <v>19</v>
      </c>
      <c r="AA28" s="61" t="s">
        <v>19</v>
      </c>
      <c r="AB28" s="39" t="s">
        <v>20</v>
      </c>
      <c r="AC28" s="53" t="s">
        <v>20</v>
      </c>
      <c r="AD28" s="53" t="s">
        <v>20</v>
      </c>
      <c r="AE28" s="34">
        <f t="shared" si="0"/>
        <v>0</v>
      </c>
    </row>
    <row r="29" spans="1:31" ht="15.75" customHeight="1" x14ac:dyDescent="0.25">
      <c r="A29" s="20">
        <v>6</v>
      </c>
      <c r="B29" s="37" t="s">
        <v>230</v>
      </c>
      <c r="C29" s="20">
        <v>1</v>
      </c>
      <c r="D29" s="20" t="s">
        <v>20</v>
      </c>
      <c r="E29" s="51" t="s">
        <v>19</v>
      </c>
      <c r="F29" s="51" t="s">
        <v>19</v>
      </c>
      <c r="G29" s="51" t="s">
        <v>20</v>
      </c>
      <c r="H29" s="51" t="s">
        <v>19</v>
      </c>
      <c r="I29" s="51" t="s">
        <v>20</v>
      </c>
      <c r="J29" s="51" t="s">
        <v>19</v>
      </c>
      <c r="K29" s="51" t="s">
        <v>20</v>
      </c>
      <c r="L29" s="51" t="s">
        <v>19</v>
      </c>
      <c r="M29" s="51" t="s">
        <v>20</v>
      </c>
      <c r="N29" s="51" t="s">
        <v>19</v>
      </c>
      <c r="O29" s="51" t="s">
        <v>20</v>
      </c>
      <c r="P29" s="51" t="s">
        <v>20</v>
      </c>
      <c r="Q29" s="51" t="s">
        <v>20</v>
      </c>
      <c r="R29" s="51" t="s">
        <v>20</v>
      </c>
      <c r="S29" s="51" t="s">
        <v>19</v>
      </c>
      <c r="T29" s="51" t="s">
        <v>20</v>
      </c>
      <c r="U29" s="51" t="s">
        <v>19</v>
      </c>
      <c r="V29" s="51" t="s">
        <v>19</v>
      </c>
      <c r="W29" s="51" t="s">
        <v>19</v>
      </c>
      <c r="X29" s="52" t="s">
        <v>19</v>
      </c>
      <c r="Y29" s="51" t="s">
        <v>19</v>
      </c>
      <c r="Z29" s="61" t="s">
        <v>19</v>
      </c>
      <c r="AA29" s="61" t="s">
        <v>19</v>
      </c>
      <c r="AB29" s="39" t="s">
        <v>19</v>
      </c>
      <c r="AC29" s="53" t="s">
        <v>20</v>
      </c>
      <c r="AD29" s="53" t="s">
        <v>20</v>
      </c>
      <c r="AE29" s="34">
        <f t="shared" si="0"/>
        <v>0</v>
      </c>
    </row>
    <row r="30" spans="1:31" ht="15.75" customHeight="1" x14ac:dyDescent="0.25">
      <c r="A30" s="20">
        <v>7</v>
      </c>
      <c r="B30" s="37" t="s">
        <v>231</v>
      </c>
      <c r="C30" s="20">
        <v>1</v>
      </c>
      <c r="D30" s="20" t="s">
        <v>20</v>
      </c>
      <c r="E30" s="51" t="s">
        <v>20</v>
      </c>
      <c r="F30" s="51" t="s">
        <v>20</v>
      </c>
      <c r="G30" s="51" t="s">
        <v>19</v>
      </c>
      <c r="H30" s="51" t="s">
        <v>20</v>
      </c>
      <c r="I30" s="51" t="s">
        <v>19</v>
      </c>
      <c r="J30" s="51" t="s">
        <v>19</v>
      </c>
      <c r="K30" s="51" t="s">
        <v>20</v>
      </c>
      <c r="L30" s="51" t="s">
        <v>19</v>
      </c>
      <c r="M30" s="51" t="s">
        <v>20</v>
      </c>
      <c r="N30" s="51" t="s">
        <v>19</v>
      </c>
      <c r="O30" s="51" t="s">
        <v>19</v>
      </c>
      <c r="P30" s="51" t="s">
        <v>20</v>
      </c>
      <c r="Q30" s="51" t="s">
        <v>19</v>
      </c>
      <c r="R30" s="51" t="s">
        <v>19</v>
      </c>
      <c r="S30" s="51" t="s">
        <v>19</v>
      </c>
      <c r="T30" s="51" t="s">
        <v>20</v>
      </c>
      <c r="U30" s="51" t="s">
        <v>19</v>
      </c>
      <c r="V30" s="51" t="s">
        <v>19</v>
      </c>
      <c r="W30" s="51" t="s">
        <v>20</v>
      </c>
      <c r="X30" s="52" t="s">
        <v>19</v>
      </c>
      <c r="Y30" s="51" t="s">
        <v>19</v>
      </c>
      <c r="Z30" s="61" t="s">
        <v>19</v>
      </c>
      <c r="AA30" s="61" t="s">
        <v>19</v>
      </c>
      <c r="AB30" s="39" t="s">
        <v>19</v>
      </c>
      <c r="AC30" s="53" t="s">
        <v>20</v>
      </c>
      <c r="AD30" s="53" t="s">
        <v>20</v>
      </c>
      <c r="AE30" s="34">
        <f t="shared" si="0"/>
        <v>0</v>
      </c>
    </row>
    <row r="31" spans="1:31" ht="15.75" customHeight="1" x14ac:dyDescent="0.25">
      <c r="A31" s="20">
        <v>8</v>
      </c>
      <c r="B31" s="37" t="s">
        <v>232</v>
      </c>
      <c r="C31" s="20">
        <v>1</v>
      </c>
      <c r="D31" s="20" t="s">
        <v>20</v>
      </c>
      <c r="E31" s="51" t="s">
        <v>19</v>
      </c>
      <c r="F31" s="51" t="s">
        <v>20</v>
      </c>
      <c r="G31" s="51" t="s">
        <v>20</v>
      </c>
      <c r="H31" s="51" t="s">
        <v>20</v>
      </c>
      <c r="I31" s="51" t="s">
        <v>19</v>
      </c>
      <c r="J31" s="51" t="s">
        <v>20</v>
      </c>
      <c r="K31" s="51" t="s">
        <v>20</v>
      </c>
      <c r="L31" s="51" t="s">
        <v>19</v>
      </c>
      <c r="M31" s="51" t="s">
        <v>20</v>
      </c>
      <c r="N31" s="51" t="s">
        <v>20</v>
      </c>
      <c r="O31" s="51" t="s">
        <v>20</v>
      </c>
      <c r="P31" s="51" t="s">
        <v>20</v>
      </c>
      <c r="Q31" s="51" t="s">
        <v>20</v>
      </c>
      <c r="R31" s="51" t="s">
        <v>19</v>
      </c>
      <c r="S31" s="51" t="s">
        <v>19</v>
      </c>
      <c r="T31" s="51" t="s">
        <v>19</v>
      </c>
      <c r="U31" s="51" t="s">
        <v>20</v>
      </c>
      <c r="V31" s="51" t="s">
        <v>19</v>
      </c>
      <c r="W31" s="51" t="s">
        <v>20</v>
      </c>
      <c r="X31" s="52" t="s">
        <v>20</v>
      </c>
      <c r="Y31" s="51" t="s">
        <v>19</v>
      </c>
      <c r="Z31" s="61" t="s">
        <v>19</v>
      </c>
      <c r="AA31" s="61" t="s">
        <v>19</v>
      </c>
      <c r="AB31" s="39" t="s">
        <v>19</v>
      </c>
      <c r="AC31" s="53" t="s">
        <v>19</v>
      </c>
      <c r="AD31" s="53" t="s">
        <v>20</v>
      </c>
      <c r="AE31" s="34">
        <f t="shared" si="0"/>
        <v>0</v>
      </c>
    </row>
    <row r="32" spans="1:31" ht="15.75" customHeight="1" x14ac:dyDescent="0.25">
      <c r="A32" s="20">
        <v>9</v>
      </c>
      <c r="B32" s="37" t="s">
        <v>233</v>
      </c>
      <c r="C32" s="20">
        <v>1</v>
      </c>
      <c r="D32" s="20" t="s">
        <v>20</v>
      </c>
      <c r="E32" s="51" t="s">
        <v>19</v>
      </c>
      <c r="F32" s="51" t="s">
        <v>20</v>
      </c>
      <c r="G32" s="51" t="s">
        <v>20</v>
      </c>
      <c r="H32" s="51" t="s">
        <v>20</v>
      </c>
      <c r="I32" s="51" t="s">
        <v>20</v>
      </c>
      <c r="J32" s="51" t="s">
        <v>20</v>
      </c>
      <c r="K32" s="51" t="s">
        <v>19</v>
      </c>
      <c r="L32" s="51" t="s">
        <v>19</v>
      </c>
      <c r="M32" s="51" t="s">
        <v>19</v>
      </c>
      <c r="N32" s="51" t="s">
        <v>19</v>
      </c>
      <c r="O32" s="51" t="s">
        <v>19</v>
      </c>
      <c r="P32" s="51" t="s">
        <v>19</v>
      </c>
      <c r="Q32" s="51" t="s">
        <v>19</v>
      </c>
      <c r="R32" s="51" t="s">
        <v>19</v>
      </c>
      <c r="S32" s="51" t="s">
        <v>19</v>
      </c>
      <c r="T32" s="51" t="s">
        <v>20</v>
      </c>
      <c r="U32" s="51" t="s">
        <v>19</v>
      </c>
      <c r="V32" s="51" t="s">
        <v>19</v>
      </c>
      <c r="W32" s="51" t="s">
        <v>19</v>
      </c>
      <c r="X32" s="52" t="s">
        <v>19</v>
      </c>
      <c r="Y32" s="51" t="s">
        <v>19</v>
      </c>
      <c r="Z32" s="61" t="s">
        <v>20</v>
      </c>
      <c r="AA32" s="61" t="s">
        <v>20</v>
      </c>
      <c r="AB32" s="39" t="s">
        <v>20</v>
      </c>
      <c r="AC32" s="53" t="s">
        <v>20</v>
      </c>
      <c r="AD32" s="53" t="s">
        <v>20</v>
      </c>
      <c r="AE32" s="34">
        <f t="shared" si="0"/>
        <v>0</v>
      </c>
    </row>
    <row r="33" spans="1:31" ht="15.75" customHeight="1" x14ac:dyDescent="0.25">
      <c r="A33" s="20">
        <v>10</v>
      </c>
      <c r="B33" s="37" t="s">
        <v>234</v>
      </c>
      <c r="C33" s="20">
        <v>1</v>
      </c>
      <c r="D33" s="20" t="s">
        <v>20</v>
      </c>
      <c r="E33" s="51" t="s">
        <v>19</v>
      </c>
      <c r="F33" s="51" t="s">
        <v>20</v>
      </c>
      <c r="G33" s="51" t="s">
        <v>19</v>
      </c>
      <c r="H33" s="51" t="s">
        <v>20</v>
      </c>
      <c r="I33" s="51" t="s">
        <v>20</v>
      </c>
      <c r="J33" s="51" t="s">
        <v>20</v>
      </c>
      <c r="K33" s="51" t="s">
        <v>20</v>
      </c>
      <c r="L33" s="51" t="s">
        <v>19</v>
      </c>
      <c r="M33" s="51" t="s">
        <v>19</v>
      </c>
      <c r="N33" s="51" t="s">
        <v>19</v>
      </c>
      <c r="O33" s="51" t="s">
        <v>20</v>
      </c>
      <c r="P33" s="51" t="s">
        <v>19</v>
      </c>
      <c r="Q33" s="51" t="s">
        <v>20</v>
      </c>
      <c r="R33" s="51" t="s">
        <v>19</v>
      </c>
      <c r="S33" s="51" t="s">
        <v>19</v>
      </c>
      <c r="T33" s="51" t="s">
        <v>19</v>
      </c>
      <c r="U33" s="51" t="s">
        <v>19</v>
      </c>
      <c r="V33" s="51" t="s">
        <v>19</v>
      </c>
      <c r="W33" s="51" t="s">
        <v>19</v>
      </c>
      <c r="X33" s="52" t="s">
        <v>19</v>
      </c>
      <c r="Y33" s="51" t="s">
        <v>19</v>
      </c>
      <c r="Z33" s="61" t="s">
        <v>20</v>
      </c>
      <c r="AA33" s="61" t="s">
        <v>20</v>
      </c>
      <c r="AB33" s="39" t="s">
        <v>19</v>
      </c>
      <c r="AC33" s="53" t="s">
        <v>19</v>
      </c>
      <c r="AD33" s="53" t="s">
        <v>20</v>
      </c>
      <c r="AE33" s="34">
        <f t="shared" si="0"/>
        <v>0</v>
      </c>
    </row>
    <row r="34" spans="1:31" ht="15.75" customHeight="1" x14ac:dyDescent="0.25">
      <c r="A34" s="20">
        <v>11</v>
      </c>
      <c r="B34" s="37" t="s">
        <v>235</v>
      </c>
      <c r="C34" s="20">
        <v>1</v>
      </c>
      <c r="D34" s="20" t="s">
        <v>20</v>
      </c>
      <c r="E34" s="51" t="s">
        <v>22</v>
      </c>
      <c r="F34" s="51" t="s">
        <v>19</v>
      </c>
      <c r="G34" s="51" t="s">
        <v>19</v>
      </c>
      <c r="H34" s="51" t="s">
        <v>19</v>
      </c>
      <c r="I34" s="51" t="s">
        <v>19</v>
      </c>
      <c r="J34" s="51" t="s">
        <v>19</v>
      </c>
      <c r="K34" s="51" t="s">
        <v>19</v>
      </c>
      <c r="L34" s="51" t="s">
        <v>19</v>
      </c>
      <c r="M34" s="51" t="s">
        <v>19</v>
      </c>
      <c r="N34" s="51" t="s">
        <v>19</v>
      </c>
      <c r="O34" s="51" t="s">
        <v>19</v>
      </c>
      <c r="P34" s="51" t="s">
        <v>19</v>
      </c>
      <c r="Q34" s="51" t="s">
        <v>19</v>
      </c>
      <c r="R34" s="51" t="s">
        <v>19</v>
      </c>
      <c r="S34" s="51" t="s">
        <v>19</v>
      </c>
      <c r="T34" s="51" t="s">
        <v>19</v>
      </c>
      <c r="U34" s="51" t="s">
        <v>19</v>
      </c>
      <c r="V34" s="51" t="s">
        <v>19</v>
      </c>
      <c r="W34" s="51" t="s">
        <v>20</v>
      </c>
      <c r="X34" s="52" t="s">
        <v>19</v>
      </c>
      <c r="Y34" s="51" t="s">
        <v>19</v>
      </c>
      <c r="Z34" s="61" t="s">
        <v>19</v>
      </c>
      <c r="AA34" s="61" t="s">
        <v>19</v>
      </c>
      <c r="AB34" s="39" t="s">
        <v>19</v>
      </c>
      <c r="AC34" s="53" t="s">
        <v>19</v>
      </c>
      <c r="AD34" s="53" t="s">
        <v>20</v>
      </c>
      <c r="AE34" s="34">
        <f t="shared" si="0"/>
        <v>0</v>
      </c>
    </row>
    <row r="35" spans="1:31" ht="15.75" customHeight="1" x14ac:dyDescent="0.25">
      <c r="A35" s="20">
        <v>12</v>
      </c>
      <c r="B35" s="37" t="s">
        <v>236</v>
      </c>
      <c r="C35" s="20">
        <v>1</v>
      </c>
      <c r="D35" s="20" t="s">
        <v>20</v>
      </c>
      <c r="E35" s="51" t="s">
        <v>19</v>
      </c>
      <c r="F35" s="51" t="s">
        <v>20</v>
      </c>
      <c r="G35" s="51" t="s">
        <v>19</v>
      </c>
      <c r="H35" s="51" t="s">
        <v>20</v>
      </c>
      <c r="I35" s="51" t="s">
        <v>19</v>
      </c>
      <c r="J35" s="51" t="s">
        <v>20</v>
      </c>
      <c r="K35" s="51" t="s">
        <v>20</v>
      </c>
      <c r="L35" s="51" t="s">
        <v>19</v>
      </c>
      <c r="M35" s="51" t="s">
        <v>19</v>
      </c>
      <c r="N35" s="51" t="s">
        <v>19</v>
      </c>
      <c r="O35" s="51" t="s">
        <v>19</v>
      </c>
      <c r="P35" s="51" t="s">
        <v>19</v>
      </c>
      <c r="Q35" s="51" t="s">
        <v>19</v>
      </c>
      <c r="R35" s="51" t="s">
        <v>19</v>
      </c>
      <c r="S35" s="51" t="s">
        <v>19</v>
      </c>
      <c r="T35" s="51" t="s">
        <v>19</v>
      </c>
      <c r="U35" s="51" t="s">
        <v>20</v>
      </c>
      <c r="V35" s="51" t="s">
        <v>19</v>
      </c>
      <c r="W35" s="51" t="s">
        <v>20</v>
      </c>
      <c r="X35" s="52" t="s">
        <v>20</v>
      </c>
      <c r="Y35" s="51" t="s">
        <v>19</v>
      </c>
      <c r="Z35" s="61" t="s">
        <v>20</v>
      </c>
      <c r="AA35" s="61" t="s">
        <v>20</v>
      </c>
      <c r="AB35" s="39" t="s">
        <v>20</v>
      </c>
      <c r="AC35" s="53" t="s">
        <v>20</v>
      </c>
      <c r="AD35" s="53" t="s">
        <v>20</v>
      </c>
      <c r="AE35" s="34">
        <f t="shared" si="0"/>
        <v>0</v>
      </c>
    </row>
    <row r="36" spans="1:31" ht="15.75" customHeight="1" x14ac:dyDescent="0.25">
      <c r="A36" s="20">
        <v>13</v>
      </c>
      <c r="B36" s="37" t="s">
        <v>237</v>
      </c>
      <c r="C36" s="20">
        <v>1</v>
      </c>
      <c r="D36" s="20" t="s">
        <v>20</v>
      </c>
      <c r="E36" s="51" t="s">
        <v>20</v>
      </c>
      <c r="F36" s="51" t="s">
        <v>19</v>
      </c>
      <c r="G36" s="51" t="s">
        <v>20</v>
      </c>
      <c r="H36" s="51" t="s">
        <v>20</v>
      </c>
      <c r="I36" s="51" t="s">
        <v>19</v>
      </c>
      <c r="J36" s="51" t="s">
        <v>20</v>
      </c>
      <c r="K36" s="51" t="s">
        <v>20</v>
      </c>
      <c r="L36" s="51" t="s">
        <v>20</v>
      </c>
      <c r="M36" s="51" t="s">
        <v>19</v>
      </c>
      <c r="N36" s="51" t="s">
        <v>19</v>
      </c>
      <c r="O36" s="51" t="s">
        <v>20</v>
      </c>
      <c r="P36" s="51" t="s">
        <v>20</v>
      </c>
      <c r="Q36" s="51" t="s">
        <v>20</v>
      </c>
      <c r="R36" s="51" t="s">
        <v>20</v>
      </c>
      <c r="S36" s="51" t="s">
        <v>19</v>
      </c>
      <c r="T36" s="51" t="s">
        <v>19</v>
      </c>
      <c r="U36" s="51" t="s">
        <v>19</v>
      </c>
      <c r="V36" s="51" t="s">
        <v>19</v>
      </c>
      <c r="W36" s="51" t="s">
        <v>19</v>
      </c>
      <c r="X36" s="52" t="s">
        <v>19</v>
      </c>
      <c r="Y36" s="51" t="s">
        <v>19</v>
      </c>
      <c r="Z36" s="61" t="s">
        <v>19</v>
      </c>
      <c r="AA36" s="61" t="s">
        <v>19</v>
      </c>
      <c r="AB36" s="39" t="s">
        <v>20</v>
      </c>
      <c r="AC36" s="53" t="s">
        <v>20</v>
      </c>
      <c r="AD36" s="53" t="s">
        <v>20</v>
      </c>
      <c r="AE36" s="34">
        <f t="shared" si="0"/>
        <v>0</v>
      </c>
    </row>
    <row r="37" spans="1:31" ht="15.75" customHeight="1" x14ac:dyDescent="0.25">
      <c r="A37" s="20">
        <v>14</v>
      </c>
      <c r="B37" s="37" t="s">
        <v>238</v>
      </c>
      <c r="C37" s="20">
        <v>1</v>
      </c>
      <c r="D37" s="20" t="s">
        <v>20</v>
      </c>
      <c r="E37" s="51" t="s">
        <v>19</v>
      </c>
      <c r="F37" s="51" t="s">
        <v>19</v>
      </c>
      <c r="G37" s="51" t="s">
        <v>19</v>
      </c>
      <c r="H37" s="51" t="s">
        <v>19</v>
      </c>
      <c r="I37" s="51" t="s">
        <v>19</v>
      </c>
      <c r="J37" s="51" t="s">
        <v>19</v>
      </c>
      <c r="K37" s="51" t="s">
        <v>19</v>
      </c>
      <c r="L37" s="51" t="s">
        <v>19</v>
      </c>
      <c r="M37" s="51" t="s">
        <v>19</v>
      </c>
      <c r="N37" s="51" t="s">
        <v>19</v>
      </c>
      <c r="O37" s="51" t="s">
        <v>19</v>
      </c>
      <c r="P37" s="51" t="s">
        <v>19</v>
      </c>
      <c r="Q37" s="51" t="s">
        <v>19</v>
      </c>
      <c r="R37" s="51" t="s">
        <v>19</v>
      </c>
      <c r="S37" s="51" t="s">
        <v>19</v>
      </c>
      <c r="T37" s="51" t="s">
        <v>19</v>
      </c>
      <c r="U37" s="51" t="s">
        <v>20</v>
      </c>
      <c r="V37" s="51" t="s">
        <v>20</v>
      </c>
      <c r="W37" s="51" t="s">
        <v>19</v>
      </c>
      <c r="X37" s="52" t="s">
        <v>20</v>
      </c>
      <c r="Y37" s="51" t="s">
        <v>19</v>
      </c>
      <c r="Z37" s="61" t="s">
        <v>19</v>
      </c>
      <c r="AA37" s="61" t="s">
        <v>19</v>
      </c>
      <c r="AB37" s="39" t="s">
        <v>19</v>
      </c>
      <c r="AC37" s="53" t="s">
        <v>59</v>
      </c>
      <c r="AD37" s="53" t="s">
        <v>59</v>
      </c>
      <c r="AE37" s="34">
        <f t="shared" si="0"/>
        <v>0</v>
      </c>
    </row>
    <row r="38" spans="1:31" ht="15.75" customHeight="1" x14ac:dyDescent="0.25">
      <c r="A38" s="20">
        <v>15</v>
      </c>
      <c r="B38" s="37" t="s">
        <v>239</v>
      </c>
      <c r="C38" s="20">
        <v>1</v>
      </c>
      <c r="D38" s="20" t="s">
        <v>20</v>
      </c>
      <c r="E38" s="51" t="s">
        <v>19</v>
      </c>
      <c r="F38" s="51" t="s">
        <v>20</v>
      </c>
      <c r="G38" s="51" t="s">
        <v>20</v>
      </c>
      <c r="H38" s="51" t="s">
        <v>19</v>
      </c>
      <c r="I38" s="51" t="s">
        <v>20</v>
      </c>
      <c r="J38" s="51" t="s">
        <v>20</v>
      </c>
      <c r="K38" s="51" t="s">
        <v>20</v>
      </c>
      <c r="L38" s="51" t="s">
        <v>19</v>
      </c>
      <c r="M38" s="51" t="s">
        <v>19</v>
      </c>
      <c r="N38" s="51" t="s">
        <v>19</v>
      </c>
      <c r="O38" s="51" t="s">
        <v>20</v>
      </c>
      <c r="P38" s="51" t="s">
        <v>20</v>
      </c>
      <c r="Q38" s="51" t="s">
        <v>20</v>
      </c>
      <c r="R38" s="51" t="s">
        <v>21</v>
      </c>
      <c r="S38" s="51" t="s">
        <v>20</v>
      </c>
      <c r="T38" s="51" t="s">
        <v>19</v>
      </c>
      <c r="U38" s="51" t="s">
        <v>19</v>
      </c>
      <c r="V38" s="51" t="s">
        <v>19</v>
      </c>
      <c r="W38" s="51" t="s">
        <v>19</v>
      </c>
      <c r="X38" s="52" t="s">
        <v>21</v>
      </c>
      <c r="Y38" s="51" t="s">
        <v>20</v>
      </c>
      <c r="Z38" s="61" t="s">
        <v>19</v>
      </c>
      <c r="AA38" s="61" t="s">
        <v>19</v>
      </c>
      <c r="AB38" s="39" t="s">
        <v>20</v>
      </c>
      <c r="AC38" s="53" t="s">
        <v>20</v>
      </c>
      <c r="AD38" s="53" t="s">
        <v>20</v>
      </c>
      <c r="AE38" s="34">
        <f t="shared" si="0"/>
        <v>2</v>
      </c>
    </row>
    <row r="39" spans="1:31" ht="15.75" customHeight="1" x14ac:dyDescent="0.25">
      <c r="A39" s="20">
        <v>16</v>
      </c>
      <c r="B39" s="37" t="s">
        <v>240</v>
      </c>
      <c r="C39" s="20">
        <v>1</v>
      </c>
      <c r="D39" s="20" t="s">
        <v>20</v>
      </c>
      <c r="E39" s="51" t="s">
        <v>19</v>
      </c>
      <c r="F39" s="51" t="s">
        <v>20</v>
      </c>
      <c r="G39" s="51" t="s">
        <v>20</v>
      </c>
      <c r="H39" s="51" t="s">
        <v>20</v>
      </c>
      <c r="I39" s="51" t="s">
        <v>19</v>
      </c>
      <c r="J39" s="51" t="s">
        <v>20</v>
      </c>
      <c r="K39" s="51" t="s">
        <v>20</v>
      </c>
      <c r="L39" s="51" t="s">
        <v>20</v>
      </c>
      <c r="M39" s="51" t="s">
        <v>20</v>
      </c>
      <c r="N39" s="51" t="s">
        <v>19</v>
      </c>
      <c r="O39" s="51" t="s">
        <v>20</v>
      </c>
      <c r="P39" s="51" t="s">
        <v>20</v>
      </c>
      <c r="Q39" s="51" t="s">
        <v>20</v>
      </c>
      <c r="R39" s="51" t="s">
        <v>20</v>
      </c>
      <c r="S39" s="51" t="s">
        <v>20</v>
      </c>
      <c r="T39" s="51" t="s">
        <v>20</v>
      </c>
      <c r="U39" s="51" t="s">
        <v>19</v>
      </c>
      <c r="V39" s="51" t="s">
        <v>19</v>
      </c>
      <c r="W39" s="51" t="s">
        <v>20</v>
      </c>
      <c r="X39" s="52" t="s">
        <v>19</v>
      </c>
      <c r="Y39" s="51" t="s">
        <v>19</v>
      </c>
      <c r="Z39" s="61" t="s">
        <v>19</v>
      </c>
      <c r="AA39" s="61" t="s">
        <v>19</v>
      </c>
      <c r="AB39" s="39" t="s">
        <v>20</v>
      </c>
      <c r="AC39" s="53" t="s">
        <v>20</v>
      </c>
      <c r="AD39" s="53" t="s">
        <v>20</v>
      </c>
      <c r="AE39" s="34">
        <f t="shared" si="0"/>
        <v>0</v>
      </c>
    </row>
    <row r="40" spans="1:31" ht="15.75" customHeight="1" x14ac:dyDescent="0.25">
      <c r="A40" s="20">
        <v>17</v>
      </c>
      <c r="B40" s="37" t="s">
        <v>241</v>
      </c>
      <c r="C40" s="20">
        <v>1</v>
      </c>
      <c r="D40" s="20" t="s">
        <v>20</v>
      </c>
      <c r="E40" s="51" t="s">
        <v>20</v>
      </c>
      <c r="F40" s="51" t="s">
        <v>20</v>
      </c>
      <c r="G40" s="51" t="s">
        <v>20</v>
      </c>
      <c r="H40" s="51" t="s">
        <v>20</v>
      </c>
      <c r="I40" s="51" t="s">
        <v>19</v>
      </c>
      <c r="J40" s="51" t="s">
        <v>20</v>
      </c>
      <c r="K40" s="51" t="s">
        <v>20</v>
      </c>
      <c r="L40" s="51" t="s">
        <v>20</v>
      </c>
      <c r="M40" s="51" t="s">
        <v>19</v>
      </c>
      <c r="N40" s="51" t="s">
        <v>19</v>
      </c>
      <c r="O40" s="51" t="s">
        <v>20</v>
      </c>
      <c r="P40" s="51" t="s">
        <v>20</v>
      </c>
      <c r="Q40" s="51" t="s">
        <v>20</v>
      </c>
      <c r="R40" s="51" t="s">
        <v>19</v>
      </c>
      <c r="S40" s="51" t="s">
        <v>20</v>
      </c>
      <c r="T40" s="51" t="s">
        <v>19</v>
      </c>
      <c r="U40" s="51" t="s">
        <v>19</v>
      </c>
      <c r="V40" s="51" t="s">
        <v>19</v>
      </c>
      <c r="W40" s="51" t="s">
        <v>19</v>
      </c>
      <c r="X40" s="52" t="s">
        <v>20</v>
      </c>
      <c r="Y40" s="51" t="s">
        <v>19</v>
      </c>
      <c r="Z40" s="61" t="s">
        <v>19</v>
      </c>
      <c r="AA40" s="61" t="s">
        <v>19</v>
      </c>
      <c r="AB40" s="39" t="s">
        <v>20</v>
      </c>
      <c r="AC40" s="53" t="s">
        <v>20</v>
      </c>
      <c r="AD40" s="53" t="s">
        <v>20</v>
      </c>
      <c r="AE40" s="34">
        <f t="shared" si="0"/>
        <v>0</v>
      </c>
    </row>
    <row r="41" spans="1:31" ht="15.75" customHeight="1" x14ac:dyDescent="0.25">
      <c r="A41" s="20">
        <v>18</v>
      </c>
      <c r="B41" s="37" t="s">
        <v>242</v>
      </c>
      <c r="C41" s="20">
        <v>1</v>
      </c>
      <c r="D41" s="20" t="s">
        <v>20</v>
      </c>
      <c r="E41" s="51" t="s">
        <v>19</v>
      </c>
      <c r="F41" s="51" t="s">
        <v>20</v>
      </c>
      <c r="G41" s="51" t="s">
        <v>20</v>
      </c>
      <c r="H41" s="51" t="s">
        <v>20</v>
      </c>
      <c r="I41" s="51" t="s">
        <v>20</v>
      </c>
      <c r="J41" s="51" t="s">
        <v>20</v>
      </c>
      <c r="K41" s="51" t="s">
        <v>20</v>
      </c>
      <c r="L41" s="51" t="s">
        <v>19</v>
      </c>
      <c r="M41" s="51" t="s">
        <v>19</v>
      </c>
      <c r="N41" s="51" t="s">
        <v>19</v>
      </c>
      <c r="O41" s="51" t="s">
        <v>19</v>
      </c>
      <c r="P41" s="51" t="s">
        <v>20</v>
      </c>
      <c r="Q41" s="51" t="s">
        <v>19</v>
      </c>
      <c r="R41" s="51" t="s">
        <v>19</v>
      </c>
      <c r="S41" s="51" t="s">
        <v>19</v>
      </c>
      <c r="T41" s="51" t="s">
        <v>20</v>
      </c>
      <c r="U41" s="51" t="s">
        <v>20</v>
      </c>
      <c r="V41" s="51" t="s">
        <v>19</v>
      </c>
      <c r="W41" s="51" t="s">
        <v>19</v>
      </c>
      <c r="X41" s="52" t="s">
        <v>20</v>
      </c>
      <c r="Y41" s="51" t="s">
        <v>19</v>
      </c>
      <c r="Z41" s="61" t="s">
        <v>19</v>
      </c>
      <c r="AA41" s="61" t="s">
        <v>19</v>
      </c>
      <c r="AB41" s="39" t="s">
        <v>20</v>
      </c>
      <c r="AC41" s="53" t="s">
        <v>19</v>
      </c>
      <c r="AD41" s="53" t="s">
        <v>20</v>
      </c>
      <c r="AE41" s="34">
        <f t="shared" si="0"/>
        <v>0</v>
      </c>
    </row>
    <row r="42" spans="1:31" ht="15.75" customHeight="1" x14ac:dyDescent="0.25">
      <c r="A42" s="20">
        <v>19</v>
      </c>
      <c r="B42" s="37" t="s">
        <v>243</v>
      </c>
      <c r="C42" s="20">
        <v>1</v>
      </c>
      <c r="D42" s="20" t="s">
        <v>20</v>
      </c>
      <c r="E42" s="51" t="s">
        <v>19</v>
      </c>
      <c r="F42" s="51" t="s">
        <v>20</v>
      </c>
      <c r="G42" s="51" t="s">
        <v>20</v>
      </c>
      <c r="H42" s="51" t="s">
        <v>20</v>
      </c>
      <c r="I42" s="51" t="s">
        <v>20</v>
      </c>
      <c r="J42" s="51" t="s">
        <v>20</v>
      </c>
      <c r="K42" s="51" t="s">
        <v>20</v>
      </c>
      <c r="L42" s="51" t="s">
        <v>20</v>
      </c>
      <c r="M42" s="51" t="s">
        <v>19</v>
      </c>
      <c r="N42" s="51" t="s">
        <v>19</v>
      </c>
      <c r="O42" s="51" t="s">
        <v>20</v>
      </c>
      <c r="P42" s="51" t="s">
        <v>20</v>
      </c>
      <c r="Q42" s="51" t="s">
        <v>20</v>
      </c>
      <c r="R42" s="51" t="s">
        <v>19</v>
      </c>
      <c r="S42" s="51" t="s">
        <v>20</v>
      </c>
      <c r="T42" s="51" t="s">
        <v>19</v>
      </c>
      <c r="U42" s="51" t="s">
        <v>20</v>
      </c>
      <c r="V42" s="51" t="s">
        <v>19</v>
      </c>
      <c r="W42" s="51" t="s">
        <v>19</v>
      </c>
      <c r="X42" s="52" t="s">
        <v>19</v>
      </c>
      <c r="Y42" s="51" t="s">
        <v>19</v>
      </c>
      <c r="Z42" s="61" t="s">
        <v>20</v>
      </c>
      <c r="AA42" s="61" t="s">
        <v>21</v>
      </c>
      <c r="AB42" s="39" t="s">
        <v>20</v>
      </c>
      <c r="AC42" s="53" t="s">
        <v>20</v>
      </c>
      <c r="AD42" s="53" t="s">
        <v>20</v>
      </c>
      <c r="AE42" s="34">
        <f t="shared" si="0"/>
        <v>1</v>
      </c>
    </row>
    <row r="43" spans="1:31" ht="15.75" customHeight="1" thickBot="1" x14ac:dyDescent="0.3">
      <c r="A43" s="21">
        <v>20</v>
      </c>
      <c r="B43" s="38" t="s">
        <v>244</v>
      </c>
      <c r="C43" s="21">
        <v>1</v>
      </c>
      <c r="D43" s="21" t="s">
        <v>20</v>
      </c>
      <c r="E43" s="87" t="s">
        <v>19</v>
      </c>
      <c r="F43" s="87" t="s">
        <v>20</v>
      </c>
      <c r="G43" s="87" t="s">
        <v>19</v>
      </c>
      <c r="H43" s="87" t="s">
        <v>20</v>
      </c>
      <c r="I43" s="87" t="s">
        <v>20</v>
      </c>
      <c r="J43" s="87" t="s">
        <v>20</v>
      </c>
      <c r="K43" s="87" t="s">
        <v>20</v>
      </c>
      <c r="L43" s="87" t="s">
        <v>19</v>
      </c>
      <c r="M43" s="87" t="s">
        <v>19</v>
      </c>
      <c r="N43" s="87" t="s">
        <v>19</v>
      </c>
      <c r="O43" s="87" t="s">
        <v>20</v>
      </c>
      <c r="P43" s="87" t="s">
        <v>20</v>
      </c>
      <c r="Q43" s="87" t="s">
        <v>20</v>
      </c>
      <c r="R43" s="87" t="s">
        <v>21</v>
      </c>
      <c r="S43" s="87" t="s">
        <v>20</v>
      </c>
      <c r="T43" s="87" t="s">
        <v>20</v>
      </c>
      <c r="U43" s="87" t="s">
        <v>19</v>
      </c>
      <c r="V43" s="87" t="s">
        <v>19</v>
      </c>
      <c r="W43" s="87" t="s">
        <v>19</v>
      </c>
      <c r="X43" s="88" t="s">
        <v>20</v>
      </c>
      <c r="Y43" s="87" t="s">
        <v>19</v>
      </c>
      <c r="Z43" s="95" t="s">
        <v>19</v>
      </c>
      <c r="AA43" s="95" t="s">
        <v>19</v>
      </c>
      <c r="AB43" s="41" t="s">
        <v>20</v>
      </c>
      <c r="AC43" s="96" t="s">
        <v>20</v>
      </c>
      <c r="AD43" s="96" t="s">
        <v>20</v>
      </c>
      <c r="AE43" s="34">
        <f t="shared" si="0"/>
        <v>1</v>
      </c>
    </row>
    <row r="44" spans="1:31" ht="15.75" customHeight="1" x14ac:dyDescent="0.25">
      <c r="A44" s="97">
        <v>1</v>
      </c>
      <c r="B44" s="98" t="s">
        <v>40</v>
      </c>
      <c r="C44" s="97">
        <v>2</v>
      </c>
      <c r="D44" s="97" t="s">
        <v>19</v>
      </c>
      <c r="E44" s="83" t="s">
        <v>20</v>
      </c>
      <c r="F44" s="83" t="s">
        <v>21</v>
      </c>
      <c r="G44" s="83" t="s">
        <v>20</v>
      </c>
      <c r="H44" s="83" t="s">
        <v>20</v>
      </c>
      <c r="I44" s="83" t="s">
        <v>20</v>
      </c>
      <c r="J44" s="83" t="s">
        <v>20</v>
      </c>
      <c r="K44" s="83" t="s">
        <v>19</v>
      </c>
      <c r="L44" s="83" t="s">
        <v>19</v>
      </c>
      <c r="M44" s="83" t="s">
        <v>19</v>
      </c>
      <c r="N44" s="83" t="s">
        <v>20</v>
      </c>
      <c r="O44" s="83" t="s">
        <v>20</v>
      </c>
      <c r="P44" s="83" t="s">
        <v>20</v>
      </c>
      <c r="Q44" s="83" t="s">
        <v>20</v>
      </c>
      <c r="R44" s="83" t="s">
        <v>19</v>
      </c>
      <c r="S44" s="83" t="s">
        <v>20</v>
      </c>
      <c r="T44" s="83" t="s">
        <v>19</v>
      </c>
      <c r="U44" s="42" t="s">
        <v>19</v>
      </c>
      <c r="V44" s="42" t="s">
        <v>19</v>
      </c>
      <c r="W44" s="93" t="s">
        <v>19</v>
      </c>
      <c r="X44" s="84" t="s">
        <v>19</v>
      </c>
      <c r="Y44" s="83" t="s">
        <v>19</v>
      </c>
      <c r="Z44" s="86" t="s">
        <v>20</v>
      </c>
      <c r="AA44" s="86" t="s">
        <v>20</v>
      </c>
      <c r="AB44" s="86" t="s">
        <v>20</v>
      </c>
      <c r="AC44" s="94" t="s">
        <v>20</v>
      </c>
      <c r="AD44" s="94" t="s">
        <v>20</v>
      </c>
      <c r="AE44" s="34">
        <f t="shared" si="0"/>
        <v>1</v>
      </c>
    </row>
    <row r="45" spans="1:31" ht="15.75" customHeight="1" x14ac:dyDescent="0.25">
      <c r="A45" s="89">
        <v>2</v>
      </c>
      <c r="B45" s="90" t="s">
        <v>41</v>
      </c>
      <c r="C45" s="89">
        <v>2</v>
      </c>
      <c r="D45" s="89" t="s">
        <v>19</v>
      </c>
      <c r="E45" s="51" t="s">
        <v>20</v>
      </c>
      <c r="F45" s="51" t="s">
        <v>20</v>
      </c>
      <c r="G45" s="51" t="s">
        <v>21</v>
      </c>
      <c r="H45" s="51" t="s">
        <v>20</v>
      </c>
      <c r="I45" s="51" t="s">
        <v>20</v>
      </c>
      <c r="J45" s="51" t="s">
        <v>21</v>
      </c>
      <c r="K45" s="51" t="s">
        <v>21</v>
      </c>
      <c r="L45" s="51" t="s">
        <v>19</v>
      </c>
      <c r="M45" s="51" t="s">
        <v>19</v>
      </c>
      <c r="N45" s="51" t="s">
        <v>19</v>
      </c>
      <c r="O45" s="51" t="s">
        <v>19</v>
      </c>
      <c r="P45" s="51" t="s">
        <v>19</v>
      </c>
      <c r="Q45" s="51" t="s">
        <v>19</v>
      </c>
      <c r="R45" s="51" t="s">
        <v>20</v>
      </c>
      <c r="S45" s="51" t="s">
        <v>19</v>
      </c>
      <c r="T45" s="51" t="s">
        <v>19</v>
      </c>
      <c r="U45" s="43" t="s">
        <v>19</v>
      </c>
      <c r="V45" s="43" t="s">
        <v>19</v>
      </c>
      <c r="W45" s="44" t="s">
        <v>19</v>
      </c>
      <c r="X45" s="52" t="s">
        <v>19</v>
      </c>
      <c r="Y45" s="51" t="s">
        <v>19</v>
      </c>
      <c r="Z45" s="39" t="s">
        <v>20</v>
      </c>
      <c r="AA45" s="39" t="s">
        <v>20</v>
      </c>
      <c r="AB45" s="39" t="s">
        <v>20</v>
      </c>
      <c r="AC45" s="53" t="s">
        <v>19</v>
      </c>
      <c r="AD45" s="53" t="s">
        <v>20</v>
      </c>
      <c r="AE45" s="34">
        <f t="shared" si="0"/>
        <v>3</v>
      </c>
    </row>
    <row r="46" spans="1:31" ht="15.75" customHeight="1" x14ac:dyDescent="0.25">
      <c r="A46" s="89">
        <v>3</v>
      </c>
      <c r="B46" s="90" t="s">
        <v>42</v>
      </c>
      <c r="C46" s="89">
        <v>2</v>
      </c>
      <c r="D46" s="89" t="s">
        <v>19</v>
      </c>
      <c r="E46" s="51" t="s">
        <v>20</v>
      </c>
      <c r="F46" s="51" t="s">
        <v>21</v>
      </c>
      <c r="G46" s="51" t="s">
        <v>20</v>
      </c>
      <c r="H46" s="51" t="s">
        <v>20</v>
      </c>
      <c r="I46" s="51" t="s">
        <v>19</v>
      </c>
      <c r="J46" s="51" t="s">
        <v>21</v>
      </c>
      <c r="K46" s="51" t="s">
        <v>20</v>
      </c>
      <c r="L46" s="51" t="s">
        <v>20</v>
      </c>
      <c r="M46" s="51" t="s">
        <v>20</v>
      </c>
      <c r="N46" s="51" t="s">
        <v>21</v>
      </c>
      <c r="O46" s="51" t="s">
        <v>20</v>
      </c>
      <c r="P46" s="51" t="s">
        <v>19</v>
      </c>
      <c r="Q46" s="51" t="s">
        <v>20</v>
      </c>
      <c r="R46" s="51" t="s">
        <v>21</v>
      </c>
      <c r="S46" s="51" t="s">
        <v>20</v>
      </c>
      <c r="T46" s="51" t="s">
        <v>19</v>
      </c>
      <c r="U46" s="43" t="s">
        <v>20</v>
      </c>
      <c r="V46" s="43" t="s">
        <v>20</v>
      </c>
      <c r="W46" s="44" t="s">
        <v>20</v>
      </c>
      <c r="X46" s="52" t="s">
        <v>20</v>
      </c>
      <c r="Y46" s="51" t="s">
        <v>19</v>
      </c>
      <c r="Z46" s="39" t="s">
        <v>20</v>
      </c>
      <c r="AA46" s="39" t="s">
        <v>20</v>
      </c>
      <c r="AB46" s="39" t="s">
        <v>20</v>
      </c>
      <c r="AC46" s="53" t="s">
        <v>59</v>
      </c>
      <c r="AD46" s="53" t="s">
        <v>59</v>
      </c>
      <c r="AE46" s="34">
        <f t="shared" si="0"/>
        <v>4</v>
      </c>
    </row>
    <row r="47" spans="1:31" ht="15.75" customHeight="1" x14ac:dyDescent="0.25">
      <c r="A47" s="89">
        <v>4</v>
      </c>
      <c r="B47" s="90" t="s">
        <v>43</v>
      </c>
      <c r="C47" s="89">
        <v>2</v>
      </c>
      <c r="D47" s="89" t="s">
        <v>19</v>
      </c>
      <c r="E47" s="51" t="s">
        <v>20</v>
      </c>
      <c r="F47" s="51" t="s">
        <v>21</v>
      </c>
      <c r="G47" s="51" t="s">
        <v>20</v>
      </c>
      <c r="H47" s="51" t="s">
        <v>20</v>
      </c>
      <c r="I47" s="51" t="s">
        <v>20</v>
      </c>
      <c r="J47" s="51" t="s">
        <v>21</v>
      </c>
      <c r="K47" s="51" t="s">
        <v>20</v>
      </c>
      <c r="L47" s="51" t="s">
        <v>20</v>
      </c>
      <c r="M47" s="51" t="s">
        <v>20</v>
      </c>
      <c r="N47" s="51" t="s">
        <v>21</v>
      </c>
      <c r="O47" s="51" t="s">
        <v>21</v>
      </c>
      <c r="P47" s="51" t="s">
        <v>21</v>
      </c>
      <c r="Q47" s="51" t="s">
        <v>20</v>
      </c>
      <c r="R47" s="51" t="s">
        <v>21</v>
      </c>
      <c r="S47" s="51" t="s">
        <v>21</v>
      </c>
      <c r="T47" s="51" t="s">
        <v>19</v>
      </c>
      <c r="U47" s="43" t="s">
        <v>19</v>
      </c>
      <c r="V47" s="43" t="s">
        <v>19</v>
      </c>
      <c r="W47" s="44" t="s">
        <v>19</v>
      </c>
      <c r="X47" s="52" t="s">
        <v>19</v>
      </c>
      <c r="Y47" s="51" t="s">
        <v>19</v>
      </c>
      <c r="Z47" s="39" t="s">
        <v>20</v>
      </c>
      <c r="AA47" s="39" t="s">
        <v>20</v>
      </c>
      <c r="AB47" s="39" t="s">
        <v>20</v>
      </c>
      <c r="AC47" s="53" t="s">
        <v>20</v>
      </c>
      <c r="AD47" s="53" t="s">
        <v>20</v>
      </c>
      <c r="AE47" s="34">
        <f t="shared" si="0"/>
        <v>7</v>
      </c>
    </row>
    <row r="48" spans="1:31" ht="15.75" customHeight="1" x14ac:dyDescent="0.25">
      <c r="A48" s="89">
        <v>5</v>
      </c>
      <c r="B48" s="90" t="s">
        <v>44</v>
      </c>
      <c r="C48" s="89">
        <v>2</v>
      </c>
      <c r="D48" s="89" t="s">
        <v>19</v>
      </c>
      <c r="E48" s="51" t="s">
        <v>20</v>
      </c>
      <c r="F48" s="51" t="s">
        <v>20</v>
      </c>
      <c r="G48" s="51" t="s">
        <v>20</v>
      </c>
      <c r="H48" s="51" t="s">
        <v>20</v>
      </c>
      <c r="I48" s="51" t="s">
        <v>20</v>
      </c>
      <c r="J48" s="51" t="s">
        <v>20</v>
      </c>
      <c r="K48" s="51" t="s">
        <v>20</v>
      </c>
      <c r="L48" s="51" t="s">
        <v>20</v>
      </c>
      <c r="M48" s="51" t="s">
        <v>20</v>
      </c>
      <c r="N48" s="51" t="s">
        <v>19</v>
      </c>
      <c r="O48" s="51" t="s">
        <v>20</v>
      </c>
      <c r="P48" s="51" t="s">
        <v>20</v>
      </c>
      <c r="Q48" s="51" t="s">
        <v>20</v>
      </c>
      <c r="R48" s="51" t="s">
        <v>19</v>
      </c>
      <c r="S48" s="51" t="s">
        <v>20</v>
      </c>
      <c r="T48" s="51" t="s">
        <v>19</v>
      </c>
      <c r="U48" s="43" t="s">
        <v>19</v>
      </c>
      <c r="V48" s="43" t="s">
        <v>19</v>
      </c>
      <c r="W48" s="44" t="s">
        <v>19</v>
      </c>
      <c r="X48" s="52" t="s">
        <v>19</v>
      </c>
      <c r="Y48" s="51" t="s">
        <v>19</v>
      </c>
      <c r="Z48" s="39" t="s">
        <v>20</v>
      </c>
      <c r="AA48" s="39" t="s">
        <v>20</v>
      </c>
      <c r="AB48" s="39" t="s">
        <v>21</v>
      </c>
      <c r="AC48" s="53" t="s">
        <v>20</v>
      </c>
      <c r="AD48" s="53" t="s">
        <v>20</v>
      </c>
      <c r="AE48" s="34">
        <f t="shared" si="0"/>
        <v>1</v>
      </c>
    </row>
    <row r="49" spans="1:31" ht="15.75" customHeight="1" x14ac:dyDescent="0.25">
      <c r="A49" s="89">
        <v>6</v>
      </c>
      <c r="B49" s="90" t="s">
        <v>45</v>
      </c>
      <c r="C49" s="89">
        <v>2</v>
      </c>
      <c r="D49" s="89" t="s">
        <v>19</v>
      </c>
      <c r="E49" s="51" t="s">
        <v>19</v>
      </c>
      <c r="F49" s="51" t="s">
        <v>20</v>
      </c>
      <c r="G49" s="51" t="s">
        <v>19</v>
      </c>
      <c r="H49" s="51" t="s">
        <v>19</v>
      </c>
      <c r="I49" s="51" t="s">
        <v>19</v>
      </c>
      <c r="J49" s="51" t="s">
        <v>19</v>
      </c>
      <c r="K49" s="51" t="s">
        <v>19</v>
      </c>
      <c r="L49" s="51" t="s">
        <v>19</v>
      </c>
      <c r="M49" s="51" t="s">
        <v>19</v>
      </c>
      <c r="N49" s="51" t="s">
        <v>19</v>
      </c>
      <c r="O49" s="51" t="s">
        <v>19</v>
      </c>
      <c r="P49" s="51" t="s">
        <v>19</v>
      </c>
      <c r="Q49" s="51" t="s">
        <v>19</v>
      </c>
      <c r="R49" s="51" t="s">
        <v>19</v>
      </c>
      <c r="S49" s="51" t="s">
        <v>19</v>
      </c>
      <c r="T49" s="51" t="s">
        <v>19</v>
      </c>
      <c r="U49" s="54" t="s">
        <v>19</v>
      </c>
      <c r="V49" s="54" t="s">
        <v>19</v>
      </c>
      <c r="W49" s="54" t="s">
        <v>19</v>
      </c>
      <c r="X49" s="51" t="s">
        <v>19</v>
      </c>
      <c r="Y49" s="51" t="s">
        <v>19</v>
      </c>
      <c r="Z49" s="39" t="s">
        <v>19</v>
      </c>
      <c r="AA49" s="39" t="s">
        <v>19</v>
      </c>
      <c r="AB49" s="39" t="s">
        <v>19</v>
      </c>
      <c r="AC49" s="53" t="s">
        <v>19</v>
      </c>
      <c r="AD49" s="53" t="s">
        <v>20</v>
      </c>
      <c r="AE49" s="34">
        <f t="shared" si="0"/>
        <v>0</v>
      </c>
    </row>
    <row r="50" spans="1:31" ht="15.75" customHeight="1" x14ac:dyDescent="0.25">
      <c r="A50" s="89">
        <v>7</v>
      </c>
      <c r="B50" s="90" t="s">
        <v>46</v>
      </c>
      <c r="C50" s="89">
        <v>2</v>
      </c>
      <c r="D50" s="89" t="s">
        <v>19</v>
      </c>
      <c r="E50" s="51" t="s">
        <v>20</v>
      </c>
      <c r="F50" s="51" t="s">
        <v>20</v>
      </c>
      <c r="G50" s="51" t="s">
        <v>20</v>
      </c>
      <c r="H50" s="51" t="s">
        <v>20</v>
      </c>
      <c r="I50" s="51" t="s">
        <v>19</v>
      </c>
      <c r="J50" s="51" t="s">
        <v>20</v>
      </c>
      <c r="K50" s="51" t="s">
        <v>20</v>
      </c>
      <c r="L50" s="51" t="s">
        <v>20</v>
      </c>
      <c r="M50" s="51" t="s">
        <v>19</v>
      </c>
      <c r="N50" s="51" t="s">
        <v>21</v>
      </c>
      <c r="O50" s="51" t="s">
        <v>20</v>
      </c>
      <c r="P50" s="51" t="s">
        <v>20</v>
      </c>
      <c r="Q50" s="51" t="s">
        <v>20</v>
      </c>
      <c r="R50" s="51" t="s">
        <v>20</v>
      </c>
      <c r="S50" s="51" t="s">
        <v>19</v>
      </c>
      <c r="T50" s="51" t="s">
        <v>19</v>
      </c>
      <c r="U50" s="54" t="s">
        <v>19</v>
      </c>
      <c r="V50" s="54" t="s">
        <v>19</v>
      </c>
      <c r="W50" s="54" t="s">
        <v>19</v>
      </c>
      <c r="X50" s="51" t="s">
        <v>19</v>
      </c>
      <c r="Y50" s="51" t="s">
        <v>19</v>
      </c>
      <c r="Z50" s="39" t="s">
        <v>19</v>
      </c>
      <c r="AA50" s="39" t="s">
        <v>19</v>
      </c>
      <c r="AB50" s="39" t="s">
        <v>19</v>
      </c>
      <c r="AC50" s="53" t="s">
        <v>20</v>
      </c>
      <c r="AD50" s="53" t="s">
        <v>20</v>
      </c>
      <c r="AE50" s="34">
        <f t="shared" si="0"/>
        <v>1</v>
      </c>
    </row>
    <row r="51" spans="1:31" ht="15.75" customHeight="1" x14ac:dyDescent="0.25">
      <c r="A51" s="89">
        <v>8</v>
      </c>
      <c r="B51" s="90" t="s">
        <v>245</v>
      </c>
      <c r="C51" s="89">
        <v>2</v>
      </c>
      <c r="D51" s="89" t="s">
        <v>19</v>
      </c>
      <c r="E51" s="51" t="s">
        <v>20</v>
      </c>
      <c r="F51" s="51" t="s">
        <v>20</v>
      </c>
      <c r="G51" s="51" t="s">
        <v>20</v>
      </c>
      <c r="H51" s="51" t="s">
        <v>20</v>
      </c>
      <c r="I51" s="51" t="s">
        <v>19</v>
      </c>
      <c r="J51" s="51" t="s">
        <v>19</v>
      </c>
      <c r="K51" s="51" t="s">
        <v>19</v>
      </c>
      <c r="L51" s="51" t="s">
        <v>20</v>
      </c>
      <c r="M51" s="51" t="s">
        <v>19</v>
      </c>
      <c r="N51" s="51" t="s">
        <v>19</v>
      </c>
      <c r="O51" s="51" t="s">
        <v>19</v>
      </c>
      <c r="P51" s="51" t="s">
        <v>19</v>
      </c>
      <c r="Q51" s="51" t="s">
        <v>19</v>
      </c>
      <c r="R51" s="51" t="s">
        <v>19</v>
      </c>
      <c r="S51" s="51" t="s">
        <v>19</v>
      </c>
      <c r="T51" s="51" t="s">
        <v>20</v>
      </c>
      <c r="U51" s="54" t="s">
        <v>19</v>
      </c>
      <c r="V51" s="54" t="s">
        <v>19</v>
      </c>
      <c r="W51" s="54" t="s">
        <v>19</v>
      </c>
      <c r="X51" s="51" t="s">
        <v>19</v>
      </c>
      <c r="Y51" s="51" t="s">
        <v>19</v>
      </c>
      <c r="Z51" s="39" t="s">
        <v>19</v>
      </c>
      <c r="AA51" s="39" t="s">
        <v>19</v>
      </c>
      <c r="AB51" s="39" t="s">
        <v>19</v>
      </c>
      <c r="AC51" s="53" t="s">
        <v>20</v>
      </c>
      <c r="AD51" s="53" t="s">
        <v>20</v>
      </c>
      <c r="AE51" s="34">
        <f t="shared" si="0"/>
        <v>0</v>
      </c>
    </row>
    <row r="52" spans="1:31" ht="15.75" customHeight="1" x14ac:dyDescent="0.25">
      <c r="A52" s="89">
        <v>9</v>
      </c>
      <c r="B52" s="90" t="s">
        <v>47</v>
      </c>
      <c r="C52" s="89">
        <v>2</v>
      </c>
      <c r="D52" s="89" t="s">
        <v>19</v>
      </c>
      <c r="E52" s="51" t="s">
        <v>20</v>
      </c>
      <c r="F52" s="51" t="s">
        <v>20</v>
      </c>
      <c r="G52" s="51" t="s">
        <v>20</v>
      </c>
      <c r="H52" s="51" t="s">
        <v>20</v>
      </c>
      <c r="I52" s="51" t="s">
        <v>20</v>
      </c>
      <c r="J52" s="51" t="s">
        <v>20</v>
      </c>
      <c r="K52" s="51" t="s">
        <v>20</v>
      </c>
      <c r="L52" s="51" t="s">
        <v>20</v>
      </c>
      <c r="M52" s="51" t="s">
        <v>20</v>
      </c>
      <c r="N52" s="51" t="s">
        <v>21</v>
      </c>
      <c r="O52" s="51" t="s">
        <v>20</v>
      </c>
      <c r="P52" s="51" t="s">
        <v>20</v>
      </c>
      <c r="Q52" s="51" t="s">
        <v>20</v>
      </c>
      <c r="R52" s="51" t="s">
        <v>21</v>
      </c>
      <c r="S52" s="51" t="s">
        <v>21</v>
      </c>
      <c r="T52" s="51" t="s">
        <v>19</v>
      </c>
      <c r="U52" s="54" t="s">
        <v>19</v>
      </c>
      <c r="V52" s="54" t="s">
        <v>19</v>
      </c>
      <c r="W52" s="54" t="s">
        <v>19</v>
      </c>
      <c r="X52" s="51" t="s">
        <v>20</v>
      </c>
      <c r="Y52" s="51" t="s">
        <v>19</v>
      </c>
      <c r="Z52" s="39" t="s">
        <v>21</v>
      </c>
      <c r="AA52" s="39" t="s">
        <v>20</v>
      </c>
      <c r="AB52" s="39" t="s">
        <v>21</v>
      </c>
      <c r="AC52" s="53" t="s">
        <v>20</v>
      </c>
      <c r="AD52" s="53" t="s">
        <v>20</v>
      </c>
      <c r="AE52" s="34">
        <f t="shared" si="0"/>
        <v>5</v>
      </c>
    </row>
    <row r="53" spans="1:31" ht="15.75" customHeight="1" x14ac:dyDescent="0.25">
      <c r="A53" s="89">
        <v>10</v>
      </c>
      <c r="B53" s="90" t="s">
        <v>48</v>
      </c>
      <c r="C53" s="89">
        <v>2</v>
      </c>
      <c r="D53" s="89" t="s">
        <v>19</v>
      </c>
      <c r="E53" s="51" t="s">
        <v>20</v>
      </c>
      <c r="F53" s="51" t="s">
        <v>20</v>
      </c>
      <c r="G53" s="51" t="s">
        <v>20</v>
      </c>
      <c r="H53" s="51" t="s">
        <v>20</v>
      </c>
      <c r="I53" s="51" t="s">
        <v>19</v>
      </c>
      <c r="J53" s="51" t="s">
        <v>20</v>
      </c>
      <c r="K53" s="51" t="s">
        <v>20</v>
      </c>
      <c r="L53" s="51" t="s">
        <v>20</v>
      </c>
      <c r="M53" s="51" t="s">
        <v>20</v>
      </c>
      <c r="N53" s="51" t="s">
        <v>19</v>
      </c>
      <c r="O53" s="51" t="s">
        <v>20</v>
      </c>
      <c r="P53" s="51" t="s">
        <v>20</v>
      </c>
      <c r="Q53" s="51" t="s">
        <v>20</v>
      </c>
      <c r="R53" s="51" t="s">
        <v>20</v>
      </c>
      <c r="S53" s="51" t="s">
        <v>19</v>
      </c>
      <c r="T53" s="51" t="s">
        <v>19</v>
      </c>
      <c r="U53" s="54" t="s">
        <v>19</v>
      </c>
      <c r="V53" s="54" t="s">
        <v>19</v>
      </c>
      <c r="W53" s="54" t="s">
        <v>19</v>
      </c>
      <c r="X53" s="51" t="s">
        <v>19</v>
      </c>
      <c r="Y53" s="51" t="s">
        <v>20</v>
      </c>
      <c r="Z53" s="39" t="s">
        <v>19</v>
      </c>
      <c r="AA53" s="39" t="s">
        <v>20</v>
      </c>
      <c r="AB53" s="39" t="s">
        <v>20</v>
      </c>
      <c r="AC53" s="53" t="s">
        <v>20</v>
      </c>
      <c r="AD53" s="53" t="s">
        <v>20</v>
      </c>
      <c r="AE53" s="34">
        <f t="shared" si="0"/>
        <v>0</v>
      </c>
    </row>
    <row r="54" spans="1:31" ht="15.75" customHeight="1" x14ac:dyDescent="0.25">
      <c r="A54" s="89">
        <v>11</v>
      </c>
      <c r="B54" s="90" t="s">
        <v>246</v>
      </c>
      <c r="C54" s="89">
        <v>2</v>
      </c>
      <c r="D54" s="89" t="s">
        <v>19</v>
      </c>
      <c r="E54" s="51" t="s">
        <v>19</v>
      </c>
      <c r="F54" s="51" t="s">
        <v>19</v>
      </c>
      <c r="G54" s="51" t="s">
        <v>19</v>
      </c>
      <c r="H54" s="51" t="s">
        <v>19</v>
      </c>
      <c r="I54" s="51" t="s">
        <v>19</v>
      </c>
      <c r="J54" s="51" t="s">
        <v>19</v>
      </c>
      <c r="K54" s="51" t="s">
        <v>19</v>
      </c>
      <c r="L54" s="51" t="s">
        <v>19</v>
      </c>
      <c r="M54" s="51" t="s">
        <v>19</v>
      </c>
      <c r="N54" s="51" t="s">
        <v>19</v>
      </c>
      <c r="O54" s="51" t="s">
        <v>19</v>
      </c>
      <c r="P54" s="51" t="s">
        <v>19</v>
      </c>
      <c r="Q54" s="51" t="s">
        <v>19</v>
      </c>
      <c r="R54" s="51" t="s">
        <v>19</v>
      </c>
      <c r="S54" s="51" t="s">
        <v>20</v>
      </c>
      <c r="T54" s="51" t="s">
        <v>19</v>
      </c>
      <c r="U54" s="54" t="s">
        <v>20</v>
      </c>
      <c r="V54" s="54" t="s">
        <v>19</v>
      </c>
      <c r="W54" s="54" t="s">
        <v>20</v>
      </c>
      <c r="X54" s="51" t="s">
        <v>19</v>
      </c>
      <c r="Y54" s="51" t="s">
        <v>19</v>
      </c>
      <c r="Z54" s="39" t="s">
        <v>19</v>
      </c>
      <c r="AA54" s="39" t="s">
        <v>19</v>
      </c>
      <c r="AB54" s="39" t="s">
        <v>19</v>
      </c>
      <c r="AC54" s="53" t="s">
        <v>59</v>
      </c>
      <c r="AD54" s="53" t="s">
        <v>59</v>
      </c>
      <c r="AE54" s="34">
        <f t="shared" si="0"/>
        <v>0</v>
      </c>
    </row>
    <row r="55" spans="1:31" ht="15.75" customHeight="1" x14ac:dyDescent="0.25">
      <c r="A55" s="89">
        <v>12</v>
      </c>
      <c r="B55" s="90" t="s">
        <v>49</v>
      </c>
      <c r="C55" s="89">
        <v>2</v>
      </c>
      <c r="D55" s="89" t="s">
        <v>19</v>
      </c>
      <c r="E55" s="51" t="s">
        <v>19</v>
      </c>
      <c r="F55" s="51" t="s">
        <v>20</v>
      </c>
      <c r="G55" s="51" t="s">
        <v>20</v>
      </c>
      <c r="H55" s="51" t="s">
        <v>20</v>
      </c>
      <c r="I55" s="51" t="s">
        <v>20</v>
      </c>
      <c r="J55" s="51" t="s">
        <v>20</v>
      </c>
      <c r="K55" s="51" t="s">
        <v>20</v>
      </c>
      <c r="L55" s="51" t="s">
        <v>20</v>
      </c>
      <c r="M55" s="51" t="s">
        <v>20</v>
      </c>
      <c r="N55" s="51" t="s">
        <v>21</v>
      </c>
      <c r="O55" s="51" t="s">
        <v>21</v>
      </c>
      <c r="P55" s="51" t="s">
        <v>21</v>
      </c>
      <c r="Q55" s="51" t="s">
        <v>20</v>
      </c>
      <c r="R55" s="51" t="s">
        <v>21</v>
      </c>
      <c r="S55" s="51" t="s">
        <v>21</v>
      </c>
      <c r="T55" s="51" t="s">
        <v>20</v>
      </c>
      <c r="U55" s="54" t="s">
        <v>20</v>
      </c>
      <c r="V55" s="54" t="s">
        <v>20</v>
      </c>
      <c r="W55" s="54" t="s">
        <v>20</v>
      </c>
      <c r="X55" s="51" t="s">
        <v>20</v>
      </c>
      <c r="Y55" s="51" t="s">
        <v>20</v>
      </c>
      <c r="Z55" s="39" t="s">
        <v>21</v>
      </c>
      <c r="AA55" s="39" t="s">
        <v>20</v>
      </c>
      <c r="AB55" s="39" t="s">
        <v>21</v>
      </c>
      <c r="AC55" s="53" t="s">
        <v>21</v>
      </c>
      <c r="AD55" s="53" t="s">
        <v>20</v>
      </c>
      <c r="AE55" s="34">
        <f t="shared" si="0"/>
        <v>8</v>
      </c>
    </row>
    <row r="56" spans="1:31" ht="15.75" customHeight="1" x14ac:dyDescent="0.25">
      <c r="A56" s="89">
        <v>13</v>
      </c>
      <c r="B56" s="90" t="s">
        <v>50</v>
      </c>
      <c r="C56" s="89">
        <v>2</v>
      </c>
      <c r="D56" s="89" t="s">
        <v>19</v>
      </c>
      <c r="E56" s="51" t="s">
        <v>20</v>
      </c>
      <c r="F56" s="51" t="s">
        <v>20</v>
      </c>
      <c r="G56" s="51" t="s">
        <v>20</v>
      </c>
      <c r="H56" s="51" t="s">
        <v>20</v>
      </c>
      <c r="I56" s="51" t="s">
        <v>20</v>
      </c>
      <c r="J56" s="51" t="s">
        <v>21</v>
      </c>
      <c r="K56" s="51" t="s">
        <v>20</v>
      </c>
      <c r="L56" s="51" t="s">
        <v>20</v>
      </c>
      <c r="M56" s="51" t="s">
        <v>20</v>
      </c>
      <c r="N56" s="51" t="s">
        <v>21</v>
      </c>
      <c r="O56" s="51" t="s">
        <v>21</v>
      </c>
      <c r="P56" s="51" t="s">
        <v>21</v>
      </c>
      <c r="Q56" s="51" t="s">
        <v>21</v>
      </c>
      <c r="R56" s="51" t="s">
        <v>21</v>
      </c>
      <c r="S56" s="51" t="s">
        <v>21</v>
      </c>
      <c r="T56" s="51" t="s">
        <v>20</v>
      </c>
      <c r="U56" s="54" t="s">
        <v>19</v>
      </c>
      <c r="V56" s="54" t="s">
        <v>19</v>
      </c>
      <c r="W56" s="54" t="s">
        <v>19</v>
      </c>
      <c r="X56" s="51" t="s">
        <v>20</v>
      </c>
      <c r="Y56" s="51" t="s">
        <v>20</v>
      </c>
      <c r="Z56" s="39" t="s">
        <v>20</v>
      </c>
      <c r="AA56" s="39" t="s">
        <v>21</v>
      </c>
      <c r="AB56" s="39" t="s">
        <v>21</v>
      </c>
      <c r="AC56" s="53" t="s">
        <v>21</v>
      </c>
      <c r="AD56" s="53" t="s">
        <v>20</v>
      </c>
      <c r="AE56" s="34">
        <f t="shared" si="0"/>
        <v>10</v>
      </c>
    </row>
    <row r="57" spans="1:31" ht="15.75" customHeight="1" x14ac:dyDescent="0.25">
      <c r="A57" s="89">
        <v>14</v>
      </c>
      <c r="B57" s="90" t="s">
        <v>51</v>
      </c>
      <c r="C57" s="89">
        <v>2</v>
      </c>
      <c r="D57" s="89" t="s">
        <v>19</v>
      </c>
      <c r="E57" s="51" t="s">
        <v>19</v>
      </c>
      <c r="F57" s="51" t="s">
        <v>20</v>
      </c>
      <c r="G57" s="51" t="s">
        <v>20</v>
      </c>
      <c r="H57" s="51" t="s">
        <v>20</v>
      </c>
      <c r="I57" s="51" t="s">
        <v>20</v>
      </c>
      <c r="J57" s="51" t="s">
        <v>21</v>
      </c>
      <c r="K57" s="51" t="s">
        <v>19</v>
      </c>
      <c r="L57" s="51" t="s">
        <v>20</v>
      </c>
      <c r="M57" s="51" t="s">
        <v>20</v>
      </c>
      <c r="N57" s="51" t="s">
        <v>21</v>
      </c>
      <c r="O57" s="51" t="s">
        <v>19</v>
      </c>
      <c r="P57" s="51" t="s">
        <v>19</v>
      </c>
      <c r="Q57" s="51" t="s">
        <v>20</v>
      </c>
      <c r="R57" s="51" t="s">
        <v>20</v>
      </c>
      <c r="S57" s="51" t="s">
        <v>21</v>
      </c>
      <c r="T57" s="51" t="s">
        <v>20</v>
      </c>
      <c r="U57" s="54" t="s">
        <v>20</v>
      </c>
      <c r="V57" s="54" t="s">
        <v>19</v>
      </c>
      <c r="W57" s="54" t="s">
        <v>20</v>
      </c>
      <c r="X57" s="51" t="s">
        <v>20</v>
      </c>
      <c r="Y57" s="51" t="s">
        <v>19</v>
      </c>
      <c r="Z57" s="39" t="s">
        <v>21</v>
      </c>
      <c r="AA57" s="39" t="s">
        <v>20</v>
      </c>
      <c r="AB57" s="39" t="s">
        <v>20</v>
      </c>
      <c r="AC57" s="53" t="s">
        <v>21</v>
      </c>
      <c r="AD57" s="53" t="s">
        <v>20</v>
      </c>
      <c r="AE57" s="34">
        <f t="shared" si="0"/>
        <v>5</v>
      </c>
    </row>
    <row r="58" spans="1:31" ht="15.75" customHeight="1" x14ac:dyDescent="0.25">
      <c r="A58" s="89">
        <v>15</v>
      </c>
      <c r="B58" s="90" t="s">
        <v>52</v>
      </c>
      <c r="C58" s="89">
        <v>2</v>
      </c>
      <c r="D58" s="89" t="s">
        <v>19</v>
      </c>
      <c r="E58" s="51" t="s">
        <v>19</v>
      </c>
      <c r="F58" s="51" t="s">
        <v>20</v>
      </c>
      <c r="G58" s="51" t="s">
        <v>20</v>
      </c>
      <c r="H58" s="51" t="s">
        <v>20</v>
      </c>
      <c r="I58" s="51" t="s">
        <v>19</v>
      </c>
      <c r="J58" s="51" t="s">
        <v>20</v>
      </c>
      <c r="K58" s="51" t="s">
        <v>20</v>
      </c>
      <c r="L58" s="51" t="s">
        <v>20</v>
      </c>
      <c r="M58" s="51" t="s">
        <v>20</v>
      </c>
      <c r="N58" s="51" t="s">
        <v>19</v>
      </c>
      <c r="O58" s="51" t="s">
        <v>20</v>
      </c>
      <c r="P58" s="51" t="s">
        <v>20</v>
      </c>
      <c r="Q58" s="51" t="s">
        <v>20</v>
      </c>
      <c r="R58" s="51" t="s">
        <v>19</v>
      </c>
      <c r="S58" s="51" t="s">
        <v>20</v>
      </c>
      <c r="T58" s="51" t="s">
        <v>20</v>
      </c>
      <c r="U58" s="54" t="s">
        <v>20</v>
      </c>
      <c r="V58" s="54" t="s">
        <v>19</v>
      </c>
      <c r="W58" s="54" t="s">
        <v>19</v>
      </c>
      <c r="X58" s="51" t="s">
        <v>20</v>
      </c>
      <c r="Y58" s="51" t="s">
        <v>20</v>
      </c>
      <c r="Z58" s="39" t="s">
        <v>20</v>
      </c>
      <c r="AA58" s="39" t="s">
        <v>20</v>
      </c>
      <c r="AB58" s="39" t="s">
        <v>20</v>
      </c>
      <c r="AC58" s="53" t="s">
        <v>21</v>
      </c>
      <c r="AD58" s="53" t="s">
        <v>20</v>
      </c>
      <c r="AE58" s="34">
        <f t="shared" si="0"/>
        <v>1</v>
      </c>
    </row>
    <row r="59" spans="1:31" ht="15.75" customHeight="1" x14ac:dyDescent="0.25">
      <c r="A59" s="89">
        <v>16</v>
      </c>
      <c r="B59" s="90" t="s">
        <v>53</v>
      </c>
      <c r="C59" s="89">
        <v>2</v>
      </c>
      <c r="D59" s="89" t="s">
        <v>19</v>
      </c>
      <c r="E59" s="51" t="s">
        <v>20</v>
      </c>
      <c r="F59" s="51" t="s">
        <v>20</v>
      </c>
      <c r="G59" s="51" t="s">
        <v>20</v>
      </c>
      <c r="H59" s="51" t="s">
        <v>20</v>
      </c>
      <c r="I59" s="51" t="s">
        <v>20</v>
      </c>
      <c r="J59" s="51" t="s">
        <v>20</v>
      </c>
      <c r="K59" s="51" t="s">
        <v>20</v>
      </c>
      <c r="L59" s="51" t="s">
        <v>19</v>
      </c>
      <c r="M59" s="51" t="s">
        <v>19</v>
      </c>
      <c r="N59" s="51" t="s">
        <v>19</v>
      </c>
      <c r="O59" s="51" t="s">
        <v>20</v>
      </c>
      <c r="P59" s="51" t="s">
        <v>20</v>
      </c>
      <c r="Q59" s="51" t="s">
        <v>20</v>
      </c>
      <c r="R59" s="51" t="s">
        <v>19</v>
      </c>
      <c r="S59" s="51" t="s">
        <v>19</v>
      </c>
      <c r="T59" s="51" t="s">
        <v>20</v>
      </c>
      <c r="U59" s="54" t="s">
        <v>19</v>
      </c>
      <c r="V59" s="54" t="s">
        <v>19</v>
      </c>
      <c r="W59" s="54" t="s">
        <v>19</v>
      </c>
      <c r="X59" s="51" t="s">
        <v>19</v>
      </c>
      <c r="Y59" s="51" t="s">
        <v>19</v>
      </c>
      <c r="Z59" s="39" t="s">
        <v>20</v>
      </c>
      <c r="AA59" s="39" t="s">
        <v>20</v>
      </c>
      <c r="AB59" s="39" t="s">
        <v>20</v>
      </c>
      <c r="AC59" s="53" t="s">
        <v>20</v>
      </c>
      <c r="AD59" s="53" t="s">
        <v>20</v>
      </c>
      <c r="AE59" s="34">
        <f t="shared" si="0"/>
        <v>0</v>
      </c>
    </row>
    <row r="60" spans="1:31" ht="15.75" customHeight="1" x14ac:dyDescent="0.25">
      <c r="A60" s="89">
        <v>17</v>
      </c>
      <c r="B60" s="90" t="s">
        <v>247</v>
      </c>
      <c r="C60" s="89">
        <v>2</v>
      </c>
      <c r="D60" s="89" t="s">
        <v>19</v>
      </c>
      <c r="E60" s="51" t="s">
        <v>20</v>
      </c>
      <c r="F60" s="51" t="s">
        <v>20</v>
      </c>
      <c r="G60" s="51" t="s">
        <v>20</v>
      </c>
      <c r="H60" s="51" t="s">
        <v>20</v>
      </c>
      <c r="I60" s="51" t="s">
        <v>21</v>
      </c>
      <c r="J60" s="51" t="s">
        <v>20</v>
      </c>
      <c r="K60" s="51" t="s">
        <v>20</v>
      </c>
      <c r="L60" s="51" t="s">
        <v>20</v>
      </c>
      <c r="M60" s="51" t="s">
        <v>20</v>
      </c>
      <c r="N60" s="51" t="s">
        <v>19</v>
      </c>
      <c r="O60" s="51" t="s">
        <v>20</v>
      </c>
      <c r="P60" s="51" t="s">
        <v>20</v>
      </c>
      <c r="Q60" s="51" t="s">
        <v>20</v>
      </c>
      <c r="R60" s="51" t="s">
        <v>20</v>
      </c>
      <c r="S60" s="51" t="s">
        <v>20</v>
      </c>
      <c r="T60" s="51" t="s">
        <v>20</v>
      </c>
      <c r="U60" s="54" t="s">
        <v>19</v>
      </c>
      <c r="V60" s="54" t="s">
        <v>19</v>
      </c>
      <c r="W60" s="54" t="s">
        <v>19</v>
      </c>
      <c r="X60" s="51" t="s">
        <v>19</v>
      </c>
      <c r="Y60" s="51" t="s">
        <v>19</v>
      </c>
      <c r="Z60" s="39" t="s">
        <v>21</v>
      </c>
      <c r="AA60" s="39" t="s">
        <v>21</v>
      </c>
      <c r="AB60" s="39" t="s">
        <v>20</v>
      </c>
      <c r="AC60" s="53" t="s">
        <v>20</v>
      </c>
      <c r="AD60" s="53" t="s">
        <v>20</v>
      </c>
      <c r="AE60" s="34">
        <f t="shared" si="0"/>
        <v>3</v>
      </c>
    </row>
    <row r="61" spans="1:31" ht="15.75" customHeight="1" x14ac:dyDescent="0.25">
      <c r="A61" s="89">
        <v>18</v>
      </c>
      <c r="B61" s="90" t="s">
        <v>54</v>
      </c>
      <c r="C61" s="89">
        <v>2</v>
      </c>
      <c r="D61" s="89" t="s">
        <v>19</v>
      </c>
      <c r="E61" s="51" t="s">
        <v>19</v>
      </c>
      <c r="F61" s="51" t="s">
        <v>19</v>
      </c>
      <c r="G61" s="51" t="s">
        <v>19</v>
      </c>
      <c r="H61" s="51" t="s">
        <v>19</v>
      </c>
      <c r="I61" s="51" t="s">
        <v>19</v>
      </c>
      <c r="J61" s="51" t="s">
        <v>19</v>
      </c>
      <c r="K61" s="51" t="s">
        <v>19</v>
      </c>
      <c r="L61" s="51" t="s">
        <v>19</v>
      </c>
      <c r="M61" s="51" t="s">
        <v>19</v>
      </c>
      <c r="N61" s="51" t="s">
        <v>19</v>
      </c>
      <c r="O61" s="51" t="s">
        <v>19</v>
      </c>
      <c r="P61" s="51" t="s">
        <v>19</v>
      </c>
      <c r="Q61" s="51" t="s">
        <v>19</v>
      </c>
      <c r="R61" s="51" t="s">
        <v>19</v>
      </c>
      <c r="S61" s="51" t="s">
        <v>19</v>
      </c>
      <c r="T61" s="51" t="s">
        <v>19</v>
      </c>
      <c r="U61" s="54" t="s">
        <v>19</v>
      </c>
      <c r="V61" s="54" t="s">
        <v>19</v>
      </c>
      <c r="W61" s="54" t="s">
        <v>19</v>
      </c>
      <c r="X61" s="51" t="s">
        <v>22</v>
      </c>
      <c r="Y61" s="51" t="s">
        <v>22</v>
      </c>
      <c r="Z61" s="39" t="s">
        <v>19</v>
      </c>
      <c r="AA61" s="39" t="s">
        <v>19</v>
      </c>
      <c r="AB61" s="39" t="s">
        <v>19</v>
      </c>
      <c r="AC61" s="53" t="s">
        <v>19</v>
      </c>
      <c r="AD61" s="53" t="s">
        <v>20</v>
      </c>
      <c r="AE61" s="34">
        <f t="shared" si="0"/>
        <v>0</v>
      </c>
    </row>
    <row r="62" spans="1:31" ht="15.75" customHeight="1" x14ac:dyDescent="0.25">
      <c r="A62" s="89">
        <v>19</v>
      </c>
      <c r="B62" s="90" t="s">
        <v>80</v>
      </c>
      <c r="C62" s="89">
        <v>2</v>
      </c>
      <c r="D62" s="89" t="s">
        <v>19</v>
      </c>
      <c r="E62" s="51" t="s">
        <v>20</v>
      </c>
      <c r="F62" s="51" t="s">
        <v>19</v>
      </c>
      <c r="G62" s="51" t="s">
        <v>20</v>
      </c>
      <c r="H62" s="51" t="s">
        <v>20</v>
      </c>
      <c r="I62" s="51" t="s">
        <v>20</v>
      </c>
      <c r="J62" s="51" t="s">
        <v>21</v>
      </c>
      <c r="K62" s="51" t="s">
        <v>21</v>
      </c>
      <c r="L62" s="51" t="s">
        <v>20</v>
      </c>
      <c r="M62" s="51" t="s">
        <v>20</v>
      </c>
      <c r="N62" s="51" t="s">
        <v>19</v>
      </c>
      <c r="O62" s="51" t="s">
        <v>20</v>
      </c>
      <c r="P62" s="51" t="s">
        <v>20</v>
      </c>
      <c r="Q62" s="51" t="s">
        <v>21</v>
      </c>
      <c r="R62" s="51" t="s">
        <v>20</v>
      </c>
      <c r="S62" s="51" t="s">
        <v>20</v>
      </c>
      <c r="T62" s="51" t="s">
        <v>20</v>
      </c>
      <c r="U62" s="54" t="s">
        <v>20</v>
      </c>
      <c r="V62" s="54" t="s">
        <v>19</v>
      </c>
      <c r="W62" s="54" t="s">
        <v>19</v>
      </c>
      <c r="X62" s="51" t="s">
        <v>19</v>
      </c>
      <c r="Y62" s="51" t="s">
        <v>19</v>
      </c>
      <c r="Z62" s="39" t="s">
        <v>21</v>
      </c>
      <c r="AA62" s="39" t="s">
        <v>20</v>
      </c>
      <c r="AB62" s="39" t="s">
        <v>20</v>
      </c>
      <c r="AC62" s="53" t="s">
        <v>21</v>
      </c>
      <c r="AD62" s="53" t="s">
        <v>20</v>
      </c>
      <c r="AE62" s="34">
        <f t="shared" si="0"/>
        <v>5</v>
      </c>
    </row>
    <row r="63" spans="1:31" ht="15.75" customHeight="1" x14ac:dyDescent="0.25">
      <c r="A63" s="89">
        <v>20</v>
      </c>
      <c r="B63" s="90" t="s">
        <v>248</v>
      </c>
      <c r="C63" s="89">
        <v>2</v>
      </c>
      <c r="D63" s="89" t="s">
        <v>19</v>
      </c>
      <c r="E63" s="51" t="s">
        <v>20</v>
      </c>
      <c r="F63" s="51" t="s">
        <v>20</v>
      </c>
      <c r="G63" s="51" t="s">
        <v>20</v>
      </c>
      <c r="H63" s="51" t="s">
        <v>20</v>
      </c>
      <c r="I63" s="51" t="s">
        <v>19</v>
      </c>
      <c r="J63" s="51" t="s">
        <v>20</v>
      </c>
      <c r="K63" s="51" t="s">
        <v>19</v>
      </c>
      <c r="L63" s="51" t="s">
        <v>19</v>
      </c>
      <c r="M63" s="51" t="s">
        <v>19</v>
      </c>
      <c r="N63" s="51" t="s">
        <v>19</v>
      </c>
      <c r="O63" s="51" t="s">
        <v>19</v>
      </c>
      <c r="P63" s="51" t="s">
        <v>19</v>
      </c>
      <c r="Q63" s="51" t="s">
        <v>19</v>
      </c>
      <c r="R63" s="51" t="s">
        <v>19</v>
      </c>
      <c r="S63" s="51" t="s">
        <v>20</v>
      </c>
      <c r="T63" s="51" t="s">
        <v>19</v>
      </c>
      <c r="U63" s="54" t="s">
        <v>19</v>
      </c>
      <c r="V63" s="54" t="s">
        <v>19</v>
      </c>
      <c r="W63" s="54" t="s">
        <v>20</v>
      </c>
      <c r="X63" s="51" t="s">
        <v>19</v>
      </c>
      <c r="Y63" s="51" t="s">
        <v>19</v>
      </c>
      <c r="Z63" s="39" t="s">
        <v>19</v>
      </c>
      <c r="AA63" s="39" t="s">
        <v>19</v>
      </c>
      <c r="AB63" s="39" t="s">
        <v>19</v>
      </c>
      <c r="AC63" s="53" t="s">
        <v>20</v>
      </c>
      <c r="AD63" s="53" t="s">
        <v>20</v>
      </c>
      <c r="AE63" s="34">
        <f t="shared" si="0"/>
        <v>0</v>
      </c>
    </row>
    <row r="64" spans="1:31" ht="15.75" customHeight="1" x14ac:dyDescent="0.25">
      <c r="A64" s="89">
        <v>21</v>
      </c>
      <c r="B64" s="90" t="s">
        <v>55</v>
      </c>
      <c r="C64" s="89">
        <v>2</v>
      </c>
      <c r="D64" s="89" t="s">
        <v>19</v>
      </c>
      <c r="E64" s="51" t="s">
        <v>20</v>
      </c>
      <c r="F64" s="51" t="s">
        <v>19</v>
      </c>
      <c r="G64" s="51" t="s">
        <v>20</v>
      </c>
      <c r="H64" s="51" t="s">
        <v>20</v>
      </c>
      <c r="I64" s="51" t="s">
        <v>19</v>
      </c>
      <c r="J64" s="51" t="s">
        <v>20</v>
      </c>
      <c r="K64" s="51" t="s">
        <v>21</v>
      </c>
      <c r="L64" s="51" t="s">
        <v>20</v>
      </c>
      <c r="M64" s="51" t="s">
        <v>20</v>
      </c>
      <c r="N64" s="51" t="s">
        <v>21</v>
      </c>
      <c r="O64" s="51" t="s">
        <v>21</v>
      </c>
      <c r="P64" s="51" t="s">
        <v>21</v>
      </c>
      <c r="Q64" s="51" t="s">
        <v>20</v>
      </c>
      <c r="R64" s="51" t="s">
        <v>21</v>
      </c>
      <c r="S64" s="51" t="s">
        <v>21</v>
      </c>
      <c r="T64" s="51" t="s">
        <v>20</v>
      </c>
      <c r="U64" s="54" t="s">
        <v>19</v>
      </c>
      <c r="V64" s="54" t="s">
        <v>20</v>
      </c>
      <c r="W64" s="54" t="s">
        <v>19</v>
      </c>
      <c r="X64" s="51" t="s">
        <v>20</v>
      </c>
      <c r="Y64" s="51" t="s">
        <v>20</v>
      </c>
      <c r="Z64" s="39" t="s">
        <v>21</v>
      </c>
      <c r="AA64" s="39" t="s">
        <v>20</v>
      </c>
      <c r="AB64" s="39" t="s">
        <v>20</v>
      </c>
      <c r="AC64" s="53" t="s">
        <v>21</v>
      </c>
      <c r="AD64" s="53" t="s">
        <v>20</v>
      </c>
      <c r="AE64" s="34">
        <f t="shared" si="0"/>
        <v>8</v>
      </c>
    </row>
    <row r="65" spans="1:31" ht="15.75" customHeight="1" x14ac:dyDescent="0.25">
      <c r="A65" s="89">
        <v>22</v>
      </c>
      <c r="B65" s="90" t="s">
        <v>56</v>
      </c>
      <c r="C65" s="89">
        <v>2</v>
      </c>
      <c r="D65" s="89" t="s">
        <v>19</v>
      </c>
      <c r="E65" s="51" t="s">
        <v>20</v>
      </c>
      <c r="F65" s="51" t="s">
        <v>21</v>
      </c>
      <c r="G65" s="51" t="s">
        <v>20</v>
      </c>
      <c r="H65" s="51" t="s">
        <v>20</v>
      </c>
      <c r="I65" s="51" t="s">
        <v>20</v>
      </c>
      <c r="J65" s="51" t="s">
        <v>20</v>
      </c>
      <c r="K65" s="51" t="s">
        <v>19</v>
      </c>
      <c r="L65" s="51" t="s">
        <v>20</v>
      </c>
      <c r="M65" s="51" t="s">
        <v>20</v>
      </c>
      <c r="N65" s="51" t="s">
        <v>21</v>
      </c>
      <c r="O65" s="51" t="s">
        <v>21</v>
      </c>
      <c r="P65" s="51" t="s">
        <v>21</v>
      </c>
      <c r="Q65" s="51" t="s">
        <v>20</v>
      </c>
      <c r="R65" s="51" t="s">
        <v>21</v>
      </c>
      <c r="S65" s="51" t="s">
        <v>21</v>
      </c>
      <c r="T65" s="51" t="s">
        <v>20</v>
      </c>
      <c r="U65" s="54" t="s">
        <v>19</v>
      </c>
      <c r="V65" s="54" t="s">
        <v>19</v>
      </c>
      <c r="W65" s="54" t="s">
        <v>19</v>
      </c>
      <c r="X65" s="51" t="s">
        <v>20</v>
      </c>
      <c r="Y65" s="51" t="s">
        <v>20</v>
      </c>
      <c r="Z65" s="39" t="s">
        <v>21</v>
      </c>
      <c r="AA65" s="39" t="s">
        <v>20</v>
      </c>
      <c r="AB65" s="39" t="s">
        <v>20</v>
      </c>
      <c r="AC65" s="53" t="s">
        <v>21</v>
      </c>
      <c r="AD65" s="53" t="s">
        <v>20</v>
      </c>
      <c r="AE65" s="34">
        <f t="shared" si="0"/>
        <v>8</v>
      </c>
    </row>
    <row r="66" spans="1:31" ht="15.75" customHeight="1" x14ac:dyDescent="0.25">
      <c r="A66" s="89">
        <v>23</v>
      </c>
      <c r="B66" s="90" t="s">
        <v>57</v>
      </c>
      <c r="C66" s="89">
        <v>2</v>
      </c>
      <c r="D66" s="89" t="s">
        <v>19</v>
      </c>
      <c r="E66" s="51" t="s">
        <v>19</v>
      </c>
      <c r="F66" s="51" t="s">
        <v>19</v>
      </c>
      <c r="G66" s="51" t="s">
        <v>19</v>
      </c>
      <c r="H66" s="51" t="s">
        <v>19</v>
      </c>
      <c r="I66" s="51" t="s">
        <v>19</v>
      </c>
      <c r="J66" s="51" t="s">
        <v>19</v>
      </c>
      <c r="K66" s="51" t="s">
        <v>19</v>
      </c>
      <c r="L66" s="51" t="s">
        <v>19</v>
      </c>
      <c r="M66" s="51" t="s">
        <v>19</v>
      </c>
      <c r="N66" s="51" t="s">
        <v>19</v>
      </c>
      <c r="O66" s="51" t="s">
        <v>19</v>
      </c>
      <c r="P66" s="51" t="s">
        <v>19</v>
      </c>
      <c r="Q66" s="51" t="s">
        <v>19</v>
      </c>
      <c r="R66" s="51" t="s">
        <v>19</v>
      </c>
      <c r="S66" s="51" t="s">
        <v>19</v>
      </c>
      <c r="T66" s="51" t="s">
        <v>19</v>
      </c>
      <c r="U66" s="54" t="s">
        <v>19</v>
      </c>
      <c r="V66" s="54" t="s">
        <v>19</v>
      </c>
      <c r="W66" s="54" t="s">
        <v>19</v>
      </c>
      <c r="X66" s="51" t="s">
        <v>19</v>
      </c>
      <c r="Y66" s="51" t="s">
        <v>19</v>
      </c>
      <c r="Z66" s="39" t="s">
        <v>19</v>
      </c>
      <c r="AA66" s="39" t="s">
        <v>19</v>
      </c>
      <c r="AB66" s="39" t="s">
        <v>19</v>
      </c>
      <c r="AC66" s="53" t="s">
        <v>19</v>
      </c>
      <c r="AD66" s="53" t="s">
        <v>20</v>
      </c>
      <c r="AE66" s="34">
        <f t="shared" si="0"/>
        <v>0</v>
      </c>
    </row>
    <row r="67" spans="1:31" ht="15.75" customHeight="1" thickBot="1" x14ac:dyDescent="0.3">
      <c r="A67" s="91">
        <v>24</v>
      </c>
      <c r="B67" s="92" t="s">
        <v>58</v>
      </c>
      <c r="C67" s="91">
        <v>2</v>
      </c>
      <c r="D67" s="91" t="s">
        <v>19</v>
      </c>
      <c r="E67" s="87" t="s">
        <v>20</v>
      </c>
      <c r="F67" s="87" t="s">
        <v>21</v>
      </c>
      <c r="G67" s="87" t="s">
        <v>20</v>
      </c>
      <c r="H67" s="87" t="s">
        <v>20</v>
      </c>
      <c r="I67" s="87" t="s">
        <v>20</v>
      </c>
      <c r="J67" s="87" t="s">
        <v>20</v>
      </c>
      <c r="K67" s="87" t="s">
        <v>21</v>
      </c>
      <c r="L67" s="87" t="s">
        <v>20</v>
      </c>
      <c r="M67" s="87" t="s">
        <v>20</v>
      </c>
      <c r="N67" s="87" t="s">
        <v>21</v>
      </c>
      <c r="O67" s="87" t="s">
        <v>20</v>
      </c>
      <c r="P67" s="87" t="s">
        <v>20</v>
      </c>
      <c r="Q67" s="87" t="s">
        <v>20</v>
      </c>
      <c r="R67" s="87" t="s">
        <v>21</v>
      </c>
      <c r="S67" s="87" t="s">
        <v>20</v>
      </c>
      <c r="T67" s="87" t="s">
        <v>20</v>
      </c>
      <c r="U67" s="100" t="s">
        <v>20</v>
      </c>
      <c r="V67" s="100" t="s">
        <v>19</v>
      </c>
      <c r="W67" s="100" t="s">
        <v>19</v>
      </c>
      <c r="X67" s="87" t="s">
        <v>20</v>
      </c>
      <c r="Y67" s="87" t="s">
        <v>20</v>
      </c>
      <c r="Z67" s="41" t="s">
        <v>20</v>
      </c>
      <c r="AA67" s="41" t="s">
        <v>20</v>
      </c>
      <c r="AB67" s="41" t="s">
        <v>21</v>
      </c>
      <c r="AC67" s="96" t="s">
        <v>21</v>
      </c>
      <c r="AD67" s="96" t="s">
        <v>20</v>
      </c>
      <c r="AE67" s="34">
        <f t="shared" si="0"/>
        <v>6</v>
      </c>
    </row>
    <row r="68" spans="1:31" ht="15.75" customHeight="1" x14ac:dyDescent="0.25">
      <c r="A68" s="82">
        <v>1</v>
      </c>
      <c r="B68" s="40" t="s">
        <v>60</v>
      </c>
      <c r="C68" s="82">
        <v>2</v>
      </c>
      <c r="D68" s="82" t="s">
        <v>20</v>
      </c>
      <c r="E68" s="83" t="s">
        <v>20</v>
      </c>
      <c r="F68" s="83" t="s">
        <v>20</v>
      </c>
      <c r="G68" s="83" t="s">
        <v>20</v>
      </c>
      <c r="H68" s="83" t="s">
        <v>20</v>
      </c>
      <c r="I68" s="83" t="s">
        <v>20</v>
      </c>
      <c r="J68" s="83" t="s">
        <v>19</v>
      </c>
      <c r="K68" s="83" t="s">
        <v>19</v>
      </c>
      <c r="L68" s="83" t="s">
        <v>20</v>
      </c>
      <c r="M68" s="83" t="s">
        <v>20</v>
      </c>
      <c r="N68" s="83" t="s">
        <v>20</v>
      </c>
      <c r="O68" s="83" t="s">
        <v>20</v>
      </c>
      <c r="P68" s="83" t="s">
        <v>20</v>
      </c>
      <c r="Q68" s="83" t="s">
        <v>20</v>
      </c>
      <c r="R68" s="83" t="s">
        <v>20</v>
      </c>
      <c r="S68" s="83" t="s">
        <v>20</v>
      </c>
      <c r="T68" s="83" t="s">
        <v>20</v>
      </c>
      <c r="U68" s="99" t="s">
        <v>20</v>
      </c>
      <c r="V68" s="99" t="s">
        <v>19</v>
      </c>
      <c r="W68" s="99" t="s">
        <v>19</v>
      </c>
      <c r="X68" s="83" t="s">
        <v>19</v>
      </c>
      <c r="Y68" s="83" t="s">
        <v>19</v>
      </c>
      <c r="Z68" s="86" t="s">
        <v>20</v>
      </c>
      <c r="AA68" s="86" t="s">
        <v>20</v>
      </c>
      <c r="AB68" s="86" t="s">
        <v>20</v>
      </c>
      <c r="AC68" s="83" t="s">
        <v>20</v>
      </c>
      <c r="AD68" s="83" t="s">
        <v>20</v>
      </c>
      <c r="AE68" s="34">
        <f t="shared" si="0"/>
        <v>0</v>
      </c>
    </row>
    <row r="69" spans="1:31" ht="15.75" customHeight="1" x14ac:dyDescent="0.25">
      <c r="A69" s="20">
        <v>2</v>
      </c>
      <c r="B69" s="37" t="s">
        <v>61</v>
      </c>
      <c r="C69" s="20">
        <v>2</v>
      </c>
      <c r="D69" s="20" t="s">
        <v>20</v>
      </c>
      <c r="E69" s="51" t="s">
        <v>20</v>
      </c>
      <c r="F69" s="51" t="s">
        <v>21</v>
      </c>
      <c r="G69" s="51" t="s">
        <v>20</v>
      </c>
      <c r="H69" s="51" t="s">
        <v>20</v>
      </c>
      <c r="I69" s="51" t="s">
        <v>20</v>
      </c>
      <c r="J69" s="51" t="s">
        <v>20</v>
      </c>
      <c r="K69" s="51" t="s">
        <v>20</v>
      </c>
      <c r="L69" s="51" t="s">
        <v>21</v>
      </c>
      <c r="M69" s="51" t="s">
        <v>20</v>
      </c>
      <c r="N69" s="51" t="s">
        <v>20</v>
      </c>
      <c r="O69" s="51" t="s">
        <v>21</v>
      </c>
      <c r="P69" s="51" t="s">
        <v>20</v>
      </c>
      <c r="Q69" s="51" t="s">
        <v>21</v>
      </c>
      <c r="R69" s="51" t="s">
        <v>21</v>
      </c>
      <c r="S69" s="51" t="s">
        <v>20</v>
      </c>
      <c r="T69" s="51" t="s">
        <v>20</v>
      </c>
      <c r="U69" s="54" t="s">
        <v>20</v>
      </c>
      <c r="V69" s="54" t="s">
        <v>20</v>
      </c>
      <c r="W69" s="54" t="s">
        <v>20</v>
      </c>
      <c r="X69" s="51" t="s">
        <v>20</v>
      </c>
      <c r="Y69" s="51" t="s">
        <v>21</v>
      </c>
      <c r="Z69" s="39" t="s">
        <v>21</v>
      </c>
      <c r="AA69" s="39" t="s">
        <v>20</v>
      </c>
      <c r="AB69" s="39" t="s">
        <v>21</v>
      </c>
      <c r="AC69" s="51" t="s">
        <v>21</v>
      </c>
      <c r="AD69" s="51" t="s">
        <v>20</v>
      </c>
      <c r="AE69" s="34">
        <f t="shared" si="0"/>
        <v>9</v>
      </c>
    </row>
    <row r="70" spans="1:31" ht="15.75" customHeight="1" x14ac:dyDescent="0.25">
      <c r="A70" s="20">
        <v>3</v>
      </c>
      <c r="B70" s="37" t="s">
        <v>62</v>
      </c>
      <c r="C70" s="20">
        <v>2</v>
      </c>
      <c r="D70" s="20" t="s">
        <v>20</v>
      </c>
      <c r="E70" s="51" t="s">
        <v>19</v>
      </c>
      <c r="F70" s="51" t="s">
        <v>20</v>
      </c>
      <c r="G70" s="51" t="s">
        <v>19</v>
      </c>
      <c r="H70" s="51" t="s">
        <v>20</v>
      </c>
      <c r="I70" s="51" t="s">
        <v>19</v>
      </c>
      <c r="J70" s="51" t="s">
        <v>19</v>
      </c>
      <c r="K70" s="51" t="s">
        <v>19</v>
      </c>
      <c r="L70" s="51" t="s">
        <v>21</v>
      </c>
      <c r="M70" s="51" t="s">
        <v>20</v>
      </c>
      <c r="N70" s="51" t="s">
        <v>19</v>
      </c>
      <c r="O70" s="51" t="s">
        <v>20</v>
      </c>
      <c r="P70" s="51" t="s">
        <v>20</v>
      </c>
      <c r="Q70" s="51" t="s">
        <v>20</v>
      </c>
      <c r="R70" s="51" t="s">
        <v>19</v>
      </c>
      <c r="S70" s="51" t="s">
        <v>19</v>
      </c>
      <c r="T70" s="51" t="s">
        <v>19</v>
      </c>
      <c r="U70" s="54" t="s">
        <v>20</v>
      </c>
      <c r="V70" s="54" t="s">
        <v>20</v>
      </c>
      <c r="W70" s="54" t="s">
        <v>20</v>
      </c>
      <c r="X70" s="51" t="s">
        <v>20</v>
      </c>
      <c r="Y70" s="51" t="s">
        <v>20</v>
      </c>
      <c r="Z70" s="39" t="s">
        <v>19</v>
      </c>
      <c r="AA70" s="39" t="s">
        <v>19</v>
      </c>
      <c r="AB70" s="39" t="s">
        <v>19</v>
      </c>
      <c r="AC70" s="51" t="s">
        <v>21</v>
      </c>
      <c r="AD70" s="51" t="s">
        <v>20</v>
      </c>
      <c r="AE70" s="34">
        <f t="shared" ref="AE70:AE131" si="1">+COUNTIF(E70:AD70,"C")</f>
        <v>2</v>
      </c>
    </row>
    <row r="71" spans="1:31" ht="15.75" customHeight="1" x14ac:dyDescent="0.25">
      <c r="A71" s="20">
        <v>4</v>
      </c>
      <c r="B71" s="37" t="s">
        <v>63</v>
      </c>
      <c r="C71" s="20">
        <v>2</v>
      </c>
      <c r="D71" s="20" t="s">
        <v>20</v>
      </c>
      <c r="E71" s="51" t="s">
        <v>19</v>
      </c>
      <c r="F71" s="51" t="s">
        <v>20</v>
      </c>
      <c r="G71" s="51" t="s">
        <v>20</v>
      </c>
      <c r="H71" s="51" t="s">
        <v>20</v>
      </c>
      <c r="I71" s="51" t="s">
        <v>20</v>
      </c>
      <c r="J71" s="51" t="s">
        <v>20</v>
      </c>
      <c r="K71" s="51" t="s">
        <v>20</v>
      </c>
      <c r="L71" s="51" t="s">
        <v>20</v>
      </c>
      <c r="M71" s="51" t="s">
        <v>19</v>
      </c>
      <c r="N71" s="51" t="s">
        <v>20</v>
      </c>
      <c r="O71" s="51" t="s">
        <v>19</v>
      </c>
      <c r="P71" s="51" t="s">
        <v>19</v>
      </c>
      <c r="Q71" s="51" t="s">
        <v>19</v>
      </c>
      <c r="R71" s="51" t="s">
        <v>19</v>
      </c>
      <c r="S71" s="51" t="s">
        <v>19</v>
      </c>
      <c r="T71" s="51" t="s">
        <v>20</v>
      </c>
      <c r="U71" s="54" t="s">
        <v>19</v>
      </c>
      <c r="V71" s="54" t="s">
        <v>20</v>
      </c>
      <c r="W71" s="54" t="s">
        <v>20</v>
      </c>
      <c r="X71" s="51" t="s">
        <v>20</v>
      </c>
      <c r="Y71" s="51" t="s">
        <v>20</v>
      </c>
      <c r="Z71" s="39" t="s">
        <v>20</v>
      </c>
      <c r="AA71" s="39" t="s">
        <v>20</v>
      </c>
      <c r="AB71" s="39" t="s">
        <v>20</v>
      </c>
      <c r="AC71" s="51" t="s">
        <v>20</v>
      </c>
      <c r="AD71" s="51" t="s">
        <v>20</v>
      </c>
      <c r="AE71" s="34">
        <f t="shared" si="1"/>
        <v>0</v>
      </c>
    </row>
    <row r="72" spans="1:31" ht="15.75" customHeight="1" x14ac:dyDescent="0.25">
      <c r="A72" s="20">
        <v>5</v>
      </c>
      <c r="B72" s="37" t="s">
        <v>64</v>
      </c>
      <c r="C72" s="20">
        <v>2</v>
      </c>
      <c r="D72" s="20" t="s">
        <v>20</v>
      </c>
      <c r="E72" s="51" t="s">
        <v>19</v>
      </c>
      <c r="F72" s="51" t="s">
        <v>19</v>
      </c>
      <c r="G72" s="51" t="s">
        <v>19</v>
      </c>
      <c r="H72" s="51" t="s">
        <v>19</v>
      </c>
      <c r="I72" s="51" t="s">
        <v>20</v>
      </c>
      <c r="J72" s="51" t="s">
        <v>19</v>
      </c>
      <c r="K72" s="51" t="s">
        <v>19</v>
      </c>
      <c r="L72" s="51" t="s">
        <v>20</v>
      </c>
      <c r="M72" s="51" t="s">
        <v>19</v>
      </c>
      <c r="N72" s="51" t="s">
        <v>19</v>
      </c>
      <c r="O72" s="51" t="s">
        <v>20</v>
      </c>
      <c r="P72" s="51" t="s">
        <v>20</v>
      </c>
      <c r="Q72" s="51" t="s">
        <v>20</v>
      </c>
      <c r="R72" s="51" t="s">
        <v>20</v>
      </c>
      <c r="S72" s="51" t="s">
        <v>19</v>
      </c>
      <c r="T72" s="51" t="s">
        <v>20</v>
      </c>
      <c r="U72" s="54" t="s">
        <v>20</v>
      </c>
      <c r="V72" s="54" t="s">
        <v>20</v>
      </c>
      <c r="W72" s="54" t="s">
        <v>20</v>
      </c>
      <c r="X72" s="51" t="s">
        <v>20</v>
      </c>
      <c r="Y72" s="51" t="s">
        <v>19</v>
      </c>
      <c r="Z72" s="39" t="s">
        <v>20</v>
      </c>
      <c r="AA72" s="39" t="s">
        <v>21</v>
      </c>
      <c r="AB72" s="39" t="s">
        <v>20</v>
      </c>
      <c r="AC72" s="51" t="s">
        <v>21</v>
      </c>
      <c r="AD72" s="51" t="s">
        <v>20</v>
      </c>
      <c r="AE72" s="34">
        <f t="shared" si="1"/>
        <v>2</v>
      </c>
    </row>
    <row r="73" spans="1:31" ht="15.75" customHeight="1" x14ac:dyDescent="0.25">
      <c r="A73" s="20">
        <v>6</v>
      </c>
      <c r="B73" s="37" t="s">
        <v>65</v>
      </c>
      <c r="C73" s="20">
        <v>2</v>
      </c>
      <c r="D73" s="20" t="s">
        <v>20</v>
      </c>
      <c r="E73" s="51" t="s">
        <v>20</v>
      </c>
      <c r="F73" s="51" t="s">
        <v>20</v>
      </c>
      <c r="G73" s="51" t="s">
        <v>20</v>
      </c>
      <c r="H73" s="51" t="s">
        <v>20</v>
      </c>
      <c r="I73" s="51" t="s">
        <v>20</v>
      </c>
      <c r="J73" s="51" t="s">
        <v>20</v>
      </c>
      <c r="K73" s="51" t="s">
        <v>20</v>
      </c>
      <c r="L73" s="51" t="s">
        <v>19</v>
      </c>
      <c r="M73" s="51" t="s">
        <v>19</v>
      </c>
      <c r="N73" s="51" t="s">
        <v>20</v>
      </c>
      <c r="O73" s="51" t="s">
        <v>21</v>
      </c>
      <c r="P73" s="51" t="s">
        <v>20</v>
      </c>
      <c r="Q73" s="51" t="s">
        <v>20</v>
      </c>
      <c r="R73" s="51" t="s">
        <v>20</v>
      </c>
      <c r="S73" s="51" t="s">
        <v>19</v>
      </c>
      <c r="T73" s="51" t="s">
        <v>19</v>
      </c>
      <c r="U73" s="54" t="s">
        <v>19</v>
      </c>
      <c r="V73" s="54" t="s">
        <v>19</v>
      </c>
      <c r="W73" s="54" t="s">
        <v>19</v>
      </c>
      <c r="X73" s="51" t="s">
        <v>20</v>
      </c>
      <c r="Y73" s="51" t="s">
        <v>19</v>
      </c>
      <c r="Z73" s="39" t="s">
        <v>20</v>
      </c>
      <c r="AA73" s="39" t="s">
        <v>20</v>
      </c>
      <c r="AB73" s="39" t="s">
        <v>20</v>
      </c>
      <c r="AC73" s="51" t="s">
        <v>20</v>
      </c>
      <c r="AD73" s="51" t="s">
        <v>20</v>
      </c>
      <c r="AE73" s="34">
        <f t="shared" si="1"/>
        <v>1</v>
      </c>
    </row>
    <row r="74" spans="1:31" ht="15.75" customHeight="1" x14ac:dyDescent="0.25">
      <c r="A74" s="20">
        <v>7</v>
      </c>
      <c r="B74" s="37" t="s">
        <v>66</v>
      </c>
      <c r="C74" s="20">
        <v>2</v>
      </c>
      <c r="D74" s="20" t="s">
        <v>20</v>
      </c>
      <c r="E74" s="51" t="s">
        <v>20</v>
      </c>
      <c r="F74" s="51" t="s">
        <v>21</v>
      </c>
      <c r="G74" s="51" t="s">
        <v>20</v>
      </c>
      <c r="H74" s="51" t="s">
        <v>20</v>
      </c>
      <c r="I74" s="51" t="s">
        <v>20</v>
      </c>
      <c r="J74" s="51" t="s">
        <v>19</v>
      </c>
      <c r="K74" s="51" t="s">
        <v>19</v>
      </c>
      <c r="L74" s="51" t="s">
        <v>20</v>
      </c>
      <c r="M74" s="51" t="s">
        <v>20</v>
      </c>
      <c r="N74" s="51" t="s">
        <v>20</v>
      </c>
      <c r="O74" s="51" t="s">
        <v>20</v>
      </c>
      <c r="P74" s="51" t="s">
        <v>20</v>
      </c>
      <c r="Q74" s="51" t="s">
        <v>20</v>
      </c>
      <c r="R74" s="51" t="s">
        <v>20</v>
      </c>
      <c r="S74" s="51" t="s">
        <v>20</v>
      </c>
      <c r="T74" s="51" t="s">
        <v>20</v>
      </c>
      <c r="U74" s="54" t="s">
        <v>19</v>
      </c>
      <c r="V74" s="54" t="s">
        <v>20</v>
      </c>
      <c r="W74" s="54" t="s">
        <v>20</v>
      </c>
      <c r="X74" s="51" t="s">
        <v>20</v>
      </c>
      <c r="Y74" s="51" t="s">
        <v>19</v>
      </c>
      <c r="Z74" s="39" t="s">
        <v>20</v>
      </c>
      <c r="AA74" s="39" t="s">
        <v>20</v>
      </c>
      <c r="AB74" s="39" t="s">
        <v>20</v>
      </c>
      <c r="AC74" s="51" t="s">
        <v>21</v>
      </c>
      <c r="AD74" s="51" t="s">
        <v>20</v>
      </c>
      <c r="AE74" s="34">
        <f t="shared" si="1"/>
        <v>2</v>
      </c>
    </row>
    <row r="75" spans="1:31" ht="15.75" customHeight="1" x14ac:dyDescent="0.25">
      <c r="A75" s="20">
        <v>8</v>
      </c>
      <c r="B75" s="37" t="s">
        <v>249</v>
      </c>
      <c r="C75" s="20">
        <v>2</v>
      </c>
      <c r="D75" s="20" t="s">
        <v>20</v>
      </c>
      <c r="E75" s="51" t="s">
        <v>19</v>
      </c>
      <c r="F75" s="51" t="s">
        <v>19</v>
      </c>
      <c r="G75" s="51" t="s">
        <v>19</v>
      </c>
      <c r="H75" s="51" t="s">
        <v>19</v>
      </c>
      <c r="I75" s="51" t="s">
        <v>19</v>
      </c>
      <c r="J75" s="51" t="s">
        <v>19</v>
      </c>
      <c r="K75" s="51" t="s">
        <v>22</v>
      </c>
      <c r="L75" s="51" t="s">
        <v>19</v>
      </c>
      <c r="M75" s="51" t="s">
        <v>19</v>
      </c>
      <c r="N75" s="51" t="s">
        <v>19</v>
      </c>
      <c r="O75" s="51" t="s">
        <v>19</v>
      </c>
      <c r="P75" s="51" t="s">
        <v>19</v>
      </c>
      <c r="Q75" s="51" t="s">
        <v>19</v>
      </c>
      <c r="R75" s="51" t="s">
        <v>19</v>
      </c>
      <c r="S75" s="51" t="s">
        <v>19</v>
      </c>
      <c r="T75" s="51" t="s">
        <v>19</v>
      </c>
      <c r="U75" s="54" t="s">
        <v>19</v>
      </c>
      <c r="V75" s="54" t="s">
        <v>19</v>
      </c>
      <c r="W75" s="54" t="s">
        <v>19</v>
      </c>
      <c r="X75" s="51" t="s">
        <v>19</v>
      </c>
      <c r="Y75" s="51" t="s">
        <v>19</v>
      </c>
      <c r="Z75" s="39" t="s">
        <v>19</v>
      </c>
      <c r="AA75" s="39" t="s">
        <v>19</v>
      </c>
      <c r="AB75" s="39" t="s">
        <v>19</v>
      </c>
      <c r="AC75" s="51" t="s">
        <v>19</v>
      </c>
      <c r="AD75" s="51" t="s">
        <v>20</v>
      </c>
      <c r="AE75" s="34">
        <f t="shared" si="1"/>
        <v>0</v>
      </c>
    </row>
    <row r="76" spans="1:31" ht="15.75" customHeight="1" x14ac:dyDescent="0.25">
      <c r="A76" s="20">
        <v>9</v>
      </c>
      <c r="B76" s="37" t="s">
        <v>67</v>
      </c>
      <c r="C76" s="20">
        <v>2</v>
      </c>
      <c r="D76" s="20" t="s">
        <v>20</v>
      </c>
      <c r="E76" s="51" t="s">
        <v>19</v>
      </c>
      <c r="F76" s="51" t="s">
        <v>20</v>
      </c>
      <c r="G76" s="51" t="s">
        <v>20</v>
      </c>
      <c r="H76" s="51" t="s">
        <v>20</v>
      </c>
      <c r="I76" s="51" t="s">
        <v>20</v>
      </c>
      <c r="J76" s="51" t="s">
        <v>20</v>
      </c>
      <c r="K76" s="51" t="s">
        <v>20</v>
      </c>
      <c r="L76" s="51" t="s">
        <v>20</v>
      </c>
      <c r="M76" s="51" t="s">
        <v>20</v>
      </c>
      <c r="N76" s="51" t="s">
        <v>19</v>
      </c>
      <c r="O76" s="51" t="s">
        <v>20</v>
      </c>
      <c r="P76" s="51" t="s">
        <v>20</v>
      </c>
      <c r="Q76" s="51" t="s">
        <v>20</v>
      </c>
      <c r="R76" s="51" t="s">
        <v>20</v>
      </c>
      <c r="S76" s="51" t="s">
        <v>19</v>
      </c>
      <c r="T76" s="51" t="s">
        <v>19</v>
      </c>
      <c r="U76" s="54" t="s">
        <v>19</v>
      </c>
      <c r="V76" s="54" t="s">
        <v>19</v>
      </c>
      <c r="W76" s="54" t="s">
        <v>19</v>
      </c>
      <c r="X76" s="51" t="s">
        <v>19</v>
      </c>
      <c r="Y76" s="51" t="s">
        <v>20</v>
      </c>
      <c r="Z76" s="39" t="s">
        <v>20</v>
      </c>
      <c r="AA76" s="39" t="s">
        <v>20</v>
      </c>
      <c r="AB76" s="39" t="s">
        <v>20</v>
      </c>
      <c r="AC76" s="51" t="s">
        <v>20</v>
      </c>
      <c r="AD76" s="51" t="s">
        <v>20</v>
      </c>
      <c r="AE76" s="34">
        <f t="shared" si="1"/>
        <v>0</v>
      </c>
    </row>
    <row r="77" spans="1:31" ht="15.75" customHeight="1" x14ac:dyDescent="0.25">
      <c r="A77" s="20">
        <v>10</v>
      </c>
      <c r="B77" s="37" t="s">
        <v>250</v>
      </c>
      <c r="C77" s="20">
        <v>2</v>
      </c>
      <c r="D77" s="20" t="s">
        <v>20</v>
      </c>
      <c r="E77" s="51" t="s">
        <v>20</v>
      </c>
      <c r="F77" s="51" t="s">
        <v>20</v>
      </c>
      <c r="G77" s="51" t="s">
        <v>20</v>
      </c>
      <c r="H77" s="51" t="s">
        <v>20</v>
      </c>
      <c r="I77" s="51" t="s">
        <v>20</v>
      </c>
      <c r="J77" s="51" t="s">
        <v>19</v>
      </c>
      <c r="K77" s="51" t="s">
        <v>19</v>
      </c>
      <c r="L77" s="51" t="s">
        <v>19</v>
      </c>
      <c r="M77" s="51" t="s">
        <v>20</v>
      </c>
      <c r="N77" s="51" t="s">
        <v>20</v>
      </c>
      <c r="O77" s="51" t="s">
        <v>20</v>
      </c>
      <c r="P77" s="51" t="s">
        <v>20</v>
      </c>
      <c r="Q77" s="51" t="s">
        <v>20</v>
      </c>
      <c r="R77" s="51" t="s">
        <v>20</v>
      </c>
      <c r="S77" s="51" t="s">
        <v>21</v>
      </c>
      <c r="T77" s="51" t="s">
        <v>20</v>
      </c>
      <c r="U77" s="54" t="s">
        <v>20</v>
      </c>
      <c r="V77" s="54" t="s">
        <v>19</v>
      </c>
      <c r="W77" s="54" t="s">
        <v>19</v>
      </c>
      <c r="X77" s="51" t="s">
        <v>20</v>
      </c>
      <c r="Y77" s="51" t="s">
        <v>19</v>
      </c>
      <c r="Z77" s="39" t="s">
        <v>19</v>
      </c>
      <c r="AA77" s="39" t="s">
        <v>20</v>
      </c>
      <c r="AB77" s="39" t="s">
        <v>20</v>
      </c>
      <c r="AC77" s="51" t="s">
        <v>21</v>
      </c>
      <c r="AD77" s="51" t="s">
        <v>20</v>
      </c>
      <c r="AE77" s="34">
        <f t="shared" si="1"/>
        <v>2</v>
      </c>
    </row>
    <row r="78" spans="1:31" ht="15.75" customHeight="1" x14ac:dyDescent="0.25">
      <c r="A78" s="20">
        <v>11</v>
      </c>
      <c r="B78" s="37" t="s">
        <v>68</v>
      </c>
      <c r="C78" s="20">
        <v>2</v>
      </c>
      <c r="D78" s="20" t="s">
        <v>20</v>
      </c>
      <c r="E78" s="51" t="s">
        <v>20</v>
      </c>
      <c r="F78" s="51" t="s">
        <v>21</v>
      </c>
      <c r="G78" s="51" t="s">
        <v>20</v>
      </c>
      <c r="H78" s="51" t="s">
        <v>20</v>
      </c>
      <c r="I78" s="51" t="s">
        <v>20</v>
      </c>
      <c r="J78" s="51" t="s">
        <v>20</v>
      </c>
      <c r="K78" s="51" t="s">
        <v>20</v>
      </c>
      <c r="L78" s="51" t="s">
        <v>19</v>
      </c>
      <c r="M78" s="51" t="s">
        <v>19</v>
      </c>
      <c r="N78" s="51" t="s">
        <v>19</v>
      </c>
      <c r="O78" s="51" t="s">
        <v>20</v>
      </c>
      <c r="P78" s="51" t="s">
        <v>20</v>
      </c>
      <c r="Q78" s="51" t="s">
        <v>20</v>
      </c>
      <c r="R78" s="51" t="s">
        <v>20</v>
      </c>
      <c r="S78" s="51" t="s">
        <v>19</v>
      </c>
      <c r="T78" s="51" t="s">
        <v>20</v>
      </c>
      <c r="U78" s="54" t="s">
        <v>20</v>
      </c>
      <c r="V78" s="54" t="s">
        <v>19</v>
      </c>
      <c r="W78" s="54" t="s">
        <v>19</v>
      </c>
      <c r="X78" s="51" t="s">
        <v>19</v>
      </c>
      <c r="Y78" s="51" t="s">
        <v>19</v>
      </c>
      <c r="Z78" s="39" t="s">
        <v>21</v>
      </c>
      <c r="AA78" s="39" t="s">
        <v>20</v>
      </c>
      <c r="AB78" s="39" t="s">
        <v>20</v>
      </c>
      <c r="AC78" s="51" t="s">
        <v>21</v>
      </c>
      <c r="AD78" s="51" t="s">
        <v>20</v>
      </c>
      <c r="AE78" s="34">
        <f t="shared" si="1"/>
        <v>3</v>
      </c>
    </row>
    <row r="79" spans="1:31" ht="15.75" customHeight="1" x14ac:dyDescent="0.25">
      <c r="A79" s="20">
        <v>12</v>
      </c>
      <c r="B79" s="37" t="s">
        <v>69</v>
      </c>
      <c r="C79" s="20">
        <v>2</v>
      </c>
      <c r="D79" s="20" t="s">
        <v>20</v>
      </c>
      <c r="E79" s="51" t="s">
        <v>19</v>
      </c>
      <c r="F79" s="51" t="s">
        <v>20</v>
      </c>
      <c r="G79" s="51" t="s">
        <v>20</v>
      </c>
      <c r="H79" s="51" t="s">
        <v>20</v>
      </c>
      <c r="I79" s="51" t="s">
        <v>20</v>
      </c>
      <c r="J79" s="51" t="s">
        <v>20</v>
      </c>
      <c r="K79" s="51" t="s">
        <v>20</v>
      </c>
      <c r="L79" s="51" t="s">
        <v>19</v>
      </c>
      <c r="M79" s="51" t="s">
        <v>19</v>
      </c>
      <c r="N79" s="51" t="s">
        <v>19</v>
      </c>
      <c r="O79" s="51" t="s">
        <v>20</v>
      </c>
      <c r="P79" s="51" t="s">
        <v>20</v>
      </c>
      <c r="Q79" s="51" t="s">
        <v>20</v>
      </c>
      <c r="R79" s="51" t="s">
        <v>19</v>
      </c>
      <c r="S79" s="51" t="s">
        <v>19</v>
      </c>
      <c r="T79" s="51" t="s">
        <v>20</v>
      </c>
      <c r="U79" s="54" t="s">
        <v>20</v>
      </c>
      <c r="V79" s="54" t="s">
        <v>19</v>
      </c>
      <c r="W79" s="54" t="s">
        <v>19</v>
      </c>
      <c r="X79" s="51" t="s">
        <v>19</v>
      </c>
      <c r="Y79" s="51" t="s">
        <v>19</v>
      </c>
      <c r="Z79" s="39" t="s">
        <v>21</v>
      </c>
      <c r="AA79" s="39" t="s">
        <v>20</v>
      </c>
      <c r="AB79" s="39" t="s">
        <v>20</v>
      </c>
      <c r="AC79" s="51" t="s">
        <v>19</v>
      </c>
      <c r="AD79" s="51" t="s">
        <v>20</v>
      </c>
      <c r="AE79" s="34">
        <f t="shared" si="1"/>
        <v>1</v>
      </c>
    </row>
    <row r="80" spans="1:31" ht="15.75" customHeight="1" x14ac:dyDescent="0.25">
      <c r="A80" s="20">
        <v>13</v>
      </c>
      <c r="B80" s="37" t="s">
        <v>70</v>
      </c>
      <c r="C80" s="20">
        <v>2</v>
      </c>
      <c r="D80" s="20" t="s">
        <v>20</v>
      </c>
      <c r="E80" s="51" t="s">
        <v>19</v>
      </c>
      <c r="F80" s="51" t="s">
        <v>20</v>
      </c>
      <c r="G80" s="51" t="s">
        <v>19</v>
      </c>
      <c r="H80" s="51" t="s">
        <v>20</v>
      </c>
      <c r="I80" s="51" t="s">
        <v>19</v>
      </c>
      <c r="J80" s="51" t="s">
        <v>19</v>
      </c>
      <c r="K80" s="51" t="s">
        <v>19</v>
      </c>
      <c r="L80" s="51" t="s">
        <v>20</v>
      </c>
      <c r="M80" s="51" t="s">
        <v>19</v>
      </c>
      <c r="N80" s="51" t="s">
        <v>20</v>
      </c>
      <c r="O80" s="51" t="s">
        <v>20</v>
      </c>
      <c r="P80" s="51" t="s">
        <v>20</v>
      </c>
      <c r="Q80" s="51" t="s">
        <v>20</v>
      </c>
      <c r="R80" s="51" t="s">
        <v>19</v>
      </c>
      <c r="S80" s="51" t="s">
        <v>19</v>
      </c>
      <c r="T80" s="51" t="s">
        <v>20</v>
      </c>
      <c r="U80" s="54" t="s">
        <v>20</v>
      </c>
      <c r="V80" s="54" t="s">
        <v>19</v>
      </c>
      <c r="W80" s="54" t="s">
        <v>20</v>
      </c>
      <c r="X80" s="51" t="s">
        <v>20</v>
      </c>
      <c r="Y80" s="51" t="s">
        <v>20</v>
      </c>
      <c r="Z80" s="39" t="s">
        <v>20</v>
      </c>
      <c r="AA80" s="39" t="s">
        <v>19</v>
      </c>
      <c r="AB80" s="39" t="s">
        <v>19</v>
      </c>
      <c r="AC80" s="51" t="s">
        <v>20</v>
      </c>
      <c r="AD80" s="51" t="s">
        <v>20</v>
      </c>
      <c r="AE80" s="34">
        <f t="shared" si="1"/>
        <v>0</v>
      </c>
    </row>
    <row r="81" spans="1:31" ht="15.75" customHeight="1" x14ac:dyDescent="0.25">
      <c r="A81" s="20">
        <v>14</v>
      </c>
      <c r="B81" s="37" t="s">
        <v>71</v>
      </c>
      <c r="C81" s="20">
        <v>2</v>
      </c>
      <c r="D81" s="20" t="s">
        <v>20</v>
      </c>
      <c r="E81" s="51" t="s">
        <v>19</v>
      </c>
      <c r="F81" s="51" t="s">
        <v>19</v>
      </c>
      <c r="G81" s="51" t="s">
        <v>19</v>
      </c>
      <c r="H81" s="51" t="s">
        <v>19</v>
      </c>
      <c r="I81" s="51" t="s">
        <v>19</v>
      </c>
      <c r="J81" s="51" t="s">
        <v>19</v>
      </c>
      <c r="K81" s="51" t="s">
        <v>19</v>
      </c>
      <c r="L81" s="51" t="s">
        <v>20</v>
      </c>
      <c r="M81" s="51" t="s">
        <v>19</v>
      </c>
      <c r="N81" s="51" t="s">
        <v>19</v>
      </c>
      <c r="O81" s="51" t="s">
        <v>19</v>
      </c>
      <c r="P81" s="51" t="s">
        <v>19</v>
      </c>
      <c r="Q81" s="51" t="s">
        <v>19</v>
      </c>
      <c r="R81" s="51" t="s">
        <v>19</v>
      </c>
      <c r="S81" s="51" t="s">
        <v>19</v>
      </c>
      <c r="T81" s="51" t="s">
        <v>20</v>
      </c>
      <c r="U81" s="54" t="s">
        <v>19</v>
      </c>
      <c r="V81" s="54" t="s">
        <v>19</v>
      </c>
      <c r="W81" s="54" t="s">
        <v>19</v>
      </c>
      <c r="X81" s="51" t="s">
        <v>19</v>
      </c>
      <c r="Y81" s="51" t="s">
        <v>19</v>
      </c>
      <c r="Z81" s="39" t="s">
        <v>20</v>
      </c>
      <c r="AA81" s="39" t="s">
        <v>20</v>
      </c>
      <c r="AB81" s="39" t="s">
        <v>20</v>
      </c>
      <c r="AC81" s="55" t="s">
        <v>21</v>
      </c>
      <c r="AD81" s="55" t="s">
        <v>20</v>
      </c>
      <c r="AE81" s="34">
        <f t="shared" si="1"/>
        <v>1</v>
      </c>
    </row>
    <row r="82" spans="1:31" ht="15.75" customHeight="1" x14ac:dyDescent="0.25">
      <c r="A82" s="20">
        <v>15</v>
      </c>
      <c r="B82" s="37" t="s">
        <v>72</v>
      </c>
      <c r="C82" s="20">
        <v>2</v>
      </c>
      <c r="D82" s="20" t="s">
        <v>20</v>
      </c>
      <c r="E82" s="51" t="s">
        <v>20</v>
      </c>
      <c r="F82" s="51" t="s">
        <v>20</v>
      </c>
      <c r="G82" s="51" t="s">
        <v>20</v>
      </c>
      <c r="H82" s="51" t="s">
        <v>20</v>
      </c>
      <c r="I82" s="51" t="s">
        <v>20</v>
      </c>
      <c r="J82" s="51" t="s">
        <v>20</v>
      </c>
      <c r="K82" s="51" t="s">
        <v>20</v>
      </c>
      <c r="L82" s="51" t="s">
        <v>20</v>
      </c>
      <c r="M82" s="51" t="s">
        <v>21</v>
      </c>
      <c r="N82" s="51" t="s">
        <v>20</v>
      </c>
      <c r="O82" s="51" t="s">
        <v>20</v>
      </c>
      <c r="P82" s="51" t="s">
        <v>20</v>
      </c>
      <c r="Q82" s="51" t="s">
        <v>20</v>
      </c>
      <c r="R82" s="51" t="s">
        <v>20</v>
      </c>
      <c r="S82" s="51" t="s">
        <v>19</v>
      </c>
      <c r="T82" s="51" t="s">
        <v>19</v>
      </c>
      <c r="U82" s="54" t="s">
        <v>20</v>
      </c>
      <c r="V82" s="54" t="s">
        <v>19</v>
      </c>
      <c r="W82" s="54" t="s">
        <v>20</v>
      </c>
      <c r="X82" s="51" t="s">
        <v>19</v>
      </c>
      <c r="Y82" s="51" t="s">
        <v>20</v>
      </c>
      <c r="Z82" s="39" t="s">
        <v>20</v>
      </c>
      <c r="AA82" s="39" t="s">
        <v>20</v>
      </c>
      <c r="AB82" s="39" t="s">
        <v>20</v>
      </c>
      <c r="AC82" s="51" t="s">
        <v>20</v>
      </c>
      <c r="AD82" s="51" t="s">
        <v>20</v>
      </c>
      <c r="AE82" s="34">
        <f t="shared" si="1"/>
        <v>1</v>
      </c>
    </row>
    <row r="83" spans="1:31" ht="15.75" customHeight="1" x14ac:dyDescent="0.25">
      <c r="A83" s="20">
        <v>16</v>
      </c>
      <c r="B83" s="37" t="s">
        <v>73</v>
      </c>
      <c r="C83" s="20">
        <v>2</v>
      </c>
      <c r="D83" s="20" t="s">
        <v>20</v>
      </c>
      <c r="E83" s="51" t="s">
        <v>20</v>
      </c>
      <c r="F83" s="51" t="s">
        <v>21</v>
      </c>
      <c r="G83" s="51" t="s">
        <v>20</v>
      </c>
      <c r="H83" s="51" t="s">
        <v>20</v>
      </c>
      <c r="I83" s="51" t="s">
        <v>20</v>
      </c>
      <c r="J83" s="51" t="s">
        <v>20</v>
      </c>
      <c r="K83" s="51" t="s">
        <v>20</v>
      </c>
      <c r="L83" s="51" t="s">
        <v>20</v>
      </c>
      <c r="M83" s="51" t="s">
        <v>21</v>
      </c>
      <c r="N83" s="51" t="s">
        <v>20</v>
      </c>
      <c r="O83" s="51" t="s">
        <v>21</v>
      </c>
      <c r="P83" s="51" t="s">
        <v>21</v>
      </c>
      <c r="Q83" s="51" t="s">
        <v>20</v>
      </c>
      <c r="R83" s="51" t="s">
        <v>20</v>
      </c>
      <c r="S83" s="51" t="s">
        <v>20</v>
      </c>
      <c r="T83" s="51" t="s">
        <v>20</v>
      </c>
      <c r="U83" s="54" t="s">
        <v>20</v>
      </c>
      <c r="V83" s="54" t="s">
        <v>20</v>
      </c>
      <c r="W83" s="54" t="s">
        <v>20</v>
      </c>
      <c r="X83" s="51" t="s">
        <v>21</v>
      </c>
      <c r="Y83" s="51" t="s">
        <v>19</v>
      </c>
      <c r="Z83" s="39" t="s">
        <v>20</v>
      </c>
      <c r="AA83" s="39" t="s">
        <v>20</v>
      </c>
      <c r="AB83" s="39" t="s">
        <v>20</v>
      </c>
      <c r="AC83" s="51" t="s">
        <v>21</v>
      </c>
      <c r="AD83" s="51" t="s">
        <v>20</v>
      </c>
      <c r="AE83" s="34">
        <f t="shared" si="1"/>
        <v>6</v>
      </c>
    </row>
    <row r="84" spans="1:31" ht="15.75" customHeight="1" x14ac:dyDescent="0.25">
      <c r="A84" s="20">
        <v>17</v>
      </c>
      <c r="B84" s="37" t="s">
        <v>74</v>
      </c>
      <c r="C84" s="20">
        <v>2</v>
      </c>
      <c r="D84" s="20" t="s">
        <v>20</v>
      </c>
      <c r="E84" s="51" t="s">
        <v>19</v>
      </c>
      <c r="F84" s="51" t="s">
        <v>20</v>
      </c>
      <c r="G84" s="51" t="s">
        <v>20</v>
      </c>
      <c r="H84" s="51" t="s">
        <v>20</v>
      </c>
      <c r="I84" s="51" t="s">
        <v>20</v>
      </c>
      <c r="J84" s="51" t="s">
        <v>20</v>
      </c>
      <c r="K84" s="51" t="s">
        <v>20</v>
      </c>
      <c r="L84" s="51" t="s">
        <v>20</v>
      </c>
      <c r="M84" s="51" t="s">
        <v>19</v>
      </c>
      <c r="N84" s="51" t="s">
        <v>20</v>
      </c>
      <c r="O84" s="51" t="s">
        <v>21</v>
      </c>
      <c r="P84" s="51" t="s">
        <v>21</v>
      </c>
      <c r="Q84" s="51" t="s">
        <v>20</v>
      </c>
      <c r="R84" s="51" t="s">
        <v>20</v>
      </c>
      <c r="S84" s="51" t="s">
        <v>19</v>
      </c>
      <c r="T84" s="51" t="s">
        <v>20</v>
      </c>
      <c r="U84" s="54" t="s">
        <v>19</v>
      </c>
      <c r="V84" s="54" t="s">
        <v>19</v>
      </c>
      <c r="W84" s="54" t="s">
        <v>19</v>
      </c>
      <c r="X84" s="51" t="s">
        <v>20</v>
      </c>
      <c r="Y84" s="51" t="s">
        <v>19</v>
      </c>
      <c r="Z84" s="39" t="s">
        <v>20</v>
      </c>
      <c r="AA84" s="39" t="s">
        <v>20</v>
      </c>
      <c r="AB84" s="39" t="s">
        <v>20</v>
      </c>
      <c r="AC84" s="51" t="s">
        <v>21</v>
      </c>
      <c r="AD84" s="51" t="s">
        <v>20</v>
      </c>
      <c r="AE84" s="34">
        <f t="shared" si="1"/>
        <v>3</v>
      </c>
    </row>
    <row r="85" spans="1:31" ht="15.75" customHeight="1" x14ac:dyDescent="0.25">
      <c r="A85" s="20">
        <v>18</v>
      </c>
      <c r="B85" s="37" t="s">
        <v>75</v>
      </c>
      <c r="C85" s="20">
        <v>2</v>
      </c>
      <c r="D85" s="20" t="s">
        <v>20</v>
      </c>
      <c r="E85" s="51" t="s">
        <v>19</v>
      </c>
      <c r="F85" s="51" t="s">
        <v>20</v>
      </c>
      <c r="G85" s="51" t="s">
        <v>20</v>
      </c>
      <c r="H85" s="51" t="s">
        <v>19</v>
      </c>
      <c r="I85" s="51" t="s">
        <v>20</v>
      </c>
      <c r="J85" s="51" t="s">
        <v>19</v>
      </c>
      <c r="K85" s="51" t="s">
        <v>19</v>
      </c>
      <c r="L85" s="51" t="s">
        <v>21</v>
      </c>
      <c r="M85" s="51" t="s">
        <v>19</v>
      </c>
      <c r="N85" s="51" t="s">
        <v>19</v>
      </c>
      <c r="O85" s="51" t="s">
        <v>20</v>
      </c>
      <c r="P85" s="51" t="s">
        <v>20</v>
      </c>
      <c r="Q85" s="51" t="s">
        <v>20</v>
      </c>
      <c r="R85" s="51" t="s">
        <v>19</v>
      </c>
      <c r="S85" s="51" t="s">
        <v>20</v>
      </c>
      <c r="T85" s="51" t="s">
        <v>20</v>
      </c>
      <c r="U85" s="54" t="s">
        <v>20</v>
      </c>
      <c r="V85" s="54" t="s">
        <v>20</v>
      </c>
      <c r="W85" s="54" t="s">
        <v>20</v>
      </c>
      <c r="X85" s="51" t="s">
        <v>21</v>
      </c>
      <c r="Y85" s="51" t="s">
        <v>20</v>
      </c>
      <c r="Z85" s="39" t="s">
        <v>20</v>
      </c>
      <c r="AA85" s="39" t="s">
        <v>19</v>
      </c>
      <c r="AB85" s="39" t="s">
        <v>19</v>
      </c>
      <c r="AC85" s="51" t="s">
        <v>21</v>
      </c>
      <c r="AD85" s="51" t="s">
        <v>20</v>
      </c>
      <c r="AE85" s="34">
        <f t="shared" si="1"/>
        <v>3</v>
      </c>
    </row>
    <row r="86" spans="1:31" ht="15.75" customHeight="1" x14ac:dyDescent="0.25">
      <c r="A86" s="20">
        <v>19</v>
      </c>
      <c r="B86" s="37" t="s">
        <v>76</v>
      </c>
      <c r="C86" s="20">
        <v>2</v>
      </c>
      <c r="D86" s="20" t="s">
        <v>20</v>
      </c>
      <c r="E86" s="51" t="s">
        <v>20</v>
      </c>
      <c r="F86" s="51" t="s">
        <v>21</v>
      </c>
      <c r="G86" s="51" t="s">
        <v>20</v>
      </c>
      <c r="H86" s="51" t="s">
        <v>20</v>
      </c>
      <c r="I86" s="51" t="s">
        <v>20</v>
      </c>
      <c r="J86" s="51" t="s">
        <v>20</v>
      </c>
      <c r="K86" s="51" t="s">
        <v>20</v>
      </c>
      <c r="L86" s="51" t="s">
        <v>21</v>
      </c>
      <c r="M86" s="51" t="s">
        <v>21</v>
      </c>
      <c r="N86" s="51" t="s">
        <v>21</v>
      </c>
      <c r="O86" s="51" t="s">
        <v>21</v>
      </c>
      <c r="P86" s="51" t="s">
        <v>20</v>
      </c>
      <c r="Q86" s="51" t="s">
        <v>21</v>
      </c>
      <c r="R86" s="51" t="s">
        <v>20</v>
      </c>
      <c r="S86" s="51" t="s">
        <v>21</v>
      </c>
      <c r="T86" s="51" t="s">
        <v>20</v>
      </c>
      <c r="U86" s="54" t="s">
        <v>20</v>
      </c>
      <c r="V86" s="54" t="s">
        <v>20</v>
      </c>
      <c r="W86" s="54" t="s">
        <v>20</v>
      </c>
      <c r="X86" s="51" t="s">
        <v>21</v>
      </c>
      <c r="Y86" s="51" t="s">
        <v>21</v>
      </c>
      <c r="Z86" s="39" t="s">
        <v>20</v>
      </c>
      <c r="AA86" s="39" t="s">
        <v>20</v>
      </c>
      <c r="AB86" s="39" t="s">
        <v>20</v>
      </c>
      <c r="AC86" s="51" t="s">
        <v>21</v>
      </c>
      <c r="AD86" s="51" t="s">
        <v>20</v>
      </c>
      <c r="AE86" s="34">
        <f t="shared" si="1"/>
        <v>10</v>
      </c>
    </row>
    <row r="87" spans="1:31" ht="15.75" customHeight="1" x14ac:dyDescent="0.25">
      <c r="A87" s="20">
        <v>20</v>
      </c>
      <c r="B87" s="37" t="s">
        <v>77</v>
      </c>
      <c r="C87" s="20">
        <v>2</v>
      </c>
      <c r="D87" s="20" t="s">
        <v>20</v>
      </c>
      <c r="E87" s="51" t="s">
        <v>19</v>
      </c>
      <c r="F87" s="51" t="s">
        <v>19</v>
      </c>
      <c r="G87" s="51" t="s">
        <v>19</v>
      </c>
      <c r="H87" s="51" t="s">
        <v>19</v>
      </c>
      <c r="I87" s="51" t="s">
        <v>19</v>
      </c>
      <c r="J87" s="51" t="s">
        <v>19</v>
      </c>
      <c r="K87" s="51" t="s">
        <v>20</v>
      </c>
      <c r="L87" s="51" t="s">
        <v>20</v>
      </c>
      <c r="M87" s="51" t="s">
        <v>19</v>
      </c>
      <c r="N87" s="51" t="s">
        <v>19</v>
      </c>
      <c r="O87" s="51" t="s">
        <v>21</v>
      </c>
      <c r="P87" s="51" t="s">
        <v>21</v>
      </c>
      <c r="Q87" s="51" t="s">
        <v>20</v>
      </c>
      <c r="R87" s="51" t="s">
        <v>20</v>
      </c>
      <c r="S87" s="51" t="s">
        <v>19</v>
      </c>
      <c r="T87" s="51" t="s">
        <v>20</v>
      </c>
      <c r="U87" s="54" t="s">
        <v>20</v>
      </c>
      <c r="V87" s="54" t="s">
        <v>19</v>
      </c>
      <c r="W87" s="54" t="s">
        <v>20</v>
      </c>
      <c r="X87" s="51" t="s">
        <v>19</v>
      </c>
      <c r="Y87" s="51" t="s">
        <v>19</v>
      </c>
      <c r="Z87" s="39" t="s">
        <v>19</v>
      </c>
      <c r="AA87" s="39" t="s">
        <v>19</v>
      </c>
      <c r="AB87" s="39" t="s">
        <v>19</v>
      </c>
      <c r="AC87" s="51" t="s">
        <v>20</v>
      </c>
      <c r="AD87" s="51" t="s">
        <v>20</v>
      </c>
      <c r="AE87" s="34">
        <f t="shared" si="1"/>
        <v>2</v>
      </c>
    </row>
    <row r="88" spans="1:31" ht="15.75" customHeight="1" x14ac:dyDescent="0.25">
      <c r="A88" s="20">
        <v>21</v>
      </c>
      <c r="B88" s="37" t="s">
        <v>251</v>
      </c>
      <c r="C88" s="20">
        <v>2</v>
      </c>
      <c r="D88" s="20" t="s">
        <v>20</v>
      </c>
      <c r="E88" s="51" t="s">
        <v>20</v>
      </c>
      <c r="F88" s="51" t="s">
        <v>21</v>
      </c>
      <c r="G88" s="51" t="s">
        <v>20</v>
      </c>
      <c r="H88" s="51" t="s">
        <v>20</v>
      </c>
      <c r="I88" s="51" t="s">
        <v>19</v>
      </c>
      <c r="J88" s="51" t="s">
        <v>19</v>
      </c>
      <c r="K88" s="51" t="s">
        <v>19</v>
      </c>
      <c r="L88" s="51" t="s">
        <v>20</v>
      </c>
      <c r="M88" s="51" t="s">
        <v>20</v>
      </c>
      <c r="N88" s="51" t="s">
        <v>20</v>
      </c>
      <c r="O88" s="51" t="s">
        <v>20</v>
      </c>
      <c r="P88" s="51" t="s">
        <v>20</v>
      </c>
      <c r="Q88" s="51" t="s">
        <v>20</v>
      </c>
      <c r="R88" s="51" t="s">
        <v>21</v>
      </c>
      <c r="S88" s="51" t="s">
        <v>20</v>
      </c>
      <c r="T88" s="51" t="s">
        <v>19</v>
      </c>
      <c r="U88" s="54" t="s">
        <v>20</v>
      </c>
      <c r="V88" s="54" t="s">
        <v>20</v>
      </c>
      <c r="W88" s="54" t="s">
        <v>20</v>
      </c>
      <c r="X88" s="51" t="s">
        <v>21</v>
      </c>
      <c r="Y88" s="51" t="s">
        <v>20</v>
      </c>
      <c r="Z88" s="39" t="s">
        <v>20</v>
      </c>
      <c r="AA88" s="39" t="s">
        <v>20</v>
      </c>
      <c r="AB88" s="39" t="s">
        <v>20</v>
      </c>
      <c r="AC88" s="51" t="s">
        <v>21</v>
      </c>
      <c r="AD88" s="51" t="s">
        <v>20</v>
      </c>
      <c r="AE88" s="34">
        <f t="shared" si="1"/>
        <v>4</v>
      </c>
    </row>
    <row r="89" spans="1:31" ht="15.75" customHeight="1" x14ac:dyDescent="0.25">
      <c r="A89" s="20">
        <v>22</v>
      </c>
      <c r="B89" s="37" t="s">
        <v>78</v>
      </c>
      <c r="C89" s="20">
        <v>2</v>
      </c>
      <c r="D89" s="20" t="s">
        <v>20</v>
      </c>
      <c r="E89" s="51" t="s">
        <v>20</v>
      </c>
      <c r="F89" s="51" t="s">
        <v>20</v>
      </c>
      <c r="G89" s="51" t="s">
        <v>21</v>
      </c>
      <c r="H89" s="51" t="s">
        <v>20</v>
      </c>
      <c r="I89" s="51" t="s">
        <v>19</v>
      </c>
      <c r="J89" s="51" t="s">
        <v>20</v>
      </c>
      <c r="K89" s="51" t="s">
        <v>20</v>
      </c>
      <c r="L89" s="51" t="s">
        <v>19</v>
      </c>
      <c r="M89" s="51" t="s">
        <v>20</v>
      </c>
      <c r="N89" s="51" t="s">
        <v>19</v>
      </c>
      <c r="O89" s="51" t="s">
        <v>20</v>
      </c>
      <c r="P89" s="51" t="s">
        <v>20</v>
      </c>
      <c r="Q89" s="51" t="s">
        <v>20</v>
      </c>
      <c r="R89" s="51" t="s">
        <v>19</v>
      </c>
      <c r="S89" s="51" t="s">
        <v>20</v>
      </c>
      <c r="T89" s="51" t="s">
        <v>20</v>
      </c>
      <c r="U89" s="54" t="s">
        <v>20</v>
      </c>
      <c r="V89" s="54" t="s">
        <v>20</v>
      </c>
      <c r="W89" s="54" t="s">
        <v>20</v>
      </c>
      <c r="X89" s="51" t="s">
        <v>20</v>
      </c>
      <c r="Y89" s="51" t="s">
        <v>20</v>
      </c>
      <c r="Z89" s="39" t="s">
        <v>20</v>
      </c>
      <c r="AA89" s="39" t="s">
        <v>20</v>
      </c>
      <c r="AB89" s="39" t="s">
        <v>19</v>
      </c>
      <c r="AC89" s="51" t="s">
        <v>21</v>
      </c>
      <c r="AD89" s="51" t="s">
        <v>20</v>
      </c>
      <c r="AE89" s="34">
        <f t="shared" si="1"/>
        <v>2</v>
      </c>
    </row>
    <row r="90" spans="1:31" ht="15.75" customHeight="1" thickBot="1" x14ac:dyDescent="0.3">
      <c r="A90" s="21">
        <v>23</v>
      </c>
      <c r="B90" s="38" t="s">
        <v>79</v>
      </c>
      <c r="C90" s="21">
        <v>2</v>
      </c>
      <c r="D90" s="21" t="s">
        <v>20</v>
      </c>
      <c r="E90" s="87" t="s">
        <v>20</v>
      </c>
      <c r="F90" s="87" t="s">
        <v>21</v>
      </c>
      <c r="G90" s="87" t="s">
        <v>20</v>
      </c>
      <c r="H90" s="87" t="s">
        <v>20</v>
      </c>
      <c r="I90" s="87" t="s">
        <v>19</v>
      </c>
      <c r="J90" s="87" t="s">
        <v>20</v>
      </c>
      <c r="K90" s="87" t="s">
        <v>20</v>
      </c>
      <c r="L90" s="87" t="s">
        <v>21</v>
      </c>
      <c r="M90" s="87" t="s">
        <v>20</v>
      </c>
      <c r="N90" s="87" t="s">
        <v>20</v>
      </c>
      <c r="O90" s="87" t="s">
        <v>21</v>
      </c>
      <c r="P90" s="87" t="s">
        <v>20</v>
      </c>
      <c r="Q90" s="102" t="s">
        <v>21</v>
      </c>
      <c r="R90" s="87" t="s">
        <v>21</v>
      </c>
      <c r="S90" s="87" t="s">
        <v>21</v>
      </c>
      <c r="T90" s="87" t="s">
        <v>20</v>
      </c>
      <c r="U90" s="100" t="s">
        <v>19</v>
      </c>
      <c r="V90" s="100" t="s">
        <v>19</v>
      </c>
      <c r="W90" s="100" t="s">
        <v>19</v>
      </c>
      <c r="X90" s="87" t="s">
        <v>20</v>
      </c>
      <c r="Y90" s="87" t="s">
        <v>20</v>
      </c>
      <c r="Z90" s="41" t="s">
        <v>20</v>
      </c>
      <c r="AA90" s="41" t="s">
        <v>20</v>
      </c>
      <c r="AB90" s="41" t="s">
        <v>20</v>
      </c>
      <c r="AC90" s="87" t="s">
        <v>21</v>
      </c>
      <c r="AD90" s="87" t="s">
        <v>20</v>
      </c>
      <c r="AE90" s="34">
        <f t="shared" si="1"/>
        <v>7</v>
      </c>
    </row>
    <row r="91" spans="1:31" ht="15.75" customHeight="1" x14ac:dyDescent="0.25">
      <c r="A91" s="97">
        <v>1</v>
      </c>
      <c r="B91" s="98" t="s">
        <v>81</v>
      </c>
      <c r="C91" s="97">
        <v>3</v>
      </c>
      <c r="D91" s="97" t="s">
        <v>19</v>
      </c>
      <c r="E91" s="83" t="s">
        <v>22</v>
      </c>
      <c r="F91" s="83" t="s">
        <v>22</v>
      </c>
      <c r="G91" s="83" t="s">
        <v>19</v>
      </c>
      <c r="H91" s="83" t="s">
        <v>22</v>
      </c>
      <c r="I91" s="101" t="s">
        <v>19</v>
      </c>
      <c r="J91" s="101" t="s">
        <v>22</v>
      </c>
      <c r="K91" s="101" t="s">
        <v>19</v>
      </c>
      <c r="L91" s="83" t="s">
        <v>19</v>
      </c>
      <c r="M91" s="83" t="s">
        <v>19</v>
      </c>
      <c r="N91" s="83" t="s">
        <v>19</v>
      </c>
      <c r="O91" s="83" t="s">
        <v>19</v>
      </c>
      <c r="P91" s="83" t="s">
        <v>19</v>
      </c>
      <c r="Q91" s="83" t="s">
        <v>19</v>
      </c>
      <c r="R91" s="83" t="s">
        <v>19</v>
      </c>
      <c r="S91" s="83" t="s">
        <v>19</v>
      </c>
      <c r="T91" s="83" t="s">
        <v>19</v>
      </c>
      <c r="U91" s="99" t="s">
        <v>20</v>
      </c>
      <c r="V91" s="99" t="s">
        <v>19</v>
      </c>
      <c r="W91" s="99" t="s">
        <v>20</v>
      </c>
      <c r="X91" s="83" t="s">
        <v>22</v>
      </c>
      <c r="Y91" s="83" t="s">
        <v>22</v>
      </c>
      <c r="Z91" s="86" t="s">
        <v>19</v>
      </c>
      <c r="AA91" s="86" t="s">
        <v>19</v>
      </c>
      <c r="AB91" s="86" t="s">
        <v>19</v>
      </c>
      <c r="AC91" s="99" t="s">
        <v>19</v>
      </c>
      <c r="AD91" s="99" t="s">
        <v>20</v>
      </c>
      <c r="AE91" s="34">
        <f t="shared" si="1"/>
        <v>0</v>
      </c>
    </row>
    <row r="92" spans="1:31" ht="15.75" customHeight="1" x14ac:dyDescent="0.25">
      <c r="A92" s="89">
        <v>2</v>
      </c>
      <c r="B92" s="90" t="s">
        <v>82</v>
      </c>
      <c r="C92" s="89">
        <v>3</v>
      </c>
      <c r="D92" s="89" t="s">
        <v>19</v>
      </c>
      <c r="E92" s="51" t="s">
        <v>19</v>
      </c>
      <c r="F92" s="51" t="s">
        <v>19</v>
      </c>
      <c r="G92" s="51" t="s">
        <v>19</v>
      </c>
      <c r="H92" s="51" t="s">
        <v>22</v>
      </c>
      <c r="I92" s="75" t="s">
        <v>22</v>
      </c>
      <c r="J92" s="75" t="s">
        <v>22</v>
      </c>
      <c r="K92" s="75" t="s">
        <v>19</v>
      </c>
      <c r="L92" s="51" t="s">
        <v>19</v>
      </c>
      <c r="M92" s="51" t="s">
        <v>19</v>
      </c>
      <c r="N92" s="51" t="s">
        <v>19</v>
      </c>
      <c r="O92" s="51" t="s">
        <v>19</v>
      </c>
      <c r="P92" s="51" t="s">
        <v>19</v>
      </c>
      <c r="Q92" s="51" t="s">
        <v>19</v>
      </c>
      <c r="R92" s="51" t="s">
        <v>19</v>
      </c>
      <c r="S92" s="51" t="s">
        <v>19</v>
      </c>
      <c r="T92" s="51" t="s">
        <v>19</v>
      </c>
      <c r="U92" s="54" t="s">
        <v>19</v>
      </c>
      <c r="V92" s="54" t="s">
        <v>19</v>
      </c>
      <c r="W92" s="54" t="s">
        <v>19</v>
      </c>
      <c r="X92" s="51" t="s">
        <v>19</v>
      </c>
      <c r="Y92" s="51" t="s">
        <v>19</v>
      </c>
      <c r="Z92" s="39" t="s">
        <v>19</v>
      </c>
      <c r="AA92" s="39" t="s">
        <v>19</v>
      </c>
      <c r="AB92" s="39" t="s">
        <v>19</v>
      </c>
      <c r="AC92" s="54" t="s">
        <v>20</v>
      </c>
      <c r="AD92" s="54" t="s">
        <v>20</v>
      </c>
      <c r="AE92" s="34">
        <f t="shared" si="1"/>
        <v>0</v>
      </c>
    </row>
    <row r="93" spans="1:31" ht="15.75" customHeight="1" x14ac:dyDescent="0.25">
      <c r="A93" s="89">
        <v>3</v>
      </c>
      <c r="B93" s="90" t="s">
        <v>83</v>
      </c>
      <c r="C93" s="89">
        <v>3</v>
      </c>
      <c r="D93" s="89" t="s">
        <v>19</v>
      </c>
      <c r="E93" s="51" t="s">
        <v>21</v>
      </c>
      <c r="F93" s="51" t="s">
        <v>20</v>
      </c>
      <c r="G93" s="51" t="s">
        <v>21</v>
      </c>
      <c r="H93" s="51" t="s">
        <v>21</v>
      </c>
      <c r="I93" s="75" t="s">
        <v>20</v>
      </c>
      <c r="J93" s="75" t="s">
        <v>19</v>
      </c>
      <c r="K93" s="75" t="s">
        <v>20</v>
      </c>
      <c r="L93" s="51" t="s">
        <v>20</v>
      </c>
      <c r="M93" s="51" t="s">
        <v>20</v>
      </c>
      <c r="N93" s="51" t="s">
        <v>20</v>
      </c>
      <c r="O93" s="51" t="s">
        <v>21</v>
      </c>
      <c r="P93" s="51" t="s">
        <v>20</v>
      </c>
      <c r="Q93" s="51" t="s">
        <v>20</v>
      </c>
      <c r="R93" s="51" t="s">
        <v>20</v>
      </c>
      <c r="S93" s="51" t="s">
        <v>20</v>
      </c>
      <c r="T93" s="51" t="s">
        <v>19</v>
      </c>
      <c r="U93" s="54" t="s">
        <v>19</v>
      </c>
      <c r="V93" s="54" t="s">
        <v>20</v>
      </c>
      <c r="W93" s="54" t="s">
        <v>20</v>
      </c>
      <c r="X93" s="51" t="s">
        <v>20</v>
      </c>
      <c r="Y93" s="51" t="s">
        <v>19</v>
      </c>
      <c r="Z93" s="39" t="s">
        <v>20</v>
      </c>
      <c r="AA93" s="39" t="s">
        <v>20</v>
      </c>
      <c r="AB93" s="39" t="s">
        <v>20</v>
      </c>
      <c r="AC93" s="54" t="s">
        <v>21</v>
      </c>
      <c r="AD93" s="54" t="s">
        <v>20</v>
      </c>
      <c r="AE93" s="34">
        <f t="shared" si="1"/>
        <v>5</v>
      </c>
    </row>
    <row r="94" spans="1:31" ht="15.75" customHeight="1" x14ac:dyDescent="0.25">
      <c r="A94" s="89">
        <v>4</v>
      </c>
      <c r="B94" s="90" t="s">
        <v>84</v>
      </c>
      <c r="C94" s="89">
        <v>3</v>
      </c>
      <c r="D94" s="89" t="s">
        <v>19</v>
      </c>
      <c r="E94" s="51" t="s">
        <v>22</v>
      </c>
      <c r="F94" s="51" t="s">
        <v>19</v>
      </c>
      <c r="G94" s="51" t="s">
        <v>19</v>
      </c>
      <c r="H94" s="51" t="s">
        <v>19</v>
      </c>
      <c r="I94" s="75" t="s">
        <v>19</v>
      </c>
      <c r="J94" s="75" t="s">
        <v>22</v>
      </c>
      <c r="K94" s="75" t="s">
        <v>19</v>
      </c>
      <c r="L94" s="51" t="s">
        <v>19</v>
      </c>
      <c r="M94" s="51" t="s">
        <v>19</v>
      </c>
      <c r="N94" s="51" t="s">
        <v>19</v>
      </c>
      <c r="O94" s="51" t="s">
        <v>19</v>
      </c>
      <c r="P94" s="51" t="s">
        <v>19</v>
      </c>
      <c r="Q94" s="51" t="s">
        <v>19</v>
      </c>
      <c r="R94" s="51" t="s">
        <v>19</v>
      </c>
      <c r="S94" s="51" t="s">
        <v>19</v>
      </c>
      <c r="T94" s="51" t="s">
        <v>19</v>
      </c>
      <c r="U94" s="54" t="s">
        <v>19</v>
      </c>
      <c r="V94" s="54" t="s">
        <v>20</v>
      </c>
      <c r="W94" s="54" t="s">
        <v>19</v>
      </c>
      <c r="X94" s="51" t="s">
        <v>19</v>
      </c>
      <c r="Y94" s="51" t="s">
        <v>19</v>
      </c>
      <c r="Z94" s="39" t="s">
        <v>19</v>
      </c>
      <c r="AA94" s="39" t="s">
        <v>19</v>
      </c>
      <c r="AB94" s="39" t="s">
        <v>19</v>
      </c>
      <c r="AC94" s="54" t="s">
        <v>19</v>
      </c>
      <c r="AD94" s="54" t="s">
        <v>20</v>
      </c>
      <c r="AE94" s="34">
        <f t="shared" si="1"/>
        <v>0</v>
      </c>
    </row>
    <row r="95" spans="1:31" ht="15.75" customHeight="1" x14ac:dyDescent="0.25">
      <c r="A95" s="89">
        <v>5</v>
      </c>
      <c r="B95" s="90" t="s">
        <v>85</v>
      </c>
      <c r="C95" s="89">
        <v>3</v>
      </c>
      <c r="D95" s="89" t="s">
        <v>19</v>
      </c>
      <c r="E95" s="51" t="s">
        <v>21</v>
      </c>
      <c r="F95" s="51" t="s">
        <v>21</v>
      </c>
      <c r="G95" s="51" t="s">
        <v>21</v>
      </c>
      <c r="H95" s="51" t="s">
        <v>21</v>
      </c>
      <c r="I95" s="75" t="s">
        <v>20</v>
      </c>
      <c r="J95" s="75" t="s">
        <v>20</v>
      </c>
      <c r="K95" s="75" t="s">
        <v>20</v>
      </c>
      <c r="L95" s="51" t="s">
        <v>20</v>
      </c>
      <c r="M95" s="51" t="s">
        <v>21</v>
      </c>
      <c r="N95" s="51" t="s">
        <v>21</v>
      </c>
      <c r="O95" s="51" t="s">
        <v>21</v>
      </c>
      <c r="P95" s="51" t="s">
        <v>21</v>
      </c>
      <c r="Q95" s="51" t="s">
        <v>20</v>
      </c>
      <c r="R95" s="51" t="s">
        <v>21</v>
      </c>
      <c r="S95" s="51" t="s">
        <v>21</v>
      </c>
      <c r="T95" s="51" t="s">
        <v>20</v>
      </c>
      <c r="U95" s="54" t="s">
        <v>20</v>
      </c>
      <c r="V95" s="54" t="s">
        <v>20</v>
      </c>
      <c r="W95" s="54" t="s">
        <v>20</v>
      </c>
      <c r="X95" s="51" t="s">
        <v>21</v>
      </c>
      <c r="Y95" s="51" t="s">
        <v>20</v>
      </c>
      <c r="Z95" s="39" t="s">
        <v>20</v>
      </c>
      <c r="AA95" s="39" t="s">
        <v>20</v>
      </c>
      <c r="AB95" s="39" t="s">
        <v>20</v>
      </c>
      <c r="AC95" s="54" t="s">
        <v>21</v>
      </c>
      <c r="AD95" s="54" t="s">
        <v>20</v>
      </c>
      <c r="AE95" s="34">
        <f t="shared" si="1"/>
        <v>12</v>
      </c>
    </row>
    <row r="96" spans="1:31" ht="15.75" customHeight="1" x14ac:dyDescent="0.25">
      <c r="A96" s="89">
        <v>6</v>
      </c>
      <c r="B96" s="90" t="s">
        <v>87</v>
      </c>
      <c r="C96" s="89">
        <v>3</v>
      </c>
      <c r="D96" s="89" t="s">
        <v>19</v>
      </c>
      <c r="E96" s="51" t="s">
        <v>19</v>
      </c>
      <c r="F96" s="51" t="s">
        <v>19</v>
      </c>
      <c r="G96" s="51" t="s">
        <v>19</v>
      </c>
      <c r="H96" s="51" t="s">
        <v>19</v>
      </c>
      <c r="I96" s="75" t="s">
        <v>19</v>
      </c>
      <c r="J96" s="75" t="s">
        <v>19</v>
      </c>
      <c r="K96" s="75" t="s">
        <v>19</v>
      </c>
      <c r="L96" s="51" t="s">
        <v>20</v>
      </c>
      <c r="M96" s="51" t="s">
        <v>19</v>
      </c>
      <c r="N96" s="51" t="s">
        <v>19</v>
      </c>
      <c r="O96" s="51" t="s">
        <v>19</v>
      </c>
      <c r="P96" s="51" t="s">
        <v>19</v>
      </c>
      <c r="Q96" s="51" t="s">
        <v>20</v>
      </c>
      <c r="R96" s="51" t="s">
        <v>20</v>
      </c>
      <c r="S96" s="51" t="s">
        <v>19</v>
      </c>
      <c r="T96" s="51" t="s">
        <v>19</v>
      </c>
      <c r="U96" s="54" t="s">
        <v>20</v>
      </c>
      <c r="V96" s="54" t="s">
        <v>20</v>
      </c>
      <c r="W96" s="54" t="s">
        <v>19</v>
      </c>
      <c r="X96" s="51" t="s">
        <v>20</v>
      </c>
      <c r="Y96" s="51" t="s">
        <v>19</v>
      </c>
      <c r="Z96" s="39" t="s">
        <v>19</v>
      </c>
      <c r="AA96" s="39" t="s">
        <v>20</v>
      </c>
      <c r="AB96" s="39" t="s">
        <v>20</v>
      </c>
      <c r="AC96" s="54" t="s">
        <v>21</v>
      </c>
      <c r="AD96" s="54" t="s">
        <v>20</v>
      </c>
      <c r="AE96" s="34">
        <f t="shared" si="1"/>
        <v>1</v>
      </c>
    </row>
    <row r="97" spans="1:31" ht="15.75" customHeight="1" x14ac:dyDescent="0.25">
      <c r="A97" s="89">
        <v>7</v>
      </c>
      <c r="B97" s="90" t="s">
        <v>102</v>
      </c>
      <c r="C97" s="89">
        <v>3</v>
      </c>
      <c r="D97" s="89" t="s">
        <v>19</v>
      </c>
      <c r="E97" s="51" t="s">
        <v>21</v>
      </c>
      <c r="F97" s="51" t="s">
        <v>21</v>
      </c>
      <c r="G97" s="51" t="s">
        <v>21</v>
      </c>
      <c r="H97" s="51" t="s">
        <v>21</v>
      </c>
      <c r="I97" s="75" t="s">
        <v>20</v>
      </c>
      <c r="J97" s="75" t="s">
        <v>20</v>
      </c>
      <c r="K97" s="75" t="s">
        <v>20</v>
      </c>
      <c r="L97" s="51" t="s">
        <v>19</v>
      </c>
      <c r="M97" s="51" t="s">
        <v>20</v>
      </c>
      <c r="N97" s="51" t="s">
        <v>20</v>
      </c>
      <c r="O97" s="51" t="s">
        <v>20</v>
      </c>
      <c r="P97" s="51" t="s">
        <v>20</v>
      </c>
      <c r="Q97" s="51" t="s">
        <v>20</v>
      </c>
      <c r="R97" s="51" t="s">
        <v>21</v>
      </c>
      <c r="S97" s="51" t="s">
        <v>21</v>
      </c>
      <c r="T97" s="51" t="s">
        <v>19</v>
      </c>
      <c r="U97" s="54" t="s">
        <v>19</v>
      </c>
      <c r="V97" s="54" t="s">
        <v>20</v>
      </c>
      <c r="W97" s="54" t="s">
        <v>20</v>
      </c>
      <c r="X97" s="51" t="s">
        <v>21</v>
      </c>
      <c r="Y97" s="51" t="s">
        <v>20</v>
      </c>
      <c r="Z97" s="39" t="s">
        <v>20</v>
      </c>
      <c r="AA97" s="39" t="s">
        <v>19</v>
      </c>
      <c r="AB97" s="39" t="s">
        <v>20</v>
      </c>
      <c r="AC97" s="54" t="s">
        <v>21</v>
      </c>
      <c r="AD97" s="54" t="s">
        <v>20</v>
      </c>
      <c r="AE97" s="34">
        <f t="shared" si="1"/>
        <v>8</v>
      </c>
    </row>
    <row r="98" spans="1:31" ht="15.75" customHeight="1" x14ac:dyDescent="0.25">
      <c r="A98" s="89">
        <v>8</v>
      </c>
      <c r="B98" s="90" t="s">
        <v>88</v>
      </c>
      <c r="C98" s="89">
        <v>3</v>
      </c>
      <c r="D98" s="89" t="s">
        <v>19</v>
      </c>
      <c r="E98" s="51" t="s">
        <v>20</v>
      </c>
      <c r="F98" s="51" t="s">
        <v>20</v>
      </c>
      <c r="G98" s="51" t="s">
        <v>20</v>
      </c>
      <c r="H98" s="51" t="s">
        <v>20</v>
      </c>
      <c r="I98" s="75" t="s">
        <v>19</v>
      </c>
      <c r="J98" s="75" t="s">
        <v>19</v>
      </c>
      <c r="K98" s="75" t="s">
        <v>20</v>
      </c>
      <c r="L98" s="51" t="s">
        <v>19</v>
      </c>
      <c r="M98" s="51" t="s">
        <v>19</v>
      </c>
      <c r="N98" s="51" t="s">
        <v>20</v>
      </c>
      <c r="O98" s="51" t="s">
        <v>20</v>
      </c>
      <c r="P98" s="51" t="s">
        <v>20</v>
      </c>
      <c r="Q98" s="51" t="s">
        <v>20</v>
      </c>
      <c r="R98" s="51" t="s">
        <v>19</v>
      </c>
      <c r="S98" s="51" t="s">
        <v>19</v>
      </c>
      <c r="T98" s="51" t="s">
        <v>19</v>
      </c>
      <c r="U98" s="54" t="s">
        <v>19</v>
      </c>
      <c r="V98" s="54" t="s">
        <v>19</v>
      </c>
      <c r="W98" s="54" t="s">
        <v>19</v>
      </c>
      <c r="X98" s="51" t="s">
        <v>20</v>
      </c>
      <c r="Y98" s="51" t="s">
        <v>20</v>
      </c>
      <c r="Z98" s="39" t="s">
        <v>20</v>
      </c>
      <c r="AA98" s="39" t="s">
        <v>20</v>
      </c>
      <c r="AB98" s="39" t="s">
        <v>19</v>
      </c>
      <c r="AC98" s="56" t="s">
        <v>20</v>
      </c>
      <c r="AD98" s="56" t="s">
        <v>20</v>
      </c>
      <c r="AE98" s="34">
        <f t="shared" si="1"/>
        <v>0</v>
      </c>
    </row>
    <row r="99" spans="1:31" ht="15.75" customHeight="1" x14ac:dyDescent="0.25">
      <c r="A99" s="89">
        <v>9</v>
      </c>
      <c r="B99" s="90" t="s">
        <v>89</v>
      </c>
      <c r="C99" s="89">
        <v>3</v>
      </c>
      <c r="D99" s="89" t="s">
        <v>19</v>
      </c>
      <c r="E99" s="51" t="s">
        <v>19</v>
      </c>
      <c r="F99" s="51" t="s">
        <v>19</v>
      </c>
      <c r="G99" s="51" t="s">
        <v>19</v>
      </c>
      <c r="H99" s="51" t="s">
        <v>19</v>
      </c>
      <c r="I99" s="75" t="s">
        <v>19</v>
      </c>
      <c r="J99" s="75" t="s">
        <v>22</v>
      </c>
      <c r="K99" s="75" t="s">
        <v>19</v>
      </c>
      <c r="L99" s="51" t="s">
        <v>19</v>
      </c>
      <c r="M99" s="51" t="s">
        <v>19</v>
      </c>
      <c r="N99" s="51" t="s">
        <v>19</v>
      </c>
      <c r="O99" s="51" t="s">
        <v>19</v>
      </c>
      <c r="P99" s="51" t="s">
        <v>19</v>
      </c>
      <c r="Q99" s="51" t="s">
        <v>19</v>
      </c>
      <c r="R99" s="51" t="s">
        <v>19</v>
      </c>
      <c r="S99" s="51" t="s">
        <v>19</v>
      </c>
      <c r="T99" s="51" t="s">
        <v>19</v>
      </c>
      <c r="U99" s="54" t="s">
        <v>19</v>
      </c>
      <c r="V99" s="54" t="s">
        <v>19</v>
      </c>
      <c r="W99" s="54" t="s">
        <v>19</v>
      </c>
      <c r="X99" s="51" t="s">
        <v>19</v>
      </c>
      <c r="Y99" s="51" t="s">
        <v>22</v>
      </c>
      <c r="Z99" s="39" t="s">
        <v>19</v>
      </c>
      <c r="AA99" s="39" t="s">
        <v>19</v>
      </c>
      <c r="AB99" s="39" t="s">
        <v>19</v>
      </c>
      <c r="AC99" s="54" t="s">
        <v>20</v>
      </c>
      <c r="AD99" s="54" t="s">
        <v>20</v>
      </c>
      <c r="AE99" s="34">
        <f t="shared" si="1"/>
        <v>0</v>
      </c>
    </row>
    <row r="100" spans="1:31" ht="15.75" customHeight="1" x14ac:dyDescent="0.25">
      <c r="A100" s="89">
        <v>10</v>
      </c>
      <c r="B100" s="90" t="s">
        <v>252</v>
      </c>
      <c r="C100" s="89">
        <v>3</v>
      </c>
      <c r="D100" s="89" t="s">
        <v>19</v>
      </c>
      <c r="E100" s="51" t="s">
        <v>21</v>
      </c>
      <c r="F100" s="51" t="s">
        <v>21</v>
      </c>
      <c r="G100" s="51" t="s">
        <v>21</v>
      </c>
      <c r="H100" s="51" t="s">
        <v>21</v>
      </c>
      <c r="I100" s="75" t="s">
        <v>20</v>
      </c>
      <c r="J100" s="75" t="s">
        <v>20</v>
      </c>
      <c r="K100" s="75" t="s">
        <v>20</v>
      </c>
      <c r="L100" s="51" t="s">
        <v>20</v>
      </c>
      <c r="M100" s="51" t="s">
        <v>21</v>
      </c>
      <c r="N100" s="51" t="s">
        <v>20</v>
      </c>
      <c r="O100" s="51" t="s">
        <v>21</v>
      </c>
      <c r="P100" s="51" t="s">
        <v>20</v>
      </c>
      <c r="Q100" s="51" t="s">
        <v>20</v>
      </c>
      <c r="R100" s="51" t="s">
        <v>19</v>
      </c>
      <c r="S100" s="51" t="s">
        <v>19</v>
      </c>
      <c r="T100" s="51" t="s">
        <v>20</v>
      </c>
      <c r="U100" s="54" t="s">
        <v>19</v>
      </c>
      <c r="V100" s="54" t="s">
        <v>20</v>
      </c>
      <c r="W100" s="54" t="s">
        <v>19</v>
      </c>
      <c r="X100" s="51" t="s">
        <v>19</v>
      </c>
      <c r="Y100" s="51" t="s">
        <v>19</v>
      </c>
      <c r="Z100" s="39" t="s">
        <v>20</v>
      </c>
      <c r="AA100" s="39" t="s">
        <v>20</v>
      </c>
      <c r="AB100" s="39" t="s">
        <v>20</v>
      </c>
      <c r="AC100" s="54" t="s">
        <v>20</v>
      </c>
      <c r="AD100" s="54" t="s">
        <v>20</v>
      </c>
      <c r="AE100" s="34">
        <f t="shared" si="1"/>
        <v>6</v>
      </c>
    </row>
    <row r="101" spans="1:31" ht="15.75" customHeight="1" x14ac:dyDescent="0.25">
      <c r="A101" s="89">
        <v>11</v>
      </c>
      <c r="B101" s="90" t="s">
        <v>90</v>
      </c>
      <c r="C101" s="89">
        <v>3</v>
      </c>
      <c r="D101" s="89" t="s">
        <v>19</v>
      </c>
      <c r="E101" s="51" t="s">
        <v>20</v>
      </c>
      <c r="F101" s="51" t="s">
        <v>20</v>
      </c>
      <c r="G101" s="51" t="s">
        <v>20</v>
      </c>
      <c r="H101" s="51" t="s">
        <v>20</v>
      </c>
      <c r="I101" s="75" t="s">
        <v>20</v>
      </c>
      <c r="J101" s="75" t="s">
        <v>20</v>
      </c>
      <c r="K101" s="75" t="s">
        <v>20</v>
      </c>
      <c r="L101" s="51" t="s">
        <v>20</v>
      </c>
      <c r="M101" s="51" t="s">
        <v>20</v>
      </c>
      <c r="N101" s="51" t="s">
        <v>20</v>
      </c>
      <c r="O101" s="51" t="s">
        <v>21</v>
      </c>
      <c r="P101" s="51" t="s">
        <v>20</v>
      </c>
      <c r="Q101" s="51" t="s">
        <v>20</v>
      </c>
      <c r="R101" s="51" t="s">
        <v>19</v>
      </c>
      <c r="S101" s="51" t="s">
        <v>19</v>
      </c>
      <c r="T101" s="51" t="s">
        <v>20</v>
      </c>
      <c r="U101" s="54" t="s">
        <v>19</v>
      </c>
      <c r="V101" s="54" t="s">
        <v>19</v>
      </c>
      <c r="W101" s="54" t="s">
        <v>19</v>
      </c>
      <c r="X101" s="51" t="s">
        <v>20</v>
      </c>
      <c r="Y101" s="51" t="s">
        <v>20</v>
      </c>
      <c r="Z101" s="39" t="s">
        <v>20</v>
      </c>
      <c r="AA101" s="39" t="s">
        <v>20</v>
      </c>
      <c r="AB101" s="39" t="s">
        <v>20</v>
      </c>
      <c r="AC101" s="54" t="s">
        <v>21</v>
      </c>
      <c r="AD101" s="54" t="s">
        <v>20</v>
      </c>
      <c r="AE101" s="34">
        <f t="shared" si="1"/>
        <v>2</v>
      </c>
    </row>
    <row r="102" spans="1:31" ht="15.75" customHeight="1" x14ac:dyDescent="0.25">
      <c r="A102" s="89">
        <v>12</v>
      </c>
      <c r="B102" s="90" t="s">
        <v>253</v>
      </c>
      <c r="C102" s="89">
        <v>3</v>
      </c>
      <c r="D102" s="89" t="s">
        <v>19</v>
      </c>
      <c r="E102" s="51" t="s">
        <v>20</v>
      </c>
      <c r="F102" s="51" t="s">
        <v>21</v>
      </c>
      <c r="G102" s="51" t="s">
        <v>21</v>
      </c>
      <c r="H102" s="51" t="s">
        <v>20</v>
      </c>
      <c r="I102" s="75" t="s">
        <v>20</v>
      </c>
      <c r="J102" s="75" t="s">
        <v>19</v>
      </c>
      <c r="K102" s="75" t="s">
        <v>20</v>
      </c>
      <c r="L102" s="51" t="s">
        <v>20</v>
      </c>
      <c r="M102" s="51" t="s">
        <v>20</v>
      </c>
      <c r="N102" s="51" t="s">
        <v>19</v>
      </c>
      <c r="O102" s="51" t="s">
        <v>20</v>
      </c>
      <c r="P102" s="51" t="s">
        <v>20</v>
      </c>
      <c r="Q102" s="51" t="s">
        <v>20</v>
      </c>
      <c r="R102" s="51" t="s">
        <v>20</v>
      </c>
      <c r="S102" s="51" t="s">
        <v>19</v>
      </c>
      <c r="T102" s="51" t="s">
        <v>20</v>
      </c>
      <c r="U102" s="54" t="s">
        <v>19</v>
      </c>
      <c r="V102" s="54" t="s">
        <v>20</v>
      </c>
      <c r="W102" s="54" t="s">
        <v>19</v>
      </c>
      <c r="X102" s="51" t="s">
        <v>19</v>
      </c>
      <c r="Y102" s="51" t="s">
        <v>19</v>
      </c>
      <c r="Z102" s="39" t="s">
        <v>19</v>
      </c>
      <c r="AA102" s="39" t="s">
        <v>20</v>
      </c>
      <c r="AB102" s="39" t="s">
        <v>19</v>
      </c>
      <c r="AC102" s="54" t="s">
        <v>21</v>
      </c>
      <c r="AD102" s="54" t="s">
        <v>20</v>
      </c>
      <c r="AE102" s="34">
        <f t="shared" si="1"/>
        <v>3</v>
      </c>
    </row>
    <row r="103" spans="1:31" ht="15.75" customHeight="1" x14ac:dyDescent="0.25">
      <c r="A103" s="89">
        <v>13</v>
      </c>
      <c r="B103" s="90" t="s">
        <v>91</v>
      </c>
      <c r="C103" s="89">
        <v>3</v>
      </c>
      <c r="D103" s="89" t="s">
        <v>19</v>
      </c>
      <c r="E103" s="51" t="s">
        <v>19</v>
      </c>
      <c r="F103" s="51" t="s">
        <v>19</v>
      </c>
      <c r="G103" s="51" t="s">
        <v>19</v>
      </c>
      <c r="H103" s="51" t="s">
        <v>19</v>
      </c>
      <c r="I103" s="75" t="s">
        <v>19</v>
      </c>
      <c r="J103" s="75" t="s">
        <v>20</v>
      </c>
      <c r="K103" s="75" t="s">
        <v>20</v>
      </c>
      <c r="L103" s="51" t="s">
        <v>20</v>
      </c>
      <c r="M103" s="51" t="s">
        <v>20</v>
      </c>
      <c r="N103" s="51" t="s">
        <v>19</v>
      </c>
      <c r="O103" s="51" t="s">
        <v>19</v>
      </c>
      <c r="P103" s="51" t="s">
        <v>19</v>
      </c>
      <c r="Q103" s="51" t="s">
        <v>19</v>
      </c>
      <c r="R103" s="51" t="s">
        <v>19</v>
      </c>
      <c r="S103" s="51" t="s">
        <v>19</v>
      </c>
      <c r="T103" s="51" t="s">
        <v>20</v>
      </c>
      <c r="U103" s="54" t="s">
        <v>19</v>
      </c>
      <c r="V103" s="54" t="s">
        <v>20</v>
      </c>
      <c r="W103" s="54" t="s">
        <v>19</v>
      </c>
      <c r="X103" s="51" t="s">
        <v>20</v>
      </c>
      <c r="Y103" s="51" t="s">
        <v>19</v>
      </c>
      <c r="Z103" s="39" t="s">
        <v>19</v>
      </c>
      <c r="AA103" s="39" t="s">
        <v>20</v>
      </c>
      <c r="AB103" s="39" t="s">
        <v>19</v>
      </c>
      <c r="AC103" s="54" t="s">
        <v>20</v>
      </c>
      <c r="AD103" s="54" t="s">
        <v>20</v>
      </c>
      <c r="AE103" s="34">
        <f t="shared" si="1"/>
        <v>0</v>
      </c>
    </row>
    <row r="104" spans="1:31" ht="15.75" customHeight="1" x14ac:dyDescent="0.25">
      <c r="A104" s="89">
        <v>14</v>
      </c>
      <c r="B104" s="90" t="s">
        <v>254</v>
      </c>
      <c r="C104" s="89">
        <v>3</v>
      </c>
      <c r="D104" s="89" t="s">
        <v>19</v>
      </c>
      <c r="E104" s="51" t="s">
        <v>21</v>
      </c>
      <c r="F104" s="51" t="s">
        <v>21</v>
      </c>
      <c r="G104" s="51" t="s">
        <v>21</v>
      </c>
      <c r="H104" s="51" t="s">
        <v>21</v>
      </c>
      <c r="I104" s="75" t="s">
        <v>20</v>
      </c>
      <c r="J104" s="75" t="s">
        <v>21</v>
      </c>
      <c r="K104" s="75" t="s">
        <v>20</v>
      </c>
      <c r="L104" s="51" t="s">
        <v>20</v>
      </c>
      <c r="M104" s="51" t="s">
        <v>21</v>
      </c>
      <c r="N104" s="51" t="s">
        <v>21</v>
      </c>
      <c r="O104" s="51" t="s">
        <v>21</v>
      </c>
      <c r="P104" s="51" t="s">
        <v>20</v>
      </c>
      <c r="Q104" s="51" t="s">
        <v>21</v>
      </c>
      <c r="R104" s="51" t="s">
        <v>21</v>
      </c>
      <c r="S104" s="51" t="s">
        <v>21</v>
      </c>
      <c r="T104" s="51" t="s">
        <v>20</v>
      </c>
      <c r="U104" s="54" t="s">
        <v>19</v>
      </c>
      <c r="V104" s="54" t="s">
        <v>20</v>
      </c>
      <c r="W104" s="54" t="s">
        <v>19</v>
      </c>
      <c r="X104" s="51" t="s">
        <v>20</v>
      </c>
      <c r="Y104" s="51" t="s">
        <v>21</v>
      </c>
      <c r="Z104" s="39" t="s">
        <v>21</v>
      </c>
      <c r="AA104" s="39" t="s">
        <v>21</v>
      </c>
      <c r="AB104" s="39" t="s">
        <v>20</v>
      </c>
      <c r="AC104" s="54" t="s">
        <v>20</v>
      </c>
      <c r="AD104" s="54" t="s">
        <v>20</v>
      </c>
      <c r="AE104" s="34">
        <f t="shared" si="1"/>
        <v>14</v>
      </c>
    </row>
    <row r="105" spans="1:31" ht="15.75" customHeight="1" x14ac:dyDescent="0.25">
      <c r="A105" s="89">
        <v>15</v>
      </c>
      <c r="B105" s="90" t="s">
        <v>92</v>
      </c>
      <c r="C105" s="89">
        <v>3</v>
      </c>
      <c r="D105" s="89" t="s">
        <v>19</v>
      </c>
      <c r="E105" s="51" t="s">
        <v>22</v>
      </c>
      <c r="F105" s="51" t="s">
        <v>22</v>
      </c>
      <c r="G105" s="51" t="s">
        <v>19</v>
      </c>
      <c r="H105" s="51" t="s">
        <v>22</v>
      </c>
      <c r="I105" s="75" t="s">
        <v>19</v>
      </c>
      <c r="J105" s="75" t="s">
        <v>19</v>
      </c>
      <c r="K105" s="75" t="s">
        <v>19</v>
      </c>
      <c r="L105" s="51" t="s">
        <v>19</v>
      </c>
      <c r="M105" s="51" t="s">
        <v>20</v>
      </c>
      <c r="N105" s="51" t="s">
        <v>19</v>
      </c>
      <c r="O105" s="51" t="s">
        <v>19</v>
      </c>
      <c r="P105" s="51" t="s">
        <v>19</v>
      </c>
      <c r="Q105" s="51" t="s">
        <v>19</v>
      </c>
      <c r="R105" s="51" t="s">
        <v>19</v>
      </c>
      <c r="S105" s="51" t="s">
        <v>19</v>
      </c>
      <c r="T105" s="51" t="s">
        <v>19</v>
      </c>
      <c r="U105" s="54" t="s">
        <v>19</v>
      </c>
      <c r="V105" s="54" t="s">
        <v>19</v>
      </c>
      <c r="W105" s="54" t="s">
        <v>19</v>
      </c>
      <c r="X105" s="51" t="s">
        <v>19</v>
      </c>
      <c r="Y105" s="51" t="s">
        <v>20</v>
      </c>
      <c r="Z105" s="39" t="s">
        <v>19</v>
      </c>
      <c r="AA105" s="39" t="s">
        <v>19</v>
      </c>
      <c r="AB105" s="39" t="s">
        <v>19</v>
      </c>
      <c r="AC105" s="54" t="s">
        <v>19</v>
      </c>
      <c r="AD105" s="54" t="s">
        <v>20</v>
      </c>
      <c r="AE105" s="34">
        <f t="shared" si="1"/>
        <v>0</v>
      </c>
    </row>
    <row r="106" spans="1:31" ht="15.75" customHeight="1" x14ac:dyDescent="0.25">
      <c r="A106" s="89">
        <v>16</v>
      </c>
      <c r="B106" s="90" t="s">
        <v>93</v>
      </c>
      <c r="C106" s="89">
        <v>3</v>
      </c>
      <c r="D106" s="89" t="s">
        <v>19</v>
      </c>
      <c r="E106" s="51" t="s">
        <v>19</v>
      </c>
      <c r="F106" s="51" t="s">
        <v>19</v>
      </c>
      <c r="G106" s="51" t="s">
        <v>19</v>
      </c>
      <c r="H106" s="51" t="s">
        <v>19</v>
      </c>
      <c r="I106" s="75" t="s">
        <v>19</v>
      </c>
      <c r="J106" s="75" t="s">
        <v>19</v>
      </c>
      <c r="K106" s="75" t="s">
        <v>19</v>
      </c>
      <c r="L106" s="51" t="s">
        <v>19</v>
      </c>
      <c r="M106" s="51" t="s">
        <v>19</v>
      </c>
      <c r="N106" s="51" t="s">
        <v>19</v>
      </c>
      <c r="O106" s="51" t="s">
        <v>19</v>
      </c>
      <c r="P106" s="51" t="s">
        <v>19</v>
      </c>
      <c r="Q106" s="51" t="s">
        <v>19</v>
      </c>
      <c r="R106" s="51" t="s">
        <v>19</v>
      </c>
      <c r="S106" s="51" t="s">
        <v>19</v>
      </c>
      <c r="T106" s="51" t="s">
        <v>19</v>
      </c>
      <c r="U106" s="54" t="s">
        <v>19</v>
      </c>
      <c r="V106" s="54" t="s">
        <v>19</v>
      </c>
      <c r="W106" s="54" t="s">
        <v>19</v>
      </c>
      <c r="X106" s="51" t="s">
        <v>19</v>
      </c>
      <c r="Y106" s="51" t="s">
        <v>19</v>
      </c>
      <c r="Z106" s="39" t="s">
        <v>19</v>
      </c>
      <c r="AA106" s="39" t="s">
        <v>19</v>
      </c>
      <c r="AB106" s="39" t="s">
        <v>19</v>
      </c>
      <c r="AC106" s="54" t="s">
        <v>19</v>
      </c>
      <c r="AD106" s="54" t="s">
        <v>20</v>
      </c>
      <c r="AE106" s="34">
        <f t="shared" si="1"/>
        <v>0</v>
      </c>
    </row>
    <row r="107" spans="1:31" ht="15.75" customHeight="1" x14ac:dyDescent="0.25">
      <c r="A107" s="89">
        <v>17</v>
      </c>
      <c r="B107" s="90" t="s">
        <v>94</v>
      </c>
      <c r="C107" s="89">
        <v>3</v>
      </c>
      <c r="D107" s="89" t="s">
        <v>19</v>
      </c>
      <c r="E107" s="51" t="s">
        <v>19</v>
      </c>
      <c r="F107" s="51" t="s">
        <v>19</v>
      </c>
      <c r="G107" s="51" t="s">
        <v>19</v>
      </c>
      <c r="H107" s="51" t="s">
        <v>19</v>
      </c>
      <c r="I107" s="75" t="s">
        <v>22</v>
      </c>
      <c r="J107" s="75" t="s">
        <v>19</v>
      </c>
      <c r="K107" s="75" t="s">
        <v>19</v>
      </c>
      <c r="L107" s="51" t="s">
        <v>19</v>
      </c>
      <c r="M107" s="51" t="s">
        <v>19</v>
      </c>
      <c r="N107" s="51" t="s">
        <v>19</v>
      </c>
      <c r="O107" s="51" t="s">
        <v>19</v>
      </c>
      <c r="P107" s="51" t="s">
        <v>19</v>
      </c>
      <c r="Q107" s="51" t="s">
        <v>19</v>
      </c>
      <c r="R107" s="51" t="s">
        <v>20</v>
      </c>
      <c r="S107" s="51" t="s">
        <v>19</v>
      </c>
      <c r="T107" s="51" t="s">
        <v>19</v>
      </c>
      <c r="U107" s="54" t="s">
        <v>20</v>
      </c>
      <c r="V107" s="54" t="s">
        <v>19</v>
      </c>
      <c r="W107" s="54" t="s">
        <v>20</v>
      </c>
      <c r="X107" s="51" t="s">
        <v>19</v>
      </c>
      <c r="Y107" s="51" t="s">
        <v>19</v>
      </c>
      <c r="Z107" s="39" t="s">
        <v>19</v>
      </c>
      <c r="AA107" s="39" t="s">
        <v>19</v>
      </c>
      <c r="AB107" s="39" t="s">
        <v>19</v>
      </c>
      <c r="AC107" s="54" t="s">
        <v>19</v>
      </c>
      <c r="AD107" s="54" t="s">
        <v>20</v>
      </c>
      <c r="AE107" s="34">
        <f t="shared" si="1"/>
        <v>0</v>
      </c>
    </row>
    <row r="108" spans="1:31" ht="15.75" customHeight="1" x14ac:dyDescent="0.25">
      <c r="A108" s="89">
        <v>18</v>
      </c>
      <c r="B108" s="90" t="s">
        <v>95</v>
      </c>
      <c r="C108" s="89">
        <v>3</v>
      </c>
      <c r="D108" s="89" t="s">
        <v>19</v>
      </c>
      <c r="E108" s="51" t="s">
        <v>22</v>
      </c>
      <c r="F108" s="51" t="s">
        <v>19</v>
      </c>
      <c r="G108" s="51" t="s">
        <v>19</v>
      </c>
      <c r="H108" s="51" t="s">
        <v>19</v>
      </c>
      <c r="I108" s="75" t="s">
        <v>19</v>
      </c>
      <c r="J108" s="75" t="s">
        <v>19</v>
      </c>
      <c r="K108" s="75" t="s">
        <v>19</v>
      </c>
      <c r="L108" s="51" t="s">
        <v>19</v>
      </c>
      <c r="M108" s="51" t="s">
        <v>19</v>
      </c>
      <c r="N108" s="51" t="s">
        <v>19</v>
      </c>
      <c r="O108" s="51" t="s">
        <v>19</v>
      </c>
      <c r="P108" s="51" t="s">
        <v>19</v>
      </c>
      <c r="Q108" s="51" t="s">
        <v>19</v>
      </c>
      <c r="R108" s="51" t="s">
        <v>19</v>
      </c>
      <c r="S108" s="51" t="s">
        <v>19</v>
      </c>
      <c r="T108" s="51" t="s">
        <v>19</v>
      </c>
      <c r="U108" s="54" t="s">
        <v>19</v>
      </c>
      <c r="V108" s="54" t="s">
        <v>19</v>
      </c>
      <c r="W108" s="54" t="s">
        <v>19</v>
      </c>
      <c r="X108" s="51" t="s">
        <v>20</v>
      </c>
      <c r="Y108" s="51" t="s">
        <v>19</v>
      </c>
      <c r="Z108" s="39" t="s">
        <v>19</v>
      </c>
      <c r="AA108" s="39" t="s">
        <v>19</v>
      </c>
      <c r="AB108" s="39" t="s">
        <v>19</v>
      </c>
      <c r="AC108" s="54" t="s">
        <v>19</v>
      </c>
      <c r="AD108" s="54" t="s">
        <v>20</v>
      </c>
      <c r="AE108" s="34">
        <f t="shared" si="1"/>
        <v>0</v>
      </c>
    </row>
    <row r="109" spans="1:31" ht="15.75" customHeight="1" thickBot="1" x14ac:dyDescent="0.3">
      <c r="A109" s="91">
        <v>19</v>
      </c>
      <c r="B109" s="92" t="s">
        <v>96</v>
      </c>
      <c r="C109" s="91">
        <v>3</v>
      </c>
      <c r="D109" s="91" t="s">
        <v>19</v>
      </c>
      <c r="E109" s="87" t="s">
        <v>20</v>
      </c>
      <c r="F109" s="87" t="s">
        <v>21</v>
      </c>
      <c r="G109" s="87" t="s">
        <v>21</v>
      </c>
      <c r="H109" s="87" t="s">
        <v>21</v>
      </c>
      <c r="I109" s="103" t="s">
        <v>20</v>
      </c>
      <c r="J109" s="103" t="s">
        <v>19</v>
      </c>
      <c r="K109" s="103" t="s">
        <v>20</v>
      </c>
      <c r="L109" s="87" t="s">
        <v>20</v>
      </c>
      <c r="M109" s="87" t="s">
        <v>20</v>
      </c>
      <c r="N109" s="87" t="s">
        <v>20</v>
      </c>
      <c r="O109" s="87" t="s">
        <v>20</v>
      </c>
      <c r="P109" s="87" t="s">
        <v>20</v>
      </c>
      <c r="Q109" s="87" t="s">
        <v>20</v>
      </c>
      <c r="R109" s="87" t="s">
        <v>19</v>
      </c>
      <c r="S109" s="87" t="s">
        <v>19</v>
      </c>
      <c r="T109" s="87" t="s">
        <v>19</v>
      </c>
      <c r="U109" s="100" t="s">
        <v>19</v>
      </c>
      <c r="V109" s="100" t="s">
        <v>20</v>
      </c>
      <c r="W109" s="100" t="s">
        <v>19</v>
      </c>
      <c r="X109" s="87" t="s">
        <v>21</v>
      </c>
      <c r="Y109" s="87" t="s">
        <v>19</v>
      </c>
      <c r="Z109" s="41" t="s">
        <v>20</v>
      </c>
      <c r="AA109" s="41" t="s">
        <v>20</v>
      </c>
      <c r="AB109" s="41" t="s">
        <v>20</v>
      </c>
      <c r="AC109" s="100" t="s">
        <v>20</v>
      </c>
      <c r="AD109" s="100" t="s">
        <v>20</v>
      </c>
      <c r="AE109" s="34">
        <f t="shared" si="1"/>
        <v>4</v>
      </c>
    </row>
    <row r="110" spans="1:31" ht="15.75" customHeight="1" x14ac:dyDescent="0.25">
      <c r="A110" s="82">
        <v>1</v>
      </c>
      <c r="B110" s="40" t="s">
        <v>97</v>
      </c>
      <c r="C110" s="82">
        <v>3</v>
      </c>
      <c r="D110" s="82" t="s">
        <v>20</v>
      </c>
      <c r="E110" s="83" t="s">
        <v>20</v>
      </c>
      <c r="F110" s="83" t="s">
        <v>19</v>
      </c>
      <c r="G110" s="83" t="s">
        <v>19</v>
      </c>
      <c r="H110" s="83" t="s">
        <v>19</v>
      </c>
      <c r="I110" s="86" t="s">
        <v>19</v>
      </c>
      <c r="J110" s="86" t="s">
        <v>19</v>
      </c>
      <c r="K110" s="86" t="s">
        <v>20</v>
      </c>
      <c r="L110" s="83" t="s">
        <v>19</v>
      </c>
      <c r="M110" s="83" t="s">
        <v>19</v>
      </c>
      <c r="N110" s="83" t="s">
        <v>19</v>
      </c>
      <c r="O110" s="83" t="s">
        <v>20</v>
      </c>
      <c r="P110" s="83" t="s">
        <v>20</v>
      </c>
      <c r="Q110" s="83" t="s">
        <v>19</v>
      </c>
      <c r="R110" s="83" t="s">
        <v>19</v>
      </c>
      <c r="S110" s="83" t="s">
        <v>19</v>
      </c>
      <c r="T110" s="83" t="s">
        <v>19</v>
      </c>
      <c r="U110" s="99" t="s">
        <v>20</v>
      </c>
      <c r="V110" s="99" t="s">
        <v>19</v>
      </c>
      <c r="W110" s="99" t="s">
        <v>19</v>
      </c>
      <c r="X110" s="83" t="s">
        <v>19</v>
      </c>
      <c r="Y110" s="83" t="s">
        <v>19</v>
      </c>
      <c r="Z110" s="86" t="s">
        <v>20</v>
      </c>
      <c r="AA110" s="86" t="s">
        <v>20</v>
      </c>
      <c r="AB110" s="86" t="s">
        <v>20</v>
      </c>
      <c r="AC110" s="99" t="s">
        <v>20</v>
      </c>
      <c r="AD110" s="99" t="s">
        <v>20</v>
      </c>
      <c r="AE110" s="34">
        <f t="shared" si="1"/>
        <v>0</v>
      </c>
    </row>
    <row r="111" spans="1:31" ht="15.75" customHeight="1" x14ac:dyDescent="0.25">
      <c r="A111" s="20">
        <v>2</v>
      </c>
      <c r="B111" s="37" t="s">
        <v>98</v>
      </c>
      <c r="C111" s="20">
        <v>3</v>
      </c>
      <c r="D111" s="20" t="s">
        <v>20</v>
      </c>
      <c r="E111" s="51" t="s">
        <v>20</v>
      </c>
      <c r="F111" s="51" t="s">
        <v>19</v>
      </c>
      <c r="G111" s="51" t="s">
        <v>19</v>
      </c>
      <c r="H111" s="51" t="s">
        <v>19</v>
      </c>
      <c r="I111" s="39" t="s">
        <v>19</v>
      </c>
      <c r="J111" s="39" t="s">
        <v>19</v>
      </c>
      <c r="K111" s="39" t="s">
        <v>20</v>
      </c>
      <c r="L111" s="51" t="s">
        <v>19</v>
      </c>
      <c r="M111" s="51" t="s">
        <v>19</v>
      </c>
      <c r="N111" s="51" t="s">
        <v>19</v>
      </c>
      <c r="O111" s="51" t="s">
        <v>20</v>
      </c>
      <c r="P111" s="51" t="s">
        <v>19</v>
      </c>
      <c r="Q111" s="51" t="s">
        <v>19</v>
      </c>
      <c r="R111" s="51" t="s">
        <v>20</v>
      </c>
      <c r="S111" s="51" t="s">
        <v>19</v>
      </c>
      <c r="T111" s="51" t="s">
        <v>19</v>
      </c>
      <c r="U111" s="54" t="s">
        <v>20</v>
      </c>
      <c r="V111" s="54" t="s">
        <v>19</v>
      </c>
      <c r="W111" s="54" t="s">
        <v>19</v>
      </c>
      <c r="X111" s="51" t="s">
        <v>20</v>
      </c>
      <c r="Y111" s="51" t="s">
        <v>19</v>
      </c>
      <c r="Z111" s="39" t="s">
        <v>19</v>
      </c>
      <c r="AA111" s="39" t="s">
        <v>19</v>
      </c>
      <c r="AB111" s="39" t="s">
        <v>19</v>
      </c>
      <c r="AC111" s="54" t="s">
        <v>20</v>
      </c>
      <c r="AD111" s="54" t="s">
        <v>20</v>
      </c>
      <c r="AE111" s="34">
        <f t="shared" si="1"/>
        <v>0</v>
      </c>
    </row>
    <row r="112" spans="1:31" ht="15.75" customHeight="1" x14ac:dyDescent="0.25">
      <c r="A112" s="20">
        <v>3</v>
      </c>
      <c r="B112" s="37" t="s">
        <v>99</v>
      </c>
      <c r="C112" s="20">
        <v>3</v>
      </c>
      <c r="D112" s="20" t="s">
        <v>20</v>
      </c>
      <c r="E112" s="51" t="s">
        <v>19</v>
      </c>
      <c r="F112" s="51" t="s">
        <v>19</v>
      </c>
      <c r="G112" s="51" t="s">
        <v>19</v>
      </c>
      <c r="H112" s="51" t="s">
        <v>19</v>
      </c>
      <c r="I112" s="39" t="s">
        <v>19</v>
      </c>
      <c r="J112" s="39" t="s">
        <v>19</v>
      </c>
      <c r="K112" s="39" t="s">
        <v>20</v>
      </c>
      <c r="L112" s="51" t="s">
        <v>19</v>
      </c>
      <c r="M112" s="51" t="s">
        <v>19</v>
      </c>
      <c r="N112" s="51" t="s">
        <v>20</v>
      </c>
      <c r="O112" s="51" t="s">
        <v>19</v>
      </c>
      <c r="P112" s="51" t="s">
        <v>19</v>
      </c>
      <c r="Q112" s="51" t="s">
        <v>19</v>
      </c>
      <c r="R112" s="51" t="s">
        <v>19</v>
      </c>
      <c r="S112" s="51" t="s">
        <v>19</v>
      </c>
      <c r="T112" s="51" t="s">
        <v>19</v>
      </c>
      <c r="U112" s="54" t="s">
        <v>19</v>
      </c>
      <c r="V112" s="54" t="s">
        <v>19</v>
      </c>
      <c r="W112" s="54" t="s">
        <v>19</v>
      </c>
      <c r="X112" s="51" t="s">
        <v>19</v>
      </c>
      <c r="Y112" s="51" t="s">
        <v>19</v>
      </c>
      <c r="Z112" s="39" t="s">
        <v>19</v>
      </c>
      <c r="AA112" s="39" t="s">
        <v>19</v>
      </c>
      <c r="AB112" s="39" t="s">
        <v>19</v>
      </c>
      <c r="AC112" s="54" t="s">
        <v>19</v>
      </c>
      <c r="AD112" s="54" t="s">
        <v>20</v>
      </c>
      <c r="AE112" s="34">
        <f t="shared" si="1"/>
        <v>0</v>
      </c>
    </row>
    <row r="113" spans="1:31" ht="15.75" customHeight="1" x14ac:dyDescent="0.25">
      <c r="A113" s="20">
        <v>4</v>
      </c>
      <c r="B113" s="37" t="s">
        <v>100</v>
      </c>
      <c r="C113" s="20">
        <v>3</v>
      </c>
      <c r="D113" s="20" t="s">
        <v>20</v>
      </c>
      <c r="E113" s="51" t="s">
        <v>20</v>
      </c>
      <c r="F113" s="51" t="s">
        <v>20</v>
      </c>
      <c r="G113" s="51" t="s">
        <v>20</v>
      </c>
      <c r="H113" s="51" t="s">
        <v>19</v>
      </c>
      <c r="I113" s="39" t="s">
        <v>19</v>
      </c>
      <c r="J113" s="39" t="s">
        <v>19</v>
      </c>
      <c r="K113" s="39" t="s">
        <v>19</v>
      </c>
      <c r="L113" s="51" t="s">
        <v>19</v>
      </c>
      <c r="M113" s="51" t="s">
        <v>19</v>
      </c>
      <c r="N113" s="51" t="s">
        <v>19</v>
      </c>
      <c r="O113" s="51" t="s">
        <v>19</v>
      </c>
      <c r="P113" s="51" t="s">
        <v>20</v>
      </c>
      <c r="Q113" s="51" t="s">
        <v>19</v>
      </c>
      <c r="R113" s="51" t="s">
        <v>19</v>
      </c>
      <c r="S113" s="51" t="s">
        <v>19</v>
      </c>
      <c r="T113" s="51" t="s">
        <v>19</v>
      </c>
      <c r="U113" s="54" t="s">
        <v>20</v>
      </c>
      <c r="V113" s="54" t="s">
        <v>19</v>
      </c>
      <c r="W113" s="54" t="s">
        <v>20</v>
      </c>
      <c r="X113" s="51" t="s">
        <v>19</v>
      </c>
      <c r="Y113" s="51" t="s">
        <v>19</v>
      </c>
      <c r="Z113" s="39" t="s">
        <v>20</v>
      </c>
      <c r="AA113" s="39" t="s">
        <v>20</v>
      </c>
      <c r="AB113" s="39" t="s">
        <v>20</v>
      </c>
      <c r="AC113" s="54" t="s">
        <v>21</v>
      </c>
      <c r="AD113" s="54" t="s">
        <v>20</v>
      </c>
      <c r="AE113" s="34">
        <f t="shared" si="1"/>
        <v>1</v>
      </c>
    </row>
    <row r="114" spans="1:31" ht="15.75" customHeight="1" x14ac:dyDescent="0.25">
      <c r="A114" s="20">
        <v>5</v>
      </c>
      <c r="B114" s="37" t="s">
        <v>101</v>
      </c>
      <c r="C114" s="20">
        <v>3</v>
      </c>
      <c r="D114" s="20" t="s">
        <v>20</v>
      </c>
      <c r="E114" s="51" t="s">
        <v>20</v>
      </c>
      <c r="F114" s="51" t="s">
        <v>19</v>
      </c>
      <c r="G114" s="51" t="s">
        <v>20</v>
      </c>
      <c r="H114" s="51" t="s">
        <v>19</v>
      </c>
      <c r="I114" s="39" t="s">
        <v>22</v>
      </c>
      <c r="J114" s="39" t="s">
        <v>22</v>
      </c>
      <c r="K114" s="39" t="s">
        <v>19</v>
      </c>
      <c r="L114" s="51" t="s">
        <v>19</v>
      </c>
      <c r="M114" s="51" t="s">
        <v>19</v>
      </c>
      <c r="N114" s="51" t="s">
        <v>19</v>
      </c>
      <c r="O114" s="51" t="s">
        <v>20</v>
      </c>
      <c r="P114" s="51" t="s">
        <v>19</v>
      </c>
      <c r="Q114" s="51" t="s">
        <v>19</v>
      </c>
      <c r="R114" s="51" t="s">
        <v>19</v>
      </c>
      <c r="S114" s="51" t="s">
        <v>19</v>
      </c>
      <c r="T114" s="51" t="s">
        <v>19</v>
      </c>
      <c r="U114" s="54" t="s">
        <v>19</v>
      </c>
      <c r="V114" s="54" t="s">
        <v>19</v>
      </c>
      <c r="W114" s="54" t="s">
        <v>19</v>
      </c>
      <c r="X114" s="51" t="s">
        <v>19</v>
      </c>
      <c r="Y114" s="51" t="s">
        <v>19</v>
      </c>
      <c r="Z114" s="39" t="s">
        <v>19</v>
      </c>
      <c r="AA114" s="39" t="s">
        <v>19</v>
      </c>
      <c r="AB114" s="39" t="s">
        <v>19</v>
      </c>
      <c r="AC114" s="53" t="s">
        <v>21</v>
      </c>
      <c r="AD114" s="53" t="s">
        <v>20</v>
      </c>
      <c r="AE114" s="34">
        <f t="shared" si="1"/>
        <v>1</v>
      </c>
    </row>
    <row r="115" spans="1:31" ht="15.75" customHeight="1" x14ac:dyDescent="0.25">
      <c r="A115" s="20">
        <v>6</v>
      </c>
      <c r="B115" s="37" t="s">
        <v>255</v>
      </c>
      <c r="C115" s="20">
        <v>3</v>
      </c>
      <c r="D115" s="20" t="s">
        <v>20</v>
      </c>
      <c r="E115" s="51" t="s">
        <v>19</v>
      </c>
      <c r="F115" s="51" t="s">
        <v>19</v>
      </c>
      <c r="G115" s="51" t="s">
        <v>19</v>
      </c>
      <c r="H115" s="51" t="s">
        <v>19</v>
      </c>
      <c r="I115" s="39" t="s">
        <v>19</v>
      </c>
      <c r="J115" s="39" t="s">
        <v>19</v>
      </c>
      <c r="K115" s="39" t="s">
        <v>19</v>
      </c>
      <c r="L115" s="51" t="s">
        <v>19</v>
      </c>
      <c r="M115" s="51" t="s">
        <v>19</v>
      </c>
      <c r="N115" s="51" t="s">
        <v>19</v>
      </c>
      <c r="O115" s="51" t="s">
        <v>20</v>
      </c>
      <c r="P115" s="51" t="s">
        <v>19</v>
      </c>
      <c r="Q115" s="51" t="s">
        <v>19</v>
      </c>
      <c r="R115" s="51" t="s">
        <v>19</v>
      </c>
      <c r="S115" s="51" t="s">
        <v>19</v>
      </c>
      <c r="T115" s="51" t="s">
        <v>19</v>
      </c>
      <c r="U115" s="54" t="s">
        <v>19</v>
      </c>
      <c r="V115" s="54" t="s">
        <v>19</v>
      </c>
      <c r="W115" s="54" t="s">
        <v>20</v>
      </c>
      <c r="X115" s="51" t="s">
        <v>19</v>
      </c>
      <c r="Y115" s="51" t="s">
        <v>19</v>
      </c>
      <c r="Z115" s="39" t="s">
        <v>19</v>
      </c>
      <c r="AA115" s="39" t="s">
        <v>19</v>
      </c>
      <c r="AB115" s="39" t="s">
        <v>19</v>
      </c>
      <c r="AC115" s="53" t="s">
        <v>19</v>
      </c>
      <c r="AD115" s="53" t="s">
        <v>20</v>
      </c>
      <c r="AE115" s="34">
        <f t="shared" si="1"/>
        <v>0</v>
      </c>
    </row>
    <row r="116" spans="1:31" ht="15.75" customHeight="1" x14ac:dyDescent="0.25">
      <c r="A116" s="20">
        <v>7</v>
      </c>
      <c r="B116" s="37" t="s">
        <v>86</v>
      </c>
      <c r="C116" s="20">
        <v>3</v>
      </c>
      <c r="D116" s="20" t="s">
        <v>20</v>
      </c>
      <c r="E116" s="51" t="s">
        <v>21</v>
      </c>
      <c r="F116" s="51" t="s">
        <v>20</v>
      </c>
      <c r="G116" s="51" t="s">
        <v>21</v>
      </c>
      <c r="H116" s="51" t="s">
        <v>20</v>
      </c>
      <c r="I116" s="39" t="s">
        <v>20</v>
      </c>
      <c r="J116" s="39" t="s">
        <v>20</v>
      </c>
      <c r="K116" s="39" t="s">
        <v>20</v>
      </c>
      <c r="L116" s="51" t="s">
        <v>19</v>
      </c>
      <c r="M116" s="51" t="s">
        <v>19</v>
      </c>
      <c r="N116" s="51" t="s">
        <v>20</v>
      </c>
      <c r="O116" s="51" t="s">
        <v>20</v>
      </c>
      <c r="P116" s="51" t="s">
        <v>21</v>
      </c>
      <c r="Q116" s="51" t="s">
        <v>20</v>
      </c>
      <c r="R116" s="51" t="s">
        <v>19</v>
      </c>
      <c r="S116" s="51" t="s">
        <v>20</v>
      </c>
      <c r="T116" s="51" t="s">
        <v>19</v>
      </c>
      <c r="U116" s="54" t="s">
        <v>20</v>
      </c>
      <c r="V116" s="54" t="s">
        <v>20</v>
      </c>
      <c r="W116" s="54" t="s">
        <v>20</v>
      </c>
      <c r="X116" s="51" t="s">
        <v>19</v>
      </c>
      <c r="Y116" s="51" t="s">
        <v>19</v>
      </c>
      <c r="Z116" s="39" t="s">
        <v>20</v>
      </c>
      <c r="AA116" s="39" t="s">
        <v>20</v>
      </c>
      <c r="AB116" s="39" t="s">
        <v>20</v>
      </c>
      <c r="AC116" s="53" t="s">
        <v>20</v>
      </c>
      <c r="AD116" s="53" t="s">
        <v>20</v>
      </c>
      <c r="AE116" s="34">
        <f t="shared" si="1"/>
        <v>3</v>
      </c>
    </row>
    <row r="117" spans="1:31" ht="15.75" customHeight="1" x14ac:dyDescent="0.25">
      <c r="A117" s="20">
        <v>8</v>
      </c>
      <c r="B117" s="37" t="s">
        <v>103</v>
      </c>
      <c r="C117" s="20">
        <v>3</v>
      </c>
      <c r="D117" s="20" t="s">
        <v>20</v>
      </c>
      <c r="E117" s="51" t="s">
        <v>20</v>
      </c>
      <c r="F117" s="51" t="s">
        <v>21</v>
      </c>
      <c r="G117" s="51" t="s">
        <v>20</v>
      </c>
      <c r="H117" s="51" t="s">
        <v>20</v>
      </c>
      <c r="I117" s="39" t="s">
        <v>19</v>
      </c>
      <c r="J117" s="39" t="s">
        <v>19</v>
      </c>
      <c r="K117" s="39" t="s">
        <v>20</v>
      </c>
      <c r="L117" s="51" t="s">
        <v>19</v>
      </c>
      <c r="M117" s="51" t="s">
        <v>20</v>
      </c>
      <c r="N117" s="51" t="s">
        <v>19</v>
      </c>
      <c r="O117" s="51" t="s">
        <v>20</v>
      </c>
      <c r="P117" s="51" t="s">
        <v>20</v>
      </c>
      <c r="Q117" s="51" t="s">
        <v>20</v>
      </c>
      <c r="R117" s="51" t="s">
        <v>19</v>
      </c>
      <c r="S117" s="51" t="s">
        <v>19</v>
      </c>
      <c r="T117" s="51" t="s">
        <v>19</v>
      </c>
      <c r="U117" s="54" t="s">
        <v>19</v>
      </c>
      <c r="V117" s="54" t="s">
        <v>20</v>
      </c>
      <c r="W117" s="54" t="s">
        <v>19</v>
      </c>
      <c r="X117" s="51" t="s">
        <v>19</v>
      </c>
      <c r="Y117" s="51" t="s">
        <v>19</v>
      </c>
      <c r="Z117" s="39" t="s">
        <v>21</v>
      </c>
      <c r="AA117" s="39" t="s">
        <v>21</v>
      </c>
      <c r="AB117" s="39" t="s">
        <v>20</v>
      </c>
      <c r="AC117" s="53" t="s">
        <v>20</v>
      </c>
      <c r="AD117" s="53" t="s">
        <v>20</v>
      </c>
      <c r="AE117" s="34">
        <f t="shared" si="1"/>
        <v>3</v>
      </c>
    </row>
    <row r="118" spans="1:31" ht="15.75" customHeight="1" x14ac:dyDescent="0.25">
      <c r="A118" s="20">
        <v>9</v>
      </c>
      <c r="B118" s="37" t="s">
        <v>104</v>
      </c>
      <c r="C118" s="20">
        <v>3</v>
      </c>
      <c r="D118" s="20" t="s">
        <v>20</v>
      </c>
      <c r="E118" s="51" t="s">
        <v>21</v>
      </c>
      <c r="F118" s="51" t="s">
        <v>20</v>
      </c>
      <c r="G118" s="51" t="s">
        <v>21</v>
      </c>
      <c r="H118" s="51" t="s">
        <v>20</v>
      </c>
      <c r="I118" s="39" t="s">
        <v>19</v>
      </c>
      <c r="J118" s="39" t="s">
        <v>20</v>
      </c>
      <c r="K118" s="39" t="s">
        <v>20</v>
      </c>
      <c r="L118" s="51" t="s">
        <v>20</v>
      </c>
      <c r="M118" s="51" t="s">
        <v>20</v>
      </c>
      <c r="N118" s="51" t="s">
        <v>20</v>
      </c>
      <c r="O118" s="51" t="s">
        <v>21</v>
      </c>
      <c r="P118" s="51" t="s">
        <v>19</v>
      </c>
      <c r="Q118" s="51" t="s">
        <v>20</v>
      </c>
      <c r="R118" s="51" t="s">
        <v>20</v>
      </c>
      <c r="S118" s="51" t="s">
        <v>19</v>
      </c>
      <c r="T118" s="51" t="s">
        <v>19</v>
      </c>
      <c r="U118" s="54" t="s">
        <v>20</v>
      </c>
      <c r="V118" s="54" t="s">
        <v>20</v>
      </c>
      <c r="W118" s="54" t="s">
        <v>20</v>
      </c>
      <c r="X118" s="51" t="s">
        <v>19</v>
      </c>
      <c r="Y118" s="51" t="s">
        <v>19</v>
      </c>
      <c r="Z118" s="39" t="s">
        <v>21</v>
      </c>
      <c r="AA118" s="39" t="s">
        <v>21</v>
      </c>
      <c r="AB118" s="39" t="s">
        <v>20</v>
      </c>
      <c r="AC118" s="53" t="s">
        <v>20</v>
      </c>
      <c r="AD118" s="53" t="s">
        <v>20</v>
      </c>
      <c r="AE118" s="34">
        <f t="shared" si="1"/>
        <v>5</v>
      </c>
    </row>
    <row r="119" spans="1:31" ht="15.75" customHeight="1" x14ac:dyDescent="0.25">
      <c r="A119" s="20">
        <v>10</v>
      </c>
      <c r="B119" s="37" t="s">
        <v>105</v>
      </c>
      <c r="C119" s="20">
        <v>3</v>
      </c>
      <c r="D119" s="20" t="s">
        <v>20</v>
      </c>
      <c r="E119" s="51" t="s">
        <v>22</v>
      </c>
      <c r="F119" s="51" t="s">
        <v>19</v>
      </c>
      <c r="G119" s="51" t="s">
        <v>19</v>
      </c>
      <c r="H119" s="51" t="s">
        <v>19</v>
      </c>
      <c r="I119" s="39" t="s">
        <v>19</v>
      </c>
      <c r="J119" s="39" t="s">
        <v>22</v>
      </c>
      <c r="K119" s="39" t="s">
        <v>19</v>
      </c>
      <c r="L119" s="51" t="s">
        <v>19</v>
      </c>
      <c r="M119" s="51" t="s">
        <v>19</v>
      </c>
      <c r="N119" s="51" t="s">
        <v>19</v>
      </c>
      <c r="O119" s="51" t="s">
        <v>20</v>
      </c>
      <c r="P119" s="51" t="s">
        <v>19</v>
      </c>
      <c r="Q119" s="51" t="s">
        <v>19</v>
      </c>
      <c r="R119" s="51" t="s">
        <v>19</v>
      </c>
      <c r="S119" s="51" t="s">
        <v>19</v>
      </c>
      <c r="T119" s="51" t="s">
        <v>19</v>
      </c>
      <c r="U119" s="54" t="s">
        <v>20</v>
      </c>
      <c r="V119" s="54" t="s">
        <v>19</v>
      </c>
      <c r="W119" s="54" t="s">
        <v>19</v>
      </c>
      <c r="X119" s="51" t="s">
        <v>19</v>
      </c>
      <c r="Y119" s="51" t="s">
        <v>19</v>
      </c>
      <c r="Z119" s="39" t="s">
        <v>19</v>
      </c>
      <c r="AA119" s="39" t="s">
        <v>19</v>
      </c>
      <c r="AB119" s="39" t="s">
        <v>19</v>
      </c>
      <c r="AC119" s="53" t="s">
        <v>19</v>
      </c>
      <c r="AD119" s="53" t="s">
        <v>20</v>
      </c>
      <c r="AE119" s="34">
        <f t="shared" si="1"/>
        <v>0</v>
      </c>
    </row>
    <row r="120" spans="1:31" ht="15.75" customHeight="1" x14ac:dyDescent="0.25">
      <c r="A120" s="20">
        <v>11</v>
      </c>
      <c r="B120" s="37" t="s">
        <v>106</v>
      </c>
      <c r="C120" s="20">
        <v>3</v>
      </c>
      <c r="D120" s="20" t="s">
        <v>20</v>
      </c>
      <c r="E120" s="51" t="s">
        <v>20</v>
      </c>
      <c r="F120" s="51" t="s">
        <v>20</v>
      </c>
      <c r="G120" s="51" t="s">
        <v>20</v>
      </c>
      <c r="H120" s="51" t="s">
        <v>20</v>
      </c>
      <c r="I120" s="39" t="s">
        <v>20</v>
      </c>
      <c r="J120" s="39" t="s">
        <v>20</v>
      </c>
      <c r="K120" s="39" t="s">
        <v>20</v>
      </c>
      <c r="L120" s="51" t="s">
        <v>20</v>
      </c>
      <c r="M120" s="51" t="s">
        <v>20</v>
      </c>
      <c r="N120" s="51" t="s">
        <v>20</v>
      </c>
      <c r="O120" s="51" t="s">
        <v>20</v>
      </c>
      <c r="P120" s="51" t="s">
        <v>20</v>
      </c>
      <c r="Q120" s="51" t="s">
        <v>21</v>
      </c>
      <c r="R120" s="51" t="s">
        <v>21</v>
      </c>
      <c r="S120" s="51" t="s">
        <v>20</v>
      </c>
      <c r="T120" s="51" t="s">
        <v>19</v>
      </c>
      <c r="U120" s="54" t="s">
        <v>20</v>
      </c>
      <c r="V120" s="54" t="s">
        <v>19</v>
      </c>
      <c r="W120" s="54" t="s">
        <v>20</v>
      </c>
      <c r="X120" s="51" t="s">
        <v>20</v>
      </c>
      <c r="Y120" s="51" t="s">
        <v>20</v>
      </c>
      <c r="Z120" s="39" t="s">
        <v>20</v>
      </c>
      <c r="AA120" s="39" t="s">
        <v>20</v>
      </c>
      <c r="AB120" s="39" t="s">
        <v>20</v>
      </c>
      <c r="AC120" s="53" t="s">
        <v>21</v>
      </c>
      <c r="AD120" s="53" t="s">
        <v>20</v>
      </c>
      <c r="AE120" s="34">
        <f t="shared" si="1"/>
        <v>3</v>
      </c>
    </row>
    <row r="121" spans="1:31" ht="15.75" customHeight="1" x14ac:dyDescent="0.25">
      <c r="A121" s="20">
        <v>12</v>
      </c>
      <c r="B121" s="37" t="s">
        <v>107</v>
      </c>
      <c r="C121" s="20">
        <v>3</v>
      </c>
      <c r="D121" s="20" t="s">
        <v>20</v>
      </c>
      <c r="E121" s="51" t="s">
        <v>19</v>
      </c>
      <c r="F121" s="51" t="s">
        <v>19</v>
      </c>
      <c r="G121" s="51" t="s">
        <v>19</v>
      </c>
      <c r="H121" s="51" t="s">
        <v>19</v>
      </c>
      <c r="I121" s="39" t="s">
        <v>19</v>
      </c>
      <c r="J121" s="39" t="s">
        <v>19</v>
      </c>
      <c r="K121" s="39" t="s">
        <v>19</v>
      </c>
      <c r="L121" s="51" t="s">
        <v>19</v>
      </c>
      <c r="M121" s="51" t="s">
        <v>19</v>
      </c>
      <c r="N121" s="51" t="s">
        <v>19</v>
      </c>
      <c r="O121" s="51" t="s">
        <v>20</v>
      </c>
      <c r="P121" s="51" t="s">
        <v>19</v>
      </c>
      <c r="Q121" s="51" t="s">
        <v>20</v>
      </c>
      <c r="R121" s="51" t="s">
        <v>20</v>
      </c>
      <c r="S121" s="51" t="s">
        <v>20</v>
      </c>
      <c r="T121" s="51" t="s">
        <v>19</v>
      </c>
      <c r="U121" s="54" t="s">
        <v>19</v>
      </c>
      <c r="V121" s="54" t="s">
        <v>19</v>
      </c>
      <c r="W121" s="54" t="s">
        <v>20</v>
      </c>
      <c r="X121" s="51" t="s">
        <v>20</v>
      </c>
      <c r="Y121" s="51" t="s">
        <v>19</v>
      </c>
      <c r="Z121" s="39" t="s">
        <v>19</v>
      </c>
      <c r="AA121" s="39" t="s">
        <v>19</v>
      </c>
      <c r="AB121" s="39" t="s">
        <v>19</v>
      </c>
      <c r="AC121" s="53" t="s">
        <v>21</v>
      </c>
      <c r="AD121" s="53" t="s">
        <v>20</v>
      </c>
      <c r="AE121" s="34">
        <f t="shared" si="1"/>
        <v>1</v>
      </c>
    </row>
    <row r="122" spans="1:31" ht="15.75" customHeight="1" x14ac:dyDescent="0.25">
      <c r="A122" s="20">
        <v>13</v>
      </c>
      <c r="B122" s="37" t="s">
        <v>108</v>
      </c>
      <c r="C122" s="20">
        <v>3</v>
      </c>
      <c r="D122" s="20" t="s">
        <v>20</v>
      </c>
      <c r="E122" s="51" t="s">
        <v>19</v>
      </c>
      <c r="F122" s="51" t="s">
        <v>19</v>
      </c>
      <c r="G122" s="51" t="s">
        <v>19</v>
      </c>
      <c r="H122" s="51" t="s">
        <v>22</v>
      </c>
      <c r="I122" s="39" t="s">
        <v>19</v>
      </c>
      <c r="J122" s="39" t="s">
        <v>19</v>
      </c>
      <c r="K122" s="39" t="s">
        <v>19</v>
      </c>
      <c r="L122" s="51" t="s">
        <v>19</v>
      </c>
      <c r="M122" s="51" t="s">
        <v>19</v>
      </c>
      <c r="N122" s="51" t="s">
        <v>19</v>
      </c>
      <c r="O122" s="51" t="s">
        <v>20</v>
      </c>
      <c r="P122" s="51" t="s">
        <v>20</v>
      </c>
      <c r="Q122" s="51" t="s">
        <v>19</v>
      </c>
      <c r="R122" s="51" t="s">
        <v>19</v>
      </c>
      <c r="S122" s="51" t="s">
        <v>19</v>
      </c>
      <c r="T122" s="51" t="s">
        <v>19</v>
      </c>
      <c r="U122" s="54" t="s">
        <v>19</v>
      </c>
      <c r="V122" s="54" t="s">
        <v>19</v>
      </c>
      <c r="W122" s="54" t="s">
        <v>19</v>
      </c>
      <c r="X122" s="51" t="s">
        <v>20</v>
      </c>
      <c r="Y122" s="51" t="s">
        <v>20</v>
      </c>
      <c r="Z122" s="39" t="s">
        <v>20</v>
      </c>
      <c r="AA122" s="39" t="s">
        <v>19</v>
      </c>
      <c r="AB122" s="39" t="s">
        <v>20</v>
      </c>
      <c r="AC122" s="53" t="s">
        <v>59</v>
      </c>
      <c r="AD122" s="53" t="s">
        <v>59</v>
      </c>
      <c r="AE122" s="34">
        <f t="shared" si="1"/>
        <v>0</v>
      </c>
    </row>
    <row r="123" spans="1:31" ht="15.75" customHeight="1" x14ac:dyDescent="0.25">
      <c r="A123" s="20">
        <v>14</v>
      </c>
      <c r="B123" s="37" t="s">
        <v>109</v>
      </c>
      <c r="C123" s="20">
        <v>3</v>
      </c>
      <c r="D123" s="20" t="s">
        <v>20</v>
      </c>
      <c r="E123" s="51" t="s">
        <v>20</v>
      </c>
      <c r="F123" s="51" t="s">
        <v>20</v>
      </c>
      <c r="G123" s="51" t="s">
        <v>19</v>
      </c>
      <c r="H123" s="51" t="s">
        <v>19</v>
      </c>
      <c r="I123" s="39" t="s">
        <v>19</v>
      </c>
      <c r="J123" s="39" t="s">
        <v>19</v>
      </c>
      <c r="K123" s="39" t="s">
        <v>20</v>
      </c>
      <c r="L123" s="51" t="s">
        <v>19</v>
      </c>
      <c r="M123" s="51" t="s">
        <v>19</v>
      </c>
      <c r="N123" s="51" t="s">
        <v>19</v>
      </c>
      <c r="O123" s="51" t="s">
        <v>21</v>
      </c>
      <c r="P123" s="51" t="s">
        <v>20</v>
      </c>
      <c r="Q123" s="51" t="s">
        <v>20</v>
      </c>
      <c r="R123" s="51" t="s">
        <v>19</v>
      </c>
      <c r="S123" s="51" t="s">
        <v>19</v>
      </c>
      <c r="T123" s="51" t="s">
        <v>20</v>
      </c>
      <c r="U123" s="54" t="s">
        <v>20</v>
      </c>
      <c r="V123" s="54" t="s">
        <v>19</v>
      </c>
      <c r="W123" s="54" t="s">
        <v>20</v>
      </c>
      <c r="X123" s="51" t="s">
        <v>20</v>
      </c>
      <c r="Y123" s="51" t="s">
        <v>20</v>
      </c>
      <c r="Z123" s="39" t="s">
        <v>20</v>
      </c>
      <c r="AA123" s="39" t="s">
        <v>20</v>
      </c>
      <c r="AB123" s="39" t="s">
        <v>19</v>
      </c>
      <c r="AC123" s="53" t="s">
        <v>20</v>
      </c>
      <c r="AD123" s="53" t="s">
        <v>20</v>
      </c>
      <c r="AE123" s="34">
        <f t="shared" si="1"/>
        <v>1</v>
      </c>
    </row>
    <row r="124" spans="1:31" ht="15.75" customHeight="1" x14ac:dyDescent="0.25">
      <c r="A124" s="20">
        <v>15</v>
      </c>
      <c r="B124" s="37" t="s">
        <v>110</v>
      </c>
      <c r="C124" s="20">
        <v>3</v>
      </c>
      <c r="D124" s="20" t="s">
        <v>20</v>
      </c>
      <c r="E124" s="51" t="s">
        <v>21</v>
      </c>
      <c r="F124" s="51" t="s">
        <v>21</v>
      </c>
      <c r="G124" s="51" t="s">
        <v>21</v>
      </c>
      <c r="H124" s="51" t="s">
        <v>20</v>
      </c>
      <c r="I124" s="39" t="s">
        <v>20</v>
      </c>
      <c r="J124" s="39" t="s">
        <v>20</v>
      </c>
      <c r="K124" s="39" t="s">
        <v>20</v>
      </c>
      <c r="L124" s="51" t="s">
        <v>20</v>
      </c>
      <c r="M124" s="51" t="s">
        <v>20</v>
      </c>
      <c r="N124" s="51" t="s">
        <v>20</v>
      </c>
      <c r="O124" s="51" t="s">
        <v>21</v>
      </c>
      <c r="P124" s="51" t="s">
        <v>20</v>
      </c>
      <c r="Q124" s="51" t="s">
        <v>20</v>
      </c>
      <c r="R124" s="51" t="s">
        <v>21</v>
      </c>
      <c r="S124" s="51" t="s">
        <v>21</v>
      </c>
      <c r="T124" s="51" t="s">
        <v>19</v>
      </c>
      <c r="U124" s="54" t="s">
        <v>19</v>
      </c>
      <c r="V124" s="54" t="s">
        <v>19</v>
      </c>
      <c r="W124" s="54" t="s">
        <v>20</v>
      </c>
      <c r="X124" s="51" t="s">
        <v>21</v>
      </c>
      <c r="Y124" s="51" t="s">
        <v>20</v>
      </c>
      <c r="Z124" s="39" t="s">
        <v>20</v>
      </c>
      <c r="AA124" s="39" t="s">
        <v>20</v>
      </c>
      <c r="AB124" s="39" t="s">
        <v>20</v>
      </c>
      <c r="AC124" s="53" t="s">
        <v>21</v>
      </c>
      <c r="AD124" s="53" t="s">
        <v>20</v>
      </c>
      <c r="AE124" s="34">
        <f t="shared" si="1"/>
        <v>8</v>
      </c>
    </row>
    <row r="125" spans="1:31" ht="15.75" customHeight="1" x14ac:dyDescent="0.25">
      <c r="A125" s="20">
        <v>16</v>
      </c>
      <c r="B125" s="37" t="s">
        <v>111</v>
      </c>
      <c r="C125" s="20">
        <v>3</v>
      </c>
      <c r="D125" s="20" t="s">
        <v>20</v>
      </c>
      <c r="E125" s="51" t="s">
        <v>21</v>
      </c>
      <c r="F125" s="51" t="s">
        <v>21</v>
      </c>
      <c r="G125" s="51" t="s">
        <v>20</v>
      </c>
      <c r="H125" s="51" t="s">
        <v>20</v>
      </c>
      <c r="I125" s="39" t="s">
        <v>20</v>
      </c>
      <c r="J125" s="39" t="s">
        <v>20</v>
      </c>
      <c r="K125" s="39" t="s">
        <v>20</v>
      </c>
      <c r="L125" s="51" t="s">
        <v>20</v>
      </c>
      <c r="M125" s="51" t="s">
        <v>19</v>
      </c>
      <c r="N125" s="51" t="s">
        <v>20</v>
      </c>
      <c r="O125" s="51" t="s">
        <v>20</v>
      </c>
      <c r="P125" s="51" t="s">
        <v>19</v>
      </c>
      <c r="Q125" s="51" t="s">
        <v>20</v>
      </c>
      <c r="R125" s="51" t="s">
        <v>21</v>
      </c>
      <c r="S125" s="51" t="s">
        <v>20</v>
      </c>
      <c r="T125" s="51" t="s">
        <v>19</v>
      </c>
      <c r="U125" s="54" t="s">
        <v>20</v>
      </c>
      <c r="V125" s="54" t="s">
        <v>19</v>
      </c>
      <c r="W125" s="54" t="s">
        <v>20</v>
      </c>
      <c r="X125" s="51" t="s">
        <v>21</v>
      </c>
      <c r="Y125" s="51" t="s">
        <v>20</v>
      </c>
      <c r="Z125" s="39" t="s">
        <v>20</v>
      </c>
      <c r="AA125" s="39" t="s">
        <v>20</v>
      </c>
      <c r="AB125" s="39" t="s">
        <v>20</v>
      </c>
      <c r="AC125" s="53" t="s">
        <v>21</v>
      </c>
      <c r="AD125" s="53" t="s">
        <v>20</v>
      </c>
      <c r="AE125" s="34">
        <f t="shared" si="1"/>
        <v>5</v>
      </c>
    </row>
    <row r="126" spans="1:31" ht="15.75" customHeight="1" x14ac:dyDescent="0.25">
      <c r="A126" s="20">
        <v>17</v>
      </c>
      <c r="B126" s="37" t="s">
        <v>112</v>
      </c>
      <c r="C126" s="20">
        <v>3</v>
      </c>
      <c r="D126" s="20" t="s">
        <v>20</v>
      </c>
      <c r="E126" s="51" t="s">
        <v>20</v>
      </c>
      <c r="F126" s="51" t="s">
        <v>20</v>
      </c>
      <c r="G126" s="51" t="s">
        <v>20</v>
      </c>
      <c r="H126" s="51" t="s">
        <v>20</v>
      </c>
      <c r="I126" s="39" t="s">
        <v>20</v>
      </c>
      <c r="J126" s="39" t="s">
        <v>20</v>
      </c>
      <c r="K126" s="39" t="s">
        <v>20</v>
      </c>
      <c r="L126" s="51" t="s">
        <v>19</v>
      </c>
      <c r="M126" s="51" t="s">
        <v>19</v>
      </c>
      <c r="N126" s="51" t="s">
        <v>19</v>
      </c>
      <c r="O126" s="51" t="s">
        <v>20</v>
      </c>
      <c r="P126" s="51" t="s">
        <v>20</v>
      </c>
      <c r="Q126" s="51" t="s">
        <v>20</v>
      </c>
      <c r="R126" s="51" t="s">
        <v>19</v>
      </c>
      <c r="S126" s="51" t="s">
        <v>19</v>
      </c>
      <c r="T126" s="51" t="s">
        <v>19</v>
      </c>
      <c r="U126" s="54" t="s">
        <v>20</v>
      </c>
      <c r="V126" s="54" t="s">
        <v>19</v>
      </c>
      <c r="W126" s="54" t="s">
        <v>20</v>
      </c>
      <c r="X126" s="51" t="s">
        <v>19</v>
      </c>
      <c r="Y126" s="51" t="s">
        <v>19</v>
      </c>
      <c r="Z126" s="39" t="s">
        <v>20</v>
      </c>
      <c r="AA126" s="39" t="s">
        <v>19</v>
      </c>
      <c r="AB126" s="39" t="s">
        <v>20</v>
      </c>
      <c r="AC126" s="53" t="s">
        <v>19</v>
      </c>
      <c r="AD126" s="53" t="s">
        <v>20</v>
      </c>
      <c r="AE126" s="34">
        <f t="shared" si="1"/>
        <v>0</v>
      </c>
    </row>
    <row r="127" spans="1:31" ht="15.75" customHeight="1" x14ac:dyDescent="0.25">
      <c r="A127" s="20">
        <v>18</v>
      </c>
      <c r="B127" s="37" t="s">
        <v>113</v>
      </c>
      <c r="C127" s="20">
        <v>3</v>
      </c>
      <c r="D127" s="20" t="s">
        <v>20</v>
      </c>
      <c r="E127" s="51" t="s">
        <v>20</v>
      </c>
      <c r="F127" s="51" t="s">
        <v>20</v>
      </c>
      <c r="G127" s="51" t="s">
        <v>19</v>
      </c>
      <c r="H127" s="51" t="s">
        <v>20</v>
      </c>
      <c r="I127" s="39" t="s">
        <v>19</v>
      </c>
      <c r="J127" s="39" t="s">
        <v>19</v>
      </c>
      <c r="K127" s="39" t="s">
        <v>19</v>
      </c>
      <c r="L127" s="51" t="s">
        <v>20</v>
      </c>
      <c r="M127" s="51" t="s">
        <v>19</v>
      </c>
      <c r="N127" s="51" t="s">
        <v>20</v>
      </c>
      <c r="O127" s="51" t="s">
        <v>20</v>
      </c>
      <c r="P127" s="51" t="s">
        <v>20</v>
      </c>
      <c r="Q127" s="51" t="s">
        <v>19</v>
      </c>
      <c r="R127" s="51" t="s">
        <v>19</v>
      </c>
      <c r="S127" s="51" t="s">
        <v>19</v>
      </c>
      <c r="T127" s="51" t="s">
        <v>19</v>
      </c>
      <c r="U127" s="54" t="s">
        <v>19</v>
      </c>
      <c r="V127" s="54" t="s">
        <v>19</v>
      </c>
      <c r="W127" s="54" t="s">
        <v>19</v>
      </c>
      <c r="X127" s="51" t="s">
        <v>19</v>
      </c>
      <c r="Y127" s="51" t="s">
        <v>20</v>
      </c>
      <c r="Z127" s="39" t="s">
        <v>19</v>
      </c>
      <c r="AA127" s="39" t="s">
        <v>20</v>
      </c>
      <c r="AB127" s="39" t="s">
        <v>19</v>
      </c>
      <c r="AC127" s="53" t="s">
        <v>19</v>
      </c>
      <c r="AD127" s="53" t="s">
        <v>20</v>
      </c>
      <c r="AE127" s="34">
        <f t="shared" si="1"/>
        <v>0</v>
      </c>
    </row>
    <row r="128" spans="1:31" ht="15.75" customHeight="1" x14ac:dyDescent="0.25">
      <c r="A128" s="20">
        <v>19</v>
      </c>
      <c r="B128" s="37" t="s">
        <v>114</v>
      </c>
      <c r="C128" s="20">
        <v>3</v>
      </c>
      <c r="D128" s="20" t="s">
        <v>20</v>
      </c>
      <c r="E128" s="51" t="s">
        <v>20</v>
      </c>
      <c r="F128" s="51" t="s">
        <v>20</v>
      </c>
      <c r="G128" s="51" t="s">
        <v>20</v>
      </c>
      <c r="H128" s="51" t="s">
        <v>20</v>
      </c>
      <c r="I128" s="39" t="s">
        <v>20</v>
      </c>
      <c r="J128" s="39" t="s">
        <v>20</v>
      </c>
      <c r="K128" s="39" t="s">
        <v>20</v>
      </c>
      <c r="L128" s="51" t="s">
        <v>20</v>
      </c>
      <c r="M128" s="51" t="s">
        <v>19</v>
      </c>
      <c r="N128" s="51" t="s">
        <v>20</v>
      </c>
      <c r="O128" s="51" t="s">
        <v>20</v>
      </c>
      <c r="P128" s="51" t="s">
        <v>20</v>
      </c>
      <c r="Q128" s="51" t="s">
        <v>21</v>
      </c>
      <c r="R128" s="51" t="s">
        <v>20</v>
      </c>
      <c r="S128" s="51" t="s">
        <v>19</v>
      </c>
      <c r="T128" s="51" t="s">
        <v>20</v>
      </c>
      <c r="U128" s="54" t="s">
        <v>20</v>
      </c>
      <c r="V128" s="54" t="s">
        <v>19</v>
      </c>
      <c r="W128" s="54" t="s">
        <v>20</v>
      </c>
      <c r="X128" s="51" t="s">
        <v>19</v>
      </c>
      <c r="Y128" s="51" t="s">
        <v>19</v>
      </c>
      <c r="Z128" s="39" t="s">
        <v>20</v>
      </c>
      <c r="AA128" s="39" t="s">
        <v>20</v>
      </c>
      <c r="AB128" s="39" t="s">
        <v>21</v>
      </c>
      <c r="AC128" s="53" t="s">
        <v>19</v>
      </c>
      <c r="AD128" s="53" t="s">
        <v>20</v>
      </c>
      <c r="AE128" s="34">
        <f t="shared" si="1"/>
        <v>2</v>
      </c>
    </row>
    <row r="129" spans="1:31" ht="15.75" customHeight="1" x14ac:dyDescent="0.25">
      <c r="A129" s="20">
        <v>20</v>
      </c>
      <c r="B129" s="37" t="s">
        <v>115</v>
      </c>
      <c r="C129" s="20">
        <v>3</v>
      </c>
      <c r="D129" s="20" t="s">
        <v>20</v>
      </c>
      <c r="E129" s="51" t="s">
        <v>19</v>
      </c>
      <c r="F129" s="51" t="s">
        <v>19</v>
      </c>
      <c r="G129" s="51" t="s">
        <v>19</v>
      </c>
      <c r="H129" s="51" t="s">
        <v>19</v>
      </c>
      <c r="I129" s="39" t="s">
        <v>20</v>
      </c>
      <c r="J129" s="39" t="s">
        <v>20</v>
      </c>
      <c r="K129" s="39" t="s">
        <v>20</v>
      </c>
      <c r="L129" s="51" t="s">
        <v>19</v>
      </c>
      <c r="M129" s="51" t="s">
        <v>19</v>
      </c>
      <c r="N129" s="51" t="s">
        <v>19</v>
      </c>
      <c r="O129" s="51" t="s">
        <v>20</v>
      </c>
      <c r="P129" s="51" t="s">
        <v>19</v>
      </c>
      <c r="Q129" s="51" t="s">
        <v>20</v>
      </c>
      <c r="R129" s="51" t="s">
        <v>19</v>
      </c>
      <c r="S129" s="51" t="s">
        <v>19</v>
      </c>
      <c r="T129" s="51" t="s">
        <v>19</v>
      </c>
      <c r="U129" s="54" t="s">
        <v>20</v>
      </c>
      <c r="V129" s="54" t="s">
        <v>19</v>
      </c>
      <c r="W129" s="54" t="s">
        <v>20</v>
      </c>
      <c r="X129" s="51" t="s">
        <v>20</v>
      </c>
      <c r="Y129" s="51" t="s">
        <v>19</v>
      </c>
      <c r="Z129" s="39" t="s">
        <v>20</v>
      </c>
      <c r="AA129" s="39" t="s">
        <v>20</v>
      </c>
      <c r="AB129" s="39" t="s">
        <v>20</v>
      </c>
      <c r="AC129" s="53" t="s">
        <v>19</v>
      </c>
      <c r="AD129" s="53" t="s">
        <v>20</v>
      </c>
      <c r="AE129" s="34">
        <f t="shared" si="1"/>
        <v>0</v>
      </c>
    </row>
    <row r="130" spans="1:31" ht="15.75" customHeight="1" thickBot="1" x14ac:dyDescent="0.3">
      <c r="A130" s="21">
        <v>21</v>
      </c>
      <c r="B130" s="38" t="s">
        <v>116</v>
      </c>
      <c r="C130" s="21">
        <v>3</v>
      </c>
      <c r="D130" s="21" t="s">
        <v>20</v>
      </c>
      <c r="E130" s="87" t="s">
        <v>19</v>
      </c>
      <c r="F130" s="87" t="s">
        <v>19</v>
      </c>
      <c r="G130" s="87" t="s">
        <v>20</v>
      </c>
      <c r="H130" s="87" t="s">
        <v>19</v>
      </c>
      <c r="I130" s="41" t="s">
        <v>19</v>
      </c>
      <c r="J130" s="41" t="s">
        <v>19</v>
      </c>
      <c r="K130" s="41" t="s">
        <v>20</v>
      </c>
      <c r="L130" s="87" t="s">
        <v>20</v>
      </c>
      <c r="M130" s="87" t="s">
        <v>20</v>
      </c>
      <c r="N130" s="87" t="s">
        <v>20</v>
      </c>
      <c r="O130" s="87" t="s">
        <v>20</v>
      </c>
      <c r="P130" s="87" t="s">
        <v>20</v>
      </c>
      <c r="Q130" s="87" t="s">
        <v>20</v>
      </c>
      <c r="R130" s="87" t="s">
        <v>19</v>
      </c>
      <c r="S130" s="87" t="s">
        <v>19</v>
      </c>
      <c r="T130" s="87" t="s">
        <v>20</v>
      </c>
      <c r="U130" s="100" t="s">
        <v>20</v>
      </c>
      <c r="V130" s="100" t="s">
        <v>20</v>
      </c>
      <c r="W130" s="100" t="s">
        <v>20</v>
      </c>
      <c r="X130" s="87" t="s">
        <v>19</v>
      </c>
      <c r="Y130" s="87" t="s">
        <v>19</v>
      </c>
      <c r="Z130" s="41" t="s">
        <v>20</v>
      </c>
      <c r="AA130" s="41" t="s">
        <v>20</v>
      </c>
      <c r="AB130" s="41" t="s">
        <v>20</v>
      </c>
      <c r="AC130" s="96" t="s">
        <v>19</v>
      </c>
      <c r="AD130" s="96" t="s">
        <v>20</v>
      </c>
      <c r="AE130" s="34">
        <f t="shared" si="1"/>
        <v>0</v>
      </c>
    </row>
    <row r="131" spans="1:31" ht="15.75" customHeight="1" x14ac:dyDescent="0.25">
      <c r="A131" s="97">
        <v>1</v>
      </c>
      <c r="B131" s="98" t="s">
        <v>117</v>
      </c>
      <c r="C131" s="97">
        <v>4</v>
      </c>
      <c r="D131" s="97" t="s">
        <v>19</v>
      </c>
      <c r="E131" s="83" t="s">
        <v>19</v>
      </c>
      <c r="F131" s="83" t="s">
        <v>19</v>
      </c>
      <c r="G131" s="83" t="s">
        <v>19</v>
      </c>
      <c r="H131" s="83" t="s">
        <v>19</v>
      </c>
      <c r="I131" s="101" t="s">
        <v>19</v>
      </c>
      <c r="J131" s="101" t="s">
        <v>19</v>
      </c>
      <c r="K131" s="101" t="s">
        <v>20</v>
      </c>
      <c r="L131" s="83" t="s">
        <v>19</v>
      </c>
      <c r="M131" s="83" t="s">
        <v>19</v>
      </c>
      <c r="N131" s="83" t="s">
        <v>19</v>
      </c>
      <c r="O131" s="83" t="s">
        <v>19</v>
      </c>
      <c r="P131" s="83" t="s">
        <v>19</v>
      </c>
      <c r="Q131" s="83" t="s">
        <v>19</v>
      </c>
      <c r="R131" s="83" t="s">
        <v>19</v>
      </c>
      <c r="S131" s="83" t="s">
        <v>20</v>
      </c>
      <c r="T131" s="83" t="s">
        <v>20</v>
      </c>
      <c r="U131" s="99" t="s">
        <v>19</v>
      </c>
      <c r="V131" s="99" t="s">
        <v>19</v>
      </c>
      <c r="W131" s="99" t="s">
        <v>19</v>
      </c>
      <c r="X131" s="83" t="s">
        <v>19</v>
      </c>
      <c r="Y131" s="83" t="s">
        <v>19</v>
      </c>
      <c r="Z131" s="86" t="s">
        <v>20</v>
      </c>
      <c r="AA131" s="86" t="s">
        <v>19</v>
      </c>
      <c r="AB131" s="86" t="s">
        <v>20</v>
      </c>
      <c r="AC131" s="94" t="s">
        <v>20</v>
      </c>
      <c r="AD131" s="94" t="s">
        <v>20</v>
      </c>
      <c r="AE131" s="34">
        <f t="shared" si="1"/>
        <v>0</v>
      </c>
    </row>
    <row r="132" spans="1:31" ht="15.75" customHeight="1" x14ac:dyDescent="0.25">
      <c r="A132" s="89">
        <v>2</v>
      </c>
      <c r="B132" s="90" t="s">
        <v>118</v>
      </c>
      <c r="C132" s="89">
        <v>4</v>
      </c>
      <c r="D132" s="89" t="s">
        <v>19</v>
      </c>
      <c r="E132" s="51" t="s">
        <v>19</v>
      </c>
      <c r="F132" s="51" t="s">
        <v>19</v>
      </c>
      <c r="G132" s="51" t="s">
        <v>19</v>
      </c>
      <c r="H132" s="51" t="s">
        <v>19</v>
      </c>
      <c r="I132" s="75" t="s">
        <v>22</v>
      </c>
      <c r="J132" s="75" t="s">
        <v>19</v>
      </c>
      <c r="K132" s="75" t="s">
        <v>19</v>
      </c>
      <c r="L132" s="51" t="s">
        <v>20</v>
      </c>
      <c r="M132" s="51" t="s">
        <v>19</v>
      </c>
      <c r="N132" s="51" t="s">
        <v>19</v>
      </c>
      <c r="O132" s="51" t="s">
        <v>19</v>
      </c>
      <c r="P132" s="51" t="s">
        <v>19</v>
      </c>
      <c r="Q132" s="51" t="s">
        <v>19</v>
      </c>
      <c r="R132" s="51" t="s">
        <v>19</v>
      </c>
      <c r="S132" s="51" t="s">
        <v>19</v>
      </c>
      <c r="T132" s="51" t="s">
        <v>19</v>
      </c>
      <c r="U132" s="54" t="s">
        <v>19</v>
      </c>
      <c r="V132" s="54" t="s">
        <v>19</v>
      </c>
      <c r="W132" s="54" t="s">
        <v>19</v>
      </c>
      <c r="X132" s="51" t="s">
        <v>19</v>
      </c>
      <c r="Y132" s="51" t="s">
        <v>20</v>
      </c>
      <c r="Z132" s="39" t="s">
        <v>19</v>
      </c>
      <c r="AA132" s="39" t="s">
        <v>19</v>
      </c>
      <c r="AB132" s="39" t="s">
        <v>20</v>
      </c>
      <c r="AC132" s="53" t="s">
        <v>19</v>
      </c>
      <c r="AD132" s="53" t="s">
        <v>20</v>
      </c>
      <c r="AE132" s="34">
        <f t="shared" ref="AE132:AE195" si="2">+COUNTIF(E132:AD132,"C")</f>
        <v>0</v>
      </c>
    </row>
    <row r="133" spans="1:31" ht="15.75" customHeight="1" x14ac:dyDescent="0.25">
      <c r="A133" s="89">
        <v>3</v>
      </c>
      <c r="B133" s="90" t="s">
        <v>119</v>
      </c>
      <c r="C133" s="89">
        <v>4</v>
      </c>
      <c r="D133" s="89" t="s">
        <v>19</v>
      </c>
      <c r="E133" s="51" t="s">
        <v>21</v>
      </c>
      <c r="F133" s="51" t="s">
        <v>20</v>
      </c>
      <c r="G133" s="51" t="s">
        <v>21</v>
      </c>
      <c r="H133" s="51" t="s">
        <v>20</v>
      </c>
      <c r="I133" s="75" t="s">
        <v>20</v>
      </c>
      <c r="J133" s="75" t="s">
        <v>20</v>
      </c>
      <c r="K133" s="75" t="s">
        <v>20</v>
      </c>
      <c r="L133" s="51" t="s">
        <v>20</v>
      </c>
      <c r="M133" s="51" t="s">
        <v>19</v>
      </c>
      <c r="N133" s="51" t="s">
        <v>19</v>
      </c>
      <c r="O133" s="51" t="s">
        <v>20</v>
      </c>
      <c r="P133" s="51" t="s">
        <v>20</v>
      </c>
      <c r="Q133" s="51" t="s">
        <v>20</v>
      </c>
      <c r="R133" s="51" t="s">
        <v>19</v>
      </c>
      <c r="S133" s="51" t="s">
        <v>19</v>
      </c>
      <c r="T133" s="51" t="s">
        <v>20</v>
      </c>
      <c r="U133" s="54" t="s">
        <v>19</v>
      </c>
      <c r="V133" s="57" t="s">
        <v>20</v>
      </c>
      <c r="W133" s="54" t="s">
        <v>19</v>
      </c>
      <c r="X133" s="51" t="s">
        <v>20</v>
      </c>
      <c r="Y133" s="51" t="s">
        <v>21</v>
      </c>
      <c r="Z133" s="39" t="s">
        <v>20</v>
      </c>
      <c r="AA133" s="39" t="s">
        <v>20</v>
      </c>
      <c r="AB133" s="39" t="s">
        <v>20</v>
      </c>
      <c r="AC133" s="53" t="s">
        <v>20</v>
      </c>
      <c r="AD133" s="53" t="s">
        <v>20</v>
      </c>
      <c r="AE133" s="34">
        <f t="shared" si="2"/>
        <v>3</v>
      </c>
    </row>
    <row r="134" spans="1:31" ht="15.75" customHeight="1" x14ac:dyDescent="0.25">
      <c r="A134" s="89">
        <v>4</v>
      </c>
      <c r="B134" s="90" t="s">
        <v>120</v>
      </c>
      <c r="C134" s="89">
        <v>4</v>
      </c>
      <c r="D134" s="89" t="s">
        <v>19</v>
      </c>
      <c r="E134" s="51" t="s">
        <v>20</v>
      </c>
      <c r="F134" s="51" t="s">
        <v>19</v>
      </c>
      <c r="G134" s="51" t="s">
        <v>20</v>
      </c>
      <c r="H134" s="51" t="s">
        <v>19</v>
      </c>
      <c r="I134" s="75" t="s">
        <v>19</v>
      </c>
      <c r="J134" s="75" t="s">
        <v>19</v>
      </c>
      <c r="K134" s="75" t="s">
        <v>20</v>
      </c>
      <c r="L134" s="51" t="s">
        <v>19</v>
      </c>
      <c r="M134" s="51" t="s">
        <v>19</v>
      </c>
      <c r="N134" s="51" t="s">
        <v>19</v>
      </c>
      <c r="O134" s="51" t="s">
        <v>20</v>
      </c>
      <c r="P134" s="51" t="s">
        <v>20</v>
      </c>
      <c r="Q134" s="51" t="s">
        <v>20</v>
      </c>
      <c r="R134" s="51" t="s">
        <v>19</v>
      </c>
      <c r="S134" s="51" t="s">
        <v>19</v>
      </c>
      <c r="T134" s="51" t="s">
        <v>20</v>
      </c>
      <c r="U134" s="54" t="s">
        <v>19</v>
      </c>
      <c r="V134" s="54" t="s">
        <v>19</v>
      </c>
      <c r="W134" s="54" t="s">
        <v>19</v>
      </c>
      <c r="X134" s="51" t="s">
        <v>19</v>
      </c>
      <c r="Y134" s="51" t="s">
        <v>19</v>
      </c>
      <c r="Z134" s="39" t="s">
        <v>20</v>
      </c>
      <c r="AA134" s="39" t="s">
        <v>20</v>
      </c>
      <c r="AB134" s="39" t="s">
        <v>19</v>
      </c>
      <c r="AC134" s="58" t="s">
        <v>19</v>
      </c>
      <c r="AD134" s="58" t="s">
        <v>20</v>
      </c>
      <c r="AE134" s="34">
        <f t="shared" si="2"/>
        <v>0</v>
      </c>
    </row>
    <row r="135" spans="1:31" ht="15.75" customHeight="1" x14ac:dyDescent="0.25">
      <c r="A135" s="89">
        <v>5</v>
      </c>
      <c r="B135" s="90" t="s">
        <v>256</v>
      </c>
      <c r="C135" s="89">
        <v>4</v>
      </c>
      <c r="D135" s="89" t="s">
        <v>19</v>
      </c>
      <c r="E135" s="51" t="s">
        <v>19</v>
      </c>
      <c r="F135" s="51" t="s">
        <v>20</v>
      </c>
      <c r="G135" s="51" t="s">
        <v>20</v>
      </c>
      <c r="H135" s="51" t="s">
        <v>19</v>
      </c>
      <c r="I135" s="75" t="s">
        <v>19</v>
      </c>
      <c r="J135" s="75" t="s">
        <v>19</v>
      </c>
      <c r="K135" s="75" t="s">
        <v>20</v>
      </c>
      <c r="L135" s="51" t="s">
        <v>20</v>
      </c>
      <c r="M135" s="51" t="s">
        <v>19</v>
      </c>
      <c r="N135" s="51" t="s">
        <v>19</v>
      </c>
      <c r="O135" s="51" t="s">
        <v>19</v>
      </c>
      <c r="P135" s="51" t="s">
        <v>19</v>
      </c>
      <c r="Q135" s="51" t="s">
        <v>19</v>
      </c>
      <c r="R135" s="51" t="s">
        <v>19</v>
      </c>
      <c r="S135" s="51" t="s">
        <v>19</v>
      </c>
      <c r="T135" s="51" t="s">
        <v>20</v>
      </c>
      <c r="U135" s="54" t="s">
        <v>19</v>
      </c>
      <c r="V135" s="54" t="s">
        <v>19</v>
      </c>
      <c r="W135" s="54" t="s">
        <v>19</v>
      </c>
      <c r="X135" s="51" t="s">
        <v>19</v>
      </c>
      <c r="Y135" s="51" t="s">
        <v>20</v>
      </c>
      <c r="Z135" s="39" t="s">
        <v>20</v>
      </c>
      <c r="AA135" s="39" t="s">
        <v>19</v>
      </c>
      <c r="AB135" s="39" t="s">
        <v>19</v>
      </c>
      <c r="AC135" s="53" t="s">
        <v>21</v>
      </c>
      <c r="AD135" s="53" t="s">
        <v>20</v>
      </c>
      <c r="AE135" s="34">
        <f t="shared" si="2"/>
        <v>1</v>
      </c>
    </row>
    <row r="136" spans="1:31" ht="15.75" customHeight="1" x14ac:dyDescent="0.25">
      <c r="A136" s="89">
        <v>6</v>
      </c>
      <c r="B136" s="90" t="s">
        <v>257</v>
      </c>
      <c r="C136" s="89">
        <v>4</v>
      </c>
      <c r="D136" s="89" t="s">
        <v>19</v>
      </c>
      <c r="E136" s="51" t="s">
        <v>19</v>
      </c>
      <c r="F136" s="51" t="s">
        <v>20</v>
      </c>
      <c r="G136" s="51" t="s">
        <v>20</v>
      </c>
      <c r="H136" s="51" t="s">
        <v>19</v>
      </c>
      <c r="I136" s="75" t="s">
        <v>19</v>
      </c>
      <c r="J136" s="75" t="s">
        <v>19</v>
      </c>
      <c r="K136" s="75" t="s">
        <v>19</v>
      </c>
      <c r="L136" s="51" t="s">
        <v>19</v>
      </c>
      <c r="M136" s="51" t="s">
        <v>19</v>
      </c>
      <c r="N136" s="51" t="s">
        <v>19</v>
      </c>
      <c r="O136" s="51" t="s">
        <v>19</v>
      </c>
      <c r="P136" s="51" t="s">
        <v>20</v>
      </c>
      <c r="Q136" s="51" t="s">
        <v>19</v>
      </c>
      <c r="R136" s="51" t="s">
        <v>19</v>
      </c>
      <c r="S136" s="51" t="s">
        <v>19</v>
      </c>
      <c r="T136" s="51" t="s">
        <v>19</v>
      </c>
      <c r="U136" s="54" t="s">
        <v>19</v>
      </c>
      <c r="V136" s="54" t="s">
        <v>19</v>
      </c>
      <c r="W136" s="54" t="s">
        <v>19</v>
      </c>
      <c r="X136" s="51" t="s">
        <v>19</v>
      </c>
      <c r="Y136" s="51" t="s">
        <v>19</v>
      </c>
      <c r="Z136" s="39" t="s">
        <v>19</v>
      </c>
      <c r="AA136" s="39" t="s">
        <v>19</v>
      </c>
      <c r="AB136" s="39" t="s">
        <v>19</v>
      </c>
      <c r="AC136" s="53" t="s">
        <v>19</v>
      </c>
      <c r="AD136" s="53" t="s">
        <v>20</v>
      </c>
      <c r="AE136" s="34">
        <f t="shared" si="2"/>
        <v>0</v>
      </c>
    </row>
    <row r="137" spans="1:31" ht="15.75" customHeight="1" x14ac:dyDescent="0.25">
      <c r="A137" s="89">
        <v>7</v>
      </c>
      <c r="B137" s="90" t="s">
        <v>121</v>
      </c>
      <c r="C137" s="89">
        <v>4</v>
      </c>
      <c r="D137" s="89" t="s">
        <v>19</v>
      </c>
      <c r="E137" s="51" t="s">
        <v>20</v>
      </c>
      <c r="F137" s="51" t="s">
        <v>20</v>
      </c>
      <c r="G137" s="51" t="s">
        <v>21</v>
      </c>
      <c r="H137" s="51" t="s">
        <v>21</v>
      </c>
      <c r="I137" s="75" t="s">
        <v>19</v>
      </c>
      <c r="J137" s="75" t="s">
        <v>19</v>
      </c>
      <c r="K137" s="75" t="s">
        <v>19</v>
      </c>
      <c r="L137" s="51" t="s">
        <v>19</v>
      </c>
      <c r="M137" s="51" t="s">
        <v>20</v>
      </c>
      <c r="N137" s="51" t="s">
        <v>20</v>
      </c>
      <c r="O137" s="51" t="s">
        <v>21</v>
      </c>
      <c r="P137" s="51" t="s">
        <v>20</v>
      </c>
      <c r="Q137" s="51" t="s">
        <v>21</v>
      </c>
      <c r="R137" s="51" t="s">
        <v>20</v>
      </c>
      <c r="S137" s="51" t="s">
        <v>19</v>
      </c>
      <c r="T137" s="51" t="s">
        <v>20</v>
      </c>
      <c r="U137" s="54" t="s">
        <v>19</v>
      </c>
      <c r="V137" s="54" t="s">
        <v>20</v>
      </c>
      <c r="W137" s="54" t="s">
        <v>19</v>
      </c>
      <c r="X137" s="51" t="s">
        <v>20</v>
      </c>
      <c r="Y137" s="51" t="s">
        <v>19</v>
      </c>
      <c r="Z137" s="39" t="s">
        <v>20</v>
      </c>
      <c r="AA137" s="39" t="s">
        <v>20</v>
      </c>
      <c r="AB137" s="39" t="s">
        <v>20</v>
      </c>
      <c r="AC137" s="53" t="s">
        <v>59</v>
      </c>
      <c r="AD137" s="53" t="s">
        <v>59</v>
      </c>
      <c r="AE137" s="34">
        <f t="shared" si="2"/>
        <v>4</v>
      </c>
    </row>
    <row r="138" spans="1:31" ht="15.75" customHeight="1" x14ac:dyDescent="0.25">
      <c r="A138" s="89">
        <v>8</v>
      </c>
      <c r="B138" s="90" t="s">
        <v>122</v>
      </c>
      <c r="C138" s="89">
        <v>4</v>
      </c>
      <c r="D138" s="89" t="s">
        <v>19</v>
      </c>
      <c r="E138" s="51" t="s">
        <v>19</v>
      </c>
      <c r="F138" s="51" t="s">
        <v>19</v>
      </c>
      <c r="G138" s="51" t="s">
        <v>19</v>
      </c>
      <c r="H138" s="51" t="s">
        <v>19</v>
      </c>
      <c r="I138" s="75" t="s">
        <v>22</v>
      </c>
      <c r="J138" s="75" t="s">
        <v>19</v>
      </c>
      <c r="K138" s="75" t="s">
        <v>19</v>
      </c>
      <c r="L138" s="51" t="s">
        <v>19</v>
      </c>
      <c r="M138" s="51" t="s">
        <v>19</v>
      </c>
      <c r="N138" s="51" t="s">
        <v>19</v>
      </c>
      <c r="O138" s="51" t="s">
        <v>19</v>
      </c>
      <c r="P138" s="51" t="s">
        <v>19</v>
      </c>
      <c r="Q138" s="51" t="s">
        <v>19</v>
      </c>
      <c r="R138" s="51" t="s">
        <v>19</v>
      </c>
      <c r="S138" s="51" t="s">
        <v>19</v>
      </c>
      <c r="T138" s="51" t="s">
        <v>20</v>
      </c>
      <c r="U138" s="54" t="s">
        <v>19</v>
      </c>
      <c r="V138" s="54" t="s">
        <v>19</v>
      </c>
      <c r="W138" s="54" t="s">
        <v>19</v>
      </c>
      <c r="X138" s="51" t="s">
        <v>19</v>
      </c>
      <c r="Y138" s="51" t="s">
        <v>19</v>
      </c>
      <c r="Z138" s="39" t="s">
        <v>19</v>
      </c>
      <c r="AA138" s="39" t="s">
        <v>19</v>
      </c>
      <c r="AB138" s="39" t="s">
        <v>19</v>
      </c>
      <c r="AC138" s="53" t="s">
        <v>19</v>
      </c>
      <c r="AD138" s="53" t="s">
        <v>20</v>
      </c>
      <c r="AE138" s="34">
        <f t="shared" si="2"/>
        <v>0</v>
      </c>
    </row>
    <row r="139" spans="1:31" ht="15.75" customHeight="1" x14ac:dyDescent="0.25">
      <c r="A139" s="89">
        <v>9</v>
      </c>
      <c r="B139" s="90" t="s">
        <v>123</v>
      </c>
      <c r="C139" s="89">
        <v>4</v>
      </c>
      <c r="D139" s="89" t="s">
        <v>19</v>
      </c>
      <c r="E139" s="51" t="s">
        <v>21</v>
      </c>
      <c r="F139" s="51" t="s">
        <v>20</v>
      </c>
      <c r="G139" s="51" t="s">
        <v>20</v>
      </c>
      <c r="H139" s="51" t="s">
        <v>20</v>
      </c>
      <c r="I139" s="75" t="s">
        <v>19</v>
      </c>
      <c r="J139" s="75" t="s">
        <v>19</v>
      </c>
      <c r="K139" s="75" t="s">
        <v>20</v>
      </c>
      <c r="L139" s="51" t="s">
        <v>19</v>
      </c>
      <c r="M139" s="51" t="s">
        <v>19</v>
      </c>
      <c r="N139" s="51" t="s">
        <v>19</v>
      </c>
      <c r="O139" s="51" t="s">
        <v>19</v>
      </c>
      <c r="P139" s="51" t="s">
        <v>19</v>
      </c>
      <c r="Q139" s="51" t="s">
        <v>19</v>
      </c>
      <c r="R139" s="51" t="s">
        <v>19</v>
      </c>
      <c r="S139" s="51" t="s">
        <v>19</v>
      </c>
      <c r="T139" s="51" t="s">
        <v>20</v>
      </c>
      <c r="U139" s="54" t="s">
        <v>19</v>
      </c>
      <c r="V139" s="54" t="s">
        <v>19</v>
      </c>
      <c r="W139" s="54" t="s">
        <v>19</v>
      </c>
      <c r="X139" s="51" t="s">
        <v>19</v>
      </c>
      <c r="Y139" s="51" t="s">
        <v>20</v>
      </c>
      <c r="Z139" s="39" t="s">
        <v>20</v>
      </c>
      <c r="AA139" s="39" t="s">
        <v>20</v>
      </c>
      <c r="AB139" s="39" t="s">
        <v>21</v>
      </c>
      <c r="AC139" s="51" t="s">
        <v>19</v>
      </c>
      <c r="AD139" s="51" t="s">
        <v>20</v>
      </c>
      <c r="AE139" s="34">
        <f t="shared" si="2"/>
        <v>2</v>
      </c>
    </row>
    <row r="140" spans="1:31" ht="15.75" customHeight="1" x14ac:dyDescent="0.25">
      <c r="A140" s="89">
        <v>10</v>
      </c>
      <c r="B140" s="90" t="s">
        <v>124</v>
      </c>
      <c r="C140" s="89">
        <v>4</v>
      </c>
      <c r="D140" s="89" t="s">
        <v>19</v>
      </c>
      <c r="E140" s="51" t="s">
        <v>20</v>
      </c>
      <c r="F140" s="51" t="s">
        <v>21</v>
      </c>
      <c r="G140" s="51" t="s">
        <v>20</v>
      </c>
      <c r="H140" s="51" t="s">
        <v>21</v>
      </c>
      <c r="I140" s="75" t="s">
        <v>19</v>
      </c>
      <c r="J140" s="75" t="s">
        <v>20</v>
      </c>
      <c r="K140" s="75" t="s">
        <v>20</v>
      </c>
      <c r="L140" s="51" t="s">
        <v>20</v>
      </c>
      <c r="M140" s="51" t="s">
        <v>20</v>
      </c>
      <c r="N140" s="51" t="s">
        <v>19</v>
      </c>
      <c r="O140" s="51" t="s">
        <v>20</v>
      </c>
      <c r="P140" s="51" t="s">
        <v>20</v>
      </c>
      <c r="Q140" s="51" t="s">
        <v>20</v>
      </c>
      <c r="R140" s="51" t="s">
        <v>20</v>
      </c>
      <c r="S140" s="51" t="s">
        <v>19</v>
      </c>
      <c r="T140" s="51" t="s">
        <v>19</v>
      </c>
      <c r="U140" s="54" t="s">
        <v>19</v>
      </c>
      <c r="V140" s="54" t="s">
        <v>19</v>
      </c>
      <c r="W140" s="54" t="s">
        <v>19</v>
      </c>
      <c r="X140" s="51" t="s">
        <v>19</v>
      </c>
      <c r="Y140" s="51" t="s">
        <v>20</v>
      </c>
      <c r="Z140" s="39" t="s">
        <v>19</v>
      </c>
      <c r="AA140" s="39" t="s">
        <v>19</v>
      </c>
      <c r="AB140" s="39" t="s">
        <v>19</v>
      </c>
      <c r="AC140" s="51" t="s">
        <v>21</v>
      </c>
      <c r="AD140" s="51" t="s">
        <v>20</v>
      </c>
      <c r="AE140" s="34">
        <f t="shared" si="2"/>
        <v>3</v>
      </c>
    </row>
    <row r="141" spans="1:31" ht="15.75" customHeight="1" x14ac:dyDescent="0.25">
      <c r="A141" s="89">
        <v>11</v>
      </c>
      <c r="B141" s="90" t="s">
        <v>125</v>
      </c>
      <c r="C141" s="89">
        <v>4</v>
      </c>
      <c r="D141" s="89" t="s">
        <v>19</v>
      </c>
      <c r="E141" s="51" t="s">
        <v>21</v>
      </c>
      <c r="F141" s="51" t="s">
        <v>21</v>
      </c>
      <c r="G141" s="51" t="s">
        <v>21</v>
      </c>
      <c r="H141" s="51" t="s">
        <v>20</v>
      </c>
      <c r="I141" s="75" t="s">
        <v>19</v>
      </c>
      <c r="J141" s="75" t="s">
        <v>20</v>
      </c>
      <c r="K141" s="75" t="s">
        <v>20</v>
      </c>
      <c r="L141" s="51" t="s">
        <v>20</v>
      </c>
      <c r="M141" s="51" t="s">
        <v>20</v>
      </c>
      <c r="N141" s="51" t="s">
        <v>20</v>
      </c>
      <c r="O141" s="51" t="s">
        <v>20</v>
      </c>
      <c r="P141" s="51" t="s">
        <v>20</v>
      </c>
      <c r="Q141" s="51" t="s">
        <v>20</v>
      </c>
      <c r="R141" s="51" t="s">
        <v>19</v>
      </c>
      <c r="S141" s="51" t="s">
        <v>20</v>
      </c>
      <c r="T141" s="51" t="s">
        <v>19</v>
      </c>
      <c r="U141" s="54" t="s">
        <v>19</v>
      </c>
      <c r="V141" s="54" t="s">
        <v>19</v>
      </c>
      <c r="W141" s="54" t="s">
        <v>19</v>
      </c>
      <c r="X141" s="51" t="s">
        <v>20</v>
      </c>
      <c r="Y141" s="51" t="s">
        <v>20</v>
      </c>
      <c r="Z141" s="39" t="s">
        <v>20</v>
      </c>
      <c r="AA141" s="39" t="s">
        <v>20</v>
      </c>
      <c r="AB141" s="39" t="s">
        <v>21</v>
      </c>
      <c r="AC141" s="51" t="s">
        <v>21</v>
      </c>
      <c r="AD141" s="51" t="s">
        <v>20</v>
      </c>
      <c r="AE141" s="34">
        <f t="shared" si="2"/>
        <v>5</v>
      </c>
    </row>
    <row r="142" spans="1:31" ht="15.75" customHeight="1" x14ac:dyDescent="0.25">
      <c r="A142" s="89">
        <v>12</v>
      </c>
      <c r="B142" s="90" t="s">
        <v>258</v>
      </c>
      <c r="C142" s="89">
        <v>4</v>
      </c>
      <c r="D142" s="89" t="s">
        <v>19</v>
      </c>
      <c r="E142" s="51" t="s">
        <v>21</v>
      </c>
      <c r="F142" s="51" t="s">
        <v>21</v>
      </c>
      <c r="G142" s="51" t="s">
        <v>21</v>
      </c>
      <c r="H142" s="51" t="s">
        <v>20</v>
      </c>
      <c r="I142" s="75" t="s">
        <v>20</v>
      </c>
      <c r="J142" s="75" t="s">
        <v>20</v>
      </c>
      <c r="K142" s="75" t="s">
        <v>20</v>
      </c>
      <c r="L142" s="51" t="s">
        <v>20</v>
      </c>
      <c r="M142" s="51" t="s">
        <v>19</v>
      </c>
      <c r="N142" s="51" t="s">
        <v>20</v>
      </c>
      <c r="O142" s="51" t="s">
        <v>20</v>
      </c>
      <c r="P142" s="51" t="s">
        <v>20</v>
      </c>
      <c r="Q142" s="51" t="s">
        <v>20</v>
      </c>
      <c r="R142" s="51" t="s">
        <v>20</v>
      </c>
      <c r="S142" s="51" t="s">
        <v>20</v>
      </c>
      <c r="T142" s="51" t="s">
        <v>20</v>
      </c>
      <c r="U142" s="54" t="s">
        <v>19</v>
      </c>
      <c r="V142" s="54" t="s">
        <v>19</v>
      </c>
      <c r="W142" s="54" t="s">
        <v>20</v>
      </c>
      <c r="X142" s="51" t="s">
        <v>20</v>
      </c>
      <c r="Y142" s="51" t="s">
        <v>20</v>
      </c>
      <c r="Z142" s="39" t="s">
        <v>20</v>
      </c>
      <c r="AA142" s="39" t="s">
        <v>20</v>
      </c>
      <c r="AB142" s="39" t="s">
        <v>21</v>
      </c>
      <c r="AC142" s="51" t="s">
        <v>21</v>
      </c>
      <c r="AD142" s="51" t="s">
        <v>20</v>
      </c>
      <c r="AE142" s="34">
        <f t="shared" si="2"/>
        <v>5</v>
      </c>
    </row>
    <row r="143" spans="1:31" ht="15.75" customHeight="1" x14ac:dyDescent="0.25">
      <c r="A143" s="89">
        <v>13</v>
      </c>
      <c r="B143" s="90" t="s">
        <v>126</v>
      </c>
      <c r="C143" s="89">
        <v>4</v>
      </c>
      <c r="D143" s="89" t="s">
        <v>19</v>
      </c>
      <c r="E143" s="51" t="s">
        <v>20</v>
      </c>
      <c r="F143" s="51" t="s">
        <v>20</v>
      </c>
      <c r="G143" s="51" t="s">
        <v>20</v>
      </c>
      <c r="H143" s="51" t="s">
        <v>20</v>
      </c>
      <c r="I143" s="75" t="s">
        <v>20</v>
      </c>
      <c r="J143" s="75" t="s">
        <v>20</v>
      </c>
      <c r="K143" s="75" t="s">
        <v>20</v>
      </c>
      <c r="L143" s="51" t="s">
        <v>21</v>
      </c>
      <c r="M143" s="51" t="s">
        <v>21</v>
      </c>
      <c r="N143" s="51" t="s">
        <v>20</v>
      </c>
      <c r="O143" s="51" t="s">
        <v>19</v>
      </c>
      <c r="P143" s="51" t="s">
        <v>20</v>
      </c>
      <c r="Q143" s="51" t="s">
        <v>20</v>
      </c>
      <c r="R143" s="51" t="s">
        <v>19</v>
      </c>
      <c r="S143" s="51" t="s">
        <v>20</v>
      </c>
      <c r="T143" s="51" t="s">
        <v>19</v>
      </c>
      <c r="U143" s="54" t="s">
        <v>20</v>
      </c>
      <c r="V143" s="54" t="s">
        <v>20</v>
      </c>
      <c r="W143" s="54" t="s">
        <v>20</v>
      </c>
      <c r="X143" s="51" t="s">
        <v>20</v>
      </c>
      <c r="Y143" s="51" t="s">
        <v>20</v>
      </c>
      <c r="Z143" s="39" t="s">
        <v>20</v>
      </c>
      <c r="AA143" s="39" t="s">
        <v>20</v>
      </c>
      <c r="AB143" s="39" t="s">
        <v>21</v>
      </c>
      <c r="AC143" s="51" t="s">
        <v>21</v>
      </c>
      <c r="AD143" s="51" t="s">
        <v>20</v>
      </c>
      <c r="AE143" s="34">
        <f t="shared" si="2"/>
        <v>4</v>
      </c>
    </row>
    <row r="144" spans="1:31" ht="15.75" customHeight="1" x14ac:dyDescent="0.25">
      <c r="A144" s="89">
        <v>14</v>
      </c>
      <c r="B144" s="90" t="s">
        <v>127</v>
      </c>
      <c r="C144" s="89">
        <v>4</v>
      </c>
      <c r="D144" s="89" t="s">
        <v>19</v>
      </c>
      <c r="E144" s="51" t="s">
        <v>19</v>
      </c>
      <c r="F144" s="51" t="s">
        <v>19</v>
      </c>
      <c r="G144" s="51" t="s">
        <v>19</v>
      </c>
      <c r="H144" s="51" t="s">
        <v>19</v>
      </c>
      <c r="I144" s="75" t="s">
        <v>19</v>
      </c>
      <c r="J144" s="75" t="s">
        <v>19</v>
      </c>
      <c r="K144" s="75" t="s">
        <v>19</v>
      </c>
      <c r="L144" s="51" t="s">
        <v>19</v>
      </c>
      <c r="M144" s="51" t="s">
        <v>19</v>
      </c>
      <c r="N144" s="51" t="s">
        <v>19</v>
      </c>
      <c r="O144" s="51" t="s">
        <v>19</v>
      </c>
      <c r="P144" s="51" t="s">
        <v>19</v>
      </c>
      <c r="Q144" s="51" t="s">
        <v>20</v>
      </c>
      <c r="R144" s="51" t="s">
        <v>20</v>
      </c>
      <c r="S144" s="51" t="s">
        <v>19</v>
      </c>
      <c r="T144" s="51" t="s">
        <v>20</v>
      </c>
      <c r="U144" s="54" t="s">
        <v>19</v>
      </c>
      <c r="V144" s="54" t="s">
        <v>19</v>
      </c>
      <c r="W144" s="54" t="s">
        <v>19</v>
      </c>
      <c r="X144" s="51" t="s">
        <v>19</v>
      </c>
      <c r="Y144" s="51" t="s">
        <v>19</v>
      </c>
      <c r="Z144" s="39" t="s">
        <v>20</v>
      </c>
      <c r="AA144" s="39" t="s">
        <v>19</v>
      </c>
      <c r="AB144" s="39" t="s">
        <v>19</v>
      </c>
      <c r="AC144" s="51" t="s">
        <v>19</v>
      </c>
      <c r="AD144" s="51" t="s">
        <v>20</v>
      </c>
      <c r="AE144" s="34">
        <f t="shared" si="2"/>
        <v>0</v>
      </c>
    </row>
    <row r="145" spans="1:31" ht="15.75" customHeight="1" x14ac:dyDescent="0.25">
      <c r="A145" s="89">
        <v>15</v>
      </c>
      <c r="B145" s="90" t="s">
        <v>128</v>
      </c>
      <c r="C145" s="89">
        <v>4</v>
      </c>
      <c r="D145" s="89" t="s">
        <v>19</v>
      </c>
      <c r="E145" s="51" t="s">
        <v>19</v>
      </c>
      <c r="F145" s="51" t="s">
        <v>20</v>
      </c>
      <c r="G145" s="51" t="s">
        <v>20</v>
      </c>
      <c r="H145" s="51" t="s">
        <v>19</v>
      </c>
      <c r="I145" s="75" t="s">
        <v>19</v>
      </c>
      <c r="J145" s="75" t="s">
        <v>19</v>
      </c>
      <c r="K145" s="75" t="s">
        <v>19</v>
      </c>
      <c r="L145" s="51" t="s">
        <v>20</v>
      </c>
      <c r="M145" s="51" t="s">
        <v>19</v>
      </c>
      <c r="N145" s="51" t="s">
        <v>19</v>
      </c>
      <c r="O145" s="51" t="s">
        <v>19</v>
      </c>
      <c r="P145" s="51" t="s">
        <v>19</v>
      </c>
      <c r="Q145" s="51" t="s">
        <v>19</v>
      </c>
      <c r="R145" s="51" t="s">
        <v>19</v>
      </c>
      <c r="S145" s="51" t="s">
        <v>19</v>
      </c>
      <c r="T145" s="51" t="s">
        <v>20</v>
      </c>
      <c r="U145" s="54" t="s">
        <v>19</v>
      </c>
      <c r="V145" s="54" t="s">
        <v>19</v>
      </c>
      <c r="W145" s="54" t="s">
        <v>19</v>
      </c>
      <c r="X145" s="51" t="s">
        <v>19</v>
      </c>
      <c r="Y145" s="51" t="s">
        <v>20</v>
      </c>
      <c r="Z145" s="39" t="s">
        <v>20</v>
      </c>
      <c r="AA145" s="39" t="s">
        <v>19</v>
      </c>
      <c r="AB145" s="39" t="s">
        <v>19</v>
      </c>
      <c r="AC145" s="51" t="s">
        <v>19</v>
      </c>
      <c r="AD145" s="51" t="s">
        <v>20</v>
      </c>
      <c r="AE145" s="34">
        <f t="shared" si="2"/>
        <v>0</v>
      </c>
    </row>
    <row r="146" spans="1:31" ht="15.75" customHeight="1" x14ac:dyDescent="0.25">
      <c r="A146" s="89">
        <v>16</v>
      </c>
      <c r="B146" s="90" t="s">
        <v>151</v>
      </c>
      <c r="C146" s="89">
        <v>4</v>
      </c>
      <c r="D146" s="89" t="s">
        <v>19</v>
      </c>
      <c r="E146" s="51" t="s">
        <v>21</v>
      </c>
      <c r="F146" s="51" t="s">
        <v>21</v>
      </c>
      <c r="G146" s="51" t="s">
        <v>21</v>
      </c>
      <c r="H146" s="51" t="s">
        <v>20</v>
      </c>
      <c r="I146" s="75" t="s">
        <v>20</v>
      </c>
      <c r="J146" s="75" t="s">
        <v>20</v>
      </c>
      <c r="K146" s="75" t="s">
        <v>20</v>
      </c>
      <c r="L146" s="51" t="s">
        <v>20</v>
      </c>
      <c r="M146" s="51" t="s">
        <v>19</v>
      </c>
      <c r="N146" s="51" t="s">
        <v>20</v>
      </c>
      <c r="O146" s="51" t="s">
        <v>19</v>
      </c>
      <c r="P146" s="51" t="s">
        <v>19</v>
      </c>
      <c r="Q146" s="51" t="s">
        <v>19</v>
      </c>
      <c r="R146" s="51" t="s">
        <v>20</v>
      </c>
      <c r="S146" s="51" t="s">
        <v>20</v>
      </c>
      <c r="T146" s="51" t="s">
        <v>20</v>
      </c>
      <c r="U146" s="54" t="s">
        <v>19</v>
      </c>
      <c r="V146" s="54" t="s">
        <v>19</v>
      </c>
      <c r="W146" s="54" t="s">
        <v>19</v>
      </c>
      <c r="X146" s="51" t="s">
        <v>20</v>
      </c>
      <c r="Y146" s="51" t="s">
        <v>20</v>
      </c>
      <c r="Z146" s="39" t="s">
        <v>20</v>
      </c>
      <c r="AA146" s="39" t="s">
        <v>20</v>
      </c>
      <c r="AB146" s="39" t="s">
        <v>20</v>
      </c>
      <c r="AC146" s="51" t="s">
        <v>21</v>
      </c>
      <c r="AD146" s="51" t="s">
        <v>20</v>
      </c>
      <c r="AE146" s="34">
        <f t="shared" si="2"/>
        <v>4</v>
      </c>
    </row>
    <row r="147" spans="1:31" ht="15.75" customHeight="1" x14ac:dyDescent="0.25">
      <c r="A147" s="89">
        <v>17</v>
      </c>
      <c r="B147" s="90" t="s">
        <v>129</v>
      </c>
      <c r="C147" s="89">
        <v>4</v>
      </c>
      <c r="D147" s="89" t="s">
        <v>19</v>
      </c>
      <c r="E147" s="51" t="s">
        <v>21</v>
      </c>
      <c r="F147" s="51" t="s">
        <v>20</v>
      </c>
      <c r="G147" s="51" t="s">
        <v>20</v>
      </c>
      <c r="H147" s="51" t="s">
        <v>20</v>
      </c>
      <c r="I147" s="75" t="s">
        <v>19</v>
      </c>
      <c r="J147" s="75" t="s">
        <v>19</v>
      </c>
      <c r="K147" s="75" t="s">
        <v>20</v>
      </c>
      <c r="L147" s="51" t="s">
        <v>20</v>
      </c>
      <c r="M147" s="51" t="s">
        <v>20</v>
      </c>
      <c r="N147" s="51" t="s">
        <v>19</v>
      </c>
      <c r="O147" s="51" t="s">
        <v>20</v>
      </c>
      <c r="P147" s="51" t="s">
        <v>20</v>
      </c>
      <c r="Q147" s="51" t="s">
        <v>20</v>
      </c>
      <c r="R147" s="51" t="s">
        <v>19</v>
      </c>
      <c r="S147" s="51" t="s">
        <v>19</v>
      </c>
      <c r="T147" s="51" t="s">
        <v>20</v>
      </c>
      <c r="U147" s="54" t="s">
        <v>20</v>
      </c>
      <c r="V147" s="54" t="s">
        <v>20</v>
      </c>
      <c r="W147" s="54" t="s">
        <v>20</v>
      </c>
      <c r="X147" s="51" t="s">
        <v>19</v>
      </c>
      <c r="Y147" s="51" t="s">
        <v>19</v>
      </c>
      <c r="Z147" s="39" t="s">
        <v>20</v>
      </c>
      <c r="AA147" s="39" t="s">
        <v>20</v>
      </c>
      <c r="AB147" s="39" t="s">
        <v>19</v>
      </c>
      <c r="AC147" s="51" t="s">
        <v>19</v>
      </c>
      <c r="AD147" s="51" t="s">
        <v>20</v>
      </c>
      <c r="AE147" s="34">
        <f t="shared" si="2"/>
        <v>1</v>
      </c>
    </row>
    <row r="148" spans="1:31" ht="15.75" customHeight="1" x14ac:dyDescent="0.25">
      <c r="A148" s="89">
        <v>18</v>
      </c>
      <c r="B148" s="90" t="s">
        <v>259</v>
      </c>
      <c r="C148" s="89">
        <v>4</v>
      </c>
      <c r="D148" s="89" t="s">
        <v>19</v>
      </c>
      <c r="E148" s="51" t="s">
        <v>21</v>
      </c>
      <c r="F148" s="51" t="s">
        <v>21</v>
      </c>
      <c r="G148" s="51" t="s">
        <v>21</v>
      </c>
      <c r="H148" s="51" t="s">
        <v>21</v>
      </c>
      <c r="I148" s="75" t="s">
        <v>20</v>
      </c>
      <c r="J148" s="75" t="s">
        <v>20</v>
      </c>
      <c r="K148" s="75" t="s">
        <v>20</v>
      </c>
      <c r="L148" s="51" t="s">
        <v>20</v>
      </c>
      <c r="M148" s="51" t="s">
        <v>20</v>
      </c>
      <c r="N148" s="51" t="s">
        <v>20</v>
      </c>
      <c r="O148" s="51" t="s">
        <v>20</v>
      </c>
      <c r="P148" s="51" t="s">
        <v>20</v>
      </c>
      <c r="Q148" s="51" t="s">
        <v>20</v>
      </c>
      <c r="R148" s="51" t="s">
        <v>20</v>
      </c>
      <c r="S148" s="51" t="s">
        <v>19</v>
      </c>
      <c r="T148" s="51" t="s">
        <v>20</v>
      </c>
      <c r="U148" s="54" t="s">
        <v>19</v>
      </c>
      <c r="V148" s="54" t="s">
        <v>19</v>
      </c>
      <c r="W148" s="54" t="s">
        <v>19</v>
      </c>
      <c r="X148" s="51" t="s">
        <v>19</v>
      </c>
      <c r="Y148" s="51" t="s">
        <v>20</v>
      </c>
      <c r="Z148" s="39" t="s">
        <v>20</v>
      </c>
      <c r="AA148" s="39" t="s">
        <v>19</v>
      </c>
      <c r="AB148" s="39" t="s">
        <v>20</v>
      </c>
      <c r="AC148" s="51" t="s">
        <v>20</v>
      </c>
      <c r="AD148" s="51" t="s">
        <v>20</v>
      </c>
      <c r="AE148" s="34">
        <f t="shared" si="2"/>
        <v>4</v>
      </c>
    </row>
    <row r="149" spans="1:31" ht="15.75" customHeight="1" x14ac:dyDescent="0.25">
      <c r="A149" s="89">
        <v>19</v>
      </c>
      <c r="B149" s="90" t="s">
        <v>130</v>
      </c>
      <c r="C149" s="89">
        <v>4</v>
      </c>
      <c r="D149" s="89" t="s">
        <v>19</v>
      </c>
      <c r="E149" s="51" t="s">
        <v>22</v>
      </c>
      <c r="F149" s="51" t="s">
        <v>22</v>
      </c>
      <c r="G149" s="51" t="s">
        <v>22</v>
      </c>
      <c r="H149" s="51" t="s">
        <v>22</v>
      </c>
      <c r="I149" s="75" t="s">
        <v>19</v>
      </c>
      <c r="J149" s="75" t="s">
        <v>19</v>
      </c>
      <c r="K149" s="75" t="s">
        <v>19</v>
      </c>
      <c r="L149" s="51" t="s">
        <v>19</v>
      </c>
      <c r="M149" s="51" t="s">
        <v>19</v>
      </c>
      <c r="N149" s="51" t="s">
        <v>19</v>
      </c>
      <c r="O149" s="51" t="s">
        <v>19</v>
      </c>
      <c r="P149" s="51" t="s">
        <v>20</v>
      </c>
      <c r="Q149" s="51" t="s">
        <v>19</v>
      </c>
      <c r="R149" s="51" t="s">
        <v>19</v>
      </c>
      <c r="S149" s="51" t="s">
        <v>19</v>
      </c>
      <c r="T149" s="51" t="s">
        <v>19</v>
      </c>
      <c r="U149" s="54" t="s">
        <v>19</v>
      </c>
      <c r="V149" s="54" t="s">
        <v>19</v>
      </c>
      <c r="W149" s="54" t="s">
        <v>19</v>
      </c>
      <c r="X149" s="51" t="s">
        <v>19</v>
      </c>
      <c r="Y149" s="51" t="s">
        <v>19</v>
      </c>
      <c r="Z149" s="39" t="s">
        <v>19</v>
      </c>
      <c r="AA149" s="39" t="s">
        <v>19</v>
      </c>
      <c r="AB149" s="39" t="s">
        <v>19</v>
      </c>
      <c r="AC149" s="51" t="s">
        <v>19</v>
      </c>
      <c r="AD149" s="51" t="s">
        <v>20</v>
      </c>
      <c r="AE149" s="34">
        <f t="shared" si="2"/>
        <v>0</v>
      </c>
    </row>
    <row r="150" spans="1:31" ht="15.75" customHeight="1" x14ac:dyDescent="0.25">
      <c r="A150" s="89">
        <v>20</v>
      </c>
      <c r="B150" s="90" t="s">
        <v>131</v>
      </c>
      <c r="C150" s="89">
        <v>4</v>
      </c>
      <c r="D150" s="89" t="s">
        <v>19</v>
      </c>
      <c r="E150" s="51" t="s">
        <v>20</v>
      </c>
      <c r="F150" s="51" t="s">
        <v>21</v>
      </c>
      <c r="G150" s="51" t="s">
        <v>20</v>
      </c>
      <c r="H150" s="51" t="s">
        <v>20</v>
      </c>
      <c r="I150" s="75" t="s">
        <v>19</v>
      </c>
      <c r="J150" s="75" t="s">
        <v>20</v>
      </c>
      <c r="K150" s="75" t="s">
        <v>20</v>
      </c>
      <c r="L150" s="51" t="s">
        <v>20</v>
      </c>
      <c r="M150" s="51" t="s">
        <v>19</v>
      </c>
      <c r="N150" s="51" t="s">
        <v>20</v>
      </c>
      <c r="O150" s="51" t="s">
        <v>19</v>
      </c>
      <c r="P150" s="51" t="s">
        <v>20</v>
      </c>
      <c r="Q150" s="51" t="s">
        <v>19</v>
      </c>
      <c r="R150" s="51" t="s">
        <v>19</v>
      </c>
      <c r="S150" s="51" t="s">
        <v>19</v>
      </c>
      <c r="T150" s="51" t="s">
        <v>19</v>
      </c>
      <c r="U150" s="54" t="s">
        <v>19</v>
      </c>
      <c r="V150" s="54" t="s">
        <v>19</v>
      </c>
      <c r="W150" s="54" t="s">
        <v>19</v>
      </c>
      <c r="X150" s="51" t="s">
        <v>20</v>
      </c>
      <c r="Y150" s="51" t="s">
        <v>20</v>
      </c>
      <c r="Z150" s="39" t="s">
        <v>20</v>
      </c>
      <c r="AA150" s="39" t="s">
        <v>20</v>
      </c>
      <c r="AB150" s="39" t="s">
        <v>20</v>
      </c>
      <c r="AC150" s="51" t="s">
        <v>19</v>
      </c>
      <c r="AD150" s="51" t="s">
        <v>20</v>
      </c>
      <c r="AE150" s="34">
        <f t="shared" si="2"/>
        <v>1</v>
      </c>
    </row>
    <row r="151" spans="1:31" ht="15.75" customHeight="1" x14ac:dyDescent="0.25">
      <c r="A151" s="89">
        <v>21</v>
      </c>
      <c r="B151" s="90" t="s">
        <v>132</v>
      </c>
      <c r="C151" s="89">
        <v>4</v>
      </c>
      <c r="D151" s="89" t="s">
        <v>19</v>
      </c>
      <c r="E151" s="51" t="s">
        <v>20</v>
      </c>
      <c r="F151" s="51" t="s">
        <v>20</v>
      </c>
      <c r="G151" s="51" t="s">
        <v>19</v>
      </c>
      <c r="H151" s="51" t="s">
        <v>19</v>
      </c>
      <c r="I151" s="75" t="s">
        <v>19</v>
      </c>
      <c r="J151" s="75" t="s">
        <v>19</v>
      </c>
      <c r="K151" s="75" t="s">
        <v>20</v>
      </c>
      <c r="L151" s="51" t="s">
        <v>20</v>
      </c>
      <c r="M151" s="51" t="s">
        <v>19</v>
      </c>
      <c r="N151" s="51" t="s">
        <v>19</v>
      </c>
      <c r="O151" s="51" t="s">
        <v>19</v>
      </c>
      <c r="P151" s="51" t="s">
        <v>19</v>
      </c>
      <c r="Q151" s="51" t="s">
        <v>19</v>
      </c>
      <c r="R151" s="51" t="s">
        <v>19</v>
      </c>
      <c r="S151" s="51" t="s">
        <v>19</v>
      </c>
      <c r="T151" s="51" t="s">
        <v>19</v>
      </c>
      <c r="U151" s="54" t="s">
        <v>19</v>
      </c>
      <c r="V151" s="54" t="s">
        <v>19</v>
      </c>
      <c r="W151" s="54" t="s">
        <v>19</v>
      </c>
      <c r="X151" s="51" t="s">
        <v>20</v>
      </c>
      <c r="Y151" s="51" t="s">
        <v>20</v>
      </c>
      <c r="Z151" s="39" t="s">
        <v>19</v>
      </c>
      <c r="AA151" s="39" t="s">
        <v>19</v>
      </c>
      <c r="AB151" s="39" t="s">
        <v>20</v>
      </c>
      <c r="AC151" s="51" t="s">
        <v>20</v>
      </c>
      <c r="AD151" s="51" t="s">
        <v>20</v>
      </c>
      <c r="AE151" s="34">
        <f t="shared" si="2"/>
        <v>0</v>
      </c>
    </row>
    <row r="152" spans="1:31" ht="15.75" customHeight="1" x14ac:dyDescent="0.25">
      <c r="A152" s="89">
        <v>22</v>
      </c>
      <c r="B152" s="90" t="s">
        <v>260</v>
      </c>
      <c r="C152" s="89">
        <v>4</v>
      </c>
      <c r="D152" s="89" t="s">
        <v>19</v>
      </c>
      <c r="E152" s="51" t="s">
        <v>19</v>
      </c>
      <c r="F152" s="51" t="s">
        <v>19</v>
      </c>
      <c r="G152" s="51" t="s">
        <v>19</v>
      </c>
      <c r="H152" s="51" t="s">
        <v>19</v>
      </c>
      <c r="I152" s="75" t="s">
        <v>19</v>
      </c>
      <c r="J152" s="75" t="s">
        <v>19</v>
      </c>
      <c r="K152" s="75" t="s">
        <v>20</v>
      </c>
      <c r="L152" s="51" t="s">
        <v>20</v>
      </c>
      <c r="M152" s="51" t="s">
        <v>19</v>
      </c>
      <c r="N152" s="51" t="s">
        <v>19</v>
      </c>
      <c r="O152" s="51" t="s">
        <v>20</v>
      </c>
      <c r="P152" s="51" t="s">
        <v>20</v>
      </c>
      <c r="Q152" s="51" t="s">
        <v>20</v>
      </c>
      <c r="R152" s="51" t="s">
        <v>19</v>
      </c>
      <c r="S152" s="51" t="s">
        <v>19</v>
      </c>
      <c r="T152" s="51" t="s">
        <v>20</v>
      </c>
      <c r="U152" s="54" t="s">
        <v>19</v>
      </c>
      <c r="V152" s="54" t="s">
        <v>19</v>
      </c>
      <c r="W152" s="54" t="s">
        <v>19</v>
      </c>
      <c r="X152" s="51" t="s">
        <v>20</v>
      </c>
      <c r="Y152" s="51" t="s">
        <v>19</v>
      </c>
      <c r="Z152" s="39" t="s">
        <v>20</v>
      </c>
      <c r="AA152" s="39" t="s">
        <v>20</v>
      </c>
      <c r="AB152" s="39" t="s">
        <v>20</v>
      </c>
      <c r="AC152" s="51" t="s">
        <v>20</v>
      </c>
      <c r="AD152" s="51" t="s">
        <v>20</v>
      </c>
      <c r="AE152" s="34">
        <f t="shared" si="2"/>
        <v>0</v>
      </c>
    </row>
    <row r="153" spans="1:31" ht="15.75" customHeight="1" thickBot="1" x14ac:dyDescent="0.3">
      <c r="A153" s="91">
        <v>23</v>
      </c>
      <c r="B153" s="92" t="s">
        <v>133</v>
      </c>
      <c r="C153" s="91">
        <v>4</v>
      </c>
      <c r="D153" s="91" t="s">
        <v>19</v>
      </c>
      <c r="E153" s="87" t="s">
        <v>19</v>
      </c>
      <c r="F153" s="87" t="s">
        <v>19</v>
      </c>
      <c r="G153" s="87" t="s">
        <v>19</v>
      </c>
      <c r="H153" s="87" t="s">
        <v>19</v>
      </c>
      <c r="I153" s="103" t="s">
        <v>19</v>
      </c>
      <c r="J153" s="103" t="s">
        <v>19</v>
      </c>
      <c r="K153" s="103" t="s">
        <v>19</v>
      </c>
      <c r="L153" s="87" t="s">
        <v>20</v>
      </c>
      <c r="M153" s="87" t="s">
        <v>19</v>
      </c>
      <c r="N153" s="87" t="s">
        <v>19</v>
      </c>
      <c r="O153" s="87" t="s">
        <v>20</v>
      </c>
      <c r="P153" s="87" t="s">
        <v>20</v>
      </c>
      <c r="Q153" s="87" t="s">
        <v>20</v>
      </c>
      <c r="R153" s="87" t="s">
        <v>19</v>
      </c>
      <c r="S153" s="87" t="s">
        <v>19</v>
      </c>
      <c r="T153" s="87" t="s">
        <v>19</v>
      </c>
      <c r="U153" s="104" t="s">
        <v>19</v>
      </c>
      <c r="V153" s="100" t="s">
        <v>19</v>
      </c>
      <c r="W153" s="104" t="s">
        <v>19</v>
      </c>
      <c r="X153" s="87" t="s">
        <v>20</v>
      </c>
      <c r="Y153" s="87" t="s">
        <v>20</v>
      </c>
      <c r="Z153" s="41" t="s">
        <v>20</v>
      </c>
      <c r="AA153" s="41" t="s">
        <v>19</v>
      </c>
      <c r="AB153" s="41" t="s">
        <v>19</v>
      </c>
      <c r="AC153" s="87" t="s">
        <v>19</v>
      </c>
      <c r="AD153" s="87" t="s">
        <v>20</v>
      </c>
      <c r="AE153" s="34">
        <f t="shared" si="2"/>
        <v>0</v>
      </c>
    </row>
    <row r="154" spans="1:31" ht="15.75" customHeight="1" x14ac:dyDescent="0.25">
      <c r="A154" s="82">
        <v>1</v>
      </c>
      <c r="B154" s="40" t="s">
        <v>134</v>
      </c>
      <c r="C154" s="82">
        <v>4</v>
      </c>
      <c r="D154" s="82" t="s">
        <v>20</v>
      </c>
      <c r="E154" s="83" t="s">
        <v>21</v>
      </c>
      <c r="F154" s="83" t="s">
        <v>20</v>
      </c>
      <c r="G154" s="83" t="s">
        <v>21</v>
      </c>
      <c r="H154" s="83" t="s">
        <v>21</v>
      </c>
      <c r="I154" s="101" t="s">
        <v>19</v>
      </c>
      <c r="J154" s="101" t="s">
        <v>20</v>
      </c>
      <c r="K154" s="101" t="s">
        <v>20</v>
      </c>
      <c r="L154" s="83" t="s">
        <v>20</v>
      </c>
      <c r="M154" s="83" t="s">
        <v>19</v>
      </c>
      <c r="N154" s="83" t="s">
        <v>19</v>
      </c>
      <c r="O154" s="83" t="s">
        <v>19</v>
      </c>
      <c r="P154" s="83" t="s">
        <v>20</v>
      </c>
      <c r="Q154" s="83" t="s">
        <v>20</v>
      </c>
      <c r="R154" s="83" t="s">
        <v>20</v>
      </c>
      <c r="S154" s="83" t="s">
        <v>19</v>
      </c>
      <c r="T154" s="83" t="s">
        <v>19</v>
      </c>
      <c r="U154" s="99" t="s">
        <v>19</v>
      </c>
      <c r="V154" s="99" t="s">
        <v>19</v>
      </c>
      <c r="W154" s="99" t="s">
        <v>19</v>
      </c>
      <c r="X154" s="83" t="s">
        <v>21</v>
      </c>
      <c r="Y154" s="83" t="s">
        <v>20</v>
      </c>
      <c r="Z154" s="86" t="s">
        <v>20</v>
      </c>
      <c r="AA154" s="86" t="s">
        <v>19</v>
      </c>
      <c r="AB154" s="86" t="s">
        <v>20</v>
      </c>
      <c r="AC154" s="83" t="s">
        <v>21</v>
      </c>
      <c r="AD154" s="83" t="s">
        <v>20</v>
      </c>
      <c r="AE154" s="34">
        <f t="shared" si="2"/>
        <v>5</v>
      </c>
    </row>
    <row r="155" spans="1:31" ht="15.75" customHeight="1" x14ac:dyDescent="0.25">
      <c r="A155" s="20">
        <v>2</v>
      </c>
      <c r="B155" s="37" t="s">
        <v>135</v>
      </c>
      <c r="C155" s="20">
        <v>4</v>
      </c>
      <c r="D155" s="20" t="s">
        <v>20</v>
      </c>
      <c r="E155" s="51" t="s">
        <v>20</v>
      </c>
      <c r="F155" s="51" t="s">
        <v>20</v>
      </c>
      <c r="G155" s="51" t="s">
        <v>20</v>
      </c>
      <c r="H155" s="51" t="s">
        <v>20</v>
      </c>
      <c r="I155" s="75" t="s">
        <v>20</v>
      </c>
      <c r="J155" s="75" t="s">
        <v>20</v>
      </c>
      <c r="K155" s="75" t="s">
        <v>20</v>
      </c>
      <c r="L155" s="51" t="s">
        <v>20</v>
      </c>
      <c r="M155" s="51" t="s">
        <v>19</v>
      </c>
      <c r="N155" s="51" t="s">
        <v>19</v>
      </c>
      <c r="O155" s="51" t="s">
        <v>20</v>
      </c>
      <c r="P155" s="51" t="s">
        <v>20</v>
      </c>
      <c r="Q155" s="51" t="s">
        <v>20</v>
      </c>
      <c r="R155" s="51" t="s">
        <v>19</v>
      </c>
      <c r="S155" s="51" t="s">
        <v>20</v>
      </c>
      <c r="T155" s="51" t="s">
        <v>20</v>
      </c>
      <c r="U155" s="54" t="s">
        <v>20</v>
      </c>
      <c r="V155" s="54" t="s">
        <v>19</v>
      </c>
      <c r="W155" s="54" t="s">
        <v>20</v>
      </c>
      <c r="X155" s="51" t="s">
        <v>19</v>
      </c>
      <c r="Y155" s="51" t="s">
        <v>19</v>
      </c>
      <c r="Z155" s="39" t="s">
        <v>19</v>
      </c>
      <c r="AA155" s="39" t="s">
        <v>19</v>
      </c>
      <c r="AB155" s="39" t="s">
        <v>19</v>
      </c>
      <c r="AC155" s="51" t="s">
        <v>19</v>
      </c>
      <c r="AD155" s="51" t="s">
        <v>20</v>
      </c>
      <c r="AE155" s="34">
        <f t="shared" si="2"/>
        <v>0</v>
      </c>
    </row>
    <row r="156" spans="1:31" ht="15.75" customHeight="1" x14ac:dyDescent="0.25">
      <c r="A156" s="20">
        <v>3</v>
      </c>
      <c r="B156" s="37" t="s">
        <v>136</v>
      </c>
      <c r="C156" s="20">
        <v>4</v>
      </c>
      <c r="D156" s="20" t="s">
        <v>20</v>
      </c>
      <c r="E156" s="51" t="s">
        <v>22</v>
      </c>
      <c r="F156" s="51" t="s">
        <v>19</v>
      </c>
      <c r="G156" s="51" t="s">
        <v>22</v>
      </c>
      <c r="H156" s="51" t="s">
        <v>19</v>
      </c>
      <c r="I156" s="75" t="s">
        <v>19</v>
      </c>
      <c r="J156" s="75" t="s">
        <v>19</v>
      </c>
      <c r="K156" s="75" t="s">
        <v>19</v>
      </c>
      <c r="L156" s="51" t="s">
        <v>19</v>
      </c>
      <c r="M156" s="51" t="s">
        <v>19</v>
      </c>
      <c r="N156" s="51" t="s">
        <v>19</v>
      </c>
      <c r="O156" s="51" t="s">
        <v>19</v>
      </c>
      <c r="P156" s="51" t="s">
        <v>19</v>
      </c>
      <c r="Q156" s="51" t="s">
        <v>19</v>
      </c>
      <c r="R156" s="51" t="s">
        <v>19</v>
      </c>
      <c r="S156" s="51" t="s">
        <v>19</v>
      </c>
      <c r="T156" s="51" t="s">
        <v>19</v>
      </c>
      <c r="U156" s="54" t="s">
        <v>19</v>
      </c>
      <c r="V156" s="54" t="s">
        <v>19</v>
      </c>
      <c r="W156" s="54" t="s">
        <v>19</v>
      </c>
      <c r="X156" s="51" t="s">
        <v>19</v>
      </c>
      <c r="Y156" s="51" t="s">
        <v>19</v>
      </c>
      <c r="Z156" s="39" t="s">
        <v>19</v>
      </c>
      <c r="AA156" s="39" t="s">
        <v>19</v>
      </c>
      <c r="AB156" s="39" t="s">
        <v>19</v>
      </c>
      <c r="AC156" s="51" t="s">
        <v>20</v>
      </c>
      <c r="AD156" s="51" t="s">
        <v>20</v>
      </c>
      <c r="AE156" s="34">
        <f t="shared" si="2"/>
        <v>0</v>
      </c>
    </row>
    <row r="157" spans="1:31" ht="15.75" customHeight="1" x14ac:dyDescent="0.25">
      <c r="A157" s="20">
        <v>4</v>
      </c>
      <c r="B157" s="37" t="s">
        <v>261</v>
      </c>
      <c r="C157" s="20">
        <v>4</v>
      </c>
      <c r="D157" s="20" t="s">
        <v>20</v>
      </c>
      <c r="E157" s="51" t="s">
        <v>19</v>
      </c>
      <c r="F157" s="51" t="s">
        <v>19</v>
      </c>
      <c r="G157" s="51" t="s">
        <v>19</v>
      </c>
      <c r="H157" s="51" t="s">
        <v>19</v>
      </c>
      <c r="I157" s="75" t="s">
        <v>19</v>
      </c>
      <c r="J157" s="75" t="s">
        <v>19</v>
      </c>
      <c r="K157" s="75" t="s">
        <v>20</v>
      </c>
      <c r="L157" s="51" t="s">
        <v>19</v>
      </c>
      <c r="M157" s="51" t="s">
        <v>19</v>
      </c>
      <c r="N157" s="51" t="s">
        <v>19</v>
      </c>
      <c r="O157" s="51" t="s">
        <v>20</v>
      </c>
      <c r="P157" s="51" t="s">
        <v>20</v>
      </c>
      <c r="Q157" s="51" t="s">
        <v>20</v>
      </c>
      <c r="R157" s="51" t="s">
        <v>20</v>
      </c>
      <c r="S157" s="51" t="s">
        <v>20</v>
      </c>
      <c r="T157" s="51" t="s">
        <v>20</v>
      </c>
      <c r="U157" s="54" t="s">
        <v>19</v>
      </c>
      <c r="V157" s="54" t="s">
        <v>19</v>
      </c>
      <c r="W157" s="54" t="s">
        <v>19</v>
      </c>
      <c r="X157" s="51" t="s">
        <v>19</v>
      </c>
      <c r="Y157" s="51" t="s">
        <v>19</v>
      </c>
      <c r="Z157" s="39" t="s">
        <v>19</v>
      </c>
      <c r="AA157" s="39" t="s">
        <v>20</v>
      </c>
      <c r="AB157" s="39" t="s">
        <v>20</v>
      </c>
      <c r="AC157" s="51" t="s">
        <v>20</v>
      </c>
      <c r="AD157" s="51" t="s">
        <v>20</v>
      </c>
      <c r="AE157" s="34">
        <f t="shared" si="2"/>
        <v>0</v>
      </c>
    </row>
    <row r="158" spans="1:31" ht="15.75" customHeight="1" x14ac:dyDescent="0.25">
      <c r="A158" s="20">
        <v>5</v>
      </c>
      <c r="B158" s="37" t="s">
        <v>137</v>
      </c>
      <c r="C158" s="20">
        <v>4</v>
      </c>
      <c r="D158" s="20" t="s">
        <v>20</v>
      </c>
      <c r="E158" s="51" t="s">
        <v>22</v>
      </c>
      <c r="F158" s="51" t="s">
        <v>19</v>
      </c>
      <c r="G158" s="51" t="s">
        <v>19</v>
      </c>
      <c r="H158" s="51" t="s">
        <v>19</v>
      </c>
      <c r="I158" s="75" t="s">
        <v>19</v>
      </c>
      <c r="J158" s="75" t="s">
        <v>19</v>
      </c>
      <c r="K158" s="75" t="s">
        <v>19</v>
      </c>
      <c r="L158" s="51" t="s">
        <v>19</v>
      </c>
      <c r="M158" s="51" t="s">
        <v>19</v>
      </c>
      <c r="N158" s="51" t="s">
        <v>19</v>
      </c>
      <c r="O158" s="51" t="s">
        <v>19</v>
      </c>
      <c r="P158" s="51" t="s">
        <v>19</v>
      </c>
      <c r="Q158" s="51" t="s">
        <v>19</v>
      </c>
      <c r="R158" s="51" t="s">
        <v>19</v>
      </c>
      <c r="S158" s="51" t="s">
        <v>19</v>
      </c>
      <c r="T158" s="51" t="s">
        <v>19</v>
      </c>
      <c r="U158" s="54" t="s">
        <v>19</v>
      </c>
      <c r="V158" s="54" t="s">
        <v>19</v>
      </c>
      <c r="W158" s="54" t="s">
        <v>19</v>
      </c>
      <c r="X158" s="51" t="s">
        <v>19</v>
      </c>
      <c r="Y158" s="51" t="s">
        <v>19</v>
      </c>
      <c r="Z158" s="39" t="s">
        <v>19</v>
      </c>
      <c r="AA158" s="39" t="s">
        <v>19</v>
      </c>
      <c r="AB158" s="39" t="s">
        <v>19</v>
      </c>
      <c r="AC158" s="51" t="s">
        <v>19</v>
      </c>
      <c r="AD158" s="51" t="s">
        <v>20</v>
      </c>
      <c r="AE158" s="34">
        <f t="shared" si="2"/>
        <v>0</v>
      </c>
    </row>
    <row r="159" spans="1:31" ht="15.75" customHeight="1" x14ac:dyDescent="0.25">
      <c r="A159" s="20">
        <v>6</v>
      </c>
      <c r="B159" s="37" t="s">
        <v>138</v>
      </c>
      <c r="C159" s="20">
        <v>4</v>
      </c>
      <c r="D159" s="20" t="s">
        <v>20</v>
      </c>
      <c r="E159" s="51" t="s">
        <v>19</v>
      </c>
      <c r="F159" s="51" t="s">
        <v>19</v>
      </c>
      <c r="G159" s="51" t="s">
        <v>19</v>
      </c>
      <c r="H159" s="51" t="s">
        <v>19</v>
      </c>
      <c r="I159" s="75" t="s">
        <v>19</v>
      </c>
      <c r="J159" s="75" t="s">
        <v>19</v>
      </c>
      <c r="K159" s="75" t="s">
        <v>19</v>
      </c>
      <c r="L159" s="51" t="s">
        <v>19</v>
      </c>
      <c r="M159" s="51" t="s">
        <v>19</v>
      </c>
      <c r="N159" s="51" t="s">
        <v>20</v>
      </c>
      <c r="O159" s="51" t="s">
        <v>20</v>
      </c>
      <c r="P159" s="51" t="s">
        <v>20</v>
      </c>
      <c r="Q159" s="51" t="s">
        <v>20</v>
      </c>
      <c r="R159" s="51" t="s">
        <v>19</v>
      </c>
      <c r="S159" s="51" t="s">
        <v>19</v>
      </c>
      <c r="T159" s="51" t="s">
        <v>20</v>
      </c>
      <c r="U159" s="54" t="s">
        <v>19</v>
      </c>
      <c r="V159" s="54" t="s">
        <v>19</v>
      </c>
      <c r="W159" s="54" t="s">
        <v>19</v>
      </c>
      <c r="X159" s="51" t="s">
        <v>19</v>
      </c>
      <c r="Y159" s="51" t="s">
        <v>19</v>
      </c>
      <c r="Z159" s="39" t="s">
        <v>20</v>
      </c>
      <c r="AA159" s="39" t="s">
        <v>19</v>
      </c>
      <c r="AB159" s="39" t="s">
        <v>19</v>
      </c>
      <c r="AC159" s="51" t="s">
        <v>19</v>
      </c>
      <c r="AD159" s="51" t="s">
        <v>20</v>
      </c>
      <c r="AE159" s="34">
        <f t="shared" si="2"/>
        <v>0</v>
      </c>
    </row>
    <row r="160" spans="1:31" ht="15.75" customHeight="1" x14ac:dyDescent="0.25">
      <c r="A160" s="20">
        <v>7</v>
      </c>
      <c r="B160" s="37" t="s">
        <v>139</v>
      </c>
      <c r="C160" s="20">
        <v>4</v>
      </c>
      <c r="D160" s="20" t="s">
        <v>20</v>
      </c>
      <c r="E160" s="51" t="s">
        <v>20</v>
      </c>
      <c r="F160" s="51" t="s">
        <v>19</v>
      </c>
      <c r="G160" s="51" t="s">
        <v>19</v>
      </c>
      <c r="H160" s="51" t="s">
        <v>20</v>
      </c>
      <c r="I160" s="75" t="s">
        <v>19</v>
      </c>
      <c r="J160" s="75" t="s">
        <v>20</v>
      </c>
      <c r="K160" s="75" t="s">
        <v>20</v>
      </c>
      <c r="L160" s="51" t="s">
        <v>19</v>
      </c>
      <c r="M160" s="51" t="s">
        <v>19</v>
      </c>
      <c r="N160" s="51" t="s">
        <v>19</v>
      </c>
      <c r="O160" s="51" t="s">
        <v>20</v>
      </c>
      <c r="P160" s="51" t="s">
        <v>20</v>
      </c>
      <c r="Q160" s="51" t="s">
        <v>20</v>
      </c>
      <c r="R160" s="51" t="s">
        <v>19</v>
      </c>
      <c r="S160" s="51" t="s">
        <v>19</v>
      </c>
      <c r="T160" s="51" t="s">
        <v>20</v>
      </c>
      <c r="U160" s="54" t="s">
        <v>19</v>
      </c>
      <c r="V160" s="54" t="s">
        <v>19</v>
      </c>
      <c r="W160" s="54" t="s">
        <v>19</v>
      </c>
      <c r="X160" s="51" t="s">
        <v>19</v>
      </c>
      <c r="Y160" s="51" t="s">
        <v>20</v>
      </c>
      <c r="Z160" s="39" t="s">
        <v>20</v>
      </c>
      <c r="AA160" s="39" t="s">
        <v>20</v>
      </c>
      <c r="AB160" s="39" t="s">
        <v>20</v>
      </c>
      <c r="AC160" s="51" t="s">
        <v>20</v>
      </c>
      <c r="AD160" s="51" t="s">
        <v>20</v>
      </c>
      <c r="AE160" s="34">
        <f t="shared" si="2"/>
        <v>0</v>
      </c>
    </row>
    <row r="161" spans="1:31" ht="15.75" customHeight="1" x14ac:dyDescent="0.25">
      <c r="A161" s="20">
        <v>8</v>
      </c>
      <c r="B161" s="37" t="s">
        <v>262</v>
      </c>
      <c r="C161" s="20">
        <v>4</v>
      </c>
      <c r="D161" s="20" t="s">
        <v>20</v>
      </c>
      <c r="E161" s="51" t="s">
        <v>19</v>
      </c>
      <c r="F161" s="51" t="s">
        <v>19</v>
      </c>
      <c r="G161" s="51" t="s">
        <v>19</v>
      </c>
      <c r="H161" s="51" t="s">
        <v>19</v>
      </c>
      <c r="I161" s="75" t="s">
        <v>19</v>
      </c>
      <c r="J161" s="75" t="s">
        <v>19</v>
      </c>
      <c r="K161" s="75" t="s">
        <v>19</v>
      </c>
      <c r="L161" s="51" t="s">
        <v>20</v>
      </c>
      <c r="M161" s="51" t="s">
        <v>19</v>
      </c>
      <c r="N161" s="51" t="s">
        <v>19</v>
      </c>
      <c r="O161" s="51" t="s">
        <v>20</v>
      </c>
      <c r="P161" s="51" t="s">
        <v>20</v>
      </c>
      <c r="Q161" s="51" t="s">
        <v>20</v>
      </c>
      <c r="R161" s="51" t="s">
        <v>20</v>
      </c>
      <c r="S161" s="51" t="s">
        <v>19</v>
      </c>
      <c r="T161" s="51" t="s">
        <v>19</v>
      </c>
      <c r="U161" s="54" t="s">
        <v>19</v>
      </c>
      <c r="V161" s="54" t="s">
        <v>19</v>
      </c>
      <c r="W161" s="54" t="s">
        <v>19</v>
      </c>
      <c r="X161" s="51" t="s">
        <v>19</v>
      </c>
      <c r="Y161" s="51" t="s">
        <v>20</v>
      </c>
      <c r="Z161" s="39" t="s">
        <v>19</v>
      </c>
      <c r="AA161" s="39" t="s">
        <v>19</v>
      </c>
      <c r="AB161" s="39" t="s">
        <v>20</v>
      </c>
      <c r="AC161" s="51" t="s">
        <v>19</v>
      </c>
      <c r="AD161" s="51" t="s">
        <v>20</v>
      </c>
      <c r="AE161" s="34">
        <f t="shared" si="2"/>
        <v>0</v>
      </c>
    </row>
    <row r="162" spans="1:31" ht="15.75" customHeight="1" x14ac:dyDescent="0.25">
      <c r="A162" s="20">
        <v>9</v>
      </c>
      <c r="B162" s="37" t="s">
        <v>140</v>
      </c>
      <c r="C162" s="20">
        <v>4</v>
      </c>
      <c r="D162" s="20" t="s">
        <v>20</v>
      </c>
      <c r="E162" s="51" t="s">
        <v>20</v>
      </c>
      <c r="F162" s="51" t="s">
        <v>20</v>
      </c>
      <c r="G162" s="51" t="s">
        <v>20</v>
      </c>
      <c r="H162" s="51" t="s">
        <v>20</v>
      </c>
      <c r="I162" s="75" t="s">
        <v>19</v>
      </c>
      <c r="J162" s="75" t="s">
        <v>19</v>
      </c>
      <c r="K162" s="75" t="s">
        <v>19</v>
      </c>
      <c r="L162" s="51" t="s">
        <v>19</v>
      </c>
      <c r="M162" s="51" t="s">
        <v>19</v>
      </c>
      <c r="N162" s="51" t="s">
        <v>19</v>
      </c>
      <c r="O162" s="51" t="s">
        <v>20</v>
      </c>
      <c r="P162" s="51" t="s">
        <v>20</v>
      </c>
      <c r="Q162" s="51" t="s">
        <v>20</v>
      </c>
      <c r="R162" s="51" t="s">
        <v>19</v>
      </c>
      <c r="S162" s="51" t="s">
        <v>19</v>
      </c>
      <c r="T162" s="51" t="s">
        <v>20</v>
      </c>
      <c r="U162" s="54" t="s">
        <v>19</v>
      </c>
      <c r="V162" s="54" t="s">
        <v>19</v>
      </c>
      <c r="W162" s="54" t="s">
        <v>19</v>
      </c>
      <c r="X162" s="51" t="s">
        <v>19</v>
      </c>
      <c r="Y162" s="51" t="s">
        <v>20</v>
      </c>
      <c r="Z162" s="39" t="s">
        <v>20</v>
      </c>
      <c r="AA162" s="39" t="s">
        <v>20</v>
      </c>
      <c r="AB162" s="39" t="s">
        <v>19</v>
      </c>
      <c r="AC162" s="51" t="s">
        <v>19</v>
      </c>
      <c r="AD162" s="51" t="s">
        <v>20</v>
      </c>
      <c r="AE162" s="34">
        <f t="shared" si="2"/>
        <v>0</v>
      </c>
    </row>
    <row r="163" spans="1:31" ht="15.75" customHeight="1" x14ac:dyDescent="0.25">
      <c r="A163" s="20">
        <v>10</v>
      </c>
      <c r="B163" s="37" t="s">
        <v>263</v>
      </c>
      <c r="C163" s="20">
        <v>4</v>
      </c>
      <c r="D163" s="20" t="s">
        <v>20</v>
      </c>
      <c r="E163" s="51" t="s">
        <v>20</v>
      </c>
      <c r="F163" s="51" t="s">
        <v>19</v>
      </c>
      <c r="G163" s="51" t="s">
        <v>20</v>
      </c>
      <c r="H163" s="51" t="s">
        <v>20</v>
      </c>
      <c r="I163" s="75" t="s">
        <v>19</v>
      </c>
      <c r="J163" s="75" t="s">
        <v>19</v>
      </c>
      <c r="K163" s="75" t="s">
        <v>20</v>
      </c>
      <c r="L163" s="51" t="s">
        <v>21</v>
      </c>
      <c r="M163" s="51" t="s">
        <v>19</v>
      </c>
      <c r="N163" s="51" t="s">
        <v>19</v>
      </c>
      <c r="O163" s="51" t="s">
        <v>20</v>
      </c>
      <c r="P163" s="51" t="s">
        <v>20</v>
      </c>
      <c r="Q163" s="51" t="s">
        <v>20</v>
      </c>
      <c r="R163" s="51" t="s">
        <v>19</v>
      </c>
      <c r="S163" s="51" t="s">
        <v>19</v>
      </c>
      <c r="T163" s="51" t="s">
        <v>20</v>
      </c>
      <c r="U163" s="54" t="s">
        <v>19</v>
      </c>
      <c r="V163" s="54" t="s">
        <v>19</v>
      </c>
      <c r="W163" s="54" t="s">
        <v>19</v>
      </c>
      <c r="X163" s="51" t="s">
        <v>20</v>
      </c>
      <c r="Y163" s="51" t="s">
        <v>20</v>
      </c>
      <c r="Z163" s="39" t="s">
        <v>20</v>
      </c>
      <c r="AA163" s="39" t="s">
        <v>21</v>
      </c>
      <c r="AB163" s="39" t="s">
        <v>20</v>
      </c>
      <c r="AC163" s="51" t="s">
        <v>21</v>
      </c>
      <c r="AD163" s="51" t="s">
        <v>20</v>
      </c>
      <c r="AE163" s="34">
        <f t="shared" si="2"/>
        <v>3</v>
      </c>
    </row>
    <row r="164" spans="1:31" ht="15.75" customHeight="1" x14ac:dyDescent="0.25">
      <c r="A164" s="20">
        <v>11</v>
      </c>
      <c r="B164" s="37" t="s">
        <v>141</v>
      </c>
      <c r="C164" s="20">
        <v>4</v>
      </c>
      <c r="D164" s="20" t="s">
        <v>20</v>
      </c>
      <c r="E164" s="51" t="s">
        <v>21</v>
      </c>
      <c r="F164" s="51" t="s">
        <v>21</v>
      </c>
      <c r="G164" s="51" t="s">
        <v>21</v>
      </c>
      <c r="H164" s="51" t="s">
        <v>21</v>
      </c>
      <c r="I164" s="75" t="s">
        <v>20</v>
      </c>
      <c r="J164" s="75" t="s">
        <v>20</v>
      </c>
      <c r="K164" s="75" t="s">
        <v>20</v>
      </c>
      <c r="L164" s="51" t="s">
        <v>20</v>
      </c>
      <c r="M164" s="51" t="s">
        <v>19</v>
      </c>
      <c r="N164" s="51" t="s">
        <v>20</v>
      </c>
      <c r="O164" s="51" t="s">
        <v>21</v>
      </c>
      <c r="P164" s="51" t="s">
        <v>20</v>
      </c>
      <c r="Q164" s="51" t="s">
        <v>20</v>
      </c>
      <c r="R164" s="51" t="s">
        <v>20</v>
      </c>
      <c r="S164" s="51" t="s">
        <v>19</v>
      </c>
      <c r="T164" s="51" t="s">
        <v>19</v>
      </c>
      <c r="U164" s="54" t="s">
        <v>19</v>
      </c>
      <c r="V164" s="54" t="s">
        <v>20</v>
      </c>
      <c r="W164" s="54" t="s">
        <v>19</v>
      </c>
      <c r="X164" s="51" t="s">
        <v>21</v>
      </c>
      <c r="Y164" s="51" t="s">
        <v>21</v>
      </c>
      <c r="Z164" s="39" t="s">
        <v>20</v>
      </c>
      <c r="AA164" s="39" t="s">
        <v>20</v>
      </c>
      <c r="AB164" s="39" t="s">
        <v>20</v>
      </c>
      <c r="AC164" s="51" t="s">
        <v>21</v>
      </c>
      <c r="AD164" s="51" t="s">
        <v>20</v>
      </c>
      <c r="AE164" s="34">
        <f t="shared" si="2"/>
        <v>8</v>
      </c>
    </row>
    <row r="165" spans="1:31" ht="15.75" customHeight="1" x14ac:dyDescent="0.25">
      <c r="A165" s="20">
        <v>12</v>
      </c>
      <c r="B165" s="37" t="s">
        <v>142</v>
      </c>
      <c r="C165" s="20">
        <v>4</v>
      </c>
      <c r="D165" s="20" t="s">
        <v>20</v>
      </c>
      <c r="E165" s="51" t="s">
        <v>20</v>
      </c>
      <c r="F165" s="51" t="s">
        <v>20</v>
      </c>
      <c r="G165" s="51" t="s">
        <v>20</v>
      </c>
      <c r="H165" s="51" t="s">
        <v>20</v>
      </c>
      <c r="I165" s="75" t="s">
        <v>19</v>
      </c>
      <c r="J165" s="75" t="s">
        <v>19</v>
      </c>
      <c r="K165" s="75" t="s">
        <v>20</v>
      </c>
      <c r="L165" s="51" t="s">
        <v>19</v>
      </c>
      <c r="M165" s="51" t="s">
        <v>19</v>
      </c>
      <c r="N165" s="51" t="s">
        <v>19</v>
      </c>
      <c r="O165" s="51" t="s">
        <v>20</v>
      </c>
      <c r="P165" s="51" t="s">
        <v>20</v>
      </c>
      <c r="Q165" s="51" t="s">
        <v>20</v>
      </c>
      <c r="R165" s="51" t="s">
        <v>19</v>
      </c>
      <c r="S165" s="51" t="s">
        <v>19</v>
      </c>
      <c r="T165" s="51" t="s">
        <v>19</v>
      </c>
      <c r="U165" s="45" t="s">
        <v>19</v>
      </c>
      <c r="V165" s="54" t="s">
        <v>19</v>
      </c>
      <c r="W165" s="54" t="s">
        <v>19</v>
      </c>
      <c r="X165" s="51" t="s">
        <v>19</v>
      </c>
      <c r="Y165" s="51" t="s">
        <v>20</v>
      </c>
      <c r="Z165" s="39" t="s">
        <v>20</v>
      </c>
      <c r="AA165" s="39" t="s">
        <v>19</v>
      </c>
      <c r="AB165" s="39" t="s">
        <v>19</v>
      </c>
      <c r="AC165" s="53" t="s">
        <v>19</v>
      </c>
      <c r="AD165" s="53" t="s">
        <v>20</v>
      </c>
      <c r="AE165" s="34">
        <f t="shared" si="2"/>
        <v>0</v>
      </c>
    </row>
    <row r="166" spans="1:31" ht="15.75" customHeight="1" x14ac:dyDescent="0.25">
      <c r="A166" s="20">
        <v>13</v>
      </c>
      <c r="B166" s="37" t="s">
        <v>143</v>
      </c>
      <c r="C166" s="20">
        <v>4</v>
      </c>
      <c r="D166" s="20" t="s">
        <v>20</v>
      </c>
      <c r="E166" s="51" t="s">
        <v>20</v>
      </c>
      <c r="F166" s="51" t="s">
        <v>20</v>
      </c>
      <c r="G166" s="51" t="s">
        <v>21</v>
      </c>
      <c r="H166" s="51" t="s">
        <v>20</v>
      </c>
      <c r="I166" s="75" t="s">
        <v>19</v>
      </c>
      <c r="J166" s="75" t="s">
        <v>19</v>
      </c>
      <c r="K166" s="75" t="s">
        <v>20</v>
      </c>
      <c r="L166" s="51" t="s">
        <v>20</v>
      </c>
      <c r="M166" s="51" t="s">
        <v>19</v>
      </c>
      <c r="N166" s="51" t="s">
        <v>20</v>
      </c>
      <c r="O166" s="51" t="s">
        <v>20</v>
      </c>
      <c r="P166" s="51" t="s">
        <v>20</v>
      </c>
      <c r="Q166" s="51" t="s">
        <v>20</v>
      </c>
      <c r="R166" s="51" t="s">
        <v>21</v>
      </c>
      <c r="S166" s="51" t="s">
        <v>21</v>
      </c>
      <c r="T166" s="51" t="s">
        <v>19</v>
      </c>
      <c r="U166" s="45" t="s">
        <v>19</v>
      </c>
      <c r="V166" s="54" t="s">
        <v>20</v>
      </c>
      <c r="W166" s="54" t="s">
        <v>19</v>
      </c>
      <c r="X166" s="51" t="s">
        <v>21</v>
      </c>
      <c r="Y166" s="51" t="s">
        <v>20</v>
      </c>
      <c r="Z166" s="39" t="s">
        <v>20</v>
      </c>
      <c r="AA166" s="39" t="s">
        <v>19</v>
      </c>
      <c r="AB166" s="39" t="s">
        <v>21</v>
      </c>
      <c r="AC166" s="53" t="s">
        <v>21</v>
      </c>
      <c r="AD166" s="53" t="s">
        <v>20</v>
      </c>
      <c r="AE166" s="34">
        <f t="shared" si="2"/>
        <v>6</v>
      </c>
    </row>
    <row r="167" spans="1:31" ht="15.75" customHeight="1" x14ac:dyDescent="0.25">
      <c r="A167" s="20">
        <v>14</v>
      </c>
      <c r="B167" s="37" t="s">
        <v>144</v>
      </c>
      <c r="C167" s="20">
        <v>4</v>
      </c>
      <c r="D167" s="20" t="s">
        <v>20</v>
      </c>
      <c r="E167" s="51" t="s">
        <v>20</v>
      </c>
      <c r="F167" s="51" t="s">
        <v>20</v>
      </c>
      <c r="G167" s="51" t="s">
        <v>20</v>
      </c>
      <c r="H167" s="51" t="s">
        <v>20</v>
      </c>
      <c r="I167" s="75" t="s">
        <v>19</v>
      </c>
      <c r="J167" s="75" t="s">
        <v>20</v>
      </c>
      <c r="K167" s="75" t="s">
        <v>20</v>
      </c>
      <c r="L167" s="51" t="s">
        <v>20</v>
      </c>
      <c r="M167" s="51" t="s">
        <v>20</v>
      </c>
      <c r="N167" s="51" t="s">
        <v>19</v>
      </c>
      <c r="O167" s="51" t="s">
        <v>20</v>
      </c>
      <c r="P167" s="51" t="s">
        <v>20</v>
      </c>
      <c r="Q167" s="51" t="s">
        <v>20</v>
      </c>
      <c r="R167" s="51" t="s">
        <v>19</v>
      </c>
      <c r="S167" s="51" t="s">
        <v>19</v>
      </c>
      <c r="T167" s="51" t="s">
        <v>20</v>
      </c>
      <c r="U167" s="45" t="s">
        <v>19</v>
      </c>
      <c r="V167" s="54" t="s">
        <v>19</v>
      </c>
      <c r="W167" s="54" t="s">
        <v>19</v>
      </c>
      <c r="X167" s="51" t="s">
        <v>20</v>
      </c>
      <c r="Y167" s="51" t="s">
        <v>20</v>
      </c>
      <c r="Z167" s="39" t="s">
        <v>19</v>
      </c>
      <c r="AA167" s="39" t="s">
        <v>20</v>
      </c>
      <c r="AB167" s="39" t="s">
        <v>19</v>
      </c>
      <c r="AC167" s="53" t="s">
        <v>20</v>
      </c>
      <c r="AD167" s="53" t="s">
        <v>20</v>
      </c>
      <c r="AE167" s="34">
        <f t="shared" si="2"/>
        <v>0</v>
      </c>
    </row>
    <row r="168" spans="1:31" ht="15.75" customHeight="1" x14ac:dyDescent="0.25">
      <c r="A168" s="20">
        <v>15</v>
      </c>
      <c r="B168" s="37" t="s">
        <v>145</v>
      </c>
      <c r="C168" s="20">
        <v>4</v>
      </c>
      <c r="D168" s="20" t="s">
        <v>20</v>
      </c>
      <c r="E168" s="51" t="s">
        <v>19</v>
      </c>
      <c r="F168" s="51" t="s">
        <v>19</v>
      </c>
      <c r="G168" s="51" t="s">
        <v>19</v>
      </c>
      <c r="H168" s="51" t="s">
        <v>19</v>
      </c>
      <c r="I168" s="75" t="s">
        <v>19</v>
      </c>
      <c r="J168" s="75" t="s">
        <v>19</v>
      </c>
      <c r="K168" s="75" t="s">
        <v>19</v>
      </c>
      <c r="L168" s="51" t="s">
        <v>19</v>
      </c>
      <c r="M168" s="51" t="s">
        <v>19</v>
      </c>
      <c r="N168" s="51" t="s">
        <v>19</v>
      </c>
      <c r="O168" s="51" t="s">
        <v>19</v>
      </c>
      <c r="P168" s="51" t="s">
        <v>19</v>
      </c>
      <c r="Q168" s="51" t="s">
        <v>19</v>
      </c>
      <c r="R168" s="51" t="s">
        <v>19</v>
      </c>
      <c r="S168" s="51" t="s">
        <v>19</v>
      </c>
      <c r="T168" s="51" t="s">
        <v>19</v>
      </c>
      <c r="U168" s="45" t="s">
        <v>19</v>
      </c>
      <c r="V168" s="54" t="s">
        <v>19</v>
      </c>
      <c r="W168" s="54" t="s">
        <v>19</v>
      </c>
      <c r="X168" s="51" t="s">
        <v>19</v>
      </c>
      <c r="Y168" s="51" t="s">
        <v>19</v>
      </c>
      <c r="Z168" s="39" t="s">
        <v>19</v>
      </c>
      <c r="AA168" s="39" t="s">
        <v>19</v>
      </c>
      <c r="AB168" s="39" t="s">
        <v>19</v>
      </c>
      <c r="AC168" s="53" t="s">
        <v>19</v>
      </c>
      <c r="AD168" s="53" t="s">
        <v>20</v>
      </c>
      <c r="AE168" s="34">
        <f t="shared" si="2"/>
        <v>0</v>
      </c>
    </row>
    <row r="169" spans="1:31" ht="15.75" customHeight="1" x14ac:dyDescent="0.25">
      <c r="A169" s="20">
        <v>16</v>
      </c>
      <c r="B169" s="37" t="s">
        <v>146</v>
      </c>
      <c r="C169" s="20">
        <v>4</v>
      </c>
      <c r="D169" s="20" t="s">
        <v>20</v>
      </c>
      <c r="E169" s="51" t="s">
        <v>20</v>
      </c>
      <c r="F169" s="51" t="s">
        <v>20</v>
      </c>
      <c r="G169" s="51" t="s">
        <v>20</v>
      </c>
      <c r="H169" s="51" t="s">
        <v>20</v>
      </c>
      <c r="I169" s="75" t="s">
        <v>19</v>
      </c>
      <c r="J169" s="75" t="s">
        <v>19</v>
      </c>
      <c r="K169" s="75" t="s">
        <v>20</v>
      </c>
      <c r="L169" s="51" t="s">
        <v>19</v>
      </c>
      <c r="M169" s="51" t="s">
        <v>19</v>
      </c>
      <c r="N169" s="51" t="s">
        <v>19</v>
      </c>
      <c r="O169" s="51" t="s">
        <v>20</v>
      </c>
      <c r="P169" s="51" t="s">
        <v>20</v>
      </c>
      <c r="Q169" s="51" t="s">
        <v>20</v>
      </c>
      <c r="R169" s="51" t="s">
        <v>20</v>
      </c>
      <c r="S169" s="51" t="s">
        <v>19</v>
      </c>
      <c r="T169" s="51" t="s">
        <v>20</v>
      </c>
      <c r="U169" s="45" t="s">
        <v>19</v>
      </c>
      <c r="V169" s="54" t="s">
        <v>19</v>
      </c>
      <c r="W169" s="54" t="s">
        <v>19</v>
      </c>
      <c r="X169" s="51" t="s">
        <v>20</v>
      </c>
      <c r="Y169" s="51" t="s">
        <v>20</v>
      </c>
      <c r="Z169" s="39" t="s">
        <v>20</v>
      </c>
      <c r="AA169" s="39" t="s">
        <v>20</v>
      </c>
      <c r="AB169" s="39" t="s">
        <v>20</v>
      </c>
      <c r="AC169" s="53" t="s">
        <v>20</v>
      </c>
      <c r="AD169" s="53" t="s">
        <v>20</v>
      </c>
      <c r="AE169" s="34">
        <f t="shared" si="2"/>
        <v>0</v>
      </c>
    </row>
    <row r="170" spans="1:31" ht="15.75" customHeight="1" x14ac:dyDescent="0.25">
      <c r="A170" s="20">
        <v>17</v>
      </c>
      <c r="B170" s="37" t="s">
        <v>147</v>
      </c>
      <c r="C170" s="20">
        <v>4</v>
      </c>
      <c r="D170" s="20" t="s">
        <v>20</v>
      </c>
      <c r="E170" s="51" t="s">
        <v>20</v>
      </c>
      <c r="F170" s="51" t="s">
        <v>20</v>
      </c>
      <c r="G170" s="51" t="s">
        <v>20</v>
      </c>
      <c r="H170" s="51" t="s">
        <v>20</v>
      </c>
      <c r="I170" s="75" t="s">
        <v>19</v>
      </c>
      <c r="J170" s="75" t="s">
        <v>19</v>
      </c>
      <c r="K170" s="75" t="s">
        <v>20</v>
      </c>
      <c r="L170" s="51" t="s">
        <v>20</v>
      </c>
      <c r="M170" s="51" t="s">
        <v>19</v>
      </c>
      <c r="N170" s="51" t="s">
        <v>20</v>
      </c>
      <c r="O170" s="51" t="s">
        <v>20</v>
      </c>
      <c r="P170" s="51" t="s">
        <v>20</v>
      </c>
      <c r="Q170" s="51" t="s">
        <v>20</v>
      </c>
      <c r="R170" s="51" t="s">
        <v>21</v>
      </c>
      <c r="S170" s="51" t="s">
        <v>20</v>
      </c>
      <c r="T170" s="51" t="s">
        <v>19</v>
      </c>
      <c r="U170" s="45" t="s">
        <v>19</v>
      </c>
      <c r="V170" s="54" t="s">
        <v>19</v>
      </c>
      <c r="W170" s="54" t="s">
        <v>19</v>
      </c>
      <c r="X170" s="51" t="s">
        <v>19</v>
      </c>
      <c r="Y170" s="51" t="s">
        <v>19</v>
      </c>
      <c r="Z170" s="39" t="s">
        <v>19</v>
      </c>
      <c r="AA170" s="39" t="s">
        <v>19</v>
      </c>
      <c r="AB170" s="39" t="s">
        <v>19</v>
      </c>
      <c r="AC170" s="53" t="s">
        <v>20</v>
      </c>
      <c r="AD170" s="53" t="s">
        <v>20</v>
      </c>
      <c r="AE170" s="34">
        <f t="shared" si="2"/>
        <v>1</v>
      </c>
    </row>
    <row r="171" spans="1:31" ht="15.75" customHeight="1" x14ac:dyDescent="0.25">
      <c r="A171" s="20">
        <v>18</v>
      </c>
      <c r="B171" s="37" t="s">
        <v>264</v>
      </c>
      <c r="C171" s="20">
        <v>4</v>
      </c>
      <c r="D171" s="20" t="s">
        <v>20</v>
      </c>
      <c r="E171" s="51" t="s">
        <v>21</v>
      </c>
      <c r="F171" s="51" t="s">
        <v>21</v>
      </c>
      <c r="G171" s="51" t="s">
        <v>21</v>
      </c>
      <c r="H171" s="51" t="s">
        <v>21</v>
      </c>
      <c r="I171" s="75" t="s">
        <v>19</v>
      </c>
      <c r="J171" s="75" t="s">
        <v>19</v>
      </c>
      <c r="K171" s="75" t="s">
        <v>20</v>
      </c>
      <c r="L171" s="51" t="s">
        <v>20</v>
      </c>
      <c r="M171" s="51" t="s">
        <v>20</v>
      </c>
      <c r="N171" s="51" t="s">
        <v>19</v>
      </c>
      <c r="O171" s="51" t="s">
        <v>20</v>
      </c>
      <c r="P171" s="51" t="s">
        <v>20</v>
      </c>
      <c r="Q171" s="51" t="s">
        <v>21</v>
      </c>
      <c r="R171" s="51" t="s">
        <v>20</v>
      </c>
      <c r="S171" s="51" t="s">
        <v>19</v>
      </c>
      <c r="T171" s="51" t="s">
        <v>20</v>
      </c>
      <c r="U171" s="45" t="s">
        <v>19</v>
      </c>
      <c r="V171" s="54" t="s">
        <v>20</v>
      </c>
      <c r="W171" s="54" t="s">
        <v>19</v>
      </c>
      <c r="X171" s="51" t="s">
        <v>19</v>
      </c>
      <c r="Y171" s="51" t="s">
        <v>19</v>
      </c>
      <c r="Z171" s="39" t="s">
        <v>20</v>
      </c>
      <c r="AA171" s="39" t="s">
        <v>20</v>
      </c>
      <c r="AB171" s="39" t="s">
        <v>20</v>
      </c>
      <c r="AC171" s="53" t="s">
        <v>20</v>
      </c>
      <c r="AD171" s="53" t="s">
        <v>20</v>
      </c>
      <c r="AE171" s="34">
        <f t="shared" si="2"/>
        <v>5</v>
      </c>
    </row>
    <row r="172" spans="1:31" ht="15.75" customHeight="1" x14ac:dyDescent="0.25">
      <c r="A172" s="20">
        <v>19</v>
      </c>
      <c r="B172" s="37" t="s">
        <v>148</v>
      </c>
      <c r="C172" s="20">
        <v>4</v>
      </c>
      <c r="D172" s="20" t="s">
        <v>20</v>
      </c>
      <c r="E172" s="51" t="s">
        <v>21</v>
      </c>
      <c r="F172" s="51" t="s">
        <v>20</v>
      </c>
      <c r="G172" s="51" t="s">
        <v>20</v>
      </c>
      <c r="H172" s="51" t="s">
        <v>20</v>
      </c>
      <c r="I172" s="75" t="s">
        <v>19</v>
      </c>
      <c r="J172" s="75" t="s">
        <v>19</v>
      </c>
      <c r="K172" s="75" t="s">
        <v>20</v>
      </c>
      <c r="L172" s="51" t="s">
        <v>19</v>
      </c>
      <c r="M172" s="51" t="s">
        <v>19</v>
      </c>
      <c r="N172" s="51" t="s">
        <v>20</v>
      </c>
      <c r="O172" s="51" t="s">
        <v>20</v>
      </c>
      <c r="P172" s="51" t="s">
        <v>20</v>
      </c>
      <c r="Q172" s="51" t="s">
        <v>20</v>
      </c>
      <c r="R172" s="51" t="s">
        <v>19</v>
      </c>
      <c r="S172" s="51" t="s">
        <v>19</v>
      </c>
      <c r="T172" s="51" t="s">
        <v>20</v>
      </c>
      <c r="U172" s="45" t="s">
        <v>19</v>
      </c>
      <c r="V172" s="54" t="s">
        <v>19</v>
      </c>
      <c r="W172" s="54" t="s">
        <v>19</v>
      </c>
      <c r="X172" s="51" t="s">
        <v>19</v>
      </c>
      <c r="Y172" s="51" t="s">
        <v>20</v>
      </c>
      <c r="Z172" s="39" t="s">
        <v>20</v>
      </c>
      <c r="AA172" s="39" t="s">
        <v>20</v>
      </c>
      <c r="AB172" s="39" t="s">
        <v>20</v>
      </c>
      <c r="AC172" s="53" t="s">
        <v>20</v>
      </c>
      <c r="AD172" s="53" t="s">
        <v>20</v>
      </c>
      <c r="AE172" s="34">
        <f t="shared" si="2"/>
        <v>1</v>
      </c>
    </row>
    <row r="173" spans="1:31" ht="15.75" customHeight="1" x14ac:dyDescent="0.25">
      <c r="A173" s="20">
        <v>20</v>
      </c>
      <c r="B173" s="37" t="s">
        <v>149</v>
      </c>
      <c r="C173" s="20">
        <v>4</v>
      </c>
      <c r="D173" s="20" t="s">
        <v>20</v>
      </c>
      <c r="E173" s="51" t="s">
        <v>19</v>
      </c>
      <c r="F173" s="51" t="s">
        <v>19</v>
      </c>
      <c r="G173" s="51" t="s">
        <v>19</v>
      </c>
      <c r="H173" s="51" t="s">
        <v>22</v>
      </c>
      <c r="I173" s="75" t="s">
        <v>19</v>
      </c>
      <c r="J173" s="75" t="s">
        <v>22</v>
      </c>
      <c r="K173" s="75" t="s">
        <v>19</v>
      </c>
      <c r="L173" s="51" t="s">
        <v>19</v>
      </c>
      <c r="M173" s="51" t="s">
        <v>19</v>
      </c>
      <c r="N173" s="51" t="s">
        <v>19</v>
      </c>
      <c r="O173" s="51" t="s">
        <v>19</v>
      </c>
      <c r="P173" s="51" t="s">
        <v>19</v>
      </c>
      <c r="Q173" s="51" t="s">
        <v>19</v>
      </c>
      <c r="R173" s="51" t="s">
        <v>19</v>
      </c>
      <c r="S173" s="51" t="s">
        <v>19</v>
      </c>
      <c r="T173" s="51" t="s">
        <v>19</v>
      </c>
      <c r="U173" s="46" t="s">
        <v>19</v>
      </c>
      <c r="V173" s="54" t="s">
        <v>19</v>
      </c>
      <c r="W173" s="54" t="s">
        <v>19</v>
      </c>
      <c r="X173" s="51" t="s">
        <v>22</v>
      </c>
      <c r="Y173" s="51" t="s">
        <v>22</v>
      </c>
      <c r="Z173" s="39" t="s">
        <v>19</v>
      </c>
      <c r="AA173" s="39" t="s">
        <v>19</v>
      </c>
      <c r="AB173" s="39" t="s">
        <v>19</v>
      </c>
      <c r="AC173" s="53" t="s">
        <v>19</v>
      </c>
      <c r="AD173" s="53" t="s">
        <v>20</v>
      </c>
      <c r="AE173" s="34">
        <f t="shared" si="2"/>
        <v>0</v>
      </c>
    </row>
    <row r="174" spans="1:31" ht="15.75" customHeight="1" x14ac:dyDescent="0.25">
      <c r="A174" s="20">
        <v>21</v>
      </c>
      <c r="B174" s="37" t="s">
        <v>150</v>
      </c>
      <c r="C174" s="20">
        <v>4</v>
      </c>
      <c r="D174" s="20" t="s">
        <v>20</v>
      </c>
      <c r="E174" s="51" t="s">
        <v>20</v>
      </c>
      <c r="F174" s="51" t="s">
        <v>21</v>
      </c>
      <c r="G174" s="51" t="s">
        <v>21</v>
      </c>
      <c r="H174" s="51" t="s">
        <v>21</v>
      </c>
      <c r="I174" s="75" t="s">
        <v>19</v>
      </c>
      <c r="J174" s="75" t="s">
        <v>20</v>
      </c>
      <c r="K174" s="75" t="s">
        <v>20</v>
      </c>
      <c r="L174" s="51" t="s">
        <v>20</v>
      </c>
      <c r="M174" s="51" t="s">
        <v>20</v>
      </c>
      <c r="N174" s="51" t="s">
        <v>20</v>
      </c>
      <c r="O174" s="51" t="s">
        <v>20</v>
      </c>
      <c r="P174" s="51" t="s">
        <v>20</v>
      </c>
      <c r="Q174" s="51" t="s">
        <v>21</v>
      </c>
      <c r="R174" s="51" t="s">
        <v>20</v>
      </c>
      <c r="S174" s="51" t="s">
        <v>19</v>
      </c>
      <c r="T174" s="51" t="s">
        <v>19</v>
      </c>
      <c r="U174" s="45" t="s">
        <v>19</v>
      </c>
      <c r="V174" s="54" t="s">
        <v>19</v>
      </c>
      <c r="W174" s="54" t="s">
        <v>19</v>
      </c>
      <c r="X174" s="51" t="s">
        <v>20</v>
      </c>
      <c r="Y174" s="51" t="s">
        <v>20</v>
      </c>
      <c r="Z174" s="39" t="s">
        <v>20</v>
      </c>
      <c r="AA174" s="39" t="s">
        <v>20</v>
      </c>
      <c r="AB174" s="39" t="s">
        <v>19</v>
      </c>
      <c r="AC174" s="53" t="s">
        <v>20</v>
      </c>
      <c r="AD174" s="53" t="s">
        <v>20</v>
      </c>
      <c r="AE174" s="34">
        <f t="shared" si="2"/>
        <v>4</v>
      </c>
    </row>
    <row r="175" spans="1:31" ht="15.75" customHeight="1" x14ac:dyDescent="0.25">
      <c r="A175" s="20">
        <v>22</v>
      </c>
      <c r="B175" s="37" t="s">
        <v>152</v>
      </c>
      <c r="C175" s="20">
        <v>4</v>
      </c>
      <c r="D175" s="20" t="s">
        <v>20</v>
      </c>
      <c r="E175" s="51" t="s">
        <v>19</v>
      </c>
      <c r="F175" s="51" t="s">
        <v>22</v>
      </c>
      <c r="G175" s="51" t="s">
        <v>22</v>
      </c>
      <c r="H175" s="51" t="s">
        <v>22</v>
      </c>
      <c r="I175" s="75" t="s">
        <v>19</v>
      </c>
      <c r="J175" s="75" t="s">
        <v>19</v>
      </c>
      <c r="K175" s="75" t="s">
        <v>19</v>
      </c>
      <c r="L175" s="51" t="s">
        <v>19</v>
      </c>
      <c r="M175" s="51" t="s">
        <v>19</v>
      </c>
      <c r="N175" s="51" t="s">
        <v>19</v>
      </c>
      <c r="O175" s="51" t="s">
        <v>19</v>
      </c>
      <c r="P175" s="51" t="s">
        <v>20</v>
      </c>
      <c r="Q175" s="51" t="s">
        <v>20</v>
      </c>
      <c r="R175" s="51" t="s">
        <v>19</v>
      </c>
      <c r="S175" s="51" t="s">
        <v>19</v>
      </c>
      <c r="T175" s="51" t="s">
        <v>19</v>
      </c>
      <c r="U175" s="45" t="s">
        <v>19</v>
      </c>
      <c r="V175" s="54" t="s">
        <v>19</v>
      </c>
      <c r="W175" s="54" t="s">
        <v>19</v>
      </c>
      <c r="X175" s="51" t="s">
        <v>19</v>
      </c>
      <c r="Y175" s="51" t="s">
        <v>19</v>
      </c>
      <c r="Z175" s="39" t="s">
        <v>19</v>
      </c>
      <c r="AA175" s="39" t="s">
        <v>20</v>
      </c>
      <c r="AB175" s="39" t="s">
        <v>19</v>
      </c>
      <c r="AC175" s="53" t="s">
        <v>59</v>
      </c>
      <c r="AD175" s="53" t="s">
        <v>59</v>
      </c>
      <c r="AE175" s="34">
        <f t="shared" si="2"/>
        <v>0</v>
      </c>
    </row>
    <row r="176" spans="1:31" ht="15.75" customHeight="1" x14ac:dyDescent="0.25">
      <c r="A176" s="20">
        <v>23</v>
      </c>
      <c r="B176" s="37" t="s">
        <v>153</v>
      </c>
      <c r="C176" s="20">
        <v>4</v>
      </c>
      <c r="D176" s="20" t="s">
        <v>20</v>
      </c>
      <c r="E176" s="51" t="s">
        <v>19</v>
      </c>
      <c r="F176" s="51" t="s">
        <v>19</v>
      </c>
      <c r="G176" s="51" t="s">
        <v>19</v>
      </c>
      <c r="H176" s="51" t="s">
        <v>19</v>
      </c>
      <c r="I176" s="75" t="s">
        <v>19</v>
      </c>
      <c r="J176" s="75" t="s">
        <v>19</v>
      </c>
      <c r="K176" s="75" t="s">
        <v>20</v>
      </c>
      <c r="L176" s="51" t="s">
        <v>19</v>
      </c>
      <c r="M176" s="51" t="s">
        <v>20</v>
      </c>
      <c r="N176" s="51" t="s">
        <v>19</v>
      </c>
      <c r="O176" s="51" t="s">
        <v>19</v>
      </c>
      <c r="P176" s="51" t="s">
        <v>19</v>
      </c>
      <c r="Q176" s="51" t="s">
        <v>19</v>
      </c>
      <c r="R176" s="51" t="s">
        <v>19</v>
      </c>
      <c r="S176" s="51" t="s">
        <v>19</v>
      </c>
      <c r="T176" s="51" t="s">
        <v>19</v>
      </c>
      <c r="U176" s="45" t="s">
        <v>19</v>
      </c>
      <c r="V176" s="54" t="s">
        <v>19</v>
      </c>
      <c r="W176" s="54" t="s">
        <v>19</v>
      </c>
      <c r="X176" s="51" t="s">
        <v>19</v>
      </c>
      <c r="Y176" s="51" t="s">
        <v>19</v>
      </c>
      <c r="Z176" s="39" t="s">
        <v>20</v>
      </c>
      <c r="AA176" s="39" t="s">
        <v>20</v>
      </c>
      <c r="AB176" s="39" t="s">
        <v>19</v>
      </c>
      <c r="AC176" s="53" t="s">
        <v>19</v>
      </c>
      <c r="AD176" s="53" t="s">
        <v>20</v>
      </c>
      <c r="AE176" s="34">
        <f t="shared" si="2"/>
        <v>0</v>
      </c>
    </row>
    <row r="177" spans="1:31" ht="15.75" customHeight="1" x14ac:dyDescent="0.25">
      <c r="A177" s="20">
        <v>24</v>
      </c>
      <c r="B177" s="37" t="s">
        <v>154</v>
      </c>
      <c r="C177" s="20">
        <v>4</v>
      </c>
      <c r="D177" s="20" t="s">
        <v>20</v>
      </c>
      <c r="E177" s="51" t="s">
        <v>19</v>
      </c>
      <c r="F177" s="51" t="s">
        <v>19</v>
      </c>
      <c r="G177" s="51" t="s">
        <v>19</v>
      </c>
      <c r="H177" s="51" t="s">
        <v>19</v>
      </c>
      <c r="I177" s="75" t="s">
        <v>19</v>
      </c>
      <c r="J177" s="75" t="s">
        <v>19</v>
      </c>
      <c r="K177" s="75" t="s">
        <v>19</v>
      </c>
      <c r="L177" s="51" t="s">
        <v>19</v>
      </c>
      <c r="M177" s="51" t="s">
        <v>19</v>
      </c>
      <c r="N177" s="51" t="s">
        <v>19</v>
      </c>
      <c r="O177" s="51" t="s">
        <v>20</v>
      </c>
      <c r="P177" s="51" t="s">
        <v>20</v>
      </c>
      <c r="Q177" s="51" t="s">
        <v>19</v>
      </c>
      <c r="R177" s="51" t="s">
        <v>19</v>
      </c>
      <c r="S177" s="51" t="s">
        <v>19</v>
      </c>
      <c r="T177" s="51" t="s">
        <v>19</v>
      </c>
      <c r="U177" s="45" t="s">
        <v>19</v>
      </c>
      <c r="V177" s="54" t="s">
        <v>19</v>
      </c>
      <c r="W177" s="54" t="s">
        <v>19</v>
      </c>
      <c r="X177" s="51" t="s">
        <v>19</v>
      </c>
      <c r="Y177" s="51" t="s">
        <v>19</v>
      </c>
      <c r="Z177" s="39" t="s">
        <v>19</v>
      </c>
      <c r="AA177" s="39" t="s">
        <v>19</v>
      </c>
      <c r="AB177" s="39" t="s">
        <v>19</v>
      </c>
      <c r="AC177" s="53" t="s">
        <v>19</v>
      </c>
      <c r="AD177" s="53" t="s">
        <v>20</v>
      </c>
      <c r="AE177" s="34">
        <f t="shared" si="2"/>
        <v>0</v>
      </c>
    </row>
    <row r="178" spans="1:31" ht="15.75" customHeight="1" thickBot="1" x14ac:dyDescent="0.3">
      <c r="A178" s="21">
        <v>25</v>
      </c>
      <c r="B178" s="38" t="s">
        <v>155</v>
      </c>
      <c r="C178" s="21">
        <v>4</v>
      </c>
      <c r="D178" s="21" t="s">
        <v>20</v>
      </c>
      <c r="E178" s="87" t="s">
        <v>19</v>
      </c>
      <c r="F178" s="87" t="s">
        <v>19</v>
      </c>
      <c r="G178" s="87" t="s">
        <v>19</v>
      </c>
      <c r="H178" s="87" t="s">
        <v>19</v>
      </c>
      <c r="I178" s="103" t="s">
        <v>19</v>
      </c>
      <c r="J178" s="103" t="s">
        <v>22</v>
      </c>
      <c r="K178" s="103" t="s">
        <v>19</v>
      </c>
      <c r="L178" s="87" t="s">
        <v>19</v>
      </c>
      <c r="M178" s="87" t="s">
        <v>19</v>
      </c>
      <c r="N178" s="87" t="s">
        <v>19</v>
      </c>
      <c r="O178" s="87" t="s">
        <v>19</v>
      </c>
      <c r="P178" s="87" t="s">
        <v>19</v>
      </c>
      <c r="Q178" s="87" t="s">
        <v>19</v>
      </c>
      <c r="R178" s="87" t="s">
        <v>19</v>
      </c>
      <c r="S178" s="102" t="s">
        <v>19</v>
      </c>
      <c r="T178" s="87" t="s">
        <v>19</v>
      </c>
      <c r="U178" s="47" t="s">
        <v>19</v>
      </c>
      <c r="V178" s="100" t="s">
        <v>19</v>
      </c>
      <c r="W178" s="100" t="s">
        <v>19</v>
      </c>
      <c r="X178" s="87" t="s">
        <v>19</v>
      </c>
      <c r="Y178" s="87" t="s">
        <v>20</v>
      </c>
      <c r="Z178" s="41" t="s">
        <v>19</v>
      </c>
      <c r="AA178" s="41" t="s">
        <v>20</v>
      </c>
      <c r="AB178" s="41" t="s">
        <v>19</v>
      </c>
      <c r="AC178" s="96" t="s">
        <v>19</v>
      </c>
      <c r="AD178" s="96" t="s">
        <v>20</v>
      </c>
      <c r="AE178" s="34">
        <f t="shared" si="2"/>
        <v>0</v>
      </c>
    </row>
    <row r="179" spans="1:31" ht="15.75" customHeight="1" x14ac:dyDescent="0.25">
      <c r="A179" s="97">
        <v>1</v>
      </c>
      <c r="B179" s="98" t="s">
        <v>156</v>
      </c>
      <c r="C179" s="97">
        <v>5</v>
      </c>
      <c r="D179" s="97" t="s">
        <v>19</v>
      </c>
      <c r="E179" s="83" t="s">
        <v>19</v>
      </c>
      <c r="F179" s="83" t="s">
        <v>19</v>
      </c>
      <c r="G179" s="83" t="s">
        <v>22</v>
      </c>
      <c r="H179" s="83" t="s">
        <v>22</v>
      </c>
      <c r="I179" s="101" t="s">
        <v>19</v>
      </c>
      <c r="J179" s="101" t="s">
        <v>19</v>
      </c>
      <c r="K179" s="101" t="s">
        <v>19</v>
      </c>
      <c r="L179" s="83" t="s">
        <v>19</v>
      </c>
      <c r="M179" s="83" t="s">
        <v>19</v>
      </c>
      <c r="N179" s="83" t="s">
        <v>19</v>
      </c>
      <c r="O179" s="83" t="s">
        <v>20</v>
      </c>
      <c r="P179" s="83" t="s">
        <v>20</v>
      </c>
      <c r="Q179" s="83" t="s">
        <v>20</v>
      </c>
      <c r="R179" s="83" t="s">
        <v>19</v>
      </c>
      <c r="S179" s="83" t="s">
        <v>20</v>
      </c>
      <c r="T179" s="83" t="s">
        <v>20</v>
      </c>
      <c r="U179" s="106" t="s">
        <v>19</v>
      </c>
      <c r="V179" s="99" t="s">
        <v>20</v>
      </c>
      <c r="W179" s="99" t="s">
        <v>20</v>
      </c>
      <c r="X179" s="83" t="s">
        <v>19</v>
      </c>
      <c r="Y179" s="83" t="s">
        <v>19</v>
      </c>
      <c r="Z179" s="86" t="s">
        <v>19</v>
      </c>
      <c r="AA179" s="86" t="s">
        <v>19</v>
      </c>
      <c r="AB179" s="86" t="s">
        <v>20</v>
      </c>
      <c r="AC179" s="94" t="s">
        <v>19</v>
      </c>
      <c r="AD179" s="94" t="s">
        <v>20</v>
      </c>
      <c r="AE179" s="34">
        <f t="shared" si="2"/>
        <v>0</v>
      </c>
    </row>
    <row r="180" spans="1:31" ht="15.75" customHeight="1" x14ac:dyDescent="0.25">
      <c r="A180" s="89">
        <v>2</v>
      </c>
      <c r="B180" s="90" t="s">
        <v>157</v>
      </c>
      <c r="C180" s="89">
        <v>5</v>
      </c>
      <c r="D180" s="89" t="s">
        <v>19</v>
      </c>
      <c r="E180" s="51" t="s">
        <v>19</v>
      </c>
      <c r="F180" s="51" t="s">
        <v>19</v>
      </c>
      <c r="G180" s="51" t="s">
        <v>19</v>
      </c>
      <c r="H180" s="51" t="s">
        <v>19</v>
      </c>
      <c r="I180" s="75" t="s">
        <v>19</v>
      </c>
      <c r="J180" s="75" t="s">
        <v>19</v>
      </c>
      <c r="K180" s="75" t="s">
        <v>19</v>
      </c>
      <c r="L180" s="51" t="s">
        <v>19</v>
      </c>
      <c r="M180" s="51" t="s">
        <v>19</v>
      </c>
      <c r="N180" s="51" t="s">
        <v>19</v>
      </c>
      <c r="O180" s="51" t="s">
        <v>20</v>
      </c>
      <c r="P180" s="51" t="s">
        <v>19</v>
      </c>
      <c r="Q180" s="51" t="s">
        <v>19</v>
      </c>
      <c r="R180" s="51" t="s">
        <v>19</v>
      </c>
      <c r="S180" s="51" t="s">
        <v>20</v>
      </c>
      <c r="T180" s="51" t="s">
        <v>19</v>
      </c>
      <c r="U180" s="45" t="s">
        <v>19</v>
      </c>
      <c r="V180" s="54" t="s">
        <v>19</v>
      </c>
      <c r="W180" s="54" t="s">
        <v>19</v>
      </c>
      <c r="X180" s="51" t="s">
        <v>20</v>
      </c>
      <c r="Y180" s="51" t="s">
        <v>19</v>
      </c>
      <c r="Z180" s="39" t="s">
        <v>20</v>
      </c>
      <c r="AA180" s="39" t="s">
        <v>19</v>
      </c>
      <c r="AB180" s="39" t="s">
        <v>19</v>
      </c>
      <c r="AC180" s="53" t="s">
        <v>19</v>
      </c>
      <c r="AD180" s="53" t="s">
        <v>20</v>
      </c>
      <c r="AE180" s="34">
        <f t="shared" si="2"/>
        <v>0</v>
      </c>
    </row>
    <row r="181" spans="1:31" ht="15.75" customHeight="1" x14ac:dyDescent="0.25">
      <c r="A181" s="89">
        <v>3</v>
      </c>
      <c r="B181" s="90" t="s">
        <v>158</v>
      </c>
      <c r="C181" s="89">
        <v>5</v>
      </c>
      <c r="D181" s="89" t="s">
        <v>19</v>
      </c>
      <c r="E181" s="51" t="s">
        <v>21</v>
      </c>
      <c r="F181" s="51" t="s">
        <v>21</v>
      </c>
      <c r="G181" s="51" t="s">
        <v>20</v>
      </c>
      <c r="H181" s="51" t="s">
        <v>20</v>
      </c>
      <c r="I181" s="75" t="s">
        <v>19</v>
      </c>
      <c r="J181" s="75" t="s">
        <v>19</v>
      </c>
      <c r="K181" s="75" t="s">
        <v>20</v>
      </c>
      <c r="L181" s="51" t="s">
        <v>19</v>
      </c>
      <c r="M181" s="51" t="s">
        <v>19</v>
      </c>
      <c r="N181" s="51" t="s">
        <v>19</v>
      </c>
      <c r="O181" s="51" t="s">
        <v>20</v>
      </c>
      <c r="P181" s="51" t="s">
        <v>20</v>
      </c>
      <c r="Q181" s="51" t="s">
        <v>19</v>
      </c>
      <c r="R181" s="51" t="s">
        <v>20</v>
      </c>
      <c r="S181" s="51" t="s">
        <v>19</v>
      </c>
      <c r="T181" s="51" t="s">
        <v>19</v>
      </c>
      <c r="U181" s="45" t="s">
        <v>19</v>
      </c>
      <c r="V181" s="54" t="s">
        <v>19</v>
      </c>
      <c r="W181" s="54" t="s">
        <v>19</v>
      </c>
      <c r="X181" s="51" t="s">
        <v>19</v>
      </c>
      <c r="Y181" s="51" t="s">
        <v>19</v>
      </c>
      <c r="Z181" s="39" t="s">
        <v>20</v>
      </c>
      <c r="AA181" s="39" t="s">
        <v>20</v>
      </c>
      <c r="AB181" s="39" t="s">
        <v>20</v>
      </c>
      <c r="AC181" s="53" t="s">
        <v>19</v>
      </c>
      <c r="AD181" s="53" t="s">
        <v>20</v>
      </c>
      <c r="AE181" s="34">
        <f t="shared" si="2"/>
        <v>2</v>
      </c>
    </row>
    <row r="182" spans="1:31" ht="15.75" customHeight="1" x14ac:dyDescent="0.25">
      <c r="A182" s="89">
        <v>4</v>
      </c>
      <c r="B182" s="90" t="s">
        <v>265</v>
      </c>
      <c r="C182" s="89">
        <v>5</v>
      </c>
      <c r="D182" s="89" t="s">
        <v>19</v>
      </c>
      <c r="E182" s="51" t="s">
        <v>21</v>
      </c>
      <c r="F182" s="51" t="s">
        <v>21</v>
      </c>
      <c r="G182" s="51" t="s">
        <v>21</v>
      </c>
      <c r="H182" s="51" t="s">
        <v>21</v>
      </c>
      <c r="I182" s="75" t="s">
        <v>20</v>
      </c>
      <c r="J182" s="75" t="s">
        <v>20</v>
      </c>
      <c r="K182" s="75" t="s">
        <v>20</v>
      </c>
      <c r="L182" s="51" t="s">
        <v>20</v>
      </c>
      <c r="M182" s="51" t="s">
        <v>20</v>
      </c>
      <c r="N182" s="51" t="s">
        <v>19</v>
      </c>
      <c r="O182" s="51" t="s">
        <v>21</v>
      </c>
      <c r="P182" s="51" t="s">
        <v>20</v>
      </c>
      <c r="Q182" s="51" t="s">
        <v>20</v>
      </c>
      <c r="R182" s="51" t="s">
        <v>20</v>
      </c>
      <c r="S182" s="51" t="s">
        <v>20</v>
      </c>
      <c r="T182" s="51" t="s">
        <v>19</v>
      </c>
      <c r="U182" s="45" t="s">
        <v>19</v>
      </c>
      <c r="V182" s="54" t="s">
        <v>19</v>
      </c>
      <c r="W182" s="54" t="s">
        <v>19</v>
      </c>
      <c r="X182" s="51" t="s">
        <v>19</v>
      </c>
      <c r="Y182" s="51" t="s">
        <v>19</v>
      </c>
      <c r="Z182" s="39" t="s">
        <v>20</v>
      </c>
      <c r="AA182" s="39" t="s">
        <v>20</v>
      </c>
      <c r="AB182" s="39" t="s">
        <v>20</v>
      </c>
      <c r="AC182" s="53" t="s">
        <v>20</v>
      </c>
      <c r="AD182" s="53" t="s">
        <v>20</v>
      </c>
      <c r="AE182" s="34">
        <f t="shared" si="2"/>
        <v>5</v>
      </c>
    </row>
    <row r="183" spans="1:31" ht="15.75" customHeight="1" x14ac:dyDescent="0.25">
      <c r="A183" s="89">
        <v>5</v>
      </c>
      <c r="B183" s="90" t="s">
        <v>159</v>
      </c>
      <c r="C183" s="89">
        <v>5</v>
      </c>
      <c r="D183" s="89" t="s">
        <v>19</v>
      </c>
      <c r="E183" s="51" t="s">
        <v>19</v>
      </c>
      <c r="F183" s="51" t="s">
        <v>19</v>
      </c>
      <c r="G183" s="51" t="s">
        <v>22</v>
      </c>
      <c r="H183" s="51" t="s">
        <v>22</v>
      </c>
      <c r="I183" s="75" t="s">
        <v>19</v>
      </c>
      <c r="J183" s="75" t="s">
        <v>19</v>
      </c>
      <c r="K183" s="75" t="s">
        <v>19</v>
      </c>
      <c r="L183" s="51" t="s">
        <v>19</v>
      </c>
      <c r="M183" s="51" t="s">
        <v>19</v>
      </c>
      <c r="N183" s="51" t="s">
        <v>19</v>
      </c>
      <c r="O183" s="51" t="s">
        <v>19</v>
      </c>
      <c r="P183" s="51" t="s">
        <v>20</v>
      </c>
      <c r="Q183" s="51" t="s">
        <v>20</v>
      </c>
      <c r="R183" s="51" t="s">
        <v>19</v>
      </c>
      <c r="S183" s="51" t="s">
        <v>20</v>
      </c>
      <c r="T183" s="51" t="s">
        <v>19</v>
      </c>
      <c r="U183" s="46" t="s">
        <v>19</v>
      </c>
      <c r="V183" s="54" t="s">
        <v>19</v>
      </c>
      <c r="W183" s="54" t="s">
        <v>19</v>
      </c>
      <c r="X183" s="51" t="s">
        <v>19</v>
      </c>
      <c r="Y183" s="51" t="s">
        <v>19</v>
      </c>
      <c r="Z183" s="39" t="s">
        <v>20</v>
      </c>
      <c r="AA183" s="39" t="s">
        <v>20</v>
      </c>
      <c r="AB183" s="39" t="s">
        <v>20</v>
      </c>
      <c r="AC183" s="53" t="s">
        <v>19</v>
      </c>
      <c r="AD183" s="53" t="s">
        <v>20</v>
      </c>
      <c r="AE183" s="34">
        <f t="shared" si="2"/>
        <v>0</v>
      </c>
    </row>
    <row r="184" spans="1:31" ht="15.75" customHeight="1" x14ac:dyDescent="0.25">
      <c r="A184" s="89">
        <v>6</v>
      </c>
      <c r="B184" s="90" t="s">
        <v>160</v>
      </c>
      <c r="C184" s="89">
        <v>5</v>
      </c>
      <c r="D184" s="89" t="s">
        <v>19</v>
      </c>
      <c r="E184" s="51" t="s">
        <v>19</v>
      </c>
      <c r="F184" s="51" t="s">
        <v>19</v>
      </c>
      <c r="G184" s="51" t="s">
        <v>22</v>
      </c>
      <c r="H184" s="51" t="s">
        <v>22</v>
      </c>
      <c r="I184" s="75" t="s">
        <v>19</v>
      </c>
      <c r="J184" s="75" t="s">
        <v>19</v>
      </c>
      <c r="K184" s="75" t="s">
        <v>19</v>
      </c>
      <c r="L184" s="51" t="s">
        <v>19</v>
      </c>
      <c r="M184" s="51" t="s">
        <v>19</v>
      </c>
      <c r="N184" s="51" t="s">
        <v>19</v>
      </c>
      <c r="O184" s="51" t="s">
        <v>20</v>
      </c>
      <c r="P184" s="51" t="s">
        <v>20</v>
      </c>
      <c r="Q184" s="51" t="s">
        <v>20</v>
      </c>
      <c r="R184" s="51" t="s">
        <v>20</v>
      </c>
      <c r="S184" s="51" t="s">
        <v>19</v>
      </c>
      <c r="T184" s="51" t="s">
        <v>19</v>
      </c>
      <c r="U184" s="45" t="s">
        <v>19</v>
      </c>
      <c r="V184" s="54" t="s">
        <v>19</v>
      </c>
      <c r="W184" s="59" t="s">
        <v>19</v>
      </c>
      <c r="X184" s="51" t="s">
        <v>19</v>
      </c>
      <c r="Y184" s="51" t="s">
        <v>19</v>
      </c>
      <c r="Z184" s="39" t="s">
        <v>19</v>
      </c>
      <c r="AA184" s="39" t="s">
        <v>19</v>
      </c>
      <c r="AB184" s="39" t="s">
        <v>19</v>
      </c>
      <c r="AC184" s="53" t="s">
        <v>19</v>
      </c>
      <c r="AD184" s="53" t="s">
        <v>20</v>
      </c>
      <c r="AE184" s="34">
        <f t="shared" si="2"/>
        <v>0</v>
      </c>
    </row>
    <row r="185" spans="1:31" ht="15.75" customHeight="1" x14ac:dyDescent="0.25">
      <c r="A185" s="89">
        <v>7</v>
      </c>
      <c r="B185" s="90" t="s">
        <v>161</v>
      </c>
      <c r="C185" s="89">
        <v>5</v>
      </c>
      <c r="D185" s="89" t="s">
        <v>19</v>
      </c>
      <c r="E185" s="51" t="s">
        <v>21</v>
      </c>
      <c r="F185" s="51" t="s">
        <v>20</v>
      </c>
      <c r="G185" s="51" t="s">
        <v>21</v>
      </c>
      <c r="H185" s="51" t="s">
        <v>20</v>
      </c>
      <c r="I185" s="75" t="s">
        <v>19</v>
      </c>
      <c r="J185" s="75" t="s">
        <v>19</v>
      </c>
      <c r="K185" s="75" t="s">
        <v>20</v>
      </c>
      <c r="L185" s="51" t="s">
        <v>20</v>
      </c>
      <c r="M185" s="51" t="s">
        <v>19</v>
      </c>
      <c r="N185" s="51" t="s">
        <v>19</v>
      </c>
      <c r="O185" s="51" t="s">
        <v>20</v>
      </c>
      <c r="P185" s="51" t="s">
        <v>19</v>
      </c>
      <c r="Q185" s="51" t="s">
        <v>19</v>
      </c>
      <c r="R185" s="51" t="s">
        <v>20</v>
      </c>
      <c r="S185" s="51" t="s">
        <v>20</v>
      </c>
      <c r="T185" s="51" t="s">
        <v>19</v>
      </c>
      <c r="U185" s="45" t="s">
        <v>19</v>
      </c>
      <c r="V185" s="54" t="s">
        <v>19</v>
      </c>
      <c r="W185" s="54" t="s">
        <v>19</v>
      </c>
      <c r="X185" s="51" t="s">
        <v>19</v>
      </c>
      <c r="Y185" s="51" t="s">
        <v>20</v>
      </c>
      <c r="Z185" s="39" t="s">
        <v>20</v>
      </c>
      <c r="AA185" s="39" t="s">
        <v>19</v>
      </c>
      <c r="AB185" s="39" t="s">
        <v>20</v>
      </c>
      <c r="AC185" s="53" t="s">
        <v>19</v>
      </c>
      <c r="AD185" s="53" t="s">
        <v>20</v>
      </c>
      <c r="AE185" s="34">
        <f t="shared" si="2"/>
        <v>2</v>
      </c>
    </row>
    <row r="186" spans="1:31" ht="15.75" customHeight="1" x14ac:dyDescent="0.25">
      <c r="A186" s="89">
        <v>8</v>
      </c>
      <c r="B186" s="90" t="s">
        <v>162</v>
      </c>
      <c r="C186" s="89">
        <v>5</v>
      </c>
      <c r="D186" s="89" t="s">
        <v>19</v>
      </c>
      <c r="E186" s="51" t="s">
        <v>20</v>
      </c>
      <c r="F186" s="51" t="s">
        <v>20</v>
      </c>
      <c r="G186" s="51" t="s">
        <v>20</v>
      </c>
      <c r="H186" s="51" t="s">
        <v>20</v>
      </c>
      <c r="I186" s="75" t="s">
        <v>20</v>
      </c>
      <c r="J186" s="75" t="s">
        <v>20</v>
      </c>
      <c r="K186" s="75" t="s">
        <v>20</v>
      </c>
      <c r="L186" s="51" t="s">
        <v>20</v>
      </c>
      <c r="M186" s="51" t="s">
        <v>19</v>
      </c>
      <c r="N186" s="51" t="s">
        <v>19</v>
      </c>
      <c r="O186" s="51" t="s">
        <v>20</v>
      </c>
      <c r="P186" s="51" t="s">
        <v>21</v>
      </c>
      <c r="Q186" s="51" t="s">
        <v>20</v>
      </c>
      <c r="R186" s="51" t="s">
        <v>20</v>
      </c>
      <c r="S186" s="51" t="s">
        <v>20</v>
      </c>
      <c r="T186" s="51" t="s">
        <v>20</v>
      </c>
      <c r="U186" s="45" t="s">
        <v>20</v>
      </c>
      <c r="V186" s="54" t="s">
        <v>19</v>
      </c>
      <c r="W186" s="54" t="s">
        <v>19</v>
      </c>
      <c r="X186" s="51" t="s">
        <v>20</v>
      </c>
      <c r="Y186" s="51" t="s">
        <v>20</v>
      </c>
      <c r="Z186" s="39" t="s">
        <v>20</v>
      </c>
      <c r="AA186" s="39" t="s">
        <v>20</v>
      </c>
      <c r="AB186" s="39" t="s">
        <v>20</v>
      </c>
      <c r="AC186" s="53" t="s">
        <v>20</v>
      </c>
      <c r="AD186" s="53" t="s">
        <v>20</v>
      </c>
      <c r="AE186" s="34">
        <f t="shared" si="2"/>
        <v>1</v>
      </c>
    </row>
    <row r="187" spans="1:31" ht="15.75" customHeight="1" x14ac:dyDescent="0.25">
      <c r="A187" s="89">
        <v>9</v>
      </c>
      <c r="B187" s="90" t="s">
        <v>163</v>
      </c>
      <c r="C187" s="89">
        <v>5</v>
      </c>
      <c r="D187" s="89" t="s">
        <v>19</v>
      </c>
      <c r="E187" s="51" t="s">
        <v>19</v>
      </c>
      <c r="F187" s="51" t="s">
        <v>19</v>
      </c>
      <c r="G187" s="51" t="s">
        <v>19</v>
      </c>
      <c r="H187" s="51" t="s">
        <v>19</v>
      </c>
      <c r="I187" s="75" t="s">
        <v>19</v>
      </c>
      <c r="J187" s="75" t="s">
        <v>19</v>
      </c>
      <c r="K187" s="75" t="s">
        <v>19</v>
      </c>
      <c r="L187" s="51" t="s">
        <v>19</v>
      </c>
      <c r="M187" s="51" t="s">
        <v>19</v>
      </c>
      <c r="N187" s="51" t="s">
        <v>19</v>
      </c>
      <c r="O187" s="51" t="s">
        <v>20</v>
      </c>
      <c r="P187" s="51" t="s">
        <v>20</v>
      </c>
      <c r="Q187" s="51" t="s">
        <v>19</v>
      </c>
      <c r="R187" s="51" t="s">
        <v>19</v>
      </c>
      <c r="S187" s="51" t="s">
        <v>20</v>
      </c>
      <c r="T187" s="51" t="s">
        <v>20</v>
      </c>
      <c r="U187" s="45" t="s">
        <v>19</v>
      </c>
      <c r="V187" s="54" t="s">
        <v>19</v>
      </c>
      <c r="W187" s="54" t="s">
        <v>19</v>
      </c>
      <c r="X187" s="51" t="s">
        <v>19</v>
      </c>
      <c r="Y187" s="51" t="s">
        <v>19</v>
      </c>
      <c r="Z187" s="39" t="s">
        <v>19</v>
      </c>
      <c r="AA187" s="39" t="s">
        <v>19</v>
      </c>
      <c r="AB187" s="39" t="s">
        <v>19</v>
      </c>
      <c r="AC187" s="53" t="s">
        <v>19</v>
      </c>
      <c r="AD187" s="53" t="s">
        <v>20</v>
      </c>
      <c r="AE187" s="34">
        <f t="shared" si="2"/>
        <v>0</v>
      </c>
    </row>
    <row r="188" spans="1:31" ht="15.75" customHeight="1" x14ac:dyDescent="0.25">
      <c r="A188" s="89">
        <v>10</v>
      </c>
      <c r="B188" s="90" t="s">
        <v>164</v>
      </c>
      <c r="C188" s="89">
        <v>5</v>
      </c>
      <c r="D188" s="89" t="s">
        <v>19</v>
      </c>
      <c r="E188" s="51" t="s">
        <v>19</v>
      </c>
      <c r="F188" s="51" t="s">
        <v>19</v>
      </c>
      <c r="G188" s="51" t="s">
        <v>19</v>
      </c>
      <c r="H188" s="51" t="s">
        <v>19</v>
      </c>
      <c r="I188" s="75" t="s">
        <v>19</v>
      </c>
      <c r="J188" s="75" t="s">
        <v>19</v>
      </c>
      <c r="K188" s="75" t="s">
        <v>20</v>
      </c>
      <c r="L188" s="51" t="s">
        <v>19</v>
      </c>
      <c r="M188" s="51" t="s">
        <v>19</v>
      </c>
      <c r="N188" s="51" t="s">
        <v>19</v>
      </c>
      <c r="O188" s="51" t="s">
        <v>20</v>
      </c>
      <c r="P188" s="51" t="s">
        <v>20</v>
      </c>
      <c r="Q188" s="51" t="s">
        <v>19</v>
      </c>
      <c r="R188" s="51" t="s">
        <v>19</v>
      </c>
      <c r="S188" s="51" t="s">
        <v>20</v>
      </c>
      <c r="T188" s="51" t="s">
        <v>19</v>
      </c>
      <c r="U188" s="45" t="s">
        <v>19</v>
      </c>
      <c r="V188" s="54" t="s">
        <v>19</v>
      </c>
      <c r="W188" s="54" t="s">
        <v>20</v>
      </c>
      <c r="X188" s="51" t="s">
        <v>19</v>
      </c>
      <c r="Y188" s="51" t="s">
        <v>19</v>
      </c>
      <c r="Z188" s="39" t="s">
        <v>22</v>
      </c>
      <c r="AA188" s="39" t="s">
        <v>19</v>
      </c>
      <c r="AB188" s="39" t="s">
        <v>19</v>
      </c>
      <c r="AC188" s="53" t="s">
        <v>19</v>
      </c>
      <c r="AD188" s="53" t="s">
        <v>20</v>
      </c>
      <c r="AE188" s="34">
        <f t="shared" si="2"/>
        <v>0</v>
      </c>
    </row>
    <row r="189" spans="1:31" ht="15.75" customHeight="1" x14ac:dyDescent="0.25">
      <c r="A189" s="89">
        <v>11</v>
      </c>
      <c r="B189" s="90" t="s">
        <v>165</v>
      </c>
      <c r="C189" s="89">
        <v>5</v>
      </c>
      <c r="D189" s="89" t="s">
        <v>19</v>
      </c>
      <c r="E189" s="51" t="s">
        <v>19</v>
      </c>
      <c r="F189" s="51" t="s">
        <v>19</v>
      </c>
      <c r="G189" s="51" t="s">
        <v>22</v>
      </c>
      <c r="H189" s="51" t="s">
        <v>19</v>
      </c>
      <c r="I189" s="75" t="s">
        <v>19</v>
      </c>
      <c r="J189" s="75" t="s">
        <v>19</v>
      </c>
      <c r="K189" s="75" t="s">
        <v>19</v>
      </c>
      <c r="L189" s="51" t="s">
        <v>19</v>
      </c>
      <c r="M189" s="51" t="s">
        <v>19</v>
      </c>
      <c r="N189" s="51" t="s">
        <v>19</v>
      </c>
      <c r="O189" s="51" t="s">
        <v>19</v>
      </c>
      <c r="P189" s="51" t="s">
        <v>19</v>
      </c>
      <c r="Q189" s="51" t="s">
        <v>20</v>
      </c>
      <c r="R189" s="51" t="s">
        <v>19</v>
      </c>
      <c r="S189" s="51" t="s">
        <v>20</v>
      </c>
      <c r="T189" s="51" t="s">
        <v>19</v>
      </c>
      <c r="U189" s="45" t="s">
        <v>19</v>
      </c>
      <c r="V189" s="54" t="s">
        <v>19</v>
      </c>
      <c r="W189" s="54" t="s">
        <v>19</v>
      </c>
      <c r="X189" s="51" t="s">
        <v>19</v>
      </c>
      <c r="Y189" s="51" t="s">
        <v>19</v>
      </c>
      <c r="Z189" s="39" t="s">
        <v>19</v>
      </c>
      <c r="AA189" s="39" t="s">
        <v>19</v>
      </c>
      <c r="AB189" s="39" t="s">
        <v>20</v>
      </c>
      <c r="AC189" s="53" t="s">
        <v>19</v>
      </c>
      <c r="AD189" s="53" t="s">
        <v>20</v>
      </c>
      <c r="AE189" s="34">
        <f t="shared" si="2"/>
        <v>0</v>
      </c>
    </row>
    <row r="190" spans="1:31" ht="15.75" customHeight="1" x14ac:dyDescent="0.25">
      <c r="A190" s="89">
        <v>12</v>
      </c>
      <c r="B190" s="90" t="s">
        <v>166</v>
      </c>
      <c r="C190" s="89">
        <v>5</v>
      </c>
      <c r="D190" s="89" t="s">
        <v>19</v>
      </c>
      <c r="E190" s="51" t="s">
        <v>19</v>
      </c>
      <c r="F190" s="51" t="s">
        <v>22</v>
      </c>
      <c r="G190" s="51" t="s">
        <v>19</v>
      </c>
      <c r="H190" s="51" t="s">
        <v>22</v>
      </c>
      <c r="I190" s="75" t="s">
        <v>19</v>
      </c>
      <c r="J190" s="75" t="s">
        <v>22</v>
      </c>
      <c r="K190" s="75" t="s">
        <v>19</v>
      </c>
      <c r="L190" s="51" t="s">
        <v>19</v>
      </c>
      <c r="M190" s="51" t="s">
        <v>19</v>
      </c>
      <c r="N190" s="51" t="s">
        <v>19</v>
      </c>
      <c r="O190" s="51" t="s">
        <v>19</v>
      </c>
      <c r="P190" s="51" t="s">
        <v>19</v>
      </c>
      <c r="Q190" s="51" t="s">
        <v>19</v>
      </c>
      <c r="R190" s="51" t="s">
        <v>19</v>
      </c>
      <c r="S190" s="51" t="s">
        <v>19</v>
      </c>
      <c r="T190" s="51" t="s">
        <v>19</v>
      </c>
      <c r="U190" s="45" t="s">
        <v>19</v>
      </c>
      <c r="V190" s="54" t="s">
        <v>19</v>
      </c>
      <c r="W190" s="54" t="s">
        <v>19</v>
      </c>
      <c r="X190" s="51" t="s">
        <v>22</v>
      </c>
      <c r="Y190" s="51" t="s">
        <v>22</v>
      </c>
      <c r="Z190" s="39" t="s">
        <v>22</v>
      </c>
      <c r="AA190" s="39" t="s">
        <v>19</v>
      </c>
      <c r="AB190" s="39" t="s">
        <v>19</v>
      </c>
      <c r="AC190" s="53" t="s">
        <v>19</v>
      </c>
      <c r="AD190" s="53" t="s">
        <v>20</v>
      </c>
      <c r="AE190" s="34">
        <f t="shared" si="2"/>
        <v>0</v>
      </c>
    </row>
    <row r="191" spans="1:31" ht="15.75" customHeight="1" x14ac:dyDescent="0.25">
      <c r="A191" s="89">
        <v>13</v>
      </c>
      <c r="B191" s="90" t="s">
        <v>167</v>
      </c>
      <c r="C191" s="89">
        <v>5</v>
      </c>
      <c r="D191" s="89" t="s">
        <v>19</v>
      </c>
      <c r="E191" s="51" t="s">
        <v>19</v>
      </c>
      <c r="F191" s="51" t="s">
        <v>19</v>
      </c>
      <c r="G191" s="51" t="s">
        <v>19</v>
      </c>
      <c r="H191" s="51" t="s">
        <v>19</v>
      </c>
      <c r="I191" s="75" t="s">
        <v>19</v>
      </c>
      <c r="J191" s="75" t="s">
        <v>19</v>
      </c>
      <c r="K191" s="75" t="s">
        <v>19</v>
      </c>
      <c r="L191" s="51" t="s">
        <v>19</v>
      </c>
      <c r="M191" s="51" t="s">
        <v>19</v>
      </c>
      <c r="N191" s="51" t="s">
        <v>19</v>
      </c>
      <c r="O191" s="51" t="s">
        <v>20</v>
      </c>
      <c r="P191" s="51" t="s">
        <v>20</v>
      </c>
      <c r="Q191" s="51" t="s">
        <v>19</v>
      </c>
      <c r="R191" s="51" t="s">
        <v>20</v>
      </c>
      <c r="S191" s="51" t="s">
        <v>20</v>
      </c>
      <c r="T191" s="51" t="s">
        <v>19</v>
      </c>
      <c r="U191" s="45" t="s">
        <v>19</v>
      </c>
      <c r="V191" s="54" t="s">
        <v>19</v>
      </c>
      <c r="W191" s="54" t="s">
        <v>19</v>
      </c>
      <c r="X191" s="51" t="s">
        <v>19</v>
      </c>
      <c r="Y191" s="51" t="s">
        <v>22</v>
      </c>
      <c r="Z191" s="39" t="s">
        <v>22</v>
      </c>
      <c r="AA191" s="39" t="s">
        <v>19</v>
      </c>
      <c r="AB191" s="39" t="s">
        <v>22</v>
      </c>
      <c r="AC191" s="53" t="s">
        <v>19</v>
      </c>
      <c r="AD191" s="53" t="s">
        <v>20</v>
      </c>
      <c r="AE191" s="34">
        <f t="shared" si="2"/>
        <v>0</v>
      </c>
    </row>
    <row r="192" spans="1:31" ht="15.75" customHeight="1" x14ac:dyDescent="0.25">
      <c r="A192" s="89">
        <v>14</v>
      </c>
      <c r="B192" s="90" t="s">
        <v>168</v>
      </c>
      <c r="C192" s="89">
        <v>5</v>
      </c>
      <c r="D192" s="89" t="s">
        <v>19</v>
      </c>
      <c r="E192" s="51" t="s">
        <v>19</v>
      </c>
      <c r="F192" s="51" t="s">
        <v>19</v>
      </c>
      <c r="G192" s="51" t="s">
        <v>22</v>
      </c>
      <c r="H192" s="51" t="s">
        <v>19</v>
      </c>
      <c r="I192" s="75" t="s">
        <v>19</v>
      </c>
      <c r="J192" s="75" t="s">
        <v>22</v>
      </c>
      <c r="K192" s="75" t="s">
        <v>19</v>
      </c>
      <c r="L192" s="51" t="s">
        <v>20</v>
      </c>
      <c r="M192" s="51" t="s">
        <v>19</v>
      </c>
      <c r="N192" s="51" t="s">
        <v>19</v>
      </c>
      <c r="O192" s="51" t="s">
        <v>19</v>
      </c>
      <c r="P192" s="51" t="s">
        <v>19</v>
      </c>
      <c r="Q192" s="51" t="s">
        <v>19</v>
      </c>
      <c r="R192" s="51" t="s">
        <v>19</v>
      </c>
      <c r="S192" s="51" t="s">
        <v>20</v>
      </c>
      <c r="T192" s="51" t="s">
        <v>19</v>
      </c>
      <c r="U192" s="54" t="s">
        <v>19</v>
      </c>
      <c r="V192" s="54" t="s">
        <v>19</v>
      </c>
      <c r="W192" s="54" t="s">
        <v>19</v>
      </c>
      <c r="X192" s="51" t="s">
        <v>19</v>
      </c>
      <c r="Y192" s="51" t="s">
        <v>22</v>
      </c>
      <c r="Z192" s="39" t="s">
        <v>20</v>
      </c>
      <c r="AA192" s="39" t="s">
        <v>19</v>
      </c>
      <c r="AB192" s="39" t="s">
        <v>19</v>
      </c>
      <c r="AC192" s="51" t="s">
        <v>19</v>
      </c>
      <c r="AD192" s="51" t="s">
        <v>20</v>
      </c>
      <c r="AE192" s="34">
        <f t="shared" si="2"/>
        <v>0</v>
      </c>
    </row>
    <row r="193" spans="1:31" ht="15.75" customHeight="1" x14ac:dyDescent="0.25">
      <c r="A193" s="89">
        <v>15</v>
      </c>
      <c r="B193" s="90" t="s">
        <v>169</v>
      </c>
      <c r="C193" s="89">
        <v>5</v>
      </c>
      <c r="D193" s="89" t="s">
        <v>19</v>
      </c>
      <c r="E193" s="51" t="s">
        <v>20</v>
      </c>
      <c r="F193" s="51" t="s">
        <v>20</v>
      </c>
      <c r="G193" s="51" t="s">
        <v>20</v>
      </c>
      <c r="H193" s="51" t="s">
        <v>20</v>
      </c>
      <c r="I193" s="75" t="s">
        <v>19</v>
      </c>
      <c r="J193" s="75" t="s">
        <v>19</v>
      </c>
      <c r="K193" s="75" t="s">
        <v>20</v>
      </c>
      <c r="L193" s="51" t="s">
        <v>19</v>
      </c>
      <c r="M193" s="51" t="s">
        <v>20</v>
      </c>
      <c r="N193" s="51" t="s">
        <v>19</v>
      </c>
      <c r="O193" s="51" t="s">
        <v>19</v>
      </c>
      <c r="P193" s="51" t="s">
        <v>20</v>
      </c>
      <c r="Q193" s="51" t="s">
        <v>20</v>
      </c>
      <c r="R193" s="51" t="s">
        <v>20</v>
      </c>
      <c r="S193" s="51" t="s">
        <v>20</v>
      </c>
      <c r="T193" s="51" t="s">
        <v>19</v>
      </c>
      <c r="U193" s="54" t="s">
        <v>19</v>
      </c>
      <c r="V193" s="54" t="s">
        <v>19</v>
      </c>
      <c r="W193" s="54" t="s">
        <v>19</v>
      </c>
      <c r="X193" s="51" t="s">
        <v>20</v>
      </c>
      <c r="Y193" s="51" t="s">
        <v>20</v>
      </c>
      <c r="Z193" s="39" t="s">
        <v>20</v>
      </c>
      <c r="AA193" s="39" t="s">
        <v>20</v>
      </c>
      <c r="AB193" s="39" t="s">
        <v>19</v>
      </c>
      <c r="AC193" s="51" t="s">
        <v>19</v>
      </c>
      <c r="AD193" s="51" t="s">
        <v>20</v>
      </c>
      <c r="AE193" s="34">
        <f t="shared" si="2"/>
        <v>0</v>
      </c>
    </row>
    <row r="194" spans="1:31" ht="15.75" customHeight="1" x14ac:dyDescent="0.25">
      <c r="A194" s="89">
        <v>16</v>
      </c>
      <c r="B194" s="90" t="s">
        <v>170</v>
      </c>
      <c r="C194" s="89">
        <v>5</v>
      </c>
      <c r="D194" s="89" t="s">
        <v>19</v>
      </c>
      <c r="E194" s="51" t="s">
        <v>19</v>
      </c>
      <c r="F194" s="51" t="s">
        <v>19</v>
      </c>
      <c r="G194" s="51" t="s">
        <v>22</v>
      </c>
      <c r="H194" s="51" t="s">
        <v>22</v>
      </c>
      <c r="I194" s="75" t="s">
        <v>19</v>
      </c>
      <c r="J194" s="75" t="s">
        <v>19</v>
      </c>
      <c r="K194" s="75" t="s">
        <v>19</v>
      </c>
      <c r="L194" s="51" t="s">
        <v>19</v>
      </c>
      <c r="M194" s="51" t="s">
        <v>19</v>
      </c>
      <c r="N194" s="51" t="s">
        <v>19</v>
      </c>
      <c r="O194" s="51" t="s">
        <v>20</v>
      </c>
      <c r="P194" s="51" t="s">
        <v>20</v>
      </c>
      <c r="Q194" s="51" t="s">
        <v>20</v>
      </c>
      <c r="R194" s="51" t="s">
        <v>19</v>
      </c>
      <c r="S194" s="51" t="s">
        <v>20</v>
      </c>
      <c r="T194" s="51" t="s">
        <v>19</v>
      </c>
      <c r="U194" s="54" t="s">
        <v>19</v>
      </c>
      <c r="V194" s="54" t="s">
        <v>19</v>
      </c>
      <c r="W194" s="54" t="s">
        <v>19</v>
      </c>
      <c r="X194" s="51" t="s">
        <v>19</v>
      </c>
      <c r="Y194" s="51" t="s">
        <v>19</v>
      </c>
      <c r="Z194" s="39" t="s">
        <v>19</v>
      </c>
      <c r="AA194" s="39" t="s">
        <v>19</v>
      </c>
      <c r="AB194" s="39" t="s">
        <v>19</v>
      </c>
      <c r="AC194" s="51" t="s">
        <v>19</v>
      </c>
      <c r="AD194" s="51" t="s">
        <v>20</v>
      </c>
      <c r="AE194" s="34">
        <f t="shared" si="2"/>
        <v>0</v>
      </c>
    </row>
    <row r="195" spans="1:31" ht="15.75" customHeight="1" x14ac:dyDescent="0.25">
      <c r="A195" s="89">
        <v>17</v>
      </c>
      <c r="B195" s="90" t="s">
        <v>187</v>
      </c>
      <c r="C195" s="89">
        <v>5</v>
      </c>
      <c r="D195" s="89" t="s">
        <v>19</v>
      </c>
      <c r="E195" s="51" t="s">
        <v>21</v>
      </c>
      <c r="F195" s="51" t="s">
        <v>21</v>
      </c>
      <c r="G195" s="51" t="s">
        <v>21</v>
      </c>
      <c r="H195" s="51" t="s">
        <v>21</v>
      </c>
      <c r="I195" s="75" t="s">
        <v>20</v>
      </c>
      <c r="J195" s="75" t="s">
        <v>20</v>
      </c>
      <c r="K195" s="75" t="s">
        <v>20</v>
      </c>
      <c r="L195" s="51" t="s">
        <v>20</v>
      </c>
      <c r="M195" s="51" t="s">
        <v>20</v>
      </c>
      <c r="N195" s="51" t="s">
        <v>19</v>
      </c>
      <c r="O195" s="51" t="s">
        <v>21</v>
      </c>
      <c r="P195" s="51" t="s">
        <v>20</v>
      </c>
      <c r="Q195" s="51" t="s">
        <v>21</v>
      </c>
      <c r="R195" s="51" t="s">
        <v>20</v>
      </c>
      <c r="S195" s="51" t="s">
        <v>21</v>
      </c>
      <c r="T195" s="51" t="s">
        <v>19</v>
      </c>
      <c r="U195" s="54" t="s">
        <v>20</v>
      </c>
      <c r="V195" s="54" t="s">
        <v>20</v>
      </c>
      <c r="W195" s="54" t="s">
        <v>20</v>
      </c>
      <c r="X195" s="51" t="s">
        <v>20</v>
      </c>
      <c r="Y195" s="51" t="s">
        <v>20</v>
      </c>
      <c r="Z195" s="39" t="s">
        <v>21</v>
      </c>
      <c r="AA195" s="39" t="s">
        <v>20</v>
      </c>
      <c r="AB195" s="39" t="s">
        <v>21</v>
      </c>
      <c r="AC195" s="51" t="s">
        <v>21</v>
      </c>
      <c r="AD195" s="51" t="s">
        <v>20</v>
      </c>
      <c r="AE195" s="34">
        <f t="shared" si="2"/>
        <v>10</v>
      </c>
    </row>
    <row r="196" spans="1:31" ht="15.75" customHeight="1" x14ac:dyDescent="0.25">
      <c r="A196" s="89">
        <v>18</v>
      </c>
      <c r="B196" s="90" t="s">
        <v>171</v>
      </c>
      <c r="C196" s="89">
        <v>5</v>
      </c>
      <c r="D196" s="89" t="s">
        <v>19</v>
      </c>
      <c r="E196" s="51" t="s">
        <v>19</v>
      </c>
      <c r="F196" s="51" t="s">
        <v>19</v>
      </c>
      <c r="G196" s="51" t="s">
        <v>19</v>
      </c>
      <c r="H196" s="51" t="s">
        <v>19</v>
      </c>
      <c r="I196" s="75" t="s">
        <v>19</v>
      </c>
      <c r="J196" s="75" t="s">
        <v>19</v>
      </c>
      <c r="K196" s="75" t="s">
        <v>20</v>
      </c>
      <c r="L196" s="51" t="s">
        <v>19</v>
      </c>
      <c r="M196" s="51" t="s">
        <v>19</v>
      </c>
      <c r="N196" s="51" t="s">
        <v>19</v>
      </c>
      <c r="O196" s="51" t="s">
        <v>20</v>
      </c>
      <c r="P196" s="51" t="s">
        <v>19</v>
      </c>
      <c r="Q196" s="51" t="s">
        <v>20</v>
      </c>
      <c r="R196" s="51" t="s">
        <v>20</v>
      </c>
      <c r="S196" s="51" t="s">
        <v>20</v>
      </c>
      <c r="T196" s="51" t="s">
        <v>19</v>
      </c>
      <c r="U196" s="54" t="s">
        <v>19</v>
      </c>
      <c r="V196" s="54" t="s">
        <v>19</v>
      </c>
      <c r="W196" s="54" t="s">
        <v>19</v>
      </c>
      <c r="X196" s="51" t="s">
        <v>19</v>
      </c>
      <c r="Y196" s="51" t="s">
        <v>19</v>
      </c>
      <c r="Z196" s="39" t="s">
        <v>19</v>
      </c>
      <c r="AA196" s="39" t="s">
        <v>19</v>
      </c>
      <c r="AB196" s="39" t="s">
        <v>19</v>
      </c>
      <c r="AC196" s="51" t="s">
        <v>19</v>
      </c>
      <c r="AD196" s="51" t="s">
        <v>20</v>
      </c>
      <c r="AE196" s="34">
        <f t="shared" ref="AE196:AE231" si="3">+COUNTIF(E196:AD196,"C")</f>
        <v>0</v>
      </c>
    </row>
    <row r="197" spans="1:31" ht="15.75" customHeight="1" x14ac:dyDescent="0.25">
      <c r="A197" s="89">
        <v>19</v>
      </c>
      <c r="B197" s="90" t="s">
        <v>172</v>
      </c>
      <c r="C197" s="89">
        <v>5</v>
      </c>
      <c r="D197" s="89" t="s">
        <v>19</v>
      </c>
      <c r="E197" s="51" t="s">
        <v>19</v>
      </c>
      <c r="F197" s="51" t="s">
        <v>19</v>
      </c>
      <c r="G197" s="51" t="s">
        <v>19</v>
      </c>
      <c r="H197" s="51" t="s">
        <v>19</v>
      </c>
      <c r="I197" s="75" t="s">
        <v>19</v>
      </c>
      <c r="J197" s="75" t="s">
        <v>19</v>
      </c>
      <c r="K197" s="75" t="s">
        <v>19</v>
      </c>
      <c r="L197" s="51" t="s">
        <v>19</v>
      </c>
      <c r="M197" s="51" t="s">
        <v>19</v>
      </c>
      <c r="N197" s="51" t="s">
        <v>19</v>
      </c>
      <c r="O197" s="51" t="s">
        <v>20</v>
      </c>
      <c r="P197" s="51" t="s">
        <v>20</v>
      </c>
      <c r="Q197" s="51" t="s">
        <v>20</v>
      </c>
      <c r="R197" s="51" t="s">
        <v>20</v>
      </c>
      <c r="S197" s="51" t="s">
        <v>20</v>
      </c>
      <c r="T197" s="51" t="s">
        <v>20</v>
      </c>
      <c r="U197" s="54" t="s">
        <v>20</v>
      </c>
      <c r="V197" s="54" t="s">
        <v>19</v>
      </c>
      <c r="W197" s="54" t="s">
        <v>19</v>
      </c>
      <c r="X197" s="51" t="s">
        <v>20</v>
      </c>
      <c r="Y197" s="51" t="s">
        <v>19</v>
      </c>
      <c r="Z197" s="39" t="s">
        <v>19</v>
      </c>
      <c r="AA197" s="39" t="s">
        <v>19</v>
      </c>
      <c r="AB197" s="39" t="s">
        <v>19</v>
      </c>
      <c r="AC197" s="51" t="s">
        <v>59</v>
      </c>
      <c r="AD197" s="51" t="s">
        <v>59</v>
      </c>
      <c r="AE197" s="34">
        <f t="shared" si="3"/>
        <v>0</v>
      </c>
    </row>
    <row r="198" spans="1:31" ht="15.75" customHeight="1" x14ac:dyDescent="0.25">
      <c r="A198" s="89">
        <v>20</v>
      </c>
      <c r="B198" s="90" t="s">
        <v>173</v>
      </c>
      <c r="C198" s="89">
        <v>5</v>
      </c>
      <c r="D198" s="89" t="s">
        <v>19</v>
      </c>
      <c r="E198" s="51" t="s">
        <v>22</v>
      </c>
      <c r="F198" s="51" t="s">
        <v>19</v>
      </c>
      <c r="G198" s="51" t="s">
        <v>19</v>
      </c>
      <c r="H198" s="51" t="s">
        <v>22</v>
      </c>
      <c r="I198" s="75" t="s">
        <v>19</v>
      </c>
      <c r="J198" s="75" t="s">
        <v>19</v>
      </c>
      <c r="K198" s="75" t="s">
        <v>19</v>
      </c>
      <c r="L198" s="51" t="s">
        <v>19</v>
      </c>
      <c r="M198" s="51" t="s">
        <v>19</v>
      </c>
      <c r="N198" s="51" t="s">
        <v>19</v>
      </c>
      <c r="O198" s="51" t="s">
        <v>20</v>
      </c>
      <c r="P198" s="51" t="s">
        <v>19</v>
      </c>
      <c r="Q198" s="51" t="s">
        <v>19</v>
      </c>
      <c r="R198" s="51" t="s">
        <v>20</v>
      </c>
      <c r="S198" s="51" t="s">
        <v>20</v>
      </c>
      <c r="T198" s="51" t="s">
        <v>19</v>
      </c>
      <c r="U198" s="54" t="s">
        <v>19</v>
      </c>
      <c r="V198" s="54" t="s">
        <v>19</v>
      </c>
      <c r="W198" s="54" t="s">
        <v>19</v>
      </c>
      <c r="X198" s="51" t="s">
        <v>19</v>
      </c>
      <c r="Y198" s="51" t="s">
        <v>19</v>
      </c>
      <c r="Z198" s="39" t="s">
        <v>19</v>
      </c>
      <c r="AA198" s="39" t="s">
        <v>19</v>
      </c>
      <c r="AB198" s="39" t="s">
        <v>19</v>
      </c>
      <c r="AC198" s="51" t="s">
        <v>19</v>
      </c>
      <c r="AD198" s="51" t="s">
        <v>20</v>
      </c>
      <c r="AE198" s="34">
        <f t="shared" si="3"/>
        <v>0</v>
      </c>
    </row>
    <row r="199" spans="1:31" ht="15.75" customHeight="1" x14ac:dyDescent="0.25">
      <c r="A199" s="89">
        <v>21</v>
      </c>
      <c r="B199" s="90" t="s">
        <v>174</v>
      </c>
      <c r="C199" s="89">
        <v>5</v>
      </c>
      <c r="D199" s="89" t="s">
        <v>19</v>
      </c>
      <c r="E199" s="51" t="s">
        <v>19</v>
      </c>
      <c r="F199" s="51" t="s">
        <v>19</v>
      </c>
      <c r="G199" s="51" t="s">
        <v>22</v>
      </c>
      <c r="H199" s="51" t="s">
        <v>19</v>
      </c>
      <c r="I199" s="75" t="s">
        <v>19</v>
      </c>
      <c r="J199" s="75" t="s">
        <v>19</v>
      </c>
      <c r="K199" s="75" t="s">
        <v>19</v>
      </c>
      <c r="L199" s="51" t="s">
        <v>20</v>
      </c>
      <c r="M199" s="51" t="s">
        <v>19</v>
      </c>
      <c r="N199" s="51" t="s">
        <v>19</v>
      </c>
      <c r="O199" s="51" t="s">
        <v>20</v>
      </c>
      <c r="P199" s="51" t="s">
        <v>20</v>
      </c>
      <c r="Q199" s="51" t="s">
        <v>20</v>
      </c>
      <c r="R199" s="51" t="s">
        <v>19</v>
      </c>
      <c r="S199" s="51" t="s">
        <v>20</v>
      </c>
      <c r="T199" s="51" t="s">
        <v>19</v>
      </c>
      <c r="U199" s="54" t="s">
        <v>19</v>
      </c>
      <c r="V199" s="54" t="s">
        <v>19</v>
      </c>
      <c r="W199" s="54" t="s">
        <v>19</v>
      </c>
      <c r="X199" s="51" t="s">
        <v>19</v>
      </c>
      <c r="Y199" s="51" t="s">
        <v>19</v>
      </c>
      <c r="Z199" s="39" t="s">
        <v>19</v>
      </c>
      <c r="AA199" s="39" t="s">
        <v>19</v>
      </c>
      <c r="AB199" s="39" t="s">
        <v>19</v>
      </c>
      <c r="AC199" s="51" t="s">
        <v>19</v>
      </c>
      <c r="AD199" s="51" t="s">
        <v>20</v>
      </c>
      <c r="AE199" s="34">
        <f t="shared" si="3"/>
        <v>0</v>
      </c>
    </row>
    <row r="200" spans="1:31" ht="15.75" customHeight="1" x14ac:dyDescent="0.25">
      <c r="A200" s="89">
        <v>22</v>
      </c>
      <c r="B200" s="90" t="s">
        <v>175</v>
      </c>
      <c r="C200" s="89">
        <v>5</v>
      </c>
      <c r="D200" s="89" t="s">
        <v>19</v>
      </c>
      <c r="E200" s="51" t="s">
        <v>21</v>
      </c>
      <c r="F200" s="51" t="s">
        <v>21</v>
      </c>
      <c r="G200" s="51" t="s">
        <v>20</v>
      </c>
      <c r="H200" s="51" t="s">
        <v>20</v>
      </c>
      <c r="I200" s="75" t="s">
        <v>19</v>
      </c>
      <c r="J200" s="75" t="s">
        <v>19</v>
      </c>
      <c r="K200" s="75" t="s">
        <v>20</v>
      </c>
      <c r="L200" s="51" t="s">
        <v>19</v>
      </c>
      <c r="M200" s="51" t="s">
        <v>19</v>
      </c>
      <c r="N200" s="51" t="s">
        <v>19</v>
      </c>
      <c r="O200" s="51" t="s">
        <v>20</v>
      </c>
      <c r="P200" s="51" t="s">
        <v>20</v>
      </c>
      <c r="Q200" s="51" t="s">
        <v>20</v>
      </c>
      <c r="R200" s="51" t="s">
        <v>20</v>
      </c>
      <c r="S200" s="51" t="s">
        <v>20</v>
      </c>
      <c r="T200" s="51" t="s">
        <v>19</v>
      </c>
      <c r="U200" s="54" t="s">
        <v>20</v>
      </c>
      <c r="V200" s="54" t="s">
        <v>20</v>
      </c>
      <c r="W200" s="54" t="s">
        <v>20</v>
      </c>
      <c r="X200" s="51" t="s">
        <v>19</v>
      </c>
      <c r="Y200" s="51" t="s">
        <v>19</v>
      </c>
      <c r="Z200" s="39" t="s">
        <v>19</v>
      </c>
      <c r="AA200" s="39" t="s">
        <v>19</v>
      </c>
      <c r="AB200" s="39" t="s">
        <v>19</v>
      </c>
      <c r="AC200" s="55" t="s">
        <v>19</v>
      </c>
      <c r="AD200" s="55" t="s">
        <v>20</v>
      </c>
      <c r="AE200" s="34">
        <f t="shared" si="3"/>
        <v>2</v>
      </c>
    </row>
    <row r="201" spans="1:31" ht="15.75" customHeight="1" x14ac:dyDescent="0.25">
      <c r="A201" s="89">
        <v>23</v>
      </c>
      <c r="B201" s="90" t="s">
        <v>176</v>
      </c>
      <c r="C201" s="89">
        <v>5</v>
      </c>
      <c r="D201" s="89" t="s">
        <v>19</v>
      </c>
      <c r="E201" s="51" t="s">
        <v>21</v>
      </c>
      <c r="F201" s="51" t="s">
        <v>21</v>
      </c>
      <c r="G201" s="51" t="s">
        <v>21</v>
      </c>
      <c r="H201" s="51" t="s">
        <v>20</v>
      </c>
      <c r="I201" s="75" t="s">
        <v>19</v>
      </c>
      <c r="J201" s="75" t="s">
        <v>19</v>
      </c>
      <c r="K201" s="75" t="s">
        <v>20</v>
      </c>
      <c r="L201" s="51" t="s">
        <v>19</v>
      </c>
      <c r="M201" s="51" t="s">
        <v>20</v>
      </c>
      <c r="N201" s="51" t="s">
        <v>19</v>
      </c>
      <c r="O201" s="51" t="s">
        <v>20</v>
      </c>
      <c r="P201" s="51" t="s">
        <v>21</v>
      </c>
      <c r="Q201" s="51" t="s">
        <v>20</v>
      </c>
      <c r="R201" s="51" t="s">
        <v>20</v>
      </c>
      <c r="S201" s="51" t="s">
        <v>20</v>
      </c>
      <c r="T201" s="51" t="s">
        <v>19</v>
      </c>
      <c r="U201" s="54" t="s">
        <v>19</v>
      </c>
      <c r="V201" s="54" t="s">
        <v>20</v>
      </c>
      <c r="W201" s="54" t="s">
        <v>19</v>
      </c>
      <c r="X201" s="51" t="s">
        <v>20</v>
      </c>
      <c r="Y201" s="51" t="s">
        <v>19</v>
      </c>
      <c r="Z201" s="39" t="s">
        <v>21</v>
      </c>
      <c r="AA201" s="39" t="s">
        <v>20</v>
      </c>
      <c r="AB201" s="39" t="s">
        <v>20</v>
      </c>
      <c r="AC201" s="51" t="s">
        <v>21</v>
      </c>
      <c r="AD201" s="51" t="s">
        <v>20</v>
      </c>
      <c r="AE201" s="34">
        <f t="shared" si="3"/>
        <v>6</v>
      </c>
    </row>
    <row r="202" spans="1:31" ht="15.75" customHeight="1" x14ac:dyDescent="0.25">
      <c r="A202" s="89">
        <v>24</v>
      </c>
      <c r="B202" s="90" t="s">
        <v>177</v>
      </c>
      <c r="C202" s="89">
        <v>5</v>
      </c>
      <c r="D202" s="89" t="s">
        <v>19</v>
      </c>
      <c r="E202" s="51" t="s">
        <v>22</v>
      </c>
      <c r="F202" s="51" t="s">
        <v>19</v>
      </c>
      <c r="G202" s="51" t="s">
        <v>19</v>
      </c>
      <c r="H202" s="51" t="s">
        <v>22</v>
      </c>
      <c r="I202" s="75" t="s">
        <v>19</v>
      </c>
      <c r="J202" s="75" t="s">
        <v>19</v>
      </c>
      <c r="K202" s="75" t="s">
        <v>19</v>
      </c>
      <c r="L202" s="51" t="s">
        <v>19</v>
      </c>
      <c r="M202" s="51" t="s">
        <v>19</v>
      </c>
      <c r="N202" s="51" t="s">
        <v>19</v>
      </c>
      <c r="O202" s="51" t="s">
        <v>20</v>
      </c>
      <c r="P202" s="51" t="s">
        <v>19</v>
      </c>
      <c r="Q202" s="51" t="s">
        <v>19</v>
      </c>
      <c r="R202" s="51" t="s">
        <v>20</v>
      </c>
      <c r="S202" s="51" t="s">
        <v>20</v>
      </c>
      <c r="T202" s="51" t="s">
        <v>19</v>
      </c>
      <c r="U202" s="54" t="s">
        <v>19</v>
      </c>
      <c r="V202" s="54" t="s">
        <v>19</v>
      </c>
      <c r="W202" s="54" t="s">
        <v>19</v>
      </c>
      <c r="X202" s="51" t="s">
        <v>19</v>
      </c>
      <c r="Y202" s="51" t="s">
        <v>19</v>
      </c>
      <c r="Z202" s="39" t="s">
        <v>19</v>
      </c>
      <c r="AA202" s="39" t="s">
        <v>19</v>
      </c>
      <c r="AB202" s="39" t="s">
        <v>19</v>
      </c>
      <c r="AC202" s="51" t="s">
        <v>19</v>
      </c>
      <c r="AD202" s="51" t="s">
        <v>20</v>
      </c>
      <c r="AE202" s="34">
        <f t="shared" si="3"/>
        <v>0</v>
      </c>
    </row>
    <row r="203" spans="1:31" ht="15.75" customHeight="1" x14ac:dyDescent="0.25">
      <c r="A203" s="89">
        <v>25</v>
      </c>
      <c r="B203" s="90" t="s">
        <v>178</v>
      </c>
      <c r="C203" s="89">
        <v>5</v>
      </c>
      <c r="D203" s="89" t="s">
        <v>19</v>
      </c>
      <c r="E203" s="51" t="s">
        <v>21</v>
      </c>
      <c r="F203" s="51" t="s">
        <v>21</v>
      </c>
      <c r="G203" s="51" t="s">
        <v>21</v>
      </c>
      <c r="H203" s="51" t="s">
        <v>21</v>
      </c>
      <c r="I203" s="75" t="s">
        <v>19</v>
      </c>
      <c r="J203" s="75" t="s">
        <v>19</v>
      </c>
      <c r="K203" s="75" t="s">
        <v>20</v>
      </c>
      <c r="L203" s="51" t="s">
        <v>19</v>
      </c>
      <c r="M203" s="51" t="s">
        <v>19</v>
      </c>
      <c r="N203" s="51" t="s">
        <v>19</v>
      </c>
      <c r="O203" s="51" t="s">
        <v>20</v>
      </c>
      <c r="P203" s="51" t="s">
        <v>21</v>
      </c>
      <c r="Q203" s="51" t="s">
        <v>21</v>
      </c>
      <c r="R203" s="51" t="s">
        <v>20</v>
      </c>
      <c r="S203" s="51" t="s">
        <v>21</v>
      </c>
      <c r="T203" s="51" t="s">
        <v>19</v>
      </c>
      <c r="U203" s="54" t="s">
        <v>19</v>
      </c>
      <c r="V203" s="54" t="s">
        <v>19</v>
      </c>
      <c r="W203" s="54" t="s">
        <v>19</v>
      </c>
      <c r="X203" s="51" t="s">
        <v>19</v>
      </c>
      <c r="Y203" s="51" t="s">
        <v>19</v>
      </c>
      <c r="Z203" s="39" t="s">
        <v>20</v>
      </c>
      <c r="AA203" s="39" t="s">
        <v>20</v>
      </c>
      <c r="AB203" s="39" t="s">
        <v>19</v>
      </c>
      <c r="AC203" s="51" t="s">
        <v>19</v>
      </c>
      <c r="AD203" s="51" t="s">
        <v>20</v>
      </c>
      <c r="AE203" s="34">
        <f t="shared" si="3"/>
        <v>7</v>
      </c>
    </row>
    <row r="204" spans="1:31" ht="15.75" customHeight="1" x14ac:dyDescent="0.25">
      <c r="A204" s="89">
        <v>26</v>
      </c>
      <c r="B204" s="90" t="s">
        <v>179</v>
      </c>
      <c r="C204" s="89">
        <v>5</v>
      </c>
      <c r="D204" s="89" t="s">
        <v>19</v>
      </c>
      <c r="E204" s="51" t="s">
        <v>20</v>
      </c>
      <c r="F204" s="51" t="s">
        <v>20</v>
      </c>
      <c r="G204" s="51" t="s">
        <v>20</v>
      </c>
      <c r="H204" s="51" t="s">
        <v>20</v>
      </c>
      <c r="I204" s="75" t="s">
        <v>20</v>
      </c>
      <c r="J204" s="75" t="s">
        <v>20</v>
      </c>
      <c r="K204" s="75" t="s">
        <v>20</v>
      </c>
      <c r="L204" s="51" t="s">
        <v>19</v>
      </c>
      <c r="M204" s="51" t="s">
        <v>19</v>
      </c>
      <c r="N204" s="51" t="s">
        <v>19</v>
      </c>
      <c r="O204" s="51" t="s">
        <v>19</v>
      </c>
      <c r="P204" s="51" t="s">
        <v>20</v>
      </c>
      <c r="Q204" s="51" t="s">
        <v>21</v>
      </c>
      <c r="R204" s="51" t="s">
        <v>20</v>
      </c>
      <c r="S204" s="51" t="s">
        <v>20</v>
      </c>
      <c r="T204" s="51" t="s">
        <v>19</v>
      </c>
      <c r="U204" s="54" t="s">
        <v>19</v>
      </c>
      <c r="V204" s="54" t="s">
        <v>19</v>
      </c>
      <c r="W204" s="54" t="s">
        <v>19</v>
      </c>
      <c r="X204" s="51" t="s">
        <v>19</v>
      </c>
      <c r="Y204" s="51" t="s">
        <v>19</v>
      </c>
      <c r="Z204" s="39" t="s">
        <v>20</v>
      </c>
      <c r="AA204" s="39" t="s">
        <v>20</v>
      </c>
      <c r="AB204" s="39" t="s">
        <v>19</v>
      </c>
      <c r="AC204" s="55" t="s">
        <v>19</v>
      </c>
      <c r="AD204" s="55" t="s">
        <v>20</v>
      </c>
      <c r="AE204" s="34">
        <f t="shared" si="3"/>
        <v>1</v>
      </c>
    </row>
    <row r="205" spans="1:31" ht="15.75" customHeight="1" x14ac:dyDescent="0.25">
      <c r="A205" s="89">
        <v>27</v>
      </c>
      <c r="B205" s="90" t="s">
        <v>180</v>
      </c>
      <c r="C205" s="89">
        <v>5</v>
      </c>
      <c r="D205" s="89" t="s">
        <v>19</v>
      </c>
      <c r="E205" s="51" t="s">
        <v>19</v>
      </c>
      <c r="F205" s="51" t="s">
        <v>19</v>
      </c>
      <c r="G205" s="51" t="s">
        <v>19</v>
      </c>
      <c r="H205" s="51" t="s">
        <v>19</v>
      </c>
      <c r="I205" s="75" t="s">
        <v>19</v>
      </c>
      <c r="J205" s="75" t="s">
        <v>19</v>
      </c>
      <c r="K205" s="75" t="s">
        <v>19</v>
      </c>
      <c r="L205" s="51" t="s">
        <v>19</v>
      </c>
      <c r="M205" s="51" t="s">
        <v>19</v>
      </c>
      <c r="N205" s="51" t="s">
        <v>19</v>
      </c>
      <c r="O205" s="51" t="s">
        <v>19</v>
      </c>
      <c r="P205" s="51" t="s">
        <v>20</v>
      </c>
      <c r="Q205" s="51" t="s">
        <v>20</v>
      </c>
      <c r="R205" s="51" t="s">
        <v>19</v>
      </c>
      <c r="S205" s="51" t="s">
        <v>20</v>
      </c>
      <c r="T205" s="51" t="s">
        <v>20</v>
      </c>
      <c r="U205" s="54" t="s">
        <v>19</v>
      </c>
      <c r="V205" s="54" t="s">
        <v>19</v>
      </c>
      <c r="W205" s="54" t="s">
        <v>19</v>
      </c>
      <c r="X205" s="51" t="s">
        <v>19</v>
      </c>
      <c r="Y205" s="51" t="s">
        <v>19</v>
      </c>
      <c r="Z205" s="39" t="s">
        <v>19</v>
      </c>
      <c r="AA205" s="39" t="s">
        <v>19</v>
      </c>
      <c r="AB205" s="39" t="s">
        <v>19</v>
      </c>
      <c r="AC205" s="51" t="s">
        <v>19</v>
      </c>
      <c r="AD205" s="51" t="s">
        <v>20</v>
      </c>
      <c r="AE205" s="34">
        <f t="shared" si="3"/>
        <v>0</v>
      </c>
    </row>
    <row r="206" spans="1:31" ht="15.75" customHeight="1" thickBot="1" x14ac:dyDescent="0.3">
      <c r="A206" s="91">
        <v>28</v>
      </c>
      <c r="B206" s="92" t="s">
        <v>181</v>
      </c>
      <c r="C206" s="91">
        <v>5</v>
      </c>
      <c r="D206" s="91" t="s">
        <v>19</v>
      </c>
      <c r="E206" s="87" t="s">
        <v>19</v>
      </c>
      <c r="F206" s="87" t="s">
        <v>19</v>
      </c>
      <c r="G206" s="87" t="s">
        <v>19</v>
      </c>
      <c r="H206" s="87" t="s">
        <v>19</v>
      </c>
      <c r="I206" s="103" t="s">
        <v>19</v>
      </c>
      <c r="J206" s="103" t="s">
        <v>19</v>
      </c>
      <c r="K206" s="103" t="s">
        <v>20</v>
      </c>
      <c r="L206" s="87" t="s">
        <v>19</v>
      </c>
      <c r="M206" s="87" t="s">
        <v>19</v>
      </c>
      <c r="N206" s="87" t="s">
        <v>19</v>
      </c>
      <c r="O206" s="87" t="s">
        <v>20</v>
      </c>
      <c r="P206" s="87" t="s">
        <v>20</v>
      </c>
      <c r="Q206" s="87" t="s">
        <v>20</v>
      </c>
      <c r="R206" s="87" t="s">
        <v>19</v>
      </c>
      <c r="S206" s="87" t="s">
        <v>20</v>
      </c>
      <c r="T206" s="87" t="s">
        <v>19</v>
      </c>
      <c r="U206" s="100" t="s">
        <v>19</v>
      </c>
      <c r="V206" s="100" t="s">
        <v>19</v>
      </c>
      <c r="W206" s="100" t="s">
        <v>20</v>
      </c>
      <c r="X206" s="87" t="s">
        <v>19</v>
      </c>
      <c r="Y206" s="87" t="s">
        <v>19</v>
      </c>
      <c r="Z206" s="41" t="s">
        <v>19</v>
      </c>
      <c r="AA206" s="41" t="s">
        <v>19</v>
      </c>
      <c r="AB206" s="41" t="s">
        <v>19</v>
      </c>
      <c r="AC206" s="87" t="s">
        <v>19</v>
      </c>
      <c r="AD206" s="87" t="s">
        <v>20</v>
      </c>
      <c r="AE206" s="34">
        <f t="shared" si="3"/>
        <v>0</v>
      </c>
    </row>
    <row r="207" spans="1:31" ht="15.75" customHeight="1" x14ac:dyDescent="0.25">
      <c r="A207" s="82">
        <v>1</v>
      </c>
      <c r="B207" s="40" t="s">
        <v>182</v>
      </c>
      <c r="C207" s="82">
        <v>5</v>
      </c>
      <c r="D207" s="82" t="s">
        <v>20</v>
      </c>
      <c r="E207" s="83" t="s">
        <v>20</v>
      </c>
      <c r="F207" s="83" t="s">
        <v>19</v>
      </c>
      <c r="G207" s="83" t="s">
        <v>20</v>
      </c>
      <c r="H207" s="83" t="s">
        <v>20</v>
      </c>
      <c r="I207" s="83" t="s">
        <v>19</v>
      </c>
      <c r="J207" s="83" t="s">
        <v>19</v>
      </c>
      <c r="K207" s="83" t="s">
        <v>19</v>
      </c>
      <c r="L207" s="83" t="s">
        <v>19</v>
      </c>
      <c r="M207" s="83" t="s">
        <v>19</v>
      </c>
      <c r="N207" s="83" t="s">
        <v>19</v>
      </c>
      <c r="O207" s="83" t="s">
        <v>20</v>
      </c>
      <c r="P207" s="83" t="s">
        <v>20</v>
      </c>
      <c r="Q207" s="83" t="s">
        <v>20</v>
      </c>
      <c r="R207" s="83" t="s">
        <v>19</v>
      </c>
      <c r="S207" s="83" t="s">
        <v>20</v>
      </c>
      <c r="T207" s="83" t="s">
        <v>19</v>
      </c>
      <c r="U207" s="99" t="s">
        <v>19</v>
      </c>
      <c r="V207" s="99" t="s">
        <v>19</v>
      </c>
      <c r="W207" s="99" t="s">
        <v>19</v>
      </c>
      <c r="X207" s="83" t="s">
        <v>19</v>
      </c>
      <c r="Y207" s="83" t="s">
        <v>19</v>
      </c>
      <c r="Z207" s="86" t="s">
        <v>19</v>
      </c>
      <c r="AA207" s="86" t="s">
        <v>19</v>
      </c>
      <c r="AB207" s="86" t="s">
        <v>20</v>
      </c>
      <c r="AC207" s="83" t="s">
        <v>19</v>
      </c>
      <c r="AD207" s="83" t="s">
        <v>20</v>
      </c>
      <c r="AE207" s="34">
        <f t="shared" si="3"/>
        <v>0</v>
      </c>
    </row>
    <row r="208" spans="1:31" ht="15.75" customHeight="1" x14ac:dyDescent="0.25">
      <c r="A208" s="20">
        <v>2</v>
      </c>
      <c r="B208" s="37" t="s">
        <v>183</v>
      </c>
      <c r="C208" s="20">
        <v>5</v>
      </c>
      <c r="D208" s="20" t="s">
        <v>20</v>
      </c>
      <c r="E208" s="51" t="s">
        <v>20</v>
      </c>
      <c r="F208" s="51" t="s">
        <v>20</v>
      </c>
      <c r="G208" s="51" t="s">
        <v>20</v>
      </c>
      <c r="H208" s="51" t="s">
        <v>19</v>
      </c>
      <c r="I208" s="51" t="s">
        <v>20</v>
      </c>
      <c r="J208" s="51" t="s">
        <v>20</v>
      </c>
      <c r="K208" s="51" t="s">
        <v>20</v>
      </c>
      <c r="L208" s="51" t="s">
        <v>19</v>
      </c>
      <c r="M208" s="51" t="s">
        <v>20</v>
      </c>
      <c r="N208" s="51" t="s">
        <v>20</v>
      </c>
      <c r="O208" s="51" t="s">
        <v>20</v>
      </c>
      <c r="P208" s="51" t="s">
        <v>21</v>
      </c>
      <c r="Q208" s="51" t="s">
        <v>21</v>
      </c>
      <c r="R208" s="51" t="s">
        <v>20</v>
      </c>
      <c r="S208" s="51" t="s">
        <v>20</v>
      </c>
      <c r="T208" s="51" t="s">
        <v>20</v>
      </c>
      <c r="U208" s="54" t="s">
        <v>19</v>
      </c>
      <c r="V208" s="54" t="s">
        <v>20</v>
      </c>
      <c r="W208" s="54" t="s">
        <v>19</v>
      </c>
      <c r="X208" s="51" t="s">
        <v>20</v>
      </c>
      <c r="Y208" s="51" t="s">
        <v>19</v>
      </c>
      <c r="Z208" s="39" t="s">
        <v>20</v>
      </c>
      <c r="AA208" s="39" t="s">
        <v>20</v>
      </c>
      <c r="AB208" s="39" t="s">
        <v>21</v>
      </c>
      <c r="AC208" s="51" t="s">
        <v>21</v>
      </c>
      <c r="AD208" s="51" t="s">
        <v>20</v>
      </c>
      <c r="AE208" s="34">
        <f t="shared" si="3"/>
        <v>4</v>
      </c>
    </row>
    <row r="209" spans="1:31" ht="15.75" customHeight="1" x14ac:dyDescent="0.25">
      <c r="A209" s="20">
        <v>3</v>
      </c>
      <c r="B209" s="37" t="s">
        <v>184</v>
      </c>
      <c r="C209" s="20">
        <v>5</v>
      </c>
      <c r="D209" s="20" t="s">
        <v>20</v>
      </c>
      <c r="E209" s="51" t="s">
        <v>20</v>
      </c>
      <c r="F209" s="51" t="s">
        <v>21</v>
      </c>
      <c r="G209" s="51" t="s">
        <v>20</v>
      </c>
      <c r="H209" s="51" t="s">
        <v>19</v>
      </c>
      <c r="I209" s="51" t="s">
        <v>20</v>
      </c>
      <c r="J209" s="51" t="s">
        <v>20</v>
      </c>
      <c r="K209" s="51" t="s">
        <v>19</v>
      </c>
      <c r="L209" s="51" t="s">
        <v>19</v>
      </c>
      <c r="M209" s="51" t="s">
        <v>20</v>
      </c>
      <c r="N209" s="51" t="s">
        <v>20</v>
      </c>
      <c r="O209" s="51" t="s">
        <v>20</v>
      </c>
      <c r="P209" s="51" t="s">
        <v>21</v>
      </c>
      <c r="Q209" s="51" t="s">
        <v>20</v>
      </c>
      <c r="R209" s="51" t="s">
        <v>20</v>
      </c>
      <c r="S209" s="51" t="s">
        <v>20</v>
      </c>
      <c r="T209" s="51" t="s">
        <v>19</v>
      </c>
      <c r="U209" s="54" t="s">
        <v>19</v>
      </c>
      <c r="V209" s="54" t="s">
        <v>20</v>
      </c>
      <c r="W209" s="54" t="s">
        <v>19</v>
      </c>
      <c r="X209" s="51" t="s">
        <v>20</v>
      </c>
      <c r="Y209" s="51" t="s">
        <v>19</v>
      </c>
      <c r="Z209" s="39" t="s">
        <v>20</v>
      </c>
      <c r="AA209" s="39" t="s">
        <v>20</v>
      </c>
      <c r="AB209" s="39" t="s">
        <v>20</v>
      </c>
      <c r="AC209" s="51" t="s">
        <v>20</v>
      </c>
      <c r="AD209" s="51" t="s">
        <v>20</v>
      </c>
      <c r="AE209" s="34">
        <f t="shared" si="3"/>
        <v>2</v>
      </c>
    </row>
    <row r="210" spans="1:31" ht="15.75" customHeight="1" x14ac:dyDescent="0.25">
      <c r="A210" s="20">
        <v>4</v>
      </c>
      <c r="B210" s="37" t="s">
        <v>185</v>
      </c>
      <c r="C210" s="20">
        <v>5</v>
      </c>
      <c r="D210" s="20" t="s">
        <v>20</v>
      </c>
      <c r="E210" s="51" t="s">
        <v>19</v>
      </c>
      <c r="F210" s="51" t="s">
        <v>19</v>
      </c>
      <c r="G210" s="51" t="s">
        <v>19</v>
      </c>
      <c r="H210" s="51" t="s">
        <v>19</v>
      </c>
      <c r="I210" s="51" t="s">
        <v>20</v>
      </c>
      <c r="J210" s="51" t="s">
        <v>19</v>
      </c>
      <c r="K210" s="51" t="s">
        <v>19</v>
      </c>
      <c r="L210" s="51" t="s">
        <v>19</v>
      </c>
      <c r="M210" s="51" t="s">
        <v>19</v>
      </c>
      <c r="N210" s="51" t="s">
        <v>19</v>
      </c>
      <c r="O210" s="51" t="s">
        <v>20</v>
      </c>
      <c r="P210" s="51" t="s">
        <v>20</v>
      </c>
      <c r="Q210" s="51" t="s">
        <v>20</v>
      </c>
      <c r="R210" s="51" t="s">
        <v>19</v>
      </c>
      <c r="S210" s="51" t="s">
        <v>20</v>
      </c>
      <c r="T210" s="51" t="s">
        <v>19</v>
      </c>
      <c r="U210" s="54" t="s">
        <v>19</v>
      </c>
      <c r="V210" s="54" t="s">
        <v>19</v>
      </c>
      <c r="W210" s="54" t="s">
        <v>19</v>
      </c>
      <c r="X210" s="51" t="s">
        <v>19</v>
      </c>
      <c r="Y210" s="51" t="s">
        <v>19</v>
      </c>
      <c r="Z210" s="39" t="s">
        <v>19</v>
      </c>
      <c r="AA210" s="39" t="s">
        <v>19</v>
      </c>
      <c r="AB210" s="39" t="s">
        <v>19</v>
      </c>
      <c r="AC210" s="51" t="s">
        <v>19</v>
      </c>
      <c r="AD210" s="51" t="s">
        <v>20</v>
      </c>
      <c r="AE210" s="34">
        <f t="shared" si="3"/>
        <v>0</v>
      </c>
    </row>
    <row r="211" spans="1:31" ht="15.75" customHeight="1" x14ac:dyDescent="0.25">
      <c r="A211" s="20">
        <v>5</v>
      </c>
      <c r="B211" s="37" t="s">
        <v>186</v>
      </c>
      <c r="C211" s="20">
        <v>5</v>
      </c>
      <c r="D211" s="20" t="s">
        <v>20</v>
      </c>
      <c r="E211" s="51" t="s">
        <v>19</v>
      </c>
      <c r="F211" s="51" t="s">
        <v>20</v>
      </c>
      <c r="G211" s="51" t="s">
        <v>19</v>
      </c>
      <c r="H211" s="51" t="s">
        <v>19</v>
      </c>
      <c r="I211" s="51" t="s">
        <v>20</v>
      </c>
      <c r="J211" s="51" t="s">
        <v>20</v>
      </c>
      <c r="K211" s="51" t="s">
        <v>19</v>
      </c>
      <c r="L211" s="51" t="s">
        <v>19</v>
      </c>
      <c r="M211" s="51" t="s">
        <v>19</v>
      </c>
      <c r="N211" s="51" t="s">
        <v>19</v>
      </c>
      <c r="O211" s="51" t="s">
        <v>20</v>
      </c>
      <c r="P211" s="51" t="s">
        <v>19</v>
      </c>
      <c r="Q211" s="51" t="s">
        <v>20</v>
      </c>
      <c r="R211" s="51" t="s">
        <v>19</v>
      </c>
      <c r="S211" s="51" t="s">
        <v>20</v>
      </c>
      <c r="T211" s="51" t="s">
        <v>19</v>
      </c>
      <c r="U211" s="54" t="s">
        <v>19</v>
      </c>
      <c r="V211" s="54" t="s">
        <v>20</v>
      </c>
      <c r="W211" s="54" t="s">
        <v>19</v>
      </c>
      <c r="X211" s="51" t="s">
        <v>20</v>
      </c>
      <c r="Y211" s="51" t="s">
        <v>19</v>
      </c>
      <c r="Z211" s="39" t="s">
        <v>19</v>
      </c>
      <c r="AA211" s="39" t="s">
        <v>19</v>
      </c>
      <c r="AB211" s="39" t="s">
        <v>19</v>
      </c>
      <c r="AC211" s="51" t="s">
        <v>19</v>
      </c>
      <c r="AD211" s="51" t="s">
        <v>20</v>
      </c>
      <c r="AE211" s="34">
        <f t="shared" si="3"/>
        <v>0</v>
      </c>
    </row>
    <row r="212" spans="1:31" ht="15.75" customHeight="1" x14ac:dyDescent="0.25">
      <c r="A212" s="20">
        <v>6</v>
      </c>
      <c r="B212" s="37" t="s">
        <v>188</v>
      </c>
      <c r="C212" s="20">
        <v>5</v>
      </c>
      <c r="D212" s="20" t="s">
        <v>20</v>
      </c>
      <c r="E212" s="51" t="s">
        <v>20</v>
      </c>
      <c r="F212" s="51" t="s">
        <v>20</v>
      </c>
      <c r="G212" s="51" t="s">
        <v>20</v>
      </c>
      <c r="H212" s="51" t="s">
        <v>19</v>
      </c>
      <c r="I212" s="51" t="s">
        <v>20</v>
      </c>
      <c r="J212" s="51" t="s">
        <v>20</v>
      </c>
      <c r="K212" s="51" t="s">
        <v>20</v>
      </c>
      <c r="L212" s="51" t="s">
        <v>19</v>
      </c>
      <c r="M212" s="51" t="s">
        <v>19</v>
      </c>
      <c r="N212" s="51" t="s">
        <v>19</v>
      </c>
      <c r="O212" s="51" t="s">
        <v>20</v>
      </c>
      <c r="P212" s="51" t="s">
        <v>21</v>
      </c>
      <c r="Q212" s="51" t="s">
        <v>21</v>
      </c>
      <c r="R212" s="51" t="s">
        <v>20</v>
      </c>
      <c r="S212" s="51" t="s">
        <v>20</v>
      </c>
      <c r="T212" s="51" t="s">
        <v>19</v>
      </c>
      <c r="U212" s="54" t="s">
        <v>19</v>
      </c>
      <c r="V212" s="54" t="s">
        <v>19</v>
      </c>
      <c r="W212" s="54" t="s">
        <v>19</v>
      </c>
      <c r="X212" s="51" t="s">
        <v>20</v>
      </c>
      <c r="Y212" s="51" t="s">
        <v>19</v>
      </c>
      <c r="Z212" s="39" t="s">
        <v>19</v>
      </c>
      <c r="AA212" s="39" t="s">
        <v>19</v>
      </c>
      <c r="AB212" s="39" t="s">
        <v>19</v>
      </c>
      <c r="AC212" s="53" t="s">
        <v>21</v>
      </c>
      <c r="AD212" s="53" t="s">
        <v>20</v>
      </c>
      <c r="AE212" s="34">
        <f t="shared" si="3"/>
        <v>3</v>
      </c>
    </row>
    <row r="213" spans="1:31" ht="15.75" customHeight="1" x14ac:dyDescent="0.25">
      <c r="A213" s="20">
        <v>7</v>
      </c>
      <c r="B213" s="37" t="s">
        <v>189</v>
      </c>
      <c r="C213" s="20">
        <v>5</v>
      </c>
      <c r="D213" s="20" t="s">
        <v>20</v>
      </c>
      <c r="E213" s="51" t="s">
        <v>20</v>
      </c>
      <c r="F213" s="51" t="s">
        <v>20</v>
      </c>
      <c r="G213" s="51" t="s">
        <v>20</v>
      </c>
      <c r="H213" s="51" t="s">
        <v>20</v>
      </c>
      <c r="I213" s="51" t="s">
        <v>20</v>
      </c>
      <c r="J213" s="51" t="s">
        <v>20</v>
      </c>
      <c r="K213" s="51" t="s">
        <v>20</v>
      </c>
      <c r="L213" s="51" t="s">
        <v>19</v>
      </c>
      <c r="M213" s="51" t="s">
        <v>20</v>
      </c>
      <c r="N213" s="51" t="s">
        <v>19</v>
      </c>
      <c r="O213" s="51" t="s">
        <v>20</v>
      </c>
      <c r="P213" s="51" t="s">
        <v>21</v>
      </c>
      <c r="Q213" s="51" t="s">
        <v>20</v>
      </c>
      <c r="R213" s="51" t="s">
        <v>20</v>
      </c>
      <c r="S213" s="51" t="s">
        <v>20</v>
      </c>
      <c r="T213" s="51" t="s">
        <v>20</v>
      </c>
      <c r="U213" s="54" t="s">
        <v>20</v>
      </c>
      <c r="V213" s="54" t="s">
        <v>20</v>
      </c>
      <c r="W213" s="54" t="s">
        <v>20</v>
      </c>
      <c r="X213" s="51" t="s">
        <v>19</v>
      </c>
      <c r="Y213" s="51" t="s">
        <v>19</v>
      </c>
      <c r="Z213" s="39" t="s">
        <v>20</v>
      </c>
      <c r="AA213" s="39" t="s">
        <v>20</v>
      </c>
      <c r="AB213" s="39" t="s">
        <v>20</v>
      </c>
      <c r="AC213" s="53" t="s">
        <v>21</v>
      </c>
      <c r="AD213" s="53" t="s">
        <v>20</v>
      </c>
      <c r="AE213" s="34">
        <f t="shared" si="3"/>
        <v>2</v>
      </c>
    </row>
    <row r="214" spans="1:31" ht="15.75" customHeight="1" x14ac:dyDescent="0.25">
      <c r="A214" s="20">
        <v>8</v>
      </c>
      <c r="B214" s="37" t="s">
        <v>190</v>
      </c>
      <c r="C214" s="20">
        <v>5</v>
      </c>
      <c r="D214" s="20" t="s">
        <v>20</v>
      </c>
      <c r="E214" s="51" t="s">
        <v>20</v>
      </c>
      <c r="F214" s="51" t="s">
        <v>21</v>
      </c>
      <c r="G214" s="51" t="s">
        <v>20</v>
      </c>
      <c r="H214" s="51" t="s">
        <v>19</v>
      </c>
      <c r="I214" s="51" t="s">
        <v>21</v>
      </c>
      <c r="J214" s="51" t="s">
        <v>19</v>
      </c>
      <c r="K214" s="51" t="s">
        <v>19</v>
      </c>
      <c r="L214" s="51" t="s">
        <v>19</v>
      </c>
      <c r="M214" s="51" t="s">
        <v>19</v>
      </c>
      <c r="N214" s="51" t="s">
        <v>19</v>
      </c>
      <c r="O214" s="51" t="s">
        <v>21</v>
      </c>
      <c r="P214" s="51" t="s">
        <v>20</v>
      </c>
      <c r="Q214" s="51" t="s">
        <v>20</v>
      </c>
      <c r="R214" s="51" t="s">
        <v>21</v>
      </c>
      <c r="S214" s="51" t="s">
        <v>20</v>
      </c>
      <c r="T214" s="51" t="s">
        <v>19</v>
      </c>
      <c r="U214" s="54" t="s">
        <v>19</v>
      </c>
      <c r="V214" s="54" t="s">
        <v>20</v>
      </c>
      <c r="W214" s="54" t="s">
        <v>19</v>
      </c>
      <c r="X214" s="51" t="s">
        <v>19</v>
      </c>
      <c r="Y214" s="51" t="s">
        <v>19</v>
      </c>
      <c r="Z214" s="39" t="s">
        <v>19</v>
      </c>
      <c r="AA214" s="39" t="s">
        <v>19</v>
      </c>
      <c r="AB214" s="39" t="s">
        <v>19</v>
      </c>
      <c r="AC214" s="53" t="s">
        <v>21</v>
      </c>
      <c r="AD214" s="53" t="s">
        <v>20</v>
      </c>
      <c r="AE214" s="34">
        <f t="shared" si="3"/>
        <v>5</v>
      </c>
    </row>
    <row r="215" spans="1:31" ht="15.75" customHeight="1" x14ac:dyDescent="0.25">
      <c r="A215" s="20">
        <v>9</v>
      </c>
      <c r="B215" s="37" t="s">
        <v>191</v>
      </c>
      <c r="C215" s="20">
        <v>5</v>
      </c>
      <c r="D215" s="20" t="s">
        <v>20</v>
      </c>
      <c r="E215" s="51" t="s">
        <v>19</v>
      </c>
      <c r="F215" s="51" t="s">
        <v>19</v>
      </c>
      <c r="G215" s="51" t="s">
        <v>19</v>
      </c>
      <c r="H215" s="51" t="s">
        <v>19</v>
      </c>
      <c r="I215" s="51" t="s">
        <v>20</v>
      </c>
      <c r="J215" s="51" t="s">
        <v>20</v>
      </c>
      <c r="K215" s="51" t="s">
        <v>20</v>
      </c>
      <c r="L215" s="51" t="s">
        <v>19</v>
      </c>
      <c r="M215" s="51" t="s">
        <v>19</v>
      </c>
      <c r="N215" s="51" t="s">
        <v>19</v>
      </c>
      <c r="O215" s="51" t="s">
        <v>20</v>
      </c>
      <c r="P215" s="51" t="s">
        <v>20</v>
      </c>
      <c r="Q215" s="51" t="s">
        <v>19</v>
      </c>
      <c r="R215" s="51" t="s">
        <v>19</v>
      </c>
      <c r="S215" s="51" t="s">
        <v>20</v>
      </c>
      <c r="T215" s="51" t="s">
        <v>19</v>
      </c>
      <c r="U215" s="54" t="s">
        <v>19</v>
      </c>
      <c r="V215" s="54" t="s">
        <v>19</v>
      </c>
      <c r="W215" s="54" t="s">
        <v>19</v>
      </c>
      <c r="X215" s="51" t="s">
        <v>19</v>
      </c>
      <c r="Y215" s="51" t="s">
        <v>19</v>
      </c>
      <c r="Z215" s="39" t="s">
        <v>19</v>
      </c>
      <c r="AA215" s="39" t="s">
        <v>19</v>
      </c>
      <c r="AB215" s="39" t="s">
        <v>19</v>
      </c>
      <c r="AC215" s="53" t="s">
        <v>19</v>
      </c>
      <c r="AD215" s="53" t="s">
        <v>20</v>
      </c>
      <c r="AE215" s="34">
        <f t="shared" si="3"/>
        <v>0</v>
      </c>
    </row>
    <row r="216" spans="1:31" ht="15.75" customHeight="1" x14ac:dyDescent="0.25">
      <c r="A216" s="20">
        <v>10</v>
      </c>
      <c r="B216" s="37" t="s">
        <v>192</v>
      </c>
      <c r="C216" s="20">
        <v>5</v>
      </c>
      <c r="D216" s="20" t="s">
        <v>20</v>
      </c>
      <c r="E216" s="51" t="s">
        <v>19</v>
      </c>
      <c r="F216" s="51" t="s">
        <v>19</v>
      </c>
      <c r="G216" s="51" t="s">
        <v>20</v>
      </c>
      <c r="H216" s="51" t="s">
        <v>19</v>
      </c>
      <c r="I216" s="51" t="s">
        <v>19</v>
      </c>
      <c r="J216" s="51" t="s">
        <v>20</v>
      </c>
      <c r="K216" s="51" t="s">
        <v>19</v>
      </c>
      <c r="L216" s="51" t="s">
        <v>19</v>
      </c>
      <c r="M216" s="51" t="s">
        <v>19</v>
      </c>
      <c r="N216" s="51" t="s">
        <v>19</v>
      </c>
      <c r="O216" s="51" t="s">
        <v>20</v>
      </c>
      <c r="P216" s="51" t="s">
        <v>20</v>
      </c>
      <c r="Q216" s="51" t="s">
        <v>20</v>
      </c>
      <c r="R216" s="51" t="s">
        <v>19</v>
      </c>
      <c r="S216" s="51" t="s">
        <v>20</v>
      </c>
      <c r="T216" s="51" t="s">
        <v>19</v>
      </c>
      <c r="U216" s="54" t="s">
        <v>19</v>
      </c>
      <c r="V216" s="54" t="s">
        <v>19</v>
      </c>
      <c r="W216" s="54" t="s">
        <v>19</v>
      </c>
      <c r="X216" s="51" t="s">
        <v>19</v>
      </c>
      <c r="Y216" s="51" t="s">
        <v>19</v>
      </c>
      <c r="Z216" s="39" t="s">
        <v>19</v>
      </c>
      <c r="AA216" s="39" t="s">
        <v>19</v>
      </c>
      <c r="AB216" s="39" t="s">
        <v>19</v>
      </c>
      <c r="AC216" s="53" t="s">
        <v>19</v>
      </c>
      <c r="AD216" s="53" t="s">
        <v>20</v>
      </c>
      <c r="AE216" s="34">
        <f t="shared" si="3"/>
        <v>0</v>
      </c>
    </row>
    <row r="217" spans="1:31" ht="15.75" customHeight="1" x14ac:dyDescent="0.25">
      <c r="A217" s="20">
        <v>11</v>
      </c>
      <c r="B217" s="37" t="s">
        <v>193</v>
      </c>
      <c r="C217" s="20">
        <v>5</v>
      </c>
      <c r="D217" s="20" t="s">
        <v>20</v>
      </c>
      <c r="E217" s="51" t="s">
        <v>20</v>
      </c>
      <c r="F217" s="51" t="s">
        <v>20</v>
      </c>
      <c r="G217" s="51" t="s">
        <v>20</v>
      </c>
      <c r="H217" s="51" t="s">
        <v>20</v>
      </c>
      <c r="I217" s="51" t="s">
        <v>20</v>
      </c>
      <c r="J217" s="51" t="s">
        <v>20</v>
      </c>
      <c r="K217" s="51" t="s">
        <v>19</v>
      </c>
      <c r="L217" s="51" t="s">
        <v>19</v>
      </c>
      <c r="M217" s="51" t="s">
        <v>19</v>
      </c>
      <c r="N217" s="51" t="s">
        <v>19</v>
      </c>
      <c r="O217" s="51" t="s">
        <v>20</v>
      </c>
      <c r="P217" s="51" t="s">
        <v>20</v>
      </c>
      <c r="Q217" s="51" t="s">
        <v>20</v>
      </c>
      <c r="R217" s="51" t="s">
        <v>19</v>
      </c>
      <c r="S217" s="51" t="s">
        <v>19</v>
      </c>
      <c r="T217" s="51" t="s">
        <v>20</v>
      </c>
      <c r="U217" s="54" t="s">
        <v>19</v>
      </c>
      <c r="V217" s="54" t="s">
        <v>20</v>
      </c>
      <c r="W217" s="54" t="s">
        <v>19</v>
      </c>
      <c r="X217" s="51" t="s">
        <v>19</v>
      </c>
      <c r="Y217" s="51" t="s">
        <v>20</v>
      </c>
      <c r="Z217" s="39" t="s">
        <v>19</v>
      </c>
      <c r="AA217" s="39" t="s">
        <v>19</v>
      </c>
      <c r="AB217" s="39" t="s">
        <v>19</v>
      </c>
      <c r="AC217" s="53" t="s">
        <v>19</v>
      </c>
      <c r="AD217" s="53" t="s">
        <v>20</v>
      </c>
      <c r="AE217" s="34">
        <f t="shared" si="3"/>
        <v>0</v>
      </c>
    </row>
    <row r="218" spans="1:31" ht="15.75" customHeight="1" x14ac:dyDescent="0.25">
      <c r="A218" s="20">
        <v>12</v>
      </c>
      <c r="B218" s="37" t="s">
        <v>194</v>
      </c>
      <c r="C218" s="20">
        <v>5</v>
      </c>
      <c r="D218" s="20" t="s">
        <v>20</v>
      </c>
      <c r="E218" s="51" t="s">
        <v>20</v>
      </c>
      <c r="F218" s="51" t="s">
        <v>20</v>
      </c>
      <c r="G218" s="51" t="s">
        <v>20</v>
      </c>
      <c r="H218" s="51" t="s">
        <v>19</v>
      </c>
      <c r="I218" s="51" t="s">
        <v>20</v>
      </c>
      <c r="J218" s="51" t="s">
        <v>20</v>
      </c>
      <c r="K218" s="51" t="s">
        <v>19</v>
      </c>
      <c r="L218" s="51" t="s">
        <v>19</v>
      </c>
      <c r="M218" s="51" t="s">
        <v>19</v>
      </c>
      <c r="N218" s="51" t="s">
        <v>19</v>
      </c>
      <c r="O218" s="51" t="s">
        <v>21</v>
      </c>
      <c r="P218" s="51" t="s">
        <v>21</v>
      </c>
      <c r="Q218" s="51" t="s">
        <v>21</v>
      </c>
      <c r="R218" s="51" t="s">
        <v>20</v>
      </c>
      <c r="S218" s="51" t="s">
        <v>20</v>
      </c>
      <c r="T218" s="51" t="s">
        <v>19</v>
      </c>
      <c r="U218" s="54" t="s">
        <v>19</v>
      </c>
      <c r="V218" s="54" t="s">
        <v>19</v>
      </c>
      <c r="W218" s="54" t="s">
        <v>19</v>
      </c>
      <c r="X218" s="51" t="s">
        <v>19</v>
      </c>
      <c r="Y218" s="51" t="s">
        <v>19</v>
      </c>
      <c r="Z218" s="39" t="s">
        <v>19</v>
      </c>
      <c r="AA218" s="39" t="s">
        <v>19</v>
      </c>
      <c r="AB218" s="39" t="s">
        <v>19</v>
      </c>
      <c r="AC218" s="53" t="s">
        <v>21</v>
      </c>
      <c r="AD218" s="53" t="s">
        <v>20</v>
      </c>
      <c r="AE218" s="34">
        <f t="shared" si="3"/>
        <v>4</v>
      </c>
    </row>
    <row r="219" spans="1:31" ht="15.75" customHeight="1" x14ac:dyDescent="0.25">
      <c r="A219" s="20">
        <v>13</v>
      </c>
      <c r="B219" s="37" t="s">
        <v>195</v>
      </c>
      <c r="C219" s="20">
        <v>5</v>
      </c>
      <c r="D219" s="20" t="s">
        <v>20</v>
      </c>
      <c r="E219" s="51" t="s">
        <v>20</v>
      </c>
      <c r="F219" s="51" t="s">
        <v>20</v>
      </c>
      <c r="G219" s="51" t="s">
        <v>20</v>
      </c>
      <c r="H219" s="51" t="s">
        <v>20</v>
      </c>
      <c r="I219" s="51" t="s">
        <v>19</v>
      </c>
      <c r="J219" s="51" t="s">
        <v>19</v>
      </c>
      <c r="K219" s="51" t="s">
        <v>19</v>
      </c>
      <c r="L219" s="51" t="s">
        <v>19</v>
      </c>
      <c r="M219" s="51" t="s">
        <v>20</v>
      </c>
      <c r="N219" s="51" t="s">
        <v>19</v>
      </c>
      <c r="O219" s="51" t="s">
        <v>21</v>
      </c>
      <c r="P219" s="51" t="s">
        <v>20</v>
      </c>
      <c r="Q219" s="51" t="s">
        <v>20</v>
      </c>
      <c r="R219" s="51" t="s">
        <v>19</v>
      </c>
      <c r="S219" s="51" t="s">
        <v>20</v>
      </c>
      <c r="T219" s="51" t="s">
        <v>20</v>
      </c>
      <c r="U219" s="54" t="s">
        <v>19</v>
      </c>
      <c r="V219" s="54" t="s">
        <v>19</v>
      </c>
      <c r="W219" s="54" t="s">
        <v>19</v>
      </c>
      <c r="X219" s="51" t="s">
        <v>19</v>
      </c>
      <c r="Y219" s="51" t="s">
        <v>19</v>
      </c>
      <c r="Z219" s="39" t="s">
        <v>20</v>
      </c>
      <c r="AA219" s="39" t="s">
        <v>19</v>
      </c>
      <c r="AB219" s="39" t="s">
        <v>20</v>
      </c>
      <c r="AC219" s="53" t="s">
        <v>20</v>
      </c>
      <c r="AD219" s="53" t="s">
        <v>20</v>
      </c>
      <c r="AE219" s="34">
        <f t="shared" si="3"/>
        <v>1</v>
      </c>
    </row>
    <row r="220" spans="1:31" ht="15.75" customHeight="1" x14ac:dyDescent="0.25">
      <c r="A220" s="20">
        <v>14</v>
      </c>
      <c r="B220" s="37" t="s">
        <v>196</v>
      </c>
      <c r="C220" s="20">
        <v>5</v>
      </c>
      <c r="D220" s="20" t="s">
        <v>20</v>
      </c>
      <c r="E220" s="51" t="s">
        <v>20</v>
      </c>
      <c r="F220" s="51" t="s">
        <v>20</v>
      </c>
      <c r="G220" s="51" t="s">
        <v>21</v>
      </c>
      <c r="H220" s="51" t="s">
        <v>20</v>
      </c>
      <c r="I220" s="51" t="s">
        <v>21</v>
      </c>
      <c r="J220" s="51" t="s">
        <v>20</v>
      </c>
      <c r="K220" s="51" t="s">
        <v>20</v>
      </c>
      <c r="L220" s="51" t="s">
        <v>20</v>
      </c>
      <c r="M220" s="51" t="s">
        <v>20</v>
      </c>
      <c r="N220" s="51" t="s">
        <v>19</v>
      </c>
      <c r="O220" s="51" t="s">
        <v>20</v>
      </c>
      <c r="P220" s="51" t="s">
        <v>21</v>
      </c>
      <c r="Q220" s="51" t="s">
        <v>20</v>
      </c>
      <c r="R220" s="51" t="s">
        <v>20</v>
      </c>
      <c r="S220" s="51" t="s">
        <v>20</v>
      </c>
      <c r="T220" s="51" t="s">
        <v>19</v>
      </c>
      <c r="U220" s="54" t="s">
        <v>20</v>
      </c>
      <c r="V220" s="54" t="s">
        <v>19</v>
      </c>
      <c r="W220" s="54" t="s">
        <v>19</v>
      </c>
      <c r="X220" s="51" t="s">
        <v>19</v>
      </c>
      <c r="Y220" s="51" t="s">
        <v>20</v>
      </c>
      <c r="Z220" s="39" t="s">
        <v>21</v>
      </c>
      <c r="AA220" s="39" t="s">
        <v>21</v>
      </c>
      <c r="AB220" s="39" t="s">
        <v>20</v>
      </c>
      <c r="AC220" s="53" t="s">
        <v>19</v>
      </c>
      <c r="AD220" s="53" t="s">
        <v>20</v>
      </c>
      <c r="AE220" s="34">
        <f t="shared" si="3"/>
        <v>5</v>
      </c>
    </row>
    <row r="221" spans="1:31" ht="15.75" customHeight="1" x14ac:dyDescent="0.25">
      <c r="A221" s="20">
        <v>15</v>
      </c>
      <c r="B221" s="37" t="s">
        <v>197</v>
      </c>
      <c r="C221" s="20">
        <v>5</v>
      </c>
      <c r="D221" s="20" t="s">
        <v>20</v>
      </c>
      <c r="E221" s="51" t="s">
        <v>20</v>
      </c>
      <c r="F221" s="51" t="s">
        <v>21</v>
      </c>
      <c r="G221" s="51" t="s">
        <v>20</v>
      </c>
      <c r="H221" s="51" t="s">
        <v>20</v>
      </c>
      <c r="I221" s="51" t="s">
        <v>20</v>
      </c>
      <c r="J221" s="51" t="s">
        <v>19</v>
      </c>
      <c r="K221" s="51" t="s">
        <v>19</v>
      </c>
      <c r="L221" s="51" t="s">
        <v>19</v>
      </c>
      <c r="M221" s="51" t="s">
        <v>20</v>
      </c>
      <c r="N221" s="51" t="s">
        <v>19</v>
      </c>
      <c r="O221" s="51" t="s">
        <v>20</v>
      </c>
      <c r="P221" s="51" t="s">
        <v>20</v>
      </c>
      <c r="Q221" s="51" t="s">
        <v>20</v>
      </c>
      <c r="R221" s="51" t="s">
        <v>19</v>
      </c>
      <c r="S221" s="51" t="s">
        <v>19</v>
      </c>
      <c r="T221" s="51" t="s">
        <v>20</v>
      </c>
      <c r="U221" s="54" t="s">
        <v>19</v>
      </c>
      <c r="V221" s="54" t="s">
        <v>19</v>
      </c>
      <c r="W221" s="54" t="s">
        <v>19</v>
      </c>
      <c r="X221" s="51" t="s">
        <v>20</v>
      </c>
      <c r="Y221" s="51" t="s">
        <v>20</v>
      </c>
      <c r="Z221" s="39" t="s">
        <v>20</v>
      </c>
      <c r="AA221" s="39" t="s">
        <v>20</v>
      </c>
      <c r="AB221" s="39" t="s">
        <v>20</v>
      </c>
      <c r="AC221" s="53" t="s">
        <v>19</v>
      </c>
      <c r="AD221" s="53" t="s">
        <v>20</v>
      </c>
      <c r="AE221" s="34">
        <f t="shared" si="3"/>
        <v>1</v>
      </c>
    </row>
    <row r="222" spans="1:31" ht="15.75" customHeight="1" x14ac:dyDescent="0.25">
      <c r="A222" s="20">
        <v>16</v>
      </c>
      <c r="B222" s="37" t="s">
        <v>198</v>
      </c>
      <c r="C222" s="20">
        <v>5</v>
      </c>
      <c r="D222" s="20" t="s">
        <v>20</v>
      </c>
      <c r="E222" s="51" t="s">
        <v>19</v>
      </c>
      <c r="F222" s="51" t="s">
        <v>19</v>
      </c>
      <c r="G222" s="51" t="s">
        <v>20</v>
      </c>
      <c r="H222" s="51" t="s">
        <v>19</v>
      </c>
      <c r="I222" s="51" t="s">
        <v>20</v>
      </c>
      <c r="J222" s="51" t="s">
        <v>20</v>
      </c>
      <c r="K222" s="51" t="s">
        <v>19</v>
      </c>
      <c r="L222" s="51" t="s">
        <v>19</v>
      </c>
      <c r="M222" s="51" t="s">
        <v>19</v>
      </c>
      <c r="N222" s="51" t="s">
        <v>19</v>
      </c>
      <c r="O222" s="51" t="s">
        <v>20</v>
      </c>
      <c r="P222" s="51" t="s">
        <v>19</v>
      </c>
      <c r="Q222" s="51" t="s">
        <v>20</v>
      </c>
      <c r="R222" s="51" t="s">
        <v>20</v>
      </c>
      <c r="S222" s="51" t="s">
        <v>20</v>
      </c>
      <c r="T222" s="51" t="s">
        <v>19</v>
      </c>
      <c r="U222" s="54" t="s">
        <v>19</v>
      </c>
      <c r="V222" s="54" t="s">
        <v>19</v>
      </c>
      <c r="W222" s="54" t="s">
        <v>19</v>
      </c>
      <c r="X222" s="51" t="s">
        <v>19</v>
      </c>
      <c r="Y222" s="51" t="s">
        <v>20</v>
      </c>
      <c r="Z222" s="39" t="s">
        <v>20</v>
      </c>
      <c r="AA222" s="39" t="s">
        <v>19</v>
      </c>
      <c r="AB222" s="39" t="s">
        <v>19</v>
      </c>
      <c r="AC222" s="53" t="s">
        <v>19</v>
      </c>
      <c r="AD222" s="53" t="s">
        <v>20</v>
      </c>
      <c r="AE222" s="34">
        <f t="shared" si="3"/>
        <v>0</v>
      </c>
    </row>
    <row r="223" spans="1:31" ht="15.75" customHeight="1" x14ac:dyDescent="0.25">
      <c r="A223" s="20">
        <v>17</v>
      </c>
      <c r="B223" s="37" t="s">
        <v>199</v>
      </c>
      <c r="C223" s="20">
        <v>5</v>
      </c>
      <c r="D223" s="20" t="s">
        <v>20</v>
      </c>
      <c r="E223" s="51" t="s">
        <v>20</v>
      </c>
      <c r="F223" s="51" t="s">
        <v>21</v>
      </c>
      <c r="G223" s="51" t="s">
        <v>20</v>
      </c>
      <c r="H223" s="51" t="s">
        <v>20</v>
      </c>
      <c r="I223" s="51" t="s">
        <v>20</v>
      </c>
      <c r="J223" s="51" t="s">
        <v>20</v>
      </c>
      <c r="K223" s="51" t="s">
        <v>20</v>
      </c>
      <c r="L223" s="51" t="s">
        <v>20</v>
      </c>
      <c r="M223" s="51" t="s">
        <v>20</v>
      </c>
      <c r="N223" s="51" t="s">
        <v>20</v>
      </c>
      <c r="O223" s="51" t="s">
        <v>20</v>
      </c>
      <c r="P223" s="51" t="s">
        <v>21</v>
      </c>
      <c r="Q223" s="51" t="s">
        <v>20</v>
      </c>
      <c r="R223" s="51" t="s">
        <v>20</v>
      </c>
      <c r="S223" s="51" t="s">
        <v>20</v>
      </c>
      <c r="T223" s="51" t="s">
        <v>20</v>
      </c>
      <c r="U223" s="54" t="s">
        <v>19</v>
      </c>
      <c r="V223" s="54" t="s">
        <v>20</v>
      </c>
      <c r="W223" s="54" t="s">
        <v>19</v>
      </c>
      <c r="X223" s="51" t="s">
        <v>19</v>
      </c>
      <c r="Y223" s="51" t="s">
        <v>20</v>
      </c>
      <c r="Z223" s="39" t="s">
        <v>19</v>
      </c>
      <c r="AA223" s="39" t="s">
        <v>20</v>
      </c>
      <c r="AB223" s="39" t="s">
        <v>20</v>
      </c>
      <c r="AC223" s="53" t="s">
        <v>21</v>
      </c>
      <c r="AD223" s="53" t="s">
        <v>20</v>
      </c>
      <c r="AE223" s="34">
        <f t="shared" si="3"/>
        <v>3</v>
      </c>
    </row>
    <row r="224" spans="1:31" ht="15.75" customHeight="1" x14ac:dyDescent="0.25">
      <c r="A224" s="20">
        <v>18</v>
      </c>
      <c r="B224" s="37" t="s">
        <v>200</v>
      </c>
      <c r="C224" s="20">
        <v>5</v>
      </c>
      <c r="D224" s="20" t="s">
        <v>20</v>
      </c>
      <c r="E224" s="51" t="s">
        <v>19</v>
      </c>
      <c r="F224" s="51" t="s">
        <v>19</v>
      </c>
      <c r="G224" s="51" t="s">
        <v>20</v>
      </c>
      <c r="H224" s="51" t="s">
        <v>20</v>
      </c>
      <c r="I224" s="51" t="s">
        <v>19</v>
      </c>
      <c r="J224" s="51" t="s">
        <v>19</v>
      </c>
      <c r="K224" s="51" t="s">
        <v>20</v>
      </c>
      <c r="L224" s="51" t="s">
        <v>19</v>
      </c>
      <c r="M224" s="51" t="s">
        <v>19</v>
      </c>
      <c r="N224" s="51" t="s">
        <v>19</v>
      </c>
      <c r="O224" s="51" t="s">
        <v>20</v>
      </c>
      <c r="P224" s="51" t="s">
        <v>20</v>
      </c>
      <c r="Q224" s="51" t="s">
        <v>20</v>
      </c>
      <c r="R224" s="51" t="s">
        <v>19</v>
      </c>
      <c r="S224" s="51" t="s">
        <v>19</v>
      </c>
      <c r="T224" s="51" t="s">
        <v>19</v>
      </c>
      <c r="U224" s="54" t="s">
        <v>19</v>
      </c>
      <c r="V224" s="54" t="s">
        <v>19</v>
      </c>
      <c r="W224" s="54" t="s">
        <v>19</v>
      </c>
      <c r="X224" s="51" t="s">
        <v>19</v>
      </c>
      <c r="Y224" s="51" t="s">
        <v>19</v>
      </c>
      <c r="Z224" s="39" t="s">
        <v>20</v>
      </c>
      <c r="AA224" s="39" t="s">
        <v>19</v>
      </c>
      <c r="AB224" s="39" t="s">
        <v>19</v>
      </c>
      <c r="AC224" s="53" t="s">
        <v>19</v>
      </c>
      <c r="AD224" s="53" t="s">
        <v>20</v>
      </c>
      <c r="AE224" s="34">
        <f t="shared" si="3"/>
        <v>0</v>
      </c>
    </row>
    <row r="225" spans="1:31" ht="15.75" customHeight="1" x14ac:dyDescent="0.25">
      <c r="A225" s="20">
        <v>19</v>
      </c>
      <c r="B225" s="37" t="s">
        <v>201</v>
      </c>
      <c r="C225" s="20">
        <v>5</v>
      </c>
      <c r="D225" s="20" t="s">
        <v>20</v>
      </c>
      <c r="E225" s="51" t="s">
        <v>19</v>
      </c>
      <c r="F225" s="51" t="s">
        <v>19</v>
      </c>
      <c r="G225" s="51" t="s">
        <v>19</v>
      </c>
      <c r="H225" s="51" t="s">
        <v>19</v>
      </c>
      <c r="I225" s="51" t="s">
        <v>19</v>
      </c>
      <c r="J225" s="51" t="s">
        <v>19</v>
      </c>
      <c r="K225" s="51" t="s">
        <v>19</v>
      </c>
      <c r="L225" s="51" t="s">
        <v>19</v>
      </c>
      <c r="M225" s="51" t="s">
        <v>19</v>
      </c>
      <c r="N225" s="51" t="s">
        <v>19</v>
      </c>
      <c r="O225" s="51" t="s">
        <v>19</v>
      </c>
      <c r="P225" s="51" t="s">
        <v>19</v>
      </c>
      <c r="Q225" s="51" t="s">
        <v>19</v>
      </c>
      <c r="R225" s="51" t="s">
        <v>19</v>
      </c>
      <c r="S225" s="51" t="s">
        <v>19</v>
      </c>
      <c r="T225" s="51" t="s">
        <v>19</v>
      </c>
      <c r="U225" s="54" t="s">
        <v>19</v>
      </c>
      <c r="V225" s="54" t="s">
        <v>19</v>
      </c>
      <c r="W225" s="54" t="s">
        <v>19</v>
      </c>
      <c r="X225" s="51" t="s">
        <v>19</v>
      </c>
      <c r="Y225" s="51" t="s">
        <v>19</v>
      </c>
      <c r="Z225" s="39" t="s">
        <v>19</v>
      </c>
      <c r="AA225" s="39" t="s">
        <v>19</v>
      </c>
      <c r="AB225" s="39" t="s">
        <v>19</v>
      </c>
      <c r="AC225" s="53" t="s">
        <v>19</v>
      </c>
      <c r="AD225" s="53" t="s">
        <v>20</v>
      </c>
      <c r="AE225" s="34">
        <f t="shared" si="3"/>
        <v>0</v>
      </c>
    </row>
    <row r="226" spans="1:31" ht="15.75" customHeight="1" x14ac:dyDescent="0.25">
      <c r="A226" s="20">
        <v>20</v>
      </c>
      <c r="B226" s="37" t="s">
        <v>202</v>
      </c>
      <c r="C226" s="20">
        <v>5</v>
      </c>
      <c r="D226" s="20" t="s">
        <v>20</v>
      </c>
      <c r="E226" s="51" t="s">
        <v>19</v>
      </c>
      <c r="F226" s="51" t="s">
        <v>20</v>
      </c>
      <c r="G226" s="51" t="s">
        <v>20</v>
      </c>
      <c r="H226" s="51" t="s">
        <v>20</v>
      </c>
      <c r="I226" s="51" t="s">
        <v>20</v>
      </c>
      <c r="J226" s="51" t="s">
        <v>19</v>
      </c>
      <c r="K226" s="51" t="s">
        <v>19</v>
      </c>
      <c r="L226" s="51" t="s">
        <v>19</v>
      </c>
      <c r="M226" s="51" t="s">
        <v>20</v>
      </c>
      <c r="N226" s="51" t="s">
        <v>19</v>
      </c>
      <c r="O226" s="51" t="s">
        <v>20</v>
      </c>
      <c r="P226" s="51" t="s">
        <v>20</v>
      </c>
      <c r="Q226" s="51" t="s">
        <v>20</v>
      </c>
      <c r="R226" s="51" t="s">
        <v>19</v>
      </c>
      <c r="S226" s="51" t="s">
        <v>20</v>
      </c>
      <c r="T226" s="51" t="s">
        <v>20</v>
      </c>
      <c r="U226" s="54" t="s">
        <v>19</v>
      </c>
      <c r="V226" s="54" t="s">
        <v>20</v>
      </c>
      <c r="W226" s="54" t="s">
        <v>19</v>
      </c>
      <c r="X226" s="51" t="s">
        <v>19</v>
      </c>
      <c r="Y226" s="51" t="s">
        <v>19</v>
      </c>
      <c r="Z226" s="39" t="s">
        <v>19</v>
      </c>
      <c r="AA226" s="39" t="s">
        <v>19</v>
      </c>
      <c r="AB226" s="39" t="s">
        <v>19</v>
      </c>
      <c r="AC226" s="53" t="s">
        <v>19</v>
      </c>
      <c r="AD226" s="53" t="s">
        <v>20</v>
      </c>
      <c r="AE226" s="34">
        <f t="shared" si="3"/>
        <v>0</v>
      </c>
    </row>
    <row r="227" spans="1:31" ht="15.75" customHeight="1" x14ac:dyDescent="0.25">
      <c r="A227" s="20">
        <v>21</v>
      </c>
      <c r="B227" s="37" t="s">
        <v>203</v>
      </c>
      <c r="C227" s="20">
        <v>5</v>
      </c>
      <c r="D227" s="20" t="s">
        <v>20</v>
      </c>
      <c r="E227" s="51" t="s">
        <v>22</v>
      </c>
      <c r="F227" s="51" t="s">
        <v>19</v>
      </c>
      <c r="G227" s="51" t="s">
        <v>19</v>
      </c>
      <c r="H227" s="51" t="s">
        <v>19</v>
      </c>
      <c r="I227" s="51" t="s">
        <v>19</v>
      </c>
      <c r="J227" s="51" t="s">
        <v>22</v>
      </c>
      <c r="K227" s="51" t="s">
        <v>22</v>
      </c>
      <c r="L227" s="51" t="s">
        <v>19</v>
      </c>
      <c r="M227" s="51" t="s">
        <v>19</v>
      </c>
      <c r="N227" s="51" t="s">
        <v>19</v>
      </c>
      <c r="O227" s="51" t="s">
        <v>19</v>
      </c>
      <c r="P227" s="51" t="s">
        <v>19</v>
      </c>
      <c r="Q227" s="51" t="s">
        <v>19</v>
      </c>
      <c r="R227" s="51" t="s">
        <v>19</v>
      </c>
      <c r="S227" s="51" t="s">
        <v>19</v>
      </c>
      <c r="T227" s="51" t="s">
        <v>19</v>
      </c>
      <c r="U227" s="54" t="s">
        <v>19</v>
      </c>
      <c r="V227" s="54" t="s">
        <v>19</v>
      </c>
      <c r="W227" s="54" t="s">
        <v>19</v>
      </c>
      <c r="X227" s="51" t="s">
        <v>22</v>
      </c>
      <c r="Y227" s="51" t="s">
        <v>22</v>
      </c>
      <c r="Z227" s="39" t="s">
        <v>19</v>
      </c>
      <c r="AA227" s="39" t="s">
        <v>19</v>
      </c>
      <c r="AB227" s="39" t="s">
        <v>19</v>
      </c>
      <c r="AC227" s="53" t="s">
        <v>19</v>
      </c>
      <c r="AD227" s="53" t="s">
        <v>20</v>
      </c>
      <c r="AE227" s="34">
        <f t="shared" si="3"/>
        <v>0</v>
      </c>
    </row>
    <row r="228" spans="1:31" ht="15.75" customHeight="1" x14ac:dyDescent="0.25">
      <c r="A228" s="20">
        <v>22</v>
      </c>
      <c r="B228" s="37" t="s">
        <v>204</v>
      </c>
      <c r="C228" s="20">
        <v>5</v>
      </c>
      <c r="D228" s="20" t="s">
        <v>20</v>
      </c>
      <c r="E228" s="51" t="s">
        <v>20</v>
      </c>
      <c r="F228" s="51" t="s">
        <v>20</v>
      </c>
      <c r="G228" s="51" t="s">
        <v>20</v>
      </c>
      <c r="H228" s="51" t="s">
        <v>20</v>
      </c>
      <c r="I228" s="51" t="s">
        <v>20</v>
      </c>
      <c r="J228" s="51" t="s">
        <v>19</v>
      </c>
      <c r="K228" s="51" t="s">
        <v>19</v>
      </c>
      <c r="L228" s="51" t="s">
        <v>19</v>
      </c>
      <c r="M228" s="51" t="s">
        <v>19</v>
      </c>
      <c r="N228" s="51" t="s">
        <v>19</v>
      </c>
      <c r="O228" s="51" t="s">
        <v>20</v>
      </c>
      <c r="P228" s="51" t="s">
        <v>20</v>
      </c>
      <c r="Q228" s="51" t="s">
        <v>21</v>
      </c>
      <c r="R228" s="51" t="s">
        <v>20</v>
      </c>
      <c r="S228" s="51" t="s">
        <v>20</v>
      </c>
      <c r="T228" s="51" t="s">
        <v>19</v>
      </c>
      <c r="U228" s="54" t="s">
        <v>19</v>
      </c>
      <c r="V228" s="54" t="s">
        <v>19</v>
      </c>
      <c r="W228" s="54" t="s">
        <v>19</v>
      </c>
      <c r="X228" s="51" t="s">
        <v>20</v>
      </c>
      <c r="Y228" s="51" t="s">
        <v>19</v>
      </c>
      <c r="Z228" s="39" t="s">
        <v>20</v>
      </c>
      <c r="AA228" s="39" t="s">
        <v>20</v>
      </c>
      <c r="AB228" s="39" t="s">
        <v>20</v>
      </c>
      <c r="AC228" s="58" t="s">
        <v>21</v>
      </c>
      <c r="AD228" s="58" t="s">
        <v>20</v>
      </c>
      <c r="AE228" s="34">
        <f t="shared" si="3"/>
        <v>2</v>
      </c>
    </row>
    <row r="229" spans="1:31" ht="15.75" customHeight="1" x14ac:dyDescent="0.25">
      <c r="A229" s="20">
        <v>23</v>
      </c>
      <c r="B229" s="37" t="s">
        <v>266</v>
      </c>
      <c r="C229" s="20">
        <v>5</v>
      </c>
      <c r="D229" s="20" t="s">
        <v>20</v>
      </c>
      <c r="E229" s="51" t="s">
        <v>20</v>
      </c>
      <c r="F229" s="51" t="s">
        <v>20</v>
      </c>
      <c r="G229" s="51" t="s">
        <v>20</v>
      </c>
      <c r="H229" s="51" t="s">
        <v>19</v>
      </c>
      <c r="I229" s="51" t="s">
        <v>19</v>
      </c>
      <c r="J229" s="51" t="s">
        <v>19</v>
      </c>
      <c r="K229" s="51" t="s">
        <v>19</v>
      </c>
      <c r="L229" s="51" t="s">
        <v>19</v>
      </c>
      <c r="M229" s="51" t="s">
        <v>20</v>
      </c>
      <c r="N229" s="51" t="s">
        <v>19</v>
      </c>
      <c r="O229" s="51" t="s">
        <v>20</v>
      </c>
      <c r="P229" s="51" t="s">
        <v>20</v>
      </c>
      <c r="Q229" s="51" t="s">
        <v>19</v>
      </c>
      <c r="R229" s="51" t="s">
        <v>20</v>
      </c>
      <c r="S229" s="51" t="s">
        <v>20</v>
      </c>
      <c r="T229" s="51" t="s">
        <v>20</v>
      </c>
      <c r="U229" s="54" t="s">
        <v>19</v>
      </c>
      <c r="V229" s="54" t="s">
        <v>19</v>
      </c>
      <c r="W229" s="54" t="s">
        <v>19</v>
      </c>
      <c r="X229" s="51" t="s">
        <v>19</v>
      </c>
      <c r="Y229" s="51" t="s">
        <v>20</v>
      </c>
      <c r="Z229" s="39" t="s">
        <v>19</v>
      </c>
      <c r="AA229" s="39" t="s">
        <v>19</v>
      </c>
      <c r="AB229" s="39" t="s">
        <v>19</v>
      </c>
      <c r="AC229" s="53" t="s">
        <v>19</v>
      </c>
      <c r="AD229" s="53" t="s">
        <v>20</v>
      </c>
      <c r="AE229" s="34">
        <f t="shared" si="3"/>
        <v>0</v>
      </c>
    </row>
    <row r="230" spans="1:31" ht="15.75" customHeight="1" x14ac:dyDescent="0.25">
      <c r="A230" s="20">
        <v>24</v>
      </c>
      <c r="B230" s="37" t="s">
        <v>267</v>
      </c>
      <c r="C230" s="20">
        <v>5</v>
      </c>
      <c r="D230" s="20" t="s">
        <v>20</v>
      </c>
      <c r="E230" s="51" t="s">
        <v>19</v>
      </c>
      <c r="F230" s="51" t="s">
        <v>19</v>
      </c>
      <c r="G230" s="51" t="s">
        <v>19</v>
      </c>
      <c r="H230" s="51" t="s">
        <v>19</v>
      </c>
      <c r="I230" s="51" t="s">
        <v>19</v>
      </c>
      <c r="J230" s="51" t="s">
        <v>19</v>
      </c>
      <c r="K230" s="51" t="s">
        <v>22</v>
      </c>
      <c r="L230" s="51" t="s">
        <v>19</v>
      </c>
      <c r="M230" s="51" t="s">
        <v>19</v>
      </c>
      <c r="N230" s="51" t="s">
        <v>19</v>
      </c>
      <c r="O230" s="51" t="s">
        <v>19</v>
      </c>
      <c r="P230" s="51" t="s">
        <v>20</v>
      </c>
      <c r="Q230" s="51" t="s">
        <v>20</v>
      </c>
      <c r="R230" s="51" t="s">
        <v>19</v>
      </c>
      <c r="S230" s="51" t="s">
        <v>19</v>
      </c>
      <c r="T230" s="51" t="s">
        <v>19</v>
      </c>
      <c r="U230" s="54" t="s">
        <v>19</v>
      </c>
      <c r="V230" s="54" t="s">
        <v>20</v>
      </c>
      <c r="W230" s="54" t="s">
        <v>19</v>
      </c>
      <c r="X230" s="51" t="s">
        <v>19</v>
      </c>
      <c r="Y230" s="51" t="s">
        <v>19</v>
      </c>
      <c r="Z230" s="39" t="s">
        <v>19</v>
      </c>
      <c r="AA230" s="39" t="s">
        <v>20</v>
      </c>
      <c r="AB230" s="39" t="s">
        <v>19</v>
      </c>
      <c r="AC230" s="53" t="s">
        <v>19</v>
      </c>
      <c r="AD230" s="53" t="s">
        <v>20</v>
      </c>
      <c r="AE230" s="34">
        <f t="shared" si="3"/>
        <v>0</v>
      </c>
    </row>
    <row r="231" spans="1:31" ht="15.75" customHeight="1" x14ac:dyDescent="0.25">
      <c r="A231" s="20">
        <v>25</v>
      </c>
      <c r="B231" s="37" t="s">
        <v>205</v>
      </c>
      <c r="C231" s="20">
        <v>5</v>
      </c>
      <c r="D231" s="20" t="s">
        <v>20</v>
      </c>
      <c r="E231" s="51" t="s">
        <v>20</v>
      </c>
      <c r="F231" s="51" t="s">
        <v>20</v>
      </c>
      <c r="G231" s="60" t="s">
        <v>20</v>
      </c>
      <c r="H231" s="51" t="s">
        <v>20</v>
      </c>
      <c r="I231" s="51" t="s">
        <v>20</v>
      </c>
      <c r="J231" s="51" t="s">
        <v>20</v>
      </c>
      <c r="K231" s="51" t="s">
        <v>20</v>
      </c>
      <c r="L231" s="51" t="s">
        <v>19</v>
      </c>
      <c r="M231" s="51" t="s">
        <v>20</v>
      </c>
      <c r="N231" s="51" t="s">
        <v>19</v>
      </c>
      <c r="O231" s="51" t="s">
        <v>20</v>
      </c>
      <c r="P231" s="51" t="s">
        <v>20</v>
      </c>
      <c r="Q231" s="51" t="s">
        <v>20</v>
      </c>
      <c r="R231" s="51" t="s">
        <v>20</v>
      </c>
      <c r="S231" s="51" t="s">
        <v>19</v>
      </c>
      <c r="T231" s="51" t="s">
        <v>20</v>
      </c>
      <c r="U231" s="54" t="s">
        <v>20</v>
      </c>
      <c r="V231" s="54" t="s">
        <v>20</v>
      </c>
      <c r="W231" s="54" t="s">
        <v>20</v>
      </c>
      <c r="X231" s="51" t="s">
        <v>19</v>
      </c>
      <c r="Y231" s="51" t="s">
        <v>20</v>
      </c>
      <c r="Z231" s="39" t="s">
        <v>20</v>
      </c>
      <c r="AA231" s="39" t="s">
        <v>20</v>
      </c>
      <c r="AB231" s="39" t="s">
        <v>20</v>
      </c>
      <c r="AC231" s="53" t="s">
        <v>20</v>
      </c>
      <c r="AD231" s="53" t="s">
        <v>20</v>
      </c>
      <c r="AE231" s="34">
        <f t="shared" si="3"/>
        <v>0</v>
      </c>
    </row>
    <row r="232" spans="1:31" ht="15.75" customHeight="1" thickBot="1" x14ac:dyDescent="0.3">
      <c r="A232" s="21">
        <v>26</v>
      </c>
      <c r="B232" s="38" t="s">
        <v>206</v>
      </c>
      <c r="C232" s="21">
        <v>5</v>
      </c>
      <c r="D232" s="21" t="s">
        <v>20</v>
      </c>
      <c r="E232" s="87" t="s">
        <v>22</v>
      </c>
      <c r="F232" s="87" t="s">
        <v>19</v>
      </c>
      <c r="G232" s="105" t="s">
        <v>19</v>
      </c>
      <c r="H232" s="87" t="s">
        <v>19</v>
      </c>
      <c r="I232" s="87" t="s">
        <v>19</v>
      </c>
      <c r="J232" s="87" t="s">
        <v>19</v>
      </c>
      <c r="K232" s="87" t="s">
        <v>19</v>
      </c>
      <c r="L232" s="87" t="s">
        <v>19</v>
      </c>
      <c r="M232" s="87" t="s">
        <v>19</v>
      </c>
      <c r="N232" s="87" t="s">
        <v>19</v>
      </c>
      <c r="O232" s="87" t="s">
        <v>20</v>
      </c>
      <c r="P232" s="87" t="s">
        <v>19</v>
      </c>
      <c r="Q232" s="87" t="s">
        <v>19</v>
      </c>
      <c r="R232" s="87" t="s">
        <v>19</v>
      </c>
      <c r="S232" s="87" t="s">
        <v>19</v>
      </c>
      <c r="T232" s="87" t="s">
        <v>19</v>
      </c>
      <c r="U232" s="100" t="s">
        <v>19</v>
      </c>
      <c r="V232" s="100" t="s">
        <v>19</v>
      </c>
      <c r="W232" s="100" t="s">
        <v>19</v>
      </c>
      <c r="X232" s="87" t="s">
        <v>19</v>
      </c>
      <c r="Y232" s="87" t="s">
        <v>19</v>
      </c>
      <c r="Z232" s="41" t="s">
        <v>19</v>
      </c>
      <c r="AA232" s="41" t="s">
        <v>19</v>
      </c>
      <c r="AB232" s="41" t="s">
        <v>19</v>
      </c>
      <c r="AC232" s="96" t="s">
        <v>19</v>
      </c>
      <c r="AD232" s="96" t="s">
        <v>20</v>
      </c>
      <c r="AE232" s="34"/>
    </row>
    <row r="233" spans="1:31" ht="15.75" customHeight="1" x14ac:dyDescent="0.25">
      <c r="A233" s="62"/>
      <c r="B233" s="63"/>
      <c r="C233" s="62"/>
      <c r="D233" s="62"/>
      <c r="E233" s="76"/>
      <c r="F233" s="76"/>
      <c r="G233" s="77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8"/>
      <c r="V233" s="78"/>
      <c r="W233" s="78"/>
      <c r="X233" s="76"/>
      <c r="Y233" s="76"/>
      <c r="Z233" s="76"/>
      <c r="AA233" s="79"/>
      <c r="AB233" s="76"/>
      <c r="AC233" s="80"/>
      <c r="AD233" s="80"/>
      <c r="AE233" s="34"/>
    </row>
    <row r="234" spans="1:31" ht="15.75" customHeight="1" x14ac:dyDescent="0.25"/>
    <row r="235" spans="1:31" ht="15.75" customHeight="1" x14ac:dyDescent="0.25">
      <c r="B235" s="10" t="s">
        <v>23</v>
      </c>
      <c r="E235">
        <v>1</v>
      </c>
      <c r="F235">
        <v>2</v>
      </c>
      <c r="G235">
        <v>3</v>
      </c>
      <c r="H235">
        <v>4</v>
      </c>
      <c r="I235">
        <v>5</v>
      </c>
      <c r="J235">
        <v>6</v>
      </c>
      <c r="K235">
        <v>7</v>
      </c>
      <c r="L235">
        <v>8</v>
      </c>
      <c r="M235">
        <v>9</v>
      </c>
      <c r="N235">
        <v>10</v>
      </c>
      <c r="O235">
        <v>11</v>
      </c>
      <c r="P235">
        <v>12</v>
      </c>
      <c r="Q235">
        <v>13</v>
      </c>
      <c r="R235">
        <v>14</v>
      </c>
      <c r="S235">
        <v>15</v>
      </c>
      <c r="T235">
        <v>16</v>
      </c>
      <c r="U235">
        <v>17</v>
      </c>
      <c r="V235">
        <v>18</v>
      </c>
      <c r="W235" s="10">
        <v>19</v>
      </c>
      <c r="X235" s="10">
        <v>20</v>
      </c>
      <c r="Y235" s="10">
        <v>21</v>
      </c>
      <c r="Z235" s="10">
        <v>22</v>
      </c>
      <c r="AA235" s="10">
        <v>23</v>
      </c>
      <c r="AB235" s="10">
        <v>24</v>
      </c>
      <c r="AC235" s="10">
        <v>25</v>
      </c>
      <c r="AD235" s="10">
        <v>26</v>
      </c>
    </row>
    <row r="236" spans="1:31" ht="15.75" customHeight="1" x14ac:dyDescent="0.25">
      <c r="B236" s="10" t="s">
        <v>24</v>
      </c>
      <c r="E236" s="11">
        <f t="shared" ref="E236:AD236" si="4">COUNTIF(E6:E231,"C")</f>
        <v>27</v>
      </c>
      <c r="F236" s="11">
        <f t="shared" si="4"/>
        <v>43</v>
      </c>
      <c r="G236" s="11">
        <f t="shared" si="4"/>
        <v>31</v>
      </c>
      <c r="H236" s="11">
        <f t="shared" si="4"/>
        <v>17</v>
      </c>
      <c r="I236" s="11">
        <f t="shared" si="4"/>
        <v>3</v>
      </c>
      <c r="J236" s="11">
        <f t="shared" si="4"/>
        <v>7</v>
      </c>
      <c r="K236" s="11">
        <f t="shared" si="4"/>
        <v>4</v>
      </c>
      <c r="L236" s="11">
        <f t="shared" si="4"/>
        <v>7</v>
      </c>
      <c r="M236" s="11">
        <f t="shared" si="4"/>
        <v>7</v>
      </c>
      <c r="N236" s="11">
        <f t="shared" si="4"/>
        <v>14</v>
      </c>
      <c r="O236" s="11">
        <f t="shared" si="4"/>
        <v>27</v>
      </c>
      <c r="P236" s="11">
        <f t="shared" si="4"/>
        <v>20</v>
      </c>
      <c r="Q236" s="11">
        <f t="shared" si="4"/>
        <v>19</v>
      </c>
      <c r="R236" s="11">
        <f t="shared" si="4"/>
        <v>28</v>
      </c>
      <c r="S236" s="11">
        <f t="shared" si="4"/>
        <v>22</v>
      </c>
      <c r="T236" s="11">
        <f t="shared" si="4"/>
        <v>0</v>
      </c>
      <c r="U236" s="11">
        <f t="shared" si="4"/>
        <v>0</v>
      </c>
      <c r="V236" s="11">
        <f t="shared" si="4"/>
        <v>0</v>
      </c>
      <c r="W236" s="11">
        <f t="shared" si="4"/>
        <v>0</v>
      </c>
      <c r="X236" s="11">
        <f t="shared" si="4"/>
        <v>13</v>
      </c>
      <c r="Y236" s="11">
        <f t="shared" si="4"/>
        <v>5</v>
      </c>
      <c r="Z236" s="11">
        <f t="shared" si="4"/>
        <v>18</v>
      </c>
      <c r="AA236" s="11">
        <f t="shared" si="4"/>
        <v>13</v>
      </c>
      <c r="AB236" s="11">
        <f t="shared" si="4"/>
        <v>25</v>
      </c>
      <c r="AC236" s="11">
        <f t="shared" si="4"/>
        <v>56</v>
      </c>
      <c r="AD236" s="11">
        <f t="shared" si="4"/>
        <v>0</v>
      </c>
    </row>
    <row r="237" spans="1:31" ht="15.75" customHeight="1" x14ac:dyDescent="0.25">
      <c r="B237" s="10" t="s">
        <v>25</v>
      </c>
      <c r="E237" s="12">
        <f t="shared" ref="E237:AD237" si="5">COUNTIF(E6:E231,"B")</f>
        <v>95</v>
      </c>
      <c r="F237" s="12">
        <f t="shared" si="5"/>
        <v>94</v>
      </c>
      <c r="G237" s="12">
        <f t="shared" si="5"/>
        <v>110</v>
      </c>
      <c r="H237" s="12">
        <f t="shared" si="5"/>
        <v>112</v>
      </c>
      <c r="I237" s="12">
        <f t="shared" si="5"/>
        <v>86</v>
      </c>
      <c r="J237" s="12">
        <f t="shared" si="5"/>
        <v>91</v>
      </c>
      <c r="K237" s="12">
        <f t="shared" si="5"/>
        <v>123</v>
      </c>
      <c r="L237" s="12">
        <f t="shared" si="5"/>
        <v>89</v>
      </c>
      <c r="M237" s="12">
        <f t="shared" si="5"/>
        <v>76</v>
      </c>
      <c r="N237" s="12">
        <f t="shared" si="5"/>
        <v>49</v>
      </c>
      <c r="O237" s="12">
        <f t="shared" si="5"/>
        <v>129</v>
      </c>
      <c r="P237" s="12">
        <f t="shared" si="5"/>
        <v>136</v>
      </c>
      <c r="Q237" s="12">
        <f t="shared" si="5"/>
        <v>138</v>
      </c>
      <c r="R237" s="12">
        <f t="shared" si="5"/>
        <v>71</v>
      </c>
      <c r="S237" s="12">
        <f t="shared" si="5"/>
        <v>81</v>
      </c>
      <c r="T237" s="12">
        <f t="shared" si="5"/>
        <v>97</v>
      </c>
      <c r="U237" s="12">
        <f t="shared" si="5"/>
        <v>62</v>
      </c>
      <c r="V237" s="12">
        <f t="shared" si="5"/>
        <v>56</v>
      </c>
      <c r="W237" s="12">
        <f t="shared" si="5"/>
        <v>52</v>
      </c>
      <c r="X237" s="12">
        <f t="shared" si="5"/>
        <v>75</v>
      </c>
      <c r="Y237" s="12">
        <f t="shared" si="5"/>
        <v>66</v>
      </c>
      <c r="Z237" s="12">
        <f t="shared" si="5"/>
        <v>110</v>
      </c>
      <c r="AA237" s="12">
        <f t="shared" si="5"/>
        <v>111</v>
      </c>
      <c r="AB237" s="12">
        <f t="shared" si="5"/>
        <v>98</v>
      </c>
      <c r="AC237" s="12">
        <f t="shared" si="5"/>
        <v>69</v>
      </c>
      <c r="AD237" s="12">
        <f t="shared" si="5"/>
        <v>219</v>
      </c>
    </row>
    <row r="238" spans="1:31" ht="15.75" customHeight="1" x14ac:dyDescent="0.25">
      <c r="B238" s="10" t="s">
        <v>26</v>
      </c>
      <c r="E238" s="13">
        <f t="shared" ref="E238:AD238" si="6">COUNTIF(E6:E231,"A")</f>
        <v>91</v>
      </c>
      <c r="F238" s="13">
        <f t="shared" si="6"/>
        <v>84</v>
      </c>
      <c r="G238" s="13">
        <f t="shared" si="6"/>
        <v>75</v>
      </c>
      <c r="H238" s="13">
        <f t="shared" si="6"/>
        <v>83</v>
      </c>
      <c r="I238" s="13">
        <f t="shared" si="6"/>
        <v>132</v>
      </c>
      <c r="J238" s="13">
        <f t="shared" si="6"/>
        <v>117</v>
      </c>
      <c r="K238" s="13">
        <f t="shared" si="6"/>
        <v>96</v>
      </c>
      <c r="L238" s="13">
        <f t="shared" si="6"/>
        <v>130</v>
      </c>
      <c r="M238" s="13">
        <f t="shared" si="6"/>
        <v>143</v>
      </c>
      <c r="N238" s="13">
        <f t="shared" si="6"/>
        <v>163</v>
      </c>
      <c r="O238" s="13">
        <f t="shared" si="6"/>
        <v>70</v>
      </c>
      <c r="P238" s="13">
        <f t="shared" si="6"/>
        <v>70</v>
      </c>
      <c r="Q238" s="13">
        <f t="shared" si="6"/>
        <v>69</v>
      </c>
      <c r="R238" s="13">
        <f t="shared" si="6"/>
        <v>127</v>
      </c>
      <c r="S238" s="13">
        <f t="shared" si="6"/>
        <v>123</v>
      </c>
      <c r="T238" s="13">
        <f t="shared" si="6"/>
        <v>129</v>
      </c>
      <c r="U238" s="13">
        <f t="shared" si="6"/>
        <v>164</v>
      </c>
      <c r="V238" s="13">
        <f t="shared" si="6"/>
        <v>170</v>
      </c>
      <c r="W238" s="13">
        <f t="shared" si="6"/>
        <v>174</v>
      </c>
      <c r="X238" s="13">
        <f t="shared" si="6"/>
        <v>133</v>
      </c>
      <c r="Y238" s="13">
        <f t="shared" si="6"/>
        <v>147</v>
      </c>
      <c r="Z238" s="13">
        <f t="shared" si="6"/>
        <v>95</v>
      </c>
      <c r="AA238" s="13">
        <f t="shared" si="6"/>
        <v>101</v>
      </c>
      <c r="AB238" s="13">
        <f t="shared" si="6"/>
        <v>102</v>
      </c>
      <c r="AC238" s="13">
        <f t="shared" si="6"/>
        <v>94</v>
      </c>
      <c r="AD238" s="13">
        <f t="shared" si="6"/>
        <v>0</v>
      </c>
    </row>
    <row r="239" spans="1:31" ht="15.75" customHeight="1" x14ac:dyDescent="0.25">
      <c r="B239" s="10" t="s">
        <v>27</v>
      </c>
      <c r="E239" s="14">
        <f t="shared" ref="E239:AD239" si="7">COUNTIF(E6:E231,"AD")</f>
        <v>13</v>
      </c>
      <c r="F239" s="14">
        <f t="shared" si="7"/>
        <v>5</v>
      </c>
      <c r="G239" s="14">
        <f t="shared" si="7"/>
        <v>10</v>
      </c>
      <c r="H239" s="14">
        <f t="shared" si="7"/>
        <v>14</v>
      </c>
      <c r="I239" s="14">
        <f t="shared" si="7"/>
        <v>5</v>
      </c>
      <c r="J239" s="14">
        <f t="shared" si="7"/>
        <v>11</v>
      </c>
      <c r="K239" s="14">
        <f t="shared" si="7"/>
        <v>3</v>
      </c>
      <c r="L239" s="14">
        <f t="shared" si="7"/>
        <v>0</v>
      </c>
      <c r="M239" s="14">
        <f t="shared" si="7"/>
        <v>0</v>
      </c>
      <c r="N239" s="14">
        <f t="shared" si="7"/>
        <v>0</v>
      </c>
      <c r="O239" s="14">
        <f t="shared" si="7"/>
        <v>0</v>
      </c>
      <c r="P239" s="14">
        <f t="shared" si="7"/>
        <v>0</v>
      </c>
      <c r="Q239" s="14">
        <f t="shared" si="7"/>
        <v>0</v>
      </c>
      <c r="R239" s="14">
        <f t="shared" si="7"/>
        <v>0</v>
      </c>
      <c r="S239" s="14">
        <f t="shared" si="7"/>
        <v>0</v>
      </c>
      <c r="T239" s="14">
        <f t="shared" si="7"/>
        <v>0</v>
      </c>
      <c r="U239" s="14">
        <f t="shared" si="7"/>
        <v>0</v>
      </c>
      <c r="V239" s="14">
        <f t="shared" si="7"/>
        <v>0</v>
      </c>
      <c r="W239" s="14">
        <f t="shared" si="7"/>
        <v>0</v>
      </c>
      <c r="X239" s="14">
        <f t="shared" si="7"/>
        <v>5</v>
      </c>
      <c r="Y239" s="14">
        <f t="shared" si="7"/>
        <v>8</v>
      </c>
      <c r="Z239" s="14">
        <f t="shared" si="7"/>
        <v>3</v>
      </c>
      <c r="AA239" s="14">
        <f t="shared" si="7"/>
        <v>1</v>
      </c>
      <c r="AB239" s="14">
        <f t="shared" si="7"/>
        <v>1</v>
      </c>
      <c r="AC239" s="14">
        <f t="shared" si="7"/>
        <v>0</v>
      </c>
      <c r="AD239" s="14">
        <f t="shared" si="7"/>
        <v>0</v>
      </c>
    </row>
    <row r="240" spans="1:31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</sheetData>
  <mergeCells count="11">
    <mergeCell ref="AC4:AD4"/>
    <mergeCell ref="B2:AD2"/>
    <mergeCell ref="B3:AD3"/>
    <mergeCell ref="E4:H4"/>
    <mergeCell ref="I4:K4"/>
    <mergeCell ref="L4:N4"/>
    <mergeCell ref="O4:Q4"/>
    <mergeCell ref="R4:S4"/>
    <mergeCell ref="U4:W4"/>
    <mergeCell ref="X4:Y4"/>
    <mergeCell ref="Z4:AB4"/>
  </mergeCells>
  <conditionalFormatting sqref="E233:AD233">
    <cfRule type="cellIs" dxfId="106" priority="49" operator="equal">
      <formula>"AD"</formula>
    </cfRule>
    <cfRule type="cellIs" dxfId="105" priority="50" operator="equal">
      <formula>"A"</formula>
    </cfRule>
    <cfRule type="cellIs" dxfId="104" priority="51" operator="equal">
      <formula>"B"</formula>
    </cfRule>
    <cfRule type="cellIs" dxfId="103" priority="52" operator="equal">
      <formula>"C"</formula>
    </cfRule>
  </conditionalFormatting>
  <conditionalFormatting sqref="AE6:AE233">
    <cfRule type="cellIs" dxfId="102" priority="109" stopIfTrue="1" operator="lessThan">
      <formula>5</formula>
    </cfRule>
    <cfRule type="cellIs" dxfId="101" priority="110" operator="between">
      <formula>5</formula>
      <formula>11</formula>
    </cfRule>
    <cfRule type="cellIs" dxfId="100" priority="111" stopIfTrue="1" operator="greaterThanOrEqual">
      <formula>12</formula>
    </cfRule>
  </conditionalFormatting>
  <conditionalFormatting sqref="E6:K23 O6:AD23">
    <cfRule type="cellIs" dxfId="99" priority="45" operator="equal">
      <formula>"AD"</formula>
    </cfRule>
    <cfRule type="cellIs" dxfId="98" priority="46" operator="equal">
      <formula>"A"</formula>
    </cfRule>
    <cfRule type="cellIs" dxfId="97" priority="47" operator="equal">
      <formula>"B"</formula>
    </cfRule>
    <cfRule type="cellIs" dxfId="96" priority="48" operator="equal">
      <formula>"C"</formula>
    </cfRule>
  </conditionalFormatting>
  <conditionalFormatting sqref="E24:K43 O24:AD43">
    <cfRule type="cellIs" dxfId="95" priority="41" operator="equal">
      <formula>"AD"</formula>
    </cfRule>
    <cfRule type="cellIs" dxfId="94" priority="42" operator="equal">
      <formula>"A"</formula>
    </cfRule>
    <cfRule type="cellIs" dxfId="93" priority="43" operator="equal">
      <formula>"B"</formula>
    </cfRule>
    <cfRule type="cellIs" dxfId="92" priority="44" operator="equal">
      <formula>"C"</formula>
    </cfRule>
  </conditionalFormatting>
  <conditionalFormatting sqref="E44:K67 O44:AD67">
    <cfRule type="cellIs" dxfId="91" priority="37" operator="equal">
      <formula>"AD"</formula>
    </cfRule>
    <cfRule type="cellIs" dxfId="90" priority="38" operator="equal">
      <formula>"A"</formula>
    </cfRule>
    <cfRule type="cellIs" dxfId="89" priority="39" operator="equal">
      <formula>"B"</formula>
    </cfRule>
    <cfRule type="cellIs" dxfId="88" priority="40" operator="equal">
      <formula>"C"</formula>
    </cfRule>
  </conditionalFormatting>
  <conditionalFormatting sqref="E68:AD90">
    <cfRule type="cellIs" dxfId="87" priority="33" operator="equal">
      <formula>"AD"</formula>
    </cfRule>
    <cfRule type="cellIs" dxfId="86" priority="34" operator="equal">
      <formula>"A"</formula>
    </cfRule>
    <cfRule type="cellIs" dxfId="85" priority="35" operator="equal">
      <formula>"B"</formula>
    </cfRule>
    <cfRule type="cellIs" dxfId="84" priority="36" operator="equal">
      <formula>"C"</formula>
    </cfRule>
  </conditionalFormatting>
  <conditionalFormatting sqref="E91:AD109">
    <cfRule type="cellIs" dxfId="83" priority="29" operator="equal">
      <formula>"AD"</formula>
    </cfRule>
    <cfRule type="cellIs" dxfId="82" priority="30" operator="equal">
      <formula>"A"</formula>
    </cfRule>
    <cfRule type="cellIs" dxfId="81" priority="31" operator="equal">
      <formula>"B"</formula>
    </cfRule>
    <cfRule type="cellIs" dxfId="80" priority="32" operator="equal">
      <formula>"C"</formula>
    </cfRule>
  </conditionalFormatting>
  <conditionalFormatting sqref="E110:AD130">
    <cfRule type="cellIs" dxfId="79" priority="25" operator="equal">
      <formula>"AD"</formula>
    </cfRule>
    <cfRule type="cellIs" dxfId="78" priority="26" operator="equal">
      <formula>"A"</formula>
    </cfRule>
    <cfRule type="cellIs" dxfId="77" priority="27" operator="equal">
      <formula>"B"</formula>
    </cfRule>
    <cfRule type="cellIs" dxfId="76" priority="28" operator="equal">
      <formula>"C"</formula>
    </cfRule>
  </conditionalFormatting>
  <conditionalFormatting sqref="E131:AD153">
    <cfRule type="cellIs" dxfId="75" priority="21" operator="equal">
      <formula>"AD"</formula>
    </cfRule>
    <cfRule type="cellIs" dxfId="74" priority="22" operator="equal">
      <formula>"A"</formula>
    </cfRule>
    <cfRule type="cellIs" dxfId="73" priority="23" operator="equal">
      <formula>"B"</formula>
    </cfRule>
    <cfRule type="cellIs" dxfId="72" priority="24" operator="equal">
      <formula>"C"</formula>
    </cfRule>
  </conditionalFormatting>
  <conditionalFormatting sqref="E154:AD178">
    <cfRule type="cellIs" dxfId="71" priority="17" operator="equal">
      <formula>"AD"</formula>
    </cfRule>
    <cfRule type="cellIs" dxfId="70" priority="18" operator="equal">
      <formula>"A"</formula>
    </cfRule>
    <cfRule type="cellIs" dxfId="69" priority="19" operator="equal">
      <formula>"B"</formula>
    </cfRule>
    <cfRule type="cellIs" dxfId="68" priority="20" operator="equal">
      <formula>"C"</formula>
    </cfRule>
  </conditionalFormatting>
  <conditionalFormatting sqref="E179:K206 O179:AD206">
    <cfRule type="cellIs" dxfId="67" priority="13" operator="equal">
      <formula>"AD"</formula>
    </cfRule>
    <cfRule type="cellIs" dxfId="66" priority="14" operator="equal">
      <formula>"A"</formula>
    </cfRule>
    <cfRule type="cellIs" dxfId="65" priority="15" operator="equal">
      <formula>"B"</formula>
    </cfRule>
    <cfRule type="cellIs" dxfId="64" priority="16" operator="equal">
      <formula>"C"</formula>
    </cfRule>
  </conditionalFormatting>
  <conditionalFormatting sqref="E207:K232 O207:AD232">
    <cfRule type="cellIs" dxfId="63" priority="9" operator="equal">
      <formula>"AD"</formula>
    </cfRule>
    <cfRule type="cellIs" dxfId="62" priority="10" operator="equal">
      <formula>"A"</formula>
    </cfRule>
    <cfRule type="cellIs" dxfId="61" priority="11" operator="equal">
      <formula>"B"</formula>
    </cfRule>
    <cfRule type="cellIs" dxfId="60" priority="12" operator="equal">
      <formula>"C"</formula>
    </cfRule>
  </conditionalFormatting>
  <conditionalFormatting sqref="L6:N67">
    <cfRule type="cellIs" dxfId="59" priority="5" operator="equal">
      <formula>"AD"</formula>
    </cfRule>
    <cfRule type="cellIs" dxfId="58" priority="6" operator="equal">
      <formula>"A"</formula>
    </cfRule>
    <cfRule type="cellIs" dxfId="57" priority="7" operator="equal">
      <formula>"B"</formula>
    </cfRule>
    <cfRule type="cellIs" dxfId="56" priority="8" operator="equal">
      <formula>"C"</formula>
    </cfRule>
  </conditionalFormatting>
  <conditionalFormatting sqref="L179:N232">
    <cfRule type="cellIs" dxfId="55" priority="1" operator="equal">
      <formula>"AD"</formula>
    </cfRule>
    <cfRule type="cellIs" dxfId="54" priority="2" operator="equal">
      <formula>"A"</formula>
    </cfRule>
    <cfRule type="cellIs" dxfId="53" priority="3" operator="equal">
      <formula>"B"</formula>
    </cfRule>
    <cfRule type="cellIs" dxfId="52" priority="4" operator="equal">
      <formula>"C"</formula>
    </cfRule>
  </conditionalFormatting>
  <dataValidations count="2">
    <dataValidation type="list" allowBlank="1" showInputMessage="1" showErrorMessage="1" sqref="E6:K26 AC82:AD97 AC205:AD227 S6:W26 AC27:AD80 AC99:AD133 E233:AB233 AC135:AD199 Y27:Y48 P6:Q26 AC229:AD233 E27:W48 E110:H232 I131:K232 AC201:AD203 E49:Y109 L110:Y232" xr:uid="{BD02F351-5E2C-4DE9-B425-0BCD33F7892F}">
      <formula1>"AD,A,B,C"</formula1>
    </dataValidation>
    <dataValidation type="list" allowBlank="1" showInputMessage="1" showErrorMessage="1" sqref="Z6:AB232 I110:K130" xr:uid="{093D7BBB-D174-4A1D-BCE3-D898FF2C1CE3}">
      <formula1>"A,AD,B,C"</formula1>
    </dataValidation>
  </dataValidations>
  <pageMargins left="0.7" right="0.7" top="0.75" bottom="0.75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F08F-D839-4F3D-9AA5-2E9F72D661B0}">
  <dimension ref="B2:I233"/>
  <sheetViews>
    <sheetView zoomScale="70" zoomScaleNormal="70" workbookViewId="0">
      <selection activeCell="L10" sqref="L10"/>
    </sheetView>
  </sheetViews>
  <sheetFormatPr baseColWidth="10" defaultRowHeight="15" x14ac:dyDescent="0.25"/>
  <cols>
    <col min="2" max="3" width="4" bestFit="1" customWidth="1"/>
    <col min="4" max="4" width="43.7109375" customWidth="1"/>
    <col min="5" max="5" width="7.42578125" style="33" customWidth="1"/>
    <col min="6" max="6" width="9.42578125" style="33" customWidth="1"/>
    <col min="7" max="7" width="10.5703125" style="33" customWidth="1"/>
  </cols>
  <sheetData>
    <row r="2" spans="2:8" x14ac:dyDescent="0.25">
      <c r="C2" s="155" t="s">
        <v>268</v>
      </c>
      <c r="D2" s="155"/>
      <c r="E2" s="155"/>
      <c r="F2" s="155"/>
      <c r="G2" s="155"/>
    </row>
    <row r="3" spans="2:8" x14ac:dyDescent="0.25">
      <c r="C3" s="156" t="s">
        <v>36</v>
      </c>
      <c r="D3" s="156"/>
      <c r="E3" s="156"/>
      <c r="F3" s="156"/>
      <c r="G3" s="156"/>
    </row>
    <row r="6" spans="2:8" ht="42.6" customHeight="1" x14ac:dyDescent="0.25">
      <c r="C6" s="26" t="s">
        <v>38</v>
      </c>
      <c r="D6" s="26" t="str">
        <f>IE!C5</f>
        <v>APELLIDOS Y NOMBRES DEL ESTUDIANTE</v>
      </c>
      <c r="E6" s="26" t="str">
        <f>Reforzamiento!C5</f>
        <v>GRADO</v>
      </c>
      <c r="F6" s="26" t="str">
        <f>Reforzamiento!D5</f>
        <v>SECCION</v>
      </c>
      <c r="G6" s="48" t="str">
        <f>Reforzamiento!AE5</f>
        <v>RR</v>
      </c>
    </row>
    <row r="7" spans="2:8" x14ac:dyDescent="0.25">
      <c r="B7" s="16">
        <v>1</v>
      </c>
      <c r="C7" s="107">
        <v>1</v>
      </c>
      <c r="D7" s="107" t="str">
        <f>IE!C104</f>
        <v>PUMA QUISPE, FLOR GOYA</v>
      </c>
      <c r="E7" s="108">
        <f>Reforzamiento!C104</f>
        <v>3</v>
      </c>
      <c r="F7" s="108" t="str">
        <f>Reforzamiento!D104</f>
        <v>A</v>
      </c>
      <c r="G7" s="109">
        <f>Reforzamiento!AE104</f>
        <v>14</v>
      </c>
      <c r="H7" s="144" t="s">
        <v>269</v>
      </c>
    </row>
    <row r="8" spans="2:8" x14ac:dyDescent="0.25">
      <c r="B8" s="16">
        <v>2</v>
      </c>
      <c r="C8" s="107">
        <v>2</v>
      </c>
      <c r="D8" s="107" t="str">
        <f>IE!C95</f>
        <v>CONDORI QUISPE, JHON MAXI</v>
      </c>
      <c r="E8" s="108">
        <f>Reforzamiento!C95</f>
        <v>3</v>
      </c>
      <c r="F8" s="108" t="str">
        <f>Reforzamiento!D95</f>
        <v>A</v>
      </c>
      <c r="G8" s="109">
        <f>Reforzamiento!AE95</f>
        <v>12</v>
      </c>
    </row>
    <row r="9" spans="2:8" x14ac:dyDescent="0.25">
      <c r="B9" s="16">
        <v>3</v>
      </c>
      <c r="C9" s="107">
        <v>3</v>
      </c>
      <c r="D9" s="107" t="str">
        <f>IE!C56</f>
        <v>OCHOA MAMANI, MARCO ANTONIO</v>
      </c>
      <c r="E9" s="108">
        <f>Reforzamiento!C56</f>
        <v>2</v>
      </c>
      <c r="F9" s="108" t="str">
        <f>Reforzamiento!D56</f>
        <v>A</v>
      </c>
      <c r="G9" s="109">
        <f>Reforzamiento!AE56</f>
        <v>10</v>
      </c>
    </row>
    <row r="10" spans="2:8" x14ac:dyDescent="0.25">
      <c r="B10" s="16">
        <v>4</v>
      </c>
      <c r="C10" s="107">
        <v>4</v>
      </c>
      <c r="D10" s="107" t="str">
        <f>IE!C86</f>
        <v>SANCA HUANACO, CHRIS JHOS</v>
      </c>
      <c r="E10" s="108">
        <f>Reforzamiento!C86</f>
        <v>2</v>
      </c>
      <c r="F10" s="108" t="str">
        <f>Reforzamiento!D86</f>
        <v>B</v>
      </c>
      <c r="G10" s="109">
        <f>Reforzamiento!AE86</f>
        <v>10</v>
      </c>
    </row>
    <row r="11" spans="2:8" x14ac:dyDescent="0.25">
      <c r="B11" s="16">
        <v>5</v>
      </c>
      <c r="C11" s="107">
        <v>5</v>
      </c>
      <c r="D11" s="107" t="str">
        <f>IE!C195</f>
        <v>HANCCO QUISPE, JUAN RODRIGO</v>
      </c>
      <c r="E11" s="108">
        <f>Reforzamiento!C195</f>
        <v>5</v>
      </c>
      <c r="F11" s="108" t="str">
        <f>Reforzamiento!D195</f>
        <v>A</v>
      </c>
      <c r="G11" s="109">
        <f>Reforzamiento!AE195</f>
        <v>10</v>
      </c>
    </row>
    <row r="12" spans="2:8" ht="15.75" thickBot="1" x14ac:dyDescent="0.3">
      <c r="B12" s="16">
        <v>6</v>
      </c>
      <c r="C12" s="107">
        <v>6</v>
      </c>
      <c r="D12" s="126" t="str">
        <f>IE!C69</f>
        <v>CALZADILLA TABEROA, JESUS ALEJANDRO</v>
      </c>
      <c r="E12" s="127">
        <f>Reforzamiento!C69</f>
        <v>2</v>
      </c>
      <c r="F12" s="127" t="str">
        <f>Reforzamiento!D69</f>
        <v>B</v>
      </c>
      <c r="G12" s="128">
        <f>Reforzamiento!AE69</f>
        <v>9</v>
      </c>
      <c r="H12" s="144" t="s">
        <v>269</v>
      </c>
    </row>
    <row r="13" spans="2:8" x14ac:dyDescent="0.25">
      <c r="B13" s="16">
        <v>7</v>
      </c>
      <c r="C13" s="123">
        <v>1</v>
      </c>
      <c r="D13" s="123" t="str">
        <f>IE!C7</f>
        <v>ARCONDO HUAMAN, ISAAC RONALDINHO</v>
      </c>
      <c r="E13" s="124">
        <f>Reforzamiento!C7</f>
        <v>1</v>
      </c>
      <c r="F13" s="124" t="str">
        <f>Reforzamiento!D7</f>
        <v>A</v>
      </c>
      <c r="G13" s="125">
        <f>Reforzamiento!AE7</f>
        <v>8</v>
      </c>
      <c r="H13" s="144" t="s">
        <v>269</v>
      </c>
    </row>
    <row r="14" spans="2:8" x14ac:dyDescent="0.25">
      <c r="B14" s="16">
        <v>8</v>
      </c>
      <c r="C14" s="123">
        <v>2</v>
      </c>
      <c r="D14" s="120" t="str">
        <f>IE!C55</f>
        <v>MANTILLA HUISA, JOSUE DAVID</v>
      </c>
      <c r="E14" s="121">
        <f>Reforzamiento!C55</f>
        <v>2</v>
      </c>
      <c r="F14" s="121" t="str">
        <f>Reforzamiento!D55</f>
        <v>A</v>
      </c>
      <c r="G14" s="122">
        <f>Reforzamiento!AE55</f>
        <v>8</v>
      </c>
    </row>
    <row r="15" spans="2:8" x14ac:dyDescent="0.25">
      <c r="B15" s="16">
        <v>9</v>
      </c>
      <c r="C15" s="123">
        <v>3</v>
      </c>
      <c r="D15" s="120" t="str">
        <f>IE!C64</f>
        <v>VILCA CAHUINA, FREDY MARLOM</v>
      </c>
      <c r="E15" s="121">
        <f>Reforzamiento!C64</f>
        <v>2</v>
      </c>
      <c r="F15" s="121" t="str">
        <f>Reforzamiento!D64</f>
        <v>A</v>
      </c>
      <c r="G15" s="122">
        <f>Reforzamiento!AE64</f>
        <v>8</v>
      </c>
    </row>
    <row r="16" spans="2:8" x14ac:dyDescent="0.25">
      <c r="B16" s="16">
        <v>10</v>
      </c>
      <c r="C16" s="123">
        <v>4</v>
      </c>
      <c r="D16" s="120" t="str">
        <f>IE!C65</f>
        <v>VILLANUEVA CHAVEZ, SAUL HERNAN</v>
      </c>
      <c r="E16" s="121">
        <f>Reforzamiento!C65</f>
        <v>2</v>
      </c>
      <c r="F16" s="121" t="str">
        <f>Reforzamiento!D65</f>
        <v>A</v>
      </c>
      <c r="G16" s="122">
        <f>Reforzamiento!AE65</f>
        <v>8</v>
      </c>
    </row>
    <row r="17" spans="2:8" x14ac:dyDescent="0.25">
      <c r="B17" s="16">
        <v>11</v>
      </c>
      <c r="C17" s="123">
        <v>5</v>
      </c>
      <c r="D17" s="120" t="str">
        <f>IE!C97</f>
        <v>FLORES CHUMBES, DANNY FRANK</v>
      </c>
      <c r="E17" s="121">
        <f>Reforzamiento!C97</f>
        <v>3</v>
      </c>
      <c r="F17" s="121" t="str">
        <f>Reforzamiento!D97</f>
        <v>A</v>
      </c>
      <c r="G17" s="122">
        <f>Reforzamiento!AE97</f>
        <v>8</v>
      </c>
    </row>
    <row r="18" spans="2:8" x14ac:dyDescent="0.25">
      <c r="B18" s="16">
        <v>12</v>
      </c>
      <c r="C18" s="123">
        <v>6</v>
      </c>
      <c r="D18" s="120" t="str">
        <f>IE!C124</f>
        <v>QUIJAHUAMAN HUARICALLO, DAYRON CHRISTIAN</v>
      </c>
      <c r="E18" s="121">
        <f>Reforzamiento!C124</f>
        <v>3</v>
      </c>
      <c r="F18" s="121" t="str">
        <f>Reforzamiento!D124</f>
        <v>B</v>
      </c>
      <c r="G18" s="122">
        <f>Reforzamiento!AE124</f>
        <v>8</v>
      </c>
    </row>
    <row r="19" spans="2:8" x14ac:dyDescent="0.25">
      <c r="B19" s="16">
        <v>13</v>
      </c>
      <c r="C19" s="123">
        <v>7</v>
      </c>
      <c r="D19" s="120" t="str">
        <f>IE!C164</f>
        <v>CRUZ QUICO, LUCIO MIGUEL</v>
      </c>
      <c r="E19" s="121">
        <f>Reforzamiento!C164</f>
        <v>4</v>
      </c>
      <c r="F19" s="121" t="str">
        <f>Reforzamiento!D164</f>
        <v>B</v>
      </c>
      <c r="G19" s="122">
        <f>Reforzamiento!AE164</f>
        <v>8</v>
      </c>
    </row>
    <row r="20" spans="2:8" x14ac:dyDescent="0.25">
      <c r="B20" s="16">
        <v>14</v>
      </c>
      <c r="C20" s="123">
        <v>8</v>
      </c>
      <c r="D20" s="120" t="str">
        <f>IE!C17</f>
        <v>OCHOA MAMANI, ARELÍ BETSAYDA</v>
      </c>
      <c r="E20" s="121">
        <f>Reforzamiento!C17</f>
        <v>1</v>
      </c>
      <c r="F20" s="121" t="str">
        <f>Reforzamiento!D17</f>
        <v>A</v>
      </c>
      <c r="G20" s="122">
        <f>Reforzamiento!AE17</f>
        <v>7</v>
      </c>
    </row>
    <row r="21" spans="2:8" x14ac:dyDescent="0.25">
      <c r="B21" s="16">
        <v>15</v>
      </c>
      <c r="C21" s="123">
        <v>9</v>
      </c>
      <c r="D21" s="120" t="str">
        <f>IE!C47</f>
        <v>CACERES JUAREZ, JHONNY IVAN</v>
      </c>
      <c r="E21" s="121">
        <f>Reforzamiento!C47</f>
        <v>2</v>
      </c>
      <c r="F21" s="121" t="str">
        <f>Reforzamiento!D47</f>
        <v>A</v>
      </c>
      <c r="G21" s="122">
        <f>Reforzamiento!AE47</f>
        <v>7</v>
      </c>
    </row>
    <row r="22" spans="2:8" x14ac:dyDescent="0.25">
      <c r="B22" s="16">
        <v>16</v>
      </c>
      <c r="C22" s="123">
        <v>10</v>
      </c>
      <c r="D22" s="120" t="str">
        <f>IE!C90</f>
        <v>TORRES CHOCO, MANUEL TONI</v>
      </c>
      <c r="E22" s="121">
        <f>Reforzamiento!C90</f>
        <v>2</v>
      </c>
      <c r="F22" s="121" t="str">
        <f>Reforzamiento!D90</f>
        <v>B</v>
      </c>
      <c r="G22" s="122">
        <f>Reforzamiento!AE90</f>
        <v>7</v>
      </c>
    </row>
    <row r="23" spans="2:8" x14ac:dyDescent="0.25">
      <c r="B23" s="16">
        <v>17</v>
      </c>
      <c r="C23" s="123">
        <v>11</v>
      </c>
      <c r="D23" s="120" t="str">
        <f>IE!C203</f>
        <v>MAMANI HUAYHUA, SALOME ESTRELLA</v>
      </c>
      <c r="E23" s="121">
        <f>Reforzamiento!C203</f>
        <v>5</v>
      </c>
      <c r="F23" s="121" t="str">
        <f>Reforzamiento!D203</f>
        <v>A</v>
      </c>
      <c r="G23" s="122">
        <f>Reforzamiento!AE203</f>
        <v>7</v>
      </c>
    </row>
    <row r="24" spans="2:8" x14ac:dyDescent="0.25">
      <c r="B24" s="16">
        <v>18</v>
      </c>
      <c r="C24" s="123">
        <v>12</v>
      </c>
      <c r="D24" s="120" t="str">
        <f>IE!C67</f>
        <v>YUCRA MENDOZA, YADIRA KAROL</v>
      </c>
      <c r="E24" s="121">
        <f>Reforzamiento!C67</f>
        <v>2</v>
      </c>
      <c r="F24" s="121" t="str">
        <f>Reforzamiento!D67</f>
        <v>A</v>
      </c>
      <c r="G24" s="122">
        <f>Reforzamiento!AE67</f>
        <v>6</v>
      </c>
      <c r="H24" s="144" t="s">
        <v>269</v>
      </c>
    </row>
    <row r="25" spans="2:8" x14ac:dyDescent="0.25">
      <c r="B25" s="16">
        <v>19</v>
      </c>
      <c r="C25" s="123">
        <v>13</v>
      </c>
      <c r="D25" s="120" t="str">
        <f>IE!C83</f>
        <v>PAPEL HANCCO, JAIRO EDY</v>
      </c>
      <c r="E25" s="121">
        <f>Reforzamiento!C83</f>
        <v>2</v>
      </c>
      <c r="F25" s="121" t="str">
        <f>Reforzamiento!D83</f>
        <v>B</v>
      </c>
      <c r="G25" s="122">
        <f>Reforzamiento!AE83</f>
        <v>6</v>
      </c>
      <c r="H25" s="144"/>
    </row>
    <row r="26" spans="2:8" x14ac:dyDescent="0.25">
      <c r="B26" s="16">
        <v>20</v>
      </c>
      <c r="C26" s="123">
        <v>14</v>
      </c>
      <c r="D26" s="120" t="str">
        <f>IE!C100</f>
        <v>HUAHUASONCCO HUACHO, ANALY YURIDI ANA</v>
      </c>
      <c r="E26" s="121">
        <f>Reforzamiento!C100</f>
        <v>3</v>
      </c>
      <c r="F26" s="121" t="str">
        <f>Reforzamiento!D100</f>
        <v>A</v>
      </c>
      <c r="G26" s="122">
        <f>Reforzamiento!AE100</f>
        <v>6</v>
      </c>
      <c r="H26" s="144" t="s">
        <v>269</v>
      </c>
    </row>
    <row r="27" spans="2:8" x14ac:dyDescent="0.25">
      <c r="B27" s="16">
        <v>21</v>
      </c>
      <c r="C27" s="123">
        <v>15</v>
      </c>
      <c r="D27" s="120" t="str">
        <f>IE!C166</f>
        <v>GALARZA MAMANI, MAURICIO RENATO</v>
      </c>
      <c r="E27" s="121">
        <f>Reforzamiento!C166</f>
        <v>4</v>
      </c>
      <c r="F27" s="121" t="str">
        <f>Reforzamiento!D166</f>
        <v>B</v>
      </c>
      <c r="G27" s="122">
        <f>Reforzamiento!AE166</f>
        <v>6</v>
      </c>
    </row>
    <row r="28" spans="2:8" x14ac:dyDescent="0.25">
      <c r="B28" s="16">
        <v>22</v>
      </c>
      <c r="C28" s="123">
        <v>16</v>
      </c>
      <c r="D28" s="120" t="str">
        <f>IE!C201</f>
        <v>MAMANI CHALLCO, GEOBANI ANDERSON</v>
      </c>
      <c r="E28" s="121">
        <f>Reforzamiento!C201</f>
        <v>5</v>
      </c>
      <c r="F28" s="121" t="str">
        <f>Reforzamiento!D201</f>
        <v>A</v>
      </c>
      <c r="G28" s="122">
        <f>Reforzamiento!AE201</f>
        <v>6</v>
      </c>
    </row>
    <row r="29" spans="2:8" x14ac:dyDescent="0.25">
      <c r="B29" s="16">
        <v>23</v>
      </c>
      <c r="C29" s="123">
        <v>17</v>
      </c>
      <c r="D29" s="120" t="str">
        <f>IE!C13</f>
        <v>MAMANI CHALLCO, LENIN ANDRÉ</v>
      </c>
      <c r="E29" s="121">
        <f>Reforzamiento!C13</f>
        <v>1</v>
      </c>
      <c r="F29" s="121" t="str">
        <f>Reforzamiento!D13</f>
        <v>A</v>
      </c>
      <c r="G29" s="122">
        <f>Reforzamiento!AE13</f>
        <v>5</v>
      </c>
    </row>
    <row r="30" spans="2:8" x14ac:dyDescent="0.25">
      <c r="B30" s="16">
        <v>24</v>
      </c>
      <c r="C30" s="123">
        <v>18</v>
      </c>
      <c r="D30" s="120" t="str">
        <f>IE!C19</f>
        <v>PIZARRO CHARCA, FABRICIO NICOLAS</v>
      </c>
      <c r="E30" s="121">
        <f>Reforzamiento!C19</f>
        <v>1</v>
      </c>
      <c r="F30" s="121" t="str">
        <f>Reforzamiento!D19</f>
        <v>A</v>
      </c>
      <c r="G30" s="122">
        <f>Reforzamiento!AE19</f>
        <v>5</v>
      </c>
    </row>
    <row r="31" spans="2:8" x14ac:dyDescent="0.25">
      <c r="B31" s="16">
        <v>25</v>
      </c>
      <c r="C31" s="123">
        <v>19</v>
      </c>
      <c r="D31" s="120" t="str">
        <f>IE!C52</f>
        <v>GOMEZ HUAMANI, DANY GOEL</v>
      </c>
      <c r="E31" s="121">
        <f>Reforzamiento!C52</f>
        <v>2</v>
      </c>
      <c r="F31" s="121" t="str">
        <f>Reforzamiento!D52</f>
        <v>A</v>
      </c>
      <c r="G31" s="122">
        <f>Reforzamiento!AE52</f>
        <v>5</v>
      </c>
    </row>
    <row r="32" spans="2:8" x14ac:dyDescent="0.25">
      <c r="B32" s="16">
        <v>26</v>
      </c>
      <c r="C32" s="123">
        <v>20</v>
      </c>
      <c r="D32" s="120" t="str">
        <f>IE!C57</f>
        <v>PAUCAR HANAMPA, RONY GABRIEL</v>
      </c>
      <c r="E32" s="121">
        <f>Reforzamiento!C57</f>
        <v>2</v>
      </c>
      <c r="F32" s="121" t="str">
        <f>Reforzamiento!D57</f>
        <v>A</v>
      </c>
      <c r="G32" s="122">
        <f>Reforzamiento!AE57</f>
        <v>5</v>
      </c>
    </row>
    <row r="33" spans="2:8" x14ac:dyDescent="0.25">
      <c r="B33" s="16">
        <v>27</v>
      </c>
      <c r="C33" s="123">
        <v>21</v>
      </c>
      <c r="D33" s="120" t="str">
        <f>IE!C62</f>
        <v>VARGAS PAREDES, MILAGROS DEL CARMEN</v>
      </c>
      <c r="E33" s="121">
        <f>Reforzamiento!C62</f>
        <v>2</v>
      </c>
      <c r="F33" s="121" t="str">
        <f>Reforzamiento!D62</f>
        <v>A</v>
      </c>
      <c r="G33" s="122">
        <f>Reforzamiento!AE62</f>
        <v>5</v>
      </c>
      <c r="H33" s="144" t="s">
        <v>269</v>
      </c>
    </row>
    <row r="34" spans="2:8" x14ac:dyDescent="0.25">
      <c r="B34" s="16">
        <v>28</v>
      </c>
      <c r="C34" s="123">
        <v>22</v>
      </c>
      <c r="D34" s="120" t="str">
        <f>IE!C93</f>
        <v>CAÑARI PUCHO, MAYKOL LEONARDO</v>
      </c>
      <c r="E34" s="121">
        <f>Reforzamiento!C93</f>
        <v>3</v>
      </c>
      <c r="F34" s="121" t="str">
        <f>Reforzamiento!D93</f>
        <v>A</v>
      </c>
      <c r="G34" s="122">
        <f>Reforzamiento!AE93</f>
        <v>5</v>
      </c>
    </row>
    <row r="35" spans="2:8" x14ac:dyDescent="0.25">
      <c r="B35" s="16">
        <v>29</v>
      </c>
      <c r="C35" s="123">
        <v>23</v>
      </c>
      <c r="D35" s="120" t="str">
        <f>IE!C118</f>
        <v>HUAYHUA CHOQUEHUANCA, BRAYAN JOSSIMAR</v>
      </c>
      <c r="E35" s="121">
        <f>Reforzamiento!C118</f>
        <v>3</v>
      </c>
      <c r="F35" s="121" t="str">
        <f>Reforzamiento!D118</f>
        <v>B</v>
      </c>
      <c r="G35" s="122">
        <f>Reforzamiento!AE118</f>
        <v>5</v>
      </c>
    </row>
    <row r="36" spans="2:8" x14ac:dyDescent="0.25">
      <c r="B36" s="16">
        <v>30</v>
      </c>
      <c r="C36" s="123">
        <v>24</v>
      </c>
      <c r="D36" s="120" t="str">
        <f>IE!C125</f>
        <v>QUISPE HUARACHA, FERNANDO JULIO</v>
      </c>
      <c r="E36" s="121">
        <f>Reforzamiento!C125</f>
        <v>3</v>
      </c>
      <c r="F36" s="121" t="str">
        <f>Reforzamiento!D125</f>
        <v>B</v>
      </c>
      <c r="G36" s="122">
        <f>Reforzamiento!AE125</f>
        <v>5</v>
      </c>
    </row>
    <row r="37" spans="2:8" x14ac:dyDescent="0.25">
      <c r="B37" s="16">
        <v>31</v>
      </c>
      <c r="C37" s="123">
        <v>25</v>
      </c>
      <c r="D37" s="120" t="str">
        <f>IE!C141</f>
        <v>LOPINTA HUAMANI, CLAUDIO YILMAR</v>
      </c>
      <c r="E37" s="121">
        <f>Reforzamiento!C141</f>
        <v>4</v>
      </c>
      <c r="F37" s="121" t="str">
        <f>Reforzamiento!D141</f>
        <v>A</v>
      </c>
      <c r="G37" s="122">
        <f>Reforzamiento!AE141</f>
        <v>5</v>
      </c>
    </row>
    <row r="38" spans="2:8" x14ac:dyDescent="0.25">
      <c r="B38" s="16">
        <v>32</v>
      </c>
      <c r="C38" s="123">
        <v>26</v>
      </c>
      <c r="D38" s="120" t="str">
        <f>IE!C142</f>
        <v>MOGROVEJO BOZA, JUAN DAVID</v>
      </c>
      <c r="E38" s="121">
        <f>Reforzamiento!C142</f>
        <v>4</v>
      </c>
      <c r="F38" s="121" t="str">
        <f>Reforzamiento!D142</f>
        <v>A</v>
      </c>
      <c r="G38" s="122">
        <f>Reforzamiento!AE142</f>
        <v>5</v>
      </c>
      <c r="H38" s="144" t="s">
        <v>269</v>
      </c>
    </row>
    <row r="39" spans="2:8" x14ac:dyDescent="0.25">
      <c r="B39" s="16">
        <v>33</v>
      </c>
      <c r="C39" s="123">
        <v>27</v>
      </c>
      <c r="D39" s="120" t="str">
        <f>IE!C154</f>
        <v>ALEJO LUPINTA, DEISON FLEIDER</v>
      </c>
      <c r="E39" s="121">
        <f>Reforzamiento!C154</f>
        <v>4</v>
      </c>
      <c r="F39" s="121" t="str">
        <f>Reforzamiento!D154</f>
        <v>B</v>
      </c>
      <c r="G39" s="122">
        <f>Reforzamiento!AE154</f>
        <v>5</v>
      </c>
    </row>
    <row r="40" spans="2:8" x14ac:dyDescent="0.25">
      <c r="B40" s="16">
        <v>34</v>
      </c>
      <c r="C40" s="123">
        <v>28</v>
      </c>
      <c r="D40" s="120" t="str">
        <f>IE!C171</f>
        <v>MUCHA RIOS, LIAM ENRIQUE</v>
      </c>
      <c r="E40" s="121">
        <f>Reforzamiento!C171</f>
        <v>4</v>
      </c>
      <c r="F40" s="121" t="str">
        <f>Reforzamiento!D171</f>
        <v>B</v>
      </c>
      <c r="G40" s="122">
        <f>Reforzamiento!AE171</f>
        <v>5</v>
      </c>
      <c r="H40" s="144" t="s">
        <v>269</v>
      </c>
    </row>
    <row r="41" spans="2:8" x14ac:dyDescent="0.25">
      <c r="B41" s="16">
        <v>35</v>
      </c>
      <c r="C41" s="123">
        <v>29</v>
      </c>
      <c r="D41" s="120" t="str">
        <f>IE!C182</f>
        <v>BALSA MAMANI, JAHIR ANDRE</v>
      </c>
      <c r="E41" s="121">
        <f>Reforzamiento!C182</f>
        <v>5</v>
      </c>
      <c r="F41" s="121" t="str">
        <f>Reforzamiento!D182</f>
        <v>A</v>
      </c>
      <c r="G41" s="122">
        <f>Reforzamiento!AE182</f>
        <v>5</v>
      </c>
    </row>
    <row r="42" spans="2:8" x14ac:dyDescent="0.25">
      <c r="B42" s="16">
        <v>36</v>
      </c>
      <c r="C42" s="123">
        <v>30</v>
      </c>
      <c r="D42" s="120" t="str">
        <f>IE!C214</f>
        <v>LANCHIPA CASQUINA, ELIAS JEREMIAS</v>
      </c>
      <c r="E42" s="121">
        <f>Reforzamiento!C214</f>
        <v>5</v>
      </c>
      <c r="F42" s="121" t="str">
        <f>Reforzamiento!D214</f>
        <v>B</v>
      </c>
      <c r="G42" s="122">
        <f>Reforzamiento!AE214</f>
        <v>5</v>
      </c>
    </row>
    <row r="43" spans="2:8" x14ac:dyDescent="0.25">
      <c r="B43" s="16">
        <v>37</v>
      </c>
      <c r="C43" s="123">
        <v>31</v>
      </c>
      <c r="D43" s="120" t="str">
        <f>IE!C220</f>
        <v>MOLINA TORRE, GERALDINE JAZMIN</v>
      </c>
      <c r="E43" s="121">
        <f>Reforzamiento!C220</f>
        <v>5</v>
      </c>
      <c r="F43" s="121" t="str">
        <f>Reforzamiento!D220</f>
        <v>B</v>
      </c>
      <c r="G43" s="122">
        <f>Reforzamiento!AE220</f>
        <v>5</v>
      </c>
      <c r="H43" s="144" t="s">
        <v>269</v>
      </c>
    </row>
    <row r="44" spans="2:8" x14ac:dyDescent="0.25">
      <c r="B44" s="16">
        <v>38</v>
      </c>
      <c r="C44" s="123">
        <v>32</v>
      </c>
      <c r="D44" s="120" t="str">
        <f>IE!C18</f>
        <v>PAPEL HANCCO, JHOSIMAR JHOJAN</v>
      </c>
      <c r="E44" s="121">
        <f>Reforzamiento!C18</f>
        <v>1</v>
      </c>
      <c r="F44" s="121" t="str">
        <f>Reforzamiento!D18</f>
        <v>A</v>
      </c>
      <c r="G44" s="122">
        <f>Reforzamiento!AE18</f>
        <v>4</v>
      </c>
    </row>
    <row r="45" spans="2:8" x14ac:dyDescent="0.25">
      <c r="B45" s="16">
        <v>39</v>
      </c>
      <c r="C45" s="123">
        <v>33</v>
      </c>
      <c r="D45" s="120" t="str">
        <f>IE!C46</f>
        <v>CABRERA SOTO, SAMUEL</v>
      </c>
      <c r="E45" s="121">
        <f>Reforzamiento!C46</f>
        <v>2</v>
      </c>
      <c r="F45" s="121" t="str">
        <f>Reforzamiento!D46</f>
        <v>A</v>
      </c>
      <c r="G45" s="122">
        <f>Reforzamiento!AE46</f>
        <v>4</v>
      </c>
    </row>
    <row r="46" spans="2:8" x14ac:dyDescent="0.25">
      <c r="B46" s="16">
        <v>40</v>
      </c>
      <c r="C46" s="123">
        <v>34</v>
      </c>
      <c r="D46" s="120" t="str">
        <f>IE!C88</f>
        <v>SUERO MUÑOZ, KARINA</v>
      </c>
      <c r="E46" s="121">
        <f>Reforzamiento!C88</f>
        <v>2</v>
      </c>
      <c r="F46" s="121" t="str">
        <f>Reforzamiento!D88</f>
        <v>B</v>
      </c>
      <c r="G46" s="122">
        <f>Reforzamiento!AE88</f>
        <v>4</v>
      </c>
      <c r="H46" s="144" t="s">
        <v>269</v>
      </c>
    </row>
    <row r="47" spans="2:8" x14ac:dyDescent="0.25">
      <c r="B47" s="16">
        <v>41</v>
      </c>
      <c r="C47" s="123">
        <v>35</v>
      </c>
      <c r="D47" s="120" t="str">
        <f>IE!C109</f>
        <v>VARGAS PAREDES, ANDERSON GABRIEL</v>
      </c>
      <c r="E47" s="121">
        <f>Reforzamiento!C109</f>
        <v>3</v>
      </c>
      <c r="F47" s="121" t="str">
        <f>Reforzamiento!D109</f>
        <v>A</v>
      </c>
      <c r="G47" s="122">
        <f>Reforzamiento!AE109</f>
        <v>4</v>
      </c>
      <c r="H47" s="144" t="s">
        <v>269</v>
      </c>
    </row>
    <row r="48" spans="2:8" x14ac:dyDescent="0.25">
      <c r="B48" s="16">
        <v>42</v>
      </c>
      <c r="C48" s="123">
        <v>36</v>
      </c>
      <c r="D48" s="120" t="str">
        <f>IE!C137</f>
        <v>CRUZ ALARCON, MIRIAM JAEL</v>
      </c>
      <c r="E48" s="121">
        <f>Reforzamiento!C137</f>
        <v>4</v>
      </c>
      <c r="F48" s="121" t="str">
        <f>Reforzamiento!D137</f>
        <v>A</v>
      </c>
      <c r="G48" s="122">
        <f>Reforzamiento!AE137</f>
        <v>4</v>
      </c>
    </row>
    <row r="49" spans="2:8" x14ac:dyDescent="0.25">
      <c r="B49" s="16">
        <v>43</v>
      </c>
      <c r="C49" s="123">
        <v>37</v>
      </c>
      <c r="D49" s="120" t="str">
        <f>IE!C143</f>
        <v>PAUCAR ZAMORA, ANALY LUCERO</v>
      </c>
      <c r="E49" s="121">
        <f>Reforzamiento!C143</f>
        <v>4</v>
      </c>
      <c r="F49" s="121" t="str">
        <f>Reforzamiento!D143</f>
        <v>A</v>
      </c>
      <c r="G49" s="122">
        <f>Reforzamiento!AE143</f>
        <v>4</v>
      </c>
    </row>
    <row r="50" spans="2:8" x14ac:dyDescent="0.25">
      <c r="B50" s="16">
        <v>44</v>
      </c>
      <c r="C50" s="123">
        <v>38</v>
      </c>
      <c r="D50" s="120" t="str">
        <f>IE!C146</f>
        <v>QUISPE QUISPE, ELIAN MILITON</v>
      </c>
      <c r="E50" s="121">
        <f>Reforzamiento!C146</f>
        <v>4</v>
      </c>
      <c r="F50" s="121" t="str">
        <f>Reforzamiento!D146</f>
        <v>A</v>
      </c>
      <c r="G50" s="122">
        <f>Reforzamiento!AE146</f>
        <v>4</v>
      </c>
    </row>
    <row r="51" spans="2:8" x14ac:dyDescent="0.25">
      <c r="B51" s="16">
        <v>45</v>
      </c>
      <c r="C51" s="123">
        <v>39</v>
      </c>
      <c r="D51" s="120" t="str">
        <f>IE!C148</f>
        <v>SOTO JACINTO, JEFFERSON ANGEL</v>
      </c>
      <c r="E51" s="121">
        <f>Reforzamiento!C148</f>
        <v>4</v>
      </c>
      <c r="F51" s="121" t="str">
        <f>Reforzamiento!D148</f>
        <v>A</v>
      </c>
      <c r="G51" s="122">
        <f>Reforzamiento!AE148</f>
        <v>4</v>
      </c>
    </row>
    <row r="52" spans="2:8" x14ac:dyDescent="0.25">
      <c r="B52" s="16">
        <v>46</v>
      </c>
      <c r="C52" s="123">
        <v>40</v>
      </c>
      <c r="D52" s="120" t="str">
        <f>IE!C174</f>
        <v>PEQUEÑA DE LA CRUZ, MICHAEL ANTHONY</v>
      </c>
      <c r="E52" s="121">
        <f>Reforzamiento!C174</f>
        <v>4</v>
      </c>
      <c r="F52" s="121" t="str">
        <f>Reforzamiento!D174</f>
        <v>B</v>
      </c>
      <c r="G52" s="122">
        <f>Reforzamiento!AE174</f>
        <v>4</v>
      </c>
    </row>
    <row r="53" spans="2:8" x14ac:dyDescent="0.25">
      <c r="B53" s="16">
        <v>47</v>
      </c>
      <c r="C53" s="123">
        <v>41</v>
      </c>
      <c r="D53" s="120" t="str">
        <f>IE!C208</f>
        <v>CHANCUAÑA PARILLO, JEFFERSON DANIEL</v>
      </c>
      <c r="E53" s="121">
        <f>Reforzamiento!C208</f>
        <v>5</v>
      </c>
      <c r="F53" s="121" t="str">
        <f>Reforzamiento!D208</f>
        <v>B</v>
      </c>
      <c r="G53" s="122">
        <f>Reforzamiento!AE208</f>
        <v>4</v>
      </c>
    </row>
    <row r="54" spans="2:8" x14ac:dyDescent="0.25">
      <c r="B54" s="16">
        <v>48</v>
      </c>
      <c r="C54" s="123">
        <v>42</v>
      </c>
      <c r="D54" s="120" t="str">
        <f>IE!C218</f>
        <v>MEDINA BEGAZO, GADIEL KAZUKI</v>
      </c>
      <c r="E54" s="121">
        <f>Reforzamiento!C218</f>
        <v>5</v>
      </c>
      <c r="F54" s="121" t="str">
        <f>Reforzamiento!D218</f>
        <v>B</v>
      </c>
      <c r="G54" s="122">
        <f>Reforzamiento!AE218</f>
        <v>4</v>
      </c>
    </row>
    <row r="55" spans="2:8" x14ac:dyDescent="0.25">
      <c r="B55" s="16">
        <v>49</v>
      </c>
      <c r="C55" s="123">
        <v>43</v>
      </c>
      <c r="D55" s="120" t="str">
        <f>IE!C23</f>
        <v>VARGAS CHAMBI, FRANK DAYIRO</v>
      </c>
      <c r="E55" s="121">
        <f>Reforzamiento!C23</f>
        <v>1</v>
      </c>
      <c r="F55" s="121" t="str">
        <f>Reforzamiento!D23</f>
        <v>A</v>
      </c>
      <c r="G55" s="122">
        <f>Reforzamiento!AE23</f>
        <v>3</v>
      </c>
      <c r="H55" s="144" t="s">
        <v>269</v>
      </c>
    </row>
    <row r="56" spans="2:8" x14ac:dyDescent="0.25">
      <c r="B56" s="16">
        <v>50</v>
      </c>
      <c r="C56" s="123">
        <v>44</v>
      </c>
      <c r="D56" s="120" t="str">
        <f>IE!C45</f>
        <v>BARRIGA BLEQUE, ANDRI DE JESUS</v>
      </c>
      <c r="E56" s="121">
        <f>Reforzamiento!C45</f>
        <v>2</v>
      </c>
      <c r="F56" s="121" t="str">
        <f>Reforzamiento!D45</f>
        <v>A</v>
      </c>
      <c r="G56" s="122">
        <f>Reforzamiento!AE45</f>
        <v>3</v>
      </c>
      <c r="H56" s="144" t="s">
        <v>269</v>
      </c>
    </row>
    <row r="57" spans="2:8" x14ac:dyDescent="0.25">
      <c r="B57" s="16">
        <v>51</v>
      </c>
      <c r="C57" s="123">
        <v>45</v>
      </c>
      <c r="D57" s="120" t="str">
        <f>IE!C60</f>
        <v>RAMOS MAMANI, ANALIA</v>
      </c>
      <c r="E57" s="121">
        <f>Reforzamiento!C60</f>
        <v>2</v>
      </c>
      <c r="F57" s="121" t="str">
        <f>Reforzamiento!D60</f>
        <v>A</v>
      </c>
      <c r="G57" s="122">
        <f>Reforzamiento!AE60</f>
        <v>3</v>
      </c>
      <c r="H57" s="144" t="s">
        <v>269</v>
      </c>
    </row>
    <row r="58" spans="2:8" x14ac:dyDescent="0.25">
      <c r="B58" s="16">
        <v>52</v>
      </c>
      <c r="C58" s="123">
        <v>46</v>
      </c>
      <c r="D58" s="120" t="str">
        <f>IE!C78</f>
        <v>LLASA RODRIGUEZ, ROSA DEL ROCIO</v>
      </c>
      <c r="E58" s="121">
        <f>Reforzamiento!C78</f>
        <v>2</v>
      </c>
      <c r="F58" s="121" t="str">
        <f>Reforzamiento!D78</f>
        <v>B</v>
      </c>
      <c r="G58" s="122">
        <f>Reforzamiento!AE78</f>
        <v>3</v>
      </c>
    </row>
    <row r="59" spans="2:8" x14ac:dyDescent="0.25">
      <c r="B59" s="16">
        <v>53</v>
      </c>
      <c r="C59" s="123">
        <v>47</v>
      </c>
      <c r="D59" s="120" t="str">
        <f>IE!C84</f>
        <v>PEREZ LARICO, CHRISTIAN GABRIEL</v>
      </c>
      <c r="E59" s="121">
        <f>Reforzamiento!C84</f>
        <v>2</v>
      </c>
      <c r="F59" s="121" t="str">
        <f>Reforzamiento!D84</f>
        <v>B</v>
      </c>
      <c r="G59" s="122">
        <f>Reforzamiento!AE84</f>
        <v>3</v>
      </c>
    </row>
    <row r="60" spans="2:8" x14ac:dyDescent="0.25">
      <c r="B60" s="16">
        <v>54</v>
      </c>
      <c r="C60" s="123">
        <v>48</v>
      </c>
      <c r="D60" s="120" t="str">
        <f>IE!C85</f>
        <v>QUECARA MACHACA, ABRAHAM</v>
      </c>
      <c r="E60" s="121">
        <f>Reforzamiento!C85</f>
        <v>2</v>
      </c>
      <c r="F60" s="121" t="str">
        <f>Reforzamiento!D85</f>
        <v>B</v>
      </c>
      <c r="G60" s="122">
        <f>Reforzamiento!AE85</f>
        <v>3</v>
      </c>
    </row>
    <row r="61" spans="2:8" x14ac:dyDescent="0.25">
      <c r="B61" s="16">
        <v>55</v>
      </c>
      <c r="C61" s="123">
        <v>49</v>
      </c>
      <c r="D61" s="120" t="str">
        <f>IE!C102</f>
        <v>PACOMPIA VILCA, LEONEL EMERSON</v>
      </c>
      <c r="E61" s="121">
        <f>Reforzamiento!C102</f>
        <v>3</v>
      </c>
      <c r="F61" s="121" t="str">
        <f>Reforzamiento!D102</f>
        <v>A</v>
      </c>
      <c r="G61" s="122">
        <f>Reforzamiento!AE102</f>
        <v>3</v>
      </c>
    </row>
    <row r="62" spans="2:8" x14ac:dyDescent="0.25">
      <c r="B62" s="16">
        <v>56</v>
      </c>
      <c r="C62" s="123">
        <v>50</v>
      </c>
      <c r="D62" s="120" t="str">
        <f>IE!C116</f>
        <v>CRUZ QUISPE, ALDAIR ADRIANO</v>
      </c>
      <c r="E62" s="121">
        <f>Reforzamiento!C116</f>
        <v>3</v>
      </c>
      <c r="F62" s="121" t="str">
        <f>Reforzamiento!D116</f>
        <v>B</v>
      </c>
      <c r="G62" s="122">
        <f>Reforzamiento!AE116</f>
        <v>3</v>
      </c>
      <c r="H62" s="144" t="s">
        <v>269</v>
      </c>
    </row>
    <row r="63" spans="2:8" x14ac:dyDescent="0.25">
      <c r="B63" s="16">
        <v>57</v>
      </c>
      <c r="C63" s="123">
        <v>51</v>
      </c>
      <c r="D63" s="120" t="str">
        <f>IE!C117</f>
        <v>HANCCO PEREZ, DAMARYS LORENA</v>
      </c>
      <c r="E63" s="121">
        <f>Reforzamiento!C117</f>
        <v>3</v>
      </c>
      <c r="F63" s="121" t="str">
        <f>Reforzamiento!D117</f>
        <v>B</v>
      </c>
      <c r="G63" s="122">
        <f>Reforzamiento!AE117</f>
        <v>3</v>
      </c>
    </row>
    <row r="64" spans="2:8" x14ac:dyDescent="0.25">
      <c r="B64" s="16">
        <v>58</v>
      </c>
      <c r="C64" s="123">
        <v>52</v>
      </c>
      <c r="D64" s="120" t="str">
        <f>IE!C120</f>
        <v>MACHACA CHAVEZ, ALEJANDRO BRYAN</v>
      </c>
      <c r="E64" s="121">
        <f>Reforzamiento!C120</f>
        <v>3</v>
      </c>
      <c r="F64" s="121" t="str">
        <f>Reforzamiento!D120</f>
        <v>B</v>
      </c>
      <c r="G64" s="122">
        <f>Reforzamiento!AE120</f>
        <v>3</v>
      </c>
    </row>
    <row r="65" spans="2:8" x14ac:dyDescent="0.25">
      <c r="B65" s="16">
        <v>59</v>
      </c>
      <c r="C65" s="123">
        <v>53</v>
      </c>
      <c r="D65" s="120" t="str">
        <f>IE!C133</f>
        <v>APAZA SAMATA, NILDA</v>
      </c>
      <c r="E65" s="121">
        <f>Reforzamiento!C133</f>
        <v>4</v>
      </c>
      <c r="F65" s="121" t="str">
        <f>Reforzamiento!D133</f>
        <v>A</v>
      </c>
      <c r="G65" s="122">
        <f>Reforzamiento!AE133</f>
        <v>3</v>
      </c>
      <c r="H65" s="144" t="s">
        <v>269</v>
      </c>
    </row>
    <row r="66" spans="2:8" x14ac:dyDescent="0.25">
      <c r="B66" s="16">
        <v>60</v>
      </c>
      <c r="C66" s="123">
        <v>54</v>
      </c>
      <c r="D66" s="120" t="str">
        <f>IE!C140</f>
        <v>GUILLEN SANCHEZ, MELANY GREIS</v>
      </c>
      <c r="E66" s="121">
        <f>Reforzamiento!C140</f>
        <v>4</v>
      </c>
      <c r="F66" s="121" t="str">
        <f>Reforzamiento!D140</f>
        <v>A</v>
      </c>
      <c r="G66" s="122">
        <f>Reforzamiento!AE140</f>
        <v>3</v>
      </c>
    </row>
    <row r="67" spans="2:8" x14ac:dyDescent="0.25">
      <c r="B67" s="16">
        <v>61</v>
      </c>
      <c r="C67" s="123">
        <v>55</v>
      </c>
      <c r="D67" s="120" t="str">
        <f>IE!C163</f>
        <v>CHAMBI ARACA, MELANY ANGELY</v>
      </c>
      <c r="E67" s="121">
        <f>Reforzamiento!C163</f>
        <v>4</v>
      </c>
      <c r="F67" s="121" t="str">
        <f>Reforzamiento!D163</f>
        <v>B</v>
      </c>
      <c r="G67" s="122">
        <f>Reforzamiento!AE163</f>
        <v>3</v>
      </c>
      <c r="H67" s="144" t="s">
        <v>269</v>
      </c>
    </row>
    <row r="68" spans="2:8" x14ac:dyDescent="0.25">
      <c r="B68" s="16">
        <v>62</v>
      </c>
      <c r="C68" s="123">
        <v>56</v>
      </c>
      <c r="D68" s="120" t="str">
        <f>IE!C212</f>
        <v>HOLGUIN QUISPE, JOSEPH ALDAIR</v>
      </c>
      <c r="E68" s="121">
        <f>Reforzamiento!C212</f>
        <v>5</v>
      </c>
      <c r="F68" s="121" t="str">
        <f>Reforzamiento!D212</f>
        <v>B</v>
      </c>
      <c r="G68" s="122">
        <f>Reforzamiento!AE212</f>
        <v>3</v>
      </c>
    </row>
    <row r="69" spans="2:8" ht="15.75" thickBot="1" x14ac:dyDescent="0.3">
      <c r="B69" s="16">
        <v>63</v>
      </c>
      <c r="C69" s="123">
        <v>57</v>
      </c>
      <c r="D69" s="131" t="str">
        <f>IE!C223</f>
        <v>PINEDA CHAVEZ, PAOLO AHM JAE</v>
      </c>
      <c r="E69" s="132">
        <f>Reforzamiento!C223</f>
        <v>5</v>
      </c>
      <c r="F69" s="132" t="str">
        <f>Reforzamiento!D223</f>
        <v>B</v>
      </c>
      <c r="G69" s="133">
        <f>Reforzamiento!AE223</f>
        <v>3</v>
      </c>
    </row>
    <row r="70" spans="2:8" x14ac:dyDescent="0.25">
      <c r="B70" s="16">
        <v>64</v>
      </c>
      <c r="C70" s="114">
        <v>1</v>
      </c>
      <c r="D70" s="114" t="str">
        <f>IE!C14</f>
        <v>MANTILLA MAYTA, BELINDA MAJU</v>
      </c>
      <c r="E70" s="129">
        <f>Reforzamiento!C14</f>
        <v>1</v>
      </c>
      <c r="F70" s="129" t="str">
        <f>Reforzamiento!D14</f>
        <v>A</v>
      </c>
      <c r="G70" s="130">
        <f>Reforzamiento!AE14</f>
        <v>2</v>
      </c>
    </row>
    <row r="71" spans="2:8" x14ac:dyDescent="0.25">
      <c r="B71" s="16">
        <v>65</v>
      </c>
      <c r="C71" s="110">
        <v>2</v>
      </c>
      <c r="D71" s="110" t="str">
        <f>IE!C16</f>
        <v>NINA CHUMBES, ARIANA NIKOL</v>
      </c>
      <c r="E71" s="111">
        <f>Reforzamiento!C16</f>
        <v>1</v>
      </c>
      <c r="F71" s="111" t="str">
        <f>Reforzamiento!D16</f>
        <v>A</v>
      </c>
      <c r="G71" s="112">
        <f>Reforzamiento!AE16</f>
        <v>2</v>
      </c>
    </row>
    <row r="72" spans="2:8" x14ac:dyDescent="0.25">
      <c r="B72" s="16">
        <v>66</v>
      </c>
      <c r="C72" s="110">
        <v>3</v>
      </c>
      <c r="D72" s="110" t="str">
        <f>IE!C38</f>
        <v>OCORURO FERNANDEZ, ROSENDO ADRIAN</v>
      </c>
      <c r="E72" s="111">
        <f>Reforzamiento!C38</f>
        <v>1</v>
      </c>
      <c r="F72" s="111" t="str">
        <f>Reforzamiento!D38</f>
        <v>B</v>
      </c>
      <c r="G72" s="112">
        <f>Reforzamiento!AE38</f>
        <v>2</v>
      </c>
    </row>
    <row r="73" spans="2:8" x14ac:dyDescent="0.25">
      <c r="B73" s="16">
        <v>67</v>
      </c>
      <c r="C73" s="110">
        <v>4</v>
      </c>
      <c r="D73" s="110" t="str">
        <f>IE!C70</f>
        <v>CALZADILLA TABEROA, KENDRA MARIELYS</v>
      </c>
      <c r="E73" s="111">
        <f>Reforzamiento!C70</f>
        <v>2</v>
      </c>
      <c r="F73" s="111" t="str">
        <f>Reforzamiento!D70</f>
        <v>B</v>
      </c>
      <c r="G73" s="112">
        <f>Reforzamiento!AE70</f>
        <v>2</v>
      </c>
      <c r="H73" s="144" t="s">
        <v>269</v>
      </c>
    </row>
    <row r="74" spans="2:8" x14ac:dyDescent="0.25">
      <c r="B74" s="16">
        <v>68</v>
      </c>
      <c r="C74" s="110">
        <v>5</v>
      </c>
      <c r="D74" s="110" t="str">
        <f>IE!C72</f>
        <v>CCOMPE BERRIOS, CANDY ESTHER</v>
      </c>
      <c r="E74" s="111">
        <f>Reforzamiento!C72</f>
        <v>2</v>
      </c>
      <c r="F74" s="111" t="str">
        <f>Reforzamiento!D72</f>
        <v>B</v>
      </c>
      <c r="G74" s="112">
        <f>Reforzamiento!AE72</f>
        <v>2</v>
      </c>
    </row>
    <row r="75" spans="2:8" x14ac:dyDescent="0.25">
      <c r="B75" s="16">
        <v>69</v>
      </c>
      <c r="C75" s="114">
        <v>6</v>
      </c>
      <c r="D75" s="110" t="str">
        <f>IE!C74</f>
        <v>GOMEZ CHAVEZ, ALIZEE DARLA</v>
      </c>
      <c r="E75" s="111">
        <f>Reforzamiento!C74</f>
        <v>2</v>
      </c>
      <c r="F75" s="111" t="str">
        <f>Reforzamiento!D74</f>
        <v>B</v>
      </c>
      <c r="G75" s="112">
        <f>Reforzamiento!AE74</f>
        <v>2</v>
      </c>
    </row>
    <row r="76" spans="2:8" x14ac:dyDescent="0.25">
      <c r="B76" s="16">
        <v>70</v>
      </c>
      <c r="C76" s="110">
        <v>7</v>
      </c>
      <c r="D76" s="110" t="str">
        <f>IE!C77</f>
        <v>LLAIQUE SIVINCHA, BRIGITTE SAMINTH</v>
      </c>
      <c r="E76" s="111">
        <f>Reforzamiento!C77</f>
        <v>2</v>
      </c>
      <c r="F76" s="111" t="str">
        <f>Reforzamiento!D77</f>
        <v>B</v>
      </c>
      <c r="G76" s="112">
        <f>Reforzamiento!AE77</f>
        <v>2</v>
      </c>
      <c r="H76" s="144" t="s">
        <v>269</v>
      </c>
    </row>
    <row r="77" spans="2:8" x14ac:dyDescent="0.25">
      <c r="B77" s="16">
        <v>71</v>
      </c>
      <c r="C77" s="110">
        <v>8</v>
      </c>
      <c r="D77" s="110" t="str">
        <f>IE!C87</f>
        <v>SOTO JACINTO, JOSE LUIS</v>
      </c>
      <c r="E77" s="111">
        <f>Reforzamiento!C87</f>
        <v>2</v>
      </c>
      <c r="F77" s="111" t="str">
        <f>Reforzamiento!D87</f>
        <v>B</v>
      </c>
      <c r="G77" s="112">
        <f>Reforzamiento!AE87</f>
        <v>2</v>
      </c>
    </row>
    <row r="78" spans="2:8" x14ac:dyDescent="0.25">
      <c r="B78" s="16">
        <v>72</v>
      </c>
      <c r="C78" s="110">
        <v>9</v>
      </c>
      <c r="D78" s="110" t="str">
        <f>IE!C89</f>
        <v>TORRES AYMA, JEFFERSON</v>
      </c>
      <c r="E78" s="111">
        <f>Reforzamiento!C89</f>
        <v>2</v>
      </c>
      <c r="F78" s="111" t="str">
        <f>Reforzamiento!D89</f>
        <v>B</v>
      </c>
      <c r="G78" s="112">
        <f>Reforzamiento!AE89</f>
        <v>2</v>
      </c>
    </row>
    <row r="79" spans="2:8" x14ac:dyDescent="0.25">
      <c r="B79" s="16">
        <v>73</v>
      </c>
      <c r="C79" s="110">
        <v>10</v>
      </c>
      <c r="D79" s="110" t="str">
        <f>IE!C101</f>
        <v>MACAHUACHI ASPAJO, ROMELIA PIERINA</v>
      </c>
      <c r="E79" s="111">
        <f>Reforzamiento!C101</f>
        <v>3</v>
      </c>
      <c r="F79" s="111" t="str">
        <f>Reforzamiento!D101</f>
        <v>A</v>
      </c>
      <c r="G79" s="112">
        <f>Reforzamiento!AE101</f>
        <v>2</v>
      </c>
      <c r="H79" s="144" t="s">
        <v>269</v>
      </c>
    </row>
    <row r="80" spans="2:8" x14ac:dyDescent="0.25">
      <c r="B80" s="16">
        <v>74</v>
      </c>
      <c r="C80" s="114">
        <v>11</v>
      </c>
      <c r="D80" s="110" t="str">
        <f>IE!C128</f>
        <v>VALVERDE JACINTO, BRIGITHE NAYSHA</v>
      </c>
      <c r="E80" s="111">
        <f>Reforzamiento!C128</f>
        <v>3</v>
      </c>
      <c r="F80" s="111" t="str">
        <f>Reforzamiento!D128</f>
        <v>B</v>
      </c>
      <c r="G80" s="112">
        <f>Reforzamiento!AE128</f>
        <v>2</v>
      </c>
    </row>
    <row r="81" spans="2:8" x14ac:dyDescent="0.25">
      <c r="B81" s="16">
        <v>75</v>
      </c>
      <c r="C81" s="110">
        <v>12</v>
      </c>
      <c r="D81" s="110" t="str">
        <f>IE!C139</f>
        <v>GALARZA QUISPE, CRIS NATHALY</v>
      </c>
      <c r="E81" s="111">
        <f>Reforzamiento!C139</f>
        <v>4</v>
      </c>
      <c r="F81" s="111" t="str">
        <f>Reforzamiento!D139</f>
        <v>A</v>
      </c>
      <c r="G81" s="112">
        <f>Reforzamiento!AE139</f>
        <v>2</v>
      </c>
    </row>
    <row r="82" spans="2:8" x14ac:dyDescent="0.25">
      <c r="B82" s="16">
        <v>76</v>
      </c>
      <c r="C82" s="110">
        <v>13</v>
      </c>
      <c r="D82" s="110" t="str">
        <f>IE!C181</f>
        <v>ARQQUE RAMIREZ, KATY GIMENA</v>
      </c>
      <c r="E82" s="111">
        <f>Reforzamiento!C181</f>
        <v>5</v>
      </c>
      <c r="F82" s="111" t="str">
        <f>Reforzamiento!D181</f>
        <v>A</v>
      </c>
      <c r="G82" s="112">
        <f>Reforzamiento!AE181</f>
        <v>2</v>
      </c>
    </row>
    <row r="83" spans="2:8" x14ac:dyDescent="0.25">
      <c r="B83" s="16">
        <v>77</v>
      </c>
      <c r="C83" s="110">
        <v>14</v>
      </c>
      <c r="D83" s="110" t="str">
        <f>IE!C185</f>
        <v>CALSIN VILCA, ANTONY FERNANDO</v>
      </c>
      <c r="E83" s="111">
        <f>Reforzamiento!C185</f>
        <v>5</v>
      </c>
      <c r="F83" s="111" t="str">
        <f>Reforzamiento!D185</f>
        <v>A</v>
      </c>
      <c r="G83" s="112">
        <f>Reforzamiento!AE185</f>
        <v>2</v>
      </c>
    </row>
    <row r="84" spans="2:8" x14ac:dyDescent="0.25">
      <c r="B84" s="16">
        <v>78</v>
      </c>
      <c r="C84" s="110">
        <v>15</v>
      </c>
      <c r="D84" s="110" t="str">
        <f>IE!C200</f>
        <v>MAMANI CARI, JAIMEX ANTONI</v>
      </c>
      <c r="E84" s="111">
        <f>Reforzamiento!C200</f>
        <v>5</v>
      </c>
      <c r="F84" s="111" t="str">
        <f>Reforzamiento!D200</f>
        <v>A</v>
      </c>
      <c r="G84" s="112">
        <f>Reforzamiento!AE200</f>
        <v>2</v>
      </c>
    </row>
    <row r="85" spans="2:8" x14ac:dyDescent="0.25">
      <c r="B85" s="16">
        <v>79</v>
      </c>
      <c r="C85" s="114">
        <v>16</v>
      </c>
      <c r="D85" s="110" t="str">
        <f>IE!C209</f>
        <v>CRUZ QUISPE, JAIR SEBASTIAN</v>
      </c>
      <c r="E85" s="111">
        <f>Reforzamiento!C209</f>
        <v>5</v>
      </c>
      <c r="F85" s="111" t="str">
        <f>Reforzamiento!D209</f>
        <v>B</v>
      </c>
      <c r="G85" s="112">
        <f>Reforzamiento!AE209</f>
        <v>2</v>
      </c>
    </row>
    <row r="86" spans="2:8" x14ac:dyDescent="0.25">
      <c r="B86" s="16">
        <v>80</v>
      </c>
      <c r="C86" s="110">
        <v>17</v>
      </c>
      <c r="D86" s="110" t="str">
        <f>IE!C213</f>
        <v>JULI AJROTA, LUCY MARIBEL</v>
      </c>
      <c r="E86" s="111">
        <f>Reforzamiento!C213</f>
        <v>5</v>
      </c>
      <c r="F86" s="111" t="str">
        <f>Reforzamiento!D213</f>
        <v>B</v>
      </c>
      <c r="G86" s="112">
        <f>Reforzamiento!AE213</f>
        <v>2</v>
      </c>
    </row>
    <row r="87" spans="2:8" x14ac:dyDescent="0.25">
      <c r="B87" s="16">
        <v>81</v>
      </c>
      <c r="C87" s="110">
        <v>18</v>
      </c>
      <c r="D87" s="110" t="str">
        <f>IE!C228</f>
        <v>SALAS PAREDES, ARIANA NIKOL</v>
      </c>
      <c r="E87" s="111">
        <f>Reforzamiento!C228</f>
        <v>5</v>
      </c>
      <c r="F87" s="111" t="str">
        <f>Reforzamiento!D228</f>
        <v>B</v>
      </c>
      <c r="G87" s="112">
        <f>Reforzamiento!AE228</f>
        <v>2</v>
      </c>
      <c r="H87" s="144" t="s">
        <v>269</v>
      </c>
    </row>
    <row r="88" spans="2:8" x14ac:dyDescent="0.25">
      <c r="B88" s="16">
        <v>82</v>
      </c>
      <c r="C88" s="110">
        <v>19</v>
      </c>
      <c r="D88" s="110" t="str">
        <f>IE!C10</f>
        <v>CHAMPE TACO, JUMY JAHAIRA</v>
      </c>
      <c r="E88" s="111">
        <f>Reforzamiento!C10</f>
        <v>1</v>
      </c>
      <c r="F88" s="111" t="str">
        <f>Reforzamiento!D10</f>
        <v>A</v>
      </c>
      <c r="G88" s="112">
        <f>Reforzamiento!AE10</f>
        <v>1</v>
      </c>
    </row>
    <row r="89" spans="2:8" x14ac:dyDescent="0.25">
      <c r="B89" s="16">
        <v>83</v>
      </c>
      <c r="C89" s="110">
        <v>20</v>
      </c>
      <c r="D89" s="110" t="str">
        <f>IE!C15</f>
        <v>MOROCCO CCALLO, YOSELIN RUTH</v>
      </c>
      <c r="E89" s="111">
        <f>Reforzamiento!C15</f>
        <v>1</v>
      </c>
      <c r="F89" s="111" t="str">
        <f>Reforzamiento!D15</f>
        <v>A</v>
      </c>
      <c r="G89" s="112">
        <f>Reforzamiento!AE15</f>
        <v>1</v>
      </c>
    </row>
    <row r="90" spans="2:8" x14ac:dyDescent="0.25">
      <c r="B90" s="16">
        <v>84</v>
      </c>
      <c r="C90" s="114">
        <v>21</v>
      </c>
      <c r="D90" s="110" t="str">
        <f>IE!C20</f>
        <v>QUISPE YANA, TANIA ROSMERI</v>
      </c>
      <c r="E90" s="111">
        <f>Reforzamiento!C20</f>
        <v>1</v>
      </c>
      <c r="F90" s="111" t="str">
        <f>Reforzamiento!D20</f>
        <v>A</v>
      </c>
      <c r="G90" s="112">
        <f>Reforzamiento!AE20</f>
        <v>1</v>
      </c>
    </row>
    <row r="91" spans="2:8" x14ac:dyDescent="0.25">
      <c r="B91" s="16">
        <v>85</v>
      </c>
      <c r="C91" s="110">
        <v>22</v>
      </c>
      <c r="D91" s="110" t="str">
        <f>IE!C42</f>
        <v>QUISPE QUISPE, CORINA DIANA</v>
      </c>
      <c r="E91" s="111">
        <f>Reforzamiento!C42</f>
        <v>1</v>
      </c>
      <c r="F91" s="111" t="str">
        <f>Reforzamiento!D42</f>
        <v>B</v>
      </c>
      <c r="G91" s="112">
        <f>Reforzamiento!AE42</f>
        <v>1</v>
      </c>
      <c r="H91" s="144" t="s">
        <v>269</v>
      </c>
    </row>
    <row r="92" spans="2:8" x14ac:dyDescent="0.25">
      <c r="B92" s="16">
        <v>86</v>
      </c>
      <c r="C92" s="110">
        <v>23</v>
      </c>
      <c r="D92" s="110" t="str">
        <f>IE!C43</f>
        <v>ROJO ATACO, JESUS</v>
      </c>
      <c r="E92" s="111">
        <f>Reforzamiento!C43</f>
        <v>1</v>
      </c>
      <c r="F92" s="111" t="str">
        <f>Reforzamiento!D43</f>
        <v>B</v>
      </c>
      <c r="G92" s="112">
        <f>Reforzamiento!AE43</f>
        <v>1</v>
      </c>
    </row>
    <row r="93" spans="2:8" x14ac:dyDescent="0.25">
      <c r="B93" s="16">
        <v>87</v>
      </c>
      <c r="C93" s="110">
        <v>24</v>
      </c>
      <c r="D93" s="110" t="str">
        <f>IE!C44</f>
        <v>ARISMENDI CUBA, GEANLUCA FABIAN</v>
      </c>
      <c r="E93" s="111">
        <f>Reforzamiento!C44</f>
        <v>2</v>
      </c>
      <c r="F93" s="111" t="str">
        <f>Reforzamiento!D44</f>
        <v>A</v>
      </c>
      <c r="G93" s="112">
        <f>Reforzamiento!AE44</f>
        <v>1</v>
      </c>
    </row>
    <row r="94" spans="2:8" x14ac:dyDescent="0.25">
      <c r="B94" s="16">
        <v>88</v>
      </c>
      <c r="C94" s="110">
        <v>25</v>
      </c>
      <c r="D94" s="110" t="str">
        <f>IE!C48</f>
        <v>CALSIN MAMANI, CINDY ROMINA</v>
      </c>
      <c r="E94" s="111">
        <f>Reforzamiento!C48</f>
        <v>2</v>
      </c>
      <c r="F94" s="111" t="str">
        <f>Reforzamiento!D48</f>
        <v>A</v>
      </c>
      <c r="G94" s="112">
        <f>Reforzamiento!AE48</f>
        <v>1</v>
      </c>
    </row>
    <row r="95" spans="2:8" x14ac:dyDescent="0.25">
      <c r="B95" s="16">
        <v>89</v>
      </c>
      <c r="C95" s="114">
        <v>26</v>
      </c>
      <c r="D95" s="110" t="str">
        <f>IE!C50</f>
        <v>CHIPANA VILLANUEVA, CHRISTOFER FAVIAN</v>
      </c>
      <c r="E95" s="111">
        <f>Reforzamiento!C50</f>
        <v>2</v>
      </c>
      <c r="F95" s="111" t="str">
        <f>Reforzamiento!D50</f>
        <v>A</v>
      </c>
      <c r="G95" s="112">
        <f>Reforzamiento!AE50</f>
        <v>1</v>
      </c>
      <c r="H95" s="144" t="s">
        <v>269</v>
      </c>
    </row>
    <row r="96" spans="2:8" x14ac:dyDescent="0.25">
      <c r="B96" s="16">
        <v>90</v>
      </c>
      <c r="C96" s="110">
        <v>27</v>
      </c>
      <c r="D96" s="110" t="str">
        <f>IE!C58</f>
        <v>PUCHO ANCCORI, SHADY JIUNSU</v>
      </c>
      <c r="E96" s="111">
        <f>Reforzamiento!C58</f>
        <v>2</v>
      </c>
      <c r="F96" s="111" t="str">
        <f>Reforzamiento!D58</f>
        <v>A</v>
      </c>
      <c r="G96" s="112">
        <f>Reforzamiento!AE58</f>
        <v>1</v>
      </c>
    </row>
    <row r="97" spans="2:8" x14ac:dyDescent="0.25">
      <c r="B97" s="16">
        <v>91</v>
      </c>
      <c r="C97" s="110">
        <v>28</v>
      </c>
      <c r="D97" s="110" t="str">
        <f>IE!C73</f>
        <v>CHINO CHOQUE, SHEYLA YENNIFER CELIA</v>
      </c>
      <c r="E97" s="111">
        <f>Reforzamiento!C73</f>
        <v>2</v>
      </c>
      <c r="F97" s="111" t="str">
        <f>Reforzamiento!D73</f>
        <v>B</v>
      </c>
      <c r="G97" s="112">
        <f>Reforzamiento!AE73</f>
        <v>1</v>
      </c>
    </row>
    <row r="98" spans="2:8" x14ac:dyDescent="0.25">
      <c r="B98" s="16">
        <v>92</v>
      </c>
      <c r="C98" s="110">
        <v>29</v>
      </c>
      <c r="D98" s="110" t="str">
        <f>IE!C79</f>
        <v>MACHACA CHAMBI, GISELA</v>
      </c>
      <c r="E98" s="111">
        <f>Reforzamiento!C79</f>
        <v>2</v>
      </c>
      <c r="F98" s="111" t="str">
        <f>Reforzamiento!D79</f>
        <v>B</v>
      </c>
      <c r="G98" s="112">
        <f>Reforzamiento!AE79</f>
        <v>1</v>
      </c>
    </row>
    <row r="99" spans="2:8" x14ac:dyDescent="0.25">
      <c r="B99" s="16">
        <v>93</v>
      </c>
      <c r="C99" s="110">
        <v>30</v>
      </c>
      <c r="D99" s="110" t="str">
        <f>IE!C81</f>
        <v>MENDOZA CUSIHUAMAN, CIELO RAQUEL</v>
      </c>
      <c r="E99" s="111">
        <f>Reforzamiento!C81</f>
        <v>2</v>
      </c>
      <c r="F99" s="111" t="str">
        <f>Reforzamiento!D81</f>
        <v>B</v>
      </c>
      <c r="G99" s="112">
        <f>Reforzamiento!AE81</f>
        <v>1</v>
      </c>
    </row>
    <row r="100" spans="2:8" x14ac:dyDescent="0.25">
      <c r="B100" s="16">
        <v>94</v>
      </c>
      <c r="C100" s="114">
        <v>31</v>
      </c>
      <c r="D100" s="110" t="str">
        <f>IE!C82</f>
        <v>MUÑOZ ARQQUE, ANDERSON DEL PIERO</v>
      </c>
      <c r="E100" s="111">
        <f>Reforzamiento!C82</f>
        <v>2</v>
      </c>
      <c r="F100" s="111" t="str">
        <f>Reforzamiento!D82</f>
        <v>B</v>
      </c>
      <c r="G100" s="112">
        <f>Reforzamiento!AE82</f>
        <v>1</v>
      </c>
    </row>
    <row r="101" spans="2:8" x14ac:dyDescent="0.25">
      <c r="B101" s="16">
        <v>95</v>
      </c>
      <c r="C101" s="110">
        <v>32</v>
      </c>
      <c r="D101" s="110" t="str">
        <f>IE!C96</f>
        <v>ENDARA CHOQUE, HANZ FRANKLIN ABIHU</v>
      </c>
      <c r="E101" s="111">
        <f>Reforzamiento!C96</f>
        <v>3</v>
      </c>
      <c r="F101" s="111" t="str">
        <f>Reforzamiento!D96</f>
        <v>A</v>
      </c>
      <c r="G101" s="112">
        <f>Reforzamiento!AE96</f>
        <v>1</v>
      </c>
      <c r="H101" s="144" t="s">
        <v>269</v>
      </c>
    </row>
    <row r="102" spans="2:8" x14ac:dyDescent="0.25">
      <c r="B102" s="16">
        <v>96</v>
      </c>
      <c r="C102" s="110">
        <v>33</v>
      </c>
      <c r="D102" s="110" t="str">
        <f>IE!C113</f>
        <v>CAÑAS BUENO, JASMELING DEL CARMEN</v>
      </c>
      <c r="E102" s="111">
        <f>Reforzamiento!C113</f>
        <v>3</v>
      </c>
      <c r="F102" s="111" t="str">
        <f>Reforzamiento!D113</f>
        <v>B</v>
      </c>
      <c r="G102" s="112">
        <f>Reforzamiento!AE113</f>
        <v>1</v>
      </c>
      <c r="H102" s="144" t="s">
        <v>269</v>
      </c>
    </row>
    <row r="103" spans="2:8" x14ac:dyDescent="0.25">
      <c r="B103" s="16">
        <v>97</v>
      </c>
      <c r="C103" s="110">
        <v>34</v>
      </c>
      <c r="D103" s="110" t="str">
        <f>IE!C114</f>
        <v>CASTRO AROTAIPE, YOSENID NASHELY</v>
      </c>
      <c r="E103" s="111">
        <f>Reforzamiento!C114</f>
        <v>3</v>
      </c>
      <c r="F103" s="111" t="str">
        <f>Reforzamiento!D114</f>
        <v>B</v>
      </c>
      <c r="G103" s="112">
        <f>Reforzamiento!AE114</f>
        <v>1</v>
      </c>
    </row>
    <row r="104" spans="2:8" x14ac:dyDescent="0.25">
      <c r="B104" s="16">
        <v>98</v>
      </c>
      <c r="C104" s="110">
        <v>35</v>
      </c>
      <c r="D104" s="110" t="str">
        <f>IE!C121</f>
        <v>MAMANI ALDIVAR, SERGIO SNAYDER</v>
      </c>
      <c r="E104" s="111">
        <f>Reforzamiento!C121</f>
        <v>3</v>
      </c>
      <c r="F104" s="111" t="str">
        <f>Reforzamiento!D121</f>
        <v>B</v>
      </c>
      <c r="G104" s="112">
        <f>Reforzamiento!AE121</f>
        <v>1</v>
      </c>
    </row>
    <row r="105" spans="2:8" x14ac:dyDescent="0.25">
      <c r="B105" s="16">
        <v>99</v>
      </c>
      <c r="C105" s="114">
        <v>36</v>
      </c>
      <c r="D105" s="110" t="str">
        <f>IE!C123</f>
        <v>MENDOZA CONDORI, MARY LUZ</v>
      </c>
      <c r="E105" s="111">
        <f>Reforzamiento!C123</f>
        <v>3</v>
      </c>
      <c r="F105" s="111" t="str">
        <f>Reforzamiento!D123</f>
        <v>B</v>
      </c>
      <c r="G105" s="112">
        <f>Reforzamiento!AE123</f>
        <v>1</v>
      </c>
    </row>
    <row r="106" spans="2:8" x14ac:dyDescent="0.25">
      <c r="B106" s="16">
        <v>100</v>
      </c>
      <c r="C106" s="110">
        <v>37</v>
      </c>
      <c r="D106" s="110" t="str">
        <f>IE!C135</f>
        <v>CENTENO SURI, DANIEL IMANOL</v>
      </c>
      <c r="E106" s="111">
        <f>Reforzamiento!C135</f>
        <v>4</v>
      </c>
      <c r="F106" s="111" t="str">
        <f>Reforzamiento!D135</f>
        <v>A</v>
      </c>
      <c r="G106" s="112">
        <f>Reforzamiento!AE135</f>
        <v>1</v>
      </c>
      <c r="H106" s="144" t="s">
        <v>269</v>
      </c>
    </row>
    <row r="107" spans="2:8" x14ac:dyDescent="0.25">
      <c r="B107" s="16">
        <v>101</v>
      </c>
      <c r="C107" s="110">
        <v>38</v>
      </c>
      <c r="D107" s="110" t="str">
        <f>IE!C147</f>
        <v>QUISPE YANA, YOBANA KARMIN</v>
      </c>
      <c r="E107" s="111">
        <f>Reforzamiento!C147</f>
        <v>4</v>
      </c>
      <c r="F107" s="111" t="str">
        <f>Reforzamiento!D147</f>
        <v>A</v>
      </c>
      <c r="G107" s="112">
        <f>Reforzamiento!AE147</f>
        <v>1</v>
      </c>
    </row>
    <row r="108" spans="2:8" x14ac:dyDescent="0.25">
      <c r="B108" s="16">
        <v>102</v>
      </c>
      <c r="C108" s="110">
        <v>39</v>
      </c>
      <c r="D108" s="110" t="str">
        <f>IE!C150</f>
        <v>TACO ROQUE, MARIA JOSE</v>
      </c>
      <c r="E108" s="111">
        <f>Reforzamiento!C150</f>
        <v>4</v>
      </c>
      <c r="F108" s="111" t="str">
        <f>Reforzamiento!D150</f>
        <v>A</v>
      </c>
      <c r="G108" s="112">
        <f>Reforzamiento!AE150</f>
        <v>1</v>
      </c>
    </row>
    <row r="109" spans="2:8" x14ac:dyDescent="0.25">
      <c r="B109" s="16">
        <v>103</v>
      </c>
      <c r="C109" s="110">
        <v>40</v>
      </c>
      <c r="D109" s="110" t="str">
        <f>IE!C170</f>
        <v>MONTESINOS CRUZ, JHON JOHANY</v>
      </c>
      <c r="E109" s="111">
        <f>Reforzamiento!C170</f>
        <v>4</v>
      </c>
      <c r="F109" s="111" t="str">
        <f>Reforzamiento!D170</f>
        <v>B</v>
      </c>
      <c r="G109" s="112">
        <f>Reforzamiento!AE170</f>
        <v>1</v>
      </c>
    </row>
    <row r="110" spans="2:8" x14ac:dyDescent="0.25">
      <c r="B110" s="16">
        <v>104</v>
      </c>
      <c r="C110" s="114">
        <v>41</v>
      </c>
      <c r="D110" s="110" t="str">
        <f>IE!C172</f>
        <v>OCHOCHOQUE APAZA, HARRY ANDERSON</v>
      </c>
      <c r="E110" s="111">
        <f>Reforzamiento!C172</f>
        <v>4</v>
      </c>
      <c r="F110" s="111" t="str">
        <f>Reforzamiento!D172</f>
        <v>B</v>
      </c>
      <c r="G110" s="112">
        <f>Reforzamiento!AE172</f>
        <v>1</v>
      </c>
    </row>
    <row r="111" spans="2:8" x14ac:dyDescent="0.25">
      <c r="B111" s="16">
        <v>105</v>
      </c>
      <c r="C111" s="110">
        <v>42</v>
      </c>
      <c r="D111" s="110" t="str">
        <f>IE!C186</f>
        <v>CANRE CUTIMBO, SEBASTIAN EUGENIO</v>
      </c>
      <c r="E111" s="111">
        <f>Reforzamiento!C186</f>
        <v>5</v>
      </c>
      <c r="F111" s="111" t="str">
        <f>Reforzamiento!D186</f>
        <v>A</v>
      </c>
      <c r="G111" s="112">
        <f>Reforzamiento!AE186</f>
        <v>1</v>
      </c>
    </row>
    <row r="112" spans="2:8" x14ac:dyDescent="0.25">
      <c r="B112" s="16">
        <v>106</v>
      </c>
      <c r="C112" s="110">
        <v>43</v>
      </c>
      <c r="D112" s="110" t="str">
        <f>IE!C204</f>
        <v>MENDEZ SIVINCHA, FERNANDO</v>
      </c>
      <c r="E112" s="111">
        <f>Reforzamiento!C204</f>
        <v>5</v>
      </c>
      <c r="F112" s="111" t="str">
        <f>Reforzamiento!D204</f>
        <v>A</v>
      </c>
      <c r="G112" s="112">
        <f>Reforzamiento!AE204</f>
        <v>1</v>
      </c>
    </row>
    <row r="113" spans="2:9" x14ac:dyDescent="0.25">
      <c r="B113" s="16">
        <v>107</v>
      </c>
      <c r="C113" s="110">
        <v>44</v>
      </c>
      <c r="D113" s="110" t="str">
        <f>IE!C219</f>
        <v>MEDINA CHARCA, NIURKA</v>
      </c>
      <c r="E113" s="111">
        <f>Reforzamiento!C219</f>
        <v>5</v>
      </c>
      <c r="F113" s="111" t="str">
        <f>Reforzamiento!D219</f>
        <v>B</v>
      </c>
      <c r="G113" s="112">
        <f>Reforzamiento!AE219</f>
        <v>1</v>
      </c>
    </row>
    <row r="114" spans="2:9" ht="15.75" thickBot="1" x14ac:dyDescent="0.3">
      <c r="B114" s="16">
        <v>108</v>
      </c>
      <c r="C114" s="110">
        <v>45</v>
      </c>
      <c r="D114" s="113" t="str">
        <f>IE!C221</f>
        <v>MURILLO SANCHEZ, DIEGO JESUS</v>
      </c>
      <c r="E114" s="136">
        <f>Reforzamiento!C221</f>
        <v>5</v>
      </c>
      <c r="F114" s="136" t="str">
        <f>Reforzamiento!D221</f>
        <v>B</v>
      </c>
      <c r="G114" s="137">
        <f>Reforzamiento!AE221</f>
        <v>1</v>
      </c>
      <c r="H114" s="140"/>
    </row>
    <row r="115" spans="2:9" x14ac:dyDescent="0.25">
      <c r="C115" s="119">
        <v>1</v>
      </c>
      <c r="D115" s="119" t="str">
        <f>IE!C6</f>
        <v>ALEJO LUPINTA, DIANA ABIGAIL</v>
      </c>
      <c r="E115" s="134">
        <f>Reforzamiento!C6</f>
        <v>1</v>
      </c>
      <c r="F115" s="134" t="str">
        <f>Reforzamiento!D6</f>
        <v>A</v>
      </c>
      <c r="G115" s="135">
        <f>Reforzamiento!AE6</f>
        <v>0</v>
      </c>
      <c r="H115" s="141"/>
    </row>
    <row r="116" spans="2:9" x14ac:dyDescent="0.25">
      <c r="C116" s="115">
        <v>2</v>
      </c>
      <c r="D116" s="115" t="str">
        <f>IE!C8</f>
        <v>BALSA MAMANI, JHOSUE SAJAAT</v>
      </c>
      <c r="E116" s="116">
        <f>Reforzamiento!C8</f>
        <v>1</v>
      </c>
      <c r="F116" s="116" t="str">
        <f>Reforzamiento!D8</f>
        <v>A</v>
      </c>
      <c r="G116" s="117">
        <f>Reforzamiento!AE8</f>
        <v>0</v>
      </c>
      <c r="H116" s="142"/>
    </row>
    <row r="117" spans="2:9" x14ac:dyDescent="0.25">
      <c r="C117" s="115">
        <v>3</v>
      </c>
      <c r="D117" s="115" t="str">
        <f>IE!C9</f>
        <v>CALANCHO MAMANI, RIZIERI BEAUTY</v>
      </c>
      <c r="E117" s="116">
        <f>Reforzamiento!C9</f>
        <v>1</v>
      </c>
      <c r="F117" s="116" t="str">
        <f>Reforzamiento!D9</f>
        <v>A</v>
      </c>
      <c r="G117" s="117">
        <f>Reforzamiento!AE9</f>
        <v>0</v>
      </c>
      <c r="H117" s="142"/>
      <c r="I117" s="144" t="s">
        <v>269</v>
      </c>
    </row>
    <row r="118" spans="2:9" x14ac:dyDescent="0.25">
      <c r="C118" s="115">
        <v>4</v>
      </c>
      <c r="D118" s="115" t="str">
        <f>IE!C11</f>
        <v>CUTI SENCIA, AIXA AYSEL</v>
      </c>
      <c r="E118" s="116">
        <f>Reforzamiento!C11</f>
        <v>1</v>
      </c>
      <c r="F118" s="116" t="str">
        <f>Reforzamiento!D11</f>
        <v>A</v>
      </c>
      <c r="G118" s="117">
        <f>Reforzamiento!AE11</f>
        <v>0</v>
      </c>
      <c r="H118" s="142">
        <v>7</v>
      </c>
    </row>
    <row r="119" spans="2:9" x14ac:dyDescent="0.25">
      <c r="C119" s="119">
        <v>5</v>
      </c>
      <c r="D119" s="115" t="str">
        <f>IE!C12</f>
        <v>HUACARPUMA SULCA, BRITNEY ESTEFANY</v>
      </c>
      <c r="E119" s="116">
        <f>Reforzamiento!C12</f>
        <v>1</v>
      </c>
      <c r="F119" s="116" t="str">
        <f>Reforzamiento!D12</f>
        <v>A</v>
      </c>
      <c r="G119" s="117">
        <f>Reforzamiento!AE12</f>
        <v>0</v>
      </c>
      <c r="H119" s="142"/>
    </row>
    <row r="120" spans="2:9" x14ac:dyDescent="0.25">
      <c r="C120" s="115">
        <v>6</v>
      </c>
      <c r="D120" s="115" t="str">
        <f>IE!C21</f>
        <v>SANDILLA PUMACALLAHUI, KRISTEL NAYSA</v>
      </c>
      <c r="E120" s="116">
        <f>Reforzamiento!C21</f>
        <v>1</v>
      </c>
      <c r="F120" s="116" t="str">
        <f>Reforzamiento!D21</f>
        <v>A</v>
      </c>
      <c r="G120" s="117">
        <f>Reforzamiento!AE21</f>
        <v>0</v>
      </c>
      <c r="H120" s="142"/>
    </row>
    <row r="121" spans="2:9" ht="15.75" thickBot="1" x14ac:dyDescent="0.3">
      <c r="C121" s="115">
        <v>7</v>
      </c>
      <c r="D121" s="118" t="str">
        <f>IE!C22</f>
        <v>VALLEJO APAZA, LUIS FERNANDO</v>
      </c>
      <c r="E121" s="138">
        <f>Reforzamiento!C22</f>
        <v>1</v>
      </c>
      <c r="F121" s="138" t="str">
        <f>Reforzamiento!D22</f>
        <v>A</v>
      </c>
      <c r="G121" s="139">
        <f>Reforzamiento!AE22</f>
        <v>0</v>
      </c>
      <c r="H121" s="143"/>
    </row>
    <row r="122" spans="2:9" x14ac:dyDescent="0.25">
      <c r="C122" s="115">
        <v>8</v>
      </c>
      <c r="D122" s="119" t="str">
        <f>IE!C24</f>
        <v>ALMORA CHIRE, CAMILA CLARETH</v>
      </c>
      <c r="E122" s="134">
        <f>Reforzamiento!C24</f>
        <v>1</v>
      </c>
      <c r="F122" s="134" t="str">
        <f>Reforzamiento!D24</f>
        <v>B</v>
      </c>
      <c r="G122" s="135">
        <f>Reforzamiento!AE24</f>
        <v>0</v>
      </c>
      <c r="H122" s="141"/>
    </row>
    <row r="123" spans="2:9" x14ac:dyDescent="0.25">
      <c r="C123" s="119">
        <v>9</v>
      </c>
      <c r="D123" s="115" t="str">
        <f>IE!C25</f>
        <v>AROTAIPE HUAIROCCACYA, BRITANI RUTH</v>
      </c>
      <c r="E123" s="116">
        <f>Reforzamiento!C25</f>
        <v>1</v>
      </c>
      <c r="F123" s="116" t="str">
        <f>Reforzamiento!D25</f>
        <v>B</v>
      </c>
      <c r="G123" s="117">
        <f>Reforzamiento!AE25</f>
        <v>0</v>
      </c>
      <c r="H123" s="142"/>
    </row>
    <row r="124" spans="2:9" x14ac:dyDescent="0.25">
      <c r="C124" s="115">
        <v>10</v>
      </c>
      <c r="D124" s="115" t="str">
        <f>IE!C26</f>
        <v>CASQUINO MOLLO, JUAN DIEGO</v>
      </c>
      <c r="E124" s="116">
        <f>Reforzamiento!C26</f>
        <v>1</v>
      </c>
      <c r="F124" s="116" t="str">
        <f>Reforzamiento!D26</f>
        <v>B</v>
      </c>
      <c r="G124" s="117">
        <f>Reforzamiento!AE26</f>
        <v>0</v>
      </c>
      <c r="H124" s="142"/>
    </row>
    <row r="125" spans="2:9" x14ac:dyDescent="0.25">
      <c r="C125" s="115">
        <v>11</v>
      </c>
      <c r="D125" s="115" t="str">
        <f>IE!C27</f>
        <v>CCALLA MAMANI, HARRINSON PAUL</v>
      </c>
      <c r="E125" s="116">
        <f>Reforzamiento!C27</f>
        <v>1</v>
      </c>
      <c r="F125" s="116" t="str">
        <f>Reforzamiento!D27</f>
        <v>B</v>
      </c>
      <c r="G125" s="117">
        <f>Reforzamiento!AE27</f>
        <v>0</v>
      </c>
      <c r="H125" s="142"/>
    </row>
    <row r="126" spans="2:9" x14ac:dyDescent="0.25">
      <c r="C126" s="115">
        <v>12</v>
      </c>
      <c r="D126" s="115" t="str">
        <f>IE!C28</f>
        <v>CHANCOLLA SUCARI, JHON DREIK LIAM</v>
      </c>
      <c r="E126" s="116">
        <f>Reforzamiento!C28</f>
        <v>1</v>
      </c>
      <c r="F126" s="116" t="str">
        <f>Reforzamiento!D28</f>
        <v>B</v>
      </c>
      <c r="G126" s="117">
        <f>Reforzamiento!AE28</f>
        <v>0</v>
      </c>
      <c r="H126" s="142"/>
    </row>
    <row r="127" spans="2:9" x14ac:dyDescent="0.25">
      <c r="C127" s="119">
        <v>13</v>
      </c>
      <c r="D127" s="115" t="str">
        <f>IE!C29</f>
        <v>CRUZ CALLASACA, MISHELL BRYANA</v>
      </c>
      <c r="E127" s="116">
        <f>Reforzamiento!C29</f>
        <v>1</v>
      </c>
      <c r="F127" s="116" t="str">
        <f>Reforzamiento!D29</f>
        <v>B</v>
      </c>
      <c r="G127" s="117">
        <f>Reforzamiento!AE29</f>
        <v>0</v>
      </c>
      <c r="H127" s="142"/>
    </row>
    <row r="128" spans="2:9" x14ac:dyDescent="0.25">
      <c r="C128" s="115">
        <v>14</v>
      </c>
      <c r="D128" s="115" t="str">
        <f>IE!C30</f>
        <v>FLORES SUMERINDE, ANTHONNY CHRISTYAN</v>
      </c>
      <c r="E128" s="116">
        <f>Reforzamiento!C30</f>
        <v>1</v>
      </c>
      <c r="F128" s="116" t="str">
        <f>Reforzamiento!D30</f>
        <v>B</v>
      </c>
      <c r="G128" s="117">
        <f>Reforzamiento!AE30</f>
        <v>0</v>
      </c>
      <c r="H128" s="142"/>
    </row>
    <row r="129" spans="3:8" x14ac:dyDescent="0.25">
      <c r="C129" s="115">
        <v>15</v>
      </c>
      <c r="D129" s="115" t="str">
        <f>IE!C31</f>
        <v>GALARZA QUISPE, LUZ YENNY</v>
      </c>
      <c r="E129" s="116">
        <f>Reforzamiento!C31</f>
        <v>1</v>
      </c>
      <c r="F129" s="116" t="str">
        <f>Reforzamiento!D31</f>
        <v>B</v>
      </c>
      <c r="G129" s="117">
        <f>Reforzamiento!AE31</f>
        <v>0</v>
      </c>
      <c r="H129" s="142"/>
    </row>
    <row r="130" spans="3:8" x14ac:dyDescent="0.25">
      <c r="C130" s="115">
        <v>16</v>
      </c>
      <c r="D130" s="115" t="str">
        <f>IE!C32</f>
        <v>HUARANCCA CONDORI, ALEXIS YOSUE</v>
      </c>
      <c r="E130" s="116">
        <f>Reforzamiento!C32</f>
        <v>1</v>
      </c>
      <c r="F130" s="116" t="str">
        <f>Reforzamiento!D32</f>
        <v>B</v>
      </c>
      <c r="G130" s="117">
        <f>Reforzamiento!AE32</f>
        <v>0</v>
      </c>
      <c r="H130" s="142">
        <v>17</v>
      </c>
    </row>
    <row r="131" spans="3:8" x14ac:dyDescent="0.25">
      <c r="C131" s="119">
        <v>17</v>
      </c>
      <c r="D131" s="115" t="str">
        <f>IE!C33</f>
        <v>LLERENA QUISPE, THIAGO ALESSANDRO</v>
      </c>
      <c r="E131" s="116">
        <f>Reforzamiento!C33</f>
        <v>1</v>
      </c>
      <c r="F131" s="116" t="str">
        <f>Reforzamiento!D33</f>
        <v>B</v>
      </c>
      <c r="G131" s="117">
        <f>Reforzamiento!AE33</f>
        <v>0</v>
      </c>
      <c r="H131" s="142"/>
    </row>
    <row r="132" spans="3:8" x14ac:dyDescent="0.25">
      <c r="C132" s="115">
        <v>18</v>
      </c>
      <c r="D132" s="115" t="str">
        <f>IE!C34</f>
        <v>MAMANI ARIAS, GABRIEL JESUS</v>
      </c>
      <c r="E132" s="116">
        <f>Reforzamiento!C34</f>
        <v>1</v>
      </c>
      <c r="F132" s="116" t="str">
        <f>Reforzamiento!D34</f>
        <v>B</v>
      </c>
      <c r="G132" s="117">
        <f>Reforzamiento!AE34</f>
        <v>0</v>
      </c>
      <c r="H132" s="142"/>
    </row>
    <row r="133" spans="3:8" x14ac:dyDescent="0.25">
      <c r="C133" s="115">
        <v>19</v>
      </c>
      <c r="D133" s="115" t="str">
        <f>IE!C35</f>
        <v>MAMANI MENDOZA, BENYAMIN KEN</v>
      </c>
      <c r="E133" s="116">
        <f>Reforzamiento!C35</f>
        <v>1</v>
      </c>
      <c r="F133" s="116" t="str">
        <f>Reforzamiento!D35</f>
        <v>B</v>
      </c>
      <c r="G133" s="117">
        <f>Reforzamiento!AE35</f>
        <v>0</v>
      </c>
      <c r="H133" s="142"/>
    </row>
    <row r="134" spans="3:8" x14ac:dyDescent="0.25">
      <c r="C134" s="115">
        <v>20</v>
      </c>
      <c r="D134" s="115" t="str">
        <f>IE!C36</f>
        <v>MEDINA BEGAZO, GERHARD YOSHIRO</v>
      </c>
      <c r="E134" s="116">
        <f>Reforzamiento!C36</f>
        <v>1</v>
      </c>
      <c r="F134" s="116" t="str">
        <f>Reforzamiento!D36</f>
        <v>B</v>
      </c>
      <c r="G134" s="117">
        <f>Reforzamiento!AE36</f>
        <v>0</v>
      </c>
      <c r="H134" s="142"/>
    </row>
    <row r="135" spans="3:8" x14ac:dyDescent="0.25">
      <c r="C135" s="119">
        <v>21</v>
      </c>
      <c r="D135" s="115" t="str">
        <f>IE!C37</f>
        <v>MOLLO GONZALES, ESTHER JAZMÌN</v>
      </c>
      <c r="E135" s="116">
        <f>Reforzamiento!C37</f>
        <v>1</v>
      </c>
      <c r="F135" s="116" t="str">
        <f>Reforzamiento!D37</f>
        <v>B</v>
      </c>
      <c r="G135" s="117">
        <f>Reforzamiento!AE37</f>
        <v>0</v>
      </c>
      <c r="H135" s="142"/>
    </row>
    <row r="136" spans="3:8" x14ac:dyDescent="0.25">
      <c r="C136" s="115">
        <v>22</v>
      </c>
      <c r="D136" s="115" t="str">
        <f>IE!C39</f>
        <v>PACHA VILCA, VALENTINO RICARDO</v>
      </c>
      <c r="E136" s="116">
        <f>Reforzamiento!C39</f>
        <v>1</v>
      </c>
      <c r="F136" s="116" t="str">
        <f>Reforzamiento!D39</f>
        <v>B</v>
      </c>
      <c r="G136" s="117">
        <f>Reforzamiento!AE39</f>
        <v>0</v>
      </c>
      <c r="H136" s="142"/>
    </row>
    <row r="137" spans="3:8" x14ac:dyDescent="0.25">
      <c r="C137" s="115">
        <v>23</v>
      </c>
      <c r="D137" s="115" t="str">
        <f>IE!C40</f>
        <v>PERALTA QUISPE, MELANIA YIDDÁ</v>
      </c>
      <c r="E137" s="116">
        <f>Reforzamiento!C40</f>
        <v>1</v>
      </c>
      <c r="F137" s="116" t="str">
        <f>Reforzamiento!D40</f>
        <v>B</v>
      </c>
      <c r="G137" s="117">
        <f>Reforzamiento!AE40</f>
        <v>0</v>
      </c>
      <c r="H137" s="142"/>
    </row>
    <row r="138" spans="3:8" ht="15.75" thickBot="1" x14ac:dyDescent="0.3">
      <c r="C138" s="115">
        <v>24</v>
      </c>
      <c r="D138" s="118" t="str">
        <f>IE!C41</f>
        <v>PUCHO ALARCON, THIAGO JOSUE</v>
      </c>
      <c r="E138" s="138">
        <f>Reforzamiento!C41</f>
        <v>1</v>
      </c>
      <c r="F138" s="138" t="str">
        <f>Reforzamiento!D41</f>
        <v>B</v>
      </c>
      <c r="G138" s="139">
        <f>Reforzamiento!AE41</f>
        <v>0</v>
      </c>
      <c r="H138" s="143"/>
    </row>
    <row r="139" spans="3:8" x14ac:dyDescent="0.25">
      <c r="C139" s="119">
        <v>25</v>
      </c>
      <c r="D139" s="119" t="str">
        <f>IE!C49</f>
        <v>CCALLE CARDENAS, MARIANA DINA NIEVES</v>
      </c>
      <c r="E139" s="134">
        <f>Reforzamiento!C49</f>
        <v>2</v>
      </c>
      <c r="F139" s="134" t="str">
        <f>Reforzamiento!D49</f>
        <v>A</v>
      </c>
      <c r="G139" s="135">
        <f>Reforzamiento!AE49</f>
        <v>0</v>
      </c>
      <c r="H139" s="141"/>
    </row>
    <row r="140" spans="3:8" x14ac:dyDescent="0.25">
      <c r="C140" s="115">
        <v>26</v>
      </c>
      <c r="D140" s="115" t="str">
        <f>IE!C51</f>
        <v>EDUARDO CARNERO, ARIANNA ALEJANDRA</v>
      </c>
      <c r="E140" s="116">
        <f>Reforzamiento!C51</f>
        <v>2</v>
      </c>
      <c r="F140" s="116" t="str">
        <f>Reforzamiento!D51</f>
        <v>A</v>
      </c>
      <c r="G140" s="117">
        <f>Reforzamiento!AE51</f>
        <v>0</v>
      </c>
      <c r="H140" s="142"/>
    </row>
    <row r="141" spans="3:8" x14ac:dyDescent="0.25">
      <c r="C141" s="115">
        <v>27</v>
      </c>
      <c r="D141" s="115" t="str">
        <f>IE!C53</f>
        <v>HUAMANI CHILO, AMILCAR ALEKEY</v>
      </c>
      <c r="E141" s="116">
        <f>Reforzamiento!C53</f>
        <v>2</v>
      </c>
      <c r="F141" s="116" t="str">
        <f>Reforzamiento!D53</f>
        <v>A</v>
      </c>
      <c r="G141" s="117">
        <f>Reforzamiento!AE53</f>
        <v>0</v>
      </c>
      <c r="H141" s="142"/>
    </row>
    <row r="142" spans="3:8" x14ac:dyDescent="0.25">
      <c r="C142" s="115">
        <v>28</v>
      </c>
      <c r="D142" s="115" t="str">
        <f>IE!C54</f>
        <v>MAMANI QUISPE, JESUS JOSUE ANDRE</v>
      </c>
      <c r="E142" s="116">
        <f>Reforzamiento!C54</f>
        <v>2</v>
      </c>
      <c r="F142" s="116" t="str">
        <f>Reforzamiento!D54</f>
        <v>A</v>
      </c>
      <c r="G142" s="117">
        <f>Reforzamiento!AE54</f>
        <v>0</v>
      </c>
      <c r="H142" s="142">
        <v>8</v>
      </c>
    </row>
    <row r="143" spans="3:8" x14ac:dyDescent="0.25">
      <c r="C143" s="119">
        <v>29</v>
      </c>
      <c r="D143" s="115" t="str">
        <f>IE!C59</f>
        <v>QUISPE SUPO, DAYIRO SEBASTIAN</v>
      </c>
      <c r="E143" s="116">
        <f>Reforzamiento!C59</f>
        <v>2</v>
      </c>
      <c r="F143" s="116" t="str">
        <f>Reforzamiento!D59</f>
        <v>A</v>
      </c>
      <c r="G143" s="117">
        <f>Reforzamiento!AE59</f>
        <v>0</v>
      </c>
      <c r="H143" s="142"/>
    </row>
    <row r="144" spans="3:8" x14ac:dyDescent="0.25">
      <c r="C144" s="115">
        <v>30</v>
      </c>
      <c r="D144" s="115" t="str">
        <f>IE!C61</f>
        <v>TARIFA JULI, JESUS WILLIAN</v>
      </c>
      <c r="E144" s="116">
        <f>Reforzamiento!C61</f>
        <v>2</v>
      </c>
      <c r="F144" s="116" t="str">
        <f>Reforzamiento!D61</f>
        <v>A</v>
      </c>
      <c r="G144" s="117">
        <f>Reforzamiento!AE61</f>
        <v>0</v>
      </c>
      <c r="H144" s="142"/>
    </row>
    <row r="145" spans="3:9" x14ac:dyDescent="0.25">
      <c r="C145" s="115">
        <v>31</v>
      </c>
      <c r="D145" s="115" t="str">
        <f>IE!C63</f>
        <v>VERA MAMANI, FATIMA MIRIELLE</v>
      </c>
      <c r="E145" s="116">
        <f>Reforzamiento!C63</f>
        <v>2</v>
      </c>
      <c r="F145" s="116" t="str">
        <f>Reforzamiento!D63</f>
        <v>A</v>
      </c>
      <c r="G145" s="117">
        <f>Reforzamiento!AE63</f>
        <v>0</v>
      </c>
      <c r="H145" s="142"/>
      <c r="I145" s="144" t="s">
        <v>269</v>
      </c>
    </row>
    <row r="146" spans="3:9" ht="15.75" thickBot="1" x14ac:dyDescent="0.3">
      <c r="C146" s="115">
        <v>32</v>
      </c>
      <c r="D146" s="118" t="str">
        <f>IE!C66</f>
        <v>VILLEGAS OLLACHICA, ADRIANA JULIET ESTHEFANIE</v>
      </c>
      <c r="E146" s="138">
        <f>Reforzamiento!C66</f>
        <v>2</v>
      </c>
      <c r="F146" s="138" t="str">
        <f>Reforzamiento!D66</f>
        <v>A</v>
      </c>
      <c r="G146" s="139">
        <f>Reforzamiento!AE66</f>
        <v>0</v>
      </c>
      <c r="H146" s="143"/>
    </row>
    <row r="147" spans="3:9" x14ac:dyDescent="0.25">
      <c r="C147" s="119">
        <v>33</v>
      </c>
      <c r="D147" s="119" t="str">
        <f>IE!C68</f>
        <v>ARI CCASANI, NADIRA ROUSE</v>
      </c>
      <c r="E147" s="134">
        <f>Reforzamiento!C68</f>
        <v>2</v>
      </c>
      <c r="F147" s="134" t="str">
        <f>Reforzamiento!D68</f>
        <v>B</v>
      </c>
      <c r="G147" s="135">
        <f>Reforzamiento!AE68</f>
        <v>0</v>
      </c>
      <c r="H147" s="141"/>
    </row>
    <row r="148" spans="3:9" x14ac:dyDescent="0.25">
      <c r="C148" s="115">
        <v>34</v>
      </c>
      <c r="D148" s="115" t="str">
        <f>IE!C71</f>
        <v>CAÑARI PUCHO, YEFERSON RUBEN</v>
      </c>
      <c r="E148" s="116">
        <f>Reforzamiento!C71</f>
        <v>2</v>
      </c>
      <c r="F148" s="116" t="str">
        <f>Reforzamiento!D71</f>
        <v>B</v>
      </c>
      <c r="G148" s="117">
        <f>Reforzamiento!AE71</f>
        <v>0</v>
      </c>
      <c r="H148" s="142"/>
    </row>
    <row r="149" spans="3:9" x14ac:dyDescent="0.25">
      <c r="C149" s="115">
        <v>35</v>
      </c>
      <c r="D149" s="115" t="str">
        <f>IE!C75</f>
        <v>GUILLEN GONZALES, IZAMAR NAEDIA</v>
      </c>
      <c r="E149" s="116">
        <f>Reforzamiento!C75</f>
        <v>2</v>
      </c>
      <c r="F149" s="116" t="str">
        <f>Reforzamiento!D75</f>
        <v>B</v>
      </c>
      <c r="G149" s="117">
        <f>Reforzamiento!AE75</f>
        <v>0</v>
      </c>
      <c r="H149" s="142">
        <v>5</v>
      </c>
      <c r="I149" s="144" t="s">
        <v>269</v>
      </c>
    </row>
    <row r="150" spans="3:9" x14ac:dyDescent="0.25">
      <c r="C150" s="115">
        <v>36</v>
      </c>
      <c r="D150" s="115" t="str">
        <f>IE!C76</f>
        <v>HANCCO TITO, GUSTAVO</v>
      </c>
      <c r="E150" s="116">
        <f>Reforzamiento!C76</f>
        <v>2</v>
      </c>
      <c r="F150" s="116" t="str">
        <f>Reforzamiento!D76</f>
        <v>B</v>
      </c>
      <c r="G150" s="117">
        <f>Reforzamiento!AE76</f>
        <v>0</v>
      </c>
      <c r="H150" s="142"/>
    </row>
    <row r="151" spans="3:9" ht="15.75" thickBot="1" x14ac:dyDescent="0.3">
      <c r="C151" s="119">
        <v>37</v>
      </c>
      <c r="D151" s="118" t="str">
        <f>IE!C80</f>
        <v>MAYTA APAZA, EDDU SAMUEL</v>
      </c>
      <c r="E151" s="138">
        <f>Reforzamiento!C80</f>
        <v>2</v>
      </c>
      <c r="F151" s="138" t="str">
        <f>Reforzamiento!D80</f>
        <v>B</v>
      </c>
      <c r="G151" s="139">
        <f>Reforzamiento!AE80</f>
        <v>0</v>
      </c>
      <c r="H151" s="143"/>
    </row>
    <row r="152" spans="3:9" x14ac:dyDescent="0.25">
      <c r="C152" s="115">
        <v>38</v>
      </c>
      <c r="D152" s="119" t="str">
        <f>IE!C91</f>
        <v>APFATA SALHUA, SUMNY SHARON</v>
      </c>
      <c r="E152" s="134">
        <f>Reforzamiento!C91</f>
        <v>3</v>
      </c>
      <c r="F152" s="134" t="str">
        <f>Reforzamiento!D91</f>
        <v>A</v>
      </c>
      <c r="G152" s="135">
        <f>Reforzamiento!AE91</f>
        <v>0</v>
      </c>
      <c r="H152" s="141"/>
    </row>
    <row r="153" spans="3:9" x14ac:dyDescent="0.25">
      <c r="C153" s="115">
        <v>39</v>
      </c>
      <c r="D153" s="115" t="str">
        <f>IE!C92</f>
        <v>CALCINA NUÑEZ, LUANA YAMILE</v>
      </c>
      <c r="E153" s="116">
        <f>Reforzamiento!C92</f>
        <v>3</v>
      </c>
      <c r="F153" s="116" t="str">
        <f>Reforzamiento!D92</f>
        <v>A</v>
      </c>
      <c r="G153" s="117">
        <f>Reforzamiento!AE92</f>
        <v>0</v>
      </c>
      <c r="H153" s="142"/>
    </row>
    <row r="154" spans="3:9" x14ac:dyDescent="0.25">
      <c r="C154" s="115">
        <v>40</v>
      </c>
      <c r="D154" s="115" t="str">
        <f>IE!C94</f>
        <v>CCAMA MAMANI, CRISTOPHER JOSUE</v>
      </c>
      <c r="E154" s="116">
        <f>Reforzamiento!C94</f>
        <v>3</v>
      </c>
      <c r="F154" s="116" t="str">
        <f>Reforzamiento!D94</f>
        <v>A</v>
      </c>
      <c r="G154" s="117">
        <f>Reforzamiento!AE94</f>
        <v>0</v>
      </c>
      <c r="H154" s="142"/>
    </row>
    <row r="155" spans="3:9" x14ac:dyDescent="0.25">
      <c r="C155" s="119">
        <v>41</v>
      </c>
      <c r="D155" s="115" t="str">
        <f>IE!C98</f>
        <v>HANCCO PARI, ZAID DRENY</v>
      </c>
      <c r="E155" s="116">
        <f>Reforzamiento!C98</f>
        <v>3</v>
      </c>
      <c r="F155" s="116" t="str">
        <f>Reforzamiento!D98</f>
        <v>A</v>
      </c>
      <c r="G155" s="117">
        <f>Reforzamiento!AE98</f>
        <v>0</v>
      </c>
      <c r="H155" s="142"/>
    </row>
    <row r="156" spans="3:9" x14ac:dyDescent="0.25">
      <c r="C156" s="115">
        <v>42</v>
      </c>
      <c r="D156" s="115" t="str">
        <f>IE!C99</f>
        <v>HUACARPUMA LLAZA, MARY SAMIRA</v>
      </c>
      <c r="E156" s="116">
        <f>Reforzamiento!C99</f>
        <v>3</v>
      </c>
      <c r="F156" s="116" t="str">
        <f>Reforzamiento!D99</f>
        <v>A</v>
      </c>
      <c r="G156" s="117">
        <f>Reforzamiento!AE99</f>
        <v>0</v>
      </c>
      <c r="H156" s="142">
        <v>10</v>
      </c>
    </row>
    <row r="157" spans="3:9" x14ac:dyDescent="0.25">
      <c r="C157" s="115">
        <v>43</v>
      </c>
      <c r="D157" s="115" t="str">
        <f>IE!C103</f>
        <v>PUCHO ANCCORI, ADRIAN ERICK</v>
      </c>
      <c r="E157" s="116">
        <f>Reforzamiento!C103</f>
        <v>3</v>
      </c>
      <c r="F157" s="116" t="str">
        <f>Reforzamiento!D103</f>
        <v>A</v>
      </c>
      <c r="G157" s="117">
        <f>Reforzamiento!AE103</f>
        <v>0</v>
      </c>
      <c r="H157" s="142"/>
    </row>
    <row r="158" spans="3:9" x14ac:dyDescent="0.25">
      <c r="C158" s="115">
        <v>44</v>
      </c>
      <c r="D158" s="115" t="str">
        <f>IE!C105</f>
        <v>QUISPE GUTIERREZ, LIONEL OZIL</v>
      </c>
      <c r="E158" s="116">
        <f>Reforzamiento!C105</f>
        <v>3</v>
      </c>
      <c r="F158" s="116" t="str">
        <f>Reforzamiento!D105</f>
        <v>A</v>
      </c>
      <c r="G158" s="117">
        <f>Reforzamiento!AE105</f>
        <v>0</v>
      </c>
      <c r="H158" s="142"/>
    </row>
    <row r="159" spans="3:9" x14ac:dyDescent="0.25">
      <c r="C159" s="119">
        <v>45</v>
      </c>
      <c r="D159" s="115" t="str">
        <f>IE!C106</f>
        <v>RODRIGUEZ APAZA, NURIA LIZ</v>
      </c>
      <c r="E159" s="116">
        <f>Reforzamiento!C106</f>
        <v>3</v>
      </c>
      <c r="F159" s="116" t="str">
        <f>Reforzamiento!D106</f>
        <v>A</v>
      </c>
      <c r="G159" s="117">
        <f>Reforzamiento!AE106</f>
        <v>0</v>
      </c>
      <c r="H159" s="142"/>
    </row>
    <row r="160" spans="3:9" x14ac:dyDescent="0.25">
      <c r="C160" s="115">
        <v>46</v>
      </c>
      <c r="D160" s="115" t="str">
        <f>IE!C107</f>
        <v>SUAREZ CALLE, ELIZABETH ALEXANDRA</v>
      </c>
      <c r="E160" s="116">
        <f>Reforzamiento!C107</f>
        <v>3</v>
      </c>
      <c r="F160" s="116" t="str">
        <f>Reforzamiento!D107</f>
        <v>A</v>
      </c>
      <c r="G160" s="117">
        <f>Reforzamiento!AE107</f>
        <v>0</v>
      </c>
      <c r="H160" s="142"/>
      <c r="I160" s="144" t="s">
        <v>269</v>
      </c>
    </row>
    <row r="161" spans="3:9" ht="15.75" thickBot="1" x14ac:dyDescent="0.3">
      <c r="C161" s="115">
        <v>47</v>
      </c>
      <c r="D161" s="118" t="str">
        <f>IE!C108</f>
        <v>TACO CHAVEZ, VICENTE ZHAID</v>
      </c>
      <c r="E161" s="138">
        <f>Reforzamiento!C108</f>
        <v>3</v>
      </c>
      <c r="F161" s="138" t="str">
        <f>Reforzamiento!D108</f>
        <v>A</v>
      </c>
      <c r="G161" s="139">
        <f>Reforzamiento!AE108</f>
        <v>0</v>
      </c>
      <c r="H161" s="143"/>
    </row>
    <row r="162" spans="3:9" x14ac:dyDescent="0.25">
      <c r="C162" s="115">
        <v>48</v>
      </c>
      <c r="D162" s="119" t="str">
        <f>IE!C110</f>
        <v>AROTAIPE HUAIROCCACYA, YERITZA NOEMI</v>
      </c>
      <c r="E162" s="134">
        <f>Reforzamiento!C110</f>
        <v>3</v>
      </c>
      <c r="F162" s="134" t="str">
        <f>Reforzamiento!D110</f>
        <v>B</v>
      </c>
      <c r="G162" s="135">
        <f>Reforzamiento!AE110</f>
        <v>0</v>
      </c>
      <c r="H162" s="141"/>
    </row>
    <row r="163" spans="3:9" x14ac:dyDescent="0.25">
      <c r="C163" s="119">
        <v>49</v>
      </c>
      <c r="D163" s="115" t="str">
        <f>IE!C111</f>
        <v>CABRERA CCAMA, SANDY CAMILA</v>
      </c>
      <c r="E163" s="116">
        <f>Reforzamiento!C111</f>
        <v>3</v>
      </c>
      <c r="F163" s="116" t="str">
        <f>Reforzamiento!D111</f>
        <v>B</v>
      </c>
      <c r="G163" s="117">
        <f>Reforzamiento!AE111</f>
        <v>0</v>
      </c>
      <c r="H163" s="142"/>
    </row>
    <row r="164" spans="3:9" x14ac:dyDescent="0.25">
      <c r="C164" s="115">
        <v>50</v>
      </c>
      <c r="D164" s="115" t="str">
        <f>IE!C112</f>
        <v>CALSIN VILCA, LEONEL FRANCO</v>
      </c>
      <c r="E164" s="116">
        <f>Reforzamiento!C112</f>
        <v>3</v>
      </c>
      <c r="F164" s="116" t="str">
        <f>Reforzamiento!D112</f>
        <v>B</v>
      </c>
      <c r="G164" s="117">
        <f>Reforzamiento!AE112</f>
        <v>0</v>
      </c>
      <c r="H164" s="142"/>
    </row>
    <row r="165" spans="3:9" x14ac:dyDescent="0.25">
      <c r="C165" s="115">
        <v>51</v>
      </c>
      <c r="D165" s="115" t="str">
        <f>IE!C115</f>
        <v>CCAÑAHUA MENDOZA, JAZMIN ESTHER</v>
      </c>
      <c r="E165" s="116">
        <f>Reforzamiento!C115</f>
        <v>3</v>
      </c>
      <c r="F165" s="116" t="str">
        <f>Reforzamiento!D115</f>
        <v>B</v>
      </c>
      <c r="G165" s="117">
        <f>Reforzamiento!AE115</f>
        <v>0</v>
      </c>
      <c r="H165" s="142"/>
    </row>
    <row r="166" spans="3:9" x14ac:dyDescent="0.25">
      <c r="C166" s="115">
        <v>52</v>
      </c>
      <c r="D166" s="115" t="str">
        <f>IE!C119</f>
        <v>LIMACHE SANDILLA, LUIS ALFREDO</v>
      </c>
      <c r="E166" s="116">
        <f>Reforzamiento!C119</f>
        <v>3</v>
      </c>
      <c r="F166" s="116" t="str">
        <f>Reforzamiento!D119</f>
        <v>B</v>
      </c>
      <c r="G166" s="117">
        <f>Reforzamiento!AE119</f>
        <v>0</v>
      </c>
      <c r="H166" s="142"/>
    </row>
    <row r="167" spans="3:9" x14ac:dyDescent="0.25">
      <c r="C167" s="119">
        <v>53</v>
      </c>
      <c r="D167" s="115" t="str">
        <f>IE!C122</f>
        <v>MAMANI VILCA, RODERICK DAVID</v>
      </c>
      <c r="E167" s="116">
        <f>Reforzamiento!C122</f>
        <v>3</v>
      </c>
      <c r="F167" s="116" t="str">
        <f>Reforzamiento!D122</f>
        <v>B</v>
      </c>
      <c r="G167" s="117">
        <f>Reforzamiento!AE122</f>
        <v>0</v>
      </c>
      <c r="H167" s="142">
        <v>10</v>
      </c>
    </row>
    <row r="168" spans="3:9" x14ac:dyDescent="0.25">
      <c r="C168" s="115">
        <v>54</v>
      </c>
      <c r="D168" s="115" t="str">
        <f>IE!C126</f>
        <v>QUISPE TORRES, YENIFER KATHERINE</v>
      </c>
      <c r="E168" s="116">
        <f>Reforzamiento!C126</f>
        <v>3</v>
      </c>
      <c r="F168" s="116" t="str">
        <f>Reforzamiento!D126</f>
        <v>B</v>
      </c>
      <c r="G168" s="117">
        <f>Reforzamiento!AE126</f>
        <v>0</v>
      </c>
      <c r="H168" s="142"/>
      <c r="I168" s="144" t="s">
        <v>269</v>
      </c>
    </row>
    <row r="169" spans="3:9" x14ac:dyDescent="0.25">
      <c r="C169" s="115">
        <v>55</v>
      </c>
      <c r="D169" s="115" t="str">
        <f>IE!C127</f>
        <v>TORRES AYMA, LIZETH</v>
      </c>
      <c r="E169" s="116">
        <f>Reforzamiento!C127</f>
        <v>3</v>
      </c>
      <c r="F169" s="116" t="str">
        <f>Reforzamiento!D127</f>
        <v>B</v>
      </c>
      <c r="G169" s="117">
        <f>Reforzamiento!AE127</f>
        <v>0</v>
      </c>
      <c r="H169" s="142"/>
    </row>
    <row r="170" spans="3:9" x14ac:dyDescent="0.25">
      <c r="C170" s="115">
        <v>56</v>
      </c>
      <c r="D170" s="115" t="str">
        <f>IE!C129</f>
        <v>VILCA COLQUE, MILAGROS GUADALUPE</v>
      </c>
      <c r="E170" s="116">
        <f>Reforzamiento!C129</f>
        <v>3</v>
      </c>
      <c r="F170" s="116" t="str">
        <f>Reforzamiento!D129</f>
        <v>B</v>
      </c>
      <c r="G170" s="117">
        <f>Reforzamiento!AE129</f>
        <v>0</v>
      </c>
      <c r="H170" s="142"/>
    </row>
    <row r="171" spans="3:9" ht="15.75" thickBot="1" x14ac:dyDescent="0.3">
      <c r="C171" s="119">
        <v>57</v>
      </c>
      <c r="D171" s="118" t="str">
        <f>IE!C130</f>
        <v>VILLANUEVA CHAVEZ, GUSTAVO ARTURO</v>
      </c>
      <c r="E171" s="138">
        <f>Reforzamiento!C130</f>
        <v>3</v>
      </c>
      <c r="F171" s="138" t="str">
        <f>Reforzamiento!D130</f>
        <v>B</v>
      </c>
      <c r="G171" s="139">
        <f>Reforzamiento!AE130</f>
        <v>0</v>
      </c>
      <c r="H171" s="143"/>
    </row>
    <row r="172" spans="3:9" x14ac:dyDescent="0.25">
      <c r="C172" s="115">
        <v>58</v>
      </c>
      <c r="D172" s="119" t="str">
        <f>IE!C131</f>
        <v>ANDIA PUMACALLAHUI, ANDRE STEBEN</v>
      </c>
      <c r="E172" s="134">
        <f>Reforzamiento!C131</f>
        <v>4</v>
      </c>
      <c r="F172" s="134" t="str">
        <f>Reforzamiento!D131</f>
        <v>A</v>
      </c>
      <c r="G172" s="135">
        <f>Reforzamiento!AE131</f>
        <v>0</v>
      </c>
      <c r="H172" s="141"/>
    </row>
    <row r="173" spans="3:9" x14ac:dyDescent="0.25">
      <c r="C173" s="115">
        <v>59</v>
      </c>
      <c r="D173" s="115" t="str">
        <f>IE!C132</f>
        <v>APAZA MERMA, SERGIO ANDRE</v>
      </c>
      <c r="E173" s="116">
        <f>Reforzamiento!C132</f>
        <v>4</v>
      </c>
      <c r="F173" s="116" t="str">
        <f>Reforzamiento!D132</f>
        <v>A</v>
      </c>
      <c r="G173" s="117">
        <f>Reforzamiento!AE132</f>
        <v>0</v>
      </c>
      <c r="H173" s="142"/>
    </row>
    <row r="174" spans="3:9" x14ac:dyDescent="0.25">
      <c r="C174" s="115">
        <v>60</v>
      </c>
      <c r="D174" s="115" t="str">
        <f>IE!C134</f>
        <v>CCALLE CARDENAS, KINA LUZ DIANA</v>
      </c>
      <c r="E174" s="116">
        <f>Reforzamiento!C134</f>
        <v>4</v>
      </c>
      <c r="F174" s="116" t="str">
        <f>Reforzamiento!D134</f>
        <v>A</v>
      </c>
      <c r="G174" s="117">
        <f>Reforzamiento!AE134</f>
        <v>0</v>
      </c>
      <c r="H174" s="142"/>
      <c r="I174" s="144" t="s">
        <v>269</v>
      </c>
    </row>
    <row r="175" spans="3:9" x14ac:dyDescent="0.25">
      <c r="C175" s="119">
        <v>61</v>
      </c>
      <c r="D175" s="115" t="str">
        <f>IE!C136</f>
        <v>COHARI NOÑONCCA, DANYELLEN CLARIVETH</v>
      </c>
      <c r="E175" s="116">
        <f>Reforzamiento!C136</f>
        <v>4</v>
      </c>
      <c r="F175" s="116" t="str">
        <f>Reforzamiento!D136</f>
        <v>A</v>
      </c>
      <c r="G175" s="117">
        <f>Reforzamiento!AE136</f>
        <v>0</v>
      </c>
      <c r="H175" s="142"/>
    </row>
    <row r="176" spans="3:9" x14ac:dyDescent="0.25">
      <c r="C176" s="115">
        <v>62</v>
      </c>
      <c r="D176" s="115" t="str">
        <f>IE!C138</f>
        <v>CRUZ CALLASACA, ABIGAIL NATHALY</v>
      </c>
      <c r="E176" s="116">
        <f>Reforzamiento!C138</f>
        <v>4</v>
      </c>
      <c r="F176" s="116" t="str">
        <f>Reforzamiento!D138</f>
        <v>A</v>
      </c>
      <c r="G176" s="117">
        <f>Reforzamiento!AE138</f>
        <v>0</v>
      </c>
      <c r="H176" s="142"/>
    </row>
    <row r="177" spans="3:9" x14ac:dyDescent="0.25">
      <c r="C177" s="115">
        <v>63</v>
      </c>
      <c r="D177" s="115" t="str">
        <f>IE!C144</f>
        <v>QUISPE CCOLLA, YEYZON RONALDO</v>
      </c>
      <c r="E177" s="116">
        <f>Reforzamiento!C144</f>
        <v>4</v>
      </c>
      <c r="F177" s="116" t="str">
        <f>Reforzamiento!D144</f>
        <v>A</v>
      </c>
      <c r="G177" s="117">
        <f>Reforzamiento!AE144</f>
        <v>0</v>
      </c>
      <c r="H177" s="142">
        <v>11</v>
      </c>
    </row>
    <row r="178" spans="3:9" x14ac:dyDescent="0.25">
      <c r="C178" s="115">
        <v>64</v>
      </c>
      <c r="D178" s="115" t="str">
        <f>IE!C145</f>
        <v>QUISPE MOLINA, JESUS HILARION</v>
      </c>
      <c r="E178" s="116">
        <f>Reforzamiento!C145</f>
        <v>4</v>
      </c>
      <c r="F178" s="116" t="str">
        <f>Reforzamiento!D145</f>
        <v>A</v>
      </c>
      <c r="G178" s="117">
        <f>Reforzamiento!AE145</f>
        <v>0</v>
      </c>
      <c r="H178" s="142"/>
    </row>
    <row r="179" spans="3:9" x14ac:dyDescent="0.25">
      <c r="C179" s="119">
        <v>65</v>
      </c>
      <c r="D179" s="115" t="str">
        <f>IE!C149</f>
        <v>SURI MAMANI, SERGIO ALEJANDRO</v>
      </c>
      <c r="E179" s="116">
        <f>Reforzamiento!C149</f>
        <v>4</v>
      </c>
      <c r="F179" s="116" t="str">
        <f>Reforzamiento!D149</f>
        <v>A</v>
      </c>
      <c r="G179" s="117">
        <f>Reforzamiento!AE149</f>
        <v>0</v>
      </c>
      <c r="H179" s="142"/>
    </row>
    <row r="180" spans="3:9" x14ac:dyDescent="0.25">
      <c r="C180" s="115">
        <v>66</v>
      </c>
      <c r="D180" s="115" t="str">
        <f>IE!C151</f>
        <v>VARGAS VELAZCO, LUIS ENRIQUE</v>
      </c>
      <c r="E180" s="116">
        <f>Reforzamiento!C151</f>
        <v>4</v>
      </c>
      <c r="F180" s="116" t="str">
        <f>Reforzamiento!D151</f>
        <v>A</v>
      </c>
      <c r="G180" s="117">
        <f>Reforzamiento!AE151</f>
        <v>0</v>
      </c>
      <c r="H180" s="142"/>
    </row>
    <row r="181" spans="3:9" x14ac:dyDescent="0.25">
      <c r="C181" s="115">
        <v>67</v>
      </c>
      <c r="D181" s="115" t="str">
        <f>IE!C152</f>
        <v>VELARDE ARI, CRHISTIAN FERNANDO</v>
      </c>
      <c r="E181" s="116">
        <f>Reforzamiento!C152</f>
        <v>4</v>
      </c>
      <c r="F181" s="116" t="str">
        <f>Reforzamiento!D152</f>
        <v>A</v>
      </c>
      <c r="G181" s="117">
        <f>Reforzamiento!AE152</f>
        <v>0</v>
      </c>
      <c r="H181" s="142"/>
      <c r="I181" s="144"/>
    </row>
    <row r="182" spans="3:9" ht="15.75" thickBot="1" x14ac:dyDescent="0.3">
      <c r="C182" s="115">
        <v>68</v>
      </c>
      <c r="D182" s="118" t="str">
        <f>IE!C153</f>
        <v>YAURIS GAMBOA, SHANDE LEONARDO</v>
      </c>
      <c r="E182" s="138">
        <f>Reforzamiento!C153</f>
        <v>4</v>
      </c>
      <c r="F182" s="138" t="str">
        <f>Reforzamiento!D153</f>
        <v>A</v>
      </c>
      <c r="G182" s="139">
        <f>Reforzamiento!AE153</f>
        <v>0</v>
      </c>
      <c r="H182" s="143"/>
    </row>
    <row r="183" spans="3:9" x14ac:dyDescent="0.25">
      <c r="C183" s="119">
        <v>69</v>
      </c>
      <c r="D183" s="119" t="str">
        <f>IE!C155</f>
        <v>ALMIRON HUANCA, EDDY DANTE</v>
      </c>
      <c r="E183" s="134">
        <f>Reforzamiento!C155</f>
        <v>4</v>
      </c>
      <c r="F183" s="134" t="str">
        <f>Reforzamiento!D155</f>
        <v>B</v>
      </c>
      <c r="G183" s="135">
        <f>Reforzamiento!AE155</f>
        <v>0</v>
      </c>
      <c r="H183" s="141"/>
    </row>
    <row r="184" spans="3:9" x14ac:dyDescent="0.25">
      <c r="C184" s="115">
        <v>70</v>
      </c>
      <c r="D184" s="115" t="str">
        <f>IE!C156</f>
        <v>ALMORA CHIRE, RENZO LEONARDO</v>
      </c>
      <c r="E184" s="116">
        <f>Reforzamiento!C156</f>
        <v>4</v>
      </c>
      <c r="F184" s="116" t="str">
        <f>Reforzamiento!D156</f>
        <v>B</v>
      </c>
      <c r="G184" s="117">
        <f>Reforzamiento!AE156</f>
        <v>0</v>
      </c>
      <c r="H184" s="142"/>
    </row>
    <row r="185" spans="3:9" x14ac:dyDescent="0.25">
      <c r="C185" s="115">
        <v>71</v>
      </c>
      <c r="D185" s="115" t="str">
        <f>IE!C157</f>
        <v>ANTON SILVA, CRISTHOFER LEONEL</v>
      </c>
      <c r="E185" s="116">
        <f>Reforzamiento!C157</f>
        <v>4</v>
      </c>
      <c r="F185" s="116" t="str">
        <f>Reforzamiento!D157</f>
        <v>B</v>
      </c>
      <c r="G185" s="117">
        <f>Reforzamiento!AE157</f>
        <v>0</v>
      </c>
      <c r="H185" s="142"/>
      <c r="I185" s="144" t="s">
        <v>269</v>
      </c>
    </row>
    <row r="186" spans="3:9" x14ac:dyDescent="0.25">
      <c r="C186" s="115">
        <v>72</v>
      </c>
      <c r="D186" s="115" t="str">
        <f>IE!C158</f>
        <v>AVILA GUTIERREZ, KATHIA KEILYN</v>
      </c>
      <c r="E186" s="116">
        <f>Reforzamiento!C158</f>
        <v>4</v>
      </c>
      <c r="F186" s="116" t="str">
        <f>Reforzamiento!D158</f>
        <v>B</v>
      </c>
      <c r="G186" s="117">
        <f>Reforzamiento!AE158</f>
        <v>0</v>
      </c>
      <c r="H186" s="142"/>
    </row>
    <row r="187" spans="3:9" x14ac:dyDescent="0.25">
      <c r="C187" s="119">
        <v>73</v>
      </c>
      <c r="D187" s="115" t="str">
        <f>IE!C159</f>
        <v>AYMARA TORRES, HEYDI LUCIA</v>
      </c>
      <c r="E187" s="116">
        <f>Reforzamiento!C159</f>
        <v>4</v>
      </c>
      <c r="F187" s="116" t="str">
        <f>Reforzamiento!D159</f>
        <v>B</v>
      </c>
      <c r="G187" s="117">
        <f>Reforzamiento!AE159</f>
        <v>0</v>
      </c>
      <c r="H187" s="142"/>
      <c r="I187" s="144" t="s">
        <v>269</v>
      </c>
    </row>
    <row r="188" spans="3:9" x14ac:dyDescent="0.25">
      <c r="C188" s="115">
        <v>74</v>
      </c>
      <c r="D188" s="115" t="str">
        <f>IE!C160</f>
        <v>CAHUANA PAUCAR, SHIOMARA ALEJANDRA</v>
      </c>
      <c r="E188" s="116">
        <f>Reforzamiento!C160</f>
        <v>4</v>
      </c>
      <c r="F188" s="116" t="str">
        <f>Reforzamiento!D160</f>
        <v>B</v>
      </c>
      <c r="G188" s="117">
        <f>Reforzamiento!AE160</f>
        <v>0</v>
      </c>
      <c r="H188" s="142"/>
      <c r="I188" s="144" t="s">
        <v>269</v>
      </c>
    </row>
    <row r="189" spans="3:9" x14ac:dyDescent="0.25">
      <c r="C189" s="115">
        <v>75</v>
      </c>
      <c r="D189" s="115" t="str">
        <f>IE!C161</f>
        <v>CALSINA VALENCIA, LINDA DAMITA</v>
      </c>
      <c r="E189" s="116">
        <f>Reforzamiento!C161</f>
        <v>4</v>
      </c>
      <c r="F189" s="116" t="str">
        <f>Reforzamiento!D161</f>
        <v>B</v>
      </c>
      <c r="G189" s="117">
        <f>Reforzamiento!AE161</f>
        <v>0</v>
      </c>
      <c r="H189" s="142"/>
      <c r="I189" s="144" t="s">
        <v>269</v>
      </c>
    </row>
    <row r="190" spans="3:9" x14ac:dyDescent="0.25">
      <c r="C190" s="115">
        <v>76</v>
      </c>
      <c r="D190" s="115" t="str">
        <f>IE!C162</f>
        <v>CAÑARI PUCHO, BREYCA FLOR</v>
      </c>
      <c r="E190" s="116">
        <f>Reforzamiento!C162</f>
        <v>4</v>
      </c>
      <c r="F190" s="116" t="str">
        <f>Reforzamiento!D162</f>
        <v>B</v>
      </c>
      <c r="G190" s="117">
        <f>Reforzamiento!AE162</f>
        <v>0</v>
      </c>
      <c r="H190" s="142"/>
      <c r="I190" s="144" t="s">
        <v>269</v>
      </c>
    </row>
    <row r="191" spans="3:9" x14ac:dyDescent="0.25">
      <c r="C191" s="119">
        <v>77</v>
      </c>
      <c r="D191" s="115" t="str">
        <f>IE!C165</f>
        <v>DE LA CRUZ ALVAREZ, ROSITA ALEJANDRA</v>
      </c>
      <c r="E191" s="116">
        <f>Reforzamiento!C165</f>
        <v>4</v>
      </c>
      <c r="F191" s="116" t="str">
        <f>Reforzamiento!D165</f>
        <v>B</v>
      </c>
      <c r="G191" s="117">
        <f>Reforzamiento!AE165</f>
        <v>0</v>
      </c>
      <c r="H191" s="142">
        <v>17</v>
      </c>
    </row>
    <row r="192" spans="3:9" x14ac:dyDescent="0.25">
      <c r="C192" s="115">
        <v>78</v>
      </c>
      <c r="D192" s="115" t="str">
        <f>IE!C167</f>
        <v>GARCIA APAZA, LUZ ALEJANDRA</v>
      </c>
      <c r="E192" s="116">
        <f>Reforzamiento!C167</f>
        <v>4</v>
      </c>
      <c r="F192" s="116" t="str">
        <f>Reforzamiento!D167</f>
        <v>B</v>
      </c>
      <c r="G192" s="117">
        <f>Reforzamiento!AE167</f>
        <v>0</v>
      </c>
      <c r="H192" s="142"/>
      <c r="I192" s="144" t="s">
        <v>269</v>
      </c>
    </row>
    <row r="193" spans="3:9" x14ac:dyDescent="0.25">
      <c r="C193" s="115">
        <v>79</v>
      </c>
      <c r="D193" s="115" t="str">
        <f>IE!C168</f>
        <v>GONZALES FLORES, JEAN POOL ALEXANDER</v>
      </c>
      <c r="E193" s="116">
        <f>Reforzamiento!C168</f>
        <v>4</v>
      </c>
      <c r="F193" s="116" t="str">
        <f>Reforzamiento!D168</f>
        <v>B</v>
      </c>
      <c r="G193" s="117">
        <f>Reforzamiento!AE168</f>
        <v>0</v>
      </c>
      <c r="H193" s="142"/>
    </row>
    <row r="194" spans="3:9" x14ac:dyDescent="0.25">
      <c r="C194" s="115">
        <v>80</v>
      </c>
      <c r="D194" s="115" t="str">
        <f>IE!C169</f>
        <v>LAURA MAYTA, LUIS ARMANDO</v>
      </c>
      <c r="E194" s="116">
        <f>Reforzamiento!C169</f>
        <v>4</v>
      </c>
      <c r="F194" s="116" t="str">
        <f>Reforzamiento!D169</f>
        <v>B</v>
      </c>
      <c r="G194" s="117">
        <f>Reforzamiento!AE169</f>
        <v>0</v>
      </c>
      <c r="H194" s="142"/>
    </row>
    <row r="195" spans="3:9" x14ac:dyDescent="0.25">
      <c r="C195" s="119">
        <v>81</v>
      </c>
      <c r="D195" s="115" t="str">
        <f>IE!C173</f>
        <v>PALOMINO HUAYTA, ANAHI GLENDY</v>
      </c>
      <c r="E195" s="116">
        <f>Reforzamiento!C173</f>
        <v>4</v>
      </c>
      <c r="F195" s="116" t="str">
        <f>Reforzamiento!D173</f>
        <v>B</v>
      </c>
      <c r="G195" s="117">
        <f>Reforzamiento!AE173</f>
        <v>0</v>
      </c>
      <c r="H195" s="142"/>
    </row>
    <row r="196" spans="3:9" x14ac:dyDescent="0.25">
      <c r="C196" s="115">
        <v>82</v>
      </c>
      <c r="D196" s="115" t="str">
        <f>IE!C175</f>
        <v>QUISPE SENCIA, MAYERLY SOFIA</v>
      </c>
      <c r="E196" s="116">
        <f>Reforzamiento!C175</f>
        <v>4</v>
      </c>
      <c r="F196" s="116" t="str">
        <f>Reforzamiento!D175</f>
        <v>B</v>
      </c>
      <c r="G196" s="117">
        <f>Reforzamiento!AE175</f>
        <v>0</v>
      </c>
      <c r="H196" s="142"/>
    </row>
    <row r="197" spans="3:9" x14ac:dyDescent="0.25">
      <c r="C197" s="115">
        <v>83</v>
      </c>
      <c r="D197" s="115" t="str">
        <f>IE!C176</f>
        <v>QUISPE TURPO, DAMARIS XIOMARA</v>
      </c>
      <c r="E197" s="116">
        <f>Reforzamiento!C176</f>
        <v>4</v>
      </c>
      <c r="F197" s="116" t="str">
        <f>Reforzamiento!D176</f>
        <v>B</v>
      </c>
      <c r="G197" s="117">
        <f>Reforzamiento!AE176</f>
        <v>0</v>
      </c>
      <c r="H197" s="142"/>
    </row>
    <row r="198" spans="3:9" x14ac:dyDescent="0.25">
      <c r="C198" s="115">
        <v>84</v>
      </c>
      <c r="D198" s="115" t="str">
        <f>IE!C177</f>
        <v>SULLCA HUILLCA, CAREN MELISSA</v>
      </c>
      <c r="E198" s="116">
        <f>Reforzamiento!C177</f>
        <v>4</v>
      </c>
      <c r="F198" s="116" t="str">
        <f>Reforzamiento!D177</f>
        <v>B</v>
      </c>
      <c r="G198" s="117">
        <f>Reforzamiento!AE177</f>
        <v>0</v>
      </c>
      <c r="H198" s="142"/>
    </row>
    <row r="199" spans="3:9" ht="15.75" thickBot="1" x14ac:dyDescent="0.3">
      <c r="C199" s="119">
        <v>85</v>
      </c>
      <c r="D199" s="118" t="str">
        <f>IE!C178</f>
        <v>YUCRA QUISPE, CRISTINA GUADALUPE</v>
      </c>
      <c r="E199" s="138">
        <f>Reforzamiento!C178</f>
        <v>4</v>
      </c>
      <c r="F199" s="138" t="str">
        <f>Reforzamiento!D178</f>
        <v>B</v>
      </c>
      <c r="G199" s="139">
        <f>Reforzamiento!AE178</f>
        <v>0</v>
      </c>
      <c r="H199" s="143"/>
    </row>
    <row r="200" spans="3:9" x14ac:dyDescent="0.25">
      <c r="C200" s="115">
        <v>86</v>
      </c>
      <c r="D200" s="119" t="str">
        <f>IE!C179</f>
        <v>ALFARO PARISUAÑA, MADELEY XIOMARA</v>
      </c>
      <c r="E200" s="134">
        <f>Reforzamiento!C179</f>
        <v>5</v>
      </c>
      <c r="F200" s="134" t="str">
        <f>Reforzamiento!D179</f>
        <v>A</v>
      </c>
      <c r="G200" s="135">
        <f>Reforzamiento!AE179</f>
        <v>0</v>
      </c>
      <c r="H200" s="141"/>
    </row>
    <row r="201" spans="3:9" x14ac:dyDescent="0.25">
      <c r="C201" s="115">
        <v>87</v>
      </c>
      <c r="D201" s="115" t="str">
        <f>IE!C180</f>
        <v>ALVO SANDILLA, DAYANA ROSHELL</v>
      </c>
      <c r="E201" s="116">
        <f>Reforzamiento!C180</f>
        <v>5</v>
      </c>
      <c r="F201" s="116" t="str">
        <f>Reforzamiento!D180</f>
        <v>A</v>
      </c>
      <c r="G201" s="117">
        <f>Reforzamiento!AE180</f>
        <v>0</v>
      </c>
      <c r="H201" s="142"/>
    </row>
    <row r="202" spans="3:9" x14ac:dyDescent="0.25">
      <c r="C202" s="115">
        <v>88</v>
      </c>
      <c r="D202" s="115" t="str">
        <f>IE!C183</f>
        <v>CABRERA CCAMA, ARIANA ASDRID</v>
      </c>
      <c r="E202" s="116">
        <f>Reforzamiento!C183</f>
        <v>5</v>
      </c>
      <c r="F202" s="116" t="str">
        <f>Reforzamiento!D183</f>
        <v>A</v>
      </c>
      <c r="G202" s="117">
        <f>Reforzamiento!AE183</f>
        <v>0</v>
      </c>
      <c r="H202" s="142"/>
    </row>
    <row r="203" spans="3:9" x14ac:dyDescent="0.25">
      <c r="C203" s="119">
        <v>89</v>
      </c>
      <c r="D203" s="115" t="str">
        <f>IE!C184</f>
        <v>CALCINA NUÑEZ, GILMAR JAIR</v>
      </c>
      <c r="E203" s="116">
        <f>Reforzamiento!C184</f>
        <v>5</v>
      </c>
      <c r="F203" s="116" t="str">
        <f>Reforzamiento!D184</f>
        <v>A</v>
      </c>
      <c r="G203" s="117">
        <f>Reforzamiento!AE184</f>
        <v>0</v>
      </c>
      <c r="H203" s="142"/>
    </row>
    <row r="204" spans="3:9" x14ac:dyDescent="0.25">
      <c r="C204" s="115">
        <v>90</v>
      </c>
      <c r="D204" s="115" t="str">
        <f>IE!C187</f>
        <v>CAÑARI CAÑARI, DINA ABIGAIL</v>
      </c>
      <c r="E204" s="116">
        <f>Reforzamiento!C187</f>
        <v>5</v>
      </c>
      <c r="F204" s="116" t="str">
        <f>Reforzamiento!D187</f>
        <v>A</v>
      </c>
      <c r="G204" s="117">
        <f>Reforzamiento!AE187</f>
        <v>0</v>
      </c>
      <c r="H204" s="142"/>
    </row>
    <row r="205" spans="3:9" x14ac:dyDescent="0.25">
      <c r="C205" s="115">
        <v>91</v>
      </c>
      <c r="D205" s="115" t="str">
        <f>IE!C188</f>
        <v>CCOMPI ANDRADE, MARIA ALEJANDRA</v>
      </c>
      <c r="E205" s="116">
        <f>Reforzamiento!C188</f>
        <v>5</v>
      </c>
      <c r="F205" s="116" t="str">
        <f>Reforzamiento!D188</f>
        <v>A</v>
      </c>
      <c r="G205" s="117">
        <f>Reforzamiento!AE188</f>
        <v>0</v>
      </c>
      <c r="H205" s="142"/>
      <c r="I205" s="144" t="s">
        <v>269</v>
      </c>
    </row>
    <row r="206" spans="3:9" x14ac:dyDescent="0.25">
      <c r="C206" s="115">
        <v>92</v>
      </c>
      <c r="D206" s="115" t="str">
        <f>IE!C189</f>
        <v>CCORI PACCAYA, YENI</v>
      </c>
      <c r="E206" s="116">
        <f>Reforzamiento!C189</f>
        <v>5</v>
      </c>
      <c r="F206" s="116" t="str">
        <f>Reforzamiento!D189</f>
        <v>A</v>
      </c>
      <c r="G206" s="117">
        <f>Reforzamiento!AE189</f>
        <v>0</v>
      </c>
      <c r="H206" s="142"/>
    </row>
    <row r="207" spans="3:9" x14ac:dyDescent="0.25">
      <c r="C207" s="119">
        <v>93</v>
      </c>
      <c r="D207" s="115" t="str">
        <f>IE!C190</f>
        <v>CERPA VALDIVIA, CESAR FABRICIO</v>
      </c>
      <c r="E207" s="116">
        <f>Reforzamiento!C190</f>
        <v>5</v>
      </c>
      <c r="F207" s="116" t="str">
        <f>Reforzamiento!D190</f>
        <v>A</v>
      </c>
      <c r="G207" s="117">
        <f>Reforzamiento!AE190</f>
        <v>0</v>
      </c>
      <c r="H207" s="142"/>
    </row>
    <row r="208" spans="3:9" x14ac:dyDescent="0.25">
      <c r="C208" s="115">
        <v>94</v>
      </c>
      <c r="D208" s="115" t="str">
        <f>IE!C191</f>
        <v>CERPA VALDIVIA, GUADALUPE AYMAR</v>
      </c>
      <c r="E208" s="116">
        <f>Reforzamiento!C191</f>
        <v>5</v>
      </c>
      <c r="F208" s="116" t="str">
        <f>Reforzamiento!D191</f>
        <v>A</v>
      </c>
      <c r="G208" s="117">
        <f>Reforzamiento!AE191</f>
        <v>0</v>
      </c>
      <c r="H208" s="142"/>
    </row>
    <row r="209" spans="3:9" x14ac:dyDescent="0.25">
      <c r="C209" s="115">
        <v>95</v>
      </c>
      <c r="D209" s="115" t="str">
        <f>IE!C192</f>
        <v>CERPA VALDIVIA, KAROL MILAGROS</v>
      </c>
      <c r="E209" s="116">
        <f>Reforzamiento!C192</f>
        <v>5</v>
      </c>
      <c r="F209" s="116" t="str">
        <f>Reforzamiento!D192</f>
        <v>A</v>
      </c>
      <c r="G209" s="117">
        <f>Reforzamiento!AE192</f>
        <v>0</v>
      </c>
      <c r="H209" s="142">
        <v>19</v>
      </c>
    </row>
    <row r="210" spans="3:9" x14ac:dyDescent="0.25">
      <c r="C210" s="115">
        <v>96</v>
      </c>
      <c r="D210" s="115" t="str">
        <f>IE!C193</f>
        <v>CUBA JULI, JUDITH NICOL</v>
      </c>
      <c r="E210" s="116">
        <f>Reforzamiento!C193</f>
        <v>5</v>
      </c>
      <c r="F210" s="116" t="str">
        <f>Reforzamiento!D193</f>
        <v>A</v>
      </c>
      <c r="G210" s="117">
        <f>Reforzamiento!AE193</f>
        <v>0</v>
      </c>
      <c r="H210" s="142"/>
    </row>
    <row r="211" spans="3:9" x14ac:dyDescent="0.25">
      <c r="C211" s="119">
        <v>97</v>
      </c>
      <c r="D211" s="115" t="str">
        <f>IE!C194</f>
        <v>FERIA LAQUISE, DANIEL ABEL</v>
      </c>
      <c r="E211" s="116">
        <f>Reforzamiento!C194</f>
        <v>5</v>
      </c>
      <c r="F211" s="116" t="str">
        <f>Reforzamiento!D194</f>
        <v>A</v>
      </c>
      <c r="G211" s="117">
        <f>Reforzamiento!AE194</f>
        <v>0</v>
      </c>
      <c r="H211" s="142"/>
    </row>
    <row r="212" spans="3:9" x14ac:dyDescent="0.25">
      <c r="C212" s="115">
        <v>98</v>
      </c>
      <c r="D212" s="115" t="str">
        <f>IE!C196</f>
        <v>HANCCOCCALLO QUISPE, ANTONI REYNALDO</v>
      </c>
      <c r="E212" s="116">
        <f>Reforzamiento!C196</f>
        <v>5</v>
      </c>
      <c r="F212" s="116" t="str">
        <f>Reforzamiento!D196</f>
        <v>A</v>
      </c>
      <c r="G212" s="117">
        <f>Reforzamiento!AE196</f>
        <v>0</v>
      </c>
      <c r="H212" s="142"/>
    </row>
    <row r="213" spans="3:9" x14ac:dyDescent="0.25">
      <c r="C213" s="115">
        <v>99</v>
      </c>
      <c r="D213" s="115" t="str">
        <f>IE!C197</f>
        <v>HUACALLE YUFRA, RAQUEL ESPERANZA</v>
      </c>
      <c r="E213" s="116">
        <f>Reforzamiento!C197</f>
        <v>5</v>
      </c>
      <c r="F213" s="116" t="str">
        <f>Reforzamiento!D197</f>
        <v>A</v>
      </c>
      <c r="G213" s="117">
        <f>Reforzamiento!AE197</f>
        <v>0</v>
      </c>
      <c r="H213" s="142"/>
    </row>
    <row r="214" spans="3:9" x14ac:dyDescent="0.25">
      <c r="C214" s="115">
        <v>100</v>
      </c>
      <c r="D214" s="115" t="str">
        <f>IE!C198</f>
        <v>JULI PACOMPIA, ROY VICTOR</v>
      </c>
      <c r="E214" s="116">
        <f>Reforzamiento!C198</f>
        <v>5</v>
      </c>
      <c r="F214" s="116" t="str">
        <f>Reforzamiento!D198</f>
        <v>A</v>
      </c>
      <c r="G214" s="117">
        <f>Reforzamiento!AE198</f>
        <v>0</v>
      </c>
      <c r="H214" s="142"/>
    </row>
    <row r="215" spans="3:9" x14ac:dyDescent="0.25">
      <c r="C215" s="119">
        <v>101</v>
      </c>
      <c r="D215" s="115" t="str">
        <f>IE!C199</f>
        <v>LEON CHULLO, ANGELA GUADALUPE</v>
      </c>
      <c r="E215" s="116">
        <f>Reforzamiento!C199</f>
        <v>5</v>
      </c>
      <c r="F215" s="116" t="str">
        <f>Reforzamiento!D199</f>
        <v>A</v>
      </c>
      <c r="G215" s="117">
        <f>Reforzamiento!AE199</f>
        <v>0</v>
      </c>
      <c r="H215" s="142"/>
    </row>
    <row r="216" spans="3:9" x14ac:dyDescent="0.25">
      <c r="C216" s="115">
        <v>102</v>
      </c>
      <c r="D216" s="115" t="str">
        <f>IE!C202</f>
        <v>MAMANI GORDILLO, DIEGO ARMANDO</v>
      </c>
      <c r="E216" s="116">
        <f>Reforzamiento!C202</f>
        <v>5</v>
      </c>
      <c r="F216" s="116" t="str">
        <f>Reforzamiento!D202</f>
        <v>A</v>
      </c>
      <c r="G216" s="117">
        <f>Reforzamiento!AE202</f>
        <v>0</v>
      </c>
      <c r="H216" s="142"/>
    </row>
    <row r="217" spans="3:9" x14ac:dyDescent="0.25">
      <c r="C217" s="115">
        <v>103</v>
      </c>
      <c r="D217" s="115" t="str">
        <f>IE!C205</f>
        <v>PAUCCARA CCORI, YANETH YESENIA</v>
      </c>
      <c r="E217" s="116">
        <f>Reforzamiento!C205</f>
        <v>5</v>
      </c>
      <c r="F217" s="116" t="str">
        <f>Reforzamiento!D205</f>
        <v>A</v>
      </c>
      <c r="G217" s="117">
        <f>Reforzamiento!AE205</f>
        <v>0</v>
      </c>
      <c r="H217" s="142"/>
    </row>
    <row r="218" spans="3:9" ht="15.75" thickBot="1" x14ac:dyDescent="0.3">
      <c r="C218" s="115">
        <v>104</v>
      </c>
      <c r="D218" s="118" t="str">
        <f>IE!C206</f>
        <v>TORRES AYMA, YENIFER</v>
      </c>
      <c r="E218" s="138">
        <f>Reforzamiento!C206</f>
        <v>5</v>
      </c>
      <c r="F218" s="138" t="str">
        <f>Reforzamiento!D206</f>
        <v>A</v>
      </c>
      <c r="G218" s="139">
        <f>Reforzamiento!AE206</f>
        <v>0</v>
      </c>
      <c r="H218" s="143"/>
      <c r="I218" s="144" t="s">
        <v>269</v>
      </c>
    </row>
    <row r="219" spans="3:9" x14ac:dyDescent="0.25">
      <c r="C219" s="119">
        <v>105</v>
      </c>
      <c r="D219" s="119" t="str">
        <f>IE!C207</f>
        <v>CCOMPE BERRIOS, ALBERTO EUSEBIO</v>
      </c>
      <c r="E219" s="134">
        <f>Reforzamiento!C207</f>
        <v>5</v>
      </c>
      <c r="F219" s="134" t="str">
        <f>Reforzamiento!D207</f>
        <v>B</v>
      </c>
      <c r="G219" s="135">
        <f>Reforzamiento!AE207</f>
        <v>0</v>
      </c>
      <c r="H219" s="141"/>
      <c r="I219" s="144" t="s">
        <v>269</v>
      </c>
    </row>
    <row r="220" spans="3:9" x14ac:dyDescent="0.25">
      <c r="C220" s="115">
        <v>106</v>
      </c>
      <c r="D220" s="115" t="str">
        <f>IE!C210</f>
        <v>GENOVEZ BERNO, ANA LUCIA</v>
      </c>
      <c r="E220" s="116">
        <f>Reforzamiento!C210</f>
        <v>5</v>
      </c>
      <c r="F220" s="116" t="str">
        <f>Reforzamiento!D210</f>
        <v>B</v>
      </c>
      <c r="G220" s="117">
        <f>Reforzamiento!AE210</f>
        <v>0</v>
      </c>
      <c r="H220" s="142"/>
    </row>
    <row r="221" spans="3:9" x14ac:dyDescent="0.25">
      <c r="C221" s="115">
        <v>107</v>
      </c>
      <c r="D221" s="115" t="str">
        <f>IE!C211</f>
        <v>GENOVEZ BERNO, DIEGO FRANCISCO</v>
      </c>
      <c r="E221" s="116">
        <f>Reforzamiento!C211</f>
        <v>5</v>
      </c>
      <c r="F221" s="116" t="str">
        <f>Reforzamiento!D211</f>
        <v>B</v>
      </c>
      <c r="G221" s="117">
        <f>Reforzamiento!AE211</f>
        <v>0</v>
      </c>
      <c r="H221" s="142"/>
    </row>
    <row r="222" spans="3:9" x14ac:dyDescent="0.25">
      <c r="C222" s="115">
        <v>108</v>
      </c>
      <c r="D222" s="115" t="str">
        <f>IE!C215</f>
        <v>LLERENA QUISPE, VICTOR GONZALO</v>
      </c>
      <c r="E222" s="116">
        <f>Reforzamiento!C215</f>
        <v>5</v>
      </c>
      <c r="F222" s="116" t="str">
        <f>Reforzamiento!D215</f>
        <v>B</v>
      </c>
      <c r="G222" s="117">
        <f>Reforzamiento!AE215</f>
        <v>0</v>
      </c>
      <c r="H222" s="142"/>
    </row>
    <row r="223" spans="3:9" x14ac:dyDescent="0.25">
      <c r="C223" s="119">
        <v>109</v>
      </c>
      <c r="D223" s="115" t="str">
        <f>IE!C216</f>
        <v>MAMANI MENDOZA, SAEL ISAAC</v>
      </c>
      <c r="E223" s="116">
        <f>Reforzamiento!C216</f>
        <v>5</v>
      </c>
      <c r="F223" s="116" t="str">
        <f>Reforzamiento!D216</f>
        <v>B</v>
      </c>
      <c r="G223" s="117">
        <f>Reforzamiento!AE216</f>
        <v>0</v>
      </c>
      <c r="H223" s="142"/>
    </row>
    <row r="224" spans="3:9" x14ac:dyDescent="0.25">
      <c r="C224" s="115">
        <v>110</v>
      </c>
      <c r="D224" s="115" t="str">
        <f>IE!C217</f>
        <v>MANTILLA ALA, JHOHANN ANDRE</v>
      </c>
      <c r="E224" s="116">
        <f>Reforzamiento!C217</f>
        <v>5</v>
      </c>
      <c r="F224" s="116" t="str">
        <f>Reforzamiento!D217</f>
        <v>B</v>
      </c>
      <c r="G224" s="117">
        <f>Reforzamiento!AE217</f>
        <v>0</v>
      </c>
      <c r="H224" s="142"/>
    </row>
    <row r="225" spans="3:9" x14ac:dyDescent="0.25">
      <c r="C225" s="115">
        <v>111</v>
      </c>
      <c r="D225" s="115" t="str">
        <f>IE!C222</f>
        <v>PEÑA GUTIERREZ, YAHIR RIBAUL</v>
      </c>
      <c r="E225" s="116">
        <f>Reforzamiento!C222</f>
        <v>5</v>
      </c>
      <c r="F225" s="116" t="str">
        <f>Reforzamiento!D222</f>
        <v>B</v>
      </c>
      <c r="G225" s="117">
        <f>Reforzamiento!AE222</f>
        <v>0</v>
      </c>
      <c r="H225" s="142"/>
    </row>
    <row r="226" spans="3:9" x14ac:dyDescent="0.25">
      <c r="C226" s="115">
        <v>112</v>
      </c>
      <c r="D226" s="115" t="str">
        <f>IE!C224</f>
        <v>PUCHO HUAMAN, ALEX RAUL</v>
      </c>
      <c r="E226" s="116">
        <f>Reforzamiento!C224</f>
        <v>5</v>
      </c>
      <c r="F226" s="116" t="str">
        <f>Reforzamiento!D224</f>
        <v>B</v>
      </c>
      <c r="G226" s="117">
        <f>Reforzamiento!AE224</f>
        <v>0</v>
      </c>
      <c r="H226" s="142">
        <v>15</v>
      </c>
    </row>
    <row r="227" spans="3:9" x14ac:dyDescent="0.25">
      <c r="C227" s="119">
        <v>113</v>
      </c>
      <c r="D227" s="115" t="str">
        <f>IE!C225</f>
        <v>QUISPE TAIPE, CELESTE DAYAN</v>
      </c>
      <c r="E227" s="116">
        <f>Reforzamiento!C225</f>
        <v>5</v>
      </c>
      <c r="F227" s="116" t="str">
        <f>Reforzamiento!D225</f>
        <v>B</v>
      </c>
      <c r="G227" s="117">
        <f>Reforzamiento!AE225</f>
        <v>0</v>
      </c>
      <c r="H227" s="142"/>
    </row>
    <row r="228" spans="3:9" x14ac:dyDescent="0.25">
      <c r="C228" s="115">
        <v>114</v>
      </c>
      <c r="D228" s="115" t="str">
        <f>IE!C226</f>
        <v>ROA AROTAIPE, ANYELI DAYAN</v>
      </c>
      <c r="E228" s="116">
        <f>Reforzamiento!C226</f>
        <v>5</v>
      </c>
      <c r="F228" s="116" t="str">
        <f>Reforzamiento!D226</f>
        <v>B</v>
      </c>
      <c r="G228" s="117">
        <f>Reforzamiento!AE226</f>
        <v>0</v>
      </c>
      <c r="H228" s="142"/>
    </row>
    <row r="229" spans="3:9" x14ac:dyDescent="0.25">
      <c r="C229" s="115">
        <v>115</v>
      </c>
      <c r="D229" s="115" t="str">
        <f>IE!C227</f>
        <v>ROMERO ANDIA, LUCIANA BELEN</v>
      </c>
      <c r="E229" s="116">
        <f>Reforzamiento!C227</f>
        <v>5</v>
      </c>
      <c r="F229" s="116" t="str">
        <f>Reforzamiento!D227</f>
        <v>B</v>
      </c>
      <c r="G229" s="117">
        <f>Reforzamiento!AE227</f>
        <v>0</v>
      </c>
      <c r="H229" s="142"/>
    </row>
    <row r="230" spans="3:9" x14ac:dyDescent="0.25">
      <c r="C230" s="115">
        <v>116</v>
      </c>
      <c r="D230" s="115" t="str">
        <f>IE!C229</f>
        <v>SOTO JACINTO, MAIALEN LIZBETH</v>
      </c>
      <c r="E230" s="116">
        <f>Reforzamiento!C229</f>
        <v>5</v>
      </c>
      <c r="F230" s="116" t="str">
        <f>Reforzamiento!D229</f>
        <v>B</v>
      </c>
      <c r="G230" s="117">
        <f>Reforzamiento!AE229</f>
        <v>0</v>
      </c>
      <c r="H230" s="142"/>
      <c r="I230" s="144" t="s">
        <v>269</v>
      </c>
    </row>
    <row r="231" spans="3:9" x14ac:dyDescent="0.25">
      <c r="C231" s="119">
        <v>117</v>
      </c>
      <c r="D231" s="115" t="str">
        <f>IE!C230</f>
        <v>VARGAS CHAMBI, YENIFER ESTEFANI</v>
      </c>
      <c r="E231" s="116">
        <f>Reforzamiento!C230</f>
        <v>5</v>
      </c>
      <c r="F231" s="116" t="str">
        <f>Reforzamiento!D230</f>
        <v>B</v>
      </c>
      <c r="G231" s="117">
        <f>Reforzamiento!AE230</f>
        <v>0</v>
      </c>
      <c r="H231" s="142"/>
      <c r="I231" s="144" t="s">
        <v>269</v>
      </c>
    </row>
    <row r="232" spans="3:9" x14ac:dyDescent="0.25">
      <c r="C232" s="115">
        <v>118</v>
      </c>
      <c r="D232" s="115" t="str">
        <f>IE!C231</f>
        <v>VILLANUEVA CHAVEZ, MILAGROS FRANCHESCA</v>
      </c>
      <c r="E232" s="116">
        <f>Reforzamiento!C231</f>
        <v>5</v>
      </c>
      <c r="F232" s="116" t="str">
        <f>Reforzamiento!D231</f>
        <v>B</v>
      </c>
      <c r="G232" s="117">
        <f>Reforzamiento!AE231</f>
        <v>0</v>
      </c>
      <c r="H232" s="142"/>
    </row>
    <row r="233" spans="3:9" ht="15.75" thickBot="1" x14ac:dyDescent="0.3">
      <c r="C233" s="115">
        <v>119</v>
      </c>
      <c r="D233" s="118" t="str">
        <f>IE!C232</f>
        <v>ZARAVIA JARAMILLO, GRACE SAMARA</v>
      </c>
      <c r="E233" s="138">
        <f>Reforzamiento!C232</f>
        <v>5</v>
      </c>
      <c r="F233" s="138" t="str">
        <f>Reforzamiento!D232</f>
        <v>B</v>
      </c>
      <c r="G233" s="139">
        <f>Reforzamiento!AE232</f>
        <v>0</v>
      </c>
      <c r="H233" s="143"/>
    </row>
  </sheetData>
  <sortState xmlns:xlrd2="http://schemas.microsoft.com/office/spreadsheetml/2017/richdata2" ref="C7:G233">
    <sortCondition descending="1" ref="G6:G233"/>
  </sortState>
  <mergeCells count="2">
    <mergeCell ref="C2:G2"/>
    <mergeCell ref="C3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E3A1A-B4B8-4E0A-9172-1699456C5C1C}">
  <dimension ref="A2:AL1134"/>
  <sheetViews>
    <sheetView zoomScale="70" zoomScaleNormal="7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AD191" sqref="AD191"/>
    </sheetView>
  </sheetViews>
  <sheetFormatPr baseColWidth="10" defaultColWidth="14.42578125" defaultRowHeight="15" customHeight="1" x14ac:dyDescent="0.25"/>
  <cols>
    <col min="1" max="1" width="4.140625" customWidth="1"/>
    <col min="2" max="2" width="38.5703125" customWidth="1"/>
    <col min="3" max="3" width="5" customWidth="1"/>
    <col min="4" max="4" width="6.7109375" customWidth="1"/>
    <col min="5" max="30" width="5" customWidth="1"/>
    <col min="31" max="31" width="4.7109375" customWidth="1"/>
    <col min="32" max="32" width="3.85546875" customWidth="1"/>
    <col min="33" max="33" width="5" customWidth="1"/>
  </cols>
  <sheetData>
    <row r="2" spans="1:38" ht="45.75" customHeight="1" x14ac:dyDescent="0.25"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  <c r="AA2" s="148"/>
      <c r="AB2" s="148"/>
      <c r="AC2" s="148"/>
      <c r="AD2" s="146"/>
    </row>
    <row r="3" spans="1:38" ht="26.25" customHeight="1" x14ac:dyDescent="0.25">
      <c r="B3" s="149" t="s">
        <v>1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1"/>
    </row>
    <row r="4" spans="1:38" ht="41.25" customHeight="1" x14ac:dyDescent="0.25">
      <c r="B4" s="1"/>
      <c r="C4" s="2"/>
      <c r="D4" s="2"/>
      <c r="E4" s="145" t="s">
        <v>2</v>
      </c>
      <c r="F4" s="148"/>
      <c r="G4" s="148"/>
      <c r="H4" s="146"/>
      <c r="I4" s="145" t="s">
        <v>3</v>
      </c>
      <c r="J4" s="148"/>
      <c r="K4" s="146"/>
      <c r="L4" s="145" t="s">
        <v>4</v>
      </c>
      <c r="M4" s="148"/>
      <c r="N4" s="146"/>
      <c r="O4" s="145" t="s">
        <v>5</v>
      </c>
      <c r="P4" s="148"/>
      <c r="Q4" s="146"/>
      <c r="R4" s="152" t="s">
        <v>6</v>
      </c>
      <c r="S4" s="146"/>
      <c r="T4" s="3" t="s">
        <v>7</v>
      </c>
      <c r="U4" s="145" t="s">
        <v>8</v>
      </c>
      <c r="V4" s="148"/>
      <c r="W4" s="146"/>
      <c r="X4" s="145" t="s">
        <v>9</v>
      </c>
      <c r="Y4" s="146"/>
      <c r="Z4" s="152" t="s">
        <v>10</v>
      </c>
      <c r="AA4" s="148"/>
      <c r="AB4" s="146"/>
      <c r="AC4" s="145" t="s">
        <v>11</v>
      </c>
      <c r="AD4" s="146"/>
    </row>
    <row r="5" spans="1:38" ht="27" customHeight="1" x14ac:dyDescent="0.25">
      <c r="A5" s="9"/>
      <c r="B5" s="49" t="s">
        <v>12</v>
      </c>
      <c r="C5" s="6" t="s">
        <v>13</v>
      </c>
      <c r="D5" s="7" t="s">
        <v>14</v>
      </c>
      <c r="E5" s="7" t="s">
        <v>15</v>
      </c>
      <c r="F5" s="7" t="s">
        <v>16</v>
      </c>
      <c r="G5" s="7" t="s">
        <v>17</v>
      </c>
      <c r="H5" s="7" t="s">
        <v>18</v>
      </c>
      <c r="I5" s="7" t="s">
        <v>15</v>
      </c>
      <c r="J5" s="7" t="s">
        <v>16</v>
      </c>
      <c r="K5" s="7" t="s">
        <v>17</v>
      </c>
      <c r="L5" s="7" t="s">
        <v>15</v>
      </c>
      <c r="M5" s="7" t="s">
        <v>16</v>
      </c>
      <c r="N5" s="7" t="s">
        <v>17</v>
      </c>
      <c r="O5" s="7" t="s">
        <v>15</v>
      </c>
      <c r="P5" s="7" t="s">
        <v>16</v>
      </c>
      <c r="Q5" s="7" t="s">
        <v>17</v>
      </c>
      <c r="R5" s="7" t="s">
        <v>15</v>
      </c>
      <c r="S5" s="7" t="s">
        <v>16</v>
      </c>
      <c r="T5" s="7" t="s">
        <v>15</v>
      </c>
      <c r="U5" s="7" t="s">
        <v>15</v>
      </c>
      <c r="V5" s="7" t="s">
        <v>16</v>
      </c>
      <c r="W5" s="7" t="s">
        <v>17</v>
      </c>
      <c r="X5" s="7" t="s">
        <v>15</v>
      </c>
      <c r="Y5" s="7" t="s">
        <v>16</v>
      </c>
      <c r="Z5" s="7" t="s">
        <v>15</v>
      </c>
      <c r="AA5" s="7" t="s">
        <v>16</v>
      </c>
      <c r="AB5" s="7" t="s">
        <v>17</v>
      </c>
      <c r="AC5" s="7" t="s">
        <v>15</v>
      </c>
      <c r="AD5" s="7" t="s">
        <v>16</v>
      </c>
    </row>
    <row r="6" spans="1:38" ht="15.75" thickBot="1" x14ac:dyDescent="0.3">
      <c r="A6" s="89">
        <v>1</v>
      </c>
      <c r="B6" s="90" t="s">
        <v>207</v>
      </c>
      <c r="C6" s="89">
        <v>1</v>
      </c>
      <c r="D6" s="89" t="s">
        <v>19</v>
      </c>
      <c r="E6" s="50" t="s">
        <v>19</v>
      </c>
      <c r="F6" s="51" t="s">
        <v>19</v>
      </c>
      <c r="G6" s="51" t="s">
        <v>20</v>
      </c>
      <c r="H6" s="51" t="s">
        <v>19</v>
      </c>
      <c r="I6" s="51" t="s">
        <v>19</v>
      </c>
      <c r="J6" s="51" t="s">
        <v>19</v>
      </c>
      <c r="K6" s="51" t="s">
        <v>19</v>
      </c>
      <c r="L6" s="52" t="s">
        <v>19</v>
      </c>
      <c r="M6" s="52" t="s">
        <v>19</v>
      </c>
      <c r="N6" s="52" t="s">
        <v>19</v>
      </c>
      <c r="O6" s="52" t="s">
        <v>19</v>
      </c>
      <c r="P6" s="51" t="s">
        <v>20</v>
      </c>
      <c r="Q6" s="51" t="s">
        <v>20</v>
      </c>
      <c r="R6" s="52" t="s">
        <v>19</v>
      </c>
      <c r="S6" s="51" t="s">
        <v>19</v>
      </c>
      <c r="T6" s="51" t="s">
        <v>19</v>
      </c>
      <c r="U6" s="51" t="s">
        <v>19</v>
      </c>
      <c r="V6" s="51" t="s">
        <v>19</v>
      </c>
      <c r="W6" s="51" t="s">
        <v>19</v>
      </c>
      <c r="X6" s="52" t="s">
        <v>20</v>
      </c>
      <c r="Y6" s="52" t="s">
        <v>19</v>
      </c>
      <c r="Z6" s="39" t="s">
        <v>20</v>
      </c>
      <c r="AA6" s="39" t="s">
        <v>20</v>
      </c>
      <c r="AB6" s="39" t="s">
        <v>19</v>
      </c>
      <c r="AC6" s="52" t="s">
        <v>19</v>
      </c>
      <c r="AD6" s="52" t="s">
        <v>20</v>
      </c>
    </row>
    <row r="7" spans="1:38" x14ac:dyDescent="0.25">
      <c r="A7" s="89">
        <v>2</v>
      </c>
      <c r="B7" s="90" t="s">
        <v>208</v>
      </c>
      <c r="C7" s="89">
        <v>1</v>
      </c>
      <c r="D7" s="89" t="s">
        <v>19</v>
      </c>
      <c r="E7" s="51" t="s">
        <v>20</v>
      </c>
      <c r="F7" s="51" t="s">
        <v>21</v>
      </c>
      <c r="G7" s="51" t="s">
        <v>20</v>
      </c>
      <c r="H7" s="51" t="s">
        <v>20</v>
      </c>
      <c r="I7" s="51" t="s">
        <v>20</v>
      </c>
      <c r="J7" s="51" t="s">
        <v>20</v>
      </c>
      <c r="K7" s="51" t="s">
        <v>20</v>
      </c>
      <c r="L7" s="52" t="s">
        <v>20</v>
      </c>
      <c r="M7" s="52" t="s">
        <v>20</v>
      </c>
      <c r="N7" s="52" t="s">
        <v>21</v>
      </c>
      <c r="O7" s="52" t="s">
        <v>20</v>
      </c>
      <c r="P7" s="51" t="s">
        <v>20</v>
      </c>
      <c r="Q7" s="51" t="s">
        <v>20</v>
      </c>
      <c r="R7" s="52" t="s">
        <v>21</v>
      </c>
      <c r="S7" s="51" t="s">
        <v>21</v>
      </c>
      <c r="T7" s="51" t="s">
        <v>20</v>
      </c>
      <c r="U7" s="51" t="s">
        <v>20</v>
      </c>
      <c r="V7" s="51" t="s">
        <v>20</v>
      </c>
      <c r="W7" s="51" t="s">
        <v>19</v>
      </c>
      <c r="X7" s="52" t="s">
        <v>20</v>
      </c>
      <c r="Y7" s="52" t="s">
        <v>19</v>
      </c>
      <c r="Z7" s="39" t="s">
        <v>21</v>
      </c>
      <c r="AA7" s="39" t="s">
        <v>21</v>
      </c>
      <c r="AB7" s="39" t="s">
        <v>21</v>
      </c>
      <c r="AC7" s="52" t="s">
        <v>21</v>
      </c>
      <c r="AD7" s="52" t="s">
        <v>20</v>
      </c>
      <c r="AF7" s="29" t="s">
        <v>22</v>
      </c>
      <c r="AG7" s="17">
        <f>COUNTIF(E6:AD23,"AD")</f>
        <v>1</v>
      </c>
    </row>
    <row r="8" spans="1:38" x14ac:dyDescent="0.25">
      <c r="A8" s="89">
        <v>3</v>
      </c>
      <c r="B8" s="90" t="s">
        <v>209</v>
      </c>
      <c r="C8" s="89">
        <v>1</v>
      </c>
      <c r="D8" s="89" t="s">
        <v>19</v>
      </c>
      <c r="E8" s="51" t="s">
        <v>19</v>
      </c>
      <c r="F8" s="51" t="s">
        <v>19</v>
      </c>
      <c r="G8" s="51" t="s">
        <v>19</v>
      </c>
      <c r="H8" s="51" t="s">
        <v>19</v>
      </c>
      <c r="I8" s="51" t="s">
        <v>19</v>
      </c>
      <c r="J8" s="51" t="s">
        <v>19</v>
      </c>
      <c r="K8" s="51" t="s">
        <v>19</v>
      </c>
      <c r="L8" s="52" t="s">
        <v>19</v>
      </c>
      <c r="M8" s="52" t="s">
        <v>19</v>
      </c>
      <c r="N8" s="52" t="s">
        <v>19</v>
      </c>
      <c r="O8" s="52" t="s">
        <v>19</v>
      </c>
      <c r="P8" s="51" t="s">
        <v>19</v>
      </c>
      <c r="Q8" s="51" t="s">
        <v>20</v>
      </c>
      <c r="R8" s="52" t="s">
        <v>19</v>
      </c>
      <c r="S8" s="51" t="s">
        <v>19</v>
      </c>
      <c r="T8" s="51" t="s">
        <v>19</v>
      </c>
      <c r="U8" s="51" t="s">
        <v>19</v>
      </c>
      <c r="V8" s="51" t="s">
        <v>19</v>
      </c>
      <c r="W8" s="51" t="s">
        <v>19</v>
      </c>
      <c r="X8" s="52" t="s">
        <v>19</v>
      </c>
      <c r="Y8" s="52" t="s">
        <v>19</v>
      </c>
      <c r="Z8" s="39" t="s">
        <v>19</v>
      </c>
      <c r="AA8" s="39" t="s">
        <v>20</v>
      </c>
      <c r="AB8" s="39" t="s">
        <v>20</v>
      </c>
      <c r="AC8" s="52" t="s">
        <v>19</v>
      </c>
      <c r="AD8" s="52" t="s">
        <v>20</v>
      </c>
      <c r="AF8" s="30" t="s">
        <v>19</v>
      </c>
      <c r="AG8" s="18">
        <f>COUNTIF(E6:AD23,"A")</f>
        <v>192</v>
      </c>
    </row>
    <row r="9" spans="1:38" x14ac:dyDescent="0.25">
      <c r="A9" s="89">
        <v>4</v>
      </c>
      <c r="B9" s="90" t="s">
        <v>210</v>
      </c>
      <c r="C9" s="89">
        <v>1</v>
      </c>
      <c r="D9" s="89" t="s">
        <v>19</v>
      </c>
      <c r="E9" s="51" t="s">
        <v>19</v>
      </c>
      <c r="F9" s="51" t="s">
        <v>20</v>
      </c>
      <c r="G9" s="51" t="s">
        <v>20</v>
      </c>
      <c r="H9" s="51" t="s">
        <v>20</v>
      </c>
      <c r="I9" s="51" t="s">
        <v>19</v>
      </c>
      <c r="J9" s="51" t="s">
        <v>19</v>
      </c>
      <c r="K9" s="51" t="s">
        <v>19</v>
      </c>
      <c r="L9" s="52" t="s">
        <v>20</v>
      </c>
      <c r="M9" s="52" t="s">
        <v>20</v>
      </c>
      <c r="N9" s="52" t="s">
        <v>19</v>
      </c>
      <c r="O9" s="52" t="s">
        <v>19</v>
      </c>
      <c r="P9" s="51" t="s">
        <v>19</v>
      </c>
      <c r="Q9" s="51" t="s">
        <v>20</v>
      </c>
      <c r="R9" s="52" t="s">
        <v>19</v>
      </c>
      <c r="S9" s="51" t="s">
        <v>20</v>
      </c>
      <c r="T9" s="51" t="s">
        <v>19</v>
      </c>
      <c r="U9" s="51" t="s">
        <v>20</v>
      </c>
      <c r="V9" s="51" t="s">
        <v>19</v>
      </c>
      <c r="W9" s="51" t="s">
        <v>19</v>
      </c>
      <c r="X9" s="52" t="s">
        <v>20</v>
      </c>
      <c r="Y9" s="52" t="s">
        <v>19</v>
      </c>
      <c r="Z9" s="39" t="s">
        <v>20</v>
      </c>
      <c r="AA9" s="39" t="s">
        <v>20</v>
      </c>
      <c r="AB9" s="39" t="s">
        <v>20</v>
      </c>
      <c r="AC9" s="52" t="s">
        <v>19</v>
      </c>
      <c r="AD9" s="52" t="s">
        <v>20</v>
      </c>
      <c r="AF9" s="30" t="s">
        <v>20</v>
      </c>
      <c r="AG9" s="18">
        <f>COUNTIF(E6:AD23,"B")</f>
        <v>236</v>
      </c>
    </row>
    <row r="10" spans="1:38" ht="15.75" thickBot="1" x14ac:dyDescent="0.3">
      <c r="A10" s="89">
        <v>5</v>
      </c>
      <c r="B10" s="90" t="s">
        <v>211</v>
      </c>
      <c r="C10" s="89">
        <v>1</v>
      </c>
      <c r="D10" s="89" t="s">
        <v>19</v>
      </c>
      <c r="E10" s="51" t="s">
        <v>20</v>
      </c>
      <c r="F10" s="51" t="s">
        <v>20</v>
      </c>
      <c r="G10" s="51" t="s">
        <v>20</v>
      </c>
      <c r="H10" s="51" t="s">
        <v>20</v>
      </c>
      <c r="I10" s="51" t="s">
        <v>19</v>
      </c>
      <c r="J10" s="51" t="s">
        <v>19</v>
      </c>
      <c r="K10" s="51" t="s">
        <v>19</v>
      </c>
      <c r="L10" s="52" t="s">
        <v>19</v>
      </c>
      <c r="M10" s="52" t="s">
        <v>20</v>
      </c>
      <c r="N10" s="52" t="s">
        <v>19</v>
      </c>
      <c r="O10" s="52" t="s">
        <v>20</v>
      </c>
      <c r="P10" s="51" t="s">
        <v>20</v>
      </c>
      <c r="Q10" s="51" t="s">
        <v>20</v>
      </c>
      <c r="R10" s="52" t="s">
        <v>19</v>
      </c>
      <c r="S10" s="51" t="s">
        <v>20</v>
      </c>
      <c r="T10" s="51" t="s">
        <v>20</v>
      </c>
      <c r="U10" s="51" t="s">
        <v>19</v>
      </c>
      <c r="V10" s="51" t="s">
        <v>20</v>
      </c>
      <c r="W10" s="51" t="s">
        <v>19</v>
      </c>
      <c r="X10" s="52" t="s">
        <v>20</v>
      </c>
      <c r="Y10" s="52" t="s">
        <v>19</v>
      </c>
      <c r="Z10" s="39" t="s">
        <v>20</v>
      </c>
      <c r="AA10" s="39" t="s">
        <v>20</v>
      </c>
      <c r="AB10" s="39" t="s">
        <v>21</v>
      </c>
      <c r="AC10" s="52" t="s">
        <v>20</v>
      </c>
      <c r="AD10" s="52" t="s">
        <v>20</v>
      </c>
      <c r="AF10" s="31" t="s">
        <v>21</v>
      </c>
      <c r="AG10" s="19">
        <f>COUNTIF(E6:AD23,"C")</f>
        <v>39</v>
      </c>
      <c r="AL10" s="32" t="s">
        <v>39</v>
      </c>
    </row>
    <row r="11" spans="1:38" x14ac:dyDescent="0.25">
      <c r="A11" s="89">
        <v>6</v>
      </c>
      <c r="B11" s="90" t="s">
        <v>212</v>
      </c>
      <c r="C11" s="89">
        <v>1</v>
      </c>
      <c r="D11" s="89" t="s">
        <v>19</v>
      </c>
      <c r="E11" s="51" t="s">
        <v>19</v>
      </c>
      <c r="F11" s="51" t="s">
        <v>19</v>
      </c>
      <c r="G11" s="51" t="s">
        <v>19</v>
      </c>
      <c r="H11" s="51" t="s">
        <v>19</v>
      </c>
      <c r="I11" s="51" t="s">
        <v>19</v>
      </c>
      <c r="J11" s="51" t="s">
        <v>19</v>
      </c>
      <c r="K11" s="51" t="s">
        <v>19</v>
      </c>
      <c r="L11" s="52" t="s">
        <v>19</v>
      </c>
      <c r="M11" s="52" t="s">
        <v>19</v>
      </c>
      <c r="N11" s="52" t="s">
        <v>19</v>
      </c>
      <c r="O11" s="52" t="s">
        <v>19</v>
      </c>
      <c r="P11" s="51" t="s">
        <v>20</v>
      </c>
      <c r="Q11" s="51" t="s">
        <v>20</v>
      </c>
      <c r="R11" s="52" t="s">
        <v>19</v>
      </c>
      <c r="S11" s="51" t="s">
        <v>20</v>
      </c>
      <c r="T11" s="51" t="s">
        <v>20</v>
      </c>
      <c r="U11" s="51" t="s">
        <v>20</v>
      </c>
      <c r="V11" s="51" t="s">
        <v>19</v>
      </c>
      <c r="W11" s="51" t="s">
        <v>19</v>
      </c>
      <c r="X11" s="52" t="s">
        <v>19</v>
      </c>
      <c r="Y11" s="52" t="s">
        <v>20</v>
      </c>
      <c r="Z11" s="39" t="s">
        <v>20</v>
      </c>
      <c r="AA11" s="39" t="s">
        <v>20</v>
      </c>
      <c r="AB11" s="39" t="s">
        <v>20</v>
      </c>
      <c r="AC11" s="52" t="s">
        <v>20</v>
      </c>
      <c r="AD11" s="52" t="s">
        <v>20</v>
      </c>
    </row>
    <row r="12" spans="1:38" x14ac:dyDescent="0.25">
      <c r="A12" s="89">
        <v>7</v>
      </c>
      <c r="B12" s="90" t="s">
        <v>213</v>
      </c>
      <c r="C12" s="89">
        <v>1</v>
      </c>
      <c r="D12" s="89" t="s">
        <v>19</v>
      </c>
      <c r="E12" s="51" t="s">
        <v>19</v>
      </c>
      <c r="F12" s="51" t="s">
        <v>19</v>
      </c>
      <c r="G12" s="51" t="s">
        <v>20</v>
      </c>
      <c r="H12" s="51" t="s">
        <v>19</v>
      </c>
      <c r="I12" s="51" t="s">
        <v>19</v>
      </c>
      <c r="J12" s="51" t="s">
        <v>19</v>
      </c>
      <c r="K12" s="51" t="s">
        <v>19</v>
      </c>
      <c r="L12" s="52" t="s">
        <v>19</v>
      </c>
      <c r="M12" s="52" t="s">
        <v>19</v>
      </c>
      <c r="N12" s="52" t="s">
        <v>19</v>
      </c>
      <c r="O12" s="52" t="s">
        <v>19</v>
      </c>
      <c r="P12" s="51" t="s">
        <v>19</v>
      </c>
      <c r="Q12" s="51" t="s">
        <v>19</v>
      </c>
      <c r="R12" s="52" t="s">
        <v>19</v>
      </c>
      <c r="S12" s="51" t="s">
        <v>19</v>
      </c>
      <c r="T12" s="51" t="s">
        <v>20</v>
      </c>
      <c r="U12" s="51" t="s">
        <v>19</v>
      </c>
      <c r="V12" s="51" t="s">
        <v>19</v>
      </c>
      <c r="W12" s="51" t="s">
        <v>19</v>
      </c>
      <c r="X12" s="52" t="s">
        <v>19</v>
      </c>
      <c r="Y12" s="52" t="s">
        <v>19</v>
      </c>
      <c r="Z12" s="39" t="s">
        <v>19</v>
      </c>
      <c r="AA12" s="39" t="s">
        <v>20</v>
      </c>
      <c r="AB12" s="39" t="s">
        <v>19</v>
      </c>
      <c r="AC12" s="52" t="s">
        <v>20</v>
      </c>
      <c r="AD12" s="52" t="s">
        <v>20</v>
      </c>
    </row>
    <row r="13" spans="1:38" x14ac:dyDescent="0.25">
      <c r="A13" s="89">
        <v>8</v>
      </c>
      <c r="B13" s="90" t="s">
        <v>214</v>
      </c>
      <c r="C13" s="89">
        <v>1</v>
      </c>
      <c r="D13" s="89" t="s">
        <v>19</v>
      </c>
      <c r="E13" s="51" t="s">
        <v>20</v>
      </c>
      <c r="F13" s="51" t="s">
        <v>21</v>
      </c>
      <c r="G13" s="51" t="s">
        <v>20</v>
      </c>
      <c r="H13" s="51" t="s">
        <v>20</v>
      </c>
      <c r="I13" s="51" t="s">
        <v>20</v>
      </c>
      <c r="J13" s="51" t="s">
        <v>20</v>
      </c>
      <c r="K13" s="51" t="s">
        <v>20</v>
      </c>
      <c r="L13" s="52" t="s">
        <v>20</v>
      </c>
      <c r="M13" s="52" t="s">
        <v>20</v>
      </c>
      <c r="N13" s="52" t="s">
        <v>20</v>
      </c>
      <c r="O13" s="52" t="s">
        <v>20</v>
      </c>
      <c r="P13" s="51" t="s">
        <v>20</v>
      </c>
      <c r="Q13" s="51" t="s">
        <v>20</v>
      </c>
      <c r="R13" s="52" t="s">
        <v>21</v>
      </c>
      <c r="S13" s="51" t="s">
        <v>20</v>
      </c>
      <c r="T13" s="51" t="s">
        <v>20</v>
      </c>
      <c r="U13" s="51" t="s">
        <v>19</v>
      </c>
      <c r="V13" s="51" t="s">
        <v>20</v>
      </c>
      <c r="W13" s="51" t="s">
        <v>19</v>
      </c>
      <c r="X13" s="52" t="s">
        <v>20</v>
      </c>
      <c r="Y13" s="52" t="s">
        <v>20</v>
      </c>
      <c r="Z13" s="39" t="s">
        <v>20</v>
      </c>
      <c r="AA13" s="39" t="s">
        <v>21</v>
      </c>
      <c r="AB13" s="39" t="s">
        <v>21</v>
      </c>
      <c r="AC13" s="52" t="s">
        <v>21</v>
      </c>
      <c r="AD13" s="52" t="s">
        <v>20</v>
      </c>
    </row>
    <row r="14" spans="1:38" x14ac:dyDescent="0.25">
      <c r="A14" s="89">
        <v>9</v>
      </c>
      <c r="B14" s="90" t="s">
        <v>215</v>
      </c>
      <c r="C14" s="89">
        <v>1</v>
      </c>
      <c r="D14" s="89" t="s">
        <v>19</v>
      </c>
      <c r="E14" s="51" t="s">
        <v>20</v>
      </c>
      <c r="F14" s="51" t="s">
        <v>20</v>
      </c>
      <c r="G14" s="51" t="s">
        <v>21</v>
      </c>
      <c r="H14" s="51" t="s">
        <v>20</v>
      </c>
      <c r="I14" s="51" t="s">
        <v>19</v>
      </c>
      <c r="J14" s="51" t="s">
        <v>19</v>
      </c>
      <c r="K14" s="51" t="s">
        <v>19</v>
      </c>
      <c r="L14" s="52" t="s">
        <v>19</v>
      </c>
      <c r="M14" s="52" t="s">
        <v>20</v>
      </c>
      <c r="N14" s="52" t="s">
        <v>19</v>
      </c>
      <c r="O14" s="52" t="s">
        <v>20</v>
      </c>
      <c r="P14" s="51" t="s">
        <v>20</v>
      </c>
      <c r="Q14" s="51" t="s">
        <v>20</v>
      </c>
      <c r="R14" s="52" t="s">
        <v>20</v>
      </c>
      <c r="S14" s="51" t="s">
        <v>19</v>
      </c>
      <c r="T14" s="51" t="s">
        <v>20</v>
      </c>
      <c r="U14" s="51" t="s">
        <v>20</v>
      </c>
      <c r="V14" s="51" t="s">
        <v>19</v>
      </c>
      <c r="W14" s="51" t="s">
        <v>19</v>
      </c>
      <c r="X14" s="52" t="s">
        <v>20</v>
      </c>
      <c r="Y14" s="52" t="s">
        <v>19</v>
      </c>
      <c r="Z14" s="39" t="s">
        <v>20</v>
      </c>
      <c r="AA14" s="39" t="s">
        <v>20</v>
      </c>
      <c r="AB14" s="39" t="s">
        <v>21</v>
      </c>
      <c r="AC14" s="52" t="s">
        <v>19</v>
      </c>
      <c r="AD14" s="52" t="s">
        <v>20</v>
      </c>
    </row>
    <row r="15" spans="1:38" x14ac:dyDescent="0.25">
      <c r="A15" s="89">
        <v>10</v>
      </c>
      <c r="B15" s="90" t="s">
        <v>216</v>
      </c>
      <c r="C15" s="89">
        <v>1</v>
      </c>
      <c r="D15" s="89" t="s">
        <v>19</v>
      </c>
      <c r="E15" s="51" t="s">
        <v>20</v>
      </c>
      <c r="F15" s="51" t="s">
        <v>20</v>
      </c>
      <c r="G15" s="51" t="s">
        <v>20</v>
      </c>
      <c r="H15" s="51" t="s">
        <v>20</v>
      </c>
      <c r="I15" s="51" t="s">
        <v>20</v>
      </c>
      <c r="J15" s="51" t="s">
        <v>20</v>
      </c>
      <c r="K15" s="51" t="s">
        <v>20</v>
      </c>
      <c r="L15" s="52" t="s">
        <v>20</v>
      </c>
      <c r="M15" s="52" t="s">
        <v>20</v>
      </c>
      <c r="N15" s="52" t="s">
        <v>19</v>
      </c>
      <c r="O15" s="52" t="s">
        <v>20</v>
      </c>
      <c r="P15" s="51" t="s">
        <v>20</v>
      </c>
      <c r="Q15" s="51" t="s">
        <v>20</v>
      </c>
      <c r="R15" s="52" t="s">
        <v>19</v>
      </c>
      <c r="S15" s="51" t="s">
        <v>20</v>
      </c>
      <c r="T15" s="51" t="s">
        <v>20</v>
      </c>
      <c r="U15" s="51" t="s">
        <v>19</v>
      </c>
      <c r="V15" s="51" t="s">
        <v>19</v>
      </c>
      <c r="W15" s="51" t="s">
        <v>19</v>
      </c>
      <c r="X15" s="52" t="s">
        <v>20</v>
      </c>
      <c r="Y15" s="52" t="s">
        <v>19</v>
      </c>
      <c r="Z15" s="39" t="s">
        <v>20</v>
      </c>
      <c r="AA15" s="39" t="s">
        <v>20</v>
      </c>
      <c r="AB15" s="39" t="s">
        <v>21</v>
      </c>
      <c r="AC15" s="52" t="s">
        <v>20</v>
      </c>
      <c r="AD15" s="52" t="s">
        <v>20</v>
      </c>
    </row>
    <row r="16" spans="1:38" x14ac:dyDescent="0.25">
      <c r="A16" s="89">
        <v>11</v>
      </c>
      <c r="B16" s="90" t="s">
        <v>217</v>
      </c>
      <c r="C16" s="89">
        <v>1</v>
      </c>
      <c r="D16" s="89" t="s">
        <v>19</v>
      </c>
      <c r="E16" s="51" t="s">
        <v>20</v>
      </c>
      <c r="F16" s="51" t="s">
        <v>20</v>
      </c>
      <c r="G16" s="51" t="s">
        <v>20</v>
      </c>
      <c r="H16" s="51" t="s">
        <v>20</v>
      </c>
      <c r="I16" s="51" t="s">
        <v>19</v>
      </c>
      <c r="J16" s="51" t="s">
        <v>19</v>
      </c>
      <c r="K16" s="51" t="s">
        <v>19</v>
      </c>
      <c r="L16" s="52" t="s">
        <v>20</v>
      </c>
      <c r="M16" s="52" t="s">
        <v>20</v>
      </c>
      <c r="N16" s="52" t="s">
        <v>19</v>
      </c>
      <c r="O16" s="52" t="s">
        <v>20</v>
      </c>
      <c r="P16" s="51" t="s">
        <v>20</v>
      </c>
      <c r="Q16" s="51" t="s">
        <v>21</v>
      </c>
      <c r="R16" s="52" t="s">
        <v>20</v>
      </c>
      <c r="S16" s="51" t="s">
        <v>19</v>
      </c>
      <c r="T16" s="51" t="s">
        <v>20</v>
      </c>
      <c r="U16" s="51" t="s">
        <v>19</v>
      </c>
      <c r="V16" s="51" t="s">
        <v>20</v>
      </c>
      <c r="W16" s="51" t="s">
        <v>19</v>
      </c>
      <c r="X16" s="52" t="s">
        <v>19</v>
      </c>
      <c r="Y16" s="52" t="s">
        <v>19</v>
      </c>
      <c r="Z16" s="39" t="s">
        <v>20</v>
      </c>
      <c r="AA16" s="39" t="s">
        <v>20</v>
      </c>
      <c r="AB16" s="39" t="s">
        <v>21</v>
      </c>
      <c r="AC16" s="52" t="s">
        <v>20</v>
      </c>
      <c r="AD16" s="52" t="s">
        <v>20</v>
      </c>
    </row>
    <row r="17" spans="1:33" x14ac:dyDescent="0.25">
      <c r="A17" s="89">
        <v>12</v>
      </c>
      <c r="B17" s="90" t="s">
        <v>218</v>
      </c>
      <c r="C17" s="89">
        <v>1</v>
      </c>
      <c r="D17" s="89" t="s">
        <v>19</v>
      </c>
      <c r="E17" s="51" t="s">
        <v>20</v>
      </c>
      <c r="F17" s="51" t="s">
        <v>20</v>
      </c>
      <c r="G17" s="51" t="s">
        <v>20</v>
      </c>
      <c r="H17" s="51" t="s">
        <v>21</v>
      </c>
      <c r="I17" s="51" t="s">
        <v>20</v>
      </c>
      <c r="J17" s="51" t="s">
        <v>20</v>
      </c>
      <c r="K17" s="51" t="s">
        <v>20</v>
      </c>
      <c r="L17" s="52" t="s">
        <v>20</v>
      </c>
      <c r="M17" s="52" t="s">
        <v>20</v>
      </c>
      <c r="N17" s="52" t="s">
        <v>20</v>
      </c>
      <c r="O17" s="52" t="s">
        <v>20</v>
      </c>
      <c r="P17" s="51" t="s">
        <v>20</v>
      </c>
      <c r="Q17" s="51" t="s">
        <v>20</v>
      </c>
      <c r="R17" s="52" t="s">
        <v>21</v>
      </c>
      <c r="S17" s="51" t="s">
        <v>21</v>
      </c>
      <c r="T17" s="51" t="s">
        <v>20</v>
      </c>
      <c r="U17" s="51" t="s">
        <v>20</v>
      </c>
      <c r="V17" s="51" t="s">
        <v>20</v>
      </c>
      <c r="W17" s="51" t="s">
        <v>19</v>
      </c>
      <c r="X17" s="52" t="s">
        <v>19</v>
      </c>
      <c r="Y17" s="52" t="s">
        <v>19</v>
      </c>
      <c r="Z17" s="39" t="s">
        <v>21</v>
      </c>
      <c r="AA17" s="39" t="s">
        <v>21</v>
      </c>
      <c r="AB17" s="39" t="s">
        <v>21</v>
      </c>
      <c r="AC17" s="52" t="s">
        <v>21</v>
      </c>
      <c r="AD17" s="52" t="s">
        <v>20</v>
      </c>
    </row>
    <row r="18" spans="1:33" x14ac:dyDescent="0.25">
      <c r="A18" s="89">
        <v>13</v>
      </c>
      <c r="B18" s="90" t="s">
        <v>219</v>
      </c>
      <c r="C18" s="89">
        <v>1</v>
      </c>
      <c r="D18" s="89" t="s">
        <v>19</v>
      </c>
      <c r="E18" s="51" t="s">
        <v>20</v>
      </c>
      <c r="F18" s="51" t="s">
        <v>20</v>
      </c>
      <c r="G18" s="51" t="s">
        <v>21</v>
      </c>
      <c r="H18" s="51" t="s">
        <v>20</v>
      </c>
      <c r="I18" s="51" t="s">
        <v>20</v>
      </c>
      <c r="J18" s="51" t="s">
        <v>20</v>
      </c>
      <c r="K18" s="51" t="s">
        <v>20</v>
      </c>
      <c r="L18" s="52" t="s">
        <v>20</v>
      </c>
      <c r="M18" s="52" t="s">
        <v>20</v>
      </c>
      <c r="N18" s="52" t="s">
        <v>20</v>
      </c>
      <c r="O18" s="52" t="s">
        <v>20</v>
      </c>
      <c r="P18" s="51" t="s">
        <v>20</v>
      </c>
      <c r="Q18" s="51" t="s">
        <v>20</v>
      </c>
      <c r="R18" s="52" t="s">
        <v>21</v>
      </c>
      <c r="S18" s="51" t="s">
        <v>21</v>
      </c>
      <c r="T18" s="51" t="s">
        <v>20</v>
      </c>
      <c r="U18" s="51" t="s">
        <v>20</v>
      </c>
      <c r="V18" s="51" t="s">
        <v>20</v>
      </c>
      <c r="W18" s="51" t="s">
        <v>19</v>
      </c>
      <c r="X18" s="52" t="s">
        <v>19</v>
      </c>
      <c r="Y18" s="52" t="s">
        <v>19</v>
      </c>
      <c r="Z18" s="39" t="s">
        <v>20</v>
      </c>
      <c r="AA18" s="39" t="s">
        <v>20</v>
      </c>
      <c r="AB18" s="39" t="s">
        <v>21</v>
      </c>
      <c r="AC18" s="52" t="s">
        <v>20</v>
      </c>
      <c r="AD18" s="52" t="s">
        <v>20</v>
      </c>
    </row>
    <row r="19" spans="1:33" x14ac:dyDescent="0.25">
      <c r="A19" s="89">
        <v>14</v>
      </c>
      <c r="B19" s="90" t="s">
        <v>220</v>
      </c>
      <c r="C19" s="89">
        <v>1</v>
      </c>
      <c r="D19" s="89" t="s">
        <v>19</v>
      </c>
      <c r="E19" s="51" t="s">
        <v>20</v>
      </c>
      <c r="F19" s="51" t="s">
        <v>21</v>
      </c>
      <c r="G19" s="51" t="s">
        <v>20</v>
      </c>
      <c r="H19" s="51" t="s">
        <v>20</v>
      </c>
      <c r="I19" s="51" t="s">
        <v>20</v>
      </c>
      <c r="J19" s="51" t="s">
        <v>20</v>
      </c>
      <c r="K19" s="51" t="s">
        <v>20</v>
      </c>
      <c r="L19" s="52" t="s">
        <v>20</v>
      </c>
      <c r="M19" s="52" t="s">
        <v>20</v>
      </c>
      <c r="N19" s="52" t="s">
        <v>20</v>
      </c>
      <c r="O19" s="52" t="s">
        <v>20</v>
      </c>
      <c r="P19" s="51" t="s">
        <v>20</v>
      </c>
      <c r="Q19" s="51" t="s">
        <v>20</v>
      </c>
      <c r="R19" s="52" t="s">
        <v>21</v>
      </c>
      <c r="S19" s="51" t="s">
        <v>21</v>
      </c>
      <c r="T19" s="51" t="s">
        <v>20</v>
      </c>
      <c r="U19" s="51" t="s">
        <v>19</v>
      </c>
      <c r="V19" s="51" t="s">
        <v>20</v>
      </c>
      <c r="W19" s="51" t="s">
        <v>19</v>
      </c>
      <c r="X19" s="52" t="s">
        <v>20</v>
      </c>
      <c r="Y19" s="52" t="s">
        <v>19</v>
      </c>
      <c r="Z19" s="39" t="s">
        <v>20</v>
      </c>
      <c r="AA19" s="39" t="s">
        <v>21</v>
      </c>
      <c r="AB19" s="39" t="s">
        <v>21</v>
      </c>
      <c r="AC19" s="52" t="s">
        <v>20</v>
      </c>
      <c r="AD19" s="52" t="s">
        <v>20</v>
      </c>
    </row>
    <row r="20" spans="1:33" x14ac:dyDescent="0.25">
      <c r="A20" s="89">
        <v>15</v>
      </c>
      <c r="B20" s="90" t="s">
        <v>221</v>
      </c>
      <c r="C20" s="89">
        <v>1</v>
      </c>
      <c r="D20" s="89" t="s">
        <v>19</v>
      </c>
      <c r="E20" s="51" t="s">
        <v>20</v>
      </c>
      <c r="F20" s="51" t="s">
        <v>20</v>
      </c>
      <c r="G20" s="51" t="s">
        <v>20</v>
      </c>
      <c r="H20" s="51" t="s">
        <v>20</v>
      </c>
      <c r="I20" s="51" t="s">
        <v>20</v>
      </c>
      <c r="J20" s="51" t="s">
        <v>20</v>
      </c>
      <c r="K20" s="51" t="s">
        <v>20</v>
      </c>
      <c r="L20" s="52" t="s">
        <v>19</v>
      </c>
      <c r="M20" s="52" t="s">
        <v>20</v>
      </c>
      <c r="N20" s="52" t="s">
        <v>19</v>
      </c>
      <c r="O20" s="52" t="s">
        <v>20</v>
      </c>
      <c r="P20" s="51" t="s">
        <v>20</v>
      </c>
      <c r="Q20" s="51" t="s">
        <v>20</v>
      </c>
      <c r="R20" s="52" t="s">
        <v>19</v>
      </c>
      <c r="S20" s="51" t="s">
        <v>20</v>
      </c>
      <c r="T20" s="51" t="s">
        <v>20</v>
      </c>
      <c r="U20" s="51" t="s">
        <v>20</v>
      </c>
      <c r="V20" s="51" t="s">
        <v>19</v>
      </c>
      <c r="W20" s="51" t="s">
        <v>19</v>
      </c>
      <c r="X20" s="52" t="s">
        <v>19</v>
      </c>
      <c r="Y20" s="52" t="s">
        <v>19</v>
      </c>
      <c r="Z20" s="39" t="s">
        <v>20</v>
      </c>
      <c r="AA20" s="39" t="s">
        <v>20</v>
      </c>
      <c r="AB20" s="39" t="s">
        <v>21</v>
      </c>
      <c r="AC20" s="52" t="s">
        <v>19</v>
      </c>
      <c r="AD20" s="52" t="s">
        <v>20</v>
      </c>
    </row>
    <row r="21" spans="1:33" ht="15.75" customHeight="1" x14ac:dyDescent="0.25">
      <c r="A21" s="89">
        <v>16</v>
      </c>
      <c r="B21" s="90" t="s">
        <v>222</v>
      </c>
      <c r="C21" s="89">
        <v>1</v>
      </c>
      <c r="D21" s="89" t="s">
        <v>19</v>
      </c>
      <c r="E21" s="51" t="s">
        <v>20</v>
      </c>
      <c r="F21" s="51" t="s">
        <v>20</v>
      </c>
      <c r="G21" s="51" t="s">
        <v>20</v>
      </c>
      <c r="H21" s="51" t="s">
        <v>20</v>
      </c>
      <c r="I21" s="51" t="s">
        <v>19</v>
      </c>
      <c r="J21" s="51" t="s">
        <v>19</v>
      </c>
      <c r="K21" s="51" t="s">
        <v>19</v>
      </c>
      <c r="L21" s="52" t="s">
        <v>19</v>
      </c>
      <c r="M21" s="52" t="s">
        <v>19</v>
      </c>
      <c r="N21" s="52" t="s">
        <v>19</v>
      </c>
      <c r="O21" s="52" t="s">
        <v>19</v>
      </c>
      <c r="P21" s="51" t="s">
        <v>19</v>
      </c>
      <c r="Q21" s="51" t="s">
        <v>19</v>
      </c>
      <c r="R21" s="52" t="s">
        <v>19</v>
      </c>
      <c r="S21" s="51" t="s">
        <v>19</v>
      </c>
      <c r="T21" s="51" t="s">
        <v>19</v>
      </c>
      <c r="U21" s="51" t="s">
        <v>19</v>
      </c>
      <c r="V21" s="51" t="s">
        <v>19</v>
      </c>
      <c r="W21" s="51" t="s">
        <v>19</v>
      </c>
      <c r="X21" s="52" t="s">
        <v>19</v>
      </c>
      <c r="Y21" s="52" t="s">
        <v>19</v>
      </c>
      <c r="Z21" s="39" t="s">
        <v>19</v>
      </c>
      <c r="AA21" s="39" t="s">
        <v>20</v>
      </c>
      <c r="AB21" s="39" t="s">
        <v>19</v>
      </c>
      <c r="AC21" s="52" t="s">
        <v>19</v>
      </c>
      <c r="AD21" s="52" t="s">
        <v>20</v>
      </c>
    </row>
    <row r="22" spans="1:33" ht="15.75" customHeight="1" x14ac:dyDescent="0.25">
      <c r="A22" s="89">
        <v>17</v>
      </c>
      <c r="B22" s="90" t="s">
        <v>223</v>
      </c>
      <c r="C22" s="89">
        <v>1</v>
      </c>
      <c r="D22" s="89" t="s">
        <v>19</v>
      </c>
      <c r="E22" s="51" t="s">
        <v>19</v>
      </c>
      <c r="F22" s="51" t="s">
        <v>19</v>
      </c>
      <c r="G22" s="51" t="s">
        <v>20</v>
      </c>
      <c r="H22" s="51" t="s">
        <v>19</v>
      </c>
      <c r="I22" s="51" t="s">
        <v>19</v>
      </c>
      <c r="J22" s="51" t="s">
        <v>19</v>
      </c>
      <c r="K22" s="51" t="s">
        <v>19</v>
      </c>
      <c r="L22" s="52" t="s">
        <v>19</v>
      </c>
      <c r="M22" s="52" t="s">
        <v>20</v>
      </c>
      <c r="N22" s="52" t="s">
        <v>19</v>
      </c>
      <c r="O22" s="52" t="s">
        <v>19</v>
      </c>
      <c r="P22" s="51" t="s">
        <v>19</v>
      </c>
      <c r="Q22" s="51" t="s">
        <v>20</v>
      </c>
      <c r="R22" s="52" t="s">
        <v>19</v>
      </c>
      <c r="S22" s="51" t="s">
        <v>19</v>
      </c>
      <c r="T22" s="51" t="s">
        <v>19</v>
      </c>
      <c r="U22" s="51" t="s">
        <v>19</v>
      </c>
      <c r="V22" s="51" t="s">
        <v>19</v>
      </c>
      <c r="W22" s="51" t="s">
        <v>19</v>
      </c>
      <c r="X22" s="52" t="s">
        <v>19</v>
      </c>
      <c r="Y22" s="52" t="s">
        <v>19</v>
      </c>
      <c r="Z22" s="39" t="s">
        <v>19</v>
      </c>
      <c r="AA22" s="39" t="s">
        <v>22</v>
      </c>
      <c r="AB22" s="39" t="s">
        <v>19</v>
      </c>
      <c r="AC22" s="52" t="s">
        <v>19</v>
      </c>
      <c r="AD22" s="52" t="s">
        <v>20</v>
      </c>
    </row>
    <row r="23" spans="1:33" ht="15.75" customHeight="1" thickBot="1" x14ac:dyDescent="0.3">
      <c r="A23" s="91">
        <v>18</v>
      </c>
      <c r="B23" s="92" t="s">
        <v>224</v>
      </c>
      <c r="C23" s="91">
        <v>1</v>
      </c>
      <c r="D23" s="91" t="s">
        <v>19</v>
      </c>
      <c r="E23" s="87" t="s">
        <v>20</v>
      </c>
      <c r="F23" s="87" t="s">
        <v>20</v>
      </c>
      <c r="G23" s="87" t="s">
        <v>20</v>
      </c>
      <c r="H23" s="87" t="s">
        <v>20</v>
      </c>
      <c r="I23" s="87" t="s">
        <v>20</v>
      </c>
      <c r="J23" s="87" t="s">
        <v>20</v>
      </c>
      <c r="K23" s="87" t="s">
        <v>20</v>
      </c>
      <c r="L23" s="88" t="s">
        <v>20</v>
      </c>
      <c r="M23" s="88" t="s">
        <v>20</v>
      </c>
      <c r="N23" s="88" t="s">
        <v>19</v>
      </c>
      <c r="O23" s="88" t="s">
        <v>20</v>
      </c>
      <c r="P23" s="87" t="s">
        <v>20</v>
      </c>
      <c r="Q23" s="87" t="s">
        <v>20</v>
      </c>
      <c r="R23" s="88" t="s">
        <v>21</v>
      </c>
      <c r="S23" s="87" t="s">
        <v>21</v>
      </c>
      <c r="T23" s="87" t="s">
        <v>19</v>
      </c>
      <c r="U23" s="87" t="s">
        <v>20</v>
      </c>
      <c r="V23" s="87" t="s">
        <v>19</v>
      </c>
      <c r="W23" s="87" t="s">
        <v>19</v>
      </c>
      <c r="X23" s="88" t="s">
        <v>19</v>
      </c>
      <c r="Y23" s="88" t="s">
        <v>19</v>
      </c>
      <c r="Z23" s="41" t="s">
        <v>20</v>
      </c>
      <c r="AA23" s="41" t="s">
        <v>20</v>
      </c>
      <c r="AB23" s="41" t="s">
        <v>21</v>
      </c>
      <c r="AC23" s="88" t="s">
        <v>20</v>
      </c>
      <c r="AD23" s="88" t="s">
        <v>20</v>
      </c>
    </row>
    <row r="24" spans="1:33" ht="15.75" customHeight="1" x14ac:dyDescent="0.25">
      <c r="A24" s="82">
        <v>1</v>
      </c>
      <c r="B24" s="40" t="s">
        <v>225</v>
      </c>
      <c r="C24" s="82">
        <v>1</v>
      </c>
      <c r="D24" s="82" t="s">
        <v>20</v>
      </c>
      <c r="E24" s="83" t="s">
        <v>22</v>
      </c>
      <c r="F24" s="83" t="s">
        <v>19</v>
      </c>
      <c r="G24" s="83" t="s">
        <v>19</v>
      </c>
      <c r="H24" s="83" t="s">
        <v>19</v>
      </c>
      <c r="I24" s="83" t="s">
        <v>19</v>
      </c>
      <c r="J24" s="83" t="s">
        <v>19</v>
      </c>
      <c r="K24" s="83" t="s">
        <v>19</v>
      </c>
      <c r="L24" s="84" t="s">
        <v>19</v>
      </c>
      <c r="M24" s="84" t="s">
        <v>19</v>
      </c>
      <c r="N24" s="84" t="s">
        <v>19</v>
      </c>
      <c r="O24" s="84" t="s">
        <v>19</v>
      </c>
      <c r="P24" s="83" t="s">
        <v>19</v>
      </c>
      <c r="Q24" s="83" t="s">
        <v>19</v>
      </c>
      <c r="R24" s="84" t="s">
        <v>19</v>
      </c>
      <c r="S24" s="83" t="s">
        <v>19</v>
      </c>
      <c r="T24" s="83" t="s">
        <v>19</v>
      </c>
      <c r="U24" s="83" t="s">
        <v>19</v>
      </c>
      <c r="V24" s="83" t="s">
        <v>19</v>
      </c>
      <c r="W24" s="83" t="s">
        <v>19</v>
      </c>
      <c r="X24" s="84" t="s">
        <v>19</v>
      </c>
      <c r="Y24" s="84" t="s">
        <v>19</v>
      </c>
      <c r="Z24" s="85" t="s">
        <v>19</v>
      </c>
      <c r="AA24" s="85" t="s">
        <v>19</v>
      </c>
      <c r="AB24" s="86" t="s">
        <v>19</v>
      </c>
      <c r="AC24" s="84" t="s">
        <v>19</v>
      </c>
      <c r="AD24" s="84" t="s">
        <v>20</v>
      </c>
    </row>
    <row r="25" spans="1:33" ht="15.75" customHeight="1" x14ac:dyDescent="0.25">
      <c r="A25" s="20">
        <v>2</v>
      </c>
      <c r="B25" s="37" t="s">
        <v>226</v>
      </c>
      <c r="C25" s="20">
        <v>1</v>
      </c>
      <c r="D25" s="20" t="s">
        <v>20</v>
      </c>
      <c r="E25" s="51" t="s">
        <v>20</v>
      </c>
      <c r="F25" s="51" t="s">
        <v>20</v>
      </c>
      <c r="G25" s="51" t="s">
        <v>20</v>
      </c>
      <c r="H25" s="51" t="s">
        <v>20</v>
      </c>
      <c r="I25" s="51" t="s">
        <v>19</v>
      </c>
      <c r="J25" s="51" t="s">
        <v>20</v>
      </c>
      <c r="K25" s="51" t="s">
        <v>20</v>
      </c>
      <c r="L25" s="52" t="s">
        <v>19</v>
      </c>
      <c r="M25" s="52" t="s">
        <v>19</v>
      </c>
      <c r="N25" s="52" t="s">
        <v>19</v>
      </c>
      <c r="O25" s="52" t="s">
        <v>19</v>
      </c>
      <c r="P25" s="51" t="s">
        <v>19</v>
      </c>
      <c r="Q25" s="51" t="s">
        <v>20</v>
      </c>
      <c r="R25" s="52" t="s">
        <v>19</v>
      </c>
      <c r="S25" s="51" t="s">
        <v>19</v>
      </c>
      <c r="T25" s="51" t="s">
        <v>20</v>
      </c>
      <c r="U25" s="51" t="s">
        <v>19</v>
      </c>
      <c r="V25" s="51" t="s">
        <v>19</v>
      </c>
      <c r="W25" s="51" t="s">
        <v>19</v>
      </c>
      <c r="X25" s="52" t="s">
        <v>19</v>
      </c>
      <c r="Y25" s="52" t="s">
        <v>19</v>
      </c>
      <c r="Z25" s="61" t="s">
        <v>19</v>
      </c>
      <c r="AA25" s="61" t="s">
        <v>20</v>
      </c>
      <c r="AB25" s="39" t="s">
        <v>19</v>
      </c>
      <c r="AC25" s="52" t="s">
        <v>19</v>
      </c>
      <c r="AD25" s="52" t="s">
        <v>20</v>
      </c>
    </row>
    <row r="26" spans="1:33" ht="15.75" customHeight="1" thickBot="1" x14ac:dyDescent="0.3">
      <c r="A26" s="20">
        <v>3</v>
      </c>
      <c r="B26" s="37" t="s">
        <v>227</v>
      </c>
      <c r="C26" s="20">
        <v>1</v>
      </c>
      <c r="D26" s="20" t="s">
        <v>20</v>
      </c>
      <c r="E26" s="51" t="s">
        <v>20</v>
      </c>
      <c r="F26" s="51" t="s">
        <v>19</v>
      </c>
      <c r="G26" s="51" t="s">
        <v>20</v>
      </c>
      <c r="H26" s="51" t="s">
        <v>20</v>
      </c>
      <c r="I26" s="51" t="s">
        <v>20</v>
      </c>
      <c r="J26" s="51" t="s">
        <v>19</v>
      </c>
      <c r="K26" s="51" t="s">
        <v>20</v>
      </c>
      <c r="L26" s="52" t="s">
        <v>19</v>
      </c>
      <c r="M26" s="52" t="s">
        <v>19</v>
      </c>
      <c r="N26" s="52" t="s">
        <v>19</v>
      </c>
      <c r="O26" s="52" t="s">
        <v>19</v>
      </c>
      <c r="P26" s="51" t="s">
        <v>20</v>
      </c>
      <c r="Q26" s="51" t="s">
        <v>20</v>
      </c>
      <c r="R26" s="52" t="s">
        <v>19</v>
      </c>
      <c r="S26" s="51" t="s">
        <v>19</v>
      </c>
      <c r="T26" s="51" t="s">
        <v>20</v>
      </c>
      <c r="U26" s="51" t="s">
        <v>19</v>
      </c>
      <c r="V26" s="51" t="s">
        <v>19</v>
      </c>
      <c r="W26" s="51" t="s">
        <v>19</v>
      </c>
      <c r="X26" s="52" t="s">
        <v>19</v>
      </c>
      <c r="Y26" s="52" t="s">
        <v>19</v>
      </c>
      <c r="Z26" s="61" t="s">
        <v>19</v>
      </c>
      <c r="AA26" s="61" t="s">
        <v>20</v>
      </c>
      <c r="AB26" s="39" t="s">
        <v>20</v>
      </c>
      <c r="AC26" s="52" t="s">
        <v>19</v>
      </c>
      <c r="AD26" s="52" t="s">
        <v>20</v>
      </c>
    </row>
    <row r="27" spans="1:33" ht="15.75" customHeight="1" x14ac:dyDescent="0.25">
      <c r="A27" s="20">
        <v>4</v>
      </c>
      <c r="B27" s="37" t="s">
        <v>228</v>
      </c>
      <c r="C27" s="20">
        <v>1</v>
      </c>
      <c r="D27" s="20" t="s">
        <v>20</v>
      </c>
      <c r="E27" s="51" t="s">
        <v>19</v>
      </c>
      <c r="F27" s="51" t="s">
        <v>19</v>
      </c>
      <c r="G27" s="51" t="s">
        <v>19</v>
      </c>
      <c r="H27" s="51" t="s">
        <v>19</v>
      </c>
      <c r="I27" s="51" t="s">
        <v>20</v>
      </c>
      <c r="J27" s="51" t="s">
        <v>20</v>
      </c>
      <c r="K27" s="51" t="s">
        <v>20</v>
      </c>
      <c r="L27" s="51" t="s">
        <v>20</v>
      </c>
      <c r="M27" s="51" t="s">
        <v>19</v>
      </c>
      <c r="N27" s="51" t="s">
        <v>19</v>
      </c>
      <c r="O27" s="51" t="s">
        <v>20</v>
      </c>
      <c r="P27" s="51" t="s">
        <v>20</v>
      </c>
      <c r="Q27" s="51" t="s">
        <v>20</v>
      </c>
      <c r="R27" s="51" t="s">
        <v>19</v>
      </c>
      <c r="S27" s="51" t="s">
        <v>19</v>
      </c>
      <c r="T27" s="51" t="s">
        <v>20</v>
      </c>
      <c r="U27" s="51" t="s">
        <v>19</v>
      </c>
      <c r="V27" s="51" t="s">
        <v>19</v>
      </c>
      <c r="W27" s="51" t="s">
        <v>19</v>
      </c>
      <c r="X27" s="52" t="s">
        <v>20</v>
      </c>
      <c r="Y27" s="51" t="s">
        <v>19</v>
      </c>
      <c r="Z27" s="61" t="s">
        <v>20</v>
      </c>
      <c r="AA27" s="61" t="s">
        <v>20</v>
      </c>
      <c r="AB27" s="39" t="s">
        <v>20</v>
      </c>
      <c r="AC27" s="53" t="s">
        <v>20</v>
      </c>
      <c r="AD27" s="53" t="s">
        <v>20</v>
      </c>
      <c r="AF27" s="29" t="s">
        <v>22</v>
      </c>
      <c r="AG27" s="17">
        <f>COUNTIF(E24:AD43,"AD")</f>
        <v>2</v>
      </c>
    </row>
    <row r="28" spans="1:33" ht="15.75" customHeight="1" x14ac:dyDescent="0.25">
      <c r="A28" s="20">
        <v>5</v>
      </c>
      <c r="B28" s="37" t="s">
        <v>229</v>
      </c>
      <c r="C28" s="20">
        <v>1</v>
      </c>
      <c r="D28" s="20" t="s">
        <v>20</v>
      </c>
      <c r="E28" s="51" t="s">
        <v>20</v>
      </c>
      <c r="F28" s="51" t="s">
        <v>20</v>
      </c>
      <c r="G28" s="51" t="s">
        <v>19</v>
      </c>
      <c r="H28" s="51" t="s">
        <v>20</v>
      </c>
      <c r="I28" s="51" t="s">
        <v>20</v>
      </c>
      <c r="J28" s="51" t="s">
        <v>20</v>
      </c>
      <c r="K28" s="51" t="s">
        <v>20</v>
      </c>
      <c r="L28" s="51" t="s">
        <v>19</v>
      </c>
      <c r="M28" s="51" t="s">
        <v>20</v>
      </c>
      <c r="N28" s="51" t="s">
        <v>19</v>
      </c>
      <c r="O28" s="51" t="s">
        <v>20</v>
      </c>
      <c r="P28" s="51" t="s">
        <v>20</v>
      </c>
      <c r="Q28" s="51" t="s">
        <v>20</v>
      </c>
      <c r="R28" s="51" t="s">
        <v>19</v>
      </c>
      <c r="S28" s="51" t="s">
        <v>19</v>
      </c>
      <c r="T28" s="51" t="s">
        <v>20</v>
      </c>
      <c r="U28" s="51" t="s">
        <v>19</v>
      </c>
      <c r="V28" s="51" t="s">
        <v>19</v>
      </c>
      <c r="W28" s="51" t="s">
        <v>19</v>
      </c>
      <c r="X28" s="52" t="s">
        <v>20</v>
      </c>
      <c r="Y28" s="51" t="s">
        <v>19</v>
      </c>
      <c r="Z28" s="61" t="s">
        <v>19</v>
      </c>
      <c r="AA28" s="61" t="s">
        <v>19</v>
      </c>
      <c r="AB28" s="39" t="s">
        <v>20</v>
      </c>
      <c r="AC28" s="53" t="s">
        <v>20</v>
      </c>
      <c r="AD28" s="53" t="s">
        <v>20</v>
      </c>
      <c r="AF28" s="30" t="s">
        <v>19</v>
      </c>
      <c r="AG28" s="18">
        <f>COUNTIF(E24:AD43,"A")</f>
        <v>288</v>
      </c>
    </row>
    <row r="29" spans="1:33" ht="15.75" customHeight="1" x14ac:dyDescent="0.25">
      <c r="A29" s="20">
        <v>6</v>
      </c>
      <c r="B29" s="37" t="s">
        <v>230</v>
      </c>
      <c r="C29" s="20">
        <v>1</v>
      </c>
      <c r="D29" s="20" t="s">
        <v>20</v>
      </c>
      <c r="E29" s="51" t="s">
        <v>19</v>
      </c>
      <c r="F29" s="51" t="s">
        <v>19</v>
      </c>
      <c r="G29" s="51" t="s">
        <v>20</v>
      </c>
      <c r="H29" s="51" t="s">
        <v>19</v>
      </c>
      <c r="I29" s="51" t="s">
        <v>20</v>
      </c>
      <c r="J29" s="51" t="s">
        <v>19</v>
      </c>
      <c r="K29" s="51" t="s">
        <v>20</v>
      </c>
      <c r="L29" s="51" t="s">
        <v>19</v>
      </c>
      <c r="M29" s="51" t="s">
        <v>20</v>
      </c>
      <c r="N29" s="51" t="s">
        <v>19</v>
      </c>
      <c r="O29" s="51" t="s">
        <v>20</v>
      </c>
      <c r="P29" s="51" t="s">
        <v>20</v>
      </c>
      <c r="Q29" s="51" t="s">
        <v>20</v>
      </c>
      <c r="R29" s="51" t="s">
        <v>20</v>
      </c>
      <c r="S29" s="51" t="s">
        <v>19</v>
      </c>
      <c r="T29" s="51" t="s">
        <v>20</v>
      </c>
      <c r="U29" s="51" t="s">
        <v>19</v>
      </c>
      <c r="V29" s="51" t="s">
        <v>19</v>
      </c>
      <c r="W29" s="51" t="s">
        <v>19</v>
      </c>
      <c r="X29" s="52" t="s">
        <v>19</v>
      </c>
      <c r="Y29" s="51" t="s">
        <v>19</v>
      </c>
      <c r="Z29" s="61" t="s">
        <v>19</v>
      </c>
      <c r="AA29" s="61" t="s">
        <v>19</v>
      </c>
      <c r="AB29" s="39" t="s">
        <v>19</v>
      </c>
      <c r="AC29" s="53" t="s">
        <v>20</v>
      </c>
      <c r="AD29" s="53" t="s">
        <v>20</v>
      </c>
      <c r="AF29" s="30" t="s">
        <v>20</v>
      </c>
      <c r="AG29" s="18">
        <f>COUNTIF(E24:AD43,"B")</f>
        <v>224</v>
      </c>
    </row>
    <row r="30" spans="1:33" ht="15.75" customHeight="1" thickBot="1" x14ac:dyDescent="0.3">
      <c r="A30" s="20">
        <v>7</v>
      </c>
      <c r="B30" s="37" t="s">
        <v>231</v>
      </c>
      <c r="C30" s="20">
        <v>1</v>
      </c>
      <c r="D30" s="20" t="s">
        <v>20</v>
      </c>
      <c r="E30" s="51" t="s">
        <v>20</v>
      </c>
      <c r="F30" s="51" t="s">
        <v>20</v>
      </c>
      <c r="G30" s="51" t="s">
        <v>19</v>
      </c>
      <c r="H30" s="51" t="s">
        <v>20</v>
      </c>
      <c r="I30" s="51" t="s">
        <v>19</v>
      </c>
      <c r="J30" s="51" t="s">
        <v>19</v>
      </c>
      <c r="K30" s="51" t="s">
        <v>20</v>
      </c>
      <c r="L30" s="51" t="s">
        <v>19</v>
      </c>
      <c r="M30" s="51" t="s">
        <v>20</v>
      </c>
      <c r="N30" s="51" t="s">
        <v>19</v>
      </c>
      <c r="O30" s="51" t="s">
        <v>19</v>
      </c>
      <c r="P30" s="51" t="s">
        <v>20</v>
      </c>
      <c r="Q30" s="51" t="s">
        <v>19</v>
      </c>
      <c r="R30" s="51" t="s">
        <v>19</v>
      </c>
      <c r="S30" s="51" t="s">
        <v>19</v>
      </c>
      <c r="T30" s="51" t="s">
        <v>20</v>
      </c>
      <c r="U30" s="51" t="s">
        <v>19</v>
      </c>
      <c r="V30" s="51" t="s">
        <v>19</v>
      </c>
      <c r="W30" s="51" t="s">
        <v>20</v>
      </c>
      <c r="X30" s="52" t="s">
        <v>19</v>
      </c>
      <c r="Y30" s="51" t="s">
        <v>19</v>
      </c>
      <c r="Z30" s="61" t="s">
        <v>19</v>
      </c>
      <c r="AA30" s="61" t="s">
        <v>19</v>
      </c>
      <c r="AB30" s="39" t="s">
        <v>19</v>
      </c>
      <c r="AC30" s="53" t="s">
        <v>20</v>
      </c>
      <c r="AD30" s="53" t="s">
        <v>20</v>
      </c>
      <c r="AF30" s="31" t="s">
        <v>21</v>
      </c>
      <c r="AG30" s="19">
        <f>COUNTIF(E24:AD43,"C")</f>
        <v>4</v>
      </c>
    </row>
    <row r="31" spans="1:33" ht="15.75" customHeight="1" x14ac:dyDescent="0.25">
      <c r="A31" s="20">
        <v>8</v>
      </c>
      <c r="B31" s="37" t="s">
        <v>232</v>
      </c>
      <c r="C31" s="20">
        <v>1</v>
      </c>
      <c r="D31" s="20" t="s">
        <v>20</v>
      </c>
      <c r="E31" s="51" t="s">
        <v>19</v>
      </c>
      <c r="F31" s="51" t="s">
        <v>20</v>
      </c>
      <c r="G31" s="51" t="s">
        <v>20</v>
      </c>
      <c r="H31" s="51" t="s">
        <v>20</v>
      </c>
      <c r="I31" s="51" t="s">
        <v>19</v>
      </c>
      <c r="J31" s="51" t="s">
        <v>20</v>
      </c>
      <c r="K31" s="51" t="s">
        <v>20</v>
      </c>
      <c r="L31" s="51" t="s">
        <v>19</v>
      </c>
      <c r="M31" s="51" t="s">
        <v>20</v>
      </c>
      <c r="N31" s="51" t="s">
        <v>20</v>
      </c>
      <c r="O31" s="51" t="s">
        <v>20</v>
      </c>
      <c r="P31" s="51" t="s">
        <v>20</v>
      </c>
      <c r="Q31" s="51" t="s">
        <v>20</v>
      </c>
      <c r="R31" s="51" t="s">
        <v>19</v>
      </c>
      <c r="S31" s="51" t="s">
        <v>19</v>
      </c>
      <c r="T31" s="51" t="s">
        <v>19</v>
      </c>
      <c r="U31" s="51" t="s">
        <v>20</v>
      </c>
      <c r="V31" s="51" t="s">
        <v>19</v>
      </c>
      <c r="W31" s="51" t="s">
        <v>20</v>
      </c>
      <c r="X31" s="52" t="s">
        <v>20</v>
      </c>
      <c r="Y31" s="51" t="s">
        <v>19</v>
      </c>
      <c r="Z31" s="61" t="s">
        <v>19</v>
      </c>
      <c r="AA31" s="61" t="s">
        <v>19</v>
      </c>
      <c r="AB31" s="39" t="s">
        <v>19</v>
      </c>
      <c r="AC31" s="53" t="s">
        <v>19</v>
      </c>
      <c r="AD31" s="53" t="s">
        <v>20</v>
      </c>
    </row>
    <row r="32" spans="1:33" ht="15.75" customHeight="1" x14ac:dyDescent="0.25">
      <c r="A32" s="20">
        <v>9</v>
      </c>
      <c r="B32" s="37" t="s">
        <v>233</v>
      </c>
      <c r="C32" s="20">
        <v>1</v>
      </c>
      <c r="D32" s="20" t="s">
        <v>20</v>
      </c>
      <c r="E32" s="51" t="s">
        <v>19</v>
      </c>
      <c r="F32" s="51" t="s">
        <v>20</v>
      </c>
      <c r="G32" s="51" t="s">
        <v>20</v>
      </c>
      <c r="H32" s="51" t="s">
        <v>20</v>
      </c>
      <c r="I32" s="51" t="s">
        <v>20</v>
      </c>
      <c r="J32" s="51" t="s">
        <v>20</v>
      </c>
      <c r="K32" s="51" t="s">
        <v>19</v>
      </c>
      <c r="L32" s="51" t="s">
        <v>19</v>
      </c>
      <c r="M32" s="51" t="s">
        <v>19</v>
      </c>
      <c r="N32" s="51" t="s">
        <v>19</v>
      </c>
      <c r="O32" s="51" t="s">
        <v>19</v>
      </c>
      <c r="P32" s="51" t="s">
        <v>19</v>
      </c>
      <c r="Q32" s="51" t="s">
        <v>19</v>
      </c>
      <c r="R32" s="51" t="s">
        <v>19</v>
      </c>
      <c r="S32" s="51" t="s">
        <v>19</v>
      </c>
      <c r="T32" s="51" t="s">
        <v>20</v>
      </c>
      <c r="U32" s="51" t="s">
        <v>19</v>
      </c>
      <c r="V32" s="51" t="s">
        <v>19</v>
      </c>
      <c r="W32" s="51" t="s">
        <v>19</v>
      </c>
      <c r="X32" s="52" t="s">
        <v>19</v>
      </c>
      <c r="Y32" s="51" t="s">
        <v>19</v>
      </c>
      <c r="Z32" s="61" t="s">
        <v>20</v>
      </c>
      <c r="AA32" s="61" t="s">
        <v>20</v>
      </c>
      <c r="AB32" s="39" t="s">
        <v>20</v>
      </c>
      <c r="AC32" s="53" t="s">
        <v>20</v>
      </c>
      <c r="AD32" s="53" t="s">
        <v>20</v>
      </c>
    </row>
    <row r="33" spans="1:30" ht="15.75" customHeight="1" x14ac:dyDescent="0.25">
      <c r="A33" s="20">
        <v>10</v>
      </c>
      <c r="B33" s="37" t="s">
        <v>234</v>
      </c>
      <c r="C33" s="20">
        <v>1</v>
      </c>
      <c r="D33" s="20" t="s">
        <v>20</v>
      </c>
      <c r="E33" s="51" t="s">
        <v>19</v>
      </c>
      <c r="F33" s="51" t="s">
        <v>20</v>
      </c>
      <c r="G33" s="51" t="s">
        <v>19</v>
      </c>
      <c r="H33" s="51" t="s">
        <v>20</v>
      </c>
      <c r="I33" s="51" t="s">
        <v>20</v>
      </c>
      <c r="J33" s="51" t="s">
        <v>20</v>
      </c>
      <c r="K33" s="51" t="s">
        <v>20</v>
      </c>
      <c r="L33" s="51" t="s">
        <v>19</v>
      </c>
      <c r="M33" s="51" t="s">
        <v>19</v>
      </c>
      <c r="N33" s="51" t="s">
        <v>19</v>
      </c>
      <c r="O33" s="51" t="s">
        <v>20</v>
      </c>
      <c r="P33" s="51" t="s">
        <v>19</v>
      </c>
      <c r="Q33" s="51" t="s">
        <v>20</v>
      </c>
      <c r="R33" s="51" t="s">
        <v>19</v>
      </c>
      <c r="S33" s="51" t="s">
        <v>19</v>
      </c>
      <c r="T33" s="51" t="s">
        <v>19</v>
      </c>
      <c r="U33" s="51" t="s">
        <v>19</v>
      </c>
      <c r="V33" s="51" t="s">
        <v>19</v>
      </c>
      <c r="W33" s="51" t="s">
        <v>19</v>
      </c>
      <c r="X33" s="52" t="s">
        <v>19</v>
      </c>
      <c r="Y33" s="51" t="s">
        <v>19</v>
      </c>
      <c r="Z33" s="61" t="s">
        <v>20</v>
      </c>
      <c r="AA33" s="61" t="s">
        <v>20</v>
      </c>
      <c r="AB33" s="39" t="s">
        <v>19</v>
      </c>
      <c r="AC33" s="53" t="s">
        <v>19</v>
      </c>
      <c r="AD33" s="53" t="s">
        <v>20</v>
      </c>
    </row>
    <row r="34" spans="1:30" ht="15.75" customHeight="1" x14ac:dyDescent="0.25">
      <c r="A34" s="20">
        <v>11</v>
      </c>
      <c r="B34" s="37" t="s">
        <v>235</v>
      </c>
      <c r="C34" s="20">
        <v>1</v>
      </c>
      <c r="D34" s="20" t="s">
        <v>20</v>
      </c>
      <c r="E34" s="51" t="s">
        <v>22</v>
      </c>
      <c r="F34" s="51" t="s">
        <v>19</v>
      </c>
      <c r="G34" s="51" t="s">
        <v>19</v>
      </c>
      <c r="H34" s="51" t="s">
        <v>19</v>
      </c>
      <c r="I34" s="51" t="s">
        <v>19</v>
      </c>
      <c r="J34" s="51" t="s">
        <v>19</v>
      </c>
      <c r="K34" s="51" t="s">
        <v>19</v>
      </c>
      <c r="L34" s="51" t="s">
        <v>19</v>
      </c>
      <c r="M34" s="51" t="s">
        <v>19</v>
      </c>
      <c r="N34" s="51" t="s">
        <v>19</v>
      </c>
      <c r="O34" s="51" t="s">
        <v>19</v>
      </c>
      <c r="P34" s="51" t="s">
        <v>19</v>
      </c>
      <c r="Q34" s="51" t="s">
        <v>19</v>
      </c>
      <c r="R34" s="51" t="s">
        <v>19</v>
      </c>
      <c r="S34" s="51" t="s">
        <v>19</v>
      </c>
      <c r="T34" s="51" t="s">
        <v>19</v>
      </c>
      <c r="U34" s="51" t="s">
        <v>19</v>
      </c>
      <c r="V34" s="51" t="s">
        <v>19</v>
      </c>
      <c r="W34" s="51" t="s">
        <v>20</v>
      </c>
      <c r="X34" s="52" t="s">
        <v>19</v>
      </c>
      <c r="Y34" s="51" t="s">
        <v>19</v>
      </c>
      <c r="Z34" s="61" t="s">
        <v>19</v>
      </c>
      <c r="AA34" s="61" t="s">
        <v>19</v>
      </c>
      <c r="AB34" s="39" t="s">
        <v>19</v>
      </c>
      <c r="AC34" s="53" t="s">
        <v>19</v>
      </c>
      <c r="AD34" s="53" t="s">
        <v>20</v>
      </c>
    </row>
    <row r="35" spans="1:30" ht="15.75" customHeight="1" x14ac:dyDescent="0.25">
      <c r="A35" s="20">
        <v>12</v>
      </c>
      <c r="B35" s="37" t="s">
        <v>236</v>
      </c>
      <c r="C35" s="20">
        <v>1</v>
      </c>
      <c r="D35" s="20" t="s">
        <v>20</v>
      </c>
      <c r="E35" s="51" t="s">
        <v>19</v>
      </c>
      <c r="F35" s="51" t="s">
        <v>20</v>
      </c>
      <c r="G35" s="51" t="s">
        <v>19</v>
      </c>
      <c r="H35" s="51" t="s">
        <v>20</v>
      </c>
      <c r="I35" s="51" t="s">
        <v>19</v>
      </c>
      <c r="J35" s="51" t="s">
        <v>20</v>
      </c>
      <c r="K35" s="51" t="s">
        <v>20</v>
      </c>
      <c r="L35" s="51" t="s">
        <v>19</v>
      </c>
      <c r="M35" s="51" t="s">
        <v>19</v>
      </c>
      <c r="N35" s="51" t="s">
        <v>19</v>
      </c>
      <c r="O35" s="51" t="s">
        <v>19</v>
      </c>
      <c r="P35" s="51" t="s">
        <v>19</v>
      </c>
      <c r="Q35" s="51" t="s">
        <v>19</v>
      </c>
      <c r="R35" s="51" t="s">
        <v>19</v>
      </c>
      <c r="S35" s="51" t="s">
        <v>19</v>
      </c>
      <c r="T35" s="51" t="s">
        <v>19</v>
      </c>
      <c r="U35" s="51" t="s">
        <v>20</v>
      </c>
      <c r="V35" s="51" t="s">
        <v>19</v>
      </c>
      <c r="W35" s="51" t="s">
        <v>20</v>
      </c>
      <c r="X35" s="52" t="s">
        <v>20</v>
      </c>
      <c r="Y35" s="51" t="s">
        <v>19</v>
      </c>
      <c r="Z35" s="61" t="s">
        <v>20</v>
      </c>
      <c r="AA35" s="61" t="s">
        <v>20</v>
      </c>
      <c r="AB35" s="39" t="s">
        <v>20</v>
      </c>
      <c r="AC35" s="53" t="s">
        <v>20</v>
      </c>
      <c r="AD35" s="53" t="s">
        <v>20</v>
      </c>
    </row>
    <row r="36" spans="1:30" ht="15.75" customHeight="1" x14ac:dyDescent="0.25">
      <c r="A36" s="20">
        <v>13</v>
      </c>
      <c r="B36" s="37" t="s">
        <v>237</v>
      </c>
      <c r="C36" s="20">
        <v>1</v>
      </c>
      <c r="D36" s="20" t="s">
        <v>20</v>
      </c>
      <c r="E36" s="51" t="s">
        <v>20</v>
      </c>
      <c r="F36" s="51" t="s">
        <v>19</v>
      </c>
      <c r="G36" s="51" t="s">
        <v>20</v>
      </c>
      <c r="H36" s="51" t="s">
        <v>20</v>
      </c>
      <c r="I36" s="51" t="s">
        <v>19</v>
      </c>
      <c r="J36" s="51" t="s">
        <v>20</v>
      </c>
      <c r="K36" s="51" t="s">
        <v>20</v>
      </c>
      <c r="L36" s="51" t="s">
        <v>20</v>
      </c>
      <c r="M36" s="51" t="s">
        <v>19</v>
      </c>
      <c r="N36" s="51" t="s">
        <v>19</v>
      </c>
      <c r="O36" s="51" t="s">
        <v>20</v>
      </c>
      <c r="P36" s="51" t="s">
        <v>20</v>
      </c>
      <c r="Q36" s="51" t="s">
        <v>20</v>
      </c>
      <c r="R36" s="51" t="s">
        <v>20</v>
      </c>
      <c r="S36" s="51" t="s">
        <v>19</v>
      </c>
      <c r="T36" s="51" t="s">
        <v>19</v>
      </c>
      <c r="U36" s="51" t="s">
        <v>19</v>
      </c>
      <c r="V36" s="51" t="s">
        <v>19</v>
      </c>
      <c r="W36" s="51" t="s">
        <v>19</v>
      </c>
      <c r="X36" s="52" t="s">
        <v>19</v>
      </c>
      <c r="Y36" s="51" t="s">
        <v>19</v>
      </c>
      <c r="Z36" s="61" t="s">
        <v>19</v>
      </c>
      <c r="AA36" s="61" t="s">
        <v>19</v>
      </c>
      <c r="AB36" s="39" t="s">
        <v>20</v>
      </c>
      <c r="AC36" s="53" t="s">
        <v>20</v>
      </c>
      <c r="AD36" s="53" t="s">
        <v>20</v>
      </c>
    </row>
    <row r="37" spans="1:30" ht="15.75" customHeight="1" x14ac:dyDescent="0.25">
      <c r="A37" s="20">
        <v>14</v>
      </c>
      <c r="B37" s="37" t="s">
        <v>238</v>
      </c>
      <c r="C37" s="20">
        <v>1</v>
      </c>
      <c r="D37" s="20" t="s">
        <v>20</v>
      </c>
      <c r="E37" s="51" t="s">
        <v>19</v>
      </c>
      <c r="F37" s="51" t="s">
        <v>19</v>
      </c>
      <c r="G37" s="51" t="s">
        <v>19</v>
      </c>
      <c r="H37" s="51" t="s">
        <v>19</v>
      </c>
      <c r="I37" s="51" t="s">
        <v>19</v>
      </c>
      <c r="J37" s="51" t="s">
        <v>19</v>
      </c>
      <c r="K37" s="51" t="s">
        <v>19</v>
      </c>
      <c r="L37" s="51" t="s">
        <v>19</v>
      </c>
      <c r="M37" s="51" t="s">
        <v>19</v>
      </c>
      <c r="N37" s="51" t="s">
        <v>19</v>
      </c>
      <c r="O37" s="51" t="s">
        <v>19</v>
      </c>
      <c r="P37" s="51" t="s">
        <v>19</v>
      </c>
      <c r="Q37" s="51" t="s">
        <v>19</v>
      </c>
      <c r="R37" s="51" t="s">
        <v>19</v>
      </c>
      <c r="S37" s="51" t="s">
        <v>19</v>
      </c>
      <c r="T37" s="51" t="s">
        <v>19</v>
      </c>
      <c r="U37" s="51" t="s">
        <v>20</v>
      </c>
      <c r="V37" s="51" t="s">
        <v>20</v>
      </c>
      <c r="W37" s="51" t="s">
        <v>19</v>
      </c>
      <c r="X37" s="52" t="s">
        <v>20</v>
      </c>
      <c r="Y37" s="51" t="s">
        <v>19</v>
      </c>
      <c r="Z37" s="61" t="s">
        <v>19</v>
      </c>
      <c r="AA37" s="61" t="s">
        <v>19</v>
      </c>
      <c r="AB37" s="39" t="s">
        <v>19</v>
      </c>
      <c r="AC37" s="53" t="s">
        <v>59</v>
      </c>
      <c r="AD37" s="53" t="s">
        <v>59</v>
      </c>
    </row>
    <row r="38" spans="1:30" ht="15.75" customHeight="1" x14ac:dyDescent="0.25">
      <c r="A38" s="20">
        <v>15</v>
      </c>
      <c r="B38" s="37" t="s">
        <v>239</v>
      </c>
      <c r="C38" s="20">
        <v>1</v>
      </c>
      <c r="D38" s="20" t="s">
        <v>20</v>
      </c>
      <c r="E38" s="51" t="s">
        <v>19</v>
      </c>
      <c r="F38" s="51" t="s">
        <v>20</v>
      </c>
      <c r="G38" s="51" t="s">
        <v>20</v>
      </c>
      <c r="H38" s="51" t="s">
        <v>19</v>
      </c>
      <c r="I38" s="51" t="s">
        <v>20</v>
      </c>
      <c r="J38" s="51" t="s">
        <v>20</v>
      </c>
      <c r="K38" s="51" t="s">
        <v>20</v>
      </c>
      <c r="L38" s="51" t="s">
        <v>19</v>
      </c>
      <c r="M38" s="51" t="s">
        <v>19</v>
      </c>
      <c r="N38" s="51" t="s">
        <v>19</v>
      </c>
      <c r="O38" s="51" t="s">
        <v>20</v>
      </c>
      <c r="P38" s="51" t="s">
        <v>20</v>
      </c>
      <c r="Q38" s="51" t="s">
        <v>20</v>
      </c>
      <c r="R38" s="51" t="s">
        <v>21</v>
      </c>
      <c r="S38" s="51" t="s">
        <v>20</v>
      </c>
      <c r="T38" s="51" t="s">
        <v>19</v>
      </c>
      <c r="U38" s="51" t="s">
        <v>19</v>
      </c>
      <c r="V38" s="51" t="s">
        <v>19</v>
      </c>
      <c r="W38" s="51" t="s">
        <v>19</v>
      </c>
      <c r="X38" s="52" t="s">
        <v>21</v>
      </c>
      <c r="Y38" s="51" t="s">
        <v>20</v>
      </c>
      <c r="Z38" s="61" t="s">
        <v>19</v>
      </c>
      <c r="AA38" s="61" t="s">
        <v>19</v>
      </c>
      <c r="AB38" s="39" t="s">
        <v>20</v>
      </c>
      <c r="AC38" s="53" t="s">
        <v>20</v>
      </c>
      <c r="AD38" s="53" t="s">
        <v>20</v>
      </c>
    </row>
    <row r="39" spans="1:30" ht="15.75" customHeight="1" x14ac:dyDescent="0.25">
      <c r="A39" s="20">
        <v>16</v>
      </c>
      <c r="B39" s="37" t="s">
        <v>240</v>
      </c>
      <c r="C39" s="20">
        <v>1</v>
      </c>
      <c r="D39" s="20" t="s">
        <v>20</v>
      </c>
      <c r="E39" s="51" t="s">
        <v>19</v>
      </c>
      <c r="F39" s="51" t="s">
        <v>20</v>
      </c>
      <c r="G39" s="51" t="s">
        <v>20</v>
      </c>
      <c r="H39" s="51" t="s">
        <v>20</v>
      </c>
      <c r="I39" s="51" t="s">
        <v>19</v>
      </c>
      <c r="J39" s="51" t="s">
        <v>20</v>
      </c>
      <c r="K39" s="51" t="s">
        <v>20</v>
      </c>
      <c r="L39" s="51" t="s">
        <v>20</v>
      </c>
      <c r="M39" s="51" t="s">
        <v>20</v>
      </c>
      <c r="N39" s="51" t="s">
        <v>19</v>
      </c>
      <c r="O39" s="51" t="s">
        <v>20</v>
      </c>
      <c r="P39" s="51" t="s">
        <v>20</v>
      </c>
      <c r="Q39" s="51" t="s">
        <v>20</v>
      </c>
      <c r="R39" s="51" t="s">
        <v>20</v>
      </c>
      <c r="S39" s="51" t="s">
        <v>20</v>
      </c>
      <c r="T39" s="51" t="s">
        <v>20</v>
      </c>
      <c r="U39" s="51" t="s">
        <v>19</v>
      </c>
      <c r="V39" s="51" t="s">
        <v>19</v>
      </c>
      <c r="W39" s="51" t="s">
        <v>20</v>
      </c>
      <c r="X39" s="52" t="s">
        <v>19</v>
      </c>
      <c r="Y39" s="51" t="s">
        <v>19</v>
      </c>
      <c r="Z39" s="61" t="s">
        <v>19</v>
      </c>
      <c r="AA39" s="61" t="s">
        <v>19</v>
      </c>
      <c r="AB39" s="39" t="s">
        <v>20</v>
      </c>
      <c r="AC39" s="53" t="s">
        <v>20</v>
      </c>
      <c r="AD39" s="53" t="s">
        <v>20</v>
      </c>
    </row>
    <row r="40" spans="1:30" ht="15.75" customHeight="1" x14ac:dyDescent="0.25">
      <c r="A40" s="20">
        <v>17</v>
      </c>
      <c r="B40" s="37" t="s">
        <v>241</v>
      </c>
      <c r="C40" s="20">
        <v>1</v>
      </c>
      <c r="D40" s="20" t="s">
        <v>20</v>
      </c>
      <c r="E40" s="51" t="s">
        <v>20</v>
      </c>
      <c r="F40" s="51" t="s">
        <v>20</v>
      </c>
      <c r="G40" s="51" t="s">
        <v>20</v>
      </c>
      <c r="H40" s="51" t="s">
        <v>20</v>
      </c>
      <c r="I40" s="51" t="s">
        <v>19</v>
      </c>
      <c r="J40" s="51" t="s">
        <v>20</v>
      </c>
      <c r="K40" s="51" t="s">
        <v>20</v>
      </c>
      <c r="L40" s="51" t="s">
        <v>20</v>
      </c>
      <c r="M40" s="51" t="s">
        <v>19</v>
      </c>
      <c r="N40" s="51" t="s">
        <v>19</v>
      </c>
      <c r="O40" s="51" t="s">
        <v>20</v>
      </c>
      <c r="P40" s="51" t="s">
        <v>20</v>
      </c>
      <c r="Q40" s="51" t="s">
        <v>20</v>
      </c>
      <c r="R40" s="51" t="s">
        <v>19</v>
      </c>
      <c r="S40" s="51" t="s">
        <v>20</v>
      </c>
      <c r="T40" s="51" t="s">
        <v>19</v>
      </c>
      <c r="U40" s="51" t="s">
        <v>19</v>
      </c>
      <c r="V40" s="51" t="s">
        <v>19</v>
      </c>
      <c r="W40" s="51" t="s">
        <v>19</v>
      </c>
      <c r="X40" s="52" t="s">
        <v>20</v>
      </c>
      <c r="Y40" s="51" t="s">
        <v>19</v>
      </c>
      <c r="Z40" s="61" t="s">
        <v>19</v>
      </c>
      <c r="AA40" s="61" t="s">
        <v>19</v>
      </c>
      <c r="AB40" s="39" t="s">
        <v>20</v>
      </c>
      <c r="AC40" s="53" t="s">
        <v>20</v>
      </c>
      <c r="AD40" s="53" t="s">
        <v>20</v>
      </c>
    </row>
    <row r="41" spans="1:30" ht="15.75" customHeight="1" x14ac:dyDescent="0.25">
      <c r="A41" s="20">
        <v>18</v>
      </c>
      <c r="B41" s="37" t="s">
        <v>242</v>
      </c>
      <c r="C41" s="20">
        <v>1</v>
      </c>
      <c r="D41" s="20" t="s">
        <v>20</v>
      </c>
      <c r="E41" s="51" t="s">
        <v>19</v>
      </c>
      <c r="F41" s="51" t="s">
        <v>20</v>
      </c>
      <c r="G41" s="51" t="s">
        <v>20</v>
      </c>
      <c r="H41" s="51" t="s">
        <v>20</v>
      </c>
      <c r="I41" s="51" t="s">
        <v>20</v>
      </c>
      <c r="J41" s="51" t="s">
        <v>20</v>
      </c>
      <c r="K41" s="51" t="s">
        <v>20</v>
      </c>
      <c r="L41" s="51" t="s">
        <v>19</v>
      </c>
      <c r="M41" s="51" t="s">
        <v>19</v>
      </c>
      <c r="N41" s="51" t="s">
        <v>19</v>
      </c>
      <c r="O41" s="51" t="s">
        <v>19</v>
      </c>
      <c r="P41" s="51" t="s">
        <v>20</v>
      </c>
      <c r="Q41" s="51" t="s">
        <v>19</v>
      </c>
      <c r="R41" s="51" t="s">
        <v>19</v>
      </c>
      <c r="S41" s="51" t="s">
        <v>19</v>
      </c>
      <c r="T41" s="51" t="s">
        <v>20</v>
      </c>
      <c r="U41" s="51" t="s">
        <v>20</v>
      </c>
      <c r="V41" s="51" t="s">
        <v>19</v>
      </c>
      <c r="W41" s="51" t="s">
        <v>19</v>
      </c>
      <c r="X41" s="52" t="s">
        <v>20</v>
      </c>
      <c r="Y41" s="51" t="s">
        <v>19</v>
      </c>
      <c r="Z41" s="61" t="s">
        <v>19</v>
      </c>
      <c r="AA41" s="61" t="s">
        <v>19</v>
      </c>
      <c r="AB41" s="39" t="s">
        <v>20</v>
      </c>
      <c r="AC41" s="53" t="s">
        <v>19</v>
      </c>
      <c r="AD41" s="53" t="s">
        <v>20</v>
      </c>
    </row>
    <row r="42" spans="1:30" ht="15.75" customHeight="1" x14ac:dyDescent="0.25">
      <c r="A42" s="20">
        <v>19</v>
      </c>
      <c r="B42" s="37" t="s">
        <v>243</v>
      </c>
      <c r="C42" s="20">
        <v>1</v>
      </c>
      <c r="D42" s="20" t="s">
        <v>20</v>
      </c>
      <c r="E42" s="51" t="s">
        <v>19</v>
      </c>
      <c r="F42" s="51" t="s">
        <v>20</v>
      </c>
      <c r="G42" s="51" t="s">
        <v>20</v>
      </c>
      <c r="H42" s="51" t="s">
        <v>20</v>
      </c>
      <c r="I42" s="51" t="s">
        <v>20</v>
      </c>
      <c r="J42" s="51" t="s">
        <v>20</v>
      </c>
      <c r="K42" s="51" t="s">
        <v>20</v>
      </c>
      <c r="L42" s="51" t="s">
        <v>20</v>
      </c>
      <c r="M42" s="51" t="s">
        <v>19</v>
      </c>
      <c r="N42" s="51" t="s">
        <v>19</v>
      </c>
      <c r="O42" s="51" t="s">
        <v>20</v>
      </c>
      <c r="P42" s="51" t="s">
        <v>20</v>
      </c>
      <c r="Q42" s="51" t="s">
        <v>20</v>
      </c>
      <c r="R42" s="51" t="s">
        <v>19</v>
      </c>
      <c r="S42" s="51" t="s">
        <v>20</v>
      </c>
      <c r="T42" s="51" t="s">
        <v>19</v>
      </c>
      <c r="U42" s="51" t="s">
        <v>20</v>
      </c>
      <c r="V42" s="51" t="s">
        <v>19</v>
      </c>
      <c r="W42" s="51" t="s">
        <v>19</v>
      </c>
      <c r="X42" s="52" t="s">
        <v>19</v>
      </c>
      <c r="Y42" s="51" t="s">
        <v>19</v>
      </c>
      <c r="Z42" s="61" t="s">
        <v>20</v>
      </c>
      <c r="AA42" s="61" t="s">
        <v>21</v>
      </c>
      <c r="AB42" s="39" t="s">
        <v>20</v>
      </c>
      <c r="AC42" s="53" t="s">
        <v>20</v>
      </c>
      <c r="AD42" s="53" t="s">
        <v>20</v>
      </c>
    </row>
    <row r="43" spans="1:30" ht="15.75" customHeight="1" thickBot="1" x14ac:dyDescent="0.3">
      <c r="A43" s="21">
        <v>20</v>
      </c>
      <c r="B43" s="38" t="s">
        <v>244</v>
      </c>
      <c r="C43" s="21">
        <v>1</v>
      </c>
      <c r="D43" s="21" t="s">
        <v>20</v>
      </c>
      <c r="E43" s="87" t="s">
        <v>19</v>
      </c>
      <c r="F43" s="87" t="s">
        <v>20</v>
      </c>
      <c r="G43" s="87" t="s">
        <v>19</v>
      </c>
      <c r="H43" s="87" t="s">
        <v>20</v>
      </c>
      <c r="I43" s="87" t="s">
        <v>20</v>
      </c>
      <c r="J43" s="87" t="s">
        <v>20</v>
      </c>
      <c r="K43" s="87" t="s">
        <v>20</v>
      </c>
      <c r="L43" s="87" t="s">
        <v>19</v>
      </c>
      <c r="M43" s="87" t="s">
        <v>19</v>
      </c>
      <c r="N43" s="87" t="s">
        <v>19</v>
      </c>
      <c r="O43" s="87" t="s">
        <v>20</v>
      </c>
      <c r="P43" s="87" t="s">
        <v>20</v>
      </c>
      <c r="Q43" s="87" t="s">
        <v>20</v>
      </c>
      <c r="R43" s="87" t="s">
        <v>21</v>
      </c>
      <c r="S43" s="87" t="s">
        <v>20</v>
      </c>
      <c r="T43" s="87" t="s">
        <v>20</v>
      </c>
      <c r="U43" s="87" t="s">
        <v>19</v>
      </c>
      <c r="V43" s="87" t="s">
        <v>19</v>
      </c>
      <c r="W43" s="87" t="s">
        <v>19</v>
      </c>
      <c r="X43" s="88" t="s">
        <v>20</v>
      </c>
      <c r="Y43" s="87" t="s">
        <v>19</v>
      </c>
      <c r="Z43" s="95" t="s">
        <v>19</v>
      </c>
      <c r="AA43" s="95" t="s">
        <v>19</v>
      </c>
      <c r="AB43" s="41" t="s">
        <v>20</v>
      </c>
      <c r="AC43" s="96" t="s">
        <v>20</v>
      </c>
      <c r="AD43" s="96" t="s">
        <v>20</v>
      </c>
    </row>
    <row r="44" spans="1:30" ht="15.75" customHeight="1" x14ac:dyDescent="0.25">
      <c r="A44" s="97">
        <v>1</v>
      </c>
      <c r="B44" s="98" t="s">
        <v>40</v>
      </c>
      <c r="C44" s="97">
        <v>2</v>
      </c>
      <c r="D44" s="97" t="s">
        <v>19</v>
      </c>
      <c r="E44" s="83" t="s">
        <v>20</v>
      </c>
      <c r="F44" s="83" t="s">
        <v>21</v>
      </c>
      <c r="G44" s="83" t="s">
        <v>20</v>
      </c>
      <c r="H44" s="83" t="s">
        <v>20</v>
      </c>
      <c r="I44" s="83" t="s">
        <v>20</v>
      </c>
      <c r="J44" s="83" t="s">
        <v>20</v>
      </c>
      <c r="K44" s="83" t="s">
        <v>19</v>
      </c>
      <c r="L44" s="83" t="s">
        <v>19</v>
      </c>
      <c r="M44" s="83" t="s">
        <v>19</v>
      </c>
      <c r="N44" s="83" t="s">
        <v>20</v>
      </c>
      <c r="O44" s="83" t="s">
        <v>20</v>
      </c>
      <c r="P44" s="83" t="s">
        <v>20</v>
      </c>
      <c r="Q44" s="83" t="s">
        <v>20</v>
      </c>
      <c r="R44" s="83" t="s">
        <v>19</v>
      </c>
      <c r="S44" s="83" t="s">
        <v>20</v>
      </c>
      <c r="T44" s="83" t="s">
        <v>19</v>
      </c>
      <c r="U44" s="42" t="s">
        <v>19</v>
      </c>
      <c r="V44" s="42" t="s">
        <v>19</v>
      </c>
      <c r="W44" s="93" t="s">
        <v>19</v>
      </c>
      <c r="X44" s="84" t="s">
        <v>19</v>
      </c>
      <c r="Y44" s="83" t="s">
        <v>19</v>
      </c>
      <c r="Z44" s="86" t="s">
        <v>20</v>
      </c>
      <c r="AA44" s="86" t="s">
        <v>20</v>
      </c>
      <c r="AB44" s="86" t="s">
        <v>20</v>
      </c>
      <c r="AC44" s="94" t="s">
        <v>20</v>
      </c>
      <c r="AD44" s="94" t="s">
        <v>20</v>
      </c>
    </row>
    <row r="45" spans="1:30" ht="15.75" customHeight="1" x14ac:dyDescent="0.25">
      <c r="A45" s="89">
        <v>2</v>
      </c>
      <c r="B45" s="90" t="s">
        <v>41</v>
      </c>
      <c r="C45" s="89">
        <v>2</v>
      </c>
      <c r="D45" s="89" t="s">
        <v>19</v>
      </c>
      <c r="E45" s="51" t="s">
        <v>20</v>
      </c>
      <c r="F45" s="51" t="s">
        <v>20</v>
      </c>
      <c r="G45" s="51" t="s">
        <v>21</v>
      </c>
      <c r="H45" s="51" t="s">
        <v>20</v>
      </c>
      <c r="I45" s="51" t="s">
        <v>20</v>
      </c>
      <c r="J45" s="51" t="s">
        <v>21</v>
      </c>
      <c r="K45" s="51" t="s">
        <v>21</v>
      </c>
      <c r="L45" s="51" t="s">
        <v>19</v>
      </c>
      <c r="M45" s="51" t="s">
        <v>19</v>
      </c>
      <c r="N45" s="51" t="s">
        <v>19</v>
      </c>
      <c r="O45" s="51" t="s">
        <v>19</v>
      </c>
      <c r="P45" s="51" t="s">
        <v>19</v>
      </c>
      <c r="Q45" s="51" t="s">
        <v>19</v>
      </c>
      <c r="R45" s="51" t="s">
        <v>20</v>
      </c>
      <c r="S45" s="51" t="s">
        <v>19</v>
      </c>
      <c r="T45" s="51" t="s">
        <v>19</v>
      </c>
      <c r="U45" s="43" t="s">
        <v>19</v>
      </c>
      <c r="V45" s="43" t="s">
        <v>19</v>
      </c>
      <c r="W45" s="44" t="s">
        <v>19</v>
      </c>
      <c r="X45" s="52" t="s">
        <v>19</v>
      </c>
      <c r="Y45" s="51" t="s">
        <v>19</v>
      </c>
      <c r="Z45" s="39" t="s">
        <v>20</v>
      </c>
      <c r="AA45" s="39" t="s">
        <v>20</v>
      </c>
      <c r="AB45" s="39" t="s">
        <v>20</v>
      </c>
      <c r="AC45" s="53" t="s">
        <v>19</v>
      </c>
      <c r="AD45" s="53" t="s">
        <v>20</v>
      </c>
    </row>
    <row r="46" spans="1:30" ht="15.75" customHeight="1" x14ac:dyDescent="0.25">
      <c r="A46" s="89">
        <v>3</v>
      </c>
      <c r="B46" s="90" t="s">
        <v>42</v>
      </c>
      <c r="C46" s="89">
        <v>2</v>
      </c>
      <c r="D46" s="89" t="s">
        <v>19</v>
      </c>
      <c r="E46" s="51" t="s">
        <v>20</v>
      </c>
      <c r="F46" s="51" t="s">
        <v>21</v>
      </c>
      <c r="G46" s="51" t="s">
        <v>20</v>
      </c>
      <c r="H46" s="51" t="s">
        <v>20</v>
      </c>
      <c r="I46" s="51" t="s">
        <v>19</v>
      </c>
      <c r="J46" s="51" t="s">
        <v>21</v>
      </c>
      <c r="K46" s="51" t="s">
        <v>20</v>
      </c>
      <c r="L46" s="51" t="s">
        <v>20</v>
      </c>
      <c r="M46" s="51" t="s">
        <v>20</v>
      </c>
      <c r="N46" s="51" t="s">
        <v>21</v>
      </c>
      <c r="O46" s="51" t="s">
        <v>20</v>
      </c>
      <c r="P46" s="51" t="s">
        <v>19</v>
      </c>
      <c r="Q46" s="51" t="s">
        <v>20</v>
      </c>
      <c r="R46" s="51" t="s">
        <v>21</v>
      </c>
      <c r="S46" s="51" t="s">
        <v>20</v>
      </c>
      <c r="T46" s="51" t="s">
        <v>19</v>
      </c>
      <c r="U46" s="43" t="s">
        <v>20</v>
      </c>
      <c r="V46" s="43" t="s">
        <v>20</v>
      </c>
      <c r="W46" s="44" t="s">
        <v>20</v>
      </c>
      <c r="X46" s="52" t="s">
        <v>20</v>
      </c>
      <c r="Y46" s="51" t="s">
        <v>19</v>
      </c>
      <c r="Z46" s="39" t="s">
        <v>20</v>
      </c>
      <c r="AA46" s="39" t="s">
        <v>20</v>
      </c>
      <c r="AB46" s="39" t="s">
        <v>20</v>
      </c>
      <c r="AC46" s="53" t="s">
        <v>59</v>
      </c>
      <c r="AD46" s="53" t="s">
        <v>59</v>
      </c>
    </row>
    <row r="47" spans="1:30" ht="15.75" customHeight="1" x14ac:dyDescent="0.25">
      <c r="A47" s="89">
        <v>4</v>
      </c>
      <c r="B47" s="90" t="s">
        <v>43</v>
      </c>
      <c r="C47" s="89">
        <v>2</v>
      </c>
      <c r="D47" s="89" t="s">
        <v>19</v>
      </c>
      <c r="E47" s="51" t="s">
        <v>20</v>
      </c>
      <c r="F47" s="51" t="s">
        <v>21</v>
      </c>
      <c r="G47" s="51" t="s">
        <v>20</v>
      </c>
      <c r="H47" s="51" t="s">
        <v>20</v>
      </c>
      <c r="I47" s="51" t="s">
        <v>20</v>
      </c>
      <c r="J47" s="51" t="s">
        <v>21</v>
      </c>
      <c r="K47" s="51" t="s">
        <v>20</v>
      </c>
      <c r="L47" s="51" t="s">
        <v>20</v>
      </c>
      <c r="M47" s="51" t="s">
        <v>20</v>
      </c>
      <c r="N47" s="51" t="s">
        <v>21</v>
      </c>
      <c r="O47" s="51" t="s">
        <v>21</v>
      </c>
      <c r="P47" s="51" t="s">
        <v>21</v>
      </c>
      <c r="Q47" s="51" t="s">
        <v>20</v>
      </c>
      <c r="R47" s="51" t="s">
        <v>21</v>
      </c>
      <c r="S47" s="51" t="s">
        <v>21</v>
      </c>
      <c r="T47" s="51" t="s">
        <v>19</v>
      </c>
      <c r="U47" s="43" t="s">
        <v>19</v>
      </c>
      <c r="V47" s="43" t="s">
        <v>19</v>
      </c>
      <c r="W47" s="44" t="s">
        <v>19</v>
      </c>
      <c r="X47" s="52" t="s">
        <v>19</v>
      </c>
      <c r="Y47" s="51" t="s">
        <v>19</v>
      </c>
      <c r="Z47" s="39" t="s">
        <v>20</v>
      </c>
      <c r="AA47" s="39" t="s">
        <v>20</v>
      </c>
      <c r="AB47" s="39" t="s">
        <v>20</v>
      </c>
      <c r="AC47" s="53" t="s">
        <v>20</v>
      </c>
      <c r="AD47" s="53" t="s">
        <v>20</v>
      </c>
    </row>
    <row r="48" spans="1:30" ht="15.75" customHeight="1" thickBot="1" x14ac:dyDescent="0.3">
      <c r="A48" s="89">
        <v>5</v>
      </c>
      <c r="B48" s="90" t="s">
        <v>44</v>
      </c>
      <c r="C48" s="89">
        <v>2</v>
      </c>
      <c r="D48" s="89" t="s">
        <v>19</v>
      </c>
      <c r="E48" s="51" t="s">
        <v>20</v>
      </c>
      <c r="F48" s="51" t="s">
        <v>20</v>
      </c>
      <c r="G48" s="51" t="s">
        <v>20</v>
      </c>
      <c r="H48" s="51" t="s">
        <v>20</v>
      </c>
      <c r="I48" s="51" t="s">
        <v>20</v>
      </c>
      <c r="J48" s="51" t="s">
        <v>20</v>
      </c>
      <c r="K48" s="51" t="s">
        <v>20</v>
      </c>
      <c r="L48" s="51" t="s">
        <v>20</v>
      </c>
      <c r="M48" s="51" t="s">
        <v>20</v>
      </c>
      <c r="N48" s="51" t="s">
        <v>19</v>
      </c>
      <c r="O48" s="51" t="s">
        <v>20</v>
      </c>
      <c r="P48" s="51" t="s">
        <v>20</v>
      </c>
      <c r="Q48" s="51" t="s">
        <v>20</v>
      </c>
      <c r="R48" s="51" t="s">
        <v>19</v>
      </c>
      <c r="S48" s="51" t="s">
        <v>20</v>
      </c>
      <c r="T48" s="51" t="s">
        <v>19</v>
      </c>
      <c r="U48" s="43" t="s">
        <v>19</v>
      </c>
      <c r="V48" s="43" t="s">
        <v>19</v>
      </c>
      <c r="W48" s="44" t="s">
        <v>19</v>
      </c>
      <c r="X48" s="52" t="s">
        <v>19</v>
      </c>
      <c r="Y48" s="51" t="s">
        <v>19</v>
      </c>
      <c r="Z48" s="39" t="s">
        <v>20</v>
      </c>
      <c r="AA48" s="39" t="s">
        <v>20</v>
      </c>
      <c r="AB48" s="39" t="s">
        <v>21</v>
      </c>
      <c r="AC48" s="53" t="s">
        <v>20</v>
      </c>
      <c r="AD48" s="53" t="s">
        <v>20</v>
      </c>
    </row>
    <row r="49" spans="1:33" ht="15.75" customHeight="1" x14ac:dyDescent="0.25">
      <c r="A49" s="89">
        <v>6</v>
      </c>
      <c r="B49" s="90" t="s">
        <v>45</v>
      </c>
      <c r="C49" s="89">
        <v>2</v>
      </c>
      <c r="D49" s="89" t="s">
        <v>19</v>
      </c>
      <c r="E49" s="51" t="s">
        <v>19</v>
      </c>
      <c r="F49" s="51" t="s">
        <v>20</v>
      </c>
      <c r="G49" s="51" t="s">
        <v>19</v>
      </c>
      <c r="H49" s="51" t="s">
        <v>19</v>
      </c>
      <c r="I49" s="51" t="s">
        <v>19</v>
      </c>
      <c r="J49" s="51" t="s">
        <v>19</v>
      </c>
      <c r="K49" s="51" t="s">
        <v>19</v>
      </c>
      <c r="L49" s="51" t="s">
        <v>19</v>
      </c>
      <c r="M49" s="51" t="s">
        <v>19</v>
      </c>
      <c r="N49" s="51" t="s">
        <v>19</v>
      </c>
      <c r="O49" s="51" t="s">
        <v>19</v>
      </c>
      <c r="P49" s="51" t="s">
        <v>19</v>
      </c>
      <c r="Q49" s="51" t="s">
        <v>19</v>
      </c>
      <c r="R49" s="51" t="s">
        <v>19</v>
      </c>
      <c r="S49" s="51" t="s">
        <v>19</v>
      </c>
      <c r="T49" s="51" t="s">
        <v>19</v>
      </c>
      <c r="U49" s="54" t="s">
        <v>19</v>
      </c>
      <c r="V49" s="54" t="s">
        <v>19</v>
      </c>
      <c r="W49" s="54" t="s">
        <v>19</v>
      </c>
      <c r="X49" s="51" t="s">
        <v>19</v>
      </c>
      <c r="Y49" s="51" t="s">
        <v>19</v>
      </c>
      <c r="Z49" s="39" t="s">
        <v>19</v>
      </c>
      <c r="AA49" s="39" t="s">
        <v>19</v>
      </c>
      <c r="AB49" s="39" t="s">
        <v>19</v>
      </c>
      <c r="AC49" s="53" t="s">
        <v>19</v>
      </c>
      <c r="AD49" s="53" t="s">
        <v>20</v>
      </c>
      <c r="AF49" s="29" t="s">
        <v>22</v>
      </c>
      <c r="AG49" s="17">
        <f>COUNTIF(E44:AD67,"AD")</f>
        <v>2</v>
      </c>
    </row>
    <row r="50" spans="1:33" ht="15.75" customHeight="1" x14ac:dyDescent="0.25">
      <c r="A50" s="89">
        <v>7</v>
      </c>
      <c r="B50" s="90" t="s">
        <v>46</v>
      </c>
      <c r="C50" s="89">
        <v>2</v>
      </c>
      <c r="D50" s="89" t="s">
        <v>19</v>
      </c>
      <c r="E50" s="51" t="s">
        <v>20</v>
      </c>
      <c r="F50" s="51" t="s">
        <v>20</v>
      </c>
      <c r="G50" s="51" t="s">
        <v>20</v>
      </c>
      <c r="H50" s="51" t="s">
        <v>20</v>
      </c>
      <c r="I50" s="51" t="s">
        <v>19</v>
      </c>
      <c r="J50" s="51" t="s">
        <v>20</v>
      </c>
      <c r="K50" s="51" t="s">
        <v>20</v>
      </c>
      <c r="L50" s="51" t="s">
        <v>20</v>
      </c>
      <c r="M50" s="51" t="s">
        <v>19</v>
      </c>
      <c r="N50" s="51" t="s">
        <v>21</v>
      </c>
      <c r="O50" s="51" t="s">
        <v>20</v>
      </c>
      <c r="P50" s="51" t="s">
        <v>20</v>
      </c>
      <c r="Q50" s="51" t="s">
        <v>20</v>
      </c>
      <c r="R50" s="51" t="s">
        <v>20</v>
      </c>
      <c r="S50" s="51" t="s">
        <v>19</v>
      </c>
      <c r="T50" s="51" t="s">
        <v>19</v>
      </c>
      <c r="U50" s="54" t="s">
        <v>19</v>
      </c>
      <c r="V50" s="54" t="s">
        <v>19</v>
      </c>
      <c r="W50" s="54" t="s">
        <v>19</v>
      </c>
      <c r="X50" s="51" t="s">
        <v>19</v>
      </c>
      <c r="Y50" s="51" t="s">
        <v>19</v>
      </c>
      <c r="Z50" s="39" t="s">
        <v>19</v>
      </c>
      <c r="AA50" s="39" t="s">
        <v>19</v>
      </c>
      <c r="AB50" s="39" t="s">
        <v>19</v>
      </c>
      <c r="AC50" s="53" t="s">
        <v>20</v>
      </c>
      <c r="AD50" s="53" t="s">
        <v>20</v>
      </c>
      <c r="AF50" s="30" t="s">
        <v>19</v>
      </c>
      <c r="AG50" s="18">
        <f>COUNTIF(E44:AD67,"A")</f>
        <v>244</v>
      </c>
    </row>
    <row r="51" spans="1:33" ht="15.75" customHeight="1" x14ac:dyDescent="0.25">
      <c r="A51" s="89">
        <v>8</v>
      </c>
      <c r="B51" s="90" t="s">
        <v>245</v>
      </c>
      <c r="C51" s="89">
        <v>2</v>
      </c>
      <c r="D51" s="89" t="s">
        <v>19</v>
      </c>
      <c r="E51" s="51" t="s">
        <v>20</v>
      </c>
      <c r="F51" s="51" t="s">
        <v>20</v>
      </c>
      <c r="G51" s="51" t="s">
        <v>20</v>
      </c>
      <c r="H51" s="51" t="s">
        <v>20</v>
      </c>
      <c r="I51" s="51" t="s">
        <v>19</v>
      </c>
      <c r="J51" s="51" t="s">
        <v>19</v>
      </c>
      <c r="K51" s="51" t="s">
        <v>19</v>
      </c>
      <c r="L51" s="51" t="s">
        <v>20</v>
      </c>
      <c r="M51" s="51" t="s">
        <v>19</v>
      </c>
      <c r="N51" s="51" t="s">
        <v>19</v>
      </c>
      <c r="O51" s="51" t="s">
        <v>19</v>
      </c>
      <c r="P51" s="51" t="s">
        <v>19</v>
      </c>
      <c r="Q51" s="51" t="s">
        <v>19</v>
      </c>
      <c r="R51" s="51" t="s">
        <v>19</v>
      </c>
      <c r="S51" s="51" t="s">
        <v>19</v>
      </c>
      <c r="T51" s="51" t="s">
        <v>20</v>
      </c>
      <c r="U51" s="54" t="s">
        <v>19</v>
      </c>
      <c r="V51" s="54" t="s">
        <v>19</v>
      </c>
      <c r="W51" s="54" t="s">
        <v>19</v>
      </c>
      <c r="X51" s="51" t="s">
        <v>19</v>
      </c>
      <c r="Y51" s="51" t="s">
        <v>19</v>
      </c>
      <c r="Z51" s="39" t="s">
        <v>19</v>
      </c>
      <c r="AA51" s="39" t="s">
        <v>19</v>
      </c>
      <c r="AB51" s="39" t="s">
        <v>19</v>
      </c>
      <c r="AC51" s="53" t="s">
        <v>20</v>
      </c>
      <c r="AD51" s="53" t="s">
        <v>20</v>
      </c>
      <c r="AF51" s="30" t="s">
        <v>20</v>
      </c>
      <c r="AG51" s="18">
        <f>COUNTIF(E44:AD67,"B")</f>
        <v>298</v>
      </c>
    </row>
    <row r="52" spans="1:33" ht="15.75" customHeight="1" thickBot="1" x14ac:dyDescent="0.3">
      <c r="A52" s="89">
        <v>9</v>
      </c>
      <c r="B52" s="90" t="s">
        <v>47</v>
      </c>
      <c r="C52" s="89">
        <v>2</v>
      </c>
      <c r="D52" s="89" t="s">
        <v>19</v>
      </c>
      <c r="E52" s="51" t="s">
        <v>20</v>
      </c>
      <c r="F52" s="51" t="s">
        <v>20</v>
      </c>
      <c r="G52" s="51" t="s">
        <v>20</v>
      </c>
      <c r="H52" s="51" t="s">
        <v>20</v>
      </c>
      <c r="I52" s="51" t="s">
        <v>20</v>
      </c>
      <c r="J52" s="51" t="s">
        <v>20</v>
      </c>
      <c r="K52" s="51" t="s">
        <v>20</v>
      </c>
      <c r="L52" s="51" t="s">
        <v>20</v>
      </c>
      <c r="M52" s="51" t="s">
        <v>20</v>
      </c>
      <c r="N52" s="51" t="s">
        <v>21</v>
      </c>
      <c r="O52" s="51" t="s">
        <v>20</v>
      </c>
      <c r="P52" s="51" t="s">
        <v>20</v>
      </c>
      <c r="Q52" s="51" t="s">
        <v>20</v>
      </c>
      <c r="R52" s="51" t="s">
        <v>21</v>
      </c>
      <c r="S52" s="51" t="s">
        <v>21</v>
      </c>
      <c r="T52" s="51" t="s">
        <v>19</v>
      </c>
      <c r="U52" s="54" t="s">
        <v>19</v>
      </c>
      <c r="V52" s="54" t="s">
        <v>19</v>
      </c>
      <c r="W52" s="54" t="s">
        <v>19</v>
      </c>
      <c r="X52" s="51" t="s">
        <v>20</v>
      </c>
      <c r="Y52" s="51" t="s">
        <v>19</v>
      </c>
      <c r="Z52" s="39" t="s">
        <v>21</v>
      </c>
      <c r="AA52" s="39" t="s">
        <v>20</v>
      </c>
      <c r="AB52" s="39" t="s">
        <v>21</v>
      </c>
      <c r="AC52" s="53" t="s">
        <v>20</v>
      </c>
      <c r="AD52" s="53" t="s">
        <v>20</v>
      </c>
      <c r="AF52" s="31" t="s">
        <v>21</v>
      </c>
      <c r="AG52" s="19">
        <f>COUNTIF(E44:AD67,"C")</f>
        <v>76</v>
      </c>
    </row>
    <row r="53" spans="1:33" ht="15.75" customHeight="1" x14ac:dyDescent="0.25">
      <c r="A53" s="89">
        <v>10</v>
      </c>
      <c r="B53" s="90" t="s">
        <v>48</v>
      </c>
      <c r="C53" s="89">
        <v>2</v>
      </c>
      <c r="D53" s="89" t="s">
        <v>19</v>
      </c>
      <c r="E53" s="51" t="s">
        <v>20</v>
      </c>
      <c r="F53" s="51" t="s">
        <v>20</v>
      </c>
      <c r="G53" s="51" t="s">
        <v>20</v>
      </c>
      <c r="H53" s="51" t="s">
        <v>20</v>
      </c>
      <c r="I53" s="51" t="s">
        <v>19</v>
      </c>
      <c r="J53" s="51" t="s">
        <v>20</v>
      </c>
      <c r="K53" s="51" t="s">
        <v>20</v>
      </c>
      <c r="L53" s="51" t="s">
        <v>20</v>
      </c>
      <c r="M53" s="51" t="s">
        <v>20</v>
      </c>
      <c r="N53" s="51" t="s">
        <v>19</v>
      </c>
      <c r="O53" s="51" t="s">
        <v>20</v>
      </c>
      <c r="P53" s="51" t="s">
        <v>20</v>
      </c>
      <c r="Q53" s="51" t="s">
        <v>20</v>
      </c>
      <c r="R53" s="51" t="s">
        <v>20</v>
      </c>
      <c r="S53" s="51" t="s">
        <v>19</v>
      </c>
      <c r="T53" s="51" t="s">
        <v>19</v>
      </c>
      <c r="U53" s="54" t="s">
        <v>19</v>
      </c>
      <c r="V53" s="54" t="s">
        <v>19</v>
      </c>
      <c r="W53" s="54" t="s">
        <v>19</v>
      </c>
      <c r="X53" s="51" t="s">
        <v>19</v>
      </c>
      <c r="Y53" s="51" t="s">
        <v>20</v>
      </c>
      <c r="Z53" s="39" t="s">
        <v>19</v>
      </c>
      <c r="AA53" s="39" t="s">
        <v>20</v>
      </c>
      <c r="AB53" s="39" t="s">
        <v>20</v>
      </c>
      <c r="AC53" s="53" t="s">
        <v>20</v>
      </c>
      <c r="AD53" s="53" t="s">
        <v>20</v>
      </c>
    </row>
    <row r="54" spans="1:33" ht="15.75" customHeight="1" x14ac:dyDescent="0.25">
      <c r="A54" s="89">
        <v>11</v>
      </c>
      <c r="B54" s="90" t="s">
        <v>246</v>
      </c>
      <c r="C54" s="89">
        <v>2</v>
      </c>
      <c r="D54" s="89" t="s">
        <v>19</v>
      </c>
      <c r="E54" s="51" t="s">
        <v>19</v>
      </c>
      <c r="F54" s="51" t="s">
        <v>19</v>
      </c>
      <c r="G54" s="51" t="s">
        <v>19</v>
      </c>
      <c r="H54" s="51" t="s">
        <v>19</v>
      </c>
      <c r="I54" s="51" t="s">
        <v>19</v>
      </c>
      <c r="J54" s="51" t="s">
        <v>19</v>
      </c>
      <c r="K54" s="51" t="s">
        <v>19</v>
      </c>
      <c r="L54" s="51" t="s">
        <v>19</v>
      </c>
      <c r="M54" s="51" t="s">
        <v>19</v>
      </c>
      <c r="N54" s="51" t="s">
        <v>19</v>
      </c>
      <c r="O54" s="51" t="s">
        <v>19</v>
      </c>
      <c r="P54" s="51" t="s">
        <v>19</v>
      </c>
      <c r="Q54" s="51" t="s">
        <v>19</v>
      </c>
      <c r="R54" s="51" t="s">
        <v>19</v>
      </c>
      <c r="S54" s="51" t="s">
        <v>20</v>
      </c>
      <c r="T54" s="51" t="s">
        <v>19</v>
      </c>
      <c r="U54" s="54" t="s">
        <v>20</v>
      </c>
      <c r="V54" s="54" t="s">
        <v>19</v>
      </c>
      <c r="W54" s="54" t="s">
        <v>20</v>
      </c>
      <c r="X54" s="51" t="s">
        <v>19</v>
      </c>
      <c r="Y54" s="51" t="s">
        <v>19</v>
      </c>
      <c r="Z54" s="39" t="s">
        <v>19</v>
      </c>
      <c r="AA54" s="39" t="s">
        <v>19</v>
      </c>
      <c r="AB54" s="39" t="s">
        <v>19</v>
      </c>
      <c r="AC54" s="53" t="s">
        <v>59</v>
      </c>
      <c r="AD54" s="53" t="s">
        <v>59</v>
      </c>
    </row>
    <row r="55" spans="1:33" ht="15.75" customHeight="1" x14ac:dyDescent="0.25">
      <c r="A55" s="89">
        <v>12</v>
      </c>
      <c r="B55" s="90" t="s">
        <v>49</v>
      </c>
      <c r="C55" s="89">
        <v>2</v>
      </c>
      <c r="D55" s="89" t="s">
        <v>19</v>
      </c>
      <c r="E55" s="51" t="s">
        <v>19</v>
      </c>
      <c r="F55" s="51" t="s">
        <v>20</v>
      </c>
      <c r="G55" s="51" t="s">
        <v>20</v>
      </c>
      <c r="H55" s="51" t="s">
        <v>20</v>
      </c>
      <c r="I55" s="51" t="s">
        <v>20</v>
      </c>
      <c r="J55" s="51" t="s">
        <v>20</v>
      </c>
      <c r="K55" s="51" t="s">
        <v>20</v>
      </c>
      <c r="L55" s="51" t="s">
        <v>20</v>
      </c>
      <c r="M55" s="51" t="s">
        <v>20</v>
      </c>
      <c r="N55" s="51" t="s">
        <v>21</v>
      </c>
      <c r="O55" s="51" t="s">
        <v>21</v>
      </c>
      <c r="P55" s="51" t="s">
        <v>21</v>
      </c>
      <c r="Q55" s="51" t="s">
        <v>20</v>
      </c>
      <c r="R55" s="51" t="s">
        <v>21</v>
      </c>
      <c r="S55" s="51" t="s">
        <v>21</v>
      </c>
      <c r="T55" s="51" t="s">
        <v>20</v>
      </c>
      <c r="U55" s="54" t="s">
        <v>20</v>
      </c>
      <c r="V55" s="54" t="s">
        <v>20</v>
      </c>
      <c r="W55" s="54" t="s">
        <v>20</v>
      </c>
      <c r="X55" s="51" t="s">
        <v>20</v>
      </c>
      <c r="Y55" s="51" t="s">
        <v>20</v>
      </c>
      <c r="Z55" s="39" t="s">
        <v>21</v>
      </c>
      <c r="AA55" s="39" t="s">
        <v>20</v>
      </c>
      <c r="AB55" s="39" t="s">
        <v>21</v>
      </c>
      <c r="AC55" s="53" t="s">
        <v>21</v>
      </c>
      <c r="AD55" s="53" t="s">
        <v>20</v>
      </c>
    </row>
    <row r="56" spans="1:33" ht="15.75" customHeight="1" x14ac:dyDescent="0.25">
      <c r="A56" s="89">
        <v>13</v>
      </c>
      <c r="B56" s="90" t="s">
        <v>50</v>
      </c>
      <c r="C56" s="89">
        <v>2</v>
      </c>
      <c r="D56" s="89" t="s">
        <v>19</v>
      </c>
      <c r="E56" s="51" t="s">
        <v>20</v>
      </c>
      <c r="F56" s="51" t="s">
        <v>20</v>
      </c>
      <c r="G56" s="51" t="s">
        <v>20</v>
      </c>
      <c r="H56" s="51" t="s">
        <v>20</v>
      </c>
      <c r="I56" s="51" t="s">
        <v>20</v>
      </c>
      <c r="J56" s="51" t="s">
        <v>21</v>
      </c>
      <c r="K56" s="51" t="s">
        <v>20</v>
      </c>
      <c r="L56" s="51" t="s">
        <v>20</v>
      </c>
      <c r="M56" s="51" t="s">
        <v>20</v>
      </c>
      <c r="N56" s="51" t="s">
        <v>21</v>
      </c>
      <c r="O56" s="51" t="s">
        <v>21</v>
      </c>
      <c r="P56" s="51" t="s">
        <v>21</v>
      </c>
      <c r="Q56" s="51" t="s">
        <v>21</v>
      </c>
      <c r="R56" s="51" t="s">
        <v>21</v>
      </c>
      <c r="S56" s="51" t="s">
        <v>21</v>
      </c>
      <c r="T56" s="51" t="s">
        <v>20</v>
      </c>
      <c r="U56" s="54" t="s">
        <v>19</v>
      </c>
      <c r="V56" s="54" t="s">
        <v>19</v>
      </c>
      <c r="W56" s="54" t="s">
        <v>19</v>
      </c>
      <c r="X56" s="51" t="s">
        <v>20</v>
      </c>
      <c r="Y56" s="51" t="s">
        <v>20</v>
      </c>
      <c r="Z56" s="39" t="s">
        <v>20</v>
      </c>
      <c r="AA56" s="39" t="s">
        <v>21</v>
      </c>
      <c r="AB56" s="39" t="s">
        <v>21</v>
      </c>
      <c r="AC56" s="53" t="s">
        <v>21</v>
      </c>
      <c r="AD56" s="53" t="s">
        <v>20</v>
      </c>
    </row>
    <row r="57" spans="1:33" ht="15.75" customHeight="1" x14ac:dyDescent="0.25">
      <c r="A57" s="89">
        <v>14</v>
      </c>
      <c r="B57" s="90" t="s">
        <v>51</v>
      </c>
      <c r="C57" s="89">
        <v>2</v>
      </c>
      <c r="D57" s="89" t="s">
        <v>19</v>
      </c>
      <c r="E57" s="51" t="s">
        <v>19</v>
      </c>
      <c r="F57" s="51" t="s">
        <v>20</v>
      </c>
      <c r="G57" s="51" t="s">
        <v>20</v>
      </c>
      <c r="H57" s="51" t="s">
        <v>20</v>
      </c>
      <c r="I57" s="51" t="s">
        <v>20</v>
      </c>
      <c r="J57" s="51" t="s">
        <v>21</v>
      </c>
      <c r="K57" s="51" t="s">
        <v>19</v>
      </c>
      <c r="L57" s="51" t="s">
        <v>20</v>
      </c>
      <c r="M57" s="51" t="s">
        <v>20</v>
      </c>
      <c r="N57" s="51" t="s">
        <v>21</v>
      </c>
      <c r="O57" s="51" t="s">
        <v>19</v>
      </c>
      <c r="P57" s="51" t="s">
        <v>19</v>
      </c>
      <c r="Q57" s="51" t="s">
        <v>20</v>
      </c>
      <c r="R57" s="51" t="s">
        <v>20</v>
      </c>
      <c r="S57" s="51" t="s">
        <v>21</v>
      </c>
      <c r="T57" s="51" t="s">
        <v>20</v>
      </c>
      <c r="U57" s="54" t="s">
        <v>20</v>
      </c>
      <c r="V57" s="54" t="s">
        <v>19</v>
      </c>
      <c r="W57" s="54" t="s">
        <v>20</v>
      </c>
      <c r="X57" s="51" t="s">
        <v>20</v>
      </c>
      <c r="Y57" s="51" t="s">
        <v>19</v>
      </c>
      <c r="Z57" s="39" t="s">
        <v>21</v>
      </c>
      <c r="AA57" s="39" t="s">
        <v>20</v>
      </c>
      <c r="AB57" s="39" t="s">
        <v>20</v>
      </c>
      <c r="AC57" s="53" t="s">
        <v>21</v>
      </c>
      <c r="AD57" s="53" t="s">
        <v>20</v>
      </c>
    </row>
    <row r="58" spans="1:33" ht="15.75" customHeight="1" x14ac:dyDescent="0.25">
      <c r="A58" s="89">
        <v>15</v>
      </c>
      <c r="B58" s="90" t="s">
        <v>52</v>
      </c>
      <c r="C58" s="89">
        <v>2</v>
      </c>
      <c r="D58" s="89" t="s">
        <v>19</v>
      </c>
      <c r="E58" s="51" t="s">
        <v>19</v>
      </c>
      <c r="F58" s="51" t="s">
        <v>20</v>
      </c>
      <c r="G58" s="51" t="s">
        <v>20</v>
      </c>
      <c r="H58" s="51" t="s">
        <v>20</v>
      </c>
      <c r="I58" s="51" t="s">
        <v>19</v>
      </c>
      <c r="J58" s="51" t="s">
        <v>20</v>
      </c>
      <c r="K58" s="51" t="s">
        <v>20</v>
      </c>
      <c r="L58" s="51" t="s">
        <v>20</v>
      </c>
      <c r="M58" s="51" t="s">
        <v>20</v>
      </c>
      <c r="N58" s="51" t="s">
        <v>19</v>
      </c>
      <c r="O58" s="51" t="s">
        <v>20</v>
      </c>
      <c r="P58" s="51" t="s">
        <v>20</v>
      </c>
      <c r="Q58" s="51" t="s">
        <v>20</v>
      </c>
      <c r="R58" s="51" t="s">
        <v>19</v>
      </c>
      <c r="S58" s="51" t="s">
        <v>20</v>
      </c>
      <c r="T58" s="51" t="s">
        <v>20</v>
      </c>
      <c r="U58" s="54" t="s">
        <v>20</v>
      </c>
      <c r="V58" s="54" t="s">
        <v>19</v>
      </c>
      <c r="W58" s="54" t="s">
        <v>19</v>
      </c>
      <c r="X58" s="51" t="s">
        <v>20</v>
      </c>
      <c r="Y58" s="51" t="s">
        <v>20</v>
      </c>
      <c r="Z58" s="39" t="s">
        <v>20</v>
      </c>
      <c r="AA58" s="39" t="s">
        <v>20</v>
      </c>
      <c r="AB58" s="39" t="s">
        <v>20</v>
      </c>
      <c r="AC58" s="53" t="s">
        <v>21</v>
      </c>
      <c r="AD58" s="53" t="s">
        <v>20</v>
      </c>
    </row>
    <row r="59" spans="1:33" ht="15.75" customHeight="1" x14ac:dyDescent="0.25">
      <c r="A59" s="89">
        <v>16</v>
      </c>
      <c r="B59" s="90" t="s">
        <v>53</v>
      </c>
      <c r="C59" s="89">
        <v>2</v>
      </c>
      <c r="D59" s="89" t="s">
        <v>19</v>
      </c>
      <c r="E59" s="51" t="s">
        <v>20</v>
      </c>
      <c r="F59" s="51" t="s">
        <v>20</v>
      </c>
      <c r="G59" s="51" t="s">
        <v>20</v>
      </c>
      <c r="H59" s="51" t="s">
        <v>20</v>
      </c>
      <c r="I59" s="51" t="s">
        <v>20</v>
      </c>
      <c r="J59" s="51" t="s">
        <v>20</v>
      </c>
      <c r="K59" s="51" t="s">
        <v>20</v>
      </c>
      <c r="L59" s="51" t="s">
        <v>19</v>
      </c>
      <c r="M59" s="51" t="s">
        <v>19</v>
      </c>
      <c r="N59" s="51" t="s">
        <v>19</v>
      </c>
      <c r="O59" s="51" t="s">
        <v>20</v>
      </c>
      <c r="P59" s="51" t="s">
        <v>20</v>
      </c>
      <c r="Q59" s="51" t="s">
        <v>20</v>
      </c>
      <c r="R59" s="51" t="s">
        <v>19</v>
      </c>
      <c r="S59" s="51" t="s">
        <v>19</v>
      </c>
      <c r="T59" s="51" t="s">
        <v>20</v>
      </c>
      <c r="U59" s="54" t="s">
        <v>19</v>
      </c>
      <c r="V59" s="54" t="s">
        <v>19</v>
      </c>
      <c r="W59" s="54" t="s">
        <v>19</v>
      </c>
      <c r="X59" s="51" t="s">
        <v>19</v>
      </c>
      <c r="Y59" s="51" t="s">
        <v>19</v>
      </c>
      <c r="Z59" s="39" t="s">
        <v>20</v>
      </c>
      <c r="AA59" s="39" t="s">
        <v>20</v>
      </c>
      <c r="AB59" s="39" t="s">
        <v>20</v>
      </c>
      <c r="AC59" s="53" t="s">
        <v>20</v>
      </c>
      <c r="AD59" s="53" t="s">
        <v>20</v>
      </c>
    </row>
    <row r="60" spans="1:33" ht="15.75" customHeight="1" x14ac:dyDescent="0.25">
      <c r="A60" s="89">
        <v>17</v>
      </c>
      <c r="B60" s="90" t="s">
        <v>247</v>
      </c>
      <c r="C60" s="89">
        <v>2</v>
      </c>
      <c r="D60" s="89" t="s">
        <v>19</v>
      </c>
      <c r="E60" s="51" t="s">
        <v>20</v>
      </c>
      <c r="F60" s="51" t="s">
        <v>20</v>
      </c>
      <c r="G60" s="51" t="s">
        <v>20</v>
      </c>
      <c r="H60" s="51" t="s">
        <v>20</v>
      </c>
      <c r="I60" s="51" t="s">
        <v>21</v>
      </c>
      <c r="J60" s="51" t="s">
        <v>20</v>
      </c>
      <c r="K60" s="51" t="s">
        <v>20</v>
      </c>
      <c r="L60" s="51" t="s">
        <v>20</v>
      </c>
      <c r="M60" s="51" t="s">
        <v>20</v>
      </c>
      <c r="N60" s="51" t="s">
        <v>19</v>
      </c>
      <c r="O60" s="51" t="s">
        <v>20</v>
      </c>
      <c r="P60" s="51" t="s">
        <v>20</v>
      </c>
      <c r="Q60" s="51" t="s">
        <v>20</v>
      </c>
      <c r="R60" s="51" t="s">
        <v>20</v>
      </c>
      <c r="S60" s="51" t="s">
        <v>20</v>
      </c>
      <c r="T60" s="51" t="s">
        <v>20</v>
      </c>
      <c r="U60" s="54" t="s">
        <v>19</v>
      </c>
      <c r="V60" s="54" t="s">
        <v>19</v>
      </c>
      <c r="W60" s="54" t="s">
        <v>19</v>
      </c>
      <c r="X60" s="51" t="s">
        <v>19</v>
      </c>
      <c r="Y60" s="51" t="s">
        <v>19</v>
      </c>
      <c r="Z60" s="39" t="s">
        <v>21</v>
      </c>
      <c r="AA60" s="39" t="s">
        <v>21</v>
      </c>
      <c r="AB60" s="39" t="s">
        <v>20</v>
      </c>
      <c r="AC60" s="53" t="s">
        <v>20</v>
      </c>
      <c r="AD60" s="53" t="s">
        <v>20</v>
      </c>
    </row>
    <row r="61" spans="1:33" ht="15.75" customHeight="1" x14ac:dyDescent="0.25">
      <c r="A61" s="89">
        <v>18</v>
      </c>
      <c r="B61" s="90" t="s">
        <v>54</v>
      </c>
      <c r="C61" s="89">
        <v>2</v>
      </c>
      <c r="D61" s="89" t="s">
        <v>19</v>
      </c>
      <c r="E61" s="51" t="s">
        <v>19</v>
      </c>
      <c r="F61" s="51" t="s">
        <v>19</v>
      </c>
      <c r="G61" s="51" t="s">
        <v>19</v>
      </c>
      <c r="H61" s="51" t="s">
        <v>19</v>
      </c>
      <c r="I61" s="51" t="s">
        <v>19</v>
      </c>
      <c r="J61" s="51" t="s">
        <v>19</v>
      </c>
      <c r="K61" s="51" t="s">
        <v>19</v>
      </c>
      <c r="L61" s="51" t="s">
        <v>19</v>
      </c>
      <c r="M61" s="51" t="s">
        <v>19</v>
      </c>
      <c r="N61" s="51" t="s">
        <v>19</v>
      </c>
      <c r="O61" s="51" t="s">
        <v>19</v>
      </c>
      <c r="P61" s="51" t="s">
        <v>19</v>
      </c>
      <c r="Q61" s="51" t="s">
        <v>19</v>
      </c>
      <c r="R61" s="51" t="s">
        <v>19</v>
      </c>
      <c r="S61" s="51" t="s">
        <v>19</v>
      </c>
      <c r="T61" s="51" t="s">
        <v>19</v>
      </c>
      <c r="U61" s="54" t="s">
        <v>19</v>
      </c>
      <c r="V61" s="54" t="s">
        <v>19</v>
      </c>
      <c r="W61" s="54" t="s">
        <v>19</v>
      </c>
      <c r="X61" s="51" t="s">
        <v>22</v>
      </c>
      <c r="Y61" s="51" t="s">
        <v>22</v>
      </c>
      <c r="Z61" s="39" t="s">
        <v>19</v>
      </c>
      <c r="AA61" s="39" t="s">
        <v>19</v>
      </c>
      <c r="AB61" s="39" t="s">
        <v>19</v>
      </c>
      <c r="AC61" s="53" t="s">
        <v>19</v>
      </c>
      <c r="AD61" s="53" t="s">
        <v>20</v>
      </c>
    </row>
    <row r="62" spans="1:33" ht="15.75" customHeight="1" x14ac:dyDescent="0.25">
      <c r="A62" s="89">
        <v>19</v>
      </c>
      <c r="B62" s="90" t="s">
        <v>80</v>
      </c>
      <c r="C62" s="89">
        <v>2</v>
      </c>
      <c r="D62" s="89" t="s">
        <v>19</v>
      </c>
      <c r="E62" s="51" t="s">
        <v>20</v>
      </c>
      <c r="F62" s="51" t="s">
        <v>19</v>
      </c>
      <c r="G62" s="51" t="s">
        <v>20</v>
      </c>
      <c r="H62" s="51" t="s">
        <v>20</v>
      </c>
      <c r="I62" s="51" t="s">
        <v>20</v>
      </c>
      <c r="J62" s="51" t="s">
        <v>21</v>
      </c>
      <c r="K62" s="51" t="s">
        <v>21</v>
      </c>
      <c r="L62" s="51" t="s">
        <v>20</v>
      </c>
      <c r="M62" s="51" t="s">
        <v>20</v>
      </c>
      <c r="N62" s="51" t="s">
        <v>19</v>
      </c>
      <c r="O62" s="51" t="s">
        <v>20</v>
      </c>
      <c r="P62" s="51" t="s">
        <v>20</v>
      </c>
      <c r="Q62" s="51" t="s">
        <v>21</v>
      </c>
      <c r="R62" s="51" t="s">
        <v>20</v>
      </c>
      <c r="S62" s="51" t="s">
        <v>20</v>
      </c>
      <c r="T62" s="51" t="s">
        <v>20</v>
      </c>
      <c r="U62" s="54" t="s">
        <v>20</v>
      </c>
      <c r="V62" s="54" t="s">
        <v>19</v>
      </c>
      <c r="W62" s="54" t="s">
        <v>19</v>
      </c>
      <c r="X62" s="51" t="s">
        <v>19</v>
      </c>
      <c r="Y62" s="51" t="s">
        <v>19</v>
      </c>
      <c r="Z62" s="39" t="s">
        <v>21</v>
      </c>
      <c r="AA62" s="39" t="s">
        <v>20</v>
      </c>
      <c r="AB62" s="39" t="s">
        <v>20</v>
      </c>
      <c r="AC62" s="53" t="s">
        <v>21</v>
      </c>
      <c r="AD62" s="53" t="s">
        <v>20</v>
      </c>
    </row>
    <row r="63" spans="1:33" ht="15.75" customHeight="1" x14ac:dyDescent="0.25">
      <c r="A63" s="89">
        <v>20</v>
      </c>
      <c r="B63" s="90" t="s">
        <v>248</v>
      </c>
      <c r="C63" s="89">
        <v>2</v>
      </c>
      <c r="D63" s="89" t="s">
        <v>19</v>
      </c>
      <c r="E63" s="51" t="s">
        <v>20</v>
      </c>
      <c r="F63" s="51" t="s">
        <v>20</v>
      </c>
      <c r="G63" s="51" t="s">
        <v>20</v>
      </c>
      <c r="H63" s="51" t="s">
        <v>20</v>
      </c>
      <c r="I63" s="51" t="s">
        <v>19</v>
      </c>
      <c r="J63" s="51" t="s">
        <v>20</v>
      </c>
      <c r="K63" s="51" t="s">
        <v>19</v>
      </c>
      <c r="L63" s="51" t="s">
        <v>19</v>
      </c>
      <c r="M63" s="51" t="s">
        <v>19</v>
      </c>
      <c r="N63" s="51" t="s">
        <v>19</v>
      </c>
      <c r="O63" s="51" t="s">
        <v>19</v>
      </c>
      <c r="P63" s="51" t="s">
        <v>19</v>
      </c>
      <c r="Q63" s="51" t="s">
        <v>19</v>
      </c>
      <c r="R63" s="51" t="s">
        <v>19</v>
      </c>
      <c r="S63" s="51" t="s">
        <v>20</v>
      </c>
      <c r="T63" s="51" t="s">
        <v>19</v>
      </c>
      <c r="U63" s="54" t="s">
        <v>19</v>
      </c>
      <c r="V63" s="54" t="s">
        <v>19</v>
      </c>
      <c r="W63" s="54" t="s">
        <v>20</v>
      </c>
      <c r="X63" s="51" t="s">
        <v>19</v>
      </c>
      <c r="Y63" s="51" t="s">
        <v>19</v>
      </c>
      <c r="Z63" s="39" t="s">
        <v>19</v>
      </c>
      <c r="AA63" s="39" t="s">
        <v>19</v>
      </c>
      <c r="AB63" s="39" t="s">
        <v>19</v>
      </c>
      <c r="AC63" s="53" t="s">
        <v>20</v>
      </c>
      <c r="AD63" s="53" t="s">
        <v>20</v>
      </c>
    </row>
    <row r="64" spans="1:33" ht="15.75" customHeight="1" x14ac:dyDescent="0.25">
      <c r="A64" s="89">
        <v>21</v>
      </c>
      <c r="B64" s="90" t="s">
        <v>55</v>
      </c>
      <c r="C64" s="89">
        <v>2</v>
      </c>
      <c r="D64" s="89" t="s">
        <v>19</v>
      </c>
      <c r="E64" s="51" t="s">
        <v>20</v>
      </c>
      <c r="F64" s="51" t="s">
        <v>19</v>
      </c>
      <c r="G64" s="51" t="s">
        <v>20</v>
      </c>
      <c r="H64" s="51" t="s">
        <v>20</v>
      </c>
      <c r="I64" s="51" t="s">
        <v>19</v>
      </c>
      <c r="J64" s="51" t="s">
        <v>20</v>
      </c>
      <c r="K64" s="51" t="s">
        <v>21</v>
      </c>
      <c r="L64" s="51" t="s">
        <v>20</v>
      </c>
      <c r="M64" s="51" t="s">
        <v>20</v>
      </c>
      <c r="N64" s="51" t="s">
        <v>21</v>
      </c>
      <c r="O64" s="51" t="s">
        <v>21</v>
      </c>
      <c r="P64" s="51" t="s">
        <v>21</v>
      </c>
      <c r="Q64" s="51" t="s">
        <v>20</v>
      </c>
      <c r="R64" s="51" t="s">
        <v>21</v>
      </c>
      <c r="S64" s="51" t="s">
        <v>21</v>
      </c>
      <c r="T64" s="51" t="s">
        <v>20</v>
      </c>
      <c r="U64" s="54" t="s">
        <v>19</v>
      </c>
      <c r="V64" s="54" t="s">
        <v>20</v>
      </c>
      <c r="W64" s="54" t="s">
        <v>19</v>
      </c>
      <c r="X64" s="51" t="s">
        <v>20</v>
      </c>
      <c r="Y64" s="51" t="s">
        <v>20</v>
      </c>
      <c r="Z64" s="39" t="s">
        <v>21</v>
      </c>
      <c r="AA64" s="39" t="s">
        <v>20</v>
      </c>
      <c r="AB64" s="39" t="s">
        <v>20</v>
      </c>
      <c r="AC64" s="53" t="s">
        <v>21</v>
      </c>
      <c r="AD64" s="53" t="s">
        <v>20</v>
      </c>
    </row>
    <row r="65" spans="1:33" ht="15.75" customHeight="1" x14ac:dyDescent="0.25">
      <c r="A65" s="89">
        <v>22</v>
      </c>
      <c r="B65" s="90" t="s">
        <v>56</v>
      </c>
      <c r="C65" s="89">
        <v>2</v>
      </c>
      <c r="D65" s="89" t="s">
        <v>19</v>
      </c>
      <c r="E65" s="51" t="s">
        <v>20</v>
      </c>
      <c r="F65" s="51" t="s">
        <v>21</v>
      </c>
      <c r="G65" s="51" t="s">
        <v>20</v>
      </c>
      <c r="H65" s="51" t="s">
        <v>20</v>
      </c>
      <c r="I65" s="51" t="s">
        <v>20</v>
      </c>
      <c r="J65" s="51" t="s">
        <v>20</v>
      </c>
      <c r="K65" s="51" t="s">
        <v>19</v>
      </c>
      <c r="L65" s="51" t="s">
        <v>20</v>
      </c>
      <c r="M65" s="51" t="s">
        <v>20</v>
      </c>
      <c r="N65" s="51" t="s">
        <v>21</v>
      </c>
      <c r="O65" s="51" t="s">
        <v>21</v>
      </c>
      <c r="P65" s="51" t="s">
        <v>21</v>
      </c>
      <c r="Q65" s="51" t="s">
        <v>20</v>
      </c>
      <c r="R65" s="51" t="s">
        <v>21</v>
      </c>
      <c r="S65" s="51" t="s">
        <v>21</v>
      </c>
      <c r="T65" s="51" t="s">
        <v>20</v>
      </c>
      <c r="U65" s="54" t="s">
        <v>19</v>
      </c>
      <c r="V65" s="54" t="s">
        <v>19</v>
      </c>
      <c r="W65" s="54" t="s">
        <v>19</v>
      </c>
      <c r="X65" s="51" t="s">
        <v>20</v>
      </c>
      <c r="Y65" s="51" t="s">
        <v>20</v>
      </c>
      <c r="Z65" s="39" t="s">
        <v>21</v>
      </c>
      <c r="AA65" s="39" t="s">
        <v>20</v>
      </c>
      <c r="AB65" s="39" t="s">
        <v>20</v>
      </c>
      <c r="AC65" s="53" t="s">
        <v>21</v>
      </c>
      <c r="AD65" s="53" t="s">
        <v>20</v>
      </c>
    </row>
    <row r="66" spans="1:33" ht="15.75" customHeight="1" x14ac:dyDescent="0.25">
      <c r="A66" s="89">
        <v>23</v>
      </c>
      <c r="B66" s="90" t="s">
        <v>57</v>
      </c>
      <c r="C66" s="89">
        <v>2</v>
      </c>
      <c r="D66" s="89" t="s">
        <v>19</v>
      </c>
      <c r="E66" s="51" t="s">
        <v>19</v>
      </c>
      <c r="F66" s="51" t="s">
        <v>19</v>
      </c>
      <c r="G66" s="51" t="s">
        <v>19</v>
      </c>
      <c r="H66" s="51" t="s">
        <v>19</v>
      </c>
      <c r="I66" s="51" t="s">
        <v>19</v>
      </c>
      <c r="J66" s="51" t="s">
        <v>19</v>
      </c>
      <c r="K66" s="51" t="s">
        <v>19</v>
      </c>
      <c r="L66" s="51" t="s">
        <v>19</v>
      </c>
      <c r="M66" s="51" t="s">
        <v>19</v>
      </c>
      <c r="N66" s="51" t="s">
        <v>19</v>
      </c>
      <c r="O66" s="51" t="s">
        <v>19</v>
      </c>
      <c r="P66" s="51" t="s">
        <v>19</v>
      </c>
      <c r="Q66" s="51" t="s">
        <v>19</v>
      </c>
      <c r="R66" s="51" t="s">
        <v>19</v>
      </c>
      <c r="S66" s="51" t="s">
        <v>19</v>
      </c>
      <c r="T66" s="51" t="s">
        <v>19</v>
      </c>
      <c r="U66" s="54" t="s">
        <v>19</v>
      </c>
      <c r="V66" s="54" t="s">
        <v>19</v>
      </c>
      <c r="W66" s="54" t="s">
        <v>19</v>
      </c>
      <c r="X66" s="51" t="s">
        <v>19</v>
      </c>
      <c r="Y66" s="51" t="s">
        <v>19</v>
      </c>
      <c r="Z66" s="39" t="s">
        <v>19</v>
      </c>
      <c r="AA66" s="39" t="s">
        <v>19</v>
      </c>
      <c r="AB66" s="39" t="s">
        <v>19</v>
      </c>
      <c r="AC66" s="53" t="s">
        <v>19</v>
      </c>
      <c r="AD66" s="53" t="s">
        <v>20</v>
      </c>
    </row>
    <row r="67" spans="1:33" ht="15.75" customHeight="1" thickBot="1" x14ac:dyDescent="0.3">
      <c r="A67" s="91">
        <v>24</v>
      </c>
      <c r="B67" s="92" t="s">
        <v>58</v>
      </c>
      <c r="C67" s="91">
        <v>2</v>
      </c>
      <c r="D67" s="91" t="s">
        <v>19</v>
      </c>
      <c r="E67" s="87" t="s">
        <v>20</v>
      </c>
      <c r="F67" s="87" t="s">
        <v>21</v>
      </c>
      <c r="G67" s="87" t="s">
        <v>20</v>
      </c>
      <c r="H67" s="87" t="s">
        <v>20</v>
      </c>
      <c r="I67" s="87" t="s">
        <v>20</v>
      </c>
      <c r="J67" s="87" t="s">
        <v>20</v>
      </c>
      <c r="K67" s="87" t="s">
        <v>21</v>
      </c>
      <c r="L67" s="87" t="s">
        <v>20</v>
      </c>
      <c r="M67" s="87" t="s">
        <v>20</v>
      </c>
      <c r="N67" s="87" t="s">
        <v>21</v>
      </c>
      <c r="O67" s="87" t="s">
        <v>20</v>
      </c>
      <c r="P67" s="87" t="s">
        <v>20</v>
      </c>
      <c r="Q67" s="87" t="s">
        <v>20</v>
      </c>
      <c r="R67" s="87" t="s">
        <v>21</v>
      </c>
      <c r="S67" s="87" t="s">
        <v>20</v>
      </c>
      <c r="T67" s="87" t="s">
        <v>20</v>
      </c>
      <c r="U67" s="100" t="s">
        <v>20</v>
      </c>
      <c r="V67" s="100" t="s">
        <v>19</v>
      </c>
      <c r="W67" s="100" t="s">
        <v>19</v>
      </c>
      <c r="X67" s="87" t="s">
        <v>20</v>
      </c>
      <c r="Y67" s="87" t="s">
        <v>20</v>
      </c>
      <c r="Z67" s="41" t="s">
        <v>20</v>
      </c>
      <c r="AA67" s="41" t="s">
        <v>20</v>
      </c>
      <c r="AB67" s="41" t="s">
        <v>21</v>
      </c>
      <c r="AC67" s="96" t="s">
        <v>21</v>
      </c>
      <c r="AD67" s="96" t="s">
        <v>20</v>
      </c>
    </row>
    <row r="68" spans="1:33" ht="15.75" customHeight="1" x14ac:dyDescent="0.25">
      <c r="A68" s="82">
        <v>1</v>
      </c>
      <c r="B68" s="40" t="s">
        <v>60</v>
      </c>
      <c r="C68" s="82">
        <v>2</v>
      </c>
      <c r="D68" s="82" t="s">
        <v>20</v>
      </c>
      <c r="E68" s="83" t="s">
        <v>20</v>
      </c>
      <c r="F68" s="83" t="s">
        <v>20</v>
      </c>
      <c r="G68" s="83" t="s">
        <v>20</v>
      </c>
      <c r="H68" s="83" t="s">
        <v>20</v>
      </c>
      <c r="I68" s="83" t="s">
        <v>20</v>
      </c>
      <c r="J68" s="83" t="s">
        <v>19</v>
      </c>
      <c r="K68" s="83" t="s">
        <v>19</v>
      </c>
      <c r="L68" s="83" t="s">
        <v>20</v>
      </c>
      <c r="M68" s="83" t="s">
        <v>20</v>
      </c>
      <c r="N68" s="83" t="s">
        <v>20</v>
      </c>
      <c r="O68" s="83" t="s">
        <v>20</v>
      </c>
      <c r="P68" s="83" t="s">
        <v>20</v>
      </c>
      <c r="Q68" s="83" t="s">
        <v>20</v>
      </c>
      <c r="R68" s="83" t="s">
        <v>20</v>
      </c>
      <c r="S68" s="83" t="s">
        <v>20</v>
      </c>
      <c r="T68" s="83" t="s">
        <v>20</v>
      </c>
      <c r="U68" s="99" t="s">
        <v>20</v>
      </c>
      <c r="V68" s="99" t="s">
        <v>19</v>
      </c>
      <c r="W68" s="99" t="s">
        <v>19</v>
      </c>
      <c r="X68" s="83" t="s">
        <v>19</v>
      </c>
      <c r="Y68" s="83" t="s">
        <v>19</v>
      </c>
      <c r="Z68" s="86" t="s">
        <v>20</v>
      </c>
      <c r="AA68" s="86" t="s">
        <v>20</v>
      </c>
      <c r="AB68" s="86" t="s">
        <v>20</v>
      </c>
      <c r="AC68" s="83" t="s">
        <v>20</v>
      </c>
      <c r="AD68" s="83" t="s">
        <v>20</v>
      </c>
      <c r="AF68" s="29" t="s">
        <v>22</v>
      </c>
      <c r="AG68" s="17">
        <f>COUNTIF(E68:AD90,"AD")</f>
        <v>1</v>
      </c>
    </row>
    <row r="69" spans="1:33" ht="15.75" customHeight="1" x14ac:dyDescent="0.25">
      <c r="A69" s="20">
        <v>2</v>
      </c>
      <c r="B69" s="37" t="s">
        <v>61</v>
      </c>
      <c r="C69" s="20">
        <v>2</v>
      </c>
      <c r="D69" s="20" t="s">
        <v>20</v>
      </c>
      <c r="E69" s="51" t="s">
        <v>20</v>
      </c>
      <c r="F69" s="51" t="s">
        <v>21</v>
      </c>
      <c r="G69" s="51" t="s">
        <v>20</v>
      </c>
      <c r="H69" s="51" t="s">
        <v>20</v>
      </c>
      <c r="I69" s="51" t="s">
        <v>20</v>
      </c>
      <c r="J69" s="51" t="s">
        <v>20</v>
      </c>
      <c r="K69" s="51" t="s">
        <v>20</v>
      </c>
      <c r="L69" s="51" t="s">
        <v>21</v>
      </c>
      <c r="M69" s="51" t="s">
        <v>20</v>
      </c>
      <c r="N69" s="51" t="s">
        <v>20</v>
      </c>
      <c r="O69" s="51" t="s">
        <v>21</v>
      </c>
      <c r="P69" s="51" t="s">
        <v>20</v>
      </c>
      <c r="Q69" s="51" t="s">
        <v>21</v>
      </c>
      <c r="R69" s="51" t="s">
        <v>21</v>
      </c>
      <c r="S69" s="51" t="s">
        <v>20</v>
      </c>
      <c r="T69" s="51" t="s">
        <v>20</v>
      </c>
      <c r="U69" s="54" t="s">
        <v>20</v>
      </c>
      <c r="V69" s="54" t="s">
        <v>20</v>
      </c>
      <c r="W69" s="54" t="s">
        <v>20</v>
      </c>
      <c r="X69" s="51" t="s">
        <v>20</v>
      </c>
      <c r="Y69" s="51" t="s">
        <v>21</v>
      </c>
      <c r="Z69" s="39" t="s">
        <v>21</v>
      </c>
      <c r="AA69" s="39" t="s">
        <v>20</v>
      </c>
      <c r="AB69" s="39" t="s">
        <v>21</v>
      </c>
      <c r="AC69" s="51" t="s">
        <v>21</v>
      </c>
      <c r="AD69" s="51" t="s">
        <v>20</v>
      </c>
      <c r="AF69" s="30" t="s">
        <v>19</v>
      </c>
      <c r="AG69" s="18">
        <f>COUNTIF(E68:AD90,"A")</f>
        <v>185</v>
      </c>
    </row>
    <row r="70" spans="1:33" ht="15.75" customHeight="1" x14ac:dyDescent="0.25">
      <c r="A70" s="20">
        <v>3</v>
      </c>
      <c r="B70" s="37" t="s">
        <v>62</v>
      </c>
      <c r="C70" s="20">
        <v>2</v>
      </c>
      <c r="D70" s="20" t="s">
        <v>20</v>
      </c>
      <c r="E70" s="51" t="s">
        <v>19</v>
      </c>
      <c r="F70" s="51" t="s">
        <v>20</v>
      </c>
      <c r="G70" s="51" t="s">
        <v>19</v>
      </c>
      <c r="H70" s="51" t="s">
        <v>20</v>
      </c>
      <c r="I70" s="51" t="s">
        <v>19</v>
      </c>
      <c r="J70" s="51" t="s">
        <v>19</v>
      </c>
      <c r="K70" s="51" t="s">
        <v>19</v>
      </c>
      <c r="L70" s="51" t="s">
        <v>21</v>
      </c>
      <c r="M70" s="51" t="s">
        <v>20</v>
      </c>
      <c r="N70" s="51" t="s">
        <v>19</v>
      </c>
      <c r="O70" s="51" t="s">
        <v>20</v>
      </c>
      <c r="P70" s="51" t="s">
        <v>20</v>
      </c>
      <c r="Q70" s="51" t="s">
        <v>20</v>
      </c>
      <c r="R70" s="51" t="s">
        <v>19</v>
      </c>
      <c r="S70" s="51" t="s">
        <v>19</v>
      </c>
      <c r="T70" s="51" t="s">
        <v>19</v>
      </c>
      <c r="U70" s="54" t="s">
        <v>20</v>
      </c>
      <c r="V70" s="54" t="s">
        <v>20</v>
      </c>
      <c r="W70" s="54" t="s">
        <v>20</v>
      </c>
      <c r="X70" s="51" t="s">
        <v>20</v>
      </c>
      <c r="Y70" s="51" t="s">
        <v>20</v>
      </c>
      <c r="Z70" s="39" t="s">
        <v>19</v>
      </c>
      <c r="AA70" s="39" t="s">
        <v>19</v>
      </c>
      <c r="AB70" s="39" t="s">
        <v>19</v>
      </c>
      <c r="AC70" s="51" t="s">
        <v>21</v>
      </c>
      <c r="AD70" s="51" t="s">
        <v>20</v>
      </c>
      <c r="AF70" s="30" t="s">
        <v>20</v>
      </c>
      <c r="AG70" s="18">
        <f>COUNTIF(E68:AD90,"B")</f>
        <v>351</v>
      </c>
    </row>
    <row r="71" spans="1:33" ht="15.75" customHeight="1" thickBot="1" x14ac:dyDescent="0.3">
      <c r="A71" s="20">
        <v>4</v>
      </c>
      <c r="B71" s="37" t="s">
        <v>63</v>
      </c>
      <c r="C71" s="20">
        <v>2</v>
      </c>
      <c r="D71" s="20" t="s">
        <v>20</v>
      </c>
      <c r="E71" s="51" t="s">
        <v>19</v>
      </c>
      <c r="F71" s="51" t="s">
        <v>20</v>
      </c>
      <c r="G71" s="51" t="s">
        <v>20</v>
      </c>
      <c r="H71" s="51" t="s">
        <v>20</v>
      </c>
      <c r="I71" s="51" t="s">
        <v>20</v>
      </c>
      <c r="J71" s="51" t="s">
        <v>20</v>
      </c>
      <c r="K71" s="51" t="s">
        <v>20</v>
      </c>
      <c r="L71" s="51" t="s">
        <v>20</v>
      </c>
      <c r="M71" s="51" t="s">
        <v>19</v>
      </c>
      <c r="N71" s="51" t="s">
        <v>20</v>
      </c>
      <c r="O71" s="51" t="s">
        <v>19</v>
      </c>
      <c r="P71" s="51" t="s">
        <v>19</v>
      </c>
      <c r="Q71" s="51" t="s">
        <v>19</v>
      </c>
      <c r="R71" s="51" t="s">
        <v>19</v>
      </c>
      <c r="S71" s="51" t="s">
        <v>19</v>
      </c>
      <c r="T71" s="51" t="s">
        <v>20</v>
      </c>
      <c r="U71" s="54" t="s">
        <v>19</v>
      </c>
      <c r="V71" s="54" t="s">
        <v>20</v>
      </c>
      <c r="W71" s="54" t="s">
        <v>20</v>
      </c>
      <c r="X71" s="51" t="s">
        <v>20</v>
      </c>
      <c r="Y71" s="51" t="s">
        <v>20</v>
      </c>
      <c r="Z71" s="39" t="s">
        <v>20</v>
      </c>
      <c r="AA71" s="39" t="s">
        <v>20</v>
      </c>
      <c r="AB71" s="39" t="s">
        <v>20</v>
      </c>
      <c r="AC71" s="51" t="s">
        <v>20</v>
      </c>
      <c r="AD71" s="51" t="s">
        <v>20</v>
      </c>
      <c r="AF71" s="31" t="s">
        <v>21</v>
      </c>
      <c r="AG71" s="19">
        <f>COUNTIF(E68:AD90,"C")</f>
        <v>61</v>
      </c>
    </row>
    <row r="72" spans="1:33" ht="15.75" customHeight="1" x14ac:dyDescent="0.25">
      <c r="A72" s="20">
        <v>5</v>
      </c>
      <c r="B72" s="37" t="s">
        <v>64</v>
      </c>
      <c r="C72" s="20">
        <v>2</v>
      </c>
      <c r="D72" s="20" t="s">
        <v>20</v>
      </c>
      <c r="E72" s="51" t="s">
        <v>19</v>
      </c>
      <c r="F72" s="51" t="s">
        <v>19</v>
      </c>
      <c r="G72" s="51" t="s">
        <v>19</v>
      </c>
      <c r="H72" s="51" t="s">
        <v>19</v>
      </c>
      <c r="I72" s="51" t="s">
        <v>20</v>
      </c>
      <c r="J72" s="51" t="s">
        <v>19</v>
      </c>
      <c r="K72" s="51" t="s">
        <v>19</v>
      </c>
      <c r="L72" s="51" t="s">
        <v>20</v>
      </c>
      <c r="M72" s="51" t="s">
        <v>19</v>
      </c>
      <c r="N72" s="51" t="s">
        <v>19</v>
      </c>
      <c r="O72" s="51" t="s">
        <v>20</v>
      </c>
      <c r="P72" s="51" t="s">
        <v>20</v>
      </c>
      <c r="Q72" s="51" t="s">
        <v>20</v>
      </c>
      <c r="R72" s="51" t="s">
        <v>20</v>
      </c>
      <c r="S72" s="51" t="s">
        <v>19</v>
      </c>
      <c r="T72" s="51" t="s">
        <v>20</v>
      </c>
      <c r="U72" s="54" t="s">
        <v>20</v>
      </c>
      <c r="V72" s="54" t="s">
        <v>20</v>
      </c>
      <c r="W72" s="54" t="s">
        <v>20</v>
      </c>
      <c r="X72" s="51" t="s">
        <v>20</v>
      </c>
      <c r="Y72" s="51" t="s">
        <v>19</v>
      </c>
      <c r="Z72" s="39" t="s">
        <v>20</v>
      </c>
      <c r="AA72" s="39" t="s">
        <v>21</v>
      </c>
      <c r="AB72" s="39" t="s">
        <v>20</v>
      </c>
      <c r="AC72" s="51" t="s">
        <v>21</v>
      </c>
      <c r="AD72" s="51" t="s">
        <v>20</v>
      </c>
    </row>
    <row r="73" spans="1:33" ht="15.75" customHeight="1" x14ac:dyDescent="0.25">
      <c r="A73" s="20">
        <v>6</v>
      </c>
      <c r="B73" s="37" t="s">
        <v>65</v>
      </c>
      <c r="C73" s="20">
        <v>2</v>
      </c>
      <c r="D73" s="20" t="s">
        <v>20</v>
      </c>
      <c r="E73" s="51" t="s">
        <v>20</v>
      </c>
      <c r="F73" s="51" t="s">
        <v>20</v>
      </c>
      <c r="G73" s="51" t="s">
        <v>20</v>
      </c>
      <c r="H73" s="51" t="s">
        <v>20</v>
      </c>
      <c r="I73" s="51" t="s">
        <v>20</v>
      </c>
      <c r="J73" s="51" t="s">
        <v>20</v>
      </c>
      <c r="K73" s="51" t="s">
        <v>20</v>
      </c>
      <c r="L73" s="51" t="s">
        <v>19</v>
      </c>
      <c r="M73" s="51" t="s">
        <v>19</v>
      </c>
      <c r="N73" s="51" t="s">
        <v>20</v>
      </c>
      <c r="O73" s="51" t="s">
        <v>21</v>
      </c>
      <c r="P73" s="51" t="s">
        <v>20</v>
      </c>
      <c r="Q73" s="51" t="s">
        <v>20</v>
      </c>
      <c r="R73" s="51" t="s">
        <v>20</v>
      </c>
      <c r="S73" s="51" t="s">
        <v>19</v>
      </c>
      <c r="T73" s="51" t="s">
        <v>19</v>
      </c>
      <c r="U73" s="54" t="s">
        <v>19</v>
      </c>
      <c r="V73" s="54" t="s">
        <v>19</v>
      </c>
      <c r="W73" s="54" t="s">
        <v>19</v>
      </c>
      <c r="X73" s="51" t="s">
        <v>20</v>
      </c>
      <c r="Y73" s="51" t="s">
        <v>19</v>
      </c>
      <c r="Z73" s="39" t="s">
        <v>20</v>
      </c>
      <c r="AA73" s="39" t="s">
        <v>20</v>
      </c>
      <c r="AB73" s="39" t="s">
        <v>20</v>
      </c>
      <c r="AC73" s="51" t="s">
        <v>20</v>
      </c>
      <c r="AD73" s="51" t="s">
        <v>20</v>
      </c>
    </row>
    <row r="74" spans="1:33" ht="15.75" customHeight="1" x14ac:dyDescent="0.25">
      <c r="A74" s="20">
        <v>7</v>
      </c>
      <c r="B74" s="37" t="s">
        <v>66</v>
      </c>
      <c r="C74" s="20">
        <v>2</v>
      </c>
      <c r="D74" s="20" t="s">
        <v>20</v>
      </c>
      <c r="E74" s="51" t="s">
        <v>20</v>
      </c>
      <c r="F74" s="51" t="s">
        <v>21</v>
      </c>
      <c r="G74" s="51" t="s">
        <v>20</v>
      </c>
      <c r="H74" s="51" t="s">
        <v>20</v>
      </c>
      <c r="I74" s="51" t="s">
        <v>20</v>
      </c>
      <c r="J74" s="51" t="s">
        <v>19</v>
      </c>
      <c r="K74" s="51" t="s">
        <v>19</v>
      </c>
      <c r="L74" s="51" t="s">
        <v>20</v>
      </c>
      <c r="M74" s="51" t="s">
        <v>20</v>
      </c>
      <c r="N74" s="51" t="s">
        <v>20</v>
      </c>
      <c r="O74" s="51" t="s">
        <v>20</v>
      </c>
      <c r="P74" s="51" t="s">
        <v>20</v>
      </c>
      <c r="Q74" s="51" t="s">
        <v>20</v>
      </c>
      <c r="R74" s="51" t="s">
        <v>20</v>
      </c>
      <c r="S74" s="51" t="s">
        <v>20</v>
      </c>
      <c r="T74" s="51" t="s">
        <v>20</v>
      </c>
      <c r="U74" s="54" t="s">
        <v>19</v>
      </c>
      <c r="V74" s="54" t="s">
        <v>20</v>
      </c>
      <c r="W74" s="54" t="s">
        <v>20</v>
      </c>
      <c r="X74" s="51" t="s">
        <v>20</v>
      </c>
      <c r="Y74" s="51" t="s">
        <v>19</v>
      </c>
      <c r="Z74" s="39" t="s">
        <v>20</v>
      </c>
      <c r="AA74" s="39" t="s">
        <v>20</v>
      </c>
      <c r="AB74" s="39" t="s">
        <v>20</v>
      </c>
      <c r="AC74" s="51" t="s">
        <v>21</v>
      </c>
      <c r="AD74" s="51" t="s">
        <v>20</v>
      </c>
    </row>
    <row r="75" spans="1:33" ht="15.75" customHeight="1" x14ac:dyDescent="0.25">
      <c r="A75" s="20">
        <v>8</v>
      </c>
      <c r="B75" s="37" t="s">
        <v>249</v>
      </c>
      <c r="C75" s="20">
        <v>2</v>
      </c>
      <c r="D75" s="20" t="s">
        <v>20</v>
      </c>
      <c r="E75" s="51" t="s">
        <v>19</v>
      </c>
      <c r="F75" s="51" t="s">
        <v>19</v>
      </c>
      <c r="G75" s="51" t="s">
        <v>19</v>
      </c>
      <c r="H75" s="51" t="s">
        <v>19</v>
      </c>
      <c r="I75" s="51" t="s">
        <v>19</v>
      </c>
      <c r="J75" s="51" t="s">
        <v>19</v>
      </c>
      <c r="K75" s="51" t="s">
        <v>22</v>
      </c>
      <c r="L75" s="51" t="s">
        <v>19</v>
      </c>
      <c r="M75" s="51" t="s">
        <v>19</v>
      </c>
      <c r="N75" s="51" t="s">
        <v>19</v>
      </c>
      <c r="O75" s="51" t="s">
        <v>19</v>
      </c>
      <c r="P75" s="51" t="s">
        <v>19</v>
      </c>
      <c r="Q75" s="51" t="s">
        <v>19</v>
      </c>
      <c r="R75" s="51" t="s">
        <v>19</v>
      </c>
      <c r="S75" s="51" t="s">
        <v>19</v>
      </c>
      <c r="T75" s="51" t="s">
        <v>19</v>
      </c>
      <c r="U75" s="54" t="s">
        <v>19</v>
      </c>
      <c r="V75" s="54" t="s">
        <v>19</v>
      </c>
      <c r="W75" s="54" t="s">
        <v>19</v>
      </c>
      <c r="X75" s="51" t="s">
        <v>19</v>
      </c>
      <c r="Y75" s="51" t="s">
        <v>19</v>
      </c>
      <c r="Z75" s="39" t="s">
        <v>19</v>
      </c>
      <c r="AA75" s="39" t="s">
        <v>19</v>
      </c>
      <c r="AB75" s="39" t="s">
        <v>19</v>
      </c>
      <c r="AC75" s="51" t="s">
        <v>19</v>
      </c>
      <c r="AD75" s="51" t="s">
        <v>20</v>
      </c>
    </row>
    <row r="76" spans="1:33" ht="15.75" customHeight="1" x14ac:dyDescent="0.25">
      <c r="A76" s="20">
        <v>9</v>
      </c>
      <c r="B76" s="37" t="s">
        <v>67</v>
      </c>
      <c r="C76" s="20">
        <v>2</v>
      </c>
      <c r="D76" s="20" t="s">
        <v>20</v>
      </c>
      <c r="E76" s="51" t="s">
        <v>19</v>
      </c>
      <c r="F76" s="51" t="s">
        <v>20</v>
      </c>
      <c r="G76" s="51" t="s">
        <v>20</v>
      </c>
      <c r="H76" s="51" t="s">
        <v>20</v>
      </c>
      <c r="I76" s="51" t="s">
        <v>20</v>
      </c>
      <c r="J76" s="51" t="s">
        <v>20</v>
      </c>
      <c r="K76" s="51" t="s">
        <v>20</v>
      </c>
      <c r="L76" s="51" t="s">
        <v>20</v>
      </c>
      <c r="M76" s="51" t="s">
        <v>20</v>
      </c>
      <c r="N76" s="51" t="s">
        <v>19</v>
      </c>
      <c r="O76" s="51" t="s">
        <v>20</v>
      </c>
      <c r="P76" s="51" t="s">
        <v>20</v>
      </c>
      <c r="Q76" s="51" t="s">
        <v>20</v>
      </c>
      <c r="R76" s="51" t="s">
        <v>20</v>
      </c>
      <c r="S76" s="51" t="s">
        <v>19</v>
      </c>
      <c r="T76" s="51" t="s">
        <v>19</v>
      </c>
      <c r="U76" s="54" t="s">
        <v>19</v>
      </c>
      <c r="V76" s="54" t="s">
        <v>19</v>
      </c>
      <c r="W76" s="54" t="s">
        <v>19</v>
      </c>
      <c r="X76" s="51" t="s">
        <v>19</v>
      </c>
      <c r="Y76" s="51" t="s">
        <v>20</v>
      </c>
      <c r="Z76" s="39" t="s">
        <v>20</v>
      </c>
      <c r="AA76" s="39" t="s">
        <v>20</v>
      </c>
      <c r="AB76" s="39" t="s">
        <v>20</v>
      </c>
      <c r="AC76" s="51" t="s">
        <v>20</v>
      </c>
      <c r="AD76" s="51" t="s">
        <v>20</v>
      </c>
    </row>
    <row r="77" spans="1:33" ht="15.75" customHeight="1" x14ac:dyDescent="0.25">
      <c r="A77" s="20">
        <v>10</v>
      </c>
      <c r="B77" s="37" t="s">
        <v>250</v>
      </c>
      <c r="C77" s="20">
        <v>2</v>
      </c>
      <c r="D77" s="20" t="s">
        <v>20</v>
      </c>
      <c r="E77" s="51" t="s">
        <v>20</v>
      </c>
      <c r="F77" s="51" t="s">
        <v>20</v>
      </c>
      <c r="G77" s="51" t="s">
        <v>20</v>
      </c>
      <c r="H77" s="51" t="s">
        <v>20</v>
      </c>
      <c r="I77" s="51" t="s">
        <v>20</v>
      </c>
      <c r="J77" s="51" t="s">
        <v>19</v>
      </c>
      <c r="K77" s="51" t="s">
        <v>19</v>
      </c>
      <c r="L77" s="51" t="s">
        <v>19</v>
      </c>
      <c r="M77" s="51" t="s">
        <v>20</v>
      </c>
      <c r="N77" s="51" t="s">
        <v>20</v>
      </c>
      <c r="O77" s="51" t="s">
        <v>20</v>
      </c>
      <c r="P77" s="51" t="s">
        <v>20</v>
      </c>
      <c r="Q77" s="51" t="s">
        <v>20</v>
      </c>
      <c r="R77" s="51" t="s">
        <v>20</v>
      </c>
      <c r="S77" s="51" t="s">
        <v>21</v>
      </c>
      <c r="T77" s="51" t="s">
        <v>20</v>
      </c>
      <c r="U77" s="54" t="s">
        <v>20</v>
      </c>
      <c r="V77" s="54" t="s">
        <v>19</v>
      </c>
      <c r="W77" s="54" t="s">
        <v>19</v>
      </c>
      <c r="X77" s="51" t="s">
        <v>20</v>
      </c>
      <c r="Y77" s="51" t="s">
        <v>19</v>
      </c>
      <c r="Z77" s="39" t="s">
        <v>19</v>
      </c>
      <c r="AA77" s="39" t="s">
        <v>20</v>
      </c>
      <c r="AB77" s="39" t="s">
        <v>20</v>
      </c>
      <c r="AC77" s="51" t="s">
        <v>21</v>
      </c>
      <c r="AD77" s="51" t="s">
        <v>20</v>
      </c>
    </row>
    <row r="78" spans="1:33" ht="15.75" customHeight="1" x14ac:dyDescent="0.25">
      <c r="A78" s="20">
        <v>11</v>
      </c>
      <c r="B78" s="37" t="s">
        <v>68</v>
      </c>
      <c r="C78" s="20">
        <v>2</v>
      </c>
      <c r="D78" s="20" t="s">
        <v>20</v>
      </c>
      <c r="E78" s="51" t="s">
        <v>20</v>
      </c>
      <c r="F78" s="51" t="s">
        <v>21</v>
      </c>
      <c r="G78" s="51" t="s">
        <v>20</v>
      </c>
      <c r="H78" s="51" t="s">
        <v>20</v>
      </c>
      <c r="I78" s="51" t="s">
        <v>20</v>
      </c>
      <c r="J78" s="51" t="s">
        <v>20</v>
      </c>
      <c r="K78" s="51" t="s">
        <v>20</v>
      </c>
      <c r="L78" s="51" t="s">
        <v>19</v>
      </c>
      <c r="M78" s="51" t="s">
        <v>19</v>
      </c>
      <c r="N78" s="51" t="s">
        <v>19</v>
      </c>
      <c r="O78" s="51" t="s">
        <v>20</v>
      </c>
      <c r="P78" s="51" t="s">
        <v>20</v>
      </c>
      <c r="Q78" s="51" t="s">
        <v>20</v>
      </c>
      <c r="R78" s="51" t="s">
        <v>20</v>
      </c>
      <c r="S78" s="51" t="s">
        <v>19</v>
      </c>
      <c r="T78" s="51" t="s">
        <v>20</v>
      </c>
      <c r="U78" s="54" t="s">
        <v>20</v>
      </c>
      <c r="V78" s="54" t="s">
        <v>19</v>
      </c>
      <c r="W78" s="54" t="s">
        <v>19</v>
      </c>
      <c r="X78" s="51" t="s">
        <v>19</v>
      </c>
      <c r="Y78" s="51" t="s">
        <v>19</v>
      </c>
      <c r="Z78" s="39" t="s">
        <v>21</v>
      </c>
      <c r="AA78" s="39" t="s">
        <v>20</v>
      </c>
      <c r="AB78" s="39" t="s">
        <v>20</v>
      </c>
      <c r="AC78" s="51" t="s">
        <v>21</v>
      </c>
      <c r="AD78" s="51" t="s">
        <v>20</v>
      </c>
    </row>
    <row r="79" spans="1:33" ht="15.75" customHeight="1" x14ac:dyDescent="0.25">
      <c r="A79" s="20">
        <v>12</v>
      </c>
      <c r="B79" s="37" t="s">
        <v>69</v>
      </c>
      <c r="C79" s="20">
        <v>2</v>
      </c>
      <c r="D79" s="20" t="s">
        <v>20</v>
      </c>
      <c r="E79" s="51" t="s">
        <v>19</v>
      </c>
      <c r="F79" s="51" t="s">
        <v>20</v>
      </c>
      <c r="G79" s="51" t="s">
        <v>20</v>
      </c>
      <c r="H79" s="51" t="s">
        <v>20</v>
      </c>
      <c r="I79" s="51" t="s">
        <v>20</v>
      </c>
      <c r="J79" s="51" t="s">
        <v>20</v>
      </c>
      <c r="K79" s="51" t="s">
        <v>20</v>
      </c>
      <c r="L79" s="51" t="s">
        <v>19</v>
      </c>
      <c r="M79" s="51" t="s">
        <v>19</v>
      </c>
      <c r="N79" s="51" t="s">
        <v>19</v>
      </c>
      <c r="O79" s="51" t="s">
        <v>20</v>
      </c>
      <c r="P79" s="51" t="s">
        <v>20</v>
      </c>
      <c r="Q79" s="51" t="s">
        <v>20</v>
      </c>
      <c r="R79" s="51" t="s">
        <v>19</v>
      </c>
      <c r="S79" s="51" t="s">
        <v>19</v>
      </c>
      <c r="T79" s="51" t="s">
        <v>20</v>
      </c>
      <c r="U79" s="54" t="s">
        <v>20</v>
      </c>
      <c r="V79" s="54" t="s">
        <v>19</v>
      </c>
      <c r="W79" s="54" t="s">
        <v>19</v>
      </c>
      <c r="X79" s="51" t="s">
        <v>19</v>
      </c>
      <c r="Y79" s="51" t="s">
        <v>19</v>
      </c>
      <c r="Z79" s="39" t="s">
        <v>21</v>
      </c>
      <c r="AA79" s="39" t="s">
        <v>20</v>
      </c>
      <c r="AB79" s="39" t="s">
        <v>20</v>
      </c>
      <c r="AC79" s="51" t="s">
        <v>19</v>
      </c>
      <c r="AD79" s="51" t="s">
        <v>20</v>
      </c>
    </row>
    <row r="80" spans="1:33" ht="15.75" customHeight="1" x14ac:dyDescent="0.25">
      <c r="A80" s="20">
        <v>13</v>
      </c>
      <c r="B80" s="37" t="s">
        <v>70</v>
      </c>
      <c r="C80" s="20">
        <v>2</v>
      </c>
      <c r="D80" s="20" t="s">
        <v>20</v>
      </c>
      <c r="E80" s="51" t="s">
        <v>19</v>
      </c>
      <c r="F80" s="51" t="s">
        <v>20</v>
      </c>
      <c r="G80" s="51" t="s">
        <v>19</v>
      </c>
      <c r="H80" s="51" t="s">
        <v>20</v>
      </c>
      <c r="I80" s="51" t="s">
        <v>19</v>
      </c>
      <c r="J80" s="51" t="s">
        <v>19</v>
      </c>
      <c r="K80" s="51" t="s">
        <v>19</v>
      </c>
      <c r="L80" s="51" t="s">
        <v>20</v>
      </c>
      <c r="M80" s="51" t="s">
        <v>19</v>
      </c>
      <c r="N80" s="51" t="s">
        <v>20</v>
      </c>
      <c r="O80" s="51" t="s">
        <v>20</v>
      </c>
      <c r="P80" s="51" t="s">
        <v>20</v>
      </c>
      <c r="Q80" s="51" t="s">
        <v>20</v>
      </c>
      <c r="R80" s="51" t="s">
        <v>19</v>
      </c>
      <c r="S80" s="51" t="s">
        <v>19</v>
      </c>
      <c r="T80" s="51" t="s">
        <v>20</v>
      </c>
      <c r="U80" s="54" t="s">
        <v>20</v>
      </c>
      <c r="V80" s="54" t="s">
        <v>19</v>
      </c>
      <c r="W80" s="54" t="s">
        <v>20</v>
      </c>
      <c r="X80" s="51" t="s">
        <v>20</v>
      </c>
      <c r="Y80" s="51" t="s">
        <v>20</v>
      </c>
      <c r="Z80" s="39" t="s">
        <v>20</v>
      </c>
      <c r="AA80" s="39" t="s">
        <v>19</v>
      </c>
      <c r="AB80" s="39" t="s">
        <v>19</v>
      </c>
      <c r="AC80" s="51" t="s">
        <v>20</v>
      </c>
      <c r="AD80" s="51" t="s">
        <v>20</v>
      </c>
    </row>
    <row r="81" spans="1:33" ht="15.75" customHeight="1" x14ac:dyDescent="0.25">
      <c r="A81" s="20">
        <v>14</v>
      </c>
      <c r="B81" s="37" t="s">
        <v>71</v>
      </c>
      <c r="C81" s="20">
        <v>2</v>
      </c>
      <c r="D81" s="20" t="s">
        <v>20</v>
      </c>
      <c r="E81" s="51" t="s">
        <v>19</v>
      </c>
      <c r="F81" s="51" t="s">
        <v>19</v>
      </c>
      <c r="G81" s="51" t="s">
        <v>19</v>
      </c>
      <c r="H81" s="51" t="s">
        <v>19</v>
      </c>
      <c r="I81" s="51" t="s">
        <v>19</v>
      </c>
      <c r="J81" s="51" t="s">
        <v>19</v>
      </c>
      <c r="K81" s="51" t="s">
        <v>19</v>
      </c>
      <c r="L81" s="51" t="s">
        <v>20</v>
      </c>
      <c r="M81" s="51" t="s">
        <v>19</v>
      </c>
      <c r="N81" s="51" t="s">
        <v>19</v>
      </c>
      <c r="O81" s="51" t="s">
        <v>19</v>
      </c>
      <c r="P81" s="51" t="s">
        <v>19</v>
      </c>
      <c r="Q81" s="51" t="s">
        <v>19</v>
      </c>
      <c r="R81" s="51" t="s">
        <v>19</v>
      </c>
      <c r="S81" s="51" t="s">
        <v>19</v>
      </c>
      <c r="T81" s="51" t="s">
        <v>20</v>
      </c>
      <c r="U81" s="54" t="s">
        <v>19</v>
      </c>
      <c r="V81" s="54" t="s">
        <v>19</v>
      </c>
      <c r="W81" s="54" t="s">
        <v>19</v>
      </c>
      <c r="X81" s="51" t="s">
        <v>19</v>
      </c>
      <c r="Y81" s="51" t="s">
        <v>19</v>
      </c>
      <c r="Z81" s="39" t="s">
        <v>20</v>
      </c>
      <c r="AA81" s="39" t="s">
        <v>20</v>
      </c>
      <c r="AB81" s="39" t="s">
        <v>20</v>
      </c>
      <c r="AC81" s="55" t="s">
        <v>21</v>
      </c>
      <c r="AD81" s="55" t="s">
        <v>20</v>
      </c>
    </row>
    <row r="82" spans="1:33" ht="15.75" customHeight="1" x14ac:dyDescent="0.25">
      <c r="A82" s="20">
        <v>15</v>
      </c>
      <c r="B82" s="37" t="s">
        <v>72</v>
      </c>
      <c r="C82" s="20">
        <v>2</v>
      </c>
      <c r="D82" s="20" t="s">
        <v>20</v>
      </c>
      <c r="E82" s="51" t="s">
        <v>20</v>
      </c>
      <c r="F82" s="51" t="s">
        <v>20</v>
      </c>
      <c r="G82" s="51" t="s">
        <v>20</v>
      </c>
      <c r="H82" s="51" t="s">
        <v>20</v>
      </c>
      <c r="I82" s="51" t="s">
        <v>20</v>
      </c>
      <c r="J82" s="51" t="s">
        <v>20</v>
      </c>
      <c r="K82" s="51" t="s">
        <v>20</v>
      </c>
      <c r="L82" s="51" t="s">
        <v>20</v>
      </c>
      <c r="M82" s="51" t="s">
        <v>21</v>
      </c>
      <c r="N82" s="51" t="s">
        <v>20</v>
      </c>
      <c r="O82" s="51" t="s">
        <v>20</v>
      </c>
      <c r="P82" s="51" t="s">
        <v>20</v>
      </c>
      <c r="Q82" s="51" t="s">
        <v>20</v>
      </c>
      <c r="R82" s="51" t="s">
        <v>20</v>
      </c>
      <c r="S82" s="51" t="s">
        <v>19</v>
      </c>
      <c r="T82" s="51" t="s">
        <v>19</v>
      </c>
      <c r="U82" s="54" t="s">
        <v>20</v>
      </c>
      <c r="V82" s="54" t="s">
        <v>19</v>
      </c>
      <c r="W82" s="54" t="s">
        <v>20</v>
      </c>
      <c r="X82" s="51" t="s">
        <v>19</v>
      </c>
      <c r="Y82" s="51" t="s">
        <v>20</v>
      </c>
      <c r="Z82" s="39" t="s">
        <v>20</v>
      </c>
      <c r="AA82" s="39" t="s">
        <v>20</v>
      </c>
      <c r="AB82" s="39" t="s">
        <v>20</v>
      </c>
      <c r="AC82" s="51" t="s">
        <v>20</v>
      </c>
      <c r="AD82" s="51" t="s">
        <v>20</v>
      </c>
    </row>
    <row r="83" spans="1:33" ht="15.75" customHeight="1" x14ac:dyDescent="0.25">
      <c r="A83" s="20">
        <v>16</v>
      </c>
      <c r="B83" s="37" t="s">
        <v>73</v>
      </c>
      <c r="C83" s="20">
        <v>2</v>
      </c>
      <c r="D83" s="20" t="s">
        <v>20</v>
      </c>
      <c r="E83" s="51" t="s">
        <v>20</v>
      </c>
      <c r="F83" s="51" t="s">
        <v>21</v>
      </c>
      <c r="G83" s="51" t="s">
        <v>20</v>
      </c>
      <c r="H83" s="51" t="s">
        <v>20</v>
      </c>
      <c r="I83" s="51" t="s">
        <v>20</v>
      </c>
      <c r="J83" s="51" t="s">
        <v>20</v>
      </c>
      <c r="K83" s="51" t="s">
        <v>20</v>
      </c>
      <c r="L83" s="51" t="s">
        <v>20</v>
      </c>
      <c r="M83" s="51" t="s">
        <v>21</v>
      </c>
      <c r="N83" s="51" t="s">
        <v>20</v>
      </c>
      <c r="O83" s="51" t="s">
        <v>21</v>
      </c>
      <c r="P83" s="51" t="s">
        <v>21</v>
      </c>
      <c r="Q83" s="51" t="s">
        <v>20</v>
      </c>
      <c r="R83" s="51" t="s">
        <v>20</v>
      </c>
      <c r="S83" s="51" t="s">
        <v>20</v>
      </c>
      <c r="T83" s="51" t="s">
        <v>20</v>
      </c>
      <c r="U83" s="54" t="s">
        <v>20</v>
      </c>
      <c r="V83" s="54" t="s">
        <v>20</v>
      </c>
      <c r="W83" s="54" t="s">
        <v>20</v>
      </c>
      <c r="X83" s="51" t="s">
        <v>21</v>
      </c>
      <c r="Y83" s="51" t="s">
        <v>19</v>
      </c>
      <c r="Z83" s="39" t="s">
        <v>20</v>
      </c>
      <c r="AA83" s="39" t="s">
        <v>20</v>
      </c>
      <c r="AB83" s="39" t="s">
        <v>20</v>
      </c>
      <c r="AC83" s="51" t="s">
        <v>21</v>
      </c>
      <c r="AD83" s="51" t="s">
        <v>20</v>
      </c>
    </row>
    <row r="84" spans="1:33" ht="15.75" customHeight="1" x14ac:dyDescent="0.25">
      <c r="A84" s="20">
        <v>17</v>
      </c>
      <c r="B84" s="37" t="s">
        <v>74</v>
      </c>
      <c r="C84" s="20">
        <v>2</v>
      </c>
      <c r="D84" s="20" t="s">
        <v>20</v>
      </c>
      <c r="E84" s="51" t="s">
        <v>19</v>
      </c>
      <c r="F84" s="51" t="s">
        <v>20</v>
      </c>
      <c r="G84" s="51" t="s">
        <v>20</v>
      </c>
      <c r="H84" s="51" t="s">
        <v>20</v>
      </c>
      <c r="I84" s="51" t="s">
        <v>20</v>
      </c>
      <c r="J84" s="51" t="s">
        <v>20</v>
      </c>
      <c r="K84" s="51" t="s">
        <v>20</v>
      </c>
      <c r="L84" s="51" t="s">
        <v>20</v>
      </c>
      <c r="M84" s="51" t="s">
        <v>19</v>
      </c>
      <c r="N84" s="51" t="s">
        <v>20</v>
      </c>
      <c r="O84" s="51" t="s">
        <v>21</v>
      </c>
      <c r="P84" s="51" t="s">
        <v>21</v>
      </c>
      <c r="Q84" s="51" t="s">
        <v>20</v>
      </c>
      <c r="R84" s="51" t="s">
        <v>20</v>
      </c>
      <c r="S84" s="51" t="s">
        <v>19</v>
      </c>
      <c r="T84" s="51" t="s">
        <v>20</v>
      </c>
      <c r="U84" s="54" t="s">
        <v>19</v>
      </c>
      <c r="V84" s="54" t="s">
        <v>19</v>
      </c>
      <c r="W84" s="54" t="s">
        <v>19</v>
      </c>
      <c r="X84" s="51" t="s">
        <v>20</v>
      </c>
      <c r="Y84" s="51" t="s">
        <v>19</v>
      </c>
      <c r="Z84" s="39" t="s">
        <v>20</v>
      </c>
      <c r="AA84" s="39" t="s">
        <v>20</v>
      </c>
      <c r="AB84" s="39" t="s">
        <v>20</v>
      </c>
      <c r="AC84" s="51" t="s">
        <v>21</v>
      </c>
      <c r="AD84" s="51" t="s">
        <v>20</v>
      </c>
    </row>
    <row r="85" spans="1:33" ht="15.75" customHeight="1" x14ac:dyDescent="0.25">
      <c r="A85" s="20">
        <v>18</v>
      </c>
      <c r="B85" s="37" t="s">
        <v>75</v>
      </c>
      <c r="C85" s="20">
        <v>2</v>
      </c>
      <c r="D85" s="20" t="s">
        <v>20</v>
      </c>
      <c r="E85" s="51" t="s">
        <v>19</v>
      </c>
      <c r="F85" s="51" t="s">
        <v>20</v>
      </c>
      <c r="G85" s="51" t="s">
        <v>20</v>
      </c>
      <c r="H85" s="51" t="s">
        <v>19</v>
      </c>
      <c r="I85" s="51" t="s">
        <v>20</v>
      </c>
      <c r="J85" s="51" t="s">
        <v>19</v>
      </c>
      <c r="K85" s="51" t="s">
        <v>19</v>
      </c>
      <c r="L85" s="51" t="s">
        <v>21</v>
      </c>
      <c r="M85" s="51" t="s">
        <v>19</v>
      </c>
      <c r="N85" s="51" t="s">
        <v>19</v>
      </c>
      <c r="O85" s="51" t="s">
        <v>20</v>
      </c>
      <c r="P85" s="51" t="s">
        <v>20</v>
      </c>
      <c r="Q85" s="51" t="s">
        <v>20</v>
      </c>
      <c r="R85" s="51" t="s">
        <v>19</v>
      </c>
      <c r="S85" s="51" t="s">
        <v>20</v>
      </c>
      <c r="T85" s="51" t="s">
        <v>20</v>
      </c>
      <c r="U85" s="54" t="s">
        <v>20</v>
      </c>
      <c r="V85" s="54" t="s">
        <v>20</v>
      </c>
      <c r="W85" s="54" t="s">
        <v>20</v>
      </c>
      <c r="X85" s="51" t="s">
        <v>21</v>
      </c>
      <c r="Y85" s="51" t="s">
        <v>20</v>
      </c>
      <c r="Z85" s="39" t="s">
        <v>20</v>
      </c>
      <c r="AA85" s="39" t="s">
        <v>19</v>
      </c>
      <c r="AB85" s="39" t="s">
        <v>19</v>
      </c>
      <c r="AC85" s="51" t="s">
        <v>21</v>
      </c>
      <c r="AD85" s="51" t="s">
        <v>20</v>
      </c>
    </row>
    <row r="86" spans="1:33" ht="15.75" customHeight="1" x14ac:dyDescent="0.25">
      <c r="A86" s="20">
        <v>19</v>
      </c>
      <c r="B86" s="37" t="s">
        <v>76</v>
      </c>
      <c r="C86" s="20">
        <v>2</v>
      </c>
      <c r="D86" s="20" t="s">
        <v>20</v>
      </c>
      <c r="E86" s="51" t="s">
        <v>20</v>
      </c>
      <c r="F86" s="51" t="s">
        <v>21</v>
      </c>
      <c r="G86" s="51" t="s">
        <v>20</v>
      </c>
      <c r="H86" s="51" t="s">
        <v>20</v>
      </c>
      <c r="I86" s="51" t="s">
        <v>20</v>
      </c>
      <c r="J86" s="51" t="s">
        <v>20</v>
      </c>
      <c r="K86" s="51" t="s">
        <v>20</v>
      </c>
      <c r="L86" s="51" t="s">
        <v>21</v>
      </c>
      <c r="M86" s="51" t="s">
        <v>21</v>
      </c>
      <c r="N86" s="51" t="s">
        <v>21</v>
      </c>
      <c r="O86" s="51" t="s">
        <v>21</v>
      </c>
      <c r="P86" s="51" t="s">
        <v>20</v>
      </c>
      <c r="Q86" s="51" t="s">
        <v>21</v>
      </c>
      <c r="R86" s="51" t="s">
        <v>20</v>
      </c>
      <c r="S86" s="51" t="s">
        <v>21</v>
      </c>
      <c r="T86" s="51" t="s">
        <v>20</v>
      </c>
      <c r="U86" s="54" t="s">
        <v>20</v>
      </c>
      <c r="V86" s="54" t="s">
        <v>20</v>
      </c>
      <c r="W86" s="54" t="s">
        <v>20</v>
      </c>
      <c r="X86" s="51" t="s">
        <v>21</v>
      </c>
      <c r="Y86" s="51" t="s">
        <v>21</v>
      </c>
      <c r="Z86" s="39" t="s">
        <v>20</v>
      </c>
      <c r="AA86" s="39" t="s">
        <v>20</v>
      </c>
      <c r="AB86" s="39" t="s">
        <v>20</v>
      </c>
      <c r="AC86" s="51" t="s">
        <v>21</v>
      </c>
      <c r="AD86" s="51" t="s">
        <v>20</v>
      </c>
    </row>
    <row r="87" spans="1:33" ht="15.75" customHeight="1" x14ac:dyDescent="0.25">
      <c r="A87" s="20">
        <v>20</v>
      </c>
      <c r="B87" s="37" t="s">
        <v>77</v>
      </c>
      <c r="C87" s="20">
        <v>2</v>
      </c>
      <c r="D87" s="20" t="s">
        <v>20</v>
      </c>
      <c r="E87" s="51" t="s">
        <v>19</v>
      </c>
      <c r="F87" s="51" t="s">
        <v>19</v>
      </c>
      <c r="G87" s="51" t="s">
        <v>19</v>
      </c>
      <c r="H87" s="51" t="s">
        <v>19</v>
      </c>
      <c r="I87" s="51" t="s">
        <v>19</v>
      </c>
      <c r="J87" s="51" t="s">
        <v>19</v>
      </c>
      <c r="K87" s="51" t="s">
        <v>20</v>
      </c>
      <c r="L87" s="51" t="s">
        <v>20</v>
      </c>
      <c r="M87" s="51" t="s">
        <v>19</v>
      </c>
      <c r="N87" s="51" t="s">
        <v>19</v>
      </c>
      <c r="O87" s="51" t="s">
        <v>21</v>
      </c>
      <c r="P87" s="51" t="s">
        <v>21</v>
      </c>
      <c r="Q87" s="51" t="s">
        <v>20</v>
      </c>
      <c r="R87" s="51" t="s">
        <v>20</v>
      </c>
      <c r="S87" s="51" t="s">
        <v>19</v>
      </c>
      <c r="T87" s="51" t="s">
        <v>20</v>
      </c>
      <c r="U87" s="54" t="s">
        <v>20</v>
      </c>
      <c r="V87" s="54" t="s">
        <v>19</v>
      </c>
      <c r="W87" s="54" t="s">
        <v>20</v>
      </c>
      <c r="X87" s="51" t="s">
        <v>19</v>
      </c>
      <c r="Y87" s="51" t="s">
        <v>19</v>
      </c>
      <c r="Z87" s="39" t="s">
        <v>19</v>
      </c>
      <c r="AA87" s="39" t="s">
        <v>19</v>
      </c>
      <c r="AB87" s="39" t="s">
        <v>19</v>
      </c>
      <c r="AC87" s="51" t="s">
        <v>20</v>
      </c>
      <c r="AD87" s="51" t="s">
        <v>20</v>
      </c>
    </row>
    <row r="88" spans="1:33" ht="15.75" customHeight="1" x14ac:dyDescent="0.25">
      <c r="A88" s="20">
        <v>21</v>
      </c>
      <c r="B88" s="37" t="s">
        <v>251</v>
      </c>
      <c r="C88" s="20">
        <v>2</v>
      </c>
      <c r="D88" s="20" t="s">
        <v>20</v>
      </c>
      <c r="E88" s="51" t="s">
        <v>20</v>
      </c>
      <c r="F88" s="51" t="s">
        <v>21</v>
      </c>
      <c r="G88" s="51" t="s">
        <v>20</v>
      </c>
      <c r="H88" s="51" t="s">
        <v>20</v>
      </c>
      <c r="I88" s="51" t="s">
        <v>19</v>
      </c>
      <c r="J88" s="51" t="s">
        <v>19</v>
      </c>
      <c r="K88" s="51" t="s">
        <v>19</v>
      </c>
      <c r="L88" s="51" t="s">
        <v>20</v>
      </c>
      <c r="M88" s="51" t="s">
        <v>20</v>
      </c>
      <c r="N88" s="51" t="s">
        <v>20</v>
      </c>
      <c r="O88" s="51" t="s">
        <v>20</v>
      </c>
      <c r="P88" s="51" t="s">
        <v>20</v>
      </c>
      <c r="Q88" s="51" t="s">
        <v>20</v>
      </c>
      <c r="R88" s="51" t="s">
        <v>21</v>
      </c>
      <c r="S88" s="51" t="s">
        <v>20</v>
      </c>
      <c r="T88" s="51" t="s">
        <v>19</v>
      </c>
      <c r="U88" s="54" t="s">
        <v>20</v>
      </c>
      <c r="V88" s="54" t="s">
        <v>20</v>
      </c>
      <c r="W88" s="54" t="s">
        <v>20</v>
      </c>
      <c r="X88" s="51" t="s">
        <v>21</v>
      </c>
      <c r="Y88" s="51" t="s">
        <v>20</v>
      </c>
      <c r="Z88" s="39" t="s">
        <v>20</v>
      </c>
      <c r="AA88" s="39" t="s">
        <v>20</v>
      </c>
      <c r="AB88" s="39" t="s">
        <v>20</v>
      </c>
      <c r="AC88" s="51" t="s">
        <v>21</v>
      </c>
      <c r="AD88" s="51" t="s">
        <v>20</v>
      </c>
    </row>
    <row r="89" spans="1:33" ht="15.75" customHeight="1" x14ac:dyDescent="0.25">
      <c r="A89" s="20">
        <v>22</v>
      </c>
      <c r="B89" s="37" t="s">
        <v>78</v>
      </c>
      <c r="C89" s="20">
        <v>2</v>
      </c>
      <c r="D89" s="20" t="s">
        <v>20</v>
      </c>
      <c r="E89" s="51" t="s">
        <v>20</v>
      </c>
      <c r="F89" s="51" t="s">
        <v>20</v>
      </c>
      <c r="G89" s="51" t="s">
        <v>21</v>
      </c>
      <c r="H89" s="51" t="s">
        <v>20</v>
      </c>
      <c r="I89" s="51" t="s">
        <v>19</v>
      </c>
      <c r="J89" s="51" t="s">
        <v>20</v>
      </c>
      <c r="K89" s="51" t="s">
        <v>20</v>
      </c>
      <c r="L89" s="51" t="s">
        <v>19</v>
      </c>
      <c r="M89" s="51" t="s">
        <v>20</v>
      </c>
      <c r="N89" s="51" t="s">
        <v>19</v>
      </c>
      <c r="O89" s="51" t="s">
        <v>20</v>
      </c>
      <c r="P89" s="51" t="s">
        <v>20</v>
      </c>
      <c r="Q89" s="51" t="s">
        <v>20</v>
      </c>
      <c r="R89" s="51" t="s">
        <v>19</v>
      </c>
      <c r="S89" s="51" t="s">
        <v>20</v>
      </c>
      <c r="T89" s="51" t="s">
        <v>20</v>
      </c>
      <c r="U89" s="54" t="s">
        <v>20</v>
      </c>
      <c r="V89" s="54" t="s">
        <v>20</v>
      </c>
      <c r="W89" s="54" t="s">
        <v>20</v>
      </c>
      <c r="X89" s="51" t="s">
        <v>20</v>
      </c>
      <c r="Y89" s="51" t="s">
        <v>20</v>
      </c>
      <c r="Z89" s="39" t="s">
        <v>20</v>
      </c>
      <c r="AA89" s="39" t="s">
        <v>20</v>
      </c>
      <c r="AB89" s="39" t="s">
        <v>19</v>
      </c>
      <c r="AC89" s="51" t="s">
        <v>21</v>
      </c>
      <c r="AD89" s="51" t="s">
        <v>20</v>
      </c>
    </row>
    <row r="90" spans="1:33" ht="15.75" customHeight="1" thickBot="1" x14ac:dyDescent="0.3">
      <c r="A90" s="21">
        <v>23</v>
      </c>
      <c r="B90" s="38" t="s">
        <v>79</v>
      </c>
      <c r="C90" s="21">
        <v>2</v>
      </c>
      <c r="D90" s="21" t="s">
        <v>20</v>
      </c>
      <c r="E90" s="87" t="s">
        <v>20</v>
      </c>
      <c r="F90" s="87" t="s">
        <v>21</v>
      </c>
      <c r="G90" s="87" t="s">
        <v>20</v>
      </c>
      <c r="H90" s="87" t="s">
        <v>20</v>
      </c>
      <c r="I90" s="87" t="s">
        <v>19</v>
      </c>
      <c r="J90" s="87" t="s">
        <v>20</v>
      </c>
      <c r="K90" s="87" t="s">
        <v>20</v>
      </c>
      <c r="L90" s="87" t="s">
        <v>21</v>
      </c>
      <c r="M90" s="87" t="s">
        <v>20</v>
      </c>
      <c r="N90" s="87" t="s">
        <v>20</v>
      </c>
      <c r="O90" s="87" t="s">
        <v>21</v>
      </c>
      <c r="P90" s="87" t="s">
        <v>20</v>
      </c>
      <c r="Q90" s="102" t="s">
        <v>21</v>
      </c>
      <c r="R90" s="87" t="s">
        <v>21</v>
      </c>
      <c r="S90" s="87" t="s">
        <v>21</v>
      </c>
      <c r="T90" s="87" t="s">
        <v>20</v>
      </c>
      <c r="U90" s="100" t="s">
        <v>19</v>
      </c>
      <c r="V90" s="100" t="s">
        <v>19</v>
      </c>
      <c r="W90" s="100" t="s">
        <v>19</v>
      </c>
      <c r="X90" s="87" t="s">
        <v>20</v>
      </c>
      <c r="Y90" s="87" t="s">
        <v>20</v>
      </c>
      <c r="Z90" s="41" t="s">
        <v>20</v>
      </c>
      <c r="AA90" s="41" t="s">
        <v>20</v>
      </c>
      <c r="AB90" s="41" t="s">
        <v>20</v>
      </c>
      <c r="AC90" s="87" t="s">
        <v>21</v>
      </c>
      <c r="AD90" s="87" t="s">
        <v>20</v>
      </c>
    </row>
    <row r="91" spans="1:33" ht="15.75" customHeight="1" thickBot="1" x14ac:dyDescent="0.3">
      <c r="A91" s="97">
        <v>1</v>
      </c>
      <c r="B91" s="98" t="s">
        <v>81</v>
      </c>
      <c r="C91" s="97">
        <v>3</v>
      </c>
      <c r="D91" s="97" t="s">
        <v>19</v>
      </c>
      <c r="E91" s="83" t="s">
        <v>22</v>
      </c>
      <c r="F91" s="83" t="s">
        <v>22</v>
      </c>
      <c r="G91" s="83" t="s">
        <v>19</v>
      </c>
      <c r="H91" s="83" t="s">
        <v>22</v>
      </c>
      <c r="I91" s="101" t="s">
        <v>19</v>
      </c>
      <c r="J91" s="101" t="s">
        <v>22</v>
      </c>
      <c r="K91" s="101" t="s">
        <v>19</v>
      </c>
      <c r="L91" s="83" t="s">
        <v>19</v>
      </c>
      <c r="M91" s="83" t="s">
        <v>19</v>
      </c>
      <c r="N91" s="83" t="s">
        <v>19</v>
      </c>
      <c r="O91" s="83" t="s">
        <v>19</v>
      </c>
      <c r="P91" s="83" t="s">
        <v>19</v>
      </c>
      <c r="Q91" s="83" t="s">
        <v>19</v>
      </c>
      <c r="R91" s="83" t="s">
        <v>19</v>
      </c>
      <c r="S91" s="83" t="s">
        <v>19</v>
      </c>
      <c r="T91" s="83" t="s">
        <v>19</v>
      </c>
      <c r="U91" s="99" t="s">
        <v>20</v>
      </c>
      <c r="V91" s="99" t="s">
        <v>19</v>
      </c>
      <c r="W91" s="99" t="s">
        <v>20</v>
      </c>
      <c r="X91" s="83" t="s">
        <v>22</v>
      </c>
      <c r="Y91" s="83" t="s">
        <v>22</v>
      </c>
      <c r="Z91" s="86" t="s">
        <v>19</v>
      </c>
      <c r="AA91" s="86" t="s">
        <v>19</v>
      </c>
      <c r="AB91" s="86" t="s">
        <v>19</v>
      </c>
      <c r="AC91" s="99" t="s">
        <v>19</v>
      </c>
      <c r="AD91" s="99" t="s">
        <v>20</v>
      </c>
    </row>
    <row r="92" spans="1:33" ht="15.75" customHeight="1" x14ac:dyDescent="0.25">
      <c r="A92" s="89">
        <v>2</v>
      </c>
      <c r="B92" s="90" t="s">
        <v>82</v>
      </c>
      <c r="C92" s="89">
        <v>3</v>
      </c>
      <c r="D92" s="89" t="s">
        <v>19</v>
      </c>
      <c r="E92" s="51" t="s">
        <v>19</v>
      </c>
      <c r="F92" s="51" t="s">
        <v>19</v>
      </c>
      <c r="G92" s="51" t="s">
        <v>19</v>
      </c>
      <c r="H92" s="51" t="s">
        <v>22</v>
      </c>
      <c r="I92" s="75" t="s">
        <v>22</v>
      </c>
      <c r="J92" s="75" t="s">
        <v>22</v>
      </c>
      <c r="K92" s="75" t="s">
        <v>19</v>
      </c>
      <c r="L92" s="51" t="s">
        <v>19</v>
      </c>
      <c r="M92" s="51" t="s">
        <v>19</v>
      </c>
      <c r="N92" s="51" t="s">
        <v>19</v>
      </c>
      <c r="O92" s="51" t="s">
        <v>19</v>
      </c>
      <c r="P92" s="51" t="s">
        <v>19</v>
      </c>
      <c r="Q92" s="51" t="s">
        <v>19</v>
      </c>
      <c r="R92" s="51" t="s">
        <v>19</v>
      </c>
      <c r="S92" s="51" t="s">
        <v>19</v>
      </c>
      <c r="T92" s="51" t="s">
        <v>19</v>
      </c>
      <c r="U92" s="54" t="s">
        <v>19</v>
      </c>
      <c r="V92" s="54" t="s">
        <v>19</v>
      </c>
      <c r="W92" s="54" t="s">
        <v>19</v>
      </c>
      <c r="X92" s="51" t="s">
        <v>19</v>
      </c>
      <c r="Y92" s="51" t="s">
        <v>19</v>
      </c>
      <c r="Z92" s="39" t="s">
        <v>19</v>
      </c>
      <c r="AA92" s="39" t="s">
        <v>19</v>
      </c>
      <c r="AB92" s="39" t="s">
        <v>19</v>
      </c>
      <c r="AC92" s="54" t="s">
        <v>20</v>
      </c>
      <c r="AD92" s="54" t="s">
        <v>20</v>
      </c>
      <c r="AF92" s="29" t="s">
        <v>22</v>
      </c>
      <c r="AG92" s="17">
        <f>COUNTIF(E91:AD109,"AD")</f>
        <v>18</v>
      </c>
    </row>
    <row r="93" spans="1:33" ht="15.75" customHeight="1" x14ac:dyDescent="0.25">
      <c r="A93" s="89">
        <v>3</v>
      </c>
      <c r="B93" s="90" t="s">
        <v>83</v>
      </c>
      <c r="C93" s="89">
        <v>3</v>
      </c>
      <c r="D93" s="89" t="s">
        <v>19</v>
      </c>
      <c r="E93" s="51" t="s">
        <v>21</v>
      </c>
      <c r="F93" s="51" t="s">
        <v>20</v>
      </c>
      <c r="G93" s="51" t="s">
        <v>21</v>
      </c>
      <c r="H93" s="51" t="s">
        <v>21</v>
      </c>
      <c r="I93" s="75" t="s">
        <v>20</v>
      </c>
      <c r="J93" s="75" t="s">
        <v>19</v>
      </c>
      <c r="K93" s="75" t="s">
        <v>20</v>
      </c>
      <c r="L93" s="51" t="s">
        <v>20</v>
      </c>
      <c r="M93" s="51" t="s">
        <v>20</v>
      </c>
      <c r="N93" s="51" t="s">
        <v>20</v>
      </c>
      <c r="O93" s="51" t="s">
        <v>21</v>
      </c>
      <c r="P93" s="51" t="s">
        <v>20</v>
      </c>
      <c r="Q93" s="51" t="s">
        <v>20</v>
      </c>
      <c r="R93" s="51" t="s">
        <v>20</v>
      </c>
      <c r="S93" s="51" t="s">
        <v>20</v>
      </c>
      <c r="T93" s="51" t="s">
        <v>19</v>
      </c>
      <c r="U93" s="54" t="s">
        <v>19</v>
      </c>
      <c r="V93" s="54" t="s">
        <v>20</v>
      </c>
      <c r="W93" s="54" t="s">
        <v>20</v>
      </c>
      <c r="X93" s="51" t="s">
        <v>20</v>
      </c>
      <c r="Y93" s="51" t="s">
        <v>19</v>
      </c>
      <c r="Z93" s="39" t="s">
        <v>20</v>
      </c>
      <c r="AA93" s="39" t="s">
        <v>20</v>
      </c>
      <c r="AB93" s="39" t="s">
        <v>20</v>
      </c>
      <c r="AC93" s="54" t="s">
        <v>21</v>
      </c>
      <c r="AD93" s="54" t="s">
        <v>20</v>
      </c>
      <c r="AF93" s="30" t="s">
        <v>19</v>
      </c>
      <c r="AG93" s="18">
        <f>COUNTIF(E91:AD109,"A")</f>
        <v>251</v>
      </c>
    </row>
    <row r="94" spans="1:33" ht="15.75" customHeight="1" x14ac:dyDescent="0.25">
      <c r="A94" s="89">
        <v>4</v>
      </c>
      <c r="B94" s="90" t="s">
        <v>84</v>
      </c>
      <c r="C94" s="89">
        <v>3</v>
      </c>
      <c r="D94" s="89" t="s">
        <v>19</v>
      </c>
      <c r="E94" s="51" t="s">
        <v>22</v>
      </c>
      <c r="F94" s="51" t="s">
        <v>19</v>
      </c>
      <c r="G94" s="51" t="s">
        <v>19</v>
      </c>
      <c r="H94" s="51" t="s">
        <v>19</v>
      </c>
      <c r="I94" s="75" t="s">
        <v>19</v>
      </c>
      <c r="J94" s="75" t="s">
        <v>22</v>
      </c>
      <c r="K94" s="75" t="s">
        <v>19</v>
      </c>
      <c r="L94" s="51" t="s">
        <v>19</v>
      </c>
      <c r="M94" s="51" t="s">
        <v>19</v>
      </c>
      <c r="N94" s="51" t="s">
        <v>19</v>
      </c>
      <c r="O94" s="51" t="s">
        <v>19</v>
      </c>
      <c r="P94" s="51" t="s">
        <v>19</v>
      </c>
      <c r="Q94" s="51" t="s">
        <v>19</v>
      </c>
      <c r="R94" s="51" t="s">
        <v>19</v>
      </c>
      <c r="S94" s="51" t="s">
        <v>19</v>
      </c>
      <c r="T94" s="51" t="s">
        <v>19</v>
      </c>
      <c r="U94" s="54" t="s">
        <v>19</v>
      </c>
      <c r="V94" s="54" t="s">
        <v>20</v>
      </c>
      <c r="W94" s="54" t="s">
        <v>19</v>
      </c>
      <c r="X94" s="51" t="s">
        <v>19</v>
      </c>
      <c r="Y94" s="51" t="s">
        <v>19</v>
      </c>
      <c r="Z94" s="39" t="s">
        <v>19</v>
      </c>
      <c r="AA94" s="39" t="s">
        <v>19</v>
      </c>
      <c r="AB94" s="39" t="s">
        <v>19</v>
      </c>
      <c r="AC94" s="54" t="s">
        <v>19</v>
      </c>
      <c r="AD94" s="54" t="s">
        <v>20</v>
      </c>
      <c r="AF94" s="30" t="s">
        <v>20</v>
      </c>
      <c r="AG94" s="18">
        <f>COUNTIF(E91:AD109,"B")</f>
        <v>170</v>
      </c>
    </row>
    <row r="95" spans="1:33" ht="15.75" customHeight="1" thickBot="1" x14ac:dyDescent="0.3">
      <c r="A95" s="89">
        <v>5</v>
      </c>
      <c r="B95" s="90" t="s">
        <v>85</v>
      </c>
      <c r="C95" s="89">
        <v>3</v>
      </c>
      <c r="D95" s="89" t="s">
        <v>19</v>
      </c>
      <c r="E95" s="51" t="s">
        <v>21</v>
      </c>
      <c r="F95" s="51" t="s">
        <v>21</v>
      </c>
      <c r="G95" s="51" t="s">
        <v>21</v>
      </c>
      <c r="H95" s="51" t="s">
        <v>21</v>
      </c>
      <c r="I95" s="75" t="s">
        <v>20</v>
      </c>
      <c r="J95" s="75" t="s">
        <v>20</v>
      </c>
      <c r="K95" s="75" t="s">
        <v>20</v>
      </c>
      <c r="L95" s="51" t="s">
        <v>20</v>
      </c>
      <c r="M95" s="51" t="s">
        <v>21</v>
      </c>
      <c r="N95" s="51" t="s">
        <v>21</v>
      </c>
      <c r="O95" s="51" t="s">
        <v>21</v>
      </c>
      <c r="P95" s="51" t="s">
        <v>21</v>
      </c>
      <c r="Q95" s="51" t="s">
        <v>20</v>
      </c>
      <c r="R95" s="51" t="s">
        <v>21</v>
      </c>
      <c r="S95" s="51" t="s">
        <v>21</v>
      </c>
      <c r="T95" s="51" t="s">
        <v>20</v>
      </c>
      <c r="U95" s="54" t="s">
        <v>20</v>
      </c>
      <c r="V95" s="54" t="s">
        <v>20</v>
      </c>
      <c r="W95" s="54" t="s">
        <v>20</v>
      </c>
      <c r="X95" s="51" t="s">
        <v>21</v>
      </c>
      <c r="Y95" s="51" t="s">
        <v>20</v>
      </c>
      <c r="Z95" s="39" t="s">
        <v>20</v>
      </c>
      <c r="AA95" s="39" t="s">
        <v>20</v>
      </c>
      <c r="AB95" s="39" t="s">
        <v>20</v>
      </c>
      <c r="AC95" s="54" t="s">
        <v>21</v>
      </c>
      <c r="AD95" s="54" t="s">
        <v>20</v>
      </c>
      <c r="AF95" s="31" t="s">
        <v>21</v>
      </c>
      <c r="AG95" s="19">
        <f>COUNTIF(E91:AD109,"C")</f>
        <v>55</v>
      </c>
    </row>
    <row r="96" spans="1:33" ht="15.75" customHeight="1" x14ac:dyDescent="0.25">
      <c r="A96" s="89">
        <v>6</v>
      </c>
      <c r="B96" s="90" t="s">
        <v>87</v>
      </c>
      <c r="C96" s="89">
        <v>3</v>
      </c>
      <c r="D96" s="89" t="s">
        <v>19</v>
      </c>
      <c r="E96" s="51" t="s">
        <v>19</v>
      </c>
      <c r="F96" s="51" t="s">
        <v>19</v>
      </c>
      <c r="G96" s="51" t="s">
        <v>19</v>
      </c>
      <c r="H96" s="51" t="s">
        <v>19</v>
      </c>
      <c r="I96" s="75" t="s">
        <v>19</v>
      </c>
      <c r="J96" s="75" t="s">
        <v>19</v>
      </c>
      <c r="K96" s="75" t="s">
        <v>19</v>
      </c>
      <c r="L96" s="51" t="s">
        <v>20</v>
      </c>
      <c r="M96" s="51" t="s">
        <v>19</v>
      </c>
      <c r="N96" s="51" t="s">
        <v>19</v>
      </c>
      <c r="O96" s="51" t="s">
        <v>19</v>
      </c>
      <c r="P96" s="51" t="s">
        <v>19</v>
      </c>
      <c r="Q96" s="51" t="s">
        <v>20</v>
      </c>
      <c r="R96" s="51" t="s">
        <v>20</v>
      </c>
      <c r="S96" s="51" t="s">
        <v>19</v>
      </c>
      <c r="T96" s="51" t="s">
        <v>19</v>
      </c>
      <c r="U96" s="54" t="s">
        <v>20</v>
      </c>
      <c r="V96" s="54" t="s">
        <v>20</v>
      </c>
      <c r="W96" s="54" t="s">
        <v>19</v>
      </c>
      <c r="X96" s="51" t="s">
        <v>20</v>
      </c>
      <c r="Y96" s="51" t="s">
        <v>19</v>
      </c>
      <c r="Z96" s="39" t="s">
        <v>19</v>
      </c>
      <c r="AA96" s="39" t="s">
        <v>20</v>
      </c>
      <c r="AB96" s="39" t="s">
        <v>20</v>
      </c>
      <c r="AC96" s="54" t="s">
        <v>21</v>
      </c>
      <c r="AD96" s="54" t="s">
        <v>20</v>
      </c>
    </row>
    <row r="97" spans="1:30" ht="15.75" customHeight="1" x14ac:dyDescent="0.25">
      <c r="A97" s="89">
        <v>7</v>
      </c>
      <c r="B97" s="90" t="s">
        <v>102</v>
      </c>
      <c r="C97" s="89">
        <v>3</v>
      </c>
      <c r="D97" s="89" t="s">
        <v>19</v>
      </c>
      <c r="E97" s="51" t="s">
        <v>21</v>
      </c>
      <c r="F97" s="51" t="s">
        <v>21</v>
      </c>
      <c r="G97" s="51" t="s">
        <v>21</v>
      </c>
      <c r="H97" s="51" t="s">
        <v>21</v>
      </c>
      <c r="I97" s="75" t="s">
        <v>20</v>
      </c>
      <c r="J97" s="75" t="s">
        <v>20</v>
      </c>
      <c r="K97" s="75" t="s">
        <v>20</v>
      </c>
      <c r="L97" s="51" t="s">
        <v>19</v>
      </c>
      <c r="M97" s="51" t="s">
        <v>20</v>
      </c>
      <c r="N97" s="51" t="s">
        <v>20</v>
      </c>
      <c r="O97" s="51" t="s">
        <v>20</v>
      </c>
      <c r="P97" s="51" t="s">
        <v>20</v>
      </c>
      <c r="Q97" s="51" t="s">
        <v>20</v>
      </c>
      <c r="R97" s="51" t="s">
        <v>21</v>
      </c>
      <c r="S97" s="51" t="s">
        <v>21</v>
      </c>
      <c r="T97" s="51" t="s">
        <v>19</v>
      </c>
      <c r="U97" s="54" t="s">
        <v>19</v>
      </c>
      <c r="V97" s="54" t="s">
        <v>20</v>
      </c>
      <c r="W97" s="54" t="s">
        <v>20</v>
      </c>
      <c r="X97" s="51" t="s">
        <v>21</v>
      </c>
      <c r="Y97" s="51" t="s">
        <v>20</v>
      </c>
      <c r="Z97" s="39" t="s">
        <v>20</v>
      </c>
      <c r="AA97" s="39" t="s">
        <v>19</v>
      </c>
      <c r="AB97" s="39" t="s">
        <v>20</v>
      </c>
      <c r="AC97" s="54" t="s">
        <v>21</v>
      </c>
      <c r="AD97" s="54" t="s">
        <v>20</v>
      </c>
    </row>
    <row r="98" spans="1:30" ht="15.75" customHeight="1" x14ac:dyDescent="0.25">
      <c r="A98" s="89">
        <v>8</v>
      </c>
      <c r="B98" s="90" t="s">
        <v>88</v>
      </c>
      <c r="C98" s="89">
        <v>3</v>
      </c>
      <c r="D98" s="89" t="s">
        <v>19</v>
      </c>
      <c r="E98" s="51" t="s">
        <v>20</v>
      </c>
      <c r="F98" s="51" t="s">
        <v>20</v>
      </c>
      <c r="G98" s="51" t="s">
        <v>20</v>
      </c>
      <c r="H98" s="51" t="s">
        <v>20</v>
      </c>
      <c r="I98" s="75" t="s">
        <v>19</v>
      </c>
      <c r="J98" s="75" t="s">
        <v>19</v>
      </c>
      <c r="K98" s="75" t="s">
        <v>20</v>
      </c>
      <c r="L98" s="51" t="s">
        <v>19</v>
      </c>
      <c r="M98" s="51" t="s">
        <v>19</v>
      </c>
      <c r="N98" s="51" t="s">
        <v>20</v>
      </c>
      <c r="O98" s="51" t="s">
        <v>20</v>
      </c>
      <c r="P98" s="51" t="s">
        <v>20</v>
      </c>
      <c r="Q98" s="51" t="s">
        <v>20</v>
      </c>
      <c r="R98" s="51" t="s">
        <v>19</v>
      </c>
      <c r="S98" s="51" t="s">
        <v>19</v>
      </c>
      <c r="T98" s="51" t="s">
        <v>19</v>
      </c>
      <c r="U98" s="54" t="s">
        <v>19</v>
      </c>
      <c r="V98" s="54" t="s">
        <v>19</v>
      </c>
      <c r="W98" s="54" t="s">
        <v>19</v>
      </c>
      <c r="X98" s="51" t="s">
        <v>20</v>
      </c>
      <c r="Y98" s="51" t="s">
        <v>20</v>
      </c>
      <c r="Z98" s="39" t="s">
        <v>20</v>
      </c>
      <c r="AA98" s="39" t="s">
        <v>20</v>
      </c>
      <c r="AB98" s="39" t="s">
        <v>19</v>
      </c>
      <c r="AC98" s="56" t="s">
        <v>20</v>
      </c>
      <c r="AD98" s="56" t="s">
        <v>20</v>
      </c>
    </row>
    <row r="99" spans="1:30" ht="15.75" customHeight="1" x14ac:dyDescent="0.25">
      <c r="A99" s="89">
        <v>9</v>
      </c>
      <c r="B99" s="90" t="s">
        <v>89</v>
      </c>
      <c r="C99" s="89">
        <v>3</v>
      </c>
      <c r="D99" s="89" t="s">
        <v>19</v>
      </c>
      <c r="E99" s="51" t="s">
        <v>19</v>
      </c>
      <c r="F99" s="51" t="s">
        <v>19</v>
      </c>
      <c r="G99" s="51" t="s">
        <v>19</v>
      </c>
      <c r="H99" s="51" t="s">
        <v>19</v>
      </c>
      <c r="I99" s="75" t="s">
        <v>19</v>
      </c>
      <c r="J99" s="75" t="s">
        <v>22</v>
      </c>
      <c r="K99" s="75" t="s">
        <v>19</v>
      </c>
      <c r="L99" s="51" t="s">
        <v>19</v>
      </c>
      <c r="M99" s="51" t="s">
        <v>19</v>
      </c>
      <c r="N99" s="51" t="s">
        <v>19</v>
      </c>
      <c r="O99" s="51" t="s">
        <v>19</v>
      </c>
      <c r="P99" s="51" t="s">
        <v>19</v>
      </c>
      <c r="Q99" s="51" t="s">
        <v>19</v>
      </c>
      <c r="R99" s="51" t="s">
        <v>19</v>
      </c>
      <c r="S99" s="51" t="s">
        <v>19</v>
      </c>
      <c r="T99" s="51" t="s">
        <v>19</v>
      </c>
      <c r="U99" s="54" t="s">
        <v>19</v>
      </c>
      <c r="V99" s="54" t="s">
        <v>19</v>
      </c>
      <c r="W99" s="54" t="s">
        <v>19</v>
      </c>
      <c r="X99" s="51" t="s">
        <v>19</v>
      </c>
      <c r="Y99" s="51" t="s">
        <v>22</v>
      </c>
      <c r="Z99" s="39" t="s">
        <v>19</v>
      </c>
      <c r="AA99" s="39" t="s">
        <v>19</v>
      </c>
      <c r="AB99" s="39" t="s">
        <v>19</v>
      </c>
      <c r="AC99" s="54" t="s">
        <v>20</v>
      </c>
      <c r="AD99" s="54" t="s">
        <v>20</v>
      </c>
    </row>
    <row r="100" spans="1:30" ht="15.75" customHeight="1" x14ac:dyDescent="0.25">
      <c r="A100" s="89">
        <v>10</v>
      </c>
      <c r="B100" s="90" t="s">
        <v>252</v>
      </c>
      <c r="C100" s="89">
        <v>3</v>
      </c>
      <c r="D100" s="89" t="s">
        <v>19</v>
      </c>
      <c r="E100" s="51" t="s">
        <v>21</v>
      </c>
      <c r="F100" s="51" t="s">
        <v>21</v>
      </c>
      <c r="G100" s="51" t="s">
        <v>21</v>
      </c>
      <c r="H100" s="51" t="s">
        <v>21</v>
      </c>
      <c r="I100" s="75" t="s">
        <v>20</v>
      </c>
      <c r="J100" s="75" t="s">
        <v>20</v>
      </c>
      <c r="K100" s="75" t="s">
        <v>20</v>
      </c>
      <c r="L100" s="51" t="s">
        <v>20</v>
      </c>
      <c r="M100" s="51" t="s">
        <v>21</v>
      </c>
      <c r="N100" s="51" t="s">
        <v>20</v>
      </c>
      <c r="O100" s="51" t="s">
        <v>21</v>
      </c>
      <c r="P100" s="51" t="s">
        <v>20</v>
      </c>
      <c r="Q100" s="51" t="s">
        <v>20</v>
      </c>
      <c r="R100" s="51" t="s">
        <v>19</v>
      </c>
      <c r="S100" s="51" t="s">
        <v>19</v>
      </c>
      <c r="T100" s="51" t="s">
        <v>20</v>
      </c>
      <c r="U100" s="54" t="s">
        <v>19</v>
      </c>
      <c r="V100" s="54" t="s">
        <v>20</v>
      </c>
      <c r="W100" s="54" t="s">
        <v>19</v>
      </c>
      <c r="X100" s="51" t="s">
        <v>19</v>
      </c>
      <c r="Y100" s="51" t="s">
        <v>19</v>
      </c>
      <c r="Z100" s="39" t="s">
        <v>20</v>
      </c>
      <c r="AA100" s="39" t="s">
        <v>20</v>
      </c>
      <c r="AB100" s="39" t="s">
        <v>20</v>
      </c>
      <c r="AC100" s="54" t="s">
        <v>20</v>
      </c>
      <c r="AD100" s="54" t="s">
        <v>20</v>
      </c>
    </row>
    <row r="101" spans="1:30" ht="15.75" customHeight="1" x14ac:dyDescent="0.25">
      <c r="A101" s="89">
        <v>11</v>
      </c>
      <c r="B101" s="90" t="s">
        <v>90</v>
      </c>
      <c r="C101" s="89">
        <v>3</v>
      </c>
      <c r="D101" s="89" t="s">
        <v>19</v>
      </c>
      <c r="E101" s="51" t="s">
        <v>20</v>
      </c>
      <c r="F101" s="51" t="s">
        <v>20</v>
      </c>
      <c r="G101" s="51" t="s">
        <v>20</v>
      </c>
      <c r="H101" s="51" t="s">
        <v>20</v>
      </c>
      <c r="I101" s="75" t="s">
        <v>20</v>
      </c>
      <c r="J101" s="75" t="s">
        <v>20</v>
      </c>
      <c r="K101" s="75" t="s">
        <v>20</v>
      </c>
      <c r="L101" s="51" t="s">
        <v>20</v>
      </c>
      <c r="M101" s="51" t="s">
        <v>20</v>
      </c>
      <c r="N101" s="51" t="s">
        <v>20</v>
      </c>
      <c r="O101" s="51" t="s">
        <v>21</v>
      </c>
      <c r="P101" s="51" t="s">
        <v>20</v>
      </c>
      <c r="Q101" s="51" t="s">
        <v>20</v>
      </c>
      <c r="R101" s="51" t="s">
        <v>19</v>
      </c>
      <c r="S101" s="51" t="s">
        <v>19</v>
      </c>
      <c r="T101" s="51" t="s">
        <v>20</v>
      </c>
      <c r="U101" s="54" t="s">
        <v>19</v>
      </c>
      <c r="V101" s="54" t="s">
        <v>19</v>
      </c>
      <c r="W101" s="54" t="s">
        <v>19</v>
      </c>
      <c r="X101" s="51" t="s">
        <v>20</v>
      </c>
      <c r="Y101" s="51" t="s">
        <v>20</v>
      </c>
      <c r="Z101" s="39" t="s">
        <v>20</v>
      </c>
      <c r="AA101" s="39" t="s">
        <v>20</v>
      </c>
      <c r="AB101" s="39" t="s">
        <v>20</v>
      </c>
      <c r="AC101" s="54" t="s">
        <v>21</v>
      </c>
      <c r="AD101" s="54" t="s">
        <v>20</v>
      </c>
    </row>
    <row r="102" spans="1:30" ht="15.75" customHeight="1" x14ac:dyDescent="0.25">
      <c r="A102" s="89">
        <v>12</v>
      </c>
      <c r="B102" s="90" t="s">
        <v>253</v>
      </c>
      <c r="C102" s="89">
        <v>3</v>
      </c>
      <c r="D102" s="89" t="s">
        <v>19</v>
      </c>
      <c r="E102" s="51" t="s">
        <v>20</v>
      </c>
      <c r="F102" s="51" t="s">
        <v>21</v>
      </c>
      <c r="G102" s="51" t="s">
        <v>21</v>
      </c>
      <c r="H102" s="51" t="s">
        <v>20</v>
      </c>
      <c r="I102" s="75" t="s">
        <v>20</v>
      </c>
      <c r="J102" s="75" t="s">
        <v>19</v>
      </c>
      <c r="K102" s="75" t="s">
        <v>20</v>
      </c>
      <c r="L102" s="51" t="s">
        <v>20</v>
      </c>
      <c r="M102" s="51" t="s">
        <v>20</v>
      </c>
      <c r="N102" s="51" t="s">
        <v>19</v>
      </c>
      <c r="O102" s="51" t="s">
        <v>20</v>
      </c>
      <c r="P102" s="51" t="s">
        <v>20</v>
      </c>
      <c r="Q102" s="51" t="s">
        <v>20</v>
      </c>
      <c r="R102" s="51" t="s">
        <v>20</v>
      </c>
      <c r="S102" s="51" t="s">
        <v>19</v>
      </c>
      <c r="T102" s="51" t="s">
        <v>20</v>
      </c>
      <c r="U102" s="54" t="s">
        <v>19</v>
      </c>
      <c r="V102" s="54" t="s">
        <v>20</v>
      </c>
      <c r="W102" s="54" t="s">
        <v>19</v>
      </c>
      <c r="X102" s="51" t="s">
        <v>19</v>
      </c>
      <c r="Y102" s="51" t="s">
        <v>19</v>
      </c>
      <c r="Z102" s="39" t="s">
        <v>19</v>
      </c>
      <c r="AA102" s="39" t="s">
        <v>20</v>
      </c>
      <c r="AB102" s="39" t="s">
        <v>19</v>
      </c>
      <c r="AC102" s="54" t="s">
        <v>21</v>
      </c>
      <c r="AD102" s="54" t="s">
        <v>20</v>
      </c>
    </row>
    <row r="103" spans="1:30" ht="15.75" customHeight="1" x14ac:dyDescent="0.25">
      <c r="A103" s="89">
        <v>13</v>
      </c>
      <c r="B103" s="90" t="s">
        <v>91</v>
      </c>
      <c r="C103" s="89">
        <v>3</v>
      </c>
      <c r="D103" s="89" t="s">
        <v>19</v>
      </c>
      <c r="E103" s="51" t="s">
        <v>19</v>
      </c>
      <c r="F103" s="51" t="s">
        <v>19</v>
      </c>
      <c r="G103" s="51" t="s">
        <v>19</v>
      </c>
      <c r="H103" s="51" t="s">
        <v>19</v>
      </c>
      <c r="I103" s="75" t="s">
        <v>19</v>
      </c>
      <c r="J103" s="75" t="s">
        <v>20</v>
      </c>
      <c r="K103" s="75" t="s">
        <v>20</v>
      </c>
      <c r="L103" s="51" t="s">
        <v>20</v>
      </c>
      <c r="M103" s="51" t="s">
        <v>20</v>
      </c>
      <c r="N103" s="51" t="s">
        <v>19</v>
      </c>
      <c r="O103" s="51" t="s">
        <v>19</v>
      </c>
      <c r="P103" s="51" t="s">
        <v>19</v>
      </c>
      <c r="Q103" s="51" t="s">
        <v>19</v>
      </c>
      <c r="R103" s="51" t="s">
        <v>19</v>
      </c>
      <c r="S103" s="51" t="s">
        <v>19</v>
      </c>
      <c r="T103" s="51" t="s">
        <v>20</v>
      </c>
      <c r="U103" s="54" t="s">
        <v>19</v>
      </c>
      <c r="V103" s="54" t="s">
        <v>20</v>
      </c>
      <c r="W103" s="54" t="s">
        <v>19</v>
      </c>
      <c r="X103" s="51" t="s">
        <v>20</v>
      </c>
      <c r="Y103" s="51" t="s">
        <v>19</v>
      </c>
      <c r="Z103" s="39" t="s">
        <v>19</v>
      </c>
      <c r="AA103" s="39" t="s">
        <v>20</v>
      </c>
      <c r="AB103" s="39" t="s">
        <v>19</v>
      </c>
      <c r="AC103" s="54" t="s">
        <v>20</v>
      </c>
      <c r="AD103" s="54" t="s">
        <v>20</v>
      </c>
    </row>
    <row r="104" spans="1:30" ht="15.75" customHeight="1" x14ac:dyDescent="0.25">
      <c r="A104" s="89">
        <v>14</v>
      </c>
      <c r="B104" s="90" t="s">
        <v>254</v>
      </c>
      <c r="C104" s="89">
        <v>3</v>
      </c>
      <c r="D104" s="89" t="s">
        <v>19</v>
      </c>
      <c r="E104" s="51" t="s">
        <v>21</v>
      </c>
      <c r="F104" s="51" t="s">
        <v>21</v>
      </c>
      <c r="G104" s="51" t="s">
        <v>21</v>
      </c>
      <c r="H104" s="51" t="s">
        <v>21</v>
      </c>
      <c r="I104" s="75" t="s">
        <v>20</v>
      </c>
      <c r="J104" s="75" t="s">
        <v>21</v>
      </c>
      <c r="K104" s="75" t="s">
        <v>20</v>
      </c>
      <c r="L104" s="51" t="s">
        <v>20</v>
      </c>
      <c r="M104" s="51" t="s">
        <v>21</v>
      </c>
      <c r="N104" s="51" t="s">
        <v>21</v>
      </c>
      <c r="O104" s="51" t="s">
        <v>21</v>
      </c>
      <c r="P104" s="51" t="s">
        <v>20</v>
      </c>
      <c r="Q104" s="51" t="s">
        <v>21</v>
      </c>
      <c r="R104" s="51" t="s">
        <v>21</v>
      </c>
      <c r="S104" s="51" t="s">
        <v>21</v>
      </c>
      <c r="T104" s="51" t="s">
        <v>20</v>
      </c>
      <c r="U104" s="54" t="s">
        <v>19</v>
      </c>
      <c r="V104" s="54" t="s">
        <v>20</v>
      </c>
      <c r="W104" s="54" t="s">
        <v>19</v>
      </c>
      <c r="X104" s="51" t="s">
        <v>20</v>
      </c>
      <c r="Y104" s="51" t="s">
        <v>21</v>
      </c>
      <c r="Z104" s="39" t="s">
        <v>21</v>
      </c>
      <c r="AA104" s="39" t="s">
        <v>21</v>
      </c>
      <c r="AB104" s="39" t="s">
        <v>20</v>
      </c>
      <c r="AC104" s="54" t="s">
        <v>20</v>
      </c>
      <c r="AD104" s="54" t="s">
        <v>20</v>
      </c>
    </row>
    <row r="105" spans="1:30" ht="15.75" customHeight="1" x14ac:dyDescent="0.25">
      <c r="A105" s="89">
        <v>15</v>
      </c>
      <c r="B105" s="90" t="s">
        <v>92</v>
      </c>
      <c r="C105" s="89">
        <v>3</v>
      </c>
      <c r="D105" s="89" t="s">
        <v>19</v>
      </c>
      <c r="E105" s="51" t="s">
        <v>22</v>
      </c>
      <c r="F105" s="51" t="s">
        <v>22</v>
      </c>
      <c r="G105" s="51" t="s">
        <v>19</v>
      </c>
      <c r="H105" s="51" t="s">
        <v>22</v>
      </c>
      <c r="I105" s="75" t="s">
        <v>19</v>
      </c>
      <c r="J105" s="75" t="s">
        <v>19</v>
      </c>
      <c r="K105" s="75" t="s">
        <v>19</v>
      </c>
      <c r="L105" s="51" t="s">
        <v>19</v>
      </c>
      <c r="M105" s="51" t="s">
        <v>20</v>
      </c>
      <c r="N105" s="51" t="s">
        <v>19</v>
      </c>
      <c r="O105" s="51" t="s">
        <v>19</v>
      </c>
      <c r="P105" s="51" t="s">
        <v>19</v>
      </c>
      <c r="Q105" s="51" t="s">
        <v>19</v>
      </c>
      <c r="R105" s="51" t="s">
        <v>19</v>
      </c>
      <c r="S105" s="51" t="s">
        <v>19</v>
      </c>
      <c r="T105" s="51" t="s">
        <v>19</v>
      </c>
      <c r="U105" s="54" t="s">
        <v>19</v>
      </c>
      <c r="V105" s="54" t="s">
        <v>19</v>
      </c>
      <c r="W105" s="54" t="s">
        <v>19</v>
      </c>
      <c r="X105" s="51" t="s">
        <v>19</v>
      </c>
      <c r="Y105" s="51" t="s">
        <v>20</v>
      </c>
      <c r="Z105" s="39" t="s">
        <v>19</v>
      </c>
      <c r="AA105" s="39" t="s">
        <v>19</v>
      </c>
      <c r="AB105" s="39" t="s">
        <v>19</v>
      </c>
      <c r="AC105" s="54" t="s">
        <v>19</v>
      </c>
      <c r="AD105" s="54" t="s">
        <v>20</v>
      </c>
    </row>
    <row r="106" spans="1:30" ht="15.75" customHeight="1" x14ac:dyDescent="0.25">
      <c r="A106" s="89">
        <v>16</v>
      </c>
      <c r="B106" s="90" t="s">
        <v>93</v>
      </c>
      <c r="C106" s="89">
        <v>3</v>
      </c>
      <c r="D106" s="89" t="s">
        <v>19</v>
      </c>
      <c r="E106" s="51" t="s">
        <v>19</v>
      </c>
      <c r="F106" s="51" t="s">
        <v>19</v>
      </c>
      <c r="G106" s="51" t="s">
        <v>19</v>
      </c>
      <c r="H106" s="51" t="s">
        <v>19</v>
      </c>
      <c r="I106" s="75" t="s">
        <v>19</v>
      </c>
      <c r="J106" s="75" t="s">
        <v>19</v>
      </c>
      <c r="K106" s="75" t="s">
        <v>19</v>
      </c>
      <c r="L106" s="51" t="s">
        <v>19</v>
      </c>
      <c r="M106" s="51" t="s">
        <v>19</v>
      </c>
      <c r="N106" s="51" t="s">
        <v>19</v>
      </c>
      <c r="O106" s="51" t="s">
        <v>19</v>
      </c>
      <c r="P106" s="51" t="s">
        <v>19</v>
      </c>
      <c r="Q106" s="51" t="s">
        <v>19</v>
      </c>
      <c r="R106" s="51" t="s">
        <v>19</v>
      </c>
      <c r="S106" s="51" t="s">
        <v>19</v>
      </c>
      <c r="T106" s="51" t="s">
        <v>19</v>
      </c>
      <c r="U106" s="54" t="s">
        <v>19</v>
      </c>
      <c r="V106" s="54" t="s">
        <v>19</v>
      </c>
      <c r="W106" s="54" t="s">
        <v>19</v>
      </c>
      <c r="X106" s="51" t="s">
        <v>19</v>
      </c>
      <c r="Y106" s="51" t="s">
        <v>19</v>
      </c>
      <c r="Z106" s="39" t="s">
        <v>19</v>
      </c>
      <c r="AA106" s="39" t="s">
        <v>19</v>
      </c>
      <c r="AB106" s="39" t="s">
        <v>19</v>
      </c>
      <c r="AC106" s="54" t="s">
        <v>19</v>
      </c>
      <c r="AD106" s="54" t="s">
        <v>20</v>
      </c>
    </row>
    <row r="107" spans="1:30" ht="15.75" customHeight="1" x14ac:dyDescent="0.25">
      <c r="A107" s="89">
        <v>17</v>
      </c>
      <c r="B107" s="90" t="s">
        <v>94</v>
      </c>
      <c r="C107" s="89">
        <v>3</v>
      </c>
      <c r="D107" s="89" t="s">
        <v>19</v>
      </c>
      <c r="E107" s="51" t="s">
        <v>19</v>
      </c>
      <c r="F107" s="51" t="s">
        <v>19</v>
      </c>
      <c r="G107" s="51" t="s">
        <v>19</v>
      </c>
      <c r="H107" s="51" t="s">
        <v>19</v>
      </c>
      <c r="I107" s="75" t="s">
        <v>22</v>
      </c>
      <c r="J107" s="75" t="s">
        <v>19</v>
      </c>
      <c r="K107" s="75" t="s">
        <v>19</v>
      </c>
      <c r="L107" s="51" t="s">
        <v>19</v>
      </c>
      <c r="M107" s="51" t="s">
        <v>19</v>
      </c>
      <c r="N107" s="51" t="s">
        <v>19</v>
      </c>
      <c r="O107" s="51" t="s">
        <v>19</v>
      </c>
      <c r="P107" s="51" t="s">
        <v>19</v>
      </c>
      <c r="Q107" s="51" t="s">
        <v>19</v>
      </c>
      <c r="R107" s="51" t="s">
        <v>20</v>
      </c>
      <c r="S107" s="51" t="s">
        <v>19</v>
      </c>
      <c r="T107" s="51" t="s">
        <v>19</v>
      </c>
      <c r="U107" s="54" t="s">
        <v>20</v>
      </c>
      <c r="V107" s="54" t="s">
        <v>19</v>
      </c>
      <c r="W107" s="54" t="s">
        <v>20</v>
      </c>
      <c r="X107" s="51" t="s">
        <v>19</v>
      </c>
      <c r="Y107" s="51" t="s">
        <v>19</v>
      </c>
      <c r="Z107" s="39" t="s">
        <v>19</v>
      </c>
      <c r="AA107" s="39" t="s">
        <v>19</v>
      </c>
      <c r="AB107" s="39" t="s">
        <v>19</v>
      </c>
      <c r="AC107" s="54" t="s">
        <v>19</v>
      </c>
      <c r="AD107" s="54" t="s">
        <v>20</v>
      </c>
    </row>
    <row r="108" spans="1:30" ht="15.75" customHeight="1" x14ac:dyDescent="0.25">
      <c r="A108" s="89">
        <v>18</v>
      </c>
      <c r="B108" s="90" t="s">
        <v>95</v>
      </c>
      <c r="C108" s="89">
        <v>3</v>
      </c>
      <c r="D108" s="89" t="s">
        <v>19</v>
      </c>
      <c r="E108" s="51" t="s">
        <v>22</v>
      </c>
      <c r="F108" s="51" t="s">
        <v>19</v>
      </c>
      <c r="G108" s="51" t="s">
        <v>19</v>
      </c>
      <c r="H108" s="51" t="s">
        <v>19</v>
      </c>
      <c r="I108" s="75" t="s">
        <v>19</v>
      </c>
      <c r="J108" s="75" t="s">
        <v>19</v>
      </c>
      <c r="K108" s="75" t="s">
        <v>19</v>
      </c>
      <c r="L108" s="51" t="s">
        <v>19</v>
      </c>
      <c r="M108" s="51" t="s">
        <v>19</v>
      </c>
      <c r="N108" s="51" t="s">
        <v>19</v>
      </c>
      <c r="O108" s="51" t="s">
        <v>19</v>
      </c>
      <c r="P108" s="51" t="s">
        <v>19</v>
      </c>
      <c r="Q108" s="51" t="s">
        <v>19</v>
      </c>
      <c r="R108" s="51" t="s">
        <v>19</v>
      </c>
      <c r="S108" s="51" t="s">
        <v>19</v>
      </c>
      <c r="T108" s="51" t="s">
        <v>19</v>
      </c>
      <c r="U108" s="54" t="s">
        <v>19</v>
      </c>
      <c r="V108" s="54" t="s">
        <v>19</v>
      </c>
      <c r="W108" s="54" t="s">
        <v>19</v>
      </c>
      <c r="X108" s="51" t="s">
        <v>20</v>
      </c>
      <c r="Y108" s="51" t="s">
        <v>19</v>
      </c>
      <c r="Z108" s="39" t="s">
        <v>19</v>
      </c>
      <c r="AA108" s="39" t="s">
        <v>19</v>
      </c>
      <c r="AB108" s="39" t="s">
        <v>19</v>
      </c>
      <c r="AC108" s="54" t="s">
        <v>19</v>
      </c>
      <c r="AD108" s="54" t="s">
        <v>20</v>
      </c>
    </row>
    <row r="109" spans="1:30" ht="15.75" customHeight="1" thickBot="1" x14ac:dyDescent="0.3">
      <c r="A109" s="91">
        <v>19</v>
      </c>
      <c r="B109" s="92" t="s">
        <v>96</v>
      </c>
      <c r="C109" s="91">
        <v>3</v>
      </c>
      <c r="D109" s="91" t="s">
        <v>19</v>
      </c>
      <c r="E109" s="87" t="s">
        <v>20</v>
      </c>
      <c r="F109" s="87" t="s">
        <v>21</v>
      </c>
      <c r="G109" s="87" t="s">
        <v>21</v>
      </c>
      <c r="H109" s="87" t="s">
        <v>21</v>
      </c>
      <c r="I109" s="103" t="s">
        <v>20</v>
      </c>
      <c r="J109" s="103" t="s">
        <v>19</v>
      </c>
      <c r="K109" s="103" t="s">
        <v>20</v>
      </c>
      <c r="L109" s="87" t="s">
        <v>20</v>
      </c>
      <c r="M109" s="87" t="s">
        <v>20</v>
      </c>
      <c r="N109" s="87" t="s">
        <v>20</v>
      </c>
      <c r="O109" s="87" t="s">
        <v>20</v>
      </c>
      <c r="P109" s="87" t="s">
        <v>20</v>
      </c>
      <c r="Q109" s="87" t="s">
        <v>20</v>
      </c>
      <c r="R109" s="87" t="s">
        <v>19</v>
      </c>
      <c r="S109" s="87" t="s">
        <v>19</v>
      </c>
      <c r="T109" s="87" t="s">
        <v>19</v>
      </c>
      <c r="U109" s="100" t="s">
        <v>19</v>
      </c>
      <c r="V109" s="100" t="s">
        <v>20</v>
      </c>
      <c r="W109" s="100" t="s">
        <v>19</v>
      </c>
      <c r="X109" s="87" t="s">
        <v>21</v>
      </c>
      <c r="Y109" s="87" t="s">
        <v>19</v>
      </c>
      <c r="Z109" s="41" t="s">
        <v>20</v>
      </c>
      <c r="AA109" s="41" t="s">
        <v>20</v>
      </c>
      <c r="AB109" s="41" t="s">
        <v>20</v>
      </c>
      <c r="AC109" s="100" t="s">
        <v>20</v>
      </c>
      <c r="AD109" s="100" t="s">
        <v>20</v>
      </c>
    </row>
    <row r="110" spans="1:30" ht="15.75" customHeight="1" x14ac:dyDescent="0.25">
      <c r="A110" s="82">
        <v>1</v>
      </c>
      <c r="B110" s="40" t="s">
        <v>97</v>
      </c>
      <c r="C110" s="82">
        <v>3</v>
      </c>
      <c r="D110" s="82" t="s">
        <v>20</v>
      </c>
      <c r="E110" s="83" t="s">
        <v>20</v>
      </c>
      <c r="F110" s="83" t="s">
        <v>19</v>
      </c>
      <c r="G110" s="83" t="s">
        <v>19</v>
      </c>
      <c r="H110" s="83" t="s">
        <v>19</v>
      </c>
      <c r="I110" s="86" t="s">
        <v>19</v>
      </c>
      <c r="J110" s="86" t="s">
        <v>19</v>
      </c>
      <c r="K110" s="86" t="s">
        <v>20</v>
      </c>
      <c r="L110" s="83" t="s">
        <v>19</v>
      </c>
      <c r="M110" s="83" t="s">
        <v>19</v>
      </c>
      <c r="N110" s="83" t="s">
        <v>19</v>
      </c>
      <c r="O110" s="83" t="s">
        <v>20</v>
      </c>
      <c r="P110" s="83" t="s">
        <v>20</v>
      </c>
      <c r="Q110" s="83" t="s">
        <v>19</v>
      </c>
      <c r="R110" s="83" t="s">
        <v>19</v>
      </c>
      <c r="S110" s="83" t="s">
        <v>19</v>
      </c>
      <c r="T110" s="83" t="s">
        <v>19</v>
      </c>
      <c r="U110" s="99" t="s">
        <v>20</v>
      </c>
      <c r="V110" s="99" t="s">
        <v>19</v>
      </c>
      <c r="W110" s="99" t="s">
        <v>19</v>
      </c>
      <c r="X110" s="83" t="s">
        <v>19</v>
      </c>
      <c r="Y110" s="83" t="s">
        <v>19</v>
      </c>
      <c r="Z110" s="86" t="s">
        <v>20</v>
      </c>
      <c r="AA110" s="86" t="s">
        <v>20</v>
      </c>
      <c r="AB110" s="86" t="s">
        <v>20</v>
      </c>
      <c r="AC110" s="99" t="s">
        <v>20</v>
      </c>
      <c r="AD110" s="99" t="s">
        <v>20</v>
      </c>
    </row>
    <row r="111" spans="1:30" ht="15.75" customHeight="1" x14ac:dyDescent="0.25">
      <c r="A111" s="20">
        <v>2</v>
      </c>
      <c r="B111" s="37" t="s">
        <v>98</v>
      </c>
      <c r="C111" s="20">
        <v>3</v>
      </c>
      <c r="D111" s="20" t="s">
        <v>20</v>
      </c>
      <c r="E111" s="51" t="s">
        <v>20</v>
      </c>
      <c r="F111" s="51" t="s">
        <v>19</v>
      </c>
      <c r="G111" s="51" t="s">
        <v>19</v>
      </c>
      <c r="H111" s="51" t="s">
        <v>19</v>
      </c>
      <c r="I111" s="39" t="s">
        <v>19</v>
      </c>
      <c r="J111" s="39" t="s">
        <v>19</v>
      </c>
      <c r="K111" s="39" t="s">
        <v>20</v>
      </c>
      <c r="L111" s="51" t="s">
        <v>19</v>
      </c>
      <c r="M111" s="51" t="s">
        <v>19</v>
      </c>
      <c r="N111" s="51" t="s">
        <v>19</v>
      </c>
      <c r="O111" s="51" t="s">
        <v>20</v>
      </c>
      <c r="P111" s="51" t="s">
        <v>19</v>
      </c>
      <c r="Q111" s="51" t="s">
        <v>19</v>
      </c>
      <c r="R111" s="51" t="s">
        <v>20</v>
      </c>
      <c r="S111" s="51" t="s">
        <v>19</v>
      </c>
      <c r="T111" s="51" t="s">
        <v>19</v>
      </c>
      <c r="U111" s="54" t="s">
        <v>20</v>
      </c>
      <c r="V111" s="54" t="s">
        <v>19</v>
      </c>
      <c r="W111" s="54" t="s">
        <v>19</v>
      </c>
      <c r="X111" s="51" t="s">
        <v>20</v>
      </c>
      <c r="Y111" s="51" t="s">
        <v>19</v>
      </c>
      <c r="Z111" s="39" t="s">
        <v>19</v>
      </c>
      <c r="AA111" s="39" t="s">
        <v>19</v>
      </c>
      <c r="AB111" s="39" t="s">
        <v>19</v>
      </c>
      <c r="AC111" s="54" t="s">
        <v>20</v>
      </c>
      <c r="AD111" s="54" t="s">
        <v>20</v>
      </c>
    </row>
    <row r="112" spans="1:30" ht="15.75" customHeight="1" x14ac:dyDescent="0.25">
      <c r="A112" s="20">
        <v>3</v>
      </c>
      <c r="B112" s="37" t="s">
        <v>99</v>
      </c>
      <c r="C112" s="20">
        <v>3</v>
      </c>
      <c r="D112" s="20" t="s">
        <v>20</v>
      </c>
      <c r="E112" s="51" t="s">
        <v>19</v>
      </c>
      <c r="F112" s="51" t="s">
        <v>19</v>
      </c>
      <c r="G112" s="51" t="s">
        <v>19</v>
      </c>
      <c r="H112" s="51" t="s">
        <v>19</v>
      </c>
      <c r="I112" s="39" t="s">
        <v>19</v>
      </c>
      <c r="J112" s="39" t="s">
        <v>19</v>
      </c>
      <c r="K112" s="39" t="s">
        <v>20</v>
      </c>
      <c r="L112" s="51" t="s">
        <v>19</v>
      </c>
      <c r="M112" s="51" t="s">
        <v>19</v>
      </c>
      <c r="N112" s="51" t="s">
        <v>20</v>
      </c>
      <c r="O112" s="51" t="s">
        <v>19</v>
      </c>
      <c r="P112" s="51" t="s">
        <v>19</v>
      </c>
      <c r="Q112" s="51" t="s">
        <v>19</v>
      </c>
      <c r="R112" s="51" t="s">
        <v>19</v>
      </c>
      <c r="S112" s="51" t="s">
        <v>19</v>
      </c>
      <c r="T112" s="51" t="s">
        <v>19</v>
      </c>
      <c r="U112" s="54" t="s">
        <v>19</v>
      </c>
      <c r="V112" s="54" t="s">
        <v>19</v>
      </c>
      <c r="W112" s="54" t="s">
        <v>19</v>
      </c>
      <c r="X112" s="51" t="s">
        <v>19</v>
      </c>
      <c r="Y112" s="51" t="s">
        <v>19</v>
      </c>
      <c r="Z112" s="39" t="s">
        <v>19</v>
      </c>
      <c r="AA112" s="39" t="s">
        <v>19</v>
      </c>
      <c r="AB112" s="39" t="s">
        <v>19</v>
      </c>
      <c r="AC112" s="54" t="s">
        <v>19</v>
      </c>
      <c r="AD112" s="54" t="s">
        <v>20</v>
      </c>
    </row>
    <row r="113" spans="1:33" ht="15.75" customHeight="1" x14ac:dyDescent="0.25">
      <c r="A113" s="20">
        <v>4</v>
      </c>
      <c r="B113" s="37" t="s">
        <v>100</v>
      </c>
      <c r="C113" s="20">
        <v>3</v>
      </c>
      <c r="D113" s="20" t="s">
        <v>20</v>
      </c>
      <c r="E113" s="51" t="s">
        <v>20</v>
      </c>
      <c r="F113" s="51" t="s">
        <v>20</v>
      </c>
      <c r="G113" s="51" t="s">
        <v>20</v>
      </c>
      <c r="H113" s="51" t="s">
        <v>19</v>
      </c>
      <c r="I113" s="39" t="s">
        <v>19</v>
      </c>
      <c r="J113" s="39" t="s">
        <v>19</v>
      </c>
      <c r="K113" s="39" t="s">
        <v>19</v>
      </c>
      <c r="L113" s="51" t="s">
        <v>19</v>
      </c>
      <c r="M113" s="51" t="s">
        <v>19</v>
      </c>
      <c r="N113" s="51" t="s">
        <v>19</v>
      </c>
      <c r="O113" s="51" t="s">
        <v>19</v>
      </c>
      <c r="P113" s="51" t="s">
        <v>20</v>
      </c>
      <c r="Q113" s="51" t="s">
        <v>19</v>
      </c>
      <c r="R113" s="51" t="s">
        <v>19</v>
      </c>
      <c r="S113" s="51" t="s">
        <v>19</v>
      </c>
      <c r="T113" s="51" t="s">
        <v>19</v>
      </c>
      <c r="U113" s="54" t="s">
        <v>20</v>
      </c>
      <c r="V113" s="54" t="s">
        <v>19</v>
      </c>
      <c r="W113" s="54" t="s">
        <v>20</v>
      </c>
      <c r="X113" s="51" t="s">
        <v>19</v>
      </c>
      <c r="Y113" s="51" t="s">
        <v>19</v>
      </c>
      <c r="Z113" s="39" t="s">
        <v>20</v>
      </c>
      <c r="AA113" s="39" t="s">
        <v>20</v>
      </c>
      <c r="AB113" s="39" t="s">
        <v>20</v>
      </c>
      <c r="AC113" s="54" t="s">
        <v>21</v>
      </c>
      <c r="AD113" s="54" t="s">
        <v>20</v>
      </c>
    </row>
    <row r="114" spans="1:33" ht="15.75" customHeight="1" thickBot="1" x14ac:dyDescent="0.3">
      <c r="A114" s="20">
        <v>5</v>
      </c>
      <c r="B114" s="37" t="s">
        <v>101</v>
      </c>
      <c r="C114" s="20">
        <v>3</v>
      </c>
      <c r="D114" s="20" t="s">
        <v>20</v>
      </c>
      <c r="E114" s="51" t="s">
        <v>20</v>
      </c>
      <c r="F114" s="51" t="s">
        <v>19</v>
      </c>
      <c r="G114" s="51" t="s">
        <v>20</v>
      </c>
      <c r="H114" s="51" t="s">
        <v>19</v>
      </c>
      <c r="I114" s="39" t="s">
        <v>22</v>
      </c>
      <c r="J114" s="39" t="s">
        <v>22</v>
      </c>
      <c r="K114" s="39" t="s">
        <v>19</v>
      </c>
      <c r="L114" s="51" t="s">
        <v>19</v>
      </c>
      <c r="M114" s="51" t="s">
        <v>19</v>
      </c>
      <c r="N114" s="51" t="s">
        <v>19</v>
      </c>
      <c r="O114" s="51" t="s">
        <v>20</v>
      </c>
      <c r="P114" s="51" t="s">
        <v>19</v>
      </c>
      <c r="Q114" s="51" t="s">
        <v>19</v>
      </c>
      <c r="R114" s="51" t="s">
        <v>19</v>
      </c>
      <c r="S114" s="51" t="s">
        <v>19</v>
      </c>
      <c r="T114" s="51" t="s">
        <v>19</v>
      </c>
      <c r="U114" s="54" t="s">
        <v>19</v>
      </c>
      <c r="V114" s="54" t="s">
        <v>19</v>
      </c>
      <c r="W114" s="54" t="s">
        <v>19</v>
      </c>
      <c r="X114" s="51" t="s">
        <v>19</v>
      </c>
      <c r="Y114" s="51" t="s">
        <v>19</v>
      </c>
      <c r="Z114" s="39" t="s">
        <v>19</v>
      </c>
      <c r="AA114" s="39" t="s">
        <v>19</v>
      </c>
      <c r="AB114" s="39" t="s">
        <v>19</v>
      </c>
      <c r="AC114" s="53" t="s">
        <v>21</v>
      </c>
      <c r="AD114" s="53" t="s">
        <v>20</v>
      </c>
    </row>
    <row r="115" spans="1:33" ht="15.75" customHeight="1" x14ac:dyDescent="0.25">
      <c r="A115" s="20">
        <v>6</v>
      </c>
      <c r="B115" s="37" t="s">
        <v>255</v>
      </c>
      <c r="C115" s="20">
        <v>3</v>
      </c>
      <c r="D115" s="20" t="s">
        <v>20</v>
      </c>
      <c r="E115" s="51" t="s">
        <v>19</v>
      </c>
      <c r="F115" s="51" t="s">
        <v>19</v>
      </c>
      <c r="G115" s="51" t="s">
        <v>19</v>
      </c>
      <c r="H115" s="51" t="s">
        <v>19</v>
      </c>
      <c r="I115" s="39" t="s">
        <v>19</v>
      </c>
      <c r="J115" s="39" t="s">
        <v>19</v>
      </c>
      <c r="K115" s="39" t="s">
        <v>19</v>
      </c>
      <c r="L115" s="51" t="s">
        <v>19</v>
      </c>
      <c r="M115" s="51" t="s">
        <v>19</v>
      </c>
      <c r="N115" s="51" t="s">
        <v>19</v>
      </c>
      <c r="O115" s="51" t="s">
        <v>20</v>
      </c>
      <c r="P115" s="51" t="s">
        <v>19</v>
      </c>
      <c r="Q115" s="51" t="s">
        <v>19</v>
      </c>
      <c r="R115" s="51" t="s">
        <v>19</v>
      </c>
      <c r="S115" s="51" t="s">
        <v>19</v>
      </c>
      <c r="T115" s="51" t="s">
        <v>19</v>
      </c>
      <c r="U115" s="54" t="s">
        <v>19</v>
      </c>
      <c r="V115" s="54" t="s">
        <v>19</v>
      </c>
      <c r="W115" s="54" t="s">
        <v>20</v>
      </c>
      <c r="X115" s="51" t="s">
        <v>19</v>
      </c>
      <c r="Y115" s="51" t="s">
        <v>19</v>
      </c>
      <c r="Z115" s="39" t="s">
        <v>19</v>
      </c>
      <c r="AA115" s="39" t="s">
        <v>19</v>
      </c>
      <c r="AB115" s="39" t="s">
        <v>19</v>
      </c>
      <c r="AC115" s="53" t="s">
        <v>19</v>
      </c>
      <c r="AD115" s="53" t="s">
        <v>20</v>
      </c>
      <c r="AF115" s="29" t="s">
        <v>22</v>
      </c>
      <c r="AG115" s="17">
        <f>COUNTIF(E110:AD130,"AD")</f>
        <v>5</v>
      </c>
    </row>
    <row r="116" spans="1:33" ht="15.75" customHeight="1" x14ac:dyDescent="0.25">
      <c r="A116" s="20">
        <v>7</v>
      </c>
      <c r="B116" s="37" t="s">
        <v>86</v>
      </c>
      <c r="C116" s="20">
        <v>3</v>
      </c>
      <c r="D116" s="20" t="s">
        <v>20</v>
      </c>
      <c r="E116" s="51" t="s">
        <v>21</v>
      </c>
      <c r="F116" s="51" t="s">
        <v>20</v>
      </c>
      <c r="G116" s="51" t="s">
        <v>21</v>
      </c>
      <c r="H116" s="51" t="s">
        <v>20</v>
      </c>
      <c r="I116" s="39" t="s">
        <v>20</v>
      </c>
      <c r="J116" s="39" t="s">
        <v>20</v>
      </c>
      <c r="K116" s="39" t="s">
        <v>20</v>
      </c>
      <c r="L116" s="51" t="s">
        <v>19</v>
      </c>
      <c r="M116" s="51" t="s">
        <v>19</v>
      </c>
      <c r="N116" s="51" t="s">
        <v>20</v>
      </c>
      <c r="O116" s="51" t="s">
        <v>20</v>
      </c>
      <c r="P116" s="51" t="s">
        <v>21</v>
      </c>
      <c r="Q116" s="51" t="s">
        <v>20</v>
      </c>
      <c r="R116" s="51" t="s">
        <v>19</v>
      </c>
      <c r="S116" s="51" t="s">
        <v>20</v>
      </c>
      <c r="T116" s="51" t="s">
        <v>19</v>
      </c>
      <c r="U116" s="54" t="s">
        <v>20</v>
      </c>
      <c r="V116" s="54" t="s">
        <v>20</v>
      </c>
      <c r="W116" s="54" t="s">
        <v>20</v>
      </c>
      <c r="X116" s="51" t="s">
        <v>19</v>
      </c>
      <c r="Y116" s="51" t="s">
        <v>19</v>
      </c>
      <c r="Z116" s="39" t="s">
        <v>20</v>
      </c>
      <c r="AA116" s="39" t="s">
        <v>20</v>
      </c>
      <c r="AB116" s="39" t="s">
        <v>20</v>
      </c>
      <c r="AC116" s="53" t="s">
        <v>20</v>
      </c>
      <c r="AD116" s="53" t="s">
        <v>20</v>
      </c>
      <c r="AF116" s="30" t="s">
        <v>19</v>
      </c>
      <c r="AG116" s="18">
        <f>COUNTIF(E110:AD130,"A")</f>
        <v>270</v>
      </c>
    </row>
    <row r="117" spans="1:33" ht="15.75" customHeight="1" x14ac:dyDescent="0.25">
      <c r="A117" s="20">
        <v>8</v>
      </c>
      <c r="B117" s="37" t="s">
        <v>103</v>
      </c>
      <c r="C117" s="20">
        <v>3</v>
      </c>
      <c r="D117" s="20" t="s">
        <v>20</v>
      </c>
      <c r="E117" s="51" t="s">
        <v>20</v>
      </c>
      <c r="F117" s="51" t="s">
        <v>21</v>
      </c>
      <c r="G117" s="51" t="s">
        <v>20</v>
      </c>
      <c r="H117" s="51" t="s">
        <v>20</v>
      </c>
      <c r="I117" s="39" t="s">
        <v>19</v>
      </c>
      <c r="J117" s="39" t="s">
        <v>19</v>
      </c>
      <c r="K117" s="39" t="s">
        <v>20</v>
      </c>
      <c r="L117" s="51" t="s">
        <v>19</v>
      </c>
      <c r="M117" s="51" t="s">
        <v>20</v>
      </c>
      <c r="N117" s="51" t="s">
        <v>19</v>
      </c>
      <c r="O117" s="51" t="s">
        <v>20</v>
      </c>
      <c r="P117" s="51" t="s">
        <v>20</v>
      </c>
      <c r="Q117" s="51" t="s">
        <v>20</v>
      </c>
      <c r="R117" s="51" t="s">
        <v>19</v>
      </c>
      <c r="S117" s="51" t="s">
        <v>19</v>
      </c>
      <c r="T117" s="51" t="s">
        <v>19</v>
      </c>
      <c r="U117" s="54" t="s">
        <v>19</v>
      </c>
      <c r="V117" s="54" t="s">
        <v>20</v>
      </c>
      <c r="W117" s="54" t="s">
        <v>19</v>
      </c>
      <c r="X117" s="51" t="s">
        <v>19</v>
      </c>
      <c r="Y117" s="51" t="s">
        <v>19</v>
      </c>
      <c r="Z117" s="39" t="s">
        <v>21</v>
      </c>
      <c r="AA117" s="39" t="s">
        <v>21</v>
      </c>
      <c r="AB117" s="39" t="s">
        <v>20</v>
      </c>
      <c r="AC117" s="53" t="s">
        <v>20</v>
      </c>
      <c r="AD117" s="53" t="s">
        <v>20</v>
      </c>
      <c r="AF117" s="30" t="s">
        <v>20</v>
      </c>
      <c r="AG117" s="18">
        <f>COUNTIF(E110:AD130,"B")</f>
        <v>236</v>
      </c>
    </row>
    <row r="118" spans="1:33" ht="15.75" customHeight="1" thickBot="1" x14ac:dyDescent="0.3">
      <c r="A118" s="20">
        <v>9</v>
      </c>
      <c r="B118" s="37" t="s">
        <v>104</v>
      </c>
      <c r="C118" s="20">
        <v>3</v>
      </c>
      <c r="D118" s="20" t="s">
        <v>20</v>
      </c>
      <c r="E118" s="51" t="s">
        <v>21</v>
      </c>
      <c r="F118" s="51" t="s">
        <v>20</v>
      </c>
      <c r="G118" s="51" t="s">
        <v>21</v>
      </c>
      <c r="H118" s="51" t="s">
        <v>20</v>
      </c>
      <c r="I118" s="39" t="s">
        <v>19</v>
      </c>
      <c r="J118" s="39" t="s">
        <v>20</v>
      </c>
      <c r="K118" s="39" t="s">
        <v>20</v>
      </c>
      <c r="L118" s="51" t="s">
        <v>20</v>
      </c>
      <c r="M118" s="51" t="s">
        <v>20</v>
      </c>
      <c r="N118" s="51" t="s">
        <v>20</v>
      </c>
      <c r="O118" s="51" t="s">
        <v>21</v>
      </c>
      <c r="P118" s="51" t="s">
        <v>19</v>
      </c>
      <c r="Q118" s="51" t="s">
        <v>20</v>
      </c>
      <c r="R118" s="51" t="s">
        <v>20</v>
      </c>
      <c r="S118" s="51" t="s">
        <v>19</v>
      </c>
      <c r="T118" s="51" t="s">
        <v>19</v>
      </c>
      <c r="U118" s="54" t="s">
        <v>20</v>
      </c>
      <c r="V118" s="54" t="s">
        <v>20</v>
      </c>
      <c r="W118" s="54" t="s">
        <v>20</v>
      </c>
      <c r="X118" s="51" t="s">
        <v>19</v>
      </c>
      <c r="Y118" s="51" t="s">
        <v>19</v>
      </c>
      <c r="Z118" s="39" t="s">
        <v>21</v>
      </c>
      <c r="AA118" s="39" t="s">
        <v>21</v>
      </c>
      <c r="AB118" s="39" t="s">
        <v>20</v>
      </c>
      <c r="AC118" s="53" t="s">
        <v>20</v>
      </c>
      <c r="AD118" s="53" t="s">
        <v>20</v>
      </c>
      <c r="AF118" s="31" t="s">
        <v>21</v>
      </c>
      <c r="AG118" s="19">
        <f>COUNTIF(E110:AD130,"C")</f>
        <v>33</v>
      </c>
    </row>
    <row r="119" spans="1:33" ht="15.75" customHeight="1" x14ac:dyDescent="0.25">
      <c r="A119" s="20">
        <v>10</v>
      </c>
      <c r="B119" s="37" t="s">
        <v>105</v>
      </c>
      <c r="C119" s="20">
        <v>3</v>
      </c>
      <c r="D119" s="20" t="s">
        <v>20</v>
      </c>
      <c r="E119" s="51" t="s">
        <v>22</v>
      </c>
      <c r="F119" s="51" t="s">
        <v>19</v>
      </c>
      <c r="G119" s="51" t="s">
        <v>19</v>
      </c>
      <c r="H119" s="51" t="s">
        <v>19</v>
      </c>
      <c r="I119" s="39" t="s">
        <v>19</v>
      </c>
      <c r="J119" s="39" t="s">
        <v>22</v>
      </c>
      <c r="K119" s="39" t="s">
        <v>19</v>
      </c>
      <c r="L119" s="51" t="s">
        <v>19</v>
      </c>
      <c r="M119" s="51" t="s">
        <v>19</v>
      </c>
      <c r="N119" s="51" t="s">
        <v>19</v>
      </c>
      <c r="O119" s="51" t="s">
        <v>20</v>
      </c>
      <c r="P119" s="51" t="s">
        <v>19</v>
      </c>
      <c r="Q119" s="51" t="s">
        <v>19</v>
      </c>
      <c r="R119" s="51" t="s">
        <v>19</v>
      </c>
      <c r="S119" s="51" t="s">
        <v>19</v>
      </c>
      <c r="T119" s="51" t="s">
        <v>19</v>
      </c>
      <c r="U119" s="54" t="s">
        <v>20</v>
      </c>
      <c r="V119" s="54" t="s">
        <v>19</v>
      </c>
      <c r="W119" s="54" t="s">
        <v>19</v>
      </c>
      <c r="X119" s="51" t="s">
        <v>19</v>
      </c>
      <c r="Y119" s="51" t="s">
        <v>19</v>
      </c>
      <c r="Z119" s="39" t="s">
        <v>19</v>
      </c>
      <c r="AA119" s="39" t="s">
        <v>19</v>
      </c>
      <c r="AB119" s="39" t="s">
        <v>19</v>
      </c>
      <c r="AC119" s="53" t="s">
        <v>19</v>
      </c>
      <c r="AD119" s="53" t="s">
        <v>20</v>
      </c>
    </row>
    <row r="120" spans="1:33" ht="15.75" customHeight="1" x14ac:dyDescent="0.25">
      <c r="A120" s="20">
        <v>11</v>
      </c>
      <c r="B120" s="37" t="s">
        <v>106</v>
      </c>
      <c r="C120" s="20">
        <v>3</v>
      </c>
      <c r="D120" s="20" t="s">
        <v>20</v>
      </c>
      <c r="E120" s="51" t="s">
        <v>20</v>
      </c>
      <c r="F120" s="51" t="s">
        <v>20</v>
      </c>
      <c r="G120" s="51" t="s">
        <v>20</v>
      </c>
      <c r="H120" s="51" t="s">
        <v>20</v>
      </c>
      <c r="I120" s="39" t="s">
        <v>20</v>
      </c>
      <c r="J120" s="39" t="s">
        <v>20</v>
      </c>
      <c r="K120" s="39" t="s">
        <v>20</v>
      </c>
      <c r="L120" s="51" t="s">
        <v>20</v>
      </c>
      <c r="M120" s="51" t="s">
        <v>20</v>
      </c>
      <c r="N120" s="51" t="s">
        <v>20</v>
      </c>
      <c r="O120" s="51" t="s">
        <v>20</v>
      </c>
      <c r="P120" s="51" t="s">
        <v>20</v>
      </c>
      <c r="Q120" s="51" t="s">
        <v>21</v>
      </c>
      <c r="R120" s="51" t="s">
        <v>21</v>
      </c>
      <c r="S120" s="51" t="s">
        <v>20</v>
      </c>
      <c r="T120" s="51" t="s">
        <v>19</v>
      </c>
      <c r="U120" s="54" t="s">
        <v>20</v>
      </c>
      <c r="V120" s="54" t="s">
        <v>19</v>
      </c>
      <c r="W120" s="54" t="s">
        <v>20</v>
      </c>
      <c r="X120" s="51" t="s">
        <v>20</v>
      </c>
      <c r="Y120" s="51" t="s">
        <v>20</v>
      </c>
      <c r="Z120" s="39" t="s">
        <v>20</v>
      </c>
      <c r="AA120" s="39" t="s">
        <v>20</v>
      </c>
      <c r="AB120" s="39" t="s">
        <v>20</v>
      </c>
      <c r="AC120" s="53" t="s">
        <v>21</v>
      </c>
      <c r="AD120" s="53" t="s">
        <v>20</v>
      </c>
    </row>
    <row r="121" spans="1:33" ht="15.75" customHeight="1" x14ac:dyDescent="0.25">
      <c r="A121" s="20">
        <v>12</v>
      </c>
      <c r="B121" s="37" t="s">
        <v>107</v>
      </c>
      <c r="C121" s="20">
        <v>3</v>
      </c>
      <c r="D121" s="20" t="s">
        <v>20</v>
      </c>
      <c r="E121" s="51" t="s">
        <v>19</v>
      </c>
      <c r="F121" s="51" t="s">
        <v>19</v>
      </c>
      <c r="G121" s="51" t="s">
        <v>19</v>
      </c>
      <c r="H121" s="51" t="s">
        <v>19</v>
      </c>
      <c r="I121" s="39" t="s">
        <v>19</v>
      </c>
      <c r="J121" s="39" t="s">
        <v>19</v>
      </c>
      <c r="K121" s="39" t="s">
        <v>19</v>
      </c>
      <c r="L121" s="51" t="s">
        <v>19</v>
      </c>
      <c r="M121" s="51" t="s">
        <v>19</v>
      </c>
      <c r="N121" s="51" t="s">
        <v>19</v>
      </c>
      <c r="O121" s="51" t="s">
        <v>20</v>
      </c>
      <c r="P121" s="51" t="s">
        <v>19</v>
      </c>
      <c r="Q121" s="51" t="s">
        <v>20</v>
      </c>
      <c r="R121" s="51" t="s">
        <v>20</v>
      </c>
      <c r="S121" s="51" t="s">
        <v>20</v>
      </c>
      <c r="T121" s="51" t="s">
        <v>19</v>
      </c>
      <c r="U121" s="54" t="s">
        <v>19</v>
      </c>
      <c r="V121" s="54" t="s">
        <v>19</v>
      </c>
      <c r="W121" s="54" t="s">
        <v>20</v>
      </c>
      <c r="X121" s="51" t="s">
        <v>20</v>
      </c>
      <c r="Y121" s="51" t="s">
        <v>19</v>
      </c>
      <c r="Z121" s="39" t="s">
        <v>19</v>
      </c>
      <c r="AA121" s="39" t="s">
        <v>19</v>
      </c>
      <c r="AB121" s="39" t="s">
        <v>19</v>
      </c>
      <c r="AC121" s="53" t="s">
        <v>21</v>
      </c>
      <c r="AD121" s="53" t="s">
        <v>20</v>
      </c>
    </row>
    <row r="122" spans="1:33" ht="15.75" customHeight="1" x14ac:dyDescent="0.25">
      <c r="A122" s="20">
        <v>13</v>
      </c>
      <c r="B122" s="37" t="s">
        <v>108</v>
      </c>
      <c r="C122" s="20">
        <v>3</v>
      </c>
      <c r="D122" s="20" t="s">
        <v>20</v>
      </c>
      <c r="E122" s="51" t="s">
        <v>19</v>
      </c>
      <c r="F122" s="51" t="s">
        <v>19</v>
      </c>
      <c r="G122" s="51" t="s">
        <v>19</v>
      </c>
      <c r="H122" s="51" t="s">
        <v>22</v>
      </c>
      <c r="I122" s="39" t="s">
        <v>19</v>
      </c>
      <c r="J122" s="39" t="s">
        <v>19</v>
      </c>
      <c r="K122" s="39" t="s">
        <v>19</v>
      </c>
      <c r="L122" s="51" t="s">
        <v>19</v>
      </c>
      <c r="M122" s="51" t="s">
        <v>19</v>
      </c>
      <c r="N122" s="51" t="s">
        <v>19</v>
      </c>
      <c r="O122" s="51" t="s">
        <v>20</v>
      </c>
      <c r="P122" s="51" t="s">
        <v>20</v>
      </c>
      <c r="Q122" s="51" t="s">
        <v>19</v>
      </c>
      <c r="R122" s="51" t="s">
        <v>19</v>
      </c>
      <c r="S122" s="51" t="s">
        <v>19</v>
      </c>
      <c r="T122" s="51" t="s">
        <v>19</v>
      </c>
      <c r="U122" s="54" t="s">
        <v>19</v>
      </c>
      <c r="V122" s="54" t="s">
        <v>19</v>
      </c>
      <c r="W122" s="54" t="s">
        <v>19</v>
      </c>
      <c r="X122" s="51" t="s">
        <v>20</v>
      </c>
      <c r="Y122" s="51" t="s">
        <v>20</v>
      </c>
      <c r="Z122" s="39" t="s">
        <v>20</v>
      </c>
      <c r="AA122" s="39" t="s">
        <v>19</v>
      </c>
      <c r="AB122" s="39" t="s">
        <v>20</v>
      </c>
      <c r="AC122" s="53" t="s">
        <v>59</v>
      </c>
      <c r="AD122" s="53" t="s">
        <v>59</v>
      </c>
    </row>
    <row r="123" spans="1:33" ht="15.75" customHeight="1" x14ac:dyDescent="0.25">
      <c r="A123" s="20">
        <v>14</v>
      </c>
      <c r="B123" s="37" t="s">
        <v>109</v>
      </c>
      <c r="C123" s="20">
        <v>3</v>
      </c>
      <c r="D123" s="20" t="s">
        <v>20</v>
      </c>
      <c r="E123" s="51" t="s">
        <v>20</v>
      </c>
      <c r="F123" s="51" t="s">
        <v>20</v>
      </c>
      <c r="G123" s="51" t="s">
        <v>19</v>
      </c>
      <c r="H123" s="51" t="s">
        <v>19</v>
      </c>
      <c r="I123" s="39" t="s">
        <v>19</v>
      </c>
      <c r="J123" s="39" t="s">
        <v>19</v>
      </c>
      <c r="K123" s="39" t="s">
        <v>20</v>
      </c>
      <c r="L123" s="51" t="s">
        <v>19</v>
      </c>
      <c r="M123" s="51" t="s">
        <v>19</v>
      </c>
      <c r="N123" s="51" t="s">
        <v>19</v>
      </c>
      <c r="O123" s="51" t="s">
        <v>21</v>
      </c>
      <c r="P123" s="51" t="s">
        <v>20</v>
      </c>
      <c r="Q123" s="51" t="s">
        <v>20</v>
      </c>
      <c r="R123" s="51" t="s">
        <v>19</v>
      </c>
      <c r="S123" s="51" t="s">
        <v>19</v>
      </c>
      <c r="T123" s="51" t="s">
        <v>20</v>
      </c>
      <c r="U123" s="54" t="s">
        <v>20</v>
      </c>
      <c r="V123" s="54" t="s">
        <v>19</v>
      </c>
      <c r="W123" s="54" t="s">
        <v>20</v>
      </c>
      <c r="X123" s="51" t="s">
        <v>20</v>
      </c>
      <c r="Y123" s="51" t="s">
        <v>20</v>
      </c>
      <c r="Z123" s="39" t="s">
        <v>20</v>
      </c>
      <c r="AA123" s="39" t="s">
        <v>20</v>
      </c>
      <c r="AB123" s="39" t="s">
        <v>19</v>
      </c>
      <c r="AC123" s="53" t="s">
        <v>20</v>
      </c>
      <c r="AD123" s="53" t="s">
        <v>20</v>
      </c>
    </row>
    <row r="124" spans="1:33" ht="15.75" customHeight="1" x14ac:dyDescent="0.25">
      <c r="A124" s="20">
        <v>15</v>
      </c>
      <c r="B124" s="37" t="s">
        <v>110</v>
      </c>
      <c r="C124" s="20">
        <v>3</v>
      </c>
      <c r="D124" s="20" t="s">
        <v>20</v>
      </c>
      <c r="E124" s="51" t="s">
        <v>21</v>
      </c>
      <c r="F124" s="51" t="s">
        <v>21</v>
      </c>
      <c r="G124" s="51" t="s">
        <v>21</v>
      </c>
      <c r="H124" s="51" t="s">
        <v>20</v>
      </c>
      <c r="I124" s="39" t="s">
        <v>20</v>
      </c>
      <c r="J124" s="39" t="s">
        <v>20</v>
      </c>
      <c r="K124" s="39" t="s">
        <v>20</v>
      </c>
      <c r="L124" s="51" t="s">
        <v>20</v>
      </c>
      <c r="M124" s="51" t="s">
        <v>20</v>
      </c>
      <c r="N124" s="51" t="s">
        <v>20</v>
      </c>
      <c r="O124" s="51" t="s">
        <v>21</v>
      </c>
      <c r="P124" s="51" t="s">
        <v>20</v>
      </c>
      <c r="Q124" s="51" t="s">
        <v>20</v>
      </c>
      <c r="R124" s="51" t="s">
        <v>21</v>
      </c>
      <c r="S124" s="51" t="s">
        <v>21</v>
      </c>
      <c r="T124" s="51" t="s">
        <v>19</v>
      </c>
      <c r="U124" s="54" t="s">
        <v>19</v>
      </c>
      <c r="V124" s="54" t="s">
        <v>19</v>
      </c>
      <c r="W124" s="54" t="s">
        <v>20</v>
      </c>
      <c r="X124" s="51" t="s">
        <v>21</v>
      </c>
      <c r="Y124" s="51" t="s">
        <v>20</v>
      </c>
      <c r="Z124" s="39" t="s">
        <v>20</v>
      </c>
      <c r="AA124" s="39" t="s">
        <v>20</v>
      </c>
      <c r="AB124" s="39" t="s">
        <v>20</v>
      </c>
      <c r="AC124" s="53" t="s">
        <v>21</v>
      </c>
      <c r="AD124" s="53" t="s">
        <v>20</v>
      </c>
    </row>
    <row r="125" spans="1:33" ht="15.75" customHeight="1" x14ac:dyDescent="0.25">
      <c r="A125" s="20">
        <v>16</v>
      </c>
      <c r="B125" s="37" t="s">
        <v>111</v>
      </c>
      <c r="C125" s="20">
        <v>3</v>
      </c>
      <c r="D125" s="20" t="s">
        <v>20</v>
      </c>
      <c r="E125" s="51" t="s">
        <v>21</v>
      </c>
      <c r="F125" s="51" t="s">
        <v>21</v>
      </c>
      <c r="G125" s="51" t="s">
        <v>20</v>
      </c>
      <c r="H125" s="51" t="s">
        <v>20</v>
      </c>
      <c r="I125" s="39" t="s">
        <v>20</v>
      </c>
      <c r="J125" s="39" t="s">
        <v>20</v>
      </c>
      <c r="K125" s="39" t="s">
        <v>20</v>
      </c>
      <c r="L125" s="51" t="s">
        <v>20</v>
      </c>
      <c r="M125" s="51" t="s">
        <v>19</v>
      </c>
      <c r="N125" s="51" t="s">
        <v>20</v>
      </c>
      <c r="O125" s="51" t="s">
        <v>20</v>
      </c>
      <c r="P125" s="51" t="s">
        <v>19</v>
      </c>
      <c r="Q125" s="51" t="s">
        <v>20</v>
      </c>
      <c r="R125" s="51" t="s">
        <v>21</v>
      </c>
      <c r="S125" s="51" t="s">
        <v>20</v>
      </c>
      <c r="T125" s="51" t="s">
        <v>19</v>
      </c>
      <c r="U125" s="54" t="s">
        <v>20</v>
      </c>
      <c r="V125" s="54" t="s">
        <v>19</v>
      </c>
      <c r="W125" s="54" t="s">
        <v>20</v>
      </c>
      <c r="X125" s="51" t="s">
        <v>21</v>
      </c>
      <c r="Y125" s="51" t="s">
        <v>20</v>
      </c>
      <c r="Z125" s="39" t="s">
        <v>20</v>
      </c>
      <c r="AA125" s="39" t="s">
        <v>20</v>
      </c>
      <c r="AB125" s="39" t="s">
        <v>20</v>
      </c>
      <c r="AC125" s="53" t="s">
        <v>21</v>
      </c>
      <c r="AD125" s="53" t="s">
        <v>20</v>
      </c>
    </row>
    <row r="126" spans="1:33" ht="15.75" customHeight="1" x14ac:dyDescent="0.25">
      <c r="A126" s="20">
        <v>17</v>
      </c>
      <c r="B126" s="37" t="s">
        <v>112</v>
      </c>
      <c r="C126" s="20">
        <v>3</v>
      </c>
      <c r="D126" s="20" t="s">
        <v>20</v>
      </c>
      <c r="E126" s="51" t="s">
        <v>20</v>
      </c>
      <c r="F126" s="51" t="s">
        <v>20</v>
      </c>
      <c r="G126" s="51" t="s">
        <v>20</v>
      </c>
      <c r="H126" s="51" t="s">
        <v>20</v>
      </c>
      <c r="I126" s="39" t="s">
        <v>20</v>
      </c>
      <c r="J126" s="39" t="s">
        <v>20</v>
      </c>
      <c r="K126" s="39" t="s">
        <v>20</v>
      </c>
      <c r="L126" s="51" t="s">
        <v>19</v>
      </c>
      <c r="M126" s="51" t="s">
        <v>19</v>
      </c>
      <c r="N126" s="51" t="s">
        <v>19</v>
      </c>
      <c r="O126" s="51" t="s">
        <v>20</v>
      </c>
      <c r="P126" s="51" t="s">
        <v>20</v>
      </c>
      <c r="Q126" s="51" t="s">
        <v>20</v>
      </c>
      <c r="R126" s="51" t="s">
        <v>19</v>
      </c>
      <c r="S126" s="51" t="s">
        <v>19</v>
      </c>
      <c r="T126" s="51" t="s">
        <v>19</v>
      </c>
      <c r="U126" s="54" t="s">
        <v>20</v>
      </c>
      <c r="V126" s="54" t="s">
        <v>19</v>
      </c>
      <c r="W126" s="54" t="s">
        <v>20</v>
      </c>
      <c r="X126" s="51" t="s">
        <v>19</v>
      </c>
      <c r="Y126" s="51" t="s">
        <v>19</v>
      </c>
      <c r="Z126" s="39" t="s">
        <v>20</v>
      </c>
      <c r="AA126" s="39" t="s">
        <v>19</v>
      </c>
      <c r="AB126" s="39" t="s">
        <v>20</v>
      </c>
      <c r="AC126" s="53" t="s">
        <v>19</v>
      </c>
      <c r="AD126" s="53" t="s">
        <v>20</v>
      </c>
    </row>
    <row r="127" spans="1:33" ht="15.75" customHeight="1" x14ac:dyDescent="0.25">
      <c r="A127" s="20">
        <v>18</v>
      </c>
      <c r="B127" s="37" t="s">
        <v>113</v>
      </c>
      <c r="C127" s="20">
        <v>3</v>
      </c>
      <c r="D127" s="20" t="s">
        <v>20</v>
      </c>
      <c r="E127" s="51" t="s">
        <v>20</v>
      </c>
      <c r="F127" s="51" t="s">
        <v>20</v>
      </c>
      <c r="G127" s="51" t="s">
        <v>19</v>
      </c>
      <c r="H127" s="51" t="s">
        <v>20</v>
      </c>
      <c r="I127" s="39" t="s">
        <v>19</v>
      </c>
      <c r="J127" s="39" t="s">
        <v>19</v>
      </c>
      <c r="K127" s="39" t="s">
        <v>19</v>
      </c>
      <c r="L127" s="51" t="s">
        <v>20</v>
      </c>
      <c r="M127" s="51" t="s">
        <v>19</v>
      </c>
      <c r="N127" s="51" t="s">
        <v>20</v>
      </c>
      <c r="O127" s="51" t="s">
        <v>20</v>
      </c>
      <c r="P127" s="51" t="s">
        <v>20</v>
      </c>
      <c r="Q127" s="51" t="s">
        <v>19</v>
      </c>
      <c r="R127" s="51" t="s">
        <v>19</v>
      </c>
      <c r="S127" s="51" t="s">
        <v>19</v>
      </c>
      <c r="T127" s="51" t="s">
        <v>19</v>
      </c>
      <c r="U127" s="54" t="s">
        <v>19</v>
      </c>
      <c r="V127" s="54" t="s">
        <v>19</v>
      </c>
      <c r="W127" s="54" t="s">
        <v>19</v>
      </c>
      <c r="X127" s="51" t="s">
        <v>19</v>
      </c>
      <c r="Y127" s="51" t="s">
        <v>20</v>
      </c>
      <c r="Z127" s="39" t="s">
        <v>19</v>
      </c>
      <c r="AA127" s="39" t="s">
        <v>20</v>
      </c>
      <c r="AB127" s="39" t="s">
        <v>19</v>
      </c>
      <c r="AC127" s="53" t="s">
        <v>19</v>
      </c>
      <c r="AD127" s="53" t="s">
        <v>20</v>
      </c>
    </row>
    <row r="128" spans="1:33" ht="15.75" customHeight="1" x14ac:dyDescent="0.25">
      <c r="A128" s="20">
        <v>19</v>
      </c>
      <c r="B128" s="37" t="s">
        <v>114</v>
      </c>
      <c r="C128" s="20">
        <v>3</v>
      </c>
      <c r="D128" s="20" t="s">
        <v>20</v>
      </c>
      <c r="E128" s="51" t="s">
        <v>20</v>
      </c>
      <c r="F128" s="51" t="s">
        <v>20</v>
      </c>
      <c r="G128" s="51" t="s">
        <v>20</v>
      </c>
      <c r="H128" s="51" t="s">
        <v>20</v>
      </c>
      <c r="I128" s="39" t="s">
        <v>20</v>
      </c>
      <c r="J128" s="39" t="s">
        <v>20</v>
      </c>
      <c r="K128" s="39" t="s">
        <v>20</v>
      </c>
      <c r="L128" s="51" t="s">
        <v>20</v>
      </c>
      <c r="M128" s="51" t="s">
        <v>19</v>
      </c>
      <c r="N128" s="51" t="s">
        <v>20</v>
      </c>
      <c r="O128" s="51" t="s">
        <v>20</v>
      </c>
      <c r="P128" s="51" t="s">
        <v>20</v>
      </c>
      <c r="Q128" s="51" t="s">
        <v>21</v>
      </c>
      <c r="R128" s="51" t="s">
        <v>20</v>
      </c>
      <c r="S128" s="51" t="s">
        <v>19</v>
      </c>
      <c r="T128" s="51" t="s">
        <v>20</v>
      </c>
      <c r="U128" s="54" t="s">
        <v>20</v>
      </c>
      <c r="V128" s="54" t="s">
        <v>19</v>
      </c>
      <c r="W128" s="54" t="s">
        <v>20</v>
      </c>
      <c r="X128" s="51" t="s">
        <v>19</v>
      </c>
      <c r="Y128" s="51" t="s">
        <v>19</v>
      </c>
      <c r="Z128" s="39" t="s">
        <v>20</v>
      </c>
      <c r="AA128" s="39" t="s">
        <v>20</v>
      </c>
      <c r="AB128" s="39" t="s">
        <v>21</v>
      </c>
      <c r="AC128" s="53" t="s">
        <v>19</v>
      </c>
      <c r="AD128" s="53" t="s">
        <v>20</v>
      </c>
    </row>
    <row r="129" spans="1:33" ht="15.75" customHeight="1" x14ac:dyDescent="0.25">
      <c r="A129" s="20">
        <v>20</v>
      </c>
      <c r="B129" s="37" t="s">
        <v>115</v>
      </c>
      <c r="C129" s="20">
        <v>3</v>
      </c>
      <c r="D129" s="20" t="s">
        <v>20</v>
      </c>
      <c r="E129" s="51" t="s">
        <v>19</v>
      </c>
      <c r="F129" s="51" t="s">
        <v>19</v>
      </c>
      <c r="G129" s="51" t="s">
        <v>19</v>
      </c>
      <c r="H129" s="51" t="s">
        <v>19</v>
      </c>
      <c r="I129" s="39" t="s">
        <v>20</v>
      </c>
      <c r="J129" s="39" t="s">
        <v>20</v>
      </c>
      <c r="K129" s="39" t="s">
        <v>20</v>
      </c>
      <c r="L129" s="51" t="s">
        <v>19</v>
      </c>
      <c r="M129" s="51" t="s">
        <v>19</v>
      </c>
      <c r="N129" s="51" t="s">
        <v>19</v>
      </c>
      <c r="O129" s="51" t="s">
        <v>20</v>
      </c>
      <c r="P129" s="51" t="s">
        <v>19</v>
      </c>
      <c r="Q129" s="51" t="s">
        <v>20</v>
      </c>
      <c r="R129" s="51" t="s">
        <v>19</v>
      </c>
      <c r="S129" s="51" t="s">
        <v>19</v>
      </c>
      <c r="T129" s="51" t="s">
        <v>19</v>
      </c>
      <c r="U129" s="54" t="s">
        <v>20</v>
      </c>
      <c r="V129" s="54" t="s">
        <v>19</v>
      </c>
      <c r="W129" s="54" t="s">
        <v>20</v>
      </c>
      <c r="X129" s="51" t="s">
        <v>20</v>
      </c>
      <c r="Y129" s="51" t="s">
        <v>19</v>
      </c>
      <c r="Z129" s="39" t="s">
        <v>20</v>
      </c>
      <c r="AA129" s="39" t="s">
        <v>20</v>
      </c>
      <c r="AB129" s="39" t="s">
        <v>20</v>
      </c>
      <c r="AC129" s="53" t="s">
        <v>19</v>
      </c>
      <c r="AD129" s="53" t="s">
        <v>20</v>
      </c>
    </row>
    <row r="130" spans="1:33" ht="15.75" customHeight="1" thickBot="1" x14ac:dyDescent="0.3">
      <c r="A130" s="21">
        <v>21</v>
      </c>
      <c r="B130" s="38" t="s">
        <v>116</v>
      </c>
      <c r="C130" s="21">
        <v>3</v>
      </c>
      <c r="D130" s="21" t="s">
        <v>20</v>
      </c>
      <c r="E130" s="87" t="s">
        <v>19</v>
      </c>
      <c r="F130" s="87" t="s">
        <v>19</v>
      </c>
      <c r="G130" s="87" t="s">
        <v>20</v>
      </c>
      <c r="H130" s="87" t="s">
        <v>19</v>
      </c>
      <c r="I130" s="41" t="s">
        <v>19</v>
      </c>
      <c r="J130" s="41" t="s">
        <v>19</v>
      </c>
      <c r="K130" s="41" t="s">
        <v>20</v>
      </c>
      <c r="L130" s="87" t="s">
        <v>20</v>
      </c>
      <c r="M130" s="87" t="s">
        <v>20</v>
      </c>
      <c r="N130" s="87" t="s">
        <v>20</v>
      </c>
      <c r="O130" s="87" t="s">
        <v>20</v>
      </c>
      <c r="P130" s="87" t="s">
        <v>20</v>
      </c>
      <c r="Q130" s="87" t="s">
        <v>20</v>
      </c>
      <c r="R130" s="87" t="s">
        <v>19</v>
      </c>
      <c r="S130" s="87" t="s">
        <v>19</v>
      </c>
      <c r="T130" s="87" t="s">
        <v>20</v>
      </c>
      <c r="U130" s="100" t="s">
        <v>20</v>
      </c>
      <c r="V130" s="100" t="s">
        <v>20</v>
      </c>
      <c r="W130" s="100" t="s">
        <v>20</v>
      </c>
      <c r="X130" s="87" t="s">
        <v>19</v>
      </c>
      <c r="Y130" s="87" t="s">
        <v>19</v>
      </c>
      <c r="Z130" s="41" t="s">
        <v>20</v>
      </c>
      <c r="AA130" s="41" t="s">
        <v>20</v>
      </c>
      <c r="AB130" s="41" t="s">
        <v>20</v>
      </c>
      <c r="AC130" s="96" t="s">
        <v>19</v>
      </c>
      <c r="AD130" s="96" t="s">
        <v>20</v>
      </c>
    </row>
    <row r="131" spans="1:33" ht="15.75" customHeight="1" x14ac:dyDescent="0.25">
      <c r="A131" s="97">
        <v>1</v>
      </c>
      <c r="B131" s="98" t="s">
        <v>117</v>
      </c>
      <c r="C131" s="97">
        <v>4</v>
      </c>
      <c r="D131" s="97" t="s">
        <v>19</v>
      </c>
      <c r="E131" s="83" t="s">
        <v>19</v>
      </c>
      <c r="F131" s="83" t="s">
        <v>19</v>
      </c>
      <c r="G131" s="83" t="s">
        <v>19</v>
      </c>
      <c r="H131" s="83" t="s">
        <v>19</v>
      </c>
      <c r="I131" s="101" t="s">
        <v>19</v>
      </c>
      <c r="J131" s="101" t="s">
        <v>19</v>
      </c>
      <c r="K131" s="101" t="s">
        <v>20</v>
      </c>
      <c r="L131" s="83" t="s">
        <v>19</v>
      </c>
      <c r="M131" s="83" t="s">
        <v>19</v>
      </c>
      <c r="N131" s="83" t="s">
        <v>19</v>
      </c>
      <c r="O131" s="83" t="s">
        <v>19</v>
      </c>
      <c r="P131" s="83" t="s">
        <v>19</v>
      </c>
      <c r="Q131" s="83" t="s">
        <v>19</v>
      </c>
      <c r="R131" s="83" t="s">
        <v>19</v>
      </c>
      <c r="S131" s="83" t="s">
        <v>20</v>
      </c>
      <c r="T131" s="83" t="s">
        <v>20</v>
      </c>
      <c r="U131" s="99" t="s">
        <v>19</v>
      </c>
      <c r="V131" s="99" t="s">
        <v>19</v>
      </c>
      <c r="W131" s="99" t="s">
        <v>19</v>
      </c>
      <c r="X131" s="83" t="s">
        <v>19</v>
      </c>
      <c r="Y131" s="83" t="s">
        <v>19</v>
      </c>
      <c r="Z131" s="86" t="s">
        <v>20</v>
      </c>
      <c r="AA131" s="86" t="s">
        <v>19</v>
      </c>
      <c r="AB131" s="86" t="s">
        <v>20</v>
      </c>
      <c r="AC131" s="94" t="s">
        <v>20</v>
      </c>
      <c r="AD131" s="94" t="s">
        <v>20</v>
      </c>
    </row>
    <row r="132" spans="1:33" ht="15.75" customHeight="1" x14ac:dyDescent="0.25">
      <c r="A132" s="89">
        <v>2</v>
      </c>
      <c r="B132" s="90" t="s">
        <v>118</v>
      </c>
      <c r="C132" s="89">
        <v>4</v>
      </c>
      <c r="D132" s="89" t="s">
        <v>19</v>
      </c>
      <c r="E132" s="51" t="s">
        <v>19</v>
      </c>
      <c r="F132" s="51" t="s">
        <v>19</v>
      </c>
      <c r="G132" s="51" t="s">
        <v>19</v>
      </c>
      <c r="H132" s="51" t="s">
        <v>19</v>
      </c>
      <c r="I132" s="75" t="s">
        <v>22</v>
      </c>
      <c r="J132" s="75" t="s">
        <v>19</v>
      </c>
      <c r="K132" s="75" t="s">
        <v>19</v>
      </c>
      <c r="L132" s="51" t="s">
        <v>20</v>
      </c>
      <c r="M132" s="51" t="s">
        <v>19</v>
      </c>
      <c r="N132" s="51" t="s">
        <v>19</v>
      </c>
      <c r="O132" s="51" t="s">
        <v>19</v>
      </c>
      <c r="P132" s="51" t="s">
        <v>19</v>
      </c>
      <c r="Q132" s="51" t="s">
        <v>19</v>
      </c>
      <c r="R132" s="51" t="s">
        <v>19</v>
      </c>
      <c r="S132" s="51" t="s">
        <v>19</v>
      </c>
      <c r="T132" s="51" t="s">
        <v>19</v>
      </c>
      <c r="U132" s="54" t="s">
        <v>19</v>
      </c>
      <c r="V132" s="54" t="s">
        <v>19</v>
      </c>
      <c r="W132" s="54" t="s">
        <v>19</v>
      </c>
      <c r="X132" s="51" t="s">
        <v>19</v>
      </c>
      <c r="Y132" s="51" t="s">
        <v>20</v>
      </c>
      <c r="Z132" s="39" t="s">
        <v>19</v>
      </c>
      <c r="AA132" s="39" t="s">
        <v>19</v>
      </c>
      <c r="AB132" s="39" t="s">
        <v>20</v>
      </c>
      <c r="AC132" s="53" t="s">
        <v>19</v>
      </c>
      <c r="AD132" s="53" t="s">
        <v>20</v>
      </c>
    </row>
    <row r="133" spans="1:33" ht="15.75" customHeight="1" x14ac:dyDescent="0.25">
      <c r="A133" s="89">
        <v>3</v>
      </c>
      <c r="B133" s="90" t="s">
        <v>119</v>
      </c>
      <c r="C133" s="89">
        <v>4</v>
      </c>
      <c r="D133" s="89" t="s">
        <v>19</v>
      </c>
      <c r="E133" s="51" t="s">
        <v>21</v>
      </c>
      <c r="F133" s="51" t="s">
        <v>20</v>
      </c>
      <c r="G133" s="51" t="s">
        <v>21</v>
      </c>
      <c r="H133" s="51" t="s">
        <v>20</v>
      </c>
      <c r="I133" s="75" t="s">
        <v>20</v>
      </c>
      <c r="J133" s="75" t="s">
        <v>20</v>
      </c>
      <c r="K133" s="75" t="s">
        <v>20</v>
      </c>
      <c r="L133" s="51" t="s">
        <v>20</v>
      </c>
      <c r="M133" s="51" t="s">
        <v>19</v>
      </c>
      <c r="N133" s="51" t="s">
        <v>19</v>
      </c>
      <c r="O133" s="51" t="s">
        <v>20</v>
      </c>
      <c r="P133" s="51" t="s">
        <v>20</v>
      </c>
      <c r="Q133" s="51" t="s">
        <v>20</v>
      </c>
      <c r="R133" s="51" t="s">
        <v>19</v>
      </c>
      <c r="S133" s="51" t="s">
        <v>19</v>
      </c>
      <c r="T133" s="51" t="s">
        <v>20</v>
      </c>
      <c r="U133" s="54" t="s">
        <v>19</v>
      </c>
      <c r="V133" s="57" t="s">
        <v>20</v>
      </c>
      <c r="W133" s="54" t="s">
        <v>19</v>
      </c>
      <c r="X133" s="51" t="s">
        <v>20</v>
      </c>
      <c r="Y133" s="51" t="s">
        <v>21</v>
      </c>
      <c r="Z133" s="39" t="s">
        <v>20</v>
      </c>
      <c r="AA133" s="39" t="s">
        <v>20</v>
      </c>
      <c r="AB133" s="39" t="s">
        <v>20</v>
      </c>
      <c r="AC133" s="53" t="s">
        <v>20</v>
      </c>
      <c r="AD133" s="53" t="s">
        <v>20</v>
      </c>
    </row>
    <row r="134" spans="1:33" ht="15.75" customHeight="1" x14ac:dyDescent="0.25">
      <c r="A134" s="89">
        <v>4</v>
      </c>
      <c r="B134" s="90" t="s">
        <v>120</v>
      </c>
      <c r="C134" s="89">
        <v>4</v>
      </c>
      <c r="D134" s="89" t="s">
        <v>19</v>
      </c>
      <c r="E134" s="51" t="s">
        <v>20</v>
      </c>
      <c r="F134" s="51" t="s">
        <v>19</v>
      </c>
      <c r="G134" s="51" t="s">
        <v>20</v>
      </c>
      <c r="H134" s="51" t="s">
        <v>19</v>
      </c>
      <c r="I134" s="75" t="s">
        <v>19</v>
      </c>
      <c r="J134" s="75" t="s">
        <v>19</v>
      </c>
      <c r="K134" s="75" t="s">
        <v>20</v>
      </c>
      <c r="L134" s="51" t="s">
        <v>19</v>
      </c>
      <c r="M134" s="51" t="s">
        <v>19</v>
      </c>
      <c r="N134" s="51" t="s">
        <v>19</v>
      </c>
      <c r="O134" s="51" t="s">
        <v>20</v>
      </c>
      <c r="P134" s="51" t="s">
        <v>20</v>
      </c>
      <c r="Q134" s="51" t="s">
        <v>20</v>
      </c>
      <c r="R134" s="51" t="s">
        <v>19</v>
      </c>
      <c r="S134" s="51" t="s">
        <v>19</v>
      </c>
      <c r="T134" s="51" t="s">
        <v>20</v>
      </c>
      <c r="U134" s="54" t="s">
        <v>19</v>
      </c>
      <c r="V134" s="54" t="s">
        <v>19</v>
      </c>
      <c r="W134" s="54" t="s">
        <v>19</v>
      </c>
      <c r="X134" s="51" t="s">
        <v>19</v>
      </c>
      <c r="Y134" s="51" t="s">
        <v>19</v>
      </c>
      <c r="Z134" s="39" t="s">
        <v>20</v>
      </c>
      <c r="AA134" s="39" t="s">
        <v>20</v>
      </c>
      <c r="AB134" s="39" t="s">
        <v>19</v>
      </c>
      <c r="AC134" s="58" t="s">
        <v>19</v>
      </c>
      <c r="AD134" s="58" t="s">
        <v>20</v>
      </c>
    </row>
    <row r="135" spans="1:33" ht="15.75" customHeight="1" x14ac:dyDescent="0.25">
      <c r="A135" s="89">
        <v>5</v>
      </c>
      <c r="B135" s="90" t="s">
        <v>256</v>
      </c>
      <c r="C135" s="89">
        <v>4</v>
      </c>
      <c r="D135" s="89" t="s">
        <v>19</v>
      </c>
      <c r="E135" s="51" t="s">
        <v>19</v>
      </c>
      <c r="F135" s="51" t="s">
        <v>20</v>
      </c>
      <c r="G135" s="51" t="s">
        <v>20</v>
      </c>
      <c r="H135" s="51" t="s">
        <v>19</v>
      </c>
      <c r="I135" s="75" t="s">
        <v>19</v>
      </c>
      <c r="J135" s="75" t="s">
        <v>19</v>
      </c>
      <c r="K135" s="75" t="s">
        <v>20</v>
      </c>
      <c r="L135" s="51" t="s">
        <v>20</v>
      </c>
      <c r="M135" s="51" t="s">
        <v>19</v>
      </c>
      <c r="N135" s="51" t="s">
        <v>19</v>
      </c>
      <c r="O135" s="51" t="s">
        <v>19</v>
      </c>
      <c r="P135" s="51" t="s">
        <v>19</v>
      </c>
      <c r="Q135" s="51" t="s">
        <v>19</v>
      </c>
      <c r="R135" s="51" t="s">
        <v>19</v>
      </c>
      <c r="S135" s="51" t="s">
        <v>19</v>
      </c>
      <c r="T135" s="51" t="s">
        <v>20</v>
      </c>
      <c r="U135" s="54" t="s">
        <v>19</v>
      </c>
      <c r="V135" s="54" t="s">
        <v>19</v>
      </c>
      <c r="W135" s="54" t="s">
        <v>19</v>
      </c>
      <c r="X135" s="51" t="s">
        <v>19</v>
      </c>
      <c r="Y135" s="51" t="s">
        <v>20</v>
      </c>
      <c r="Z135" s="39" t="s">
        <v>20</v>
      </c>
      <c r="AA135" s="39" t="s">
        <v>19</v>
      </c>
      <c r="AB135" s="39" t="s">
        <v>19</v>
      </c>
      <c r="AC135" s="53" t="s">
        <v>21</v>
      </c>
      <c r="AD135" s="53" t="s">
        <v>20</v>
      </c>
    </row>
    <row r="136" spans="1:33" ht="15.75" customHeight="1" x14ac:dyDescent="0.25">
      <c r="A136" s="89">
        <v>6</v>
      </c>
      <c r="B136" s="90" t="s">
        <v>257</v>
      </c>
      <c r="C136" s="89">
        <v>4</v>
      </c>
      <c r="D136" s="89" t="s">
        <v>19</v>
      </c>
      <c r="E136" s="51" t="s">
        <v>19</v>
      </c>
      <c r="F136" s="51" t="s">
        <v>20</v>
      </c>
      <c r="G136" s="51" t="s">
        <v>20</v>
      </c>
      <c r="H136" s="51" t="s">
        <v>19</v>
      </c>
      <c r="I136" s="75" t="s">
        <v>19</v>
      </c>
      <c r="J136" s="75" t="s">
        <v>19</v>
      </c>
      <c r="K136" s="75" t="s">
        <v>19</v>
      </c>
      <c r="L136" s="51" t="s">
        <v>19</v>
      </c>
      <c r="M136" s="51" t="s">
        <v>19</v>
      </c>
      <c r="N136" s="51" t="s">
        <v>19</v>
      </c>
      <c r="O136" s="51" t="s">
        <v>19</v>
      </c>
      <c r="P136" s="51" t="s">
        <v>20</v>
      </c>
      <c r="Q136" s="51" t="s">
        <v>19</v>
      </c>
      <c r="R136" s="51" t="s">
        <v>19</v>
      </c>
      <c r="S136" s="51" t="s">
        <v>19</v>
      </c>
      <c r="T136" s="51" t="s">
        <v>19</v>
      </c>
      <c r="U136" s="54" t="s">
        <v>19</v>
      </c>
      <c r="V136" s="54" t="s">
        <v>19</v>
      </c>
      <c r="W136" s="54" t="s">
        <v>19</v>
      </c>
      <c r="X136" s="51" t="s">
        <v>19</v>
      </c>
      <c r="Y136" s="51" t="s">
        <v>19</v>
      </c>
      <c r="Z136" s="39" t="s">
        <v>19</v>
      </c>
      <c r="AA136" s="39" t="s">
        <v>19</v>
      </c>
      <c r="AB136" s="39" t="s">
        <v>19</v>
      </c>
      <c r="AC136" s="53" t="s">
        <v>19</v>
      </c>
      <c r="AD136" s="53" t="s">
        <v>20</v>
      </c>
    </row>
    <row r="137" spans="1:33" ht="15.75" customHeight="1" thickBot="1" x14ac:dyDescent="0.3">
      <c r="A137" s="89">
        <v>7</v>
      </c>
      <c r="B137" s="90" t="s">
        <v>121</v>
      </c>
      <c r="C137" s="89">
        <v>4</v>
      </c>
      <c r="D137" s="89" t="s">
        <v>19</v>
      </c>
      <c r="E137" s="51" t="s">
        <v>20</v>
      </c>
      <c r="F137" s="51" t="s">
        <v>20</v>
      </c>
      <c r="G137" s="51" t="s">
        <v>21</v>
      </c>
      <c r="H137" s="51" t="s">
        <v>21</v>
      </c>
      <c r="I137" s="75" t="s">
        <v>19</v>
      </c>
      <c r="J137" s="75" t="s">
        <v>19</v>
      </c>
      <c r="K137" s="75" t="s">
        <v>19</v>
      </c>
      <c r="L137" s="51" t="s">
        <v>19</v>
      </c>
      <c r="M137" s="51" t="s">
        <v>20</v>
      </c>
      <c r="N137" s="51" t="s">
        <v>20</v>
      </c>
      <c r="O137" s="51" t="s">
        <v>21</v>
      </c>
      <c r="P137" s="51" t="s">
        <v>20</v>
      </c>
      <c r="Q137" s="51" t="s">
        <v>21</v>
      </c>
      <c r="R137" s="51" t="s">
        <v>20</v>
      </c>
      <c r="S137" s="51" t="s">
        <v>19</v>
      </c>
      <c r="T137" s="51" t="s">
        <v>20</v>
      </c>
      <c r="U137" s="54" t="s">
        <v>19</v>
      </c>
      <c r="V137" s="54" t="s">
        <v>20</v>
      </c>
      <c r="W137" s="54" t="s">
        <v>19</v>
      </c>
      <c r="X137" s="51" t="s">
        <v>20</v>
      </c>
      <c r="Y137" s="51" t="s">
        <v>19</v>
      </c>
      <c r="Z137" s="39" t="s">
        <v>20</v>
      </c>
      <c r="AA137" s="39" t="s">
        <v>20</v>
      </c>
      <c r="AB137" s="39" t="s">
        <v>20</v>
      </c>
      <c r="AC137" s="53" t="s">
        <v>59</v>
      </c>
      <c r="AD137" s="53" t="s">
        <v>59</v>
      </c>
    </row>
    <row r="138" spans="1:33" ht="15.75" customHeight="1" x14ac:dyDescent="0.25">
      <c r="A138" s="89">
        <v>8</v>
      </c>
      <c r="B138" s="90" t="s">
        <v>122</v>
      </c>
      <c r="C138" s="89">
        <v>4</v>
      </c>
      <c r="D138" s="89" t="s">
        <v>19</v>
      </c>
      <c r="E138" s="51" t="s">
        <v>19</v>
      </c>
      <c r="F138" s="51" t="s">
        <v>19</v>
      </c>
      <c r="G138" s="51" t="s">
        <v>19</v>
      </c>
      <c r="H138" s="51" t="s">
        <v>19</v>
      </c>
      <c r="I138" s="75" t="s">
        <v>22</v>
      </c>
      <c r="J138" s="75" t="s">
        <v>19</v>
      </c>
      <c r="K138" s="75" t="s">
        <v>19</v>
      </c>
      <c r="L138" s="51" t="s">
        <v>19</v>
      </c>
      <c r="M138" s="51" t="s">
        <v>19</v>
      </c>
      <c r="N138" s="51" t="s">
        <v>19</v>
      </c>
      <c r="O138" s="51" t="s">
        <v>19</v>
      </c>
      <c r="P138" s="51" t="s">
        <v>19</v>
      </c>
      <c r="Q138" s="51" t="s">
        <v>19</v>
      </c>
      <c r="R138" s="51" t="s">
        <v>19</v>
      </c>
      <c r="S138" s="51" t="s">
        <v>19</v>
      </c>
      <c r="T138" s="51" t="s">
        <v>20</v>
      </c>
      <c r="U138" s="54" t="s">
        <v>19</v>
      </c>
      <c r="V138" s="54" t="s">
        <v>19</v>
      </c>
      <c r="W138" s="54" t="s">
        <v>19</v>
      </c>
      <c r="X138" s="51" t="s">
        <v>19</v>
      </c>
      <c r="Y138" s="51" t="s">
        <v>19</v>
      </c>
      <c r="Z138" s="39" t="s">
        <v>19</v>
      </c>
      <c r="AA138" s="39" t="s">
        <v>19</v>
      </c>
      <c r="AB138" s="39" t="s">
        <v>19</v>
      </c>
      <c r="AC138" s="53" t="s">
        <v>19</v>
      </c>
      <c r="AD138" s="53" t="s">
        <v>20</v>
      </c>
      <c r="AF138" s="29" t="s">
        <v>22</v>
      </c>
      <c r="AG138" s="17">
        <f>COUNTIF(E131:AD153,"AD")</f>
        <v>6</v>
      </c>
    </row>
    <row r="139" spans="1:33" ht="15.75" customHeight="1" x14ac:dyDescent="0.25">
      <c r="A139" s="89">
        <v>9</v>
      </c>
      <c r="B139" s="90" t="s">
        <v>123</v>
      </c>
      <c r="C139" s="89">
        <v>4</v>
      </c>
      <c r="D139" s="89" t="s">
        <v>19</v>
      </c>
      <c r="E139" s="51" t="s">
        <v>21</v>
      </c>
      <c r="F139" s="51" t="s">
        <v>20</v>
      </c>
      <c r="G139" s="51" t="s">
        <v>20</v>
      </c>
      <c r="H139" s="51" t="s">
        <v>20</v>
      </c>
      <c r="I139" s="75" t="s">
        <v>19</v>
      </c>
      <c r="J139" s="75" t="s">
        <v>19</v>
      </c>
      <c r="K139" s="75" t="s">
        <v>20</v>
      </c>
      <c r="L139" s="51" t="s">
        <v>19</v>
      </c>
      <c r="M139" s="51" t="s">
        <v>19</v>
      </c>
      <c r="N139" s="51" t="s">
        <v>19</v>
      </c>
      <c r="O139" s="51" t="s">
        <v>19</v>
      </c>
      <c r="P139" s="51" t="s">
        <v>19</v>
      </c>
      <c r="Q139" s="51" t="s">
        <v>19</v>
      </c>
      <c r="R139" s="51" t="s">
        <v>19</v>
      </c>
      <c r="S139" s="51" t="s">
        <v>19</v>
      </c>
      <c r="T139" s="51" t="s">
        <v>20</v>
      </c>
      <c r="U139" s="54" t="s">
        <v>19</v>
      </c>
      <c r="V139" s="54" t="s">
        <v>19</v>
      </c>
      <c r="W139" s="54" t="s">
        <v>19</v>
      </c>
      <c r="X139" s="51" t="s">
        <v>19</v>
      </c>
      <c r="Y139" s="51" t="s">
        <v>20</v>
      </c>
      <c r="Z139" s="39" t="s">
        <v>20</v>
      </c>
      <c r="AA139" s="39" t="s">
        <v>20</v>
      </c>
      <c r="AB139" s="39" t="s">
        <v>21</v>
      </c>
      <c r="AC139" s="51" t="s">
        <v>19</v>
      </c>
      <c r="AD139" s="51" t="s">
        <v>20</v>
      </c>
      <c r="AF139" s="30" t="s">
        <v>19</v>
      </c>
      <c r="AG139" s="18">
        <f>COUNTIF(E131:AD153,"A")</f>
        <v>312</v>
      </c>
    </row>
    <row r="140" spans="1:33" ht="15.75" customHeight="1" x14ac:dyDescent="0.25">
      <c r="A140" s="89">
        <v>10</v>
      </c>
      <c r="B140" s="90" t="s">
        <v>124</v>
      </c>
      <c r="C140" s="89">
        <v>4</v>
      </c>
      <c r="D140" s="89" t="s">
        <v>19</v>
      </c>
      <c r="E140" s="51" t="s">
        <v>20</v>
      </c>
      <c r="F140" s="51" t="s">
        <v>21</v>
      </c>
      <c r="G140" s="51" t="s">
        <v>20</v>
      </c>
      <c r="H140" s="51" t="s">
        <v>21</v>
      </c>
      <c r="I140" s="75" t="s">
        <v>19</v>
      </c>
      <c r="J140" s="75" t="s">
        <v>20</v>
      </c>
      <c r="K140" s="75" t="s">
        <v>20</v>
      </c>
      <c r="L140" s="51" t="s">
        <v>20</v>
      </c>
      <c r="M140" s="51" t="s">
        <v>20</v>
      </c>
      <c r="N140" s="51" t="s">
        <v>19</v>
      </c>
      <c r="O140" s="51" t="s">
        <v>20</v>
      </c>
      <c r="P140" s="51" t="s">
        <v>20</v>
      </c>
      <c r="Q140" s="51" t="s">
        <v>20</v>
      </c>
      <c r="R140" s="51" t="s">
        <v>20</v>
      </c>
      <c r="S140" s="51" t="s">
        <v>19</v>
      </c>
      <c r="T140" s="51" t="s">
        <v>19</v>
      </c>
      <c r="U140" s="54" t="s">
        <v>19</v>
      </c>
      <c r="V140" s="54" t="s">
        <v>19</v>
      </c>
      <c r="W140" s="54" t="s">
        <v>19</v>
      </c>
      <c r="X140" s="51" t="s">
        <v>19</v>
      </c>
      <c r="Y140" s="51" t="s">
        <v>20</v>
      </c>
      <c r="Z140" s="39" t="s">
        <v>19</v>
      </c>
      <c r="AA140" s="39" t="s">
        <v>19</v>
      </c>
      <c r="AB140" s="39" t="s">
        <v>19</v>
      </c>
      <c r="AC140" s="51" t="s">
        <v>21</v>
      </c>
      <c r="AD140" s="51" t="s">
        <v>20</v>
      </c>
      <c r="AF140" s="30" t="s">
        <v>20</v>
      </c>
      <c r="AG140" s="18">
        <f>COUNTIF(E131:AD153,"B")</f>
        <v>241</v>
      </c>
    </row>
    <row r="141" spans="1:33" ht="15.75" customHeight="1" thickBot="1" x14ac:dyDescent="0.3">
      <c r="A141" s="89">
        <v>11</v>
      </c>
      <c r="B141" s="90" t="s">
        <v>125</v>
      </c>
      <c r="C141" s="89">
        <v>4</v>
      </c>
      <c r="D141" s="89" t="s">
        <v>19</v>
      </c>
      <c r="E141" s="51" t="s">
        <v>21</v>
      </c>
      <c r="F141" s="51" t="s">
        <v>21</v>
      </c>
      <c r="G141" s="51" t="s">
        <v>21</v>
      </c>
      <c r="H141" s="51" t="s">
        <v>20</v>
      </c>
      <c r="I141" s="75" t="s">
        <v>19</v>
      </c>
      <c r="J141" s="75" t="s">
        <v>20</v>
      </c>
      <c r="K141" s="75" t="s">
        <v>20</v>
      </c>
      <c r="L141" s="51" t="s">
        <v>20</v>
      </c>
      <c r="M141" s="51" t="s">
        <v>20</v>
      </c>
      <c r="N141" s="51" t="s">
        <v>20</v>
      </c>
      <c r="O141" s="51" t="s">
        <v>20</v>
      </c>
      <c r="P141" s="51" t="s">
        <v>20</v>
      </c>
      <c r="Q141" s="51" t="s">
        <v>20</v>
      </c>
      <c r="R141" s="51" t="s">
        <v>19</v>
      </c>
      <c r="S141" s="51" t="s">
        <v>20</v>
      </c>
      <c r="T141" s="51" t="s">
        <v>19</v>
      </c>
      <c r="U141" s="54" t="s">
        <v>19</v>
      </c>
      <c r="V141" s="54" t="s">
        <v>19</v>
      </c>
      <c r="W141" s="54" t="s">
        <v>19</v>
      </c>
      <c r="X141" s="51" t="s">
        <v>20</v>
      </c>
      <c r="Y141" s="51" t="s">
        <v>20</v>
      </c>
      <c r="Z141" s="39" t="s">
        <v>20</v>
      </c>
      <c r="AA141" s="39" t="s">
        <v>20</v>
      </c>
      <c r="AB141" s="39" t="s">
        <v>21</v>
      </c>
      <c r="AC141" s="51" t="s">
        <v>21</v>
      </c>
      <c r="AD141" s="51" t="s">
        <v>20</v>
      </c>
      <c r="AF141" s="31" t="s">
        <v>21</v>
      </c>
      <c r="AG141" s="19">
        <f>COUNTIF(E131:AD153,"C")</f>
        <v>37</v>
      </c>
    </row>
    <row r="142" spans="1:33" ht="15.75" customHeight="1" x14ac:dyDescent="0.25">
      <c r="A142" s="89">
        <v>12</v>
      </c>
      <c r="B142" s="90" t="s">
        <v>258</v>
      </c>
      <c r="C142" s="89">
        <v>4</v>
      </c>
      <c r="D142" s="89" t="s">
        <v>19</v>
      </c>
      <c r="E142" s="51" t="s">
        <v>21</v>
      </c>
      <c r="F142" s="51" t="s">
        <v>21</v>
      </c>
      <c r="G142" s="51" t="s">
        <v>21</v>
      </c>
      <c r="H142" s="51" t="s">
        <v>20</v>
      </c>
      <c r="I142" s="75" t="s">
        <v>20</v>
      </c>
      <c r="J142" s="75" t="s">
        <v>20</v>
      </c>
      <c r="K142" s="75" t="s">
        <v>20</v>
      </c>
      <c r="L142" s="51" t="s">
        <v>20</v>
      </c>
      <c r="M142" s="51" t="s">
        <v>19</v>
      </c>
      <c r="N142" s="51" t="s">
        <v>20</v>
      </c>
      <c r="O142" s="51" t="s">
        <v>20</v>
      </c>
      <c r="P142" s="51" t="s">
        <v>20</v>
      </c>
      <c r="Q142" s="51" t="s">
        <v>20</v>
      </c>
      <c r="R142" s="51" t="s">
        <v>20</v>
      </c>
      <c r="S142" s="51" t="s">
        <v>20</v>
      </c>
      <c r="T142" s="51" t="s">
        <v>20</v>
      </c>
      <c r="U142" s="54" t="s">
        <v>19</v>
      </c>
      <c r="V142" s="54" t="s">
        <v>19</v>
      </c>
      <c r="W142" s="54" t="s">
        <v>20</v>
      </c>
      <c r="X142" s="51" t="s">
        <v>20</v>
      </c>
      <c r="Y142" s="51" t="s">
        <v>20</v>
      </c>
      <c r="Z142" s="39" t="s">
        <v>20</v>
      </c>
      <c r="AA142" s="39" t="s">
        <v>20</v>
      </c>
      <c r="AB142" s="39" t="s">
        <v>21</v>
      </c>
      <c r="AC142" s="51" t="s">
        <v>21</v>
      </c>
      <c r="AD142" s="51" t="s">
        <v>20</v>
      </c>
    </row>
    <row r="143" spans="1:33" ht="15.75" customHeight="1" x14ac:dyDescent="0.25">
      <c r="A143" s="89">
        <v>13</v>
      </c>
      <c r="B143" s="90" t="s">
        <v>126</v>
      </c>
      <c r="C143" s="89">
        <v>4</v>
      </c>
      <c r="D143" s="89" t="s">
        <v>19</v>
      </c>
      <c r="E143" s="51" t="s">
        <v>20</v>
      </c>
      <c r="F143" s="51" t="s">
        <v>20</v>
      </c>
      <c r="G143" s="51" t="s">
        <v>20</v>
      </c>
      <c r="H143" s="51" t="s">
        <v>20</v>
      </c>
      <c r="I143" s="75" t="s">
        <v>20</v>
      </c>
      <c r="J143" s="75" t="s">
        <v>20</v>
      </c>
      <c r="K143" s="75" t="s">
        <v>20</v>
      </c>
      <c r="L143" s="51" t="s">
        <v>21</v>
      </c>
      <c r="M143" s="51" t="s">
        <v>21</v>
      </c>
      <c r="N143" s="51" t="s">
        <v>20</v>
      </c>
      <c r="O143" s="51" t="s">
        <v>19</v>
      </c>
      <c r="P143" s="51" t="s">
        <v>20</v>
      </c>
      <c r="Q143" s="51" t="s">
        <v>20</v>
      </c>
      <c r="R143" s="51" t="s">
        <v>19</v>
      </c>
      <c r="S143" s="51" t="s">
        <v>20</v>
      </c>
      <c r="T143" s="51" t="s">
        <v>19</v>
      </c>
      <c r="U143" s="54" t="s">
        <v>20</v>
      </c>
      <c r="V143" s="54" t="s">
        <v>20</v>
      </c>
      <c r="W143" s="54" t="s">
        <v>20</v>
      </c>
      <c r="X143" s="51" t="s">
        <v>20</v>
      </c>
      <c r="Y143" s="51" t="s">
        <v>20</v>
      </c>
      <c r="Z143" s="39" t="s">
        <v>20</v>
      </c>
      <c r="AA143" s="39" t="s">
        <v>20</v>
      </c>
      <c r="AB143" s="39" t="s">
        <v>21</v>
      </c>
      <c r="AC143" s="51" t="s">
        <v>21</v>
      </c>
      <c r="AD143" s="51" t="s">
        <v>20</v>
      </c>
    </row>
    <row r="144" spans="1:33" ht="15.75" customHeight="1" x14ac:dyDescent="0.25">
      <c r="A144" s="89">
        <v>14</v>
      </c>
      <c r="B144" s="90" t="s">
        <v>127</v>
      </c>
      <c r="C144" s="89">
        <v>4</v>
      </c>
      <c r="D144" s="89" t="s">
        <v>19</v>
      </c>
      <c r="E144" s="51" t="s">
        <v>19</v>
      </c>
      <c r="F144" s="51" t="s">
        <v>19</v>
      </c>
      <c r="G144" s="51" t="s">
        <v>19</v>
      </c>
      <c r="H144" s="51" t="s">
        <v>19</v>
      </c>
      <c r="I144" s="75" t="s">
        <v>19</v>
      </c>
      <c r="J144" s="75" t="s">
        <v>19</v>
      </c>
      <c r="K144" s="75" t="s">
        <v>19</v>
      </c>
      <c r="L144" s="51" t="s">
        <v>19</v>
      </c>
      <c r="M144" s="51" t="s">
        <v>19</v>
      </c>
      <c r="N144" s="51" t="s">
        <v>19</v>
      </c>
      <c r="O144" s="51" t="s">
        <v>19</v>
      </c>
      <c r="P144" s="51" t="s">
        <v>19</v>
      </c>
      <c r="Q144" s="51" t="s">
        <v>20</v>
      </c>
      <c r="R144" s="51" t="s">
        <v>20</v>
      </c>
      <c r="S144" s="51" t="s">
        <v>19</v>
      </c>
      <c r="T144" s="51" t="s">
        <v>20</v>
      </c>
      <c r="U144" s="54" t="s">
        <v>19</v>
      </c>
      <c r="V144" s="54" t="s">
        <v>19</v>
      </c>
      <c r="W144" s="54" t="s">
        <v>19</v>
      </c>
      <c r="X144" s="51" t="s">
        <v>19</v>
      </c>
      <c r="Y144" s="51" t="s">
        <v>19</v>
      </c>
      <c r="Z144" s="39" t="s">
        <v>20</v>
      </c>
      <c r="AA144" s="39" t="s">
        <v>19</v>
      </c>
      <c r="AB144" s="39" t="s">
        <v>19</v>
      </c>
      <c r="AC144" s="51" t="s">
        <v>19</v>
      </c>
      <c r="AD144" s="51" t="s">
        <v>20</v>
      </c>
    </row>
    <row r="145" spans="1:30" ht="15.75" customHeight="1" x14ac:dyDescent="0.25">
      <c r="A145" s="89">
        <v>15</v>
      </c>
      <c r="B145" s="90" t="s">
        <v>128</v>
      </c>
      <c r="C145" s="89">
        <v>4</v>
      </c>
      <c r="D145" s="89" t="s">
        <v>19</v>
      </c>
      <c r="E145" s="51" t="s">
        <v>19</v>
      </c>
      <c r="F145" s="51" t="s">
        <v>20</v>
      </c>
      <c r="G145" s="51" t="s">
        <v>20</v>
      </c>
      <c r="H145" s="51" t="s">
        <v>19</v>
      </c>
      <c r="I145" s="75" t="s">
        <v>19</v>
      </c>
      <c r="J145" s="75" t="s">
        <v>19</v>
      </c>
      <c r="K145" s="75" t="s">
        <v>19</v>
      </c>
      <c r="L145" s="51" t="s">
        <v>20</v>
      </c>
      <c r="M145" s="51" t="s">
        <v>19</v>
      </c>
      <c r="N145" s="51" t="s">
        <v>19</v>
      </c>
      <c r="O145" s="51" t="s">
        <v>19</v>
      </c>
      <c r="P145" s="51" t="s">
        <v>19</v>
      </c>
      <c r="Q145" s="51" t="s">
        <v>19</v>
      </c>
      <c r="R145" s="51" t="s">
        <v>19</v>
      </c>
      <c r="S145" s="51" t="s">
        <v>19</v>
      </c>
      <c r="T145" s="51" t="s">
        <v>20</v>
      </c>
      <c r="U145" s="54" t="s">
        <v>19</v>
      </c>
      <c r="V145" s="54" t="s">
        <v>19</v>
      </c>
      <c r="W145" s="54" t="s">
        <v>19</v>
      </c>
      <c r="X145" s="51" t="s">
        <v>19</v>
      </c>
      <c r="Y145" s="51" t="s">
        <v>20</v>
      </c>
      <c r="Z145" s="39" t="s">
        <v>20</v>
      </c>
      <c r="AA145" s="39" t="s">
        <v>19</v>
      </c>
      <c r="AB145" s="39" t="s">
        <v>19</v>
      </c>
      <c r="AC145" s="51" t="s">
        <v>19</v>
      </c>
      <c r="AD145" s="51" t="s">
        <v>20</v>
      </c>
    </row>
    <row r="146" spans="1:30" ht="15.75" customHeight="1" x14ac:dyDescent="0.25">
      <c r="A146" s="89">
        <v>16</v>
      </c>
      <c r="B146" s="90" t="s">
        <v>151</v>
      </c>
      <c r="C146" s="89">
        <v>4</v>
      </c>
      <c r="D146" s="89" t="s">
        <v>19</v>
      </c>
      <c r="E146" s="51" t="s">
        <v>21</v>
      </c>
      <c r="F146" s="51" t="s">
        <v>21</v>
      </c>
      <c r="G146" s="51" t="s">
        <v>21</v>
      </c>
      <c r="H146" s="51" t="s">
        <v>20</v>
      </c>
      <c r="I146" s="75" t="s">
        <v>20</v>
      </c>
      <c r="J146" s="75" t="s">
        <v>20</v>
      </c>
      <c r="K146" s="75" t="s">
        <v>20</v>
      </c>
      <c r="L146" s="51" t="s">
        <v>20</v>
      </c>
      <c r="M146" s="51" t="s">
        <v>19</v>
      </c>
      <c r="N146" s="51" t="s">
        <v>20</v>
      </c>
      <c r="O146" s="51" t="s">
        <v>19</v>
      </c>
      <c r="P146" s="51" t="s">
        <v>19</v>
      </c>
      <c r="Q146" s="51" t="s">
        <v>19</v>
      </c>
      <c r="R146" s="51" t="s">
        <v>20</v>
      </c>
      <c r="S146" s="51" t="s">
        <v>20</v>
      </c>
      <c r="T146" s="51" t="s">
        <v>20</v>
      </c>
      <c r="U146" s="54" t="s">
        <v>19</v>
      </c>
      <c r="V146" s="54" t="s">
        <v>19</v>
      </c>
      <c r="W146" s="54" t="s">
        <v>19</v>
      </c>
      <c r="X146" s="51" t="s">
        <v>20</v>
      </c>
      <c r="Y146" s="51" t="s">
        <v>20</v>
      </c>
      <c r="Z146" s="39" t="s">
        <v>20</v>
      </c>
      <c r="AA146" s="39" t="s">
        <v>20</v>
      </c>
      <c r="AB146" s="39" t="s">
        <v>20</v>
      </c>
      <c r="AC146" s="51" t="s">
        <v>21</v>
      </c>
      <c r="AD146" s="51" t="s">
        <v>20</v>
      </c>
    </row>
    <row r="147" spans="1:30" ht="15.75" customHeight="1" x14ac:dyDescent="0.25">
      <c r="A147" s="89">
        <v>17</v>
      </c>
      <c r="B147" s="90" t="s">
        <v>129</v>
      </c>
      <c r="C147" s="89">
        <v>4</v>
      </c>
      <c r="D147" s="89" t="s">
        <v>19</v>
      </c>
      <c r="E147" s="51" t="s">
        <v>21</v>
      </c>
      <c r="F147" s="51" t="s">
        <v>20</v>
      </c>
      <c r="G147" s="51" t="s">
        <v>20</v>
      </c>
      <c r="H147" s="51" t="s">
        <v>20</v>
      </c>
      <c r="I147" s="75" t="s">
        <v>19</v>
      </c>
      <c r="J147" s="75" t="s">
        <v>19</v>
      </c>
      <c r="K147" s="75" t="s">
        <v>20</v>
      </c>
      <c r="L147" s="51" t="s">
        <v>20</v>
      </c>
      <c r="M147" s="51" t="s">
        <v>20</v>
      </c>
      <c r="N147" s="51" t="s">
        <v>19</v>
      </c>
      <c r="O147" s="51" t="s">
        <v>20</v>
      </c>
      <c r="P147" s="51" t="s">
        <v>20</v>
      </c>
      <c r="Q147" s="51" t="s">
        <v>20</v>
      </c>
      <c r="R147" s="51" t="s">
        <v>19</v>
      </c>
      <c r="S147" s="51" t="s">
        <v>19</v>
      </c>
      <c r="T147" s="51" t="s">
        <v>20</v>
      </c>
      <c r="U147" s="54" t="s">
        <v>20</v>
      </c>
      <c r="V147" s="54" t="s">
        <v>20</v>
      </c>
      <c r="W147" s="54" t="s">
        <v>20</v>
      </c>
      <c r="X147" s="51" t="s">
        <v>19</v>
      </c>
      <c r="Y147" s="51" t="s">
        <v>19</v>
      </c>
      <c r="Z147" s="39" t="s">
        <v>20</v>
      </c>
      <c r="AA147" s="39" t="s">
        <v>20</v>
      </c>
      <c r="AB147" s="39" t="s">
        <v>19</v>
      </c>
      <c r="AC147" s="51" t="s">
        <v>19</v>
      </c>
      <c r="AD147" s="51" t="s">
        <v>20</v>
      </c>
    </row>
    <row r="148" spans="1:30" ht="15.75" customHeight="1" x14ac:dyDescent="0.25">
      <c r="A148" s="89">
        <v>18</v>
      </c>
      <c r="B148" s="90" t="s">
        <v>259</v>
      </c>
      <c r="C148" s="89">
        <v>4</v>
      </c>
      <c r="D148" s="89" t="s">
        <v>19</v>
      </c>
      <c r="E148" s="51" t="s">
        <v>21</v>
      </c>
      <c r="F148" s="51" t="s">
        <v>21</v>
      </c>
      <c r="G148" s="51" t="s">
        <v>21</v>
      </c>
      <c r="H148" s="51" t="s">
        <v>21</v>
      </c>
      <c r="I148" s="75" t="s">
        <v>20</v>
      </c>
      <c r="J148" s="75" t="s">
        <v>20</v>
      </c>
      <c r="K148" s="75" t="s">
        <v>20</v>
      </c>
      <c r="L148" s="51" t="s">
        <v>20</v>
      </c>
      <c r="M148" s="51" t="s">
        <v>20</v>
      </c>
      <c r="N148" s="51" t="s">
        <v>20</v>
      </c>
      <c r="O148" s="51" t="s">
        <v>20</v>
      </c>
      <c r="P148" s="51" t="s">
        <v>20</v>
      </c>
      <c r="Q148" s="51" t="s">
        <v>20</v>
      </c>
      <c r="R148" s="51" t="s">
        <v>20</v>
      </c>
      <c r="S148" s="51" t="s">
        <v>19</v>
      </c>
      <c r="T148" s="51" t="s">
        <v>20</v>
      </c>
      <c r="U148" s="54" t="s">
        <v>19</v>
      </c>
      <c r="V148" s="54" t="s">
        <v>19</v>
      </c>
      <c r="W148" s="54" t="s">
        <v>19</v>
      </c>
      <c r="X148" s="51" t="s">
        <v>19</v>
      </c>
      <c r="Y148" s="51" t="s">
        <v>20</v>
      </c>
      <c r="Z148" s="39" t="s">
        <v>20</v>
      </c>
      <c r="AA148" s="39" t="s">
        <v>19</v>
      </c>
      <c r="AB148" s="39" t="s">
        <v>20</v>
      </c>
      <c r="AC148" s="51" t="s">
        <v>20</v>
      </c>
      <c r="AD148" s="51" t="s">
        <v>20</v>
      </c>
    </row>
    <row r="149" spans="1:30" ht="15.75" customHeight="1" x14ac:dyDescent="0.25">
      <c r="A149" s="89">
        <v>19</v>
      </c>
      <c r="B149" s="90" t="s">
        <v>130</v>
      </c>
      <c r="C149" s="89">
        <v>4</v>
      </c>
      <c r="D149" s="89" t="s">
        <v>19</v>
      </c>
      <c r="E149" s="51" t="s">
        <v>22</v>
      </c>
      <c r="F149" s="51" t="s">
        <v>22</v>
      </c>
      <c r="G149" s="51" t="s">
        <v>22</v>
      </c>
      <c r="H149" s="51" t="s">
        <v>22</v>
      </c>
      <c r="I149" s="75" t="s">
        <v>19</v>
      </c>
      <c r="J149" s="75" t="s">
        <v>19</v>
      </c>
      <c r="K149" s="75" t="s">
        <v>19</v>
      </c>
      <c r="L149" s="51" t="s">
        <v>19</v>
      </c>
      <c r="M149" s="51" t="s">
        <v>19</v>
      </c>
      <c r="N149" s="51" t="s">
        <v>19</v>
      </c>
      <c r="O149" s="51" t="s">
        <v>19</v>
      </c>
      <c r="P149" s="51" t="s">
        <v>20</v>
      </c>
      <c r="Q149" s="51" t="s">
        <v>19</v>
      </c>
      <c r="R149" s="51" t="s">
        <v>19</v>
      </c>
      <c r="S149" s="51" t="s">
        <v>19</v>
      </c>
      <c r="T149" s="51" t="s">
        <v>19</v>
      </c>
      <c r="U149" s="54" t="s">
        <v>19</v>
      </c>
      <c r="V149" s="54" t="s">
        <v>19</v>
      </c>
      <c r="W149" s="54" t="s">
        <v>19</v>
      </c>
      <c r="X149" s="51" t="s">
        <v>19</v>
      </c>
      <c r="Y149" s="51" t="s">
        <v>19</v>
      </c>
      <c r="Z149" s="39" t="s">
        <v>19</v>
      </c>
      <c r="AA149" s="39" t="s">
        <v>19</v>
      </c>
      <c r="AB149" s="39" t="s">
        <v>19</v>
      </c>
      <c r="AC149" s="51" t="s">
        <v>19</v>
      </c>
      <c r="AD149" s="51" t="s">
        <v>20</v>
      </c>
    </row>
    <row r="150" spans="1:30" ht="15.75" customHeight="1" x14ac:dyDescent="0.25">
      <c r="A150" s="89">
        <v>20</v>
      </c>
      <c r="B150" s="90" t="s">
        <v>131</v>
      </c>
      <c r="C150" s="89">
        <v>4</v>
      </c>
      <c r="D150" s="89" t="s">
        <v>19</v>
      </c>
      <c r="E150" s="51" t="s">
        <v>20</v>
      </c>
      <c r="F150" s="51" t="s">
        <v>21</v>
      </c>
      <c r="G150" s="51" t="s">
        <v>20</v>
      </c>
      <c r="H150" s="51" t="s">
        <v>20</v>
      </c>
      <c r="I150" s="75" t="s">
        <v>19</v>
      </c>
      <c r="J150" s="75" t="s">
        <v>20</v>
      </c>
      <c r="K150" s="75" t="s">
        <v>20</v>
      </c>
      <c r="L150" s="51" t="s">
        <v>20</v>
      </c>
      <c r="M150" s="51" t="s">
        <v>19</v>
      </c>
      <c r="N150" s="51" t="s">
        <v>20</v>
      </c>
      <c r="O150" s="51" t="s">
        <v>19</v>
      </c>
      <c r="P150" s="51" t="s">
        <v>20</v>
      </c>
      <c r="Q150" s="51" t="s">
        <v>19</v>
      </c>
      <c r="R150" s="51" t="s">
        <v>19</v>
      </c>
      <c r="S150" s="51" t="s">
        <v>19</v>
      </c>
      <c r="T150" s="51" t="s">
        <v>19</v>
      </c>
      <c r="U150" s="54" t="s">
        <v>19</v>
      </c>
      <c r="V150" s="54" t="s">
        <v>19</v>
      </c>
      <c r="W150" s="54" t="s">
        <v>19</v>
      </c>
      <c r="X150" s="51" t="s">
        <v>20</v>
      </c>
      <c r="Y150" s="51" t="s">
        <v>20</v>
      </c>
      <c r="Z150" s="39" t="s">
        <v>20</v>
      </c>
      <c r="AA150" s="39" t="s">
        <v>20</v>
      </c>
      <c r="AB150" s="39" t="s">
        <v>20</v>
      </c>
      <c r="AC150" s="51" t="s">
        <v>19</v>
      </c>
      <c r="AD150" s="51" t="s">
        <v>20</v>
      </c>
    </row>
    <row r="151" spans="1:30" ht="15.75" customHeight="1" x14ac:dyDescent="0.25">
      <c r="A151" s="89">
        <v>21</v>
      </c>
      <c r="B151" s="90" t="s">
        <v>132</v>
      </c>
      <c r="C151" s="89">
        <v>4</v>
      </c>
      <c r="D151" s="89" t="s">
        <v>19</v>
      </c>
      <c r="E151" s="51" t="s">
        <v>20</v>
      </c>
      <c r="F151" s="51" t="s">
        <v>20</v>
      </c>
      <c r="G151" s="51" t="s">
        <v>19</v>
      </c>
      <c r="H151" s="51" t="s">
        <v>19</v>
      </c>
      <c r="I151" s="75" t="s">
        <v>19</v>
      </c>
      <c r="J151" s="75" t="s">
        <v>19</v>
      </c>
      <c r="K151" s="75" t="s">
        <v>20</v>
      </c>
      <c r="L151" s="51" t="s">
        <v>20</v>
      </c>
      <c r="M151" s="51" t="s">
        <v>19</v>
      </c>
      <c r="N151" s="51" t="s">
        <v>19</v>
      </c>
      <c r="O151" s="51" t="s">
        <v>19</v>
      </c>
      <c r="P151" s="51" t="s">
        <v>19</v>
      </c>
      <c r="Q151" s="51" t="s">
        <v>19</v>
      </c>
      <c r="R151" s="51" t="s">
        <v>19</v>
      </c>
      <c r="S151" s="51" t="s">
        <v>19</v>
      </c>
      <c r="T151" s="51" t="s">
        <v>19</v>
      </c>
      <c r="U151" s="54" t="s">
        <v>19</v>
      </c>
      <c r="V151" s="54" t="s">
        <v>19</v>
      </c>
      <c r="W151" s="54" t="s">
        <v>19</v>
      </c>
      <c r="X151" s="51" t="s">
        <v>20</v>
      </c>
      <c r="Y151" s="51" t="s">
        <v>20</v>
      </c>
      <c r="Z151" s="39" t="s">
        <v>19</v>
      </c>
      <c r="AA151" s="39" t="s">
        <v>19</v>
      </c>
      <c r="AB151" s="39" t="s">
        <v>20</v>
      </c>
      <c r="AC151" s="51" t="s">
        <v>20</v>
      </c>
      <c r="AD151" s="51" t="s">
        <v>20</v>
      </c>
    </row>
    <row r="152" spans="1:30" ht="15.75" customHeight="1" x14ac:dyDescent="0.25">
      <c r="A152" s="89">
        <v>22</v>
      </c>
      <c r="B152" s="90" t="s">
        <v>260</v>
      </c>
      <c r="C152" s="89">
        <v>4</v>
      </c>
      <c r="D152" s="89" t="s">
        <v>19</v>
      </c>
      <c r="E152" s="51" t="s">
        <v>19</v>
      </c>
      <c r="F152" s="51" t="s">
        <v>19</v>
      </c>
      <c r="G152" s="51" t="s">
        <v>19</v>
      </c>
      <c r="H152" s="51" t="s">
        <v>19</v>
      </c>
      <c r="I152" s="75" t="s">
        <v>19</v>
      </c>
      <c r="J152" s="75" t="s">
        <v>19</v>
      </c>
      <c r="K152" s="75" t="s">
        <v>20</v>
      </c>
      <c r="L152" s="51" t="s">
        <v>20</v>
      </c>
      <c r="M152" s="51" t="s">
        <v>19</v>
      </c>
      <c r="N152" s="51" t="s">
        <v>19</v>
      </c>
      <c r="O152" s="51" t="s">
        <v>20</v>
      </c>
      <c r="P152" s="51" t="s">
        <v>20</v>
      </c>
      <c r="Q152" s="51" t="s">
        <v>20</v>
      </c>
      <c r="R152" s="51" t="s">
        <v>19</v>
      </c>
      <c r="S152" s="51" t="s">
        <v>19</v>
      </c>
      <c r="T152" s="51" t="s">
        <v>20</v>
      </c>
      <c r="U152" s="54" t="s">
        <v>19</v>
      </c>
      <c r="V152" s="54" t="s">
        <v>19</v>
      </c>
      <c r="W152" s="54" t="s">
        <v>19</v>
      </c>
      <c r="X152" s="51" t="s">
        <v>20</v>
      </c>
      <c r="Y152" s="51" t="s">
        <v>19</v>
      </c>
      <c r="Z152" s="39" t="s">
        <v>20</v>
      </c>
      <c r="AA152" s="39" t="s">
        <v>20</v>
      </c>
      <c r="AB152" s="39" t="s">
        <v>20</v>
      </c>
      <c r="AC152" s="51" t="s">
        <v>20</v>
      </c>
      <c r="AD152" s="51" t="s">
        <v>20</v>
      </c>
    </row>
    <row r="153" spans="1:30" ht="15.75" customHeight="1" thickBot="1" x14ac:dyDescent="0.3">
      <c r="A153" s="91">
        <v>23</v>
      </c>
      <c r="B153" s="92" t="s">
        <v>133</v>
      </c>
      <c r="C153" s="91">
        <v>4</v>
      </c>
      <c r="D153" s="91" t="s">
        <v>19</v>
      </c>
      <c r="E153" s="87" t="s">
        <v>19</v>
      </c>
      <c r="F153" s="87" t="s">
        <v>19</v>
      </c>
      <c r="G153" s="87" t="s">
        <v>19</v>
      </c>
      <c r="H153" s="87" t="s">
        <v>19</v>
      </c>
      <c r="I153" s="103" t="s">
        <v>19</v>
      </c>
      <c r="J153" s="103" t="s">
        <v>19</v>
      </c>
      <c r="K153" s="103" t="s">
        <v>19</v>
      </c>
      <c r="L153" s="87" t="s">
        <v>20</v>
      </c>
      <c r="M153" s="87" t="s">
        <v>19</v>
      </c>
      <c r="N153" s="87" t="s">
        <v>19</v>
      </c>
      <c r="O153" s="87" t="s">
        <v>20</v>
      </c>
      <c r="P153" s="87" t="s">
        <v>20</v>
      </c>
      <c r="Q153" s="87" t="s">
        <v>20</v>
      </c>
      <c r="R153" s="87" t="s">
        <v>19</v>
      </c>
      <c r="S153" s="87" t="s">
        <v>19</v>
      </c>
      <c r="T153" s="87" t="s">
        <v>19</v>
      </c>
      <c r="U153" s="104" t="s">
        <v>19</v>
      </c>
      <c r="V153" s="100" t="s">
        <v>19</v>
      </c>
      <c r="W153" s="104" t="s">
        <v>19</v>
      </c>
      <c r="X153" s="87" t="s">
        <v>20</v>
      </c>
      <c r="Y153" s="87" t="s">
        <v>20</v>
      </c>
      <c r="Z153" s="41" t="s">
        <v>20</v>
      </c>
      <c r="AA153" s="41" t="s">
        <v>19</v>
      </c>
      <c r="AB153" s="41" t="s">
        <v>19</v>
      </c>
      <c r="AC153" s="87" t="s">
        <v>19</v>
      </c>
      <c r="AD153" s="87" t="s">
        <v>20</v>
      </c>
    </row>
    <row r="154" spans="1:30" ht="15.75" customHeight="1" x14ac:dyDescent="0.25">
      <c r="A154" s="82">
        <v>1</v>
      </c>
      <c r="B154" s="40" t="s">
        <v>134</v>
      </c>
      <c r="C154" s="82">
        <v>4</v>
      </c>
      <c r="D154" s="82" t="s">
        <v>20</v>
      </c>
      <c r="E154" s="83" t="s">
        <v>21</v>
      </c>
      <c r="F154" s="83" t="s">
        <v>20</v>
      </c>
      <c r="G154" s="83" t="s">
        <v>21</v>
      </c>
      <c r="H154" s="83" t="s">
        <v>21</v>
      </c>
      <c r="I154" s="101" t="s">
        <v>19</v>
      </c>
      <c r="J154" s="101" t="s">
        <v>20</v>
      </c>
      <c r="K154" s="101" t="s">
        <v>20</v>
      </c>
      <c r="L154" s="83" t="s">
        <v>20</v>
      </c>
      <c r="M154" s="83" t="s">
        <v>19</v>
      </c>
      <c r="N154" s="83" t="s">
        <v>19</v>
      </c>
      <c r="O154" s="83" t="s">
        <v>19</v>
      </c>
      <c r="P154" s="83" t="s">
        <v>20</v>
      </c>
      <c r="Q154" s="83" t="s">
        <v>20</v>
      </c>
      <c r="R154" s="83" t="s">
        <v>20</v>
      </c>
      <c r="S154" s="83" t="s">
        <v>19</v>
      </c>
      <c r="T154" s="83" t="s">
        <v>19</v>
      </c>
      <c r="U154" s="99" t="s">
        <v>19</v>
      </c>
      <c r="V154" s="99" t="s">
        <v>19</v>
      </c>
      <c r="W154" s="99" t="s">
        <v>19</v>
      </c>
      <c r="X154" s="83" t="s">
        <v>21</v>
      </c>
      <c r="Y154" s="83" t="s">
        <v>20</v>
      </c>
      <c r="Z154" s="86" t="s">
        <v>20</v>
      </c>
      <c r="AA154" s="86" t="s">
        <v>19</v>
      </c>
      <c r="AB154" s="86" t="s">
        <v>20</v>
      </c>
      <c r="AC154" s="83" t="s">
        <v>21</v>
      </c>
      <c r="AD154" s="83" t="s">
        <v>20</v>
      </c>
    </row>
    <row r="155" spans="1:30" ht="15.75" customHeight="1" x14ac:dyDescent="0.25">
      <c r="A155" s="20">
        <v>2</v>
      </c>
      <c r="B155" s="37" t="s">
        <v>135</v>
      </c>
      <c r="C155" s="20">
        <v>4</v>
      </c>
      <c r="D155" s="20" t="s">
        <v>20</v>
      </c>
      <c r="E155" s="51" t="s">
        <v>20</v>
      </c>
      <c r="F155" s="51" t="s">
        <v>20</v>
      </c>
      <c r="G155" s="51" t="s">
        <v>20</v>
      </c>
      <c r="H155" s="51" t="s">
        <v>20</v>
      </c>
      <c r="I155" s="75" t="s">
        <v>20</v>
      </c>
      <c r="J155" s="75" t="s">
        <v>20</v>
      </c>
      <c r="K155" s="75" t="s">
        <v>20</v>
      </c>
      <c r="L155" s="51" t="s">
        <v>20</v>
      </c>
      <c r="M155" s="51" t="s">
        <v>19</v>
      </c>
      <c r="N155" s="51" t="s">
        <v>19</v>
      </c>
      <c r="O155" s="51" t="s">
        <v>20</v>
      </c>
      <c r="P155" s="51" t="s">
        <v>20</v>
      </c>
      <c r="Q155" s="51" t="s">
        <v>20</v>
      </c>
      <c r="R155" s="51" t="s">
        <v>19</v>
      </c>
      <c r="S155" s="51" t="s">
        <v>20</v>
      </c>
      <c r="T155" s="51" t="s">
        <v>20</v>
      </c>
      <c r="U155" s="54" t="s">
        <v>20</v>
      </c>
      <c r="V155" s="54" t="s">
        <v>19</v>
      </c>
      <c r="W155" s="54" t="s">
        <v>20</v>
      </c>
      <c r="X155" s="51" t="s">
        <v>19</v>
      </c>
      <c r="Y155" s="51" t="s">
        <v>19</v>
      </c>
      <c r="Z155" s="39" t="s">
        <v>19</v>
      </c>
      <c r="AA155" s="39" t="s">
        <v>19</v>
      </c>
      <c r="AB155" s="39" t="s">
        <v>19</v>
      </c>
      <c r="AC155" s="51" t="s">
        <v>19</v>
      </c>
      <c r="AD155" s="51" t="s">
        <v>20</v>
      </c>
    </row>
    <row r="156" spans="1:30" ht="15.75" customHeight="1" x14ac:dyDescent="0.25">
      <c r="A156" s="20">
        <v>3</v>
      </c>
      <c r="B156" s="37" t="s">
        <v>136</v>
      </c>
      <c r="C156" s="20">
        <v>4</v>
      </c>
      <c r="D156" s="20" t="s">
        <v>20</v>
      </c>
      <c r="E156" s="51" t="s">
        <v>22</v>
      </c>
      <c r="F156" s="51" t="s">
        <v>19</v>
      </c>
      <c r="G156" s="51" t="s">
        <v>22</v>
      </c>
      <c r="H156" s="51" t="s">
        <v>19</v>
      </c>
      <c r="I156" s="75" t="s">
        <v>19</v>
      </c>
      <c r="J156" s="75" t="s">
        <v>19</v>
      </c>
      <c r="K156" s="75" t="s">
        <v>19</v>
      </c>
      <c r="L156" s="51" t="s">
        <v>19</v>
      </c>
      <c r="M156" s="51" t="s">
        <v>19</v>
      </c>
      <c r="N156" s="51" t="s">
        <v>19</v>
      </c>
      <c r="O156" s="51" t="s">
        <v>19</v>
      </c>
      <c r="P156" s="51" t="s">
        <v>19</v>
      </c>
      <c r="Q156" s="51" t="s">
        <v>19</v>
      </c>
      <c r="R156" s="51" t="s">
        <v>19</v>
      </c>
      <c r="S156" s="51" t="s">
        <v>19</v>
      </c>
      <c r="T156" s="51" t="s">
        <v>19</v>
      </c>
      <c r="U156" s="54" t="s">
        <v>19</v>
      </c>
      <c r="V156" s="54" t="s">
        <v>19</v>
      </c>
      <c r="W156" s="54" t="s">
        <v>19</v>
      </c>
      <c r="X156" s="51" t="s">
        <v>19</v>
      </c>
      <c r="Y156" s="51" t="s">
        <v>19</v>
      </c>
      <c r="Z156" s="39" t="s">
        <v>19</v>
      </c>
      <c r="AA156" s="39" t="s">
        <v>19</v>
      </c>
      <c r="AB156" s="39" t="s">
        <v>19</v>
      </c>
      <c r="AC156" s="51" t="s">
        <v>20</v>
      </c>
      <c r="AD156" s="51" t="s">
        <v>20</v>
      </c>
    </row>
    <row r="157" spans="1:30" ht="15.75" customHeight="1" x14ac:dyDescent="0.25">
      <c r="A157" s="20">
        <v>4</v>
      </c>
      <c r="B157" s="37" t="s">
        <v>261</v>
      </c>
      <c r="C157" s="20">
        <v>4</v>
      </c>
      <c r="D157" s="20" t="s">
        <v>20</v>
      </c>
      <c r="E157" s="51" t="s">
        <v>19</v>
      </c>
      <c r="F157" s="51" t="s">
        <v>19</v>
      </c>
      <c r="G157" s="51" t="s">
        <v>19</v>
      </c>
      <c r="H157" s="51" t="s">
        <v>19</v>
      </c>
      <c r="I157" s="75" t="s">
        <v>19</v>
      </c>
      <c r="J157" s="75" t="s">
        <v>19</v>
      </c>
      <c r="K157" s="75" t="s">
        <v>20</v>
      </c>
      <c r="L157" s="51" t="s">
        <v>19</v>
      </c>
      <c r="M157" s="51" t="s">
        <v>19</v>
      </c>
      <c r="N157" s="51" t="s">
        <v>19</v>
      </c>
      <c r="O157" s="51" t="s">
        <v>20</v>
      </c>
      <c r="P157" s="51" t="s">
        <v>20</v>
      </c>
      <c r="Q157" s="51" t="s">
        <v>20</v>
      </c>
      <c r="R157" s="51" t="s">
        <v>20</v>
      </c>
      <c r="S157" s="51" t="s">
        <v>20</v>
      </c>
      <c r="T157" s="51" t="s">
        <v>20</v>
      </c>
      <c r="U157" s="54" t="s">
        <v>19</v>
      </c>
      <c r="V157" s="54" t="s">
        <v>19</v>
      </c>
      <c r="W157" s="54" t="s">
        <v>19</v>
      </c>
      <c r="X157" s="51" t="s">
        <v>19</v>
      </c>
      <c r="Y157" s="51" t="s">
        <v>19</v>
      </c>
      <c r="Z157" s="39" t="s">
        <v>19</v>
      </c>
      <c r="AA157" s="39" t="s">
        <v>20</v>
      </c>
      <c r="AB157" s="39" t="s">
        <v>20</v>
      </c>
      <c r="AC157" s="51" t="s">
        <v>20</v>
      </c>
      <c r="AD157" s="51" t="s">
        <v>20</v>
      </c>
    </row>
    <row r="158" spans="1:30" ht="15.75" customHeight="1" x14ac:dyDescent="0.25">
      <c r="A158" s="20">
        <v>5</v>
      </c>
      <c r="B158" s="37" t="s">
        <v>137</v>
      </c>
      <c r="C158" s="20">
        <v>4</v>
      </c>
      <c r="D158" s="20" t="s">
        <v>20</v>
      </c>
      <c r="E158" s="51" t="s">
        <v>22</v>
      </c>
      <c r="F158" s="51" t="s">
        <v>19</v>
      </c>
      <c r="G158" s="51" t="s">
        <v>19</v>
      </c>
      <c r="H158" s="51" t="s">
        <v>19</v>
      </c>
      <c r="I158" s="75" t="s">
        <v>19</v>
      </c>
      <c r="J158" s="75" t="s">
        <v>19</v>
      </c>
      <c r="K158" s="75" t="s">
        <v>19</v>
      </c>
      <c r="L158" s="51" t="s">
        <v>19</v>
      </c>
      <c r="M158" s="51" t="s">
        <v>19</v>
      </c>
      <c r="N158" s="51" t="s">
        <v>19</v>
      </c>
      <c r="O158" s="51" t="s">
        <v>19</v>
      </c>
      <c r="P158" s="51" t="s">
        <v>19</v>
      </c>
      <c r="Q158" s="51" t="s">
        <v>19</v>
      </c>
      <c r="R158" s="51" t="s">
        <v>19</v>
      </c>
      <c r="S158" s="51" t="s">
        <v>19</v>
      </c>
      <c r="T158" s="51" t="s">
        <v>19</v>
      </c>
      <c r="U158" s="54" t="s">
        <v>19</v>
      </c>
      <c r="V158" s="54" t="s">
        <v>19</v>
      </c>
      <c r="W158" s="54" t="s">
        <v>19</v>
      </c>
      <c r="X158" s="51" t="s">
        <v>19</v>
      </c>
      <c r="Y158" s="51" t="s">
        <v>19</v>
      </c>
      <c r="Z158" s="39" t="s">
        <v>19</v>
      </c>
      <c r="AA158" s="39" t="s">
        <v>19</v>
      </c>
      <c r="AB158" s="39" t="s">
        <v>19</v>
      </c>
      <c r="AC158" s="51" t="s">
        <v>19</v>
      </c>
      <c r="AD158" s="51" t="s">
        <v>20</v>
      </c>
    </row>
    <row r="159" spans="1:30" ht="15.75" customHeight="1" x14ac:dyDescent="0.25">
      <c r="A159" s="20">
        <v>6</v>
      </c>
      <c r="B159" s="37" t="s">
        <v>138</v>
      </c>
      <c r="C159" s="20">
        <v>4</v>
      </c>
      <c r="D159" s="20" t="s">
        <v>20</v>
      </c>
      <c r="E159" s="51" t="s">
        <v>19</v>
      </c>
      <c r="F159" s="51" t="s">
        <v>19</v>
      </c>
      <c r="G159" s="51" t="s">
        <v>19</v>
      </c>
      <c r="H159" s="51" t="s">
        <v>19</v>
      </c>
      <c r="I159" s="75" t="s">
        <v>19</v>
      </c>
      <c r="J159" s="75" t="s">
        <v>19</v>
      </c>
      <c r="K159" s="75" t="s">
        <v>19</v>
      </c>
      <c r="L159" s="51" t="s">
        <v>19</v>
      </c>
      <c r="M159" s="51" t="s">
        <v>19</v>
      </c>
      <c r="N159" s="51" t="s">
        <v>20</v>
      </c>
      <c r="O159" s="51" t="s">
        <v>20</v>
      </c>
      <c r="P159" s="51" t="s">
        <v>20</v>
      </c>
      <c r="Q159" s="51" t="s">
        <v>20</v>
      </c>
      <c r="R159" s="51" t="s">
        <v>19</v>
      </c>
      <c r="S159" s="51" t="s">
        <v>19</v>
      </c>
      <c r="T159" s="51" t="s">
        <v>20</v>
      </c>
      <c r="U159" s="54" t="s">
        <v>19</v>
      </c>
      <c r="V159" s="54" t="s">
        <v>19</v>
      </c>
      <c r="W159" s="54" t="s">
        <v>19</v>
      </c>
      <c r="X159" s="51" t="s">
        <v>19</v>
      </c>
      <c r="Y159" s="51" t="s">
        <v>19</v>
      </c>
      <c r="Z159" s="39" t="s">
        <v>20</v>
      </c>
      <c r="AA159" s="39" t="s">
        <v>19</v>
      </c>
      <c r="AB159" s="39" t="s">
        <v>19</v>
      </c>
      <c r="AC159" s="51" t="s">
        <v>19</v>
      </c>
      <c r="AD159" s="51" t="s">
        <v>20</v>
      </c>
    </row>
    <row r="160" spans="1:30" ht="15.75" customHeight="1" x14ac:dyDescent="0.25">
      <c r="A160" s="20">
        <v>7</v>
      </c>
      <c r="B160" s="37" t="s">
        <v>139</v>
      </c>
      <c r="C160" s="20">
        <v>4</v>
      </c>
      <c r="D160" s="20" t="s">
        <v>20</v>
      </c>
      <c r="E160" s="51" t="s">
        <v>20</v>
      </c>
      <c r="F160" s="51" t="s">
        <v>19</v>
      </c>
      <c r="G160" s="51" t="s">
        <v>19</v>
      </c>
      <c r="H160" s="51" t="s">
        <v>20</v>
      </c>
      <c r="I160" s="75" t="s">
        <v>19</v>
      </c>
      <c r="J160" s="75" t="s">
        <v>20</v>
      </c>
      <c r="K160" s="75" t="s">
        <v>20</v>
      </c>
      <c r="L160" s="51" t="s">
        <v>19</v>
      </c>
      <c r="M160" s="51" t="s">
        <v>19</v>
      </c>
      <c r="N160" s="51" t="s">
        <v>19</v>
      </c>
      <c r="O160" s="51" t="s">
        <v>20</v>
      </c>
      <c r="P160" s="51" t="s">
        <v>20</v>
      </c>
      <c r="Q160" s="51" t="s">
        <v>20</v>
      </c>
      <c r="R160" s="51" t="s">
        <v>19</v>
      </c>
      <c r="S160" s="51" t="s">
        <v>19</v>
      </c>
      <c r="T160" s="51" t="s">
        <v>20</v>
      </c>
      <c r="U160" s="54" t="s">
        <v>19</v>
      </c>
      <c r="V160" s="54" t="s">
        <v>19</v>
      </c>
      <c r="W160" s="54" t="s">
        <v>19</v>
      </c>
      <c r="X160" s="51" t="s">
        <v>19</v>
      </c>
      <c r="Y160" s="51" t="s">
        <v>20</v>
      </c>
      <c r="Z160" s="39" t="s">
        <v>20</v>
      </c>
      <c r="AA160" s="39" t="s">
        <v>20</v>
      </c>
      <c r="AB160" s="39" t="s">
        <v>20</v>
      </c>
      <c r="AC160" s="51" t="s">
        <v>20</v>
      </c>
      <c r="AD160" s="51" t="s">
        <v>20</v>
      </c>
    </row>
    <row r="161" spans="1:33" ht="15.75" customHeight="1" x14ac:dyDescent="0.25">
      <c r="A161" s="20">
        <v>8</v>
      </c>
      <c r="B161" s="37" t="s">
        <v>262</v>
      </c>
      <c r="C161" s="20">
        <v>4</v>
      </c>
      <c r="D161" s="20" t="s">
        <v>20</v>
      </c>
      <c r="E161" s="51" t="s">
        <v>19</v>
      </c>
      <c r="F161" s="51" t="s">
        <v>19</v>
      </c>
      <c r="G161" s="51" t="s">
        <v>19</v>
      </c>
      <c r="H161" s="51" t="s">
        <v>19</v>
      </c>
      <c r="I161" s="75" t="s">
        <v>19</v>
      </c>
      <c r="J161" s="75" t="s">
        <v>19</v>
      </c>
      <c r="K161" s="75" t="s">
        <v>19</v>
      </c>
      <c r="L161" s="51" t="s">
        <v>20</v>
      </c>
      <c r="M161" s="51" t="s">
        <v>19</v>
      </c>
      <c r="N161" s="51" t="s">
        <v>19</v>
      </c>
      <c r="O161" s="51" t="s">
        <v>20</v>
      </c>
      <c r="P161" s="51" t="s">
        <v>20</v>
      </c>
      <c r="Q161" s="51" t="s">
        <v>20</v>
      </c>
      <c r="R161" s="51" t="s">
        <v>20</v>
      </c>
      <c r="S161" s="51" t="s">
        <v>19</v>
      </c>
      <c r="T161" s="51" t="s">
        <v>19</v>
      </c>
      <c r="U161" s="54" t="s">
        <v>19</v>
      </c>
      <c r="V161" s="54" t="s">
        <v>19</v>
      </c>
      <c r="W161" s="54" t="s">
        <v>19</v>
      </c>
      <c r="X161" s="51" t="s">
        <v>19</v>
      </c>
      <c r="Y161" s="51" t="s">
        <v>20</v>
      </c>
      <c r="Z161" s="39" t="s">
        <v>19</v>
      </c>
      <c r="AA161" s="39" t="s">
        <v>19</v>
      </c>
      <c r="AB161" s="39" t="s">
        <v>20</v>
      </c>
      <c r="AC161" s="51" t="s">
        <v>19</v>
      </c>
      <c r="AD161" s="51" t="s">
        <v>20</v>
      </c>
    </row>
    <row r="162" spans="1:33" ht="15.75" customHeight="1" x14ac:dyDescent="0.25">
      <c r="A162" s="20">
        <v>9</v>
      </c>
      <c r="B162" s="37" t="s">
        <v>140</v>
      </c>
      <c r="C162" s="20">
        <v>4</v>
      </c>
      <c r="D162" s="20" t="s">
        <v>20</v>
      </c>
      <c r="E162" s="51" t="s">
        <v>20</v>
      </c>
      <c r="F162" s="51" t="s">
        <v>20</v>
      </c>
      <c r="G162" s="51" t="s">
        <v>20</v>
      </c>
      <c r="H162" s="51" t="s">
        <v>20</v>
      </c>
      <c r="I162" s="75" t="s">
        <v>19</v>
      </c>
      <c r="J162" s="75" t="s">
        <v>19</v>
      </c>
      <c r="K162" s="75" t="s">
        <v>19</v>
      </c>
      <c r="L162" s="51" t="s">
        <v>19</v>
      </c>
      <c r="M162" s="51" t="s">
        <v>19</v>
      </c>
      <c r="N162" s="51" t="s">
        <v>19</v>
      </c>
      <c r="O162" s="51" t="s">
        <v>20</v>
      </c>
      <c r="P162" s="51" t="s">
        <v>20</v>
      </c>
      <c r="Q162" s="51" t="s">
        <v>20</v>
      </c>
      <c r="R162" s="51" t="s">
        <v>19</v>
      </c>
      <c r="S162" s="51" t="s">
        <v>19</v>
      </c>
      <c r="T162" s="51" t="s">
        <v>20</v>
      </c>
      <c r="U162" s="54" t="s">
        <v>19</v>
      </c>
      <c r="V162" s="54" t="s">
        <v>19</v>
      </c>
      <c r="W162" s="54" t="s">
        <v>19</v>
      </c>
      <c r="X162" s="51" t="s">
        <v>19</v>
      </c>
      <c r="Y162" s="51" t="s">
        <v>20</v>
      </c>
      <c r="Z162" s="39" t="s">
        <v>20</v>
      </c>
      <c r="AA162" s="39" t="s">
        <v>20</v>
      </c>
      <c r="AB162" s="39" t="s">
        <v>19</v>
      </c>
      <c r="AC162" s="51" t="s">
        <v>19</v>
      </c>
      <c r="AD162" s="51" t="s">
        <v>20</v>
      </c>
    </row>
    <row r="163" spans="1:33" ht="15.75" customHeight="1" thickBot="1" x14ac:dyDescent="0.3">
      <c r="A163" s="20">
        <v>10</v>
      </c>
      <c r="B163" s="37" t="s">
        <v>263</v>
      </c>
      <c r="C163" s="20">
        <v>4</v>
      </c>
      <c r="D163" s="20" t="s">
        <v>20</v>
      </c>
      <c r="E163" s="51" t="s">
        <v>20</v>
      </c>
      <c r="F163" s="51" t="s">
        <v>19</v>
      </c>
      <c r="G163" s="51" t="s">
        <v>20</v>
      </c>
      <c r="H163" s="51" t="s">
        <v>20</v>
      </c>
      <c r="I163" s="75" t="s">
        <v>19</v>
      </c>
      <c r="J163" s="75" t="s">
        <v>19</v>
      </c>
      <c r="K163" s="75" t="s">
        <v>20</v>
      </c>
      <c r="L163" s="51" t="s">
        <v>21</v>
      </c>
      <c r="M163" s="51" t="s">
        <v>19</v>
      </c>
      <c r="N163" s="51" t="s">
        <v>19</v>
      </c>
      <c r="O163" s="51" t="s">
        <v>20</v>
      </c>
      <c r="P163" s="51" t="s">
        <v>20</v>
      </c>
      <c r="Q163" s="51" t="s">
        <v>20</v>
      </c>
      <c r="R163" s="51" t="s">
        <v>19</v>
      </c>
      <c r="S163" s="51" t="s">
        <v>19</v>
      </c>
      <c r="T163" s="51" t="s">
        <v>20</v>
      </c>
      <c r="U163" s="54" t="s">
        <v>19</v>
      </c>
      <c r="V163" s="54" t="s">
        <v>19</v>
      </c>
      <c r="W163" s="54" t="s">
        <v>19</v>
      </c>
      <c r="X163" s="51" t="s">
        <v>20</v>
      </c>
      <c r="Y163" s="51" t="s">
        <v>20</v>
      </c>
      <c r="Z163" s="39" t="s">
        <v>20</v>
      </c>
      <c r="AA163" s="39" t="s">
        <v>21</v>
      </c>
      <c r="AB163" s="39" t="s">
        <v>20</v>
      </c>
      <c r="AC163" s="51" t="s">
        <v>21</v>
      </c>
      <c r="AD163" s="51" t="s">
        <v>20</v>
      </c>
    </row>
    <row r="164" spans="1:33" ht="15.75" customHeight="1" x14ac:dyDescent="0.25">
      <c r="A164" s="20">
        <v>11</v>
      </c>
      <c r="B164" s="37" t="s">
        <v>141</v>
      </c>
      <c r="C164" s="20">
        <v>4</v>
      </c>
      <c r="D164" s="20" t="s">
        <v>20</v>
      </c>
      <c r="E164" s="51" t="s">
        <v>21</v>
      </c>
      <c r="F164" s="51" t="s">
        <v>21</v>
      </c>
      <c r="G164" s="51" t="s">
        <v>21</v>
      </c>
      <c r="H164" s="51" t="s">
        <v>21</v>
      </c>
      <c r="I164" s="75" t="s">
        <v>20</v>
      </c>
      <c r="J164" s="75" t="s">
        <v>20</v>
      </c>
      <c r="K164" s="75" t="s">
        <v>20</v>
      </c>
      <c r="L164" s="51" t="s">
        <v>20</v>
      </c>
      <c r="M164" s="51" t="s">
        <v>19</v>
      </c>
      <c r="N164" s="51" t="s">
        <v>20</v>
      </c>
      <c r="O164" s="51" t="s">
        <v>21</v>
      </c>
      <c r="P164" s="51" t="s">
        <v>20</v>
      </c>
      <c r="Q164" s="51" t="s">
        <v>20</v>
      </c>
      <c r="R164" s="51" t="s">
        <v>20</v>
      </c>
      <c r="S164" s="51" t="s">
        <v>19</v>
      </c>
      <c r="T164" s="51" t="s">
        <v>19</v>
      </c>
      <c r="U164" s="54" t="s">
        <v>19</v>
      </c>
      <c r="V164" s="54" t="s">
        <v>20</v>
      </c>
      <c r="W164" s="54" t="s">
        <v>19</v>
      </c>
      <c r="X164" s="51" t="s">
        <v>21</v>
      </c>
      <c r="Y164" s="51" t="s">
        <v>21</v>
      </c>
      <c r="Z164" s="39" t="s">
        <v>20</v>
      </c>
      <c r="AA164" s="39" t="s">
        <v>20</v>
      </c>
      <c r="AB164" s="39" t="s">
        <v>20</v>
      </c>
      <c r="AC164" s="51" t="s">
        <v>21</v>
      </c>
      <c r="AD164" s="51" t="s">
        <v>20</v>
      </c>
      <c r="AF164" s="29" t="s">
        <v>22</v>
      </c>
      <c r="AG164" s="17">
        <f>COUNTIF(E154:AD178,"AD")</f>
        <v>11</v>
      </c>
    </row>
    <row r="165" spans="1:33" ht="15.75" customHeight="1" x14ac:dyDescent="0.25">
      <c r="A165" s="20">
        <v>12</v>
      </c>
      <c r="B165" s="37" t="s">
        <v>142</v>
      </c>
      <c r="C165" s="20">
        <v>4</v>
      </c>
      <c r="D165" s="20" t="s">
        <v>20</v>
      </c>
      <c r="E165" s="51" t="s">
        <v>20</v>
      </c>
      <c r="F165" s="51" t="s">
        <v>20</v>
      </c>
      <c r="G165" s="51" t="s">
        <v>20</v>
      </c>
      <c r="H165" s="51" t="s">
        <v>20</v>
      </c>
      <c r="I165" s="75" t="s">
        <v>19</v>
      </c>
      <c r="J165" s="75" t="s">
        <v>19</v>
      </c>
      <c r="K165" s="75" t="s">
        <v>20</v>
      </c>
      <c r="L165" s="51" t="s">
        <v>19</v>
      </c>
      <c r="M165" s="51" t="s">
        <v>19</v>
      </c>
      <c r="N165" s="51" t="s">
        <v>19</v>
      </c>
      <c r="O165" s="51" t="s">
        <v>20</v>
      </c>
      <c r="P165" s="51" t="s">
        <v>20</v>
      </c>
      <c r="Q165" s="51" t="s">
        <v>20</v>
      </c>
      <c r="R165" s="51" t="s">
        <v>19</v>
      </c>
      <c r="S165" s="51" t="s">
        <v>19</v>
      </c>
      <c r="T165" s="51" t="s">
        <v>19</v>
      </c>
      <c r="U165" s="45" t="s">
        <v>19</v>
      </c>
      <c r="V165" s="54" t="s">
        <v>19</v>
      </c>
      <c r="W165" s="54" t="s">
        <v>19</v>
      </c>
      <c r="X165" s="51" t="s">
        <v>19</v>
      </c>
      <c r="Y165" s="51" t="s">
        <v>20</v>
      </c>
      <c r="Z165" s="39" t="s">
        <v>20</v>
      </c>
      <c r="AA165" s="39" t="s">
        <v>19</v>
      </c>
      <c r="AB165" s="39" t="s">
        <v>19</v>
      </c>
      <c r="AC165" s="53" t="s">
        <v>19</v>
      </c>
      <c r="AD165" s="53" t="s">
        <v>20</v>
      </c>
      <c r="AF165" s="30" t="s">
        <v>19</v>
      </c>
      <c r="AG165" s="18">
        <f>COUNTIF(E154:AD178,"A")</f>
        <v>366</v>
      </c>
    </row>
    <row r="166" spans="1:33" ht="15.75" customHeight="1" x14ac:dyDescent="0.25">
      <c r="A166" s="20">
        <v>13</v>
      </c>
      <c r="B166" s="37" t="s">
        <v>143</v>
      </c>
      <c r="C166" s="20">
        <v>4</v>
      </c>
      <c r="D166" s="20" t="s">
        <v>20</v>
      </c>
      <c r="E166" s="51" t="s">
        <v>20</v>
      </c>
      <c r="F166" s="51" t="s">
        <v>20</v>
      </c>
      <c r="G166" s="51" t="s">
        <v>21</v>
      </c>
      <c r="H166" s="51" t="s">
        <v>20</v>
      </c>
      <c r="I166" s="75" t="s">
        <v>19</v>
      </c>
      <c r="J166" s="75" t="s">
        <v>19</v>
      </c>
      <c r="K166" s="75" t="s">
        <v>20</v>
      </c>
      <c r="L166" s="51" t="s">
        <v>20</v>
      </c>
      <c r="M166" s="51" t="s">
        <v>19</v>
      </c>
      <c r="N166" s="51" t="s">
        <v>20</v>
      </c>
      <c r="O166" s="51" t="s">
        <v>20</v>
      </c>
      <c r="P166" s="51" t="s">
        <v>20</v>
      </c>
      <c r="Q166" s="51" t="s">
        <v>20</v>
      </c>
      <c r="R166" s="51" t="s">
        <v>21</v>
      </c>
      <c r="S166" s="51" t="s">
        <v>21</v>
      </c>
      <c r="T166" s="51" t="s">
        <v>19</v>
      </c>
      <c r="U166" s="45" t="s">
        <v>19</v>
      </c>
      <c r="V166" s="54" t="s">
        <v>20</v>
      </c>
      <c r="W166" s="54" t="s">
        <v>19</v>
      </c>
      <c r="X166" s="51" t="s">
        <v>21</v>
      </c>
      <c r="Y166" s="51" t="s">
        <v>20</v>
      </c>
      <c r="Z166" s="39" t="s">
        <v>20</v>
      </c>
      <c r="AA166" s="39" t="s">
        <v>19</v>
      </c>
      <c r="AB166" s="39" t="s">
        <v>21</v>
      </c>
      <c r="AC166" s="53" t="s">
        <v>21</v>
      </c>
      <c r="AD166" s="53" t="s">
        <v>20</v>
      </c>
      <c r="AF166" s="30" t="s">
        <v>20</v>
      </c>
      <c r="AG166" s="18">
        <f>COUNTIF(E154:AD178,"B")</f>
        <v>238</v>
      </c>
    </row>
    <row r="167" spans="1:33" ht="15.75" customHeight="1" thickBot="1" x14ac:dyDescent="0.3">
      <c r="A167" s="20">
        <v>14</v>
      </c>
      <c r="B167" s="37" t="s">
        <v>144</v>
      </c>
      <c r="C167" s="20">
        <v>4</v>
      </c>
      <c r="D167" s="20" t="s">
        <v>20</v>
      </c>
      <c r="E167" s="51" t="s">
        <v>20</v>
      </c>
      <c r="F167" s="51" t="s">
        <v>20</v>
      </c>
      <c r="G167" s="51" t="s">
        <v>20</v>
      </c>
      <c r="H167" s="51" t="s">
        <v>20</v>
      </c>
      <c r="I167" s="75" t="s">
        <v>19</v>
      </c>
      <c r="J167" s="75" t="s">
        <v>20</v>
      </c>
      <c r="K167" s="75" t="s">
        <v>20</v>
      </c>
      <c r="L167" s="51" t="s">
        <v>20</v>
      </c>
      <c r="M167" s="51" t="s">
        <v>20</v>
      </c>
      <c r="N167" s="51" t="s">
        <v>19</v>
      </c>
      <c r="O167" s="51" t="s">
        <v>20</v>
      </c>
      <c r="P167" s="51" t="s">
        <v>20</v>
      </c>
      <c r="Q167" s="51" t="s">
        <v>20</v>
      </c>
      <c r="R167" s="51" t="s">
        <v>19</v>
      </c>
      <c r="S167" s="51" t="s">
        <v>19</v>
      </c>
      <c r="T167" s="51" t="s">
        <v>20</v>
      </c>
      <c r="U167" s="45" t="s">
        <v>19</v>
      </c>
      <c r="V167" s="54" t="s">
        <v>19</v>
      </c>
      <c r="W167" s="54" t="s">
        <v>19</v>
      </c>
      <c r="X167" s="51" t="s">
        <v>20</v>
      </c>
      <c r="Y167" s="51" t="s">
        <v>20</v>
      </c>
      <c r="Z167" s="39" t="s">
        <v>19</v>
      </c>
      <c r="AA167" s="39" t="s">
        <v>20</v>
      </c>
      <c r="AB167" s="39" t="s">
        <v>19</v>
      </c>
      <c r="AC167" s="53" t="s">
        <v>20</v>
      </c>
      <c r="AD167" s="53" t="s">
        <v>20</v>
      </c>
      <c r="AF167" s="31" t="s">
        <v>21</v>
      </c>
      <c r="AG167" s="19">
        <f>COUNTIF(E154:AD178,"C")</f>
        <v>33</v>
      </c>
    </row>
    <row r="168" spans="1:33" ht="15.75" customHeight="1" x14ac:dyDescent="0.25">
      <c r="A168" s="20">
        <v>15</v>
      </c>
      <c r="B168" s="37" t="s">
        <v>145</v>
      </c>
      <c r="C168" s="20">
        <v>4</v>
      </c>
      <c r="D168" s="20" t="s">
        <v>20</v>
      </c>
      <c r="E168" s="51" t="s">
        <v>19</v>
      </c>
      <c r="F168" s="51" t="s">
        <v>19</v>
      </c>
      <c r="G168" s="51" t="s">
        <v>19</v>
      </c>
      <c r="H168" s="51" t="s">
        <v>19</v>
      </c>
      <c r="I168" s="75" t="s">
        <v>19</v>
      </c>
      <c r="J168" s="75" t="s">
        <v>19</v>
      </c>
      <c r="K168" s="75" t="s">
        <v>19</v>
      </c>
      <c r="L168" s="51" t="s">
        <v>19</v>
      </c>
      <c r="M168" s="51" t="s">
        <v>19</v>
      </c>
      <c r="N168" s="51" t="s">
        <v>19</v>
      </c>
      <c r="O168" s="51" t="s">
        <v>19</v>
      </c>
      <c r="P168" s="51" t="s">
        <v>19</v>
      </c>
      <c r="Q168" s="51" t="s">
        <v>19</v>
      </c>
      <c r="R168" s="51" t="s">
        <v>19</v>
      </c>
      <c r="S168" s="51" t="s">
        <v>19</v>
      </c>
      <c r="T168" s="51" t="s">
        <v>19</v>
      </c>
      <c r="U168" s="45" t="s">
        <v>19</v>
      </c>
      <c r="V168" s="54" t="s">
        <v>19</v>
      </c>
      <c r="W168" s="54" t="s">
        <v>19</v>
      </c>
      <c r="X168" s="51" t="s">
        <v>19</v>
      </c>
      <c r="Y168" s="51" t="s">
        <v>19</v>
      </c>
      <c r="Z168" s="39" t="s">
        <v>19</v>
      </c>
      <c r="AA168" s="39" t="s">
        <v>19</v>
      </c>
      <c r="AB168" s="39" t="s">
        <v>19</v>
      </c>
      <c r="AC168" s="53" t="s">
        <v>19</v>
      </c>
      <c r="AD168" s="53" t="s">
        <v>20</v>
      </c>
    </row>
    <row r="169" spans="1:33" ht="15.75" customHeight="1" x14ac:dyDescent="0.25">
      <c r="A169" s="20">
        <v>16</v>
      </c>
      <c r="B169" s="37" t="s">
        <v>146</v>
      </c>
      <c r="C169" s="20">
        <v>4</v>
      </c>
      <c r="D169" s="20" t="s">
        <v>20</v>
      </c>
      <c r="E169" s="51" t="s">
        <v>20</v>
      </c>
      <c r="F169" s="51" t="s">
        <v>20</v>
      </c>
      <c r="G169" s="51" t="s">
        <v>20</v>
      </c>
      <c r="H169" s="51" t="s">
        <v>20</v>
      </c>
      <c r="I169" s="75" t="s">
        <v>19</v>
      </c>
      <c r="J169" s="75" t="s">
        <v>19</v>
      </c>
      <c r="K169" s="75" t="s">
        <v>20</v>
      </c>
      <c r="L169" s="51" t="s">
        <v>19</v>
      </c>
      <c r="M169" s="51" t="s">
        <v>19</v>
      </c>
      <c r="N169" s="51" t="s">
        <v>19</v>
      </c>
      <c r="O169" s="51" t="s">
        <v>20</v>
      </c>
      <c r="P169" s="51" t="s">
        <v>20</v>
      </c>
      <c r="Q169" s="51" t="s">
        <v>20</v>
      </c>
      <c r="R169" s="51" t="s">
        <v>20</v>
      </c>
      <c r="S169" s="51" t="s">
        <v>19</v>
      </c>
      <c r="T169" s="51" t="s">
        <v>20</v>
      </c>
      <c r="U169" s="45" t="s">
        <v>19</v>
      </c>
      <c r="V169" s="54" t="s">
        <v>19</v>
      </c>
      <c r="W169" s="54" t="s">
        <v>19</v>
      </c>
      <c r="X169" s="51" t="s">
        <v>20</v>
      </c>
      <c r="Y169" s="51" t="s">
        <v>20</v>
      </c>
      <c r="Z169" s="39" t="s">
        <v>20</v>
      </c>
      <c r="AA169" s="39" t="s">
        <v>20</v>
      </c>
      <c r="AB169" s="39" t="s">
        <v>20</v>
      </c>
      <c r="AC169" s="53" t="s">
        <v>20</v>
      </c>
      <c r="AD169" s="53" t="s">
        <v>20</v>
      </c>
    </row>
    <row r="170" spans="1:33" ht="15.75" customHeight="1" x14ac:dyDescent="0.25">
      <c r="A170" s="20">
        <v>17</v>
      </c>
      <c r="B170" s="37" t="s">
        <v>147</v>
      </c>
      <c r="C170" s="20">
        <v>4</v>
      </c>
      <c r="D170" s="20" t="s">
        <v>20</v>
      </c>
      <c r="E170" s="51" t="s">
        <v>20</v>
      </c>
      <c r="F170" s="51" t="s">
        <v>20</v>
      </c>
      <c r="G170" s="51" t="s">
        <v>20</v>
      </c>
      <c r="H170" s="51" t="s">
        <v>20</v>
      </c>
      <c r="I170" s="75" t="s">
        <v>19</v>
      </c>
      <c r="J170" s="75" t="s">
        <v>19</v>
      </c>
      <c r="K170" s="75" t="s">
        <v>20</v>
      </c>
      <c r="L170" s="51" t="s">
        <v>20</v>
      </c>
      <c r="M170" s="51" t="s">
        <v>19</v>
      </c>
      <c r="N170" s="51" t="s">
        <v>20</v>
      </c>
      <c r="O170" s="51" t="s">
        <v>20</v>
      </c>
      <c r="P170" s="51" t="s">
        <v>20</v>
      </c>
      <c r="Q170" s="51" t="s">
        <v>20</v>
      </c>
      <c r="R170" s="51" t="s">
        <v>21</v>
      </c>
      <c r="S170" s="51" t="s">
        <v>20</v>
      </c>
      <c r="T170" s="51" t="s">
        <v>19</v>
      </c>
      <c r="U170" s="45" t="s">
        <v>19</v>
      </c>
      <c r="V170" s="54" t="s">
        <v>19</v>
      </c>
      <c r="W170" s="54" t="s">
        <v>19</v>
      </c>
      <c r="X170" s="51" t="s">
        <v>19</v>
      </c>
      <c r="Y170" s="51" t="s">
        <v>19</v>
      </c>
      <c r="Z170" s="39" t="s">
        <v>19</v>
      </c>
      <c r="AA170" s="39" t="s">
        <v>19</v>
      </c>
      <c r="AB170" s="39" t="s">
        <v>19</v>
      </c>
      <c r="AC170" s="53" t="s">
        <v>20</v>
      </c>
      <c r="AD170" s="53" t="s">
        <v>20</v>
      </c>
    </row>
    <row r="171" spans="1:33" ht="15.75" customHeight="1" x14ac:dyDescent="0.25">
      <c r="A171" s="20">
        <v>18</v>
      </c>
      <c r="B171" s="37" t="s">
        <v>264</v>
      </c>
      <c r="C171" s="20">
        <v>4</v>
      </c>
      <c r="D171" s="20" t="s">
        <v>20</v>
      </c>
      <c r="E171" s="51" t="s">
        <v>21</v>
      </c>
      <c r="F171" s="51" t="s">
        <v>21</v>
      </c>
      <c r="G171" s="51" t="s">
        <v>21</v>
      </c>
      <c r="H171" s="51" t="s">
        <v>21</v>
      </c>
      <c r="I171" s="75" t="s">
        <v>19</v>
      </c>
      <c r="J171" s="75" t="s">
        <v>19</v>
      </c>
      <c r="K171" s="75" t="s">
        <v>20</v>
      </c>
      <c r="L171" s="51" t="s">
        <v>20</v>
      </c>
      <c r="M171" s="51" t="s">
        <v>20</v>
      </c>
      <c r="N171" s="51" t="s">
        <v>19</v>
      </c>
      <c r="O171" s="51" t="s">
        <v>20</v>
      </c>
      <c r="P171" s="51" t="s">
        <v>20</v>
      </c>
      <c r="Q171" s="51" t="s">
        <v>21</v>
      </c>
      <c r="R171" s="51" t="s">
        <v>20</v>
      </c>
      <c r="S171" s="51" t="s">
        <v>19</v>
      </c>
      <c r="T171" s="51" t="s">
        <v>20</v>
      </c>
      <c r="U171" s="45" t="s">
        <v>19</v>
      </c>
      <c r="V171" s="54" t="s">
        <v>20</v>
      </c>
      <c r="W171" s="54" t="s">
        <v>19</v>
      </c>
      <c r="X171" s="51" t="s">
        <v>19</v>
      </c>
      <c r="Y171" s="51" t="s">
        <v>19</v>
      </c>
      <c r="Z171" s="39" t="s">
        <v>20</v>
      </c>
      <c r="AA171" s="39" t="s">
        <v>20</v>
      </c>
      <c r="AB171" s="39" t="s">
        <v>20</v>
      </c>
      <c r="AC171" s="53" t="s">
        <v>20</v>
      </c>
      <c r="AD171" s="53" t="s">
        <v>20</v>
      </c>
    </row>
    <row r="172" spans="1:33" ht="15.75" customHeight="1" x14ac:dyDescent="0.25">
      <c r="A172" s="20">
        <v>19</v>
      </c>
      <c r="B172" s="37" t="s">
        <v>148</v>
      </c>
      <c r="C172" s="20">
        <v>4</v>
      </c>
      <c r="D172" s="20" t="s">
        <v>20</v>
      </c>
      <c r="E172" s="51" t="s">
        <v>21</v>
      </c>
      <c r="F172" s="51" t="s">
        <v>20</v>
      </c>
      <c r="G172" s="51" t="s">
        <v>20</v>
      </c>
      <c r="H172" s="51" t="s">
        <v>20</v>
      </c>
      <c r="I172" s="75" t="s">
        <v>19</v>
      </c>
      <c r="J172" s="75" t="s">
        <v>19</v>
      </c>
      <c r="K172" s="75" t="s">
        <v>20</v>
      </c>
      <c r="L172" s="51" t="s">
        <v>19</v>
      </c>
      <c r="M172" s="51" t="s">
        <v>19</v>
      </c>
      <c r="N172" s="51" t="s">
        <v>20</v>
      </c>
      <c r="O172" s="51" t="s">
        <v>20</v>
      </c>
      <c r="P172" s="51" t="s">
        <v>20</v>
      </c>
      <c r="Q172" s="51" t="s">
        <v>20</v>
      </c>
      <c r="R172" s="51" t="s">
        <v>19</v>
      </c>
      <c r="S172" s="51" t="s">
        <v>19</v>
      </c>
      <c r="T172" s="51" t="s">
        <v>20</v>
      </c>
      <c r="U172" s="45" t="s">
        <v>19</v>
      </c>
      <c r="V172" s="54" t="s">
        <v>19</v>
      </c>
      <c r="W172" s="54" t="s">
        <v>19</v>
      </c>
      <c r="X172" s="51" t="s">
        <v>19</v>
      </c>
      <c r="Y172" s="51" t="s">
        <v>20</v>
      </c>
      <c r="Z172" s="39" t="s">
        <v>20</v>
      </c>
      <c r="AA172" s="39" t="s">
        <v>20</v>
      </c>
      <c r="AB172" s="39" t="s">
        <v>20</v>
      </c>
      <c r="AC172" s="53" t="s">
        <v>20</v>
      </c>
      <c r="AD172" s="53" t="s">
        <v>20</v>
      </c>
    </row>
    <row r="173" spans="1:33" ht="15.75" customHeight="1" x14ac:dyDescent="0.25">
      <c r="A173" s="20">
        <v>20</v>
      </c>
      <c r="B173" s="37" t="s">
        <v>149</v>
      </c>
      <c r="C173" s="20">
        <v>4</v>
      </c>
      <c r="D173" s="20" t="s">
        <v>20</v>
      </c>
      <c r="E173" s="51" t="s">
        <v>19</v>
      </c>
      <c r="F173" s="51" t="s">
        <v>19</v>
      </c>
      <c r="G173" s="51" t="s">
        <v>19</v>
      </c>
      <c r="H173" s="51" t="s">
        <v>22</v>
      </c>
      <c r="I173" s="75" t="s">
        <v>19</v>
      </c>
      <c r="J173" s="75" t="s">
        <v>22</v>
      </c>
      <c r="K173" s="75" t="s">
        <v>19</v>
      </c>
      <c r="L173" s="51" t="s">
        <v>19</v>
      </c>
      <c r="M173" s="51" t="s">
        <v>19</v>
      </c>
      <c r="N173" s="51" t="s">
        <v>19</v>
      </c>
      <c r="O173" s="51" t="s">
        <v>19</v>
      </c>
      <c r="P173" s="51" t="s">
        <v>19</v>
      </c>
      <c r="Q173" s="51" t="s">
        <v>19</v>
      </c>
      <c r="R173" s="51" t="s">
        <v>19</v>
      </c>
      <c r="S173" s="51" t="s">
        <v>19</v>
      </c>
      <c r="T173" s="51" t="s">
        <v>19</v>
      </c>
      <c r="U173" s="46" t="s">
        <v>19</v>
      </c>
      <c r="V173" s="54" t="s">
        <v>19</v>
      </c>
      <c r="W173" s="54" t="s">
        <v>19</v>
      </c>
      <c r="X173" s="51" t="s">
        <v>22</v>
      </c>
      <c r="Y173" s="51" t="s">
        <v>22</v>
      </c>
      <c r="Z173" s="39" t="s">
        <v>19</v>
      </c>
      <c r="AA173" s="39" t="s">
        <v>19</v>
      </c>
      <c r="AB173" s="39" t="s">
        <v>19</v>
      </c>
      <c r="AC173" s="53" t="s">
        <v>19</v>
      </c>
      <c r="AD173" s="53" t="s">
        <v>20</v>
      </c>
    </row>
    <row r="174" spans="1:33" ht="15.75" customHeight="1" x14ac:dyDescent="0.25">
      <c r="A174" s="20">
        <v>21</v>
      </c>
      <c r="B174" s="37" t="s">
        <v>150</v>
      </c>
      <c r="C174" s="20">
        <v>4</v>
      </c>
      <c r="D174" s="20" t="s">
        <v>20</v>
      </c>
      <c r="E174" s="51" t="s">
        <v>20</v>
      </c>
      <c r="F174" s="51" t="s">
        <v>21</v>
      </c>
      <c r="G174" s="51" t="s">
        <v>21</v>
      </c>
      <c r="H174" s="51" t="s">
        <v>21</v>
      </c>
      <c r="I174" s="75" t="s">
        <v>19</v>
      </c>
      <c r="J174" s="75" t="s">
        <v>20</v>
      </c>
      <c r="K174" s="75" t="s">
        <v>20</v>
      </c>
      <c r="L174" s="51" t="s">
        <v>20</v>
      </c>
      <c r="M174" s="51" t="s">
        <v>20</v>
      </c>
      <c r="N174" s="51" t="s">
        <v>20</v>
      </c>
      <c r="O174" s="51" t="s">
        <v>20</v>
      </c>
      <c r="P174" s="51" t="s">
        <v>20</v>
      </c>
      <c r="Q174" s="51" t="s">
        <v>21</v>
      </c>
      <c r="R174" s="51" t="s">
        <v>20</v>
      </c>
      <c r="S174" s="51" t="s">
        <v>19</v>
      </c>
      <c r="T174" s="51" t="s">
        <v>19</v>
      </c>
      <c r="U174" s="45" t="s">
        <v>19</v>
      </c>
      <c r="V174" s="54" t="s">
        <v>19</v>
      </c>
      <c r="W174" s="54" t="s">
        <v>19</v>
      </c>
      <c r="X174" s="51" t="s">
        <v>20</v>
      </c>
      <c r="Y174" s="51" t="s">
        <v>20</v>
      </c>
      <c r="Z174" s="39" t="s">
        <v>20</v>
      </c>
      <c r="AA174" s="39" t="s">
        <v>20</v>
      </c>
      <c r="AB174" s="39" t="s">
        <v>19</v>
      </c>
      <c r="AC174" s="53" t="s">
        <v>20</v>
      </c>
      <c r="AD174" s="53" t="s">
        <v>20</v>
      </c>
    </row>
    <row r="175" spans="1:33" ht="15.75" customHeight="1" x14ac:dyDescent="0.25">
      <c r="A175" s="20">
        <v>22</v>
      </c>
      <c r="B175" s="37" t="s">
        <v>152</v>
      </c>
      <c r="C175" s="20">
        <v>4</v>
      </c>
      <c r="D175" s="20" t="s">
        <v>20</v>
      </c>
      <c r="E175" s="51" t="s">
        <v>19</v>
      </c>
      <c r="F175" s="51" t="s">
        <v>22</v>
      </c>
      <c r="G175" s="51" t="s">
        <v>22</v>
      </c>
      <c r="H175" s="51" t="s">
        <v>22</v>
      </c>
      <c r="I175" s="75" t="s">
        <v>19</v>
      </c>
      <c r="J175" s="75" t="s">
        <v>19</v>
      </c>
      <c r="K175" s="75" t="s">
        <v>19</v>
      </c>
      <c r="L175" s="51" t="s">
        <v>19</v>
      </c>
      <c r="M175" s="51" t="s">
        <v>19</v>
      </c>
      <c r="N175" s="51" t="s">
        <v>19</v>
      </c>
      <c r="O175" s="51" t="s">
        <v>19</v>
      </c>
      <c r="P175" s="51" t="s">
        <v>20</v>
      </c>
      <c r="Q175" s="51" t="s">
        <v>20</v>
      </c>
      <c r="R175" s="51" t="s">
        <v>19</v>
      </c>
      <c r="S175" s="51" t="s">
        <v>19</v>
      </c>
      <c r="T175" s="51" t="s">
        <v>19</v>
      </c>
      <c r="U175" s="45" t="s">
        <v>19</v>
      </c>
      <c r="V175" s="54" t="s">
        <v>19</v>
      </c>
      <c r="W175" s="54" t="s">
        <v>19</v>
      </c>
      <c r="X175" s="51" t="s">
        <v>19</v>
      </c>
      <c r="Y175" s="51" t="s">
        <v>19</v>
      </c>
      <c r="Z175" s="39" t="s">
        <v>19</v>
      </c>
      <c r="AA175" s="39" t="s">
        <v>20</v>
      </c>
      <c r="AB175" s="39" t="s">
        <v>19</v>
      </c>
      <c r="AC175" s="53" t="s">
        <v>59</v>
      </c>
      <c r="AD175" s="53" t="s">
        <v>59</v>
      </c>
    </row>
    <row r="176" spans="1:33" ht="15.75" customHeight="1" x14ac:dyDescent="0.25">
      <c r="A176" s="20">
        <v>23</v>
      </c>
      <c r="B176" s="37" t="s">
        <v>153</v>
      </c>
      <c r="C176" s="20">
        <v>4</v>
      </c>
      <c r="D176" s="20" t="s">
        <v>20</v>
      </c>
      <c r="E176" s="51" t="s">
        <v>19</v>
      </c>
      <c r="F176" s="51" t="s">
        <v>19</v>
      </c>
      <c r="G176" s="51" t="s">
        <v>19</v>
      </c>
      <c r="H176" s="51" t="s">
        <v>19</v>
      </c>
      <c r="I176" s="75" t="s">
        <v>19</v>
      </c>
      <c r="J176" s="75" t="s">
        <v>19</v>
      </c>
      <c r="K176" s="75" t="s">
        <v>20</v>
      </c>
      <c r="L176" s="51" t="s">
        <v>19</v>
      </c>
      <c r="M176" s="51" t="s">
        <v>20</v>
      </c>
      <c r="N176" s="51" t="s">
        <v>19</v>
      </c>
      <c r="O176" s="51" t="s">
        <v>19</v>
      </c>
      <c r="P176" s="51" t="s">
        <v>19</v>
      </c>
      <c r="Q176" s="51" t="s">
        <v>19</v>
      </c>
      <c r="R176" s="51" t="s">
        <v>19</v>
      </c>
      <c r="S176" s="51" t="s">
        <v>19</v>
      </c>
      <c r="T176" s="51" t="s">
        <v>19</v>
      </c>
      <c r="U176" s="45" t="s">
        <v>19</v>
      </c>
      <c r="V176" s="54" t="s">
        <v>19</v>
      </c>
      <c r="W176" s="54" t="s">
        <v>19</v>
      </c>
      <c r="X176" s="51" t="s">
        <v>19</v>
      </c>
      <c r="Y176" s="51" t="s">
        <v>19</v>
      </c>
      <c r="Z176" s="39" t="s">
        <v>20</v>
      </c>
      <c r="AA176" s="39" t="s">
        <v>20</v>
      </c>
      <c r="AB176" s="39" t="s">
        <v>19</v>
      </c>
      <c r="AC176" s="53" t="s">
        <v>19</v>
      </c>
      <c r="AD176" s="53" t="s">
        <v>20</v>
      </c>
    </row>
    <row r="177" spans="1:33" ht="15.75" customHeight="1" x14ac:dyDescent="0.25">
      <c r="A177" s="20">
        <v>24</v>
      </c>
      <c r="B177" s="37" t="s">
        <v>154</v>
      </c>
      <c r="C177" s="20">
        <v>4</v>
      </c>
      <c r="D177" s="20" t="s">
        <v>20</v>
      </c>
      <c r="E177" s="51" t="s">
        <v>19</v>
      </c>
      <c r="F177" s="51" t="s">
        <v>19</v>
      </c>
      <c r="G177" s="51" t="s">
        <v>19</v>
      </c>
      <c r="H177" s="51" t="s">
        <v>19</v>
      </c>
      <c r="I177" s="75" t="s">
        <v>19</v>
      </c>
      <c r="J177" s="75" t="s">
        <v>19</v>
      </c>
      <c r="K177" s="75" t="s">
        <v>19</v>
      </c>
      <c r="L177" s="51" t="s">
        <v>19</v>
      </c>
      <c r="M177" s="51" t="s">
        <v>19</v>
      </c>
      <c r="N177" s="51" t="s">
        <v>19</v>
      </c>
      <c r="O177" s="51" t="s">
        <v>20</v>
      </c>
      <c r="P177" s="51" t="s">
        <v>20</v>
      </c>
      <c r="Q177" s="51" t="s">
        <v>19</v>
      </c>
      <c r="R177" s="51" t="s">
        <v>19</v>
      </c>
      <c r="S177" s="51" t="s">
        <v>19</v>
      </c>
      <c r="T177" s="51" t="s">
        <v>19</v>
      </c>
      <c r="U177" s="45" t="s">
        <v>19</v>
      </c>
      <c r="V177" s="54" t="s">
        <v>19</v>
      </c>
      <c r="W177" s="54" t="s">
        <v>19</v>
      </c>
      <c r="X177" s="51" t="s">
        <v>19</v>
      </c>
      <c r="Y177" s="51" t="s">
        <v>19</v>
      </c>
      <c r="Z177" s="39" t="s">
        <v>19</v>
      </c>
      <c r="AA177" s="39" t="s">
        <v>19</v>
      </c>
      <c r="AB177" s="39" t="s">
        <v>19</v>
      </c>
      <c r="AC177" s="53" t="s">
        <v>19</v>
      </c>
      <c r="AD177" s="53" t="s">
        <v>20</v>
      </c>
    </row>
    <row r="178" spans="1:33" ht="15.75" customHeight="1" thickBot="1" x14ac:dyDescent="0.3">
      <c r="A178" s="21">
        <v>25</v>
      </c>
      <c r="B178" s="38" t="s">
        <v>155</v>
      </c>
      <c r="C178" s="21">
        <v>4</v>
      </c>
      <c r="D178" s="21" t="s">
        <v>20</v>
      </c>
      <c r="E178" s="87" t="s">
        <v>19</v>
      </c>
      <c r="F178" s="87" t="s">
        <v>19</v>
      </c>
      <c r="G178" s="87" t="s">
        <v>19</v>
      </c>
      <c r="H178" s="87" t="s">
        <v>19</v>
      </c>
      <c r="I178" s="103" t="s">
        <v>19</v>
      </c>
      <c r="J178" s="103" t="s">
        <v>22</v>
      </c>
      <c r="K178" s="103" t="s">
        <v>19</v>
      </c>
      <c r="L178" s="87" t="s">
        <v>19</v>
      </c>
      <c r="M178" s="87" t="s">
        <v>19</v>
      </c>
      <c r="N178" s="87" t="s">
        <v>19</v>
      </c>
      <c r="O178" s="87" t="s">
        <v>19</v>
      </c>
      <c r="P178" s="87" t="s">
        <v>19</v>
      </c>
      <c r="Q178" s="87" t="s">
        <v>19</v>
      </c>
      <c r="R178" s="87" t="s">
        <v>19</v>
      </c>
      <c r="S178" s="102" t="s">
        <v>19</v>
      </c>
      <c r="T178" s="87" t="s">
        <v>19</v>
      </c>
      <c r="U178" s="47" t="s">
        <v>19</v>
      </c>
      <c r="V178" s="100" t="s">
        <v>19</v>
      </c>
      <c r="W178" s="100" t="s">
        <v>19</v>
      </c>
      <c r="X178" s="87" t="s">
        <v>19</v>
      </c>
      <c r="Y178" s="87" t="s">
        <v>20</v>
      </c>
      <c r="Z178" s="41" t="s">
        <v>19</v>
      </c>
      <c r="AA178" s="41" t="s">
        <v>20</v>
      </c>
      <c r="AB178" s="41" t="s">
        <v>19</v>
      </c>
      <c r="AC178" s="96" t="s">
        <v>19</v>
      </c>
      <c r="AD178" s="96" t="s">
        <v>20</v>
      </c>
    </row>
    <row r="179" spans="1:33" ht="15.75" customHeight="1" x14ac:dyDescent="0.25">
      <c r="A179" s="97">
        <v>1</v>
      </c>
      <c r="B179" s="98" t="s">
        <v>156</v>
      </c>
      <c r="C179" s="97">
        <v>5</v>
      </c>
      <c r="D179" s="97" t="s">
        <v>19</v>
      </c>
      <c r="E179" s="83" t="s">
        <v>19</v>
      </c>
      <c r="F179" s="83" t="s">
        <v>19</v>
      </c>
      <c r="G179" s="83" t="s">
        <v>22</v>
      </c>
      <c r="H179" s="83" t="s">
        <v>22</v>
      </c>
      <c r="I179" s="101" t="s">
        <v>19</v>
      </c>
      <c r="J179" s="101" t="s">
        <v>19</v>
      </c>
      <c r="K179" s="101" t="s">
        <v>19</v>
      </c>
      <c r="L179" s="83" t="s">
        <v>19</v>
      </c>
      <c r="M179" s="83" t="s">
        <v>19</v>
      </c>
      <c r="N179" s="83" t="s">
        <v>19</v>
      </c>
      <c r="O179" s="83" t="s">
        <v>20</v>
      </c>
      <c r="P179" s="83" t="s">
        <v>20</v>
      </c>
      <c r="Q179" s="83" t="s">
        <v>20</v>
      </c>
      <c r="R179" s="83" t="s">
        <v>19</v>
      </c>
      <c r="S179" s="83" t="s">
        <v>20</v>
      </c>
      <c r="T179" s="83" t="s">
        <v>20</v>
      </c>
      <c r="U179" s="106" t="s">
        <v>19</v>
      </c>
      <c r="V179" s="99" t="s">
        <v>20</v>
      </c>
      <c r="W179" s="99" t="s">
        <v>20</v>
      </c>
      <c r="X179" s="83" t="s">
        <v>19</v>
      </c>
      <c r="Y179" s="83" t="s">
        <v>19</v>
      </c>
      <c r="Z179" s="86" t="s">
        <v>19</v>
      </c>
      <c r="AA179" s="86" t="s">
        <v>19</v>
      </c>
      <c r="AB179" s="86" t="s">
        <v>20</v>
      </c>
      <c r="AC179" s="94" t="s">
        <v>19</v>
      </c>
      <c r="AD179" s="94" t="s">
        <v>20</v>
      </c>
    </row>
    <row r="180" spans="1:33" ht="15.75" customHeight="1" x14ac:dyDescent="0.25">
      <c r="A180" s="89">
        <v>2</v>
      </c>
      <c r="B180" s="90" t="s">
        <v>157</v>
      </c>
      <c r="C180" s="89">
        <v>5</v>
      </c>
      <c r="D180" s="89" t="s">
        <v>19</v>
      </c>
      <c r="E180" s="51" t="s">
        <v>19</v>
      </c>
      <c r="F180" s="51" t="s">
        <v>19</v>
      </c>
      <c r="G180" s="51" t="s">
        <v>19</v>
      </c>
      <c r="H180" s="51" t="s">
        <v>19</v>
      </c>
      <c r="I180" s="75" t="s">
        <v>19</v>
      </c>
      <c r="J180" s="75" t="s">
        <v>19</v>
      </c>
      <c r="K180" s="75" t="s">
        <v>19</v>
      </c>
      <c r="L180" s="51" t="s">
        <v>19</v>
      </c>
      <c r="M180" s="51" t="s">
        <v>19</v>
      </c>
      <c r="N180" s="51" t="s">
        <v>19</v>
      </c>
      <c r="O180" s="51" t="s">
        <v>20</v>
      </c>
      <c r="P180" s="51" t="s">
        <v>19</v>
      </c>
      <c r="Q180" s="51" t="s">
        <v>19</v>
      </c>
      <c r="R180" s="51" t="s">
        <v>19</v>
      </c>
      <c r="S180" s="51" t="s">
        <v>20</v>
      </c>
      <c r="T180" s="51" t="s">
        <v>19</v>
      </c>
      <c r="U180" s="45" t="s">
        <v>19</v>
      </c>
      <c r="V180" s="54" t="s">
        <v>19</v>
      </c>
      <c r="W180" s="54" t="s">
        <v>19</v>
      </c>
      <c r="X180" s="51" t="s">
        <v>20</v>
      </c>
      <c r="Y180" s="51" t="s">
        <v>19</v>
      </c>
      <c r="Z180" s="39" t="s">
        <v>20</v>
      </c>
      <c r="AA180" s="39" t="s">
        <v>19</v>
      </c>
      <c r="AB180" s="39" t="s">
        <v>19</v>
      </c>
      <c r="AC180" s="53" t="s">
        <v>19</v>
      </c>
      <c r="AD180" s="53" t="s">
        <v>20</v>
      </c>
    </row>
    <row r="181" spans="1:33" ht="15.75" customHeight="1" x14ac:dyDescent="0.25">
      <c r="A181" s="89">
        <v>3</v>
      </c>
      <c r="B181" s="90" t="s">
        <v>158</v>
      </c>
      <c r="C181" s="89">
        <v>5</v>
      </c>
      <c r="D181" s="89" t="s">
        <v>19</v>
      </c>
      <c r="E181" s="51" t="s">
        <v>21</v>
      </c>
      <c r="F181" s="51" t="s">
        <v>21</v>
      </c>
      <c r="G181" s="51" t="s">
        <v>20</v>
      </c>
      <c r="H181" s="51" t="s">
        <v>20</v>
      </c>
      <c r="I181" s="75" t="s">
        <v>19</v>
      </c>
      <c r="J181" s="75" t="s">
        <v>19</v>
      </c>
      <c r="K181" s="75" t="s">
        <v>20</v>
      </c>
      <c r="L181" s="51" t="s">
        <v>19</v>
      </c>
      <c r="M181" s="51" t="s">
        <v>19</v>
      </c>
      <c r="N181" s="51" t="s">
        <v>19</v>
      </c>
      <c r="O181" s="51" t="s">
        <v>20</v>
      </c>
      <c r="P181" s="51" t="s">
        <v>20</v>
      </c>
      <c r="Q181" s="51" t="s">
        <v>19</v>
      </c>
      <c r="R181" s="51" t="s">
        <v>20</v>
      </c>
      <c r="S181" s="51" t="s">
        <v>19</v>
      </c>
      <c r="T181" s="51" t="s">
        <v>19</v>
      </c>
      <c r="U181" s="45" t="s">
        <v>19</v>
      </c>
      <c r="V181" s="54" t="s">
        <v>19</v>
      </c>
      <c r="W181" s="54" t="s">
        <v>19</v>
      </c>
      <c r="X181" s="51" t="s">
        <v>19</v>
      </c>
      <c r="Y181" s="51" t="s">
        <v>19</v>
      </c>
      <c r="Z181" s="39" t="s">
        <v>20</v>
      </c>
      <c r="AA181" s="39" t="s">
        <v>20</v>
      </c>
      <c r="AB181" s="39" t="s">
        <v>20</v>
      </c>
      <c r="AC181" s="53" t="s">
        <v>19</v>
      </c>
      <c r="AD181" s="53" t="s">
        <v>20</v>
      </c>
    </row>
    <row r="182" spans="1:33" ht="15.75" customHeight="1" x14ac:dyDescent="0.25">
      <c r="A182" s="89">
        <v>4</v>
      </c>
      <c r="B182" s="90" t="s">
        <v>265</v>
      </c>
      <c r="C182" s="89">
        <v>5</v>
      </c>
      <c r="D182" s="89" t="s">
        <v>19</v>
      </c>
      <c r="E182" s="51" t="s">
        <v>21</v>
      </c>
      <c r="F182" s="51" t="s">
        <v>21</v>
      </c>
      <c r="G182" s="51" t="s">
        <v>21</v>
      </c>
      <c r="H182" s="51" t="s">
        <v>21</v>
      </c>
      <c r="I182" s="75" t="s">
        <v>20</v>
      </c>
      <c r="J182" s="75" t="s">
        <v>20</v>
      </c>
      <c r="K182" s="75" t="s">
        <v>20</v>
      </c>
      <c r="L182" s="51" t="s">
        <v>20</v>
      </c>
      <c r="M182" s="51" t="s">
        <v>20</v>
      </c>
      <c r="N182" s="51" t="s">
        <v>19</v>
      </c>
      <c r="O182" s="51" t="s">
        <v>21</v>
      </c>
      <c r="P182" s="51" t="s">
        <v>20</v>
      </c>
      <c r="Q182" s="51" t="s">
        <v>20</v>
      </c>
      <c r="R182" s="51" t="s">
        <v>20</v>
      </c>
      <c r="S182" s="51" t="s">
        <v>20</v>
      </c>
      <c r="T182" s="51" t="s">
        <v>19</v>
      </c>
      <c r="U182" s="45" t="s">
        <v>19</v>
      </c>
      <c r="V182" s="54" t="s">
        <v>19</v>
      </c>
      <c r="W182" s="54" t="s">
        <v>19</v>
      </c>
      <c r="X182" s="51" t="s">
        <v>19</v>
      </c>
      <c r="Y182" s="51" t="s">
        <v>19</v>
      </c>
      <c r="Z182" s="39" t="s">
        <v>20</v>
      </c>
      <c r="AA182" s="39" t="s">
        <v>20</v>
      </c>
      <c r="AB182" s="39" t="s">
        <v>20</v>
      </c>
      <c r="AC182" s="53" t="s">
        <v>20</v>
      </c>
      <c r="AD182" s="53" t="s">
        <v>20</v>
      </c>
    </row>
    <row r="183" spans="1:33" ht="15.75" customHeight="1" x14ac:dyDescent="0.25">
      <c r="A183" s="89">
        <v>5</v>
      </c>
      <c r="B183" s="90" t="s">
        <v>159</v>
      </c>
      <c r="C183" s="89">
        <v>5</v>
      </c>
      <c r="D183" s="89" t="s">
        <v>19</v>
      </c>
      <c r="E183" s="51" t="s">
        <v>19</v>
      </c>
      <c r="F183" s="51" t="s">
        <v>19</v>
      </c>
      <c r="G183" s="51" t="s">
        <v>22</v>
      </c>
      <c r="H183" s="51" t="s">
        <v>22</v>
      </c>
      <c r="I183" s="75" t="s">
        <v>19</v>
      </c>
      <c r="J183" s="75" t="s">
        <v>19</v>
      </c>
      <c r="K183" s="75" t="s">
        <v>19</v>
      </c>
      <c r="L183" s="51" t="s">
        <v>19</v>
      </c>
      <c r="M183" s="51" t="s">
        <v>19</v>
      </c>
      <c r="N183" s="51" t="s">
        <v>19</v>
      </c>
      <c r="O183" s="51" t="s">
        <v>19</v>
      </c>
      <c r="P183" s="51" t="s">
        <v>20</v>
      </c>
      <c r="Q183" s="51" t="s">
        <v>20</v>
      </c>
      <c r="R183" s="51" t="s">
        <v>19</v>
      </c>
      <c r="S183" s="51" t="s">
        <v>20</v>
      </c>
      <c r="T183" s="51" t="s">
        <v>19</v>
      </c>
      <c r="U183" s="46" t="s">
        <v>19</v>
      </c>
      <c r="V183" s="54" t="s">
        <v>19</v>
      </c>
      <c r="W183" s="54" t="s">
        <v>19</v>
      </c>
      <c r="X183" s="51" t="s">
        <v>19</v>
      </c>
      <c r="Y183" s="51" t="s">
        <v>19</v>
      </c>
      <c r="Z183" s="39" t="s">
        <v>20</v>
      </c>
      <c r="AA183" s="39" t="s">
        <v>20</v>
      </c>
      <c r="AB183" s="39" t="s">
        <v>20</v>
      </c>
      <c r="AC183" s="53" t="s">
        <v>19</v>
      </c>
      <c r="AD183" s="53" t="s">
        <v>20</v>
      </c>
    </row>
    <row r="184" spans="1:33" ht="15.75" customHeight="1" x14ac:dyDescent="0.25">
      <c r="A184" s="89">
        <v>6</v>
      </c>
      <c r="B184" s="90" t="s">
        <v>160</v>
      </c>
      <c r="C184" s="89">
        <v>5</v>
      </c>
      <c r="D184" s="89" t="s">
        <v>19</v>
      </c>
      <c r="E184" s="51" t="s">
        <v>19</v>
      </c>
      <c r="F184" s="51" t="s">
        <v>19</v>
      </c>
      <c r="G184" s="51" t="s">
        <v>22</v>
      </c>
      <c r="H184" s="51" t="s">
        <v>22</v>
      </c>
      <c r="I184" s="75" t="s">
        <v>19</v>
      </c>
      <c r="J184" s="75" t="s">
        <v>19</v>
      </c>
      <c r="K184" s="75" t="s">
        <v>19</v>
      </c>
      <c r="L184" s="51" t="s">
        <v>19</v>
      </c>
      <c r="M184" s="51" t="s">
        <v>19</v>
      </c>
      <c r="N184" s="51" t="s">
        <v>19</v>
      </c>
      <c r="O184" s="51" t="s">
        <v>20</v>
      </c>
      <c r="P184" s="51" t="s">
        <v>20</v>
      </c>
      <c r="Q184" s="51" t="s">
        <v>20</v>
      </c>
      <c r="R184" s="51" t="s">
        <v>20</v>
      </c>
      <c r="S184" s="51" t="s">
        <v>19</v>
      </c>
      <c r="T184" s="51" t="s">
        <v>19</v>
      </c>
      <c r="U184" s="45" t="s">
        <v>19</v>
      </c>
      <c r="V184" s="54" t="s">
        <v>19</v>
      </c>
      <c r="W184" s="59" t="s">
        <v>19</v>
      </c>
      <c r="X184" s="51" t="s">
        <v>19</v>
      </c>
      <c r="Y184" s="51" t="s">
        <v>19</v>
      </c>
      <c r="Z184" s="39" t="s">
        <v>19</v>
      </c>
      <c r="AA184" s="39" t="s">
        <v>19</v>
      </c>
      <c r="AB184" s="39" t="s">
        <v>19</v>
      </c>
      <c r="AC184" s="53" t="s">
        <v>19</v>
      </c>
      <c r="AD184" s="53" t="s">
        <v>20</v>
      </c>
    </row>
    <row r="185" spans="1:33" ht="15.75" customHeight="1" x14ac:dyDescent="0.25">
      <c r="A185" s="89">
        <v>7</v>
      </c>
      <c r="B185" s="90" t="s">
        <v>161</v>
      </c>
      <c r="C185" s="89">
        <v>5</v>
      </c>
      <c r="D185" s="89" t="s">
        <v>19</v>
      </c>
      <c r="E185" s="51" t="s">
        <v>21</v>
      </c>
      <c r="F185" s="51" t="s">
        <v>20</v>
      </c>
      <c r="G185" s="51" t="s">
        <v>21</v>
      </c>
      <c r="H185" s="51" t="s">
        <v>20</v>
      </c>
      <c r="I185" s="75" t="s">
        <v>19</v>
      </c>
      <c r="J185" s="75" t="s">
        <v>19</v>
      </c>
      <c r="K185" s="75" t="s">
        <v>20</v>
      </c>
      <c r="L185" s="51" t="s">
        <v>20</v>
      </c>
      <c r="M185" s="51" t="s">
        <v>19</v>
      </c>
      <c r="N185" s="51" t="s">
        <v>19</v>
      </c>
      <c r="O185" s="51" t="s">
        <v>20</v>
      </c>
      <c r="P185" s="51" t="s">
        <v>19</v>
      </c>
      <c r="Q185" s="51" t="s">
        <v>19</v>
      </c>
      <c r="R185" s="51" t="s">
        <v>20</v>
      </c>
      <c r="S185" s="51" t="s">
        <v>20</v>
      </c>
      <c r="T185" s="51" t="s">
        <v>19</v>
      </c>
      <c r="U185" s="45" t="s">
        <v>19</v>
      </c>
      <c r="V185" s="54" t="s">
        <v>19</v>
      </c>
      <c r="W185" s="54" t="s">
        <v>19</v>
      </c>
      <c r="X185" s="51" t="s">
        <v>19</v>
      </c>
      <c r="Y185" s="51" t="s">
        <v>20</v>
      </c>
      <c r="Z185" s="39" t="s">
        <v>20</v>
      </c>
      <c r="AA185" s="39" t="s">
        <v>19</v>
      </c>
      <c r="AB185" s="39" t="s">
        <v>20</v>
      </c>
      <c r="AC185" s="53" t="s">
        <v>19</v>
      </c>
      <c r="AD185" s="53" t="s">
        <v>20</v>
      </c>
    </row>
    <row r="186" spans="1:33" ht="15.75" customHeight="1" x14ac:dyDescent="0.25">
      <c r="A186" s="89">
        <v>8</v>
      </c>
      <c r="B186" s="90" t="s">
        <v>162</v>
      </c>
      <c r="C186" s="89">
        <v>5</v>
      </c>
      <c r="D186" s="89" t="s">
        <v>19</v>
      </c>
      <c r="E186" s="51" t="s">
        <v>20</v>
      </c>
      <c r="F186" s="51" t="s">
        <v>20</v>
      </c>
      <c r="G186" s="51" t="s">
        <v>20</v>
      </c>
      <c r="H186" s="51" t="s">
        <v>20</v>
      </c>
      <c r="I186" s="75" t="s">
        <v>20</v>
      </c>
      <c r="J186" s="75" t="s">
        <v>20</v>
      </c>
      <c r="K186" s="75" t="s">
        <v>20</v>
      </c>
      <c r="L186" s="51" t="s">
        <v>20</v>
      </c>
      <c r="M186" s="51" t="s">
        <v>19</v>
      </c>
      <c r="N186" s="51" t="s">
        <v>19</v>
      </c>
      <c r="O186" s="51" t="s">
        <v>20</v>
      </c>
      <c r="P186" s="51" t="s">
        <v>21</v>
      </c>
      <c r="Q186" s="51" t="s">
        <v>20</v>
      </c>
      <c r="R186" s="51" t="s">
        <v>20</v>
      </c>
      <c r="S186" s="51" t="s">
        <v>20</v>
      </c>
      <c r="T186" s="51" t="s">
        <v>20</v>
      </c>
      <c r="U186" s="45" t="s">
        <v>20</v>
      </c>
      <c r="V186" s="54" t="s">
        <v>19</v>
      </c>
      <c r="W186" s="54" t="s">
        <v>19</v>
      </c>
      <c r="X186" s="51" t="s">
        <v>20</v>
      </c>
      <c r="Y186" s="51" t="s">
        <v>20</v>
      </c>
      <c r="Z186" s="39" t="s">
        <v>20</v>
      </c>
      <c r="AA186" s="39" t="s">
        <v>20</v>
      </c>
      <c r="AB186" s="39" t="s">
        <v>20</v>
      </c>
      <c r="AC186" s="53" t="s">
        <v>20</v>
      </c>
      <c r="AD186" s="53" t="s">
        <v>20</v>
      </c>
    </row>
    <row r="187" spans="1:33" ht="15.75" customHeight="1" x14ac:dyDescent="0.25">
      <c r="A187" s="89">
        <v>9</v>
      </c>
      <c r="B187" s="90" t="s">
        <v>163</v>
      </c>
      <c r="C187" s="89">
        <v>5</v>
      </c>
      <c r="D187" s="89" t="s">
        <v>19</v>
      </c>
      <c r="E187" s="51" t="s">
        <v>19</v>
      </c>
      <c r="F187" s="51" t="s">
        <v>19</v>
      </c>
      <c r="G187" s="51" t="s">
        <v>19</v>
      </c>
      <c r="H187" s="51" t="s">
        <v>19</v>
      </c>
      <c r="I187" s="75" t="s">
        <v>19</v>
      </c>
      <c r="J187" s="75" t="s">
        <v>19</v>
      </c>
      <c r="K187" s="75" t="s">
        <v>19</v>
      </c>
      <c r="L187" s="51" t="s">
        <v>19</v>
      </c>
      <c r="M187" s="51" t="s">
        <v>19</v>
      </c>
      <c r="N187" s="51" t="s">
        <v>19</v>
      </c>
      <c r="O187" s="51" t="s">
        <v>20</v>
      </c>
      <c r="P187" s="51" t="s">
        <v>20</v>
      </c>
      <c r="Q187" s="51" t="s">
        <v>19</v>
      </c>
      <c r="R187" s="51" t="s">
        <v>19</v>
      </c>
      <c r="S187" s="51" t="s">
        <v>20</v>
      </c>
      <c r="T187" s="51" t="s">
        <v>20</v>
      </c>
      <c r="U187" s="45" t="s">
        <v>19</v>
      </c>
      <c r="V187" s="54" t="s">
        <v>19</v>
      </c>
      <c r="W187" s="54" t="s">
        <v>19</v>
      </c>
      <c r="X187" s="51" t="s">
        <v>19</v>
      </c>
      <c r="Y187" s="51" t="s">
        <v>19</v>
      </c>
      <c r="Z187" s="39" t="s">
        <v>19</v>
      </c>
      <c r="AA187" s="39" t="s">
        <v>19</v>
      </c>
      <c r="AB187" s="39" t="s">
        <v>19</v>
      </c>
      <c r="AC187" s="53" t="s">
        <v>19</v>
      </c>
      <c r="AD187" s="53" t="s">
        <v>20</v>
      </c>
    </row>
    <row r="188" spans="1:33" ht="15.75" customHeight="1" x14ac:dyDescent="0.25">
      <c r="A188" s="89">
        <v>10</v>
      </c>
      <c r="B188" s="90" t="s">
        <v>164</v>
      </c>
      <c r="C188" s="89">
        <v>5</v>
      </c>
      <c r="D188" s="89" t="s">
        <v>19</v>
      </c>
      <c r="E188" s="51" t="s">
        <v>19</v>
      </c>
      <c r="F188" s="51" t="s">
        <v>19</v>
      </c>
      <c r="G188" s="51" t="s">
        <v>19</v>
      </c>
      <c r="H188" s="51" t="s">
        <v>19</v>
      </c>
      <c r="I188" s="75" t="s">
        <v>19</v>
      </c>
      <c r="J188" s="75" t="s">
        <v>19</v>
      </c>
      <c r="K188" s="75" t="s">
        <v>20</v>
      </c>
      <c r="L188" s="51" t="s">
        <v>19</v>
      </c>
      <c r="M188" s="51" t="s">
        <v>19</v>
      </c>
      <c r="N188" s="51" t="s">
        <v>19</v>
      </c>
      <c r="O188" s="51" t="s">
        <v>20</v>
      </c>
      <c r="P188" s="51" t="s">
        <v>20</v>
      </c>
      <c r="Q188" s="51" t="s">
        <v>19</v>
      </c>
      <c r="R188" s="51" t="s">
        <v>19</v>
      </c>
      <c r="S188" s="51" t="s">
        <v>20</v>
      </c>
      <c r="T188" s="51" t="s">
        <v>19</v>
      </c>
      <c r="U188" s="45" t="s">
        <v>19</v>
      </c>
      <c r="V188" s="54" t="s">
        <v>19</v>
      </c>
      <c r="W188" s="54" t="s">
        <v>20</v>
      </c>
      <c r="X188" s="51" t="s">
        <v>19</v>
      </c>
      <c r="Y188" s="51" t="s">
        <v>19</v>
      </c>
      <c r="Z188" s="39" t="s">
        <v>22</v>
      </c>
      <c r="AA188" s="39" t="s">
        <v>19</v>
      </c>
      <c r="AB188" s="39" t="s">
        <v>19</v>
      </c>
      <c r="AC188" s="53" t="s">
        <v>19</v>
      </c>
      <c r="AD188" s="53" t="s">
        <v>20</v>
      </c>
    </row>
    <row r="189" spans="1:33" ht="15.75" customHeight="1" x14ac:dyDescent="0.25">
      <c r="A189" s="89">
        <v>11</v>
      </c>
      <c r="B189" s="90" t="s">
        <v>165</v>
      </c>
      <c r="C189" s="89">
        <v>5</v>
      </c>
      <c r="D189" s="89" t="s">
        <v>19</v>
      </c>
      <c r="E189" s="51" t="s">
        <v>19</v>
      </c>
      <c r="F189" s="51" t="s">
        <v>19</v>
      </c>
      <c r="G189" s="51" t="s">
        <v>22</v>
      </c>
      <c r="H189" s="51" t="s">
        <v>19</v>
      </c>
      <c r="I189" s="75" t="s">
        <v>19</v>
      </c>
      <c r="J189" s="75" t="s">
        <v>19</v>
      </c>
      <c r="K189" s="75" t="s">
        <v>19</v>
      </c>
      <c r="L189" s="51" t="s">
        <v>19</v>
      </c>
      <c r="M189" s="51" t="s">
        <v>19</v>
      </c>
      <c r="N189" s="51" t="s">
        <v>19</v>
      </c>
      <c r="O189" s="51" t="s">
        <v>19</v>
      </c>
      <c r="P189" s="51" t="s">
        <v>19</v>
      </c>
      <c r="Q189" s="51" t="s">
        <v>20</v>
      </c>
      <c r="R189" s="51" t="s">
        <v>19</v>
      </c>
      <c r="S189" s="51" t="s">
        <v>20</v>
      </c>
      <c r="T189" s="51" t="s">
        <v>19</v>
      </c>
      <c r="U189" s="45" t="s">
        <v>19</v>
      </c>
      <c r="V189" s="54" t="s">
        <v>19</v>
      </c>
      <c r="W189" s="54" t="s">
        <v>19</v>
      </c>
      <c r="X189" s="51" t="s">
        <v>19</v>
      </c>
      <c r="Y189" s="51" t="s">
        <v>19</v>
      </c>
      <c r="Z189" s="39" t="s">
        <v>19</v>
      </c>
      <c r="AA189" s="39" t="s">
        <v>19</v>
      </c>
      <c r="AB189" s="39" t="s">
        <v>20</v>
      </c>
      <c r="AC189" s="53" t="s">
        <v>19</v>
      </c>
      <c r="AD189" s="53" t="s">
        <v>20</v>
      </c>
    </row>
    <row r="190" spans="1:33" ht="15.75" customHeight="1" thickBot="1" x14ac:dyDescent="0.3">
      <c r="A190" s="89">
        <v>12</v>
      </c>
      <c r="B190" s="90" t="s">
        <v>166</v>
      </c>
      <c r="C190" s="89">
        <v>5</v>
      </c>
      <c r="D190" s="89" t="s">
        <v>19</v>
      </c>
      <c r="E190" s="51" t="s">
        <v>19</v>
      </c>
      <c r="F190" s="51" t="s">
        <v>22</v>
      </c>
      <c r="G190" s="51" t="s">
        <v>19</v>
      </c>
      <c r="H190" s="51" t="s">
        <v>22</v>
      </c>
      <c r="I190" s="75" t="s">
        <v>19</v>
      </c>
      <c r="J190" s="75" t="s">
        <v>22</v>
      </c>
      <c r="K190" s="75" t="s">
        <v>19</v>
      </c>
      <c r="L190" s="51" t="s">
        <v>19</v>
      </c>
      <c r="M190" s="51" t="s">
        <v>19</v>
      </c>
      <c r="N190" s="51" t="s">
        <v>19</v>
      </c>
      <c r="O190" s="51" t="s">
        <v>19</v>
      </c>
      <c r="P190" s="51" t="s">
        <v>19</v>
      </c>
      <c r="Q190" s="51" t="s">
        <v>19</v>
      </c>
      <c r="R190" s="51" t="s">
        <v>19</v>
      </c>
      <c r="S190" s="51" t="s">
        <v>19</v>
      </c>
      <c r="T190" s="51" t="s">
        <v>19</v>
      </c>
      <c r="U190" s="45" t="s">
        <v>19</v>
      </c>
      <c r="V190" s="54" t="s">
        <v>19</v>
      </c>
      <c r="W190" s="54" t="s">
        <v>19</v>
      </c>
      <c r="X190" s="51" t="s">
        <v>22</v>
      </c>
      <c r="Y190" s="51" t="s">
        <v>22</v>
      </c>
      <c r="Z190" s="39" t="s">
        <v>22</v>
      </c>
      <c r="AA190" s="39" t="s">
        <v>19</v>
      </c>
      <c r="AB190" s="39" t="s">
        <v>19</v>
      </c>
      <c r="AC190" s="53" t="s">
        <v>19</v>
      </c>
      <c r="AD190" s="53" t="s">
        <v>20</v>
      </c>
    </row>
    <row r="191" spans="1:33" ht="15.75" customHeight="1" x14ac:dyDescent="0.25">
      <c r="A191" s="89">
        <v>13</v>
      </c>
      <c r="B191" s="90" t="s">
        <v>167</v>
      </c>
      <c r="C191" s="89">
        <v>5</v>
      </c>
      <c r="D191" s="89" t="s">
        <v>19</v>
      </c>
      <c r="E191" s="51" t="s">
        <v>19</v>
      </c>
      <c r="F191" s="51" t="s">
        <v>19</v>
      </c>
      <c r="G191" s="51" t="s">
        <v>19</v>
      </c>
      <c r="H191" s="51" t="s">
        <v>19</v>
      </c>
      <c r="I191" s="75" t="s">
        <v>19</v>
      </c>
      <c r="J191" s="75" t="s">
        <v>19</v>
      </c>
      <c r="K191" s="75" t="s">
        <v>19</v>
      </c>
      <c r="L191" s="51" t="s">
        <v>19</v>
      </c>
      <c r="M191" s="51" t="s">
        <v>19</v>
      </c>
      <c r="N191" s="51" t="s">
        <v>19</v>
      </c>
      <c r="O191" s="51" t="s">
        <v>20</v>
      </c>
      <c r="P191" s="51" t="s">
        <v>20</v>
      </c>
      <c r="Q191" s="51" t="s">
        <v>19</v>
      </c>
      <c r="R191" s="51" t="s">
        <v>20</v>
      </c>
      <c r="S191" s="51" t="s">
        <v>20</v>
      </c>
      <c r="T191" s="51" t="s">
        <v>19</v>
      </c>
      <c r="U191" s="45" t="s">
        <v>19</v>
      </c>
      <c r="V191" s="54" t="s">
        <v>19</v>
      </c>
      <c r="W191" s="54" t="s">
        <v>19</v>
      </c>
      <c r="X191" s="51" t="s">
        <v>19</v>
      </c>
      <c r="Y191" s="51" t="s">
        <v>22</v>
      </c>
      <c r="Z191" s="39" t="s">
        <v>22</v>
      </c>
      <c r="AA191" s="39" t="s">
        <v>19</v>
      </c>
      <c r="AB191" s="39" t="s">
        <v>22</v>
      </c>
      <c r="AC191" s="53" t="s">
        <v>19</v>
      </c>
      <c r="AD191" s="53" t="s">
        <v>20</v>
      </c>
      <c r="AF191" s="29" t="s">
        <v>22</v>
      </c>
      <c r="AG191" s="17">
        <f>COUNTIF(E179:AD206,"AD")</f>
        <v>27</v>
      </c>
    </row>
    <row r="192" spans="1:33" ht="15.75" customHeight="1" x14ac:dyDescent="0.25">
      <c r="A192" s="89">
        <v>14</v>
      </c>
      <c r="B192" s="90" t="s">
        <v>168</v>
      </c>
      <c r="C192" s="89">
        <v>5</v>
      </c>
      <c r="D192" s="89" t="s">
        <v>19</v>
      </c>
      <c r="E192" s="51" t="s">
        <v>19</v>
      </c>
      <c r="F192" s="51" t="s">
        <v>19</v>
      </c>
      <c r="G192" s="51" t="s">
        <v>22</v>
      </c>
      <c r="H192" s="51" t="s">
        <v>19</v>
      </c>
      <c r="I192" s="75" t="s">
        <v>19</v>
      </c>
      <c r="J192" s="75" t="s">
        <v>22</v>
      </c>
      <c r="K192" s="75" t="s">
        <v>19</v>
      </c>
      <c r="L192" s="51" t="s">
        <v>20</v>
      </c>
      <c r="M192" s="51" t="s">
        <v>19</v>
      </c>
      <c r="N192" s="51" t="s">
        <v>19</v>
      </c>
      <c r="O192" s="51" t="s">
        <v>19</v>
      </c>
      <c r="P192" s="51" t="s">
        <v>19</v>
      </c>
      <c r="Q192" s="51" t="s">
        <v>19</v>
      </c>
      <c r="R192" s="51" t="s">
        <v>19</v>
      </c>
      <c r="S192" s="51" t="s">
        <v>20</v>
      </c>
      <c r="T192" s="51" t="s">
        <v>19</v>
      </c>
      <c r="U192" s="54" t="s">
        <v>19</v>
      </c>
      <c r="V192" s="54" t="s">
        <v>19</v>
      </c>
      <c r="W192" s="54" t="s">
        <v>19</v>
      </c>
      <c r="X192" s="51" t="s">
        <v>19</v>
      </c>
      <c r="Y192" s="51" t="s">
        <v>22</v>
      </c>
      <c r="Z192" s="39" t="s">
        <v>20</v>
      </c>
      <c r="AA192" s="39" t="s">
        <v>19</v>
      </c>
      <c r="AB192" s="39" t="s">
        <v>19</v>
      </c>
      <c r="AC192" s="51" t="s">
        <v>19</v>
      </c>
      <c r="AD192" s="51" t="s">
        <v>20</v>
      </c>
      <c r="AF192" s="30" t="s">
        <v>19</v>
      </c>
      <c r="AG192" s="18">
        <f>COUNTIF(E179:AD206,"A")</f>
        <v>439</v>
      </c>
    </row>
    <row r="193" spans="1:33" ht="15.75" customHeight="1" x14ac:dyDescent="0.25">
      <c r="A193" s="89">
        <v>15</v>
      </c>
      <c r="B193" s="90" t="s">
        <v>169</v>
      </c>
      <c r="C193" s="89">
        <v>5</v>
      </c>
      <c r="D193" s="89" t="s">
        <v>19</v>
      </c>
      <c r="E193" s="51" t="s">
        <v>20</v>
      </c>
      <c r="F193" s="51" t="s">
        <v>20</v>
      </c>
      <c r="G193" s="51" t="s">
        <v>20</v>
      </c>
      <c r="H193" s="51" t="s">
        <v>20</v>
      </c>
      <c r="I193" s="75" t="s">
        <v>19</v>
      </c>
      <c r="J193" s="75" t="s">
        <v>19</v>
      </c>
      <c r="K193" s="75" t="s">
        <v>20</v>
      </c>
      <c r="L193" s="51" t="s">
        <v>19</v>
      </c>
      <c r="M193" s="51" t="s">
        <v>20</v>
      </c>
      <c r="N193" s="51" t="s">
        <v>19</v>
      </c>
      <c r="O193" s="51" t="s">
        <v>19</v>
      </c>
      <c r="P193" s="51" t="s">
        <v>20</v>
      </c>
      <c r="Q193" s="51" t="s">
        <v>20</v>
      </c>
      <c r="R193" s="51" t="s">
        <v>20</v>
      </c>
      <c r="S193" s="51" t="s">
        <v>20</v>
      </c>
      <c r="T193" s="51" t="s">
        <v>19</v>
      </c>
      <c r="U193" s="54" t="s">
        <v>19</v>
      </c>
      <c r="V193" s="54" t="s">
        <v>19</v>
      </c>
      <c r="W193" s="54" t="s">
        <v>19</v>
      </c>
      <c r="X193" s="51" t="s">
        <v>20</v>
      </c>
      <c r="Y193" s="51" t="s">
        <v>20</v>
      </c>
      <c r="Z193" s="39" t="s">
        <v>20</v>
      </c>
      <c r="AA193" s="39" t="s">
        <v>20</v>
      </c>
      <c r="AB193" s="39" t="s">
        <v>19</v>
      </c>
      <c r="AC193" s="51" t="s">
        <v>19</v>
      </c>
      <c r="AD193" s="51" t="s">
        <v>20</v>
      </c>
      <c r="AF193" s="30" t="s">
        <v>20</v>
      </c>
      <c r="AG193" s="18">
        <f>COUNTIF(E179:AD206,"B")</f>
        <v>224</v>
      </c>
    </row>
    <row r="194" spans="1:33" ht="15.75" customHeight="1" thickBot="1" x14ac:dyDescent="0.3">
      <c r="A194" s="89">
        <v>16</v>
      </c>
      <c r="B194" s="90" t="s">
        <v>170</v>
      </c>
      <c r="C194" s="89">
        <v>5</v>
      </c>
      <c r="D194" s="89" t="s">
        <v>19</v>
      </c>
      <c r="E194" s="51" t="s">
        <v>19</v>
      </c>
      <c r="F194" s="51" t="s">
        <v>19</v>
      </c>
      <c r="G194" s="51" t="s">
        <v>22</v>
      </c>
      <c r="H194" s="51" t="s">
        <v>22</v>
      </c>
      <c r="I194" s="75" t="s">
        <v>19</v>
      </c>
      <c r="J194" s="75" t="s">
        <v>19</v>
      </c>
      <c r="K194" s="75" t="s">
        <v>19</v>
      </c>
      <c r="L194" s="51" t="s">
        <v>19</v>
      </c>
      <c r="M194" s="51" t="s">
        <v>19</v>
      </c>
      <c r="N194" s="51" t="s">
        <v>19</v>
      </c>
      <c r="O194" s="51" t="s">
        <v>20</v>
      </c>
      <c r="P194" s="51" t="s">
        <v>20</v>
      </c>
      <c r="Q194" s="51" t="s">
        <v>20</v>
      </c>
      <c r="R194" s="51" t="s">
        <v>19</v>
      </c>
      <c r="S194" s="51" t="s">
        <v>20</v>
      </c>
      <c r="T194" s="51" t="s">
        <v>19</v>
      </c>
      <c r="U194" s="54" t="s">
        <v>19</v>
      </c>
      <c r="V194" s="54" t="s">
        <v>19</v>
      </c>
      <c r="W194" s="54" t="s">
        <v>19</v>
      </c>
      <c r="X194" s="51" t="s">
        <v>19</v>
      </c>
      <c r="Y194" s="51" t="s">
        <v>19</v>
      </c>
      <c r="Z194" s="39" t="s">
        <v>19</v>
      </c>
      <c r="AA194" s="39" t="s">
        <v>19</v>
      </c>
      <c r="AB194" s="39" t="s">
        <v>19</v>
      </c>
      <c r="AC194" s="51" t="s">
        <v>19</v>
      </c>
      <c r="AD194" s="51" t="s">
        <v>20</v>
      </c>
      <c r="AF194" s="31" t="s">
        <v>21</v>
      </c>
      <c r="AG194" s="19">
        <f>COUNTIF(E179:AD206,"C")</f>
        <v>36</v>
      </c>
    </row>
    <row r="195" spans="1:33" ht="15.75" customHeight="1" x14ac:dyDescent="0.25">
      <c r="A195" s="89">
        <v>17</v>
      </c>
      <c r="B195" s="90" t="s">
        <v>187</v>
      </c>
      <c r="C195" s="89">
        <v>5</v>
      </c>
      <c r="D195" s="89" t="s">
        <v>19</v>
      </c>
      <c r="E195" s="51" t="s">
        <v>21</v>
      </c>
      <c r="F195" s="51" t="s">
        <v>21</v>
      </c>
      <c r="G195" s="51" t="s">
        <v>21</v>
      </c>
      <c r="H195" s="51" t="s">
        <v>21</v>
      </c>
      <c r="I195" s="75" t="s">
        <v>20</v>
      </c>
      <c r="J195" s="75" t="s">
        <v>20</v>
      </c>
      <c r="K195" s="75" t="s">
        <v>20</v>
      </c>
      <c r="L195" s="51" t="s">
        <v>20</v>
      </c>
      <c r="M195" s="51" t="s">
        <v>20</v>
      </c>
      <c r="N195" s="51" t="s">
        <v>19</v>
      </c>
      <c r="O195" s="51" t="s">
        <v>21</v>
      </c>
      <c r="P195" s="51" t="s">
        <v>20</v>
      </c>
      <c r="Q195" s="51" t="s">
        <v>21</v>
      </c>
      <c r="R195" s="51" t="s">
        <v>20</v>
      </c>
      <c r="S195" s="51" t="s">
        <v>21</v>
      </c>
      <c r="T195" s="51" t="s">
        <v>19</v>
      </c>
      <c r="U195" s="54" t="s">
        <v>20</v>
      </c>
      <c r="V195" s="54" t="s">
        <v>20</v>
      </c>
      <c r="W195" s="54" t="s">
        <v>20</v>
      </c>
      <c r="X195" s="51" t="s">
        <v>20</v>
      </c>
      <c r="Y195" s="51" t="s">
        <v>20</v>
      </c>
      <c r="Z195" s="39" t="s">
        <v>21</v>
      </c>
      <c r="AA195" s="39" t="s">
        <v>20</v>
      </c>
      <c r="AB195" s="39" t="s">
        <v>21</v>
      </c>
      <c r="AC195" s="51" t="s">
        <v>21</v>
      </c>
      <c r="AD195" s="51" t="s">
        <v>20</v>
      </c>
    </row>
    <row r="196" spans="1:33" ht="15.75" customHeight="1" x14ac:dyDescent="0.25">
      <c r="A196" s="89">
        <v>18</v>
      </c>
      <c r="B196" s="90" t="s">
        <v>171</v>
      </c>
      <c r="C196" s="89">
        <v>5</v>
      </c>
      <c r="D196" s="89" t="s">
        <v>19</v>
      </c>
      <c r="E196" s="51" t="s">
        <v>19</v>
      </c>
      <c r="F196" s="51" t="s">
        <v>19</v>
      </c>
      <c r="G196" s="51" t="s">
        <v>19</v>
      </c>
      <c r="H196" s="51" t="s">
        <v>19</v>
      </c>
      <c r="I196" s="75" t="s">
        <v>19</v>
      </c>
      <c r="J196" s="75" t="s">
        <v>19</v>
      </c>
      <c r="K196" s="75" t="s">
        <v>20</v>
      </c>
      <c r="L196" s="51" t="s">
        <v>19</v>
      </c>
      <c r="M196" s="51" t="s">
        <v>19</v>
      </c>
      <c r="N196" s="51" t="s">
        <v>19</v>
      </c>
      <c r="O196" s="51" t="s">
        <v>20</v>
      </c>
      <c r="P196" s="51" t="s">
        <v>19</v>
      </c>
      <c r="Q196" s="51" t="s">
        <v>20</v>
      </c>
      <c r="R196" s="51" t="s">
        <v>20</v>
      </c>
      <c r="S196" s="51" t="s">
        <v>20</v>
      </c>
      <c r="T196" s="51" t="s">
        <v>19</v>
      </c>
      <c r="U196" s="54" t="s">
        <v>19</v>
      </c>
      <c r="V196" s="54" t="s">
        <v>19</v>
      </c>
      <c r="W196" s="54" t="s">
        <v>19</v>
      </c>
      <c r="X196" s="51" t="s">
        <v>19</v>
      </c>
      <c r="Y196" s="51" t="s">
        <v>19</v>
      </c>
      <c r="Z196" s="39" t="s">
        <v>19</v>
      </c>
      <c r="AA196" s="39" t="s">
        <v>19</v>
      </c>
      <c r="AB196" s="39" t="s">
        <v>19</v>
      </c>
      <c r="AC196" s="51" t="s">
        <v>19</v>
      </c>
      <c r="AD196" s="51" t="s">
        <v>20</v>
      </c>
    </row>
    <row r="197" spans="1:33" ht="15.75" customHeight="1" x14ac:dyDescent="0.25">
      <c r="A197" s="89">
        <v>19</v>
      </c>
      <c r="B197" s="90" t="s">
        <v>172</v>
      </c>
      <c r="C197" s="89">
        <v>5</v>
      </c>
      <c r="D197" s="89" t="s">
        <v>19</v>
      </c>
      <c r="E197" s="51" t="s">
        <v>19</v>
      </c>
      <c r="F197" s="51" t="s">
        <v>19</v>
      </c>
      <c r="G197" s="51" t="s">
        <v>19</v>
      </c>
      <c r="H197" s="51" t="s">
        <v>19</v>
      </c>
      <c r="I197" s="75" t="s">
        <v>19</v>
      </c>
      <c r="J197" s="75" t="s">
        <v>19</v>
      </c>
      <c r="K197" s="75" t="s">
        <v>19</v>
      </c>
      <c r="L197" s="51" t="s">
        <v>19</v>
      </c>
      <c r="M197" s="51" t="s">
        <v>19</v>
      </c>
      <c r="N197" s="51" t="s">
        <v>19</v>
      </c>
      <c r="O197" s="51" t="s">
        <v>20</v>
      </c>
      <c r="P197" s="51" t="s">
        <v>20</v>
      </c>
      <c r="Q197" s="51" t="s">
        <v>20</v>
      </c>
      <c r="R197" s="51" t="s">
        <v>20</v>
      </c>
      <c r="S197" s="51" t="s">
        <v>20</v>
      </c>
      <c r="T197" s="51" t="s">
        <v>20</v>
      </c>
      <c r="U197" s="54" t="s">
        <v>20</v>
      </c>
      <c r="V197" s="54" t="s">
        <v>19</v>
      </c>
      <c r="W197" s="54" t="s">
        <v>19</v>
      </c>
      <c r="X197" s="51" t="s">
        <v>20</v>
      </c>
      <c r="Y197" s="51" t="s">
        <v>19</v>
      </c>
      <c r="Z197" s="39" t="s">
        <v>19</v>
      </c>
      <c r="AA197" s="39" t="s">
        <v>19</v>
      </c>
      <c r="AB197" s="39" t="s">
        <v>19</v>
      </c>
      <c r="AC197" s="51" t="s">
        <v>59</v>
      </c>
      <c r="AD197" s="51" t="s">
        <v>59</v>
      </c>
    </row>
    <row r="198" spans="1:33" ht="15.75" customHeight="1" x14ac:dyDescent="0.25">
      <c r="A198" s="89">
        <v>20</v>
      </c>
      <c r="B198" s="90" t="s">
        <v>173</v>
      </c>
      <c r="C198" s="89">
        <v>5</v>
      </c>
      <c r="D198" s="89" t="s">
        <v>19</v>
      </c>
      <c r="E198" s="51" t="s">
        <v>22</v>
      </c>
      <c r="F198" s="51" t="s">
        <v>19</v>
      </c>
      <c r="G198" s="51" t="s">
        <v>19</v>
      </c>
      <c r="H198" s="51" t="s">
        <v>22</v>
      </c>
      <c r="I198" s="75" t="s">
        <v>19</v>
      </c>
      <c r="J198" s="75" t="s">
        <v>19</v>
      </c>
      <c r="K198" s="75" t="s">
        <v>19</v>
      </c>
      <c r="L198" s="51" t="s">
        <v>19</v>
      </c>
      <c r="M198" s="51" t="s">
        <v>19</v>
      </c>
      <c r="N198" s="51" t="s">
        <v>19</v>
      </c>
      <c r="O198" s="51" t="s">
        <v>20</v>
      </c>
      <c r="P198" s="51" t="s">
        <v>19</v>
      </c>
      <c r="Q198" s="51" t="s">
        <v>19</v>
      </c>
      <c r="R198" s="51" t="s">
        <v>20</v>
      </c>
      <c r="S198" s="51" t="s">
        <v>20</v>
      </c>
      <c r="T198" s="51" t="s">
        <v>19</v>
      </c>
      <c r="U198" s="54" t="s">
        <v>19</v>
      </c>
      <c r="V198" s="54" t="s">
        <v>19</v>
      </c>
      <c r="W198" s="54" t="s">
        <v>19</v>
      </c>
      <c r="X198" s="51" t="s">
        <v>19</v>
      </c>
      <c r="Y198" s="51" t="s">
        <v>19</v>
      </c>
      <c r="Z198" s="39" t="s">
        <v>19</v>
      </c>
      <c r="AA198" s="39" t="s">
        <v>19</v>
      </c>
      <c r="AB198" s="39" t="s">
        <v>19</v>
      </c>
      <c r="AC198" s="51" t="s">
        <v>19</v>
      </c>
      <c r="AD198" s="51" t="s">
        <v>20</v>
      </c>
    </row>
    <row r="199" spans="1:33" ht="15.75" customHeight="1" x14ac:dyDescent="0.25">
      <c r="A199" s="89">
        <v>21</v>
      </c>
      <c r="B199" s="90" t="s">
        <v>174</v>
      </c>
      <c r="C199" s="89">
        <v>5</v>
      </c>
      <c r="D199" s="89" t="s">
        <v>19</v>
      </c>
      <c r="E199" s="51" t="s">
        <v>19</v>
      </c>
      <c r="F199" s="51" t="s">
        <v>19</v>
      </c>
      <c r="G199" s="51" t="s">
        <v>22</v>
      </c>
      <c r="H199" s="51" t="s">
        <v>19</v>
      </c>
      <c r="I199" s="75" t="s">
        <v>19</v>
      </c>
      <c r="J199" s="75" t="s">
        <v>19</v>
      </c>
      <c r="K199" s="75" t="s">
        <v>19</v>
      </c>
      <c r="L199" s="51" t="s">
        <v>20</v>
      </c>
      <c r="M199" s="51" t="s">
        <v>19</v>
      </c>
      <c r="N199" s="51" t="s">
        <v>19</v>
      </c>
      <c r="O199" s="51" t="s">
        <v>20</v>
      </c>
      <c r="P199" s="51" t="s">
        <v>20</v>
      </c>
      <c r="Q199" s="51" t="s">
        <v>20</v>
      </c>
      <c r="R199" s="51" t="s">
        <v>19</v>
      </c>
      <c r="S199" s="51" t="s">
        <v>20</v>
      </c>
      <c r="T199" s="51" t="s">
        <v>19</v>
      </c>
      <c r="U199" s="54" t="s">
        <v>19</v>
      </c>
      <c r="V199" s="54" t="s">
        <v>19</v>
      </c>
      <c r="W199" s="54" t="s">
        <v>19</v>
      </c>
      <c r="X199" s="51" t="s">
        <v>19</v>
      </c>
      <c r="Y199" s="51" t="s">
        <v>19</v>
      </c>
      <c r="Z199" s="39" t="s">
        <v>19</v>
      </c>
      <c r="AA199" s="39" t="s">
        <v>19</v>
      </c>
      <c r="AB199" s="39" t="s">
        <v>19</v>
      </c>
      <c r="AC199" s="51" t="s">
        <v>19</v>
      </c>
      <c r="AD199" s="51" t="s">
        <v>20</v>
      </c>
    </row>
    <row r="200" spans="1:33" ht="15.75" customHeight="1" x14ac:dyDescent="0.25">
      <c r="A200" s="89">
        <v>22</v>
      </c>
      <c r="B200" s="90" t="s">
        <v>175</v>
      </c>
      <c r="C200" s="89">
        <v>5</v>
      </c>
      <c r="D200" s="89" t="s">
        <v>19</v>
      </c>
      <c r="E200" s="51" t="s">
        <v>21</v>
      </c>
      <c r="F200" s="51" t="s">
        <v>21</v>
      </c>
      <c r="G200" s="51" t="s">
        <v>20</v>
      </c>
      <c r="H200" s="51" t="s">
        <v>20</v>
      </c>
      <c r="I200" s="75" t="s">
        <v>19</v>
      </c>
      <c r="J200" s="75" t="s">
        <v>19</v>
      </c>
      <c r="K200" s="75" t="s">
        <v>20</v>
      </c>
      <c r="L200" s="51" t="s">
        <v>19</v>
      </c>
      <c r="M200" s="51" t="s">
        <v>19</v>
      </c>
      <c r="N200" s="51" t="s">
        <v>19</v>
      </c>
      <c r="O200" s="51" t="s">
        <v>20</v>
      </c>
      <c r="P200" s="51" t="s">
        <v>20</v>
      </c>
      <c r="Q200" s="51" t="s">
        <v>20</v>
      </c>
      <c r="R200" s="51" t="s">
        <v>20</v>
      </c>
      <c r="S200" s="51" t="s">
        <v>20</v>
      </c>
      <c r="T200" s="51" t="s">
        <v>19</v>
      </c>
      <c r="U200" s="54" t="s">
        <v>20</v>
      </c>
      <c r="V200" s="54" t="s">
        <v>20</v>
      </c>
      <c r="W200" s="54" t="s">
        <v>20</v>
      </c>
      <c r="X200" s="51" t="s">
        <v>19</v>
      </c>
      <c r="Y200" s="51" t="s">
        <v>19</v>
      </c>
      <c r="Z200" s="39" t="s">
        <v>19</v>
      </c>
      <c r="AA200" s="39" t="s">
        <v>19</v>
      </c>
      <c r="AB200" s="39" t="s">
        <v>19</v>
      </c>
      <c r="AC200" s="55" t="s">
        <v>19</v>
      </c>
      <c r="AD200" s="55" t="s">
        <v>20</v>
      </c>
    </row>
    <row r="201" spans="1:33" ht="15.75" customHeight="1" x14ac:dyDescent="0.25">
      <c r="A201" s="89">
        <v>23</v>
      </c>
      <c r="B201" s="90" t="s">
        <v>176</v>
      </c>
      <c r="C201" s="89">
        <v>5</v>
      </c>
      <c r="D201" s="89" t="s">
        <v>19</v>
      </c>
      <c r="E201" s="51" t="s">
        <v>21</v>
      </c>
      <c r="F201" s="51" t="s">
        <v>21</v>
      </c>
      <c r="G201" s="51" t="s">
        <v>21</v>
      </c>
      <c r="H201" s="51" t="s">
        <v>20</v>
      </c>
      <c r="I201" s="75" t="s">
        <v>19</v>
      </c>
      <c r="J201" s="75" t="s">
        <v>19</v>
      </c>
      <c r="K201" s="75" t="s">
        <v>20</v>
      </c>
      <c r="L201" s="51" t="s">
        <v>19</v>
      </c>
      <c r="M201" s="51" t="s">
        <v>20</v>
      </c>
      <c r="N201" s="51" t="s">
        <v>19</v>
      </c>
      <c r="O201" s="51" t="s">
        <v>20</v>
      </c>
      <c r="P201" s="51" t="s">
        <v>21</v>
      </c>
      <c r="Q201" s="51" t="s">
        <v>20</v>
      </c>
      <c r="R201" s="51" t="s">
        <v>20</v>
      </c>
      <c r="S201" s="51" t="s">
        <v>20</v>
      </c>
      <c r="T201" s="51" t="s">
        <v>19</v>
      </c>
      <c r="U201" s="54" t="s">
        <v>19</v>
      </c>
      <c r="V201" s="54" t="s">
        <v>20</v>
      </c>
      <c r="W201" s="54" t="s">
        <v>19</v>
      </c>
      <c r="X201" s="51" t="s">
        <v>20</v>
      </c>
      <c r="Y201" s="51" t="s">
        <v>19</v>
      </c>
      <c r="Z201" s="39" t="s">
        <v>21</v>
      </c>
      <c r="AA201" s="39" t="s">
        <v>20</v>
      </c>
      <c r="AB201" s="39" t="s">
        <v>20</v>
      </c>
      <c r="AC201" s="51" t="s">
        <v>21</v>
      </c>
      <c r="AD201" s="51" t="s">
        <v>20</v>
      </c>
    </row>
    <row r="202" spans="1:33" ht="15.75" customHeight="1" x14ac:dyDescent="0.25">
      <c r="A202" s="89">
        <v>24</v>
      </c>
      <c r="B202" s="90" t="s">
        <v>177</v>
      </c>
      <c r="C202" s="89">
        <v>5</v>
      </c>
      <c r="D202" s="89" t="s">
        <v>19</v>
      </c>
      <c r="E202" s="51" t="s">
        <v>22</v>
      </c>
      <c r="F202" s="51" t="s">
        <v>19</v>
      </c>
      <c r="G202" s="51" t="s">
        <v>19</v>
      </c>
      <c r="H202" s="51" t="s">
        <v>22</v>
      </c>
      <c r="I202" s="75" t="s">
        <v>19</v>
      </c>
      <c r="J202" s="75" t="s">
        <v>19</v>
      </c>
      <c r="K202" s="75" t="s">
        <v>19</v>
      </c>
      <c r="L202" s="51" t="s">
        <v>19</v>
      </c>
      <c r="M202" s="51" t="s">
        <v>19</v>
      </c>
      <c r="N202" s="51" t="s">
        <v>19</v>
      </c>
      <c r="O202" s="51" t="s">
        <v>20</v>
      </c>
      <c r="P202" s="51" t="s">
        <v>19</v>
      </c>
      <c r="Q202" s="51" t="s">
        <v>19</v>
      </c>
      <c r="R202" s="51" t="s">
        <v>20</v>
      </c>
      <c r="S202" s="51" t="s">
        <v>20</v>
      </c>
      <c r="T202" s="51" t="s">
        <v>19</v>
      </c>
      <c r="U202" s="54" t="s">
        <v>19</v>
      </c>
      <c r="V202" s="54" t="s">
        <v>19</v>
      </c>
      <c r="W202" s="54" t="s">
        <v>19</v>
      </c>
      <c r="X202" s="51" t="s">
        <v>19</v>
      </c>
      <c r="Y202" s="51" t="s">
        <v>19</v>
      </c>
      <c r="Z202" s="39" t="s">
        <v>19</v>
      </c>
      <c r="AA202" s="39" t="s">
        <v>19</v>
      </c>
      <c r="AB202" s="39" t="s">
        <v>19</v>
      </c>
      <c r="AC202" s="51" t="s">
        <v>19</v>
      </c>
      <c r="AD202" s="51" t="s">
        <v>20</v>
      </c>
    </row>
    <row r="203" spans="1:33" ht="15.75" customHeight="1" x14ac:dyDescent="0.25">
      <c r="A203" s="89">
        <v>25</v>
      </c>
      <c r="B203" s="90" t="s">
        <v>178</v>
      </c>
      <c r="C203" s="89">
        <v>5</v>
      </c>
      <c r="D203" s="89" t="s">
        <v>19</v>
      </c>
      <c r="E203" s="51" t="s">
        <v>21</v>
      </c>
      <c r="F203" s="51" t="s">
        <v>21</v>
      </c>
      <c r="G203" s="51" t="s">
        <v>21</v>
      </c>
      <c r="H203" s="51" t="s">
        <v>21</v>
      </c>
      <c r="I203" s="75" t="s">
        <v>19</v>
      </c>
      <c r="J203" s="75" t="s">
        <v>19</v>
      </c>
      <c r="K203" s="75" t="s">
        <v>20</v>
      </c>
      <c r="L203" s="51" t="s">
        <v>19</v>
      </c>
      <c r="M203" s="51" t="s">
        <v>19</v>
      </c>
      <c r="N203" s="51" t="s">
        <v>19</v>
      </c>
      <c r="O203" s="51" t="s">
        <v>20</v>
      </c>
      <c r="P203" s="51" t="s">
        <v>21</v>
      </c>
      <c r="Q203" s="51" t="s">
        <v>21</v>
      </c>
      <c r="R203" s="51" t="s">
        <v>20</v>
      </c>
      <c r="S203" s="51" t="s">
        <v>21</v>
      </c>
      <c r="T203" s="51" t="s">
        <v>19</v>
      </c>
      <c r="U203" s="54" t="s">
        <v>19</v>
      </c>
      <c r="V203" s="54" t="s">
        <v>19</v>
      </c>
      <c r="W203" s="54" t="s">
        <v>19</v>
      </c>
      <c r="X203" s="51" t="s">
        <v>19</v>
      </c>
      <c r="Y203" s="51" t="s">
        <v>19</v>
      </c>
      <c r="Z203" s="39" t="s">
        <v>20</v>
      </c>
      <c r="AA203" s="39" t="s">
        <v>20</v>
      </c>
      <c r="AB203" s="39" t="s">
        <v>19</v>
      </c>
      <c r="AC203" s="51" t="s">
        <v>19</v>
      </c>
      <c r="AD203" s="51" t="s">
        <v>20</v>
      </c>
    </row>
    <row r="204" spans="1:33" ht="15.75" customHeight="1" x14ac:dyDescent="0.25">
      <c r="A204" s="89">
        <v>26</v>
      </c>
      <c r="B204" s="90" t="s">
        <v>179</v>
      </c>
      <c r="C204" s="89">
        <v>5</v>
      </c>
      <c r="D204" s="89" t="s">
        <v>19</v>
      </c>
      <c r="E204" s="51" t="s">
        <v>20</v>
      </c>
      <c r="F204" s="51" t="s">
        <v>20</v>
      </c>
      <c r="G204" s="51" t="s">
        <v>20</v>
      </c>
      <c r="H204" s="51" t="s">
        <v>20</v>
      </c>
      <c r="I204" s="75" t="s">
        <v>20</v>
      </c>
      <c r="J204" s="75" t="s">
        <v>20</v>
      </c>
      <c r="K204" s="75" t="s">
        <v>20</v>
      </c>
      <c r="L204" s="51" t="s">
        <v>19</v>
      </c>
      <c r="M204" s="51" t="s">
        <v>19</v>
      </c>
      <c r="N204" s="51" t="s">
        <v>19</v>
      </c>
      <c r="O204" s="51" t="s">
        <v>19</v>
      </c>
      <c r="P204" s="51" t="s">
        <v>20</v>
      </c>
      <c r="Q204" s="51" t="s">
        <v>21</v>
      </c>
      <c r="R204" s="51" t="s">
        <v>20</v>
      </c>
      <c r="S204" s="51" t="s">
        <v>20</v>
      </c>
      <c r="T204" s="51" t="s">
        <v>19</v>
      </c>
      <c r="U204" s="54" t="s">
        <v>19</v>
      </c>
      <c r="V204" s="54" t="s">
        <v>19</v>
      </c>
      <c r="W204" s="54" t="s">
        <v>19</v>
      </c>
      <c r="X204" s="51" t="s">
        <v>19</v>
      </c>
      <c r="Y204" s="51" t="s">
        <v>19</v>
      </c>
      <c r="Z204" s="39" t="s">
        <v>20</v>
      </c>
      <c r="AA204" s="39" t="s">
        <v>20</v>
      </c>
      <c r="AB204" s="39" t="s">
        <v>19</v>
      </c>
      <c r="AC204" s="55" t="s">
        <v>19</v>
      </c>
      <c r="AD204" s="55" t="s">
        <v>20</v>
      </c>
    </row>
    <row r="205" spans="1:33" ht="15.75" customHeight="1" x14ac:dyDescent="0.25">
      <c r="A205" s="89">
        <v>27</v>
      </c>
      <c r="B205" s="90" t="s">
        <v>180</v>
      </c>
      <c r="C205" s="89">
        <v>5</v>
      </c>
      <c r="D205" s="89" t="s">
        <v>19</v>
      </c>
      <c r="E205" s="51" t="s">
        <v>19</v>
      </c>
      <c r="F205" s="51" t="s">
        <v>19</v>
      </c>
      <c r="G205" s="51" t="s">
        <v>19</v>
      </c>
      <c r="H205" s="51" t="s">
        <v>19</v>
      </c>
      <c r="I205" s="75" t="s">
        <v>19</v>
      </c>
      <c r="J205" s="75" t="s">
        <v>19</v>
      </c>
      <c r="K205" s="75" t="s">
        <v>19</v>
      </c>
      <c r="L205" s="51" t="s">
        <v>19</v>
      </c>
      <c r="M205" s="51" t="s">
        <v>19</v>
      </c>
      <c r="N205" s="51" t="s">
        <v>19</v>
      </c>
      <c r="O205" s="51" t="s">
        <v>19</v>
      </c>
      <c r="P205" s="51" t="s">
        <v>20</v>
      </c>
      <c r="Q205" s="51" t="s">
        <v>20</v>
      </c>
      <c r="R205" s="51" t="s">
        <v>19</v>
      </c>
      <c r="S205" s="51" t="s">
        <v>20</v>
      </c>
      <c r="T205" s="51" t="s">
        <v>20</v>
      </c>
      <c r="U205" s="54" t="s">
        <v>19</v>
      </c>
      <c r="V205" s="54" t="s">
        <v>19</v>
      </c>
      <c r="W205" s="54" t="s">
        <v>19</v>
      </c>
      <c r="X205" s="51" t="s">
        <v>19</v>
      </c>
      <c r="Y205" s="51" t="s">
        <v>19</v>
      </c>
      <c r="Z205" s="39" t="s">
        <v>19</v>
      </c>
      <c r="AA205" s="39" t="s">
        <v>19</v>
      </c>
      <c r="AB205" s="39" t="s">
        <v>19</v>
      </c>
      <c r="AC205" s="51" t="s">
        <v>19</v>
      </c>
      <c r="AD205" s="51" t="s">
        <v>20</v>
      </c>
    </row>
    <row r="206" spans="1:33" ht="15.75" customHeight="1" thickBot="1" x14ac:dyDescent="0.3">
      <c r="A206" s="91">
        <v>28</v>
      </c>
      <c r="B206" s="92" t="s">
        <v>181</v>
      </c>
      <c r="C206" s="91">
        <v>5</v>
      </c>
      <c r="D206" s="91" t="s">
        <v>19</v>
      </c>
      <c r="E206" s="87" t="s">
        <v>19</v>
      </c>
      <c r="F206" s="87" t="s">
        <v>19</v>
      </c>
      <c r="G206" s="87" t="s">
        <v>19</v>
      </c>
      <c r="H206" s="87" t="s">
        <v>19</v>
      </c>
      <c r="I206" s="103" t="s">
        <v>19</v>
      </c>
      <c r="J206" s="103" t="s">
        <v>19</v>
      </c>
      <c r="K206" s="103" t="s">
        <v>20</v>
      </c>
      <c r="L206" s="87" t="s">
        <v>19</v>
      </c>
      <c r="M206" s="87" t="s">
        <v>19</v>
      </c>
      <c r="N206" s="87" t="s">
        <v>19</v>
      </c>
      <c r="O206" s="87" t="s">
        <v>20</v>
      </c>
      <c r="P206" s="87" t="s">
        <v>20</v>
      </c>
      <c r="Q206" s="87" t="s">
        <v>20</v>
      </c>
      <c r="R206" s="87" t="s">
        <v>19</v>
      </c>
      <c r="S206" s="87" t="s">
        <v>20</v>
      </c>
      <c r="T206" s="87" t="s">
        <v>19</v>
      </c>
      <c r="U206" s="100" t="s">
        <v>19</v>
      </c>
      <c r="V206" s="100" t="s">
        <v>19</v>
      </c>
      <c r="W206" s="100" t="s">
        <v>20</v>
      </c>
      <c r="X206" s="87" t="s">
        <v>19</v>
      </c>
      <c r="Y206" s="87" t="s">
        <v>19</v>
      </c>
      <c r="Z206" s="41" t="s">
        <v>19</v>
      </c>
      <c r="AA206" s="41" t="s">
        <v>19</v>
      </c>
      <c r="AB206" s="41" t="s">
        <v>19</v>
      </c>
      <c r="AC206" s="87" t="s">
        <v>19</v>
      </c>
      <c r="AD206" s="87" t="s">
        <v>20</v>
      </c>
    </row>
    <row r="207" spans="1:33" ht="15.75" customHeight="1" x14ac:dyDescent="0.25">
      <c r="A207" s="82">
        <v>1</v>
      </c>
      <c r="B207" s="40" t="s">
        <v>182</v>
      </c>
      <c r="C207" s="82">
        <v>5</v>
      </c>
      <c r="D207" s="82" t="s">
        <v>20</v>
      </c>
      <c r="E207" s="83" t="s">
        <v>20</v>
      </c>
      <c r="F207" s="83" t="s">
        <v>19</v>
      </c>
      <c r="G207" s="83" t="s">
        <v>20</v>
      </c>
      <c r="H207" s="83" t="s">
        <v>20</v>
      </c>
      <c r="I207" s="83" t="s">
        <v>19</v>
      </c>
      <c r="J207" s="83" t="s">
        <v>19</v>
      </c>
      <c r="K207" s="83" t="s">
        <v>19</v>
      </c>
      <c r="L207" s="83" t="s">
        <v>19</v>
      </c>
      <c r="M207" s="83" t="s">
        <v>19</v>
      </c>
      <c r="N207" s="83" t="s">
        <v>19</v>
      </c>
      <c r="O207" s="83" t="s">
        <v>20</v>
      </c>
      <c r="P207" s="83" t="s">
        <v>20</v>
      </c>
      <c r="Q207" s="83" t="s">
        <v>20</v>
      </c>
      <c r="R207" s="83" t="s">
        <v>19</v>
      </c>
      <c r="S207" s="83" t="s">
        <v>20</v>
      </c>
      <c r="T207" s="83" t="s">
        <v>19</v>
      </c>
      <c r="U207" s="99" t="s">
        <v>19</v>
      </c>
      <c r="V207" s="99" t="s">
        <v>19</v>
      </c>
      <c r="W207" s="99" t="s">
        <v>19</v>
      </c>
      <c r="X207" s="83" t="s">
        <v>19</v>
      </c>
      <c r="Y207" s="83" t="s">
        <v>19</v>
      </c>
      <c r="Z207" s="86" t="s">
        <v>19</v>
      </c>
      <c r="AA207" s="86" t="s">
        <v>19</v>
      </c>
      <c r="AB207" s="86" t="s">
        <v>20</v>
      </c>
      <c r="AC207" s="83" t="s">
        <v>19</v>
      </c>
      <c r="AD207" s="83" t="s">
        <v>20</v>
      </c>
    </row>
    <row r="208" spans="1:33" ht="15.75" customHeight="1" x14ac:dyDescent="0.25">
      <c r="A208" s="20">
        <v>2</v>
      </c>
      <c r="B208" s="37" t="s">
        <v>183</v>
      </c>
      <c r="C208" s="20">
        <v>5</v>
      </c>
      <c r="D208" s="20" t="s">
        <v>20</v>
      </c>
      <c r="E208" s="51" t="s">
        <v>20</v>
      </c>
      <c r="F208" s="51" t="s">
        <v>20</v>
      </c>
      <c r="G208" s="51" t="s">
        <v>20</v>
      </c>
      <c r="H208" s="51" t="s">
        <v>19</v>
      </c>
      <c r="I208" s="51" t="s">
        <v>20</v>
      </c>
      <c r="J208" s="51" t="s">
        <v>20</v>
      </c>
      <c r="K208" s="51" t="s">
        <v>20</v>
      </c>
      <c r="L208" s="51" t="s">
        <v>19</v>
      </c>
      <c r="M208" s="51" t="s">
        <v>20</v>
      </c>
      <c r="N208" s="51" t="s">
        <v>20</v>
      </c>
      <c r="O208" s="51" t="s">
        <v>20</v>
      </c>
      <c r="P208" s="51" t="s">
        <v>21</v>
      </c>
      <c r="Q208" s="51" t="s">
        <v>21</v>
      </c>
      <c r="R208" s="51" t="s">
        <v>20</v>
      </c>
      <c r="S208" s="51" t="s">
        <v>20</v>
      </c>
      <c r="T208" s="51" t="s">
        <v>20</v>
      </c>
      <c r="U208" s="54" t="s">
        <v>19</v>
      </c>
      <c r="V208" s="54" t="s">
        <v>20</v>
      </c>
      <c r="W208" s="54" t="s">
        <v>19</v>
      </c>
      <c r="X208" s="51" t="s">
        <v>20</v>
      </c>
      <c r="Y208" s="51" t="s">
        <v>19</v>
      </c>
      <c r="Z208" s="39" t="s">
        <v>20</v>
      </c>
      <c r="AA208" s="39" t="s">
        <v>20</v>
      </c>
      <c r="AB208" s="39" t="s">
        <v>21</v>
      </c>
      <c r="AC208" s="51" t="s">
        <v>21</v>
      </c>
      <c r="AD208" s="51" t="s">
        <v>20</v>
      </c>
    </row>
    <row r="209" spans="1:33" ht="15.75" customHeight="1" x14ac:dyDescent="0.25">
      <c r="A209" s="20">
        <v>3</v>
      </c>
      <c r="B209" s="37" t="s">
        <v>184</v>
      </c>
      <c r="C209" s="20">
        <v>5</v>
      </c>
      <c r="D209" s="20" t="s">
        <v>20</v>
      </c>
      <c r="E209" s="51" t="s">
        <v>20</v>
      </c>
      <c r="F209" s="51" t="s">
        <v>21</v>
      </c>
      <c r="G209" s="51" t="s">
        <v>20</v>
      </c>
      <c r="H209" s="51" t="s">
        <v>19</v>
      </c>
      <c r="I209" s="51" t="s">
        <v>20</v>
      </c>
      <c r="J209" s="51" t="s">
        <v>20</v>
      </c>
      <c r="K209" s="51" t="s">
        <v>19</v>
      </c>
      <c r="L209" s="51" t="s">
        <v>19</v>
      </c>
      <c r="M209" s="51" t="s">
        <v>20</v>
      </c>
      <c r="N209" s="51" t="s">
        <v>20</v>
      </c>
      <c r="O209" s="51" t="s">
        <v>20</v>
      </c>
      <c r="P209" s="51" t="s">
        <v>21</v>
      </c>
      <c r="Q209" s="51" t="s">
        <v>20</v>
      </c>
      <c r="R209" s="51" t="s">
        <v>20</v>
      </c>
      <c r="S209" s="51" t="s">
        <v>20</v>
      </c>
      <c r="T209" s="51" t="s">
        <v>19</v>
      </c>
      <c r="U209" s="54" t="s">
        <v>19</v>
      </c>
      <c r="V209" s="54" t="s">
        <v>20</v>
      </c>
      <c r="W209" s="54" t="s">
        <v>19</v>
      </c>
      <c r="X209" s="51" t="s">
        <v>20</v>
      </c>
      <c r="Y209" s="51" t="s">
        <v>19</v>
      </c>
      <c r="Z209" s="39" t="s">
        <v>20</v>
      </c>
      <c r="AA209" s="39" t="s">
        <v>20</v>
      </c>
      <c r="AB209" s="39" t="s">
        <v>20</v>
      </c>
      <c r="AC209" s="51" t="s">
        <v>20</v>
      </c>
      <c r="AD209" s="51" t="s">
        <v>20</v>
      </c>
    </row>
    <row r="210" spans="1:33" ht="15.75" customHeight="1" thickBot="1" x14ac:dyDescent="0.3">
      <c r="A210" s="20">
        <v>4</v>
      </c>
      <c r="B210" s="37" t="s">
        <v>185</v>
      </c>
      <c r="C210" s="20">
        <v>5</v>
      </c>
      <c r="D210" s="20" t="s">
        <v>20</v>
      </c>
      <c r="E210" s="51" t="s">
        <v>19</v>
      </c>
      <c r="F210" s="51" t="s">
        <v>19</v>
      </c>
      <c r="G210" s="51" t="s">
        <v>19</v>
      </c>
      <c r="H210" s="51" t="s">
        <v>19</v>
      </c>
      <c r="I210" s="51" t="s">
        <v>20</v>
      </c>
      <c r="J210" s="51" t="s">
        <v>19</v>
      </c>
      <c r="K210" s="51" t="s">
        <v>19</v>
      </c>
      <c r="L210" s="51" t="s">
        <v>19</v>
      </c>
      <c r="M210" s="51" t="s">
        <v>19</v>
      </c>
      <c r="N210" s="51" t="s">
        <v>19</v>
      </c>
      <c r="O210" s="51" t="s">
        <v>20</v>
      </c>
      <c r="P210" s="51" t="s">
        <v>20</v>
      </c>
      <c r="Q210" s="51" t="s">
        <v>20</v>
      </c>
      <c r="R210" s="51" t="s">
        <v>19</v>
      </c>
      <c r="S210" s="51" t="s">
        <v>20</v>
      </c>
      <c r="T210" s="51" t="s">
        <v>19</v>
      </c>
      <c r="U210" s="54" t="s">
        <v>19</v>
      </c>
      <c r="V210" s="54" t="s">
        <v>19</v>
      </c>
      <c r="W210" s="54" t="s">
        <v>19</v>
      </c>
      <c r="X210" s="51" t="s">
        <v>19</v>
      </c>
      <c r="Y210" s="51" t="s">
        <v>19</v>
      </c>
      <c r="Z210" s="39" t="s">
        <v>19</v>
      </c>
      <c r="AA210" s="39" t="s">
        <v>19</v>
      </c>
      <c r="AB210" s="39" t="s">
        <v>19</v>
      </c>
      <c r="AC210" s="51" t="s">
        <v>19</v>
      </c>
      <c r="AD210" s="51" t="s">
        <v>20</v>
      </c>
    </row>
    <row r="211" spans="1:33" ht="15.75" customHeight="1" x14ac:dyDescent="0.25">
      <c r="A211" s="20">
        <v>5</v>
      </c>
      <c r="B211" s="37" t="s">
        <v>186</v>
      </c>
      <c r="C211" s="20">
        <v>5</v>
      </c>
      <c r="D211" s="20" t="s">
        <v>20</v>
      </c>
      <c r="E211" s="51" t="s">
        <v>19</v>
      </c>
      <c r="F211" s="51" t="s">
        <v>20</v>
      </c>
      <c r="G211" s="51" t="s">
        <v>19</v>
      </c>
      <c r="H211" s="51" t="s">
        <v>19</v>
      </c>
      <c r="I211" s="51" t="s">
        <v>20</v>
      </c>
      <c r="J211" s="51" t="s">
        <v>20</v>
      </c>
      <c r="K211" s="51" t="s">
        <v>19</v>
      </c>
      <c r="L211" s="51" t="s">
        <v>19</v>
      </c>
      <c r="M211" s="51" t="s">
        <v>19</v>
      </c>
      <c r="N211" s="51" t="s">
        <v>19</v>
      </c>
      <c r="O211" s="51" t="s">
        <v>20</v>
      </c>
      <c r="P211" s="51" t="s">
        <v>19</v>
      </c>
      <c r="Q211" s="51" t="s">
        <v>20</v>
      </c>
      <c r="R211" s="51" t="s">
        <v>19</v>
      </c>
      <c r="S211" s="51" t="s">
        <v>20</v>
      </c>
      <c r="T211" s="51" t="s">
        <v>19</v>
      </c>
      <c r="U211" s="54" t="s">
        <v>19</v>
      </c>
      <c r="V211" s="54" t="s">
        <v>20</v>
      </c>
      <c r="W211" s="54" t="s">
        <v>19</v>
      </c>
      <c r="X211" s="51" t="s">
        <v>20</v>
      </c>
      <c r="Y211" s="51" t="s">
        <v>19</v>
      </c>
      <c r="Z211" s="39" t="s">
        <v>19</v>
      </c>
      <c r="AA211" s="39" t="s">
        <v>19</v>
      </c>
      <c r="AB211" s="39" t="s">
        <v>19</v>
      </c>
      <c r="AC211" s="51" t="s">
        <v>19</v>
      </c>
      <c r="AD211" s="51" t="s">
        <v>20</v>
      </c>
      <c r="AF211" s="29" t="s">
        <v>22</v>
      </c>
      <c r="AG211" s="17">
        <f>COUNTIF(E207:AD232,"AD")</f>
        <v>7</v>
      </c>
    </row>
    <row r="212" spans="1:33" ht="15.75" customHeight="1" x14ac:dyDescent="0.25">
      <c r="A212" s="20">
        <v>6</v>
      </c>
      <c r="B212" s="37" t="s">
        <v>188</v>
      </c>
      <c r="C212" s="20">
        <v>5</v>
      </c>
      <c r="D212" s="20" t="s">
        <v>20</v>
      </c>
      <c r="E212" s="51" t="s">
        <v>20</v>
      </c>
      <c r="F212" s="51" t="s">
        <v>20</v>
      </c>
      <c r="G212" s="51" t="s">
        <v>20</v>
      </c>
      <c r="H212" s="51" t="s">
        <v>19</v>
      </c>
      <c r="I212" s="51" t="s">
        <v>20</v>
      </c>
      <c r="J212" s="51" t="s">
        <v>20</v>
      </c>
      <c r="K212" s="51" t="s">
        <v>20</v>
      </c>
      <c r="L212" s="51" t="s">
        <v>19</v>
      </c>
      <c r="M212" s="51" t="s">
        <v>19</v>
      </c>
      <c r="N212" s="51" t="s">
        <v>19</v>
      </c>
      <c r="O212" s="51" t="s">
        <v>20</v>
      </c>
      <c r="P212" s="51" t="s">
        <v>21</v>
      </c>
      <c r="Q212" s="51" t="s">
        <v>21</v>
      </c>
      <c r="R212" s="51" t="s">
        <v>20</v>
      </c>
      <c r="S212" s="51" t="s">
        <v>20</v>
      </c>
      <c r="T212" s="51" t="s">
        <v>19</v>
      </c>
      <c r="U212" s="54" t="s">
        <v>19</v>
      </c>
      <c r="V212" s="54" t="s">
        <v>19</v>
      </c>
      <c r="W212" s="54" t="s">
        <v>19</v>
      </c>
      <c r="X212" s="51" t="s">
        <v>20</v>
      </c>
      <c r="Y212" s="51" t="s">
        <v>19</v>
      </c>
      <c r="Z212" s="39" t="s">
        <v>19</v>
      </c>
      <c r="AA212" s="39" t="s">
        <v>19</v>
      </c>
      <c r="AB212" s="39" t="s">
        <v>19</v>
      </c>
      <c r="AC212" s="53" t="s">
        <v>21</v>
      </c>
      <c r="AD212" s="53" t="s">
        <v>20</v>
      </c>
      <c r="AF212" s="30" t="s">
        <v>19</v>
      </c>
      <c r="AG212" s="18">
        <f>COUNTIF(E207:AD232,"A")</f>
        <v>358</v>
      </c>
    </row>
    <row r="213" spans="1:33" ht="15.75" customHeight="1" x14ac:dyDescent="0.25">
      <c r="A213" s="20">
        <v>7</v>
      </c>
      <c r="B213" s="37" t="s">
        <v>189</v>
      </c>
      <c r="C213" s="20">
        <v>5</v>
      </c>
      <c r="D213" s="20" t="s">
        <v>20</v>
      </c>
      <c r="E213" s="51" t="s">
        <v>20</v>
      </c>
      <c r="F213" s="51" t="s">
        <v>20</v>
      </c>
      <c r="G213" s="51" t="s">
        <v>20</v>
      </c>
      <c r="H213" s="51" t="s">
        <v>20</v>
      </c>
      <c r="I213" s="51" t="s">
        <v>20</v>
      </c>
      <c r="J213" s="51" t="s">
        <v>20</v>
      </c>
      <c r="K213" s="51" t="s">
        <v>20</v>
      </c>
      <c r="L213" s="51" t="s">
        <v>19</v>
      </c>
      <c r="M213" s="51" t="s">
        <v>20</v>
      </c>
      <c r="N213" s="51" t="s">
        <v>19</v>
      </c>
      <c r="O213" s="51" t="s">
        <v>20</v>
      </c>
      <c r="P213" s="51" t="s">
        <v>21</v>
      </c>
      <c r="Q213" s="51" t="s">
        <v>20</v>
      </c>
      <c r="R213" s="51" t="s">
        <v>20</v>
      </c>
      <c r="S213" s="51" t="s">
        <v>20</v>
      </c>
      <c r="T213" s="51" t="s">
        <v>20</v>
      </c>
      <c r="U213" s="54" t="s">
        <v>20</v>
      </c>
      <c r="V213" s="54" t="s">
        <v>20</v>
      </c>
      <c r="W213" s="54" t="s">
        <v>20</v>
      </c>
      <c r="X213" s="51" t="s">
        <v>19</v>
      </c>
      <c r="Y213" s="51" t="s">
        <v>19</v>
      </c>
      <c r="Z213" s="39" t="s">
        <v>20</v>
      </c>
      <c r="AA213" s="39" t="s">
        <v>20</v>
      </c>
      <c r="AB213" s="39" t="s">
        <v>20</v>
      </c>
      <c r="AC213" s="53" t="s">
        <v>21</v>
      </c>
      <c r="AD213" s="53" t="s">
        <v>20</v>
      </c>
      <c r="AF213" s="30" t="s">
        <v>20</v>
      </c>
      <c r="AG213" s="18">
        <f>COUNTIF(E207:AD232,"B")</f>
        <v>279</v>
      </c>
    </row>
    <row r="214" spans="1:33" ht="15.75" customHeight="1" thickBot="1" x14ac:dyDescent="0.3">
      <c r="A214" s="20">
        <v>8</v>
      </c>
      <c r="B214" s="37" t="s">
        <v>190</v>
      </c>
      <c r="C214" s="20">
        <v>5</v>
      </c>
      <c r="D214" s="20" t="s">
        <v>20</v>
      </c>
      <c r="E214" s="51" t="s">
        <v>20</v>
      </c>
      <c r="F214" s="51" t="s">
        <v>21</v>
      </c>
      <c r="G214" s="51" t="s">
        <v>20</v>
      </c>
      <c r="H214" s="51" t="s">
        <v>19</v>
      </c>
      <c r="I214" s="51" t="s">
        <v>21</v>
      </c>
      <c r="J214" s="51" t="s">
        <v>19</v>
      </c>
      <c r="K214" s="51" t="s">
        <v>19</v>
      </c>
      <c r="L214" s="51" t="s">
        <v>19</v>
      </c>
      <c r="M214" s="51" t="s">
        <v>19</v>
      </c>
      <c r="N214" s="51" t="s">
        <v>19</v>
      </c>
      <c r="O214" s="51" t="s">
        <v>21</v>
      </c>
      <c r="P214" s="51" t="s">
        <v>20</v>
      </c>
      <c r="Q214" s="51" t="s">
        <v>20</v>
      </c>
      <c r="R214" s="51" t="s">
        <v>21</v>
      </c>
      <c r="S214" s="51" t="s">
        <v>20</v>
      </c>
      <c r="T214" s="51" t="s">
        <v>19</v>
      </c>
      <c r="U214" s="54" t="s">
        <v>19</v>
      </c>
      <c r="V214" s="54" t="s">
        <v>20</v>
      </c>
      <c r="W214" s="54" t="s">
        <v>19</v>
      </c>
      <c r="X214" s="51" t="s">
        <v>19</v>
      </c>
      <c r="Y214" s="51" t="s">
        <v>19</v>
      </c>
      <c r="Z214" s="39" t="s">
        <v>19</v>
      </c>
      <c r="AA214" s="39" t="s">
        <v>19</v>
      </c>
      <c r="AB214" s="39" t="s">
        <v>19</v>
      </c>
      <c r="AC214" s="53" t="s">
        <v>21</v>
      </c>
      <c r="AD214" s="53" t="s">
        <v>20</v>
      </c>
      <c r="AF214" s="31" t="s">
        <v>21</v>
      </c>
      <c r="AG214" s="19">
        <f>COUNTIF(E207:AD232,"C")</f>
        <v>32</v>
      </c>
    </row>
    <row r="215" spans="1:33" ht="15.75" customHeight="1" x14ac:dyDescent="0.25">
      <c r="A215" s="20">
        <v>9</v>
      </c>
      <c r="B215" s="37" t="s">
        <v>191</v>
      </c>
      <c r="C215" s="20">
        <v>5</v>
      </c>
      <c r="D215" s="20" t="s">
        <v>20</v>
      </c>
      <c r="E215" s="51" t="s">
        <v>19</v>
      </c>
      <c r="F215" s="51" t="s">
        <v>19</v>
      </c>
      <c r="G215" s="51" t="s">
        <v>19</v>
      </c>
      <c r="H215" s="51" t="s">
        <v>19</v>
      </c>
      <c r="I215" s="51" t="s">
        <v>20</v>
      </c>
      <c r="J215" s="51" t="s">
        <v>20</v>
      </c>
      <c r="K215" s="51" t="s">
        <v>20</v>
      </c>
      <c r="L215" s="51" t="s">
        <v>19</v>
      </c>
      <c r="M215" s="51" t="s">
        <v>19</v>
      </c>
      <c r="N215" s="51" t="s">
        <v>19</v>
      </c>
      <c r="O215" s="51" t="s">
        <v>20</v>
      </c>
      <c r="P215" s="51" t="s">
        <v>20</v>
      </c>
      <c r="Q215" s="51" t="s">
        <v>19</v>
      </c>
      <c r="R215" s="51" t="s">
        <v>19</v>
      </c>
      <c r="S215" s="51" t="s">
        <v>20</v>
      </c>
      <c r="T215" s="51" t="s">
        <v>19</v>
      </c>
      <c r="U215" s="54" t="s">
        <v>19</v>
      </c>
      <c r="V215" s="54" t="s">
        <v>19</v>
      </c>
      <c r="W215" s="54" t="s">
        <v>19</v>
      </c>
      <c r="X215" s="51" t="s">
        <v>19</v>
      </c>
      <c r="Y215" s="51" t="s">
        <v>19</v>
      </c>
      <c r="Z215" s="39" t="s">
        <v>19</v>
      </c>
      <c r="AA215" s="39" t="s">
        <v>19</v>
      </c>
      <c r="AB215" s="39" t="s">
        <v>19</v>
      </c>
      <c r="AC215" s="53" t="s">
        <v>19</v>
      </c>
      <c r="AD215" s="53" t="s">
        <v>20</v>
      </c>
    </row>
    <row r="216" spans="1:33" ht="15.75" customHeight="1" x14ac:dyDescent="0.25">
      <c r="A216" s="20">
        <v>10</v>
      </c>
      <c r="B216" s="37" t="s">
        <v>192</v>
      </c>
      <c r="C216" s="20">
        <v>5</v>
      </c>
      <c r="D216" s="20" t="s">
        <v>20</v>
      </c>
      <c r="E216" s="51" t="s">
        <v>19</v>
      </c>
      <c r="F216" s="51" t="s">
        <v>19</v>
      </c>
      <c r="G216" s="51" t="s">
        <v>20</v>
      </c>
      <c r="H216" s="51" t="s">
        <v>19</v>
      </c>
      <c r="I216" s="51" t="s">
        <v>19</v>
      </c>
      <c r="J216" s="51" t="s">
        <v>20</v>
      </c>
      <c r="K216" s="51" t="s">
        <v>19</v>
      </c>
      <c r="L216" s="51" t="s">
        <v>19</v>
      </c>
      <c r="M216" s="51" t="s">
        <v>19</v>
      </c>
      <c r="N216" s="51" t="s">
        <v>19</v>
      </c>
      <c r="O216" s="51" t="s">
        <v>20</v>
      </c>
      <c r="P216" s="51" t="s">
        <v>20</v>
      </c>
      <c r="Q216" s="51" t="s">
        <v>20</v>
      </c>
      <c r="R216" s="51" t="s">
        <v>19</v>
      </c>
      <c r="S216" s="51" t="s">
        <v>20</v>
      </c>
      <c r="T216" s="51" t="s">
        <v>19</v>
      </c>
      <c r="U216" s="54" t="s">
        <v>19</v>
      </c>
      <c r="V216" s="54" t="s">
        <v>19</v>
      </c>
      <c r="W216" s="54" t="s">
        <v>19</v>
      </c>
      <c r="X216" s="51" t="s">
        <v>19</v>
      </c>
      <c r="Y216" s="51" t="s">
        <v>19</v>
      </c>
      <c r="Z216" s="39" t="s">
        <v>19</v>
      </c>
      <c r="AA216" s="39" t="s">
        <v>19</v>
      </c>
      <c r="AB216" s="39" t="s">
        <v>19</v>
      </c>
      <c r="AC216" s="53" t="s">
        <v>19</v>
      </c>
      <c r="AD216" s="53" t="s">
        <v>20</v>
      </c>
    </row>
    <row r="217" spans="1:33" ht="15.75" customHeight="1" x14ac:dyDescent="0.25">
      <c r="A217" s="20">
        <v>11</v>
      </c>
      <c r="B217" s="37" t="s">
        <v>193</v>
      </c>
      <c r="C217" s="20">
        <v>5</v>
      </c>
      <c r="D217" s="20" t="s">
        <v>20</v>
      </c>
      <c r="E217" s="51" t="s">
        <v>20</v>
      </c>
      <c r="F217" s="51" t="s">
        <v>20</v>
      </c>
      <c r="G217" s="51" t="s">
        <v>20</v>
      </c>
      <c r="H217" s="51" t="s">
        <v>20</v>
      </c>
      <c r="I217" s="51" t="s">
        <v>20</v>
      </c>
      <c r="J217" s="51" t="s">
        <v>20</v>
      </c>
      <c r="K217" s="51" t="s">
        <v>19</v>
      </c>
      <c r="L217" s="51" t="s">
        <v>19</v>
      </c>
      <c r="M217" s="51" t="s">
        <v>19</v>
      </c>
      <c r="N217" s="51" t="s">
        <v>19</v>
      </c>
      <c r="O217" s="51" t="s">
        <v>20</v>
      </c>
      <c r="P217" s="51" t="s">
        <v>20</v>
      </c>
      <c r="Q217" s="51" t="s">
        <v>20</v>
      </c>
      <c r="R217" s="51" t="s">
        <v>19</v>
      </c>
      <c r="S217" s="51" t="s">
        <v>19</v>
      </c>
      <c r="T217" s="51" t="s">
        <v>20</v>
      </c>
      <c r="U217" s="54" t="s">
        <v>19</v>
      </c>
      <c r="V217" s="54" t="s">
        <v>20</v>
      </c>
      <c r="W217" s="54" t="s">
        <v>19</v>
      </c>
      <c r="X217" s="51" t="s">
        <v>19</v>
      </c>
      <c r="Y217" s="51" t="s">
        <v>20</v>
      </c>
      <c r="Z217" s="39" t="s">
        <v>19</v>
      </c>
      <c r="AA217" s="39" t="s">
        <v>19</v>
      </c>
      <c r="AB217" s="39" t="s">
        <v>19</v>
      </c>
      <c r="AC217" s="53" t="s">
        <v>19</v>
      </c>
      <c r="AD217" s="53" t="s">
        <v>20</v>
      </c>
    </row>
    <row r="218" spans="1:33" ht="15.75" customHeight="1" x14ac:dyDescent="0.25">
      <c r="A218" s="20">
        <v>12</v>
      </c>
      <c r="B218" s="37" t="s">
        <v>194</v>
      </c>
      <c r="C218" s="20">
        <v>5</v>
      </c>
      <c r="D218" s="20" t="s">
        <v>20</v>
      </c>
      <c r="E218" s="51" t="s">
        <v>20</v>
      </c>
      <c r="F218" s="51" t="s">
        <v>20</v>
      </c>
      <c r="G218" s="51" t="s">
        <v>20</v>
      </c>
      <c r="H218" s="51" t="s">
        <v>19</v>
      </c>
      <c r="I218" s="51" t="s">
        <v>20</v>
      </c>
      <c r="J218" s="51" t="s">
        <v>20</v>
      </c>
      <c r="K218" s="51" t="s">
        <v>19</v>
      </c>
      <c r="L218" s="51" t="s">
        <v>19</v>
      </c>
      <c r="M218" s="51" t="s">
        <v>19</v>
      </c>
      <c r="N218" s="51" t="s">
        <v>19</v>
      </c>
      <c r="O218" s="51" t="s">
        <v>21</v>
      </c>
      <c r="P218" s="51" t="s">
        <v>21</v>
      </c>
      <c r="Q218" s="51" t="s">
        <v>21</v>
      </c>
      <c r="R218" s="51" t="s">
        <v>20</v>
      </c>
      <c r="S218" s="51" t="s">
        <v>20</v>
      </c>
      <c r="T218" s="51" t="s">
        <v>19</v>
      </c>
      <c r="U218" s="54" t="s">
        <v>19</v>
      </c>
      <c r="V218" s="54" t="s">
        <v>19</v>
      </c>
      <c r="W218" s="54" t="s">
        <v>19</v>
      </c>
      <c r="X218" s="51" t="s">
        <v>19</v>
      </c>
      <c r="Y218" s="51" t="s">
        <v>19</v>
      </c>
      <c r="Z218" s="39" t="s">
        <v>19</v>
      </c>
      <c r="AA218" s="39" t="s">
        <v>19</v>
      </c>
      <c r="AB218" s="39" t="s">
        <v>19</v>
      </c>
      <c r="AC218" s="53" t="s">
        <v>21</v>
      </c>
      <c r="AD218" s="53" t="s">
        <v>20</v>
      </c>
    </row>
    <row r="219" spans="1:33" ht="15.75" customHeight="1" x14ac:dyDescent="0.25">
      <c r="A219" s="20">
        <v>13</v>
      </c>
      <c r="B219" s="37" t="s">
        <v>195</v>
      </c>
      <c r="C219" s="20">
        <v>5</v>
      </c>
      <c r="D219" s="20" t="s">
        <v>20</v>
      </c>
      <c r="E219" s="51" t="s">
        <v>20</v>
      </c>
      <c r="F219" s="51" t="s">
        <v>20</v>
      </c>
      <c r="G219" s="51" t="s">
        <v>20</v>
      </c>
      <c r="H219" s="51" t="s">
        <v>20</v>
      </c>
      <c r="I219" s="51" t="s">
        <v>19</v>
      </c>
      <c r="J219" s="51" t="s">
        <v>19</v>
      </c>
      <c r="K219" s="51" t="s">
        <v>19</v>
      </c>
      <c r="L219" s="51" t="s">
        <v>19</v>
      </c>
      <c r="M219" s="51" t="s">
        <v>20</v>
      </c>
      <c r="N219" s="51" t="s">
        <v>19</v>
      </c>
      <c r="O219" s="51" t="s">
        <v>21</v>
      </c>
      <c r="P219" s="51" t="s">
        <v>20</v>
      </c>
      <c r="Q219" s="51" t="s">
        <v>20</v>
      </c>
      <c r="R219" s="51" t="s">
        <v>19</v>
      </c>
      <c r="S219" s="51" t="s">
        <v>20</v>
      </c>
      <c r="T219" s="51" t="s">
        <v>20</v>
      </c>
      <c r="U219" s="54" t="s">
        <v>19</v>
      </c>
      <c r="V219" s="54" t="s">
        <v>19</v>
      </c>
      <c r="W219" s="54" t="s">
        <v>19</v>
      </c>
      <c r="X219" s="51" t="s">
        <v>19</v>
      </c>
      <c r="Y219" s="51" t="s">
        <v>19</v>
      </c>
      <c r="Z219" s="39" t="s">
        <v>20</v>
      </c>
      <c r="AA219" s="39" t="s">
        <v>19</v>
      </c>
      <c r="AB219" s="39" t="s">
        <v>20</v>
      </c>
      <c r="AC219" s="53" t="s">
        <v>20</v>
      </c>
      <c r="AD219" s="53" t="s">
        <v>20</v>
      </c>
    </row>
    <row r="220" spans="1:33" ht="15.75" customHeight="1" x14ac:dyDescent="0.25">
      <c r="A220" s="20">
        <v>14</v>
      </c>
      <c r="B220" s="37" t="s">
        <v>196</v>
      </c>
      <c r="C220" s="20">
        <v>5</v>
      </c>
      <c r="D220" s="20" t="s">
        <v>20</v>
      </c>
      <c r="E220" s="51" t="s">
        <v>20</v>
      </c>
      <c r="F220" s="51" t="s">
        <v>20</v>
      </c>
      <c r="G220" s="51" t="s">
        <v>21</v>
      </c>
      <c r="H220" s="51" t="s">
        <v>20</v>
      </c>
      <c r="I220" s="51" t="s">
        <v>21</v>
      </c>
      <c r="J220" s="51" t="s">
        <v>20</v>
      </c>
      <c r="K220" s="51" t="s">
        <v>20</v>
      </c>
      <c r="L220" s="51" t="s">
        <v>20</v>
      </c>
      <c r="M220" s="51" t="s">
        <v>20</v>
      </c>
      <c r="N220" s="51" t="s">
        <v>19</v>
      </c>
      <c r="O220" s="51" t="s">
        <v>20</v>
      </c>
      <c r="P220" s="51" t="s">
        <v>21</v>
      </c>
      <c r="Q220" s="51" t="s">
        <v>20</v>
      </c>
      <c r="R220" s="51" t="s">
        <v>20</v>
      </c>
      <c r="S220" s="51" t="s">
        <v>20</v>
      </c>
      <c r="T220" s="51" t="s">
        <v>19</v>
      </c>
      <c r="U220" s="54" t="s">
        <v>20</v>
      </c>
      <c r="V220" s="54" t="s">
        <v>19</v>
      </c>
      <c r="W220" s="54" t="s">
        <v>19</v>
      </c>
      <c r="X220" s="51" t="s">
        <v>19</v>
      </c>
      <c r="Y220" s="51" t="s">
        <v>20</v>
      </c>
      <c r="Z220" s="39" t="s">
        <v>21</v>
      </c>
      <c r="AA220" s="39" t="s">
        <v>21</v>
      </c>
      <c r="AB220" s="39" t="s">
        <v>20</v>
      </c>
      <c r="AC220" s="53" t="s">
        <v>19</v>
      </c>
      <c r="AD220" s="53" t="s">
        <v>20</v>
      </c>
    </row>
    <row r="221" spans="1:33" ht="15.75" customHeight="1" x14ac:dyDescent="0.25">
      <c r="A221" s="20">
        <v>15</v>
      </c>
      <c r="B221" s="37" t="s">
        <v>197</v>
      </c>
      <c r="C221" s="20">
        <v>5</v>
      </c>
      <c r="D221" s="20" t="s">
        <v>20</v>
      </c>
      <c r="E221" s="51" t="s">
        <v>20</v>
      </c>
      <c r="F221" s="51" t="s">
        <v>21</v>
      </c>
      <c r="G221" s="51" t="s">
        <v>20</v>
      </c>
      <c r="H221" s="51" t="s">
        <v>20</v>
      </c>
      <c r="I221" s="51" t="s">
        <v>20</v>
      </c>
      <c r="J221" s="51" t="s">
        <v>19</v>
      </c>
      <c r="K221" s="51" t="s">
        <v>19</v>
      </c>
      <c r="L221" s="51" t="s">
        <v>19</v>
      </c>
      <c r="M221" s="51" t="s">
        <v>20</v>
      </c>
      <c r="N221" s="51" t="s">
        <v>19</v>
      </c>
      <c r="O221" s="51" t="s">
        <v>20</v>
      </c>
      <c r="P221" s="51" t="s">
        <v>20</v>
      </c>
      <c r="Q221" s="51" t="s">
        <v>20</v>
      </c>
      <c r="R221" s="51" t="s">
        <v>19</v>
      </c>
      <c r="S221" s="51" t="s">
        <v>19</v>
      </c>
      <c r="T221" s="51" t="s">
        <v>20</v>
      </c>
      <c r="U221" s="54" t="s">
        <v>19</v>
      </c>
      <c r="V221" s="54" t="s">
        <v>19</v>
      </c>
      <c r="W221" s="54" t="s">
        <v>19</v>
      </c>
      <c r="X221" s="51" t="s">
        <v>20</v>
      </c>
      <c r="Y221" s="51" t="s">
        <v>20</v>
      </c>
      <c r="Z221" s="39" t="s">
        <v>20</v>
      </c>
      <c r="AA221" s="39" t="s">
        <v>20</v>
      </c>
      <c r="AB221" s="39" t="s">
        <v>20</v>
      </c>
      <c r="AC221" s="53" t="s">
        <v>19</v>
      </c>
      <c r="AD221" s="53" t="s">
        <v>20</v>
      </c>
    </row>
    <row r="222" spans="1:33" ht="15.75" customHeight="1" x14ac:dyDescent="0.25">
      <c r="A222" s="20">
        <v>16</v>
      </c>
      <c r="B222" s="37" t="s">
        <v>198</v>
      </c>
      <c r="C222" s="20">
        <v>5</v>
      </c>
      <c r="D222" s="20" t="s">
        <v>20</v>
      </c>
      <c r="E222" s="51" t="s">
        <v>19</v>
      </c>
      <c r="F222" s="51" t="s">
        <v>19</v>
      </c>
      <c r="G222" s="51" t="s">
        <v>20</v>
      </c>
      <c r="H222" s="51" t="s">
        <v>19</v>
      </c>
      <c r="I222" s="51" t="s">
        <v>20</v>
      </c>
      <c r="J222" s="51" t="s">
        <v>20</v>
      </c>
      <c r="K222" s="51" t="s">
        <v>19</v>
      </c>
      <c r="L222" s="51" t="s">
        <v>19</v>
      </c>
      <c r="M222" s="51" t="s">
        <v>19</v>
      </c>
      <c r="N222" s="51" t="s">
        <v>19</v>
      </c>
      <c r="O222" s="51" t="s">
        <v>20</v>
      </c>
      <c r="P222" s="51" t="s">
        <v>19</v>
      </c>
      <c r="Q222" s="51" t="s">
        <v>20</v>
      </c>
      <c r="R222" s="51" t="s">
        <v>20</v>
      </c>
      <c r="S222" s="51" t="s">
        <v>20</v>
      </c>
      <c r="T222" s="51" t="s">
        <v>19</v>
      </c>
      <c r="U222" s="54" t="s">
        <v>19</v>
      </c>
      <c r="V222" s="54" t="s">
        <v>19</v>
      </c>
      <c r="W222" s="54" t="s">
        <v>19</v>
      </c>
      <c r="X222" s="51" t="s">
        <v>19</v>
      </c>
      <c r="Y222" s="51" t="s">
        <v>20</v>
      </c>
      <c r="Z222" s="39" t="s">
        <v>20</v>
      </c>
      <c r="AA222" s="39" t="s">
        <v>19</v>
      </c>
      <c r="AB222" s="39" t="s">
        <v>19</v>
      </c>
      <c r="AC222" s="53" t="s">
        <v>19</v>
      </c>
      <c r="AD222" s="53" t="s">
        <v>20</v>
      </c>
    </row>
    <row r="223" spans="1:33" ht="15.75" customHeight="1" x14ac:dyDescent="0.25">
      <c r="A223" s="20">
        <v>17</v>
      </c>
      <c r="B223" s="37" t="s">
        <v>199</v>
      </c>
      <c r="C223" s="20">
        <v>5</v>
      </c>
      <c r="D223" s="20" t="s">
        <v>20</v>
      </c>
      <c r="E223" s="51" t="s">
        <v>20</v>
      </c>
      <c r="F223" s="51" t="s">
        <v>21</v>
      </c>
      <c r="G223" s="51" t="s">
        <v>20</v>
      </c>
      <c r="H223" s="51" t="s">
        <v>20</v>
      </c>
      <c r="I223" s="51" t="s">
        <v>20</v>
      </c>
      <c r="J223" s="51" t="s">
        <v>20</v>
      </c>
      <c r="K223" s="51" t="s">
        <v>20</v>
      </c>
      <c r="L223" s="51" t="s">
        <v>20</v>
      </c>
      <c r="M223" s="51" t="s">
        <v>20</v>
      </c>
      <c r="N223" s="51" t="s">
        <v>20</v>
      </c>
      <c r="O223" s="51" t="s">
        <v>20</v>
      </c>
      <c r="P223" s="51" t="s">
        <v>21</v>
      </c>
      <c r="Q223" s="51" t="s">
        <v>20</v>
      </c>
      <c r="R223" s="51" t="s">
        <v>20</v>
      </c>
      <c r="S223" s="51" t="s">
        <v>20</v>
      </c>
      <c r="T223" s="51" t="s">
        <v>20</v>
      </c>
      <c r="U223" s="54" t="s">
        <v>19</v>
      </c>
      <c r="V223" s="54" t="s">
        <v>20</v>
      </c>
      <c r="W223" s="54" t="s">
        <v>19</v>
      </c>
      <c r="X223" s="51" t="s">
        <v>19</v>
      </c>
      <c r="Y223" s="51" t="s">
        <v>20</v>
      </c>
      <c r="Z223" s="39" t="s">
        <v>19</v>
      </c>
      <c r="AA223" s="39" t="s">
        <v>20</v>
      </c>
      <c r="AB223" s="39" t="s">
        <v>20</v>
      </c>
      <c r="AC223" s="53" t="s">
        <v>21</v>
      </c>
      <c r="AD223" s="53" t="s">
        <v>20</v>
      </c>
    </row>
    <row r="224" spans="1:33" ht="15.75" customHeight="1" x14ac:dyDescent="0.25">
      <c r="A224" s="20">
        <v>18</v>
      </c>
      <c r="B224" s="37" t="s">
        <v>200</v>
      </c>
      <c r="C224" s="20">
        <v>5</v>
      </c>
      <c r="D224" s="20" t="s">
        <v>20</v>
      </c>
      <c r="E224" s="51" t="s">
        <v>19</v>
      </c>
      <c r="F224" s="51" t="s">
        <v>19</v>
      </c>
      <c r="G224" s="51" t="s">
        <v>20</v>
      </c>
      <c r="H224" s="51" t="s">
        <v>20</v>
      </c>
      <c r="I224" s="51" t="s">
        <v>19</v>
      </c>
      <c r="J224" s="51" t="s">
        <v>19</v>
      </c>
      <c r="K224" s="51" t="s">
        <v>20</v>
      </c>
      <c r="L224" s="51" t="s">
        <v>19</v>
      </c>
      <c r="M224" s="51" t="s">
        <v>19</v>
      </c>
      <c r="N224" s="51" t="s">
        <v>19</v>
      </c>
      <c r="O224" s="51" t="s">
        <v>20</v>
      </c>
      <c r="P224" s="51" t="s">
        <v>20</v>
      </c>
      <c r="Q224" s="51" t="s">
        <v>20</v>
      </c>
      <c r="R224" s="51" t="s">
        <v>19</v>
      </c>
      <c r="S224" s="51" t="s">
        <v>19</v>
      </c>
      <c r="T224" s="51" t="s">
        <v>19</v>
      </c>
      <c r="U224" s="54" t="s">
        <v>19</v>
      </c>
      <c r="V224" s="54" t="s">
        <v>19</v>
      </c>
      <c r="W224" s="54" t="s">
        <v>19</v>
      </c>
      <c r="X224" s="51" t="s">
        <v>19</v>
      </c>
      <c r="Y224" s="51" t="s">
        <v>19</v>
      </c>
      <c r="Z224" s="39" t="s">
        <v>20</v>
      </c>
      <c r="AA224" s="39" t="s">
        <v>19</v>
      </c>
      <c r="AB224" s="39" t="s">
        <v>19</v>
      </c>
      <c r="AC224" s="53" t="s">
        <v>19</v>
      </c>
      <c r="AD224" s="53" t="s">
        <v>20</v>
      </c>
    </row>
    <row r="225" spans="1:30" ht="15.75" customHeight="1" x14ac:dyDescent="0.25">
      <c r="A225" s="20">
        <v>19</v>
      </c>
      <c r="B225" s="37" t="s">
        <v>201</v>
      </c>
      <c r="C225" s="20">
        <v>5</v>
      </c>
      <c r="D225" s="20" t="s">
        <v>20</v>
      </c>
      <c r="E225" s="51" t="s">
        <v>19</v>
      </c>
      <c r="F225" s="51" t="s">
        <v>19</v>
      </c>
      <c r="G225" s="51" t="s">
        <v>19</v>
      </c>
      <c r="H225" s="51" t="s">
        <v>19</v>
      </c>
      <c r="I225" s="51" t="s">
        <v>19</v>
      </c>
      <c r="J225" s="51" t="s">
        <v>19</v>
      </c>
      <c r="K225" s="51" t="s">
        <v>19</v>
      </c>
      <c r="L225" s="51" t="s">
        <v>19</v>
      </c>
      <c r="M225" s="51" t="s">
        <v>19</v>
      </c>
      <c r="N225" s="51" t="s">
        <v>19</v>
      </c>
      <c r="O225" s="51" t="s">
        <v>19</v>
      </c>
      <c r="P225" s="51" t="s">
        <v>19</v>
      </c>
      <c r="Q225" s="51" t="s">
        <v>19</v>
      </c>
      <c r="R225" s="51" t="s">
        <v>19</v>
      </c>
      <c r="S225" s="51" t="s">
        <v>19</v>
      </c>
      <c r="T225" s="51" t="s">
        <v>19</v>
      </c>
      <c r="U225" s="54" t="s">
        <v>19</v>
      </c>
      <c r="V225" s="54" t="s">
        <v>19</v>
      </c>
      <c r="W225" s="54" t="s">
        <v>19</v>
      </c>
      <c r="X225" s="51" t="s">
        <v>19</v>
      </c>
      <c r="Y225" s="51" t="s">
        <v>19</v>
      </c>
      <c r="Z225" s="39" t="s">
        <v>19</v>
      </c>
      <c r="AA225" s="39" t="s">
        <v>19</v>
      </c>
      <c r="AB225" s="39" t="s">
        <v>19</v>
      </c>
      <c r="AC225" s="53" t="s">
        <v>19</v>
      </c>
      <c r="AD225" s="53" t="s">
        <v>20</v>
      </c>
    </row>
    <row r="226" spans="1:30" ht="15.75" customHeight="1" x14ac:dyDescent="0.25">
      <c r="A226" s="20">
        <v>20</v>
      </c>
      <c r="B226" s="37" t="s">
        <v>202</v>
      </c>
      <c r="C226" s="20">
        <v>5</v>
      </c>
      <c r="D226" s="20" t="s">
        <v>20</v>
      </c>
      <c r="E226" s="51" t="s">
        <v>19</v>
      </c>
      <c r="F226" s="51" t="s">
        <v>20</v>
      </c>
      <c r="G226" s="51" t="s">
        <v>20</v>
      </c>
      <c r="H226" s="51" t="s">
        <v>20</v>
      </c>
      <c r="I226" s="51" t="s">
        <v>20</v>
      </c>
      <c r="J226" s="51" t="s">
        <v>19</v>
      </c>
      <c r="K226" s="51" t="s">
        <v>19</v>
      </c>
      <c r="L226" s="51" t="s">
        <v>19</v>
      </c>
      <c r="M226" s="51" t="s">
        <v>20</v>
      </c>
      <c r="N226" s="51" t="s">
        <v>19</v>
      </c>
      <c r="O226" s="51" t="s">
        <v>20</v>
      </c>
      <c r="P226" s="51" t="s">
        <v>20</v>
      </c>
      <c r="Q226" s="51" t="s">
        <v>20</v>
      </c>
      <c r="R226" s="51" t="s">
        <v>19</v>
      </c>
      <c r="S226" s="51" t="s">
        <v>20</v>
      </c>
      <c r="T226" s="51" t="s">
        <v>20</v>
      </c>
      <c r="U226" s="54" t="s">
        <v>19</v>
      </c>
      <c r="V226" s="54" t="s">
        <v>20</v>
      </c>
      <c r="W226" s="54" t="s">
        <v>19</v>
      </c>
      <c r="X226" s="51" t="s">
        <v>19</v>
      </c>
      <c r="Y226" s="51" t="s">
        <v>19</v>
      </c>
      <c r="Z226" s="39" t="s">
        <v>19</v>
      </c>
      <c r="AA226" s="39" t="s">
        <v>19</v>
      </c>
      <c r="AB226" s="39" t="s">
        <v>19</v>
      </c>
      <c r="AC226" s="53" t="s">
        <v>19</v>
      </c>
      <c r="AD226" s="53" t="s">
        <v>20</v>
      </c>
    </row>
    <row r="227" spans="1:30" ht="15.75" customHeight="1" x14ac:dyDescent="0.25">
      <c r="A227" s="20">
        <v>21</v>
      </c>
      <c r="B227" s="37" t="s">
        <v>203</v>
      </c>
      <c r="C227" s="20">
        <v>5</v>
      </c>
      <c r="D227" s="20" t="s">
        <v>20</v>
      </c>
      <c r="E227" s="51" t="s">
        <v>22</v>
      </c>
      <c r="F227" s="51" t="s">
        <v>19</v>
      </c>
      <c r="G227" s="51" t="s">
        <v>19</v>
      </c>
      <c r="H227" s="51" t="s">
        <v>19</v>
      </c>
      <c r="I227" s="51" t="s">
        <v>19</v>
      </c>
      <c r="J227" s="51" t="s">
        <v>22</v>
      </c>
      <c r="K227" s="51" t="s">
        <v>22</v>
      </c>
      <c r="L227" s="51" t="s">
        <v>19</v>
      </c>
      <c r="M227" s="51" t="s">
        <v>19</v>
      </c>
      <c r="N227" s="51" t="s">
        <v>19</v>
      </c>
      <c r="O227" s="51" t="s">
        <v>19</v>
      </c>
      <c r="P227" s="51" t="s">
        <v>19</v>
      </c>
      <c r="Q227" s="51" t="s">
        <v>19</v>
      </c>
      <c r="R227" s="51" t="s">
        <v>19</v>
      </c>
      <c r="S227" s="51" t="s">
        <v>19</v>
      </c>
      <c r="T227" s="51" t="s">
        <v>19</v>
      </c>
      <c r="U227" s="54" t="s">
        <v>19</v>
      </c>
      <c r="V227" s="54" t="s">
        <v>19</v>
      </c>
      <c r="W227" s="54" t="s">
        <v>19</v>
      </c>
      <c r="X227" s="51" t="s">
        <v>22</v>
      </c>
      <c r="Y227" s="51" t="s">
        <v>22</v>
      </c>
      <c r="Z227" s="39" t="s">
        <v>19</v>
      </c>
      <c r="AA227" s="39" t="s">
        <v>19</v>
      </c>
      <c r="AB227" s="39" t="s">
        <v>19</v>
      </c>
      <c r="AC227" s="53" t="s">
        <v>19</v>
      </c>
      <c r="AD227" s="53" t="s">
        <v>20</v>
      </c>
    </row>
    <row r="228" spans="1:30" ht="15.75" customHeight="1" x14ac:dyDescent="0.25">
      <c r="A228" s="20">
        <v>22</v>
      </c>
      <c r="B228" s="37" t="s">
        <v>204</v>
      </c>
      <c r="C228" s="20">
        <v>5</v>
      </c>
      <c r="D228" s="20" t="s">
        <v>20</v>
      </c>
      <c r="E228" s="51" t="s">
        <v>20</v>
      </c>
      <c r="F228" s="51" t="s">
        <v>20</v>
      </c>
      <c r="G228" s="51" t="s">
        <v>20</v>
      </c>
      <c r="H228" s="51" t="s">
        <v>20</v>
      </c>
      <c r="I228" s="51" t="s">
        <v>20</v>
      </c>
      <c r="J228" s="51" t="s">
        <v>19</v>
      </c>
      <c r="K228" s="51" t="s">
        <v>19</v>
      </c>
      <c r="L228" s="51" t="s">
        <v>19</v>
      </c>
      <c r="M228" s="51" t="s">
        <v>19</v>
      </c>
      <c r="N228" s="51" t="s">
        <v>19</v>
      </c>
      <c r="O228" s="51" t="s">
        <v>20</v>
      </c>
      <c r="P228" s="51" t="s">
        <v>20</v>
      </c>
      <c r="Q228" s="51" t="s">
        <v>21</v>
      </c>
      <c r="R228" s="51" t="s">
        <v>20</v>
      </c>
      <c r="S228" s="51" t="s">
        <v>20</v>
      </c>
      <c r="T228" s="51" t="s">
        <v>19</v>
      </c>
      <c r="U228" s="54" t="s">
        <v>19</v>
      </c>
      <c r="V228" s="54" t="s">
        <v>19</v>
      </c>
      <c r="W228" s="54" t="s">
        <v>19</v>
      </c>
      <c r="X228" s="51" t="s">
        <v>20</v>
      </c>
      <c r="Y228" s="51" t="s">
        <v>19</v>
      </c>
      <c r="Z228" s="39" t="s">
        <v>20</v>
      </c>
      <c r="AA228" s="39" t="s">
        <v>20</v>
      </c>
      <c r="AB228" s="39" t="s">
        <v>20</v>
      </c>
      <c r="AC228" s="58" t="s">
        <v>21</v>
      </c>
      <c r="AD228" s="58" t="s">
        <v>20</v>
      </c>
    </row>
    <row r="229" spans="1:30" ht="15.75" customHeight="1" x14ac:dyDescent="0.25">
      <c r="A229" s="20">
        <v>23</v>
      </c>
      <c r="B229" s="37" t="s">
        <v>266</v>
      </c>
      <c r="C229" s="20">
        <v>5</v>
      </c>
      <c r="D229" s="20" t="s">
        <v>20</v>
      </c>
      <c r="E229" s="51" t="s">
        <v>20</v>
      </c>
      <c r="F229" s="51" t="s">
        <v>20</v>
      </c>
      <c r="G229" s="51" t="s">
        <v>20</v>
      </c>
      <c r="H229" s="51" t="s">
        <v>19</v>
      </c>
      <c r="I229" s="51" t="s">
        <v>19</v>
      </c>
      <c r="J229" s="51" t="s">
        <v>19</v>
      </c>
      <c r="K229" s="51" t="s">
        <v>19</v>
      </c>
      <c r="L229" s="51" t="s">
        <v>19</v>
      </c>
      <c r="M229" s="51" t="s">
        <v>20</v>
      </c>
      <c r="N229" s="51" t="s">
        <v>19</v>
      </c>
      <c r="O229" s="51" t="s">
        <v>20</v>
      </c>
      <c r="P229" s="51" t="s">
        <v>20</v>
      </c>
      <c r="Q229" s="51" t="s">
        <v>19</v>
      </c>
      <c r="R229" s="51" t="s">
        <v>20</v>
      </c>
      <c r="S229" s="51" t="s">
        <v>20</v>
      </c>
      <c r="T229" s="51" t="s">
        <v>20</v>
      </c>
      <c r="U229" s="54" t="s">
        <v>19</v>
      </c>
      <c r="V229" s="54" t="s">
        <v>19</v>
      </c>
      <c r="W229" s="54" t="s">
        <v>19</v>
      </c>
      <c r="X229" s="51" t="s">
        <v>19</v>
      </c>
      <c r="Y229" s="51" t="s">
        <v>20</v>
      </c>
      <c r="Z229" s="39" t="s">
        <v>19</v>
      </c>
      <c r="AA229" s="39" t="s">
        <v>19</v>
      </c>
      <c r="AB229" s="39" t="s">
        <v>19</v>
      </c>
      <c r="AC229" s="53" t="s">
        <v>19</v>
      </c>
      <c r="AD229" s="53" t="s">
        <v>20</v>
      </c>
    </row>
    <row r="230" spans="1:30" ht="15.75" customHeight="1" x14ac:dyDescent="0.25">
      <c r="A230" s="20">
        <v>24</v>
      </c>
      <c r="B230" s="37" t="s">
        <v>267</v>
      </c>
      <c r="C230" s="20">
        <v>5</v>
      </c>
      <c r="D230" s="20" t="s">
        <v>20</v>
      </c>
      <c r="E230" s="51" t="s">
        <v>19</v>
      </c>
      <c r="F230" s="51" t="s">
        <v>19</v>
      </c>
      <c r="G230" s="51" t="s">
        <v>19</v>
      </c>
      <c r="H230" s="51" t="s">
        <v>19</v>
      </c>
      <c r="I230" s="51" t="s">
        <v>19</v>
      </c>
      <c r="J230" s="51" t="s">
        <v>19</v>
      </c>
      <c r="K230" s="51" t="s">
        <v>22</v>
      </c>
      <c r="L230" s="51" t="s">
        <v>19</v>
      </c>
      <c r="M230" s="51" t="s">
        <v>19</v>
      </c>
      <c r="N230" s="51" t="s">
        <v>19</v>
      </c>
      <c r="O230" s="51" t="s">
        <v>19</v>
      </c>
      <c r="P230" s="51" t="s">
        <v>20</v>
      </c>
      <c r="Q230" s="51" t="s">
        <v>20</v>
      </c>
      <c r="R230" s="51" t="s">
        <v>19</v>
      </c>
      <c r="S230" s="51" t="s">
        <v>19</v>
      </c>
      <c r="T230" s="51" t="s">
        <v>19</v>
      </c>
      <c r="U230" s="54" t="s">
        <v>19</v>
      </c>
      <c r="V230" s="54" t="s">
        <v>20</v>
      </c>
      <c r="W230" s="54" t="s">
        <v>19</v>
      </c>
      <c r="X230" s="51" t="s">
        <v>19</v>
      </c>
      <c r="Y230" s="51" t="s">
        <v>19</v>
      </c>
      <c r="Z230" s="39" t="s">
        <v>19</v>
      </c>
      <c r="AA230" s="39" t="s">
        <v>20</v>
      </c>
      <c r="AB230" s="39" t="s">
        <v>19</v>
      </c>
      <c r="AC230" s="53" t="s">
        <v>19</v>
      </c>
      <c r="AD230" s="53" t="s">
        <v>20</v>
      </c>
    </row>
    <row r="231" spans="1:30" ht="15.75" customHeight="1" x14ac:dyDescent="0.25">
      <c r="A231" s="20">
        <v>25</v>
      </c>
      <c r="B231" s="37" t="s">
        <v>205</v>
      </c>
      <c r="C231" s="20">
        <v>5</v>
      </c>
      <c r="D231" s="20" t="s">
        <v>20</v>
      </c>
      <c r="E231" s="51" t="s">
        <v>20</v>
      </c>
      <c r="F231" s="51" t="s">
        <v>20</v>
      </c>
      <c r="G231" s="60" t="s">
        <v>20</v>
      </c>
      <c r="H231" s="51" t="s">
        <v>20</v>
      </c>
      <c r="I231" s="51" t="s">
        <v>20</v>
      </c>
      <c r="J231" s="51" t="s">
        <v>20</v>
      </c>
      <c r="K231" s="51" t="s">
        <v>20</v>
      </c>
      <c r="L231" s="51" t="s">
        <v>19</v>
      </c>
      <c r="M231" s="51" t="s">
        <v>20</v>
      </c>
      <c r="N231" s="51" t="s">
        <v>19</v>
      </c>
      <c r="O231" s="51" t="s">
        <v>20</v>
      </c>
      <c r="P231" s="51" t="s">
        <v>20</v>
      </c>
      <c r="Q231" s="51" t="s">
        <v>20</v>
      </c>
      <c r="R231" s="51" t="s">
        <v>20</v>
      </c>
      <c r="S231" s="51" t="s">
        <v>19</v>
      </c>
      <c r="T231" s="51" t="s">
        <v>20</v>
      </c>
      <c r="U231" s="54" t="s">
        <v>20</v>
      </c>
      <c r="V231" s="54" t="s">
        <v>20</v>
      </c>
      <c r="W231" s="54" t="s">
        <v>20</v>
      </c>
      <c r="X231" s="51" t="s">
        <v>19</v>
      </c>
      <c r="Y231" s="51" t="s">
        <v>20</v>
      </c>
      <c r="Z231" s="39" t="s">
        <v>20</v>
      </c>
      <c r="AA231" s="39" t="s">
        <v>20</v>
      </c>
      <c r="AB231" s="39" t="s">
        <v>20</v>
      </c>
      <c r="AC231" s="53" t="s">
        <v>20</v>
      </c>
      <c r="AD231" s="53" t="s">
        <v>20</v>
      </c>
    </row>
    <row r="232" spans="1:30" ht="15.75" customHeight="1" thickBot="1" x14ac:dyDescent="0.3">
      <c r="A232" s="21">
        <v>26</v>
      </c>
      <c r="B232" s="38" t="s">
        <v>206</v>
      </c>
      <c r="C232" s="21">
        <v>5</v>
      </c>
      <c r="D232" s="21" t="s">
        <v>20</v>
      </c>
      <c r="E232" s="87" t="s">
        <v>22</v>
      </c>
      <c r="F232" s="87" t="s">
        <v>19</v>
      </c>
      <c r="G232" s="105" t="s">
        <v>19</v>
      </c>
      <c r="H232" s="87" t="s">
        <v>19</v>
      </c>
      <c r="I232" s="87" t="s">
        <v>19</v>
      </c>
      <c r="J232" s="87" t="s">
        <v>19</v>
      </c>
      <c r="K232" s="87" t="s">
        <v>19</v>
      </c>
      <c r="L232" s="87" t="s">
        <v>19</v>
      </c>
      <c r="M232" s="87" t="s">
        <v>19</v>
      </c>
      <c r="N232" s="87" t="s">
        <v>19</v>
      </c>
      <c r="O232" s="87" t="s">
        <v>20</v>
      </c>
      <c r="P232" s="87" t="s">
        <v>19</v>
      </c>
      <c r="Q232" s="87" t="s">
        <v>19</v>
      </c>
      <c r="R232" s="87" t="s">
        <v>19</v>
      </c>
      <c r="S232" s="87" t="s">
        <v>19</v>
      </c>
      <c r="T232" s="87" t="s">
        <v>19</v>
      </c>
      <c r="U232" s="100" t="s">
        <v>19</v>
      </c>
      <c r="V232" s="100" t="s">
        <v>19</v>
      </c>
      <c r="W232" s="100" t="s">
        <v>19</v>
      </c>
      <c r="X232" s="87" t="s">
        <v>19</v>
      </c>
      <c r="Y232" s="87" t="s">
        <v>19</v>
      </c>
      <c r="Z232" s="41" t="s">
        <v>19</v>
      </c>
      <c r="AA232" s="41" t="s">
        <v>19</v>
      </c>
      <c r="AB232" s="41" t="s">
        <v>19</v>
      </c>
      <c r="AC232" s="96" t="s">
        <v>19</v>
      </c>
      <c r="AD232" s="96" t="s">
        <v>20</v>
      </c>
    </row>
    <row r="233" spans="1:30" ht="15.75" customHeight="1" x14ac:dyDescent="0.25">
      <c r="A233" s="62"/>
      <c r="B233" s="63"/>
      <c r="C233" s="62"/>
      <c r="D233" s="62"/>
      <c r="E233" s="76"/>
      <c r="F233" s="76"/>
      <c r="G233" s="77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8"/>
      <c r="V233" s="78"/>
      <c r="W233" s="78"/>
      <c r="X233" s="76"/>
      <c r="Y233" s="76"/>
      <c r="Z233" s="76"/>
      <c r="AA233" s="79"/>
      <c r="AB233" s="76"/>
      <c r="AC233" s="80"/>
      <c r="AD233" s="80"/>
    </row>
    <row r="234" spans="1:30" ht="15.75" customHeight="1" x14ac:dyDescent="0.25">
      <c r="A234" s="62"/>
      <c r="B234" s="63"/>
      <c r="C234" s="62"/>
      <c r="D234" s="62"/>
      <c r="E234" s="76"/>
      <c r="F234" s="76"/>
      <c r="G234" s="77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8"/>
      <c r="V234" s="78"/>
      <c r="W234" s="78"/>
      <c r="X234" s="76"/>
      <c r="Y234" s="76"/>
      <c r="Z234" s="76"/>
      <c r="AA234" s="79"/>
      <c r="AB234" s="76"/>
      <c r="AC234" s="80"/>
      <c r="AD234" s="80"/>
    </row>
    <row r="235" spans="1:30" ht="15.75" customHeight="1" x14ac:dyDescent="0.25"/>
    <row r="236" spans="1:30" ht="15.75" customHeight="1" x14ac:dyDescent="0.25">
      <c r="B236" s="10" t="s">
        <v>23</v>
      </c>
      <c r="E236">
        <v>1</v>
      </c>
      <c r="F236">
        <v>2</v>
      </c>
      <c r="G236">
        <v>3</v>
      </c>
      <c r="H236">
        <v>4</v>
      </c>
      <c r="I236">
        <v>5</v>
      </c>
      <c r="J236">
        <v>6</v>
      </c>
      <c r="K236">
        <v>7</v>
      </c>
      <c r="L236">
        <v>8</v>
      </c>
      <c r="M236">
        <v>9</v>
      </c>
      <c r="N236">
        <v>10</v>
      </c>
      <c r="O236">
        <v>11</v>
      </c>
      <c r="P236">
        <v>12</v>
      </c>
      <c r="Q236">
        <v>13</v>
      </c>
      <c r="R236">
        <v>14</v>
      </c>
      <c r="S236">
        <v>15</v>
      </c>
      <c r="T236">
        <v>16</v>
      </c>
      <c r="U236">
        <v>17</v>
      </c>
      <c r="V236">
        <v>18</v>
      </c>
      <c r="W236" s="10">
        <v>19</v>
      </c>
      <c r="X236" s="10">
        <v>20</v>
      </c>
      <c r="Y236" s="10">
        <v>21</v>
      </c>
      <c r="Z236" s="10">
        <v>22</v>
      </c>
      <c r="AA236" s="10">
        <v>23</v>
      </c>
      <c r="AB236" s="10">
        <v>24</v>
      </c>
      <c r="AC236" s="10">
        <v>25</v>
      </c>
      <c r="AD236" s="10">
        <v>26</v>
      </c>
    </row>
    <row r="237" spans="1:30" ht="15.75" customHeight="1" x14ac:dyDescent="0.25">
      <c r="B237" s="10" t="s">
        <v>24</v>
      </c>
      <c r="E237" s="11">
        <f t="shared" ref="E237:AD237" si="0">COUNTIF(E6:E231,"C")</f>
        <v>27</v>
      </c>
      <c r="F237" s="11">
        <f t="shared" si="0"/>
        <v>43</v>
      </c>
      <c r="G237" s="11">
        <f t="shared" si="0"/>
        <v>31</v>
      </c>
      <c r="H237" s="11">
        <f t="shared" si="0"/>
        <v>17</v>
      </c>
      <c r="I237" s="11">
        <f t="shared" si="0"/>
        <v>3</v>
      </c>
      <c r="J237" s="11">
        <f t="shared" si="0"/>
        <v>7</v>
      </c>
      <c r="K237" s="11">
        <f t="shared" si="0"/>
        <v>4</v>
      </c>
      <c r="L237" s="11">
        <f t="shared" si="0"/>
        <v>7</v>
      </c>
      <c r="M237" s="11">
        <f t="shared" si="0"/>
        <v>7</v>
      </c>
      <c r="N237" s="11">
        <f t="shared" si="0"/>
        <v>14</v>
      </c>
      <c r="O237" s="11">
        <f t="shared" si="0"/>
        <v>27</v>
      </c>
      <c r="P237" s="11">
        <f t="shared" si="0"/>
        <v>20</v>
      </c>
      <c r="Q237" s="11">
        <f t="shared" si="0"/>
        <v>19</v>
      </c>
      <c r="R237" s="11">
        <f t="shared" si="0"/>
        <v>28</v>
      </c>
      <c r="S237" s="11">
        <f t="shared" si="0"/>
        <v>22</v>
      </c>
      <c r="T237" s="11">
        <f t="shared" si="0"/>
        <v>0</v>
      </c>
      <c r="U237" s="11">
        <f t="shared" si="0"/>
        <v>0</v>
      </c>
      <c r="V237" s="11">
        <f t="shared" si="0"/>
        <v>0</v>
      </c>
      <c r="W237" s="11">
        <f t="shared" si="0"/>
        <v>0</v>
      </c>
      <c r="X237" s="11">
        <f t="shared" si="0"/>
        <v>13</v>
      </c>
      <c r="Y237" s="11">
        <f t="shared" si="0"/>
        <v>5</v>
      </c>
      <c r="Z237" s="11">
        <f t="shared" si="0"/>
        <v>18</v>
      </c>
      <c r="AA237" s="11">
        <f t="shared" si="0"/>
        <v>13</v>
      </c>
      <c r="AB237" s="11">
        <f t="shared" si="0"/>
        <v>25</v>
      </c>
      <c r="AC237" s="11">
        <f t="shared" si="0"/>
        <v>56</v>
      </c>
      <c r="AD237" s="11">
        <f t="shared" si="0"/>
        <v>0</v>
      </c>
    </row>
    <row r="238" spans="1:30" ht="15.75" customHeight="1" x14ac:dyDescent="0.25">
      <c r="B238" s="10" t="s">
        <v>25</v>
      </c>
      <c r="E238" s="12">
        <f t="shared" ref="E238:AD238" si="1">COUNTIF(E6:E231,"B")</f>
        <v>95</v>
      </c>
      <c r="F238" s="12">
        <f t="shared" si="1"/>
        <v>94</v>
      </c>
      <c r="G238" s="12">
        <f t="shared" si="1"/>
        <v>110</v>
      </c>
      <c r="H238" s="12">
        <f t="shared" si="1"/>
        <v>112</v>
      </c>
      <c r="I238" s="12">
        <f t="shared" si="1"/>
        <v>86</v>
      </c>
      <c r="J238" s="12">
        <f t="shared" si="1"/>
        <v>91</v>
      </c>
      <c r="K238" s="12">
        <f t="shared" si="1"/>
        <v>123</v>
      </c>
      <c r="L238" s="12">
        <f t="shared" si="1"/>
        <v>89</v>
      </c>
      <c r="M238" s="12">
        <f t="shared" si="1"/>
        <v>76</v>
      </c>
      <c r="N238" s="12">
        <f t="shared" si="1"/>
        <v>49</v>
      </c>
      <c r="O238" s="12">
        <f t="shared" si="1"/>
        <v>129</v>
      </c>
      <c r="P238" s="12">
        <f t="shared" si="1"/>
        <v>136</v>
      </c>
      <c r="Q238" s="12">
        <f t="shared" si="1"/>
        <v>138</v>
      </c>
      <c r="R238" s="12">
        <f t="shared" si="1"/>
        <v>71</v>
      </c>
      <c r="S238" s="12">
        <f t="shared" si="1"/>
        <v>81</v>
      </c>
      <c r="T238" s="12">
        <f t="shared" si="1"/>
        <v>97</v>
      </c>
      <c r="U238" s="12">
        <f t="shared" si="1"/>
        <v>62</v>
      </c>
      <c r="V238" s="12">
        <f t="shared" si="1"/>
        <v>56</v>
      </c>
      <c r="W238" s="12">
        <f t="shared" si="1"/>
        <v>52</v>
      </c>
      <c r="X238" s="12">
        <f t="shared" si="1"/>
        <v>75</v>
      </c>
      <c r="Y238" s="12">
        <f t="shared" si="1"/>
        <v>66</v>
      </c>
      <c r="Z238" s="12">
        <f t="shared" si="1"/>
        <v>110</v>
      </c>
      <c r="AA238" s="12">
        <f t="shared" si="1"/>
        <v>111</v>
      </c>
      <c r="AB238" s="12">
        <f t="shared" si="1"/>
        <v>98</v>
      </c>
      <c r="AC238" s="12">
        <f t="shared" si="1"/>
        <v>69</v>
      </c>
      <c r="AD238" s="12">
        <f t="shared" si="1"/>
        <v>219</v>
      </c>
    </row>
    <row r="239" spans="1:30" ht="15.75" customHeight="1" x14ac:dyDescent="0.25">
      <c r="B239" s="10" t="s">
        <v>26</v>
      </c>
      <c r="E239" s="13">
        <f t="shared" ref="E239:AD239" si="2">COUNTIF(E6:E231,"A")</f>
        <v>91</v>
      </c>
      <c r="F239" s="13">
        <f t="shared" si="2"/>
        <v>84</v>
      </c>
      <c r="G239" s="13">
        <f t="shared" si="2"/>
        <v>75</v>
      </c>
      <c r="H239" s="13">
        <f t="shared" si="2"/>
        <v>83</v>
      </c>
      <c r="I239" s="13">
        <f t="shared" si="2"/>
        <v>132</v>
      </c>
      <c r="J239" s="13">
        <f t="shared" si="2"/>
        <v>117</v>
      </c>
      <c r="K239" s="13">
        <f t="shared" si="2"/>
        <v>96</v>
      </c>
      <c r="L239" s="13">
        <f t="shared" si="2"/>
        <v>130</v>
      </c>
      <c r="M239" s="13">
        <f t="shared" si="2"/>
        <v>143</v>
      </c>
      <c r="N239" s="13">
        <f t="shared" si="2"/>
        <v>163</v>
      </c>
      <c r="O239" s="13">
        <f t="shared" si="2"/>
        <v>70</v>
      </c>
      <c r="P239" s="13">
        <f t="shared" si="2"/>
        <v>70</v>
      </c>
      <c r="Q239" s="13">
        <f t="shared" si="2"/>
        <v>69</v>
      </c>
      <c r="R239" s="13">
        <f t="shared" si="2"/>
        <v>127</v>
      </c>
      <c r="S239" s="13">
        <f t="shared" si="2"/>
        <v>123</v>
      </c>
      <c r="T239" s="13">
        <f t="shared" si="2"/>
        <v>129</v>
      </c>
      <c r="U239" s="13">
        <f t="shared" si="2"/>
        <v>164</v>
      </c>
      <c r="V239" s="13">
        <f t="shared" si="2"/>
        <v>170</v>
      </c>
      <c r="W239" s="13">
        <f t="shared" si="2"/>
        <v>174</v>
      </c>
      <c r="X239" s="13">
        <f t="shared" si="2"/>
        <v>133</v>
      </c>
      <c r="Y239" s="13">
        <f t="shared" si="2"/>
        <v>147</v>
      </c>
      <c r="Z239" s="13">
        <f t="shared" si="2"/>
        <v>95</v>
      </c>
      <c r="AA239" s="13">
        <f t="shared" si="2"/>
        <v>101</v>
      </c>
      <c r="AB239" s="13">
        <f t="shared" si="2"/>
        <v>102</v>
      </c>
      <c r="AC239" s="13">
        <f t="shared" si="2"/>
        <v>94</v>
      </c>
      <c r="AD239" s="13">
        <f t="shared" si="2"/>
        <v>0</v>
      </c>
    </row>
    <row r="240" spans="1:30" ht="15.75" customHeight="1" x14ac:dyDescent="0.25">
      <c r="B240" s="10" t="s">
        <v>27</v>
      </c>
      <c r="E240" s="14">
        <f t="shared" ref="E240:AD240" si="3">COUNTIF(E6:E231,"AD")</f>
        <v>13</v>
      </c>
      <c r="F240" s="14">
        <f t="shared" si="3"/>
        <v>5</v>
      </c>
      <c r="G240" s="14">
        <f t="shared" si="3"/>
        <v>10</v>
      </c>
      <c r="H240" s="14">
        <f t="shared" si="3"/>
        <v>14</v>
      </c>
      <c r="I240" s="14">
        <f t="shared" si="3"/>
        <v>5</v>
      </c>
      <c r="J240" s="14">
        <f t="shared" si="3"/>
        <v>11</v>
      </c>
      <c r="K240" s="14">
        <f t="shared" si="3"/>
        <v>3</v>
      </c>
      <c r="L240" s="14">
        <f t="shared" si="3"/>
        <v>0</v>
      </c>
      <c r="M240" s="14">
        <f t="shared" si="3"/>
        <v>0</v>
      </c>
      <c r="N240" s="14">
        <f t="shared" si="3"/>
        <v>0</v>
      </c>
      <c r="O240" s="14">
        <f t="shared" si="3"/>
        <v>0</v>
      </c>
      <c r="P240" s="14">
        <f t="shared" si="3"/>
        <v>0</v>
      </c>
      <c r="Q240" s="14">
        <f t="shared" si="3"/>
        <v>0</v>
      </c>
      <c r="R240" s="14">
        <f t="shared" si="3"/>
        <v>0</v>
      </c>
      <c r="S240" s="14">
        <f t="shared" si="3"/>
        <v>0</v>
      </c>
      <c r="T240" s="14">
        <f t="shared" si="3"/>
        <v>0</v>
      </c>
      <c r="U240" s="14">
        <f t="shared" si="3"/>
        <v>0</v>
      </c>
      <c r="V240" s="14">
        <f t="shared" si="3"/>
        <v>0</v>
      </c>
      <c r="W240" s="14">
        <f t="shared" si="3"/>
        <v>0</v>
      </c>
      <c r="X240" s="14">
        <f t="shared" si="3"/>
        <v>5</v>
      </c>
      <c r="Y240" s="14">
        <f t="shared" si="3"/>
        <v>8</v>
      </c>
      <c r="Z240" s="14">
        <f t="shared" si="3"/>
        <v>3</v>
      </c>
      <c r="AA240" s="14">
        <f t="shared" si="3"/>
        <v>1</v>
      </c>
      <c r="AB240" s="14">
        <f t="shared" si="3"/>
        <v>1</v>
      </c>
      <c r="AC240" s="14">
        <f t="shared" si="3"/>
        <v>0</v>
      </c>
      <c r="AD240" s="14">
        <f t="shared" si="3"/>
        <v>0</v>
      </c>
    </row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  <row r="1021" ht="15.75" customHeight="1" x14ac:dyDescent="0.25"/>
    <row r="1022" ht="15.75" customHeight="1" x14ac:dyDescent="0.25"/>
    <row r="1023" ht="15.75" customHeight="1" x14ac:dyDescent="0.25"/>
    <row r="1024" ht="15.75" customHeight="1" x14ac:dyDescent="0.25"/>
    <row r="1025" ht="15.75" customHeight="1" x14ac:dyDescent="0.25"/>
    <row r="1026" ht="15.75" customHeight="1" x14ac:dyDescent="0.25"/>
    <row r="1027" ht="15.75" customHeight="1" x14ac:dyDescent="0.25"/>
    <row r="1028" ht="15.75" customHeight="1" x14ac:dyDescent="0.25"/>
    <row r="1029" ht="15.75" customHeight="1" x14ac:dyDescent="0.25"/>
    <row r="1030" ht="15.75" customHeight="1" x14ac:dyDescent="0.25"/>
    <row r="1031" ht="15.75" customHeight="1" x14ac:dyDescent="0.25"/>
    <row r="1032" ht="15.75" customHeight="1" x14ac:dyDescent="0.25"/>
    <row r="1033" ht="15.75" customHeight="1" x14ac:dyDescent="0.25"/>
    <row r="1034" ht="15.75" customHeight="1" x14ac:dyDescent="0.25"/>
    <row r="1035" ht="15.75" customHeight="1" x14ac:dyDescent="0.25"/>
    <row r="1036" ht="15.75" customHeight="1" x14ac:dyDescent="0.25"/>
    <row r="1037" ht="15.75" customHeight="1" x14ac:dyDescent="0.25"/>
    <row r="1038" ht="15.75" customHeight="1" x14ac:dyDescent="0.25"/>
    <row r="1039" ht="15.75" customHeight="1" x14ac:dyDescent="0.25"/>
    <row r="1040" ht="15.75" customHeight="1" x14ac:dyDescent="0.25"/>
    <row r="1041" ht="15.75" customHeight="1" x14ac:dyDescent="0.25"/>
    <row r="1042" ht="15.75" customHeight="1" x14ac:dyDescent="0.25"/>
    <row r="1043" ht="15.75" customHeight="1" x14ac:dyDescent="0.25"/>
    <row r="1044" ht="15.75" customHeight="1" x14ac:dyDescent="0.25"/>
    <row r="1045" ht="15.75" customHeight="1" x14ac:dyDescent="0.25"/>
    <row r="1046" ht="15.75" customHeight="1" x14ac:dyDescent="0.25"/>
    <row r="1047" ht="15.75" customHeight="1" x14ac:dyDescent="0.25"/>
    <row r="1048" ht="15.75" customHeight="1" x14ac:dyDescent="0.25"/>
    <row r="1049" ht="15.75" customHeight="1" x14ac:dyDescent="0.25"/>
    <row r="1050" ht="15.75" customHeight="1" x14ac:dyDescent="0.25"/>
    <row r="1051" ht="15.75" customHeight="1" x14ac:dyDescent="0.25"/>
    <row r="1052" ht="15.75" customHeight="1" x14ac:dyDescent="0.25"/>
    <row r="1053" ht="15.75" customHeight="1" x14ac:dyDescent="0.25"/>
    <row r="1054" ht="15.75" customHeight="1" x14ac:dyDescent="0.25"/>
    <row r="1055" ht="15.75" customHeight="1" x14ac:dyDescent="0.25"/>
    <row r="1056" ht="15.75" customHeight="1" x14ac:dyDescent="0.25"/>
    <row r="1057" ht="15.75" customHeight="1" x14ac:dyDescent="0.25"/>
    <row r="1058" ht="15.75" customHeight="1" x14ac:dyDescent="0.25"/>
    <row r="1059" ht="15.75" customHeight="1" x14ac:dyDescent="0.25"/>
    <row r="1060" ht="15.75" customHeight="1" x14ac:dyDescent="0.25"/>
    <row r="1061" ht="15.75" customHeight="1" x14ac:dyDescent="0.25"/>
    <row r="1062" ht="15.75" customHeight="1" x14ac:dyDescent="0.25"/>
    <row r="1063" ht="15.75" customHeight="1" x14ac:dyDescent="0.25"/>
    <row r="1064" ht="15.75" customHeight="1" x14ac:dyDescent="0.25"/>
    <row r="1065" ht="15.75" customHeight="1" x14ac:dyDescent="0.25"/>
    <row r="1066" ht="15.75" customHeight="1" x14ac:dyDescent="0.25"/>
    <row r="1067" ht="15.75" customHeight="1" x14ac:dyDescent="0.25"/>
    <row r="1068" ht="15.75" customHeight="1" x14ac:dyDescent="0.25"/>
    <row r="1069" ht="15.75" customHeight="1" x14ac:dyDescent="0.25"/>
    <row r="1070" ht="15.75" customHeight="1" x14ac:dyDescent="0.25"/>
    <row r="1071" ht="15.75" customHeight="1" x14ac:dyDescent="0.25"/>
    <row r="1072" ht="15.75" customHeight="1" x14ac:dyDescent="0.25"/>
    <row r="1073" ht="15.75" customHeight="1" x14ac:dyDescent="0.25"/>
    <row r="1074" ht="15.75" customHeight="1" x14ac:dyDescent="0.25"/>
    <row r="1075" ht="15.75" customHeight="1" x14ac:dyDescent="0.25"/>
    <row r="1076" ht="15.75" customHeight="1" x14ac:dyDescent="0.25"/>
    <row r="1077" ht="15.75" customHeight="1" x14ac:dyDescent="0.25"/>
    <row r="1078" ht="15.75" customHeight="1" x14ac:dyDescent="0.25"/>
    <row r="1079" ht="15.75" customHeight="1" x14ac:dyDescent="0.25"/>
    <row r="1080" ht="15.75" customHeight="1" x14ac:dyDescent="0.25"/>
    <row r="1081" ht="15.75" customHeight="1" x14ac:dyDescent="0.25"/>
    <row r="1082" ht="15.75" customHeight="1" x14ac:dyDescent="0.25"/>
    <row r="1083" ht="15.75" customHeight="1" x14ac:dyDescent="0.25"/>
    <row r="1084" ht="15.75" customHeight="1" x14ac:dyDescent="0.25"/>
    <row r="1085" ht="15.75" customHeight="1" x14ac:dyDescent="0.25"/>
    <row r="1086" ht="15.75" customHeight="1" x14ac:dyDescent="0.25"/>
    <row r="1087" ht="15.75" customHeight="1" x14ac:dyDescent="0.25"/>
    <row r="1088" ht="15.75" customHeight="1" x14ac:dyDescent="0.25"/>
    <row r="1089" ht="15.75" customHeight="1" x14ac:dyDescent="0.25"/>
    <row r="1090" ht="15.75" customHeight="1" x14ac:dyDescent="0.25"/>
    <row r="1091" ht="15.75" customHeight="1" x14ac:dyDescent="0.25"/>
    <row r="1092" ht="15.75" customHeight="1" x14ac:dyDescent="0.25"/>
    <row r="1093" ht="15.75" customHeight="1" x14ac:dyDescent="0.25"/>
    <row r="1094" ht="15.75" customHeight="1" x14ac:dyDescent="0.25"/>
    <row r="1095" ht="15.75" customHeight="1" x14ac:dyDescent="0.25"/>
    <row r="1096" ht="15.75" customHeight="1" x14ac:dyDescent="0.25"/>
    <row r="1097" ht="15.75" customHeight="1" x14ac:dyDescent="0.25"/>
    <row r="1098" ht="15.75" customHeight="1" x14ac:dyDescent="0.25"/>
    <row r="1099" ht="15.75" customHeight="1" x14ac:dyDescent="0.25"/>
    <row r="1100" ht="15.75" customHeight="1" x14ac:dyDescent="0.25"/>
    <row r="1101" ht="15.75" customHeight="1" x14ac:dyDescent="0.25"/>
    <row r="1102" ht="15.75" customHeight="1" x14ac:dyDescent="0.25"/>
    <row r="1103" ht="15.75" customHeight="1" x14ac:dyDescent="0.25"/>
    <row r="1104" ht="15.75" customHeight="1" x14ac:dyDescent="0.25"/>
    <row r="1105" ht="15.75" customHeight="1" x14ac:dyDescent="0.25"/>
    <row r="1106" ht="15.75" customHeight="1" x14ac:dyDescent="0.25"/>
    <row r="1107" ht="15.75" customHeight="1" x14ac:dyDescent="0.25"/>
    <row r="1108" ht="15.75" customHeight="1" x14ac:dyDescent="0.25"/>
    <row r="1109" ht="15.75" customHeight="1" x14ac:dyDescent="0.25"/>
    <row r="1110" ht="15.75" customHeight="1" x14ac:dyDescent="0.25"/>
    <row r="1111" ht="15.75" customHeight="1" x14ac:dyDescent="0.25"/>
    <row r="1112" ht="15.75" customHeight="1" x14ac:dyDescent="0.25"/>
    <row r="1113" ht="15.75" customHeight="1" x14ac:dyDescent="0.25"/>
    <row r="1114" ht="15.75" customHeight="1" x14ac:dyDescent="0.25"/>
    <row r="1115" ht="15.75" customHeight="1" x14ac:dyDescent="0.25"/>
    <row r="1116" ht="15.75" customHeight="1" x14ac:dyDescent="0.25"/>
    <row r="1117" ht="15.75" customHeight="1" x14ac:dyDescent="0.25"/>
    <row r="1118" ht="15.75" customHeight="1" x14ac:dyDescent="0.25"/>
    <row r="1119" ht="15.75" customHeight="1" x14ac:dyDescent="0.25"/>
    <row r="1120" ht="15.75" customHeight="1" x14ac:dyDescent="0.25"/>
    <row r="1121" ht="15.75" customHeight="1" x14ac:dyDescent="0.25"/>
    <row r="1122" ht="15.75" customHeight="1" x14ac:dyDescent="0.25"/>
    <row r="1123" ht="15.75" customHeight="1" x14ac:dyDescent="0.25"/>
    <row r="1124" ht="15.75" customHeight="1" x14ac:dyDescent="0.25"/>
    <row r="1125" ht="15.75" customHeight="1" x14ac:dyDescent="0.25"/>
    <row r="1126" ht="15.75" customHeight="1" x14ac:dyDescent="0.25"/>
    <row r="1127" ht="15.75" customHeight="1" x14ac:dyDescent="0.25"/>
    <row r="1128" ht="15.75" customHeight="1" x14ac:dyDescent="0.25"/>
    <row r="1129" ht="15.75" customHeight="1" x14ac:dyDescent="0.25"/>
    <row r="1130" ht="15.75" customHeight="1" x14ac:dyDescent="0.25"/>
    <row r="1131" ht="15.75" customHeight="1" x14ac:dyDescent="0.25"/>
    <row r="1132" ht="15.75" customHeight="1" x14ac:dyDescent="0.25"/>
    <row r="1133" ht="15.75" customHeight="1" x14ac:dyDescent="0.25"/>
    <row r="1134" ht="15.75" customHeight="1" x14ac:dyDescent="0.25"/>
  </sheetData>
  <mergeCells count="11">
    <mergeCell ref="AC4:AD4"/>
    <mergeCell ref="B2:AD2"/>
    <mergeCell ref="B3:AD3"/>
    <mergeCell ref="E4:H4"/>
    <mergeCell ref="I4:K4"/>
    <mergeCell ref="L4:N4"/>
    <mergeCell ref="O4:Q4"/>
    <mergeCell ref="R4:S4"/>
    <mergeCell ref="U4:W4"/>
    <mergeCell ref="X4:Y4"/>
    <mergeCell ref="Z4:AB4"/>
  </mergeCells>
  <conditionalFormatting sqref="E233:AD234">
    <cfRule type="cellIs" dxfId="51" priority="49" operator="equal">
      <formula>"AD"</formula>
    </cfRule>
    <cfRule type="cellIs" dxfId="50" priority="50" operator="equal">
      <formula>"A"</formula>
    </cfRule>
    <cfRule type="cellIs" dxfId="49" priority="51" operator="equal">
      <formula>"B"</formula>
    </cfRule>
    <cfRule type="cellIs" dxfId="48" priority="52" operator="equal">
      <formula>"C"</formula>
    </cfRule>
  </conditionalFormatting>
  <conditionalFormatting sqref="E6:K23 O6:AD23">
    <cfRule type="cellIs" dxfId="47" priority="45" operator="equal">
      <formula>"AD"</formula>
    </cfRule>
    <cfRule type="cellIs" dxfId="46" priority="46" operator="equal">
      <formula>"A"</formula>
    </cfRule>
    <cfRule type="cellIs" dxfId="45" priority="47" operator="equal">
      <formula>"B"</formula>
    </cfRule>
    <cfRule type="cellIs" dxfId="44" priority="48" operator="equal">
      <formula>"C"</formula>
    </cfRule>
  </conditionalFormatting>
  <conditionalFormatting sqref="E24:K43 O24:AD43">
    <cfRule type="cellIs" dxfId="43" priority="41" operator="equal">
      <formula>"AD"</formula>
    </cfRule>
    <cfRule type="cellIs" dxfId="42" priority="42" operator="equal">
      <formula>"A"</formula>
    </cfRule>
    <cfRule type="cellIs" dxfId="41" priority="43" operator="equal">
      <formula>"B"</formula>
    </cfRule>
    <cfRule type="cellIs" dxfId="40" priority="44" operator="equal">
      <formula>"C"</formula>
    </cfRule>
  </conditionalFormatting>
  <conditionalFormatting sqref="E44:K67 O44:AD67">
    <cfRule type="cellIs" dxfId="39" priority="37" operator="equal">
      <formula>"AD"</formula>
    </cfRule>
    <cfRule type="cellIs" dxfId="38" priority="38" operator="equal">
      <formula>"A"</formula>
    </cfRule>
    <cfRule type="cellIs" dxfId="37" priority="39" operator="equal">
      <formula>"B"</formula>
    </cfRule>
    <cfRule type="cellIs" dxfId="36" priority="40" operator="equal">
      <formula>"C"</formula>
    </cfRule>
  </conditionalFormatting>
  <conditionalFormatting sqref="E68:AD90">
    <cfRule type="cellIs" dxfId="35" priority="33" operator="equal">
      <formula>"AD"</formula>
    </cfRule>
    <cfRule type="cellIs" dxfId="34" priority="34" operator="equal">
      <formula>"A"</formula>
    </cfRule>
    <cfRule type="cellIs" dxfId="33" priority="35" operator="equal">
      <formula>"B"</formula>
    </cfRule>
    <cfRule type="cellIs" dxfId="32" priority="36" operator="equal">
      <formula>"C"</formula>
    </cfRule>
  </conditionalFormatting>
  <conditionalFormatting sqref="E91:AD109">
    <cfRule type="cellIs" dxfId="31" priority="29" operator="equal">
      <formula>"AD"</formula>
    </cfRule>
    <cfRule type="cellIs" dxfId="30" priority="30" operator="equal">
      <formula>"A"</formula>
    </cfRule>
    <cfRule type="cellIs" dxfId="29" priority="31" operator="equal">
      <formula>"B"</formula>
    </cfRule>
    <cfRule type="cellIs" dxfId="28" priority="32" operator="equal">
      <formula>"C"</formula>
    </cfRule>
  </conditionalFormatting>
  <conditionalFormatting sqref="E110:AD130">
    <cfRule type="cellIs" dxfId="27" priority="25" operator="equal">
      <formula>"AD"</formula>
    </cfRule>
    <cfRule type="cellIs" dxfId="26" priority="26" operator="equal">
      <formula>"A"</formula>
    </cfRule>
    <cfRule type="cellIs" dxfId="25" priority="27" operator="equal">
      <formula>"B"</formula>
    </cfRule>
    <cfRule type="cellIs" dxfId="24" priority="28" operator="equal">
      <formula>"C"</formula>
    </cfRule>
  </conditionalFormatting>
  <conditionalFormatting sqref="E131:AD153">
    <cfRule type="cellIs" dxfId="23" priority="21" operator="equal">
      <formula>"AD"</formula>
    </cfRule>
    <cfRule type="cellIs" dxfId="22" priority="22" operator="equal">
      <formula>"A"</formula>
    </cfRule>
    <cfRule type="cellIs" dxfId="21" priority="23" operator="equal">
      <formula>"B"</formula>
    </cfRule>
    <cfRule type="cellIs" dxfId="20" priority="24" operator="equal">
      <formula>"C"</formula>
    </cfRule>
  </conditionalFormatting>
  <conditionalFormatting sqref="E154:AD178">
    <cfRule type="cellIs" dxfId="19" priority="17" operator="equal">
      <formula>"AD"</formula>
    </cfRule>
    <cfRule type="cellIs" dxfId="18" priority="18" operator="equal">
      <formula>"A"</formula>
    </cfRule>
    <cfRule type="cellIs" dxfId="17" priority="19" operator="equal">
      <formula>"B"</formula>
    </cfRule>
    <cfRule type="cellIs" dxfId="16" priority="20" operator="equal">
      <formula>"C"</formula>
    </cfRule>
  </conditionalFormatting>
  <conditionalFormatting sqref="E179:K206 O179:AD206">
    <cfRule type="cellIs" dxfId="15" priority="13" operator="equal">
      <formula>"AD"</formula>
    </cfRule>
    <cfRule type="cellIs" dxfId="14" priority="14" operator="equal">
      <formula>"A"</formula>
    </cfRule>
    <cfRule type="cellIs" dxfId="13" priority="15" operator="equal">
      <formula>"B"</formula>
    </cfRule>
    <cfRule type="cellIs" dxfId="12" priority="16" operator="equal">
      <formula>"C"</formula>
    </cfRule>
  </conditionalFormatting>
  <conditionalFormatting sqref="E207:K232 O207:AD232">
    <cfRule type="cellIs" dxfId="11" priority="9" operator="equal">
      <formula>"AD"</formula>
    </cfRule>
    <cfRule type="cellIs" dxfId="10" priority="10" operator="equal">
      <formula>"A"</formula>
    </cfRule>
    <cfRule type="cellIs" dxfId="9" priority="11" operator="equal">
      <formula>"B"</formula>
    </cfRule>
    <cfRule type="cellIs" dxfId="8" priority="12" operator="equal">
      <formula>"C"</formula>
    </cfRule>
  </conditionalFormatting>
  <conditionalFormatting sqref="L6:N67">
    <cfRule type="cellIs" dxfId="7" priority="5" operator="equal">
      <formula>"AD"</formula>
    </cfRule>
    <cfRule type="cellIs" dxfId="6" priority="6" operator="equal">
      <formula>"A"</formula>
    </cfRule>
    <cfRule type="cellIs" dxfId="5" priority="7" operator="equal">
      <formula>"B"</formula>
    </cfRule>
    <cfRule type="cellIs" dxfId="4" priority="8" operator="equal">
      <formula>"C"</formula>
    </cfRule>
  </conditionalFormatting>
  <conditionalFormatting sqref="L179:N232">
    <cfRule type="cellIs" dxfId="3" priority="1" operator="equal">
      <formula>"AD"</formula>
    </cfRule>
    <cfRule type="cellIs" dxfId="2" priority="2" operator="equal">
      <formula>"A"</formula>
    </cfRule>
    <cfRule type="cellIs" dxfId="1" priority="3" operator="equal">
      <formula>"B"</formula>
    </cfRule>
    <cfRule type="cellIs" dxfId="0" priority="4" operator="equal">
      <formula>"C"</formula>
    </cfRule>
  </conditionalFormatting>
  <dataValidations count="2">
    <dataValidation type="list" allowBlank="1" showInputMessage="1" showErrorMessage="1" sqref="E6:K26 AC82:AD97 AC205:AD227 S6:W26 AC27:AD80 AC99:AD133 E233:AB234 AC135:AD199 Y27:Y48 P6:Q26 AC229:AD234 E27:W48 E110:H232 I131:K232 AC201:AD203 E49:Y109 L110:Y232" xr:uid="{D41BCF6B-E102-4FA1-9CF6-FC9CDC0FF199}">
      <formula1>"AD,A,B,C"</formula1>
    </dataValidation>
    <dataValidation type="list" allowBlank="1" showInputMessage="1" showErrorMessage="1" sqref="Z6:AB232 I110:K130" xr:uid="{5B403EFF-E118-4C29-B3DA-8F8BE376060F}">
      <formula1>"A,AD,B,C"</formula1>
    </dataValidation>
  </dataValidations>
  <pageMargins left="0.7" right="0.7" top="0.75" bottom="0.75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IE</vt:lpstr>
      <vt:lpstr>Por áreas</vt:lpstr>
      <vt:lpstr>Reforzamiento</vt:lpstr>
      <vt:lpstr>Priorizados</vt:lpstr>
      <vt:lpstr>Salones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2024-07-31T02:15:40Z</dcterms:created>
  <dcterms:modified xsi:type="dcterms:W3CDTF">2025-11-15T06:44:11Z</dcterms:modified>
</cp:coreProperties>
</file>